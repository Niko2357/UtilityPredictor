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Ivo Mraz\Documents\Záloha Ivo 2023_09_04\Osobní\Osobní\Kybalovka\Odečty, faktury, objednávky\Odečty\Odečty 2024\"/>
    </mc:Choice>
  </mc:AlternateContent>
  <xr:revisionPtr revIDLastSave="0" documentId="13_ncr:1_{062CC335-6F60-40C4-A7AC-57D196A7D004}" xr6:coauthVersionLast="47" xr6:coauthVersionMax="47" xr10:uidLastSave="{00000000-0000-0000-0000-000000000000}"/>
  <bookViews>
    <workbookView xWindow="-110" yWindow="-110" windowWidth="25820" windowHeight="14020" tabRatio="743" activeTab="5" xr2:uid="{00000000-000D-0000-FFFF-FFFF00000000}"/>
  </bookViews>
  <sheets>
    <sheet name="1850" sheetId="1" r:id="rId1"/>
    <sheet name="1851" sheetId="2" r:id="rId2"/>
    <sheet name="1852" sheetId="3" r:id="rId3"/>
    <sheet name="1853" sheetId="4" r:id="rId4"/>
    <sheet name="1854" sheetId="5" r:id="rId5"/>
    <sheet name="1855" sheetId="6" r:id="rId6"/>
    <sheet name="1856" sheetId="7" r:id="rId7"/>
    <sheet name="1857" sheetId="8" r:id="rId8"/>
    <sheet name="S1" sheetId="9" r:id="rId9"/>
    <sheet name="S2" sheetId="10" r:id="rId10"/>
    <sheet name="S3" sheetId="11" r:id="rId11"/>
    <sheet name="S4" sheetId="12" r:id="rId12"/>
    <sheet name="S5" sheetId="13" r:id="rId13"/>
    <sheet name="S6" sheetId="14" r:id="rId14"/>
    <sheet name="S7" sheetId="15" r:id="rId15"/>
    <sheet name="S8" sheetId="16" r:id="rId16"/>
    <sheet name="S9" sheetId="24" r:id="rId17"/>
    <sheet name="S10" sheetId="18" r:id="rId18"/>
    <sheet name="S11" sheetId="19" r:id="rId19"/>
    <sheet name="S12" sheetId="20" r:id="rId20"/>
    <sheet name="Rozdíly" sheetId="21" r:id="rId21"/>
    <sheet name="Rozdíly (2)" sheetId="22" state="hidden" r:id="rId22"/>
    <sheet name="S 2022" sheetId="23" state="hidden" r:id="rId23"/>
    <sheet name="S 2022 %" sheetId="27" state="hidden" r:id="rId24"/>
    <sheet name="Teplo-Paty" sheetId="25" r:id="rId25"/>
    <sheet name="Voda-Paty" sheetId="26" r:id="rId26"/>
  </sheets>
  <definedNames>
    <definedName name="_xlnm.Print_Area" localSheetId="0">'1850'!$A$1:$O$29</definedName>
    <definedName name="_xlnm.Print_Area" localSheetId="1">'1851'!$A$1:$P$49</definedName>
    <definedName name="_xlnm.Print_Area" localSheetId="2">'1852'!$A$1:$O$30</definedName>
    <definedName name="_xlnm.Print_Area" localSheetId="3">'1853'!$A$1:$O$33</definedName>
    <definedName name="_xlnm.Print_Area" localSheetId="4">'1854'!$A$1:$O$30</definedName>
    <definedName name="_xlnm.Print_Area" localSheetId="5">'1855'!$A$1:$O$31</definedName>
    <definedName name="_xlnm.Print_Area" localSheetId="6">'1856'!$A$1:$O$31</definedName>
    <definedName name="_xlnm.Print_Area" localSheetId="7">'1857'!$A$1:$O$30</definedName>
    <definedName name="_xlnm.Print_Area" localSheetId="22">'S 2022'!$A$1:$P$31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0" l="1"/>
  <c r="D19" i="20"/>
  <c r="C19" i="20"/>
  <c r="B19" i="20"/>
  <c r="E4" i="20"/>
  <c r="D4" i="20"/>
  <c r="C4" i="20"/>
  <c r="B4" i="20"/>
  <c r="E20" i="20"/>
  <c r="D20" i="20"/>
  <c r="C20" i="20"/>
  <c r="B20" i="20"/>
  <c r="E5" i="20"/>
  <c r="D5" i="20"/>
  <c r="C5" i="20"/>
  <c r="B5" i="20"/>
  <c r="Q20" i="20"/>
  <c r="P20" i="20"/>
  <c r="O20" i="20"/>
  <c r="N20" i="20"/>
  <c r="N21" i="20" s="1"/>
  <c r="Q19" i="20"/>
  <c r="P19" i="20"/>
  <c r="O19" i="20"/>
  <c r="N19" i="20"/>
  <c r="N6" i="20"/>
  <c r="Q5" i="20"/>
  <c r="P5" i="20"/>
  <c r="O5" i="20"/>
  <c r="N5" i="20"/>
  <c r="Q4" i="20"/>
  <c r="P4" i="20"/>
  <c r="O4" i="20"/>
  <c r="N4" i="20"/>
  <c r="N12" i="26"/>
  <c r="N11" i="26"/>
  <c r="N10" i="26"/>
  <c r="N9" i="26"/>
  <c r="N8" i="26"/>
  <c r="N7" i="26"/>
  <c r="N6" i="26"/>
  <c r="N5" i="26"/>
  <c r="N4" i="26"/>
  <c r="N13" i="26"/>
  <c r="N14" i="26"/>
  <c r="N6" i="25"/>
  <c r="N7" i="25"/>
  <c r="N9" i="25" s="1"/>
  <c r="N8" i="25"/>
  <c r="N10" i="25"/>
  <c r="N12" i="25" s="1"/>
  <c r="N11" i="25"/>
  <c r="N13" i="25"/>
  <c r="N15" i="25" s="1"/>
  <c r="N14" i="25"/>
  <c r="N16" i="25"/>
  <c r="N18" i="25" s="1"/>
  <c r="N17" i="25"/>
  <c r="N19" i="25"/>
  <c r="N20" i="25"/>
  <c r="N21" i="25"/>
  <c r="N22" i="25"/>
  <c r="N24" i="25" s="1"/>
  <c r="N23" i="25"/>
  <c r="N25" i="25"/>
  <c r="N26" i="25"/>
  <c r="N27" i="25"/>
  <c r="X29" i="21"/>
  <c r="U29" i="21"/>
  <c r="R29" i="21"/>
  <c r="O29" i="21"/>
  <c r="L29" i="21"/>
  <c r="I29" i="21"/>
  <c r="F29" i="21"/>
  <c r="C29" i="21"/>
  <c r="Y28" i="21"/>
  <c r="Z28" i="21" s="1"/>
  <c r="X28" i="21"/>
  <c r="W28" i="21"/>
  <c r="V28" i="21"/>
  <c r="U28" i="21"/>
  <c r="S28" i="21"/>
  <c r="T28" i="21" s="1"/>
  <c r="R28" i="21"/>
  <c r="Q28" i="21"/>
  <c r="P28" i="21"/>
  <c r="O28" i="21"/>
  <c r="M28" i="21"/>
  <c r="N28" i="21" s="1"/>
  <c r="L28" i="21"/>
  <c r="K28" i="21"/>
  <c r="J28" i="21"/>
  <c r="I28" i="21"/>
  <c r="H28" i="21"/>
  <c r="G28" i="21"/>
  <c r="F28" i="21"/>
  <c r="E28" i="21"/>
  <c r="D28" i="21"/>
  <c r="C28" i="21"/>
  <c r="AF8" i="8"/>
  <c r="AF10" i="8"/>
  <c r="AF12" i="8"/>
  <c r="AF14" i="8"/>
  <c r="AF16" i="8"/>
  <c r="AF18" i="8"/>
  <c r="AF20" i="8"/>
  <c r="AF22" i="8"/>
  <c r="AF6" i="8"/>
  <c r="AF4" i="8"/>
  <c r="P6" i="8"/>
  <c r="P8" i="8"/>
  <c r="P10" i="8"/>
  <c r="P12" i="8"/>
  <c r="P14" i="8"/>
  <c r="P16" i="8"/>
  <c r="P18" i="8"/>
  <c r="P20" i="8"/>
  <c r="P22" i="8"/>
  <c r="P4" i="8"/>
  <c r="P26" i="8"/>
  <c r="AF8" i="7"/>
  <c r="AF10" i="7"/>
  <c r="AF12" i="7"/>
  <c r="AF14" i="7"/>
  <c r="AF16" i="7"/>
  <c r="AF18" i="7"/>
  <c r="AF20" i="7"/>
  <c r="AF22" i="7"/>
  <c r="AF6" i="7"/>
  <c r="AF4" i="7"/>
  <c r="P6" i="7"/>
  <c r="P8" i="7"/>
  <c r="P10" i="7"/>
  <c r="P12" i="7"/>
  <c r="P14" i="7"/>
  <c r="P16" i="7"/>
  <c r="P18" i="7"/>
  <c r="P20" i="7"/>
  <c r="P22" i="7"/>
  <c r="P4" i="7"/>
  <c r="P26" i="7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6" i="6"/>
  <c r="AF4" i="6"/>
  <c r="P6" i="6"/>
  <c r="P8" i="6"/>
  <c r="P10" i="6"/>
  <c r="P12" i="6"/>
  <c r="P14" i="6"/>
  <c r="P16" i="6"/>
  <c r="P18" i="6"/>
  <c r="P20" i="6"/>
  <c r="P22" i="6"/>
  <c r="P4" i="6"/>
  <c r="P26" i="6"/>
  <c r="AF8" i="5"/>
  <c r="AF10" i="5"/>
  <c r="AF12" i="5"/>
  <c r="AF14" i="5"/>
  <c r="AF16" i="5"/>
  <c r="AF18" i="5"/>
  <c r="AF20" i="5"/>
  <c r="AF22" i="5"/>
  <c r="AF6" i="5"/>
  <c r="AF4" i="5"/>
  <c r="P26" i="5"/>
  <c r="P6" i="5"/>
  <c r="P8" i="5"/>
  <c r="P10" i="5"/>
  <c r="P12" i="5"/>
  <c r="P14" i="5"/>
  <c r="P16" i="5"/>
  <c r="P18" i="5"/>
  <c r="P20" i="5"/>
  <c r="P22" i="5"/>
  <c r="P4" i="5"/>
  <c r="O40" i="5"/>
  <c r="O38" i="5"/>
  <c r="AF27" i="4"/>
  <c r="AF8" i="4"/>
  <c r="AF10" i="4"/>
  <c r="AF12" i="4"/>
  <c r="AF14" i="4"/>
  <c r="AF16" i="4"/>
  <c r="AF18" i="4"/>
  <c r="AF20" i="4"/>
  <c r="AF22" i="4"/>
  <c r="AF6" i="4"/>
  <c r="AF4" i="4"/>
  <c r="P27" i="4"/>
  <c r="P6" i="4"/>
  <c r="P8" i="4"/>
  <c r="P10" i="4"/>
  <c r="P12" i="4"/>
  <c r="P14" i="4"/>
  <c r="P16" i="4"/>
  <c r="P18" i="4"/>
  <c r="P20" i="4"/>
  <c r="P22" i="4"/>
  <c r="P4" i="4"/>
  <c r="AF8" i="3"/>
  <c r="AF10" i="3"/>
  <c r="AF12" i="3"/>
  <c r="AF14" i="3"/>
  <c r="AF16" i="3"/>
  <c r="AF18" i="3"/>
  <c r="AF20" i="3"/>
  <c r="AF22" i="3"/>
  <c r="AF6" i="3"/>
  <c r="AF4" i="3"/>
  <c r="P26" i="3"/>
  <c r="P6" i="3"/>
  <c r="P8" i="3"/>
  <c r="P10" i="3"/>
  <c r="P12" i="3"/>
  <c r="P14" i="3"/>
  <c r="P16" i="3"/>
  <c r="P18" i="3"/>
  <c r="P20" i="3"/>
  <c r="P22" i="3"/>
  <c r="P4" i="3"/>
  <c r="AV47" i="2"/>
  <c r="AV48" i="2"/>
  <c r="AG47" i="2"/>
  <c r="AG48" i="2"/>
  <c r="AG49" i="2"/>
  <c r="AG46" i="2"/>
  <c r="AG45" i="2"/>
  <c r="AG44" i="2"/>
  <c r="AG43" i="2"/>
  <c r="AG42" i="2"/>
  <c r="AG41" i="2"/>
  <c r="AG40" i="2"/>
  <c r="AG7" i="2" s="1"/>
  <c r="AG37" i="2"/>
  <c r="AG36" i="2"/>
  <c r="AG35" i="2"/>
  <c r="AG34" i="2"/>
  <c r="AG33" i="2"/>
  <c r="AG22" i="2"/>
  <c r="AG20" i="2"/>
  <c r="AG18" i="2"/>
  <c r="AG16" i="2"/>
  <c r="AG14" i="2"/>
  <c r="AG12" i="2"/>
  <c r="AG10" i="2"/>
  <c r="AG8" i="2"/>
  <c r="AG6" i="2"/>
  <c r="AG4" i="2"/>
  <c r="Q42" i="2"/>
  <c r="Q43" i="2"/>
  <c r="Q44" i="2"/>
  <c r="Q45" i="2"/>
  <c r="Q46" i="2"/>
  <c r="Q47" i="2"/>
  <c r="Q48" i="2"/>
  <c r="Q49" i="2"/>
  <c r="Q35" i="2"/>
  <c r="Q36" i="2"/>
  <c r="Q37" i="2"/>
  <c r="Q41" i="2"/>
  <c r="Q40" i="2"/>
  <c r="Q34" i="2"/>
  <c r="Q33" i="2"/>
  <c r="Q26" i="2"/>
  <c r="Q22" i="2"/>
  <c r="Q6" i="2"/>
  <c r="Q8" i="2"/>
  <c r="Q10" i="2"/>
  <c r="Q12" i="2"/>
  <c r="Q14" i="2"/>
  <c r="Q16" i="2"/>
  <c r="Q18" i="2"/>
  <c r="Q20" i="2"/>
  <c r="Q4" i="2"/>
  <c r="AG9" i="2"/>
  <c r="AG13" i="2"/>
  <c r="AG15" i="2"/>
  <c r="AG19" i="2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6" i="1"/>
  <c r="AF7" i="1"/>
  <c r="AF4" i="1"/>
  <c r="AF5" i="1"/>
  <c r="O39" i="1"/>
  <c r="O37" i="1"/>
  <c r="P26" i="1"/>
  <c r="P22" i="1"/>
  <c r="P6" i="1"/>
  <c r="P8" i="1"/>
  <c r="P10" i="1"/>
  <c r="P12" i="1"/>
  <c r="P14" i="1"/>
  <c r="P16" i="1"/>
  <c r="P18" i="1"/>
  <c r="P20" i="1"/>
  <c r="P4" i="1"/>
  <c r="O2" i="8"/>
  <c r="O2" i="7"/>
  <c r="O2" i="6"/>
  <c r="O2" i="5"/>
  <c r="O2" i="4"/>
  <c r="O2" i="3"/>
  <c r="P2" i="2"/>
  <c r="AI24" i="6"/>
  <c r="C19" i="19"/>
  <c r="M19" i="19" s="1"/>
  <c r="AI4" i="6" l="1"/>
  <c r="AL24" i="6"/>
  <c r="AL29" i="6" s="1"/>
  <c r="AK24" i="6" l="1"/>
  <c r="AK29" i="6" s="1"/>
  <c r="AI26" i="6" l="1"/>
  <c r="AJ24" i="6"/>
  <c r="AJ29" i="6" s="1"/>
  <c r="U6" i="6" l="1"/>
  <c r="AU47" i="2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D5" i="1"/>
  <c r="M4" i="26"/>
  <c r="M5" i="26"/>
  <c r="M6" i="26"/>
  <c r="M7" i="26"/>
  <c r="M8" i="26"/>
  <c r="M9" i="26"/>
  <c r="M10" i="26"/>
  <c r="M11" i="26"/>
  <c r="M12" i="26"/>
  <c r="M13" i="26"/>
  <c r="M14" i="26"/>
  <c r="M7" i="25"/>
  <c r="M9" i="25" s="1"/>
  <c r="M8" i="25"/>
  <c r="M10" i="25"/>
  <c r="M12" i="25" s="1"/>
  <c r="M11" i="25"/>
  <c r="M13" i="25"/>
  <c r="M14" i="25"/>
  <c r="M15" i="25"/>
  <c r="M16" i="25"/>
  <c r="M18" i="25" s="1"/>
  <c r="M17" i="25"/>
  <c r="M19" i="25"/>
  <c r="M21" i="25" s="1"/>
  <c r="M20" i="25"/>
  <c r="M22" i="25"/>
  <c r="M23" i="25"/>
  <c r="M24" i="25"/>
  <c r="M25" i="25"/>
  <c r="M26" i="25"/>
  <c r="M27" i="25"/>
  <c r="X27" i="21"/>
  <c r="U27" i="21"/>
  <c r="O27" i="21"/>
  <c r="L27" i="21"/>
  <c r="I27" i="21"/>
  <c r="F27" i="21"/>
  <c r="Y26" i="21"/>
  <c r="Z26" i="21" s="1"/>
  <c r="X26" i="21"/>
  <c r="W26" i="21"/>
  <c r="V26" i="21"/>
  <c r="U26" i="21"/>
  <c r="P26" i="21"/>
  <c r="Q26" i="21" s="1"/>
  <c r="O26" i="21"/>
  <c r="N26" i="21"/>
  <c r="M26" i="21"/>
  <c r="L26" i="21"/>
  <c r="K26" i="21"/>
  <c r="J26" i="21"/>
  <c r="I26" i="21"/>
  <c r="H26" i="21"/>
  <c r="G26" i="21"/>
  <c r="F26" i="21"/>
  <c r="N2" i="8" l="1"/>
  <c r="N2" i="7"/>
  <c r="N2" i="6"/>
  <c r="N2" i="5"/>
  <c r="N2" i="4"/>
  <c r="N2" i="3"/>
  <c r="O2" i="2" l="1"/>
  <c r="X25" i="21"/>
  <c r="U25" i="21"/>
  <c r="O25" i="21"/>
  <c r="L25" i="21"/>
  <c r="I25" i="21"/>
  <c r="F25" i="21"/>
  <c r="Y24" i="21"/>
  <c r="Z24" i="21" s="1"/>
  <c r="X24" i="21"/>
  <c r="W24" i="21"/>
  <c r="V24" i="21"/>
  <c r="U24" i="21"/>
  <c r="Q24" i="21"/>
  <c r="P24" i="21"/>
  <c r="O24" i="21"/>
  <c r="M24" i="21"/>
  <c r="N24" i="21" s="1"/>
  <c r="L24" i="21"/>
  <c r="K24" i="21"/>
  <c r="J24" i="21"/>
  <c r="I24" i="21"/>
  <c r="H24" i="21"/>
  <c r="G24" i="21"/>
  <c r="F24" i="21"/>
  <c r="M2" i="8"/>
  <c r="M2" i="7"/>
  <c r="M2" i="6"/>
  <c r="M2" i="5"/>
  <c r="L7" i="25"/>
  <c r="L9" i="25" s="1"/>
  <c r="L8" i="25"/>
  <c r="L10" i="25"/>
  <c r="L12" i="25" s="1"/>
  <c r="L11" i="25"/>
  <c r="L13" i="25"/>
  <c r="L15" i="25" s="1"/>
  <c r="L14" i="25"/>
  <c r="L16" i="25"/>
  <c r="L17" i="25"/>
  <c r="L19" i="25"/>
  <c r="L20" i="25"/>
  <c r="L22" i="25"/>
  <c r="L23" i="25"/>
  <c r="L25" i="25"/>
  <c r="L26" i="25"/>
  <c r="L27" i="25" s="1"/>
  <c r="L4" i="26"/>
  <c r="L5" i="26"/>
  <c r="L6" i="26"/>
  <c r="L7" i="26"/>
  <c r="L8" i="26"/>
  <c r="L9" i="26"/>
  <c r="L10" i="26"/>
  <c r="L11" i="26"/>
  <c r="L12" i="26"/>
  <c r="L13" i="26"/>
  <c r="L14" i="26"/>
  <c r="M2" i="4"/>
  <c r="M2" i="3"/>
  <c r="AT47" i="2"/>
  <c r="AT48" i="2"/>
  <c r="N2" i="2"/>
  <c r="AD4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K4" i="26"/>
  <c r="K5" i="26"/>
  <c r="K6" i="26"/>
  <c r="K7" i="26"/>
  <c r="K8" i="26"/>
  <c r="K9" i="26"/>
  <c r="K10" i="26"/>
  <c r="K11" i="26"/>
  <c r="K12" i="26"/>
  <c r="K13" i="26"/>
  <c r="K14" i="26"/>
  <c r="K7" i="25"/>
  <c r="K9" i="25" s="1"/>
  <c r="K8" i="25"/>
  <c r="K10" i="25"/>
  <c r="K11" i="25"/>
  <c r="K12" i="25"/>
  <c r="K13" i="25"/>
  <c r="K14" i="25"/>
  <c r="K15" i="25" s="1"/>
  <c r="K16" i="25"/>
  <c r="K18" i="25" s="1"/>
  <c r="K17" i="25"/>
  <c r="K19" i="25"/>
  <c r="K20" i="25"/>
  <c r="K22" i="25"/>
  <c r="K23" i="25"/>
  <c r="K24" i="25"/>
  <c r="K25" i="25"/>
  <c r="K26" i="25"/>
  <c r="K27" i="25"/>
  <c r="X23" i="21"/>
  <c r="U23" i="21"/>
  <c r="O23" i="21"/>
  <c r="L23" i="21"/>
  <c r="I23" i="21"/>
  <c r="F23" i="21"/>
  <c r="Y22" i="21"/>
  <c r="Z22" i="21" s="1"/>
  <c r="X22" i="21"/>
  <c r="W22" i="21"/>
  <c r="V22" i="21"/>
  <c r="U22" i="21"/>
  <c r="P22" i="21"/>
  <c r="Q22" i="21" s="1"/>
  <c r="O22" i="21"/>
  <c r="N22" i="21"/>
  <c r="M22" i="21"/>
  <c r="L22" i="21"/>
  <c r="K22" i="21"/>
  <c r="J22" i="21"/>
  <c r="I22" i="21"/>
  <c r="H22" i="21"/>
  <c r="G22" i="21"/>
  <c r="F22" i="21"/>
  <c r="L2" i="8"/>
  <c r="L2" i="7"/>
  <c r="L2" i="6"/>
  <c r="L2" i="5"/>
  <c r="L2" i="4"/>
  <c r="L2" i="3"/>
  <c r="AS47" i="2"/>
  <c r="AS48" i="2"/>
  <c r="M2" i="2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J5" i="25"/>
  <c r="AA23" i="1"/>
  <c r="Z23" i="1"/>
  <c r="AA21" i="1"/>
  <c r="Z21" i="1"/>
  <c r="AA19" i="1"/>
  <c r="Z19" i="1"/>
  <c r="AA17" i="1"/>
  <c r="Z17" i="1"/>
  <c r="AA15" i="1"/>
  <c r="Z15" i="1"/>
  <c r="AA13" i="1"/>
  <c r="Z13" i="1"/>
  <c r="AA11" i="1"/>
  <c r="Z11" i="1"/>
  <c r="AA9" i="1"/>
  <c r="Z9" i="1"/>
  <c r="AA7" i="1"/>
  <c r="Z7" i="1"/>
  <c r="Z5" i="1"/>
  <c r="AA5" i="1"/>
  <c r="AB23" i="1"/>
  <c r="AB21" i="1"/>
  <c r="AB19" i="1"/>
  <c r="AB17" i="1"/>
  <c r="AB15" i="1"/>
  <c r="AB13" i="1"/>
  <c r="AB11" i="1"/>
  <c r="AB9" i="1"/>
  <c r="AB7" i="1"/>
  <c r="AB5" i="1"/>
  <c r="J4" i="26"/>
  <c r="J5" i="26"/>
  <c r="J6" i="26"/>
  <c r="J7" i="26"/>
  <c r="J8" i="26"/>
  <c r="J9" i="26"/>
  <c r="J10" i="26"/>
  <c r="J11" i="26"/>
  <c r="J12" i="26"/>
  <c r="J13" i="26"/>
  <c r="J14" i="26"/>
  <c r="J7" i="25"/>
  <c r="J9" i="25" s="1"/>
  <c r="J8" i="25"/>
  <c r="J10" i="25"/>
  <c r="J12" i="25" s="1"/>
  <c r="J11" i="25"/>
  <c r="J13" i="25"/>
  <c r="J14" i="25"/>
  <c r="J15" i="25"/>
  <c r="J16" i="25"/>
  <c r="J18" i="25" s="1"/>
  <c r="J17" i="25"/>
  <c r="J19" i="25"/>
  <c r="J21" i="25" s="1"/>
  <c r="J20" i="25"/>
  <c r="J22" i="25"/>
  <c r="J24" i="25" s="1"/>
  <c r="J23" i="25"/>
  <c r="J25" i="25"/>
  <c r="J26" i="25"/>
  <c r="J27" i="25"/>
  <c r="D9" i="16"/>
  <c r="X21" i="21"/>
  <c r="U21" i="21"/>
  <c r="O21" i="21"/>
  <c r="L21" i="21"/>
  <c r="I21" i="21"/>
  <c r="F21" i="21"/>
  <c r="Y20" i="21"/>
  <c r="Z20" i="21" s="1"/>
  <c r="X20" i="21"/>
  <c r="W20" i="21"/>
  <c r="V20" i="21"/>
  <c r="U20" i="21"/>
  <c r="P20" i="21"/>
  <c r="Q20" i="21" s="1"/>
  <c r="O20" i="21"/>
  <c r="M20" i="21"/>
  <c r="N20" i="21" s="1"/>
  <c r="L20" i="21"/>
  <c r="J20" i="21"/>
  <c r="K20" i="21" s="1"/>
  <c r="I20" i="21"/>
  <c r="H20" i="21"/>
  <c r="G20" i="21"/>
  <c r="F20" i="21"/>
  <c r="K2" i="8"/>
  <c r="K2" i="7"/>
  <c r="K2" i="6"/>
  <c r="K2" i="5"/>
  <c r="K2" i="4"/>
  <c r="K2" i="3"/>
  <c r="AR47" i="2"/>
  <c r="AR48" i="2"/>
  <c r="L2" i="2"/>
  <c r="I4" i="26"/>
  <c r="I5" i="26"/>
  <c r="I6" i="26"/>
  <c r="I7" i="26"/>
  <c r="I8" i="26"/>
  <c r="I9" i="26"/>
  <c r="I10" i="26"/>
  <c r="I11" i="26"/>
  <c r="I12" i="26"/>
  <c r="I13" i="26"/>
  <c r="I14" i="26"/>
  <c r="I7" i="25"/>
  <c r="I9" i="25" s="1"/>
  <c r="I8" i="25"/>
  <c r="I10" i="25"/>
  <c r="I11" i="25"/>
  <c r="I12" i="25"/>
  <c r="I13" i="25"/>
  <c r="I14" i="25"/>
  <c r="I15" i="25"/>
  <c r="I16" i="25"/>
  <c r="I18" i="25" s="1"/>
  <c r="I17" i="25"/>
  <c r="I19" i="25"/>
  <c r="I20" i="25"/>
  <c r="I22" i="25"/>
  <c r="I23" i="25"/>
  <c r="I24" i="25"/>
  <c r="I25" i="25"/>
  <c r="I26" i="25"/>
  <c r="I27" i="25"/>
  <c r="X19" i="21"/>
  <c r="U19" i="21"/>
  <c r="O19" i="21"/>
  <c r="L19" i="21"/>
  <c r="I19" i="21"/>
  <c r="F19" i="21"/>
  <c r="Y18" i="21"/>
  <c r="Z18" i="21" s="1"/>
  <c r="X18" i="21"/>
  <c r="W18" i="21"/>
  <c r="V18" i="21"/>
  <c r="U18" i="21"/>
  <c r="P18" i="21"/>
  <c r="Q18" i="21" s="1"/>
  <c r="O18" i="21"/>
  <c r="M18" i="21"/>
  <c r="N18" i="21" s="1"/>
  <c r="L18" i="21"/>
  <c r="K18" i="21"/>
  <c r="J18" i="21"/>
  <c r="I18" i="21"/>
  <c r="H18" i="21"/>
  <c r="G18" i="21"/>
  <c r="F18" i="21"/>
  <c r="J2" i="8"/>
  <c r="J2" i="7"/>
  <c r="J2" i="6"/>
  <c r="J2" i="5"/>
  <c r="J2" i="4"/>
  <c r="J2" i="3"/>
  <c r="AQ47" i="2"/>
  <c r="AQ48" i="2"/>
  <c r="K2" i="2"/>
  <c r="AP47" i="2"/>
  <c r="AP48" i="2"/>
  <c r="I2" i="8"/>
  <c r="I2" i="7"/>
  <c r="I2" i="6"/>
  <c r="I2" i="5"/>
  <c r="I2" i="4"/>
  <c r="I2" i="3"/>
  <c r="J2" i="2"/>
  <c r="H4" i="26"/>
  <c r="H5" i="26"/>
  <c r="H6" i="26"/>
  <c r="H7" i="26"/>
  <c r="H8" i="26"/>
  <c r="H9" i="26"/>
  <c r="H10" i="26"/>
  <c r="H11" i="26"/>
  <c r="H12" i="26"/>
  <c r="H13" i="26"/>
  <c r="H14" i="26"/>
  <c r="H7" i="25"/>
  <c r="H8" i="25"/>
  <c r="H10" i="25"/>
  <c r="H11" i="25"/>
  <c r="H12" i="25" s="1"/>
  <c r="H13" i="25"/>
  <c r="H14" i="25"/>
  <c r="H16" i="25"/>
  <c r="H17" i="25"/>
  <c r="H19" i="25"/>
  <c r="H20" i="25"/>
  <c r="H22" i="25"/>
  <c r="H23" i="25"/>
  <c r="H25" i="25"/>
  <c r="H26" i="25"/>
  <c r="H27" i="25" s="1"/>
  <c r="G4" i="26"/>
  <c r="G5" i="26"/>
  <c r="G6" i="26"/>
  <c r="G7" i="26"/>
  <c r="G8" i="26"/>
  <c r="G9" i="26"/>
  <c r="G10" i="26"/>
  <c r="G11" i="26"/>
  <c r="G12" i="26"/>
  <c r="G13" i="26"/>
  <c r="G14" i="26"/>
  <c r="G7" i="25"/>
  <c r="G9" i="25" s="1"/>
  <c r="G8" i="25"/>
  <c r="G10" i="25"/>
  <c r="G11" i="25"/>
  <c r="G12" i="25" s="1"/>
  <c r="G13" i="25"/>
  <c r="G14" i="25"/>
  <c r="G15" i="25" s="1"/>
  <c r="G16" i="25"/>
  <c r="G18" i="25" s="1"/>
  <c r="G17" i="25"/>
  <c r="G19" i="25"/>
  <c r="G20" i="25"/>
  <c r="G22" i="25"/>
  <c r="G23" i="25"/>
  <c r="G24" i="25"/>
  <c r="G25" i="25"/>
  <c r="G26" i="25"/>
  <c r="G27" i="25" s="1"/>
  <c r="X15" i="21"/>
  <c r="U15" i="21"/>
  <c r="O15" i="21"/>
  <c r="L15" i="21"/>
  <c r="I15" i="21"/>
  <c r="F15" i="21"/>
  <c r="Y14" i="21"/>
  <c r="Z14" i="21" s="1"/>
  <c r="X14" i="21"/>
  <c r="W14" i="21"/>
  <c r="V14" i="21"/>
  <c r="U14" i="21"/>
  <c r="P14" i="21"/>
  <c r="Q14" i="21" s="1"/>
  <c r="O14" i="21"/>
  <c r="M14" i="21"/>
  <c r="N14" i="21" s="1"/>
  <c r="L14" i="21"/>
  <c r="K14" i="21"/>
  <c r="J14" i="21"/>
  <c r="I14" i="21"/>
  <c r="G14" i="21"/>
  <c r="H14" i="21" s="1"/>
  <c r="F14" i="21"/>
  <c r="E27" i="13"/>
  <c r="D27" i="13"/>
  <c r="C27" i="13"/>
  <c r="B27" i="13"/>
  <c r="Q27" i="13"/>
  <c r="P27" i="13"/>
  <c r="O27" i="13"/>
  <c r="N27" i="13"/>
  <c r="R25" i="8"/>
  <c r="H2" i="8"/>
  <c r="R25" i="7"/>
  <c r="H2" i="7"/>
  <c r="R25" i="6"/>
  <c r="R25" i="5"/>
  <c r="H2" i="6"/>
  <c r="H2" i="5"/>
  <c r="H2" i="4"/>
  <c r="H2" i="3"/>
  <c r="AN47" i="2"/>
  <c r="AO47" i="2"/>
  <c r="AN48" i="2"/>
  <c r="AO48" i="2"/>
  <c r="I2" i="2"/>
  <c r="H2" i="2"/>
  <c r="F4" i="26"/>
  <c r="F5" i="26"/>
  <c r="F6" i="26"/>
  <c r="F7" i="26"/>
  <c r="F8" i="26"/>
  <c r="F9" i="26"/>
  <c r="F10" i="26"/>
  <c r="F11" i="26"/>
  <c r="F12" i="26"/>
  <c r="F13" i="26"/>
  <c r="F14" i="26"/>
  <c r="F7" i="25"/>
  <c r="F8" i="25"/>
  <c r="F9" i="25"/>
  <c r="F10" i="25"/>
  <c r="F11" i="25"/>
  <c r="F12" i="25"/>
  <c r="F13" i="25"/>
  <c r="F15" i="25" s="1"/>
  <c r="F14" i="25"/>
  <c r="F16" i="25"/>
  <c r="F18" i="25" s="1"/>
  <c r="F17" i="25"/>
  <c r="F19" i="25"/>
  <c r="F20" i="25"/>
  <c r="F22" i="25"/>
  <c r="F23" i="25"/>
  <c r="F24" i="25"/>
  <c r="F25" i="25"/>
  <c r="F27" i="25" s="1"/>
  <c r="F26" i="25"/>
  <c r="G2" i="8"/>
  <c r="G2" i="7"/>
  <c r="G2" i="6"/>
  <c r="G2" i="5"/>
  <c r="G2" i="4"/>
  <c r="G2" i="3"/>
  <c r="E4" i="26"/>
  <c r="E5" i="26"/>
  <c r="E6" i="26"/>
  <c r="E7" i="26"/>
  <c r="E8" i="26"/>
  <c r="E9" i="26"/>
  <c r="E10" i="26"/>
  <c r="E11" i="26"/>
  <c r="E12" i="26"/>
  <c r="E13" i="26"/>
  <c r="E14" i="26"/>
  <c r="E7" i="25"/>
  <c r="E8" i="25"/>
  <c r="E9" i="25"/>
  <c r="E10" i="25"/>
  <c r="E11" i="25"/>
  <c r="E12" i="25"/>
  <c r="E13" i="25"/>
  <c r="E15" i="25" s="1"/>
  <c r="E14" i="25"/>
  <c r="E16" i="25"/>
  <c r="E18" i="25" s="1"/>
  <c r="E17" i="25"/>
  <c r="E19" i="25"/>
  <c r="E20" i="25"/>
  <c r="E21" i="25" s="1"/>
  <c r="E22" i="25"/>
  <c r="E23" i="25"/>
  <c r="E24" i="25"/>
  <c r="E25" i="25"/>
  <c r="E27" i="25" s="1"/>
  <c r="E26" i="25"/>
  <c r="X11" i="21"/>
  <c r="U11" i="21"/>
  <c r="O11" i="21"/>
  <c r="L11" i="21"/>
  <c r="I11" i="21"/>
  <c r="F11" i="21"/>
  <c r="Y10" i="21"/>
  <c r="Z10" i="21" s="1"/>
  <c r="X10" i="21"/>
  <c r="W10" i="21"/>
  <c r="V10" i="21"/>
  <c r="U10" i="21"/>
  <c r="P10" i="21"/>
  <c r="Q10" i="21" s="1"/>
  <c r="O10" i="21"/>
  <c r="N10" i="21"/>
  <c r="M10" i="21"/>
  <c r="L10" i="21"/>
  <c r="K10" i="21"/>
  <c r="J10" i="21"/>
  <c r="I10" i="21"/>
  <c r="H10" i="21"/>
  <c r="G10" i="21"/>
  <c r="F10" i="21"/>
  <c r="B5" i="11"/>
  <c r="F2" i="8"/>
  <c r="F2" i="7"/>
  <c r="F2" i="6"/>
  <c r="F2" i="5"/>
  <c r="W28" i="4"/>
  <c r="X28" i="4"/>
  <c r="Y28" i="4"/>
  <c r="Z28" i="4"/>
  <c r="AA28" i="4"/>
  <c r="AB28" i="4"/>
  <c r="AC28" i="4"/>
  <c r="AD28" i="4"/>
  <c r="AE28" i="4"/>
  <c r="AF28" i="4"/>
  <c r="V28" i="4"/>
  <c r="U28" i="4"/>
  <c r="F2" i="4"/>
  <c r="F2" i="3"/>
  <c r="AM47" i="2"/>
  <c r="AM48" i="2"/>
  <c r="G2" i="2"/>
  <c r="D4" i="26"/>
  <c r="D5" i="26"/>
  <c r="D6" i="26"/>
  <c r="D7" i="26"/>
  <c r="D8" i="26"/>
  <c r="D9" i="26"/>
  <c r="D10" i="26"/>
  <c r="D11" i="26"/>
  <c r="D12" i="26"/>
  <c r="D13" i="26"/>
  <c r="D14" i="26"/>
  <c r="E4" i="25"/>
  <c r="J4" i="25"/>
  <c r="J6" i="25" s="1"/>
  <c r="F4" i="25"/>
  <c r="G4" i="25"/>
  <c r="H4" i="25"/>
  <c r="I4" i="25"/>
  <c r="D4" i="25"/>
  <c r="D7" i="25"/>
  <c r="D9" i="25" s="1"/>
  <c r="D8" i="25"/>
  <c r="D10" i="25"/>
  <c r="D11" i="25"/>
  <c r="D12" i="25" s="1"/>
  <c r="D13" i="25"/>
  <c r="D15" i="25" s="1"/>
  <c r="D14" i="25"/>
  <c r="D16" i="25"/>
  <c r="D18" i="25" s="1"/>
  <c r="D17" i="25"/>
  <c r="D19" i="25"/>
  <c r="D20" i="25"/>
  <c r="D21" i="25" s="1"/>
  <c r="D22" i="25"/>
  <c r="D23" i="25"/>
  <c r="D24" i="25"/>
  <c r="D25" i="25"/>
  <c r="D26" i="25"/>
  <c r="D27" i="25"/>
  <c r="X9" i="21"/>
  <c r="U9" i="21"/>
  <c r="O9" i="21"/>
  <c r="L9" i="21"/>
  <c r="I9" i="21"/>
  <c r="F9" i="21"/>
  <c r="H8" i="21" s="1"/>
  <c r="Y8" i="21"/>
  <c r="Z8" i="21" s="1"/>
  <c r="X8" i="21"/>
  <c r="W8" i="21"/>
  <c r="V8" i="21"/>
  <c r="U8" i="21"/>
  <c r="P8" i="21"/>
  <c r="Q8" i="21" s="1"/>
  <c r="O8" i="21"/>
  <c r="M8" i="21"/>
  <c r="N8" i="21" s="1"/>
  <c r="L8" i="21"/>
  <c r="K8" i="21"/>
  <c r="J8" i="21"/>
  <c r="I8" i="21"/>
  <c r="G8" i="21"/>
  <c r="F8" i="21"/>
  <c r="E2" i="8"/>
  <c r="E2" i="7"/>
  <c r="E2" i="6"/>
  <c r="E2" i="5"/>
  <c r="E2" i="4"/>
  <c r="E2" i="3"/>
  <c r="F2" i="2"/>
  <c r="D2" i="8"/>
  <c r="D2" i="7"/>
  <c r="D2" i="6"/>
  <c r="D2" i="5"/>
  <c r="D2" i="4"/>
  <c r="D2" i="3"/>
  <c r="E2" i="2"/>
  <c r="C13" i="25"/>
  <c r="C10" i="25"/>
  <c r="C7" i="25"/>
  <c r="C19" i="25"/>
  <c r="C4" i="25"/>
  <c r="E10" i="23"/>
  <c r="D10" i="23"/>
  <c r="C10" i="23"/>
  <c r="B10" i="23"/>
  <c r="D24" i="18"/>
  <c r="E10" i="16"/>
  <c r="D10" i="16"/>
  <c r="C10" i="16"/>
  <c r="B10" i="16"/>
  <c r="C21" i="21" s="1"/>
  <c r="E10" i="15"/>
  <c r="D10" i="15"/>
  <c r="C10" i="15"/>
  <c r="B10" i="15"/>
  <c r="C19" i="21" s="1"/>
  <c r="E10" i="14"/>
  <c r="L17" i="21" s="1"/>
  <c r="D10" i="14"/>
  <c r="I17" i="21" s="1"/>
  <c r="C10" i="14"/>
  <c r="F17" i="21" s="1"/>
  <c r="B10" i="14"/>
  <c r="C17" i="21" s="1"/>
  <c r="E10" i="13"/>
  <c r="D10" i="13"/>
  <c r="C10" i="13"/>
  <c r="B10" i="13"/>
  <c r="C15" i="21" s="1"/>
  <c r="E10" i="12"/>
  <c r="L13" i="21" s="1"/>
  <c r="D10" i="12"/>
  <c r="I13" i="21" s="1"/>
  <c r="C10" i="12"/>
  <c r="F13" i="21" s="1"/>
  <c r="B10" i="12"/>
  <c r="C13" i="21" s="1"/>
  <c r="E10" i="11"/>
  <c r="D10" i="11"/>
  <c r="C10" i="11"/>
  <c r="B10" i="11"/>
  <c r="E10" i="10"/>
  <c r="D10" i="10"/>
  <c r="C10" i="10"/>
  <c r="B10" i="10"/>
  <c r="C9" i="21" s="1"/>
  <c r="E10" i="9"/>
  <c r="D10" i="9"/>
  <c r="C10" i="9"/>
  <c r="B10" i="9"/>
  <c r="Q23" i="7"/>
  <c r="Q7" i="7"/>
  <c r="Q9" i="7"/>
  <c r="Q11" i="7"/>
  <c r="Q13" i="7"/>
  <c r="Q15" i="7"/>
  <c r="Q17" i="7"/>
  <c r="Q19" i="7"/>
  <c r="Q21" i="7"/>
  <c r="Q5" i="7"/>
  <c r="Q29" i="4"/>
  <c r="Q28" i="4"/>
  <c r="Q28" i="3"/>
  <c r="Q27" i="3"/>
  <c r="R28" i="2"/>
  <c r="R27" i="2"/>
  <c r="Q28" i="1"/>
  <c r="Q27" i="1"/>
  <c r="C11" i="21" l="1"/>
  <c r="F21" i="25"/>
  <c r="K21" i="25"/>
  <c r="G21" i="25"/>
  <c r="I21" i="25"/>
  <c r="L21" i="25"/>
  <c r="L24" i="25"/>
  <c r="L18" i="25"/>
  <c r="H24" i="25"/>
  <c r="H21" i="25"/>
  <c r="H18" i="25"/>
  <c r="H15" i="25"/>
  <c r="H9" i="25"/>
  <c r="O42" i="5"/>
  <c r="E10" i="27" l="1"/>
  <c r="D10" i="27"/>
  <c r="C10" i="27"/>
  <c r="B10" i="27"/>
  <c r="W13" i="23"/>
  <c r="R13" i="23"/>
  <c r="L28" i="23" l="1"/>
  <c r="E10" i="20"/>
  <c r="D10" i="20"/>
  <c r="C10" i="20"/>
  <c r="B10" i="20"/>
  <c r="B19" i="19"/>
  <c r="D4" i="19"/>
  <c r="C4" i="19"/>
  <c r="E10" i="19"/>
  <c r="D10" i="19"/>
  <c r="C10" i="19"/>
  <c r="B10" i="19"/>
  <c r="E10" i="18"/>
  <c r="D10" i="18"/>
  <c r="C10" i="18"/>
  <c r="B10" i="18"/>
  <c r="AE12" i="5"/>
  <c r="AE20" i="3"/>
  <c r="AF8" i="2"/>
  <c r="E10" i="24"/>
  <c r="D10" i="24"/>
  <c r="C10" i="24"/>
  <c r="B10" i="24"/>
  <c r="L4" i="25"/>
  <c r="M4" i="25"/>
  <c r="N4" i="25"/>
  <c r="K4" i="25"/>
  <c r="AB4" i="1"/>
  <c r="AB6" i="1"/>
  <c r="AB8" i="1"/>
  <c r="AB10" i="1"/>
  <c r="AB12" i="1"/>
  <c r="AB14" i="1"/>
  <c r="AB16" i="1"/>
  <c r="AB18" i="1"/>
  <c r="AB20" i="1"/>
  <c r="AB22" i="1"/>
  <c r="B12" i="10"/>
  <c r="R25" i="1"/>
  <c r="E29" i="2"/>
  <c r="F29" i="2"/>
  <c r="G29" i="2"/>
  <c r="H29" i="2"/>
  <c r="I29" i="2"/>
  <c r="J29" i="2"/>
  <c r="K29" i="2"/>
  <c r="L29" i="2"/>
  <c r="M29" i="2"/>
  <c r="N29" i="2"/>
  <c r="O29" i="2"/>
  <c r="P29" i="2"/>
  <c r="D29" i="2"/>
  <c r="C25" i="21" l="1"/>
  <c r="C27" i="21"/>
  <c r="C23" i="21"/>
  <c r="V27" i="4"/>
  <c r="W27" i="4"/>
  <c r="X27" i="4"/>
  <c r="Y27" i="4"/>
  <c r="Z27" i="4"/>
  <c r="AA27" i="4"/>
  <c r="AB27" i="4"/>
  <c r="AC27" i="4"/>
  <c r="AD27" i="4"/>
  <c r="AE27" i="4"/>
  <c r="U27" i="4"/>
  <c r="O41" i="1"/>
  <c r="Q23" i="1" l="1"/>
  <c r="R23" i="2"/>
  <c r="R7" i="2"/>
  <c r="R9" i="2"/>
  <c r="R11" i="2"/>
  <c r="R13" i="2"/>
  <c r="R15" i="2"/>
  <c r="R17" i="2"/>
  <c r="R19" i="2"/>
  <c r="R21" i="2"/>
  <c r="R5" i="2"/>
  <c r="Q23" i="3"/>
  <c r="Q7" i="3"/>
  <c r="Q9" i="3"/>
  <c r="Q11" i="3"/>
  <c r="Q13" i="3"/>
  <c r="Q15" i="3"/>
  <c r="Q17" i="3"/>
  <c r="Q19" i="3"/>
  <c r="Q21" i="3"/>
  <c r="Q5" i="3"/>
  <c r="Q23" i="4"/>
  <c r="Q7" i="4"/>
  <c r="Q9" i="4"/>
  <c r="Q11" i="4"/>
  <c r="Q13" i="4"/>
  <c r="Q15" i="4"/>
  <c r="Q17" i="4"/>
  <c r="Q19" i="4"/>
  <c r="Q21" i="4"/>
  <c r="Q5" i="4"/>
  <c r="Q23" i="5"/>
  <c r="Q7" i="5"/>
  <c r="Q9" i="5"/>
  <c r="Q11" i="5"/>
  <c r="Q13" i="5"/>
  <c r="Q15" i="5"/>
  <c r="Q17" i="5"/>
  <c r="Q19" i="5"/>
  <c r="Q21" i="5"/>
  <c r="Q5" i="5"/>
  <c r="Q23" i="6"/>
  <c r="Q7" i="6"/>
  <c r="Q9" i="6"/>
  <c r="Q11" i="6"/>
  <c r="Q13" i="6"/>
  <c r="Q15" i="6"/>
  <c r="Q17" i="6"/>
  <c r="Q19" i="6"/>
  <c r="Q21" i="6"/>
  <c r="Q5" i="6"/>
  <c r="Q23" i="8"/>
  <c r="Q7" i="8"/>
  <c r="Q9" i="8"/>
  <c r="Q11" i="8"/>
  <c r="Q13" i="8"/>
  <c r="Q15" i="8"/>
  <c r="Q17" i="8"/>
  <c r="Q19" i="8"/>
  <c r="Q21" i="8"/>
  <c r="Q5" i="8"/>
  <c r="B12" i="27"/>
  <c r="B12" i="23"/>
  <c r="AF5" i="6"/>
  <c r="AF7" i="6"/>
  <c r="AF25" i="4"/>
  <c r="AF32" i="4"/>
  <c r="AF33" i="4"/>
  <c r="AV8" i="2"/>
  <c r="X13" i="23"/>
  <c r="X12" i="23"/>
  <c r="X14" i="23" s="1"/>
  <c r="L14" i="23"/>
  <c r="AV18" i="2" l="1"/>
  <c r="AV12" i="2"/>
  <c r="AV6" i="2"/>
  <c r="AV14" i="2"/>
  <c r="D5" i="19"/>
  <c r="AE4" i="8" l="1"/>
  <c r="AE6" i="8"/>
  <c r="AE8" i="8"/>
  <c r="AE10" i="8"/>
  <c r="AE12" i="8"/>
  <c r="AE14" i="8"/>
  <c r="AE16" i="8"/>
  <c r="AE18" i="8"/>
  <c r="AE20" i="8"/>
  <c r="AE22" i="8"/>
  <c r="AE4" i="7"/>
  <c r="AE6" i="7"/>
  <c r="AE8" i="7"/>
  <c r="AE10" i="7"/>
  <c r="AE12" i="7"/>
  <c r="AE14" i="7"/>
  <c r="AE16" i="7"/>
  <c r="AE18" i="7"/>
  <c r="AE20" i="7"/>
  <c r="AE22" i="7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4" i="5"/>
  <c r="AE6" i="5"/>
  <c r="AE8" i="5"/>
  <c r="AE10" i="5"/>
  <c r="AE14" i="5"/>
  <c r="AE16" i="5"/>
  <c r="AE18" i="5"/>
  <c r="AE20" i="5"/>
  <c r="AE22" i="5"/>
  <c r="AE4" i="4"/>
  <c r="AE6" i="4"/>
  <c r="AE8" i="4"/>
  <c r="AE10" i="4"/>
  <c r="AE12" i="4"/>
  <c r="AE14" i="4"/>
  <c r="AE16" i="4"/>
  <c r="AE18" i="4"/>
  <c r="AE20" i="4"/>
  <c r="AE22" i="4"/>
  <c r="AE25" i="4"/>
  <c r="AE32" i="4"/>
  <c r="AE33" i="4"/>
  <c r="AE4" i="3"/>
  <c r="AE6" i="3"/>
  <c r="AE8" i="3"/>
  <c r="AE10" i="3"/>
  <c r="AE12" i="3"/>
  <c r="AE14" i="3"/>
  <c r="AE16" i="3"/>
  <c r="AE18" i="3"/>
  <c r="AE22" i="3"/>
  <c r="AF33" i="2"/>
  <c r="AF34" i="2"/>
  <c r="AF35" i="2"/>
  <c r="AF36" i="2"/>
  <c r="AF37" i="2"/>
  <c r="AF40" i="2"/>
  <c r="AF41" i="2"/>
  <c r="AF42" i="2"/>
  <c r="AF9" i="2" s="1"/>
  <c r="AU8" i="2" s="1"/>
  <c r="AF43" i="2"/>
  <c r="AF44" i="2"/>
  <c r="AF13" i="2" s="1"/>
  <c r="AF45" i="2"/>
  <c r="AF46" i="2"/>
  <c r="AF15" i="2" s="1"/>
  <c r="AF47" i="2"/>
  <c r="AF48" i="2"/>
  <c r="AF19" i="2" s="1"/>
  <c r="AF49" i="2"/>
  <c r="AF4" i="2"/>
  <c r="AF6" i="2"/>
  <c r="AF10" i="2"/>
  <c r="AF12" i="2"/>
  <c r="AU48" i="2" s="1"/>
  <c r="AF14" i="2"/>
  <c r="AF16" i="2"/>
  <c r="AF18" i="2"/>
  <c r="AF20" i="2"/>
  <c r="AF22" i="2"/>
  <c r="AD4" i="8"/>
  <c r="AD6" i="8"/>
  <c r="AD8" i="8"/>
  <c r="AD10" i="8"/>
  <c r="AD12" i="8"/>
  <c r="AD14" i="8"/>
  <c r="AD16" i="8"/>
  <c r="AD18" i="8"/>
  <c r="AD20" i="8"/>
  <c r="AD22" i="8"/>
  <c r="AD4" i="7"/>
  <c r="AD6" i="7"/>
  <c r="AD8" i="7"/>
  <c r="AD10" i="7"/>
  <c r="AD12" i="7"/>
  <c r="AD14" i="7"/>
  <c r="AD16" i="7"/>
  <c r="AD18" i="7"/>
  <c r="AD20" i="7"/>
  <c r="AD22" i="7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4" i="5"/>
  <c r="AD6" i="5"/>
  <c r="AD8" i="5"/>
  <c r="AD10" i="5"/>
  <c r="AD12" i="5"/>
  <c r="AD14" i="5"/>
  <c r="AD16" i="5"/>
  <c r="AD18" i="5"/>
  <c r="AD20" i="5"/>
  <c r="AD22" i="5"/>
  <c r="AD4" i="4"/>
  <c r="AD6" i="4"/>
  <c r="AD8" i="4"/>
  <c r="AD10" i="4"/>
  <c r="AD12" i="4"/>
  <c r="AD14" i="4"/>
  <c r="AD16" i="4"/>
  <c r="AD18" i="4"/>
  <c r="AD20" i="4"/>
  <c r="AD22" i="4"/>
  <c r="AD25" i="4"/>
  <c r="AD32" i="4"/>
  <c r="AD33" i="4"/>
  <c r="AD4" i="3"/>
  <c r="AD6" i="3"/>
  <c r="AD8" i="3"/>
  <c r="AD10" i="3"/>
  <c r="AD12" i="3"/>
  <c r="AD14" i="3"/>
  <c r="AD16" i="3"/>
  <c r="AD18" i="3"/>
  <c r="AD22" i="3"/>
  <c r="AE33" i="2"/>
  <c r="AE34" i="2"/>
  <c r="AE35" i="2"/>
  <c r="AE36" i="2"/>
  <c r="AE37" i="2"/>
  <c r="AE40" i="2"/>
  <c r="AE41" i="2"/>
  <c r="AE42" i="2"/>
  <c r="AE43" i="2"/>
  <c r="AE44" i="2"/>
  <c r="AE13" i="2" s="1"/>
  <c r="AE45" i="2"/>
  <c r="AE46" i="2"/>
  <c r="AE15" i="2" s="1"/>
  <c r="AE47" i="2"/>
  <c r="AE48" i="2"/>
  <c r="AE19" i="2" s="1"/>
  <c r="AE49" i="2"/>
  <c r="AE4" i="2"/>
  <c r="AE6" i="2"/>
  <c r="AE7" i="2"/>
  <c r="AE8" i="2"/>
  <c r="AE9" i="2"/>
  <c r="AE10" i="2"/>
  <c r="AE12" i="2"/>
  <c r="AE14" i="2"/>
  <c r="AE16" i="2"/>
  <c r="AE18" i="2"/>
  <c r="AE20" i="2"/>
  <c r="AE22" i="2"/>
  <c r="AC4" i="8"/>
  <c r="AC6" i="8"/>
  <c r="AC8" i="8"/>
  <c r="AC10" i="8"/>
  <c r="AC12" i="8"/>
  <c r="AC14" i="8"/>
  <c r="AC16" i="8"/>
  <c r="AC18" i="8"/>
  <c r="AC20" i="8"/>
  <c r="AC22" i="8"/>
  <c r="AC4" i="7"/>
  <c r="AC6" i="7"/>
  <c r="AC8" i="7"/>
  <c r="AC10" i="7"/>
  <c r="AC12" i="7"/>
  <c r="AC14" i="7"/>
  <c r="AC16" i="7"/>
  <c r="AC18" i="7"/>
  <c r="AC20" i="7"/>
  <c r="AC22" i="7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4" i="5"/>
  <c r="AC6" i="5"/>
  <c r="AC8" i="5"/>
  <c r="AC10" i="5"/>
  <c r="AC12" i="5"/>
  <c r="AC14" i="5"/>
  <c r="AC16" i="5"/>
  <c r="AC18" i="5"/>
  <c r="AC20" i="5"/>
  <c r="AC22" i="5"/>
  <c r="AC4" i="4"/>
  <c r="AC6" i="4"/>
  <c r="AC8" i="4"/>
  <c r="AC10" i="4"/>
  <c r="AC12" i="4"/>
  <c r="AC14" i="4"/>
  <c r="AC16" i="4"/>
  <c r="AC18" i="4"/>
  <c r="AC20" i="4"/>
  <c r="AC22" i="4"/>
  <c r="AC25" i="4"/>
  <c r="AC32" i="4"/>
  <c r="AC33" i="4"/>
  <c r="AC4" i="3"/>
  <c r="AC6" i="3"/>
  <c r="AC8" i="3"/>
  <c r="AC10" i="3"/>
  <c r="AC12" i="3"/>
  <c r="AC14" i="3"/>
  <c r="AC16" i="3"/>
  <c r="AC18" i="3"/>
  <c r="AC22" i="3"/>
  <c r="AD4" i="2"/>
  <c r="AD6" i="2"/>
  <c r="AD8" i="2"/>
  <c r="AD10" i="2"/>
  <c r="AD12" i="2"/>
  <c r="AD14" i="2"/>
  <c r="AD16" i="2"/>
  <c r="AD18" i="2"/>
  <c r="AD20" i="2"/>
  <c r="AD22" i="2"/>
  <c r="AD33" i="2"/>
  <c r="AD34" i="2"/>
  <c r="AD35" i="2"/>
  <c r="AD36" i="2"/>
  <c r="AD37" i="2"/>
  <c r="AD40" i="2"/>
  <c r="AD41" i="2"/>
  <c r="AD42" i="2"/>
  <c r="AD9" i="2" s="1"/>
  <c r="AD43" i="2"/>
  <c r="AD44" i="2"/>
  <c r="AD13" i="2" s="1"/>
  <c r="AD45" i="2"/>
  <c r="AD46" i="2"/>
  <c r="AD15" i="2" s="1"/>
  <c r="AD47" i="2"/>
  <c r="AD48" i="2"/>
  <c r="AD19" i="2" s="1"/>
  <c r="AD49" i="2"/>
  <c r="AB4" i="8"/>
  <c r="AB6" i="8"/>
  <c r="AB8" i="8"/>
  <c r="AB10" i="8"/>
  <c r="AB12" i="8"/>
  <c r="AB14" i="8"/>
  <c r="AB16" i="8"/>
  <c r="AB18" i="8"/>
  <c r="AB20" i="8"/>
  <c r="AB22" i="8"/>
  <c r="AB4" i="7"/>
  <c r="AB6" i="7"/>
  <c r="AB8" i="7"/>
  <c r="AB10" i="7"/>
  <c r="AB12" i="7"/>
  <c r="AB14" i="7"/>
  <c r="AB16" i="7"/>
  <c r="AB18" i="7"/>
  <c r="AB20" i="7"/>
  <c r="AB22" i="7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4" i="5"/>
  <c r="AB6" i="5"/>
  <c r="AB8" i="5"/>
  <c r="AB10" i="5"/>
  <c r="AB12" i="5"/>
  <c r="AB14" i="5"/>
  <c r="AB16" i="5"/>
  <c r="AB18" i="5"/>
  <c r="AB20" i="5"/>
  <c r="AB22" i="5"/>
  <c r="AB4" i="4"/>
  <c r="AB6" i="4"/>
  <c r="AB8" i="4"/>
  <c r="AB10" i="4"/>
  <c r="AB12" i="4"/>
  <c r="AB14" i="4"/>
  <c r="AB16" i="4"/>
  <c r="AB18" i="4"/>
  <c r="AB20" i="4"/>
  <c r="AB22" i="4"/>
  <c r="AB25" i="4"/>
  <c r="AB32" i="4"/>
  <c r="AB33" i="4"/>
  <c r="AB4" i="3"/>
  <c r="AB6" i="3"/>
  <c r="AB8" i="3"/>
  <c r="AB10" i="3"/>
  <c r="AB12" i="3"/>
  <c r="AB14" i="3"/>
  <c r="AB16" i="3"/>
  <c r="AB18" i="3"/>
  <c r="AB22" i="3"/>
  <c r="AC33" i="2"/>
  <c r="AC34" i="2"/>
  <c r="AC35" i="2"/>
  <c r="AC36" i="2"/>
  <c r="AC37" i="2"/>
  <c r="AC40" i="2"/>
  <c r="AC41" i="2"/>
  <c r="AC42" i="2"/>
  <c r="AC9" i="2" s="1"/>
  <c r="AC43" i="2"/>
  <c r="AC44" i="2"/>
  <c r="AC13" i="2" s="1"/>
  <c r="AC45" i="2"/>
  <c r="AC46" i="2"/>
  <c r="AC15" i="2" s="1"/>
  <c r="AC47" i="2"/>
  <c r="AC48" i="2"/>
  <c r="AC19" i="2" s="1"/>
  <c r="AC49" i="2"/>
  <c r="AC4" i="2"/>
  <c r="AC6" i="2"/>
  <c r="AC8" i="2"/>
  <c r="AC10" i="2"/>
  <c r="AC12" i="2"/>
  <c r="AC14" i="2"/>
  <c r="AC16" i="2"/>
  <c r="AC18" i="2"/>
  <c r="AC20" i="2"/>
  <c r="AC22" i="2"/>
  <c r="AA4" i="8"/>
  <c r="AA6" i="8"/>
  <c r="AA8" i="8"/>
  <c r="AA10" i="8"/>
  <c r="AA12" i="8"/>
  <c r="AA14" i="8"/>
  <c r="AA16" i="8"/>
  <c r="AA18" i="8"/>
  <c r="AA20" i="8"/>
  <c r="AA22" i="8"/>
  <c r="AA4" i="7"/>
  <c r="AA6" i="7"/>
  <c r="AA8" i="7"/>
  <c r="AA10" i="7"/>
  <c r="AA12" i="7"/>
  <c r="AA14" i="7"/>
  <c r="AA16" i="7"/>
  <c r="AA18" i="7"/>
  <c r="AA20" i="7"/>
  <c r="AA22" i="7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4" i="5"/>
  <c r="AA6" i="5"/>
  <c r="AA8" i="5"/>
  <c r="AA10" i="5"/>
  <c r="AA12" i="5"/>
  <c r="AA14" i="5"/>
  <c r="AA16" i="5"/>
  <c r="AA18" i="5"/>
  <c r="AA20" i="5"/>
  <c r="AA22" i="5"/>
  <c r="AA4" i="4"/>
  <c r="AA6" i="4"/>
  <c r="AA8" i="4"/>
  <c r="AA10" i="4"/>
  <c r="AA12" i="4"/>
  <c r="AA14" i="4"/>
  <c r="AA16" i="4"/>
  <c r="AA18" i="4"/>
  <c r="AA20" i="4"/>
  <c r="AA22" i="4"/>
  <c r="AA25" i="4"/>
  <c r="AA32" i="4"/>
  <c r="AA33" i="4"/>
  <c r="AA4" i="3"/>
  <c r="AA6" i="3"/>
  <c r="AA8" i="3"/>
  <c r="AA10" i="3"/>
  <c r="AA12" i="3"/>
  <c r="AA14" i="3"/>
  <c r="AA16" i="3"/>
  <c r="AA18" i="3"/>
  <c r="AA20" i="3"/>
  <c r="AA22" i="3"/>
  <c r="AB33" i="2"/>
  <c r="AB34" i="2"/>
  <c r="AB35" i="2"/>
  <c r="AB36" i="2"/>
  <c r="AB37" i="2"/>
  <c r="AB40" i="2"/>
  <c r="AB41" i="2"/>
  <c r="AB42" i="2"/>
  <c r="AB43" i="2"/>
  <c r="AB44" i="2"/>
  <c r="AB13" i="2" s="1"/>
  <c r="AB45" i="2"/>
  <c r="AB46" i="2"/>
  <c r="AB15" i="2" s="1"/>
  <c r="AB47" i="2"/>
  <c r="AB48" i="2"/>
  <c r="AB49" i="2"/>
  <c r="AB4" i="2"/>
  <c r="AB6" i="2"/>
  <c r="AB7" i="2"/>
  <c r="AB8" i="2"/>
  <c r="AB9" i="2"/>
  <c r="AB10" i="2"/>
  <c r="AB12" i="2"/>
  <c r="AQ12" i="2" s="1"/>
  <c r="AB14" i="2"/>
  <c r="AB16" i="2"/>
  <c r="AB18" i="2"/>
  <c r="AB19" i="2"/>
  <c r="AB20" i="2"/>
  <c r="AB22" i="2"/>
  <c r="AA4" i="1"/>
  <c r="AA6" i="1"/>
  <c r="AA8" i="1"/>
  <c r="AA10" i="1"/>
  <c r="AA12" i="1"/>
  <c r="AA14" i="1"/>
  <c r="AA16" i="1"/>
  <c r="AA18" i="1"/>
  <c r="AA20" i="1"/>
  <c r="AA22" i="1"/>
  <c r="Z4" i="8"/>
  <c r="Z6" i="8"/>
  <c r="Z8" i="8"/>
  <c r="Z10" i="8"/>
  <c r="Z12" i="8"/>
  <c r="Z14" i="8"/>
  <c r="Z16" i="8"/>
  <c r="Z18" i="8"/>
  <c r="Z20" i="8"/>
  <c r="Z22" i="8"/>
  <c r="Z4" i="7"/>
  <c r="Z6" i="7"/>
  <c r="Z8" i="7"/>
  <c r="Z10" i="7"/>
  <c r="Z12" i="7"/>
  <c r="Z14" i="7"/>
  <c r="Z16" i="7"/>
  <c r="Z18" i="7"/>
  <c r="Z20" i="7"/>
  <c r="Z22" i="7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4" i="5"/>
  <c r="Z6" i="5"/>
  <c r="Z8" i="5"/>
  <c r="Z10" i="5"/>
  <c r="Z12" i="5"/>
  <c r="Z14" i="5"/>
  <c r="Z16" i="5"/>
  <c r="Z18" i="5"/>
  <c r="Z20" i="5"/>
  <c r="Z22" i="5"/>
  <c r="Z4" i="4"/>
  <c r="Z6" i="4"/>
  <c r="Z8" i="4"/>
  <c r="Z10" i="4"/>
  <c r="Z12" i="4"/>
  <c r="Z14" i="4"/>
  <c r="Z16" i="4"/>
  <c r="Z18" i="4"/>
  <c r="Z20" i="4"/>
  <c r="Z22" i="4"/>
  <c r="Z25" i="4"/>
  <c r="Z32" i="4"/>
  <c r="Z33" i="4"/>
  <c r="Z4" i="3"/>
  <c r="Z6" i="3"/>
  <c r="Z8" i="3"/>
  <c r="Z10" i="3"/>
  <c r="Z12" i="3"/>
  <c r="Z14" i="3"/>
  <c r="Z16" i="3"/>
  <c r="Z18" i="3"/>
  <c r="Z20" i="3"/>
  <c r="Z22" i="3"/>
  <c r="AA33" i="2"/>
  <c r="AA34" i="2"/>
  <c r="AA35" i="2"/>
  <c r="AA36" i="2"/>
  <c r="AA37" i="2"/>
  <c r="AA40" i="2"/>
  <c r="AA7" i="2" s="1"/>
  <c r="AA41" i="2"/>
  <c r="AA42" i="2"/>
  <c r="AA9" i="2" s="1"/>
  <c r="AA43" i="2"/>
  <c r="AA44" i="2"/>
  <c r="AA45" i="2"/>
  <c r="AA46" i="2"/>
  <c r="AA15" i="2" s="1"/>
  <c r="AA47" i="2"/>
  <c r="AA48" i="2"/>
  <c r="AA19" i="2" s="1"/>
  <c r="AA49" i="2"/>
  <c r="AA4" i="2"/>
  <c r="AA6" i="2"/>
  <c r="AA8" i="2"/>
  <c r="AA10" i="2"/>
  <c r="AA12" i="2"/>
  <c r="AA13" i="2"/>
  <c r="AA14" i="2"/>
  <c r="AA16" i="2"/>
  <c r="AA18" i="2"/>
  <c r="AA20" i="2"/>
  <c r="AA22" i="2"/>
  <c r="Z4" i="1"/>
  <c r="Z6" i="1"/>
  <c r="Z8" i="1"/>
  <c r="Z10" i="1"/>
  <c r="Z12" i="1"/>
  <c r="Z14" i="1"/>
  <c r="Z16" i="1"/>
  <c r="Z18" i="1"/>
  <c r="Z20" i="1"/>
  <c r="Z22" i="1"/>
  <c r="AC7" i="2" l="1"/>
  <c r="AU18" i="2"/>
  <c r="AU12" i="2"/>
  <c r="AT18" i="2"/>
  <c r="AT14" i="2"/>
  <c r="AT6" i="2"/>
  <c r="AR18" i="2"/>
  <c r="AR8" i="2"/>
  <c r="AR6" i="2"/>
  <c r="AS18" i="2"/>
  <c r="AS14" i="2"/>
  <c r="AP8" i="2"/>
  <c r="AR14" i="2"/>
  <c r="AU14" i="2"/>
  <c r="AP18" i="2"/>
  <c r="AR12" i="2"/>
  <c r="AS12" i="2"/>
  <c r="AT12" i="2"/>
  <c r="AS8" i="2"/>
  <c r="AT8" i="2"/>
  <c r="AQ18" i="2"/>
  <c r="AQ14" i="2"/>
  <c r="AQ8" i="2"/>
  <c r="AQ6" i="2"/>
  <c r="AP14" i="2"/>
  <c r="AP12" i="2"/>
  <c r="AP6" i="2"/>
  <c r="AF7" i="2"/>
  <c r="AU6" i="2" s="1"/>
  <c r="AD7" i="2"/>
  <c r="AS6" i="2" s="1"/>
  <c r="AB20" i="3"/>
  <c r="Y4" i="1"/>
  <c r="Y6" i="1"/>
  <c r="Y8" i="1"/>
  <c r="Y10" i="1"/>
  <c r="Y12" i="1"/>
  <c r="Y14" i="1"/>
  <c r="Y16" i="1"/>
  <c r="Y18" i="1"/>
  <c r="Y20" i="1"/>
  <c r="Y22" i="1"/>
  <c r="Z33" i="2"/>
  <c r="Z34" i="2"/>
  <c r="Z35" i="2"/>
  <c r="Z36" i="2"/>
  <c r="Z37" i="2"/>
  <c r="Z40" i="2"/>
  <c r="Z7" i="2" s="1"/>
  <c r="Z41" i="2"/>
  <c r="Z42" i="2"/>
  <c r="Z9" i="2" s="1"/>
  <c r="Z43" i="2"/>
  <c r="Z44" i="2"/>
  <c r="Z13" i="2" s="1"/>
  <c r="Z45" i="2"/>
  <c r="Z46" i="2"/>
  <c r="Z15" i="2" s="1"/>
  <c r="Z47" i="2"/>
  <c r="Z48" i="2"/>
  <c r="Z19" i="2" s="1"/>
  <c r="Z49" i="2"/>
  <c r="Z4" i="2"/>
  <c r="Z6" i="2"/>
  <c r="Z8" i="2"/>
  <c r="Z10" i="2"/>
  <c r="Z12" i="2"/>
  <c r="Z14" i="2"/>
  <c r="Z16" i="2"/>
  <c r="Z18" i="2"/>
  <c r="Z20" i="2"/>
  <c r="Z22" i="2"/>
  <c r="Y4" i="3"/>
  <c r="Y6" i="3"/>
  <c r="Y8" i="3"/>
  <c r="Y10" i="3"/>
  <c r="Y12" i="3"/>
  <c r="Y14" i="3"/>
  <c r="Y16" i="3"/>
  <c r="Y18" i="3"/>
  <c r="Y20" i="3"/>
  <c r="Y22" i="3"/>
  <c r="Y4" i="4"/>
  <c r="Y6" i="4"/>
  <c r="Y8" i="4"/>
  <c r="Y10" i="4"/>
  <c r="Y12" i="4"/>
  <c r="Y14" i="4"/>
  <c r="Y16" i="4"/>
  <c r="Y18" i="4"/>
  <c r="Y20" i="4"/>
  <c r="Y22" i="4"/>
  <c r="Y25" i="4"/>
  <c r="Y32" i="4"/>
  <c r="Y33" i="4"/>
  <c r="Y4" i="5"/>
  <c r="Y6" i="5"/>
  <c r="Y8" i="5"/>
  <c r="Y10" i="5"/>
  <c r="Y12" i="5"/>
  <c r="Y14" i="5"/>
  <c r="Y16" i="5"/>
  <c r="Y18" i="5"/>
  <c r="Y20" i="5"/>
  <c r="Y22" i="5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4" i="7"/>
  <c r="Y6" i="7"/>
  <c r="Y8" i="7"/>
  <c r="Y10" i="7"/>
  <c r="Y12" i="7"/>
  <c r="Y14" i="7"/>
  <c r="Y16" i="7"/>
  <c r="Y18" i="7"/>
  <c r="Y20" i="7"/>
  <c r="Y22" i="7"/>
  <c r="Y4" i="8"/>
  <c r="Y6" i="8"/>
  <c r="Y8" i="8"/>
  <c r="Y10" i="8"/>
  <c r="Y12" i="8"/>
  <c r="Y14" i="8"/>
  <c r="Y16" i="8"/>
  <c r="Y18" i="8"/>
  <c r="Y20" i="8"/>
  <c r="Y22" i="8"/>
  <c r="X4" i="8"/>
  <c r="X6" i="8"/>
  <c r="X8" i="8"/>
  <c r="X10" i="8"/>
  <c r="X12" i="8"/>
  <c r="X14" i="8"/>
  <c r="X16" i="8"/>
  <c r="X18" i="8"/>
  <c r="X20" i="8"/>
  <c r="X22" i="8"/>
  <c r="X4" i="7"/>
  <c r="X6" i="7"/>
  <c r="X8" i="7"/>
  <c r="X10" i="7"/>
  <c r="X12" i="7"/>
  <c r="X14" i="7"/>
  <c r="X16" i="7"/>
  <c r="X18" i="7"/>
  <c r="X20" i="7"/>
  <c r="X22" i="7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4" i="5"/>
  <c r="X6" i="5"/>
  <c r="X8" i="5"/>
  <c r="X10" i="5"/>
  <c r="X12" i="5"/>
  <c r="X14" i="5"/>
  <c r="X16" i="5"/>
  <c r="X18" i="5"/>
  <c r="X20" i="5"/>
  <c r="X22" i="5"/>
  <c r="X4" i="4"/>
  <c r="X6" i="4"/>
  <c r="X8" i="4"/>
  <c r="X10" i="4"/>
  <c r="X12" i="4"/>
  <c r="X14" i="4"/>
  <c r="X16" i="4"/>
  <c r="X18" i="4"/>
  <c r="X20" i="4"/>
  <c r="X22" i="4"/>
  <c r="X25" i="4"/>
  <c r="X32" i="4"/>
  <c r="X33" i="4"/>
  <c r="X4" i="3"/>
  <c r="X6" i="3"/>
  <c r="X8" i="3"/>
  <c r="X10" i="3"/>
  <c r="X12" i="3"/>
  <c r="X14" i="3"/>
  <c r="X16" i="3"/>
  <c r="X18" i="3"/>
  <c r="X20" i="3"/>
  <c r="X22" i="3"/>
  <c r="Y33" i="2"/>
  <c r="Y34" i="2"/>
  <c r="Y35" i="2"/>
  <c r="Y36" i="2"/>
  <c r="Y37" i="2"/>
  <c r="Y40" i="2"/>
  <c r="Y41" i="2"/>
  <c r="Y42" i="2"/>
  <c r="Y9" i="2" s="1"/>
  <c r="Y43" i="2"/>
  <c r="Y44" i="2"/>
  <c r="Y13" i="2" s="1"/>
  <c r="Y45" i="2"/>
  <c r="Y46" i="2"/>
  <c r="Y15" i="2" s="1"/>
  <c r="Y47" i="2"/>
  <c r="Y48" i="2"/>
  <c r="Y49" i="2"/>
  <c r="Y4" i="2"/>
  <c r="Y6" i="2"/>
  <c r="Y7" i="2"/>
  <c r="Y8" i="2"/>
  <c r="Y10" i="2"/>
  <c r="Y12" i="2"/>
  <c r="Y14" i="2"/>
  <c r="Y16" i="2"/>
  <c r="Y18" i="2"/>
  <c r="Y19" i="2"/>
  <c r="Y20" i="2"/>
  <c r="Y22" i="2"/>
  <c r="X4" i="1"/>
  <c r="X6" i="1"/>
  <c r="X8" i="1"/>
  <c r="X10" i="1"/>
  <c r="X12" i="1"/>
  <c r="X14" i="1"/>
  <c r="X16" i="1"/>
  <c r="X18" i="1"/>
  <c r="X20" i="1"/>
  <c r="X22" i="1"/>
  <c r="W4" i="8"/>
  <c r="W6" i="8"/>
  <c r="W8" i="8"/>
  <c r="W10" i="8"/>
  <c r="W12" i="8"/>
  <c r="W14" i="8"/>
  <c r="W16" i="8"/>
  <c r="W18" i="8"/>
  <c r="W20" i="8"/>
  <c r="W22" i="8"/>
  <c r="W4" i="7"/>
  <c r="W6" i="7"/>
  <c r="W8" i="7"/>
  <c r="W10" i="7"/>
  <c r="W12" i="7"/>
  <c r="W14" i="7"/>
  <c r="W16" i="7"/>
  <c r="W18" i="7"/>
  <c r="W20" i="7"/>
  <c r="W22" i="7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4" i="5"/>
  <c r="W6" i="5"/>
  <c r="W8" i="5"/>
  <c r="W10" i="5"/>
  <c r="W12" i="5"/>
  <c r="W14" i="5"/>
  <c r="W16" i="5"/>
  <c r="W18" i="5"/>
  <c r="W20" i="5"/>
  <c r="W22" i="5"/>
  <c r="W4" i="4"/>
  <c r="W6" i="4"/>
  <c r="W8" i="4"/>
  <c r="W10" i="4"/>
  <c r="W12" i="4"/>
  <c r="W14" i="4"/>
  <c r="W16" i="4"/>
  <c r="W18" i="4"/>
  <c r="W20" i="4"/>
  <c r="W22" i="4"/>
  <c r="W25" i="4"/>
  <c r="W32" i="4"/>
  <c r="W33" i="4"/>
  <c r="W4" i="3"/>
  <c r="W6" i="3"/>
  <c r="W8" i="3"/>
  <c r="W10" i="3"/>
  <c r="W12" i="3"/>
  <c r="W14" i="3"/>
  <c r="W16" i="3"/>
  <c r="W18" i="3"/>
  <c r="W20" i="3"/>
  <c r="W22" i="3"/>
  <c r="X33" i="2"/>
  <c r="X34" i="2"/>
  <c r="X35" i="2"/>
  <c r="X36" i="2"/>
  <c r="X37" i="2"/>
  <c r="X40" i="2"/>
  <c r="X7" i="2" s="1"/>
  <c r="X41" i="2"/>
  <c r="X42" i="2"/>
  <c r="X9" i="2" s="1"/>
  <c r="X43" i="2"/>
  <c r="X44" i="2"/>
  <c r="X13" i="2" s="1"/>
  <c r="X45" i="2"/>
  <c r="X46" i="2"/>
  <c r="X15" i="2" s="1"/>
  <c r="X47" i="2"/>
  <c r="X48" i="2"/>
  <c r="X19" i="2" s="1"/>
  <c r="X49" i="2"/>
  <c r="X4" i="2"/>
  <c r="X6" i="2"/>
  <c r="X8" i="2"/>
  <c r="X10" i="2"/>
  <c r="X12" i="2"/>
  <c r="X14" i="2"/>
  <c r="X16" i="2"/>
  <c r="X18" i="2"/>
  <c r="X20" i="2"/>
  <c r="X22" i="2"/>
  <c r="W4" i="1"/>
  <c r="W6" i="1"/>
  <c r="W8" i="1"/>
  <c r="W10" i="1"/>
  <c r="W12" i="1"/>
  <c r="W14" i="1"/>
  <c r="W16" i="1"/>
  <c r="W18" i="1"/>
  <c r="W20" i="1"/>
  <c r="W22" i="1"/>
  <c r="V4" i="7"/>
  <c r="V6" i="7"/>
  <c r="V8" i="7"/>
  <c r="V10" i="7"/>
  <c r="V12" i="7"/>
  <c r="V14" i="7"/>
  <c r="V16" i="7"/>
  <c r="V18" i="7"/>
  <c r="V20" i="7"/>
  <c r="V22" i="7"/>
  <c r="V4" i="6"/>
  <c r="V5" i="6"/>
  <c r="V6" i="6"/>
  <c r="AI6" i="6" s="1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4" i="5"/>
  <c r="V6" i="5"/>
  <c r="V8" i="5"/>
  <c r="V10" i="5"/>
  <c r="V12" i="5"/>
  <c r="V14" i="5"/>
  <c r="V16" i="5"/>
  <c r="V18" i="5"/>
  <c r="V20" i="5"/>
  <c r="V22" i="5"/>
  <c r="V4" i="4"/>
  <c r="V6" i="4"/>
  <c r="V8" i="4"/>
  <c r="V10" i="4"/>
  <c r="V12" i="4"/>
  <c r="V14" i="4"/>
  <c r="V16" i="4"/>
  <c r="V18" i="4"/>
  <c r="V20" i="4"/>
  <c r="V22" i="4"/>
  <c r="V25" i="4"/>
  <c r="V32" i="4"/>
  <c r="V33" i="4"/>
  <c r="V4" i="3"/>
  <c r="V6" i="3"/>
  <c r="V8" i="3"/>
  <c r="V10" i="3"/>
  <c r="V12" i="3"/>
  <c r="V14" i="3"/>
  <c r="V16" i="3"/>
  <c r="V18" i="3"/>
  <c r="V20" i="3"/>
  <c r="V22" i="3"/>
  <c r="W40" i="2"/>
  <c r="W7" i="2" s="1"/>
  <c r="W41" i="2"/>
  <c r="W42" i="2"/>
  <c r="W9" i="2" s="1"/>
  <c r="W43" i="2"/>
  <c r="W44" i="2"/>
  <c r="W13" i="2" s="1"/>
  <c r="W45" i="2"/>
  <c r="W46" i="2"/>
  <c r="W15" i="2" s="1"/>
  <c r="W47" i="2"/>
  <c r="W48" i="2"/>
  <c r="W19" i="2" s="1"/>
  <c r="W49" i="2"/>
  <c r="W33" i="2"/>
  <c r="W34" i="2"/>
  <c r="W35" i="2"/>
  <c r="W36" i="2"/>
  <c r="W37" i="2"/>
  <c r="W4" i="2"/>
  <c r="W6" i="2"/>
  <c r="W8" i="2"/>
  <c r="W10" i="2"/>
  <c r="W12" i="2"/>
  <c r="W14" i="2"/>
  <c r="W16" i="2"/>
  <c r="W18" i="2"/>
  <c r="W20" i="2"/>
  <c r="W22" i="2"/>
  <c r="V4" i="1"/>
  <c r="V6" i="1"/>
  <c r="V8" i="1"/>
  <c r="V10" i="1"/>
  <c r="V12" i="1"/>
  <c r="V14" i="1"/>
  <c r="V16" i="1"/>
  <c r="V18" i="1"/>
  <c r="V20" i="1"/>
  <c r="V22" i="1"/>
  <c r="AN14" i="2" l="1"/>
  <c r="AO12" i="2"/>
  <c r="AN8" i="2"/>
  <c r="AN18" i="2"/>
  <c r="AO18" i="2"/>
  <c r="AO14" i="2"/>
  <c r="AO8" i="2"/>
  <c r="AO6" i="2"/>
  <c r="AM14" i="2"/>
  <c r="AM8" i="2"/>
  <c r="AN6" i="2"/>
  <c r="AL14" i="2"/>
  <c r="AL12" i="2"/>
  <c r="AM6" i="2"/>
  <c r="AL18" i="2"/>
  <c r="AL8" i="2"/>
  <c r="AL6" i="2"/>
  <c r="AM12" i="2"/>
  <c r="AL47" i="2"/>
  <c r="AM18" i="2"/>
  <c r="AN12" i="2"/>
  <c r="AC20" i="3"/>
  <c r="C29" i="7"/>
  <c r="C29" i="8"/>
  <c r="C29" i="6"/>
  <c r="D30" i="4"/>
  <c r="E30" i="4"/>
  <c r="F30" i="4"/>
  <c r="G30" i="4"/>
  <c r="H30" i="4"/>
  <c r="I30" i="4"/>
  <c r="J30" i="4"/>
  <c r="K30" i="4"/>
  <c r="L30" i="4"/>
  <c r="M30" i="4"/>
  <c r="N30" i="4"/>
  <c r="O30" i="4"/>
  <c r="C30" i="4"/>
  <c r="C29" i="3"/>
  <c r="Q7" i="1"/>
  <c r="Q9" i="1"/>
  <c r="Q11" i="1"/>
  <c r="Q13" i="1"/>
  <c r="Q15" i="1"/>
  <c r="Q17" i="1"/>
  <c r="Q19" i="1"/>
  <c r="Q21" i="1"/>
  <c r="Q5" i="1"/>
  <c r="G32" i="3" l="1"/>
  <c r="AD20" i="3"/>
  <c r="E24" i="19"/>
  <c r="C24" i="19"/>
  <c r="R26" i="21" s="1"/>
  <c r="B24" i="19"/>
  <c r="E9" i="19"/>
  <c r="D9" i="19"/>
  <c r="C9" i="19"/>
  <c r="B9" i="19"/>
  <c r="C26" i="21" l="1"/>
  <c r="D26" i="21"/>
  <c r="E26" i="21" s="1"/>
  <c r="H6" i="23"/>
  <c r="H8" i="23"/>
  <c r="E25" i="27"/>
  <c r="D25" i="27"/>
  <c r="C25" i="27"/>
  <c r="B25" i="27"/>
  <c r="E25" i="23"/>
  <c r="D25" i="23"/>
  <c r="C25" i="23"/>
  <c r="B25" i="23"/>
  <c r="AG55" i="2"/>
  <c r="AG57" i="2"/>
  <c r="AG59" i="2"/>
  <c r="AG61" i="2"/>
  <c r="AG63" i="2"/>
  <c r="AG54" i="2"/>
  <c r="AG56" i="2"/>
  <c r="AG58" i="2"/>
  <c r="AG60" i="2"/>
  <c r="AG62" i="2"/>
  <c r="B15" i="23"/>
  <c r="B16" i="23" s="1"/>
  <c r="T13" i="23"/>
  <c r="AF55" i="2"/>
  <c r="AF57" i="2"/>
  <c r="AF59" i="2"/>
  <c r="AF61" i="2"/>
  <c r="AF63" i="2"/>
  <c r="AF54" i="2"/>
  <c r="AF56" i="2"/>
  <c r="AF58" i="2"/>
  <c r="AF60" i="2"/>
  <c r="AF62" i="2"/>
  <c r="AE56" i="2"/>
  <c r="AE60" i="2"/>
  <c r="AE54" i="2"/>
  <c r="AE58" i="2"/>
  <c r="AE62" i="2"/>
  <c r="AE55" i="2"/>
  <c r="AE57" i="2"/>
  <c r="AE59" i="2"/>
  <c r="AE61" i="2"/>
  <c r="AE63" i="2"/>
  <c r="AT62" i="2" s="1"/>
  <c r="AV54" i="2" l="1"/>
  <c r="AT60" i="2"/>
  <c r="AV60" i="2"/>
  <c r="AU62" i="2"/>
  <c r="AT56" i="2"/>
  <c r="AT54" i="2"/>
  <c r="AT58" i="2"/>
  <c r="AV62" i="2"/>
  <c r="AU54" i="2"/>
  <c r="AV58" i="2"/>
  <c r="AU60" i="2"/>
  <c r="AU58" i="2"/>
  <c r="AU56" i="2"/>
  <c r="AV56" i="2"/>
  <c r="Y13" i="23"/>
  <c r="Z13" i="23" s="1"/>
  <c r="K13" i="23" s="1"/>
  <c r="L13" i="23" s="1"/>
  <c r="Y12" i="23"/>
  <c r="Z12" i="23" s="1"/>
  <c r="AD55" i="2"/>
  <c r="AD57" i="2"/>
  <c r="AD59" i="2"/>
  <c r="AD61" i="2"/>
  <c r="AD63" i="2"/>
  <c r="AD54" i="2"/>
  <c r="AD56" i="2"/>
  <c r="AD58" i="2"/>
  <c r="AD60" i="2"/>
  <c r="AD62" i="2"/>
  <c r="AC54" i="2"/>
  <c r="AC56" i="2"/>
  <c r="AC58" i="2"/>
  <c r="AC60" i="2"/>
  <c r="AC62" i="2"/>
  <c r="AC55" i="2"/>
  <c r="AC57" i="2"/>
  <c r="AC59" i="2"/>
  <c r="AC61" i="2"/>
  <c r="AC63" i="2"/>
  <c r="AB54" i="2"/>
  <c r="AB56" i="2"/>
  <c r="AB58" i="2"/>
  <c r="AB60" i="2"/>
  <c r="AB62" i="2"/>
  <c r="AB55" i="2"/>
  <c r="AB57" i="2"/>
  <c r="AB59" i="2"/>
  <c r="AB61" i="2"/>
  <c r="AB63" i="2"/>
  <c r="AA54" i="2"/>
  <c r="AA56" i="2"/>
  <c r="AA58" i="2"/>
  <c r="AA60" i="2"/>
  <c r="AA62" i="2"/>
  <c r="AA55" i="2"/>
  <c r="AA57" i="2"/>
  <c r="AA59" i="2"/>
  <c r="AA61" i="2"/>
  <c r="AA63" i="2"/>
  <c r="AP56" i="2" l="1"/>
  <c r="AQ60" i="2"/>
  <c r="AP60" i="2"/>
  <c r="AQ56" i="2"/>
  <c r="AV26" i="2"/>
  <c r="AT26" i="2"/>
  <c r="AR60" i="2"/>
  <c r="AR56" i="2"/>
  <c r="AS60" i="2"/>
  <c r="Z14" i="23"/>
  <c r="K12" i="23"/>
  <c r="L12" i="23" s="1"/>
  <c r="AS62" i="2"/>
  <c r="AS58" i="2"/>
  <c r="AU26" i="2"/>
  <c r="AS56" i="2"/>
  <c r="AS54" i="2"/>
  <c r="AR62" i="2"/>
  <c r="AR58" i="2"/>
  <c r="AR54" i="2"/>
  <c r="AQ62" i="2"/>
  <c r="AQ58" i="2"/>
  <c r="AQ54" i="2"/>
  <c r="AP62" i="2"/>
  <c r="AP58" i="2"/>
  <c r="AP54" i="2"/>
  <c r="Z56" i="2"/>
  <c r="Z60" i="2"/>
  <c r="Z54" i="2"/>
  <c r="Z58" i="2"/>
  <c r="Z62" i="2"/>
  <c r="Z55" i="2"/>
  <c r="Z57" i="2"/>
  <c r="Z59" i="2"/>
  <c r="Z61" i="2"/>
  <c r="Z63" i="2"/>
  <c r="E25" i="13"/>
  <c r="D25" i="13"/>
  <c r="C25" i="13"/>
  <c r="B25" i="13"/>
  <c r="Y54" i="2"/>
  <c r="Y56" i="2"/>
  <c r="Y58" i="2"/>
  <c r="Y60" i="2"/>
  <c r="Y62" i="2"/>
  <c r="Y55" i="2"/>
  <c r="Y57" i="2"/>
  <c r="Y59" i="2"/>
  <c r="Y61" i="2"/>
  <c r="Y63" i="2"/>
  <c r="E25" i="12"/>
  <c r="X13" i="21" s="1"/>
  <c r="D25" i="12"/>
  <c r="U13" i="21" s="1"/>
  <c r="C25" i="12"/>
  <c r="R13" i="21" s="1"/>
  <c r="B25" i="12"/>
  <c r="O13" i="21" s="1"/>
  <c r="E25" i="11"/>
  <c r="D25" i="11"/>
  <c r="C25" i="11"/>
  <c r="B25" i="11"/>
  <c r="X56" i="2"/>
  <c r="X60" i="2"/>
  <c r="X54" i="2"/>
  <c r="X58" i="2"/>
  <c r="X62" i="2"/>
  <c r="X55" i="2"/>
  <c r="X57" i="2"/>
  <c r="X59" i="2"/>
  <c r="X61" i="2"/>
  <c r="X63" i="2"/>
  <c r="E25" i="10"/>
  <c r="D25" i="10"/>
  <c r="C25" i="10"/>
  <c r="B25" i="10"/>
  <c r="V4" i="8"/>
  <c r="V6" i="8"/>
  <c r="V8" i="8"/>
  <c r="V10" i="8"/>
  <c r="V12" i="8"/>
  <c r="V14" i="8"/>
  <c r="V16" i="8"/>
  <c r="V18" i="8"/>
  <c r="V20" i="8"/>
  <c r="V22" i="8"/>
  <c r="W55" i="2"/>
  <c r="W57" i="2"/>
  <c r="W59" i="2"/>
  <c r="W61" i="2"/>
  <c r="W63" i="2"/>
  <c r="W54" i="2"/>
  <c r="W56" i="2"/>
  <c r="W58" i="2"/>
  <c r="W60" i="2"/>
  <c r="W62" i="2"/>
  <c r="E25" i="9"/>
  <c r="D25" i="9"/>
  <c r="C25" i="9"/>
  <c r="B25" i="9"/>
  <c r="U8" i="1"/>
  <c r="U10" i="1"/>
  <c r="U12" i="1"/>
  <c r="U14" i="1"/>
  <c r="U16" i="1"/>
  <c r="U18" i="1"/>
  <c r="U20" i="1"/>
  <c r="U22" i="1"/>
  <c r="C8" i="25"/>
  <c r="C11" i="25"/>
  <c r="C14" i="25"/>
  <c r="C16" i="25"/>
  <c r="C17" i="25"/>
  <c r="C20" i="25"/>
  <c r="C22" i="25"/>
  <c r="C23" i="25"/>
  <c r="C25" i="25"/>
  <c r="C26" i="25"/>
  <c r="E19" i="12"/>
  <c r="Q28" i="7"/>
  <c r="Q27" i="7"/>
  <c r="Q28" i="6"/>
  <c r="Q27" i="6"/>
  <c r="Q28" i="8"/>
  <c r="Q27" i="8"/>
  <c r="E25" i="14"/>
  <c r="X17" i="21" s="1"/>
  <c r="D25" i="14"/>
  <c r="U17" i="21" s="1"/>
  <c r="C25" i="14"/>
  <c r="R17" i="21" s="1"/>
  <c r="B25" i="14"/>
  <c r="O17" i="21" s="1"/>
  <c r="B22" i="24"/>
  <c r="P29" i="5"/>
  <c r="Q28" i="5"/>
  <c r="Q27" i="5"/>
  <c r="R25" i="4"/>
  <c r="R24" i="4"/>
  <c r="B14" i="13"/>
  <c r="R25" i="3"/>
  <c r="E12" i="13"/>
  <c r="C12" i="13"/>
  <c r="D12" i="13"/>
  <c r="D4" i="12"/>
  <c r="B4" i="12"/>
  <c r="C4" i="12"/>
  <c r="S24" i="2"/>
  <c r="R9" i="21" l="1"/>
  <c r="R11" i="21"/>
  <c r="R15" i="21"/>
  <c r="AO62" i="2"/>
  <c r="AP26" i="2"/>
  <c r="AO60" i="2"/>
  <c r="AM56" i="2"/>
  <c r="AM58" i="2"/>
  <c r="C27" i="25"/>
  <c r="AS26" i="2"/>
  <c r="AR26" i="2"/>
  <c r="AQ26" i="2"/>
  <c r="AO58" i="2"/>
  <c r="AO56" i="2"/>
  <c r="AO54" i="2"/>
  <c r="AN60" i="2"/>
  <c r="AN56" i="2"/>
  <c r="AM60" i="2"/>
  <c r="AL48" i="2"/>
  <c r="AL62" i="2"/>
  <c r="AL58" i="2"/>
  <c r="AL54" i="2"/>
  <c r="AL60" i="2"/>
  <c r="AL56" i="2"/>
  <c r="AM62" i="2"/>
  <c r="AM54" i="2"/>
  <c r="AN62" i="2"/>
  <c r="AN58" i="2"/>
  <c r="AN54" i="2"/>
  <c r="C24" i="25"/>
  <c r="C21" i="25"/>
  <c r="C18" i="25"/>
  <c r="C15" i="25"/>
  <c r="C12" i="25"/>
  <c r="C9" i="25"/>
  <c r="AO26" i="2" l="1"/>
  <c r="AM26" i="2"/>
  <c r="AN26" i="2"/>
  <c r="AL26" i="2"/>
  <c r="T27" i="23"/>
  <c r="C15" i="27" l="1"/>
  <c r="B15" i="27"/>
  <c r="L18" i="23"/>
  <c r="L19" i="23"/>
  <c r="L17" i="23"/>
  <c r="L30" i="23" l="1"/>
  <c r="B22" i="23"/>
  <c r="B14" i="27"/>
  <c r="E12" i="27"/>
  <c r="D12" i="27"/>
  <c r="D12" i="23"/>
  <c r="C12" i="27"/>
  <c r="B14" i="23"/>
  <c r="E12" i="23"/>
  <c r="C12" i="23"/>
  <c r="B22" i="27"/>
  <c r="E25" i="20"/>
  <c r="D25" i="20"/>
  <c r="C25" i="20"/>
  <c r="B25" i="20"/>
  <c r="E27" i="27"/>
  <c r="D27" i="27"/>
  <c r="C27" i="27"/>
  <c r="B27" i="27"/>
  <c r="E20" i="27"/>
  <c r="D20" i="27"/>
  <c r="C20" i="27"/>
  <c r="B20" i="27"/>
  <c r="B7" i="27"/>
  <c r="E5" i="27"/>
  <c r="D5" i="27"/>
  <c r="C5" i="27"/>
  <c r="B5" i="27"/>
  <c r="B1" i="27"/>
  <c r="E25" i="19"/>
  <c r="D25" i="19"/>
  <c r="C25" i="19"/>
  <c r="B25" i="19"/>
  <c r="E25" i="18"/>
  <c r="D25" i="18"/>
  <c r="C25" i="18"/>
  <c r="B25" i="18"/>
  <c r="E25" i="24"/>
  <c r="D25" i="24"/>
  <c r="C25" i="24"/>
  <c r="B25" i="24"/>
  <c r="S26" i="21" l="1"/>
  <c r="T26" i="21" s="1"/>
  <c r="R27" i="21"/>
  <c r="R23" i="21"/>
  <c r="R25" i="21"/>
  <c r="B6" i="27"/>
  <c r="G6" i="27" s="1"/>
  <c r="B21" i="27"/>
  <c r="G21" i="27" s="1"/>
  <c r="O1" i="26" l="1"/>
  <c r="E25" i="16" l="1"/>
  <c r="D25" i="16"/>
  <c r="C25" i="16"/>
  <c r="B25" i="16"/>
  <c r="E25" i="15"/>
  <c r="D25" i="15"/>
  <c r="C25" i="15"/>
  <c r="B25" i="15"/>
  <c r="R19" i="21" l="1"/>
  <c r="R21" i="21"/>
  <c r="H5" i="25"/>
  <c r="H6" i="25" s="1"/>
  <c r="E4" i="13" l="1"/>
  <c r="U33" i="4" l="1"/>
  <c r="P33" i="4"/>
  <c r="U32" i="4"/>
  <c r="P32" i="4"/>
  <c r="C14" i="26"/>
  <c r="C12" i="26"/>
  <c r="C13" i="26"/>
  <c r="C11" i="26"/>
  <c r="C10" i="26"/>
  <c r="C9" i="26"/>
  <c r="C8" i="26"/>
  <c r="C7" i="26"/>
  <c r="C6" i="26"/>
  <c r="C5" i="26"/>
  <c r="C4" i="26"/>
  <c r="U25" i="4"/>
  <c r="B7" i="10"/>
  <c r="E4" i="12"/>
  <c r="L24" i="23"/>
  <c r="L16" i="23"/>
  <c r="L15" i="23"/>
  <c r="L21" i="23"/>
  <c r="L20" i="23"/>
  <c r="L23" i="23"/>
  <c r="L22" i="23"/>
  <c r="L27" i="23"/>
  <c r="L26" i="23"/>
  <c r="L25" i="23"/>
  <c r="B1" i="23"/>
  <c r="B5" i="23"/>
  <c r="C5" i="23"/>
  <c r="D5" i="23"/>
  <c r="E5" i="23"/>
  <c r="H5" i="23" s="1"/>
  <c r="B7" i="23"/>
  <c r="H7" i="23" s="1"/>
  <c r="B20" i="23"/>
  <c r="C20" i="23"/>
  <c r="D20" i="23"/>
  <c r="E20" i="23"/>
  <c r="B27" i="23"/>
  <c r="C27" i="23"/>
  <c r="D27" i="23"/>
  <c r="E27" i="23"/>
  <c r="P37" i="4" l="1"/>
  <c r="L29" i="23"/>
  <c r="O4" i="26"/>
  <c r="O5" i="26"/>
  <c r="O6" i="26"/>
  <c r="O7" i="26"/>
  <c r="O8" i="26"/>
  <c r="O9" i="26"/>
  <c r="O10" i="26"/>
  <c r="O11" i="26"/>
  <c r="O14" i="26"/>
  <c r="O13" i="26"/>
  <c r="O12" i="26"/>
  <c r="B21" i="23"/>
  <c r="B6" i="23"/>
  <c r="O6" i="23" s="1"/>
  <c r="O14" i="23" l="1"/>
  <c r="L31" i="23"/>
  <c r="O28" i="23"/>
  <c r="O21" i="23"/>
  <c r="O12" i="23"/>
  <c r="O23" i="23"/>
  <c r="O15" i="23"/>
  <c r="O16" i="23"/>
  <c r="O20" i="23"/>
  <c r="O24" i="23"/>
  <c r="O25" i="23"/>
  <c r="O17" i="23"/>
  <c r="O27" i="23"/>
  <c r="O19" i="23"/>
  <c r="O13" i="23"/>
  <c r="O18" i="23"/>
  <c r="O22" i="23"/>
  <c r="O26" i="23"/>
  <c r="O30" i="23" l="1"/>
  <c r="F5" i="25"/>
  <c r="F6" i="25" s="1"/>
  <c r="D5" i="25"/>
  <c r="D6" i="25" s="1"/>
  <c r="U8" i="6"/>
  <c r="AI8" i="6" s="1"/>
  <c r="U9" i="6"/>
  <c r="U10" i="6"/>
  <c r="AI10" i="6" s="1"/>
  <c r="U11" i="6"/>
  <c r="U12" i="6"/>
  <c r="AI12" i="6" s="1"/>
  <c r="U13" i="6"/>
  <c r="U14" i="6"/>
  <c r="AI14" i="6" s="1"/>
  <c r="U15" i="6"/>
  <c r="U16" i="6"/>
  <c r="AI16" i="6" s="1"/>
  <c r="U17" i="6"/>
  <c r="U18" i="6"/>
  <c r="AI18" i="6" s="1"/>
  <c r="U19" i="6"/>
  <c r="U20" i="6"/>
  <c r="AI20" i="6" s="1"/>
  <c r="U21" i="6"/>
  <c r="U22" i="6"/>
  <c r="AI22" i="6" s="1"/>
  <c r="U23" i="6"/>
  <c r="U7" i="6"/>
  <c r="U5" i="6"/>
  <c r="V49" i="2"/>
  <c r="V63" i="2" s="1"/>
  <c r="V48" i="2"/>
  <c r="V19" i="2" s="1"/>
  <c r="V47" i="2"/>
  <c r="V61" i="2" s="1"/>
  <c r="V46" i="2"/>
  <c r="V15" i="2" s="1"/>
  <c r="V45" i="2"/>
  <c r="V59" i="2" s="1"/>
  <c r="V44" i="2"/>
  <c r="V13" i="2" s="1"/>
  <c r="V43" i="2"/>
  <c r="V57" i="2" s="1"/>
  <c r="V42" i="2"/>
  <c r="V9" i="2" s="1"/>
  <c r="V41" i="2"/>
  <c r="V55" i="2" s="1"/>
  <c r="V40" i="2"/>
  <c r="V37" i="2"/>
  <c r="V62" i="2" s="1"/>
  <c r="V36" i="2"/>
  <c r="V60" i="2" s="1"/>
  <c r="V35" i="2"/>
  <c r="V58" i="2" s="1"/>
  <c r="V34" i="2"/>
  <c r="V56" i="2" s="1"/>
  <c r="V33" i="2"/>
  <c r="V54" i="2" s="1"/>
  <c r="V22" i="2"/>
  <c r="V20" i="2"/>
  <c r="V18" i="2"/>
  <c r="V16" i="2"/>
  <c r="V14" i="2"/>
  <c r="V12" i="2"/>
  <c r="V10" i="2"/>
  <c r="V8" i="2"/>
  <c r="V6" i="2"/>
  <c r="V4" i="2"/>
  <c r="U22" i="8"/>
  <c r="U20" i="8"/>
  <c r="U18" i="8"/>
  <c r="U16" i="8"/>
  <c r="U14" i="8"/>
  <c r="U12" i="8"/>
  <c r="U10" i="8"/>
  <c r="U8" i="8"/>
  <c r="U6" i="8"/>
  <c r="U4" i="8"/>
  <c r="U22" i="7"/>
  <c r="U20" i="7"/>
  <c r="U18" i="7"/>
  <c r="U16" i="7"/>
  <c r="U14" i="7"/>
  <c r="U12" i="7"/>
  <c r="U10" i="7"/>
  <c r="U8" i="7"/>
  <c r="U6" i="7"/>
  <c r="U4" i="7"/>
  <c r="U4" i="6"/>
  <c r="U22" i="5"/>
  <c r="U20" i="5"/>
  <c r="U18" i="5"/>
  <c r="U16" i="5"/>
  <c r="U14" i="5"/>
  <c r="U12" i="5"/>
  <c r="U10" i="5"/>
  <c r="U8" i="5"/>
  <c r="U6" i="5"/>
  <c r="U4" i="5"/>
  <c r="U22" i="4"/>
  <c r="U20" i="4"/>
  <c r="U18" i="4"/>
  <c r="U16" i="4"/>
  <c r="U14" i="4"/>
  <c r="U12" i="4"/>
  <c r="U10" i="4"/>
  <c r="U8" i="4"/>
  <c r="U6" i="4"/>
  <c r="U4" i="4"/>
  <c r="U22" i="3"/>
  <c r="U20" i="3"/>
  <c r="U18" i="3"/>
  <c r="U16" i="3"/>
  <c r="U14" i="3"/>
  <c r="U12" i="3"/>
  <c r="U10" i="3"/>
  <c r="U8" i="3"/>
  <c r="U6" i="3"/>
  <c r="U4" i="3"/>
  <c r="U6" i="1"/>
  <c r="U4" i="1"/>
  <c r="AI29" i="6" l="1"/>
  <c r="V7" i="2"/>
  <c r="AK6" i="2" s="1"/>
  <c r="AK47" i="2"/>
  <c r="AW47" i="2" s="1"/>
  <c r="AK48" i="2"/>
  <c r="AW48" i="2" s="1"/>
  <c r="AK8" i="2"/>
  <c r="AW8" i="2" s="1"/>
  <c r="AK12" i="2"/>
  <c r="AW12" i="2" s="1"/>
  <c r="AK14" i="2"/>
  <c r="AW14" i="2" s="1"/>
  <c r="AK18" i="2"/>
  <c r="AW18" i="2" s="1"/>
  <c r="AK54" i="2"/>
  <c r="AW54" i="2" s="1"/>
  <c r="AK56" i="2"/>
  <c r="AW56" i="2" s="1"/>
  <c r="AK58" i="2"/>
  <c r="AW58" i="2" s="1"/>
  <c r="AK60" i="2"/>
  <c r="AW60" i="2" s="1"/>
  <c r="AK62" i="2"/>
  <c r="AW62" i="2" s="1"/>
  <c r="D29" i="8"/>
  <c r="E29" i="8"/>
  <c r="F29" i="8"/>
  <c r="G29" i="8"/>
  <c r="H29" i="8"/>
  <c r="I29" i="8"/>
  <c r="J29" i="8"/>
  <c r="K29" i="8"/>
  <c r="L29" i="8"/>
  <c r="AK26" i="2" l="1"/>
  <c r="AW6" i="2"/>
  <c r="AW26" i="2" s="1"/>
  <c r="N5" i="25"/>
  <c r="C5" i="25"/>
  <c r="E5" i="25"/>
  <c r="E6" i="25" s="1"/>
  <c r="G5" i="25"/>
  <c r="G6" i="25" s="1"/>
  <c r="I5" i="25"/>
  <c r="I6" i="25" s="1"/>
  <c r="K5" i="25"/>
  <c r="K6" i="25" s="1"/>
  <c r="L5" i="25"/>
  <c r="L6" i="25" s="1"/>
  <c r="M5" i="25"/>
  <c r="M6" i="25" s="1"/>
  <c r="F1" i="21"/>
  <c r="B1" i="20"/>
  <c r="B7" i="20"/>
  <c r="B9" i="20"/>
  <c r="C9" i="20"/>
  <c r="D9" i="20"/>
  <c r="E9" i="20"/>
  <c r="B12" i="20"/>
  <c r="C12" i="20"/>
  <c r="D12" i="20"/>
  <c r="E12" i="20"/>
  <c r="B14" i="20"/>
  <c r="B15" i="20"/>
  <c r="B22" i="20"/>
  <c r="B24" i="20"/>
  <c r="C24" i="20"/>
  <c r="D24" i="20"/>
  <c r="E24" i="20"/>
  <c r="O29" i="22"/>
  <c r="R29" i="22"/>
  <c r="U29" i="22"/>
  <c r="X29" i="22"/>
  <c r="B27" i="20"/>
  <c r="C27" i="20"/>
  <c r="D27" i="20"/>
  <c r="E27" i="20"/>
  <c r="B1" i="19"/>
  <c r="B4" i="19"/>
  <c r="B5" i="19"/>
  <c r="C5" i="19"/>
  <c r="E5" i="19"/>
  <c r="B7" i="19"/>
  <c r="B12" i="19"/>
  <c r="C12" i="19"/>
  <c r="D12" i="19"/>
  <c r="E12" i="19"/>
  <c r="B14" i="19"/>
  <c r="B15" i="19"/>
  <c r="D19" i="19"/>
  <c r="E19" i="19"/>
  <c r="B20" i="19"/>
  <c r="C20" i="19"/>
  <c r="D20" i="19"/>
  <c r="E20" i="19"/>
  <c r="B22" i="19"/>
  <c r="D24" i="19"/>
  <c r="O27" i="22"/>
  <c r="R27" i="22"/>
  <c r="U27" i="22"/>
  <c r="B27" i="19"/>
  <c r="C27" i="19"/>
  <c r="D27" i="19"/>
  <c r="E27" i="19"/>
  <c r="B1" i="18"/>
  <c r="B4" i="18"/>
  <c r="C4" i="18"/>
  <c r="D4" i="18"/>
  <c r="B5" i="18"/>
  <c r="C5" i="18"/>
  <c r="D5" i="18"/>
  <c r="E5" i="18"/>
  <c r="B7" i="18"/>
  <c r="B9" i="18"/>
  <c r="C9" i="18"/>
  <c r="D9" i="18"/>
  <c r="E9" i="18"/>
  <c r="B12" i="18"/>
  <c r="C12" i="18"/>
  <c r="D12" i="18"/>
  <c r="E12" i="18"/>
  <c r="B14" i="18"/>
  <c r="B15" i="18"/>
  <c r="B19" i="18"/>
  <c r="C19" i="18"/>
  <c r="D19" i="18"/>
  <c r="E19" i="18"/>
  <c r="B20" i="18"/>
  <c r="C20" i="18"/>
  <c r="D20" i="18"/>
  <c r="E20" i="18"/>
  <c r="B22" i="18"/>
  <c r="B24" i="18"/>
  <c r="C24" i="18"/>
  <c r="E24" i="18"/>
  <c r="O25" i="22"/>
  <c r="R25" i="22"/>
  <c r="U25" i="22"/>
  <c r="B27" i="18"/>
  <c r="C27" i="18"/>
  <c r="D27" i="18"/>
  <c r="E27" i="18"/>
  <c r="B1" i="24"/>
  <c r="B4" i="24"/>
  <c r="C4" i="24"/>
  <c r="D4" i="24"/>
  <c r="B5" i="24"/>
  <c r="C5" i="24"/>
  <c r="D5" i="24"/>
  <c r="E5" i="24"/>
  <c r="B7" i="24"/>
  <c r="B9" i="24"/>
  <c r="C9" i="24"/>
  <c r="D9" i="24"/>
  <c r="E9" i="24"/>
  <c r="B12" i="24"/>
  <c r="C12" i="24"/>
  <c r="D12" i="24"/>
  <c r="E12" i="24"/>
  <c r="B14" i="24"/>
  <c r="B15" i="24"/>
  <c r="B19" i="24"/>
  <c r="C19" i="24"/>
  <c r="D19" i="24"/>
  <c r="E19" i="24"/>
  <c r="B20" i="24"/>
  <c r="C20" i="24"/>
  <c r="D20" i="24"/>
  <c r="E20" i="24"/>
  <c r="B24" i="24"/>
  <c r="C24" i="24"/>
  <c r="D24" i="24"/>
  <c r="E24" i="24"/>
  <c r="B27" i="24"/>
  <c r="C27" i="24"/>
  <c r="D27" i="24"/>
  <c r="E27" i="24"/>
  <c r="B1" i="16"/>
  <c r="B4" i="16"/>
  <c r="C4" i="16"/>
  <c r="D4" i="16"/>
  <c r="B5" i="16"/>
  <c r="C5" i="16"/>
  <c r="D5" i="16"/>
  <c r="E5" i="16"/>
  <c r="B7" i="16"/>
  <c r="B9" i="16"/>
  <c r="C9" i="16"/>
  <c r="E9" i="16"/>
  <c r="B12" i="16"/>
  <c r="C12" i="16"/>
  <c r="D12" i="16"/>
  <c r="E12" i="16"/>
  <c r="B14" i="16"/>
  <c r="B15" i="16"/>
  <c r="B19" i="16"/>
  <c r="C19" i="16"/>
  <c r="D19" i="16"/>
  <c r="E19" i="16"/>
  <c r="B20" i="16"/>
  <c r="C20" i="16"/>
  <c r="D20" i="16"/>
  <c r="E20" i="16"/>
  <c r="B22" i="16"/>
  <c r="B24" i="16"/>
  <c r="C24" i="16"/>
  <c r="D24" i="16"/>
  <c r="E24" i="16"/>
  <c r="R21" i="22"/>
  <c r="B27" i="16"/>
  <c r="C27" i="16"/>
  <c r="D27" i="16"/>
  <c r="E27" i="16"/>
  <c r="B1" i="15"/>
  <c r="B4" i="15"/>
  <c r="C4" i="15"/>
  <c r="D4" i="15"/>
  <c r="B5" i="15"/>
  <c r="C5" i="15"/>
  <c r="D5" i="15"/>
  <c r="E5" i="15"/>
  <c r="B7" i="15"/>
  <c r="B9" i="15"/>
  <c r="C9" i="15"/>
  <c r="D9" i="15"/>
  <c r="E9" i="15"/>
  <c r="B12" i="15"/>
  <c r="C12" i="15"/>
  <c r="D12" i="15"/>
  <c r="E12" i="15"/>
  <c r="B14" i="15"/>
  <c r="B15" i="15"/>
  <c r="B19" i="15"/>
  <c r="C19" i="15"/>
  <c r="D19" i="15"/>
  <c r="E19" i="15"/>
  <c r="B20" i="15"/>
  <c r="C20" i="15"/>
  <c r="D20" i="15"/>
  <c r="E20" i="15"/>
  <c r="B22" i="15"/>
  <c r="B24" i="15"/>
  <c r="C24" i="15"/>
  <c r="D24" i="15"/>
  <c r="V18" i="22" s="1"/>
  <c r="E24" i="15"/>
  <c r="O19" i="22"/>
  <c r="R19" i="22"/>
  <c r="B27" i="15"/>
  <c r="C27" i="15"/>
  <c r="D27" i="15"/>
  <c r="E27" i="15"/>
  <c r="B1" i="14"/>
  <c r="B4" i="14"/>
  <c r="C4" i="14"/>
  <c r="D4" i="14"/>
  <c r="B5" i="14"/>
  <c r="C5" i="14"/>
  <c r="D5" i="14"/>
  <c r="E5" i="14"/>
  <c r="B7" i="14"/>
  <c r="B9" i="14"/>
  <c r="C9" i="14"/>
  <c r="D9" i="14"/>
  <c r="E9" i="14"/>
  <c r="C17" i="22"/>
  <c r="B12" i="14"/>
  <c r="C12" i="14"/>
  <c r="D12" i="14"/>
  <c r="E12" i="14"/>
  <c r="B14" i="14"/>
  <c r="B15" i="14"/>
  <c r="B19" i="14"/>
  <c r="C19" i="14"/>
  <c r="D19" i="14"/>
  <c r="E19" i="14"/>
  <c r="B20" i="14"/>
  <c r="C20" i="14"/>
  <c r="D20" i="14"/>
  <c r="E20" i="14"/>
  <c r="B22" i="14"/>
  <c r="B24" i="14"/>
  <c r="C24" i="14"/>
  <c r="D24" i="14"/>
  <c r="E24" i="14"/>
  <c r="B27" i="14"/>
  <c r="C27" i="14"/>
  <c r="D27" i="14"/>
  <c r="E27" i="14"/>
  <c r="B1" i="13"/>
  <c r="B4" i="13"/>
  <c r="C4" i="13"/>
  <c r="D4" i="13"/>
  <c r="B5" i="13"/>
  <c r="C5" i="13"/>
  <c r="D5" i="13"/>
  <c r="E5" i="13"/>
  <c r="B7" i="13"/>
  <c r="B9" i="13"/>
  <c r="C9" i="13"/>
  <c r="D9" i="13"/>
  <c r="E9" i="13"/>
  <c r="B12" i="13"/>
  <c r="B15" i="13"/>
  <c r="B19" i="13"/>
  <c r="C19" i="13"/>
  <c r="D19" i="13"/>
  <c r="E19" i="13"/>
  <c r="B20" i="13"/>
  <c r="C20" i="13"/>
  <c r="D20" i="13"/>
  <c r="E20" i="13"/>
  <c r="B22" i="13"/>
  <c r="B24" i="13"/>
  <c r="C24" i="13"/>
  <c r="D24" i="13"/>
  <c r="E24" i="13"/>
  <c r="B1" i="12"/>
  <c r="B5" i="12"/>
  <c r="C5" i="12"/>
  <c r="D5" i="12"/>
  <c r="E5" i="12"/>
  <c r="B7" i="12"/>
  <c r="B9" i="12"/>
  <c r="C9" i="12"/>
  <c r="D9" i="12"/>
  <c r="E9" i="12"/>
  <c r="B12" i="12"/>
  <c r="C12" i="12"/>
  <c r="D12" i="12"/>
  <c r="E12" i="12"/>
  <c r="B14" i="12"/>
  <c r="B15" i="12"/>
  <c r="B19" i="12"/>
  <c r="C19" i="12"/>
  <c r="D19" i="12"/>
  <c r="B20" i="12"/>
  <c r="C20" i="12"/>
  <c r="D20" i="12"/>
  <c r="E20" i="12"/>
  <c r="B22" i="12"/>
  <c r="B24" i="12"/>
  <c r="C24" i="12"/>
  <c r="D24" i="12"/>
  <c r="E24" i="12"/>
  <c r="B27" i="12"/>
  <c r="C27" i="12"/>
  <c r="D27" i="12"/>
  <c r="E27" i="12"/>
  <c r="B1" i="11"/>
  <c r="B4" i="11"/>
  <c r="C4" i="11"/>
  <c r="D4" i="11"/>
  <c r="C5" i="11"/>
  <c r="D5" i="11"/>
  <c r="E5" i="11"/>
  <c r="B7" i="11"/>
  <c r="B9" i="11"/>
  <c r="C9" i="11"/>
  <c r="D9" i="11"/>
  <c r="E9" i="11"/>
  <c r="B12" i="11"/>
  <c r="C12" i="11"/>
  <c r="D12" i="11"/>
  <c r="E12" i="11"/>
  <c r="B14" i="11"/>
  <c r="B15" i="11"/>
  <c r="B19" i="11"/>
  <c r="C19" i="11"/>
  <c r="D19" i="11"/>
  <c r="E19" i="11"/>
  <c r="B20" i="11"/>
  <c r="C20" i="11"/>
  <c r="D20" i="11"/>
  <c r="E20" i="11"/>
  <c r="B22" i="11"/>
  <c r="B24" i="11"/>
  <c r="C24" i="11"/>
  <c r="D24" i="11"/>
  <c r="E24" i="11"/>
  <c r="B27" i="11"/>
  <c r="C27" i="11"/>
  <c r="D27" i="11"/>
  <c r="E27" i="11"/>
  <c r="B1" i="10"/>
  <c r="B4" i="10"/>
  <c r="C4" i="10"/>
  <c r="D4" i="10"/>
  <c r="E4" i="10"/>
  <c r="B5" i="10"/>
  <c r="C5" i="10"/>
  <c r="D5" i="10"/>
  <c r="E5" i="10"/>
  <c r="B9" i="10"/>
  <c r="C9" i="10"/>
  <c r="D9" i="10"/>
  <c r="E9" i="10"/>
  <c r="C12" i="10"/>
  <c r="D12" i="10"/>
  <c r="E12" i="10"/>
  <c r="B14" i="10"/>
  <c r="B15" i="10"/>
  <c r="B19" i="10"/>
  <c r="C19" i="10"/>
  <c r="D19" i="10"/>
  <c r="E19" i="10"/>
  <c r="B20" i="10"/>
  <c r="C20" i="10"/>
  <c r="D20" i="10"/>
  <c r="E20" i="10"/>
  <c r="B22" i="10"/>
  <c r="B24" i="10"/>
  <c r="C24" i="10"/>
  <c r="D24" i="10"/>
  <c r="E24" i="10"/>
  <c r="B27" i="10"/>
  <c r="C27" i="10"/>
  <c r="D27" i="10"/>
  <c r="E27" i="10"/>
  <c r="B4" i="9"/>
  <c r="C4" i="9"/>
  <c r="D4" i="9"/>
  <c r="E4" i="9"/>
  <c r="B5" i="9"/>
  <c r="C5" i="9"/>
  <c r="D5" i="9"/>
  <c r="E5" i="9"/>
  <c r="B7" i="9"/>
  <c r="B9" i="9"/>
  <c r="C9" i="9"/>
  <c r="D9" i="9"/>
  <c r="J6" i="21" s="1"/>
  <c r="E9" i="9"/>
  <c r="C7" i="21"/>
  <c r="F7" i="22"/>
  <c r="L7" i="22"/>
  <c r="B12" i="9"/>
  <c r="C12" i="9"/>
  <c r="D12" i="9"/>
  <c r="E12" i="9"/>
  <c r="B14" i="9"/>
  <c r="B15" i="9"/>
  <c r="B19" i="9"/>
  <c r="C19" i="9"/>
  <c r="D19" i="9"/>
  <c r="E19" i="9"/>
  <c r="B20" i="9"/>
  <c r="C20" i="9"/>
  <c r="D20" i="9"/>
  <c r="E20" i="9"/>
  <c r="B22" i="9"/>
  <c r="B24" i="9"/>
  <c r="O6" i="22" s="1"/>
  <c r="C24" i="9"/>
  <c r="D24" i="9"/>
  <c r="U6" i="22" s="1"/>
  <c r="E24" i="9"/>
  <c r="O7" i="21"/>
  <c r="R7" i="21"/>
  <c r="U7" i="21"/>
  <c r="X7" i="22"/>
  <c r="B27" i="9"/>
  <c r="C27" i="9"/>
  <c r="D27" i="9"/>
  <c r="E27" i="9"/>
  <c r="C2" i="8"/>
  <c r="A29" i="8"/>
  <c r="M29" i="8"/>
  <c r="N29" i="8"/>
  <c r="O29" i="8"/>
  <c r="P29" i="8" s="1"/>
  <c r="C2" i="7"/>
  <c r="A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 s="1"/>
  <c r="C2" i="6"/>
  <c r="A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 s="1"/>
  <c r="C2" i="5"/>
  <c r="Q24" i="5"/>
  <c r="C2" i="4"/>
  <c r="P36" i="4"/>
  <c r="P38" i="4" s="1"/>
  <c r="P26" i="4"/>
  <c r="Q26" i="4" s="1"/>
  <c r="A30" i="4"/>
  <c r="P30" i="4"/>
  <c r="C2" i="3"/>
  <c r="A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 s="1"/>
  <c r="D2" i="2"/>
  <c r="B29" i="2"/>
  <c r="Q29" i="2"/>
  <c r="P29" i="1"/>
  <c r="U13" i="22"/>
  <c r="U21" i="22"/>
  <c r="O21" i="22"/>
  <c r="X27" i="22"/>
  <c r="X25" i="22"/>
  <c r="D14" i="21" l="1"/>
  <c r="E14" i="21" s="1"/>
  <c r="C14" i="21"/>
  <c r="C8" i="21"/>
  <c r="D8" i="21"/>
  <c r="E8" i="21" s="1"/>
  <c r="C10" i="21"/>
  <c r="D10" i="21"/>
  <c r="E10" i="21" s="1"/>
  <c r="C22" i="21"/>
  <c r="D22" i="21"/>
  <c r="E22" i="21" s="1"/>
  <c r="C20" i="21"/>
  <c r="D20" i="21"/>
  <c r="E20" i="21" s="1"/>
  <c r="C24" i="21"/>
  <c r="D24" i="21"/>
  <c r="E24" i="21" s="1"/>
  <c r="C18" i="21"/>
  <c r="D18" i="21"/>
  <c r="E18" i="21" s="1"/>
  <c r="R10" i="21"/>
  <c r="S10" i="21"/>
  <c r="T10" i="21" s="1"/>
  <c r="R8" i="21"/>
  <c r="S8" i="21"/>
  <c r="T8" i="21" s="1"/>
  <c r="R18" i="21"/>
  <c r="S18" i="21"/>
  <c r="T18" i="21" s="1"/>
  <c r="R22" i="21"/>
  <c r="S22" i="21"/>
  <c r="T22" i="21" s="1"/>
  <c r="R14" i="21"/>
  <c r="S14" i="21"/>
  <c r="T14" i="21" s="1"/>
  <c r="R20" i="21"/>
  <c r="S20" i="21"/>
  <c r="T20" i="21" s="1"/>
  <c r="R24" i="21"/>
  <c r="S24" i="21"/>
  <c r="T24" i="21" s="1"/>
  <c r="Y16" i="21"/>
  <c r="Z16" i="21" s="1"/>
  <c r="X16" i="21"/>
  <c r="V16" i="21"/>
  <c r="W16" i="21" s="1"/>
  <c r="U16" i="21"/>
  <c r="S16" i="21"/>
  <c r="T16" i="21" s="1"/>
  <c r="R16" i="21"/>
  <c r="O16" i="21"/>
  <c r="P16" i="21"/>
  <c r="Q16" i="21" s="1"/>
  <c r="M16" i="21"/>
  <c r="N16" i="21" s="1"/>
  <c r="L16" i="21"/>
  <c r="J16" i="21"/>
  <c r="K16" i="21" s="1"/>
  <c r="I16" i="21"/>
  <c r="F16" i="21"/>
  <c r="G16" i="21"/>
  <c r="H16" i="21" s="1"/>
  <c r="C16" i="21"/>
  <c r="D16" i="21"/>
  <c r="E16" i="21" s="1"/>
  <c r="X12" i="21"/>
  <c r="Y12" i="21"/>
  <c r="Z12" i="21" s="1"/>
  <c r="V12" i="21"/>
  <c r="W12" i="21" s="1"/>
  <c r="U12" i="21"/>
  <c r="S12" i="21"/>
  <c r="T12" i="21" s="1"/>
  <c r="R12" i="21"/>
  <c r="P12" i="21"/>
  <c r="Q12" i="21" s="1"/>
  <c r="O12" i="21"/>
  <c r="L12" i="21"/>
  <c r="M12" i="21"/>
  <c r="N12" i="21" s="1"/>
  <c r="J12" i="21"/>
  <c r="K12" i="21" s="1"/>
  <c r="I12" i="21"/>
  <c r="G12" i="21"/>
  <c r="H12" i="21" s="1"/>
  <c r="F12" i="21"/>
  <c r="C12" i="21"/>
  <c r="D12" i="21"/>
  <c r="E12" i="21" s="1"/>
  <c r="P24" i="4"/>
  <c r="Q24" i="7"/>
  <c r="P24" i="7"/>
  <c r="L19" i="22"/>
  <c r="AW2" i="2"/>
  <c r="P24" i="5"/>
  <c r="Q27" i="4"/>
  <c r="Q24" i="3"/>
  <c r="J24" i="19"/>
  <c r="I24" i="19"/>
  <c r="H24" i="19"/>
  <c r="G24" i="19"/>
  <c r="C12" i="22"/>
  <c r="X9" i="22"/>
  <c r="G8" i="22"/>
  <c r="P6" i="22"/>
  <c r="C6" i="25"/>
  <c r="H4" i="19"/>
  <c r="P24" i="1"/>
  <c r="P24" i="8"/>
  <c r="Q24" i="8"/>
  <c r="X28" i="22"/>
  <c r="J24" i="20"/>
  <c r="E24" i="27"/>
  <c r="J24" i="27" s="1"/>
  <c r="J19" i="20"/>
  <c r="E19" i="27"/>
  <c r="J19" i="27" s="1"/>
  <c r="U28" i="22"/>
  <c r="I24" i="20"/>
  <c r="D24" i="27"/>
  <c r="I24" i="27" s="1"/>
  <c r="I19" i="20"/>
  <c r="D19" i="27"/>
  <c r="I19" i="27" s="1"/>
  <c r="P24" i="6"/>
  <c r="R28" i="22"/>
  <c r="H24" i="20"/>
  <c r="C24" i="27"/>
  <c r="H24" i="27" s="1"/>
  <c r="H19" i="20"/>
  <c r="C19" i="27"/>
  <c r="H19" i="27" s="1"/>
  <c r="O28" i="22"/>
  <c r="G24" i="20"/>
  <c r="B24" i="27"/>
  <c r="G24" i="27" s="1"/>
  <c r="G19" i="20"/>
  <c r="B19" i="27"/>
  <c r="G19" i="27" s="1"/>
  <c r="L29" i="22"/>
  <c r="L28" i="22"/>
  <c r="E9" i="27"/>
  <c r="J9" i="27" s="1"/>
  <c r="J9" i="20"/>
  <c r="Q24" i="4"/>
  <c r="I29" i="22"/>
  <c r="I28" i="22"/>
  <c r="D9" i="27"/>
  <c r="I9" i="27" s="1"/>
  <c r="I9" i="20"/>
  <c r="I4" i="20"/>
  <c r="D4" i="27"/>
  <c r="I4" i="27" s="1"/>
  <c r="F29" i="22"/>
  <c r="F28" i="22"/>
  <c r="H9" i="20"/>
  <c r="C9" i="27"/>
  <c r="H9" i="27" s="1"/>
  <c r="H4" i="20"/>
  <c r="C4" i="27"/>
  <c r="H4" i="27" s="1"/>
  <c r="Q24" i="1"/>
  <c r="C28" i="22"/>
  <c r="B9" i="27"/>
  <c r="G9" i="27" s="1"/>
  <c r="G9" i="20"/>
  <c r="G4" i="20"/>
  <c r="B4" i="27"/>
  <c r="G4" i="27" s="1"/>
  <c r="J19" i="19"/>
  <c r="H19" i="19"/>
  <c r="J9" i="19"/>
  <c r="H9" i="19"/>
  <c r="H4" i="18"/>
  <c r="I19" i="19"/>
  <c r="G19" i="19"/>
  <c r="I9" i="19"/>
  <c r="G9" i="19"/>
  <c r="I4" i="19"/>
  <c r="G4" i="19"/>
  <c r="X26" i="22"/>
  <c r="U26" i="22"/>
  <c r="R26" i="22"/>
  <c r="O26" i="22"/>
  <c r="L27" i="22"/>
  <c r="L26" i="22"/>
  <c r="I27" i="22"/>
  <c r="I26" i="22"/>
  <c r="F27" i="22"/>
  <c r="F26" i="22"/>
  <c r="C27" i="22"/>
  <c r="C26" i="22"/>
  <c r="U24" i="22"/>
  <c r="I24" i="18"/>
  <c r="O24" i="22"/>
  <c r="G24" i="18"/>
  <c r="L25" i="22"/>
  <c r="F25" i="22"/>
  <c r="L24" i="22"/>
  <c r="J9" i="18"/>
  <c r="F24" i="22"/>
  <c r="H9" i="18"/>
  <c r="J19" i="18"/>
  <c r="H19" i="18"/>
  <c r="X24" i="22"/>
  <c r="J24" i="18"/>
  <c r="R24" i="22"/>
  <c r="H24" i="18"/>
  <c r="I25" i="22"/>
  <c r="I24" i="22"/>
  <c r="I9" i="18"/>
  <c r="C24" i="22"/>
  <c r="G9" i="18"/>
  <c r="I19" i="18"/>
  <c r="G19" i="18"/>
  <c r="I4" i="18"/>
  <c r="G4" i="18"/>
  <c r="P24" i="22"/>
  <c r="Q24" i="22" s="1"/>
  <c r="C4" i="23"/>
  <c r="U20" i="22"/>
  <c r="O20" i="22"/>
  <c r="F21" i="22"/>
  <c r="L20" i="22"/>
  <c r="F20" i="22"/>
  <c r="X20" i="22"/>
  <c r="I21" i="22"/>
  <c r="D20" i="22"/>
  <c r="I20" i="22"/>
  <c r="C20" i="22"/>
  <c r="V26" i="22"/>
  <c r="W26" i="22" s="1"/>
  <c r="L21" i="22"/>
  <c r="J10" i="22"/>
  <c r="V24" i="22"/>
  <c r="W24" i="22" s="1"/>
  <c r="U18" i="22"/>
  <c r="O18" i="22"/>
  <c r="F19" i="22"/>
  <c r="L18" i="22"/>
  <c r="F18" i="22"/>
  <c r="X18" i="22"/>
  <c r="R18" i="22"/>
  <c r="C19" i="22"/>
  <c r="I18" i="22"/>
  <c r="C18" i="22"/>
  <c r="X7" i="21"/>
  <c r="C16" i="22"/>
  <c r="J28" i="22"/>
  <c r="X16" i="22"/>
  <c r="U16" i="22"/>
  <c r="V16" i="22"/>
  <c r="R17" i="22"/>
  <c r="R16" i="22"/>
  <c r="P16" i="22"/>
  <c r="O16" i="22"/>
  <c r="L16" i="22"/>
  <c r="I17" i="22"/>
  <c r="I16" i="22"/>
  <c r="F17" i="22"/>
  <c r="F16" i="22"/>
  <c r="X15" i="22"/>
  <c r="R15" i="22"/>
  <c r="X14" i="22"/>
  <c r="R14" i="22"/>
  <c r="I15" i="22"/>
  <c r="D14" i="22"/>
  <c r="I14" i="22"/>
  <c r="C14" i="22"/>
  <c r="U15" i="22"/>
  <c r="U14" i="22"/>
  <c r="M14" i="22"/>
  <c r="L14" i="22"/>
  <c r="O15" i="22"/>
  <c r="O14" i="22"/>
  <c r="G28" i="22"/>
  <c r="G26" i="22"/>
  <c r="G14" i="22"/>
  <c r="F14" i="22"/>
  <c r="D4" i="23"/>
  <c r="B4" i="23"/>
  <c r="F6" i="21"/>
  <c r="C9" i="23"/>
  <c r="P12" i="22"/>
  <c r="I13" i="22"/>
  <c r="D12" i="22"/>
  <c r="I12" i="22"/>
  <c r="I6" i="21"/>
  <c r="D9" i="23"/>
  <c r="C6" i="21"/>
  <c r="B9" i="23"/>
  <c r="X13" i="22"/>
  <c r="R13" i="22"/>
  <c r="L12" i="22"/>
  <c r="F12" i="22"/>
  <c r="L6" i="21"/>
  <c r="E9" i="23"/>
  <c r="E19" i="23"/>
  <c r="X12" i="22"/>
  <c r="E24" i="23"/>
  <c r="U12" i="22"/>
  <c r="D24" i="23"/>
  <c r="D19" i="23"/>
  <c r="C19" i="23"/>
  <c r="R12" i="22"/>
  <c r="C24" i="23"/>
  <c r="O12" i="22"/>
  <c r="B24" i="23"/>
  <c r="B19" i="23"/>
  <c r="G4" i="16"/>
  <c r="X11" i="22"/>
  <c r="U11" i="22"/>
  <c r="R11" i="22"/>
  <c r="S10" i="22"/>
  <c r="R10" i="22"/>
  <c r="O11" i="22"/>
  <c r="L11" i="22"/>
  <c r="L10" i="22"/>
  <c r="I10" i="22"/>
  <c r="F11" i="22"/>
  <c r="F10" i="22"/>
  <c r="C10" i="22"/>
  <c r="U9" i="22"/>
  <c r="P8" i="22"/>
  <c r="O8" i="22"/>
  <c r="L9" i="22"/>
  <c r="F9" i="22"/>
  <c r="H4" i="11"/>
  <c r="H4" i="12"/>
  <c r="H4" i="13"/>
  <c r="G4" i="24"/>
  <c r="C8" i="22"/>
  <c r="C6" i="22"/>
  <c r="Q24" i="6"/>
  <c r="D6" i="22"/>
  <c r="D10" i="22"/>
  <c r="C9" i="22"/>
  <c r="D6" i="21"/>
  <c r="G6" i="21"/>
  <c r="F8" i="22"/>
  <c r="R24" i="2"/>
  <c r="I4" i="16"/>
  <c r="I4" i="24"/>
  <c r="P24" i="3"/>
  <c r="J6" i="22"/>
  <c r="I9" i="22"/>
  <c r="I6" i="22"/>
  <c r="I7" i="21"/>
  <c r="K6" i="21" s="1"/>
  <c r="L6" i="22"/>
  <c r="M6" i="21"/>
  <c r="X22" i="22"/>
  <c r="J24" i="24"/>
  <c r="R22" i="22"/>
  <c r="H24" i="24"/>
  <c r="D22" i="22"/>
  <c r="I9" i="24"/>
  <c r="C22" i="22"/>
  <c r="G9" i="24"/>
  <c r="U22" i="22"/>
  <c r="I24" i="24"/>
  <c r="O22" i="22"/>
  <c r="G24" i="24"/>
  <c r="F23" i="22"/>
  <c r="J9" i="24"/>
  <c r="H9" i="24"/>
  <c r="J19" i="9"/>
  <c r="H19" i="9"/>
  <c r="I4" i="9"/>
  <c r="G4" i="9"/>
  <c r="J19" i="10"/>
  <c r="H19" i="10"/>
  <c r="J4" i="10"/>
  <c r="H4" i="10"/>
  <c r="J19" i="11"/>
  <c r="H19" i="11"/>
  <c r="J19" i="12"/>
  <c r="H19" i="12"/>
  <c r="J19" i="13"/>
  <c r="H19" i="13"/>
  <c r="I19" i="16"/>
  <c r="G19" i="16"/>
  <c r="I19" i="24"/>
  <c r="G19" i="24"/>
  <c r="X21" i="22"/>
  <c r="F13" i="22"/>
  <c r="L8" i="22"/>
  <c r="M8" i="22"/>
  <c r="F6" i="22"/>
  <c r="G6" i="22"/>
  <c r="H6" i="22" s="1"/>
  <c r="M6" i="22"/>
  <c r="N6" i="22" s="1"/>
  <c r="O17" i="22"/>
  <c r="U17" i="22"/>
  <c r="V6" i="22"/>
  <c r="J24" i="9"/>
  <c r="H24" i="9"/>
  <c r="I19" i="9"/>
  <c r="G19" i="9"/>
  <c r="J4" i="9"/>
  <c r="H4" i="9"/>
  <c r="I19" i="10"/>
  <c r="G19" i="10"/>
  <c r="I4" i="10"/>
  <c r="G4" i="10"/>
  <c r="H24" i="11"/>
  <c r="I19" i="11"/>
  <c r="G19" i="11"/>
  <c r="I4" i="11"/>
  <c r="G4" i="11"/>
  <c r="I19" i="12"/>
  <c r="G19" i="12"/>
  <c r="G9" i="12"/>
  <c r="I4" i="12"/>
  <c r="G4" i="12"/>
  <c r="I19" i="13"/>
  <c r="G19" i="13"/>
  <c r="I4" i="13"/>
  <c r="G4" i="13"/>
  <c r="J19" i="16"/>
  <c r="H19" i="16"/>
  <c r="H4" i="16"/>
  <c r="J19" i="24"/>
  <c r="H19" i="24"/>
  <c r="H4" i="24"/>
  <c r="J19" i="15"/>
  <c r="H19" i="15"/>
  <c r="G9" i="16"/>
  <c r="I9" i="16"/>
  <c r="H24" i="16"/>
  <c r="J24" i="16"/>
  <c r="G9" i="13"/>
  <c r="I9" i="13"/>
  <c r="H24" i="13"/>
  <c r="J24" i="13"/>
  <c r="I9" i="12"/>
  <c r="H24" i="12"/>
  <c r="J24" i="12"/>
  <c r="G9" i="11"/>
  <c r="I9" i="11"/>
  <c r="J24" i="11"/>
  <c r="G9" i="9"/>
  <c r="I9" i="9"/>
  <c r="G9" i="10"/>
  <c r="I9" i="10"/>
  <c r="H24" i="10"/>
  <c r="J24" i="10"/>
  <c r="I4" i="14"/>
  <c r="G4" i="14"/>
  <c r="I19" i="15"/>
  <c r="G19" i="15"/>
  <c r="H4" i="15"/>
  <c r="I4" i="15"/>
  <c r="G4" i="15"/>
  <c r="H9" i="16"/>
  <c r="J9" i="16"/>
  <c r="G24" i="16"/>
  <c r="I24" i="16"/>
  <c r="H9" i="13"/>
  <c r="J9" i="13"/>
  <c r="G24" i="13"/>
  <c r="I24" i="13"/>
  <c r="H9" i="12"/>
  <c r="J9" i="12"/>
  <c r="G24" i="12"/>
  <c r="I24" i="12"/>
  <c r="H9" i="11"/>
  <c r="J9" i="11"/>
  <c r="G24" i="11"/>
  <c r="I24" i="11"/>
  <c r="H9" i="9"/>
  <c r="J9" i="9"/>
  <c r="G24" i="9"/>
  <c r="I24" i="9"/>
  <c r="H9" i="10"/>
  <c r="J9" i="10"/>
  <c r="G24" i="10"/>
  <c r="I24" i="10"/>
  <c r="J19" i="14"/>
  <c r="H19" i="14"/>
  <c r="G9" i="15"/>
  <c r="I9" i="15"/>
  <c r="H24" i="15"/>
  <c r="J24" i="15"/>
  <c r="I19" i="14"/>
  <c r="G19" i="14"/>
  <c r="H4" i="14"/>
  <c r="H9" i="15"/>
  <c r="J9" i="15"/>
  <c r="G24" i="15"/>
  <c r="I24" i="15"/>
  <c r="J9" i="14"/>
  <c r="H9" i="14"/>
  <c r="G24" i="14"/>
  <c r="J24" i="14"/>
  <c r="H24" i="14"/>
  <c r="G9" i="14"/>
  <c r="I9" i="14"/>
  <c r="I24" i="14"/>
  <c r="Y18" i="22"/>
  <c r="D16" i="22"/>
  <c r="E16" i="22" s="1"/>
  <c r="Y16" i="22"/>
  <c r="S16" i="22"/>
  <c r="S14" i="22"/>
  <c r="L15" i="22"/>
  <c r="M16" i="22"/>
  <c r="J16" i="22"/>
  <c r="Y14" i="22"/>
  <c r="V14" i="22"/>
  <c r="S12" i="22"/>
  <c r="O13" i="22"/>
  <c r="P14" i="22"/>
  <c r="F15" i="22"/>
  <c r="X10" i="22"/>
  <c r="R9" i="22"/>
  <c r="R7" i="22"/>
  <c r="I8" i="22"/>
  <c r="D8" i="22"/>
  <c r="E8" i="22" s="1"/>
  <c r="J8" i="22"/>
  <c r="C7" i="22"/>
  <c r="I7" i="22"/>
  <c r="V10" i="22"/>
  <c r="U10" i="22"/>
  <c r="P10" i="22"/>
  <c r="O10" i="22"/>
  <c r="Y8" i="22"/>
  <c r="Z8" i="22" s="1"/>
  <c r="X8" i="22"/>
  <c r="V8" i="22"/>
  <c r="U7" i="22"/>
  <c r="U8" i="22"/>
  <c r="U6" i="21"/>
  <c r="S8" i="22"/>
  <c r="R6" i="22"/>
  <c r="S6" i="22"/>
  <c r="R8" i="22"/>
  <c r="R6" i="21"/>
  <c r="S6" i="21"/>
  <c r="O7" i="22"/>
  <c r="O6" i="21"/>
  <c r="X6" i="21"/>
  <c r="Y6" i="21"/>
  <c r="X6" i="22"/>
  <c r="Y6" i="22"/>
  <c r="Z6" i="22" s="1"/>
  <c r="I11" i="22"/>
  <c r="G16" i="22"/>
  <c r="G12" i="22"/>
  <c r="G18" i="22"/>
  <c r="G10" i="22"/>
  <c r="C15" i="22"/>
  <c r="C11" i="22"/>
  <c r="D28" i="22"/>
  <c r="C25" i="22"/>
  <c r="C13" i="22"/>
  <c r="B21" i="12"/>
  <c r="G21" i="12" s="1"/>
  <c r="V28" i="22"/>
  <c r="W28" i="22" s="1"/>
  <c r="H4" i="23"/>
  <c r="M28" i="22"/>
  <c r="Q24" i="2"/>
  <c r="C29" i="22"/>
  <c r="X17" i="22"/>
  <c r="J14" i="22"/>
  <c r="Y12" i="22"/>
  <c r="F7" i="21"/>
  <c r="L7" i="21"/>
  <c r="J12" i="22"/>
  <c r="V12" i="22"/>
  <c r="W12" i="22" s="1"/>
  <c r="Y10" i="22"/>
  <c r="O9" i="22"/>
  <c r="P6" i="21"/>
  <c r="V6" i="21"/>
  <c r="Y28" i="22"/>
  <c r="Z28" i="22" s="1"/>
  <c r="Y26" i="22"/>
  <c r="Z26" i="22" s="1"/>
  <c r="S28" i="22"/>
  <c r="T28" i="22" s="1"/>
  <c r="S26" i="22"/>
  <c r="T26" i="22" s="1"/>
  <c r="P28" i="22"/>
  <c r="Q28" i="22" s="1"/>
  <c r="B6" i="9"/>
  <c r="G6" i="9" s="1"/>
  <c r="B6" i="10"/>
  <c r="G6" i="10" s="1"/>
  <c r="E4" i="18"/>
  <c r="J4" i="18" s="1"/>
  <c r="M26" i="22"/>
  <c r="E4" i="19"/>
  <c r="J4" i="19" s="1"/>
  <c r="E4" i="24"/>
  <c r="J4" i="24" s="1"/>
  <c r="L17" i="22"/>
  <c r="M12" i="22"/>
  <c r="L13" i="22"/>
  <c r="M10" i="22"/>
  <c r="E4" i="11"/>
  <c r="J4" i="11" s="1"/>
  <c r="E4" i="16"/>
  <c r="J4" i="16" s="1"/>
  <c r="E4" i="15"/>
  <c r="J4" i="15" s="1"/>
  <c r="E4" i="14"/>
  <c r="J4" i="14" s="1"/>
  <c r="J4" i="13"/>
  <c r="J4" i="12"/>
  <c r="Y24" i="22"/>
  <c r="Z24" i="22" s="1"/>
  <c r="S24" i="22"/>
  <c r="T24" i="22" s="1"/>
  <c r="P26" i="22"/>
  <c r="Q26" i="22" s="1"/>
  <c r="M24" i="22"/>
  <c r="J26" i="22"/>
  <c r="D26" i="22"/>
  <c r="B6" i="19"/>
  <c r="G6" i="19" s="1"/>
  <c r="L22" i="22"/>
  <c r="G22" i="22"/>
  <c r="L23" i="22"/>
  <c r="O23" i="22"/>
  <c r="R23" i="22"/>
  <c r="U23" i="22"/>
  <c r="X23" i="22"/>
  <c r="P22" i="22"/>
  <c r="V22" i="22"/>
  <c r="C23" i="22"/>
  <c r="I23" i="22"/>
  <c r="B21" i="19"/>
  <c r="G21" i="19" s="1"/>
  <c r="F22" i="22"/>
  <c r="I22" i="22"/>
  <c r="J22" i="22"/>
  <c r="M22" i="22"/>
  <c r="S22" i="22"/>
  <c r="T22" i="22" s="1"/>
  <c r="Y22" i="22"/>
  <c r="J24" i="22"/>
  <c r="G24" i="22"/>
  <c r="B6" i="24"/>
  <c r="G6" i="24" s="1"/>
  <c r="D24" i="22"/>
  <c r="B21" i="9"/>
  <c r="G21" i="9" s="1"/>
  <c r="B21" i="10"/>
  <c r="G21" i="10" s="1"/>
  <c r="B6" i="11"/>
  <c r="G6" i="11" s="1"/>
  <c r="B21" i="13"/>
  <c r="G21" i="13" s="1"/>
  <c r="B21" i="18"/>
  <c r="G21" i="18" s="1"/>
  <c r="B21" i="20"/>
  <c r="G21" i="20" s="1"/>
  <c r="B21" i="11"/>
  <c r="G21" i="11" s="1"/>
  <c r="B6" i="12"/>
  <c r="G6" i="12" s="1"/>
  <c r="B6" i="13"/>
  <c r="G6" i="13" s="1"/>
  <c r="B21" i="14"/>
  <c r="G21" i="14" s="1"/>
  <c r="B6" i="14"/>
  <c r="G6" i="14" s="1"/>
  <c r="B6" i="18"/>
  <c r="G6" i="18" s="1"/>
  <c r="B6" i="20"/>
  <c r="G6" i="20" s="1"/>
  <c r="B21" i="24"/>
  <c r="G21" i="24" s="1"/>
  <c r="S20" i="22"/>
  <c r="T20" i="22" s="1"/>
  <c r="R20" i="22"/>
  <c r="C21" i="22"/>
  <c r="X19" i="22"/>
  <c r="B21" i="15"/>
  <c r="G21" i="15" s="1"/>
  <c r="Y20" i="22"/>
  <c r="U19" i="22"/>
  <c r="W18" i="22" s="1"/>
  <c r="B21" i="16"/>
  <c r="G21" i="16" s="1"/>
  <c r="V20" i="22"/>
  <c r="W20" i="22" s="1"/>
  <c r="S18" i="22"/>
  <c r="P20" i="22"/>
  <c r="Q20" i="22" s="1"/>
  <c r="P18" i="22"/>
  <c r="B6" i="15"/>
  <c r="G6" i="15" s="1"/>
  <c r="M20" i="22"/>
  <c r="M18" i="22"/>
  <c r="I19" i="22"/>
  <c r="J20" i="22"/>
  <c r="J18" i="22"/>
  <c r="G20" i="22"/>
  <c r="B6" i="16"/>
  <c r="G6" i="16" s="1"/>
  <c r="D18" i="22"/>
  <c r="Q22" i="22" l="1"/>
  <c r="N18" i="22"/>
  <c r="Q16" i="22"/>
  <c r="K28" i="22"/>
  <c r="E6" i="22"/>
  <c r="K8" i="22"/>
  <c r="Z14" i="22"/>
  <c r="H24" i="22"/>
  <c r="E14" i="22"/>
  <c r="H10" i="22"/>
  <c r="H8" i="22"/>
  <c r="H26" i="22"/>
  <c r="H28" i="22"/>
  <c r="K20" i="22"/>
  <c r="H20" i="22"/>
  <c r="V31" i="21"/>
  <c r="D31" i="21"/>
  <c r="T10" i="22"/>
  <c r="K10" i="22"/>
  <c r="N24" i="22"/>
  <c r="E12" i="22"/>
  <c r="H16" i="22"/>
  <c r="W14" i="22"/>
  <c r="W8" i="22"/>
  <c r="Q6" i="22"/>
  <c r="M31" i="21"/>
  <c r="J31" i="21"/>
  <c r="E4" i="23"/>
  <c r="E20" i="22"/>
  <c r="K24" i="22"/>
  <c r="P31" i="21"/>
  <c r="Z10" i="22"/>
  <c r="K12" i="22"/>
  <c r="K14" i="22"/>
  <c r="N28" i="22"/>
  <c r="Y31" i="21"/>
  <c r="S31" i="21"/>
  <c r="G31" i="21"/>
  <c r="E4" i="27"/>
  <c r="J4" i="27" s="1"/>
  <c r="J4" i="20"/>
  <c r="N26" i="22"/>
  <c r="K26" i="22"/>
  <c r="E26" i="22"/>
  <c r="M33" i="21"/>
  <c r="J33" i="21"/>
  <c r="Q6" i="21"/>
  <c r="P33" i="21"/>
  <c r="E6" i="21"/>
  <c r="D33" i="21"/>
  <c r="W6" i="21"/>
  <c r="V33" i="21"/>
  <c r="Z6" i="21"/>
  <c r="Y33" i="21"/>
  <c r="T6" i="21"/>
  <c r="S33" i="21"/>
  <c r="N20" i="22"/>
  <c r="Z18" i="22"/>
  <c r="N10" i="22"/>
  <c r="Z12" i="22"/>
  <c r="H18" i="22"/>
  <c r="Q10" i="22"/>
  <c r="W10" i="22"/>
  <c r="N14" i="22"/>
  <c r="N8" i="22"/>
  <c r="G33" i="21"/>
  <c r="N6" i="21"/>
  <c r="Z20" i="22"/>
  <c r="Q12" i="22"/>
  <c r="E22" i="22"/>
  <c r="H22" i="22"/>
  <c r="Q8" i="22"/>
  <c r="H12" i="22"/>
  <c r="K6" i="22"/>
  <c r="Q14" i="22"/>
  <c r="T12" i="22"/>
  <c r="T14" i="22"/>
  <c r="W16" i="22"/>
  <c r="T16" i="22"/>
  <c r="K16" i="22"/>
  <c r="H14" i="22"/>
  <c r="T8" i="22"/>
  <c r="E28" i="22"/>
  <c r="E10" i="22"/>
  <c r="W6" i="22"/>
  <c r="H6" i="21"/>
  <c r="Z16" i="22"/>
  <c r="N16" i="22"/>
  <c r="E24" i="22"/>
  <c r="T6" i="22"/>
  <c r="W22" i="22"/>
  <c r="N22" i="22"/>
  <c r="N12" i="22"/>
  <c r="V31" i="22"/>
  <c r="Z22" i="22"/>
  <c r="Y33" i="22"/>
  <c r="K22" i="22"/>
  <c r="S31" i="22"/>
  <c r="J33" i="22"/>
  <c r="G31" i="22"/>
  <c r="G33" i="22"/>
  <c r="D33" i="22"/>
  <c r="Y31" i="22"/>
  <c r="V33" i="22"/>
  <c r="T18" i="22"/>
  <c r="S33" i="22"/>
  <c r="P31" i="22"/>
  <c r="Q18" i="22"/>
  <c r="P33" i="22"/>
  <c r="M33" i="22"/>
  <c r="M31" i="22"/>
  <c r="K18" i="22"/>
  <c r="J31" i="22"/>
  <c r="D31" i="22"/>
  <c r="E1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AH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Je nutné brát s rezervou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B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>Ivo Mraz</author>
    <author/>
    <author>Ivo Mráz</author>
  </authors>
  <commentList>
    <comment ref="E5" authorId="0" shapeId="0" xr:uid="{00000000-0006-0000-17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W12" authorId="1" shapeId="0" xr:uid="{B8D3AEA2-FBA0-4292-B268-604A05D6253B}">
      <text>
        <r>
          <rPr>
            <b/>
            <sz val="9"/>
            <color indexed="81"/>
            <rFont val="Tahoma"/>
            <family val="2"/>
            <charset val="238"/>
          </rPr>
          <t>Ivo Mraz:</t>
        </r>
        <r>
          <rPr>
            <sz val="9"/>
            <color indexed="81"/>
            <rFont val="Tahoma"/>
            <family val="2"/>
            <charset val="238"/>
          </rPr>
          <t xml:space="preserve">
Únik vody
konec 12,898
dopočet +4 m3</t>
        </r>
      </text>
    </comment>
    <comment ref="W13" authorId="1" shapeId="0" xr:uid="{EA394F0D-F90A-4F85-A00E-7E5B308A454E}">
      <text>
        <r>
          <rPr>
            <b/>
            <sz val="9"/>
            <color indexed="81"/>
            <rFont val="Tahoma"/>
            <family val="2"/>
            <charset val="238"/>
          </rPr>
          <t>Ivo Mraz:</t>
        </r>
        <r>
          <rPr>
            <sz val="9"/>
            <color indexed="81"/>
            <rFont val="Tahoma"/>
            <family val="2"/>
            <charset val="238"/>
          </rPr>
          <t xml:space="preserve">
Vadný vodoměr
konec 43,99
dopočet +4 m3</t>
        </r>
      </text>
    </comment>
    <comment ref="B15" authorId="2" shapeId="0" xr:uid="{00000000-0006-0000-1700-000002000000}">
      <text>
        <r>
          <rPr>
            <b/>
            <sz val="9"/>
            <color indexed="8"/>
            <rFont val="Tahoma"/>
            <family val="2"/>
            <charset val="238"/>
          </rPr>
          <t>bez korekce</t>
        </r>
      </text>
    </comment>
    <comment ref="C15" authorId="3" shapeId="0" xr:uid="{00000000-0006-0000-1700-000003000000}">
      <text>
        <r>
          <rPr>
            <b/>
            <sz val="9"/>
            <color indexed="81"/>
            <rFont val="Tahoma"/>
            <family val="2"/>
            <charset val="238"/>
          </rPr>
          <t>po zaokrouhlení rozpis pro vyúčtování vedle</t>
        </r>
      </text>
    </comment>
    <comment ref="R31" authorId="3" shapeId="0" xr:uid="{00000000-0006-0000-1700-000004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spotřeba starý vodoměr poškození 6.9.2022
počátek 78,6 m3
konec 80 m3</t>
        </r>
      </text>
    </comment>
    <comment ref="R32" authorId="3" shapeId="0" xr:uid="{00000000-0006-0000-1700-000005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nový vodoměr počátek 4,9 m3
konec 6,88 m3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>Ivo Mráz</author>
  </authors>
  <commentList>
    <comment ref="E5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C15" authorId="1" shapeId="0" xr:uid="{00000000-0006-0000-1600-000002000000}">
      <text>
        <r>
          <rPr>
            <b/>
            <sz val="9"/>
            <color indexed="81"/>
            <rFont val="Tahoma"/>
            <family val="2"/>
            <charset val="238"/>
          </rPr>
          <t>upravená spotřeba blíže k vodoměrům</t>
        </r>
      </text>
    </comment>
  </commentList>
</comments>
</file>

<file path=xl/sharedStrings.xml><?xml version="1.0" encoding="utf-8"?>
<sst xmlns="http://schemas.openxmlformats.org/spreadsheetml/2006/main" count="1471" uniqueCount="445">
  <si>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</si>
  <si>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</si>
  <si>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</si>
  <si>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</si>
  <si>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</si>
  <si>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</si>
  <si>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</si>
  <si>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</si>
  <si>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</si>
  <si>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</si>
  <si>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</si>
  <si>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</si>
  <si>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</si>
  <si>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</si>
  <si>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</si>
  <si>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spol.spotř.</t>
  </si>
  <si>
    <t>patní kalorimetr č./kub.m</t>
  </si>
  <si>
    <t>Nové</t>
  </si>
  <si>
    <t>číslování</t>
  </si>
  <si>
    <t>2 a 3</t>
  </si>
  <si>
    <t>5 a 6</t>
  </si>
  <si>
    <t>8 a 9</t>
  </si>
  <si>
    <t>11 a 15</t>
  </si>
  <si>
    <t>12 a 13</t>
  </si>
  <si>
    <t>VODOMĚRY TEPLÁ VODA</t>
  </si>
  <si>
    <t>Voda</t>
  </si>
  <si>
    <t>Teplo</t>
  </si>
  <si>
    <t>Elektr</t>
  </si>
  <si>
    <t>patní kalorimetr č. /kub.m</t>
  </si>
  <si>
    <t>elektroměr č.        72370871</t>
  </si>
  <si>
    <t>patní kalorimetr č.  / kub.m</t>
  </si>
  <si>
    <t>elektroměr č.        72370870</t>
  </si>
  <si>
    <t>elektroměr č.         72371793</t>
  </si>
  <si>
    <t>elektroměr č.        72370868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</si>
  <si>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</si>
  <si>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</si>
  <si>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</si>
  <si>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</si>
  <si>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</si>
  <si>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</si>
  <si>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</si>
  <si>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</si>
  <si>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</si>
  <si>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</si>
  <si>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</si>
  <si>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</si>
  <si>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</si>
  <si>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</si>
  <si>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</si>
  <si>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</si>
  <si>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</si>
  <si>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</si>
  <si>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</si>
  <si>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</si>
  <si>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</si>
  <si>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</si>
  <si>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</si>
  <si>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</si>
  <si>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</si>
  <si>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</si>
  <si>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</si>
  <si>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</si>
  <si>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</si>
  <si>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</si>
  <si>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</si>
  <si>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</si>
  <si>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</si>
  <si>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</si>
  <si>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</si>
  <si>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</si>
  <si>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</si>
  <si>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</si>
  <si>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</si>
  <si>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</si>
  <si>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</si>
  <si>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vodné</t>
  </si>
  <si>
    <t>pro domy 1850 - 1853</t>
  </si>
  <si>
    <t>2B</t>
  </si>
  <si>
    <t>3B</t>
  </si>
  <si>
    <t>5B</t>
  </si>
  <si>
    <t>6B</t>
  </si>
  <si>
    <t>8B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</si>
  <si>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</si>
  <si>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</si>
  <si>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</si>
  <si>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</si>
  <si>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</si>
  <si>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</si>
  <si>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</si>
  <si>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</si>
  <si>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</si>
  <si>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</si>
  <si>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</si>
  <si>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</si>
  <si>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</si>
  <si>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</si>
  <si>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Odběrné místo</t>
  </si>
  <si>
    <t>počátek</t>
  </si>
  <si>
    <t>konec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</si>
  <si>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</si>
  <si>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</si>
  <si>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</si>
  <si>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Pro fakturaci</t>
  </si>
  <si>
    <t>Hiršalová</t>
  </si>
  <si>
    <t>Lazarová</t>
  </si>
  <si>
    <t>Bodnarovi</t>
  </si>
  <si>
    <t>Vuová</t>
  </si>
  <si>
    <t>Písaříkovi</t>
  </si>
  <si>
    <t>vodoměr č.          190834092</t>
  </si>
  <si>
    <t>vodoměr č.          190834090</t>
  </si>
  <si>
    <t>vodoměr č.          190834097</t>
  </si>
  <si>
    <t>vodoměr č.          190834098</t>
  </si>
  <si>
    <t>vodoměr č.          190834095</t>
  </si>
  <si>
    <t>vodoměr č.          190834099</t>
  </si>
  <si>
    <t>vodoměr č.          190834102</t>
  </si>
  <si>
    <t>vodoměr č.          190834109</t>
  </si>
  <si>
    <t>vodoměr č.          191519263</t>
  </si>
  <si>
    <t>patní vodoměr č. 190976787</t>
  </si>
  <si>
    <t>fakturační vodoměr č.         63796</t>
  </si>
  <si>
    <t>vodoměr č.          190834116</t>
  </si>
  <si>
    <t>vodoměr  SV č.   190834120</t>
  </si>
  <si>
    <t>vodoměr č.          190834126</t>
  </si>
  <si>
    <t>vodoměr  SV č.   190834122</t>
  </si>
  <si>
    <t>vodoměr č.          190834119</t>
  </si>
  <si>
    <t>vodoměr  SV č.   190834112</t>
  </si>
  <si>
    <t>vodoměr č.          190834124</t>
  </si>
  <si>
    <t>vodoměr č.          190834091</t>
  </si>
  <si>
    <t>patní vodoměr č. 190976791</t>
  </si>
  <si>
    <t>vodoměr  SV č.     190834107</t>
  </si>
  <si>
    <t>vodoměr  SV č.     190834094</t>
  </si>
  <si>
    <t>vodoměr  SV č.     190834128</t>
  </si>
  <si>
    <t>vodoměr  TUV č.  190049448</t>
  </si>
  <si>
    <t>vodoměr  TUV č.  190049255</t>
  </si>
  <si>
    <t>vodoměr  TUV č.  190049234</t>
  </si>
  <si>
    <t>vodoměr  TUV č.  190049258</t>
  </si>
  <si>
    <t>vodoměr  TUV č.  190049444</t>
  </si>
  <si>
    <t>vodoměr  TUV č.  190049253</t>
  </si>
  <si>
    <t>vodoměr č.          190834115</t>
  </si>
  <si>
    <t>vodoměr č.          190834121</t>
  </si>
  <si>
    <t>vodoměr č.          190834096</t>
  </si>
  <si>
    <t>vodoměr č.          190834110</t>
  </si>
  <si>
    <t>vodoměr č.          190834127</t>
  </si>
  <si>
    <t>vodoměr č.          190834123</t>
  </si>
  <si>
    <t>vodoměr č.          190834118</t>
  </si>
  <si>
    <t>vodoměr č.          190834129</t>
  </si>
  <si>
    <t>patní vodoměr č. 190976792</t>
  </si>
  <si>
    <t>vodoměr č.          190834100</t>
  </si>
  <si>
    <t>vodoměr č.          190906789</t>
  </si>
  <si>
    <t>vodoměr č.          190906786</t>
  </si>
  <si>
    <t>vodoměr č.          190834105</t>
  </si>
  <si>
    <t>vodoměr č.          190906792</t>
  </si>
  <si>
    <t>vodoměr č.          190906795</t>
  </si>
  <si>
    <t>vodoměr č.          190834103</t>
  </si>
  <si>
    <t>vodoměr č.          190834101</t>
  </si>
  <si>
    <t>vodoměr č.          190834108</t>
  </si>
  <si>
    <t>vodoměr č.          190906953</t>
  </si>
  <si>
    <t>patní vodoměr č. 190976789</t>
  </si>
  <si>
    <t>vodoměr č.          190906992</t>
  </si>
  <si>
    <t>vodoměr č.          190906991</t>
  </si>
  <si>
    <t>vodoměr č.          190906988</t>
  </si>
  <si>
    <t xml:space="preserve">vodoměr č.          190906987   </t>
  </si>
  <si>
    <t>vodoměr č.          190906994</t>
  </si>
  <si>
    <t>vodoměr č.          190906986</t>
  </si>
  <si>
    <t>vodoměr č.          191519281</t>
  </si>
  <si>
    <t>vodoměr č.          190906990</t>
  </si>
  <si>
    <t>vodoměr č.          190906995</t>
  </si>
  <si>
    <t>patní vodoměr č. 190976793</t>
  </si>
  <si>
    <t>vodoměr č.          191519259</t>
  </si>
  <si>
    <t>vodoměr č.          191519283</t>
  </si>
  <si>
    <t>vodoměr č.          190907001</t>
  </si>
  <si>
    <t>vodoměr č.          190907005</t>
  </si>
  <si>
    <t>vodoměr č.          190907004</t>
  </si>
  <si>
    <t>vodoměr č.          190045692</t>
  </si>
  <si>
    <t>vodoměr č.          190906998</t>
  </si>
  <si>
    <t>vodoměr č.          191519269</t>
  </si>
  <si>
    <t>vodoměr č.          191519268</t>
  </si>
  <si>
    <t>vodoměr č.          190906996</t>
  </si>
  <si>
    <t>patní vodoměr č.  190544822</t>
  </si>
  <si>
    <t>vodoměr č.          190907008</t>
  </si>
  <si>
    <t>vodoměr č.          191519260</t>
  </si>
  <si>
    <t>vodoměr č.          190907023</t>
  </si>
  <si>
    <t>vodoměr č.          190907020</t>
  </si>
  <si>
    <t>vodoměr č.          190907016</t>
  </si>
  <si>
    <t>vodoměr č.          191519256</t>
  </si>
  <si>
    <t>vodoměr č.          190907024</t>
  </si>
  <si>
    <t>vodoměr č.          191519266</t>
  </si>
  <si>
    <t>vodoměr č.          190907019</t>
  </si>
  <si>
    <t>patní vodoměr č. 190976786</t>
  </si>
  <si>
    <t>vodoměr č.          190907022</t>
  </si>
  <si>
    <t>vodoměr č.          191519284</t>
  </si>
  <si>
    <t>vodoměr č.          191519282</t>
  </si>
  <si>
    <t>vodoměr č.          191519276</t>
  </si>
  <si>
    <t>vodoměr č.          191519285</t>
  </si>
  <si>
    <t>vodoměr č.          191519267</t>
  </si>
  <si>
    <t>vodoměr č.          190907014</t>
  </si>
  <si>
    <t>vodoměr č.          190907021</t>
  </si>
  <si>
    <t>vodoměr č.          190907025</t>
  </si>
  <si>
    <t>patní vodoměr č. 190976785</t>
  </si>
  <si>
    <t>byt</t>
  </si>
  <si>
    <t>spotřeby po měsících</t>
  </si>
  <si>
    <t>Vytipování vadných vodoměrů</t>
  </si>
  <si>
    <t>průměr</t>
  </si>
  <si>
    <t>xx</t>
  </si>
  <si>
    <t>TV</t>
  </si>
  <si>
    <t>kWh</t>
  </si>
  <si>
    <t>studená voda</t>
  </si>
  <si>
    <t>teplá voda</t>
  </si>
  <si>
    <t>SROVNÁVACÍ TABULKA ZBYTKU DĚLENÝCH BYTŮ - spotřeby SV a TV</t>
  </si>
  <si>
    <t>Vodom.</t>
  </si>
  <si>
    <t>SV</t>
  </si>
  <si>
    <t>vodoměr areál  č.200076532</t>
  </si>
  <si>
    <t>starý</t>
  </si>
  <si>
    <t>nový</t>
  </si>
  <si>
    <t>Reklamace - výměna</t>
  </si>
  <si>
    <t>Zahrada</t>
  </si>
  <si>
    <t>Spotřeby fakturčních vodoměrů 1 a 2</t>
  </si>
  <si>
    <t xml:space="preserve">  fakturačních vodoměrů 1 a 2</t>
  </si>
  <si>
    <t>Porovnání spotřeb vody na patách domů,</t>
  </si>
  <si>
    <t>a    zahrady</t>
  </si>
  <si>
    <t>vodoměr SV  č.      11717149</t>
  </si>
  <si>
    <t>vodoměr TV  č.      11683196</t>
  </si>
  <si>
    <t>Výměna elektroměru</t>
  </si>
  <si>
    <t>Výměna elektroměru AREÁL</t>
  </si>
  <si>
    <t>Výměna elektroměru DŮM</t>
  </si>
  <si>
    <t>Výměna kalorimetru pata</t>
  </si>
  <si>
    <t>MWh</t>
  </si>
  <si>
    <t>výr.č.</t>
  </si>
  <si>
    <t>demontáž</t>
  </si>
  <si>
    <t>montáž</t>
  </si>
  <si>
    <t>Rozdíly v předávání tepla na patním měřidle v jednotlivých domech po měsících v MJ/m3 (GJ*1000/m3)</t>
  </si>
  <si>
    <t>Faktur.1</t>
  </si>
  <si>
    <t>Faktur.2</t>
  </si>
  <si>
    <t>Celkem</t>
  </si>
  <si>
    <t>Výměna faktur.vodoměru    výr.č.</t>
  </si>
  <si>
    <t>Šmejcká</t>
  </si>
  <si>
    <t>Chvapil</t>
  </si>
  <si>
    <t>Němec</t>
  </si>
  <si>
    <t>Smola</t>
  </si>
  <si>
    <t>Bendlová</t>
  </si>
  <si>
    <t>z toho do vyúčtování</t>
  </si>
  <si>
    <t>1851/1</t>
  </si>
  <si>
    <t>1851/2</t>
  </si>
  <si>
    <t>1853/1</t>
  </si>
  <si>
    <t>1853/2</t>
  </si>
  <si>
    <t>1853/3</t>
  </si>
  <si>
    <t>1854/1</t>
  </si>
  <si>
    <t>1854/2</t>
  </si>
  <si>
    <t>1855/1</t>
  </si>
  <si>
    <t>1855/2</t>
  </si>
  <si>
    <t>1856/1</t>
  </si>
  <si>
    <t>1856/2</t>
  </si>
  <si>
    <t>1857/1</t>
  </si>
  <si>
    <t>1857/2</t>
  </si>
  <si>
    <t>1857/3</t>
  </si>
  <si>
    <t>Bez stočného</t>
  </si>
  <si>
    <t>Zahrada hlavní vod. 1857</t>
  </si>
  <si>
    <t>Kontrola:</t>
  </si>
  <si>
    <t>zaokrouhlení voda areál</t>
  </si>
  <si>
    <t>vodoměr č.          200015742</t>
  </si>
  <si>
    <t>vodoměr  TUV č.  200105142</t>
  </si>
  <si>
    <t>vodoměr  SV č.     200015745</t>
  </si>
  <si>
    <t>vodoměr  TUV č.  200105133</t>
  </si>
  <si>
    <t>vodoměr  TUV č.  200105131</t>
  </si>
  <si>
    <t>vodoměr  TUV č.  200105152</t>
  </si>
  <si>
    <t xml:space="preserve">vodoměr  SV č.     200015744 </t>
  </si>
  <si>
    <t>elektroměr č.    2080200096</t>
  </si>
  <si>
    <t>vodoměr č.          200015760</t>
  </si>
  <si>
    <t>elektroměr č.      2080200097</t>
  </si>
  <si>
    <t>elektroměr č.2080200105 dům</t>
  </si>
  <si>
    <t>elektroměr č. 2080200100 VO</t>
  </si>
  <si>
    <t>Fakturační vodoměr:      42012114941</t>
  </si>
  <si>
    <t>patní kalorimetr č. 70465263/ GJ</t>
  </si>
  <si>
    <t>patní kalorimetr č. 70465266/ GJ</t>
  </si>
  <si>
    <t>patní kalorimetr č.70465264/GJ</t>
  </si>
  <si>
    <t>patní kalorimetr č.70465265/GJ</t>
  </si>
  <si>
    <t>vodoměr č.          200015758</t>
  </si>
  <si>
    <t>Zahrada hlavní vod. 1851</t>
  </si>
  <si>
    <t>1856/3</t>
  </si>
  <si>
    <t>Baťkovi</t>
  </si>
  <si>
    <t>Kontrola</t>
  </si>
  <si>
    <t>byty 1853 bez zahrady</t>
  </si>
  <si>
    <t>zahrada</t>
  </si>
  <si>
    <t>byty</t>
  </si>
  <si>
    <t>součet pat bez zahrady</t>
  </si>
  <si>
    <t>Výměna fakturač. vodoměru</t>
  </si>
  <si>
    <t xml:space="preserve">stav: </t>
  </si>
  <si>
    <t>dne 14.2.2019</t>
  </si>
  <si>
    <t>Výměna elekroměru</t>
  </si>
  <si>
    <t>dne 13.2.2022</t>
  </si>
  <si>
    <t>číslo</t>
  </si>
  <si>
    <t>stav</t>
  </si>
  <si>
    <t>spotřeba</t>
  </si>
  <si>
    <t>Reklamace - výměna vodoměru</t>
  </si>
  <si>
    <t>3A - SV</t>
  </si>
  <si>
    <t>1852/1</t>
  </si>
  <si>
    <t>Zýmová</t>
  </si>
  <si>
    <t>Kulhánek</t>
  </si>
  <si>
    <t>Haladová</t>
  </si>
  <si>
    <t>poč.</t>
  </si>
  <si>
    <t>zahrádka</t>
  </si>
  <si>
    <t>koef.</t>
  </si>
  <si>
    <t>přepočet</t>
  </si>
  <si>
    <t>předloňský</t>
  </si>
  <si>
    <t>kalorimetr č.       71182278</t>
  </si>
  <si>
    <t>kalorimetr č.       71182225</t>
  </si>
  <si>
    <t>kalorimetr č.       71182284</t>
  </si>
  <si>
    <t>kalorimetr č.       71182235</t>
  </si>
  <si>
    <t>kalorimetr č.       71182238</t>
  </si>
  <si>
    <t>kalorimetr č.       71182269</t>
  </si>
  <si>
    <t>kalorimetr č.       71182265</t>
  </si>
  <si>
    <t>kalorimetr č.       71182245</t>
  </si>
  <si>
    <t>kalorimetr č.       71182280</t>
  </si>
  <si>
    <t>kalorimetr č.       71182243</t>
  </si>
  <si>
    <t>kalorimetr č.       71182262</t>
  </si>
  <si>
    <t>kalorimetr č.       71182271</t>
  </si>
  <si>
    <t>kalorimetr č.       71182241</t>
  </si>
  <si>
    <t>kalorimetr č.       71182237</t>
  </si>
  <si>
    <t>kalorimetr č.       71182221</t>
  </si>
  <si>
    <t>kalorimetr č.       71182276</t>
  </si>
  <si>
    <t>kalorimetr č.       71182256</t>
  </si>
  <si>
    <t>kalorimetr č.       71182279</t>
  </si>
  <si>
    <t>kalorimetr č.       71182234</t>
  </si>
  <si>
    <t>kalorimetr č.       71182233</t>
  </si>
  <si>
    <t>kalorimetr č.       71182270</t>
  </si>
  <si>
    <t>kalorimetr č.       71182274</t>
  </si>
  <si>
    <t>kalorimetr č.       71182244</t>
  </si>
  <si>
    <t>kalorimetr č.       71182251</t>
  </si>
  <si>
    <t>kalorimetr č.       71182283</t>
  </si>
  <si>
    <t>kalorimetr č.       71182277</t>
  </si>
  <si>
    <t>kalorimetr č.       71182246</t>
  </si>
  <si>
    <t>kalorimetr č.       71182282</t>
  </si>
  <si>
    <t>kalorimetr č.       71182240</t>
  </si>
  <si>
    <t>kalorimetr č.       71182275</t>
  </si>
  <si>
    <t>kalorimetr č.       71182253</t>
  </si>
  <si>
    <t>kalorimetr č.       71182217</t>
  </si>
  <si>
    <t>kalorimetr č.       71182254</t>
  </si>
  <si>
    <t>kalorimetr č.       71182267</t>
  </si>
  <si>
    <t>kalorimetr č.       71182261</t>
  </si>
  <si>
    <t>kalorimetr č.       71182272</t>
  </si>
  <si>
    <t>kalorimetr č.       71182249</t>
  </si>
  <si>
    <t>kalorimetr č.       71182281</t>
  </si>
  <si>
    <t>kalorimetr č.       71182268</t>
  </si>
  <si>
    <t>kalorimetr č.       71182259</t>
  </si>
  <si>
    <t>kalorimetr č.       71182248</t>
  </si>
  <si>
    <t>kalorimetr č.       71182258</t>
  </si>
  <si>
    <t>kalorimetr č.       71182242</t>
  </si>
  <si>
    <t>kalorimetr č.       71182255</t>
  </si>
  <si>
    <t>kalorimetr č.       71182230</t>
  </si>
  <si>
    <t>kalorimetr č.       71182247</t>
  </si>
  <si>
    <t>kalorimetr č.       71182232</t>
  </si>
  <si>
    <t>kalorimetr č.       71182228</t>
  </si>
  <si>
    <t>kalorimetr č.       71182263</t>
  </si>
  <si>
    <t>kalorimetr č.       71182224</t>
  </si>
  <si>
    <t>kalorimetr č.       71182223</t>
  </si>
  <si>
    <t>kalorimetr č.       71182236</t>
  </si>
  <si>
    <t>kalorimetr č.       71182218</t>
  </si>
  <si>
    <t>kalorimetr č.       71182273</t>
  </si>
  <si>
    <t>kalorimetr č.       71182215</t>
  </si>
  <si>
    <t>kalorimetr č.       71182220</t>
  </si>
  <si>
    <t>kalorimetr č.       71182264</t>
  </si>
  <si>
    <t>kalorimetr č.       71182231</t>
  </si>
  <si>
    <t>kalorimetr č.       71182227</t>
  </si>
  <si>
    <t>kalorimetr č.       71182250</t>
  </si>
  <si>
    <t>kalorimetr č.       71182222</t>
  </si>
  <si>
    <t>kalorimetr č.       71182219</t>
  </si>
  <si>
    <t>kalorimetr č.       71182257</t>
  </si>
  <si>
    <t>kalorimetr č.       71182260</t>
  </si>
  <si>
    <t>kalorimetr č.       71182266</t>
  </si>
  <si>
    <t>kalorimetr č.       71182229</t>
  </si>
  <si>
    <t>kalorimetr č.       71182239</t>
  </si>
  <si>
    <t>kalorimetr č.       71182226</t>
  </si>
  <si>
    <t>kalorimetr č.       71182216</t>
  </si>
  <si>
    <t>spotřeba SV byt č.3 pro vyúčt.</t>
  </si>
  <si>
    <t>spotřeba SV sklad č.11 pro vyúčt.</t>
  </si>
  <si>
    <t>CELKEM 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</si>
  <si>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</si>
  <si>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</si>
  <si>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</si>
  <si>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</si>
  <si>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</si>
  <si>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</si>
  <si>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</si>
  <si>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</si>
  <si>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</si>
  <si>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</si>
  <si>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</si>
  <si>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</si>
  <si>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Průměr</t>
  </si>
  <si>
    <t>CELKOVÝ</t>
  </si>
  <si>
    <t>CELKEM</t>
  </si>
  <si>
    <t>byt 2</t>
  </si>
  <si>
    <t>byt 5</t>
  </si>
  <si>
    <t>byt 9</t>
  </si>
  <si>
    <t>byt 15</t>
  </si>
  <si>
    <t>byt 13</t>
  </si>
  <si>
    <t>byt 3</t>
  </si>
  <si>
    <t>byt 6</t>
  </si>
  <si>
    <t>byt 8</t>
  </si>
  <si>
    <t>byt 11</t>
  </si>
  <si>
    <t>byt 12</t>
  </si>
  <si>
    <t>Podíl TV po bytech</t>
  </si>
  <si>
    <t>Podíl teplé vody na celkové spotřebě vody u dělených bytů (%)</t>
  </si>
  <si>
    <t>kalorimetr č.       71182252</t>
  </si>
  <si>
    <t>vodoměr č.          221525395</t>
  </si>
  <si>
    <t>vodoměr  SV č.   221525378</t>
  </si>
  <si>
    <t>vodoměr č.          221525380</t>
  </si>
  <si>
    <t>Podíl teplé vody na celkové spotřebě vody u dělených bytů po měsících (%)</t>
  </si>
  <si>
    <t>Průměr po měsících</t>
  </si>
  <si>
    <t>Celková spotřeba SV a TV dělených bytů po měsících v m3</t>
  </si>
  <si>
    <t>Porovnání leden 2022</t>
  </si>
  <si>
    <t>elektroměr č.     1025291034</t>
  </si>
  <si>
    <t xml:space="preserve">Dne 31.7.2023 odpojen kalor. (cejchování), </t>
  </si>
  <si>
    <t>Dne 3.8.2023 zapojen znovuzapojení,</t>
  </si>
  <si>
    <r>
      <rPr>
        <u/>
        <sz val="11"/>
        <color rgb="FF000000"/>
        <rFont val="Calibri"/>
        <family val="2"/>
        <charset val="238"/>
      </rPr>
      <t>Výměna kalorimetrů byty</t>
    </r>
    <r>
      <rPr>
        <sz val="11"/>
        <color indexed="8"/>
        <rFont val="Calibri"/>
        <family val="2"/>
        <charset val="238"/>
      </rPr>
      <t xml:space="preserve"> - demontáž/montáž </t>
    </r>
    <r>
      <rPr>
        <u/>
        <sz val="11"/>
        <color rgb="FF000000"/>
        <rFont val="Calibri"/>
        <family val="2"/>
        <charset val="238"/>
      </rPr>
      <t>2.10.2023</t>
    </r>
    <r>
      <rPr>
        <sz val="11"/>
        <color indexed="8"/>
        <rFont val="Calibri"/>
        <family val="2"/>
        <charset val="238"/>
      </rPr>
      <t xml:space="preserve"> - stav nových 0,000</t>
    </r>
  </si>
  <si>
    <t>Odečet vodárny 31.12.2023</t>
  </si>
  <si>
    <t>Porovnání leden 2023</t>
  </si>
  <si>
    <t>kalorimetr č.       71869912</t>
  </si>
  <si>
    <t>kalorimetr č.       71869914</t>
  </si>
  <si>
    <t>kalorimetr č.       71869911</t>
  </si>
  <si>
    <t>kalorimetr č.       71869913</t>
  </si>
  <si>
    <t>kalorimetr č.       71869909</t>
  </si>
  <si>
    <t>kalorimetr č.       71869918</t>
  </si>
  <si>
    <t>kalorimetr č.       71869916</t>
  </si>
  <si>
    <t>kalorimetr č.       71869910</t>
  </si>
  <si>
    <t>kalorimetr č.       71869917</t>
  </si>
  <si>
    <t>kalorimetr č.       71869915</t>
  </si>
  <si>
    <t>vodoměr č.          190907015</t>
  </si>
  <si>
    <t>patní kalorimetr č./ GJ</t>
  </si>
  <si>
    <t>patní kalorimetr č. / GJ</t>
  </si>
  <si>
    <t>Porovnání duben 2023</t>
  </si>
  <si>
    <t>79:00 hod</t>
  </si>
  <si>
    <t>17.5.2024  reset rohoží</t>
  </si>
  <si>
    <t>06:00 hod</t>
  </si>
  <si>
    <t>Původní vzorce</t>
  </si>
  <si>
    <t xml:space="preserve">Výměna vodoměru ZAHRADA </t>
  </si>
  <si>
    <t>Příští výměna 2026</t>
  </si>
  <si>
    <t>vodoměr  SV č.   200015757</t>
  </si>
  <si>
    <t>leden - listopad</t>
  </si>
  <si>
    <t>pata</t>
  </si>
  <si>
    <t>statistika</t>
  </si>
  <si>
    <t>zápočet rozdílu nových vodoměrů</t>
  </si>
  <si>
    <t>2,6 m3 dopočet rozdílu</t>
  </si>
  <si>
    <t xml:space="preserve">po zápočtu rozddílu </t>
  </si>
  <si>
    <t>1855 ve skutečnosti</t>
  </si>
  <si>
    <t>Odečet vodárny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</si>
</sst>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%"/>
    <numFmt numFmtId="167" formatCode="#,##0.0"/>
    <numFmt numFmtId="168" formatCode="#,##0.000"/>
    <numFmt numFmtId="169" formatCode="#,##0.0\ _K_č"/>
  </numFmts>
  <fonts count="50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</font>
    <font>
      <sz val="11"/>
      <color theme="0" tint="-0.34998626667073579"/>
      <name val="Calibri"/>
      <family val="2"/>
      <charset val="238"/>
    </font>
    <font>
      <sz val="11"/>
      <color indexed="8"/>
      <name val="Arial"/>
      <family val="2"/>
      <charset val="238"/>
    </font>
    <font>
      <sz val="12"/>
      <color indexed="8"/>
      <name val="Calibri"/>
      <family val="2"/>
      <charset val="238"/>
      <scheme val="minor"/>
    </font>
    <font>
      <u/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9"/>
      <color rgb="FF00B050"/>
      <name val="Arial"/>
      <family val="2"/>
      <charset val="238"/>
    </font>
    <font>
      <sz val="11"/>
      <color rgb="FF00B050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9" tint="-0.499984740745262"/>
      <name val="Calibri"/>
      <family val="2"/>
      <charset val="238"/>
    </font>
    <font>
      <sz val="14"/>
      <color theme="8" tint="0.39997558519241921"/>
      <name val="Arial"/>
      <family val="2"/>
      <charset val="238"/>
    </font>
    <font>
      <b/>
      <sz val="11"/>
      <color rgb="FFFFC000"/>
      <name val="Calibri"/>
      <family val="2"/>
      <charset val="238"/>
    </font>
    <font>
      <u/>
      <sz val="11"/>
      <color rgb="FF000000"/>
      <name val="Calibri"/>
      <family val="2"/>
      <charset val="238"/>
    </font>
    <font>
      <sz val="12"/>
      <color rgb="FFFF0000"/>
      <name val="Arial"/>
      <family val="2"/>
      <charset val="238"/>
    </font>
    <font>
      <sz val="14"/>
      <color rgb="FF00B050"/>
      <name val="Arial"/>
      <family val="2"/>
      <charset val="238"/>
    </font>
    <font>
      <b/>
      <sz val="11"/>
      <color rgb="FFFF0000"/>
      <name val="Calibri"/>
      <family val="2"/>
      <charset val="238"/>
    </font>
    <font>
      <sz val="14"/>
      <color rgb="FFFF000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33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5" xfId="0" applyFon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11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1" fontId="0" fillId="0" borderId="0" xfId="0" applyNumberFormat="1"/>
    <xf numFmtId="0" fontId="11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0" fontId="11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11" fillId="0" borderId="0" xfId="0" applyFont="1"/>
    <xf numFmtId="0" fontId="12" fillId="0" borderId="0" xfId="0" applyFont="1"/>
    <xf numFmtId="0" fontId="11" fillId="0" borderId="17" xfId="0" applyFont="1" applyBorder="1"/>
    <xf numFmtId="0" fontId="11" fillId="0" borderId="18" xfId="0" applyFont="1" applyBorder="1"/>
    <xf numFmtId="3" fontId="0" fillId="0" borderId="0" xfId="0" applyNumberFormat="1"/>
    <xf numFmtId="0" fontId="11" fillId="0" borderId="19" xfId="0" applyFont="1" applyBorder="1"/>
    <xf numFmtId="1" fontId="0" fillId="0" borderId="3" xfId="0" applyNumberFormat="1" applyBorder="1"/>
    <xf numFmtId="0" fontId="11" fillId="0" borderId="2" xfId="0" applyFont="1" applyBorder="1"/>
    <xf numFmtId="0" fontId="0" fillId="0" borderId="10" xfId="0" applyBorder="1"/>
    <xf numFmtId="165" fontId="0" fillId="0" borderId="0" xfId="0" applyNumberFormat="1"/>
    <xf numFmtId="0" fontId="14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4" fillId="0" borderId="20" xfId="0" applyFont="1" applyBorder="1"/>
    <xf numFmtId="165" fontId="14" fillId="0" borderId="20" xfId="0" applyNumberFormat="1" applyFont="1" applyBorder="1"/>
    <xf numFmtId="164" fontId="14" fillId="0" borderId="20" xfId="0" applyNumberFormat="1" applyFont="1" applyBorder="1"/>
    <xf numFmtId="1" fontId="14" fillId="0" borderId="20" xfId="0" applyNumberFormat="1" applyFont="1" applyBorder="1"/>
    <xf numFmtId="1" fontId="14" fillId="0" borderId="0" xfId="0" applyNumberFormat="1" applyFont="1"/>
    <xf numFmtId="164" fontId="14" fillId="0" borderId="0" xfId="0" applyNumberFormat="1" applyFont="1"/>
    <xf numFmtId="0" fontId="14" fillId="0" borderId="21" xfId="0" applyFont="1" applyBorder="1"/>
    <xf numFmtId="2" fontId="14" fillId="0" borderId="20" xfId="0" applyNumberFormat="1" applyFont="1" applyBorder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20" xfId="0" applyBorder="1" applyAlignment="1">
      <alignment vertical="center"/>
    </xf>
    <xf numFmtId="2" fontId="0" fillId="0" borderId="20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0" fontId="19" fillId="0" borderId="0" xfId="0" applyFont="1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164" fontId="21" fillId="3" borderId="0" xfId="0" applyNumberFormat="1" applyFont="1" applyFill="1"/>
    <xf numFmtId="164" fontId="14" fillId="3" borderId="20" xfId="0" applyNumberFormat="1" applyFont="1" applyFill="1" applyBorder="1"/>
    <xf numFmtId="0" fontId="21" fillId="3" borderId="20" xfId="0" applyFont="1" applyFill="1" applyBorder="1"/>
    <xf numFmtId="0" fontId="21" fillId="0" borderId="0" xfId="0" applyFont="1"/>
    <xf numFmtId="0" fontId="14" fillId="0" borderId="0" xfId="0" applyFont="1" applyAlignment="1">
      <alignment horizontal="center"/>
    </xf>
    <xf numFmtId="0" fontId="21" fillId="0" borderId="24" xfId="0" applyFont="1" applyBorder="1"/>
    <xf numFmtId="164" fontId="21" fillId="4" borderId="0" xfId="0" applyNumberFormat="1" applyFont="1" applyFill="1"/>
    <xf numFmtId="164" fontId="14" fillId="4" borderId="20" xfId="0" applyNumberFormat="1" applyFont="1" applyFill="1" applyBorder="1"/>
    <xf numFmtId="0" fontId="21" fillId="4" borderId="20" xfId="0" applyFont="1" applyFill="1" applyBorder="1"/>
    <xf numFmtId="164" fontId="21" fillId="2" borderId="0" xfId="0" applyNumberFormat="1" applyFont="1" applyFill="1"/>
    <xf numFmtId="164" fontId="14" fillId="2" borderId="0" xfId="0" applyNumberFormat="1" applyFont="1" applyFill="1"/>
    <xf numFmtId="0" fontId="25" fillId="0" borderId="0" xfId="1"/>
    <xf numFmtId="0" fontId="25" fillId="0" borderId="0" xfId="1" applyAlignment="1">
      <alignment horizontal="right"/>
    </xf>
    <xf numFmtId="164" fontId="22" fillId="0" borderId="1" xfId="0" applyNumberFormat="1" applyFont="1" applyBorder="1"/>
    <xf numFmtId="164" fontId="22" fillId="0" borderId="8" xfId="0" applyNumberFormat="1" applyFont="1" applyBorder="1"/>
    <xf numFmtId="1" fontId="22" fillId="0" borderId="8" xfId="0" applyNumberFormat="1" applyFont="1" applyBorder="1"/>
    <xf numFmtId="165" fontId="22" fillId="0" borderId="8" xfId="0" applyNumberFormat="1" applyFont="1" applyBorder="1"/>
    <xf numFmtId="2" fontId="22" fillId="0" borderId="8" xfId="0" applyNumberFormat="1" applyFont="1" applyBorder="1"/>
    <xf numFmtId="1" fontId="22" fillId="0" borderId="12" xfId="0" applyNumberFormat="1" applyFont="1" applyBorder="1"/>
    <xf numFmtId="0" fontId="22" fillId="0" borderId="15" xfId="0" applyFont="1" applyBorder="1"/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8" xfId="0" applyNumberFormat="1" applyBorder="1"/>
    <xf numFmtId="0" fontId="25" fillId="0" borderId="0" xfId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/>
    <xf numFmtId="164" fontId="26" fillId="0" borderId="0" xfId="0" applyNumberFormat="1" applyFont="1"/>
    <xf numFmtId="0" fontId="2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164" fontId="26" fillId="0" borderId="0" xfId="0" applyNumberFormat="1" applyFont="1" applyAlignment="1">
      <alignment vertical="center"/>
    </xf>
    <xf numFmtId="164" fontId="26" fillId="5" borderId="0" xfId="0" applyNumberFormat="1" applyFont="1" applyFill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32" xfId="0" applyNumberFormat="1" applyBorder="1"/>
    <xf numFmtId="2" fontId="27" fillId="0" borderId="0" xfId="0" applyNumberFormat="1" applyFont="1" applyAlignment="1">
      <alignment horizontal="left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3" fontId="14" fillId="0" borderId="20" xfId="0" applyNumberFormat="1" applyFont="1" applyBorder="1"/>
    <xf numFmtId="3" fontId="14" fillId="0" borderId="0" xfId="0" applyNumberFormat="1" applyFont="1"/>
    <xf numFmtId="165" fontId="14" fillId="3" borderId="20" xfId="0" applyNumberFormat="1" applyFont="1" applyFill="1" applyBorder="1"/>
    <xf numFmtId="0" fontId="0" fillId="0" borderId="0" xfId="0" applyAlignment="1">
      <alignment horizontal="right"/>
    </xf>
    <xf numFmtId="2" fontId="27" fillId="0" borderId="0" xfId="0" applyNumberFormat="1" applyFont="1" applyAlignment="1">
      <alignment vertical="center"/>
    </xf>
    <xf numFmtId="0" fontId="0" fillId="0" borderId="27" xfId="0" applyBorder="1"/>
    <xf numFmtId="0" fontId="0" fillId="0" borderId="27" xfId="0" applyBorder="1" applyAlignment="1">
      <alignment horizontal="center" vertical="center"/>
    </xf>
    <xf numFmtId="1" fontId="0" fillId="0" borderId="27" xfId="0" applyNumberFormat="1" applyBorder="1"/>
    <xf numFmtId="164" fontId="0" fillId="0" borderId="27" xfId="0" applyNumberFormat="1" applyBorder="1"/>
    <xf numFmtId="0" fontId="0" fillId="0" borderId="20" xfId="0" quotePrefix="1" applyBorder="1" applyAlignment="1">
      <alignment vertical="center"/>
    </xf>
    <xf numFmtId="164" fontId="0" fillId="0" borderId="20" xfId="0" quotePrefix="1" applyNumberForma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3" xfId="0" applyFont="1" applyBorder="1"/>
    <xf numFmtId="14" fontId="0" fillId="0" borderId="0" xfId="0" applyNumberFormat="1"/>
    <xf numFmtId="0" fontId="15" fillId="7" borderId="20" xfId="0" applyFont="1" applyFill="1" applyBorder="1"/>
    <xf numFmtId="0" fontId="15" fillId="7" borderId="20" xfId="0" applyFont="1" applyFill="1" applyBorder="1" applyAlignment="1">
      <alignment horizontal="center"/>
    </xf>
    <xf numFmtId="0" fontId="15" fillId="7" borderId="21" xfId="0" applyFont="1" applyFill="1" applyBorder="1"/>
    <xf numFmtId="0" fontId="14" fillId="7" borderId="22" xfId="0" applyFont="1" applyFill="1" applyBorder="1"/>
    <xf numFmtId="0" fontId="14" fillId="7" borderId="23" xfId="0" applyFont="1" applyFill="1" applyBorder="1"/>
    <xf numFmtId="0" fontId="14" fillId="7" borderId="21" xfId="0" applyFont="1" applyFill="1" applyBorder="1"/>
    <xf numFmtId="164" fontId="14" fillId="7" borderId="22" xfId="0" applyNumberFormat="1" applyFont="1" applyFill="1" applyBorder="1"/>
    <xf numFmtId="164" fontId="14" fillId="7" borderId="23" xfId="0" applyNumberFormat="1" applyFont="1" applyFill="1" applyBorder="1"/>
    <xf numFmtId="1" fontId="15" fillId="7" borderId="20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166" fontId="14" fillId="0" borderId="0" xfId="0" applyNumberFormat="1" applyFont="1"/>
    <xf numFmtId="0" fontId="28" fillId="0" borderId="0" xfId="0" applyFont="1" applyAlignment="1">
      <alignment horizontal="left" vertical="center" indent="1"/>
    </xf>
    <xf numFmtId="1" fontId="28" fillId="0" borderId="0" xfId="0" applyNumberFormat="1" applyFont="1"/>
    <xf numFmtId="0" fontId="13" fillId="0" borderId="0" xfId="0" applyFont="1"/>
    <xf numFmtId="0" fontId="9" fillId="0" borderId="0" xfId="1" applyFont="1"/>
    <xf numFmtId="0" fontId="9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8" fillId="0" borderId="0" xfId="1" applyFont="1"/>
    <xf numFmtId="0" fontId="7" fillId="0" borderId="0" xfId="1" applyFont="1"/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43" xfId="0" applyNumberFormat="1" applyBorder="1"/>
    <xf numFmtId="0" fontId="0" fillId="0" borderId="44" xfId="0" applyBorder="1"/>
    <xf numFmtId="164" fontId="0" fillId="0" borderId="45" xfId="0" applyNumberFormat="1" applyBorder="1"/>
    <xf numFmtId="0" fontId="0" fillId="0" borderId="42" xfId="0" applyBorder="1" applyAlignment="1">
      <alignment horizontal="center"/>
    </xf>
    <xf numFmtId="0" fontId="0" fillId="6" borderId="0" xfId="0" applyFill="1"/>
    <xf numFmtId="0" fontId="0" fillId="9" borderId="0" xfId="0" applyFill="1" applyAlignment="1">
      <alignment horizontal="center"/>
    </xf>
    <xf numFmtId="164" fontId="0" fillId="9" borderId="0" xfId="0" applyNumberFormat="1" applyFill="1"/>
    <xf numFmtId="0" fontId="30" fillId="0" borderId="0" xfId="0" applyFont="1" applyAlignment="1">
      <alignment horizontal="right"/>
    </xf>
    <xf numFmtId="164" fontId="30" fillId="9" borderId="0" xfId="0" applyNumberFormat="1" applyFont="1" applyFill="1"/>
    <xf numFmtId="0" fontId="0" fillId="0" borderId="46" xfId="0" applyBorder="1" applyAlignment="1">
      <alignment horizontal="center"/>
    </xf>
    <xf numFmtId="0" fontId="30" fillId="0" borderId="47" xfId="0" applyFont="1" applyBorder="1" applyAlignment="1">
      <alignment horizontal="center"/>
    </xf>
    <xf numFmtId="164" fontId="30" fillId="0" borderId="27" xfId="0" applyNumberFormat="1" applyFont="1" applyBorder="1"/>
    <xf numFmtId="164" fontId="30" fillId="0" borderId="44" xfId="0" applyNumberFormat="1" applyFont="1" applyBorder="1"/>
    <xf numFmtId="2" fontId="27" fillId="0" borderId="0" xfId="0" applyNumberFormat="1" applyFont="1" applyAlignment="1">
      <alignment horizontal="center" vertical="center"/>
    </xf>
    <xf numFmtId="164" fontId="31" fillId="0" borderId="44" xfId="0" applyNumberFormat="1" applyFont="1" applyBorder="1"/>
    <xf numFmtId="0" fontId="30" fillId="0" borderId="0" xfId="0" applyFont="1" applyAlignment="1">
      <alignment horizontal="center"/>
    </xf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horizontal="left" vertical="center" indent="1"/>
    </xf>
    <xf numFmtId="0" fontId="0" fillId="0" borderId="0" xfId="0" applyAlignment="1">
      <alignment horizontal="left"/>
    </xf>
    <xf numFmtId="14" fontId="0" fillId="0" borderId="27" xfId="0" applyNumberFormat="1" applyBorder="1" applyAlignment="1">
      <alignment horizontal="center" vertical="center"/>
    </xf>
    <xf numFmtId="0" fontId="11" fillId="0" borderId="53" xfId="0" applyFont="1" applyBorder="1"/>
    <xf numFmtId="164" fontId="0" fillId="0" borderId="54" xfId="0" applyNumberFormat="1" applyBorder="1"/>
    <xf numFmtId="164" fontId="0" fillId="0" borderId="55" xfId="0" applyNumberFormat="1" applyBorder="1"/>
    <xf numFmtId="0" fontId="11" fillId="0" borderId="56" xfId="0" applyFont="1" applyBorder="1"/>
    <xf numFmtId="164" fontId="0" fillId="0" borderId="57" xfId="0" applyNumberFormat="1" applyBorder="1"/>
    <xf numFmtId="164" fontId="0" fillId="0" borderId="58" xfId="0" applyNumberFormat="1" applyBorder="1"/>
    <xf numFmtId="2" fontId="0" fillId="0" borderId="27" xfId="0" applyNumberFormat="1" applyBorder="1"/>
    <xf numFmtId="14" fontId="0" fillId="0" borderId="59" xfId="0" applyNumberFormat="1" applyBorder="1" applyAlignment="1">
      <alignment horizontal="center" vertical="center"/>
    </xf>
    <xf numFmtId="0" fontId="0" fillId="0" borderId="59" xfId="0" applyBorder="1" applyAlignment="1">
      <alignment horizontal="center"/>
    </xf>
    <xf numFmtId="1" fontId="0" fillId="0" borderId="59" xfId="0" applyNumberFormat="1" applyBorder="1" applyAlignment="1">
      <alignment horizontal="center"/>
    </xf>
    <xf numFmtId="2" fontId="0" fillId="6" borderId="59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2" fontId="0" fillId="10" borderId="27" xfId="0" applyNumberFormat="1" applyFill="1" applyBorder="1"/>
    <xf numFmtId="1" fontId="0" fillId="10" borderId="27" xfId="0" applyNumberFormat="1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14" fontId="0" fillId="0" borderId="27" xfId="0" applyNumberFormat="1" applyBorder="1"/>
    <xf numFmtId="167" fontId="0" fillId="0" borderId="27" xfId="0" applyNumberFormat="1" applyBorder="1"/>
    <xf numFmtId="167" fontId="0" fillId="11" borderId="0" xfId="0" applyNumberFormat="1" applyFill="1"/>
    <xf numFmtId="168" fontId="0" fillId="0" borderId="27" xfId="0" applyNumberFormat="1" applyBorder="1"/>
    <xf numFmtId="168" fontId="0" fillId="11" borderId="0" xfId="0" applyNumberFormat="1" applyFill="1"/>
    <xf numFmtId="0" fontId="14" fillId="5" borderId="0" xfId="0" applyFont="1" applyFill="1"/>
    <xf numFmtId="0" fontId="0" fillId="5" borderId="33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6" borderId="60" xfId="0" applyFill="1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61" xfId="0" applyFill="1" applyBorder="1" applyAlignment="1">
      <alignment horizontal="left" vertical="center" indent="1"/>
    </xf>
    <xf numFmtId="14" fontId="0" fillId="6" borderId="60" xfId="0" applyNumberFormat="1" applyFill="1" applyBorder="1" applyAlignment="1">
      <alignment vertical="center"/>
    </xf>
    <xf numFmtId="0" fontId="0" fillId="6" borderId="59" xfId="0" applyFill="1" applyBorder="1" applyAlignment="1">
      <alignment horizontal="right" vertical="center"/>
    </xf>
    <xf numFmtId="0" fontId="21" fillId="5" borderId="0" xfId="0" applyFont="1" applyFill="1"/>
    <xf numFmtId="0" fontId="0" fillId="12" borderId="34" xfId="0" applyFill="1" applyBorder="1" applyAlignment="1">
      <alignment vertical="center"/>
    </xf>
    <xf numFmtId="0" fontId="0" fillId="12" borderId="35" xfId="0" applyFill="1" applyBorder="1" applyAlignment="1">
      <alignment horizontal="left" vertical="center" indent="1"/>
    </xf>
    <xf numFmtId="0" fontId="21" fillId="5" borderId="34" xfId="0" applyFont="1" applyFill="1" applyBorder="1"/>
    <xf numFmtId="14" fontId="0" fillId="6" borderId="62" xfId="0" applyNumberFormat="1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6" borderId="64" xfId="0" applyFill="1" applyBorder="1" applyAlignment="1">
      <alignment horizontal="left" vertical="center" indent="1"/>
    </xf>
    <xf numFmtId="164" fontId="26" fillId="5" borderId="34" xfId="0" applyNumberFormat="1" applyFont="1" applyFill="1" applyBorder="1" applyAlignment="1">
      <alignment vertical="center"/>
    </xf>
    <xf numFmtId="0" fontId="29" fillId="5" borderId="0" xfId="0" applyFont="1" applyFill="1" applyAlignment="1">
      <alignment horizontal="center"/>
    </xf>
    <xf numFmtId="0" fontId="33" fillId="0" borderId="0" xfId="0" applyFont="1"/>
    <xf numFmtId="0" fontId="34" fillId="0" borderId="0" xfId="0" applyFont="1"/>
    <xf numFmtId="165" fontId="14" fillId="0" borderId="0" xfId="0" applyNumberFormat="1" applyFont="1"/>
    <xf numFmtId="0" fontId="35" fillId="0" borderId="0" xfId="0" applyFont="1" applyAlignment="1">
      <alignment horizontal="right"/>
    </xf>
    <xf numFmtId="164" fontId="35" fillId="0" borderId="0" xfId="0" applyNumberFormat="1" applyFont="1"/>
    <xf numFmtId="0" fontId="0" fillId="6" borderId="32" xfId="0" applyFill="1" applyBorder="1" applyAlignment="1">
      <alignment vertical="center"/>
    </xf>
    <xf numFmtId="0" fontId="11" fillId="0" borderId="7" xfId="0" applyFont="1" applyBorder="1" applyAlignment="1">
      <alignment horizontal="right"/>
    </xf>
    <xf numFmtId="0" fontId="6" fillId="0" borderId="0" xfId="1" applyFont="1" applyAlignment="1">
      <alignment horizontal="right"/>
    </xf>
    <xf numFmtId="164" fontId="21" fillId="0" borderId="0" xfId="0" applyNumberFormat="1" applyFont="1"/>
    <xf numFmtId="164" fontId="14" fillId="3" borderId="39" xfId="0" applyNumberFormat="1" applyFont="1" applyFill="1" applyBorder="1"/>
    <xf numFmtId="0" fontId="21" fillId="3" borderId="39" xfId="0" applyFont="1" applyFill="1" applyBorder="1"/>
    <xf numFmtId="0" fontId="36" fillId="0" borderId="0" xfId="0" applyFont="1"/>
    <xf numFmtId="164" fontId="36" fillId="0" borderId="0" xfId="0" applyNumberFormat="1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64" fontId="14" fillId="11" borderId="20" xfId="0" applyNumberFormat="1" applyFont="1" applyFill="1" applyBorder="1"/>
    <xf numFmtId="164" fontId="35" fillId="11" borderId="32" xfId="0" applyNumberFormat="1" applyFont="1" applyFill="1" applyBorder="1" applyAlignment="1">
      <alignment horizontal="right" vertical="center" indent="1"/>
    </xf>
    <xf numFmtId="0" fontId="35" fillId="11" borderId="32" xfId="0" applyFont="1" applyFill="1" applyBorder="1" applyAlignment="1">
      <alignment vertical="center"/>
    </xf>
    <xf numFmtId="0" fontId="21" fillId="11" borderId="32" xfId="0" applyFont="1" applyFill="1" applyBorder="1"/>
    <xf numFmtId="0" fontId="32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4" fontId="38" fillId="0" borderId="0" xfId="0" applyNumberFormat="1" applyFont="1"/>
    <xf numFmtId="0" fontId="38" fillId="0" borderId="0" xfId="0" applyFont="1"/>
    <xf numFmtId="165" fontId="37" fillId="0" borderId="0" xfId="0" applyNumberFormat="1" applyFont="1" applyAlignment="1">
      <alignment horizontal="center"/>
    </xf>
    <xf numFmtId="0" fontId="37" fillId="0" borderId="0" xfId="0" applyFont="1"/>
    <xf numFmtId="0" fontId="5" fillId="0" borderId="0" xfId="1" applyFont="1" applyAlignment="1">
      <alignment horizontal="right"/>
    </xf>
    <xf numFmtId="0" fontId="5" fillId="0" borderId="0" xfId="1" applyFon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0" fillId="0" borderId="65" xfId="0" applyBorder="1" applyAlignment="1">
      <alignment horizontal="right" vertical="center"/>
    </xf>
    <xf numFmtId="0" fontId="28" fillId="0" borderId="65" xfId="0" applyFont="1" applyBorder="1" applyAlignment="1">
      <alignment horizontal="right"/>
    </xf>
    <xf numFmtId="0" fontId="28" fillId="0" borderId="0" xfId="0" applyFont="1" applyAlignment="1">
      <alignment vertical="center"/>
    </xf>
    <xf numFmtId="0" fontId="28" fillId="0" borderId="32" xfId="0" applyFont="1" applyBorder="1" applyAlignment="1">
      <alignment vertical="center"/>
    </xf>
    <xf numFmtId="164" fontId="28" fillId="0" borderId="0" xfId="0" applyNumberFormat="1" applyFont="1"/>
    <xf numFmtId="0" fontId="0" fillId="6" borderId="66" xfId="0" applyFill="1" applyBorder="1" applyAlignment="1">
      <alignment vertical="center"/>
    </xf>
    <xf numFmtId="164" fontId="28" fillId="0" borderId="32" xfId="0" applyNumberFormat="1" applyFont="1" applyBorder="1"/>
    <xf numFmtId="10" fontId="28" fillId="0" borderId="0" xfId="0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0" fillId="0" borderId="32" xfId="0" applyBorder="1"/>
    <xf numFmtId="0" fontId="0" fillId="0" borderId="32" xfId="0" applyBorder="1" applyAlignment="1">
      <alignment horizontal="right"/>
    </xf>
    <xf numFmtId="164" fontId="27" fillId="0" borderId="27" xfId="0" applyNumberFormat="1" applyFont="1" applyBorder="1"/>
    <xf numFmtId="0" fontId="27" fillId="0" borderId="0" xfId="0" applyFont="1"/>
    <xf numFmtId="0" fontId="40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66" fontId="40" fillId="0" borderId="0" xfId="0" applyNumberFormat="1" applyFont="1" applyAlignment="1">
      <alignment horizontal="center"/>
    </xf>
    <xf numFmtId="166" fontId="27" fillId="0" borderId="0" xfId="0" applyNumberFormat="1" applyFont="1"/>
    <xf numFmtId="0" fontId="27" fillId="0" borderId="0" xfId="0" applyFont="1" applyAlignment="1">
      <alignment horizontal="right"/>
    </xf>
    <xf numFmtId="0" fontId="41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0" fontId="40" fillId="0" borderId="0" xfId="0" applyFont="1"/>
    <xf numFmtId="164" fontId="42" fillId="0" borderId="0" xfId="0" applyNumberFormat="1" applyFont="1"/>
    <xf numFmtId="166" fontId="43" fillId="0" borderId="0" xfId="0" applyNumberFormat="1" applyFont="1"/>
    <xf numFmtId="0" fontId="43" fillId="0" borderId="0" xfId="0" applyFont="1"/>
    <xf numFmtId="0" fontId="44" fillId="0" borderId="0" xfId="0" applyFont="1" applyAlignment="1">
      <alignment horizontal="center"/>
    </xf>
    <xf numFmtId="164" fontId="27" fillId="6" borderId="27" xfId="0" applyNumberFormat="1" applyFont="1" applyFill="1" applyBorder="1"/>
    <xf numFmtId="164" fontId="0" fillId="13" borderId="8" xfId="0" applyNumberFormat="1" applyFill="1" applyBorder="1"/>
    <xf numFmtId="0" fontId="14" fillId="13" borderId="20" xfId="0" applyFont="1" applyFill="1" applyBorder="1"/>
    <xf numFmtId="0" fontId="2" fillId="0" borderId="0" xfId="1" applyFont="1" applyAlignment="1">
      <alignment horizontal="right"/>
    </xf>
    <xf numFmtId="0" fontId="3" fillId="0" borderId="0" xfId="1" applyFont="1"/>
    <xf numFmtId="0" fontId="5" fillId="0" borderId="0" xfId="1" applyFont="1" applyAlignment="1">
      <alignment horizontal="center"/>
    </xf>
    <xf numFmtId="164" fontId="0" fillId="0" borderId="8" xfId="0" applyNumberFormat="1" applyBorder="1" applyAlignment="1">
      <alignment horizontal="right"/>
    </xf>
    <xf numFmtId="0" fontId="46" fillId="0" borderId="0" xfId="0" applyFont="1"/>
    <xf numFmtId="49" fontId="21" fillId="0" borderId="0" xfId="0" applyNumberFormat="1" applyFont="1"/>
    <xf numFmtId="0" fontId="47" fillId="0" borderId="0" xfId="0" applyFont="1"/>
    <xf numFmtId="166" fontId="47" fillId="0" borderId="0" xfId="0" applyNumberFormat="1" applyFont="1"/>
    <xf numFmtId="1" fontId="47" fillId="0" borderId="0" xfId="0" applyNumberFormat="1" applyFont="1"/>
    <xf numFmtId="1" fontId="0" fillId="6" borderId="0" xfId="0" applyNumberFormat="1" applyFill="1"/>
    <xf numFmtId="1" fontId="14" fillId="6" borderId="20" xfId="0" applyNumberFormat="1" applyFont="1" applyFill="1" applyBorder="1"/>
    <xf numFmtId="0" fontId="48" fillId="0" borderId="0" xfId="0" applyFont="1"/>
    <xf numFmtId="165" fontId="0" fillId="0" borderId="15" xfId="0" applyNumberFormat="1" applyBorder="1"/>
    <xf numFmtId="164" fontId="31" fillId="0" borderId="0" xfId="0" applyNumberFormat="1" applyFont="1"/>
    <xf numFmtId="0" fontId="0" fillId="14" borderId="0" xfId="0" applyFill="1"/>
    <xf numFmtId="0" fontId="27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9" fontId="0" fillId="14" borderId="0" xfId="0" applyNumberFormat="1" applyFill="1"/>
    <xf numFmtId="165" fontId="0" fillId="14" borderId="0" xfId="0" applyNumberFormat="1" applyFill="1" applyAlignment="1">
      <alignment horizontal="center"/>
    </xf>
    <xf numFmtId="0" fontId="0" fillId="14" borderId="32" xfId="0" applyFill="1" applyBorder="1" applyAlignment="1">
      <alignment horizontal="center"/>
    </xf>
    <xf numFmtId="169" fontId="0" fillId="14" borderId="32" xfId="0" applyNumberFormat="1" applyFill="1" applyBorder="1"/>
    <xf numFmtId="165" fontId="0" fillId="14" borderId="32" xfId="0" applyNumberFormat="1" applyFill="1" applyBorder="1" applyAlignment="1">
      <alignment horizontal="center"/>
    </xf>
    <xf numFmtId="0" fontId="0" fillId="14" borderId="0" xfId="0" applyFill="1" applyAlignment="1">
      <alignment horizontal="right"/>
    </xf>
    <xf numFmtId="166" fontId="0" fillId="14" borderId="0" xfId="0" applyNumberFormat="1" applyFill="1" applyAlignment="1">
      <alignment horizontal="center"/>
    </xf>
    <xf numFmtId="0" fontId="27" fillId="14" borderId="0" xfId="0" applyFont="1" applyFill="1" applyAlignment="1">
      <alignment horizontal="right"/>
    </xf>
    <xf numFmtId="1" fontId="21" fillId="0" borderId="0" xfId="0" applyNumberFormat="1" applyFont="1"/>
    <xf numFmtId="165" fontId="0" fillId="5" borderId="0" xfId="0" applyNumberFormat="1" applyFill="1" applyAlignment="1">
      <alignment horizontal="center"/>
    </xf>
    <xf numFmtId="0" fontId="0" fillId="5" borderId="0" xfId="0" applyFill="1"/>
    <xf numFmtId="166" fontId="14" fillId="5" borderId="0" xfId="0" applyNumberFormat="1" applyFont="1" applyFill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50" xfId="0" applyBorder="1" applyAlignment="1">
      <alignment horizontal="right" vertical="center" indent="2"/>
    </xf>
    <xf numFmtId="0" fontId="0" fillId="0" borderId="27" xfId="0" applyBorder="1" applyAlignment="1">
      <alignment horizontal="center"/>
    </xf>
    <xf numFmtId="3" fontId="0" fillId="0" borderId="27" xfId="0" applyNumberFormat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7" fillId="14" borderId="0" xfId="0" applyFont="1" applyFill="1" applyAlignment="1">
      <alignment horizontal="center"/>
    </xf>
    <xf numFmtId="0" fontId="14" fillId="0" borderId="20" xfId="0" applyFont="1" applyBorder="1" applyAlignment="1">
      <alignment horizontal="center"/>
    </xf>
    <xf numFmtId="166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0" fontId="19" fillId="0" borderId="38" xfId="0" applyFont="1" applyBorder="1" applyAlignment="1">
      <alignment horizontal="left" vertical="center"/>
    </xf>
    <xf numFmtId="0" fontId="19" fillId="0" borderId="39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165" fontId="14" fillId="0" borderId="21" xfId="0" applyNumberFormat="1" applyFont="1" applyBorder="1" applyAlignment="1">
      <alignment horizontal="center"/>
    </xf>
    <xf numFmtId="165" fontId="14" fillId="0" borderId="22" xfId="0" applyNumberFormat="1" applyFont="1" applyBorder="1" applyAlignment="1">
      <alignment horizontal="center"/>
    </xf>
    <xf numFmtId="165" fontId="14" fillId="0" borderId="23" xfId="0" applyNumberFormat="1" applyFont="1" applyBorder="1" applyAlignment="1">
      <alignment horizontal="center"/>
    </xf>
    <xf numFmtId="165" fontId="14" fillId="4" borderId="21" xfId="0" applyNumberFormat="1" applyFont="1" applyFill="1" applyBorder="1" applyAlignment="1">
      <alignment horizontal="center"/>
    </xf>
    <xf numFmtId="165" fontId="14" fillId="4" borderId="22" xfId="0" applyNumberFormat="1" applyFont="1" applyFill="1" applyBorder="1" applyAlignment="1">
      <alignment horizontal="center"/>
    </xf>
    <xf numFmtId="165" fontId="14" fillId="4" borderId="23" xfId="0" applyNumberFormat="1" applyFont="1" applyFill="1" applyBorder="1" applyAlignment="1">
      <alignment horizontal="center"/>
    </xf>
    <xf numFmtId="0" fontId="1" fillId="0" borderId="0" xfId="1" applyFont="1" applyAlignment="1">
      <alignment horizontal="right"/>
    </xf>
    <xf numFmtId="164" fontId="0" fillId="6" borderId="0" xfId="0" applyNumberFormat="1" applyFill="1"/>
    <xf numFmtId="165" fontId="0" fillId="6" borderId="0" xfId="0" applyNumberFormat="1" applyFill="1"/>
    <xf numFmtId="0" fontId="14" fillId="6" borderId="20" xfId="0" applyFont="1" applyFill="1" applyBorder="1"/>
    <xf numFmtId="0" fontId="14" fillId="6" borderId="20" xfId="0" applyFont="1" applyFill="1" applyBorder="1" applyAlignment="1">
      <alignment horizontal="center"/>
    </xf>
    <xf numFmtId="0" fontId="14" fillId="6" borderId="0" xfId="0" applyFont="1" applyFill="1"/>
    <xf numFmtId="1" fontId="49" fillId="0" borderId="20" xfId="0" applyNumberFormat="1" applyFont="1" applyFill="1" applyBorder="1"/>
  </cellXfs>
  <cellStyles count="2">
    <cellStyle name="Normální" xfId="0" builtinId="0"/>
    <cellStyle name="normální 2" xfId="1" xr:uid="{00000000-0005-0000-0000-000001000000}"/>
  </cellStyles>
  <dxfs count="4888"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cs-CZ"/>
              <a:t>Celkový </a:t>
            </a:r>
            <a:r>
              <a:rPr lang="en-US"/>
              <a:t>Průměr po měsících</a:t>
            </a:r>
          </a:p>
        </c:rich>
      </c:tx>
      <c:layout>
        <c:manualLayout>
          <c:xMode val="edge"/>
          <c:yMode val="edge"/>
          <c:x val="0.20602777777777778"/>
          <c:y val="3.240740740740746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'1851'!$AJ$26</c:f>
              <c:strCache>
                <c:ptCount val="1"/>
                <c:pt idx="0">
                  <c:v>Průměr po měsících</c:v>
                </c:pt>
              </c:strCache>
            </c:strRef>
          </c:tx>
          <c:invertIfNegative val="0"/>
          <c:cat>
            <c:strRef>
              <c:f>'1851'!$AK$25:$AV$25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'1851'!$AK$26:$AV$26</c:f>
              <c:numCache>
                <c:formatCode>0.0%</c:formatCode>
                <c:ptCount val="12"/>
                <c:pt idx="0">
                  <c:v>0.37181067940335011</c:v>
                </c:pt>
                <c:pt idx="1">
                  <c:v>0.37412303741594266</c:v>
                </c:pt>
                <c:pt idx="2">
                  <c:v>0.36785657401174915</c:v>
                </c:pt>
                <c:pt idx="3">
                  <c:v>0.36522837045299805</c:v>
                </c:pt>
                <c:pt idx="4">
                  <c:v>0.35498222954575065</c:v>
                </c:pt>
                <c:pt idx="5">
                  <c:v>0.30623108465490101</c:v>
                </c:pt>
                <c:pt idx="6">
                  <c:v>0.28212867463539737</c:v>
                </c:pt>
                <c:pt idx="7">
                  <c:v>0.28538074525234325</c:v>
                </c:pt>
                <c:pt idx="8">
                  <c:v>0.27083778680165332</c:v>
                </c:pt>
                <c:pt idx="9">
                  <c:v>0.31470731551595771</c:v>
                </c:pt>
                <c:pt idx="10">
                  <c:v>0.37238433358181455</c:v>
                </c:pt>
                <c:pt idx="11">
                  <c:v>0.37425412200276631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C-423F-B401-34E9886F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47936"/>
        <c:axId val="86649472"/>
      </c:barChart>
      <c:catAx>
        <c:axId val="8664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649472"/>
        <c:crosses val="autoZero"/>
        <c:auto val="1"/>
        <c:lblAlgn val="ctr"/>
        <c:lblOffset val="100"/>
        <c:noMultiLvlLbl val="0"/>
      </c:catAx>
      <c:valAx>
        <c:axId val="866494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664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633569680194641E-2"/>
          <c:y val="2.633233952552055E-2"/>
          <c:w val="0.74233894920438315"/>
          <c:h val="0.85508787129764119"/>
        </c:manualLayout>
      </c:layout>
      <c:lineChart>
        <c:grouping val="standard"/>
        <c:varyColors val="0"/>
        <c:ser>
          <c:idx val="3"/>
          <c:order val="0"/>
          <c:tx>
            <c:strRef>
              <c:f>'1851'!$AJ$6</c:f>
              <c:strCache>
                <c:ptCount val="1"/>
                <c:pt idx="0">
                  <c:v>byt 2</c:v>
                </c:pt>
              </c:strCache>
            </c:strRef>
          </c:tx>
          <c:marker>
            <c:symbol val="none"/>
          </c:marker>
          <c:val>
            <c:numRef>
              <c:f>'1851'!$AK$6:$AV$6</c:f>
              <c:numCache>
                <c:formatCode>0.0%</c:formatCode>
                <c:ptCount val="12"/>
                <c:pt idx="0">
                  <c:v>0.4542253521126754</c:v>
                </c:pt>
                <c:pt idx="1">
                  <c:v>0.43502091446704383</c:v>
                </c:pt>
                <c:pt idx="2">
                  <c:v>0.40902872777017779</c:v>
                </c:pt>
                <c:pt idx="3">
                  <c:v>0.39769801605330757</c:v>
                </c:pt>
                <c:pt idx="4">
                  <c:v>0.36810139952469334</c:v>
                </c:pt>
                <c:pt idx="5">
                  <c:v>0.30140343060814856</c:v>
                </c:pt>
                <c:pt idx="6">
                  <c:v>0.24953902888752522</c:v>
                </c:pt>
                <c:pt idx="7">
                  <c:v>0.23968312453942306</c:v>
                </c:pt>
                <c:pt idx="8">
                  <c:v>0.28484364072335011</c:v>
                </c:pt>
                <c:pt idx="9">
                  <c:v>0.29316175089235363</c:v>
                </c:pt>
                <c:pt idx="10">
                  <c:v>0.35103847463397875</c:v>
                </c:pt>
                <c:pt idx="11">
                  <c:v>0.34352100089365506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4F1B-918F-5B66F3B589FF}"/>
            </c:ext>
          </c:extLst>
        </c:ser>
        <c:ser>
          <c:idx val="1"/>
          <c:order val="1"/>
          <c:tx>
            <c:strRef>
              <c:f>'1851'!$AJ$12</c:f>
              <c:strCache>
                <c:ptCount val="1"/>
                <c:pt idx="0">
                  <c:v>byt 9</c:v>
                </c:pt>
              </c:strCache>
            </c:strRef>
          </c:tx>
          <c:marker>
            <c:symbol val="none"/>
          </c:marker>
          <c:val>
            <c:numRef>
              <c:f>'1851'!$AK$12:$AV$12</c:f>
              <c:numCache>
                <c:formatCode>0.0%</c:formatCode>
                <c:ptCount val="12"/>
                <c:pt idx="0">
                  <c:v>0.22121212121212236</c:v>
                </c:pt>
                <c:pt idx="1">
                  <c:v>0.23349991383767038</c:v>
                </c:pt>
                <c:pt idx="2">
                  <c:v>0.20961117196056878</c:v>
                </c:pt>
                <c:pt idx="3">
                  <c:v>0.20764784348599322</c:v>
                </c:pt>
                <c:pt idx="4">
                  <c:v>0.20639390425708268</c:v>
                </c:pt>
                <c:pt idx="5">
                  <c:v>0.1967381722009994</c:v>
                </c:pt>
                <c:pt idx="6">
                  <c:v>0.17489579993587634</c:v>
                </c:pt>
                <c:pt idx="7">
                  <c:v>0.14279119864594647</c:v>
                </c:pt>
                <c:pt idx="8">
                  <c:v>0.17267970256127591</c:v>
                </c:pt>
                <c:pt idx="9">
                  <c:v>0.22653475393201558</c:v>
                </c:pt>
                <c:pt idx="10">
                  <c:v>0.41176470588225461</c:v>
                </c:pt>
                <c:pt idx="11">
                  <c:v>0.47435897435897434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7-4F1B-918F-5B66F3B589FF}"/>
            </c:ext>
          </c:extLst>
        </c:ser>
        <c:ser>
          <c:idx val="2"/>
          <c:order val="2"/>
          <c:tx>
            <c:strRef>
              <c:f>'1851'!$AJ$14</c:f>
              <c:strCache>
                <c:ptCount val="1"/>
                <c:pt idx="0">
                  <c:v>byt 15</c:v>
                </c:pt>
              </c:strCache>
            </c:strRef>
          </c:tx>
          <c:marker>
            <c:symbol val="none"/>
          </c:marker>
          <c:val>
            <c:numRef>
              <c:f>'1851'!$AK$14:$AV$14</c:f>
              <c:numCache>
                <c:formatCode>0.0%</c:formatCode>
                <c:ptCount val="12"/>
                <c:pt idx="0">
                  <c:v>0.55207904487443682</c:v>
                </c:pt>
                <c:pt idx="1">
                  <c:v>0.63882163034705119</c:v>
                </c:pt>
                <c:pt idx="2">
                  <c:v>0.58425348055689008</c:v>
                </c:pt>
                <c:pt idx="3">
                  <c:v>0.59510791366906435</c:v>
                </c:pt>
                <c:pt idx="4">
                  <c:v>0.50303030303030027</c:v>
                </c:pt>
                <c:pt idx="5">
                  <c:v>0.39530062197650423</c:v>
                </c:pt>
                <c:pt idx="6">
                  <c:v>0.46694214876033191</c:v>
                </c:pt>
                <c:pt idx="7">
                  <c:v>0.45486111111110961</c:v>
                </c:pt>
                <c:pt idx="8">
                  <c:v>0.3129770992366453</c:v>
                </c:pt>
                <c:pt idx="9">
                  <c:v>0.34020124580737998</c:v>
                </c:pt>
                <c:pt idx="10">
                  <c:v>0.4575140449438217</c:v>
                </c:pt>
                <c:pt idx="11">
                  <c:v>0.46222442407728515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7-4F1B-918F-5B66F3B589FF}"/>
            </c:ext>
          </c:extLst>
        </c:ser>
        <c:ser>
          <c:idx val="4"/>
          <c:order val="3"/>
          <c:tx>
            <c:strRef>
              <c:f>'1851'!$AJ$18</c:f>
              <c:strCache>
                <c:ptCount val="1"/>
                <c:pt idx="0">
                  <c:v>byt 13</c:v>
                </c:pt>
              </c:strCache>
            </c:strRef>
          </c:tx>
          <c:marker>
            <c:symbol val="none"/>
          </c:marker>
          <c:val>
            <c:numRef>
              <c:f>'1851'!$AK$18:$AV$18</c:f>
              <c:numCache>
                <c:formatCode>0.0%</c:formatCode>
                <c:ptCount val="12"/>
                <c:pt idx="0">
                  <c:v>0.41912760769439289</c:v>
                </c:pt>
                <c:pt idx="1">
                  <c:v>0.44720138488170796</c:v>
                </c:pt>
                <c:pt idx="2">
                  <c:v>0.43557119653491971</c:v>
                </c:pt>
                <c:pt idx="3">
                  <c:v>0.463929482718626</c:v>
                </c:pt>
                <c:pt idx="4">
                  <c:v>0.4394106003958681</c:v>
                </c:pt>
                <c:pt idx="5">
                  <c:v>0.40835117773019181</c:v>
                </c:pt>
                <c:pt idx="6">
                  <c:v>0.32992327365729002</c:v>
                </c:pt>
                <c:pt idx="7">
                  <c:v>0.46376281112737783</c:v>
                </c:pt>
                <c:pt idx="8">
                  <c:v>0.33506543494996249</c:v>
                </c:pt>
                <c:pt idx="9">
                  <c:v>0.44240477283157309</c:v>
                </c:pt>
                <c:pt idx="10">
                  <c:v>0.48143654452790691</c:v>
                </c:pt>
                <c:pt idx="11">
                  <c:v>0.36065169094050853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7-4F1B-918F-5B66F3B589FF}"/>
            </c:ext>
          </c:extLst>
        </c:ser>
        <c:ser>
          <c:idx val="5"/>
          <c:order val="4"/>
          <c:tx>
            <c:strRef>
              <c:f>'1851'!$AJ$54</c:f>
              <c:strCache>
                <c:ptCount val="1"/>
                <c:pt idx="0">
                  <c:v>byt 3</c:v>
                </c:pt>
              </c:strCache>
            </c:strRef>
          </c:tx>
          <c:marker>
            <c:symbol val="none"/>
          </c:marker>
          <c:val>
            <c:numRef>
              <c:f>'1851'!$AK$54:$AV$54</c:f>
              <c:numCache>
                <c:formatCode>0.0%</c:formatCode>
                <c:ptCount val="12"/>
                <c:pt idx="0">
                  <c:v>0.33860759493671155</c:v>
                </c:pt>
                <c:pt idx="1">
                  <c:v>0.33854667949951633</c:v>
                </c:pt>
                <c:pt idx="2">
                  <c:v>0.34734356552538342</c:v>
                </c:pt>
                <c:pt idx="3">
                  <c:v>0.34178207473216932</c:v>
                </c:pt>
                <c:pt idx="4">
                  <c:v>0.32891598197720545</c:v>
                </c:pt>
                <c:pt idx="5">
                  <c:v>0.33223684210526511</c:v>
                </c:pt>
                <c:pt idx="6">
                  <c:v>0.31675627240143495</c:v>
                </c:pt>
                <c:pt idx="7">
                  <c:v>0.29296740994853482</c:v>
                </c:pt>
                <c:pt idx="8">
                  <c:v>0.3276785714285782</c:v>
                </c:pt>
                <c:pt idx="9">
                  <c:v>0.32915831663326556</c:v>
                </c:pt>
                <c:pt idx="10">
                  <c:v>0.38172877846791153</c:v>
                </c:pt>
                <c:pt idx="11">
                  <c:v>0.3768073177928592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7-4F1B-918F-5B66F3B589FF}"/>
            </c:ext>
          </c:extLst>
        </c:ser>
        <c:ser>
          <c:idx val="6"/>
          <c:order val="5"/>
          <c:tx>
            <c:strRef>
              <c:f>'1851'!$AJ$56</c:f>
              <c:strCache>
                <c:ptCount val="1"/>
                <c:pt idx="0">
                  <c:v>byt 6</c:v>
                </c:pt>
              </c:strCache>
            </c:strRef>
          </c:tx>
          <c:marker>
            <c:symbol val="none"/>
          </c:marker>
          <c:val>
            <c:numRef>
              <c:f>'1851'!$AK$56:$AV$56</c:f>
              <c:numCache>
                <c:formatCode>0.0%</c:formatCode>
                <c:ptCount val="12"/>
                <c:pt idx="0">
                  <c:v>0.35256410256409493</c:v>
                </c:pt>
                <c:pt idx="1">
                  <c:v>0.32188139059305043</c:v>
                </c:pt>
                <c:pt idx="2">
                  <c:v>0.34511243689766352</c:v>
                </c:pt>
                <c:pt idx="3">
                  <c:v>0.33208955223880005</c:v>
                </c:pt>
                <c:pt idx="4">
                  <c:v>0.31080687445383326</c:v>
                </c:pt>
                <c:pt idx="5">
                  <c:v>0.27614795918366669</c:v>
                </c:pt>
                <c:pt idx="6">
                  <c:v>0.18580581567273882</c:v>
                </c:pt>
                <c:pt idx="7">
                  <c:v>0.11940298507462968</c:v>
                </c:pt>
                <c:pt idx="8">
                  <c:v>0.16253644314868732</c:v>
                </c:pt>
                <c:pt idx="9">
                  <c:v>0.30599369085174416</c:v>
                </c:pt>
                <c:pt idx="10">
                  <c:v>0.34743474347432995</c:v>
                </c:pt>
                <c:pt idx="11">
                  <c:v>0.41916558018252936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7-4F1B-918F-5B66F3B589FF}"/>
            </c:ext>
          </c:extLst>
        </c:ser>
        <c:ser>
          <c:idx val="7"/>
          <c:order val="6"/>
          <c:tx>
            <c:strRef>
              <c:f>'1851'!$AJ$58</c:f>
              <c:strCache>
                <c:ptCount val="1"/>
                <c:pt idx="0">
                  <c:v>byt 8</c:v>
                </c:pt>
              </c:strCache>
            </c:strRef>
          </c:tx>
          <c:marker>
            <c:symbol val="none"/>
          </c:marker>
          <c:val>
            <c:numRef>
              <c:f>'1851'!$AK$58:$AV$58</c:f>
              <c:numCache>
                <c:formatCode>0.0%</c:formatCode>
                <c:ptCount val="12"/>
                <c:pt idx="0">
                  <c:v>0.32790005948839973</c:v>
                </c:pt>
                <c:pt idx="1">
                  <c:v>0.36993186641349168</c:v>
                </c:pt>
                <c:pt idx="2">
                  <c:v>0.35843793584379458</c:v>
                </c:pt>
                <c:pt idx="3">
                  <c:v>0.35007044959651573</c:v>
                </c:pt>
                <c:pt idx="4">
                  <c:v>0.35425126122800621</c:v>
                </c:pt>
                <c:pt idx="5">
                  <c:v>0.32117568470273772</c:v>
                </c:pt>
                <c:pt idx="6">
                  <c:v>0.28732256485560426</c:v>
                </c:pt>
                <c:pt idx="7">
                  <c:v>0.25942658557775783</c:v>
                </c:pt>
                <c:pt idx="8">
                  <c:v>0.30795326045985694</c:v>
                </c:pt>
                <c:pt idx="9">
                  <c:v>0.30448636247769678</c:v>
                </c:pt>
                <c:pt idx="10">
                  <c:v>0.31839961667465394</c:v>
                </c:pt>
                <c:pt idx="11">
                  <c:v>0.33809633556118918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7-4F1B-918F-5B66F3B589FF}"/>
            </c:ext>
          </c:extLst>
        </c:ser>
        <c:ser>
          <c:idx val="8"/>
          <c:order val="7"/>
          <c:tx>
            <c:strRef>
              <c:f>'1851'!$AJ$60</c:f>
              <c:strCache>
                <c:ptCount val="1"/>
                <c:pt idx="0">
                  <c:v>byt 11</c:v>
                </c:pt>
              </c:strCache>
            </c:strRef>
          </c:tx>
          <c:marker>
            <c:symbol val="none"/>
          </c:marker>
          <c:val>
            <c:numRef>
              <c:f>'1851'!$AK$60:$AV$60</c:f>
              <c:numCache>
                <c:formatCode>0.0%</c:formatCode>
                <c:ptCount val="12"/>
                <c:pt idx="0">
                  <c:v>0.39759036144578341</c:v>
                </c:pt>
                <c:pt idx="1">
                  <c:v>0.36947791164659211</c:v>
                </c:pt>
                <c:pt idx="2">
                  <c:v>0.3677148846960166</c:v>
                </c:pt>
                <c:pt idx="3">
                  <c:v>0.33810526315789458</c:v>
                </c:pt>
                <c:pt idx="4">
                  <c:v>0.39232781168265152</c:v>
                </c:pt>
                <c:pt idx="5">
                  <c:v>0.29875986471251459</c:v>
                </c:pt>
                <c:pt idx="6">
                  <c:v>0.29695619896065195</c:v>
                </c:pt>
                <c:pt idx="7">
                  <c:v>0.32438650306748557</c:v>
                </c:pt>
                <c:pt idx="8">
                  <c:v>0.30331753554502355</c:v>
                </c:pt>
                <c:pt idx="9">
                  <c:v>0.32320162107396111</c:v>
                </c:pt>
                <c:pt idx="10">
                  <c:v>0.28783382789317613</c:v>
                </c:pt>
                <c:pt idx="11">
                  <c:v>0.40068069306930687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7-4F1B-918F-5B66F3B589FF}"/>
            </c:ext>
          </c:extLst>
        </c:ser>
        <c:ser>
          <c:idx val="9"/>
          <c:order val="8"/>
          <c:tx>
            <c:strRef>
              <c:f>'1851'!$AJ$62</c:f>
              <c:strCache>
                <c:ptCount val="1"/>
                <c:pt idx="0">
                  <c:v>byt 12</c:v>
                </c:pt>
              </c:strCache>
            </c:strRef>
          </c:tx>
          <c:marker>
            <c:symbol val="none"/>
          </c:marker>
          <c:val>
            <c:numRef>
              <c:f>'1851'!$AK$62:$AV$62</c:f>
              <c:numCache>
                <c:formatCode>0.0%</c:formatCode>
                <c:ptCount val="12"/>
                <c:pt idx="0">
                  <c:v>0.39793241783675293</c:v>
                </c:pt>
                <c:pt idx="1">
                  <c:v>0.38924731182795758</c:v>
                </c:pt>
                <c:pt idx="2">
                  <c:v>0.41437259923175268</c:v>
                </c:pt>
                <c:pt idx="3">
                  <c:v>0.40303670959062221</c:v>
                </c:pt>
                <c:pt idx="4">
                  <c:v>0.43312708234174058</c:v>
                </c:pt>
                <c:pt idx="5">
                  <c:v>0.30168634064081007</c:v>
                </c:pt>
                <c:pt idx="6">
                  <c:v>0.29204737732656516</c:v>
                </c:pt>
                <c:pt idx="7">
                  <c:v>0.34234234234234268</c:v>
                </c:pt>
                <c:pt idx="8">
                  <c:v>0.30210237659963529</c:v>
                </c:pt>
                <c:pt idx="9">
                  <c:v>0.36947162426614311</c:v>
                </c:pt>
                <c:pt idx="10">
                  <c:v>0.47080979284362739</c:v>
                </c:pt>
                <c:pt idx="11">
                  <c:v>0.31611945223560467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F7-4F1B-918F-5B66F3B589FF}"/>
            </c:ext>
          </c:extLst>
        </c:ser>
        <c:ser>
          <c:idx val="0"/>
          <c:order val="9"/>
          <c:tx>
            <c:strRef>
              <c:f>'1851'!$AJ$8</c:f>
              <c:strCache>
                <c:ptCount val="1"/>
                <c:pt idx="0">
                  <c:v>byt 5</c:v>
                </c:pt>
              </c:strCache>
            </c:strRef>
          </c:tx>
          <c:marker>
            <c:symbol val="none"/>
          </c:marker>
          <c:val>
            <c:numRef>
              <c:f>'1851'!$AK$8:$AV$8</c:f>
              <c:numCache>
                <c:formatCode>0.0%</c:formatCode>
                <c:ptCount val="12"/>
                <c:pt idx="0">
                  <c:v>0.25686813186813112</c:v>
                </c:pt>
                <c:pt idx="1">
                  <c:v>0.19760137064534541</c:v>
                </c:pt>
                <c:pt idx="2">
                  <c:v>0.20711974110032388</c:v>
                </c:pt>
                <c:pt idx="3">
                  <c:v>0.22281639928698754</c:v>
                </c:pt>
                <c:pt idx="4">
                  <c:v>0.21345707656612442</c:v>
                </c:pt>
                <c:pt idx="5">
                  <c:v>0.23051075268817209</c:v>
                </c:pt>
                <c:pt idx="6">
                  <c:v>0.22109826589595438</c:v>
                </c:pt>
                <c:pt idx="7">
                  <c:v>0.21418338108882526</c:v>
                </c:pt>
                <c:pt idx="8">
                  <c:v>0.19922380336351828</c:v>
                </c:pt>
                <c:pt idx="9">
                  <c:v>0.21245901639344389</c:v>
                </c:pt>
                <c:pt idx="10">
                  <c:v>0.21588280647648497</c:v>
                </c:pt>
                <c:pt idx="11">
                  <c:v>0.25091575091575086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F7-4F1B-918F-5B66F3B58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9120"/>
        <c:axId val="133510656"/>
      </c:lineChart>
      <c:catAx>
        <c:axId val="13350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510656"/>
        <c:crosses val="autoZero"/>
        <c:auto val="1"/>
        <c:lblAlgn val="ctr"/>
        <c:lblOffset val="100"/>
        <c:noMultiLvlLbl val="0"/>
      </c:catAx>
      <c:valAx>
        <c:axId val="13351065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33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297222222222234"/>
          <c:y val="4.0706838728492303E-2"/>
          <c:w val="0.11884430176565018"/>
          <c:h val="0.78027673725250368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19781332364819E-2"/>
          <c:y val="8.363479988730238E-2"/>
          <c:w val="0.88423248980669689"/>
          <c:h val="0.83273040022539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'1851'!$AJ$46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'1851'!$AK$46:$AW$46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9-4B69-B319-6912289E94D6}"/>
            </c:ext>
          </c:extLst>
        </c:ser>
        <c:ser>
          <c:idx val="1"/>
          <c:order val="1"/>
          <c:tx>
            <c:strRef>
              <c:f>'1851'!$AJ$47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'1851'!$AK$47:$AV$47</c:f>
              <c:numCache>
                <c:formatCode>0.000</c:formatCode>
                <c:ptCount val="12"/>
                <c:pt idx="0">
                  <c:v>16.34500000000002</c:v>
                </c:pt>
                <c:pt idx="1">
                  <c:v>15.61999999999999</c:v>
                </c:pt>
                <c:pt idx="2">
                  <c:v>16.50399999999998</c:v>
                </c:pt>
                <c:pt idx="3">
                  <c:v>15.856000000000041</c:v>
                </c:pt>
                <c:pt idx="4">
                  <c:v>13.292999999999992</c:v>
                </c:pt>
                <c:pt idx="5">
                  <c:v>11.717999999999986</c:v>
                </c:pt>
                <c:pt idx="6">
                  <c:v>8.8739999999999775</c:v>
                </c:pt>
                <c:pt idx="7">
                  <c:v>9.6359999999999886</c:v>
                </c:pt>
                <c:pt idx="8">
                  <c:v>12.012000000000008</c:v>
                </c:pt>
                <c:pt idx="9">
                  <c:v>13.468000000000032</c:v>
                </c:pt>
                <c:pt idx="10">
                  <c:v>14.03299999999836</c:v>
                </c:pt>
                <c:pt idx="11">
                  <c:v>17.658999999999999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9-4B69-B319-6912289E94D6}"/>
            </c:ext>
          </c:extLst>
        </c:ser>
        <c:ser>
          <c:idx val="2"/>
          <c:order val="2"/>
          <c:tx>
            <c:v>SV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'1851'!$AK$48:$AV$48</c:f>
              <c:numCache>
                <c:formatCode>0.000</c:formatCode>
                <c:ptCount val="12"/>
                <c:pt idx="0">
                  <c:v>27.637000000000015</c:v>
                </c:pt>
                <c:pt idx="1">
                  <c:v>26.193999999999978</c:v>
                </c:pt>
                <c:pt idx="2">
                  <c:v>29.391999999999985</c:v>
                </c:pt>
                <c:pt idx="3">
                  <c:v>27.515000000000079</c:v>
                </c:pt>
                <c:pt idx="4">
                  <c:v>25.133999999999901</c:v>
                </c:pt>
                <c:pt idx="5">
                  <c:v>27.004000000000051</c:v>
                </c:pt>
                <c:pt idx="6">
                  <c:v>24.079999999999952</c:v>
                </c:pt>
                <c:pt idx="7">
                  <c:v>25.2970000000001</c:v>
                </c:pt>
                <c:pt idx="8">
                  <c:v>30.685999999999904</c:v>
                </c:pt>
                <c:pt idx="9">
                  <c:v>28.927000000000017</c:v>
                </c:pt>
                <c:pt idx="10">
                  <c:v>22.562000000000037</c:v>
                </c:pt>
                <c:pt idx="11">
                  <c:v>30.571000000000002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9-4B69-B319-6912289E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34199552"/>
        <c:axId val="134216320"/>
      </c:barChart>
      <c:catAx>
        <c:axId val="134199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4216320"/>
        <c:crosses val="autoZero"/>
        <c:auto val="1"/>
        <c:lblAlgn val="ctr"/>
        <c:lblOffset val="100"/>
        <c:noMultiLvlLbl val="0"/>
      </c:catAx>
      <c:valAx>
        <c:axId val="1342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41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'1851'!$AJ$46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'1851'!$AK$46:$AW$46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E-40E4-BD36-7FF879027D5C}"/>
            </c:ext>
          </c:extLst>
        </c:ser>
        <c:ser>
          <c:idx val="1"/>
          <c:order val="1"/>
          <c:tx>
            <c:strRef>
              <c:f>'1851'!$AJ$47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'1851'!$AK$47:$AV$47</c:f>
              <c:numCache>
                <c:formatCode>0.000</c:formatCode>
                <c:ptCount val="12"/>
                <c:pt idx="0">
                  <c:v>16.34500000000002</c:v>
                </c:pt>
                <c:pt idx="1">
                  <c:v>15.61999999999999</c:v>
                </c:pt>
                <c:pt idx="2">
                  <c:v>16.50399999999998</c:v>
                </c:pt>
                <c:pt idx="3">
                  <c:v>15.856000000000041</c:v>
                </c:pt>
                <c:pt idx="4">
                  <c:v>13.292999999999992</c:v>
                </c:pt>
                <c:pt idx="5">
                  <c:v>11.717999999999986</c:v>
                </c:pt>
                <c:pt idx="6">
                  <c:v>8.8739999999999775</c:v>
                </c:pt>
                <c:pt idx="7">
                  <c:v>9.6359999999999886</c:v>
                </c:pt>
                <c:pt idx="8">
                  <c:v>12.012000000000008</c:v>
                </c:pt>
                <c:pt idx="9">
                  <c:v>13.468000000000032</c:v>
                </c:pt>
                <c:pt idx="10">
                  <c:v>14.03299999999836</c:v>
                </c:pt>
                <c:pt idx="11">
                  <c:v>17.658999999999999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E-40E4-BD36-7FF879027D5C}"/>
            </c:ext>
          </c:extLst>
        </c:ser>
        <c:ser>
          <c:idx val="2"/>
          <c:order val="2"/>
          <c:tx>
            <c:v>SV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'1851'!$AK$48:$AV$48</c:f>
              <c:numCache>
                <c:formatCode>0.000</c:formatCode>
                <c:ptCount val="12"/>
                <c:pt idx="0">
                  <c:v>27.637000000000015</c:v>
                </c:pt>
                <c:pt idx="1">
                  <c:v>26.193999999999978</c:v>
                </c:pt>
                <c:pt idx="2">
                  <c:v>29.391999999999985</c:v>
                </c:pt>
                <c:pt idx="3">
                  <c:v>27.515000000000079</c:v>
                </c:pt>
                <c:pt idx="4">
                  <c:v>25.133999999999901</c:v>
                </c:pt>
                <c:pt idx="5">
                  <c:v>27.004000000000051</c:v>
                </c:pt>
                <c:pt idx="6">
                  <c:v>24.079999999999952</c:v>
                </c:pt>
                <c:pt idx="7">
                  <c:v>25.2970000000001</c:v>
                </c:pt>
                <c:pt idx="8">
                  <c:v>30.685999999999904</c:v>
                </c:pt>
                <c:pt idx="9">
                  <c:v>28.927000000000017</c:v>
                </c:pt>
                <c:pt idx="10">
                  <c:v>22.562000000000037</c:v>
                </c:pt>
                <c:pt idx="11">
                  <c:v>30.571000000000002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5E-40E4-BD36-7FF87902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623808"/>
        <c:axId val="141513472"/>
      </c:barChart>
      <c:catAx>
        <c:axId val="139623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513472"/>
        <c:crosses val="autoZero"/>
        <c:auto val="1"/>
        <c:lblAlgn val="ctr"/>
        <c:lblOffset val="100"/>
        <c:noMultiLvlLbl val="0"/>
      </c:catAx>
      <c:valAx>
        <c:axId val="141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96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870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-12.511999999999972</c:v>
                </c:pt>
                <c:pt idx="1">
                  <c:v>29.645999999999951</c:v>
                </c:pt>
                <c:pt idx="2">
                  <c:v>-10.197999999999965</c:v>
                </c:pt>
                <c:pt idx="3">
                  <c:v>0.68499999999998806</c:v>
                </c:pt>
                <c:pt idx="4">
                  <c:v>13.907000000000007</c:v>
                </c:pt>
                <c:pt idx="5">
                  <c:v>11.594999999999892</c:v>
                </c:pt>
                <c:pt idx="6">
                  <c:v>4.1249999999998899</c:v>
                </c:pt>
                <c:pt idx="7">
                  <c:v>6.5920000000000059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4E83-829A-FDC5E6DA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2147968"/>
        <c:axId val="142149504"/>
      </c:barChart>
      <c:catAx>
        <c:axId val="1421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95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214950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796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-7.7873903031057262E-2</c:v>
                </c:pt>
                <c:pt idx="1">
                  <c:v>0.12490941265694765</c:v>
                </c:pt>
                <c:pt idx="2">
                  <c:v>-5.46956288549207E-2</c:v>
                </c:pt>
                <c:pt idx="3">
                  <c:v>4.0578164800662763E-3</c:v>
                </c:pt>
                <c:pt idx="4">
                  <c:v>7.6944782560584304E-2</c:v>
                </c:pt>
                <c:pt idx="5">
                  <c:v>6.1649298170990519E-2</c:v>
                </c:pt>
                <c:pt idx="6">
                  <c:v>2.3864622505061567E-2</c:v>
                </c:pt>
                <c:pt idx="7">
                  <c:v>3.5315546983820889E-2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F-43F5-9B36-CAEAE8CA4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3367552"/>
        <c:axId val="143811328"/>
      </c:barChart>
      <c:catAx>
        <c:axId val="1433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8113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38113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36755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230857713771141E-2"/>
          <c:y val="0.28908637849828461"/>
          <c:w val="0.87500082162789083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-12.511999999999972</c:v>
                </c:pt>
                <c:pt idx="1">
                  <c:v>29.645999999999951</c:v>
                </c:pt>
                <c:pt idx="2">
                  <c:v>-10.197999999999965</c:v>
                </c:pt>
                <c:pt idx="3">
                  <c:v>0.68499999999998806</c:v>
                </c:pt>
                <c:pt idx="4">
                  <c:v>13.907000000000007</c:v>
                </c:pt>
                <c:pt idx="5">
                  <c:v>11.594999999999892</c:v>
                </c:pt>
                <c:pt idx="6">
                  <c:v>4.1249999999998899</c:v>
                </c:pt>
                <c:pt idx="7">
                  <c:v>6.5920000000000059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89A-B6C3-D76949C70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4885632"/>
        <c:axId val="146176640"/>
      </c:barChart>
      <c:catAx>
        <c:axId val="1448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61766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61766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488563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-7.7873903031057262E-2</c:v>
                </c:pt>
                <c:pt idx="1">
                  <c:v>0.12490941265694765</c:v>
                </c:pt>
                <c:pt idx="2">
                  <c:v>-5.46956288549207E-2</c:v>
                </c:pt>
                <c:pt idx="3">
                  <c:v>4.0578164800662763E-3</c:v>
                </c:pt>
                <c:pt idx="4">
                  <c:v>7.6944782560584304E-2</c:v>
                </c:pt>
                <c:pt idx="5">
                  <c:v>6.1649298170990519E-2</c:v>
                </c:pt>
                <c:pt idx="6">
                  <c:v>2.3864622505061567E-2</c:v>
                </c:pt>
                <c:pt idx="7">
                  <c:v>3.5315546983820889E-2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D-4468-8154-D6D6038C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680704"/>
        <c:axId val="170682240"/>
      </c:barChart>
      <c:catAx>
        <c:axId val="17068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22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070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-12.511999999999972</c:v>
                </c:pt>
                <c:pt idx="1">
                  <c:v>29.645999999999951</c:v>
                </c:pt>
                <c:pt idx="2">
                  <c:v>-10.197999999999965</c:v>
                </c:pt>
                <c:pt idx="3">
                  <c:v>0.68499999999998806</c:v>
                </c:pt>
                <c:pt idx="4">
                  <c:v>13.907000000000007</c:v>
                </c:pt>
                <c:pt idx="5">
                  <c:v>11.594999999999892</c:v>
                </c:pt>
                <c:pt idx="6">
                  <c:v>4.1249999999998899</c:v>
                </c:pt>
                <c:pt idx="7">
                  <c:v>6.5920000000000059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A-466F-B286-0DF790C3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10528"/>
        <c:axId val="170712064"/>
      </c:barChart>
      <c:catAx>
        <c:axId val="1707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206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1206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052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85271317829467E-2"/>
          <c:y val="0.28908554572271788"/>
          <c:w val="0.89341085271318565"/>
          <c:h val="0.607669616519207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-7.7873903031057262E-2</c:v>
                </c:pt>
                <c:pt idx="1">
                  <c:v>0.12490941265694765</c:v>
                </c:pt>
                <c:pt idx="2">
                  <c:v>-5.46956288549207E-2</c:v>
                </c:pt>
                <c:pt idx="3">
                  <c:v>4.0578164800662763E-3</c:v>
                </c:pt>
                <c:pt idx="4">
                  <c:v>7.6944782560584304E-2</c:v>
                </c:pt>
                <c:pt idx="5">
                  <c:v>6.1649298170990519E-2</c:v>
                </c:pt>
                <c:pt idx="6">
                  <c:v>2.3864622505061567E-2</c:v>
                </c:pt>
                <c:pt idx="7">
                  <c:v>3.5315546983820889E-2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4-4997-B1B9-45572CC3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56736"/>
        <c:axId val="170758528"/>
      </c:barChart>
      <c:catAx>
        <c:axId val="1707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85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585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673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Leden</c:v>
          </c:tx>
          <c:spPr>
            <a:solidFill>
              <a:schemeClr val="tx2"/>
            </a:solidFill>
          </c:spPr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'Teplo-Paty'!$C$6:$C$27</c:f>
              <c:numCache>
                <c:formatCode>0.000</c:formatCode>
                <c:ptCount val="8"/>
                <c:pt idx="0">
                  <c:v>108.02197802197804</c:v>
                </c:pt>
                <c:pt idx="1">
                  <c:v>96.209150326797413</c:v>
                </c:pt>
                <c:pt idx="2">
                  <c:v>162.31075697211159</c:v>
                </c:pt>
                <c:pt idx="3">
                  <c:v>143.7786259541985</c:v>
                </c:pt>
                <c:pt idx="4">
                  <c:v>137.64258555133097</c:v>
                </c:pt>
                <c:pt idx="5">
                  <c:v>146.87943262411332</c:v>
                </c:pt>
                <c:pt idx="6">
                  <c:v>150.82677165354309</c:v>
                </c:pt>
                <c:pt idx="7">
                  <c:v>135.20134228187908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5-41F7-BAEA-9226FDD923CC}"/>
            </c:ext>
          </c:extLst>
        </c:ser>
        <c:ser>
          <c:idx val="0"/>
          <c:order val="1"/>
          <c:tx>
            <c:v>Únor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'Teplo-Paty'!$D$6:$D$27</c:f>
              <c:numCache>
                <c:formatCode>0.000</c:formatCode>
                <c:ptCount val="8"/>
                <c:pt idx="0">
                  <c:v>130.40816326530614</c:v>
                </c:pt>
                <c:pt idx="1">
                  <c:v>108.15686274509798</c:v>
                </c:pt>
                <c:pt idx="2">
                  <c:v>163.86666666666656</c:v>
                </c:pt>
                <c:pt idx="3">
                  <c:v>150.7534246575342</c:v>
                </c:pt>
                <c:pt idx="4">
                  <c:v>151.83006535947723</c:v>
                </c:pt>
                <c:pt idx="5">
                  <c:v>153.9393939393938</c:v>
                </c:pt>
                <c:pt idx="6">
                  <c:v>170.80000000000018</c:v>
                </c:pt>
                <c:pt idx="7">
                  <c:v>142.97142857142848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5-41F7-BAEA-9226FDD923CC}"/>
            </c:ext>
          </c:extLst>
        </c:ser>
        <c:ser>
          <c:idx val="2"/>
          <c:order val="2"/>
          <c:tx>
            <c:v>Březen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'Teplo-Paty'!$E$6:$E$27</c:f>
              <c:numCache>
                <c:formatCode>0.000</c:formatCode>
                <c:ptCount val="8"/>
                <c:pt idx="0">
                  <c:v>123.88888888888891</c:v>
                </c:pt>
                <c:pt idx="1">
                  <c:v>100.39301310043672</c:v>
                </c:pt>
                <c:pt idx="2">
                  <c:v>162.82258064516151</c:v>
                </c:pt>
                <c:pt idx="3">
                  <c:v>140.06514657980463</c:v>
                </c:pt>
                <c:pt idx="4">
                  <c:v>142.91338582677147</c:v>
                </c:pt>
                <c:pt idx="5">
                  <c:v>160.48526863084959</c:v>
                </c:pt>
                <c:pt idx="6">
                  <c:v>168.686868686868</c:v>
                </c:pt>
                <c:pt idx="7">
                  <c:v>152.84482758620703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5-41F7-BAEA-9226FDD923CC}"/>
            </c:ext>
          </c:extLst>
        </c:ser>
        <c:ser>
          <c:idx val="3"/>
          <c:order val="3"/>
          <c:tx>
            <c:v>Duben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'Teplo-Paty'!$F$6:$F$27</c:f>
              <c:numCache>
                <c:formatCode>0.000</c:formatCode>
                <c:ptCount val="8"/>
                <c:pt idx="0">
                  <c:v>109.5945945945944</c:v>
                </c:pt>
                <c:pt idx="1">
                  <c:v>70.758293838862585</c:v>
                </c:pt>
                <c:pt idx="2">
                  <c:v>64.628571428571291</c:v>
                </c:pt>
                <c:pt idx="3">
                  <c:v>134.31372549019596</c:v>
                </c:pt>
                <c:pt idx="4">
                  <c:v>125.88235294117567</c:v>
                </c:pt>
                <c:pt idx="5">
                  <c:v>128.10383747178304</c:v>
                </c:pt>
                <c:pt idx="6">
                  <c:v>166.18181818182001</c:v>
                </c:pt>
                <c:pt idx="7">
                  <c:v>146.72413793103433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5-41F7-BAEA-9226FDD923CC}"/>
            </c:ext>
          </c:extLst>
        </c:ser>
        <c:ser>
          <c:idx val="4"/>
          <c:order val="4"/>
          <c:tx>
            <c:v>Květen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'Teplo-Paty'!$G$6:$G$27</c:f>
              <c:numCache>
                <c:formatCode>0.000</c:formatCode>
                <c:ptCount val="8"/>
                <c:pt idx="0">
                  <c:v>89.705882352941515</c:v>
                </c:pt>
                <c:pt idx="1">
                  <c:v>34.440559440559419</c:v>
                </c:pt>
                <c:pt idx="2">
                  <c:v>127.75000000000034</c:v>
                </c:pt>
                <c:pt idx="3">
                  <c:v>123.93939393939404</c:v>
                </c:pt>
                <c:pt idx="4">
                  <c:v>78.524590163935684</c:v>
                </c:pt>
                <c:pt idx="5">
                  <c:v>133.5294117647048</c:v>
                </c:pt>
                <c:pt idx="6">
                  <c:v>149.31034482758372</c:v>
                </c:pt>
                <c:pt idx="7">
                  <c:v>107.36842105263266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5-41F7-BAEA-9226FDD923CC}"/>
            </c:ext>
          </c:extLst>
        </c:ser>
        <c:ser>
          <c:idx val="5"/>
          <c:order val="5"/>
          <c:tx>
            <c:v>Červen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'Teplo-Paty'!$H$6:$H$27</c:f>
              <c:numCache>
                <c:formatCode>0.000</c:formatCode>
                <c:ptCount val="8"/>
                <c:pt idx="0">
                  <c:v>90.399999999999636</c:v>
                </c:pt>
                <c:pt idx="1">
                  <c:v>30.348837209302264</c:v>
                </c:pt>
                <c:pt idx="2">
                  <c:v>112.5925925925923</c:v>
                </c:pt>
                <c:pt idx="3">
                  <c:v>111.1111111111111</c:v>
                </c:pt>
                <c:pt idx="4">
                  <c:v>70.727272727272492</c:v>
                </c:pt>
                <c:pt idx="5">
                  <c:v>134.09090909091114</c:v>
                </c:pt>
                <c:pt idx="6">
                  <c:v>147.14285714285865</c:v>
                </c:pt>
                <c:pt idx="7">
                  <c:v>106.06060606060606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5-41F7-BAEA-9226FDD923CC}"/>
            </c:ext>
          </c:extLst>
        </c:ser>
        <c:ser>
          <c:idx val="6"/>
          <c:order val="6"/>
          <c:tx>
            <c:v>Červenec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'Teplo-Paty'!$I$6:$I$27</c:f>
              <c:numCache>
                <c:formatCode>0.000</c:formatCode>
                <c:ptCount val="8"/>
                <c:pt idx="0">
                  <c:v>77.058823529411896</c:v>
                </c:pt>
                <c:pt idx="1">
                  <c:v>28.995815899581618</c:v>
                </c:pt>
                <c:pt idx="2">
                  <c:v>108.88888888888933</c:v>
                </c:pt>
                <c:pt idx="3">
                  <c:v>107.99999999999983</c:v>
                </c:pt>
                <c:pt idx="4">
                  <c:v>67.749999999998067</c:v>
                </c:pt>
                <c:pt idx="5">
                  <c:v>138.00000000000335</c:v>
                </c:pt>
                <c:pt idx="6">
                  <c:v>131.17647058823636</c:v>
                </c:pt>
                <c:pt idx="7">
                  <c:v>96.666666666668746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5-41F7-BAEA-9226FDD923CC}"/>
            </c:ext>
          </c:extLst>
        </c:ser>
        <c:ser>
          <c:idx val="7"/>
          <c:order val="7"/>
          <c:tx>
            <c:v>Srpen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'Teplo-Paty'!$J$6:$J$27</c:f>
              <c:numCache>
                <c:formatCode>0.000</c:formatCode>
                <c:ptCount val="8"/>
                <c:pt idx="0">
                  <c:v>75.625000000000497</c:v>
                </c:pt>
                <c:pt idx="1">
                  <c:v>30.253807106599027</c:v>
                </c:pt>
                <c:pt idx="2">
                  <c:v>97.999999999999915</c:v>
                </c:pt>
                <c:pt idx="3">
                  <c:v>95.555555555555486</c:v>
                </c:pt>
                <c:pt idx="4">
                  <c:v>73.235294117647328</c:v>
                </c:pt>
                <c:pt idx="5">
                  <c:v>130.62499999999488</c:v>
                </c:pt>
                <c:pt idx="6">
                  <c:v>145.33333333333002</c:v>
                </c:pt>
                <c:pt idx="7">
                  <c:v>97.272727272726655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35-41F7-BAEA-9226FDD923CC}"/>
            </c:ext>
          </c:extLst>
        </c:ser>
        <c:ser>
          <c:idx val="8"/>
          <c:order val="8"/>
          <c:tx>
            <c:v>Září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'Teplo-Paty'!$K$6:$K$27</c:f>
              <c:numCache>
                <c:formatCode>0.000</c:formatCode>
                <c:ptCount val="8"/>
                <c:pt idx="0">
                  <c:v>92.272727272727323</c:v>
                </c:pt>
                <c:pt idx="1">
                  <c:v>41.99999999999995</c:v>
                </c:pt>
                <c:pt idx="2">
                  <c:v>138.18181818181824</c:v>
                </c:pt>
                <c:pt idx="3">
                  <c:v>122.33333333333387</c:v>
                </c:pt>
                <c:pt idx="4">
                  <c:v>91.136363636363427</c:v>
                </c:pt>
                <c:pt idx="5">
                  <c:v>131.78571428571624</c:v>
                </c:pt>
                <c:pt idx="6">
                  <c:v>146.95652173913024</c:v>
                </c:pt>
                <c:pt idx="7">
                  <c:v>111.61290322580396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35-41F7-BAEA-9226FDD923CC}"/>
            </c:ext>
          </c:extLst>
        </c:ser>
        <c:ser>
          <c:idx val="9"/>
          <c:order val="9"/>
          <c:tx>
            <c:v>Říjen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'Teplo-Paty'!$L$6:$L$27</c:f>
              <c:numCache>
                <c:formatCode>0.000</c:formatCode>
                <c:ptCount val="8"/>
                <c:pt idx="0">
                  <c:v>108.24561403508751</c:v>
                </c:pt>
                <c:pt idx="1">
                  <c:v>75.649999999999977</c:v>
                </c:pt>
                <c:pt idx="2">
                  <c:v>135.34653465346523</c:v>
                </c:pt>
                <c:pt idx="3">
                  <c:v>129.99999999999997</c:v>
                </c:pt>
                <c:pt idx="4">
                  <c:v>135.68181818181878</c:v>
                </c:pt>
                <c:pt idx="5">
                  <c:v>117.21649484536087</c:v>
                </c:pt>
                <c:pt idx="6">
                  <c:v>162.45283018867951</c:v>
                </c:pt>
                <c:pt idx="7">
                  <c:v>127.80487804878071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35-41F7-BAEA-9226FDD923CC}"/>
            </c:ext>
          </c:extLst>
        </c:ser>
        <c:ser>
          <c:idx val="10"/>
          <c:order val="10"/>
          <c:tx>
            <c:v>Listopad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'Teplo-Paty'!$M$6:$M$27</c:f>
              <c:numCache>
                <c:formatCode>0.000</c:formatCode>
                <c:ptCount val="8"/>
                <c:pt idx="0">
                  <c:v>122.10256410256412</c:v>
                </c:pt>
                <c:pt idx="1">
                  <c:v>99.883040935672582</c:v>
                </c:pt>
                <c:pt idx="2">
                  <c:v>149.62566844919795</c:v>
                </c:pt>
                <c:pt idx="3">
                  <c:v>140.30303030303031</c:v>
                </c:pt>
                <c:pt idx="4">
                  <c:v>151.65775401069524</c:v>
                </c:pt>
                <c:pt idx="5">
                  <c:v>147.5609756097561</c:v>
                </c:pt>
                <c:pt idx="6">
                  <c:v>147.22222222222211</c:v>
                </c:pt>
                <c:pt idx="7">
                  <c:v>139.43478260869588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35-41F7-BAEA-9226FDD923CC}"/>
            </c:ext>
          </c:extLst>
        </c:ser>
        <c:ser>
          <c:idx val="11"/>
          <c:order val="11"/>
          <c:tx>
            <c:v>Prosinec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'Teplo-Paty'!$N$6:$N$27</c:f>
              <c:numCache>
                <c:formatCode>0.000</c:formatCode>
                <c:ptCount val="8"/>
                <c:pt idx="0">
                  <c:v>114.50381679389312</c:v>
                </c:pt>
                <c:pt idx="1">
                  <c:v>102.68041237113395</c:v>
                </c:pt>
                <c:pt idx="2">
                  <c:v>136.06837606837607</c:v>
                </c:pt>
                <c:pt idx="3">
                  <c:v>146.46017699115041</c:v>
                </c:pt>
                <c:pt idx="4">
                  <c:v>150.30701754385956</c:v>
                </c:pt>
                <c:pt idx="5">
                  <c:v>149.6956521739128</c:v>
                </c:pt>
                <c:pt idx="6">
                  <c:v>150.13100436681219</c:v>
                </c:pt>
                <c:pt idx="7">
                  <c:v>137.76951672862432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35-41F7-BAEA-9226FDD92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3664"/>
        <c:axId val="174275200"/>
      </c:barChart>
      <c:catAx>
        <c:axId val="17427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5200"/>
        <c:crosses val="autoZero"/>
        <c:auto val="1"/>
        <c:lblAlgn val="ctr"/>
        <c:lblOffset val="100"/>
        <c:noMultiLvlLbl val="0"/>
      </c:catAx>
      <c:valAx>
        <c:axId val="1742752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26115239831933E-2"/>
          <c:y val="3.4477512344855202E-2"/>
          <c:w val="0.84771471885062233"/>
          <c:h val="0.804613639396777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('Voda-Paty'!$C$4:$C$11,'Voda-Paty'!$C$14)</c:f>
              <c:numCache>
                <c:formatCode>#\ ##0.0</c:formatCode>
                <c:ptCount val="9"/>
                <c:pt idx="0">
                  <c:v>60.599999999999909</c:v>
                </c:pt>
                <c:pt idx="1">
                  <c:v>90</c:v>
                </c:pt>
                <c:pt idx="2">
                  <c:v>98</c:v>
                </c:pt>
                <c:pt idx="3">
                  <c:v>79.5</c:v>
                </c:pt>
                <c:pt idx="4">
                  <c:v>55.199999999999818</c:v>
                </c:pt>
                <c:pt idx="5">
                  <c:v>78.800000000000182</c:v>
                </c:pt>
                <c:pt idx="6">
                  <c:v>85.799999999999727</c:v>
                </c:pt>
                <c:pt idx="7">
                  <c:v>90.900000000000091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C20-B3B9-E83C105E3A3B}"/>
            </c:ext>
          </c:extLst>
        </c:ser>
        <c:ser>
          <c:idx val="0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('Voda-Paty'!$D$4:$D$11,'Voda-Paty'!$D$14)</c:f>
              <c:numCache>
                <c:formatCode>#\ ##0.0</c:formatCode>
                <c:ptCount val="9"/>
                <c:pt idx="0">
                  <c:v>62.200000000000273</c:v>
                </c:pt>
                <c:pt idx="1">
                  <c:v>82.5</c:v>
                </c:pt>
                <c:pt idx="2">
                  <c:v>81.800000000000182</c:v>
                </c:pt>
                <c:pt idx="3">
                  <c:v>67.699999999999818</c:v>
                </c:pt>
                <c:pt idx="4">
                  <c:v>47.700000000000273</c:v>
                </c:pt>
                <c:pt idx="5">
                  <c:v>72.199999999999818</c:v>
                </c:pt>
                <c:pt idx="6">
                  <c:v>79.099999999999909</c:v>
                </c:pt>
                <c:pt idx="7">
                  <c:v>78.5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C20-B3B9-E83C105E3A3B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('Voda-Paty'!$E$4:$E$11,'Voda-Paty'!$E$14)</c:f>
              <c:numCache>
                <c:formatCode>#\ ##0.0</c:formatCode>
                <c:ptCount val="9"/>
                <c:pt idx="0">
                  <c:v>71.199999999999818</c:v>
                </c:pt>
                <c:pt idx="1">
                  <c:v>86</c:v>
                </c:pt>
                <c:pt idx="2">
                  <c:v>80.299999999999272</c:v>
                </c:pt>
                <c:pt idx="3">
                  <c:v>78.199999999999818</c:v>
                </c:pt>
                <c:pt idx="4">
                  <c:v>58.399999999999636</c:v>
                </c:pt>
                <c:pt idx="5">
                  <c:v>78.300000000000182</c:v>
                </c:pt>
                <c:pt idx="6">
                  <c:v>86.5</c:v>
                </c:pt>
                <c:pt idx="7">
                  <c:v>80.800000000000182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A-4C20-B3B9-E83C105E3A3B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('Voda-Paty'!$F$4:$F$11,'Voda-Paty'!$F$14)</c:f>
              <c:numCache>
                <c:formatCode>#\ ##0.0</c:formatCode>
                <c:ptCount val="9"/>
                <c:pt idx="0">
                  <c:v>64</c:v>
                </c:pt>
                <c:pt idx="1">
                  <c:v>88.599999999999454</c:v>
                </c:pt>
                <c:pt idx="2">
                  <c:v>84.600000000000364</c:v>
                </c:pt>
                <c:pt idx="3">
                  <c:v>75.692999999999756</c:v>
                </c:pt>
                <c:pt idx="4">
                  <c:v>51.100000000000364</c:v>
                </c:pt>
                <c:pt idx="5">
                  <c:v>77.699999999999818</c:v>
                </c:pt>
                <c:pt idx="6">
                  <c:v>82.100000000000364</c:v>
                </c:pt>
                <c:pt idx="7">
                  <c:v>84.199999999999818</c:v>
                </c:pt>
                <c:pt idx="8" formatCode="#\ ##0.000">
                  <c:v>13.007000000000062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4A-4C20-B3B9-E83C105E3A3B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('Voda-Paty'!$G$4:$G$11,'Voda-Paty'!$G$14)</c:f>
              <c:numCache>
                <c:formatCode>#\ ##0.0</c:formatCode>
                <c:ptCount val="9"/>
                <c:pt idx="0">
                  <c:v>63.900000000000091</c:v>
                </c:pt>
                <c:pt idx="1">
                  <c:v>87.800000000000182</c:v>
                </c:pt>
                <c:pt idx="2">
                  <c:v>84.199999999999818</c:v>
                </c:pt>
                <c:pt idx="3">
                  <c:v>82.986000000000445</c:v>
                </c:pt>
                <c:pt idx="4">
                  <c:v>60.399999999999636</c:v>
                </c:pt>
                <c:pt idx="5">
                  <c:v>76.199999999999818</c:v>
                </c:pt>
                <c:pt idx="6">
                  <c:v>82</c:v>
                </c:pt>
                <c:pt idx="7">
                  <c:v>87.800000000000182</c:v>
                </c:pt>
                <c:pt idx="8" formatCode="#\ ##0.000">
                  <c:v>7.1139999999999191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4A-4C20-B3B9-E83C105E3A3B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('Voda-Paty'!$H$4:$H$11,'Voda-Paty'!$H$14)</c:f>
              <c:numCache>
                <c:formatCode>#\ ##0.0</c:formatCode>
                <c:ptCount val="9"/>
                <c:pt idx="0">
                  <c:v>65</c:v>
                </c:pt>
                <c:pt idx="1">
                  <c:v>77.300000000000182</c:v>
                </c:pt>
                <c:pt idx="2">
                  <c:v>79.300000000000182</c:v>
                </c:pt>
                <c:pt idx="3">
                  <c:v>74.086999999999989</c:v>
                </c:pt>
                <c:pt idx="4">
                  <c:v>59</c:v>
                </c:pt>
                <c:pt idx="5">
                  <c:v>65.5</c:v>
                </c:pt>
                <c:pt idx="6">
                  <c:v>73.099999999999454</c:v>
                </c:pt>
                <c:pt idx="7">
                  <c:v>89.799999999999272</c:v>
                </c:pt>
                <c:pt idx="8" formatCode="#\ ##0.000">
                  <c:v>15.413000000000011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4A-4C20-B3B9-E83C105E3A3B}"/>
            </c:ext>
          </c:extLst>
        </c:ser>
        <c:ser>
          <c:idx val="10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('Voda-Paty'!$I$4:$I$11,'Voda-Paty'!$I$14)</c:f>
              <c:numCache>
                <c:formatCode>#\ ##0.0</c:formatCode>
                <c:ptCount val="9"/>
                <c:pt idx="0">
                  <c:v>52.799999999999727</c:v>
                </c:pt>
                <c:pt idx="1">
                  <c:v>72.699999999999818</c:v>
                </c:pt>
                <c:pt idx="2">
                  <c:v>69.899999999999636</c:v>
                </c:pt>
                <c:pt idx="3">
                  <c:v>66.570999999999572</c:v>
                </c:pt>
                <c:pt idx="4">
                  <c:v>49</c:v>
                </c:pt>
                <c:pt idx="5">
                  <c:v>61.100000000000364</c:v>
                </c:pt>
                <c:pt idx="6">
                  <c:v>64</c:v>
                </c:pt>
                <c:pt idx="7">
                  <c:v>75.100000000000364</c:v>
                </c:pt>
                <c:pt idx="8" formatCode="#\ ##0.000">
                  <c:v>17.829000000000065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4A-4C20-B3B9-E83C105E3A3B}"/>
            </c:ext>
          </c:extLst>
        </c:ser>
        <c:ser>
          <c:idx val="12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('Voda-Paty'!$J$4:$J$11,'Voda-Paty'!$J$14)</c:f>
              <c:numCache>
                <c:formatCode>#\ ##0.0</c:formatCode>
                <c:ptCount val="9"/>
                <c:pt idx="0">
                  <c:v>59.900000000000091</c:v>
                </c:pt>
                <c:pt idx="1">
                  <c:v>78.800000000000182</c:v>
                </c:pt>
                <c:pt idx="2">
                  <c:v>62.900000000000546</c:v>
                </c:pt>
                <c:pt idx="3">
                  <c:v>64.088000000000534</c:v>
                </c:pt>
                <c:pt idx="4">
                  <c:v>57.900000000000091</c:v>
                </c:pt>
                <c:pt idx="5">
                  <c:v>70.199999999999818</c:v>
                </c:pt>
                <c:pt idx="6">
                  <c:v>77</c:v>
                </c:pt>
                <c:pt idx="7">
                  <c:v>80.300000000000182</c:v>
                </c:pt>
                <c:pt idx="8" formatCode="#\ ##0.000">
                  <c:v>28.312000000000012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4A-4C20-B3B9-E83C105E3A3B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('Voda-Paty'!$K$4:$K$11,'Voda-Paty'!$K$14)</c:f>
              <c:numCache>
                <c:formatCode>#\ ##0.0</c:formatCode>
                <c:ptCount val="9"/>
                <c:pt idx="0">
                  <c:v>62.200000000000273</c:v>
                </c:pt>
                <c:pt idx="1">
                  <c:v>85.099999999999454</c:v>
                </c:pt>
                <c:pt idx="2">
                  <c:v>79.199999999999818</c:v>
                </c:pt>
                <c:pt idx="3">
                  <c:v>68.823000000000093</c:v>
                </c:pt>
                <c:pt idx="4">
                  <c:v>66.099999999999909</c:v>
                </c:pt>
                <c:pt idx="5">
                  <c:v>67.5</c:v>
                </c:pt>
                <c:pt idx="6">
                  <c:v>81.400000000000546</c:v>
                </c:pt>
                <c:pt idx="7">
                  <c:v>83.800000000000182</c:v>
                </c:pt>
                <c:pt idx="8" formatCode="#\ ##0.000">
                  <c:v>9.1769999999999072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4A-4C20-B3B9-E83C105E3A3B}"/>
            </c:ext>
          </c:extLst>
        </c:ser>
        <c:ser>
          <c:idx val="6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('Voda-Paty'!$L$4:$L$11,'Voda-Paty'!$L$14)</c:f>
              <c:numCache>
                <c:formatCode>#\ ##0.0</c:formatCode>
                <c:ptCount val="9"/>
                <c:pt idx="0">
                  <c:v>67.5</c:v>
                </c:pt>
                <c:pt idx="1">
                  <c:v>90.600000000000364</c:v>
                </c:pt>
                <c:pt idx="2">
                  <c:v>81.5</c:v>
                </c:pt>
                <c:pt idx="3">
                  <c:v>73.304999999999609</c:v>
                </c:pt>
                <c:pt idx="4">
                  <c:v>60.900000000000091</c:v>
                </c:pt>
                <c:pt idx="5">
                  <c:v>65.699999999999818</c:v>
                </c:pt>
                <c:pt idx="6">
                  <c:v>79.5</c:v>
                </c:pt>
                <c:pt idx="7">
                  <c:v>81.199999999999818</c:v>
                </c:pt>
                <c:pt idx="8" formatCode="#\ ##0.000">
                  <c:v>2.0950000000000273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4A-4C20-B3B9-E83C105E3A3B}"/>
            </c:ext>
          </c:extLst>
        </c:ser>
        <c:ser>
          <c:idx val="7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('Voda-Paty'!$M$4:$M$11,'Voda-Paty'!$M$14)</c:f>
              <c:numCache>
                <c:formatCode>#\ ##0.0</c:formatCode>
                <c:ptCount val="9"/>
                <c:pt idx="0">
                  <c:v>61</c:v>
                </c:pt>
                <c:pt idx="1">
                  <c:v>79.899999999999636</c:v>
                </c:pt>
                <c:pt idx="2">
                  <c:v>83.100000000000364</c:v>
                </c:pt>
                <c:pt idx="3">
                  <c:v>66.399999999999636</c:v>
                </c:pt>
                <c:pt idx="4">
                  <c:v>58.900000000000091</c:v>
                </c:pt>
                <c:pt idx="5">
                  <c:v>72</c:v>
                </c:pt>
                <c:pt idx="6">
                  <c:v>68.599999999999454</c:v>
                </c:pt>
                <c:pt idx="7">
                  <c:v>85.599999999999454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4A-4C20-B3B9-E83C105E3A3B}"/>
            </c:ext>
          </c:extLst>
        </c:ser>
        <c:ser>
          <c:idx val="9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('Voda-Paty'!$N$4:$N$11,'Voda-Paty'!$N$14)</c:f>
              <c:numCache>
                <c:formatCode>#\ ##0.0</c:formatCode>
                <c:ptCount val="9"/>
                <c:pt idx="0">
                  <c:v>79.099999999999994</c:v>
                </c:pt>
                <c:pt idx="1">
                  <c:v>101.3</c:v>
                </c:pt>
                <c:pt idx="2">
                  <c:v>85.5</c:v>
                </c:pt>
                <c:pt idx="3">
                  <c:v>90.7</c:v>
                </c:pt>
                <c:pt idx="4">
                  <c:v>66.3</c:v>
                </c:pt>
                <c:pt idx="5">
                  <c:v>71.8</c:v>
                </c:pt>
                <c:pt idx="6">
                  <c:v>88.7</c:v>
                </c:pt>
                <c:pt idx="7">
                  <c:v>98.9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4A-4C20-B3B9-E83C105E3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86176"/>
        <c:axId val="174392064"/>
      </c:barChart>
      <c:catAx>
        <c:axId val="1743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92064"/>
        <c:crosses val="autoZero"/>
        <c:auto val="1"/>
        <c:lblAlgn val="ctr"/>
        <c:lblOffset val="100"/>
        <c:noMultiLvlLbl val="0"/>
      </c:catAx>
      <c:valAx>
        <c:axId val="17439206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64883235749835"/>
          <c:y val="4.4543622918504513E-2"/>
          <c:w val="0.54653711555285756"/>
          <c:h val="0.87943738360505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#\ ##0.0</c:formatCode>
                <c:ptCount val="2"/>
                <c:pt idx="0">
                  <c:v>340.70000000000073</c:v>
                </c:pt>
                <c:pt idx="1">
                  <c:v>295.79999999999927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8-4079-81C9-40D38B82ABBF}"/>
            </c:ext>
          </c:extLst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#\ ##0.0</c:formatCode>
                <c:ptCount val="2"/>
                <c:pt idx="0">
                  <c:v>305</c:v>
                </c:pt>
                <c:pt idx="1">
                  <c:v>264.10000000000036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8-4079-81C9-40D38B82ABBF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#\ ##0.0</c:formatCode>
                <c:ptCount val="2"/>
                <c:pt idx="0">
                  <c:v>329.59999999999854</c:v>
                </c:pt>
                <c:pt idx="1">
                  <c:v>289.39999999999964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8-4079-81C9-40D38B82ABBF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#\ ##0.0</c:formatCode>
                <c:ptCount val="2"/>
                <c:pt idx="0">
                  <c:v>338.20000000000073</c:v>
                </c:pt>
                <c:pt idx="1">
                  <c:v>280.70000000000073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8-4079-81C9-40D38B82ABBF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#\ ##0.0</c:formatCode>
                <c:ptCount val="2"/>
                <c:pt idx="0">
                  <c:v>339.5</c:v>
                </c:pt>
                <c:pt idx="1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A8-4079-81C9-40D38B82ABBF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#\ ##0.0</c:formatCode>
                <c:ptCount val="2"/>
                <c:pt idx="0">
                  <c:v>323.70000000000073</c:v>
                </c:pt>
                <c:pt idx="1">
                  <c:v>273.89999999999964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A8-4079-81C9-40D38B82ABBF}"/>
            </c:ext>
          </c:extLst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#\ ##0.0</c:formatCode>
                <c:ptCount val="2"/>
                <c:pt idx="0">
                  <c:v>293.70000000000073</c:v>
                </c:pt>
                <c:pt idx="1">
                  <c:v>237.80000000000109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A8-4079-81C9-40D38B82ABBF}"/>
            </c:ext>
          </c:extLst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#\ ##0.0</c:formatCode>
                <c:ptCount val="2"/>
                <c:pt idx="0">
                  <c:v>309</c:v>
                </c:pt>
                <c:pt idx="1">
                  <c:v>270.39999999999964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A8-4079-81C9-40D38B82ABBF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#\ ##0.0</c:formatCode>
                <c:ptCount val="2"/>
                <c:pt idx="0">
                  <c:v>315.59999999999854</c:v>
                </c:pt>
                <c:pt idx="1">
                  <c:v>283.29999999999927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A8-4079-81C9-40D38B82ABBF}"/>
            </c:ext>
          </c:extLst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#\ ##0.0</c:formatCode>
                <c:ptCount val="2"/>
                <c:pt idx="0">
                  <c:v>327.09999999999854</c:v>
                </c:pt>
                <c:pt idx="1">
                  <c:v>272.80000000000109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A8-4079-81C9-40D38B82ABBF}"/>
            </c:ext>
          </c:extLst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#\ ##0.0</c:formatCode>
                <c:ptCount val="2"/>
                <c:pt idx="0">
                  <c:v>298.40000000000146</c:v>
                </c:pt>
                <c:pt idx="1">
                  <c:v>268.10000000000036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A8-4079-81C9-40D38B82ABBF}"/>
            </c:ext>
          </c:extLst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#\ ##0.0</c:formatCode>
                <c:ptCount val="2"/>
                <c:pt idx="0">
                  <c:v>368.5</c:v>
                </c:pt>
                <c:pt idx="1">
                  <c:v>316.69999999999891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A8-4079-81C9-40D38B82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35712"/>
        <c:axId val="174453888"/>
      </c:barChart>
      <c:catAx>
        <c:axId val="17443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453888"/>
        <c:crosses val="autoZero"/>
        <c:auto val="1"/>
        <c:lblAlgn val="ctr"/>
        <c:lblOffset val="100"/>
        <c:noMultiLvlLbl val="0"/>
      </c:catAx>
      <c:valAx>
        <c:axId val="174453888"/>
        <c:scaling>
          <c:orientation val="minMax"/>
        </c:scaling>
        <c:delete val="0"/>
        <c:axPos val="l"/>
        <c:majorGridlines/>
        <c:numFmt formatCode="#\ ##0.0" sourceLinked="1"/>
        <c:majorTickMark val="out"/>
        <c:minorTickMark val="none"/>
        <c:tickLblPos val="nextTo"/>
        <c:crossAx val="17443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238125</xdr:colOff>
      <xdr:row>26</xdr:row>
      <xdr:rowOff>114300</xdr:rowOff>
    </xdr:from>
    <xdr:to>
      <xdr:col>45</xdr:col>
      <xdr:colOff>352425</xdr:colOff>
      <xdr:row>43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85725</xdr:colOff>
      <xdr:row>26</xdr:row>
      <xdr:rowOff>114300</xdr:rowOff>
    </xdr:from>
    <xdr:to>
      <xdr:col>56</xdr:col>
      <xdr:colOff>266700</xdr:colOff>
      <xdr:row>42</xdr:row>
      <xdr:rowOff>190500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161925</xdr:colOff>
      <xdr:row>43</xdr:row>
      <xdr:rowOff>180974</xdr:rowOff>
    </xdr:from>
    <xdr:to>
      <xdr:col>56</xdr:col>
      <xdr:colOff>438150</xdr:colOff>
      <xdr:row>52</xdr:row>
      <xdr:rowOff>165099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171450</xdr:colOff>
      <xdr:row>52</xdr:row>
      <xdr:rowOff>171449</xdr:rowOff>
    </xdr:from>
    <xdr:to>
      <xdr:col>56</xdr:col>
      <xdr:colOff>457200</xdr:colOff>
      <xdr:row>62</xdr:row>
      <xdr:rowOff>139700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27</xdr:row>
      <xdr:rowOff>104775</xdr:rowOff>
    </xdr:from>
    <xdr:to>
      <xdr:col>19</xdr:col>
      <xdr:colOff>523875</xdr:colOff>
      <xdr:row>27</xdr:row>
      <xdr:rowOff>104776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 bwMode="auto">
        <a:xfrm flipV="1">
          <a:off x="12715875" y="53530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17</xdr:col>
      <xdr:colOff>352425</xdr:colOff>
      <xdr:row>26</xdr:row>
      <xdr:rowOff>104775</xdr:rowOff>
    </xdr:from>
    <xdr:to>
      <xdr:col>19</xdr:col>
      <xdr:colOff>523875</xdr:colOff>
      <xdr:row>26</xdr:row>
      <xdr:rowOff>104776</xdr:rowOff>
    </xdr:to>
    <xdr:cxnSp macro="">
      <xdr:nvCxnSpPr>
        <xdr:cNvPr id="8" name="Přímá spojovací šipka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 bwMode="auto">
        <a:xfrm flipV="1">
          <a:off x="12715875" y="51625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>
          <a:extLst>
            <a:ext uri="{FF2B5EF4-FFF2-40B4-BE49-F238E27FC236}">
              <a16:creationId xmlns:a16="http://schemas.microsoft.com/office/drawing/2014/main" id="{00000000-0008-0000-1400-000087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>
          <a:extLst>
            <a:ext uri="{FF2B5EF4-FFF2-40B4-BE49-F238E27FC236}">
              <a16:creationId xmlns:a16="http://schemas.microsoft.com/office/drawing/2014/main" id="{00000000-0008-0000-1400-000088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>
          <a:extLst>
            <a:ext uri="{FF2B5EF4-FFF2-40B4-BE49-F238E27FC236}">
              <a16:creationId xmlns:a16="http://schemas.microsoft.com/office/drawing/2014/main" id="{00000000-0008-0000-1500-00000D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>
          <a:extLst>
            <a:ext uri="{FF2B5EF4-FFF2-40B4-BE49-F238E27FC236}">
              <a16:creationId xmlns:a16="http://schemas.microsoft.com/office/drawing/2014/main" id="{00000000-0008-0000-1500-00000E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>
          <a:extLst>
            <a:ext uri="{FF2B5EF4-FFF2-40B4-BE49-F238E27FC236}">
              <a16:creationId xmlns:a16="http://schemas.microsoft.com/office/drawing/2014/main" id="{00000000-0008-0000-1500-00000F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>
          <a:extLst>
            <a:ext uri="{FF2B5EF4-FFF2-40B4-BE49-F238E27FC236}">
              <a16:creationId xmlns:a16="http://schemas.microsoft.com/office/drawing/2014/main" id="{00000000-0008-0000-1500-000010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14</xdr:row>
      <xdr:rowOff>133350</xdr:rowOff>
    </xdr:from>
    <xdr:to>
      <xdr:col>3</xdr:col>
      <xdr:colOff>828675</xdr:colOff>
      <xdr:row>14</xdr:row>
      <xdr:rowOff>134938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 bwMode="auto">
        <a:xfrm>
          <a:off x="4229100" y="3343275"/>
          <a:ext cx="771525" cy="158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>
          <a:extLst>
            <a:ext uri="{FF2B5EF4-FFF2-40B4-BE49-F238E27FC236}">
              <a16:creationId xmlns:a16="http://schemas.microsoft.com/office/drawing/2014/main" id="{00000000-0008-0000-1800-000015E0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14</xdr:row>
      <xdr:rowOff>95250</xdr:rowOff>
    </xdr:from>
    <xdr:to>
      <xdr:col>15</xdr:col>
      <xdr:colOff>19050</xdr:colOff>
      <xdr:row>26</xdr:row>
      <xdr:rowOff>57150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104775</xdr:rowOff>
    </xdr:from>
    <xdr:to>
      <xdr:col>20</xdr:col>
      <xdr:colOff>152400</xdr:colOff>
      <xdr:row>25</xdr:row>
      <xdr:rowOff>9525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workbookViewId="0">
      <selection activeCell="T30" sqref="T30"/>
    </sheetView>
  </sheetViews>
  <sheetFormatPr defaultRowHeight="14.5" x14ac:dyDescent="0.35"/>
  <cols>
    <col min="1" max="1" width="8.54296875" style="1" customWidth="1"/>
    <col min="2" max="2" width="26.1796875" customWidth="1"/>
    <col min="3" max="3" width="11" bestFit="1" customWidth="1"/>
    <col min="4" max="15" width="10.1796875" customWidth="1"/>
    <col min="16" max="16" width="12.26953125" bestFit="1" customWidth="1"/>
    <col min="17" max="17" width="10" bestFit="1" customWidth="1"/>
    <col min="18" max="18" width="9.453125" bestFit="1" customWidth="1"/>
    <col min="19" max="19" width="3.26953125" customWidth="1"/>
  </cols>
  <sheetData>
    <row r="1" spans="1:32" ht="15" thickBot="1" x14ac:dyDescent="0.4"/>
    <row r="2" spans="1:32" s="1" customFormat="1" ht="21" customHeight="1" thickBot="1" x14ac:dyDescent="0.55000000000000004">
      <c r="A2" s="113">
        <v>1850</v>
      </c>
      <c r="B2" s="2"/>
      <c r="C2" s="3">
        <v>45292</v>
      </c>
      <c r="D2" s="3">
        <v>45323</v>
      </c>
      <c r="E2" s="3">
        <v>45352</v>
      </c>
      <c r="F2" s="3">
        <v>45383</v>
      </c>
      <c r="G2" s="3">
        <v>45413</v>
      </c>
      <c r="H2" s="3">
        <v>45444</v>
      </c>
      <c r="I2" s="3">
        <v>45474</v>
      </c>
      <c r="J2" s="3">
        <v>45505</v>
      </c>
      <c r="K2" s="3">
        <v>45536</v>
      </c>
      <c r="L2" s="3">
        <v>45566</v>
      </c>
      <c r="M2" s="3">
        <v>45597</v>
      </c>
      <c r="N2" s="3">
        <v>45628</v>
      </c>
      <c r="O2" s="3">
        <v>45658</v>
      </c>
      <c r="P2" s="1" t="s">
        <v>0</v>
      </c>
      <c r="Q2" s="1" t="s">
        <v>1</v>
      </c>
      <c r="R2" s="1" t="s">
        <v>27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93">
        <v>1</v>
      </c>
      <c r="B4" s="6" t="s">
        <v>108</v>
      </c>
      <c r="C4" s="7">
        <v>49.332000000000001</v>
      </c>
      <c r="D4" s="7">
        <v>50.154000000000003</v>
      </c>
      <c r="E4" s="7">
        <v>50.887</v>
      </c>
      <c r="F4" s="7">
        <v>51.667000000000002</v>
      </c>
      <c r="G4" s="7">
        <v>52.689</v>
      </c>
      <c r="H4" s="7">
        <v>53.582999999999998</v>
      </c>
      <c r="I4" s="7">
        <v>54.908000000000001</v>
      </c>
      <c r="J4" s="7">
        <v>55.021999999999998</v>
      </c>
      <c r="K4" s="7">
        <v>55.625999999999998</v>
      </c>
      <c r="L4" s="8">
        <v>55.627000000000002</v>
      </c>
      <c r="M4" s="7">
        <v>55.634</v>
      </c>
      <c r="N4" s="7">
        <v>55.634</v>
      </c>
      <c r="O4" s="7">
        <v>3.8290000000000002</v>
      </c>
      <c r="P4" s="9">
        <f>O4+N4-C4</f>
        <v>10.131</v>
      </c>
      <c r="T4" s="1">
        <v>1</v>
      </c>
      <c r="U4" s="145">
        <f t="shared" ref="U4:AF4" si="0">D4-C4</f>
        <v>0.82200000000000273</v>
      </c>
      <c r="V4" s="145">
        <f t="shared" si="0"/>
        <v>0.73299999999999699</v>
      </c>
      <c r="W4" s="145">
        <f t="shared" si="0"/>
        <v>0.78000000000000114</v>
      </c>
      <c r="X4" s="145">
        <f t="shared" si="0"/>
        <v>1.0219999999999985</v>
      </c>
      <c r="Y4" s="145">
        <f t="shared" si="0"/>
        <v>0.89399999999999835</v>
      </c>
      <c r="Z4" s="145">
        <f t="shared" si="0"/>
        <v>1.3250000000000028</v>
      </c>
      <c r="AA4" s="145">
        <f t="shared" si="0"/>
        <v>0.11399999999999721</v>
      </c>
      <c r="AB4" s="145">
        <f t="shared" si="0"/>
        <v>0.6039999999999992</v>
      </c>
      <c r="AC4" s="145">
        <f t="shared" si="0"/>
        <v>1.0000000000047748E-3</v>
      </c>
      <c r="AD4" s="145">
        <f t="shared" si="0"/>
        <v>6.9999999999978968E-3</v>
      </c>
      <c r="AE4" s="145">
        <f t="shared" si="0"/>
        <v>0</v>
      </c>
      <c r="AF4" s="145">
        <f>O4</f>
        <v>3.8290000000000002</v>
      </c>
    </row>
    <row r="5" spans="1:32" x14ac:dyDescent="0.35">
      <c r="A5" s="293"/>
      <c r="B5" s="10" t="s">
        <v>303</v>
      </c>
      <c r="C5" s="11">
        <v>44.448</v>
      </c>
      <c r="D5" s="11">
        <v>50.231000000000002</v>
      </c>
      <c r="E5" s="11">
        <v>53.820999999999998</v>
      </c>
      <c r="F5" s="11">
        <v>56.338999999999999</v>
      </c>
      <c r="G5" s="11">
        <v>57.615000000000002</v>
      </c>
      <c r="H5" s="11">
        <v>57.831000000000003</v>
      </c>
      <c r="I5" s="11">
        <v>58.073999999999998</v>
      </c>
      <c r="J5" s="11">
        <v>58.265999999999998</v>
      </c>
      <c r="K5" s="11">
        <v>58.468000000000004</v>
      </c>
      <c r="L5" s="12">
        <v>62.508000000000003</v>
      </c>
      <c r="M5" s="11">
        <v>62.694000000000003</v>
      </c>
      <c r="N5" s="11">
        <v>62.854999999999997</v>
      </c>
      <c r="O5" s="11">
        <v>67.778999999999996</v>
      </c>
      <c r="P5" s="9"/>
      <c r="Q5" s="9">
        <f>O5-C5</f>
        <v>23.330999999999996</v>
      </c>
      <c r="T5" s="1"/>
      <c r="U5" s="146"/>
      <c r="V5" s="146"/>
      <c r="W5" s="146"/>
      <c r="X5" s="146"/>
      <c r="Y5" s="146"/>
      <c r="Z5" s="159">
        <f t="shared" ref="Z5:AF19" si="1">I5-H5</f>
        <v>0.242999999999995</v>
      </c>
      <c r="AA5" s="159">
        <f t="shared" si="1"/>
        <v>0.19200000000000017</v>
      </c>
      <c r="AB5" s="159">
        <f t="shared" si="1"/>
        <v>0.20200000000000529</v>
      </c>
      <c r="AC5" s="159">
        <f t="shared" si="1"/>
        <v>4.0399999999999991</v>
      </c>
      <c r="AD5" s="159">
        <f t="shared" si="1"/>
        <v>0.18599999999999994</v>
      </c>
      <c r="AE5" s="159">
        <f t="shared" si="1"/>
        <v>0.16099999999999426</v>
      </c>
      <c r="AF5" s="159">
        <f t="shared" si="1"/>
        <v>4.9239999999999995</v>
      </c>
    </row>
    <row r="6" spans="1:32" x14ac:dyDescent="0.35">
      <c r="A6" s="294">
        <v>2</v>
      </c>
      <c r="B6" s="10" t="s">
        <v>109</v>
      </c>
      <c r="C6" s="11">
        <v>739.50400000000002</v>
      </c>
      <c r="D6" s="11">
        <v>755.43</v>
      </c>
      <c r="E6" s="11">
        <v>769.86</v>
      </c>
      <c r="F6" s="11">
        <v>788.74300000000005</v>
      </c>
      <c r="G6" s="11">
        <v>804.74</v>
      </c>
      <c r="H6" s="11">
        <v>820.06200000000001</v>
      </c>
      <c r="I6" s="11">
        <v>835.32600000000002</v>
      </c>
      <c r="J6" s="11">
        <v>846.38099999999997</v>
      </c>
      <c r="K6" s="11">
        <v>861.31500000000005</v>
      </c>
      <c r="L6" s="11">
        <v>875.875</v>
      </c>
      <c r="M6" s="11">
        <v>890.18899999999996</v>
      </c>
      <c r="N6" s="11">
        <v>904.19</v>
      </c>
      <c r="O6" s="11">
        <v>19.094999999999999</v>
      </c>
      <c r="P6" s="9">
        <f t="shared" ref="P6" si="2">O6+N6-C6</f>
        <v>183.78100000000006</v>
      </c>
      <c r="T6" s="1">
        <v>2</v>
      </c>
      <c r="U6" s="147">
        <f t="shared" ref="U6:AF6" si="3">D6-C6</f>
        <v>15.925999999999931</v>
      </c>
      <c r="V6" s="147">
        <f t="shared" si="3"/>
        <v>14.430000000000064</v>
      </c>
      <c r="W6" s="147">
        <f t="shared" si="3"/>
        <v>18.883000000000038</v>
      </c>
      <c r="X6" s="147">
        <f t="shared" si="3"/>
        <v>15.996999999999957</v>
      </c>
      <c r="Y6" s="147">
        <f t="shared" si="3"/>
        <v>15.322000000000003</v>
      </c>
      <c r="Z6" s="147">
        <f t="shared" si="3"/>
        <v>15.26400000000001</v>
      </c>
      <c r="AA6" s="147">
        <f t="shared" si="3"/>
        <v>11.05499999999995</v>
      </c>
      <c r="AB6" s="147">
        <f t="shared" si="3"/>
        <v>14.934000000000083</v>
      </c>
      <c r="AC6" s="147">
        <f t="shared" si="3"/>
        <v>14.559999999999945</v>
      </c>
      <c r="AD6" s="147">
        <f t="shared" si="3"/>
        <v>14.313999999999965</v>
      </c>
      <c r="AE6" s="147">
        <f t="shared" si="3"/>
        <v>14.00100000000009</v>
      </c>
      <c r="AF6" s="147">
        <f t="shared" ref="AF6:AF23" si="4">O6</f>
        <v>19.094999999999999</v>
      </c>
    </row>
    <row r="7" spans="1:32" x14ac:dyDescent="0.35">
      <c r="A7" s="294"/>
      <c r="B7" s="10" t="s">
        <v>304</v>
      </c>
      <c r="C7" s="11">
        <v>57.353999999999999</v>
      </c>
      <c r="D7" s="11">
        <v>62.234000000000002</v>
      </c>
      <c r="E7" s="11">
        <v>65.287000000000006</v>
      </c>
      <c r="F7" s="11">
        <v>67.647000000000006</v>
      </c>
      <c r="G7" s="11">
        <v>68.722999999999999</v>
      </c>
      <c r="H7" s="11">
        <v>69.623000000000005</v>
      </c>
      <c r="I7" s="11">
        <v>70.400999999999996</v>
      </c>
      <c r="J7" s="11">
        <v>70.822999999999993</v>
      </c>
      <c r="K7" s="11">
        <v>71.311999999999998</v>
      </c>
      <c r="L7" s="11">
        <v>71.917000000000002</v>
      </c>
      <c r="M7" s="11">
        <v>73.373999999999995</v>
      </c>
      <c r="N7" s="11">
        <v>77.841999999999999</v>
      </c>
      <c r="O7" s="11">
        <v>83.238</v>
      </c>
      <c r="P7" s="9"/>
      <c r="Q7" s="9">
        <f>O7-C7</f>
        <v>25.884</v>
      </c>
      <c r="T7" s="1"/>
      <c r="U7" s="146"/>
      <c r="V7" s="146"/>
      <c r="W7" s="146"/>
      <c r="X7" s="146"/>
      <c r="Y7" s="146"/>
      <c r="Z7" s="159">
        <f t="shared" ref="Z7:AF7" si="5">I7-H7</f>
        <v>0.77799999999999159</v>
      </c>
      <c r="AA7" s="159">
        <f t="shared" si="5"/>
        <v>0.42199999999999704</v>
      </c>
      <c r="AB7" s="159">
        <f t="shared" si="5"/>
        <v>0.48900000000000432</v>
      </c>
      <c r="AC7" s="159">
        <f t="shared" si="5"/>
        <v>0.60500000000000398</v>
      </c>
      <c r="AD7" s="159">
        <f t="shared" si="5"/>
        <v>1.4569999999999936</v>
      </c>
      <c r="AE7" s="159">
        <f t="shared" si="5"/>
        <v>4.4680000000000035</v>
      </c>
      <c r="AF7" s="159">
        <f t="shared" si="1"/>
        <v>5.3960000000000008</v>
      </c>
    </row>
    <row r="8" spans="1:32" x14ac:dyDescent="0.35">
      <c r="A8" s="294">
        <v>3</v>
      </c>
      <c r="B8" s="10" t="s">
        <v>110</v>
      </c>
      <c r="C8" s="11">
        <v>291.67899999999997</v>
      </c>
      <c r="D8" s="11">
        <v>295.83</v>
      </c>
      <c r="E8" s="11">
        <v>301.66399999999999</v>
      </c>
      <c r="F8" s="11">
        <v>307.01100000000002</v>
      </c>
      <c r="G8" s="11">
        <v>312.81799999999998</v>
      </c>
      <c r="H8" s="11">
        <v>318.65499999999997</v>
      </c>
      <c r="I8" s="11">
        <v>324.16500000000002</v>
      </c>
      <c r="J8" s="11">
        <v>329.83499999999998</v>
      </c>
      <c r="K8" s="11">
        <v>335.017</v>
      </c>
      <c r="L8" s="11">
        <v>338.76400000000001</v>
      </c>
      <c r="M8" s="11">
        <v>343.89800000000002</v>
      </c>
      <c r="N8" s="11">
        <v>348.91</v>
      </c>
      <c r="O8" s="11">
        <v>6.06</v>
      </c>
      <c r="P8" s="9">
        <f t="shared" ref="P8" si="6">O8+N8-C8</f>
        <v>63.291000000000054</v>
      </c>
      <c r="T8" s="1">
        <v>3</v>
      </c>
      <c r="U8" s="147">
        <f t="shared" ref="U8:AF8" si="7">D8-C8</f>
        <v>4.1510000000000105</v>
      </c>
      <c r="V8" s="147">
        <f t="shared" si="7"/>
        <v>5.8340000000000032</v>
      </c>
      <c r="W8" s="147">
        <f t="shared" si="7"/>
        <v>5.3470000000000368</v>
      </c>
      <c r="X8" s="147">
        <f t="shared" si="7"/>
        <v>5.8069999999999595</v>
      </c>
      <c r="Y8" s="147">
        <f t="shared" si="7"/>
        <v>5.8369999999999891</v>
      </c>
      <c r="Z8" s="147">
        <f t="shared" si="7"/>
        <v>5.5100000000000477</v>
      </c>
      <c r="AA8" s="147">
        <f t="shared" si="7"/>
        <v>5.6699999999999591</v>
      </c>
      <c r="AB8" s="147">
        <f t="shared" si="7"/>
        <v>5.1820000000000164</v>
      </c>
      <c r="AC8" s="147">
        <f t="shared" si="7"/>
        <v>3.7470000000000141</v>
      </c>
      <c r="AD8" s="147">
        <f t="shared" si="7"/>
        <v>5.1340000000000146</v>
      </c>
      <c r="AE8" s="147">
        <f t="shared" si="7"/>
        <v>5.0120000000000005</v>
      </c>
      <c r="AF8" s="147">
        <f t="shared" si="4"/>
        <v>6.06</v>
      </c>
    </row>
    <row r="9" spans="1:32" x14ac:dyDescent="0.35">
      <c r="A9" s="294"/>
      <c r="B9" s="10" t="s">
        <v>305</v>
      </c>
      <c r="C9" s="11">
        <v>43.116999999999997</v>
      </c>
      <c r="D9" s="11">
        <v>45.895000000000003</v>
      </c>
      <c r="E9" s="11">
        <v>47.664999999999999</v>
      </c>
      <c r="F9" s="11">
        <v>48.77</v>
      </c>
      <c r="G9" s="11">
        <v>49.554000000000002</v>
      </c>
      <c r="H9" s="11">
        <v>50.024999999999999</v>
      </c>
      <c r="I9" s="11">
        <v>50.442999999999998</v>
      </c>
      <c r="J9" s="11">
        <v>50.807000000000002</v>
      </c>
      <c r="K9" s="11">
        <v>51.133000000000003</v>
      </c>
      <c r="L9" s="11">
        <v>51.405000000000001</v>
      </c>
      <c r="M9" s="11">
        <v>52.929000000000002</v>
      </c>
      <c r="N9" s="11">
        <v>56.927</v>
      </c>
      <c r="O9" s="11">
        <v>60.192999999999998</v>
      </c>
      <c r="P9" s="9"/>
      <c r="Q9" s="9">
        <f>O9-C9</f>
        <v>17.076000000000001</v>
      </c>
      <c r="T9" s="1"/>
      <c r="U9" s="146"/>
      <c r="V9" s="146"/>
      <c r="W9" s="146"/>
      <c r="X9" s="146"/>
      <c r="Y9" s="146"/>
      <c r="Z9" s="159">
        <f t="shared" ref="Z9:AF9" si="8">I9-H9</f>
        <v>0.41799999999999926</v>
      </c>
      <c r="AA9" s="159">
        <f t="shared" si="8"/>
        <v>0.36400000000000432</v>
      </c>
      <c r="AB9" s="159">
        <f t="shared" si="8"/>
        <v>0.32600000000000051</v>
      </c>
      <c r="AC9" s="159">
        <f t="shared" si="8"/>
        <v>0.27199999999999847</v>
      </c>
      <c r="AD9" s="159">
        <f t="shared" si="8"/>
        <v>1.5240000000000009</v>
      </c>
      <c r="AE9" s="159">
        <f t="shared" si="8"/>
        <v>3.9979999999999976</v>
      </c>
      <c r="AF9" s="159">
        <f t="shared" si="1"/>
        <v>3.2659999999999982</v>
      </c>
    </row>
    <row r="10" spans="1:32" x14ac:dyDescent="0.35">
      <c r="A10" s="294">
        <v>4</v>
      </c>
      <c r="B10" s="10" t="s">
        <v>111</v>
      </c>
      <c r="C10" s="11">
        <v>443.67599999999999</v>
      </c>
      <c r="D10" s="11">
        <v>453.80799999999999</v>
      </c>
      <c r="E10" s="11">
        <v>463.137</v>
      </c>
      <c r="F10" s="11">
        <v>472.66699999999997</v>
      </c>
      <c r="G10" s="11">
        <v>482.13</v>
      </c>
      <c r="H10" s="11">
        <v>491.33699999999999</v>
      </c>
      <c r="I10" s="11">
        <v>500.048</v>
      </c>
      <c r="J10" s="11">
        <v>507.92700000000002</v>
      </c>
      <c r="K10" s="11">
        <v>516.53200000000004</v>
      </c>
      <c r="L10" s="11">
        <v>526.596</v>
      </c>
      <c r="M10" s="11">
        <v>537.80499999999995</v>
      </c>
      <c r="N10" s="11">
        <v>547.83000000000004</v>
      </c>
      <c r="O10" s="11">
        <v>12.77</v>
      </c>
      <c r="P10" s="9">
        <f t="shared" ref="P10" si="9">O10+N10-C10</f>
        <v>116.92400000000004</v>
      </c>
      <c r="T10" s="1">
        <v>4</v>
      </c>
      <c r="U10" s="147">
        <f t="shared" ref="U10:AF10" si="10">D10-C10</f>
        <v>10.132000000000005</v>
      </c>
      <c r="V10" s="147">
        <f t="shared" si="10"/>
        <v>9.3290000000000077</v>
      </c>
      <c r="W10" s="147">
        <f t="shared" si="10"/>
        <v>9.5299999999999727</v>
      </c>
      <c r="X10" s="147">
        <f t="shared" si="10"/>
        <v>9.4630000000000223</v>
      </c>
      <c r="Y10" s="147">
        <f t="shared" si="10"/>
        <v>9.2069999999999936</v>
      </c>
      <c r="Z10" s="147">
        <f t="shared" si="10"/>
        <v>8.7110000000000127</v>
      </c>
      <c r="AA10" s="147">
        <f t="shared" si="10"/>
        <v>7.8790000000000191</v>
      </c>
      <c r="AB10" s="147">
        <f t="shared" si="10"/>
        <v>8.6050000000000182</v>
      </c>
      <c r="AC10" s="147">
        <f t="shared" si="10"/>
        <v>10.063999999999965</v>
      </c>
      <c r="AD10" s="147">
        <f t="shared" si="10"/>
        <v>11.208999999999946</v>
      </c>
      <c r="AE10" s="147">
        <f t="shared" si="10"/>
        <v>10.025000000000091</v>
      </c>
      <c r="AF10" s="147">
        <f t="shared" si="4"/>
        <v>12.77</v>
      </c>
    </row>
    <row r="11" spans="1:32" x14ac:dyDescent="0.35">
      <c r="A11" s="294"/>
      <c r="B11" s="10" t="s">
        <v>306</v>
      </c>
      <c r="C11" s="11">
        <v>29.641999999999999</v>
      </c>
      <c r="D11" s="11">
        <v>30.995000000000001</v>
      </c>
      <c r="E11" s="11">
        <v>31.890999999999998</v>
      </c>
      <c r="F11" s="11">
        <v>32.774000000000001</v>
      </c>
      <c r="G11" s="11">
        <v>33.619</v>
      </c>
      <c r="H11" s="11">
        <v>34.402999999999999</v>
      </c>
      <c r="I11" s="11">
        <v>35.033000000000001</v>
      </c>
      <c r="J11" s="11">
        <v>35.555999999999997</v>
      </c>
      <c r="K11" s="11">
        <v>36.039000000000001</v>
      </c>
      <c r="L11" s="11">
        <v>36.704000000000001</v>
      </c>
      <c r="M11" s="11">
        <v>37.661000000000001</v>
      </c>
      <c r="N11" s="11">
        <v>39.161000000000001</v>
      </c>
      <c r="O11" s="11">
        <v>40.877000000000002</v>
      </c>
      <c r="P11" s="9"/>
      <c r="Q11" s="9">
        <f>O11-C11</f>
        <v>11.235000000000003</v>
      </c>
      <c r="T11" s="1"/>
      <c r="U11" s="146"/>
      <c r="V11" s="146"/>
      <c r="W11" s="146"/>
      <c r="X11" s="146"/>
      <c r="Y11" s="146"/>
      <c r="Z11" s="159">
        <f t="shared" ref="Z11:AF11" si="11">I11-H11</f>
        <v>0.63000000000000256</v>
      </c>
      <c r="AA11" s="159">
        <f t="shared" si="11"/>
        <v>0.52299999999999613</v>
      </c>
      <c r="AB11" s="159">
        <f t="shared" si="11"/>
        <v>0.48300000000000409</v>
      </c>
      <c r="AC11" s="159">
        <f t="shared" si="11"/>
        <v>0.66499999999999915</v>
      </c>
      <c r="AD11" s="159">
        <f t="shared" si="11"/>
        <v>0.95700000000000074</v>
      </c>
      <c r="AE11" s="159">
        <f t="shared" si="11"/>
        <v>1.5</v>
      </c>
      <c r="AF11" s="159">
        <f t="shared" si="1"/>
        <v>1.7160000000000011</v>
      </c>
    </row>
    <row r="12" spans="1:32" x14ac:dyDescent="0.35">
      <c r="A12" s="294">
        <v>5</v>
      </c>
      <c r="B12" s="10" t="s">
        <v>112</v>
      </c>
      <c r="C12" s="11">
        <v>357.07600000000002</v>
      </c>
      <c r="D12" s="11">
        <v>365</v>
      </c>
      <c r="E12" s="11">
        <v>371.83800000000002</v>
      </c>
      <c r="F12" s="11">
        <v>381.096</v>
      </c>
      <c r="G12" s="11">
        <v>389.62099999999998</v>
      </c>
      <c r="H12" s="11">
        <v>399.637</v>
      </c>
      <c r="I12" s="11">
        <v>409.14800000000002</v>
      </c>
      <c r="J12" s="11">
        <v>418.55900000000003</v>
      </c>
      <c r="K12" s="11">
        <v>428.87799999999999</v>
      </c>
      <c r="L12" s="11">
        <v>435.39499999999998</v>
      </c>
      <c r="M12" s="11">
        <v>445.28899999999999</v>
      </c>
      <c r="N12" s="11">
        <v>453.90000000000003</v>
      </c>
      <c r="O12" s="11">
        <v>9.2959999999999994</v>
      </c>
      <c r="P12" s="9">
        <f t="shared" ref="P12" si="12">O12+N12-C12</f>
        <v>106.12</v>
      </c>
      <c r="T12" s="1">
        <v>5</v>
      </c>
      <c r="U12" s="147">
        <f t="shared" ref="U12:AF12" si="13">D12-C12</f>
        <v>7.9239999999999782</v>
      </c>
      <c r="V12" s="147">
        <f t="shared" si="13"/>
        <v>6.8380000000000223</v>
      </c>
      <c r="W12" s="147">
        <f t="shared" si="13"/>
        <v>9.2579999999999814</v>
      </c>
      <c r="X12" s="147">
        <f t="shared" si="13"/>
        <v>8.5249999999999773</v>
      </c>
      <c r="Y12" s="147">
        <f t="shared" si="13"/>
        <v>10.01600000000002</v>
      </c>
      <c r="Z12" s="147">
        <f t="shared" si="13"/>
        <v>9.5110000000000241</v>
      </c>
      <c r="AA12" s="147">
        <f t="shared" si="13"/>
        <v>9.4110000000000014</v>
      </c>
      <c r="AB12" s="147">
        <f t="shared" si="13"/>
        <v>10.31899999999996</v>
      </c>
      <c r="AC12" s="147">
        <f t="shared" si="13"/>
        <v>6.5169999999999959</v>
      </c>
      <c r="AD12" s="147">
        <f t="shared" si="13"/>
        <v>9.8940000000000055</v>
      </c>
      <c r="AE12" s="147">
        <f t="shared" si="13"/>
        <v>8.6110000000000468</v>
      </c>
      <c r="AF12" s="147">
        <f t="shared" si="4"/>
        <v>9.2959999999999994</v>
      </c>
    </row>
    <row r="13" spans="1:32" x14ac:dyDescent="0.35">
      <c r="A13" s="294"/>
      <c r="B13" s="10" t="s">
        <v>307</v>
      </c>
      <c r="C13" s="11">
        <v>37.944000000000003</v>
      </c>
      <c r="D13" s="11">
        <v>41.89</v>
      </c>
      <c r="E13" s="11">
        <v>44.018999999999998</v>
      </c>
      <c r="F13" s="11">
        <v>46.107999999999997</v>
      </c>
      <c r="G13" s="11">
        <v>47.2</v>
      </c>
      <c r="H13" s="11">
        <v>47.832999999999998</v>
      </c>
      <c r="I13" s="11">
        <v>48.438000000000002</v>
      </c>
      <c r="J13" s="11">
        <v>48.984999999999999</v>
      </c>
      <c r="K13" s="11">
        <v>49.497</v>
      </c>
      <c r="L13" s="11">
        <v>49.831000000000003</v>
      </c>
      <c r="M13" s="11">
        <v>50.854999999999997</v>
      </c>
      <c r="N13" s="11">
        <v>54.139000000000003</v>
      </c>
      <c r="O13" s="11">
        <v>57.859000000000002</v>
      </c>
      <c r="P13" s="9"/>
      <c r="Q13" s="9">
        <f>O13-C13</f>
        <v>19.914999999999999</v>
      </c>
      <c r="T13" s="1"/>
      <c r="U13" s="146"/>
      <c r="V13" s="146"/>
      <c r="W13" s="146"/>
      <c r="X13" s="146"/>
      <c r="Y13" s="146"/>
      <c r="Z13" s="159">
        <f t="shared" ref="Z13:AF13" si="14">I13-H13</f>
        <v>0.60500000000000398</v>
      </c>
      <c r="AA13" s="159">
        <f t="shared" si="14"/>
        <v>0.54699999999999704</v>
      </c>
      <c r="AB13" s="159">
        <f t="shared" si="14"/>
        <v>0.51200000000000045</v>
      </c>
      <c r="AC13" s="159">
        <f t="shared" si="14"/>
        <v>0.33400000000000318</v>
      </c>
      <c r="AD13" s="159">
        <f t="shared" si="14"/>
        <v>1.0239999999999938</v>
      </c>
      <c r="AE13" s="159">
        <f t="shared" si="14"/>
        <v>3.284000000000006</v>
      </c>
      <c r="AF13" s="159">
        <f t="shared" si="1"/>
        <v>3.7199999999999989</v>
      </c>
    </row>
    <row r="14" spans="1:32" x14ac:dyDescent="0.35">
      <c r="A14" s="294">
        <v>6</v>
      </c>
      <c r="B14" s="10" t="s">
        <v>113</v>
      </c>
      <c r="C14" s="11">
        <v>375.96600000000001</v>
      </c>
      <c r="D14" s="11">
        <v>381.46800000000002</v>
      </c>
      <c r="E14" s="11">
        <v>385.76</v>
      </c>
      <c r="F14" s="11">
        <v>390.97800000000001</v>
      </c>
      <c r="G14" s="11">
        <v>395.35500000000002</v>
      </c>
      <c r="H14" s="11">
        <v>400.48399999999998</v>
      </c>
      <c r="I14" s="11">
        <v>407.41399999999999</v>
      </c>
      <c r="J14" s="11">
        <v>411.74700000000001</v>
      </c>
      <c r="K14" s="11">
        <v>416.96300000000002</v>
      </c>
      <c r="L14" s="11">
        <v>421.82299999999998</v>
      </c>
      <c r="M14" s="11">
        <v>425.90300000000002</v>
      </c>
      <c r="N14" s="11">
        <v>430.26</v>
      </c>
      <c r="O14" s="11">
        <v>7.5449999999999999</v>
      </c>
      <c r="P14" s="9">
        <f t="shared" ref="P14" si="15">O14+N14-C14</f>
        <v>61.838999999999999</v>
      </c>
      <c r="T14" s="1">
        <v>6</v>
      </c>
      <c r="U14" s="147">
        <f t="shared" ref="U14:AF14" si="16">D14-C14</f>
        <v>5.5020000000000095</v>
      </c>
      <c r="V14" s="147">
        <f t="shared" si="16"/>
        <v>4.2919999999999732</v>
      </c>
      <c r="W14" s="147">
        <f t="shared" si="16"/>
        <v>5.2180000000000177</v>
      </c>
      <c r="X14" s="147">
        <f t="shared" si="16"/>
        <v>4.3770000000000095</v>
      </c>
      <c r="Y14" s="147">
        <f t="shared" si="16"/>
        <v>5.1289999999999623</v>
      </c>
      <c r="Z14" s="147">
        <f t="shared" si="16"/>
        <v>6.9300000000000068</v>
      </c>
      <c r="AA14" s="147">
        <f t="shared" si="16"/>
        <v>4.3330000000000268</v>
      </c>
      <c r="AB14" s="147">
        <f t="shared" si="16"/>
        <v>5.2160000000000082</v>
      </c>
      <c r="AC14" s="147">
        <f t="shared" si="16"/>
        <v>4.8599999999999568</v>
      </c>
      <c r="AD14" s="147">
        <f t="shared" si="16"/>
        <v>4.0800000000000409</v>
      </c>
      <c r="AE14" s="147">
        <f t="shared" si="16"/>
        <v>4.3569999999999709</v>
      </c>
      <c r="AF14" s="147">
        <f t="shared" si="4"/>
        <v>7.5449999999999999</v>
      </c>
    </row>
    <row r="15" spans="1:32" x14ac:dyDescent="0.35">
      <c r="A15" s="294"/>
      <c r="B15" s="10" t="s">
        <v>308</v>
      </c>
      <c r="C15" s="11">
        <v>63.645000000000003</v>
      </c>
      <c r="D15" s="11">
        <v>70.400000000000006</v>
      </c>
      <c r="E15" s="11">
        <v>74.242000000000004</v>
      </c>
      <c r="F15" s="11">
        <v>76.988</v>
      </c>
      <c r="G15" s="11">
        <v>78.837999999999994</v>
      </c>
      <c r="H15" s="11">
        <v>79.320999999999998</v>
      </c>
      <c r="I15" s="11">
        <v>79.84</v>
      </c>
      <c r="J15" s="11">
        <v>80.155000000000001</v>
      </c>
      <c r="K15" s="11">
        <v>80.533000000000001</v>
      </c>
      <c r="L15" s="11">
        <v>80.905000000000001</v>
      </c>
      <c r="M15" s="11">
        <v>81.313999999999993</v>
      </c>
      <c r="N15" s="11">
        <v>85.045000000000002</v>
      </c>
      <c r="O15" s="11">
        <v>91.113</v>
      </c>
      <c r="P15" s="9"/>
      <c r="Q15" s="9">
        <f>O15-C15</f>
        <v>27.467999999999996</v>
      </c>
      <c r="T15" s="1"/>
      <c r="U15" s="146"/>
      <c r="V15" s="146"/>
      <c r="W15" s="146"/>
      <c r="X15" s="146"/>
      <c r="Y15" s="146"/>
      <c r="Z15" s="159">
        <f t="shared" ref="Z15:AF15" si="17">I15-H15</f>
        <v>0.51900000000000546</v>
      </c>
      <c r="AA15" s="159">
        <f t="shared" si="17"/>
        <v>0.31499999999999773</v>
      </c>
      <c r="AB15" s="159">
        <f t="shared" si="17"/>
        <v>0.37800000000000011</v>
      </c>
      <c r="AC15" s="159">
        <f t="shared" si="17"/>
        <v>0.37199999999999989</v>
      </c>
      <c r="AD15" s="159">
        <f t="shared" si="17"/>
        <v>0.40899999999999181</v>
      </c>
      <c r="AE15" s="159">
        <f t="shared" si="17"/>
        <v>3.7310000000000088</v>
      </c>
      <c r="AF15" s="159">
        <f t="shared" si="1"/>
        <v>6.0679999999999978</v>
      </c>
    </row>
    <row r="16" spans="1:32" x14ac:dyDescent="0.35">
      <c r="A16" s="294">
        <v>7</v>
      </c>
      <c r="B16" s="10" t="s">
        <v>114</v>
      </c>
      <c r="C16" s="11">
        <v>68.381</v>
      </c>
      <c r="D16" s="11">
        <v>69.715999999999994</v>
      </c>
      <c r="E16" s="11">
        <v>70.628</v>
      </c>
      <c r="F16" s="11">
        <v>72.061000000000007</v>
      </c>
      <c r="G16" s="11">
        <v>73.545000000000002</v>
      </c>
      <c r="H16" s="11">
        <v>74.674999999999997</v>
      </c>
      <c r="I16" s="11">
        <v>75.790000000000006</v>
      </c>
      <c r="J16" s="11">
        <v>77.052000000000007</v>
      </c>
      <c r="K16" s="11">
        <v>78.162999999999997</v>
      </c>
      <c r="L16" s="11">
        <v>79.423000000000002</v>
      </c>
      <c r="M16" s="11">
        <v>80.838999999999999</v>
      </c>
      <c r="N16" s="11">
        <v>82.07</v>
      </c>
      <c r="O16" s="11">
        <v>4.4630000000000001</v>
      </c>
      <c r="P16" s="9">
        <f t="shared" ref="P16" si="18">O16+N16-C16</f>
        <v>18.151999999999987</v>
      </c>
      <c r="T16" s="1">
        <v>7</v>
      </c>
      <c r="U16" s="147">
        <f t="shared" ref="U16:AF16" si="19">D16-C16</f>
        <v>1.3349999999999937</v>
      </c>
      <c r="V16" s="147">
        <f t="shared" si="19"/>
        <v>0.91200000000000614</v>
      </c>
      <c r="W16" s="147">
        <f t="shared" si="19"/>
        <v>1.4330000000000069</v>
      </c>
      <c r="X16" s="147">
        <f t="shared" si="19"/>
        <v>1.4839999999999947</v>
      </c>
      <c r="Y16" s="147">
        <f t="shared" si="19"/>
        <v>1.1299999999999955</v>
      </c>
      <c r="Z16" s="147">
        <f t="shared" si="19"/>
        <v>1.1150000000000091</v>
      </c>
      <c r="AA16" s="147">
        <f t="shared" si="19"/>
        <v>1.2620000000000005</v>
      </c>
      <c r="AB16" s="147">
        <f t="shared" si="19"/>
        <v>1.11099999999999</v>
      </c>
      <c r="AC16" s="147">
        <f t="shared" si="19"/>
        <v>1.2600000000000051</v>
      </c>
      <c r="AD16" s="147">
        <f t="shared" si="19"/>
        <v>1.4159999999999968</v>
      </c>
      <c r="AE16" s="147">
        <f t="shared" si="19"/>
        <v>1.2309999999999945</v>
      </c>
      <c r="AF16" s="147">
        <f t="shared" si="4"/>
        <v>4.4630000000000001</v>
      </c>
    </row>
    <row r="17" spans="1:32" x14ac:dyDescent="0.35">
      <c r="A17" s="294"/>
      <c r="B17" s="10" t="s">
        <v>309</v>
      </c>
      <c r="C17" s="11">
        <v>16.056000000000001</v>
      </c>
      <c r="D17" s="11">
        <v>17.506</v>
      </c>
      <c r="E17" s="11">
        <v>17.945</v>
      </c>
      <c r="F17" s="11">
        <v>18.149999999999999</v>
      </c>
      <c r="G17" s="11">
        <v>18.327000000000002</v>
      </c>
      <c r="H17" s="11">
        <v>18.408999999999999</v>
      </c>
      <c r="I17" s="11">
        <v>18.5</v>
      </c>
      <c r="J17" s="11">
        <v>18.579000000000001</v>
      </c>
      <c r="K17" s="11">
        <v>18.648</v>
      </c>
      <c r="L17" s="11">
        <v>18.731999999999999</v>
      </c>
      <c r="M17" s="11">
        <v>18.870999999999999</v>
      </c>
      <c r="N17" s="11">
        <v>19.66</v>
      </c>
      <c r="O17" s="11">
        <v>21.004000000000001</v>
      </c>
      <c r="P17" s="9"/>
      <c r="Q17" s="9">
        <f>O17-C17</f>
        <v>4.9480000000000004</v>
      </c>
      <c r="T17" s="1"/>
      <c r="U17" s="146"/>
      <c r="V17" s="146"/>
      <c r="W17" s="146"/>
      <c r="X17" s="146"/>
      <c r="Y17" s="146"/>
      <c r="Z17" s="159">
        <f t="shared" ref="Z17:AF17" si="20">I17-H17</f>
        <v>9.100000000000108E-2</v>
      </c>
      <c r="AA17" s="159">
        <f t="shared" si="20"/>
        <v>7.9000000000000625E-2</v>
      </c>
      <c r="AB17" s="159">
        <f t="shared" si="20"/>
        <v>6.8999999999999062E-2</v>
      </c>
      <c r="AC17" s="159">
        <f t="shared" si="20"/>
        <v>8.3999999999999631E-2</v>
      </c>
      <c r="AD17" s="159">
        <f t="shared" si="20"/>
        <v>0.13899999999999935</v>
      </c>
      <c r="AE17" s="159">
        <f t="shared" si="20"/>
        <v>0.78900000000000148</v>
      </c>
      <c r="AF17" s="159">
        <f t="shared" si="1"/>
        <v>1.3440000000000012</v>
      </c>
    </row>
    <row r="18" spans="1:32" x14ac:dyDescent="0.35">
      <c r="A18" s="294">
        <v>8</v>
      </c>
      <c r="B18" s="10" t="s">
        <v>258</v>
      </c>
      <c r="C18" s="11">
        <v>74.951999999999998</v>
      </c>
      <c r="D18" s="11">
        <v>76.099999999999994</v>
      </c>
      <c r="E18" s="11">
        <v>77.052999999999997</v>
      </c>
      <c r="F18" s="11">
        <v>78.551000000000002</v>
      </c>
      <c r="G18" s="11">
        <v>79.748999999999995</v>
      </c>
      <c r="H18" s="11">
        <v>81.316999999999993</v>
      </c>
      <c r="I18" s="11">
        <v>82.004000000000005</v>
      </c>
      <c r="J18" s="11">
        <v>83.116</v>
      </c>
      <c r="K18" s="11">
        <v>83.894999999999996</v>
      </c>
      <c r="L18" s="11">
        <v>85.531000000000006</v>
      </c>
      <c r="M18" s="11">
        <v>86.56</v>
      </c>
      <c r="N18" s="11">
        <v>87.22</v>
      </c>
      <c r="O18" s="11">
        <v>0.44600000000000001</v>
      </c>
      <c r="P18" s="9">
        <f t="shared" ref="P18" si="21">O18+N18-C18</f>
        <v>12.713999999999999</v>
      </c>
      <c r="T18" s="1">
        <v>8</v>
      </c>
      <c r="U18" s="147">
        <f t="shared" ref="U18:AF18" si="22">D18-C18</f>
        <v>1.1479999999999961</v>
      </c>
      <c r="V18" s="147">
        <f t="shared" si="22"/>
        <v>0.95300000000000296</v>
      </c>
      <c r="W18" s="147">
        <f t="shared" si="22"/>
        <v>1.4980000000000047</v>
      </c>
      <c r="X18" s="147">
        <f t="shared" si="22"/>
        <v>1.1979999999999933</v>
      </c>
      <c r="Y18" s="147">
        <f t="shared" si="22"/>
        <v>1.5679999999999978</v>
      </c>
      <c r="Z18" s="147">
        <f t="shared" si="22"/>
        <v>0.68700000000001182</v>
      </c>
      <c r="AA18" s="147">
        <f t="shared" si="22"/>
        <v>1.1119999999999948</v>
      </c>
      <c r="AB18" s="147">
        <f t="shared" si="22"/>
        <v>0.77899999999999636</v>
      </c>
      <c r="AC18" s="147">
        <f t="shared" si="22"/>
        <v>1.6360000000000099</v>
      </c>
      <c r="AD18" s="147">
        <f t="shared" si="22"/>
        <v>1.0289999999999964</v>
      </c>
      <c r="AE18" s="147">
        <f t="shared" si="22"/>
        <v>0.65999999999999659</v>
      </c>
      <c r="AF18" s="147">
        <f t="shared" si="4"/>
        <v>0.44600000000000001</v>
      </c>
    </row>
    <row r="19" spans="1:32" x14ac:dyDescent="0.35">
      <c r="A19" s="294"/>
      <c r="B19" s="10" t="s">
        <v>310</v>
      </c>
      <c r="C19" s="11">
        <v>47.293999999999997</v>
      </c>
      <c r="D19" s="11">
        <v>51.103000000000002</v>
      </c>
      <c r="E19" s="11">
        <v>53.466000000000001</v>
      </c>
      <c r="F19" s="11">
        <v>55.253</v>
      </c>
      <c r="G19" s="11">
        <v>56.173999999999999</v>
      </c>
      <c r="H19" s="11">
        <v>56.584000000000003</v>
      </c>
      <c r="I19" s="11">
        <v>56.744999999999997</v>
      </c>
      <c r="J19" s="11">
        <v>56.906999999999996</v>
      </c>
      <c r="K19" s="11">
        <v>57.057000000000002</v>
      </c>
      <c r="L19" s="11">
        <v>57.25</v>
      </c>
      <c r="M19" s="11">
        <v>58.345999999999997</v>
      </c>
      <c r="N19" s="11">
        <v>59.88</v>
      </c>
      <c r="O19" s="11">
        <v>62.223999999999997</v>
      </c>
      <c r="P19" s="9"/>
      <c r="Q19" s="9">
        <f>O19-C19</f>
        <v>14.93</v>
      </c>
      <c r="T19" s="1"/>
      <c r="U19" s="146"/>
      <c r="V19" s="146"/>
      <c r="W19" s="146"/>
      <c r="X19" s="146"/>
      <c r="Y19" s="146"/>
      <c r="Z19" s="159">
        <f t="shared" ref="Z19:AF19" si="23">I19-H19</f>
        <v>0.16099999999999426</v>
      </c>
      <c r="AA19" s="159">
        <f t="shared" si="23"/>
        <v>0.16199999999999903</v>
      </c>
      <c r="AB19" s="159">
        <f t="shared" si="23"/>
        <v>0.15000000000000568</v>
      </c>
      <c r="AC19" s="159">
        <f t="shared" si="23"/>
        <v>0.19299999999999784</v>
      </c>
      <c r="AD19" s="159">
        <f t="shared" si="23"/>
        <v>1.0959999999999965</v>
      </c>
      <c r="AE19" s="159">
        <f t="shared" si="23"/>
        <v>1.534000000000006</v>
      </c>
      <c r="AF19" s="159">
        <f t="shared" si="1"/>
        <v>2.3439999999999941</v>
      </c>
    </row>
    <row r="20" spans="1:32" x14ac:dyDescent="0.35">
      <c r="A20" s="294">
        <v>9</v>
      </c>
      <c r="B20" s="10" t="s">
        <v>115</v>
      </c>
      <c r="C20" s="11">
        <v>2.702</v>
      </c>
      <c r="D20" s="11">
        <v>2.72</v>
      </c>
      <c r="E20" s="11">
        <v>7.2480000000000002</v>
      </c>
      <c r="F20" s="11">
        <v>9.8680000000000003</v>
      </c>
      <c r="G20" s="11">
        <v>9.8889999999999993</v>
      </c>
      <c r="H20" s="11">
        <v>9.9120000000000008</v>
      </c>
      <c r="I20" s="11">
        <v>9.9380000000000006</v>
      </c>
      <c r="J20" s="11">
        <v>9.9610000000000003</v>
      </c>
      <c r="K20" s="11">
        <v>9.9930000000000003</v>
      </c>
      <c r="L20" s="11">
        <v>13.952999999999999</v>
      </c>
      <c r="M20" s="11">
        <v>17.777000000000001</v>
      </c>
      <c r="N20" s="11">
        <v>20</v>
      </c>
      <c r="O20" s="11">
        <v>7.2999999999999995E-2</v>
      </c>
      <c r="P20" s="9">
        <f t="shared" ref="P20:P22" si="24">O20+N20-C20</f>
        <v>17.371000000000002</v>
      </c>
      <c r="T20" s="1">
        <v>9</v>
      </c>
      <c r="U20" s="147">
        <f t="shared" ref="U20:AF20" si="25">D20-C20</f>
        <v>1.8000000000000238E-2</v>
      </c>
      <c r="V20" s="147">
        <f t="shared" si="25"/>
        <v>4.5280000000000005</v>
      </c>
      <c r="W20" s="147">
        <f t="shared" si="25"/>
        <v>2.62</v>
      </c>
      <c r="X20" s="147">
        <f t="shared" si="25"/>
        <v>2.0999999999999019E-2</v>
      </c>
      <c r="Y20" s="147">
        <f t="shared" si="25"/>
        <v>2.3000000000001464E-2</v>
      </c>
      <c r="Z20" s="147">
        <f t="shared" si="25"/>
        <v>2.5999999999999801E-2</v>
      </c>
      <c r="AA20" s="147">
        <f t="shared" si="25"/>
        <v>2.2999999999999687E-2</v>
      </c>
      <c r="AB20" s="147">
        <f t="shared" si="25"/>
        <v>3.2000000000000028E-2</v>
      </c>
      <c r="AC20" s="147">
        <f t="shared" si="25"/>
        <v>3.9599999999999991</v>
      </c>
      <c r="AD20" s="147">
        <f t="shared" si="25"/>
        <v>3.8240000000000016</v>
      </c>
      <c r="AE20" s="147">
        <f t="shared" si="25"/>
        <v>2.222999999999999</v>
      </c>
      <c r="AF20" s="147">
        <f t="shared" si="4"/>
        <v>7.2999999999999995E-2</v>
      </c>
    </row>
    <row r="21" spans="1:32" x14ac:dyDescent="0.35">
      <c r="A21" s="294"/>
      <c r="B21" s="10" t="s">
        <v>311</v>
      </c>
      <c r="C21" s="11">
        <v>4.2220000000000004</v>
      </c>
      <c r="D21" s="11">
        <v>4.3819999999999997</v>
      </c>
      <c r="E21" s="11">
        <v>7.3090000000000002</v>
      </c>
      <c r="F21" s="11">
        <v>8.3529999999999998</v>
      </c>
      <c r="G21" s="11">
        <v>8.5280000000000005</v>
      </c>
      <c r="H21" s="11">
        <v>8.6940000000000008</v>
      </c>
      <c r="I21" s="11">
        <v>8.8510000000000009</v>
      </c>
      <c r="J21" s="11">
        <v>9.0060000000000002</v>
      </c>
      <c r="K21" s="11">
        <v>9.1519999999999992</v>
      </c>
      <c r="L21" s="11">
        <v>9.5090000000000003</v>
      </c>
      <c r="M21" s="11">
        <v>10.265000000000001</v>
      </c>
      <c r="N21" s="11">
        <v>11.865</v>
      </c>
      <c r="O21" s="11">
        <v>12.012</v>
      </c>
      <c r="P21" s="9"/>
      <c r="Q21" s="9">
        <f>O21-C21</f>
        <v>7.79</v>
      </c>
      <c r="T21" s="1"/>
      <c r="U21" s="146"/>
      <c r="V21" s="146"/>
      <c r="W21" s="146"/>
      <c r="X21" s="146"/>
      <c r="Y21" s="146"/>
      <c r="Z21" s="159">
        <f t="shared" ref="Z21:AF23" si="26">I21-H21</f>
        <v>0.15700000000000003</v>
      </c>
      <c r="AA21" s="159">
        <f t="shared" si="26"/>
        <v>0.15499999999999936</v>
      </c>
      <c r="AB21" s="159">
        <f t="shared" si="26"/>
        <v>0.14599999999999902</v>
      </c>
      <c r="AC21" s="159">
        <f t="shared" si="26"/>
        <v>0.35700000000000109</v>
      </c>
      <c r="AD21" s="159">
        <f t="shared" si="26"/>
        <v>0.75600000000000023</v>
      </c>
      <c r="AE21" s="159">
        <f t="shared" si="26"/>
        <v>1.5999999999999996</v>
      </c>
      <c r="AF21" s="159">
        <f t="shared" si="26"/>
        <v>0.14700000000000024</v>
      </c>
    </row>
    <row r="22" spans="1:32" x14ac:dyDescent="0.35">
      <c r="A22" s="294">
        <v>10</v>
      </c>
      <c r="B22" s="10" t="s">
        <v>116</v>
      </c>
      <c r="C22" s="11">
        <v>357.404</v>
      </c>
      <c r="D22" s="11">
        <v>363.71699999999998</v>
      </c>
      <c r="E22" s="11">
        <v>370.673</v>
      </c>
      <c r="F22" s="11">
        <v>377.62599999999998</v>
      </c>
      <c r="G22" s="11">
        <v>384.35</v>
      </c>
      <c r="H22" s="11">
        <v>390.68799999999999</v>
      </c>
      <c r="I22" s="11">
        <v>397.73599999999999</v>
      </c>
      <c r="J22" s="11">
        <v>402.68900000000002</v>
      </c>
      <c r="K22" s="11">
        <v>409.62</v>
      </c>
      <c r="L22" s="11">
        <v>418.01400000000001</v>
      </c>
      <c r="M22" s="11">
        <v>426.62900000000002</v>
      </c>
      <c r="N22" s="11">
        <v>433.77</v>
      </c>
      <c r="O22" s="11">
        <v>8.359</v>
      </c>
      <c r="P22" s="9">
        <f t="shared" si="24"/>
        <v>84.724999999999966</v>
      </c>
      <c r="T22" s="1">
        <v>10</v>
      </c>
      <c r="U22" s="147">
        <f t="shared" ref="U22:AF22" si="27">D22-C22</f>
        <v>6.3129999999999882</v>
      </c>
      <c r="V22" s="147">
        <f t="shared" si="27"/>
        <v>6.9560000000000173</v>
      </c>
      <c r="W22" s="147">
        <f t="shared" si="27"/>
        <v>6.9529999999999745</v>
      </c>
      <c r="X22" s="147">
        <f t="shared" si="27"/>
        <v>6.7240000000000464</v>
      </c>
      <c r="Y22" s="147">
        <f t="shared" si="27"/>
        <v>6.3379999999999654</v>
      </c>
      <c r="Z22" s="147">
        <f t="shared" si="27"/>
        <v>7.0480000000000018</v>
      </c>
      <c r="AA22" s="147">
        <f t="shared" si="27"/>
        <v>4.9530000000000314</v>
      </c>
      <c r="AB22" s="147">
        <f t="shared" si="27"/>
        <v>6.9309999999999832</v>
      </c>
      <c r="AC22" s="147">
        <f t="shared" si="27"/>
        <v>8.3940000000000055</v>
      </c>
      <c r="AD22" s="147">
        <f t="shared" si="27"/>
        <v>8.6150000000000091</v>
      </c>
      <c r="AE22" s="147">
        <f t="shared" si="27"/>
        <v>7.1409999999999627</v>
      </c>
      <c r="AF22" s="147">
        <f t="shared" si="4"/>
        <v>8.359</v>
      </c>
    </row>
    <row r="23" spans="1:32" x14ac:dyDescent="0.35">
      <c r="A23" s="294"/>
      <c r="B23" s="10" t="s">
        <v>312</v>
      </c>
      <c r="C23" s="11">
        <v>48.341999999999999</v>
      </c>
      <c r="D23" s="11">
        <v>53.216999999999999</v>
      </c>
      <c r="E23" s="11">
        <v>55.863</v>
      </c>
      <c r="F23" s="11">
        <v>57.874000000000002</v>
      </c>
      <c r="G23" s="11">
        <v>58.38</v>
      </c>
      <c r="H23" s="11">
        <v>58.820999999999998</v>
      </c>
      <c r="I23" s="11">
        <v>59.234000000000002</v>
      </c>
      <c r="J23" s="11">
        <v>59.508000000000003</v>
      </c>
      <c r="K23" s="11">
        <v>59.814</v>
      </c>
      <c r="L23" s="11">
        <v>60.183999999999997</v>
      </c>
      <c r="M23" s="11">
        <v>61.061</v>
      </c>
      <c r="N23" s="11">
        <v>64.95</v>
      </c>
      <c r="O23" s="11">
        <v>68.947000000000003</v>
      </c>
      <c r="P23" s="13"/>
      <c r="Q23" s="98">
        <f>O23-C23</f>
        <v>20.605000000000004</v>
      </c>
      <c r="U23" s="146"/>
      <c r="V23" s="146"/>
      <c r="W23" s="146"/>
      <c r="X23" s="146"/>
      <c r="Y23" s="146"/>
      <c r="Z23" s="159">
        <f t="shared" ref="Z23:AF23" si="28">I23-H23</f>
        <v>0.41300000000000381</v>
      </c>
      <c r="AA23" s="159">
        <f t="shared" si="28"/>
        <v>0.27400000000000091</v>
      </c>
      <c r="AB23" s="159">
        <f t="shared" si="28"/>
        <v>0.30599999999999739</v>
      </c>
      <c r="AC23" s="159">
        <f t="shared" si="28"/>
        <v>0.36999999999999744</v>
      </c>
      <c r="AD23" s="159">
        <f t="shared" si="28"/>
        <v>0.87700000000000244</v>
      </c>
      <c r="AE23" s="159">
        <f t="shared" si="28"/>
        <v>3.8890000000000029</v>
      </c>
      <c r="AF23" s="159">
        <f t="shared" si="26"/>
        <v>3.9969999999999999</v>
      </c>
    </row>
    <row r="24" spans="1:32" x14ac:dyDescent="0.35">
      <c r="A24" s="114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675.048</v>
      </c>
      <c r="Q24" s="9">
        <f>SUM(Q4:Q23)</f>
        <v>173.18200000000002</v>
      </c>
    </row>
    <row r="25" spans="1:32" x14ac:dyDescent="0.35">
      <c r="A25" s="114" t="s">
        <v>15</v>
      </c>
      <c r="B25" s="10" t="s">
        <v>410</v>
      </c>
      <c r="C25" s="15">
        <v>4886</v>
      </c>
      <c r="D25" s="15">
        <v>5055</v>
      </c>
      <c r="E25" s="15">
        <v>5292</v>
      </c>
      <c r="F25" s="15">
        <v>5468</v>
      </c>
      <c r="G25" s="15">
        <v>5652</v>
      </c>
      <c r="H25" s="15">
        <v>5840</v>
      </c>
      <c r="I25" s="15">
        <v>6059</v>
      </c>
      <c r="J25" s="15">
        <v>6245</v>
      </c>
      <c r="K25" s="15">
        <v>6421</v>
      </c>
      <c r="L25" s="15">
        <v>6595</v>
      </c>
      <c r="M25" s="15">
        <v>6857</v>
      </c>
      <c r="N25" s="15">
        <v>7052</v>
      </c>
      <c r="O25" s="15">
        <v>7220</v>
      </c>
      <c r="P25" s="9"/>
      <c r="R25" s="16">
        <f>O25-C25</f>
        <v>2334</v>
      </c>
    </row>
    <row r="26" spans="1:32" x14ac:dyDescent="0.35">
      <c r="A26" s="114"/>
      <c r="B26" s="17" t="s">
        <v>117</v>
      </c>
      <c r="C26" s="18">
        <v>3172</v>
      </c>
      <c r="D26" s="18">
        <v>3232.6</v>
      </c>
      <c r="E26" s="18">
        <v>3294.8</v>
      </c>
      <c r="F26" s="18">
        <v>3366</v>
      </c>
      <c r="G26" s="18">
        <v>3430</v>
      </c>
      <c r="H26" s="18">
        <v>3493.9</v>
      </c>
      <c r="I26" s="18">
        <v>3558.9</v>
      </c>
      <c r="J26" s="18">
        <v>3611.7</v>
      </c>
      <c r="K26" s="18">
        <v>3671.6</v>
      </c>
      <c r="L26" s="18">
        <v>3733.8</v>
      </c>
      <c r="M26" s="18">
        <v>3801.3</v>
      </c>
      <c r="N26" s="18">
        <v>3862.3</v>
      </c>
      <c r="O26" s="18">
        <v>79.099999999999994</v>
      </c>
      <c r="P26" s="330">
        <f t="shared" ref="P26" si="29">O26+N26-C26</f>
        <v>769.40000000000009</v>
      </c>
    </row>
    <row r="27" spans="1:32" x14ac:dyDescent="0.35">
      <c r="A27" s="114"/>
      <c r="B27" s="17" t="s">
        <v>427</v>
      </c>
      <c r="C27" s="19">
        <v>67.3</v>
      </c>
      <c r="D27" s="19">
        <v>106.62</v>
      </c>
      <c r="E27" s="19">
        <v>132.18</v>
      </c>
      <c r="F27" s="19">
        <v>150.02000000000001</v>
      </c>
      <c r="G27" s="19">
        <v>158.13</v>
      </c>
      <c r="H27" s="19">
        <v>161.18</v>
      </c>
      <c r="I27" s="19">
        <v>163.44</v>
      </c>
      <c r="J27" s="19">
        <v>164.75</v>
      </c>
      <c r="K27" s="19">
        <v>165.96</v>
      </c>
      <c r="L27" s="19">
        <v>167.99</v>
      </c>
      <c r="M27" s="19">
        <v>174.16</v>
      </c>
      <c r="N27" s="19">
        <v>197.97</v>
      </c>
      <c r="O27" s="19">
        <v>227.97</v>
      </c>
      <c r="P27" s="9"/>
      <c r="Q27" s="9">
        <f>(O27-C27)</f>
        <v>160.67000000000002</v>
      </c>
      <c r="R27" t="s">
        <v>82</v>
      </c>
    </row>
    <row r="28" spans="1:32" ht="15" thickBot="1" x14ac:dyDescent="0.4">
      <c r="A28" s="4"/>
      <c r="B28" s="20" t="s">
        <v>16</v>
      </c>
      <c r="C28" s="21">
        <v>564</v>
      </c>
      <c r="D28" s="21">
        <v>928</v>
      </c>
      <c r="E28" s="21">
        <v>1124</v>
      </c>
      <c r="F28" s="21">
        <v>1268</v>
      </c>
      <c r="G28" s="21">
        <v>1342</v>
      </c>
      <c r="H28" s="21">
        <v>1376</v>
      </c>
      <c r="I28" s="21">
        <v>1401</v>
      </c>
      <c r="J28" s="21">
        <v>1418</v>
      </c>
      <c r="K28" s="21">
        <v>1434</v>
      </c>
      <c r="L28" s="21">
        <v>1456</v>
      </c>
      <c r="M28" s="21">
        <v>1513</v>
      </c>
      <c r="N28" s="21">
        <v>1708</v>
      </c>
      <c r="O28" s="21">
        <v>1970</v>
      </c>
      <c r="P28" s="9"/>
      <c r="Q28" s="16">
        <f>O28-C28</f>
        <v>1406</v>
      </c>
      <c r="R28" t="s">
        <v>83</v>
      </c>
    </row>
    <row r="29" spans="1:32" ht="15" thickBot="1" x14ac:dyDescent="0.4">
      <c r="A29" s="115" t="s">
        <v>118</v>
      </c>
      <c r="B29" s="22"/>
      <c r="C29" s="23">
        <v>24212</v>
      </c>
      <c r="D29" s="23">
        <v>24552.7</v>
      </c>
      <c r="E29" s="23">
        <v>24857.7</v>
      </c>
      <c r="F29" s="23">
        <v>25187.3</v>
      </c>
      <c r="G29" s="23">
        <v>25525.5</v>
      </c>
      <c r="H29" s="23">
        <v>25865</v>
      </c>
      <c r="I29" s="23">
        <v>26188.7</v>
      </c>
      <c r="J29" s="23">
        <v>26482.400000000001</v>
      </c>
      <c r="K29" s="23">
        <v>26791.4</v>
      </c>
      <c r="L29" s="23">
        <v>27107</v>
      </c>
      <c r="M29" s="23">
        <v>27434.1</v>
      </c>
      <c r="N29" s="23">
        <v>27732.5</v>
      </c>
      <c r="O29" s="23">
        <v>28101</v>
      </c>
      <c r="P29" s="9">
        <f>O29-C29</f>
        <v>3889</v>
      </c>
    </row>
    <row r="31" spans="1:32" x14ac:dyDescent="0.35">
      <c r="C31" s="1" t="s">
        <v>289</v>
      </c>
      <c r="D31" s="1"/>
      <c r="E31" s="1" t="s">
        <v>290</v>
      </c>
    </row>
    <row r="32" spans="1:32" x14ac:dyDescent="0.35">
      <c r="B32" t="s">
        <v>284</v>
      </c>
      <c r="C32">
        <v>110109308</v>
      </c>
      <c r="D32" s="1" t="s">
        <v>211</v>
      </c>
      <c r="E32">
        <v>12875</v>
      </c>
      <c r="H32" s="265" t="s">
        <v>411</v>
      </c>
      <c r="I32" s="229"/>
      <c r="J32" s="229"/>
      <c r="K32" s="229"/>
      <c r="L32" s="228" t="s">
        <v>285</v>
      </c>
      <c r="M32" s="266">
        <v>210.8</v>
      </c>
      <c r="N32" s="229" t="s">
        <v>225</v>
      </c>
      <c r="O32" s="229"/>
      <c r="P32" s="229"/>
      <c r="Q32" s="229"/>
    </row>
    <row r="33" spans="2:17" x14ac:dyDescent="0.35">
      <c r="B33" t="s">
        <v>286</v>
      </c>
      <c r="C33">
        <v>63796</v>
      </c>
      <c r="D33" s="1" t="s">
        <v>212</v>
      </c>
      <c r="E33">
        <v>4174</v>
      </c>
      <c r="H33" s="265" t="s">
        <v>412</v>
      </c>
      <c r="I33" s="229"/>
      <c r="J33" s="229"/>
      <c r="K33" s="229"/>
      <c r="L33" s="228" t="s">
        <v>285</v>
      </c>
      <c r="M33" s="266">
        <v>0</v>
      </c>
      <c r="N33" s="265" t="s">
        <v>82</v>
      </c>
      <c r="O33" s="229"/>
      <c r="P33" s="229"/>
      <c r="Q33" s="229"/>
    </row>
    <row r="34" spans="2:17" x14ac:dyDescent="0.35">
      <c r="B34" t="s">
        <v>287</v>
      </c>
      <c r="C34">
        <v>18972503</v>
      </c>
      <c r="D34" s="1" t="s">
        <v>211</v>
      </c>
      <c r="F34" s="16"/>
      <c r="J34" s="105"/>
      <c r="L34" s="229"/>
    </row>
    <row r="35" spans="2:17" x14ac:dyDescent="0.35">
      <c r="B35" t="s">
        <v>288</v>
      </c>
      <c r="C35" s="16">
        <v>1025291034</v>
      </c>
      <c r="D35" s="1" t="s">
        <v>212</v>
      </c>
    </row>
    <row r="36" spans="2:17" x14ac:dyDescent="0.35">
      <c r="B36" s="24"/>
      <c r="D36" s="25"/>
      <c r="F36" s="137"/>
      <c r="I36" s="75"/>
      <c r="J36" s="75"/>
      <c r="K36" s="75"/>
      <c r="L36" s="75"/>
      <c r="M36" s="76"/>
      <c r="N36" s="87"/>
      <c r="O36" s="75"/>
    </row>
    <row r="37" spans="2:17" x14ac:dyDescent="0.35">
      <c r="C37" s="45"/>
      <c r="D37" s="231"/>
      <c r="E37" s="1"/>
      <c r="H37" s="138"/>
      <c r="I37" s="138"/>
      <c r="J37" s="138"/>
      <c r="K37" s="138"/>
      <c r="L37" s="139"/>
      <c r="M37" s="140"/>
      <c r="N37" s="264" t="s">
        <v>414</v>
      </c>
      <c r="O37" s="75">
        <f>C29</f>
        <v>24212</v>
      </c>
    </row>
    <row r="38" spans="2:17" x14ac:dyDescent="0.35">
      <c r="C38" s="45"/>
      <c r="D38" s="232"/>
      <c r="E38" s="230"/>
      <c r="H38" s="141"/>
      <c r="I38" s="138"/>
      <c r="J38" s="138"/>
      <c r="K38" s="138"/>
      <c r="L38" s="139"/>
      <c r="M38" s="140"/>
      <c r="N38" s="210"/>
      <c r="O38" s="75"/>
    </row>
    <row r="39" spans="2:17" x14ac:dyDescent="0.35">
      <c r="D39" s="230"/>
      <c r="E39" s="230"/>
      <c r="H39" s="142"/>
      <c r="I39" s="75"/>
      <c r="J39" s="76"/>
      <c r="K39" s="75"/>
      <c r="L39" s="75"/>
      <c r="M39" s="76"/>
      <c r="N39" s="329" t="s">
        <v>444</v>
      </c>
      <c r="O39" s="75">
        <f>O29</f>
        <v>28101</v>
      </c>
    </row>
    <row r="40" spans="2:17" x14ac:dyDescent="0.35">
      <c r="D40" s="230"/>
      <c r="E40" s="230"/>
      <c r="J40" s="105"/>
      <c r="L40" s="75"/>
      <c r="N40" s="210"/>
    </row>
    <row r="41" spans="2:17" x14ac:dyDescent="0.35">
      <c r="N41" s="244" t="s">
        <v>291</v>
      </c>
      <c r="O41">
        <f>O39-O37-O38</f>
        <v>3889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4887" priority="14" stopIfTrue="1" operator="lessThan">
      <formula>$C$4</formula>
    </cfRule>
    <cfRule type="cellIs" dxfId="4886" priority="15" stopIfTrue="1" operator="equal">
      <formula>$C$4</formula>
    </cfRule>
  </conditionalFormatting>
  <conditionalFormatting sqref="D5">
    <cfRule type="cellIs" dxfId="4885" priority="18" stopIfTrue="1" operator="equal">
      <formula>$C$5</formula>
    </cfRule>
    <cfRule type="cellIs" dxfId="4884" priority="19" stopIfTrue="1" operator="lessThan">
      <formula>$C$5</formula>
    </cfRule>
  </conditionalFormatting>
  <conditionalFormatting sqref="D6">
    <cfRule type="cellIs" dxfId="4883" priority="25" stopIfTrue="1" operator="equal">
      <formula>$C$6</formula>
    </cfRule>
    <cfRule type="cellIs" dxfId="4882" priority="26" stopIfTrue="1" operator="lessThan">
      <formula>$C$6</formula>
    </cfRule>
  </conditionalFormatting>
  <conditionalFormatting sqref="D7">
    <cfRule type="cellIs" dxfId="4881" priority="39" stopIfTrue="1" operator="equal">
      <formula>$C$7</formula>
    </cfRule>
    <cfRule type="cellIs" dxfId="4880" priority="40" stopIfTrue="1" operator="lessThan">
      <formula>$C$7</formula>
    </cfRule>
  </conditionalFormatting>
  <conditionalFormatting sqref="D8">
    <cfRule type="cellIs" dxfId="4879" priority="51" stopIfTrue="1" operator="equal">
      <formula>$C$8</formula>
    </cfRule>
    <cfRule type="cellIs" dxfId="4878" priority="52" stopIfTrue="1" operator="lessThan">
      <formula>$C$8</formula>
    </cfRule>
  </conditionalFormatting>
  <conditionalFormatting sqref="D9">
    <cfRule type="cellIs" dxfId="4877" priority="65" stopIfTrue="1" operator="equal">
      <formula>$C$9</formula>
    </cfRule>
    <cfRule type="cellIs" dxfId="4876" priority="66" stopIfTrue="1" operator="lessThan">
      <formula>$C$9</formula>
    </cfRule>
  </conditionalFormatting>
  <conditionalFormatting sqref="D10">
    <cfRule type="cellIs" dxfId="4875" priority="79" stopIfTrue="1" operator="equal">
      <formula>$C$10</formula>
    </cfRule>
    <cfRule type="cellIs" dxfId="4874" priority="80" stopIfTrue="1" operator="lessThan">
      <formula>$C$10</formula>
    </cfRule>
  </conditionalFormatting>
  <conditionalFormatting sqref="D11">
    <cfRule type="cellIs" dxfId="4873" priority="93" stopIfTrue="1" operator="equal">
      <formula>$C$11</formula>
    </cfRule>
    <cfRule type="cellIs" dxfId="4872" priority="94" stopIfTrue="1" operator="lessThan">
      <formula>$C$11</formula>
    </cfRule>
  </conditionalFormatting>
  <conditionalFormatting sqref="D12">
    <cfRule type="cellIs" dxfId="4871" priority="107" stopIfTrue="1" operator="equal">
      <formula>$C$12</formula>
    </cfRule>
    <cfRule type="cellIs" dxfId="4870" priority="108" stopIfTrue="1" operator="lessThan">
      <formula>$C$12</formula>
    </cfRule>
  </conditionalFormatting>
  <conditionalFormatting sqref="D13">
    <cfRule type="cellIs" dxfId="4869" priority="239" stopIfTrue="1" operator="equal">
      <formula>$C$13</formula>
    </cfRule>
    <cfRule type="cellIs" dxfId="4868" priority="240" stopIfTrue="1" operator="lessThan">
      <formula>$C$13</formula>
    </cfRule>
  </conditionalFormatting>
  <conditionalFormatting sqref="D14">
    <cfRule type="cellIs" dxfId="4867" priority="121" stopIfTrue="1" operator="equal">
      <formula>$C$14</formula>
    </cfRule>
    <cfRule type="cellIs" dxfId="4866" priority="122" stopIfTrue="1" operator="lessThan">
      <formula>$C$14</formula>
    </cfRule>
  </conditionalFormatting>
  <conditionalFormatting sqref="D15">
    <cfRule type="cellIs" dxfId="4865" priority="123" stopIfTrue="1" operator="equal">
      <formula>$C$15</formula>
    </cfRule>
    <cfRule type="cellIs" dxfId="4864" priority="124" stopIfTrue="1" operator="lessThan">
      <formula>$C$15</formula>
    </cfRule>
  </conditionalFormatting>
  <conditionalFormatting sqref="D16">
    <cfRule type="cellIs" dxfId="4863" priority="125" stopIfTrue="1" operator="equal">
      <formula>$C$16</formula>
    </cfRule>
    <cfRule type="cellIs" dxfId="4862" priority="126" stopIfTrue="1" operator="lessThan">
      <formula>$C$16</formula>
    </cfRule>
  </conditionalFormatting>
  <conditionalFormatting sqref="D17">
    <cfRule type="cellIs" dxfId="4861" priority="127" stopIfTrue="1" operator="equal">
      <formula>$C$17</formula>
    </cfRule>
    <cfRule type="cellIs" dxfId="4860" priority="128" stopIfTrue="1" operator="lessThan">
      <formula>$C$17</formula>
    </cfRule>
  </conditionalFormatting>
  <conditionalFormatting sqref="D18">
    <cfRule type="cellIs" dxfId="4859" priority="129" stopIfTrue="1" operator="equal">
      <formula>$C$18</formula>
    </cfRule>
    <cfRule type="cellIs" dxfId="4858" priority="130" stopIfTrue="1" operator="lessThan">
      <formula>$C$18</formula>
    </cfRule>
  </conditionalFormatting>
  <conditionalFormatting sqref="D19">
    <cfRule type="cellIs" dxfId="4857" priority="131" stopIfTrue="1" operator="equal">
      <formula>$C$19</formula>
    </cfRule>
    <cfRule type="cellIs" dxfId="4856" priority="132" stopIfTrue="1" operator="lessThan">
      <formula>$C$19</formula>
    </cfRule>
  </conditionalFormatting>
  <conditionalFormatting sqref="D20">
    <cfRule type="cellIs" dxfId="4855" priority="133" stopIfTrue="1" operator="equal">
      <formula>$C$20</formula>
    </cfRule>
    <cfRule type="cellIs" dxfId="4854" priority="134" stopIfTrue="1" operator="lessThan">
      <formula>$C$20</formula>
    </cfRule>
  </conditionalFormatting>
  <conditionalFormatting sqref="D21">
    <cfRule type="cellIs" dxfId="4853" priority="135" stopIfTrue="1" operator="equal">
      <formula>$C$21</formula>
    </cfRule>
    <cfRule type="cellIs" dxfId="4852" priority="136" stopIfTrue="1" operator="lessThan">
      <formula>$C$21</formula>
    </cfRule>
  </conditionalFormatting>
  <conditionalFormatting sqref="D22">
    <cfRule type="cellIs" dxfId="4851" priority="137" stopIfTrue="1" operator="equal">
      <formula>$C$22</formula>
    </cfRule>
    <cfRule type="cellIs" dxfId="4850" priority="138" stopIfTrue="1" operator="lessThan">
      <formula>$C$22</formula>
    </cfRule>
  </conditionalFormatting>
  <conditionalFormatting sqref="D23">
    <cfRule type="cellIs" dxfId="4849" priority="139" stopIfTrue="1" operator="equal">
      <formula>$C$23</formula>
    </cfRule>
    <cfRule type="cellIs" dxfId="4848" priority="140" stopIfTrue="1" operator="lessThan">
      <formula>$C$23</formula>
    </cfRule>
  </conditionalFormatting>
  <conditionalFormatting sqref="D24">
    <cfRule type="cellIs" dxfId="4847" priority="271" stopIfTrue="1" operator="equal">
      <formula>$C$24</formula>
    </cfRule>
    <cfRule type="cellIs" dxfId="4846" priority="272" stopIfTrue="1" operator="lessThan">
      <formula>$C$24</formula>
    </cfRule>
  </conditionalFormatting>
  <conditionalFormatting sqref="D25">
    <cfRule type="cellIs" dxfId="4845" priority="141" stopIfTrue="1" operator="equal">
      <formula>$C$25</formula>
    </cfRule>
    <cfRule type="cellIs" dxfId="4844" priority="142" stopIfTrue="1" operator="lessThan">
      <formula>$C$25</formula>
    </cfRule>
  </conditionalFormatting>
  <conditionalFormatting sqref="D26">
    <cfRule type="cellIs" dxfId="4843" priority="143" stopIfTrue="1" operator="equal">
      <formula>$C$26</formula>
    </cfRule>
    <cfRule type="cellIs" dxfId="4842" priority="144" stopIfTrue="1" operator="lessThan">
      <formula>$C$26</formula>
    </cfRule>
  </conditionalFormatting>
  <conditionalFormatting sqref="D27">
    <cfRule type="cellIs" dxfId="4841" priority="145" stopIfTrue="1" operator="equal">
      <formula>$C$27</formula>
    </cfRule>
    <cfRule type="cellIs" dxfId="4840" priority="146" stopIfTrue="1" operator="lessThan">
      <formula>$C$27</formula>
    </cfRule>
  </conditionalFormatting>
  <conditionalFormatting sqref="D28">
    <cfRule type="cellIs" dxfId="4839" priority="147" stopIfTrue="1" operator="equal">
      <formula>$C$28</formula>
    </cfRule>
    <cfRule type="cellIs" dxfId="4838" priority="148" stopIfTrue="1" operator="lessThan">
      <formula>$C$28</formula>
    </cfRule>
  </conditionalFormatting>
  <conditionalFormatting sqref="D29:H29 J29">
    <cfRule type="cellIs" dxfId="4837" priority="286" stopIfTrue="1" operator="equal">
      <formula>0</formula>
    </cfRule>
  </conditionalFormatting>
  <conditionalFormatting sqref="E4">
    <cfRule type="cellIs" dxfId="4836" priority="16" stopIfTrue="1" operator="equal">
      <formula>$D$4</formula>
    </cfRule>
    <cfRule type="cellIs" dxfId="4835" priority="17" stopIfTrue="1" operator="lessThan">
      <formula>$D$4</formula>
    </cfRule>
  </conditionalFormatting>
  <conditionalFormatting sqref="E5">
    <cfRule type="cellIs" dxfId="4834" priority="281" stopIfTrue="1" operator="equal">
      <formula>$D$5</formula>
    </cfRule>
    <cfRule type="cellIs" dxfId="4833" priority="282" stopIfTrue="1" operator="lessThan">
      <formula>$D$5</formula>
    </cfRule>
  </conditionalFormatting>
  <conditionalFormatting sqref="E6">
    <cfRule type="cellIs" dxfId="4832" priority="27" stopIfTrue="1" operator="equal">
      <formula>$D$6</formula>
    </cfRule>
    <cfRule type="cellIs" dxfId="4831" priority="28" stopIfTrue="1" operator="lessThan">
      <formula>$D$6</formula>
    </cfRule>
  </conditionalFormatting>
  <conditionalFormatting sqref="E7">
    <cfRule type="cellIs" dxfId="4830" priority="41" stopIfTrue="1" operator="equal">
      <formula>$D$7</formula>
    </cfRule>
    <cfRule type="cellIs" dxfId="4829" priority="42" stopIfTrue="1" operator="lessThan">
      <formula>$D$7</formula>
    </cfRule>
  </conditionalFormatting>
  <conditionalFormatting sqref="E8">
    <cfRule type="cellIs" dxfId="4828" priority="53" stopIfTrue="1" operator="equal">
      <formula>$D$8</formula>
    </cfRule>
    <cfRule type="cellIs" dxfId="4827" priority="54" stopIfTrue="1" operator="lessThan">
      <formula>$D$8</formula>
    </cfRule>
  </conditionalFormatting>
  <conditionalFormatting sqref="E9">
    <cfRule type="cellIs" dxfId="4826" priority="67" stopIfTrue="1" operator="equal">
      <formula>$D$9</formula>
    </cfRule>
    <cfRule type="cellIs" dxfId="4825" priority="68" stopIfTrue="1" operator="lessThan">
      <formula>$D$9</formula>
    </cfRule>
  </conditionalFormatting>
  <conditionalFormatting sqref="E10">
    <cfRule type="cellIs" dxfId="4824" priority="81" stopIfTrue="1" operator="equal">
      <formula>$D$10</formula>
    </cfRule>
    <cfRule type="cellIs" dxfId="4823" priority="82" stopIfTrue="1" operator="lessThan">
      <formula>$D$10</formula>
    </cfRule>
  </conditionalFormatting>
  <conditionalFormatting sqref="E11">
    <cfRule type="cellIs" dxfId="4822" priority="95" stopIfTrue="1" operator="equal">
      <formula>$D$11</formula>
    </cfRule>
    <cfRule type="cellIs" dxfId="4821" priority="96" stopIfTrue="1" operator="lessThan">
      <formula>$D$11</formula>
    </cfRule>
  </conditionalFormatting>
  <conditionalFormatting sqref="E12">
    <cfRule type="cellIs" dxfId="4820" priority="109" stopIfTrue="1" operator="equal">
      <formula>$D$12</formula>
    </cfRule>
    <cfRule type="cellIs" dxfId="4819" priority="110" stopIfTrue="1" operator="lessThan">
      <formula>$D$12</formula>
    </cfRule>
  </conditionalFormatting>
  <conditionalFormatting sqref="E13">
    <cfRule type="cellIs" dxfId="4818" priority="149" stopIfTrue="1" operator="equal">
      <formula>$D$13</formula>
    </cfRule>
    <cfRule type="cellIs" dxfId="4817" priority="150" stopIfTrue="1" operator="lessThan">
      <formula>$D$13</formula>
    </cfRule>
  </conditionalFormatting>
  <conditionalFormatting sqref="E14">
    <cfRule type="cellIs" dxfId="4816" priority="151" stopIfTrue="1" operator="equal">
      <formula>$D$14</formula>
    </cfRule>
    <cfRule type="cellIs" dxfId="4815" priority="152" stopIfTrue="1" operator="lessThan">
      <formula>$D$14</formula>
    </cfRule>
  </conditionalFormatting>
  <conditionalFormatting sqref="E15">
    <cfRule type="cellIs" dxfId="4814" priority="153" stopIfTrue="1" operator="equal">
      <formula>$D$15</formula>
    </cfRule>
    <cfRule type="cellIs" dxfId="4813" priority="154" stopIfTrue="1" operator="lessThan">
      <formula>$D$15</formula>
    </cfRule>
  </conditionalFormatting>
  <conditionalFormatting sqref="E16">
    <cfRule type="cellIs" dxfId="4812" priority="155" stopIfTrue="1" operator="equal">
      <formula>$D$16</formula>
    </cfRule>
    <cfRule type="cellIs" dxfId="4811" priority="156" stopIfTrue="1" operator="lessThan">
      <formula>$D$16</formula>
    </cfRule>
  </conditionalFormatting>
  <conditionalFormatting sqref="E17">
    <cfRule type="cellIs" dxfId="4810" priority="157" stopIfTrue="1" operator="equal">
      <formula>$D$17</formula>
    </cfRule>
    <cfRule type="cellIs" dxfId="4809" priority="158" stopIfTrue="1" operator="lessThan">
      <formula>$D$17</formula>
    </cfRule>
  </conditionalFormatting>
  <conditionalFormatting sqref="E18">
    <cfRule type="cellIs" dxfId="4808" priority="159" stopIfTrue="1" operator="equal">
      <formula>$D$18</formula>
    </cfRule>
    <cfRule type="cellIs" dxfId="4807" priority="160" stopIfTrue="1" operator="lessThan">
      <formula>$D$18</formula>
    </cfRule>
  </conditionalFormatting>
  <conditionalFormatting sqref="E19">
    <cfRule type="cellIs" dxfId="4806" priority="161" stopIfTrue="1" operator="equal">
      <formula>$D$19</formula>
    </cfRule>
    <cfRule type="cellIs" dxfId="4805" priority="162" stopIfTrue="1" operator="lessThan">
      <formula>$D$19</formula>
    </cfRule>
  </conditionalFormatting>
  <conditionalFormatting sqref="E20">
    <cfRule type="cellIs" dxfId="4804" priority="163" stopIfTrue="1" operator="equal">
      <formula>$D$20</formula>
    </cfRule>
    <cfRule type="cellIs" dxfId="4803" priority="164" stopIfTrue="1" operator="lessThan">
      <formula>$D$20</formula>
    </cfRule>
  </conditionalFormatting>
  <conditionalFormatting sqref="E21">
    <cfRule type="cellIs" dxfId="4802" priority="165" stopIfTrue="1" operator="equal">
      <formula>$D$21</formula>
    </cfRule>
    <cfRule type="cellIs" dxfId="4801" priority="166" stopIfTrue="1" operator="lessThan">
      <formula>$D$21</formula>
    </cfRule>
  </conditionalFormatting>
  <conditionalFormatting sqref="E22">
    <cfRule type="cellIs" dxfId="4800" priority="167" stopIfTrue="1" operator="equal">
      <formula>$D$22</formula>
    </cfRule>
    <cfRule type="cellIs" dxfId="4799" priority="168" stopIfTrue="1" operator="lessThan">
      <formula>$D$22</formula>
    </cfRule>
  </conditionalFormatting>
  <conditionalFormatting sqref="E23">
    <cfRule type="cellIs" dxfId="4798" priority="169" stopIfTrue="1" operator="equal">
      <formula>$D$23</formula>
    </cfRule>
    <cfRule type="cellIs" dxfId="4797" priority="170" stopIfTrue="1" operator="lessThan">
      <formula>$D$23</formula>
    </cfRule>
  </conditionalFormatting>
  <conditionalFormatting sqref="E24">
    <cfRule type="cellIs" dxfId="4796" priority="273" stopIfTrue="1" operator="equal">
      <formula>$D$24</formula>
    </cfRule>
    <cfRule type="cellIs" dxfId="4795" priority="274" stopIfTrue="1" operator="lessThan">
      <formula>$D$24</formula>
    </cfRule>
  </conditionalFormatting>
  <conditionalFormatting sqref="E25">
    <cfRule type="cellIs" dxfId="4794" priority="171" stopIfTrue="1" operator="equal">
      <formula>$D$25</formula>
    </cfRule>
    <cfRule type="cellIs" dxfId="4793" priority="172" stopIfTrue="1" operator="lessThan">
      <formula>$D$25</formula>
    </cfRule>
  </conditionalFormatting>
  <conditionalFormatting sqref="E26">
    <cfRule type="cellIs" dxfId="4792" priority="173" stopIfTrue="1" operator="equal">
      <formula>$D$26</formula>
    </cfRule>
    <cfRule type="cellIs" dxfId="4791" priority="174" stopIfTrue="1" operator="lessThan">
      <formula>$D$26</formula>
    </cfRule>
  </conditionalFormatting>
  <conditionalFormatting sqref="E27">
    <cfRule type="cellIs" dxfId="4790" priority="175" stopIfTrue="1" operator="equal">
      <formula>$D$27</formula>
    </cfRule>
    <cfRule type="cellIs" dxfId="4789" priority="176" stopIfTrue="1" operator="lessThan">
      <formula>$D$27</formula>
    </cfRule>
  </conditionalFormatting>
  <conditionalFormatting sqref="E28">
    <cfRule type="cellIs" dxfId="4788" priority="177" stopIfTrue="1" operator="equal">
      <formula>$D$28</formula>
    </cfRule>
    <cfRule type="cellIs" dxfId="4787" priority="178" stopIfTrue="1" operator="lessThan">
      <formula>$D$28</formula>
    </cfRule>
  </conditionalFormatting>
  <conditionalFormatting sqref="F4">
    <cfRule type="cellIs" dxfId="4786" priority="12" stopIfTrue="1" operator="equal">
      <formula>$E$4</formula>
    </cfRule>
    <cfRule type="cellIs" dxfId="4785" priority="13" stopIfTrue="1" operator="lessThan">
      <formula>$E$4</formula>
    </cfRule>
  </conditionalFormatting>
  <conditionalFormatting sqref="F5">
    <cfRule type="cellIs" dxfId="4784" priority="20" stopIfTrue="1" operator="equal">
      <formula>$E$5</formula>
    </cfRule>
    <cfRule type="cellIs" dxfId="4783" priority="21" stopIfTrue="1" operator="lessThan">
      <formula>$E$5</formula>
    </cfRule>
  </conditionalFormatting>
  <conditionalFormatting sqref="F6">
    <cfRule type="cellIs" dxfId="4782" priority="29" stopIfTrue="1" operator="equal">
      <formula>$E$6</formula>
    </cfRule>
    <cfRule type="cellIs" dxfId="4781" priority="30" stopIfTrue="1" operator="lessThan">
      <formula>$E$6</formula>
    </cfRule>
  </conditionalFormatting>
  <conditionalFormatting sqref="F7">
    <cfRule type="cellIs" dxfId="4780" priority="43" stopIfTrue="1" operator="equal">
      <formula>$E$7</formula>
    </cfRule>
    <cfRule type="cellIs" dxfId="4779" priority="44" stopIfTrue="1" operator="lessThan">
      <formula>$E$7</formula>
    </cfRule>
  </conditionalFormatting>
  <conditionalFormatting sqref="F8">
    <cfRule type="cellIs" dxfId="4778" priority="55" stopIfTrue="1" operator="equal">
      <formula>$E$8</formula>
    </cfRule>
    <cfRule type="cellIs" dxfId="4777" priority="56" stopIfTrue="1" operator="lessThan">
      <formula>$E$8</formula>
    </cfRule>
  </conditionalFormatting>
  <conditionalFormatting sqref="F9">
    <cfRule type="cellIs" dxfId="4776" priority="69" stopIfTrue="1" operator="equal">
      <formula>$E$9</formula>
    </cfRule>
    <cfRule type="cellIs" dxfId="4775" priority="70" stopIfTrue="1" operator="lessThan">
      <formula>$E$9</formula>
    </cfRule>
  </conditionalFormatting>
  <conditionalFormatting sqref="F10">
    <cfRule type="cellIs" dxfId="4774" priority="83" stopIfTrue="1" operator="equal">
      <formula>$E$10</formula>
    </cfRule>
    <cfRule type="cellIs" dxfId="4773" priority="84" stopIfTrue="1" operator="lessThan">
      <formula>$E$10</formula>
    </cfRule>
  </conditionalFormatting>
  <conditionalFormatting sqref="F11">
    <cfRule type="cellIs" dxfId="4772" priority="97" stopIfTrue="1" operator="equal">
      <formula>$E$11</formula>
    </cfRule>
    <cfRule type="cellIs" dxfId="4771" priority="98" stopIfTrue="1" operator="lessThan">
      <formula>$E$11</formula>
    </cfRule>
  </conditionalFormatting>
  <conditionalFormatting sqref="F12">
    <cfRule type="cellIs" dxfId="4770" priority="111" stopIfTrue="1" operator="equal">
      <formula>$E$12</formula>
    </cfRule>
    <cfRule type="cellIs" dxfId="4769" priority="112" stopIfTrue="1" operator="lessThan">
      <formula>$E$12</formula>
    </cfRule>
  </conditionalFormatting>
  <conditionalFormatting sqref="F13">
    <cfRule type="cellIs" dxfId="4768" priority="179" stopIfTrue="1" operator="equal">
      <formula>$E$13</formula>
    </cfRule>
    <cfRule type="cellIs" dxfId="4767" priority="180" stopIfTrue="1" operator="lessThan">
      <formula>$E$13</formula>
    </cfRule>
  </conditionalFormatting>
  <conditionalFormatting sqref="F14">
    <cfRule type="cellIs" dxfId="4766" priority="181" stopIfTrue="1" operator="equal">
      <formula>$E$14</formula>
    </cfRule>
    <cfRule type="cellIs" dxfId="4765" priority="182" stopIfTrue="1" operator="lessThan">
      <formula>$E$14</formula>
    </cfRule>
  </conditionalFormatting>
  <conditionalFormatting sqref="F15">
    <cfRule type="cellIs" dxfId="4764" priority="183" stopIfTrue="1" operator="equal">
      <formula>$E$15</formula>
    </cfRule>
    <cfRule type="cellIs" dxfId="4763" priority="184" stopIfTrue="1" operator="lessThan">
      <formula>$E$15</formula>
    </cfRule>
  </conditionalFormatting>
  <conditionalFormatting sqref="F16">
    <cfRule type="cellIs" dxfId="4762" priority="185" stopIfTrue="1" operator="equal">
      <formula>$E$16</formula>
    </cfRule>
    <cfRule type="cellIs" dxfId="4761" priority="186" stopIfTrue="1" operator="lessThan">
      <formula>$E$16</formula>
    </cfRule>
  </conditionalFormatting>
  <conditionalFormatting sqref="F17">
    <cfRule type="cellIs" dxfId="4760" priority="187" stopIfTrue="1" operator="equal">
      <formula>$E$17</formula>
    </cfRule>
    <cfRule type="cellIs" dxfId="4759" priority="188" stopIfTrue="1" operator="lessThan">
      <formula>$E$17</formula>
    </cfRule>
  </conditionalFormatting>
  <conditionalFormatting sqref="F18">
    <cfRule type="cellIs" dxfId="4758" priority="189" stopIfTrue="1" operator="equal">
      <formula>$E$18</formula>
    </cfRule>
    <cfRule type="cellIs" dxfId="4757" priority="190" stopIfTrue="1" operator="lessThan">
      <formula>$E$18</formula>
    </cfRule>
  </conditionalFormatting>
  <conditionalFormatting sqref="F19">
    <cfRule type="cellIs" dxfId="4756" priority="191" stopIfTrue="1" operator="equal">
      <formula>$E$19</formula>
    </cfRule>
    <cfRule type="cellIs" dxfId="4755" priority="192" stopIfTrue="1" operator="lessThan">
      <formula>$E$19</formula>
    </cfRule>
  </conditionalFormatting>
  <conditionalFormatting sqref="F20">
    <cfRule type="cellIs" dxfId="4754" priority="193" stopIfTrue="1" operator="equal">
      <formula>$E$20</formula>
    </cfRule>
    <cfRule type="cellIs" dxfId="4753" priority="194" stopIfTrue="1" operator="lessThan">
      <formula>$E$20</formula>
    </cfRule>
  </conditionalFormatting>
  <conditionalFormatting sqref="F21">
    <cfRule type="cellIs" dxfId="4752" priority="195" stopIfTrue="1" operator="equal">
      <formula>$E$21</formula>
    </cfRule>
    <cfRule type="cellIs" dxfId="4751" priority="196" stopIfTrue="1" operator="lessThan">
      <formula>$E$21</formula>
    </cfRule>
  </conditionalFormatting>
  <conditionalFormatting sqref="F22">
    <cfRule type="cellIs" dxfId="4750" priority="197" stopIfTrue="1" operator="equal">
      <formula>$E$22</formula>
    </cfRule>
    <cfRule type="cellIs" dxfId="4749" priority="198" stopIfTrue="1" operator="lessThan">
      <formula>$E$22</formula>
    </cfRule>
  </conditionalFormatting>
  <conditionalFormatting sqref="F23">
    <cfRule type="cellIs" dxfId="4748" priority="199" stopIfTrue="1" operator="equal">
      <formula>$E$23</formula>
    </cfRule>
    <cfRule type="cellIs" dxfId="4747" priority="200" stopIfTrue="1" operator="lessThan">
      <formula>$E$23</formula>
    </cfRule>
  </conditionalFormatting>
  <conditionalFormatting sqref="F24">
    <cfRule type="cellIs" dxfId="4746" priority="275" stopIfTrue="1" operator="equal">
      <formula>$E$24</formula>
    </cfRule>
    <cfRule type="cellIs" dxfId="4745" priority="276" stopIfTrue="1" operator="lessThan">
      <formula>$E$24</formula>
    </cfRule>
  </conditionalFormatting>
  <conditionalFormatting sqref="F25">
    <cfRule type="cellIs" dxfId="4744" priority="201" stopIfTrue="1" operator="equal">
      <formula>$E$25</formula>
    </cfRule>
    <cfRule type="cellIs" dxfId="4743" priority="202" stopIfTrue="1" operator="lessThan">
      <formula>$E$25</formula>
    </cfRule>
  </conditionalFormatting>
  <conditionalFormatting sqref="F26">
    <cfRule type="cellIs" dxfId="4742" priority="203" stopIfTrue="1" operator="equal">
      <formula>$E$26</formula>
    </cfRule>
    <cfRule type="cellIs" dxfId="4741" priority="204" stopIfTrue="1" operator="lessThan">
      <formula>$E$26</formula>
    </cfRule>
  </conditionalFormatting>
  <conditionalFormatting sqref="F27">
    <cfRule type="cellIs" dxfId="4740" priority="205" stopIfTrue="1" operator="equal">
      <formula>$E$27</formula>
    </cfRule>
    <cfRule type="cellIs" dxfId="4739" priority="206" stopIfTrue="1" operator="lessThan">
      <formula>$E$27</formula>
    </cfRule>
  </conditionalFormatting>
  <conditionalFormatting sqref="F28">
    <cfRule type="cellIs" dxfId="4738" priority="207" stopIfTrue="1" operator="equal">
      <formula>$E$28</formula>
    </cfRule>
    <cfRule type="cellIs" dxfId="4737" priority="208" stopIfTrue="1" operator="lessThan">
      <formula>$E$28</formula>
    </cfRule>
  </conditionalFormatting>
  <conditionalFormatting sqref="G4">
    <cfRule type="cellIs" dxfId="4736" priority="285" stopIfTrue="1" operator="equal">
      <formula>$F$4</formula>
    </cfRule>
  </conditionalFormatting>
  <conditionalFormatting sqref="G5">
    <cfRule type="cellIs" dxfId="4735" priority="283" stopIfTrue="1" operator="equal">
      <formula>$F$5</formula>
    </cfRule>
    <cfRule type="cellIs" dxfId="4734" priority="284" stopIfTrue="1" operator="lessThan">
      <formula>$F$5</formula>
    </cfRule>
  </conditionalFormatting>
  <conditionalFormatting sqref="G6">
    <cfRule type="cellIs" dxfId="4733" priority="31" stopIfTrue="1" operator="equal">
      <formula>$F$6</formula>
    </cfRule>
    <cfRule type="cellIs" dxfId="4732" priority="32" stopIfTrue="1" operator="lessThan">
      <formula>$F$6</formula>
    </cfRule>
  </conditionalFormatting>
  <conditionalFormatting sqref="G7">
    <cfRule type="cellIs" dxfId="4731" priority="4" stopIfTrue="1" operator="equal">
      <formula>$F$7</formula>
    </cfRule>
    <cfRule type="cellIs" dxfId="4730" priority="5" stopIfTrue="1" operator="lessThan">
      <formula>$F$7</formula>
    </cfRule>
  </conditionalFormatting>
  <conditionalFormatting sqref="G8">
    <cfRule type="cellIs" dxfId="4729" priority="57" stopIfTrue="1" operator="equal">
      <formula>$F$8</formula>
    </cfRule>
    <cfRule type="cellIs" dxfId="4728" priority="58" stopIfTrue="1" operator="lessThan">
      <formula>$F$8</formula>
    </cfRule>
  </conditionalFormatting>
  <conditionalFormatting sqref="G9">
    <cfRule type="cellIs" dxfId="4727" priority="71" stopIfTrue="1" operator="equal">
      <formula>$F$9</formula>
    </cfRule>
    <cfRule type="cellIs" dxfId="4726" priority="72" stopIfTrue="1" operator="lessThan">
      <formula>$F$9</formula>
    </cfRule>
  </conditionalFormatting>
  <conditionalFormatting sqref="G10">
    <cfRule type="cellIs" dxfId="4725" priority="85" stopIfTrue="1" operator="equal">
      <formula>$F$10</formula>
    </cfRule>
    <cfRule type="cellIs" dxfId="4724" priority="86" stopIfTrue="1" operator="lessThan">
      <formula>$F$10</formula>
    </cfRule>
  </conditionalFormatting>
  <conditionalFormatting sqref="G11">
    <cfRule type="cellIs" dxfId="4723" priority="99" stopIfTrue="1" operator="equal">
      <formula>$F$11</formula>
    </cfRule>
    <cfRule type="cellIs" dxfId="4722" priority="100" stopIfTrue="1" operator="lessThan">
      <formula>$F$11</formula>
    </cfRule>
  </conditionalFormatting>
  <conditionalFormatting sqref="G12">
    <cfRule type="cellIs" dxfId="4721" priority="113" stopIfTrue="1" operator="equal">
      <formula>$F$12</formula>
    </cfRule>
    <cfRule type="cellIs" dxfId="4720" priority="114" stopIfTrue="1" operator="lessThan">
      <formula>$F$12</formula>
    </cfRule>
  </conditionalFormatting>
  <conditionalFormatting sqref="G13">
    <cfRule type="cellIs" dxfId="4719" priority="209" stopIfTrue="1" operator="equal">
      <formula>$F$13</formula>
    </cfRule>
    <cfRule type="cellIs" dxfId="4718" priority="210" stopIfTrue="1" operator="lessThan">
      <formula>$F$13</formula>
    </cfRule>
  </conditionalFormatting>
  <conditionalFormatting sqref="G14">
    <cfRule type="cellIs" dxfId="4717" priority="211" stopIfTrue="1" operator="equal">
      <formula>$F$14</formula>
    </cfRule>
    <cfRule type="cellIs" dxfId="4716" priority="212" stopIfTrue="1" operator="lessThan">
      <formula>$F$14</formula>
    </cfRule>
  </conditionalFormatting>
  <conditionalFormatting sqref="G15">
    <cfRule type="cellIs" dxfId="4715" priority="213" stopIfTrue="1" operator="equal">
      <formula>$F$15</formula>
    </cfRule>
    <cfRule type="cellIs" dxfId="4714" priority="214" stopIfTrue="1" operator="lessThan">
      <formula>$F$15</formula>
    </cfRule>
  </conditionalFormatting>
  <conditionalFormatting sqref="G16">
    <cfRule type="cellIs" dxfId="4713" priority="215" stopIfTrue="1" operator="equal">
      <formula>$F$16</formula>
    </cfRule>
    <cfRule type="cellIs" dxfId="4712" priority="216" stopIfTrue="1" operator="lessThan">
      <formula>$F$16</formula>
    </cfRule>
  </conditionalFormatting>
  <conditionalFormatting sqref="G17">
    <cfRule type="cellIs" dxfId="4711" priority="217" stopIfTrue="1" operator="equal">
      <formula>$F$17</formula>
    </cfRule>
    <cfRule type="cellIs" dxfId="4710" priority="218" stopIfTrue="1" operator="lessThan">
      <formula>$F$17</formula>
    </cfRule>
  </conditionalFormatting>
  <conditionalFormatting sqref="G18">
    <cfRule type="cellIs" dxfId="4709" priority="219" stopIfTrue="1" operator="equal">
      <formula>$F$18</formula>
    </cfRule>
    <cfRule type="cellIs" dxfId="4708" priority="220" stopIfTrue="1" operator="lessThan">
      <formula>$F$18</formula>
    </cfRule>
  </conditionalFormatting>
  <conditionalFormatting sqref="G19">
    <cfRule type="cellIs" dxfId="4707" priority="221" stopIfTrue="1" operator="equal">
      <formula>$F$19</formula>
    </cfRule>
    <cfRule type="cellIs" dxfId="4706" priority="222" stopIfTrue="1" operator="lessThan">
      <formula>$F$19</formula>
    </cfRule>
  </conditionalFormatting>
  <conditionalFormatting sqref="G20">
    <cfRule type="cellIs" dxfId="4705" priority="223" stopIfTrue="1" operator="equal">
      <formula>$F$20</formula>
    </cfRule>
    <cfRule type="cellIs" dxfId="4704" priority="224" stopIfTrue="1" operator="lessThan">
      <formula>$F$20</formula>
    </cfRule>
  </conditionalFormatting>
  <conditionalFormatting sqref="G21">
    <cfRule type="cellIs" dxfId="4703" priority="225" stopIfTrue="1" operator="equal">
      <formula>$F$21</formula>
    </cfRule>
    <cfRule type="cellIs" dxfId="4702" priority="226" stopIfTrue="1" operator="lessThan">
      <formula>$F$21</formula>
    </cfRule>
  </conditionalFormatting>
  <conditionalFormatting sqref="G22">
    <cfRule type="cellIs" dxfId="4701" priority="227" stopIfTrue="1" operator="equal">
      <formula>$F$22</formula>
    </cfRule>
    <cfRule type="cellIs" dxfId="4700" priority="228" stopIfTrue="1" operator="lessThan">
      <formula>$F$22</formula>
    </cfRule>
  </conditionalFormatting>
  <conditionalFormatting sqref="G23">
    <cfRule type="cellIs" dxfId="4699" priority="229" stopIfTrue="1" operator="equal">
      <formula>$F$23</formula>
    </cfRule>
    <cfRule type="cellIs" dxfId="4698" priority="230" stopIfTrue="1" operator="lessThan">
      <formula>$F$23</formula>
    </cfRule>
  </conditionalFormatting>
  <conditionalFormatting sqref="G24">
    <cfRule type="cellIs" dxfId="4697" priority="277" stopIfTrue="1" operator="equal">
      <formula>$F$24</formula>
    </cfRule>
    <cfRule type="cellIs" dxfId="4696" priority="278" stopIfTrue="1" operator="lessThan">
      <formula>$F$24</formula>
    </cfRule>
  </conditionalFormatting>
  <conditionalFormatting sqref="G25">
    <cfRule type="cellIs" dxfId="4695" priority="231" stopIfTrue="1" operator="equal">
      <formula>$F$25</formula>
    </cfRule>
    <cfRule type="cellIs" dxfId="4694" priority="232" stopIfTrue="1" operator="lessThan">
      <formula>$F$25</formula>
    </cfRule>
  </conditionalFormatting>
  <conditionalFormatting sqref="G26">
    <cfRule type="cellIs" dxfId="4693" priority="233" stopIfTrue="1" operator="equal">
      <formula>$F$26</formula>
    </cfRule>
    <cfRule type="cellIs" dxfId="4692" priority="234" stopIfTrue="1" operator="lessThan">
      <formula>$F$26</formula>
    </cfRule>
  </conditionalFormatting>
  <conditionalFormatting sqref="G27">
    <cfRule type="cellIs" dxfId="4691" priority="235" stopIfTrue="1" operator="equal">
      <formula>$F$27</formula>
    </cfRule>
    <cfRule type="cellIs" dxfId="4690" priority="236" stopIfTrue="1" operator="lessThan">
      <formula>$F$27</formula>
    </cfRule>
  </conditionalFormatting>
  <conditionalFormatting sqref="G28">
    <cfRule type="cellIs" dxfId="4689" priority="237" stopIfTrue="1" operator="equal">
      <formula>$F$28</formula>
    </cfRule>
    <cfRule type="cellIs" dxfId="4688" priority="238" stopIfTrue="1" operator="lessThan">
      <formula>$F$28</formula>
    </cfRule>
  </conditionalFormatting>
  <conditionalFormatting sqref="H4">
    <cfRule type="cellIs" dxfId="4687" priority="2" stopIfTrue="1" operator="lessThan">
      <formula>$G$4</formula>
    </cfRule>
    <cfRule type="cellIs" dxfId="4686" priority="3" stopIfTrue="1" operator="equal">
      <formula>$G$4</formula>
    </cfRule>
  </conditionalFormatting>
  <conditionalFormatting sqref="H5">
    <cfRule type="cellIs" dxfId="4685" priority="6" stopIfTrue="1" operator="equal">
      <formula>$G$5</formula>
    </cfRule>
    <cfRule type="cellIs" dxfId="4684" priority="7" stopIfTrue="1" operator="lessThan">
      <formula>$G$5</formula>
    </cfRule>
  </conditionalFormatting>
  <conditionalFormatting sqref="H6">
    <cfRule type="cellIs" dxfId="4683" priority="33" stopIfTrue="1" operator="equal">
      <formula>$G$6</formula>
    </cfRule>
    <cfRule type="cellIs" dxfId="4682" priority="34" stopIfTrue="1" operator="lessThan">
      <formula>$G$6</formula>
    </cfRule>
  </conditionalFormatting>
  <conditionalFormatting sqref="H7">
    <cfRule type="cellIs" dxfId="4681" priority="45" stopIfTrue="1" operator="equal">
      <formula>$G$7</formula>
    </cfRule>
    <cfRule type="cellIs" dxfId="4680" priority="46" stopIfTrue="1" operator="lessThan">
      <formula>$G$7</formula>
    </cfRule>
  </conditionalFormatting>
  <conditionalFormatting sqref="H8">
    <cfRule type="cellIs" dxfId="4679" priority="59" stopIfTrue="1" operator="equal">
      <formula>$G$8</formula>
    </cfRule>
    <cfRule type="cellIs" dxfId="4678" priority="60" stopIfTrue="1" operator="lessThan">
      <formula>$G$8</formula>
    </cfRule>
  </conditionalFormatting>
  <conditionalFormatting sqref="H9">
    <cfRule type="cellIs" dxfId="4677" priority="73" stopIfTrue="1" operator="equal">
      <formula>$G$9</formula>
    </cfRule>
    <cfRule type="cellIs" dxfId="4676" priority="74" stopIfTrue="1" operator="lessThan">
      <formula>$G$9</formula>
    </cfRule>
  </conditionalFormatting>
  <conditionalFormatting sqref="H10">
    <cfRule type="cellIs" dxfId="4675" priority="87" stopIfTrue="1" operator="equal">
      <formula>$G$10</formula>
    </cfRule>
    <cfRule type="cellIs" dxfId="4674" priority="88" stopIfTrue="1" operator="lessThan">
      <formula>$G$10</formula>
    </cfRule>
  </conditionalFormatting>
  <conditionalFormatting sqref="H11">
    <cfRule type="cellIs" dxfId="4673" priority="101" stopIfTrue="1" operator="equal">
      <formula>$G$11</formula>
    </cfRule>
    <cfRule type="cellIs" dxfId="4672" priority="102" stopIfTrue="1" operator="lessThan">
      <formula>$G$11</formula>
    </cfRule>
  </conditionalFormatting>
  <conditionalFormatting sqref="H12">
    <cfRule type="cellIs" dxfId="4671" priority="115" stopIfTrue="1" operator="equal">
      <formula>$G$12</formula>
    </cfRule>
    <cfRule type="cellIs" dxfId="4670" priority="116" stopIfTrue="1" operator="lessThan">
      <formula>$G$12</formula>
    </cfRule>
  </conditionalFormatting>
  <conditionalFormatting sqref="H13">
    <cfRule type="cellIs" dxfId="4669" priority="241" stopIfTrue="1" operator="equal">
      <formula>$G$13</formula>
    </cfRule>
    <cfRule type="cellIs" dxfId="4668" priority="242" stopIfTrue="1" operator="lessThan">
      <formula>$G$13</formula>
    </cfRule>
  </conditionalFormatting>
  <conditionalFormatting sqref="H14">
    <cfRule type="cellIs" dxfId="4667" priority="243" stopIfTrue="1" operator="equal">
      <formula>$G$14</formula>
    </cfRule>
    <cfRule type="cellIs" dxfId="4666" priority="244" stopIfTrue="1" operator="lessThan">
      <formula>$G$14</formula>
    </cfRule>
  </conditionalFormatting>
  <conditionalFormatting sqref="H15">
    <cfRule type="cellIs" dxfId="4665" priority="245" stopIfTrue="1" operator="equal">
      <formula>$G$15</formula>
    </cfRule>
    <cfRule type="cellIs" dxfId="4664" priority="246" stopIfTrue="1" operator="lessThan">
      <formula>$G$15</formula>
    </cfRule>
  </conditionalFormatting>
  <conditionalFormatting sqref="H16">
    <cfRule type="cellIs" dxfId="4663" priority="247" stopIfTrue="1" operator="equal">
      <formula>$G$16</formula>
    </cfRule>
    <cfRule type="cellIs" dxfId="4662" priority="248" stopIfTrue="1" operator="lessThan">
      <formula>$G$16</formula>
    </cfRule>
  </conditionalFormatting>
  <conditionalFormatting sqref="H17">
    <cfRule type="cellIs" dxfId="4661" priority="249" stopIfTrue="1" operator="equal">
      <formula>$G$17</formula>
    </cfRule>
    <cfRule type="cellIs" dxfId="4660" priority="250" stopIfTrue="1" operator="lessThan">
      <formula>$G$17</formula>
    </cfRule>
  </conditionalFormatting>
  <conditionalFormatting sqref="H18">
    <cfRule type="cellIs" dxfId="4659" priority="251" stopIfTrue="1" operator="equal">
      <formula>$G$18</formula>
    </cfRule>
    <cfRule type="cellIs" dxfId="4658" priority="252" stopIfTrue="1" operator="lessThan">
      <formula>$G$18</formula>
    </cfRule>
  </conditionalFormatting>
  <conditionalFormatting sqref="H19">
    <cfRule type="cellIs" dxfId="4657" priority="253" stopIfTrue="1" operator="equal">
      <formula>$G$19</formula>
    </cfRule>
    <cfRule type="cellIs" dxfId="4656" priority="254" stopIfTrue="1" operator="lessThan">
      <formula>$G$19</formula>
    </cfRule>
  </conditionalFormatting>
  <conditionalFormatting sqref="H20">
    <cfRule type="cellIs" dxfId="4655" priority="255" stopIfTrue="1" operator="equal">
      <formula>$G$20</formula>
    </cfRule>
    <cfRule type="cellIs" dxfId="4654" priority="256" stopIfTrue="1" operator="lessThan">
      <formula>$G$20</formula>
    </cfRule>
  </conditionalFormatting>
  <conditionalFormatting sqref="H21">
    <cfRule type="cellIs" dxfId="4653" priority="257" stopIfTrue="1" operator="equal">
      <formula>$G$21</formula>
    </cfRule>
    <cfRule type="cellIs" dxfId="4652" priority="258" stopIfTrue="1" operator="lessThan">
      <formula>$G$21</formula>
    </cfRule>
  </conditionalFormatting>
  <conditionalFormatting sqref="H22">
    <cfRule type="cellIs" dxfId="4651" priority="259" stopIfTrue="1" operator="equal">
      <formula>$G$22</formula>
    </cfRule>
    <cfRule type="cellIs" dxfId="4650" priority="260" stopIfTrue="1" operator="lessThan">
      <formula>$G$22</formula>
    </cfRule>
  </conditionalFormatting>
  <conditionalFormatting sqref="H23">
    <cfRule type="cellIs" dxfId="4649" priority="261" stopIfTrue="1" operator="equal">
      <formula>$G$23</formula>
    </cfRule>
    <cfRule type="cellIs" dxfId="4648" priority="262" stopIfTrue="1" operator="lessThan">
      <formula>$G$23</formula>
    </cfRule>
  </conditionalFormatting>
  <conditionalFormatting sqref="H24">
    <cfRule type="cellIs" dxfId="4647" priority="279" stopIfTrue="1" operator="equal">
      <formula>$G$24</formula>
    </cfRule>
    <cfRule type="cellIs" dxfId="4646" priority="280" stopIfTrue="1" operator="lessThan">
      <formula>$G$24</formula>
    </cfRule>
  </conditionalFormatting>
  <conditionalFormatting sqref="H25">
    <cfRule type="cellIs" dxfId="4645" priority="263" stopIfTrue="1" operator="equal">
      <formula>$G$25</formula>
    </cfRule>
    <cfRule type="cellIs" dxfId="4644" priority="264" stopIfTrue="1" operator="lessThan">
      <formula>$G$25</formula>
    </cfRule>
  </conditionalFormatting>
  <conditionalFormatting sqref="H26">
    <cfRule type="cellIs" dxfId="4643" priority="265" stopIfTrue="1" operator="equal">
      <formula>$G$26</formula>
    </cfRule>
    <cfRule type="cellIs" dxfId="4642" priority="266" stopIfTrue="1" operator="lessThan">
      <formula>$G$26</formula>
    </cfRule>
  </conditionalFormatting>
  <conditionalFormatting sqref="H27">
    <cfRule type="cellIs" dxfId="4641" priority="267" stopIfTrue="1" operator="equal">
      <formula>$G$27</formula>
    </cfRule>
    <cfRule type="cellIs" dxfId="4640" priority="268" stopIfTrue="1" operator="lessThan">
      <formula>$G$27</formula>
    </cfRule>
  </conditionalFormatting>
  <conditionalFormatting sqref="H28">
    <cfRule type="cellIs" dxfId="4639" priority="269" stopIfTrue="1" operator="equal">
      <formula>$G$28</formula>
    </cfRule>
    <cfRule type="cellIs" dxfId="4638" priority="270" stopIfTrue="1" operator="lessThan">
      <formula>$G$28</formula>
    </cfRule>
  </conditionalFormatting>
  <conditionalFormatting sqref="I4">
    <cfRule type="cellIs" dxfId="4637" priority="22" stopIfTrue="1" operator="equal">
      <formula>$H$4</formula>
    </cfRule>
  </conditionalFormatting>
  <conditionalFormatting sqref="I5">
    <cfRule type="cellIs" dxfId="4636" priority="8" stopIfTrue="1" operator="equal">
      <formula>$H$5</formula>
    </cfRule>
    <cfRule type="cellIs" dxfId="4635" priority="9" stopIfTrue="1" operator="lessThan">
      <formula>$H$5</formula>
    </cfRule>
  </conditionalFormatting>
  <conditionalFormatting sqref="I6">
    <cfRule type="cellIs" dxfId="4634" priority="35" stopIfTrue="1" operator="equal">
      <formula>$H$6</formula>
    </cfRule>
    <cfRule type="cellIs" dxfId="4633" priority="36" stopIfTrue="1" operator="lessThan">
      <formula>$H$6</formula>
    </cfRule>
  </conditionalFormatting>
  <conditionalFormatting sqref="I7">
    <cfRule type="cellIs" dxfId="4632" priority="47" stopIfTrue="1" operator="equal">
      <formula>$H$7</formula>
    </cfRule>
    <cfRule type="cellIs" dxfId="4631" priority="48" stopIfTrue="1" operator="lessThan">
      <formula>$H$7</formula>
    </cfRule>
  </conditionalFormatting>
  <conditionalFormatting sqref="I8">
    <cfRule type="cellIs" dxfId="4630" priority="61" stopIfTrue="1" operator="equal">
      <formula>$H$8</formula>
    </cfRule>
    <cfRule type="cellIs" dxfId="4629" priority="62" stopIfTrue="1" operator="lessThan">
      <formula>$H$8</formula>
    </cfRule>
  </conditionalFormatting>
  <conditionalFormatting sqref="I9">
    <cfRule type="cellIs" dxfId="4628" priority="75" stopIfTrue="1" operator="equal">
      <formula>$H$9</formula>
    </cfRule>
    <cfRule type="cellIs" dxfId="4627" priority="76" stopIfTrue="1" operator="lessThan">
      <formula>$H$9</formula>
    </cfRule>
  </conditionalFormatting>
  <conditionalFormatting sqref="I10">
    <cfRule type="cellIs" dxfId="4626" priority="89" stopIfTrue="1" operator="equal">
      <formula>$H$10</formula>
    </cfRule>
    <cfRule type="cellIs" dxfId="4625" priority="90" stopIfTrue="1" operator="lessThan">
      <formula>$H$10</formula>
    </cfRule>
  </conditionalFormatting>
  <conditionalFormatting sqref="I11">
    <cfRule type="cellIs" dxfId="4624" priority="103" stopIfTrue="1" operator="equal">
      <formula>$H$11</formula>
    </cfRule>
    <cfRule type="cellIs" dxfId="4623" priority="104" stopIfTrue="1" operator="lessThan">
      <formula>$H$11</formula>
    </cfRule>
  </conditionalFormatting>
  <conditionalFormatting sqref="I12">
    <cfRule type="cellIs" dxfId="4622" priority="117" stopIfTrue="1" operator="equal">
      <formula>$H$12</formula>
    </cfRule>
    <cfRule type="cellIs" dxfId="4621" priority="118" stopIfTrue="1" operator="lessThan">
      <formula>$H$12</formula>
    </cfRule>
  </conditionalFormatting>
  <conditionalFormatting sqref="I13">
    <cfRule type="cellIs" dxfId="4620" priority="287" stopIfTrue="1" operator="equal">
      <formula>$H$13</formula>
    </cfRule>
    <cfRule type="cellIs" dxfId="4619" priority="288" stopIfTrue="1" operator="lessThan">
      <formula>$H$13</formula>
    </cfRule>
  </conditionalFormatting>
  <conditionalFormatting sqref="I14">
    <cfRule type="cellIs" dxfId="4618" priority="289" stopIfTrue="1" operator="equal">
      <formula>$H$14</formula>
    </cfRule>
    <cfRule type="cellIs" dxfId="4617" priority="290" stopIfTrue="1" operator="lessThan">
      <formula>$H$14</formula>
    </cfRule>
  </conditionalFormatting>
  <conditionalFormatting sqref="I15">
    <cfRule type="cellIs" dxfId="4616" priority="291" stopIfTrue="1" operator="equal">
      <formula>$H$15</formula>
    </cfRule>
    <cfRule type="cellIs" dxfId="4615" priority="292" stopIfTrue="1" operator="lessThan">
      <formula>$H$15</formula>
    </cfRule>
  </conditionalFormatting>
  <conditionalFormatting sqref="I16">
    <cfRule type="cellIs" dxfId="4614" priority="293" stopIfTrue="1" operator="equal">
      <formula>$H$16</formula>
    </cfRule>
    <cfRule type="cellIs" dxfId="4613" priority="294" stopIfTrue="1" operator="lessThan">
      <formula>$H$16</formula>
    </cfRule>
  </conditionalFormatting>
  <conditionalFormatting sqref="I17">
    <cfRule type="cellIs" dxfId="4612" priority="295" stopIfTrue="1" operator="equal">
      <formula>$H$17</formula>
    </cfRule>
    <cfRule type="cellIs" dxfId="4611" priority="296" stopIfTrue="1" operator="lessThan">
      <formula>$H$17</formula>
    </cfRule>
  </conditionalFormatting>
  <conditionalFormatting sqref="I18">
    <cfRule type="cellIs" dxfId="4610" priority="297" stopIfTrue="1" operator="equal">
      <formula>$H$18</formula>
    </cfRule>
    <cfRule type="cellIs" dxfId="4609" priority="298" stopIfTrue="1" operator="lessThan">
      <formula>$H$18</formula>
    </cfRule>
  </conditionalFormatting>
  <conditionalFormatting sqref="I19">
    <cfRule type="cellIs" dxfId="4608" priority="299" stopIfTrue="1" operator="equal">
      <formula>$H$19</formula>
    </cfRule>
    <cfRule type="cellIs" dxfId="4607" priority="300" stopIfTrue="1" operator="lessThan">
      <formula>$H$19</formula>
    </cfRule>
  </conditionalFormatting>
  <conditionalFormatting sqref="I20">
    <cfRule type="cellIs" dxfId="4606" priority="301" stopIfTrue="1" operator="equal">
      <formula>$H$20</formula>
    </cfRule>
    <cfRule type="cellIs" dxfId="4605" priority="302" stopIfTrue="1" operator="lessThan">
      <formula>$H$20</formula>
    </cfRule>
  </conditionalFormatting>
  <conditionalFormatting sqref="I21">
    <cfRule type="cellIs" dxfId="4604" priority="303" stopIfTrue="1" operator="equal">
      <formula>$H$21</formula>
    </cfRule>
    <cfRule type="cellIs" dxfId="4603" priority="304" stopIfTrue="1" operator="lessThan">
      <formula>$H$21</formula>
    </cfRule>
  </conditionalFormatting>
  <conditionalFormatting sqref="I22">
    <cfRule type="cellIs" dxfId="4602" priority="305" stopIfTrue="1" operator="equal">
      <formula>$H$22</formula>
    </cfRule>
    <cfRule type="cellIs" dxfId="4601" priority="306" stopIfTrue="1" operator="lessThan">
      <formula>$H$22</formula>
    </cfRule>
  </conditionalFormatting>
  <conditionalFormatting sqref="I23">
    <cfRule type="cellIs" dxfId="4600" priority="307" stopIfTrue="1" operator="equal">
      <formula>$H$23</formula>
    </cfRule>
    <cfRule type="cellIs" dxfId="4599" priority="308" stopIfTrue="1" operator="lessThan">
      <formula>$H$23</formula>
    </cfRule>
  </conditionalFormatting>
  <conditionalFormatting sqref="I24">
    <cfRule type="cellIs" dxfId="4598" priority="309" stopIfTrue="1" operator="equal">
      <formula>$H$24</formula>
    </cfRule>
    <cfRule type="cellIs" dxfId="4597" priority="310" stopIfTrue="1" operator="lessThan">
      <formula>$H$24</formula>
    </cfRule>
  </conditionalFormatting>
  <conditionalFormatting sqref="I25">
    <cfRule type="cellIs" dxfId="4596" priority="311" stopIfTrue="1" operator="equal">
      <formula>$H$25</formula>
    </cfRule>
    <cfRule type="cellIs" dxfId="4595" priority="312" stopIfTrue="1" operator="lessThan">
      <formula>$H$25</formula>
    </cfRule>
  </conditionalFormatting>
  <conditionalFormatting sqref="I26">
    <cfRule type="cellIs" dxfId="4594" priority="313" stopIfTrue="1" operator="equal">
      <formula>$H$26</formula>
    </cfRule>
    <cfRule type="cellIs" dxfId="4593" priority="314" stopIfTrue="1" operator="lessThan">
      <formula>$H$26</formula>
    </cfRule>
  </conditionalFormatting>
  <conditionalFormatting sqref="I27">
    <cfRule type="cellIs" dxfId="4592" priority="315" stopIfTrue="1" operator="equal">
      <formula>$H$27</formula>
    </cfRule>
    <cfRule type="cellIs" dxfId="4591" priority="316" stopIfTrue="1" operator="lessThan">
      <formula>$H$27</formula>
    </cfRule>
  </conditionalFormatting>
  <conditionalFormatting sqref="I28">
    <cfRule type="cellIs" dxfId="4590" priority="318" stopIfTrue="1" operator="equal">
      <formula>$H$28</formula>
    </cfRule>
    <cfRule type="cellIs" dxfId="4589" priority="319" stopIfTrue="1" operator="lessThan">
      <formula>$H$28</formula>
    </cfRule>
  </conditionalFormatting>
  <conditionalFormatting sqref="I29">
    <cfRule type="cellIs" dxfId="4588" priority="320" stopIfTrue="1" operator="equal">
      <formula>$H$29</formula>
    </cfRule>
    <cfRule type="cellIs" dxfId="4587" priority="321" stopIfTrue="1" operator="lessThan">
      <formula>$H$29</formula>
    </cfRule>
  </conditionalFormatting>
  <conditionalFormatting sqref="J4">
    <cfRule type="cellIs" dxfId="4586" priority="23" stopIfTrue="1" operator="lessThan">
      <formula>$I$4</formula>
    </cfRule>
    <cfRule type="cellIs" dxfId="4585" priority="24" stopIfTrue="1" operator="equal">
      <formula>$I$4</formula>
    </cfRule>
  </conditionalFormatting>
  <conditionalFormatting sqref="J5">
    <cfRule type="cellIs" dxfId="4584" priority="10" stopIfTrue="1" operator="equal">
      <formula>$I$5</formula>
    </cfRule>
    <cfRule type="cellIs" dxfId="4583" priority="11" stopIfTrue="1" operator="lessThan">
      <formula>$I$5</formula>
    </cfRule>
  </conditionalFormatting>
  <conditionalFormatting sqref="J6">
    <cfRule type="cellIs" dxfId="4582" priority="37" stopIfTrue="1" operator="equal">
      <formula>$I$6</formula>
    </cfRule>
    <cfRule type="cellIs" dxfId="4581" priority="38" stopIfTrue="1" operator="lessThan">
      <formula>$I$6</formula>
    </cfRule>
  </conditionalFormatting>
  <conditionalFormatting sqref="J7">
    <cfRule type="cellIs" dxfId="4580" priority="49" stopIfTrue="1" operator="equal">
      <formula>$I$7</formula>
    </cfRule>
    <cfRule type="cellIs" dxfId="4579" priority="50" stopIfTrue="1" operator="lessThan">
      <formula>$I$7</formula>
    </cfRule>
  </conditionalFormatting>
  <conditionalFormatting sqref="J8">
    <cfRule type="cellIs" dxfId="4578" priority="63" stopIfTrue="1" operator="equal">
      <formula>$I$8</formula>
    </cfRule>
    <cfRule type="cellIs" dxfId="4577" priority="64" stopIfTrue="1" operator="lessThan">
      <formula>$I$8</formula>
    </cfRule>
  </conditionalFormatting>
  <conditionalFormatting sqref="J9">
    <cfRule type="cellIs" dxfId="4576" priority="77" stopIfTrue="1" operator="equal">
      <formula>$I$9</formula>
    </cfRule>
    <cfRule type="cellIs" dxfId="4575" priority="78" stopIfTrue="1" operator="lessThan">
      <formula>$I$9</formula>
    </cfRule>
  </conditionalFormatting>
  <conditionalFormatting sqref="J10">
    <cfRule type="cellIs" dxfId="4574" priority="91" stopIfTrue="1" operator="equal">
      <formula>$I$10</formula>
    </cfRule>
    <cfRule type="cellIs" dxfId="4573" priority="92" stopIfTrue="1" operator="lessThan">
      <formula>$I$10</formula>
    </cfRule>
  </conditionalFormatting>
  <conditionalFormatting sqref="J11">
    <cfRule type="cellIs" dxfId="4572" priority="105" stopIfTrue="1" operator="equal">
      <formula>$I$11</formula>
    </cfRule>
    <cfRule type="cellIs" dxfId="4571" priority="106" stopIfTrue="1" operator="lessThan">
      <formula>$I$11</formula>
    </cfRule>
  </conditionalFormatting>
  <conditionalFormatting sqref="J12">
    <cfRule type="cellIs" dxfId="4570" priority="119" stopIfTrue="1" operator="equal">
      <formula>$I$12</formula>
    </cfRule>
    <cfRule type="cellIs" dxfId="4569" priority="120" stopIfTrue="1" operator="lessThan">
      <formula>$I$12</formula>
    </cfRule>
  </conditionalFormatting>
  <conditionalFormatting sqref="J13">
    <cfRule type="cellIs" dxfId="4568" priority="322" stopIfTrue="1" operator="equal">
      <formula>$I$13</formula>
    </cfRule>
    <cfRule type="cellIs" dxfId="4567" priority="323" stopIfTrue="1" operator="lessThan">
      <formula>$I$13</formula>
    </cfRule>
  </conditionalFormatting>
  <conditionalFormatting sqref="J14">
    <cfRule type="cellIs" dxfId="4566" priority="324" stopIfTrue="1" operator="equal">
      <formula>$I$14</formula>
    </cfRule>
    <cfRule type="cellIs" dxfId="4565" priority="325" stopIfTrue="1" operator="lessThan">
      <formula>$I$14</formula>
    </cfRule>
  </conditionalFormatting>
  <conditionalFormatting sqref="J15">
    <cfRule type="cellIs" dxfId="4564" priority="326" stopIfTrue="1" operator="equal">
      <formula>$I$15</formula>
    </cfRule>
    <cfRule type="cellIs" dxfId="4563" priority="327" stopIfTrue="1" operator="lessThan">
      <formula>$I$15</formula>
    </cfRule>
  </conditionalFormatting>
  <conditionalFormatting sqref="J16">
    <cfRule type="cellIs" dxfId="4562" priority="328" stopIfTrue="1" operator="equal">
      <formula>$I$16</formula>
    </cfRule>
    <cfRule type="cellIs" dxfId="4561" priority="329" stopIfTrue="1" operator="lessThan">
      <formula>$I$16</formula>
    </cfRule>
  </conditionalFormatting>
  <conditionalFormatting sqref="J17">
    <cfRule type="cellIs" dxfId="4560" priority="330" stopIfTrue="1" operator="equal">
      <formula>$I$17</formula>
    </cfRule>
    <cfRule type="cellIs" dxfId="4559" priority="331" stopIfTrue="1" operator="lessThan">
      <formula>$I$17</formula>
    </cfRule>
  </conditionalFormatting>
  <conditionalFormatting sqref="J18">
    <cfRule type="cellIs" dxfId="4558" priority="332" stopIfTrue="1" operator="equal">
      <formula>$I$18</formula>
    </cfRule>
    <cfRule type="cellIs" dxfId="4557" priority="333" stopIfTrue="1" operator="lessThan">
      <formula>$I$18</formula>
    </cfRule>
  </conditionalFormatting>
  <conditionalFormatting sqref="J19">
    <cfRule type="cellIs" dxfId="4556" priority="334" stopIfTrue="1" operator="equal">
      <formula>$I$19</formula>
    </cfRule>
    <cfRule type="cellIs" dxfId="4555" priority="335" stopIfTrue="1" operator="lessThan">
      <formula>$I$19</formula>
    </cfRule>
  </conditionalFormatting>
  <conditionalFormatting sqref="J20">
    <cfRule type="cellIs" dxfId="4554" priority="336" stopIfTrue="1" operator="equal">
      <formula>$I$20</formula>
    </cfRule>
    <cfRule type="cellIs" dxfId="4553" priority="337" stopIfTrue="1" operator="lessThan">
      <formula>$I$20</formula>
    </cfRule>
  </conditionalFormatting>
  <conditionalFormatting sqref="J21">
    <cfRule type="cellIs" dxfId="4552" priority="338" stopIfTrue="1" operator="equal">
      <formula>$I$21</formula>
    </cfRule>
    <cfRule type="cellIs" dxfId="4551" priority="339" stopIfTrue="1" operator="lessThan">
      <formula>$I$21</formula>
    </cfRule>
  </conditionalFormatting>
  <conditionalFormatting sqref="J22">
    <cfRule type="cellIs" dxfId="4550" priority="340" stopIfTrue="1" operator="equal">
      <formula>$I$22</formula>
    </cfRule>
    <cfRule type="cellIs" dxfId="4549" priority="341" stopIfTrue="1" operator="lessThan">
      <formula>$I$22</formula>
    </cfRule>
  </conditionalFormatting>
  <conditionalFormatting sqref="J23">
    <cfRule type="cellIs" dxfId="4548" priority="342" stopIfTrue="1" operator="equal">
      <formula>$I$23</formula>
    </cfRule>
    <cfRule type="cellIs" dxfId="4547" priority="343" stopIfTrue="1" operator="lessThan">
      <formula>$I$23</formula>
    </cfRule>
  </conditionalFormatting>
  <conditionalFormatting sqref="J24">
    <cfRule type="cellIs" dxfId="4546" priority="344" stopIfTrue="1" operator="equal">
      <formula>$I$24</formula>
    </cfRule>
    <cfRule type="cellIs" dxfId="4545" priority="345" stopIfTrue="1" operator="lessThan">
      <formula>$I$24</formula>
    </cfRule>
  </conditionalFormatting>
  <conditionalFormatting sqref="J25">
    <cfRule type="cellIs" dxfId="4544" priority="346" stopIfTrue="1" operator="equal">
      <formula>$I$25</formula>
    </cfRule>
    <cfRule type="cellIs" dxfId="4543" priority="347" stopIfTrue="1" operator="lessThan">
      <formula>$I$25</formula>
    </cfRule>
  </conditionalFormatting>
  <conditionalFormatting sqref="J26">
    <cfRule type="cellIs" dxfId="4542" priority="348" stopIfTrue="1" operator="equal">
      <formula>$I$26</formula>
    </cfRule>
    <cfRule type="cellIs" dxfId="4541" priority="349" stopIfTrue="1" operator="lessThan">
      <formula>$I$26</formula>
    </cfRule>
  </conditionalFormatting>
  <conditionalFormatting sqref="J27">
    <cfRule type="cellIs" dxfId="4540" priority="350" stopIfTrue="1" operator="equal">
      <formula>$I$27</formula>
    </cfRule>
    <cfRule type="cellIs" dxfId="4539" priority="351" stopIfTrue="1" operator="lessThan">
      <formula>$I$27</formula>
    </cfRule>
  </conditionalFormatting>
  <conditionalFormatting sqref="J28">
    <cfRule type="cellIs" dxfId="4538" priority="352" stopIfTrue="1" operator="equal">
      <formula>$I$28</formula>
    </cfRule>
    <cfRule type="cellIs" dxfId="4537" priority="353" stopIfTrue="1" operator="lessThan">
      <formula>$I$28</formula>
    </cfRule>
  </conditionalFormatting>
  <conditionalFormatting sqref="K4">
    <cfRule type="cellIs" dxfId="4536" priority="354" stopIfTrue="1" operator="equal">
      <formula>$J$4</formula>
    </cfRule>
    <cfRule type="cellIs" dxfId="4535" priority="355" stopIfTrue="1" operator="lessThan">
      <formula>$J$4</formula>
    </cfRule>
  </conditionalFormatting>
  <conditionalFormatting sqref="K5">
    <cfRule type="cellIs" dxfId="4534" priority="356" stopIfTrue="1" operator="equal">
      <formula>$J$5</formula>
    </cfRule>
    <cfRule type="cellIs" dxfId="4533" priority="357" stopIfTrue="1" operator="lessThan">
      <formula>$J$5</formula>
    </cfRule>
  </conditionalFormatting>
  <conditionalFormatting sqref="K6">
    <cfRule type="cellIs" dxfId="4532" priority="358" stopIfTrue="1" operator="equal">
      <formula>$J$6</formula>
    </cfRule>
    <cfRule type="cellIs" dxfId="4531" priority="359" stopIfTrue="1" operator="lessThan">
      <formula>$J$6</formula>
    </cfRule>
  </conditionalFormatting>
  <conditionalFormatting sqref="K7">
    <cfRule type="cellIs" dxfId="4530" priority="360" stopIfTrue="1" operator="equal">
      <formula>$J$7</formula>
    </cfRule>
    <cfRule type="cellIs" dxfId="4529" priority="361" stopIfTrue="1" operator="lessThan">
      <formula>$J$7</formula>
    </cfRule>
  </conditionalFormatting>
  <conditionalFormatting sqref="K8">
    <cfRule type="cellIs" dxfId="4528" priority="362" stopIfTrue="1" operator="equal">
      <formula>$J$8</formula>
    </cfRule>
    <cfRule type="cellIs" dxfId="4527" priority="363" stopIfTrue="1" operator="lessThan">
      <formula>$J$8</formula>
    </cfRule>
  </conditionalFormatting>
  <conditionalFormatting sqref="K9">
    <cfRule type="cellIs" dxfId="4526" priority="364" stopIfTrue="1" operator="equal">
      <formula>$J$9</formula>
    </cfRule>
    <cfRule type="cellIs" dxfId="4525" priority="365" stopIfTrue="1" operator="lessThan">
      <formula>$J$9</formula>
    </cfRule>
  </conditionalFormatting>
  <conditionalFormatting sqref="K10">
    <cfRule type="cellIs" dxfId="4524" priority="366" stopIfTrue="1" operator="equal">
      <formula>$J$10</formula>
    </cfRule>
    <cfRule type="cellIs" dxfId="4523" priority="367" stopIfTrue="1" operator="lessThan">
      <formula>$J$10</formula>
    </cfRule>
  </conditionalFormatting>
  <conditionalFormatting sqref="K11">
    <cfRule type="cellIs" dxfId="4522" priority="368" stopIfTrue="1" operator="equal">
      <formula>$J$11</formula>
    </cfRule>
    <cfRule type="cellIs" dxfId="4521" priority="369" stopIfTrue="1" operator="lessThan">
      <formula>$J$11</formula>
    </cfRule>
  </conditionalFormatting>
  <conditionalFormatting sqref="K12">
    <cfRule type="cellIs" dxfId="4520" priority="370" stopIfTrue="1" operator="equal">
      <formula>$J$12</formula>
    </cfRule>
    <cfRule type="cellIs" dxfId="4519" priority="371" stopIfTrue="1" operator="lessThan">
      <formula>$J$12</formula>
    </cfRule>
  </conditionalFormatting>
  <conditionalFormatting sqref="K13">
    <cfRule type="cellIs" dxfId="4518" priority="372" stopIfTrue="1" operator="equal">
      <formula>$J$13</formula>
    </cfRule>
    <cfRule type="cellIs" dxfId="4517" priority="373" stopIfTrue="1" operator="lessThan">
      <formula>$J$13</formula>
    </cfRule>
  </conditionalFormatting>
  <conditionalFormatting sqref="K14">
    <cfRule type="cellIs" dxfId="4516" priority="374" stopIfTrue="1" operator="equal">
      <formula>$J$14</formula>
    </cfRule>
    <cfRule type="cellIs" dxfId="4515" priority="375" stopIfTrue="1" operator="lessThan">
      <formula>$J$14</formula>
    </cfRule>
  </conditionalFormatting>
  <conditionalFormatting sqref="K15">
    <cfRule type="cellIs" dxfId="4514" priority="376" stopIfTrue="1" operator="equal">
      <formula>$J$15</formula>
    </cfRule>
    <cfRule type="cellIs" dxfId="4513" priority="377" stopIfTrue="1" operator="lessThan">
      <formula>$J$15</formula>
    </cfRule>
  </conditionalFormatting>
  <conditionalFormatting sqref="K16">
    <cfRule type="cellIs" dxfId="4512" priority="378" stopIfTrue="1" operator="equal">
      <formula>$J$16</formula>
    </cfRule>
    <cfRule type="cellIs" dxfId="4511" priority="379" stopIfTrue="1" operator="lessThan">
      <formula>$J$16</formula>
    </cfRule>
  </conditionalFormatting>
  <conditionalFormatting sqref="K17">
    <cfRule type="cellIs" dxfId="4510" priority="380" stopIfTrue="1" operator="equal">
      <formula>$J$17</formula>
    </cfRule>
    <cfRule type="cellIs" dxfId="4509" priority="381" stopIfTrue="1" operator="lessThan">
      <formula>$J$17</formula>
    </cfRule>
  </conditionalFormatting>
  <conditionalFormatting sqref="K18">
    <cfRule type="cellIs" dxfId="4508" priority="382" stopIfTrue="1" operator="equal">
      <formula>$J$18</formula>
    </cfRule>
    <cfRule type="cellIs" dxfId="4507" priority="383" stopIfTrue="1" operator="lessThan">
      <formula>$J$18</formula>
    </cfRule>
  </conditionalFormatting>
  <conditionalFormatting sqref="K19">
    <cfRule type="cellIs" dxfId="4506" priority="384" stopIfTrue="1" operator="equal">
      <formula>$J$19</formula>
    </cfRule>
    <cfRule type="cellIs" dxfId="4505" priority="385" stopIfTrue="1" operator="lessThan">
      <formula>$J$19</formula>
    </cfRule>
  </conditionalFormatting>
  <conditionalFormatting sqref="K20">
    <cfRule type="cellIs" dxfId="4504" priority="386" stopIfTrue="1" operator="equal">
      <formula>$J$20</formula>
    </cfRule>
    <cfRule type="cellIs" dxfId="4503" priority="387" stopIfTrue="1" operator="lessThan">
      <formula>$J$20</formula>
    </cfRule>
  </conditionalFormatting>
  <conditionalFormatting sqref="K21">
    <cfRule type="cellIs" dxfId="4502" priority="388" stopIfTrue="1" operator="equal">
      <formula>$J$21</formula>
    </cfRule>
    <cfRule type="cellIs" dxfId="4501" priority="389" stopIfTrue="1" operator="lessThan">
      <formula>$J$21</formula>
    </cfRule>
  </conditionalFormatting>
  <conditionalFormatting sqref="K22">
    <cfRule type="cellIs" dxfId="4500" priority="390" stopIfTrue="1" operator="equal">
      <formula>$J$22</formula>
    </cfRule>
    <cfRule type="cellIs" dxfId="4499" priority="391" stopIfTrue="1" operator="lessThan">
      <formula>$J$22</formula>
    </cfRule>
  </conditionalFormatting>
  <conditionalFormatting sqref="K23">
    <cfRule type="cellIs" dxfId="4498" priority="392" stopIfTrue="1" operator="equal">
      <formula>$J$23</formula>
    </cfRule>
    <cfRule type="cellIs" dxfId="4497" priority="393" stopIfTrue="1" operator="lessThan">
      <formula>$J$23</formula>
    </cfRule>
  </conditionalFormatting>
  <conditionalFormatting sqref="K24">
    <cfRule type="cellIs" dxfId="4496" priority="394" stopIfTrue="1" operator="equal">
      <formula>$J$24</formula>
    </cfRule>
    <cfRule type="cellIs" dxfId="4495" priority="395" stopIfTrue="1" operator="lessThan">
      <formula>$J$24</formula>
    </cfRule>
  </conditionalFormatting>
  <conditionalFormatting sqref="K25">
    <cfRule type="cellIs" dxfId="4494" priority="396" stopIfTrue="1" operator="equal">
      <formula>$J$25</formula>
    </cfRule>
    <cfRule type="cellIs" dxfId="4493" priority="397" stopIfTrue="1" operator="lessThan">
      <formula>$J$25</formula>
    </cfRule>
  </conditionalFormatting>
  <conditionalFormatting sqref="K26">
    <cfRule type="cellIs" dxfId="4492" priority="398" stopIfTrue="1" operator="equal">
      <formula>$J$26</formula>
    </cfRule>
    <cfRule type="cellIs" dxfId="4491" priority="399" stopIfTrue="1" operator="lessThan">
      <formula>$J$26</formula>
    </cfRule>
  </conditionalFormatting>
  <conditionalFormatting sqref="K27">
    <cfRule type="cellIs" dxfId="4490" priority="400" stopIfTrue="1" operator="equal">
      <formula>$J$27</formula>
    </cfRule>
    <cfRule type="cellIs" dxfId="4489" priority="401" stopIfTrue="1" operator="lessThan">
      <formula>$J$27</formula>
    </cfRule>
  </conditionalFormatting>
  <conditionalFormatting sqref="K28">
    <cfRule type="cellIs" dxfId="4488" priority="402" stopIfTrue="1" operator="lessThan">
      <formula>$J$28</formula>
    </cfRule>
    <cfRule type="cellIs" dxfId="4487" priority="403" stopIfTrue="1" operator="equal">
      <formula>$J$28</formula>
    </cfRule>
  </conditionalFormatting>
  <conditionalFormatting sqref="K29">
    <cfRule type="cellIs" dxfId="4486" priority="404" stopIfTrue="1" operator="equal">
      <formula>$J$29</formula>
    </cfRule>
    <cfRule type="cellIs" dxfId="4485" priority="405" stopIfTrue="1" operator="lessThan">
      <formula>$J$29</formula>
    </cfRule>
  </conditionalFormatting>
  <conditionalFormatting sqref="L4">
    <cfRule type="cellIs" dxfId="4484" priority="406" stopIfTrue="1" operator="equal">
      <formula>$K$4</formula>
    </cfRule>
    <cfRule type="cellIs" dxfId="4483" priority="407" stopIfTrue="1" operator="lessThan">
      <formula>$K$4</formula>
    </cfRule>
  </conditionalFormatting>
  <conditionalFormatting sqref="L5">
    <cfRule type="cellIs" dxfId="4482" priority="408" stopIfTrue="1" operator="equal">
      <formula>$K$5</formula>
    </cfRule>
    <cfRule type="cellIs" dxfId="4481" priority="409" stopIfTrue="1" operator="lessThan">
      <formula>$K$5</formula>
    </cfRule>
  </conditionalFormatting>
  <conditionalFormatting sqref="L6">
    <cfRule type="cellIs" dxfId="4480" priority="410" stopIfTrue="1" operator="equal">
      <formula>$K$6</formula>
    </cfRule>
    <cfRule type="cellIs" dxfId="4479" priority="411" stopIfTrue="1" operator="lessThan">
      <formula>$K$6</formula>
    </cfRule>
  </conditionalFormatting>
  <conditionalFormatting sqref="L7">
    <cfRule type="cellIs" dxfId="4478" priority="412" stopIfTrue="1" operator="equal">
      <formula>$K$7</formula>
    </cfRule>
    <cfRule type="cellIs" dxfId="4477" priority="413" stopIfTrue="1" operator="lessThan">
      <formula>$K$7</formula>
    </cfRule>
  </conditionalFormatting>
  <conditionalFormatting sqref="L8">
    <cfRule type="cellIs" dxfId="4476" priority="414" stopIfTrue="1" operator="equal">
      <formula>$K$8</formula>
    </cfRule>
    <cfRule type="cellIs" dxfId="4475" priority="415" stopIfTrue="1" operator="lessThan">
      <formula>$K$8</formula>
    </cfRule>
  </conditionalFormatting>
  <conditionalFormatting sqref="L9">
    <cfRule type="cellIs" dxfId="4474" priority="416" stopIfTrue="1" operator="equal">
      <formula>$K$9</formula>
    </cfRule>
    <cfRule type="cellIs" dxfId="4473" priority="417" stopIfTrue="1" operator="lessThan">
      <formula>$K$9</formula>
    </cfRule>
  </conditionalFormatting>
  <conditionalFormatting sqref="L10">
    <cfRule type="cellIs" dxfId="4472" priority="418" stopIfTrue="1" operator="equal">
      <formula>$K$10</formula>
    </cfRule>
    <cfRule type="cellIs" dxfId="4471" priority="419" stopIfTrue="1" operator="lessThan">
      <formula>$K$10</formula>
    </cfRule>
  </conditionalFormatting>
  <conditionalFormatting sqref="L11">
    <cfRule type="cellIs" dxfId="4470" priority="440" stopIfTrue="1" operator="equal">
      <formula>$K$11</formula>
    </cfRule>
    <cfRule type="cellIs" dxfId="4469" priority="441" stopIfTrue="1" operator="lessThan">
      <formula>$K$11</formula>
    </cfRule>
  </conditionalFormatting>
  <conditionalFormatting sqref="L12">
    <cfRule type="cellIs" dxfId="4468" priority="420" stopIfTrue="1" operator="equal">
      <formula>$K$12</formula>
    </cfRule>
    <cfRule type="cellIs" dxfId="4467" priority="421" stopIfTrue="1" operator="lessThan">
      <formula>$K$12</formula>
    </cfRule>
  </conditionalFormatting>
  <conditionalFormatting sqref="L13">
    <cfRule type="cellIs" dxfId="4466" priority="422" stopIfTrue="1" operator="equal">
      <formula>$K$13</formula>
    </cfRule>
    <cfRule type="cellIs" dxfId="4465" priority="423" stopIfTrue="1" operator="lessThan">
      <formula>$K$13</formula>
    </cfRule>
  </conditionalFormatting>
  <conditionalFormatting sqref="L14">
    <cfRule type="cellIs" dxfId="4464" priority="424" stopIfTrue="1" operator="equal">
      <formula>$K$14</formula>
    </cfRule>
    <cfRule type="cellIs" dxfId="4463" priority="425" stopIfTrue="1" operator="lessThan">
      <formula>$K$14</formula>
    </cfRule>
  </conditionalFormatting>
  <conditionalFormatting sqref="L15">
    <cfRule type="cellIs" dxfId="4462" priority="426" stopIfTrue="1" operator="equal">
      <formula>$K$15</formula>
    </cfRule>
    <cfRule type="cellIs" dxfId="4461" priority="427" stopIfTrue="1" operator="lessThan">
      <formula>$K$15</formula>
    </cfRule>
  </conditionalFormatting>
  <conditionalFormatting sqref="L16">
    <cfRule type="cellIs" dxfId="4460" priority="428" stopIfTrue="1" operator="equal">
      <formula>$K$16</formula>
    </cfRule>
    <cfRule type="cellIs" dxfId="4459" priority="429" stopIfTrue="1" operator="lessThan">
      <formula>$K$16</formula>
    </cfRule>
  </conditionalFormatting>
  <conditionalFormatting sqref="L17">
    <cfRule type="cellIs" dxfId="4458" priority="430" stopIfTrue="1" operator="equal">
      <formula>$K$17</formula>
    </cfRule>
    <cfRule type="cellIs" dxfId="4457" priority="431" stopIfTrue="1" operator="lessThan">
      <formula>$K$17</formula>
    </cfRule>
  </conditionalFormatting>
  <conditionalFormatting sqref="L18">
    <cfRule type="cellIs" dxfId="4456" priority="432" stopIfTrue="1" operator="equal">
      <formula>$K$18</formula>
    </cfRule>
    <cfRule type="cellIs" dxfId="4455" priority="433" stopIfTrue="1" operator="lessThan">
      <formula>$K$18</formula>
    </cfRule>
  </conditionalFormatting>
  <conditionalFormatting sqref="L19">
    <cfRule type="cellIs" dxfId="4454" priority="434" stopIfTrue="1" operator="equal">
      <formula>$K$19</formula>
    </cfRule>
    <cfRule type="cellIs" dxfId="4453" priority="435" stopIfTrue="1" operator="lessThan">
      <formula>$K$19</formula>
    </cfRule>
  </conditionalFormatting>
  <conditionalFormatting sqref="L20">
    <cfRule type="cellIs" dxfId="4452" priority="436" stopIfTrue="1" operator="equal">
      <formula>$K$20</formula>
    </cfRule>
    <cfRule type="cellIs" dxfId="4451" priority="437" stopIfTrue="1" operator="lessThan">
      <formula>$K$20</formula>
    </cfRule>
  </conditionalFormatting>
  <conditionalFormatting sqref="L21">
    <cfRule type="cellIs" dxfId="4450" priority="438" stopIfTrue="1" operator="equal">
      <formula>$K$21</formula>
    </cfRule>
    <cfRule type="cellIs" dxfId="4449" priority="439" stopIfTrue="1" operator="lessThan">
      <formula>$K$21</formula>
    </cfRule>
  </conditionalFormatting>
  <conditionalFormatting sqref="L22">
    <cfRule type="cellIs" dxfId="4448" priority="442" stopIfTrue="1" operator="equal">
      <formula>$K$22</formula>
    </cfRule>
    <cfRule type="cellIs" dxfId="4447" priority="443" stopIfTrue="1" operator="lessThan">
      <formula>$K$22</formula>
    </cfRule>
  </conditionalFormatting>
  <conditionalFormatting sqref="L23">
    <cfRule type="cellIs" dxfId="4446" priority="444" stopIfTrue="1" operator="equal">
      <formula>$K$23</formula>
    </cfRule>
    <cfRule type="cellIs" dxfId="4445" priority="445" stopIfTrue="1" operator="lessThan">
      <formula>$K$23</formula>
    </cfRule>
  </conditionalFormatting>
  <conditionalFormatting sqref="L24">
    <cfRule type="cellIs" dxfId="4444" priority="446" stopIfTrue="1" operator="equal">
      <formula>$K$24</formula>
    </cfRule>
    <cfRule type="cellIs" dxfId="4443" priority="447" stopIfTrue="1" operator="lessThan">
      <formula>$K$24</formula>
    </cfRule>
  </conditionalFormatting>
  <conditionalFormatting sqref="L25">
    <cfRule type="cellIs" dxfId="4442" priority="448" stopIfTrue="1" operator="equal">
      <formula>$K$25</formula>
    </cfRule>
    <cfRule type="cellIs" dxfId="4441" priority="449" stopIfTrue="1" operator="lessThan">
      <formula>$K$25</formula>
    </cfRule>
  </conditionalFormatting>
  <conditionalFormatting sqref="L26">
    <cfRule type="cellIs" dxfId="4440" priority="450" stopIfTrue="1" operator="equal">
      <formula>$K$26</formula>
    </cfRule>
    <cfRule type="cellIs" dxfId="4439" priority="451" stopIfTrue="1" operator="lessThan">
      <formula>$K$26</formula>
    </cfRule>
  </conditionalFormatting>
  <conditionalFormatting sqref="L27">
    <cfRule type="cellIs" dxfId="4438" priority="452" stopIfTrue="1" operator="equal">
      <formula>$K$27</formula>
    </cfRule>
    <cfRule type="cellIs" dxfId="4437" priority="453" stopIfTrue="1" operator="lessThan">
      <formula>$K$27</formula>
    </cfRule>
  </conditionalFormatting>
  <conditionalFormatting sqref="L28">
    <cfRule type="cellIs" dxfId="4436" priority="454" stopIfTrue="1" operator="equal">
      <formula>$K$28</formula>
    </cfRule>
    <cfRule type="cellIs" dxfId="4435" priority="455" stopIfTrue="1" operator="lessThan">
      <formula>$K$28</formula>
    </cfRule>
  </conditionalFormatting>
  <conditionalFormatting sqref="L29">
    <cfRule type="cellIs" dxfId="4434" priority="456" stopIfTrue="1" operator="equal">
      <formula>$K$29</formula>
    </cfRule>
    <cfRule type="cellIs" dxfId="4433" priority="457" stopIfTrue="1" operator="lessThan">
      <formula>$K$29</formula>
    </cfRule>
  </conditionalFormatting>
  <conditionalFormatting sqref="M4">
    <cfRule type="cellIs" dxfId="4432" priority="458" stopIfTrue="1" operator="lessThan">
      <formula>$L$4</formula>
    </cfRule>
    <cfRule type="cellIs" dxfId="4431" priority="459" stopIfTrue="1" operator="equal">
      <formula>$L$4</formula>
    </cfRule>
  </conditionalFormatting>
  <conditionalFormatting sqref="M5">
    <cfRule type="cellIs" dxfId="4430" priority="460" stopIfTrue="1" operator="equal">
      <formula>$L$5</formula>
    </cfRule>
    <cfRule type="cellIs" dxfId="4429" priority="461" stopIfTrue="1" operator="lessThan">
      <formula>$L$5</formula>
    </cfRule>
  </conditionalFormatting>
  <conditionalFormatting sqref="M6">
    <cfRule type="cellIs" dxfId="4428" priority="462" stopIfTrue="1" operator="equal">
      <formula>$L$6</formula>
    </cfRule>
    <cfRule type="cellIs" dxfId="4427" priority="463" stopIfTrue="1" operator="lessThan">
      <formula>$L$6</formula>
    </cfRule>
  </conditionalFormatting>
  <conditionalFormatting sqref="M7">
    <cfRule type="cellIs" dxfId="4426" priority="464" stopIfTrue="1" operator="equal">
      <formula>$L$7</formula>
    </cfRule>
    <cfRule type="cellIs" dxfId="4425" priority="465" stopIfTrue="1" operator="lessThan">
      <formula>$L$7</formula>
    </cfRule>
  </conditionalFormatting>
  <conditionalFormatting sqref="M8">
    <cfRule type="cellIs" dxfId="4424" priority="466" stopIfTrue="1" operator="equal">
      <formula>$L$8</formula>
    </cfRule>
    <cfRule type="cellIs" dxfId="4423" priority="467" stopIfTrue="1" operator="lessThan">
      <formula>$L$8</formula>
    </cfRule>
  </conditionalFormatting>
  <conditionalFormatting sqref="M9">
    <cfRule type="cellIs" dxfId="4422" priority="468" stopIfTrue="1" operator="equal">
      <formula>$L$9</formula>
    </cfRule>
    <cfRule type="cellIs" dxfId="4421" priority="469" stopIfTrue="1" operator="lessThan">
      <formula>$L$9</formula>
    </cfRule>
  </conditionalFormatting>
  <conditionalFormatting sqref="M10">
    <cfRule type="cellIs" dxfId="4420" priority="470" stopIfTrue="1" operator="equal">
      <formula>$L$10</formula>
    </cfRule>
    <cfRule type="cellIs" dxfId="4419" priority="471" stopIfTrue="1" operator="lessThan">
      <formula>$L$10</formula>
    </cfRule>
  </conditionalFormatting>
  <conditionalFormatting sqref="M11">
    <cfRule type="cellIs" dxfId="4418" priority="472" stopIfTrue="1" operator="equal">
      <formula>$L$11</formula>
    </cfRule>
    <cfRule type="cellIs" dxfId="4417" priority="473" stopIfTrue="1" operator="lessThan">
      <formula>$L$11</formula>
    </cfRule>
  </conditionalFormatting>
  <conditionalFormatting sqref="M12">
    <cfRule type="cellIs" dxfId="4416" priority="474" stopIfTrue="1" operator="equal">
      <formula>$L$12</formula>
    </cfRule>
    <cfRule type="cellIs" dxfId="4415" priority="475" stopIfTrue="1" operator="lessThan">
      <formula>$L$12</formula>
    </cfRule>
  </conditionalFormatting>
  <conditionalFormatting sqref="M13">
    <cfRule type="cellIs" dxfId="4414" priority="476" stopIfTrue="1" operator="equal">
      <formula>$L$13</formula>
    </cfRule>
    <cfRule type="cellIs" dxfId="4413" priority="477" stopIfTrue="1" operator="lessThan">
      <formula>$L$13</formula>
    </cfRule>
  </conditionalFormatting>
  <conditionalFormatting sqref="M14">
    <cfRule type="cellIs" dxfId="4412" priority="478" stopIfTrue="1" operator="equal">
      <formula>$L$14</formula>
    </cfRule>
    <cfRule type="cellIs" dxfId="4411" priority="479" stopIfTrue="1" operator="lessThan">
      <formula>$L$14</formula>
    </cfRule>
  </conditionalFormatting>
  <conditionalFormatting sqref="M15">
    <cfRule type="cellIs" dxfId="4410" priority="480" stopIfTrue="1" operator="equal">
      <formula>$L$15</formula>
    </cfRule>
    <cfRule type="cellIs" dxfId="4409" priority="481" stopIfTrue="1" operator="lessThan">
      <formula>$L$15</formula>
    </cfRule>
  </conditionalFormatting>
  <conditionalFormatting sqref="M16">
    <cfRule type="cellIs" dxfId="4408" priority="482" stopIfTrue="1" operator="equal">
      <formula>$L$16</formula>
    </cfRule>
    <cfRule type="cellIs" dxfId="4407" priority="483" stopIfTrue="1" operator="lessThan">
      <formula>$L$16</formula>
    </cfRule>
  </conditionalFormatting>
  <conditionalFormatting sqref="M17">
    <cfRule type="cellIs" dxfId="4406" priority="484" stopIfTrue="1" operator="equal">
      <formula>$L$17</formula>
    </cfRule>
    <cfRule type="cellIs" dxfId="4405" priority="485" stopIfTrue="1" operator="lessThan">
      <formula>$L$17</formula>
    </cfRule>
  </conditionalFormatting>
  <conditionalFormatting sqref="M18">
    <cfRule type="cellIs" dxfId="4404" priority="486" stopIfTrue="1" operator="equal">
      <formula>$L$18</formula>
    </cfRule>
    <cfRule type="cellIs" dxfId="4403" priority="487" stopIfTrue="1" operator="lessThan">
      <formula>$L$18</formula>
    </cfRule>
  </conditionalFormatting>
  <conditionalFormatting sqref="M19">
    <cfRule type="cellIs" dxfId="4402" priority="488" stopIfTrue="1" operator="equal">
      <formula>$L$19</formula>
    </cfRule>
    <cfRule type="cellIs" dxfId="4401" priority="489" stopIfTrue="1" operator="lessThan">
      <formula>$L$19</formula>
    </cfRule>
  </conditionalFormatting>
  <conditionalFormatting sqref="M20">
    <cfRule type="cellIs" dxfId="4400" priority="490" stopIfTrue="1" operator="equal">
      <formula>$L$20</formula>
    </cfRule>
    <cfRule type="cellIs" dxfId="4399" priority="491" stopIfTrue="1" operator="lessThan">
      <formula>$L$20</formula>
    </cfRule>
  </conditionalFormatting>
  <conditionalFormatting sqref="M21">
    <cfRule type="cellIs" dxfId="4398" priority="492" stopIfTrue="1" operator="equal">
      <formula>$L$21</formula>
    </cfRule>
    <cfRule type="cellIs" dxfId="4397" priority="493" stopIfTrue="1" operator="lessThan">
      <formula>$L$21</formula>
    </cfRule>
  </conditionalFormatting>
  <conditionalFormatting sqref="M22">
    <cfRule type="cellIs" dxfId="4396" priority="494" stopIfTrue="1" operator="equal">
      <formula>$L$22</formula>
    </cfRule>
    <cfRule type="cellIs" dxfId="4395" priority="495" stopIfTrue="1" operator="lessThan">
      <formula>$L$22</formula>
    </cfRule>
  </conditionalFormatting>
  <conditionalFormatting sqref="M23">
    <cfRule type="cellIs" dxfId="4394" priority="496" stopIfTrue="1" operator="equal">
      <formula>$L$23</formula>
    </cfRule>
    <cfRule type="cellIs" dxfId="4393" priority="497" stopIfTrue="1" operator="lessThan">
      <formula>$L$23</formula>
    </cfRule>
  </conditionalFormatting>
  <conditionalFormatting sqref="M24">
    <cfRule type="cellIs" dxfId="4392" priority="498" stopIfTrue="1" operator="equal">
      <formula>$L$24</formula>
    </cfRule>
    <cfRule type="cellIs" dxfId="4391" priority="499" stopIfTrue="1" operator="lessThan">
      <formula>$L$24</formula>
    </cfRule>
  </conditionalFormatting>
  <conditionalFormatting sqref="M25">
    <cfRule type="cellIs" dxfId="4390" priority="500" stopIfTrue="1" operator="equal">
      <formula>$L$25</formula>
    </cfRule>
    <cfRule type="cellIs" dxfId="4389" priority="501" stopIfTrue="1" operator="lessThan">
      <formula>$L$25</formula>
    </cfRule>
  </conditionalFormatting>
  <conditionalFormatting sqref="M26">
    <cfRule type="cellIs" dxfId="4388" priority="502" stopIfTrue="1" operator="equal">
      <formula>$L$26</formula>
    </cfRule>
    <cfRule type="cellIs" dxfId="4387" priority="503" stopIfTrue="1" operator="lessThan">
      <formula>$L$26</formula>
    </cfRule>
  </conditionalFormatting>
  <conditionalFormatting sqref="M27">
    <cfRule type="cellIs" dxfId="4386" priority="504" stopIfTrue="1" operator="equal">
      <formula>$L$27</formula>
    </cfRule>
    <cfRule type="cellIs" dxfId="4385" priority="505" stopIfTrue="1" operator="lessThan">
      <formula>$L$27</formula>
    </cfRule>
  </conditionalFormatting>
  <conditionalFormatting sqref="M28">
    <cfRule type="cellIs" dxfId="4384" priority="506" stopIfTrue="1" operator="equal">
      <formula>$L$28</formula>
    </cfRule>
    <cfRule type="cellIs" dxfId="4383" priority="507" stopIfTrue="1" operator="lessThan">
      <formula>$L$28</formula>
    </cfRule>
  </conditionalFormatting>
  <conditionalFormatting sqref="M29">
    <cfRule type="cellIs" dxfId="4382" priority="508" stopIfTrue="1" operator="equal">
      <formula>$L$29</formula>
    </cfRule>
    <cfRule type="cellIs" dxfId="4381" priority="509" stopIfTrue="1" operator="lessThan">
      <formula>$L$29</formula>
    </cfRule>
  </conditionalFormatting>
  <conditionalFormatting sqref="N4">
    <cfRule type="cellIs" dxfId="4380" priority="510" stopIfTrue="1" operator="equal">
      <formula>$M$4</formula>
    </cfRule>
    <cfRule type="cellIs" dxfId="4379" priority="511" stopIfTrue="1" operator="lessThan">
      <formula>$M$4</formula>
    </cfRule>
  </conditionalFormatting>
  <conditionalFormatting sqref="N5">
    <cfRule type="cellIs" dxfId="4378" priority="512" stopIfTrue="1" operator="equal">
      <formula>$M$5</formula>
    </cfRule>
    <cfRule type="cellIs" dxfId="4377" priority="513" stopIfTrue="1" operator="lessThan">
      <formula>$M$5</formula>
    </cfRule>
  </conditionalFormatting>
  <conditionalFormatting sqref="N6">
    <cfRule type="cellIs" dxfId="4376" priority="514" stopIfTrue="1" operator="equal">
      <formula>$M$6</formula>
    </cfRule>
    <cfRule type="cellIs" dxfId="4375" priority="515" stopIfTrue="1" operator="lessThan">
      <formula>$M$6</formula>
    </cfRule>
  </conditionalFormatting>
  <conditionalFormatting sqref="N7">
    <cfRule type="cellIs" dxfId="4374" priority="516" stopIfTrue="1" operator="equal">
      <formula>$M$7</formula>
    </cfRule>
    <cfRule type="cellIs" dxfId="4373" priority="517" stopIfTrue="1" operator="lessThan">
      <formula>$M$7</formula>
    </cfRule>
  </conditionalFormatting>
  <conditionalFormatting sqref="N8">
    <cfRule type="cellIs" dxfId="4372" priority="518" stopIfTrue="1" operator="equal">
      <formula>$M$8</formula>
    </cfRule>
    <cfRule type="cellIs" dxfId="4371" priority="519" stopIfTrue="1" operator="lessThan">
      <formula>$M$8</formula>
    </cfRule>
  </conditionalFormatting>
  <conditionalFormatting sqref="N9">
    <cfRule type="cellIs" dxfId="4370" priority="520" stopIfTrue="1" operator="equal">
      <formula>$M$9</formula>
    </cfRule>
    <cfRule type="cellIs" dxfId="4369" priority="521" stopIfTrue="1" operator="lessThan">
      <formula>$M$9</formula>
    </cfRule>
  </conditionalFormatting>
  <conditionalFormatting sqref="N10">
    <cfRule type="cellIs" dxfId="4368" priority="522" stopIfTrue="1" operator="equal">
      <formula>$M$10</formula>
    </cfRule>
    <cfRule type="cellIs" dxfId="4367" priority="523" stopIfTrue="1" operator="lessThan">
      <formula>$M$10</formula>
    </cfRule>
  </conditionalFormatting>
  <conditionalFormatting sqref="N11">
    <cfRule type="cellIs" dxfId="4366" priority="524" stopIfTrue="1" operator="equal">
      <formula>$M$11</formula>
    </cfRule>
    <cfRule type="cellIs" dxfId="4365" priority="525" stopIfTrue="1" operator="lessThan">
      <formula>$M$11</formula>
    </cfRule>
  </conditionalFormatting>
  <conditionalFormatting sqref="N12">
    <cfRule type="cellIs" dxfId="4364" priority="526" stopIfTrue="1" operator="equal">
      <formula>$M$12</formula>
    </cfRule>
    <cfRule type="cellIs" dxfId="4363" priority="527" stopIfTrue="1" operator="lessThan">
      <formula>$M$12</formula>
    </cfRule>
  </conditionalFormatting>
  <conditionalFormatting sqref="N13">
    <cfRule type="cellIs" dxfId="4362" priority="528" stopIfTrue="1" operator="equal">
      <formula>$M$13</formula>
    </cfRule>
    <cfRule type="cellIs" dxfId="4361" priority="529" stopIfTrue="1" operator="lessThan">
      <formula>$M$13</formula>
    </cfRule>
  </conditionalFormatting>
  <conditionalFormatting sqref="N14">
    <cfRule type="cellIs" dxfId="4360" priority="530" stopIfTrue="1" operator="equal">
      <formula>$M$14</formula>
    </cfRule>
    <cfRule type="cellIs" dxfId="4359" priority="531" stopIfTrue="1" operator="lessThan">
      <formula>$M$14</formula>
    </cfRule>
  </conditionalFormatting>
  <conditionalFormatting sqref="N15">
    <cfRule type="cellIs" dxfId="4358" priority="532" stopIfTrue="1" operator="equal">
      <formula>$M$15</formula>
    </cfRule>
    <cfRule type="cellIs" dxfId="4357" priority="533" stopIfTrue="1" operator="lessThan">
      <formula>$M$15</formula>
    </cfRule>
  </conditionalFormatting>
  <conditionalFormatting sqref="N16">
    <cfRule type="cellIs" dxfId="4356" priority="534" stopIfTrue="1" operator="equal">
      <formula>$M$16</formula>
    </cfRule>
    <cfRule type="cellIs" dxfId="4355" priority="535" stopIfTrue="1" operator="lessThan">
      <formula>$M$16</formula>
    </cfRule>
  </conditionalFormatting>
  <conditionalFormatting sqref="N17">
    <cfRule type="cellIs" dxfId="4354" priority="536" stopIfTrue="1" operator="equal">
      <formula>$M$17</formula>
    </cfRule>
    <cfRule type="cellIs" dxfId="4353" priority="537" stopIfTrue="1" operator="lessThan">
      <formula>$M$17</formula>
    </cfRule>
  </conditionalFormatting>
  <conditionalFormatting sqref="N18">
    <cfRule type="cellIs" dxfId="4352" priority="538" stopIfTrue="1" operator="equal">
      <formula>$M$18</formula>
    </cfRule>
    <cfRule type="cellIs" dxfId="4351" priority="539" stopIfTrue="1" operator="lessThan">
      <formula>$M$18</formula>
    </cfRule>
  </conditionalFormatting>
  <conditionalFormatting sqref="N19">
    <cfRule type="cellIs" dxfId="4350" priority="540" stopIfTrue="1" operator="equal">
      <formula>$M$19</formula>
    </cfRule>
    <cfRule type="cellIs" dxfId="4349" priority="541" stopIfTrue="1" operator="lessThan">
      <formula>$M$19</formula>
    </cfRule>
  </conditionalFormatting>
  <conditionalFormatting sqref="N20">
    <cfRule type="cellIs" dxfId="4348" priority="542" stopIfTrue="1" operator="equal">
      <formula>$M$20</formula>
    </cfRule>
    <cfRule type="cellIs" dxfId="4347" priority="543" stopIfTrue="1" operator="lessThan">
      <formula>$M$20</formula>
    </cfRule>
  </conditionalFormatting>
  <conditionalFormatting sqref="N21">
    <cfRule type="cellIs" dxfId="4346" priority="544" stopIfTrue="1" operator="equal">
      <formula>$M$21</formula>
    </cfRule>
    <cfRule type="cellIs" dxfId="4345" priority="545" stopIfTrue="1" operator="lessThan">
      <formula>$M$21</formula>
    </cfRule>
  </conditionalFormatting>
  <conditionalFormatting sqref="N22">
    <cfRule type="cellIs" dxfId="4344" priority="546" stopIfTrue="1" operator="equal">
      <formula>$M$22</formula>
    </cfRule>
    <cfRule type="cellIs" dxfId="4343" priority="547" stopIfTrue="1" operator="lessThan">
      <formula>$M$22</formula>
    </cfRule>
  </conditionalFormatting>
  <conditionalFormatting sqref="N23">
    <cfRule type="cellIs" dxfId="4342" priority="548" stopIfTrue="1" operator="equal">
      <formula>$M$23</formula>
    </cfRule>
    <cfRule type="cellIs" dxfId="4341" priority="549" stopIfTrue="1" operator="lessThan">
      <formula>$M$23</formula>
    </cfRule>
  </conditionalFormatting>
  <conditionalFormatting sqref="N24">
    <cfRule type="cellIs" dxfId="4340" priority="550" stopIfTrue="1" operator="equal">
      <formula>$M$24</formula>
    </cfRule>
    <cfRule type="cellIs" dxfId="4339" priority="551" stopIfTrue="1" operator="lessThan">
      <formula>$M$24</formula>
    </cfRule>
  </conditionalFormatting>
  <conditionalFormatting sqref="N25">
    <cfRule type="cellIs" dxfId="4338" priority="552" stopIfTrue="1" operator="equal">
      <formula>$M$25</formula>
    </cfRule>
    <cfRule type="cellIs" dxfId="4337" priority="553" stopIfTrue="1" operator="lessThan">
      <formula>$M$25</formula>
    </cfRule>
  </conditionalFormatting>
  <conditionalFormatting sqref="N26">
    <cfRule type="cellIs" dxfId="4336" priority="554" stopIfTrue="1" operator="equal">
      <formula>$M$26</formula>
    </cfRule>
    <cfRule type="cellIs" dxfId="4335" priority="555" stopIfTrue="1" operator="lessThan">
      <formula>$M$26</formula>
    </cfRule>
  </conditionalFormatting>
  <conditionalFormatting sqref="N27">
    <cfRule type="cellIs" dxfId="4334" priority="556" stopIfTrue="1" operator="equal">
      <formula>$M$27</formula>
    </cfRule>
    <cfRule type="cellIs" dxfId="4333" priority="557" stopIfTrue="1" operator="lessThan">
      <formula>$M$27</formula>
    </cfRule>
  </conditionalFormatting>
  <conditionalFormatting sqref="N28">
    <cfRule type="cellIs" dxfId="4332" priority="558" stopIfTrue="1" operator="equal">
      <formula>$M$28</formula>
    </cfRule>
    <cfRule type="cellIs" dxfId="4331" priority="559" stopIfTrue="1" operator="lessThan">
      <formula>$M$28</formula>
    </cfRule>
  </conditionalFormatting>
  <conditionalFormatting sqref="N29">
    <cfRule type="cellIs" dxfId="4330" priority="560" stopIfTrue="1" operator="equal">
      <formula>$M$29</formula>
    </cfRule>
    <cfRule type="cellIs" dxfId="4329" priority="561" stopIfTrue="1" operator="lessThan">
      <formula>$M$29</formula>
    </cfRule>
  </conditionalFormatting>
  <conditionalFormatting sqref="O4">
    <cfRule type="cellIs" dxfId="4328" priority="562" stopIfTrue="1" operator="equal">
      <formula>$N$4</formula>
    </cfRule>
    <cfRule type="cellIs" dxfId="4327" priority="563" stopIfTrue="1" operator="lessThan">
      <formula>$N$4</formula>
    </cfRule>
  </conditionalFormatting>
  <conditionalFormatting sqref="O5">
    <cfRule type="cellIs" dxfId="4326" priority="564" stopIfTrue="1" operator="equal">
      <formula>$N$5</formula>
    </cfRule>
    <cfRule type="cellIs" dxfId="4325" priority="565" stopIfTrue="1" operator="lessThan">
      <formula>$N$5</formula>
    </cfRule>
  </conditionalFormatting>
  <conditionalFormatting sqref="O6">
    <cfRule type="cellIs" dxfId="4324" priority="566" stopIfTrue="1" operator="equal">
      <formula>$N$6</formula>
    </cfRule>
    <cfRule type="cellIs" dxfId="4323" priority="567" stopIfTrue="1" operator="lessThan">
      <formula>$N$6</formula>
    </cfRule>
  </conditionalFormatting>
  <conditionalFormatting sqref="O7">
    <cfRule type="cellIs" dxfId="4322" priority="568" stopIfTrue="1" operator="equal">
      <formula>$N$7</formula>
    </cfRule>
    <cfRule type="cellIs" dxfId="4321" priority="569" stopIfTrue="1" operator="lessThan">
      <formula>$N$7</formula>
    </cfRule>
  </conditionalFormatting>
  <conditionalFormatting sqref="O8">
    <cfRule type="cellIs" dxfId="4320" priority="570" stopIfTrue="1" operator="equal">
      <formula>$N$8</formula>
    </cfRule>
    <cfRule type="cellIs" dxfId="4319" priority="571" stopIfTrue="1" operator="lessThan">
      <formula>$N$8</formula>
    </cfRule>
  </conditionalFormatting>
  <conditionalFormatting sqref="O9">
    <cfRule type="cellIs" dxfId="4318" priority="572" stopIfTrue="1" operator="equal">
      <formula>$N$9</formula>
    </cfRule>
    <cfRule type="cellIs" dxfId="4317" priority="573" stopIfTrue="1" operator="lessThan">
      <formula>$N$9</formula>
    </cfRule>
  </conditionalFormatting>
  <conditionalFormatting sqref="O10">
    <cfRule type="cellIs" dxfId="4316" priority="574" stopIfTrue="1" operator="equal">
      <formula>$N$10</formula>
    </cfRule>
    <cfRule type="cellIs" dxfId="4315" priority="575" stopIfTrue="1" operator="lessThan">
      <formula>$N$10</formula>
    </cfRule>
  </conditionalFormatting>
  <conditionalFormatting sqref="O11">
    <cfRule type="cellIs" dxfId="4314" priority="576" stopIfTrue="1" operator="equal">
      <formula>$N$11</formula>
    </cfRule>
    <cfRule type="cellIs" dxfId="4313" priority="577" stopIfTrue="1" operator="lessThan">
      <formula>$N$11</formula>
    </cfRule>
  </conditionalFormatting>
  <conditionalFormatting sqref="O12">
    <cfRule type="cellIs" dxfId="4312" priority="578" stopIfTrue="1" operator="equal">
      <formula>$N$12</formula>
    </cfRule>
    <cfRule type="cellIs" dxfId="4311" priority="579" stopIfTrue="1" operator="lessThan">
      <formula>$N$12</formula>
    </cfRule>
  </conditionalFormatting>
  <conditionalFormatting sqref="O13">
    <cfRule type="cellIs" dxfId="4310" priority="580" stopIfTrue="1" operator="equal">
      <formula>$N$13</formula>
    </cfRule>
    <cfRule type="cellIs" dxfId="4309" priority="581" stopIfTrue="1" operator="lessThan">
      <formula>$N$13</formula>
    </cfRule>
  </conditionalFormatting>
  <conditionalFormatting sqref="O14">
    <cfRule type="cellIs" dxfId="4308" priority="582" stopIfTrue="1" operator="equal">
      <formula>$N$14</formula>
    </cfRule>
    <cfRule type="cellIs" dxfId="4307" priority="583" stopIfTrue="1" operator="lessThan">
      <formula>$N$14</formula>
    </cfRule>
  </conditionalFormatting>
  <conditionalFormatting sqref="O15">
    <cfRule type="cellIs" dxfId="4306" priority="584" stopIfTrue="1" operator="equal">
      <formula>$N$15</formula>
    </cfRule>
    <cfRule type="cellIs" dxfId="4305" priority="585" stopIfTrue="1" operator="lessThan">
      <formula>$N$15</formula>
    </cfRule>
  </conditionalFormatting>
  <conditionalFormatting sqref="O16">
    <cfRule type="cellIs" dxfId="4304" priority="586" stopIfTrue="1" operator="equal">
      <formula>$N$16</formula>
    </cfRule>
    <cfRule type="cellIs" dxfId="4303" priority="587" stopIfTrue="1" operator="lessThan">
      <formula>$N$16</formula>
    </cfRule>
  </conditionalFormatting>
  <conditionalFormatting sqref="O17">
    <cfRule type="cellIs" dxfId="4302" priority="588" stopIfTrue="1" operator="equal">
      <formula>$N$17</formula>
    </cfRule>
    <cfRule type="cellIs" dxfId="4301" priority="589" stopIfTrue="1" operator="lessThan">
      <formula>$N$17</formula>
    </cfRule>
  </conditionalFormatting>
  <conditionalFormatting sqref="O18">
    <cfRule type="cellIs" dxfId="4300" priority="590" stopIfTrue="1" operator="equal">
      <formula>$N$18</formula>
    </cfRule>
    <cfRule type="cellIs" dxfId="4299" priority="591" stopIfTrue="1" operator="lessThan">
      <formula>$N$18</formula>
    </cfRule>
  </conditionalFormatting>
  <conditionalFormatting sqref="O19">
    <cfRule type="cellIs" dxfId="4298" priority="592" stopIfTrue="1" operator="equal">
      <formula>$N$19</formula>
    </cfRule>
    <cfRule type="cellIs" dxfId="4297" priority="593" stopIfTrue="1" operator="lessThan">
      <formula>$N$19</formula>
    </cfRule>
  </conditionalFormatting>
  <conditionalFormatting sqref="O20">
    <cfRule type="cellIs" dxfId="4296" priority="594" stopIfTrue="1" operator="equal">
      <formula>$N$20</formula>
    </cfRule>
    <cfRule type="cellIs" dxfId="4295" priority="595" stopIfTrue="1" operator="lessThan">
      <formula>$N$20</formula>
    </cfRule>
  </conditionalFormatting>
  <conditionalFormatting sqref="O21">
    <cfRule type="cellIs" dxfId="4294" priority="596" stopIfTrue="1" operator="equal">
      <formula>$N$21</formula>
    </cfRule>
    <cfRule type="cellIs" dxfId="4293" priority="597" stopIfTrue="1" operator="lessThan">
      <formula>$N$21</formula>
    </cfRule>
  </conditionalFormatting>
  <conditionalFormatting sqref="O22">
    <cfRule type="cellIs" dxfId="4292" priority="598" stopIfTrue="1" operator="equal">
      <formula>$N$22</formula>
    </cfRule>
    <cfRule type="cellIs" dxfId="4291" priority="599" stopIfTrue="1" operator="lessThan">
      <formula>$N$22</formula>
    </cfRule>
  </conditionalFormatting>
  <conditionalFormatting sqref="O23">
    <cfRule type="cellIs" dxfId="4290" priority="600" stopIfTrue="1" operator="equal">
      <formula>$N$23</formula>
    </cfRule>
    <cfRule type="cellIs" dxfId="4289" priority="601" stopIfTrue="1" operator="lessThan">
      <formula>$N$23</formula>
    </cfRule>
  </conditionalFormatting>
  <conditionalFormatting sqref="O24">
    <cfRule type="cellIs" dxfId="4288" priority="602" stopIfTrue="1" operator="equal">
      <formula>$N$24</formula>
    </cfRule>
    <cfRule type="cellIs" dxfId="4287" priority="603" stopIfTrue="1" operator="lessThan">
      <formula>$N$24</formula>
    </cfRule>
  </conditionalFormatting>
  <conditionalFormatting sqref="O25">
    <cfRule type="cellIs" dxfId="4286" priority="604" stopIfTrue="1" operator="equal">
      <formula>$N$25</formula>
    </cfRule>
    <cfRule type="cellIs" dxfId="4285" priority="605" stopIfTrue="1" operator="lessThan">
      <formula>$N$25</formula>
    </cfRule>
  </conditionalFormatting>
  <conditionalFormatting sqref="O26">
    <cfRule type="cellIs" dxfId="4284" priority="606" stopIfTrue="1" operator="equal">
      <formula>$N$26</formula>
    </cfRule>
    <cfRule type="cellIs" dxfId="4283" priority="607" stopIfTrue="1" operator="lessThan">
      <formula>$N$26</formula>
    </cfRule>
  </conditionalFormatting>
  <conditionalFormatting sqref="O27">
    <cfRule type="cellIs" dxfId="4282" priority="608" stopIfTrue="1" operator="equal">
      <formula>$N$27</formula>
    </cfRule>
    <cfRule type="cellIs" dxfId="4281" priority="609" stopIfTrue="1" operator="lessThan">
      <formula>$N$27</formula>
    </cfRule>
  </conditionalFormatting>
  <conditionalFormatting sqref="O28">
    <cfRule type="cellIs" dxfId="4280" priority="610" stopIfTrue="1" operator="equal">
      <formula>$N$28</formula>
    </cfRule>
    <cfRule type="cellIs" dxfId="4279" priority="611" stopIfTrue="1" operator="lessThan">
      <formula>$N$28</formula>
    </cfRule>
  </conditionalFormatting>
  <conditionalFormatting sqref="O29">
    <cfRule type="cellIs" dxfId="4278" priority="612" stopIfTrue="1" operator="equal">
      <formula>$N$29</formula>
    </cfRule>
    <cfRule type="cellIs" dxfId="4277" priority="613" stopIfTrue="1" operator="lessThan">
      <formula>$N$29</formula>
    </cfRule>
  </conditionalFormatting>
  <conditionalFormatting sqref="U4:AF23">
    <cfRule type="cellIs" dxfId="4276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3"/>
  <sheetViews>
    <sheetView topLeftCell="A24" zoomScaleSheetLayoutView="100" workbookViewId="0">
      <selection activeCell="Q26" sqref="Q26"/>
    </sheetView>
  </sheetViews>
  <sheetFormatPr defaultRowHeight="14.5" x14ac:dyDescent="0.35"/>
  <cols>
    <col min="1" max="1" width="8.26953125" style="121" customWidth="1"/>
    <col min="2" max="2" width="8.54296875" style="1" customWidth="1"/>
    <col min="3" max="3" width="26.1796875" customWidth="1"/>
    <col min="4" max="16" width="10.1796875" customWidth="1"/>
    <col min="17" max="17" width="11.81640625" bestFit="1" customWidth="1"/>
    <col min="20" max="20" width="5.54296875" customWidth="1"/>
    <col min="36" max="36" width="11.81640625" customWidth="1"/>
    <col min="37" max="49" width="7.453125" style="248" customWidth="1"/>
  </cols>
  <sheetData>
    <row r="1" spans="1:49" ht="15" thickBot="1" x14ac:dyDescent="0.4">
      <c r="A1"/>
      <c r="B1"/>
      <c r="AE1" s="149" t="s">
        <v>200</v>
      </c>
      <c r="AF1" s="149"/>
      <c r="AG1" s="149"/>
    </row>
    <row r="2" spans="1:49" s="1" customFormat="1" ht="21" customHeight="1" thickBot="1" x14ac:dyDescent="0.55000000000000004">
      <c r="A2" s="116" t="s">
        <v>17</v>
      </c>
      <c r="B2" s="113">
        <v>1851</v>
      </c>
      <c r="C2" s="2"/>
      <c r="D2" s="3">
        <f>'1850'!C2</f>
        <v>45292</v>
      </c>
      <c r="E2" s="3">
        <f>'1850'!D2</f>
        <v>45323</v>
      </c>
      <c r="F2" s="3">
        <f>'1850'!E2</f>
        <v>45352</v>
      </c>
      <c r="G2" s="3">
        <f>'1850'!F2</f>
        <v>45383</v>
      </c>
      <c r="H2" s="3">
        <f>'1850'!G2</f>
        <v>45413</v>
      </c>
      <c r="I2" s="3">
        <f>'1850'!H2</f>
        <v>45444</v>
      </c>
      <c r="J2" s="3">
        <f>'1850'!I2</f>
        <v>45474</v>
      </c>
      <c r="K2" s="3">
        <f>'1850'!J2</f>
        <v>45505</v>
      </c>
      <c r="L2" s="3">
        <f>'1850'!K2</f>
        <v>45536</v>
      </c>
      <c r="M2" s="3">
        <f>'1850'!L2</f>
        <v>45566</v>
      </c>
      <c r="N2" s="3">
        <f>'1850'!M2</f>
        <v>45597</v>
      </c>
      <c r="O2" s="3">
        <f>'1850'!N2</f>
        <v>45628</v>
      </c>
      <c r="P2" s="3">
        <f>'1850'!O2</f>
        <v>45658</v>
      </c>
      <c r="Q2" s="1" t="s">
        <v>0</v>
      </c>
      <c r="R2" s="1" t="s">
        <v>1</v>
      </c>
      <c r="S2" s="1" t="s">
        <v>27</v>
      </c>
      <c r="V2" s="143"/>
      <c r="W2" s="144"/>
      <c r="X2" s="144"/>
      <c r="Y2" s="144"/>
      <c r="Z2" s="144" t="s">
        <v>199</v>
      </c>
      <c r="AA2" s="144"/>
      <c r="AB2" s="144"/>
      <c r="AC2" s="144"/>
      <c r="AD2" s="144"/>
      <c r="AE2" s="144"/>
      <c r="AF2" s="144"/>
      <c r="AG2" s="148"/>
      <c r="AH2" s="150" t="s">
        <v>302</v>
      </c>
      <c r="AK2" s="249" t="s">
        <v>401</v>
      </c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3" t="s">
        <v>388</v>
      </c>
      <c r="AW2" s="251">
        <f>(AW6+AW12+AW14+AW18+AW54+AW56+AW58+AW60+AW62)/9</f>
        <v>0.34960289848571457</v>
      </c>
    </row>
    <row r="3" spans="1:49" s="1" customFormat="1" ht="15" thickBot="1" x14ac:dyDescent="0.4">
      <c r="A3" s="117" t="s">
        <v>18</v>
      </c>
      <c r="B3" s="4" t="s">
        <v>2</v>
      </c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83</v>
      </c>
      <c r="R3" s="1" t="s">
        <v>82</v>
      </c>
      <c r="S3" s="1" t="s">
        <v>84</v>
      </c>
      <c r="U3" s="1" t="s">
        <v>198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  <c r="AH3" s="150" t="s">
        <v>201</v>
      </c>
      <c r="AK3" s="254" t="s">
        <v>375</v>
      </c>
      <c r="AL3" s="254" t="s">
        <v>376</v>
      </c>
      <c r="AM3" s="254" t="s">
        <v>377</v>
      </c>
      <c r="AN3" s="254" t="s">
        <v>378</v>
      </c>
      <c r="AO3" s="254" t="s">
        <v>379</v>
      </c>
      <c r="AP3" s="254" t="s">
        <v>380</v>
      </c>
      <c r="AQ3" s="254" t="s">
        <v>381</v>
      </c>
      <c r="AR3" s="254" t="s">
        <v>382</v>
      </c>
      <c r="AS3" s="254" t="s">
        <v>383</v>
      </c>
      <c r="AT3" s="254" t="s">
        <v>384</v>
      </c>
      <c r="AU3" s="254" t="s">
        <v>385</v>
      </c>
      <c r="AV3" s="254" t="s">
        <v>386</v>
      </c>
      <c r="AW3" s="254" t="s">
        <v>387</v>
      </c>
    </row>
    <row r="4" spans="1:49" ht="15" thickBot="1" x14ac:dyDescent="0.4">
      <c r="A4" s="299">
        <v>1</v>
      </c>
      <c r="B4" s="293">
        <v>1</v>
      </c>
      <c r="C4" s="6" t="s">
        <v>119</v>
      </c>
      <c r="D4" s="7">
        <v>682.22500000000002</v>
      </c>
      <c r="E4" s="7">
        <v>695.86199999999997</v>
      </c>
      <c r="F4" s="7">
        <v>709.47900000000004</v>
      </c>
      <c r="G4" s="7">
        <v>721.81100000000004</v>
      </c>
      <c r="H4" s="7">
        <v>734.59199999999998</v>
      </c>
      <c r="I4" s="7">
        <v>749.68799999999999</v>
      </c>
      <c r="J4" s="7">
        <v>761.12599999999998</v>
      </c>
      <c r="K4" s="7">
        <v>775.13699999999994</v>
      </c>
      <c r="L4" s="7">
        <v>790.40200000000004</v>
      </c>
      <c r="M4" s="8">
        <v>804.17</v>
      </c>
      <c r="N4" s="7">
        <v>820.29499999999996</v>
      </c>
      <c r="O4" s="7">
        <v>833.69</v>
      </c>
      <c r="P4" s="7">
        <v>15.010999999999999</v>
      </c>
      <c r="Q4" s="9">
        <f>P4+O4-D4</f>
        <v>166.476</v>
      </c>
      <c r="U4" s="1">
        <v>1</v>
      </c>
      <c r="V4" s="145">
        <f t="shared" ref="V4:AG4" si="0">E4-D4</f>
        <v>13.636999999999944</v>
      </c>
      <c r="W4" s="145">
        <f t="shared" si="0"/>
        <v>13.617000000000075</v>
      </c>
      <c r="X4" s="145">
        <f t="shared" si="0"/>
        <v>12.331999999999994</v>
      </c>
      <c r="Y4" s="145">
        <f t="shared" si="0"/>
        <v>12.780999999999949</v>
      </c>
      <c r="Z4" s="145">
        <f t="shared" si="0"/>
        <v>15.096000000000004</v>
      </c>
      <c r="AA4" s="145">
        <f t="shared" si="0"/>
        <v>11.437999999999988</v>
      </c>
      <c r="AB4" s="145">
        <f t="shared" si="0"/>
        <v>14.010999999999967</v>
      </c>
      <c r="AC4" s="145">
        <f t="shared" si="0"/>
        <v>15.2650000000001</v>
      </c>
      <c r="AD4" s="145">
        <f t="shared" si="0"/>
        <v>13.767999999999915</v>
      </c>
      <c r="AE4" s="145">
        <f t="shared" si="0"/>
        <v>16.125</v>
      </c>
      <c r="AF4" s="145">
        <f t="shared" si="0"/>
        <v>13.395000000000095</v>
      </c>
      <c r="AG4" s="145">
        <f>P4</f>
        <v>15.010999999999999</v>
      </c>
      <c r="AH4" s="151">
        <v>11.905222222222218</v>
      </c>
    </row>
    <row r="5" spans="1:49" x14ac:dyDescent="0.35">
      <c r="A5" s="300"/>
      <c r="B5" s="293"/>
      <c r="C5" s="10" t="s">
        <v>313</v>
      </c>
      <c r="D5" s="11">
        <v>64.751000000000005</v>
      </c>
      <c r="E5" s="11">
        <v>69.694000000000003</v>
      </c>
      <c r="F5" s="11">
        <v>72.948999999999998</v>
      </c>
      <c r="G5" s="11">
        <v>75.384</v>
      </c>
      <c r="H5" s="11">
        <v>77.25</v>
      </c>
      <c r="I5" s="11">
        <v>78.37</v>
      </c>
      <c r="J5" s="11">
        <v>79.19</v>
      </c>
      <c r="K5" s="11">
        <v>79.95</v>
      </c>
      <c r="L5" s="11">
        <v>80.661000000000001</v>
      </c>
      <c r="M5" s="12">
        <v>81.471999999999994</v>
      </c>
      <c r="N5" s="11">
        <v>83.572999999999993</v>
      </c>
      <c r="O5" s="11">
        <v>87.433000000000007</v>
      </c>
      <c r="P5" s="11">
        <v>91.799000000000007</v>
      </c>
      <c r="Q5" s="9"/>
      <c r="R5" s="9">
        <f>P5-D5</f>
        <v>27.048000000000002</v>
      </c>
      <c r="U5" s="152" t="s">
        <v>202</v>
      </c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51"/>
    </row>
    <row r="6" spans="1:49" x14ac:dyDescent="0.35">
      <c r="A6" s="118">
        <v>2</v>
      </c>
      <c r="B6" s="294">
        <v>2</v>
      </c>
      <c r="C6" s="10" t="s">
        <v>120</v>
      </c>
      <c r="D6" s="11">
        <v>261.012</v>
      </c>
      <c r="E6" s="11">
        <v>265.81700000000001</v>
      </c>
      <c r="F6" s="11">
        <v>269.73399999999998</v>
      </c>
      <c r="G6" s="11">
        <v>274.05399999999997</v>
      </c>
      <c r="H6" s="11">
        <v>278.03100000000001</v>
      </c>
      <c r="I6" s="11">
        <v>280.42399999999998</v>
      </c>
      <c r="J6" s="11">
        <v>283.56</v>
      </c>
      <c r="K6" s="11">
        <v>286.00200000000001</v>
      </c>
      <c r="L6" s="11">
        <v>290.12900000000002</v>
      </c>
      <c r="M6" s="11">
        <v>297.28699999999998</v>
      </c>
      <c r="N6" s="11">
        <v>304.81200000000001</v>
      </c>
      <c r="O6" s="11">
        <v>310.53000000000003</v>
      </c>
      <c r="P6" s="11">
        <v>7.3460000000000001</v>
      </c>
      <c r="Q6" s="9">
        <f t="shared" ref="Q6" si="1">P6+O6-D6</f>
        <v>56.864000000000033</v>
      </c>
      <c r="U6" s="1">
        <v>2</v>
      </c>
      <c r="V6" s="147">
        <f t="shared" ref="V6:AG6" si="2">E6-D6</f>
        <v>4.8050000000000068</v>
      </c>
      <c r="W6" s="147">
        <f t="shared" si="2"/>
        <v>3.9169999999999732</v>
      </c>
      <c r="X6" s="147">
        <f t="shared" si="2"/>
        <v>4.3199999999999932</v>
      </c>
      <c r="Y6" s="147">
        <f t="shared" si="2"/>
        <v>3.9770000000000323</v>
      </c>
      <c r="Z6" s="147">
        <f t="shared" si="2"/>
        <v>2.3929999999999723</v>
      </c>
      <c r="AA6" s="147">
        <f t="shared" si="2"/>
        <v>3.1360000000000241</v>
      </c>
      <c r="AB6" s="147">
        <f t="shared" si="2"/>
        <v>2.4420000000000073</v>
      </c>
      <c r="AC6" s="147">
        <f t="shared" si="2"/>
        <v>4.1270000000000095</v>
      </c>
      <c r="AD6" s="147">
        <f t="shared" si="2"/>
        <v>7.1579999999999586</v>
      </c>
      <c r="AE6" s="147">
        <f t="shared" si="2"/>
        <v>7.5250000000000341</v>
      </c>
      <c r="AF6" s="147">
        <f t="shared" si="2"/>
        <v>5.7180000000000177</v>
      </c>
      <c r="AG6" s="147">
        <f>P6</f>
        <v>7.3460000000000001</v>
      </c>
      <c r="AH6" s="151">
        <v>4.9828888888888896</v>
      </c>
      <c r="AJ6" s="255" t="s">
        <v>390</v>
      </c>
      <c r="AK6" s="252">
        <f>V7/(V6+V7)</f>
        <v>0.4542253521126754</v>
      </c>
      <c r="AL6" s="252">
        <f t="shared" ref="AL6:AV6" si="3">W7/(W6+W7)</f>
        <v>0.43502091446704383</v>
      </c>
      <c r="AM6" s="252">
        <f t="shared" si="3"/>
        <v>0.40902872777017779</v>
      </c>
      <c r="AN6" s="252">
        <f t="shared" si="3"/>
        <v>0.39769801605330757</v>
      </c>
      <c r="AO6" s="252">
        <f t="shared" si="3"/>
        <v>0.36810139952469334</v>
      </c>
      <c r="AP6" s="252">
        <f t="shared" si="3"/>
        <v>0.30140343060814856</v>
      </c>
      <c r="AQ6" s="252">
        <f t="shared" si="3"/>
        <v>0.24953902888752522</v>
      </c>
      <c r="AR6" s="252">
        <f t="shared" si="3"/>
        <v>0.23968312453942306</v>
      </c>
      <c r="AS6" s="252">
        <f t="shared" si="3"/>
        <v>0.28484364072335011</v>
      </c>
      <c r="AT6" s="252">
        <f t="shared" si="3"/>
        <v>0.29316175089235363</v>
      </c>
      <c r="AU6" s="252">
        <f t="shared" si="3"/>
        <v>0.35103847463397875</v>
      </c>
      <c r="AV6" s="252">
        <f t="shared" si="3"/>
        <v>0.34352100089365506</v>
      </c>
      <c r="AW6" s="252">
        <f>SUM(AK6:AV6)/12</f>
        <v>0.34393873842552769</v>
      </c>
    </row>
    <row r="7" spans="1:49" x14ac:dyDescent="0.35">
      <c r="A7" s="118" t="s">
        <v>19</v>
      </c>
      <c r="B7" s="294"/>
      <c r="C7" s="10" t="s">
        <v>314</v>
      </c>
      <c r="D7" s="11">
        <v>78.034000000000006</v>
      </c>
      <c r="E7" s="11">
        <v>84.406000000000006</v>
      </c>
      <c r="F7" s="11">
        <v>88.573999999999998</v>
      </c>
      <c r="G7" s="11">
        <v>91.763999999999996</v>
      </c>
      <c r="H7" s="11">
        <v>93.763999999999996</v>
      </c>
      <c r="I7" s="11">
        <v>94.561999999999998</v>
      </c>
      <c r="J7" s="11">
        <v>95.337999999999994</v>
      </c>
      <c r="K7" s="11">
        <v>95.876999999999995</v>
      </c>
      <c r="L7" s="11">
        <v>96.489000000000004</v>
      </c>
      <c r="M7" s="11">
        <v>97.841999999999999</v>
      </c>
      <c r="N7" s="11">
        <v>100.452</v>
      </c>
      <c r="O7" s="11">
        <v>105.91800000000001</v>
      </c>
      <c r="P7" s="11">
        <v>111.032</v>
      </c>
      <c r="Q7" s="9"/>
      <c r="R7" s="9">
        <f>P7-D7</f>
        <v>32.99799999999999</v>
      </c>
      <c r="U7" s="152" t="s">
        <v>203</v>
      </c>
      <c r="V7" s="157">
        <f t="shared" ref="V7:AG7" si="4">V40</f>
        <v>3.9989999999999952</v>
      </c>
      <c r="W7" s="157">
        <f t="shared" si="4"/>
        <v>3.0160000000000053</v>
      </c>
      <c r="X7" s="157">
        <f t="shared" si="4"/>
        <v>2.9899999999999949</v>
      </c>
      <c r="Y7" s="157">
        <f t="shared" si="4"/>
        <v>2.6260000000000048</v>
      </c>
      <c r="Z7" s="157">
        <f t="shared" si="4"/>
        <v>1.3940000000000055</v>
      </c>
      <c r="AA7" s="157">
        <f t="shared" si="4"/>
        <v>1.3529999999999802</v>
      </c>
      <c r="AB7" s="157">
        <f t="shared" si="4"/>
        <v>0.81200000000001182</v>
      </c>
      <c r="AC7" s="157">
        <f t="shared" si="4"/>
        <v>1.3009999999999877</v>
      </c>
      <c r="AD7" s="157">
        <f t="shared" si="4"/>
        <v>2.8509999999999991</v>
      </c>
      <c r="AE7" s="157">
        <f t="shared" si="4"/>
        <v>3.1210000000000093</v>
      </c>
      <c r="AF7" s="157">
        <f t="shared" si="4"/>
        <v>3.0929999999999893</v>
      </c>
      <c r="AG7" s="157">
        <f t="shared" ref="AG7" si="5">AG40</f>
        <v>3.8439999999999999</v>
      </c>
      <c r="AH7" s="153">
        <v>4.4300000000000006</v>
      </c>
      <c r="AJ7" s="255"/>
    </row>
    <row r="8" spans="1:49" x14ac:dyDescent="0.35">
      <c r="A8" s="118">
        <v>5</v>
      </c>
      <c r="B8" s="301">
        <v>3</v>
      </c>
      <c r="C8" s="10" t="s">
        <v>404</v>
      </c>
      <c r="D8" s="11">
        <v>14.202999999999999</v>
      </c>
      <c r="E8" s="11">
        <v>15.285</v>
      </c>
      <c r="F8" s="11">
        <v>16.690000000000001</v>
      </c>
      <c r="G8" s="11">
        <v>18.16</v>
      </c>
      <c r="H8" s="11">
        <v>19.468</v>
      </c>
      <c r="I8" s="11">
        <v>20.824000000000002</v>
      </c>
      <c r="J8" s="11">
        <v>21.969000000000001</v>
      </c>
      <c r="K8" s="11">
        <v>23.047000000000001</v>
      </c>
      <c r="L8" s="11">
        <v>24.143999999999998</v>
      </c>
      <c r="M8" s="11">
        <v>25.382000000000001</v>
      </c>
      <c r="N8" s="11">
        <v>26.582999999999998</v>
      </c>
      <c r="O8" s="11">
        <v>27.599999999999998</v>
      </c>
      <c r="P8" s="11">
        <v>1.2270000000000001</v>
      </c>
      <c r="Q8" s="9">
        <f t="shared" ref="Q8" si="6">P8+O8-D8</f>
        <v>14.623999999999999</v>
      </c>
      <c r="U8" s="1">
        <v>5</v>
      </c>
      <c r="V8" s="147">
        <f t="shared" ref="V8:AG8" si="7">E8-D8</f>
        <v>1.0820000000000007</v>
      </c>
      <c r="W8" s="147">
        <f t="shared" si="7"/>
        <v>1.4050000000000011</v>
      </c>
      <c r="X8" s="147">
        <f t="shared" si="7"/>
        <v>1.4699999999999989</v>
      </c>
      <c r="Y8" s="147">
        <f t="shared" si="7"/>
        <v>1.3079999999999998</v>
      </c>
      <c r="Z8" s="147">
        <f t="shared" si="7"/>
        <v>1.3560000000000016</v>
      </c>
      <c r="AA8" s="147">
        <f t="shared" si="7"/>
        <v>1.1449999999999996</v>
      </c>
      <c r="AB8" s="147">
        <f t="shared" si="7"/>
        <v>1.0779999999999994</v>
      </c>
      <c r="AC8" s="147">
        <f t="shared" si="7"/>
        <v>1.0969999999999978</v>
      </c>
      <c r="AD8" s="147">
        <f t="shared" si="7"/>
        <v>1.2380000000000031</v>
      </c>
      <c r="AE8" s="147">
        <f t="shared" si="7"/>
        <v>1.200999999999997</v>
      </c>
      <c r="AF8" s="147">
        <f t="shared" si="7"/>
        <v>1.0169999999999995</v>
      </c>
      <c r="AG8" s="147">
        <f>P8</f>
        <v>1.2270000000000001</v>
      </c>
      <c r="AH8" s="151">
        <v>0.94022222222222218</v>
      </c>
      <c r="AJ8" s="255" t="s">
        <v>391</v>
      </c>
      <c r="AK8" s="252">
        <f t="shared" ref="AK8:AV8" si="8">V9/(V8+V9)</f>
        <v>0.25686813186813112</v>
      </c>
      <c r="AL8" s="252">
        <f t="shared" si="8"/>
        <v>0.19760137064534541</v>
      </c>
      <c r="AM8" s="252">
        <f t="shared" si="8"/>
        <v>0.20711974110032388</v>
      </c>
      <c r="AN8" s="252">
        <f t="shared" si="8"/>
        <v>0.22281639928698754</v>
      </c>
      <c r="AO8" s="252">
        <f t="shared" si="8"/>
        <v>0.21345707656612442</v>
      </c>
      <c r="AP8" s="252">
        <f t="shared" si="8"/>
        <v>0.23051075268817209</v>
      </c>
      <c r="AQ8" s="252">
        <f t="shared" si="8"/>
        <v>0.22109826589595438</v>
      </c>
      <c r="AR8" s="252">
        <f t="shared" si="8"/>
        <v>0.21418338108882526</v>
      </c>
      <c r="AS8" s="252">
        <f t="shared" si="8"/>
        <v>0.19922380336351828</v>
      </c>
      <c r="AT8" s="252">
        <f t="shared" si="8"/>
        <v>0.21245901639344389</v>
      </c>
      <c r="AU8" s="252">
        <f t="shared" si="8"/>
        <v>0.21588280647648497</v>
      </c>
      <c r="AV8" s="252">
        <f t="shared" si="8"/>
        <v>0.25091575091575086</v>
      </c>
      <c r="AW8" s="252">
        <f>SUM(AK8:AV8)/12</f>
        <v>0.22017804135742181</v>
      </c>
    </row>
    <row r="9" spans="1:49" x14ac:dyDescent="0.35">
      <c r="A9" s="118" t="s">
        <v>20</v>
      </c>
      <c r="B9" s="301"/>
      <c r="C9" s="10" t="s">
        <v>315</v>
      </c>
      <c r="D9" s="11">
        <v>100</v>
      </c>
      <c r="E9" s="11">
        <v>105.29300000000001</v>
      </c>
      <c r="F9" s="11">
        <v>109.095</v>
      </c>
      <c r="G9" s="11">
        <v>111.465</v>
      </c>
      <c r="H9" s="11">
        <v>112.88200000000001</v>
      </c>
      <c r="I9" s="11">
        <v>113.288</v>
      </c>
      <c r="J9" s="11">
        <v>113.443</v>
      </c>
      <c r="K9" s="11">
        <v>113.562</v>
      </c>
      <c r="L9" s="11">
        <v>113.64700000000001</v>
      </c>
      <c r="M9" s="11">
        <v>114.066</v>
      </c>
      <c r="N9" s="11">
        <v>115.589</v>
      </c>
      <c r="O9" s="11">
        <v>119.57899999999999</v>
      </c>
      <c r="P9" s="11">
        <v>124.131</v>
      </c>
      <c r="Q9" s="9"/>
      <c r="R9" s="9">
        <f>P9-D9</f>
        <v>24.131</v>
      </c>
      <c r="U9" s="152" t="s">
        <v>203</v>
      </c>
      <c r="V9" s="157">
        <f t="shared" ref="V9:AG9" si="9">V42</f>
        <v>0.37399999999999878</v>
      </c>
      <c r="W9" s="157">
        <f t="shared" si="9"/>
        <v>0.34600000000000009</v>
      </c>
      <c r="X9" s="157">
        <f t="shared" si="9"/>
        <v>0.38400000000000034</v>
      </c>
      <c r="Y9" s="157">
        <f t="shared" si="9"/>
        <v>0.375</v>
      </c>
      <c r="Z9" s="157">
        <f t="shared" si="9"/>
        <v>0.36799999999999855</v>
      </c>
      <c r="AA9" s="157">
        <f t="shared" si="9"/>
        <v>0.34299999999999997</v>
      </c>
      <c r="AB9" s="157">
        <f t="shared" si="9"/>
        <v>0.30600000000000094</v>
      </c>
      <c r="AC9" s="157">
        <f t="shared" si="9"/>
        <v>0.29899999999999949</v>
      </c>
      <c r="AD9" s="157">
        <f t="shared" si="9"/>
        <v>0.30799999999999983</v>
      </c>
      <c r="AE9" s="157">
        <f t="shared" si="9"/>
        <v>0.32400000000000162</v>
      </c>
      <c r="AF9" s="157">
        <f t="shared" si="9"/>
        <v>0.28000000000000114</v>
      </c>
      <c r="AG9" s="157">
        <f t="shared" ref="AG9" si="10">AG42</f>
        <v>0.41099999999999998</v>
      </c>
      <c r="AH9" s="153">
        <v>0.37122222222222223</v>
      </c>
      <c r="AJ9" s="255"/>
    </row>
    <row r="10" spans="1:49" x14ac:dyDescent="0.35">
      <c r="A10" s="302">
        <v>4</v>
      </c>
      <c r="B10" s="294">
        <v>4</v>
      </c>
      <c r="C10" s="10" t="s">
        <v>121</v>
      </c>
      <c r="D10" s="11">
        <v>201.49100000000001</v>
      </c>
      <c r="E10" s="11">
        <v>209.23699999999999</v>
      </c>
      <c r="F10" s="11">
        <v>217.03200000000001</v>
      </c>
      <c r="G10" s="11">
        <v>225.9</v>
      </c>
      <c r="H10" s="11">
        <v>233.53700000000001</v>
      </c>
      <c r="I10" s="11">
        <v>241.45</v>
      </c>
      <c r="J10" s="11">
        <v>246.20400000000001</v>
      </c>
      <c r="K10" s="11">
        <v>251.381</v>
      </c>
      <c r="L10" s="11">
        <v>256.87200000000001</v>
      </c>
      <c r="M10" s="11">
        <v>263.76400000000001</v>
      </c>
      <c r="N10" s="11">
        <v>271.35500000000002</v>
      </c>
      <c r="O10" s="11">
        <v>278.83</v>
      </c>
      <c r="P10" s="11">
        <v>9.4649999999999999</v>
      </c>
      <c r="Q10" s="9">
        <f t="shared" ref="Q10" si="11">P10+O10-D10</f>
        <v>86.803999999999945</v>
      </c>
      <c r="U10" s="1">
        <v>4</v>
      </c>
      <c r="V10" s="147">
        <f t="shared" ref="V10:AG10" si="12">E10-D10</f>
        <v>7.7459999999999809</v>
      </c>
      <c r="W10" s="147">
        <f t="shared" si="12"/>
        <v>7.7950000000000159</v>
      </c>
      <c r="X10" s="147">
        <f t="shared" si="12"/>
        <v>8.867999999999995</v>
      </c>
      <c r="Y10" s="147">
        <f t="shared" si="12"/>
        <v>7.6370000000000005</v>
      </c>
      <c r="Z10" s="147">
        <f t="shared" si="12"/>
        <v>7.9129999999999825</v>
      </c>
      <c r="AA10" s="147">
        <f t="shared" si="12"/>
        <v>4.7540000000000191</v>
      </c>
      <c r="AB10" s="147">
        <f t="shared" si="12"/>
        <v>5.1769999999999925</v>
      </c>
      <c r="AC10" s="147">
        <f t="shared" si="12"/>
        <v>5.4910000000000139</v>
      </c>
      <c r="AD10" s="147">
        <f t="shared" si="12"/>
        <v>6.8919999999999959</v>
      </c>
      <c r="AE10" s="147">
        <f t="shared" si="12"/>
        <v>7.5910000000000082</v>
      </c>
      <c r="AF10" s="147">
        <f t="shared" si="12"/>
        <v>7.4749999999999659</v>
      </c>
      <c r="AG10" s="147">
        <f>P10</f>
        <v>9.4649999999999999</v>
      </c>
      <c r="AH10" s="151">
        <v>5.9373333333333314</v>
      </c>
      <c r="AJ10" s="255"/>
    </row>
    <row r="11" spans="1:49" x14ac:dyDescent="0.35">
      <c r="A11" s="302"/>
      <c r="B11" s="294"/>
      <c r="C11" s="10" t="s">
        <v>316</v>
      </c>
      <c r="D11" s="11">
        <v>10.27</v>
      </c>
      <c r="E11" s="11">
        <v>12.122</v>
      </c>
      <c r="F11" s="11">
        <v>13.196</v>
      </c>
      <c r="G11" s="11">
        <v>13.994</v>
      </c>
      <c r="H11" s="11">
        <v>14.516999999999999</v>
      </c>
      <c r="I11" s="11">
        <v>14.968999999999999</v>
      </c>
      <c r="J11" s="11">
        <v>15.208</v>
      </c>
      <c r="K11" s="11">
        <v>15.398999999999999</v>
      </c>
      <c r="L11" s="11">
        <v>15.601000000000001</v>
      </c>
      <c r="M11" s="11">
        <v>15.907</v>
      </c>
      <c r="N11" s="11">
        <v>16.332999999999998</v>
      </c>
      <c r="O11" s="11">
        <v>17.821000000000002</v>
      </c>
      <c r="P11" s="11">
        <v>19.687000000000001</v>
      </c>
      <c r="Q11" s="9"/>
      <c r="R11" s="9">
        <f>P11-D11</f>
        <v>9.4170000000000016</v>
      </c>
      <c r="U11" s="152" t="s">
        <v>202</v>
      </c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51"/>
      <c r="AJ11" s="255"/>
    </row>
    <row r="12" spans="1:49" x14ac:dyDescent="0.35">
      <c r="A12" s="118">
        <v>9</v>
      </c>
      <c r="B12" s="294">
        <v>5</v>
      </c>
      <c r="C12" s="10" t="s">
        <v>122</v>
      </c>
      <c r="D12" s="11">
        <v>229.006</v>
      </c>
      <c r="E12" s="11">
        <v>233.11799999999999</v>
      </c>
      <c r="F12" s="11">
        <v>237.566</v>
      </c>
      <c r="G12" s="11">
        <v>243.339</v>
      </c>
      <c r="H12" s="11">
        <v>248.685</v>
      </c>
      <c r="I12" s="11">
        <v>253.476</v>
      </c>
      <c r="J12" s="11">
        <v>258.94299999999998</v>
      </c>
      <c r="K12" s="11">
        <v>264.08999999999997</v>
      </c>
      <c r="L12" s="11">
        <v>269.661</v>
      </c>
      <c r="M12" s="11">
        <v>272.66500000000002</v>
      </c>
      <c r="N12" s="11">
        <v>275.714</v>
      </c>
      <c r="O12" s="11">
        <v>275.72399999999999</v>
      </c>
      <c r="P12" s="11">
        <v>1.5169999999999999</v>
      </c>
      <c r="Q12" s="9">
        <f t="shared" ref="Q12" si="13">P12+O12-D12</f>
        <v>48.234999999999985</v>
      </c>
      <c r="U12" s="1">
        <v>9</v>
      </c>
      <c r="V12" s="147">
        <f t="shared" ref="V12:AG12" si="14">E12-D12</f>
        <v>4.1119999999999948</v>
      </c>
      <c r="W12" s="147">
        <f t="shared" si="14"/>
        <v>4.4480000000000075</v>
      </c>
      <c r="X12" s="147">
        <f t="shared" si="14"/>
        <v>5.7729999999999961</v>
      </c>
      <c r="Y12" s="147">
        <f t="shared" si="14"/>
        <v>5.3460000000000036</v>
      </c>
      <c r="Z12" s="147">
        <f t="shared" si="14"/>
        <v>4.7909999999999968</v>
      </c>
      <c r="AA12" s="147">
        <f t="shared" si="14"/>
        <v>5.4669999999999845</v>
      </c>
      <c r="AB12" s="147">
        <f t="shared" si="14"/>
        <v>5.1469999999999914</v>
      </c>
      <c r="AC12" s="147">
        <f t="shared" si="14"/>
        <v>5.5710000000000264</v>
      </c>
      <c r="AD12" s="147">
        <f t="shared" si="14"/>
        <v>3.0040000000000191</v>
      </c>
      <c r="AE12" s="147">
        <f t="shared" si="14"/>
        <v>3.0489999999999782</v>
      </c>
      <c r="AF12" s="147">
        <f t="shared" si="14"/>
        <v>9.9999999999909051E-3</v>
      </c>
      <c r="AG12" s="147">
        <f>P12</f>
        <v>1.5169999999999999</v>
      </c>
      <c r="AH12" s="151">
        <v>4.7323333333333339</v>
      </c>
      <c r="AJ12" s="255" t="s">
        <v>392</v>
      </c>
      <c r="AK12" s="252">
        <f t="shared" ref="AK12:AV12" si="15">V13/(V12+V13)</f>
        <v>0.22121212121212236</v>
      </c>
      <c r="AL12" s="252">
        <f t="shared" si="15"/>
        <v>0.23349991383767038</v>
      </c>
      <c r="AM12" s="252">
        <f t="shared" si="15"/>
        <v>0.20961117196056878</v>
      </c>
      <c r="AN12" s="252">
        <f t="shared" si="15"/>
        <v>0.20764784348599322</v>
      </c>
      <c r="AO12" s="252">
        <f t="shared" si="15"/>
        <v>0.20639390425708268</v>
      </c>
      <c r="AP12" s="252">
        <f t="shared" si="15"/>
        <v>0.1967381722009994</v>
      </c>
      <c r="AQ12" s="252">
        <f t="shared" si="15"/>
        <v>0.17489579993587634</v>
      </c>
      <c r="AR12" s="252">
        <f t="shared" si="15"/>
        <v>0.14279119864594647</v>
      </c>
      <c r="AS12" s="252">
        <f t="shared" si="15"/>
        <v>0.17267970256127591</v>
      </c>
      <c r="AT12" s="252">
        <f t="shared" si="15"/>
        <v>0.22653475393201558</v>
      </c>
      <c r="AU12" s="252">
        <f t="shared" si="15"/>
        <v>0.41176470588225461</v>
      </c>
      <c r="AV12" s="252">
        <f t="shared" si="15"/>
        <v>0.47435897435897434</v>
      </c>
      <c r="AW12" s="252">
        <f>SUM(AK12:AV12)/12</f>
        <v>0.23984402185589829</v>
      </c>
    </row>
    <row r="13" spans="1:49" x14ac:dyDescent="0.35">
      <c r="A13" s="118" t="s">
        <v>21</v>
      </c>
      <c r="B13" s="294"/>
      <c r="C13" s="10" t="s">
        <v>317</v>
      </c>
      <c r="D13" s="11">
        <v>64.284000000000006</v>
      </c>
      <c r="E13" s="11">
        <v>69.641000000000005</v>
      </c>
      <c r="F13" s="11">
        <v>73.116</v>
      </c>
      <c r="G13" s="11">
        <v>76.424999999999997</v>
      </c>
      <c r="H13" s="11">
        <v>78.908000000000001</v>
      </c>
      <c r="I13" s="11">
        <v>80.528999999999996</v>
      </c>
      <c r="J13" s="11">
        <v>81.450999999999993</v>
      </c>
      <c r="K13" s="11">
        <v>82.15</v>
      </c>
      <c r="L13" s="11">
        <v>82.703999999999994</v>
      </c>
      <c r="M13" s="11">
        <v>83.867000000000004</v>
      </c>
      <c r="N13" s="11">
        <v>86.599000000000004</v>
      </c>
      <c r="O13" s="11">
        <v>91.004999999999995</v>
      </c>
      <c r="P13" s="11">
        <v>95.26</v>
      </c>
      <c r="Q13" s="9"/>
      <c r="R13" s="9">
        <f>P13-D13</f>
        <v>30.975999999999999</v>
      </c>
      <c r="U13" s="152" t="s">
        <v>203</v>
      </c>
      <c r="V13" s="157">
        <f t="shared" ref="V13:AG13" si="16">V44</f>
        <v>1.1680000000000064</v>
      </c>
      <c r="W13" s="157">
        <f t="shared" si="16"/>
        <v>1.355000000000004</v>
      </c>
      <c r="X13" s="157">
        <f t="shared" si="16"/>
        <v>1.5309999999999917</v>
      </c>
      <c r="Y13" s="157">
        <f t="shared" si="16"/>
        <v>1.4009999999999962</v>
      </c>
      <c r="Z13" s="157">
        <f t="shared" si="16"/>
        <v>1.2460000000000093</v>
      </c>
      <c r="AA13" s="157">
        <f t="shared" si="16"/>
        <v>1.3389999999999986</v>
      </c>
      <c r="AB13" s="157">
        <f t="shared" si="16"/>
        <v>1.090999999999994</v>
      </c>
      <c r="AC13" s="157">
        <f t="shared" si="16"/>
        <v>0.92800000000001148</v>
      </c>
      <c r="AD13" s="157">
        <f t="shared" si="16"/>
        <v>0.62699999999999534</v>
      </c>
      <c r="AE13" s="157">
        <f t="shared" si="16"/>
        <v>0.89300000000000068</v>
      </c>
      <c r="AF13" s="157">
        <f t="shared" si="16"/>
        <v>6.9999999999907914E-3</v>
      </c>
      <c r="AG13" s="157">
        <f t="shared" ref="AG13" si="17">AG44</f>
        <v>1.369</v>
      </c>
      <c r="AH13" s="153">
        <v>4.7182222222222219</v>
      </c>
      <c r="AJ13" s="255"/>
    </row>
    <row r="14" spans="1:49" x14ac:dyDescent="0.35">
      <c r="A14" s="118">
        <v>15</v>
      </c>
      <c r="B14" s="294">
        <v>6</v>
      </c>
      <c r="C14" s="10" t="s">
        <v>436</v>
      </c>
      <c r="D14" s="11">
        <v>189.37100000000001</v>
      </c>
      <c r="E14" s="11">
        <v>190.459</v>
      </c>
      <c r="F14" s="11">
        <v>191.35400000000001</v>
      </c>
      <c r="G14" s="11">
        <v>192.22</v>
      </c>
      <c r="H14" s="11">
        <v>193.62700000000001</v>
      </c>
      <c r="I14" s="11">
        <v>194.447</v>
      </c>
      <c r="J14" s="11">
        <v>195.322</v>
      </c>
      <c r="K14" s="11">
        <v>196.22499999999999</v>
      </c>
      <c r="L14" s="11">
        <v>197.63800000000001</v>
      </c>
      <c r="M14" s="11">
        <v>198.988</v>
      </c>
      <c r="N14" s="11">
        <v>200.36500000000001</v>
      </c>
      <c r="O14" s="11">
        <v>201.91</v>
      </c>
      <c r="P14" s="11">
        <v>2.1709999999999998</v>
      </c>
      <c r="Q14" s="9">
        <f t="shared" ref="Q14" si="18">P14+O14-D14</f>
        <v>14.70999999999998</v>
      </c>
      <c r="U14" s="1">
        <v>15</v>
      </c>
      <c r="V14" s="147">
        <f t="shared" ref="V14:AG14" si="19">E14-D14</f>
        <v>1.0879999999999939</v>
      </c>
      <c r="W14" s="147">
        <f t="shared" si="19"/>
        <v>0.89500000000001023</v>
      </c>
      <c r="X14" s="147">
        <f t="shared" si="19"/>
        <v>0.86599999999998545</v>
      </c>
      <c r="Y14" s="147">
        <f t="shared" si="19"/>
        <v>1.4070000000000107</v>
      </c>
      <c r="Z14" s="147">
        <f t="shared" si="19"/>
        <v>0.81999999999999318</v>
      </c>
      <c r="AA14" s="147">
        <f t="shared" si="19"/>
        <v>0.875</v>
      </c>
      <c r="AB14" s="147">
        <f t="shared" si="19"/>
        <v>0.90299999999999159</v>
      </c>
      <c r="AC14" s="147">
        <f t="shared" si="19"/>
        <v>1.4130000000000109</v>
      </c>
      <c r="AD14" s="147">
        <f t="shared" si="19"/>
        <v>1.3499999999999943</v>
      </c>
      <c r="AE14" s="147">
        <f t="shared" si="19"/>
        <v>1.3770000000000095</v>
      </c>
      <c r="AF14" s="147">
        <f t="shared" si="19"/>
        <v>1.5449999999999875</v>
      </c>
      <c r="AG14" s="147">
        <f>P14</f>
        <v>2.1709999999999998</v>
      </c>
      <c r="AH14" s="151">
        <v>1.6821111111111091</v>
      </c>
      <c r="AJ14" s="255" t="s">
        <v>393</v>
      </c>
      <c r="AK14" s="252">
        <f t="shared" ref="AK14:AV14" si="20">V15/(V14+V15)</f>
        <v>0.55207904487443682</v>
      </c>
      <c r="AL14" s="252">
        <f t="shared" si="20"/>
        <v>0.63882163034705119</v>
      </c>
      <c r="AM14" s="252">
        <f t="shared" si="20"/>
        <v>0.58425348055689008</v>
      </c>
      <c r="AN14" s="252">
        <f t="shared" si="20"/>
        <v>0.59510791366906435</v>
      </c>
      <c r="AO14" s="252">
        <f t="shared" si="20"/>
        <v>0.50303030303030027</v>
      </c>
      <c r="AP14" s="252">
        <f t="shared" si="20"/>
        <v>0.39530062197650423</v>
      </c>
      <c r="AQ14" s="252">
        <f t="shared" si="20"/>
        <v>0.46694214876033191</v>
      </c>
      <c r="AR14" s="252">
        <f t="shared" si="20"/>
        <v>0.45486111111110961</v>
      </c>
      <c r="AS14" s="252">
        <f t="shared" si="20"/>
        <v>0.3129770992366453</v>
      </c>
      <c r="AT14" s="252">
        <f t="shared" si="20"/>
        <v>0.34020124580737998</v>
      </c>
      <c r="AU14" s="252">
        <f t="shared" si="20"/>
        <v>0.4575140449438217</v>
      </c>
      <c r="AV14" s="252">
        <f t="shared" si="20"/>
        <v>0.46222442407728515</v>
      </c>
      <c r="AW14" s="252">
        <f>SUM(AK14:AV14)/12</f>
        <v>0.48027608903256852</v>
      </c>
    </row>
    <row r="15" spans="1:49" x14ac:dyDescent="0.35">
      <c r="A15" s="118" t="s">
        <v>22</v>
      </c>
      <c r="B15" s="294"/>
      <c r="C15" s="10" t="s">
        <v>318</v>
      </c>
      <c r="D15" s="11">
        <v>39.081000000000003</v>
      </c>
      <c r="E15" s="11">
        <v>41.567</v>
      </c>
      <c r="F15" s="11">
        <v>42.459000000000003</v>
      </c>
      <c r="G15" s="11">
        <v>44.957000000000001</v>
      </c>
      <c r="H15" s="11">
        <v>46.652000000000001</v>
      </c>
      <c r="I15" s="11">
        <v>47.002000000000002</v>
      </c>
      <c r="J15" s="11">
        <v>47.26</v>
      </c>
      <c r="K15" s="11">
        <v>47.564</v>
      </c>
      <c r="L15" s="11">
        <v>47.906999999999996</v>
      </c>
      <c r="M15" s="11">
        <v>48.16</v>
      </c>
      <c r="N15" s="11">
        <v>48.465000000000003</v>
      </c>
      <c r="O15" s="11">
        <v>49.295999999999999</v>
      </c>
      <c r="P15" s="11">
        <v>52.481000000000002</v>
      </c>
      <c r="Q15" s="9"/>
      <c r="R15" s="9">
        <f>P15-D15</f>
        <v>13.399999999999999</v>
      </c>
      <c r="U15" s="152" t="s">
        <v>203</v>
      </c>
      <c r="V15" s="157">
        <f t="shared" ref="V15:AG15" si="21">V46</f>
        <v>1.3410000000000082</v>
      </c>
      <c r="W15" s="157">
        <f t="shared" si="21"/>
        <v>1.5829999999999984</v>
      </c>
      <c r="X15" s="157">
        <f t="shared" si="21"/>
        <v>1.2169999999999845</v>
      </c>
      <c r="Y15" s="157">
        <f t="shared" si="21"/>
        <v>2.0680000000000121</v>
      </c>
      <c r="Z15" s="157">
        <f t="shared" si="21"/>
        <v>0.82999999999998408</v>
      </c>
      <c r="AA15" s="157">
        <f t="shared" si="21"/>
        <v>0.57200000000000273</v>
      </c>
      <c r="AB15" s="157">
        <f t="shared" si="21"/>
        <v>0.79099999999999682</v>
      </c>
      <c r="AC15" s="157">
        <f t="shared" si="21"/>
        <v>1.179000000000002</v>
      </c>
      <c r="AD15" s="157">
        <f t="shared" si="21"/>
        <v>0.61500000000000909</v>
      </c>
      <c r="AE15" s="157">
        <f t="shared" si="21"/>
        <v>0.71000000000000796</v>
      </c>
      <c r="AF15" s="157">
        <f t="shared" si="21"/>
        <v>1.3029999999999973</v>
      </c>
      <c r="AG15" s="157">
        <f t="shared" ref="AG15" si="22">AG46</f>
        <v>1.8660000000000001</v>
      </c>
      <c r="AH15" s="153">
        <v>0.73344444444444434</v>
      </c>
      <c r="AJ15" s="255"/>
    </row>
    <row r="16" spans="1:49" x14ac:dyDescent="0.35">
      <c r="A16" s="302">
        <v>7</v>
      </c>
      <c r="B16" s="294">
        <v>7</v>
      </c>
      <c r="C16" s="10" t="s">
        <v>123</v>
      </c>
      <c r="D16" s="11">
        <v>288.41899999999998</v>
      </c>
      <c r="E16" s="11">
        <v>295.29399999999998</v>
      </c>
      <c r="F16" s="11">
        <v>299.74900000000002</v>
      </c>
      <c r="G16" s="11">
        <v>301.40699999999998</v>
      </c>
      <c r="H16" s="11">
        <v>307.45999999999998</v>
      </c>
      <c r="I16" s="11">
        <v>313.17</v>
      </c>
      <c r="J16" s="11">
        <v>317.53500000000003</v>
      </c>
      <c r="K16" s="11">
        <v>323.06099999999998</v>
      </c>
      <c r="L16" s="11">
        <v>328.92399999999998</v>
      </c>
      <c r="M16" s="11">
        <v>334.53899999999999</v>
      </c>
      <c r="N16" s="11">
        <v>340.53399999999999</v>
      </c>
      <c r="O16" s="11">
        <v>345.75</v>
      </c>
      <c r="P16" s="11">
        <v>6.8630000000000004</v>
      </c>
      <c r="Q16" s="9">
        <f t="shared" ref="Q16" si="23">P16+O16-D16</f>
        <v>64.194000000000017</v>
      </c>
      <c r="U16" s="1">
        <v>7</v>
      </c>
      <c r="V16" s="147">
        <f t="shared" ref="V16:AG16" si="24">E16-D16</f>
        <v>6.875</v>
      </c>
      <c r="W16" s="147">
        <f t="shared" si="24"/>
        <v>4.4550000000000409</v>
      </c>
      <c r="X16" s="147">
        <f t="shared" si="24"/>
        <v>1.6579999999999586</v>
      </c>
      <c r="Y16" s="147">
        <f t="shared" si="24"/>
        <v>6.0529999999999973</v>
      </c>
      <c r="Z16" s="147">
        <f t="shared" si="24"/>
        <v>5.7100000000000364</v>
      </c>
      <c r="AA16" s="147">
        <f t="shared" si="24"/>
        <v>4.3650000000000091</v>
      </c>
      <c r="AB16" s="147">
        <f t="shared" si="24"/>
        <v>5.5259999999999536</v>
      </c>
      <c r="AC16" s="147">
        <f t="shared" si="24"/>
        <v>5.8629999999999995</v>
      </c>
      <c r="AD16" s="147">
        <f t="shared" si="24"/>
        <v>5.6150000000000091</v>
      </c>
      <c r="AE16" s="147">
        <f t="shared" si="24"/>
        <v>5.9950000000000045</v>
      </c>
      <c r="AF16" s="147">
        <f t="shared" si="24"/>
        <v>5.2160000000000082</v>
      </c>
      <c r="AG16" s="147">
        <f>P16</f>
        <v>6.8630000000000004</v>
      </c>
      <c r="AH16" s="151">
        <v>6.2735555555555544</v>
      </c>
      <c r="AJ16" s="255"/>
    </row>
    <row r="17" spans="1:52" x14ac:dyDescent="0.35">
      <c r="A17" s="302"/>
      <c r="B17" s="294"/>
      <c r="C17" s="10" t="s">
        <v>319</v>
      </c>
      <c r="D17" s="11">
        <v>9.8949999999999996</v>
      </c>
      <c r="E17" s="11">
        <v>10.456</v>
      </c>
      <c r="F17" s="11">
        <v>10.814</v>
      </c>
      <c r="G17" s="11">
        <v>10.968</v>
      </c>
      <c r="H17" s="11">
        <v>11.249000000000001</v>
      </c>
      <c r="I17" s="11">
        <v>11.472</v>
      </c>
      <c r="J17" s="11">
        <v>11.63</v>
      </c>
      <c r="K17" s="11">
        <v>11.776999999999999</v>
      </c>
      <c r="L17" s="11">
        <v>11.913</v>
      </c>
      <c r="M17" s="11">
        <v>12.082000000000001</v>
      </c>
      <c r="N17" s="11">
        <v>12.327</v>
      </c>
      <c r="O17" s="11">
        <v>12.994</v>
      </c>
      <c r="P17" s="11">
        <v>13.933999999999999</v>
      </c>
      <c r="Q17" s="9"/>
      <c r="R17" s="9">
        <f>P17-D17</f>
        <v>4.0389999999999997</v>
      </c>
      <c r="U17" s="152" t="s">
        <v>202</v>
      </c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51"/>
      <c r="AJ17" s="255"/>
    </row>
    <row r="18" spans="1:52" x14ac:dyDescent="0.35">
      <c r="A18" s="118">
        <v>13</v>
      </c>
      <c r="B18" s="294">
        <v>8</v>
      </c>
      <c r="C18" s="10" t="s">
        <v>124</v>
      </c>
      <c r="D18" s="11">
        <v>136.261</v>
      </c>
      <c r="E18" s="11">
        <v>138.405</v>
      </c>
      <c r="F18" s="11">
        <v>140.321</v>
      </c>
      <c r="G18" s="11">
        <v>142.40600000000001</v>
      </c>
      <c r="H18" s="11">
        <v>144.71700000000001</v>
      </c>
      <c r="I18" s="11">
        <v>147.26599999999999</v>
      </c>
      <c r="J18" s="11">
        <v>150.029</v>
      </c>
      <c r="K18" s="11">
        <v>151.863</v>
      </c>
      <c r="L18" s="11">
        <v>153.328</v>
      </c>
      <c r="M18" s="11">
        <v>156.78299999999999</v>
      </c>
      <c r="N18" s="11">
        <v>159.21299999999999</v>
      </c>
      <c r="O18" s="11">
        <v>161.35000000000002</v>
      </c>
      <c r="P18" s="11">
        <v>2.59</v>
      </c>
      <c r="Q18" s="9">
        <f t="shared" ref="Q18" si="25">P18+O18-D18</f>
        <v>27.67900000000003</v>
      </c>
      <c r="U18" s="1">
        <v>13</v>
      </c>
      <c r="V18" s="147">
        <f t="shared" ref="V18:AG18" si="26">E18-D18</f>
        <v>2.1440000000000055</v>
      </c>
      <c r="W18" s="147">
        <f t="shared" si="26"/>
        <v>1.9159999999999968</v>
      </c>
      <c r="X18" s="147">
        <f t="shared" si="26"/>
        <v>2.085000000000008</v>
      </c>
      <c r="Y18" s="147">
        <f t="shared" si="26"/>
        <v>2.311000000000007</v>
      </c>
      <c r="Z18" s="147">
        <f t="shared" si="26"/>
        <v>2.5489999999999782</v>
      </c>
      <c r="AA18" s="147">
        <f t="shared" si="26"/>
        <v>2.7630000000000052</v>
      </c>
      <c r="AB18" s="147">
        <f t="shared" si="26"/>
        <v>1.8340000000000032</v>
      </c>
      <c r="AC18" s="147">
        <f t="shared" si="26"/>
        <v>1.4650000000000034</v>
      </c>
      <c r="AD18" s="147">
        <f t="shared" si="26"/>
        <v>3.4549999999999841</v>
      </c>
      <c r="AE18" s="147">
        <f t="shared" si="26"/>
        <v>2.4300000000000068</v>
      </c>
      <c r="AF18" s="147">
        <f t="shared" si="26"/>
        <v>2.1370000000000289</v>
      </c>
      <c r="AG18" s="147">
        <f>P18</f>
        <v>2.59</v>
      </c>
      <c r="AH18" s="151">
        <v>2.5207777777777785</v>
      </c>
      <c r="AJ18" s="255" t="s">
        <v>394</v>
      </c>
      <c r="AK18" s="252">
        <f t="shared" ref="AK18:AV18" si="27">V19/(V18+V19)</f>
        <v>0.41912760769439289</v>
      </c>
      <c r="AL18" s="252">
        <f t="shared" si="27"/>
        <v>0.44720138488170796</v>
      </c>
      <c r="AM18" s="252">
        <f t="shared" si="27"/>
        <v>0.43557119653491971</v>
      </c>
      <c r="AN18" s="252">
        <f t="shared" si="27"/>
        <v>0.463929482718626</v>
      </c>
      <c r="AO18" s="252">
        <f t="shared" si="27"/>
        <v>0.4394106003958681</v>
      </c>
      <c r="AP18" s="252">
        <f t="shared" si="27"/>
        <v>0.40835117773019181</v>
      </c>
      <c r="AQ18" s="252">
        <f t="shared" si="27"/>
        <v>0.32992327365729002</v>
      </c>
      <c r="AR18" s="252">
        <f t="shared" si="27"/>
        <v>0.46376281112737783</v>
      </c>
      <c r="AS18" s="252">
        <f t="shared" si="27"/>
        <v>0.33506543494996249</v>
      </c>
      <c r="AT18" s="252">
        <f t="shared" si="27"/>
        <v>0.44240477283157309</v>
      </c>
      <c r="AU18" s="252">
        <f t="shared" si="27"/>
        <v>0.48143654452790691</v>
      </c>
      <c r="AV18" s="252">
        <f t="shared" si="27"/>
        <v>0.36065169094050853</v>
      </c>
      <c r="AW18" s="252">
        <f>SUM(AK18:AV18)/12</f>
        <v>0.41890299816586035</v>
      </c>
    </row>
    <row r="19" spans="1:52" x14ac:dyDescent="0.35">
      <c r="A19" s="118" t="s">
        <v>23</v>
      </c>
      <c r="B19" s="294"/>
      <c r="C19" s="10" t="s">
        <v>320</v>
      </c>
      <c r="D19" s="11">
        <v>60.985999999999997</v>
      </c>
      <c r="E19" s="11">
        <v>65.287999999999997</v>
      </c>
      <c r="F19" s="11">
        <v>68.522000000000006</v>
      </c>
      <c r="G19" s="11">
        <v>70.953000000000003</v>
      </c>
      <c r="H19" s="11">
        <v>71.855999999999995</v>
      </c>
      <c r="I19" s="11">
        <v>72.463999999999999</v>
      </c>
      <c r="J19" s="11">
        <v>73.019000000000005</v>
      </c>
      <c r="K19" s="11">
        <v>73.379000000000005</v>
      </c>
      <c r="L19" s="11">
        <v>73.759</v>
      </c>
      <c r="M19" s="11">
        <v>74.272000000000006</v>
      </c>
      <c r="N19" s="11">
        <v>74.944000000000003</v>
      </c>
      <c r="O19" s="11">
        <v>78.677000000000007</v>
      </c>
      <c r="P19" s="11">
        <v>83.882999999999996</v>
      </c>
      <c r="Q19" s="9"/>
      <c r="R19" s="9">
        <f>P19-D19</f>
        <v>22.896999999999998</v>
      </c>
      <c r="U19" s="152" t="s">
        <v>203</v>
      </c>
      <c r="V19" s="157">
        <f t="shared" ref="V19:AG19" si="28">V48</f>
        <v>1.5470000000000113</v>
      </c>
      <c r="W19" s="157">
        <f t="shared" si="28"/>
        <v>1.5499999999999972</v>
      </c>
      <c r="X19" s="157">
        <f t="shared" si="28"/>
        <v>1.6089999999999947</v>
      </c>
      <c r="Y19" s="157">
        <f t="shared" si="28"/>
        <v>2</v>
      </c>
      <c r="Z19" s="157">
        <f t="shared" si="28"/>
        <v>1.9980000000000047</v>
      </c>
      <c r="AA19" s="157">
        <f t="shared" si="28"/>
        <v>1.9069999999999965</v>
      </c>
      <c r="AB19" s="157">
        <f t="shared" si="28"/>
        <v>0.9030000000000058</v>
      </c>
      <c r="AC19" s="157">
        <f t="shared" si="28"/>
        <v>1.2669999999999959</v>
      </c>
      <c r="AD19" s="157">
        <f t="shared" si="28"/>
        <v>1.7409999999999997</v>
      </c>
      <c r="AE19" s="157">
        <f t="shared" si="28"/>
        <v>1.9279999999999973</v>
      </c>
      <c r="AF19" s="157">
        <f t="shared" si="28"/>
        <v>1.983999999999071</v>
      </c>
      <c r="AG19" s="157">
        <f t="shared" ref="AG19" si="29">AG48</f>
        <v>1.4610000000000001</v>
      </c>
      <c r="AH19" s="153">
        <v>1.2623333333333333</v>
      </c>
    </row>
    <row r="20" spans="1:52" x14ac:dyDescent="0.35">
      <c r="A20" s="302">
        <v>14</v>
      </c>
      <c r="B20" s="294">
        <v>9</v>
      </c>
      <c r="C20" s="10" t="s">
        <v>125</v>
      </c>
      <c r="D20" s="11">
        <v>470.87700000000001</v>
      </c>
      <c r="E20" s="11">
        <v>479.28800000000001</v>
      </c>
      <c r="F20" s="11">
        <v>485.67500000000001</v>
      </c>
      <c r="G20" s="11">
        <v>495.084</v>
      </c>
      <c r="H20" s="11">
        <v>504.15699999999998</v>
      </c>
      <c r="I20" s="11">
        <v>514.48400000000004</v>
      </c>
      <c r="J20" s="11">
        <v>525.52099999999996</v>
      </c>
      <c r="K20" s="11">
        <v>531.60400000000004</v>
      </c>
      <c r="L20" s="11">
        <v>539.29499999999996</v>
      </c>
      <c r="M20" s="11">
        <v>547.56100000000004</v>
      </c>
      <c r="N20" s="11">
        <v>556.79499999999996</v>
      </c>
      <c r="O20" s="11">
        <v>564.58000000000004</v>
      </c>
      <c r="P20" s="11">
        <v>9.8710000000000004</v>
      </c>
      <c r="Q20" s="9">
        <f t="shared" ref="Q20:Q22" si="30">P20+O20-D20</f>
        <v>103.57400000000001</v>
      </c>
      <c r="U20" s="1">
        <v>14</v>
      </c>
      <c r="V20" s="147">
        <f t="shared" ref="V20:AG20" si="31">E20-D20</f>
        <v>8.4110000000000014</v>
      </c>
      <c r="W20" s="147">
        <f t="shared" si="31"/>
        <v>6.3870000000000005</v>
      </c>
      <c r="X20" s="147">
        <f t="shared" si="31"/>
        <v>9.4089999999999918</v>
      </c>
      <c r="Y20" s="147">
        <f t="shared" si="31"/>
        <v>9.0729999999999791</v>
      </c>
      <c r="Z20" s="147">
        <f t="shared" si="31"/>
        <v>10.327000000000055</v>
      </c>
      <c r="AA20" s="147">
        <f t="shared" si="31"/>
        <v>11.036999999999921</v>
      </c>
      <c r="AB20" s="147">
        <f t="shared" si="31"/>
        <v>6.0830000000000837</v>
      </c>
      <c r="AC20" s="147">
        <f t="shared" si="31"/>
        <v>7.6909999999999172</v>
      </c>
      <c r="AD20" s="147">
        <f t="shared" si="31"/>
        <v>8.2660000000000764</v>
      </c>
      <c r="AE20" s="147">
        <f t="shared" si="31"/>
        <v>9.2339999999999236</v>
      </c>
      <c r="AF20" s="147">
        <f t="shared" si="31"/>
        <v>7.7850000000000819</v>
      </c>
      <c r="AG20" s="147">
        <f>P20</f>
        <v>9.8710000000000004</v>
      </c>
      <c r="AH20" s="151">
        <v>6.9983333333333348</v>
      </c>
    </row>
    <row r="21" spans="1:52" x14ac:dyDescent="0.35">
      <c r="A21" s="302"/>
      <c r="B21" s="294"/>
      <c r="C21" s="10" t="s">
        <v>402</v>
      </c>
      <c r="D21" s="11">
        <v>60.792999999999999</v>
      </c>
      <c r="E21" s="11">
        <v>66.600999999999999</v>
      </c>
      <c r="F21" s="11">
        <v>69.805000000000007</v>
      </c>
      <c r="G21" s="11">
        <v>72.575999999999993</v>
      </c>
      <c r="H21" s="11">
        <v>73.908000000000001</v>
      </c>
      <c r="I21" s="11">
        <v>74.507999999999996</v>
      </c>
      <c r="J21" s="11">
        <v>75.146000000000001</v>
      </c>
      <c r="K21" s="11">
        <v>75.459000000000003</v>
      </c>
      <c r="L21" s="11">
        <v>75.802999999999997</v>
      </c>
      <c r="M21" s="11">
        <v>76.201999999999998</v>
      </c>
      <c r="N21" s="11">
        <v>77.91</v>
      </c>
      <c r="O21" s="11">
        <v>82.216999999999999</v>
      </c>
      <c r="P21" s="11">
        <v>87.236000000000004</v>
      </c>
      <c r="Q21" s="9"/>
      <c r="R21" s="9">
        <f>P21-D21</f>
        <v>26.443000000000005</v>
      </c>
      <c r="U21" s="152" t="s">
        <v>202</v>
      </c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51"/>
    </row>
    <row r="22" spans="1:52" x14ac:dyDescent="0.35">
      <c r="A22" s="302">
        <v>10</v>
      </c>
      <c r="B22" s="294">
        <v>10</v>
      </c>
      <c r="C22" s="10" t="s">
        <v>126</v>
      </c>
      <c r="D22" s="11">
        <v>92.85</v>
      </c>
      <c r="E22" s="11">
        <v>94.734999999999999</v>
      </c>
      <c r="F22" s="11">
        <v>96.361000000000004</v>
      </c>
      <c r="G22" s="11">
        <v>98.138000000000005</v>
      </c>
      <c r="H22" s="11">
        <v>99.954999999999998</v>
      </c>
      <c r="I22" s="11">
        <v>102.11</v>
      </c>
      <c r="J22" s="11">
        <v>103.892</v>
      </c>
      <c r="K22" s="11">
        <v>106.218</v>
      </c>
      <c r="L22" s="11">
        <v>108.08499999999999</v>
      </c>
      <c r="M22" s="11">
        <v>109.833</v>
      </c>
      <c r="N22" s="11">
        <v>111.85</v>
      </c>
      <c r="O22" s="11">
        <v>113.67</v>
      </c>
      <c r="P22" s="11">
        <v>2.516</v>
      </c>
      <c r="Q22" s="9">
        <f t="shared" si="30"/>
        <v>23.336000000000013</v>
      </c>
      <c r="U22" s="1">
        <v>10</v>
      </c>
      <c r="V22" s="147">
        <f t="shared" ref="V22:AG22" si="32">E22-D22</f>
        <v>1.8850000000000051</v>
      </c>
      <c r="W22" s="147">
        <f t="shared" si="32"/>
        <v>1.6260000000000048</v>
      </c>
      <c r="X22" s="147">
        <f t="shared" si="32"/>
        <v>1.777000000000001</v>
      </c>
      <c r="Y22" s="147">
        <f t="shared" si="32"/>
        <v>1.8169999999999931</v>
      </c>
      <c r="Z22" s="147">
        <f t="shared" si="32"/>
        <v>2.1550000000000011</v>
      </c>
      <c r="AA22" s="147">
        <f t="shared" si="32"/>
        <v>1.7819999999999965</v>
      </c>
      <c r="AB22" s="147">
        <f t="shared" si="32"/>
        <v>2.3260000000000076</v>
      </c>
      <c r="AC22" s="147">
        <f t="shared" si="32"/>
        <v>1.8669999999999902</v>
      </c>
      <c r="AD22" s="147">
        <f t="shared" si="32"/>
        <v>1.7480000000000047</v>
      </c>
      <c r="AE22" s="147">
        <f t="shared" si="32"/>
        <v>2.0169999999999959</v>
      </c>
      <c r="AF22" s="147">
        <f t="shared" si="32"/>
        <v>1.8200000000000074</v>
      </c>
      <c r="AG22" s="147">
        <f>P22</f>
        <v>2.516</v>
      </c>
      <c r="AH22" s="151">
        <v>2.9007777777777779</v>
      </c>
    </row>
    <row r="23" spans="1:52" x14ac:dyDescent="0.35">
      <c r="A23" s="302"/>
      <c r="B23" s="294"/>
      <c r="C23" s="10" t="s">
        <v>321</v>
      </c>
      <c r="D23" s="11">
        <v>35.463999999999999</v>
      </c>
      <c r="E23" s="11">
        <v>39.351999999999997</v>
      </c>
      <c r="F23" s="11">
        <v>41.298999999999999</v>
      </c>
      <c r="G23" s="11">
        <v>42.609000000000002</v>
      </c>
      <c r="H23" s="11">
        <v>43.191000000000003</v>
      </c>
      <c r="I23" s="11">
        <v>43.430999999999997</v>
      </c>
      <c r="J23" s="11">
        <v>43.639000000000003</v>
      </c>
      <c r="K23" s="11">
        <v>43.856000000000002</v>
      </c>
      <c r="L23" s="11">
        <v>44.05</v>
      </c>
      <c r="M23" s="11">
        <v>44.273000000000003</v>
      </c>
      <c r="N23" s="11">
        <v>45.311999999999998</v>
      </c>
      <c r="O23" s="11">
        <v>48.238999999999997</v>
      </c>
      <c r="P23" s="11">
        <v>51.808999999999997</v>
      </c>
      <c r="Q23" s="86"/>
      <c r="R23" s="98">
        <f>P23-D23</f>
        <v>16.344999999999999</v>
      </c>
      <c r="U23" s="152" t="s">
        <v>202</v>
      </c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51"/>
    </row>
    <row r="24" spans="1:52" x14ac:dyDescent="0.35">
      <c r="A24"/>
      <c r="B24" s="119" t="s">
        <v>15</v>
      </c>
      <c r="C24" s="10" t="s">
        <v>265</v>
      </c>
      <c r="D24" s="15">
        <v>12070</v>
      </c>
      <c r="E24" s="15">
        <v>12339</v>
      </c>
      <c r="F24" s="15">
        <v>12578</v>
      </c>
      <c r="G24" s="15">
        <v>12771</v>
      </c>
      <c r="H24" s="15">
        <v>12980</v>
      </c>
      <c r="I24" s="15">
        <v>13186</v>
      </c>
      <c r="J24" s="15">
        <v>13489</v>
      </c>
      <c r="K24" s="15">
        <v>13690</v>
      </c>
      <c r="L24" s="15">
        <v>13926</v>
      </c>
      <c r="M24" s="15">
        <v>14126</v>
      </c>
      <c r="N24" s="15">
        <v>14332</v>
      </c>
      <c r="O24" s="15">
        <v>14533</v>
      </c>
      <c r="P24" s="15">
        <v>14724</v>
      </c>
      <c r="Q24" s="9">
        <f>SUM(Q4:Q23)+SUM(Q33:Q49)</f>
        <v>934.40099999999836</v>
      </c>
      <c r="R24" s="9">
        <f>SUM(R4:R23)</f>
        <v>207.69399999999999</v>
      </c>
      <c r="S24" s="16">
        <f>P24-D24</f>
        <v>2654</v>
      </c>
      <c r="U24" t="s">
        <v>204</v>
      </c>
      <c r="AK24" s="249" t="s">
        <v>406</v>
      </c>
    </row>
    <row r="25" spans="1:52" x14ac:dyDescent="0.35">
      <c r="A25"/>
      <c r="B25" s="119"/>
      <c r="C25" s="1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/>
      <c r="AJ25" s="1" t="s">
        <v>389</v>
      </c>
      <c r="AK25" s="235" t="s">
        <v>375</v>
      </c>
      <c r="AL25" s="235" t="s">
        <v>376</v>
      </c>
      <c r="AM25" s="235" t="s">
        <v>377</v>
      </c>
      <c r="AN25" s="235" t="s">
        <v>378</v>
      </c>
      <c r="AO25" s="235" t="s">
        <v>379</v>
      </c>
      <c r="AP25" s="235" t="s">
        <v>380</v>
      </c>
      <c r="AQ25" s="235" t="s">
        <v>381</v>
      </c>
      <c r="AR25" s="235" t="s">
        <v>382</v>
      </c>
      <c r="AS25" s="235" t="s">
        <v>383</v>
      </c>
      <c r="AT25" s="235" t="s">
        <v>384</v>
      </c>
      <c r="AU25" s="235" t="s">
        <v>385</v>
      </c>
      <c r="AV25" s="235" t="s">
        <v>386</v>
      </c>
      <c r="AW25" s="1" t="s">
        <v>387</v>
      </c>
    </row>
    <row r="26" spans="1:52" x14ac:dyDescent="0.35">
      <c r="A26"/>
      <c r="B26" s="114"/>
      <c r="C26" s="10" t="s">
        <v>127</v>
      </c>
      <c r="D26" s="18">
        <v>4882.6000000000004</v>
      </c>
      <c r="E26" s="18">
        <v>4972.6000000000004</v>
      </c>
      <c r="F26" s="18">
        <v>5055.1000000000004</v>
      </c>
      <c r="G26" s="18">
        <v>5141.1000000000004</v>
      </c>
      <c r="H26" s="18">
        <v>5229.7</v>
      </c>
      <c r="I26" s="18">
        <v>5317.5</v>
      </c>
      <c r="J26" s="18">
        <v>5394.8</v>
      </c>
      <c r="K26" s="18">
        <v>5467.5</v>
      </c>
      <c r="L26" s="18">
        <v>5546.3</v>
      </c>
      <c r="M26" s="18">
        <v>5631.4</v>
      </c>
      <c r="N26" s="18">
        <v>5722</v>
      </c>
      <c r="O26" s="18">
        <v>5801.9</v>
      </c>
      <c r="P26" s="18">
        <v>101.3</v>
      </c>
      <c r="Q26" s="330">
        <f t="shared" ref="Q26" si="33">P26+O26-D26</f>
        <v>1020.5999999999995</v>
      </c>
      <c r="AJ26" s="295" t="s">
        <v>407</v>
      </c>
      <c r="AK26" s="252">
        <f>(AK6+AK8+AK12+AK14+AK18+AK54+AK56+AK58+AK60+AK62)/10</f>
        <v>0.37181067940335011</v>
      </c>
      <c r="AL26" s="252">
        <f t="shared" ref="AL26:AW26" si="34">(AL6+AL8+AL12+AL14+AL18+AL54+AL56+AL58+AL60+AL62)/10</f>
        <v>0.37412303741594266</v>
      </c>
      <c r="AM26" s="252">
        <f t="shared" si="34"/>
        <v>0.36785657401174915</v>
      </c>
      <c r="AN26" s="252">
        <f t="shared" si="34"/>
        <v>0.36522837045299805</v>
      </c>
      <c r="AO26" s="252">
        <f t="shared" si="34"/>
        <v>0.35498222954575065</v>
      </c>
      <c r="AP26" s="252">
        <f t="shared" si="34"/>
        <v>0.30623108465490101</v>
      </c>
      <c r="AQ26" s="252">
        <f t="shared" si="34"/>
        <v>0.28212867463539737</v>
      </c>
      <c r="AR26" s="252">
        <f t="shared" si="34"/>
        <v>0.28538074525234325</v>
      </c>
      <c r="AS26" s="252">
        <f t="shared" si="34"/>
        <v>0.27083778680165332</v>
      </c>
      <c r="AT26" s="252">
        <f t="shared" si="34"/>
        <v>0.31470731551595771</v>
      </c>
      <c r="AU26" s="252">
        <f t="shared" si="34"/>
        <v>0.37238433358181455</v>
      </c>
      <c r="AV26" s="252">
        <f t="shared" si="34"/>
        <v>0.37425412200276631</v>
      </c>
      <c r="AW26" s="252">
        <f t="shared" si="34"/>
        <v>0.33666041277288528</v>
      </c>
      <c r="AZ26" s="256" t="s">
        <v>400</v>
      </c>
    </row>
    <row r="27" spans="1:52" x14ac:dyDescent="0.35">
      <c r="A27"/>
      <c r="B27" s="120"/>
      <c r="C27" s="10" t="s">
        <v>428</v>
      </c>
      <c r="D27" s="19">
        <v>100.05</v>
      </c>
      <c r="E27" s="19">
        <v>144.21</v>
      </c>
      <c r="F27" s="19">
        <v>171.79</v>
      </c>
      <c r="G27" s="19">
        <v>194.78</v>
      </c>
      <c r="H27" s="19">
        <v>209.71</v>
      </c>
      <c r="I27" s="19">
        <v>219.56</v>
      </c>
      <c r="J27" s="19">
        <v>227.39</v>
      </c>
      <c r="K27" s="19">
        <v>234.32</v>
      </c>
      <c r="L27" s="19">
        <v>240.28</v>
      </c>
      <c r="M27" s="19">
        <v>248.26</v>
      </c>
      <c r="N27" s="19">
        <v>263.39</v>
      </c>
      <c r="O27" s="19">
        <v>297.55</v>
      </c>
      <c r="P27" s="19">
        <v>337.39</v>
      </c>
      <c r="Q27" s="9"/>
      <c r="R27" s="9">
        <f>(P27-D27)</f>
        <v>237.33999999999997</v>
      </c>
      <c r="S27" t="s">
        <v>82</v>
      </c>
      <c r="AJ27" s="296"/>
    </row>
    <row r="28" spans="1:52" ht="15" thickBot="1" x14ac:dyDescent="0.4">
      <c r="A28"/>
      <c r="B28" s="4"/>
      <c r="C28" s="26" t="s">
        <v>16</v>
      </c>
      <c r="D28" s="21">
        <v>1827</v>
      </c>
      <c r="E28" s="21">
        <v>2286</v>
      </c>
      <c r="F28" s="21">
        <v>2541</v>
      </c>
      <c r="G28" s="21">
        <v>2770</v>
      </c>
      <c r="H28" s="21">
        <v>2981</v>
      </c>
      <c r="I28" s="21">
        <v>3267</v>
      </c>
      <c r="J28" s="21">
        <v>3525</v>
      </c>
      <c r="K28" s="21">
        <v>3764</v>
      </c>
      <c r="L28" s="21">
        <v>3961</v>
      </c>
      <c r="M28" s="21">
        <v>4151</v>
      </c>
      <c r="N28" s="21">
        <v>4351</v>
      </c>
      <c r="O28" s="21">
        <v>4693</v>
      </c>
      <c r="P28" s="21">
        <v>5081</v>
      </c>
      <c r="Q28" s="9"/>
      <c r="R28" s="16">
        <f>P28-D28</f>
        <v>3254</v>
      </c>
      <c r="S28" t="s">
        <v>83</v>
      </c>
      <c r="AJ28" s="296"/>
    </row>
    <row r="29" spans="1:52" ht="15" thickBot="1" x14ac:dyDescent="0.4">
      <c r="A29"/>
      <c r="B29" s="115" t="str">
        <f>'1850'!A29</f>
        <v>fakturační vodoměr č.         63796</v>
      </c>
      <c r="C29" s="22"/>
      <c r="D29" s="83">
        <f>'1850'!C29</f>
        <v>24212</v>
      </c>
      <c r="E29" s="83">
        <f>'1850'!D29</f>
        <v>24552.7</v>
      </c>
      <c r="F29" s="83">
        <f>'1850'!E29</f>
        <v>24857.7</v>
      </c>
      <c r="G29" s="83">
        <f>'1850'!F29</f>
        <v>25187.3</v>
      </c>
      <c r="H29" s="83">
        <f>'1850'!G29</f>
        <v>25525.5</v>
      </c>
      <c r="I29" s="83">
        <f>'1850'!H29</f>
        <v>25865</v>
      </c>
      <c r="J29" s="83">
        <f>'1850'!I29</f>
        <v>26188.7</v>
      </c>
      <c r="K29" s="83">
        <f>'1850'!J29</f>
        <v>26482.400000000001</v>
      </c>
      <c r="L29" s="83">
        <f>'1850'!K29</f>
        <v>26791.4</v>
      </c>
      <c r="M29" s="83">
        <f>'1850'!L29</f>
        <v>27107</v>
      </c>
      <c r="N29" s="83">
        <f>'1850'!M29</f>
        <v>27434.1</v>
      </c>
      <c r="O29" s="83">
        <f>'1850'!N29</f>
        <v>27732.5</v>
      </c>
      <c r="P29" s="83">
        <f>'1850'!O29</f>
        <v>28101</v>
      </c>
      <c r="Q29" s="9">
        <f>P29-D29</f>
        <v>3889</v>
      </c>
      <c r="V29" t="s">
        <v>205</v>
      </c>
    </row>
    <row r="30" spans="1:52" ht="3.75" customHeight="1" x14ac:dyDescent="0.35">
      <c r="A30"/>
      <c r="B30"/>
    </row>
    <row r="31" spans="1:52" ht="15" thickBot="1" x14ac:dyDescent="0.4">
      <c r="A31"/>
      <c r="E31" s="25"/>
      <c r="U31" s="1" t="s">
        <v>198</v>
      </c>
      <c r="V31" s="4" t="s">
        <v>4</v>
      </c>
      <c r="W31" s="4" t="s">
        <v>5</v>
      </c>
      <c r="X31" s="4" t="s">
        <v>6</v>
      </c>
      <c r="Y31" s="4" t="s">
        <v>7</v>
      </c>
      <c r="Z31" s="4" t="s">
        <v>8</v>
      </c>
      <c r="AA31" s="4" t="s">
        <v>9</v>
      </c>
      <c r="AB31" s="4" t="s">
        <v>10</v>
      </c>
      <c r="AC31" s="4" t="s">
        <v>11</v>
      </c>
      <c r="AD31" s="4" t="s">
        <v>12</v>
      </c>
      <c r="AE31" s="4" t="s">
        <v>13</v>
      </c>
      <c r="AF31" s="4" t="s">
        <v>14</v>
      </c>
      <c r="AG31" s="4" t="s">
        <v>3</v>
      </c>
    </row>
    <row r="32" spans="1:52" ht="3.75" customHeight="1" thickBot="1" x14ac:dyDescent="0.4">
      <c r="A32"/>
      <c r="B32"/>
    </row>
    <row r="33" spans="1:49" ht="15" thickBot="1" x14ac:dyDescent="0.4">
      <c r="A33" s="108">
        <v>3</v>
      </c>
      <c r="B33" s="85" t="s">
        <v>77</v>
      </c>
      <c r="C33" s="6" t="s">
        <v>260</v>
      </c>
      <c r="D33" s="7">
        <v>243.244</v>
      </c>
      <c r="E33" s="7">
        <v>246.58799999999999</v>
      </c>
      <c r="F33" s="7">
        <v>249.33699999999999</v>
      </c>
      <c r="G33" s="7">
        <v>252.101</v>
      </c>
      <c r="H33" s="7">
        <v>254.62</v>
      </c>
      <c r="I33" s="7">
        <v>257.15199999999999</v>
      </c>
      <c r="J33" s="7">
        <v>259.791</v>
      </c>
      <c r="K33" s="7">
        <v>261.31599999999997</v>
      </c>
      <c r="L33" s="7">
        <v>263.37700000000001</v>
      </c>
      <c r="M33" s="8">
        <v>264.88299999999998</v>
      </c>
      <c r="N33" s="7">
        <v>267.56099999999998</v>
      </c>
      <c r="O33" s="7">
        <v>269.95</v>
      </c>
      <c r="P33" s="7">
        <v>2.1120000000000001</v>
      </c>
      <c r="Q33" s="9">
        <f t="shared" ref="Q33:Q37" si="35">P33+O33-D33</f>
        <v>28.818000000000012</v>
      </c>
      <c r="U33" s="121">
        <v>3</v>
      </c>
      <c r="V33" s="110">
        <f t="shared" ref="V33:AG37" si="36">E33-D33</f>
        <v>3.3439999999999941</v>
      </c>
      <c r="W33" s="110">
        <f t="shared" si="36"/>
        <v>2.7489999999999952</v>
      </c>
      <c r="X33" s="110">
        <f t="shared" si="36"/>
        <v>2.76400000000001</v>
      </c>
      <c r="Y33" s="110">
        <f t="shared" si="36"/>
        <v>2.5190000000000055</v>
      </c>
      <c r="Z33" s="110">
        <f t="shared" si="36"/>
        <v>2.5319999999999823</v>
      </c>
      <c r="AA33" s="110">
        <f t="shared" si="36"/>
        <v>2.63900000000001</v>
      </c>
      <c r="AB33" s="110">
        <f t="shared" si="36"/>
        <v>1.5249999999999773</v>
      </c>
      <c r="AC33" s="110">
        <f t="shared" si="36"/>
        <v>2.0610000000000355</v>
      </c>
      <c r="AD33" s="110">
        <f t="shared" si="36"/>
        <v>1.5059999999999718</v>
      </c>
      <c r="AE33" s="110">
        <f t="shared" si="36"/>
        <v>2.6779999999999973</v>
      </c>
      <c r="AF33" s="110">
        <f t="shared" si="36"/>
        <v>2.38900000000001</v>
      </c>
      <c r="AG33" s="110">
        <f>P33</f>
        <v>2.1120000000000001</v>
      </c>
      <c r="AH33" s="151">
        <v>7.9722999999999971</v>
      </c>
    </row>
    <row r="34" spans="1:49" ht="15" thickBot="1" x14ac:dyDescent="0.4">
      <c r="A34" s="108">
        <v>6</v>
      </c>
      <c r="B34" s="85" t="s">
        <v>78</v>
      </c>
      <c r="C34" s="6" t="s">
        <v>128</v>
      </c>
      <c r="D34" s="11">
        <v>160.511</v>
      </c>
      <c r="E34" s="11">
        <v>161.62200000000001</v>
      </c>
      <c r="F34" s="11">
        <v>163.28</v>
      </c>
      <c r="G34" s="11">
        <v>164.70699999999999</v>
      </c>
      <c r="H34" s="11">
        <v>165.602</v>
      </c>
      <c r="I34" s="11">
        <v>167.96799999999999</v>
      </c>
      <c r="J34" s="11">
        <v>169.10300000000001</v>
      </c>
      <c r="K34" s="11">
        <v>170.755</v>
      </c>
      <c r="L34" s="11">
        <v>171.81700000000001</v>
      </c>
      <c r="M34" s="11">
        <v>174.11500000000001</v>
      </c>
      <c r="N34" s="11">
        <v>175.435</v>
      </c>
      <c r="O34" s="11">
        <v>176.16</v>
      </c>
      <c r="P34" s="11">
        <v>1.782</v>
      </c>
      <c r="Q34" s="9">
        <f t="shared" si="35"/>
        <v>17.431000000000012</v>
      </c>
      <c r="U34" s="121">
        <v>6</v>
      </c>
      <c r="V34" s="110">
        <f t="shared" si="36"/>
        <v>1.1110000000000184</v>
      </c>
      <c r="W34" s="110">
        <f t="shared" si="36"/>
        <v>1.657999999999987</v>
      </c>
      <c r="X34" s="110">
        <f t="shared" si="36"/>
        <v>1.4269999999999925</v>
      </c>
      <c r="Y34" s="110">
        <f t="shared" si="36"/>
        <v>0.89500000000001023</v>
      </c>
      <c r="Z34" s="110">
        <f t="shared" si="36"/>
        <v>2.3659999999999854</v>
      </c>
      <c r="AA34" s="110">
        <f t="shared" si="36"/>
        <v>1.1350000000000193</v>
      </c>
      <c r="AB34" s="110">
        <f t="shared" si="36"/>
        <v>1.6519999999999868</v>
      </c>
      <c r="AC34" s="110">
        <f t="shared" si="36"/>
        <v>1.0620000000000118</v>
      </c>
      <c r="AD34" s="110">
        <f t="shared" si="36"/>
        <v>2.2980000000000018</v>
      </c>
      <c r="AE34" s="110">
        <f t="shared" si="36"/>
        <v>1.3199999999999932</v>
      </c>
      <c r="AF34" s="110">
        <f t="shared" si="36"/>
        <v>0.72499999999999432</v>
      </c>
      <c r="AG34" s="110">
        <f>P34</f>
        <v>1.782</v>
      </c>
      <c r="AH34" s="151">
        <v>2.9772999999999987</v>
      </c>
    </row>
    <row r="35" spans="1:49" ht="15" thickBot="1" x14ac:dyDescent="0.4">
      <c r="A35" s="108">
        <v>8</v>
      </c>
      <c r="B35" s="85" t="s">
        <v>79</v>
      </c>
      <c r="C35" s="6" t="s">
        <v>129</v>
      </c>
      <c r="D35" s="11">
        <v>278.202</v>
      </c>
      <c r="E35" s="11">
        <v>283.851</v>
      </c>
      <c r="F35" s="11">
        <v>289.49200000000002</v>
      </c>
      <c r="G35" s="11">
        <v>295.012</v>
      </c>
      <c r="H35" s="11">
        <v>300.08600000000001</v>
      </c>
      <c r="I35" s="11">
        <v>305.334</v>
      </c>
      <c r="J35" s="11">
        <v>310.41500000000002</v>
      </c>
      <c r="K35" s="11">
        <v>314.78300000000002</v>
      </c>
      <c r="L35" s="11">
        <v>319.04500000000002</v>
      </c>
      <c r="M35" s="11">
        <v>324.553</v>
      </c>
      <c r="N35" s="11">
        <v>330.01</v>
      </c>
      <c r="O35" s="11">
        <v>335.7</v>
      </c>
      <c r="P35" s="11">
        <v>5.7439999999999998</v>
      </c>
      <c r="Q35" s="9">
        <f t="shared" si="35"/>
        <v>63.241999999999962</v>
      </c>
      <c r="U35" s="121">
        <v>8</v>
      </c>
      <c r="V35" s="110">
        <f t="shared" si="36"/>
        <v>5.6490000000000009</v>
      </c>
      <c r="W35" s="110">
        <f t="shared" si="36"/>
        <v>5.6410000000000196</v>
      </c>
      <c r="X35" s="110">
        <f t="shared" si="36"/>
        <v>5.5199999999999818</v>
      </c>
      <c r="Y35" s="110">
        <f t="shared" si="36"/>
        <v>5.0740000000000123</v>
      </c>
      <c r="Z35" s="110">
        <f t="shared" si="36"/>
        <v>5.2479999999999905</v>
      </c>
      <c r="AA35" s="110">
        <f t="shared" si="36"/>
        <v>5.0810000000000173</v>
      </c>
      <c r="AB35" s="110">
        <f t="shared" si="36"/>
        <v>4.367999999999995</v>
      </c>
      <c r="AC35" s="110">
        <f t="shared" si="36"/>
        <v>4.2620000000000005</v>
      </c>
      <c r="AD35" s="110">
        <f t="shared" si="36"/>
        <v>5.5079999999999814</v>
      </c>
      <c r="AE35" s="110">
        <f t="shared" si="36"/>
        <v>5.4569999999999936</v>
      </c>
      <c r="AF35" s="110">
        <f t="shared" si="36"/>
        <v>5.6899999999999977</v>
      </c>
      <c r="AG35" s="110">
        <f>P35</f>
        <v>5.7439999999999998</v>
      </c>
      <c r="AH35" s="151">
        <v>5.4083999999999985</v>
      </c>
    </row>
    <row r="36" spans="1:49" ht="15" thickBot="1" x14ac:dyDescent="0.4">
      <c r="A36" s="108">
        <v>11</v>
      </c>
      <c r="B36" s="85" t="s">
        <v>80</v>
      </c>
      <c r="C36" s="6" t="s">
        <v>264</v>
      </c>
      <c r="D36" s="11">
        <v>31.35</v>
      </c>
      <c r="E36" s="11">
        <v>31.75</v>
      </c>
      <c r="F36" s="11">
        <v>31.907</v>
      </c>
      <c r="G36" s="11">
        <v>33.414999999999999</v>
      </c>
      <c r="H36" s="11">
        <v>34.987000000000002</v>
      </c>
      <c r="I36" s="11">
        <v>35.683999999999997</v>
      </c>
      <c r="J36" s="11">
        <v>36.305999999999997</v>
      </c>
      <c r="K36" s="11">
        <v>37.253</v>
      </c>
      <c r="L36" s="11">
        <v>38.134</v>
      </c>
      <c r="M36" s="11">
        <v>38.722000000000001</v>
      </c>
      <c r="N36" s="11">
        <v>39.39</v>
      </c>
      <c r="O36" s="11">
        <v>39.630000000000003</v>
      </c>
      <c r="P36" s="11">
        <v>1.9370000000000001</v>
      </c>
      <c r="Q36" s="9">
        <f t="shared" si="35"/>
        <v>10.216999999999999</v>
      </c>
      <c r="U36" s="121">
        <v>11</v>
      </c>
      <c r="V36" s="110">
        <f t="shared" si="36"/>
        <v>0.39999999999999858</v>
      </c>
      <c r="W36" s="110">
        <f t="shared" si="36"/>
        <v>0.15700000000000003</v>
      </c>
      <c r="X36" s="110">
        <f t="shared" si="36"/>
        <v>1.5079999999999991</v>
      </c>
      <c r="Y36" s="110">
        <f t="shared" si="36"/>
        <v>1.5720000000000027</v>
      </c>
      <c r="Z36" s="110">
        <f t="shared" si="36"/>
        <v>0.69699999999999562</v>
      </c>
      <c r="AA36" s="110">
        <f t="shared" si="36"/>
        <v>0.62199999999999989</v>
      </c>
      <c r="AB36" s="110">
        <f t="shared" si="36"/>
        <v>0.94700000000000273</v>
      </c>
      <c r="AC36" s="110">
        <f t="shared" si="36"/>
        <v>0.88100000000000023</v>
      </c>
      <c r="AD36" s="110">
        <f t="shared" si="36"/>
        <v>0.58800000000000097</v>
      </c>
      <c r="AE36" s="110">
        <f t="shared" si="36"/>
        <v>0.66799999999999926</v>
      </c>
      <c r="AF36" s="110">
        <f t="shared" si="36"/>
        <v>0.24000000000000199</v>
      </c>
      <c r="AG36" s="110">
        <f>P36</f>
        <v>1.9370000000000001</v>
      </c>
      <c r="AH36" s="151">
        <v>0.4723</v>
      </c>
    </row>
    <row r="37" spans="1:49" x14ac:dyDescent="0.35">
      <c r="A37" s="108">
        <v>12</v>
      </c>
      <c r="B37" s="85" t="s">
        <v>81</v>
      </c>
      <c r="C37" s="6" t="s">
        <v>130</v>
      </c>
      <c r="D37" s="11">
        <v>127.366</v>
      </c>
      <c r="E37" s="11">
        <v>131.268</v>
      </c>
      <c r="F37" s="11">
        <v>134.67599999999999</v>
      </c>
      <c r="G37" s="11">
        <v>138.33500000000001</v>
      </c>
      <c r="H37" s="11">
        <v>141.441</v>
      </c>
      <c r="I37" s="11">
        <v>143.82300000000001</v>
      </c>
      <c r="J37" s="11">
        <v>147.964</v>
      </c>
      <c r="K37" s="11">
        <v>152.148</v>
      </c>
      <c r="L37" s="11">
        <v>155.506</v>
      </c>
      <c r="M37" s="11">
        <v>160.08699999999999</v>
      </c>
      <c r="N37" s="11">
        <v>163.309</v>
      </c>
      <c r="O37" s="11">
        <v>166.4</v>
      </c>
      <c r="P37" s="11">
        <v>4.1449999999999996</v>
      </c>
      <c r="Q37" s="9">
        <f t="shared" si="35"/>
        <v>43.179000000000016</v>
      </c>
      <c r="U37" s="121">
        <v>12</v>
      </c>
      <c r="V37" s="110">
        <f t="shared" si="36"/>
        <v>3.902000000000001</v>
      </c>
      <c r="W37" s="110">
        <f t="shared" si="36"/>
        <v>3.407999999999987</v>
      </c>
      <c r="X37" s="110">
        <f t="shared" si="36"/>
        <v>3.6590000000000202</v>
      </c>
      <c r="Y37" s="110">
        <f t="shared" si="36"/>
        <v>3.1059999999999945</v>
      </c>
      <c r="Z37" s="110">
        <f t="shared" si="36"/>
        <v>2.382000000000005</v>
      </c>
      <c r="AA37" s="110">
        <f t="shared" si="36"/>
        <v>4.1409999999999911</v>
      </c>
      <c r="AB37" s="110">
        <f t="shared" si="36"/>
        <v>4.1839999999999975</v>
      </c>
      <c r="AC37" s="110">
        <f t="shared" si="36"/>
        <v>3.3580000000000041</v>
      </c>
      <c r="AD37" s="110">
        <f t="shared" si="36"/>
        <v>4.5809999999999889</v>
      </c>
      <c r="AE37" s="110">
        <f t="shared" si="36"/>
        <v>3.2220000000000084</v>
      </c>
      <c r="AF37" s="110">
        <f t="shared" si="36"/>
        <v>3.0910000000000082</v>
      </c>
      <c r="AG37" s="110">
        <f>P37</f>
        <v>4.1449999999999996</v>
      </c>
      <c r="AH37" s="151">
        <v>2.143399999999998</v>
      </c>
    </row>
    <row r="38" spans="1:49" x14ac:dyDescent="0.35">
      <c r="A38"/>
      <c r="B38"/>
    </row>
    <row r="39" spans="1:49" ht="15" thickBot="1" x14ac:dyDescent="0.4">
      <c r="A39"/>
      <c r="B39"/>
      <c r="C39" t="s">
        <v>24</v>
      </c>
      <c r="V39" t="s">
        <v>206</v>
      </c>
    </row>
    <row r="40" spans="1:49" ht="15" thickBot="1" x14ac:dyDescent="0.4">
      <c r="A40" s="118">
        <v>2</v>
      </c>
      <c r="B40" s="84">
        <v>2</v>
      </c>
      <c r="C40" s="27" t="s">
        <v>259</v>
      </c>
      <c r="D40" s="8">
        <v>116.14400000000001</v>
      </c>
      <c r="E40" s="8">
        <v>120.143</v>
      </c>
      <c r="F40" s="8">
        <v>123.15900000000001</v>
      </c>
      <c r="G40" s="8">
        <v>126.149</v>
      </c>
      <c r="H40" s="8">
        <v>128.77500000000001</v>
      </c>
      <c r="I40" s="8">
        <v>130.16900000000001</v>
      </c>
      <c r="J40" s="8">
        <v>131.52199999999999</v>
      </c>
      <c r="K40" s="8">
        <v>132.334</v>
      </c>
      <c r="L40" s="8">
        <v>133.63499999999999</v>
      </c>
      <c r="M40" s="8">
        <v>136.48599999999999</v>
      </c>
      <c r="N40" s="8">
        <v>139.607</v>
      </c>
      <c r="O40" s="8">
        <v>142.69999999999999</v>
      </c>
      <c r="P40" s="8">
        <v>3.8439999999999999</v>
      </c>
      <c r="Q40" s="9">
        <f t="shared" ref="Q40:Q49" si="37">P40+O40-D40</f>
        <v>30.399999999999977</v>
      </c>
      <c r="U40" s="121">
        <v>2</v>
      </c>
      <c r="V40" s="110">
        <f t="shared" ref="V40:AG49" si="38">E40-D40</f>
        <v>3.9989999999999952</v>
      </c>
      <c r="W40" s="110">
        <f t="shared" si="38"/>
        <v>3.0160000000000053</v>
      </c>
      <c r="X40" s="110">
        <f t="shared" si="38"/>
        <v>2.9899999999999949</v>
      </c>
      <c r="Y40" s="110">
        <f t="shared" si="38"/>
        <v>2.6260000000000048</v>
      </c>
      <c r="Z40" s="110">
        <f t="shared" si="38"/>
        <v>1.3940000000000055</v>
      </c>
      <c r="AA40" s="110">
        <f t="shared" si="38"/>
        <v>1.3529999999999802</v>
      </c>
      <c r="AB40" s="110">
        <f t="shared" si="38"/>
        <v>0.81200000000001182</v>
      </c>
      <c r="AC40" s="110">
        <f t="shared" si="38"/>
        <v>1.3009999999999877</v>
      </c>
      <c r="AD40" s="110">
        <f t="shared" si="38"/>
        <v>2.8509999999999991</v>
      </c>
      <c r="AE40" s="110">
        <f t="shared" si="38"/>
        <v>3.1210000000000093</v>
      </c>
      <c r="AF40" s="110">
        <f t="shared" si="38"/>
        <v>3.0929999999999893</v>
      </c>
      <c r="AG40" s="110">
        <f>P40</f>
        <v>3.8439999999999999</v>
      </c>
      <c r="AH40" s="151">
        <v>4.0477000000000007</v>
      </c>
    </row>
    <row r="41" spans="1:49" ht="15" thickBot="1" x14ac:dyDescent="0.4">
      <c r="A41" s="118">
        <v>3</v>
      </c>
      <c r="B41" s="84" t="s">
        <v>77</v>
      </c>
      <c r="C41" s="27" t="s">
        <v>261</v>
      </c>
      <c r="D41" s="11">
        <v>153.63399999999999</v>
      </c>
      <c r="E41" s="11">
        <v>155.346</v>
      </c>
      <c r="F41" s="11">
        <v>156.75299999999999</v>
      </c>
      <c r="G41" s="11">
        <v>158.22399999999999</v>
      </c>
      <c r="H41" s="11">
        <v>159.53200000000001</v>
      </c>
      <c r="I41" s="11">
        <v>160.773</v>
      </c>
      <c r="J41" s="11">
        <v>162.08600000000001</v>
      </c>
      <c r="K41" s="11">
        <v>162.79300000000001</v>
      </c>
      <c r="L41" s="11">
        <v>163.64699999999999</v>
      </c>
      <c r="M41" s="11">
        <v>164.381</v>
      </c>
      <c r="N41" s="11">
        <v>165.69499999999999</v>
      </c>
      <c r="O41" s="11">
        <v>167.17000000000002</v>
      </c>
      <c r="P41" s="11">
        <v>1.2769999999999999</v>
      </c>
      <c r="Q41" s="9">
        <f t="shared" si="37"/>
        <v>14.813000000000017</v>
      </c>
      <c r="U41" s="121">
        <v>3</v>
      </c>
      <c r="V41" s="110">
        <f t="shared" si="38"/>
        <v>1.7120000000000175</v>
      </c>
      <c r="W41" s="110">
        <f t="shared" si="38"/>
        <v>1.4069999999999823</v>
      </c>
      <c r="X41" s="110">
        <f t="shared" si="38"/>
        <v>1.4710000000000036</v>
      </c>
      <c r="Y41" s="110">
        <f t="shared" si="38"/>
        <v>1.3080000000000211</v>
      </c>
      <c r="Z41" s="110">
        <f t="shared" si="38"/>
        <v>1.2409999999999854</v>
      </c>
      <c r="AA41" s="110">
        <f t="shared" si="38"/>
        <v>1.3130000000000166</v>
      </c>
      <c r="AB41" s="110">
        <f t="shared" si="38"/>
        <v>0.70699999999999363</v>
      </c>
      <c r="AC41" s="110">
        <f t="shared" si="38"/>
        <v>0.85399999999998499</v>
      </c>
      <c r="AD41" s="110">
        <f t="shared" si="38"/>
        <v>0.73400000000000887</v>
      </c>
      <c r="AE41" s="110">
        <f t="shared" si="38"/>
        <v>1.313999999999993</v>
      </c>
      <c r="AF41" s="110">
        <f t="shared" si="38"/>
        <v>1.4750000000000227</v>
      </c>
      <c r="AG41" s="110">
        <f>P41</f>
        <v>1.2769999999999999</v>
      </c>
      <c r="AH41" s="151">
        <v>4.1811000000000025</v>
      </c>
    </row>
    <row r="42" spans="1:49" ht="15" thickBot="1" x14ac:dyDescent="0.4">
      <c r="A42" s="118">
        <v>5</v>
      </c>
      <c r="B42" s="84">
        <v>3</v>
      </c>
      <c r="C42" s="27" t="s">
        <v>131</v>
      </c>
      <c r="D42" s="11">
        <v>21.303000000000001</v>
      </c>
      <c r="E42" s="11">
        <v>21.677</v>
      </c>
      <c r="F42" s="11">
        <v>22.023</v>
      </c>
      <c r="G42" s="11">
        <v>22.407</v>
      </c>
      <c r="H42" s="11">
        <v>22.782</v>
      </c>
      <c r="I42" s="11">
        <v>23.15</v>
      </c>
      <c r="J42" s="11">
        <v>23.492999999999999</v>
      </c>
      <c r="K42" s="11">
        <v>23.798999999999999</v>
      </c>
      <c r="L42" s="11">
        <v>24.097999999999999</v>
      </c>
      <c r="M42" s="11">
        <v>24.405999999999999</v>
      </c>
      <c r="N42" s="11">
        <v>24.73</v>
      </c>
      <c r="O42" s="11">
        <v>25.01</v>
      </c>
      <c r="P42" s="11">
        <v>0.41099999999999998</v>
      </c>
      <c r="Q42" s="9">
        <f t="shared" si="37"/>
        <v>4.1180000000000021</v>
      </c>
      <c r="U42" s="121">
        <v>5</v>
      </c>
      <c r="V42" s="110">
        <f t="shared" si="38"/>
        <v>0.37399999999999878</v>
      </c>
      <c r="W42" s="110">
        <f t="shared" si="38"/>
        <v>0.34600000000000009</v>
      </c>
      <c r="X42" s="110">
        <f t="shared" si="38"/>
        <v>0.38400000000000034</v>
      </c>
      <c r="Y42" s="110">
        <f t="shared" si="38"/>
        <v>0.375</v>
      </c>
      <c r="Z42" s="110">
        <f t="shared" si="38"/>
        <v>0.36799999999999855</v>
      </c>
      <c r="AA42" s="110">
        <f t="shared" si="38"/>
        <v>0.34299999999999997</v>
      </c>
      <c r="AB42" s="110">
        <f t="shared" si="38"/>
        <v>0.30600000000000094</v>
      </c>
      <c r="AC42" s="110">
        <f t="shared" si="38"/>
        <v>0.29899999999999949</v>
      </c>
      <c r="AD42" s="110">
        <f t="shared" si="38"/>
        <v>0.30799999999999983</v>
      </c>
      <c r="AE42" s="110">
        <f t="shared" si="38"/>
        <v>0.32400000000000162</v>
      </c>
      <c r="AF42" s="110">
        <f t="shared" si="38"/>
        <v>0.28000000000000114</v>
      </c>
      <c r="AG42" s="110">
        <f>P42</f>
        <v>0.41099999999999998</v>
      </c>
      <c r="AH42" s="151">
        <v>0.37709999999999999</v>
      </c>
    </row>
    <row r="43" spans="1:49" ht="15" thickBot="1" x14ac:dyDescent="0.4">
      <c r="A43" s="118">
        <v>6</v>
      </c>
      <c r="B43" s="84" t="s">
        <v>78</v>
      </c>
      <c r="C43" s="27" t="s">
        <v>132</v>
      </c>
      <c r="D43" s="11">
        <v>132.96600000000001</v>
      </c>
      <c r="E43" s="11">
        <v>133.571</v>
      </c>
      <c r="F43" s="11">
        <v>134.358</v>
      </c>
      <c r="G43" s="11">
        <v>135.11000000000001</v>
      </c>
      <c r="H43" s="11">
        <v>135.55500000000001</v>
      </c>
      <c r="I43" s="11">
        <v>136.62200000000001</v>
      </c>
      <c r="J43" s="11">
        <v>137.05500000000001</v>
      </c>
      <c r="K43" s="11">
        <v>137.43199999999999</v>
      </c>
      <c r="L43" s="11">
        <v>137.57599999999999</v>
      </c>
      <c r="M43" s="11">
        <v>138.02199999999999</v>
      </c>
      <c r="N43" s="11">
        <v>138.60400000000001</v>
      </c>
      <c r="O43" s="11">
        <v>138.98999999999998</v>
      </c>
      <c r="P43" s="11">
        <v>1.286</v>
      </c>
      <c r="Q43" s="9">
        <f t="shared" si="37"/>
        <v>7.3099999999999739</v>
      </c>
      <c r="U43" s="121">
        <v>6</v>
      </c>
      <c r="V43" s="110">
        <f t="shared" si="38"/>
        <v>0.60499999999998977</v>
      </c>
      <c r="W43" s="110">
        <f t="shared" si="38"/>
        <v>0.78700000000000614</v>
      </c>
      <c r="X43" s="110">
        <f t="shared" si="38"/>
        <v>0.75200000000000955</v>
      </c>
      <c r="Y43" s="110">
        <f t="shared" si="38"/>
        <v>0.44499999999999318</v>
      </c>
      <c r="Z43" s="110">
        <f t="shared" si="38"/>
        <v>1.0670000000000073</v>
      </c>
      <c r="AA43" s="110">
        <f t="shared" si="38"/>
        <v>0.43299999999999272</v>
      </c>
      <c r="AB43" s="110">
        <f t="shared" si="38"/>
        <v>0.37699999999998113</v>
      </c>
      <c r="AC43" s="110">
        <f t="shared" si="38"/>
        <v>0.14400000000000546</v>
      </c>
      <c r="AD43" s="110">
        <f t="shared" si="38"/>
        <v>0.44599999999999795</v>
      </c>
      <c r="AE43" s="110">
        <f t="shared" si="38"/>
        <v>0.58200000000002206</v>
      </c>
      <c r="AF43" s="110">
        <f t="shared" si="38"/>
        <v>0.38599999999996726</v>
      </c>
      <c r="AG43" s="110">
        <f>P43</f>
        <v>1.286</v>
      </c>
      <c r="AH43" s="151">
        <v>1.5876000000000001</v>
      </c>
    </row>
    <row r="44" spans="1:49" ht="15" thickBot="1" x14ac:dyDescent="0.4">
      <c r="A44" s="118">
        <v>9</v>
      </c>
      <c r="B44" s="84">
        <v>5</v>
      </c>
      <c r="C44" s="27" t="s">
        <v>262</v>
      </c>
      <c r="D44" s="11">
        <v>74.373999999999995</v>
      </c>
      <c r="E44" s="11">
        <v>75.542000000000002</v>
      </c>
      <c r="F44" s="11">
        <v>76.897000000000006</v>
      </c>
      <c r="G44" s="11">
        <v>78.427999999999997</v>
      </c>
      <c r="H44" s="11">
        <v>79.828999999999994</v>
      </c>
      <c r="I44" s="11">
        <v>81.075000000000003</v>
      </c>
      <c r="J44" s="11">
        <v>82.414000000000001</v>
      </c>
      <c r="K44" s="11">
        <v>83.504999999999995</v>
      </c>
      <c r="L44" s="11">
        <v>84.433000000000007</v>
      </c>
      <c r="M44" s="11">
        <v>85.06</v>
      </c>
      <c r="N44" s="11">
        <v>85.953000000000003</v>
      </c>
      <c r="O44" s="11">
        <v>85.96</v>
      </c>
      <c r="P44" s="11">
        <v>1.369</v>
      </c>
      <c r="Q44" s="9">
        <f t="shared" si="37"/>
        <v>12.954999999999998</v>
      </c>
      <c r="U44" s="121">
        <v>9</v>
      </c>
      <c r="V44" s="110">
        <f t="shared" si="38"/>
        <v>1.1680000000000064</v>
      </c>
      <c r="W44" s="110">
        <f t="shared" si="38"/>
        <v>1.355000000000004</v>
      </c>
      <c r="X44" s="110">
        <f t="shared" si="38"/>
        <v>1.5309999999999917</v>
      </c>
      <c r="Y44" s="110">
        <f t="shared" si="38"/>
        <v>1.4009999999999962</v>
      </c>
      <c r="Z44" s="110">
        <f t="shared" si="38"/>
        <v>1.2460000000000093</v>
      </c>
      <c r="AA44" s="110">
        <f t="shared" si="38"/>
        <v>1.3389999999999986</v>
      </c>
      <c r="AB44" s="110">
        <f t="shared" si="38"/>
        <v>1.090999999999994</v>
      </c>
      <c r="AC44" s="110">
        <f t="shared" si="38"/>
        <v>0.92800000000001148</v>
      </c>
      <c r="AD44" s="110">
        <f t="shared" si="38"/>
        <v>0.62699999999999534</v>
      </c>
      <c r="AE44" s="110">
        <f t="shared" si="38"/>
        <v>0.89300000000000068</v>
      </c>
      <c r="AF44" s="110">
        <f t="shared" si="38"/>
        <v>6.9999999999907914E-3</v>
      </c>
      <c r="AG44" s="110">
        <f>P44</f>
        <v>1.369</v>
      </c>
      <c r="AH44" s="151">
        <v>4.4402999999999997</v>
      </c>
    </row>
    <row r="45" spans="1:49" ht="15" thickBot="1" x14ac:dyDescent="0.4">
      <c r="A45" s="118">
        <v>8</v>
      </c>
      <c r="B45" s="84" t="s">
        <v>79</v>
      </c>
      <c r="C45" s="27" t="s">
        <v>263</v>
      </c>
      <c r="D45" s="11">
        <v>115.94</v>
      </c>
      <c r="E45" s="11">
        <v>118.696</v>
      </c>
      <c r="F45" s="11">
        <v>122.008</v>
      </c>
      <c r="G45" s="11">
        <v>125.092</v>
      </c>
      <c r="H45" s="11">
        <v>127.825</v>
      </c>
      <c r="I45" s="11">
        <v>130.70400000000001</v>
      </c>
      <c r="J45" s="11">
        <v>133.108</v>
      </c>
      <c r="K45" s="11">
        <v>134.869</v>
      </c>
      <c r="L45" s="11">
        <v>136.36199999999999</v>
      </c>
      <c r="M45" s="11">
        <v>138.81299999999999</v>
      </c>
      <c r="N45" s="11">
        <v>141.202</v>
      </c>
      <c r="O45" s="11">
        <v>143.86000000000001</v>
      </c>
      <c r="P45" s="11">
        <v>2.9340000000000002</v>
      </c>
      <c r="Q45" s="9">
        <f t="shared" si="37"/>
        <v>30.854000000000013</v>
      </c>
      <c r="U45" s="121">
        <v>8</v>
      </c>
      <c r="V45" s="110">
        <f t="shared" si="38"/>
        <v>2.7560000000000002</v>
      </c>
      <c r="W45" s="110">
        <f t="shared" si="38"/>
        <v>3.3119999999999976</v>
      </c>
      <c r="X45" s="110">
        <f t="shared" si="38"/>
        <v>3.0840000000000032</v>
      </c>
      <c r="Y45" s="110">
        <f t="shared" si="38"/>
        <v>2.7330000000000041</v>
      </c>
      <c r="Z45" s="110">
        <f t="shared" si="38"/>
        <v>2.8790000000000049</v>
      </c>
      <c r="AA45" s="110">
        <f t="shared" si="38"/>
        <v>2.4039999999999964</v>
      </c>
      <c r="AB45" s="110">
        <f t="shared" si="38"/>
        <v>1.7609999999999957</v>
      </c>
      <c r="AC45" s="110">
        <f t="shared" si="38"/>
        <v>1.492999999999995</v>
      </c>
      <c r="AD45" s="110">
        <f t="shared" si="38"/>
        <v>2.4509999999999934</v>
      </c>
      <c r="AE45" s="110">
        <f t="shared" si="38"/>
        <v>2.38900000000001</v>
      </c>
      <c r="AF45" s="110">
        <f t="shared" si="38"/>
        <v>2.6580000000000155</v>
      </c>
      <c r="AG45" s="110">
        <f>P45</f>
        <v>2.9340000000000002</v>
      </c>
      <c r="AH45" s="151">
        <v>2.5712999999999999</v>
      </c>
      <c r="AK45" s="248" t="s">
        <v>408</v>
      </c>
    </row>
    <row r="46" spans="1:49" ht="15" thickBot="1" x14ac:dyDescent="0.4">
      <c r="A46" s="118">
        <v>15</v>
      </c>
      <c r="B46" s="84">
        <v>6</v>
      </c>
      <c r="C46" s="27" t="s">
        <v>133</v>
      </c>
      <c r="D46" s="11">
        <v>127.751</v>
      </c>
      <c r="E46" s="11">
        <v>129.09200000000001</v>
      </c>
      <c r="F46" s="11">
        <v>130.67500000000001</v>
      </c>
      <c r="G46" s="11">
        <v>131.892</v>
      </c>
      <c r="H46" s="11">
        <v>133.96</v>
      </c>
      <c r="I46" s="11">
        <v>134.79</v>
      </c>
      <c r="J46" s="11">
        <v>135.36199999999999</v>
      </c>
      <c r="K46" s="11">
        <v>136.15299999999999</v>
      </c>
      <c r="L46" s="11">
        <v>137.33199999999999</v>
      </c>
      <c r="M46" s="11">
        <v>137.947</v>
      </c>
      <c r="N46" s="11">
        <v>138.65700000000001</v>
      </c>
      <c r="O46" s="11">
        <v>139.96</v>
      </c>
      <c r="P46" s="11">
        <v>1.8660000000000001</v>
      </c>
      <c r="Q46" s="9">
        <f t="shared" si="37"/>
        <v>14.075000000000017</v>
      </c>
      <c r="U46" s="121">
        <v>15</v>
      </c>
      <c r="V46" s="110">
        <f t="shared" si="38"/>
        <v>1.3410000000000082</v>
      </c>
      <c r="W46" s="110">
        <f t="shared" si="38"/>
        <v>1.5829999999999984</v>
      </c>
      <c r="X46" s="110">
        <f t="shared" si="38"/>
        <v>1.2169999999999845</v>
      </c>
      <c r="Y46" s="110">
        <f t="shared" si="38"/>
        <v>2.0680000000000121</v>
      </c>
      <c r="Z46" s="110">
        <f t="shared" si="38"/>
        <v>0.82999999999998408</v>
      </c>
      <c r="AA46" s="110">
        <f t="shared" si="38"/>
        <v>0.57200000000000273</v>
      </c>
      <c r="AB46" s="110">
        <f t="shared" si="38"/>
        <v>0.79099999999999682</v>
      </c>
      <c r="AC46" s="110">
        <f t="shared" si="38"/>
        <v>1.179000000000002</v>
      </c>
      <c r="AD46" s="110">
        <f t="shared" si="38"/>
        <v>0.61500000000000909</v>
      </c>
      <c r="AE46" s="110">
        <f t="shared" si="38"/>
        <v>0.71000000000000796</v>
      </c>
      <c r="AF46" s="110">
        <f t="shared" si="38"/>
        <v>1.3029999999999973</v>
      </c>
      <c r="AG46" s="110">
        <f>P46</f>
        <v>1.8660000000000001</v>
      </c>
      <c r="AH46" s="151">
        <v>0.96609999999999996</v>
      </c>
      <c r="AJ46" s="255" t="s">
        <v>389</v>
      </c>
      <c r="AK46" s="235" t="s">
        <v>375</v>
      </c>
      <c r="AL46" s="235" t="s">
        <v>376</v>
      </c>
      <c r="AM46" s="235" t="s">
        <v>377</v>
      </c>
      <c r="AN46" s="235" t="s">
        <v>378</v>
      </c>
      <c r="AO46" s="235" t="s">
        <v>379</v>
      </c>
      <c r="AP46" s="235" t="s">
        <v>380</v>
      </c>
      <c r="AQ46" s="235" t="s">
        <v>381</v>
      </c>
      <c r="AR46" s="235" t="s">
        <v>382</v>
      </c>
      <c r="AS46" s="235" t="s">
        <v>383</v>
      </c>
      <c r="AT46" s="235" t="s">
        <v>384</v>
      </c>
      <c r="AU46" s="235" t="s">
        <v>385</v>
      </c>
      <c r="AV46" s="235" t="s">
        <v>386</v>
      </c>
      <c r="AW46" s="1" t="s">
        <v>387</v>
      </c>
    </row>
    <row r="47" spans="1:49" ht="15" thickBot="1" x14ac:dyDescent="0.4">
      <c r="A47" s="118">
        <v>11</v>
      </c>
      <c r="B47" s="84" t="s">
        <v>80</v>
      </c>
      <c r="C47" s="27" t="s">
        <v>134</v>
      </c>
      <c r="D47" s="11">
        <v>18.693999999999999</v>
      </c>
      <c r="E47" s="11">
        <v>18.957999999999998</v>
      </c>
      <c r="F47" s="11">
        <v>19.05</v>
      </c>
      <c r="G47" s="11">
        <v>19.927</v>
      </c>
      <c r="H47" s="11">
        <v>20.73</v>
      </c>
      <c r="I47" s="11">
        <v>21.18</v>
      </c>
      <c r="J47" s="11">
        <v>21.445</v>
      </c>
      <c r="K47" s="11">
        <v>21.844999999999999</v>
      </c>
      <c r="L47" s="11">
        <v>22.268000000000001</v>
      </c>
      <c r="M47" s="11">
        <v>22.524000000000001</v>
      </c>
      <c r="N47" s="11">
        <v>22.843</v>
      </c>
      <c r="O47" s="11">
        <v>22.94</v>
      </c>
      <c r="P47" s="11">
        <v>1.2949999999999999</v>
      </c>
      <c r="Q47" s="9">
        <f t="shared" si="37"/>
        <v>5.5410000000000004</v>
      </c>
      <c r="U47" s="121">
        <v>11</v>
      </c>
      <c r="V47" s="110">
        <f t="shared" si="38"/>
        <v>0.26399999999999935</v>
      </c>
      <c r="W47" s="110">
        <f t="shared" si="38"/>
        <v>9.2000000000002302E-2</v>
      </c>
      <c r="X47" s="110">
        <f t="shared" si="38"/>
        <v>0.87699999999999889</v>
      </c>
      <c r="Y47" s="110">
        <f t="shared" si="38"/>
        <v>0.80300000000000082</v>
      </c>
      <c r="Z47" s="110">
        <f t="shared" si="38"/>
        <v>0.44999999999999929</v>
      </c>
      <c r="AA47" s="110">
        <f t="shared" si="38"/>
        <v>0.26500000000000057</v>
      </c>
      <c r="AB47" s="110">
        <f t="shared" si="38"/>
        <v>0.39999999999999858</v>
      </c>
      <c r="AC47" s="110">
        <f t="shared" si="38"/>
        <v>0.42300000000000182</v>
      </c>
      <c r="AD47" s="110">
        <f t="shared" si="38"/>
        <v>0.25600000000000023</v>
      </c>
      <c r="AE47" s="110">
        <f t="shared" si="38"/>
        <v>0.31899999999999906</v>
      </c>
      <c r="AF47" s="110">
        <f t="shared" si="38"/>
        <v>9.7000000000001307E-2</v>
      </c>
      <c r="AG47" s="110">
        <f>P47</f>
        <v>1.2949999999999999</v>
      </c>
      <c r="AH47" s="151">
        <v>0.27939999999999998</v>
      </c>
      <c r="AJ47" s="255" t="s">
        <v>203</v>
      </c>
      <c r="AK47" s="257">
        <f>SUM(V40:V49)</f>
        <v>16.34500000000002</v>
      </c>
      <c r="AL47" s="257">
        <f t="shared" ref="AL47:AM47" si="39">SUM(W40:W49)</f>
        <v>15.61999999999999</v>
      </c>
      <c r="AM47" s="257">
        <f t="shared" si="39"/>
        <v>16.50399999999998</v>
      </c>
      <c r="AN47" s="257">
        <f t="shared" ref="AN47" si="40">SUM(Y40:Y49)</f>
        <v>15.856000000000041</v>
      </c>
      <c r="AO47" s="257">
        <f t="shared" ref="AO47:AV47" si="41">SUM(Z40:Z49)</f>
        <v>13.292999999999992</v>
      </c>
      <c r="AP47" s="257">
        <f t="shared" si="41"/>
        <v>11.717999999999986</v>
      </c>
      <c r="AQ47" s="257">
        <f t="shared" si="41"/>
        <v>8.8739999999999775</v>
      </c>
      <c r="AR47" s="257">
        <f t="shared" si="41"/>
        <v>9.6359999999999886</v>
      </c>
      <c r="AS47" s="257">
        <f t="shared" si="41"/>
        <v>12.012000000000008</v>
      </c>
      <c r="AT47" s="257">
        <f t="shared" si="41"/>
        <v>13.468000000000032</v>
      </c>
      <c r="AU47" s="257">
        <f t="shared" si="41"/>
        <v>14.03299999999836</v>
      </c>
      <c r="AV47" s="257">
        <f t="shared" si="41"/>
        <v>17.658999999999999</v>
      </c>
      <c r="AW47" s="248">
        <f>(AK47+AL47+AM47+AN47+AO47+AP47+AQ47+AR47+AS47+AT47+AU47+AV47)/12</f>
        <v>13.751499999999865</v>
      </c>
    </row>
    <row r="48" spans="1:49" ht="15" thickBot="1" x14ac:dyDescent="0.4">
      <c r="A48" s="118">
        <v>13</v>
      </c>
      <c r="B48" s="84">
        <v>8</v>
      </c>
      <c r="C48" s="27" t="s">
        <v>135</v>
      </c>
      <c r="D48" s="11">
        <v>88.35</v>
      </c>
      <c r="E48" s="11">
        <v>89.897000000000006</v>
      </c>
      <c r="F48" s="11">
        <v>91.447000000000003</v>
      </c>
      <c r="G48" s="11">
        <v>93.055999999999997</v>
      </c>
      <c r="H48" s="11">
        <v>95.055999999999997</v>
      </c>
      <c r="I48" s="11">
        <v>97.054000000000002</v>
      </c>
      <c r="J48" s="11">
        <v>98.960999999999999</v>
      </c>
      <c r="K48" s="11">
        <v>99.864000000000004</v>
      </c>
      <c r="L48" s="11">
        <v>101.131</v>
      </c>
      <c r="M48" s="11">
        <v>102.872</v>
      </c>
      <c r="N48" s="11">
        <v>104.8</v>
      </c>
      <c r="O48" s="11">
        <v>106.78399999999907</v>
      </c>
      <c r="P48" s="11">
        <v>1.4610000000000001</v>
      </c>
      <c r="Q48" s="9">
        <f t="shared" si="37"/>
        <v>19.894999999999072</v>
      </c>
      <c r="U48" s="121">
        <v>13</v>
      </c>
      <c r="V48" s="110">
        <f t="shared" si="38"/>
        <v>1.5470000000000113</v>
      </c>
      <c r="W48" s="110">
        <f t="shared" si="38"/>
        <v>1.5499999999999972</v>
      </c>
      <c r="X48" s="110">
        <f t="shared" si="38"/>
        <v>1.6089999999999947</v>
      </c>
      <c r="Y48" s="110">
        <f t="shared" si="38"/>
        <v>2</v>
      </c>
      <c r="Z48" s="110">
        <f t="shared" si="38"/>
        <v>1.9980000000000047</v>
      </c>
      <c r="AA48" s="110">
        <f t="shared" si="38"/>
        <v>1.9069999999999965</v>
      </c>
      <c r="AB48" s="110">
        <f t="shared" si="38"/>
        <v>0.9030000000000058</v>
      </c>
      <c r="AC48" s="110">
        <f t="shared" si="38"/>
        <v>1.2669999999999959</v>
      </c>
      <c r="AD48" s="110">
        <f t="shared" si="38"/>
        <v>1.7409999999999997</v>
      </c>
      <c r="AE48" s="110">
        <f t="shared" si="38"/>
        <v>1.9279999999999973</v>
      </c>
      <c r="AF48" s="110">
        <f t="shared" si="38"/>
        <v>1.983999999999071</v>
      </c>
      <c r="AG48" s="110">
        <f>P48</f>
        <v>1.4610000000000001</v>
      </c>
      <c r="AH48" s="151">
        <v>1.3252999999999999</v>
      </c>
      <c r="AJ48" s="255" t="s">
        <v>209</v>
      </c>
      <c r="AK48" s="224">
        <f>V6+V8+V12+V14+V18+V54+V56+V58+V60+V62</f>
        <v>27.637000000000015</v>
      </c>
      <c r="AL48" s="224">
        <f t="shared" ref="AL48:AM48" si="42">W6+W8+W12+W14+W18+W54+W56+W58+W60+W62</f>
        <v>26.193999999999978</v>
      </c>
      <c r="AM48" s="224">
        <f t="shared" si="42"/>
        <v>29.391999999999985</v>
      </c>
      <c r="AN48" s="224">
        <f t="shared" ref="AN48" si="43">Y6+Y8+Y12+Y14+Y18+Y54+Y56+Y58+Y60+Y62</f>
        <v>27.515000000000079</v>
      </c>
      <c r="AO48" s="224">
        <f t="shared" ref="AO48:AV48" si="44">Z6+Z8+Z12+Z14+Z18+Z54+Z56+Z58+Z60+Z62</f>
        <v>25.133999999999901</v>
      </c>
      <c r="AP48" s="224">
        <f t="shared" si="44"/>
        <v>27.004000000000051</v>
      </c>
      <c r="AQ48" s="224">
        <f t="shared" si="44"/>
        <v>24.079999999999952</v>
      </c>
      <c r="AR48" s="224">
        <f t="shared" si="44"/>
        <v>25.2970000000001</v>
      </c>
      <c r="AS48" s="224">
        <f t="shared" si="44"/>
        <v>30.685999999999904</v>
      </c>
      <c r="AT48" s="224">
        <f t="shared" si="44"/>
        <v>28.927000000000017</v>
      </c>
      <c r="AU48" s="224">
        <f t="shared" si="44"/>
        <v>22.562000000000037</v>
      </c>
      <c r="AV48" s="224">
        <f t="shared" si="44"/>
        <v>30.571000000000002</v>
      </c>
      <c r="AW48" s="248">
        <f>(AK48+AL48+AM48+AN48+AO48+AP48+AQ48+AR48+AS48+AT48+AU48+AV48)/12</f>
        <v>27.083250000000003</v>
      </c>
    </row>
    <row r="49" spans="1:49" x14ac:dyDescent="0.35">
      <c r="A49" s="118">
        <v>12</v>
      </c>
      <c r="B49" s="84" t="s">
        <v>81</v>
      </c>
      <c r="C49" s="27" t="s">
        <v>136</v>
      </c>
      <c r="D49" s="11">
        <v>77.677000000000007</v>
      </c>
      <c r="E49" s="11">
        <v>80.256</v>
      </c>
      <c r="F49" s="11">
        <v>82.427999999999997</v>
      </c>
      <c r="G49" s="11">
        <v>85.016999999999996</v>
      </c>
      <c r="H49" s="11">
        <v>87.114000000000004</v>
      </c>
      <c r="I49" s="11">
        <v>88.933999999999997</v>
      </c>
      <c r="J49" s="11">
        <v>90.722999999999999</v>
      </c>
      <c r="K49" s="11">
        <v>92.448999999999998</v>
      </c>
      <c r="L49" s="11">
        <v>94.197000000000003</v>
      </c>
      <c r="M49" s="11">
        <v>96.18</v>
      </c>
      <c r="N49" s="11">
        <v>98.067999999999998</v>
      </c>
      <c r="O49" s="11">
        <v>100.8179999999993</v>
      </c>
      <c r="P49" s="11">
        <v>1.9159999999999999</v>
      </c>
      <c r="Q49" s="9">
        <f t="shared" si="37"/>
        <v>25.056999999999292</v>
      </c>
      <c r="U49" s="121">
        <v>12</v>
      </c>
      <c r="V49" s="110">
        <f t="shared" si="38"/>
        <v>2.5789999999999935</v>
      </c>
      <c r="W49" s="110">
        <f t="shared" si="38"/>
        <v>2.171999999999997</v>
      </c>
      <c r="X49" s="110">
        <f t="shared" si="38"/>
        <v>2.5889999999999986</v>
      </c>
      <c r="Y49" s="110">
        <f t="shared" si="38"/>
        <v>2.0970000000000084</v>
      </c>
      <c r="Z49" s="110">
        <f t="shared" si="38"/>
        <v>1.8199999999999932</v>
      </c>
      <c r="AA49" s="110">
        <f t="shared" si="38"/>
        <v>1.7890000000000015</v>
      </c>
      <c r="AB49" s="110">
        <f t="shared" si="38"/>
        <v>1.7259999999999991</v>
      </c>
      <c r="AC49" s="110">
        <f t="shared" si="38"/>
        <v>1.7480000000000047</v>
      </c>
      <c r="AD49" s="110">
        <f t="shared" si="38"/>
        <v>1.9830000000000041</v>
      </c>
      <c r="AE49" s="110">
        <f t="shared" si="38"/>
        <v>1.887999999999991</v>
      </c>
      <c r="AF49" s="110">
        <f t="shared" si="38"/>
        <v>2.7499999999993037</v>
      </c>
      <c r="AG49" s="110">
        <f>P49</f>
        <v>1.9159999999999999</v>
      </c>
      <c r="AH49" s="151">
        <v>1.6964999999999999</v>
      </c>
    </row>
    <row r="50" spans="1:49" x14ac:dyDescent="0.35">
      <c r="A50"/>
      <c r="B50"/>
      <c r="L50" s="9"/>
      <c r="M50" s="9"/>
      <c r="N50" s="9"/>
    </row>
    <row r="52" spans="1:49" x14ac:dyDescent="0.35">
      <c r="E52" s="25" t="s">
        <v>292</v>
      </c>
      <c r="G52" s="137"/>
      <c r="H52" s="1" t="s">
        <v>289</v>
      </c>
      <c r="I52" s="1" t="s">
        <v>290</v>
      </c>
      <c r="K52" s="265" t="s">
        <v>411</v>
      </c>
      <c r="L52" s="229"/>
      <c r="M52" s="229"/>
      <c r="N52" s="229"/>
      <c r="O52" s="228" t="s">
        <v>285</v>
      </c>
      <c r="P52" s="266">
        <v>339.11</v>
      </c>
      <c r="Q52" s="229" t="s">
        <v>225</v>
      </c>
      <c r="V52" t="s">
        <v>207</v>
      </c>
      <c r="AK52" s="249" t="s">
        <v>401</v>
      </c>
      <c r="AL52" s="250"/>
      <c r="AM52" s="250"/>
      <c r="AN52" s="250"/>
      <c r="AO52" s="250"/>
      <c r="AP52" s="250"/>
      <c r="AQ52" s="250"/>
    </row>
    <row r="53" spans="1:49" ht="15" thickBot="1" x14ac:dyDescent="0.4">
      <c r="C53" s="305">
        <v>5</v>
      </c>
      <c r="D53" s="303" t="s">
        <v>293</v>
      </c>
      <c r="E53" s="304">
        <v>44895</v>
      </c>
      <c r="F53" s="85" t="s">
        <v>211</v>
      </c>
      <c r="G53" s="306">
        <v>190834093</v>
      </c>
      <c r="H53" s="306"/>
      <c r="I53" s="110">
        <v>23.23</v>
      </c>
      <c r="K53" s="265" t="s">
        <v>412</v>
      </c>
      <c r="L53" s="229"/>
      <c r="M53" s="229"/>
      <c r="N53" s="229"/>
      <c r="O53" s="228" t="s">
        <v>285</v>
      </c>
      <c r="P53" s="266">
        <v>0</v>
      </c>
      <c r="Q53" s="265" t="s">
        <v>82</v>
      </c>
      <c r="T53" s="1" t="s">
        <v>198</v>
      </c>
      <c r="U53" s="1" t="s">
        <v>208</v>
      </c>
      <c r="V53" s="4" t="s">
        <v>4</v>
      </c>
      <c r="W53" s="4" t="s">
        <v>5</v>
      </c>
      <c r="X53" s="4" t="s">
        <v>6</v>
      </c>
      <c r="Y53" s="4" t="s">
        <v>7</v>
      </c>
      <c r="Z53" s="4" t="s">
        <v>8</v>
      </c>
      <c r="AA53" s="4" t="s">
        <v>9</v>
      </c>
      <c r="AB53" s="4" t="s">
        <v>10</v>
      </c>
      <c r="AC53" s="4" t="s">
        <v>11</v>
      </c>
      <c r="AD53" s="4" t="s">
        <v>12</v>
      </c>
      <c r="AE53" s="4" t="s">
        <v>13</v>
      </c>
      <c r="AF53" s="4" t="s">
        <v>14</v>
      </c>
      <c r="AG53" s="4" t="s">
        <v>3</v>
      </c>
      <c r="AK53" s="235" t="s">
        <v>375</v>
      </c>
      <c r="AL53" s="235" t="s">
        <v>376</v>
      </c>
      <c r="AM53" s="235" t="s">
        <v>377</v>
      </c>
      <c r="AN53" s="235" t="s">
        <v>378</v>
      </c>
      <c r="AO53" s="235" t="s">
        <v>379</v>
      </c>
      <c r="AP53" s="235" t="s">
        <v>380</v>
      </c>
      <c r="AQ53" s="235" t="s">
        <v>381</v>
      </c>
      <c r="AR53" s="235" t="s">
        <v>382</v>
      </c>
      <c r="AS53" s="235" t="s">
        <v>383</v>
      </c>
      <c r="AT53" s="235" t="s">
        <v>384</v>
      </c>
      <c r="AU53" s="235" t="s">
        <v>385</v>
      </c>
      <c r="AV53" s="235" t="s">
        <v>386</v>
      </c>
      <c r="AW53" s="1" t="s">
        <v>387</v>
      </c>
    </row>
    <row r="54" spans="1:49" x14ac:dyDescent="0.35">
      <c r="C54" s="305"/>
      <c r="D54" s="303"/>
      <c r="E54" s="304"/>
      <c r="F54" s="85" t="s">
        <v>212</v>
      </c>
      <c r="G54" s="306">
        <v>221525378</v>
      </c>
      <c r="H54" s="306"/>
      <c r="I54" s="110">
        <v>0.02</v>
      </c>
      <c r="T54" s="297">
        <v>3</v>
      </c>
      <c r="U54" s="154" t="s">
        <v>209</v>
      </c>
      <c r="V54" s="110">
        <f t="shared" ref="V54:AG54" si="45">V33</f>
        <v>3.3439999999999941</v>
      </c>
      <c r="W54" s="110">
        <f t="shared" si="45"/>
        <v>2.7489999999999952</v>
      </c>
      <c r="X54" s="110">
        <f t="shared" si="45"/>
        <v>2.76400000000001</v>
      </c>
      <c r="Y54" s="110">
        <f t="shared" si="45"/>
        <v>2.5190000000000055</v>
      </c>
      <c r="Z54" s="110">
        <f t="shared" si="45"/>
        <v>2.5319999999999823</v>
      </c>
      <c r="AA54" s="110">
        <f t="shared" si="45"/>
        <v>2.63900000000001</v>
      </c>
      <c r="AB54" s="110">
        <f t="shared" si="45"/>
        <v>1.5249999999999773</v>
      </c>
      <c r="AC54" s="110">
        <f t="shared" si="45"/>
        <v>2.0610000000000355</v>
      </c>
      <c r="AD54" s="110">
        <f t="shared" si="45"/>
        <v>1.5059999999999718</v>
      </c>
      <c r="AE54" s="110">
        <f t="shared" si="45"/>
        <v>2.6779999999999973</v>
      </c>
      <c r="AF54" s="110">
        <f t="shared" si="45"/>
        <v>2.38900000000001</v>
      </c>
      <c r="AG54" s="110">
        <f t="shared" si="45"/>
        <v>2.1120000000000001</v>
      </c>
      <c r="AH54" s="151">
        <v>7.9722999999999971</v>
      </c>
      <c r="AJ54" s="255" t="s">
        <v>395</v>
      </c>
      <c r="AK54" s="252">
        <f t="shared" ref="AK54:AV54" si="46">V55/(V54+V55)</f>
        <v>0.33860759493671155</v>
      </c>
      <c r="AL54" s="252">
        <f t="shared" si="46"/>
        <v>0.33854667949951633</v>
      </c>
      <c r="AM54" s="252">
        <f t="shared" si="46"/>
        <v>0.34734356552538342</v>
      </c>
      <c r="AN54" s="252">
        <f t="shared" si="46"/>
        <v>0.34178207473216932</v>
      </c>
      <c r="AO54" s="252">
        <f t="shared" si="46"/>
        <v>0.32891598197720545</v>
      </c>
      <c r="AP54" s="252">
        <f t="shared" si="46"/>
        <v>0.33223684210526511</v>
      </c>
      <c r="AQ54" s="252">
        <f t="shared" si="46"/>
        <v>0.31675627240143495</v>
      </c>
      <c r="AR54" s="252">
        <f t="shared" si="46"/>
        <v>0.29296740994853482</v>
      </c>
      <c r="AS54" s="252">
        <f t="shared" si="46"/>
        <v>0.3276785714285782</v>
      </c>
      <c r="AT54" s="252">
        <f t="shared" si="46"/>
        <v>0.32915831663326556</v>
      </c>
      <c r="AU54" s="252">
        <f t="shared" si="46"/>
        <v>0.38172877846791153</v>
      </c>
      <c r="AV54" s="252">
        <f t="shared" si="46"/>
        <v>0.3768073177928592</v>
      </c>
      <c r="AW54" s="252">
        <f>SUM(AK54:AV54)/12</f>
        <v>0.33771078378740294</v>
      </c>
    </row>
    <row r="55" spans="1:49" x14ac:dyDescent="0.35">
      <c r="T55" s="298"/>
      <c r="U55" s="155" t="s">
        <v>203</v>
      </c>
      <c r="V55" s="156">
        <f t="shared" ref="V55:AG55" si="47">V41</f>
        <v>1.7120000000000175</v>
      </c>
      <c r="W55" s="156">
        <f t="shared" si="47"/>
        <v>1.4069999999999823</v>
      </c>
      <c r="X55" s="156">
        <f t="shared" si="47"/>
        <v>1.4710000000000036</v>
      </c>
      <c r="Y55" s="156">
        <f t="shared" si="47"/>
        <v>1.3080000000000211</v>
      </c>
      <c r="Z55" s="156">
        <f t="shared" si="47"/>
        <v>1.2409999999999854</v>
      </c>
      <c r="AA55" s="156">
        <f t="shared" si="47"/>
        <v>1.3130000000000166</v>
      </c>
      <c r="AB55" s="156">
        <f t="shared" si="47"/>
        <v>0.70699999999999363</v>
      </c>
      <c r="AC55" s="156">
        <f t="shared" si="47"/>
        <v>0.85399999999998499</v>
      </c>
      <c r="AD55" s="156">
        <f t="shared" si="47"/>
        <v>0.73400000000000887</v>
      </c>
      <c r="AE55" s="156">
        <f t="shared" si="47"/>
        <v>1.313999999999993</v>
      </c>
      <c r="AF55" s="156">
        <f t="shared" si="47"/>
        <v>1.4750000000000227</v>
      </c>
      <c r="AG55" s="156">
        <f t="shared" si="47"/>
        <v>1.2769999999999999</v>
      </c>
      <c r="AH55" s="151">
        <v>4.1811000000000025</v>
      </c>
      <c r="AJ55" s="255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</row>
    <row r="56" spans="1:49" x14ac:dyDescent="0.35">
      <c r="E56" t="s">
        <v>221</v>
      </c>
      <c r="T56" s="297">
        <v>6</v>
      </c>
      <c r="U56" s="154" t="s">
        <v>209</v>
      </c>
      <c r="V56" s="110">
        <f t="shared" ref="V56:AG56" si="48">V34</f>
        <v>1.1110000000000184</v>
      </c>
      <c r="W56" s="110">
        <f t="shared" si="48"/>
        <v>1.657999999999987</v>
      </c>
      <c r="X56" s="110">
        <f t="shared" si="48"/>
        <v>1.4269999999999925</v>
      </c>
      <c r="Y56" s="110">
        <f t="shared" si="48"/>
        <v>0.89500000000001023</v>
      </c>
      <c r="Z56" s="110">
        <f t="shared" si="48"/>
        <v>2.3659999999999854</v>
      </c>
      <c r="AA56" s="110">
        <f t="shared" si="48"/>
        <v>1.1350000000000193</v>
      </c>
      <c r="AB56" s="110">
        <f t="shared" si="48"/>
        <v>1.6519999999999868</v>
      </c>
      <c r="AC56" s="110">
        <f t="shared" si="48"/>
        <v>1.0620000000000118</v>
      </c>
      <c r="AD56" s="110">
        <f t="shared" si="48"/>
        <v>2.2980000000000018</v>
      </c>
      <c r="AE56" s="110">
        <f t="shared" si="48"/>
        <v>1.3199999999999932</v>
      </c>
      <c r="AF56" s="110">
        <f t="shared" si="48"/>
        <v>0.72499999999999432</v>
      </c>
      <c r="AG56" s="110">
        <f t="shared" si="48"/>
        <v>1.782</v>
      </c>
      <c r="AH56" s="151">
        <v>2.9772999999999987</v>
      </c>
      <c r="AJ56" s="255" t="s">
        <v>396</v>
      </c>
      <c r="AK56" s="252">
        <f t="shared" ref="AK56:AV56" si="49">V57/(V56+V57)</f>
        <v>0.35256410256409493</v>
      </c>
      <c r="AL56" s="252">
        <f t="shared" si="49"/>
        <v>0.32188139059305043</v>
      </c>
      <c r="AM56" s="252">
        <f t="shared" si="49"/>
        <v>0.34511243689766352</v>
      </c>
      <c r="AN56" s="252">
        <f t="shared" si="49"/>
        <v>0.33208955223880005</v>
      </c>
      <c r="AO56" s="252">
        <f t="shared" si="49"/>
        <v>0.31080687445383326</v>
      </c>
      <c r="AP56" s="252">
        <f t="shared" si="49"/>
        <v>0.27614795918366669</v>
      </c>
      <c r="AQ56" s="252">
        <f t="shared" si="49"/>
        <v>0.18580581567273882</v>
      </c>
      <c r="AR56" s="252">
        <f t="shared" si="49"/>
        <v>0.11940298507462968</v>
      </c>
      <c r="AS56" s="252">
        <f t="shared" si="49"/>
        <v>0.16253644314868732</v>
      </c>
      <c r="AT56" s="252">
        <f t="shared" si="49"/>
        <v>0.30599369085174416</v>
      </c>
      <c r="AU56" s="252">
        <f t="shared" si="49"/>
        <v>0.34743474347432995</v>
      </c>
      <c r="AV56" s="252">
        <f t="shared" si="49"/>
        <v>0.41916558018252936</v>
      </c>
      <c r="AW56" s="252">
        <f>SUM(AK56:AV56)/12</f>
        <v>0.28991179786131399</v>
      </c>
    </row>
    <row r="57" spans="1:49" x14ac:dyDescent="0.35">
      <c r="E57" s="304">
        <v>43956</v>
      </c>
      <c r="F57" s="85" t="s">
        <v>211</v>
      </c>
      <c r="G57" s="306"/>
      <c r="H57" s="306"/>
      <c r="I57" s="107"/>
      <c r="T57" s="298"/>
      <c r="U57" s="155" t="s">
        <v>203</v>
      </c>
      <c r="V57" s="156">
        <f t="shared" ref="V57:AG57" si="50">V43</f>
        <v>0.60499999999998977</v>
      </c>
      <c r="W57" s="156">
        <f t="shared" si="50"/>
        <v>0.78700000000000614</v>
      </c>
      <c r="X57" s="156">
        <f t="shared" si="50"/>
        <v>0.75200000000000955</v>
      </c>
      <c r="Y57" s="156">
        <f t="shared" si="50"/>
        <v>0.44499999999999318</v>
      </c>
      <c r="Z57" s="156">
        <f t="shared" si="50"/>
        <v>1.0670000000000073</v>
      </c>
      <c r="AA57" s="156">
        <f t="shared" si="50"/>
        <v>0.43299999999999272</v>
      </c>
      <c r="AB57" s="156">
        <f t="shared" si="50"/>
        <v>0.37699999999998113</v>
      </c>
      <c r="AC57" s="156">
        <f t="shared" si="50"/>
        <v>0.14400000000000546</v>
      </c>
      <c r="AD57" s="156">
        <f t="shared" si="50"/>
        <v>0.44599999999999795</v>
      </c>
      <c r="AE57" s="156">
        <f t="shared" si="50"/>
        <v>0.58200000000002206</v>
      </c>
      <c r="AF57" s="156">
        <f t="shared" si="50"/>
        <v>0.38599999999996726</v>
      </c>
      <c r="AG57" s="156">
        <f t="shared" si="50"/>
        <v>1.286</v>
      </c>
      <c r="AH57" s="151">
        <v>1.5876000000000001</v>
      </c>
      <c r="AJ57" s="255"/>
      <c r="AK57" s="252"/>
      <c r="AL57" s="252"/>
      <c r="AM57" s="252"/>
      <c r="AN57" s="252"/>
      <c r="AO57" s="252"/>
      <c r="AP57" s="252"/>
      <c r="AQ57" s="252"/>
      <c r="AR57" s="252"/>
      <c r="AS57" s="252"/>
      <c r="AT57" s="252"/>
      <c r="AU57" s="252"/>
      <c r="AV57" s="252"/>
      <c r="AW57" s="252"/>
    </row>
    <row r="58" spans="1:49" x14ac:dyDescent="0.35">
      <c r="E58" s="304"/>
      <c r="F58" s="85" t="s">
        <v>212</v>
      </c>
      <c r="G58" s="306"/>
      <c r="H58" s="306"/>
      <c r="I58" s="107"/>
      <c r="T58" s="297">
        <v>8</v>
      </c>
      <c r="U58" s="154" t="s">
        <v>209</v>
      </c>
      <c r="V58" s="110">
        <f t="shared" ref="V58:AG58" si="51">V35</f>
        <v>5.6490000000000009</v>
      </c>
      <c r="W58" s="110">
        <f t="shared" si="51"/>
        <v>5.6410000000000196</v>
      </c>
      <c r="X58" s="110">
        <f t="shared" si="51"/>
        <v>5.5199999999999818</v>
      </c>
      <c r="Y58" s="110">
        <f t="shared" si="51"/>
        <v>5.0740000000000123</v>
      </c>
      <c r="Z58" s="110">
        <f t="shared" si="51"/>
        <v>5.2479999999999905</v>
      </c>
      <c r="AA58" s="110">
        <f t="shared" si="51"/>
        <v>5.0810000000000173</v>
      </c>
      <c r="AB58" s="110">
        <f t="shared" si="51"/>
        <v>4.367999999999995</v>
      </c>
      <c r="AC58" s="110">
        <f t="shared" si="51"/>
        <v>4.2620000000000005</v>
      </c>
      <c r="AD58" s="110">
        <f t="shared" si="51"/>
        <v>5.5079999999999814</v>
      </c>
      <c r="AE58" s="110">
        <f t="shared" si="51"/>
        <v>5.4569999999999936</v>
      </c>
      <c r="AF58" s="110">
        <f t="shared" si="51"/>
        <v>5.6899999999999977</v>
      </c>
      <c r="AG58" s="110">
        <f t="shared" si="51"/>
        <v>5.7439999999999998</v>
      </c>
      <c r="AH58" s="151">
        <v>5.4083999999999985</v>
      </c>
      <c r="AJ58" s="255" t="s">
        <v>397</v>
      </c>
      <c r="AK58" s="252">
        <f t="shared" ref="AK58:AV58" si="52">V59/(V58+V59)</f>
        <v>0.32790005948839973</v>
      </c>
      <c r="AL58" s="252">
        <f t="shared" si="52"/>
        <v>0.36993186641349168</v>
      </c>
      <c r="AM58" s="252">
        <f t="shared" si="52"/>
        <v>0.35843793584379458</v>
      </c>
      <c r="AN58" s="252">
        <f t="shared" si="52"/>
        <v>0.35007044959651573</v>
      </c>
      <c r="AO58" s="252">
        <f t="shared" si="52"/>
        <v>0.35425126122800621</v>
      </c>
      <c r="AP58" s="252">
        <f t="shared" si="52"/>
        <v>0.32117568470273772</v>
      </c>
      <c r="AQ58" s="252">
        <f t="shared" si="52"/>
        <v>0.28732256485560426</v>
      </c>
      <c r="AR58" s="252">
        <f t="shared" si="52"/>
        <v>0.25942658557775783</v>
      </c>
      <c r="AS58" s="252">
        <f t="shared" si="52"/>
        <v>0.30795326045985694</v>
      </c>
      <c r="AT58" s="252">
        <f t="shared" si="52"/>
        <v>0.30448636247769678</v>
      </c>
      <c r="AU58" s="252">
        <f t="shared" si="52"/>
        <v>0.31839961667465394</v>
      </c>
      <c r="AV58" s="252">
        <f t="shared" si="52"/>
        <v>0.33809633556118918</v>
      </c>
      <c r="AW58" s="252">
        <f>SUM(AK58:AV58)/12</f>
        <v>0.32478766523997538</v>
      </c>
    </row>
    <row r="59" spans="1:49" x14ac:dyDescent="0.35">
      <c r="T59" s="298"/>
      <c r="U59" s="155" t="s">
        <v>203</v>
      </c>
      <c r="V59" s="156">
        <f t="shared" ref="V59:AG59" si="53">V45</f>
        <v>2.7560000000000002</v>
      </c>
      <c r="W59" s="156">
        <f t="shared" si="53"/>
        <v>3.3119999999999976</v>
      </c>
      <c r="X59" s="156">
        <f t="shared" si="53"/>
        <v>3.0840000000000032</v>
      </c>
      <c r="Y59" s="156">
        <f t="shared" si="53"/>
        <v>2.7330000000000041</v>
      </c>
      <c r="Z59" s="156">
        <f t="shared" si="53"/>
        <v>2.8790000000000049</v>
      </c>
      <c r="AA59" s="156">
        <f t="shared" si="53"/>
        <v>2.4039999999999964</v>
      </c>
      <c r="AB59" s="156">
        <f t="shared" si="53"/>
        <v>1.7609999999999957</v>
      </c>
      <c r="AC59" s="156">
        <f t="shared" si="53"/>
        <v>1.492999999999995</v>
      </c>
      <c r="AD59" s="156">
        <f t="shared" si="53"/>
        <v>2.4509999999999934</v>
      </c>
      <c r="AE59" s="156">
        <f t="shared" si="53"/>
        <v>2.38900000000001</v>
      </c>
      <c r="AF59" s="156">
        <f t="shared" si="53"/>
        <v>2.6580000000000155</v>
      </c>
      <c r="AG59" s="156">
        <f t="shared" si="53"/>
        <v>2.9340000000000002</v>
      </c>
      <c r="AH59" s="151">
        <v>2.5712999999999999</v>
      </c>
      <c r="AJ59" s="255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</row>
    <row r="60" spans="1:49" x14ac:dyDescent="0.35">
      <c r="T60" s="297">
        <v>11</v>
      </c>
      <c r="U60" s="154" t="s">
        <v>209</v>
      </c>
      <c r="V60" s="110">
        <f t="shared" ref="V60:AG60" si="54">V36</f>
        <v>0.39999999999999858</v>
      </c>
      <c r="W60" s="110">
        <f t="shared" si="54"/>
        <v>0.15700000000000003</v>
      </c>
      <c r="X60" s="110">
        <f t="shared" si="54"/>
        <v>1.5079999999999991</v>
      </c>
      <c r="Y60" s="110">
        <f t="shared" si="54"/>
        <v>1.5720000000000027</v>
      </c>
      <c r="Z60" s="110">
        <f t="shared" si="54"/>
        <v>0.69699999999999562</v>
      </c>
      <c r="AA60" s="110">
        <f t="shared" si="54"/>
        <v>0.62199999999999989</v>
      </c>
      <c r="AB60" s="110">
        <f t="shared" si="54"/>
        <v>0.94700000000000273</v>
      </c>
      <c r="AC60" s="110">
        <f t="shared" si="54"/>
        <v>0.88100000000000023</v>
      </c>
      <c r="AD60" s="110">
        <f t="shared" si="54"/>
        <v>0.58800000000000097</v>
      </c>
      <c r="AE60" s="110">
        <f t="shared" si="54"/>
        <v>0.66799999999999926</v>
      </c>
      <c r="AF60" s="110">
        <f t="shared" si="54"/>
        <v>0.24000000000000199</v>
      </c>
      <c r="AG60" s="110">
        <f t="shared" si="54"/>
        <v>1.9370000000000001</v>
      </c>
      <c r="AH60" s="151">
        <v>0.4723</v>
      </c>
      <c r="AJ60" s="255" t="s">
        <v>398</v>
      </c>
      <c r="AK60" s="252">
        <f t="shared" ref="AK60:AV60" si="55">V61/(V60+V61)</f>
        <v>0.39759036144578341</v>
      </c>
      <c r="AL60" s="252">
        <f t="shared" si="55"/>
        <v>0.36947791164659211</v>
      </c>
      <c r="AM60" s="252">
        <f t="shared" si="55"/>
        <v>0.3677148846960166</v>
      </c>
      <c r="AN60" s="252">
        <f t="shared" si="55"/>
        <v>0.33810526315789458</v>
      </c>
      <c r="AO60" s="252">
        <f t="shared" si="55"/>
        <v>0.39232781168265152</v>
      </c>
      <c r="AP60" s="252">
        <f t="shared" si="55"/>
        <v>0.29875986471251459</v>
      </c>
      <c r="AQ60" s="252">
        <f t="shared" si="55"/>
        <v>0.29695619896065195</v>
      </c>
      <c r="AR60" s="252">
        <f t="shared" si="55"/>
        <v>0.32438650306748557</v>
      </c>
      <c r="AS60" s="252">
        <f t="shared" si="55"/>
        <v>0.30331753554502355</v>
      </c>
      <c r="AT60" s="252">
        <f t="shared" si="55"/>
        <v>0.32320162107396111</v>
      </c>
      <c r="AU60" s="252">
        <f t="shared" si="55"/>
        <v>0.28783382789317613</v>
      </c>
      <c r="AV60" s="252">
        <f t="shared" si="55"/>
        <v>0.40068069306930687</v>
      </c>
      <c r="AW60" s="252">
        <f>SUM(AK60:AV60)/12</f>
        <v>0.3416960397459215</v>
      </c>
    </row>
    <row r="61" spans="1:49" x14ac:dyDescent="0.35">
      <c r="T61" s="298"/>
      <c r="U61" s="155" t="s">
        <v>203</v>
      </c>
      <c r="V61" s="156">
        <f t="shared" ref="V61:AG61" si="56">V47</f>
        <v>0.26399999999999935</v>
      </c>
      <c r="W61" s="156">
        <f t="shared" si="56"/>
        <v>9.2000000000002302E-2</v>
      </c>
      <c r="X61" s="156">
        <f t="shared" si="56"/>
        <v>0.87699999999999889</v>
      </c>
      <c r="Y61" s="156">
        <f t="shared" si="56"/>
        <v>0.80300000000000082</v>
      </c>
      <c r="Z61" s="156">
        <f t="shared" si="56"/>
        <v>0.44999999999999929</v>
      </c>
      <c r="AA61" s="156">
        <f t="shared" si="56"/>
        <v>0.26500000000000057</v>
      </c>
      <c r="AB61" s="156">
        <f t="shared" si="56"/>
        <v>0.39999999999999858</v>
      </c>
      <c r="AC61" s="156">
        <f t="shared" si="56"/>
        <v>0.42300000000000182</v>
      </c>
      <c r="AD61" s="156">
        <f t="shared" si="56"/>
        <v>0.25600000000000023</v>
      </c>
      <c r="AE61" s="156">
        <f t="shared" si="56"/>
        <v>0.31899999999999906</v>
      </c>
      <c r="AF61" s="156">
        <f t="shared" si="56"/>
        <v>9.7000000000001307E-2</v>
      </c>
      <c r="AG61" s="156">
        <f t="shared" si="56"/>
        <v>1.2949999999999999</v>
      </c>
      <c r="AH61" s="151">
        <v>0.27939999999999998</v>
      </c>
      <c r="AJ61" s="255"/>
      <c r="AK61" s="252"/>
      <c r="AL61" s="252"/>
      <c r="AM61" s="252"/>
      <c r="AN61" s="252"/>
      <c r="AO61" s="252"/>
      <c r="AP61" s="252"/>
      <c r="AQ61" s="252"/>
      <c r="AR61" s="252"/>
      <c r="AS61" s="252"/>
      <c r="AT61" s="252"/>
      <c r="AU61" s="252"/>
      <c r="AV61" s="252"/>
      <c r="AW61" s="252"/>
    </row>
    <row r="62" spans="1:49" x14ac:dyDescent="0.35">
      <c r="T62" s="297">
        <v>12</v>
      </c>
      <c r="U62" s="154" t="s">
        <v>209</v>
      </c>
      <c r="V62" s="110">
        <f t="shared" ref="V62:AG62" si="57">V37</f>
        <v>3.902000000000001</v>
      </c>
      <c r="W62" s="110">
        <f t="shared" si="57"/>
        <v>3.407999999999987</v>
      </c>
      <c r="X62" s="110">
        <f t="shared" si="57"/>
        <v>3.6590000000000202</v>
      </c>
      <c r="Y62" s="110">
        <f t="shared" si="57"/>
        <v>3.1059999999999945</v>
      </c>
      <c r="Z62" s="110">
        <f t="shared" si="57"/>
        <v>2.382000000000005</v>
      </c>
      <c r="AA62" s="110">
        <f t="shared" si="57"/>
        <v>4.1409999999999911</v>
      </c>
      <c r="AB62" s="110">
        <f t="shared" si="57"/>
        <v>4.1839999999999975</v>
      </c>
      <c r="AC62" s="110">
        <f t="shared" si="57"/>
        <v>3.3580000000000041</v>
      </c>
      <c r="AD62" s="110">
        <f t="shared" si="57"/>
        <v>4.5809999999999889</v>
      </c>
      <c r="AE62" s="110">
        <f t="shared" si="57"/>
        <v>3.2220000000000084</v>
      </c>
      <c r="AF62" s="110">
        <f t="shared" si="57"/>
        <v>3.0910000000000082</v>
      </c>
      <c r="AG62" s="110">
        <f t="shared" si="57"/>
        <v>4.1449999999999996</v>
      </c>
      <c r="AH62" s="151">
        <v>2.143399999999998</v>
      </c>
      <c r="AJ62" s="255" t="s">
        <v>399</v>
      </c>
      <c r="AK62" s="252">
        <f t="shared" ref="AK62:AV62" si="58">V63/(V62+V63)</f>
        <v>0.39793241783675293</v>
      </c>
      <c r="AL62" s="252">
        <f t="shared" si="58"/>
        <v>0.38924731182795758</v>
      </c>
      <c r="AM62" s="252">
        <f t="shared" si="58"/>
        <v>0.41437259923175268</v>
      </c>
      <c r="AN62" s="252">
        <f t="shared" si="58"/>
        <v>0.40303670959062221</v>
      </c>
      <c r="AO62" s="252">
        <f t="shared" si="58"/>
        <v>0.43312708234174058</v>
      </c>
      <c r="AP62" s="252">
        <f t="shared" si="58"/>
        <v>0.30168634064081007</v>
      </c>
      <c r="AQ62" s="252">
        <f t="shared" si="58"/>
        <v>0.29204737732656516</v>
      </c>
      <c r="AR62" s="252">
        <f t="shared" si="58"/>
        <v>0.34234234234234268</v>
      </c>
      <c r="AS62" s="252">
        <f t="shared" si="58"/>
        <v>0.30210237659963529</v>
      </c>
      <c r="AT62" s="252">
        <f t="shared" si="58"/>
        <v>0.36947162426614311</v>
      </c>
      <c r="AU62" s="252">
        <f t="shared" si="58"/>
        <v>0.47080979284362739</v>
      </c>
      <c r="AV62" s="252">
        <f t="shared" si="58"/>
        <v>0.31611945223560467</v>
      </c>
      <c r="AW62" s="252">
        <f>SUM(AK62:AV62)/12</f>
        <v>0.36935795225696283</v>
      </c>
    </row>
    <row r="63" spans="1:49" x14ac:dyDescent="0.35">
      <c r="T63" s="298"/>
      <c r="U63" s="155" t="s">
        <v>203</v>
      </c>
      <c r="V63" s="156">
        <f t="shared" ref="V63:AG63" si="59">V49</f>
        <v>2.5789999999999935</v>
      </c>
      <c r="W63" s="156">
        <f t="shared" si="59"/>
        <v>2.171999999999997</v>
      </c>
      <c r="X63" s="156">
        <f t="shared" si="59"/>
        <v>2.5889999999999986</v>
      </c>
      <c r="Y63" s="156">
        <f t="shared" si="59"/>
        <v>2.0970000000000084</v>
      </c>
      <c r="Z63" s="156">
        <f t="shared" si="59"/>
        <v>1.8199999999999932</v>
      </c>
      <c r="AA63" s="156">
        <f t="shared" si="59"/>
        <v>1.7890000000000015</v>
      </c>
      <c r="AB63" s="156">
        <f t="shared" si="59"/>
        <v>1.7259999999999991</v>
      </c>
      <c r="AC63" s="156">
        <f t="shared" si="59"/>
        <v>1.7480000000000047</v>
      </c>
      <c r="AD63" s="156">
        <f t="shared" si="59"/>
        <v>1.9830000000000041</v>
      </c>
      <c r="AE63" s="156">
        <f t="shared" si="59"/>
        <v>1.887999999999991</v>
      </c>
      <c r="AF63" s="156">
        <f t="shared" si="59"/>
        <v>2.7499999999993037</v>
      </c>
      <c r="AG63" s="156">
        <f t="shared" si="59"/>
        <v>1.9159999999999999</v>
      </c>
      <c r="AH63" s="151">
        <v>1.6964999999999999</v>
      </c>
      <c r="AJ63" s="255"/>
    </row>
  </sheetData>
  <sheetProtection selectLockedCells="1" selectUnlockedCells="1"/>
  <mergeCells count="29">
    <mergeCell ref="E57:E58"/>
    <mergeCell ref="T56:T57"/>
    <mergeCell ref="T58:T59"/>
    <mergeCell ref="G53:H53"/>
    <mergeCell ref="G54:H54"/>
    <mergeCell ref="G57:H57"/>
    <mergeCell ref="G58:H58"/>
    <mergeCell ref="A20:A21"/>
    <mergeCell ref="D53:D54"/>
    <mergeCell ref="E53:E54"/>
    <mergeCell ref="T54:T55"/>
    <mergeCell ref="B20:B21"/>
    <mergeCell ref="C53:C54"/>
    <mergeCell ref="AJ26:AJ28"/>
    <mergeCell ref="T60:T61"/>
    <mergeCell ref="T62:T63"/>
    <mergeCell ref="A4:A5"/>
    <mergeCell ref="B4:B5"/>
    <mergeCell ref="B6:B7"/>
    <mergeCell ref="B8:B9"/>
    <mergeCell ref="A10:A11"/>
    <mergeCell ref="B10:B11"/>
    <mergeCell ref="A22:A23"/>
    <mergeCell ref="B22:B23"/>
    <mergeCell ref="B12:B13"/>
    <mergeCell ref="B14:B15"/>
    <mergeCell ref="A16:A17"/>
    <mergeCell ref="B16:B17"/>
    <mergeCell ref="B18:B19"/>
  </mergeCells>
  <conditionalFormatting sqref="E4">
    <cfRule type="cellIs" dxfId="4275" priority="123" stopIfTrue="1" operator="lessThan">
      <formula>$D$4</formula>
    </cfRule>
    <cfRule type="cellIs" dxfId="4274" priority="124" stopIfTrue="1" operator="equal">
      <formula>$D$4</formula>
    </cfRule>
  </conditionalFormatting>
  <conditionalFormatting sqref="E5">
    <cfRule type="cellIs" dxfId="4273" priority="127" stopIfTrue="1" operator="equal">
      <formula>$D$5</formula>
    </cfRule>
    <cfRule type="cellIs" dxfId="4272" priority="128" stopIfTrue="1" operator="lessThan">
      <formula>$D$5</formula>
    </cfRule>
  </conditionalFormatting>
  <conditionalFormatting sqref="E6">
    <cfRule type="cellIs" dxfId="4271" priority="134" stopIfTrue="1" operator="equal">
      <formula>$D$6</formula>
    </cfRule>
    <cfRule type="cellIs" dxfId="4270" priority="135" stopIfTrue="1" operator="lessThan">
      <formula>$D$6</formula>
    </cfRule>
  </conditionalFormatting>
  <conditionalFormatting sqref="E7">
    <cfRule type="cellIs" dxfId="4269" priority="148" stopIfTrue="1" operator="equal">
      <formula>$D$7</formula>
    </cfRule>
    <cfRule type="cellIs" dxfId="4268" priority="149" stopIfTrue="1" operator="lessThan">
      <formula>$D$7</formula>
    </cfRule>
  </conditionalFormatting>
  <conditionalFormatting sqref="E8">
    <cfRule type="cellIs" dxfId="4267" priority="160" stopIfTrue="1" operator="equal">
      <formula>$D$8</formula>
    </cfRule>
    <cfRule type="cellIs" dxfId="4266" priority="161" stopIfTrue="1" operator="lessThan">
      <formula>$D$8</formula>
    </cfRule>
  </conditionalFormatting>
  <conditionalFormatting sqref="E9">
    <cfRule type="cellIs" dxfId="4265" priority="174" stopIfTrue="1" operator="equal">
      <formula>$D$9</formula>
    </cfRule>
    <cfRule type="cellIs" dxfId="4264" priority="175" stopIfTrue="1" operator="lessThan">
      <formula>$D$9</formula>
    </cfRule>
  </conditionalFormatting>
  <conditionalFormatting sqref="E10">
    <cfRule type="cellIs" dxfId="4263" priority="188" stopIfTrue="1" operator="equal">
      <formula>$D$10</formula>
    </cfRule>
    <cfRule type="cellIs" dxfId="4262" priority="189" stopIfTrue="1" operator="lessThan">
      <formula>$D$10</formula>
    </cfRule>
  </conditionalFormatting>
  <conditionalFormatting sqref="E11">
    <cfRule type="cellIs" dxfId="4261" priority="202" stopIfTrue="1" operator="equal">
      <formula>$D$11</formula>
    </cfRule>
    <cfRule type="cellIs" dxfId="4260" priority="203" stopIfTrue="1" operator="lessThan">
      <formula>$D$11</formula>
    </cfRule>
  </conditionalFormatting>
  <conditionalFormatting sqref="E12">
    <cfRule type="cellIs" dxfId="4259" priority="216" stopIfTrue="1" operator="equal">
      <formula>$D$12</formula>
    </cfRule>
    <cfRule type="cellIs" dxfId="4258" priority="217" stopIfTrue="1" operator="lessThan">
      <formula>$D$12</formula>
    </cfRule>
  </conditionalFormatting>
  <conditionalFormatting sqref="E13">
    <cfRule type="cellIs" dxfId="4257" priority="348" stopIfTrue="1" operator="equal">
      <formula>$D$13</formula>
    </cfRule>
    <cfRule type="cellIs" dxfId="4256" priority="349" stopIfTrue="1" operator="lessThan">
      <formula>$D$13</formula>
    </cfRule>
  </conditionalFormatting>
  <conditionalFormatting sqref="E14">
    <cfRule type="cellIs" dxfId="4255" priority="230" stopIfTrue="1" operator="equal">
      <formula>$D$14</formula>
    </cfRule>
    <cfRule type="cellIs" dxfId="4254" priority="231" stopIfTrue="1" operator="lessThan">
      <formula>$D$14</formula>
    </cfRule>
  </conditionalFormatting>
  <conditionalFormatting sqref="E15">
    <cfRule type="cellIs" dxfId="4253" priority="232" stopIfTrue="1" operator="equal">
      <formula>$D$15</formula>
    </cfRule>
    <cfRule type="cellIs" dxfId="4252" priority="233" stopIfTrue="1" operator="lessThan">
      <formula>$D$15</formula>
    </cfRule>
  </conditionalFormatting>
  <conditionalFormatting sqref="E16">
    <cfRule type="cellIs" dxfId="4251" priority="234" stopIfTrue="1" operator="equal">
      <formula>$D$16</formula>
    </cfRule>
    <cfRule type="cellIs" dxfId="4250" priority="235" stopIfTrue="1" operator="lessThan">
      <formula>$D$16</formula>
    </cfRule>
  </conditionalFormatting>
  <conditionalFormatting sqref="E17">
    <cfRule type="cellIs" dxfId="4249" priority="236" stopIfTrue="1" operator="equal">
      <formula>$D$17</formula>
    </cfRule>
    <cfRule type="cellIs" dxfId="4248" priority="237" stopIfTrue="1" operator="lessThan">
      <formula>$D$17</formula>
    </cfRule>
  </conditionalFormatting>
  <conditionalFormatting sqref="E18">
    <cfRule type="cellIs" dxfId="4247" priority="238" stopIfTrue="1" operator="equal">
      <formula>$D$18</formula>
    </cfRule>
    <cfRule type="cellIs" dxfId="4246" priority="239" stopIfTrue="1" operator="lessThan">
      <formula>$D$18</formula>
    </cfRule>
  </conditionalFormatting>
  <conditionalFormatting sqref="E19">
    <cfRule type="cellIs" dxfId="4245" priority="240" stopIfTrue="1" operator="equal">
      <formula>$D$19</formula>
    </cfRule>
    <cfRule type="cellIs" dxfId="4244" priority="241" stopIfTrue="1" operator="lessThan">
      <formula>$D$19</formula>
    </cfRule>
  </conditionalFormatting>
  <conditionalFormatting sqref="E20">
    <cfRule type="cellIs" dxfId="4243" priority="242" stopIfTrue="1" operator="equal">
      <formula>$D$20</formula>
    </cfRule>
    <cfRule type="cellIs" dxfId="4242" priority="243" stopIfTrue="1" operator="lessThan">
      <formula>$D$20</formula>
    </cfRule>
  </conditionalFormatting>
  <conditionalFormatting sqref="E21">
    <cfRule type="cellIs" dxfId="4241" priority="244" stopIfTrue="1" operator="equal">
      <formula>$D$21</formula>
    </cfRule>
    <cfRule type="cellIs" dxfId="4240" priority="245" stopIfTrue="1" operator="lessThan">
      <formula>$D$21</formula>
    </cfRule>
  </conditionalFormatting>
  <conditionalFormatting sqref="E22">
    <cfRule type="cellIs" dxfId="4239" priority="246" stopIfTrue="1" operator="equal">
      <formula>$D$22</formula>
    </cfRule>
    <cfRule type="cellIs" dxfId="4238" priority="247" stopIfTrue="1" operator="lessThan">
      <formula>$D$22</formula>
    </cfRule>
  </conditionalFormatting>
  <conditionalFormatting sqref="E23">
    <cfRule type="cellIs" dxfId="4237" priority="248" stopIfTrue="1" operator="equal">
      <formula>$D$23</formula>
    </cfRule>
    <cfRule type="cellIs" dxfId="4236" priority="249" stopIfTrue="1" operator="lessThan">
      <formula>$D$23</formula>
    </cfRule>
  </conditionalFormatting>
  <conditionalFormatting sqref="E24">
    <cfRule type="cellIs" dxfId="4235" priority="380" stopIfTrue="1" operator="equal">
      <formula>$D$24</formula>
    </cfRule>
    <cfRule type="cellIs" dxfId="4234" priority="381" stopIfTrue="1" operator="lessThan">
      <formula>$D$24</formula>
    </cfRule>
  </conditionalFormatting>
  <conditionalFormatting sqref="E25">
    <cfRule type="cellIs" dxfId="4233" priority="250" stopIfTrue="1" operator="equal">
      <formula>$D$25</formula>
    </cfRule>
    <cfRule type="cellIs" dxfId="4232" priority="251" stopIfTrue="1" operator="lessThan">
      <formula>$D$25</formula>
    </cfRule>
  </conditionalFormatting>
  <conditionalFormatting sqref="E26">
    <cfRule type="cellIs" dxfId="4231" priority="252" stopIfTrue="1" operator="equal">
      <formula>$D$26</formula>
    </cfRule>
    <cfRule type="cellIs" dxfId="4230" priority="253" stopIfTrue="1" operator="lessThan">
      <formula>$D$26</formula>
    </cfRule>
  </conditionalFormatting>
  <conditionalFormatting sqref="E27">
    <cfRule type="cellIs" dxfId="4229" priority="254" stopIfTrue="1" operator="equal">
      <formula>$D$27</formula>
    </cfRule>
    <cfRule type="cellIs" dxfId="4228" priority="255" stopIfTrue="1" operator="lessThan">
      <formula>$D$27</formula>
    </cfRule>
  </conditionalFormatting>
  <conditionalFormatting sqref="E28">
    <cfRule type="cellIs" dxfId="4227" priority="256" stopIfTrue="1" operator="equal">
      <formula>$D$28</formula>
    </cfRule>
    <cfRule type="cellIs" dxfId="4226" priority="257" stopIfTrue="1" operator="lessThan">
      <formula>$D$28</formula>
    </cfRule>
  </conditionalFormatting>
  <conditionalFormatting sqref="E33:P37">
    <cfRule type="expression" dxfId="4225" priority="6">
      <formula>E33=D33</formula>
    </cfRule>
    <cfRule type="expression" dxfId="4224" priority="7">
      <formula>E33&lt;D33</formula>
    </cfRule>
  </conditionalFormatting>
  <conditionalFormatting sqref="E40:P49">
    <cfRule type="expression" dxfId="4223" priority="8">
      <formula>E40=D40</formula>
    </cfRule>
    <cfRule type="expression" dxfId="4222" priority="9">
      <formula>E40&lt;D40</formula>
    </cfRule>
  </conditionalFormatting>
  <conditionalFormatting sqref="F4">
    <cfRule type="cellIs" dxfId="4221" priority="125" stopIfTrue="1" operator="equal">
      <formula>$E$4</formula>
    </cfRule>
    <cfRule type="cellIs" dxfId="4220" priority="126" stopIfTrue="1" operator="lessThan">
      <formula>$E$4</formula>
    </cfRule>
  </conditionalFormatting>
  <conditionalFormatting sqref="F5">
    <cfRule type="cellIs" dxfId="4219" priority="390" stopIfTrue="1" operator="equal">
      <formula>$E$5</formula>
    </cfRule>
    <cfRule type="cellIs" dxfId="4218" priority="391" stopIfTrue="1" operator="lessThan">
      <formula>$E$5</formula>
    </cfRule>
  </conditionalFormatting>
  <conditionalFormatting sqref="F6">
    <cfRule type="cellIs" dxfId="4217" priority="136" stopIfTrue="1" operator="equal">
      <formula>$E$6</formula>
    </cfRule>
    <cfRule type="cellIs" dxfId="4216" priority="137" stopIfTrue="1" operator="lessThan">
      <formula>$E$6</formula>
    </cfRule>
  </conditionalFormatting>
  <conditionalFormatting sqref="F7">
    <cfRule type="cellIs" dxfId="4215" priority="150" stopIfTrue="1" operator="equal">
      <formula>$E$7</formula>
    </cfRule>
    <cfRule type="cellIs" dxfId="4214" priority="151" stopIfTrue="1" operator="lessThan">
      <formula>$E$7</formula>
    </cfRule>
  </conditionalFormatting>
  <conditionalFormatting sqref="F8">
    <cfRule type="cellIs" dxfId="4213" priority="162" stopIfTrue="1" operator="equal">
      <formula>$E$8</formula>
    </cfRule>
    <cfRule type="cellIs" dxfId="4212" priority="163" stopIfTrue="1" operator="lessThan">
      <formula>$E$8</formula>
    </cfRule>
  </conditionalFormatting>
  <conditionalFormatting sqref="F9">
    <cfRule type="cellIs" dxfId="4211" priority="176" stopIfTrue="1" operator="equal">
      <formula>$E$9</formula>
    </cfRule>
    <cfRule type="cellIs" dxfId="4210" priority="177" stopIfTrue="1" operator="lessThan">
      <formula>$E$9</formula>
    </cfRule>
  </conditionalFormatting>
  <conditionalFormatting sqref="F10">
    <cfRule type="cellIs" dxfId="4209" priority="190" stopIfTrue="1" operator="equal">
      <formula>$E$10</formula>
    </cfRule>
    <cfRule type="cellIs" dxfId="4208" priority="191" stopIfTrue="1" operator="lessThan">
      <formula>$E$10</formula>
    </cfRule>
  </conditionalFormatting>
  <conditionalFormatting sqref="F11">
    <cfRule type="cellIs" dxfId="4207" priority="204" stopIfTrue="1" operator="equal">
      <formula>$E$11</formula>
    </cfRule>
    <cfRule type="cellIs" dxfId="4206" priority="205" stopIfTrue="1" operator="lessThan">
      <formula>$E$11</formula>
    </cfRule>
  </conditionalFormatting>
  <conditionalFormatting sqref="F12">
    <cfRule type="cellIs" dxfId="4205" priority="218" stopIfTrue="1" operator="equal">
      <formula>$E$12</formula>
    </cfRule>
    <cfRule type="cellIs" dxfId="4204" priority="219" stopIfTrue="1" operator="lessThan">
      <formula>$E$12</formula>
    </cfRule>
  </conditionalFormatting>
  <conditionalFormatting sqref="F13">
    <cfRule type="cellIs" dxfId="4203" priority="258" stopIfTrue="1" operator="equal">
      <formula>$E$13</formula>
    </cfRule>
    <cfRule type="cellIs" dxfId="4202" priority="259" stopIfTrue="1" operator="lessThan">
      <formula>$E$13</formula>
    </cfRule>
  </conditionalFormatting>
  <conditionalFormatting sqref="F14">
    <cfRule type="cellIs" dxfId="4201" priority="260" stopIfTrue="1" operator="equal">
      <formula>$E$14</formula>
    </cfRule>
    <cfRule type="cellIs" dxfId="4200" priority="261" stopIfTrue="1" operator="lessThan">
      <formula>$E$14</formula>
    </cfRule>
  </conditionalFormatting>
  <conditionalFormatting sqref="F15">
    <cfRule type="cellIs" dxfId="4199" priority="262" stopIfTrue="1" operator="equal">
      <formula>$E$15</formula>
    </cfRule>
    <cfRule type="cellIs" dxfId="4198" priority="263" stopIfTrue="1" operator="lessThan">
      <formula>$E$15</formula>
    </cfRule>
  </conditionalFormatting>
  <conditionalFormatting sqref="F16">
    <cfRule type="cellIs" dxfId="4197" priority="264" stopIfTrue="1" operator="equal">
      <formula>$E$16</formula>
    </cfRule>
    <cfRule type="cellIs" dxfId="4196" priority="265" stopIfTrue="1" operator="lessThan">
      <formula>$E$16</formula>
    </cfRule>
  </conditionalFormatting>
  <conditionalFormatting sqref="F17">
    <cfRule type="cellIs" dxfId="4195" priority="266" stopIfTrue="1" operator="equal">
      <formula>$E$17</formula>
    </cfRule>
    <cfRule type="cellIs" dxfId="4194" priority="267" stopIfTrue="1" operator="lessThan">
      <formula>$E$17</formula>
    </cfRule>
  </conditionalFormatting>
  <conditionalFormatting sqref="F18">
    <cfRule type="cellIs" dxfId="4193" priority="268" stopIfTrue="1" operator="equal">
      <formula>$E$18</formula>
    </cfRule>
    <cfRule type="cellIs" dxfId="4192" priority="269" stopIfTrue="1" operator="lessThan">
      <formula>$E$18</formula>
    </cfRule>
  </conditionalFormatting>
  <conditionalFormatting sqref="F19">
    <cfRule type="cellIs" dxfId="4191" priority="270" stopIfTrue="1" operator="equal">
      <formula>$E$19</formula>
    </cfRule>
    <cfRule type="cellIs" dxfId="4190" priority="271" stopIfTrue="1" operator="lessThan">
      <formula>$E$19</formula>
    </cfRule>
  </conditionalFormatting>
  <conditionalFormatting sqref="F20">
    <cfRule type="cellIs" dxfId="4189" priority="272" stopIfTrue="1" operator="equal">
      <formula>$E$20</formula>
    </cfRule>
    <cfRule type="cellIs" dxfId="4188" priority="273" stopIfTrue="1" operator="lessThan">
      <formula>$E$20</formula>
    </cfRule>
  </conditionalFormatting>
  <conditionalFormatting sqref="F21">
    <cfRule type="cellIs" dxfId="4187" priority="274" stopIfTrue="1" operator="equal">
      <formula>$E$21</formula>
    </cfRule>
    <cfRule type="cellIs" dxfId="4186" priority="275" stopIfTrue="1" operator="lessThan">
      <formula>$E$21</formula>
    </cfRule>
  </conditionalFormatting>
  <conditionalFormatting sqref="F22">
    <cfRule type="cellIs" dxfId="4185" priority="276" stopIfTrue="1" operator="equal">
      <formula>$E$22</formula>
    </cfRule>
    <cfRule type="cellIs" dxfId="4184" priority="277" stopIfTrue="1" operator="lessThan">
      <formula>$E$22</formula>
    </cfRule>
  </conditionalFormatting>
  <conditionalFormatting sqref="F23">
    <cfRule type="cellIs" dxfId="4183" priority="278" stopIfTrue="1" operator="equal">
      <formula>$E$23</formula>
    </cfRule>
    <cfRule type="cellIs" dxfId="4182" priority="279" stopIfTrue="1" operator="lessThan">
      <formula>$E$23</formula>
    </cfRule>
  </conditionalFormatting>
  <conditionalFormatting sqref="F24">
    <cfRule type="cellIs" dxfId="4181" priority="382" stopIfTrue="1" operator="equal">
      <formula>$E$24</formula>
    </cfRule>
    <cfRule type="cellIs" dxfId="4180" priority="383" stopIfTrue="1" operator="lessThan">
      <formula>$E$24</formula>
    </cfRule>
  </conditionalFormatting>
  <conditionalFormatting sqref="F25">
    <cfRule type="cellIs" dxfId="4179" priority="280" stopIfTrue="1" operator="equal">
      <formula>$E$25</formula>
    </cfRule>
    <cfRule type="cellIs" dxfId="4178" priority="281" stopIfTrue="1" operator="lessThan">
      <formula>$E$25</formula>
    </cfRule>
  </conditionalFormatting>
  <conditionalFormatting sqref="F26">
    <cfRule type="cellIs" dxfId="4177" priority="282" stopIfTrue="1" operator="equal">
      <formula>$E$26</formula>
    </cfRule>
    <cfRule type="cellIs" dxfId="4176" priority="283" stopIfTrue="1" operator="lessThan">
      <formula>$E$26</formula>
    </cfRule>
  </conditionalFormatting>
  <conditionalFormatting sqref="F27">
    <cfRule type="cellIs" dxfId="4175" priority="284" stopIfTrue="1" operator="equal">
      <formula>$E$27</formula>
    </cfRule>
    <cfRule type="cellIs" dxfId="4174" priority="285" stopIfTrue="1" operator="lessThan">
      <formula>$E$27</formula>
    </cfRule>
  </conditionalFormatting>
  <conditionalFormatting sqref="F28">
    <cfRule type="cellIs" dxfId="4173" priority="286" stopIfTrue="1" operator="equal">
      <formula>$E$28</formula>
    </cfRule>
    <cfRule type="cellIs" dxfId="4172" priority="287" stopIfTrue="1" operator="lessThan">
      <formula>$E$28</formula>
    </cfRule>
  </conditionalFormatting>
  <conditionalFormatting sqref="G4">
    <cfRule type="cellIs" dxfId="4171" priority="121" stopIfTrue="1" operator="equal">
      <formula>$F$4</formula>
    </cfRule>
    <cfRule type="cellIs" dxfId="4170" priority="122" stopIfTrue="1" operator="lessThan">
      <formula>$F$4</formula>
    </cfRule>
  </conditionalFormatting>
  <conditionalFormatting sqref="G5">
    <cfRule type="cellIs" dxfId="4169" priority="129" stopIfTrue="1" operator="equal">
      <formula>$F$5</formula>
    </cfRule>
    <cfRule type="cellIs" dxfId="4168" priority="130" stopIfTrue="1" operator="lessThan">
      <formula>$F$5</formula>
    </cfRule>
  </conditionalFormatting>
  <conditionalFormatting sqref="G6">
    <cfRule type="cellIs" dxfId="4167" priority="138" stopIfTrue="1" operator="equal">
      <formula>$F$6</formula>
    </cfRule>
    <cfRule type="cellIs" dxfId="4166" priority="139" stopIfTrue="1" operator="lessThan">
      <formula>$F$6</formula>
    </cfRule>
  </conditionalFormatting>
  <conditionalFormatting sqref="G7">
    <cfRule type="cellIs" dxfId="4165" priority="152" stopIfTrue="1" operator="equal">
      <formula>$F$7</formula>
    </cfRule>
    <cfRule type="cellIs" dxfId="4164" priority="153" stopIfTrue="1" operator="lessThan">
      <formula>$F$7</formula>
    </cfRule>
  </conditionalFormatting>
  <conditionalFormatting sqref="G8">
    <cfRule type="cellIs" dxfId="4163" priority="164" stopIfTrue="1" operator="equal">
      <formula>$F$8</formula>
    </cfRule>
    <cfRule type="cellIs" dxfId="4162" priority="165" stopIfTrue="1" operator="lessThan">
      <formula>$F$8</formula>
    </cfRule>
  </conditionalFormatting>
  <conditionalFormatting sqref="G9">
    <cfRule type="cellIs" dxfId="4161" priority="178" stopIfTrue="1" operator="equal">
      <formula>$F$9</formula>
    </cfRule>
    <cfRule type="cellIs" dxfId="4160" priority="179" stopIfTrue="1" operator="lessThan">
      <formula>$F$9</formula>
    </cfRule>
  </conditionalFormatting>
  <conditionalFormatting sqref="G10">
    <cfRule type="cellIs" dxfId="4159" priority="192" stopIfTrue="1" operator="equal">
      <formula>$F$10</formula>
    </cfRule>
    <cfRule type="cellIs" dxfId="4158" priority="193" stopIfTrue="1" operator="lessThan">
      <formula>$F$10</formula>
    </cfRule>
  </conditionalFormatting>
  <conditionalFormatting sqref="G11">
    <cfRule type="cellIs" dxfId="4157" priority="206" stopIfTrue="1" operator="equal">
      <formula>$F$11</formula>
    </cfRule>
    <cfRule type="cellIs" dxfId="4156" priority="207" stopIfTrue="1" operator="lessThan">
      <formula>$F$11</formula>
    </cfRule>
  </conditionalFormatting>
  <conditionalFormatting sqref="G12">
    <cfRule type="cellIs" dxfId="4155" priority="220" stopIfTrue="1" operator="equal">
      <formula>$F$12</formula>
    </cfRule>
    <cfRule type="cellIs" dxfId="4154" priority="221" stopIfTrue="1" operator="lessThan">
      <formula>$F$12</formula>
    </cfRule>
  </conditionalFormatting>
  <conditionalFormatting sqref="G13">
    <cfRule type="cellIs" dxfId="4153" priority="288" stopIfTrue="1" operator="equal">
      <formula>$F$13</formula>
    </cfRule>
    <cfRule type="cellIs" dxfId="4152" priority="289" stopIfTrue="1" operator="lessThan">
      <formula>$F$13</formula>
    </cfRule>
  </conditionalFormatting>
  <conditionalFormatting sqref="G14">
    <cfRule type="cellIs" dxfId="4151" priority="290" stopIfTrue="1" operator="equal">
      <formula>$F$14</formula>
    </cfRule>
    <cfRule type="cellIs" dxfId="4150" priority="291" stopIfTrue="1" operator="lessThan">
      <formula>$F$14</formula>
    </cfRule>
  </conditionalFormatting>
  <conditionalFormatting sqref="G15">
    <cfRule type="cellIs" dxfId="4149" priority="292" stopIfTrue="1" operator="equal">
      <formula>$F$15</formula>
    </cfRule>
    <cfRule type="cellIs" dxfId="4148" priority="293" stopIfTrue="1" operator="lessThan">
      <formula>$F$15</formula>
    </cfRule>
  </conditionalFormatting>
  <conditionalFormatting sqref="G16">
    <cfRule type="cellIs" dxfId="4147" priority="294" stopIfTrue="1" operator="equal">
      <formula>$F$16</formula>
    </cfRule>
    <cfRule type="cellIs" dxfId="4146" priority="295" stopIfTrue="1" operator="lessThan">
      <formula>$F$16</formula>
    </cfRule>
  </conditionalFormatting>
  <conditionalFormatting sqref="G17">
    <cfRule type="cellIs" dxfId="4145" priority="296" stopIfTrue="1" operator="equal">
      <formula>$F$17</formula>
    </cfRule>
    <cfRule type="cellIs" dxfId="4144" priority="297" stopIfTrue="1" operator="lessThan">
      <formula>$F$17</formula>
    </cfRule>
  </conditionalFormatting>
  <conditionalFormatting sqref="G18">
    <cfRule type="cellIs" dxfId="4143" priority="298" stopIfTrue="1" operator="equal">
      <formula>$F$18</formula>
    </cfRule>
    <cfRule type="cellIs" dxfId="4142" priority="299" stopIfTrue="1" operator="lessThan">
      <formula>$F$18</formula>
    </cfRule>
  </conditionalFormatting>
  <conditionalFormatting sqref="G19">
    <cfRule type="cellIs" dxfId="4141" priority="300" stopIfTrue="1" operator="equal">
      <formula>$F$19</formula>
    </cfRule>
    <cfRule type="cellIs" dxfId="4140" priority="301" stopIfTrue="1" operator="lessThan">
      <formula>$F$19</formula>
    </cfRule>
  </conditionalFormatting>
  <conditionalFormatting sqref="G20">
    <cfRule type="cellIs" dxfId="4139" priority="302" stopIfTrue="1" operator="equal">
      <formula>$F$20</formula>
    </cfRule>
    <cfRule type="cellIs" dxfId="4138" priority="303" stopIfTrue="1" operator="lessThan">
      <formula>$F$20</formula>
    </cfRule>
  </conditionalFormatting>
  <conditionalFormatting sqref="G21">
    <cfRule type="cellIs" dxfId="4137" priority="304" stopIfTrue="1" operator="equal">
      <formula>$F$21</formula>
    </cfRule>
    <cfRule type="cellIs" dxfId="4136" priority="305" stopIfTrue="1" operator="lessThan">
      <formula>$F$21</formula>
    </cfRule>
  </conditionalFormatting>
  <conditionalFormatting sqref="G22">
    <cfRule type="cellIs" dxfId="4135" priority="306" stopIfTrue="1" operator="equal">
      <formula>$F$22</formula>
    </cfRule>
    <cfRule type="cellIs" dxfId="4134" priority="307" stopIfTrue="1" operator="lessThan">
      <formula>$F$22</formula>
    </cfRule>
  </conditionalFormatting>
  <conditionalFormatting sqref="G23">
    <cfRule type="cellIs" dxfId="4133" priority="308" stopIfTrue="1" operator="equal">
      <formula>$F$23</formula>
    </cfRule>
    <cfRule type="cellIs" dxfId="4132" priority="309" stopIfTrue="1" operator="lessThan">
      <formula>$F$23</formula>
    </cfRule>
  </conditionalFormatting>
  <conditionalFormatting sqref="G24">
    <cfRule type="cellIs" dxfId="4131" priority="384" stopIfTrue="1" operator="equal">
      <formula>$F$24</formula>
    </cfRule>
    <cfRule type="cellIs" dxfId="4130" priority="385" stopIfTrue="1" operator="lessThan">
      <formula>$F$24</formula>
    </cfRule>
  </conditionalFormatting>
  <conditionalFormatting sqref="G25">
    <cfRule type="cellIs" dxfId="4129" priority="310" stopIfTrue="1" operator="equal">
      <formula>$F$25</formula>
    </cfRule>
    <cfRule type="cellIs" dxfId="4128" priority="311" stopIfTrue="1" operator="lessThan">
      <formula>$F$25</formula>
    </cfRule>
  </conditionalFormatting>
  <conditionalFormatting sqref="G26">
    <cfRule type="cellIs" dxfId="4127" priority="312" stopIfTrue="1" operator="equal">
      <formula>$F$26</formula>
    </cfRule>
    <cfRule type="cellIs" dxfId="4126" priority="313" stopIfTrue="1" operator="lessThan">
      <formula>$F$26</formula>
    </cfRule>
  </conditionalFormatting>
  <conditionalFormatting sqref="G27">
    <cfRule type="cellIs" dxfId="4125" priority="314" stopIfTrue="1" operator="equal">
      <formula>$F$27</formula>
    </cfRule>
    <cfRule type="cellIs" dxfId="4124" priority="315" stopIfTrue="1" operator="lessThan">
      <formula>$F$27</formula>
    </cfRule>
  </conditionalFormatting>
  <conditionalFormatting sqref="G28">
    <cfRule type="cellIs" dxfId="4123" priority="316" stopIfTrue="1" operator="equal">
      <formula>$F$28</formula>
    </cfRule>
    <cfRule type="cellIs" dxfId="4122" priority="317" stopIfTrue="1" operator="lessThan">
      <formula>$F$28</formula>
    </cfRule>
  </conditionalFormatting>
  <conditionalFormatting sqref="H4">
    <cfRule type="cellIs" dxfId="4121" priority="394" stopIfTrue="1" operator="equal">
      <formula>$G$4</formula>
    </cfRule>
  </conditionalFormatting>
  <conditionalFormatting sqref="H5">
    <cfRule type="cellIs" dxfId="4120" priority="392" stopIfTrue="1" operator="equal">
      <formula>$G$5</formula>
    </cfRule>
    <cfRule type="cellIs" dxfId="4119" priority="393" stopIfTrue="1" operator="lessThan">
      <formula>$G$5</formula>
    </cfRule>
  </conditionalFormatting>
  <conditionalFormatting sqref="H6">
    <cfRule type="cellIs" dxfId="4118" priority="140" stopIfTrue="1" operator="equal">
      <formula>$G$6</formula>
    </cfRule>
    <cfRule type="cellIs" dxfId="4117" priority="141" stopIfTrue="1" operator="lessThan">
      <formula>$G$6</formula>
    </cfRule>
  </conditionalFormatting>
  <conditionalFormatting sqref="H7">
    <cfRule type="cellIs" dxfId="4116" priority="113" stopIfTrue="1" operator="equal">
      <formula>$G$7</formula>
    </cfRule>
    <cfRule type="cellIs" dxfId="4115" priority="114" stopIfTrue="1" operator="lessThan">
      <formula>$G$7</formula>
    </cfRule>
  </conditionalFormatting>
  <conditionalFormatting sqref="H8">
    <cfRule type="cellIs" dxfId="4114" priority="166" stopIfTrue="1" operator="equal">
      <formula>$G$8</formula>
    </cfRule>
    <cfRule type="cellIs" dxfId="4113" priority="167" stopIfTrue="1" operator="lessThan">
      <formula>$G$8</formula>
    </cfRule>
  </conditionalFormatting>
  <conditionalFormatting sqref="H9">
    <cfRule type="cellIs" dxfId="4112" priority="180" stopIfTrue="1" operator="equal">
      <formula>$G$9</formula>
    </cfRule>
    <cfRule type="cellIs" dxfId="4111" priority="181" stopIfTrue="1" operator="lessThan">
      <formula>$G$9</formula>
    </cfRule>
  </conditionalFormatting>
  <conditionalFormatting sqref="H10">
    <cfRule type="cellIs" dxfId="4110" priority="194" stopIfTrue="1" operator="equal">
      <formula>$G$10</formula>
    </cfRule>
    <cfRule type="cellIs" dxfId="4109" priority="195" stopIfTrue="1" operator="lessThan">
      <formula>$G$10</formula>
    </cfRule>
  </conditionalFormatting>
  <conditionalFormatting sqref="H11">
    <cfRule type="cellIs" dxfId="4108" priority="208" stopIfTrue="1" operator="equal">
      <formula>$G$11</formula>
    </cfRule>
    <cfRule type="cellIs" dxfId="4107" priority="209" stopIfTrue="1" operator="lessThan">
      <formula>$G$11</formula>
    </cfRule>
  </conditionalFormatting>
  <conditionalFormatting sqref="H12">
    <cfRule type="cellIs" dxfId="4106" priority="222" stopIfTrue="1" operator="equal">
      <formula>$G$12</formula>
    </cfRule>
    <cfRule type="cellIs" dxfId="4105" priority="223" stopIfTrue="1" operator="lessThan">
      <formula>$G$12</formula>
    </cfRule>
  </conditionalFormatting>
  <conditionalFormatting sqref="H13">
    <cfRule type="cellIs" dxfId="4104" priority="318" stopIfTrue="1" operator="equal">
      <formula>$G$13</formula>
    </cfRule>
    <cfRule type="cellIs" dxfId="4103" priority="319" stopIfTrue="1" operator="lessThan">
      <formula>$G$13</formula>
    </cfRule>
  </conditionalFormatting>
  <conditionalFormatting sqref="H14">
    <cfRule type="cellIs" dxfId="4102" priority="320" stopIfTrue="1" operator="equal">
      <formula>$G$14</formula>
    </cfRule>
    <cfRule type="cellIs" dxfId="4101" priority="321" stopIfTrue="1" operator="lessThan">
      <formula>$G$14</formula>
    </cfRule>
  </conditionalFormatting>
  <conditionalFormatting sqref="H15">
    <cfRule type="cellIs" dxfId="4100" priority="322" stopIfTrue="1" operator="equal">
      <formula>$G$15</formula>
    </cfRule>
    <cfRule type="cellIs" dxfId="4099" priority="323" stopIfTrue="1" operator="lessThan">
      <formula>$G$15</formula>
    </cfRule>
  </conditionalFormatting>
  <conditionalFormatting sqref="H16">
    <cfRule type="cellIs" dxfId="4098" priority="324" stopIfTrue="1" operator="equal">
      <formula>$G$16</formula>
    </cfRule>
    <cfRule type="cellIs" dxfId="4097" priority="325" stopIfTrue="1" operator="lessThan">
      <formula>$G$16</formula>
    </cfRule>
  </conditionalFormatting>
  <conditionalFormatting sqref="H17">
    <cfRule type="cellIs" dxfId="4096" priority="326" stopIfTrue="1" operator="equal">
      <formula>$G$17</formula>
    </cfRule>
    <cfRule type="cellIs" dxfId="4095" priority="327" stopIfTrue="1" operator="lessThan">
      <formula>$G$17</formula>
    </cfRule>
  </conditionalFormatting>
  <conditionalFormatting sqref="H18">
    <cfRule type="cellIs" dxfId="4094" priority="328" stopIfTrue="1" operator="equal">
      <formula>$G$18</formula>
    </cfRule>
    <cfRule type="cellIs" dxfId="4093" priority="329" stopIfTrue="1" operator="lessThan">
      <formula>$G$18</formula>
    </cfRule>
  </conditionalFormatting>
  <conditionalFormatting sqref="H19">
    <cfRule type="cellIs" dxfId="4092" priority="330" stopIfTrue="1" operator="equal">
      <formula>$G$19</formula>
    </cfRule>
    <cfRule type="cellIs" dxfId="4091" priority="331" stopIfTrue="1" operator="lessThan">
      <formula>$G$19</formula>
    </cfRule>
  </conditionalFormatting>
  <conditionalFormatting sqref="H20">
    <cfRule type="cellIs" dxfId="4090" priority="332" stopIfTrue="1" operator="equal">
      <formula>$G$20</formula>
    </cfRule>
    <cfRule type="cellIs" dxfId="4089" priority="333" stopIfTrue="1" operator="lessThan">
      <formula>$G$20</formula>
    </cfRule>
  </conditionalFormatting>
  <conditionalFormatting sqref="H21">
    <cfRule type="cellIs" dxfId="4088" priority="334" stopIfTrue="1" operator="equal">
      <formula>$G$21</formula>
    </cfRule>
    <cfRule type="cellIs" dxfId="4087" priority="335" stopIfTrue="1" operator="lessThan">
      <formula>$G$21</formula>
    </cfRule>
  </conditionalFormatting>
  <conditionalFormatting sqref="H22">
    <cfRule type="cellIs" dxfId="4086" priority="336" stopIfTrue="1" operator="equal">
      <formula>$G$22</formula>
    </cfRule>
    <cfRule type="cellIs" dxfId="4085" priority="337" stopIfTrue="1" operator="lessThan">
      <formula>$G$22</formula>
    </cfRule>
  </conditionalFormatting>
  <conditionalFormatting sqref="H23">
    <cfRule type="cellIs" dxfId="4084" priority="338" stopIfTrue="1" operator="equal">
      <formula>$G$23</formula>
    </cfRule>
    <cfRule type="cellIs" dxfId="4083" priority="339" stopIfTrue="1" operator="lessThan">
      <formula>$G$23</formula>
    </cfRule>
  </conditionalFormatting>
  <conditionalFormatting sqref="H24">
    <cfRule type="cellIs" dxfId="4082" priority="386" stopIfTrue="1" operator="equal">
      <formula>$G$24</formula>
    </cfRule>
    <cfRule type="cellIs" dxfId="4081" priority="387" stopIfTrue="1" operator="lessThan">
      <formula>$G$24</formula>
    </cfRule>
  </conditionalFormatting>
  <conditionalFormatting sqref="H25">
    <cfRule type="cellIs" dxfId="4080" priority="340" stopIfTrue="1" operator="equal">
      <formula>$G$25</formula>
    </cfRule>
    <cfRule type="cellIs" dxfId="4079" priority="341" stopIfTrue="1" operator="lessThan">
      <formula>$G$25</formula>
    </cfRule>
  </conditionalFormatting>
  <conditionalFormatting sqref="H26">
    <cfRule type="cellIs" dxfId="4078" priority="342" stopIfTrue="1" operator="equal">
      <formula>$G$26</formula>
    </cfRule>
    <cfRule type="cellIs" dxfId="4077" priority="343" stopIfTrue="1" operator="lessThan">
      <formula>$G$26</formula>
    </cfRule>
  </conditionalFormatting>
  <conditionalFormatting sqref="H27">
    <cfRule type="cellIs" dxfId="4076" priority="344" stopIfTrue="1" operator="equal">
      <formula>$G$27</formula>
    </cfRule>
    <cfRule type="cellIs" dxfId="4075" priority="345" stopIfTrue="1" operator="lessThan">
      <formula>$G$27</formula>
    </cfRule>
  </conditionalFormatting>
  <conditionalFormatting sqref="H28">
    <cfRule type="cellIs" dxfId="4074" priority="346" stopIfTrue="1" operator="equal">
      <formula>$G$28</formula>
    </cfRule>
    <cfRule type="cellIs" dxfId="4073" priority="347" stopIfTrue="1" operator="lessThan">
      <formula>$G$28</formula>
    </cfRule>
  </conditionalFormatting>
  <conditionalFormatting sqref="I4">
    <cfRule type="cellIs" dxfId="4072" priority="111" stopIfTrue="1" operator="lessThan">
      <formula>$H$4</formula>
    </cfRule>
    <cfRule type="cellIs" dxfId="4071" priority="112" stopIfTrue="1" operator="equal">
      <formula>$H$4</formula>
    </cfRule>
  </conditionalFormatting>
  <conditionalFormatting sqref="I5">
    <cfRule type="cellIs" dxfId="4070" priority="115" stopIfTrue="1" operator="equal">
      <formula>$H$5</formula>
    </cfRule>
    <cfRule type="cellIs" dxfId="4069" priority="116" stopIfTrue="1" operator="lessThan">
      <formula>$H$5</formula>
    </cfRule>
  </conditionalFormatting>
  <conditionalFormatting sqref="I6">
    <cfRule type="cellIs" dxfId="4068" priority="142" stopIfTrue="1" operator="equal">
      <formula>$H$6</formula>
    </cfRule>
    <cfRule type="cellIs" dxfId="4067" priority="143" stopIfTrue="1" operator="lessThan">
      <formula>$H$6</formula>
    </cfRule>
  </conditionalFormatting>
  <conditionalFormatting sqref="I7">
    <cfRule type="cellIs" dxfId="4066" priority="154" stopIfTrue="1" operator="equal">
      <formula>$H$7</formula>
    </cfRule>
    <cfRule type="cellIs" dxfId="4065" priority="155" stopIfTrue="1" operator="lessThan">
      <formula>$H$7</formula>
    </cfRule>
  </conditionalFormatting>
  <conditionalFormatting sqref="I8">
    <cfRule type="cellIs" dxfId="4064" priority="168" stopIfTrue="1" operator="equal">
      <formula>$H$8</formula>
    </cfRule>
    <cfRule type="cellIs" dxfId="4063" priority="169" stopIfTrue="1" operator="lessThan">
      <formula>$H$8</formula>
    </cfRule>
  </conditionalFormatting>
  <conditionalFormatting sqref="I9">
    <cfRule type="cellIs" dxfId="4062" priority="182" stopIfTrue="1" operator="equal">
      <formula>$H$9</formula>
    </cfRule>
    <cfRule type="cellIs" dxfId="4061" priority="183" stopIfTrue="1" operator="lessThan">
      <formula>$H$9</formula>
    </cfRule>
  </conditionalFormatting>
  <conditionalFormatting sqref="I10">
    <cfRule type="cellIs" dxfId="4060" priority="196" stopIfTrue="1" operator="equal">
      <formula>$H$10</formula>
    </cfRule>
    <cfRule type="cellIs" dxfId="4059" priority="197" stopIfTrue="1" operator="lessThan">
      <formula>$H$10</formula>
    </cfRule>
  </conditionalFormatting>
  <conditionalFormatting sqref="I11">
    <cfRule type="cellIs" dxfId="4058" priority="210" stopIfTrue="1" operator="equal">
      <formula>$H$11</formula>
    </cfRule>
    <cfRule type="cellIs" dxfId="4057" priority="211" stopIfTrue="1" operator="lessThan">
      <formula>$H$11</formula>
    </cfRule>
  </conditionalFormatting>
  <conditionalFormatting sqref="I12">
    <cfRule type="cellIs" dxfId="4056" priority="224" stopIfTrue="1" operator="equal">
      <formula>$H$12</formula>
    </cfRule>
    <cfRule type="cellIs" dxfId="4055" priority="225" stopIfTrue="1" operator="lessThan">
      <formula>$H$12</formula>
    </cfRule>
  </conditionalFormatting>
  <conditionalFormatting sqref="I13">
    <cfRule type="cellIs" dxfId="4054" priority="350" stopIfTrue="1" operator="equal">
      <formula>$H$13</formula>
    </cfRule>
    <cfRule type="cellIs" dxfId="4053" priority="351" stopIfTrue="1" operator="lessThan">
      <formula>$H$13</formula>
    </cfRule>
  </conditionalFormatting>
  <conditionalFormatting sqref="I14">
    <cfRule type="cellIs" dxfId="4052" priority="352" stopIfTrue="1" operator="equal">
      <formula>$H$14</formula>
    </cfRule>
    <cfRule type="cellIs" dxfId="4051" priority="353" stopIfTrue="1" operator="lessThan">
      <formula>$H$14</formula>
    </cfRule>
  </conditionalFormatting>
  <conditionalFormatting sqref="I15">
    <cfRule type="cellIs" dxfId="4050" priority="354" stopIfTrue="1" operator="equal">
      <formula>$H$15</formula>
    </cfRule>
    <cfRule type="cellIs" dxfId="4049" priority="355" stopIfTrue="1" operator="lessThan">
      <formula>$H$15</formula>
    </cfRule>
  </conditionalFormatting>
  <conditionalFormatting sqref="I16">
    <cfRule type="cellIs" dxfId="4048" priority="356" stopIfTrue="1" operator="equal">
      <formula>$H$16</formula>
    </cfRule>
    <cfRule type="cellIs" dxfId="4047" priority="357" stopIfTrue="1" operator="lessThan">
      <formula>$H$16</formula>
    </cfRule>
  </conditionalFormatting>
  <conditionalFormatting sqref="I17">
    <cfRule type="cellIs" dxfId="4046" priority="358" stopIfTrue="1" operator="equal">
      <formula>$H$17</formula>
    </cfRule>
    <cfRule type="cellIs" dxfId="4045" priority="359" stopIfTrue="1" operator="lessThan">
      <formula>$H$17</formula>
    </cfRule>
  </conditionalFormatting>
  <conditionalFormatting sqref="I18">
    <cfRule type="cellIs" dxfId="4044" priority="360" stopIfTrue="1" operator="equal">
      <formula>$H$18</formula>
    </cfRule>
    <cfRule type="cellIs" dxfId="4043" priority="361" stopIfTrue="1" operator="lessThan">
      <formula>$H$18</formula>
    </cfRule>
  </conditionalFormatting>
  <conditionalFormatting sqref="I19">
    <cfRule type="cellIs" dxfId="4042" priority="362" stopIfTrue="1" operator="equal">
      <formula>$H$19</formula>
    </cfRule>
    <cfRule type="cellIs" dxfId="4041" priority="363" stopIfTrue="1" operator="lessThan">
      <formula>$H$19</formula>
    </cfRule>
  </conditionalFormatting>
  <conditionalFormatting sqref="I20">
    <cfRule type="cellIs" dxfId="4040" priority="364" stopIfTrue="1" operator="equal">
      <formula>$H$20</formula>
    </cfRule>
    <cfRule type="cellIs" dxfId="4039" priority="365" stopIfTrue="1" operator="lessThan">
      <formula>$H$20</formula>
    </cfRule>
  </conditionalFormatting>
  <conditionalFormatting sqref="I21">
    <cfRule type="cellIs" dxfId="4038" priority="366" stopIfTrue="1" operator="equal">
      <formula>$H$21</formula>
    </cfRule>
    <cfRule type="cellIs" dxfId="4037" priority="367" stopIfTrue="1" operator="lessThan">
      <formula>$H$21</formula>
    </cfRule>
  </conditionalFormatting>
  <conditionalFormatting sqref="I22">
    <cfRule type="cellIs" dxfId="4036" priority="368" stopIfTrue="1" operator="equal">
      <formula>$H$22</formula>
    </cfRule>
    <cfRule type="cellIs" dxfId="4035" priority="369" stopIfTrue="1" operator="lessThan">
      <formula>$H$22</formula>
    </cfRule>
  </conditionalFormatting>
  <conditionalFormatting sqref="I23">
    <cfRule type="cellIs" dxfId="4034" priority="370" stopIfTrue="1" operator="equal">
      <formula>$H$23</formula>
    </cfRule>
    <cfRule type="cellIs" dxfId="4033" priority="371" stopIfTrue="1" operator="lessThan">
      <formula>$H$23</formula>
    </cfRule>
  </conditionalFormatting>
  <conditionalFormatting sqref="I24">
    <cfRule type="cellIs" dxfId="4032" priority="388" stopIfTrue="1" operator="equal">
      <formula>$H$24</formula>
    </cfRule>
    <cfRule type="cellIs" dxfId="4031" priority="389" stopIfTrue="1" operator="lessThan">
      <formula>$H$24</formula>
    </cfRule>
  </conditionalFormatting>
  <conditionalFormatting sqref="I25">
    <cfRule type="cellIs" dxfId="4030" priority="372" stopIfTrue="1" operator="equal">
      <formula>$H$25</formula>
    </cfRule>
    <cfRule type="cellIs" dxfId="4029" priority="373" stopIfTrue="1" operator="lessThan">
      <formula>$H$25</formula>
    </cfRule>
  </conditionalFormatting>
  <conditionalFormatting sqref="I26">
    <cfRule type="cellIs" dxfId="4028" priority="374" stopIfTrue="1" operator="equal">
      <formula>$H$26</formula>
    </cfRule>
    <cfRule type="cellIs" dxfId="4027" priority="375" stopIfTrue="1" operator="lessThan">
      <formula>$H$26</formula>
    </cfRule>
  </conditionalFormatting>
  <conditionalFormatting sqref="I27">
    <cfRule type="cellIs" dxfId="4026" priority="376" stopIfTrue="1" operator="equal">
      <formula>$H$27</formula>
    </cfRule>
    <cfRule type="cellIs" dxfId="4025" priority="377" stopIfTrue="1" operator="lessThan">
      <formula>$H$27</formula>
    </cfRule>
  </conditionalFormatting>
  <conditionalFormatting sqref="I28">
    <cfRule type="cellIs" dxfId="4024" priority="378" stopIfTrue="1" operator="equal">
      <formula>$H$28</formula>
    </cfRule>
    <cfRule type="cellIs" dxfId="4023" priority="379" stopIfTrue="1" operator="lessThan">
      <formula>$H$28</formula>
    </cfRule>
  </conditionalFormatting>
  <conditionalFormatting sqref="J4">
    <cfRule type="cellIs" dxfId="4022" priority="131" stopIfTrue="1" operator="equal">
      <formula>$I$4</formula>
    </cfRule>
  </conditionalFormatting>
  <conditionalFormatting sqref="J5">
    <cfRule type="cellIs" dxfId="4021" priority="117" stopIfTrue="1" operator="equal">
      <formula>$I$5</formula>
    </cfRule>
    <cfRule type="cellIs" dxfId="4020" priority="118" stopIfTrue="1" operator="lessThan">
      <formula>$I$5</formula>
    </cfRule>
  </conditionalFormatting>
  <conditionalFormatting sqref="J6">
    <cfRule type="cellIs" dxfId="4019" priority="144" stopIfTrue="1" operator="equal">
      <formula>$I$6</formula>
    </cfRule>
    <cfRule type="cellIs" dxfId="4018" priority="145" stopIfTrue="1" operator="lessThan">
      <formula>$I$6</formula>
    </cfRule>
  </conditionalFormatting>
  <conditionalFormatting sqref="J7">
    <cfRule type="cellIs" dxfId="4017" priority="156" stopIfTrue="1" operator="equal">
      <formula>$I$7</formula>
    </cfRule>
    <cfRule type="cellIs" dxfId="4016" priority="157" stopIfTrue="1" operator="lessThan">
      <formula>$I$7</formula>
    </cfRule>
  </conditionalFormatting>
  <conditionalFormatting sqref="J8">
    <cfRule type="cellIs" dxfId="4015" priority="170" stopIfTrue="1" operator="equal">
      <formula>$I$8</formula>
    </cfRule>
    <cfRule type="cellIs" dxfId="4014" priority="171" stopIfTrue="1" operator="lessThan">
      <formula>$I$8</formula>
    </cfRule>
  </conditionalFormatting>
  <conditionalFormatting sqref="J9">
    <cfRule type="cellIs" dxfId="4013" priority="184" stopIfTrue="1" operator="equal">
      <formula>$I$9</formula>
    </cfRule>
    <cfRule type="cellIs" dxfId="4012" priority="185" stopIfTrue="1" operator="lessThan">
      <formula>$I$9</formula>
    </cfRule>
  </conditionalFormatting>
  <conditionalFormatting sqref="J10">
    <cfRule type="cellIs" dxfId="4011" priority="198" stopIfTrue="1" operator="equal">
      <formula>$I$10</formula>
    </cfRule>
    <cfRule type="cellIs" dxfId="4010" priority="199" stopIfTrue="1" operator="lessThan">
      <formula>$I$10</formula>
    </cfRule>
  </conditionalFormatting>
  <conditionalFormatting sqref="J11">
    <cfRule type="cellIs" dxfId="4009" priority="212" stopIfTrue="1" operator="equal">
      <formula>$I$11</formula>
    </cfRule>
    <cfRule type="cellIs" dxfId="4008" priority="213" stopIfTrue="1" operator="lessThan">
      <formula>$I$11</formula>
    </cfRule>
  </conditionalFormatting>
  <conditionalFormatting sqref="J12">
    <cfRule type="cellIs" dxfId="4007" priority="226" stopIfTrue="1" operator="equal">
      <formula>$I$12</formula>
    </cfRule>
    <cfRule type="cellIs" dxfId="4006" priority="227" stopIfTrue="1" operator="lessThan">
      <formula>$I$12</formula>
    </cfRule>
  </conditionalFormatting>
  <conditionalFormatting sqref="J13">
    <cfRule type="cellIs" dxfId="4005" priority="396" stopIfTrue="1" operator="equal">
      <formula>$I$13</formula>
    </cfRule>
    <cfRule type="cellIs" dxfId="4004" priority="397" stopIfTrue="1" operator="lessThan">
      <formula>$I$13</formula>
    </cfRule>
  </conditionalFormatting>
  <conditionalFormatting sqref="J14">
    <cfRule type="cellIs" dxfId="4003" priority="398" stopIfTrue="1" operator="equal">
      <formula>$I$14</formula>
    </cfRule>
    <cfRule type="cellIs" dxfId="4002" priority="399" stopIfTrue="1" operator="lessThan">
      <formula>$I$14</formula>
    </cfRule>
  </conditionalFormatting>
  <conditionalFormatting sqref="J15">
    <cfRule type="cellIs" dxfId="4001" priority="400" stopIfTrue="1" operator="equal">
      <formula>$I$15</formula>
    </cfRule>
    <cfRule type="cellIs" dxfId="4000" priority="401" stopIfTrue="1" operator="lessThan">
      <formula>$I$15</formula>
    </cfRule>
  </conditionalFormatting>
  <conditionalFormatting sqref="J16">
    <cfRule type="cellIs" dxfId="3999" priority="402" stopIfTrue="1" operator="equal">
      <formula>$I$16</formula>
    </cfRule>
    <cfRule type="cellIs" dxfId="3998" priority="403" stopIfTrue="1" operator="lessThan">
      <formula>$I$16</formula>
    </cfRule>
  </conditionalFormatting>
  <conditionalFormatting sqref="J17">
    <cfRule type="cellIs" dxfId="3997" priority="404" stopIfTrue="1" operator="equal">
      <formula>$I$17</formula>
    </cfRule>
    <cfRule type="cellIs" dxfId="3996" priority="405" stopIfTrue="1" operator="lessThan">
      <formula>$I$17</formula>
    </cfRule>
  </conditionalFormatting>
  <conditionalFormatting sqref="J18">
    <cfRule type="cellIs" dxfId="3995" priority="406" stopIfTrue="1" operator="equal">
      <formula>$I$18</formula>
    </cfRule>
    <cfRule type="cellIs" dxfId="3994" priority="407" stopIfTrue="1" operator="lessThan">
      <formula>$I$18</formula>
    </cfRule>
  </conditionalFormatting>
  <conditionalFormatting sqref="J19">
    <cfRule type="cellIs" dxfId="3993" priority="408" stopIfTrue="1" operator="equal">
      <formula>$I$19</formula>
    </cfRule>
    <cfRule type="cellIs" dxfId="3992" priority="409" stopIfTrue="1" operator="lessThan">
      <formula>$I$19</formula>
    </cfRule>
  </conditionalFormatting>
  <conditionalFormatting sqref="J20">
    <cfRule type="cellIs" dxfId="3991" priority="410" stopIfTrue="1" operator="equal">
      <formula>$I$20</formula>
    </cfRule>
    <cfRule type="cellIs" dxfId="3990" priority="411" stopIfTrue="1" operator="lessThan">
      <formula>$I$20</formula>
    </cfRule>
  </conditionalFormatting>
  <conditionalFormatting sqref="J21">
    <cfRule type="cellIs" dxfId="3989" priority="412" stopIfTrue="1" operator="equal">
      <formula>$I$21</formula>
    </cfRule>
    <cfRule type="cellIs" dxfId="3988" priority="413" stopIfTrue="1" operator="lessThan">
      <formula>$I$21</formula>
    </cfRule>
  </conditionalFormatting>
  <conditionalFormatting sqref="J22">
    <cfRule type="cellIs" dxfId="3987" priority="414" stopIfTrue="1" operator="equal">
      <formula>$I$22</formula>
    </cfRule>
    <cfRule type="cellIs" dxfId="3986" priority="415" stopIfTrue="1" operator="lessThan">
      <formula>$I$22</formula>
    </cfRule>
  </conditionalFormatting>
  <conditionalFormatting sqref="J23">
    <cfRule type="cellIs" dxfId="3985" priority="416" stopIfTrue="1" operator="equal">
      <formula>$I$23</formula>
    </cfRule>
    <cfRule type="cellIs" dxfId="3984" priority="417" stopIfTrue="1" operator="lessThan">
      <formula>$I$23</formula>
    </cfRule>
  </conditionalFormatting>
  <conditionalFormatting sqref="J24">
    <cfRule type="cellIs" dxfId="3983" priority="418" stopIfTrue="1" operator="equal">
      <formula>$I$24</formula>
    </cfRule>
    <cfRule type="cellIs" dxfId="3982" priority="419" stopIfTrue="1" operator="lessThan">
      <formula>$I$24</formula>
    </cfRule>
  </conditionalFormatting>
  <conditionalFormatting sqref="J25">
    <cfRule type="cellIs" dxfId="3981" priority="420" stopIfTrue="1" operator="equal">
      <formula>$I$25</formula>
    </cfRule>
    <cfRule type="cellIs" dxfId="3980" priority="421" stopIfTrue="1" operator="lessThan">
      <formula>$I$25</formula>
    </cfRule>
  </conditionalFormatting>
  <conditionalFormatting sqref="J26">
    <cfRule type="cellIs" dxfId="3979" priority="422" stopIfTrue="1" operator="equal">
      <formula>$I$26</formula>
    </cfRule>
    <cfRule type="cellIs" dxfId="3978" priority="423" stopIfTrue="1" operator="lessThan">
      <formula>$I$26</formula>
    </cfRule>
  </conditionalFormatting>
  <conditionalFormatting sqref="J27">
    <cfRule type="cellIs" dxfId="3977" priority="424" stopIfTrue="1" operator="equal">
      <formula>$I$27</formula>
    </cfRule>
    <cfRule type="cellIs" dxfId="3976" priority="425" stopIfTrue="1" operator="lessThan">
      <formula>$I$27</formula>
    </cfRule>
  </conditionalFormatting>
  <conditionalFormatting sqref="J28">
    <cfRule type="cellIs" dxfId="3975" priority="427" stopIfTrue="1" operator="equal">
      <formula>$I$28</formula>
    </cfRule>
    <cfRule type="cellIs" dxfId="3974" priority="428" stopIfTrue="1" operator="lessThan">
      <formula>$I$28</formula>
    </cfRule>
  </conditionalFormatting>
  <conditionalFormatting sqref="K4">
    <cfRule type="cellIs" dxfId="3973" priority="132" stopIfTrue="1" operator="lessThan">
      <formula>$J$4</formula>
    </cfRule>
    <cfRule type="cellIs" dxfId="3972" priority="133" stopIfTrue="1" operator="equal">
      <formula>$J$4</formula>
    </cfRule>
  </conditionalFormatting>
  <conditionalFormatting sqref="K5">
    <cfRule type="cellIs" dxfId="3971" priority="119" stopIfTrue="1" operator="equal">
      <formula>$J$5</formula>
    </cfRule>
    <cfRule type="cellIs" dxfId="3970" priority="120" stopIfTrue="1" operator="lessThan">
      <formula>$J$5</formula>
    </cfRule>
  </conditionalFormatting>
  <conditionalFormatting sqref="K6">
    <cfRule type="cellIs" dxfId="3969" priority="146" stopIfTrue="1" operator="equal">
      <formula>$J$6</formula>
    </cfRule>
    <cfRule type="cellIs" dxfId="3968" priority="147" stopIfTrue="1" operator="lessThan">
      <formula>$J$6</formula>
    </cfRule>
  </conditionalFormatting>
  <conditionalFormatting sqref="K7">
    <cfRule type="cellIs" dxfId="3967" priority="158" stopIfTrue="1" operator="equal">
      <formula>$J$7</formula>
    </cfRule>
    <cfRule type="cellIs" dxfId="3966" priority="159" stopIfTrue="1" operator="lessThan">
      <formula>$J$7</formula>
    </cfRule>
  </conditionalFormatting>
  <conditionalFormatting sqref="K8">
    <cfRule type="cellIs" dxfId="3965" priority="172" stopIfTrue="1" operator="equal">
      <formula>$J$8</formula>
    </cfRule>
    <cfRule type="cellIs" dxfId="3964" priority="173" stopIfTrue="1" operator="lessThan">
      <formula>$J$8</formula>
    </cfRule>
  </conditionalFormatting>
  <conditionalFormatting sqref="K9">
    <cfRule type="cellIs" dxfId="3963" priority="186" stopIfTrue="1" operator="equal">
      <formula>$J$9</formula>
    </cfRule>
    <cfRule type="cellIs" dxfId="3962" priority="187" stopIfTrue="1" operator="lessThan">
      <formula>$J$9</formula>
    </cfRule>
  </conditionalFormatting>
  <conditionalFormatting sqref="K10">
    <cfRule type="cellIs" dxfId="3961" priority="200" stopIfTrue="1" operator="equal">
      <formula>$J$10</formula>
    </cfRule>
    <cfRule type="cellIs" dxfId="3960" priority="201" stopIfTrue="1" operator="lessThan">
      <formula>$J$10</formula>
    </cfRule>
  </conditionalFormatting>
  <conditionalFormatting sqref="K11">
    <cfRule type="cellIs" dxfId="3959" priority="214" stopIfTrue="1" operator="equal">
      <formula>$J$11</formula>
    </cfRule>
    <cfRule type="cellIs" dxfId="3958" priority="215" stopIfTrue="1" operator="lessThan">
      <formula>$J$11</formula>
    </cfRule>
  </conditionalFormatting>
  <conditionalFormatting sqref="K12">
    <cfRule type="cellIs" dxfId="3957" priority="228" stopIfTrue="1" operator="equal">
      <formula>$J$12</formula>
    </cfRule>
    <cfRule type="cellIs" dxfId="3956" priority="229" stopIfTrue="1" operator="lessThan">
      <formula>$J$12</formula>
    </cfRule>
  </conditionalFormatting>
  <conditionalFormatting sqref="K13">
    <cfRule type="cellIs" dxfId="3955" priority="431" stopIfTrue="1" operator="equal">
      <formula>$J$13</formula>
    </cfRule>
    <cfRule type="cellIs" dxfId="3954" priority="432" stopIfTrue="1" operator="lessThan">
      <formula>$J$13</formula>
    </cfRule>
  </conditionalFormatting>
  <conditionalFormatting sqref="K14">
    <cfRule type="cellIs" dxfId="3953" priority="433" stopIfTrue="1" operator="equal">
      <formula>$J$14</formula>
    </cfRule>
    <cfRule type="cellIs" dxfId="3952" priority="434" stopIfTrue="1" operator="lessThan">
      <formula>$J$14</formula>
    </cfRule>
  </conditionalFormatting>
  <conditionalFormatting sqref="K15">
    <cfRule type="cellIs" dxfId="3951" priority="435" stopIfTrue="1" operator="equal">
      <formula>$J$15</formula>
    </cfRule>
    <cfRule type="cellIs" dxfId="3950" priority="436" stopIfTrue="1" operator="lessThan">
      <formula>$J$15</formula>
    </cfRule>
  </conditionalFormatting>
  <conditionalFormatting sqref="K16">
    <cfRule type="cellIs" dxfId="3949" priority="437" stopIfTrue="1" operator="equal">
      <formula>$J$16</formula>
    </cfRule>
    <cfRule type="cellIs" dxfId="3948" priority="438" stopIfTrue="1" operator="lessThan">
      <formula>$J$16</formula>
    </cfRule>
  </conditionalFormatting>
  <conditionalFormatting sqref="K17">
    <cfRule type="cellIs" dxfId="3947" priority="439" stopIfTrue="1" operator="equal">
      <formula>$J$17</formula>
    </cfRule>
    <cfRule type="cellIs" dxfId="3946" priority="440" stopIfTrue="1" operator="lessThan">
      <formula>$J$17</formula>
    </cfRule>
  </conditionalFormatting>
  <conditionalFormatting sqref="K18">
    <cfRule type="cellIs" dxfId="3945" priority="441" stopIfTrue="1" operator="equal">
      <formula>$J$18</formula>
    </cfRule>
    <cfRule type="cellIs" dxfId="3944" priority="442" stopIfTrue="1" operator="lessThan">
      <formula>$J$18</formula>
    </cfRule>
  </conditionalFormatting>
  <conditionalFormatting sqref="K19">
    <cfRule type="cellIs" dxfId="3943" priority="443" stopIfTrue="1" operator="equal">
      <formula>$J$19</formula>
    </cfRule>
    <cfRule type="cellIs" dxfId="3942" priority="444" stopIfTrue="1" operator="lessThan">
      <formula>$J$19</formula>
    </cfRule>
  </conditionalFormatting>
  <conditionalFormatting sqref="K20">
    <cfRule type="cellIs" dxfId="3941" priority="445" stopIfTrue="1" operator="equal">
      <formula>$J$20</formula>
    </cfRule>
    <cfRule type="cellIs" dxfId="3940" priority="446" stopIfTrue="1" operator="lessThan">
      <formula>$J$20</formula>
    </cfRule>
  </conditionalFormatting>
  <conditionalFormatting sqref="K21">
    <cfRule type="cellIs" dxfId="3939" priority="447" stopIfTrue="1" operator="equal">
      <formula>$J$21</formula>
    </cfRule>
    <cfRule type="cellIs" dxfId="3938" priority="448" stopIfTrue="1" operator="lessThan">
      <formula>$J$21</formula>
    </cfRule>
  </conditionalFormatting>
  <conditionalFormatting sqref="K22">
    <cfRule type="cellIs" dxfId="3937" priority="449" stopIfTrue="1" operator="equal">
      <formula>$J$22</formula>
    </cfRule>
    <cfRule type="cellIs" dxfId="3936" priority="450" stopIfTrue="1" operator="lessThan">
      <formula>$J$22</formula>
    </cfRule>
  </conditionalFormatting>
  <conditionalFormatting sqref="K23">
    <cfRule type="cellIs" dxfId="3935" priority="451" stopIfTrue="1" operator="equal">
      <formula>$J$23</formula>
    </cfRule>
    <cfRule type="cellIs" dxfId="3934" priority="452" stopIfTrue="1" operator="lessThan">
      <formula>$J$23</formula>
    </cfRule>
  </conditionalFormatting>
  <conditionalFormatting sqref="K24">
    <cfRule type="cellIs" dxfId="3933" priority="453" stopIfTrue="1" operator="equal">
      <formula>$J$24</formula>
    </cfRule>
    <cfRule type="cellIs" dxfId="3932" priority="454" stopIfTrue="1" operator="lessThan">
      <formula>$J$24</formula>
    </cfRule>
  </conditionalFormatting>
  <conditionalFormatting sqref="K25">
    <cfRule type="cellIs" dxfId="3931" priority="455" stopIfTrue="1" operator="equal">
      <formula>$J$25</formula>
    </cfRule>
    <cfRule type="cellIs" dxfId="3930" priority="456" stopIfTrue="1" operator="lessThan">
      <formula>$J$25</formula>
    </cfRule>
  </conditionalFormatting>
  <conditionalFormatting sqref="K26">
    <cfRule type="cellIs" dxfId="3929" priority="457" stopIfTrue="1" operator="equal">
      <formula>$J$26</formula>
    </cfRule>
    <cfRule type="cellIs" dxfId="3928" priority="458" stopIfTrue="1" operator="lessThan">
      <formula>$J$26</formula>
    </cfRule>
  </conditionalFormatting>
  <conditionalFormatting sqref="K27">
    <cfRule type="cellIs" dxfId="3927" priority="459" stopIfTrue="1" operator="equal">
      <formula>$J$27</formula>
    </cfRule>
    <cfRule type="cellIs" dxfId="3926" priority="460" stopIfTrue="1" operator="lessThan">
      <formula>$J$27</formula>
    </cfRule>
  </conditionalFormatting>
  <conditionalFormatting sqref="K28">
    <cfRule type="cellIs" dxfId="3925" priority="461" stopIfTrue="1" operator="equal">
      <formula>$J$28</formula>
    </cfRule>
    <cfRule type="cellIs" dxfId="3924" priority="462" stopIfTrue="1" operator="lessThan">
      <formula>$J$28</formula>
    </cfRule>
  </conditionalFormatting>
  <conditionalFormatting sqref="L4">
    <cfRule type="cellIs" dxfId="3923" priority="463" stopIfTrue="1" operator="equal">
      <formula>$K$4</formula>
    </cfRule>
    <cfRule type="cellIs" dxfId="3922" priority="464" stopIfTrue="1" operator="lessThan">
      <formula>$K$4</formula>
    </cfRule>
  </conditionalFormatting>
  <conditionalFormatting sqref="L5">
    <cfRule type="cellIs" dxfId="3921" priority="465" stopIfTrue="1" operator="equal">
      <formula>$K$5</formula>
    </cfRule>
    <cfRule type="cellIs" dxfId="3920" priority="466" stopIfTrue="1" operator="lessThan">
      <formula>$K$5</formula>
    </cfRule>
  </conditionalFormatting>
  <conditionalFormatting sqref="L6">
    <cfRule type="cellIs" dxfId="3919" priority="467" stopIfTrue="1" operator="equal">
      <formula>$K$6</formula>
    </cfRule>
    <cfRule type="cellIs" dxfId="3918" priority="468" stopIfTrue="1" operator="lessThan">
      <formula>$K$6</formula>
    </cfRule>
  </conditionalFormatting>
  <conditionalFormatting sqref="L7">
    <cfRule type="cellIs" dxfId="3917" priority="469" stopIfTrue="1" operator="equal">
      <formula>$K$7</formula>
    </cfRule>
    <cfRule type="cellIs" dxfId="3916" priority="470" stopIfTrue="1" operator="lessThan">
      <formula>$K$7</formula>
    </cfRule>
  </conditionalFormatting>
  <conditionalFormatting sqref="L8">
    <cfRule type="cellIs" dxfId="3915" priority="471" stopIfTrue="1" operator="equal">
      <formula>$K$8</formula>
    </cfRule>
    <cfRule type="cellIs" dxfId="3914" priority="472" stopIfTrue="1" operator="lessThan">
      <formula>$K$8</formula>
    </cfRule>
  </conditionalFormatting>
  <conditionalFormatting sqref="L9">
    <cfRule type="cellIs" dxfId="3913" priority="473" stopIfTrue="1" operator="equal">
      <formula>$K$9</formula>
    </cfRule>
    <cfRule type="cellIs" dxfId="3912" priority="474" stopIfTrue="1" operator="lessThan">
      <formula>$K$9</formula>
    </cfRule>
  </conditionalFormatting>
  <conditionalFormatting sqref="L10">
    <cfRule type="cellIs" dxfId="3911" priority="475" stopIfTrue="1" operator="equal">
      <formula>$K$10</formula>
    </cfRule>
    <cfRule type="cellIs" dxfId="3910" priority="476" stopIfTrue="1" operator="lessThan">
      <formula>$K$10</formula>
    </cfRule>
  </conditionalFormatting>
  <conditionalFormatting sqref="L11">
    <cfRule type="cellIs" dxfId="3909" priority="477" stopIfTrue="1" operator="equal">
      <formula>$K$11</formula>
    </cfRule>
    <cfRule type="cellIs" dxfId="3908" priority="478" stopIfTrue="1" operator="lessThan">
      <formula>$K$11</formula>
    </cfRule>
  </conditionalFormatting>
  <conditionalFormatting sqref="L12">
    <cfRule type="cellIs" dxfId="3907" priority="479" stopIfTrue="1" operator="equal">
      <formula>$K$12</formula>
    </cfRule>
    <cfRule type="cellIs" dxfId="3906" priority="480" stopIfTrue="1" operator="lessThan">
      <formula>$K$12</formula>
    </cfRule>
  </conditionalFormatting>
  <conditionalFormatting sqref="L13">
    <cfRule type="cellIs" dxfId="3905" priority="481" stopIfTrue="1" operator="equal">
      <formula>$K$13</formula>
    </cfRule>
    <cfRule type="cellIs" dxfId="3904" priority="482" stopIfTrue="1" operator="lessThan">
      <formula>$K$13</formula>
    </cfRule>
  </conditionalFormatting>
  <conditionalFormatting sqref="L14">
    <cfRule type="cellIs" dxfId="3903" priority="483" stopIfTrue="1" operator="equal">
      <formula>$K$14</formula>
    </cfRule>
    <cfRule type="cellIs" dxfId="3902" priority="484" stopIfTrue="1" operator="lessThan">
      <formula>$K$14</formula>
    </cfRule>
  </conditionalFormatting>
  <conditionalFormatting sqref="L15">
    <cfRule type="cellIs" dxfId="3901" priority="485" stopIfTrue="1" operator="equal">
      <formula>$K$15</formula>
    </cfRule>
    <cfRule type="cellIs" dxfId="3900" priority="486" stopIfTrue="1" operator="lessThan">
      <formula>$K$15</formula>
    </cfRule>
  </conditionalFormatting>
  <conditionalFormatting sqref="L16">
    <cfRule type="cellIs" dxfId="3899" priority="487" stopIfTrue="1" operator="equal">
      <formula>$K$16</formula>
    </cfRule>
    <cfRule type="cellIs" dxfId="3898" priority="488" stopIfTrue="1" operator="lessThan">
      <formula>$K$16</formula>
    </cfRule>
  </conditionalFormatting>
  <conditionalFormatting sqref="L17">
    <cfRule type="cellIs" dxfId="3897" priority="489" stopIfTrue="1" operator="equal">
      <formula>$K$17</formula>
    </cfRule>
    <cfRule type="cellIs" dxfId="3896" priority="490" stopIfTrue="1" operator="lessThan">
      <formula>$K$17</formula>
    </cfRule>
  </conditionalFormatting>
  <conditionalFormatting sqref="L18">
    <cfRule type="cellIs" dxfId="3895" priority="491" stopIfTrue="1" operator="equal">
      <formula>$K$18</formula>
    </cfRule>
    <cfRule type="cellIs" dxfId="3894" priority="492" stopIfTrue="1" operator="lessThan">
      <formula>$K$18</formula>
    </cfRule>
  </conditionalFormatting>
  <conditionalFormatting sqref="L19">
    <cfRule type="cellIs" dxfId="3893" priority="493" stopIfTrue="1" operator="equal">
      <formula>$K$19</formula>
    </cfRule>
    <cfRule type="cellIs" dxfId="3892" priority="494" stopIfTrue="1" operator="lessThan">
      <formula>$K$19</formula>
    </cfRule>
  </conditionalFormatting>
  <conditionalFormatting sqref="L20">
    <cfRule type="cellIs" dxfId="3891" priority="495" stopIfTrue="1" operator="equal">
      <formula>$K$20</formula>
    </cfRule>
    <cfRule type="cellIs" dxfId="3890" priority="496" stopIfTrue="1" operator="lessThan">
      <formula>$K$20</formula>
    </cfRule>
  </conditionalFormatting>
  <conditionalFormatting sqref="L21">
    <cfRule type="cellIs" dxfId="3889" priority="497" stopIfTrue="1" operator="equal">
      <formula>$K$21</formula>
    </cfRule>
    <cfRule type="cellIs" dxfId="3888" priority="498" stopIfTrue="1" operator="lessThan">
      <formula>$K$21</formula>
    </cfRule>
  </conditionalFormatting>
  <conditionalFormatting sqref="L22">
    <cfRule type="cellIs" dxfId="3887" priority="499" stopIfTrue="1" operator="equal">
      <formula>$K$22</formula>
    </cfRule>
    <cfRule type="cellIs" dxfId="3886" priority="500" stopIfTrue="1" operator="lessThan">
      <formula>$K$22</formula>
    </cfRule>
  </conditionalFormatting>
  <conditionalFormatting sqref="L23">
    <cfRule type="cellIs" dxfId="3885" priority="501" stopIfTrue="1" operator="equal">
      <formula>$K$23</formula>
    </cfRule>
    <cfRule type="cellIs" dxfId="3884" priority="502" stopIfTrue="1" operator="lessThan">
      <formula>$K$23</formula>
    </cfRule>
  </conditionalFormatting>
  <conditionalFormatting sqref="L24">
    <cfRule type="cellIs" dxfId="3883" priority="503" stopIfTrue="1" operator="equal">
      <formula>$K$24</formula>
    </cfRule>
    <cfRule type="cellIs" dxfId="3882" priority="504" stopIfTrue="1" operator="lessThan">
      <formula>$K$24</formula>
    </cfRule>
  </conditionalFormatting>
  <conditionalFormatting sqref="L25">
    <cfRule type="cellIs" dxfId="3881" priority="505" stopIfTrue="1" operator="equal">
      <formula>$K$25</formula>
    </cfRule>
    <cfRule type="cellIs" dxfId="3880" priority="506" stopIfTrue="1" operator="lessThan">
      <formula>$K$25</formula>
    </cfRule>
  </conditionalFormatting>
  <conditionalFormatting sqref="L26">
    <cfRule type="cellIs" dxfId="3879" priority="507" stopIfTrue="1" operator="equal">
      <formula>$K$26</formula>
    </cfRule>
    <cfRule type="cellIs" dxfId="3878" priority="508" stopIfTrue="1" operator="lessThan">
      <formula>$K$26</formula>
    </cfRule>
  </conditionalFormatting>
  <conditionalFormatting sqref="L27">
    <cfRule type="cellIs" dxfId="3877" priority="509" stopIfTrue="1" operator="equal">
      <formula>$K$27</formula>
    </cfRule>
    <cfRule type="cellIs" dxfId="3876" priority="510" stopIfTrue="1" operator="lessThan">
      <formula>$K$27</formula>
    </cfRule>
  </conditionalFormatting>
  <conditionalFormatting sqref="L28">
    <cfRule type="cellIs" dxfId="3875" priority="511" stopIfTrue="1" operator="lessThan">
      <formula>$K$28</formula>
    </cfRule>
    <cfRule type="cellIs" dxfId="3874" priority="512" stopIfTrue="1" operator="equal">
      <formula>$K$28</formula>
    </cfRule>
  </conditionalFormatting>
  <conditionalFormatting sqref="M4">
    <cfRule type="cellIs" dxfId="3873" priority="513" stopIfTrue="1" operator="equal">
      <formula>$L$4</formula>
    </cfRule>
    <cfRule type="cellIs" dxfId="3872" priority="514" stopIfTrue="1" operator="lessThan">
      <formula>$L$4</formula>
    </cfRule>
  </conditionalFormatting>
  <conditionalFormatting sqref="M5">
    <cfRule type="cellIs" dxfId="3871" priority="515" stopIfTrue="1" operator="equal">
      <formula>$L$5</formula>
    </cfRule>
    <cfRule type="cellIs" dxfId="3870" priority="516" stopIfTrue="1" operator="lessThan">
      <formula>$L$5</formula>
    </cfRule>
  </conditionalFormatting>
  <conditionalFormatting sqref="M6">
    <cfRule type="cellIs" dxfId="3869" priority="517" stopIfTrue="1" operator="equal">
      <formula>$L$6</formula>
    </cfRule>
    <cfRule type="cellIs" dxfId="3868" priority="518" stopIfTrue="1" operator="lessThan">
      <formula>$L$6</formula>
    </cfRule>
  </conditionalFormatting>
  <conditionalFormatting sqref="M7">
    <cfRule type="cellIs" dxfId="3867" priority="519" stopIfTrue="1" operator="equal">
      <formula>$L$7</formula>
    </cfRule>
    <cfRule type="cellIs" dxfId="3866" priority="520" stopIfTrue="1" operator="lessThan">
      <formula>$L$7</formula>
    </cfRule>
  </conditionalFormatting>
  <conditionalFormatting sqref="M8">
    <cfRule type="cellIs" dxfId="3865" priority="521" stopIfTrue="1" operator="equal">
      <formula>$L$8</formula>
    </cfRule>
    <cfRule type="cellIs" dxfId="3864" priority="522" stopIfTrue="1" operator="lessThan">
      <formula>$L$8</formula>
    </cfRule>
  </conditionalFormatting>
  <conditionalFormatting sqref="M9">
    <cfRule type="cellIs" dxfId="3863" priority="523" stopIfTrue="1" operator="equal">
      <formula>$L$9</formula>
    </cfRule>
    <cfRule type="cellIs" dxfId="3862" priority="524" stopIfTrue="1" operator="lessThan">
      <formula>$L$9</formula>
    </cfRule>
  </conditionalFormatting>
  <conditionalFormatting sqref="M10">
    <cfRule type="cellIs" dxfId="3861" priority="525" stopIfTrue="1" operator="equal">
      <formula>$L$10</formula>
    </cfRule>
    <cfRule type="cellIs" dxfId="3860" priority="526" stopIfTrue="1" operator="lessThan">
      <formula>$L$10</formula>
    </cfRule>
  </conditionalFormatting>
  <conditionalFormatting sqref="M11">
    <cfRule type="cellIs" dxfId="3859" priority="547" stopIfTrue="1" operator="equal">
      <formula>$L$11</formula>
    </cfRule>
    <cfRule type="cellIs" dxfId="3858" priority="548" stopIfTrue="1" operator="lessThan">
      <formula>$L$11</formula>
    </cfRule>
  </conditionalFormatting>
  <conditionalFormatting sqref="M12">
    <cfRule type="cellIs" dxfId="3857" priority="527" stopIfTrue="1" operator="equal">
      <formula>$L$12</formula>
    </cfRule>
    <cfRule type="cellIs" dxfId="3856" priority="528" stopIfTrue="1" operator="lessThan">
      <formula>$L$12</formula>
    </cfRule>
  </conditionalFormatting>
  <conditionalFormatting sqref="M13">
    <cfRule type="cellIs" dxfId="3855" priority="529" stopIfTrue="1" operator="equal">
      <formula>$L$13</formula>
    </cfRule>
    <cfRule type="cellIs" dxfId="3854" priority="530" stopIfTrue="1" operator="lessThan">
      <formula>$L$13</formula>
    </cfRule>
  </conditionalFormatting>
  <conditionalFormatting sqref="M14">
    <cfRule type="cellIs" dxfId="3853" priority="531" stopIfTrue="1" operator="equal">
      <formula>$L$14</formula>
    </cfRule>
    <cfRule type="cellIs" dxfId="3852" priority="532" stopIfTrue="1" operator="lessThan">
      <formula>$L$14</formula>
    </cfRule>
  </conditionalFormatting>
  <conditionalFormatting sqref="M15">
    <cfRule type="cellIs" dxfId="3851" priority="533" stopIfTrue="1" operator="equal">
      <formula>$L$15</formula>
    </cfRule>
    <cfRule type="cellIs" dxfId="3850" priority="534" stopIfTrue="1" operator="lessThan">
      <formula>$L$15</formula>
    </cfRule>
  </conditionalFormatting>
  <conditionalFormatting sqref="M16">
    <cfRule type="cellIs" dxfId="3849" priority="535" stopIfTrue="1" operator="equal">
      <formula>$L$16</formula>
    </cfRule>
    <cfRule type="cellIs" dxfId="3848" priority="536" stopIfTrue="1" operator="lessThan">
      <formula>$L$16</formula>
    </cfRule>
  </conditionalFormatting>
  <conditionalFormatting sqref="M17">
    <cfRule type="cellIs" dxfId="3847" priority="537" stopIfTrue="1" operator="equal">
      <formula>$L$17</formula>
    </cfRule>
    <cfRule type="cellIs" dxfId="3846" priority="538" stopIfTrue="1" operator="lessThan">
      <formula>$L$17</formula>
    </cfRule>
  </conditionalFormatting>
  <conditionalFormatting sqref="M18">
    <cfRule type="cellIs" dxfId="3845" priority="539" stopIfTrue="1" operator="equal">
      <formula>$L$18</formula>
    </cfRule>
    <cfRule type="cellIs" dxfId="3844" priority="540" stopIfTrue="1" operator="lessThan">
      <formula>$L$18</formula>
    </cfRule>
  </conditionalFormatting>
  <conditionalFormatting sqref="M19">
    <cfRule type="cellIs" dxfId="3843" priority="541" stopIfTrue="1" operator="equal">
      <formula>$L$19</formula>
    </cfRule>
    <cfRule type="cellIs" dxfId="3842" priority="542" stopIfTrue="1" operator="lessThan">
      <formula>$L$19</formula>
    </cfRule>
  </conditionalFormatting>
  <conditionalFormatting sqref="M20">
    <cfRule type="cellIs" dxfId="3841" priority="543" stopIfTrue="1" operator="equal">
      <formula>$L$20</formula>
    </cfRule>
    <cfRule type="cellIs" dxfId="3840" priority="544" stopIfTrue="1" operator="lessThan">
      <formula>$L$20</formula>
    </cfRule>
  </conditionalFormatting>
  <conditionalFormatting sqref="M21">
    <cfRule type="cellIs" dxfId="3839" priority="545" stopIfTrue="1" operator="equal">
      <formula>$L$21</formula>
    </cfRule>
    <cfRule type="cellIs" dxfId="3838" priority="546" stopIfTrue="1" operator="lessThan">
      <formula>$L$21</formula>
    </cfRule>
  </conditionalFormatting>
  <conditionalFormatting sqref="M22">
    <cfRule type="cellIs" dxfId="3837" priority="549" stopIfTrue="1" operator="equal">
      <formula>$L$22</formula>
    </cfRule>
    <cfRule type="cellIs" dxfId="3836" priority="550" stopIfTrue="1" operator="lessThan">
      <formula>$L$22</formula>
    </cfRule>
  </conditionalFormatting>
  <conditionalFormatting sqref="M23">
    <cfRule type="cellIs" dxfId="3835" priority="551" stopIfTrue="1" operator="equal">
      <formula>$L$23</formula>
    </cfRule>
    <cfRule type="cellIs" dxfId="3834" priority="552" stopIfTrue="1" operator="lessThan">
      <formula>$L$23</formula>
    </cfRule>
  </conditionalFormatting>
  <conditionalFormatting sqref="M24">
    <cfRule type="cellIs" dxfId="3833" priority="553" stopIfTrue="1" operator="equal">
      <formula>$L$24</formula>
    </cfRule>
    <cfRule type="cellIs" dxfId="3832" priority="554" stopIfTrue="1" operator="lessThan">
      <formula>$L$24</formula>
    </cfRule>
  </conditionalFormatting>
  <conditionalFormatting sqref="M25">
    <cfRule type="cellIs" dxfId="3831" priority="555" stopIfTrue="1" operator="equal">
      <formula>$L$25</formula>
    </cfRule>
    <cfRule type="cellIs" dxfId="3830" priority="556" stopIfTrue="1" operator="lessThan">
      <formula>$L$25</formula>
    </cfRule>
  </conditionalFormatting>
  <conditionalFormatting sqref="M26">
    <cfRule type="cellIs" dxfId="3829" priority="557" stopIfTrue="1" operator="equal">
      <formula>$L$26</formula>
    </cfRule>
    <cfRule type="cellIs" dxfId="3828" priority="558" stopIfTrue="1" operator="lessThan">
      <formula>$L$26</formula>
    </cfRule>
  </conditionalFormatting>
  <conditionalFormatting sqref="M27">
    <cfRule type="cellIs" dxfId="3827" priority="559" stopIfTrue="1" operator="equal">
      <formula>$L$27</formula>
    </cfRule>
    <cfRule type="cellIs" dxfId="3826" priority="560" stopIfTrue="1" operator="lessThan">
      <formula>$L$27</formula>
    </cfRule>
  </conditionalFormatting>
  <conditionalFormatting sqref="M28">
    <cfRule type="cellIs" dxfId="3825" priority="561" stopIfTrue="1" operator="equal">
      <formula>$L$28</formula>
    </cfRule>
    <cfRule type="cellIs" dxfId="3824" priority="562" stopIfTrue="1" operator="lessThan">
      <formula>$L$28</formula>
    </cfRule>
  </conditionalFormatting>
  <conditionalFormatting sqref="N4">
    <cfRule type="cellIs" dxfId="3823" priority="563" stopIfTrue="1" operator="lessThan">
      <formula>$M$4</formula>
    </cfRule>
    <cfRule type="cellIs" dxfId="3822" priority="564" stopIfTrue="1" operator="equal">
      <formula>$M$4</formula>
    </cfRule>
  </conditionalFormatting>
  <conditionalFormatting sqref="N5">
    <cfRule type="cellIs" dxfId="3821" priority="565" stopIfTrue="1" operator="equal">
      <formula>$M$5</formula>
    </cfRule>
    <cfRule type="cellIs" dxfId="3820" priority="566" stopIfTrue="1" operator="lessThan">
      <formula>$M$5</formula>
    </cfRule>
  </conditionalFormatting>
  <conditionalFormatting sqref="N6">
    <cfRule type="cellIs" dxfId="3819" priority="567" stopIfTrue="1" operator="equal">
      <formula>$M$6</formula>
    </cfRule>
    <cfRule type="cellIs" dxfId="3818" priority="568" stopIfTrue="1" operator="lessThan">
      <formula>$M$6</formula>
    </cfRule>
  </conditionalFormatting>
  <conditionalFormatting sqref="N7">
    <cfRule type="cellIs" dxfId="3817" priority="569" stopIfTrue="1" operator="equal">
      <formula>$M$7</formula>
    </cfRule>
    <cfRule type="cellIs" dxfId="3816" priority="570" stopIfTrue="1" operator="lessThan">
      <formula>$M$7</formula>
    </cfRule>
  </conditionalFormatting>
  <conditionalFormatting sqref="N8">
    <cfRule type="cellIs" dxfId="3815" priority="571" stopIfTrue="1" operator="equal">
      <formula>$M$8</formula>
    </cfRule>
    <cfRule type="cellIs" dxfId="3814" priority="572" stopIfTrue="1" operator="lessThan">
      <formula>$M$8</formula>
    </cfRule>
  </conditionalFormatting>
  <conditionalFormatting sqref="N9">
    <cfRule type="cellIs" dxfId="3813" priority="573" stopIfTrue="1" operator="equal">
      <formula>$M$9</formula>
    </cfRule>
    <cfRule type="cellIs" dxfId="3812" priority="574" stopIfTrue="1" operator="lessThan">
      <formula>$M$9</formula>
    </cfRule>
  </conditionalFormatting>
  <conditionalFormatting sqref="N10">
    <cfRule type="cellIs" dxfId="3811" priority="575" stopIfTrue="1" operator="equal">
      <formula>$M$10</formula>
    </cfRule>
    <cfRule type="cellIs" dxfId="3810" priority="576" stopIfTrue="1" operator="lessThan">
      <formula>$M$10</formula>
    </cfRule>
  </conditionalFormatting>
  <conditionalFormatting sqref="N11">
    <cfRule type="cellIs" dxfId="3809" priority="577" stopIfTrue="1" operator="equal">
      <formula>$M$11</formula>
    </cfRule>
    <cfRule type="cellIs" dxfId="3808" priority="578" stopIfTrue="1" operator="lessThan">
      <formula>$M$11</formula>
    </cfRule>
  </conditionalFormatting>
  <conditionalFormatting sqref="N12">
    <cfRule type="cellIs" dxfId="3807" priority="579" stopIfTrue="1" operator="equal">
      <formula>$M$12</formula>
    </cfRule>
    <cfRule type="cellIs" dxfId="3806" priority="580" stopIfTrue="1" operator="lessThan">
      <formula>$M$12</formula>
    </cfRule>
  </conditionalFormatting>
  <conditionalFormatting sqref="N13">
    <cfRule type="cellIs" dxfId="3805" priority="581" stopIfTrue="1" operator="equal">
      <formula>$M$13</formula>
    </cfRule>
    <cfRule type="cellIs" dxfId="3804" priority="582" stopIfTrue="1" operator="lessThan">
      <formula>$M$13</formula>
    </cfRule>
  </conditionalFormatting>
  <conditionalFormatting sqref="N14">
    <cfRule type="cellIs" dxfId="3803" priority="583" stopIfTrue="1" operator="equal">
      <formula>$M$14</formula>
    </cfRule>
    <cfRule type="cellIs" dxfId="3802" priority="584" stopIfTrue="1" operator="lessThan">
      <formula>$M$14</formula>
    </cfRule>
  </conditionalFormatting>
  <conditionalFormatting sqref="N15">
    <cfRule type="cellIs" dxfId="3801" priority="585" stopIfTrue="1" operator="equal">
      <formula>$M$15</formula>
    </cfRule>
    <cfRule type="cellIs" dxfId="3800" priority="586" stopIfTrue="1" operator="lessThan">
      <formula>$M$15</formula>
    </cfRule>
  </conditionalFormatting>
  <conditionalFormatting sqref="N16">
    <cfRule type="cellIs" dxfId="3799" priority="587" stopIfTrue="1" operator="equal">
      <formula>$M$16</formula>
    </cfRule>
    <cfRule type="cellIs" dxfId="3798" priority="588" stopIfTrue="1" operator="lessThan">
      <formula>$M$16</formula>
    </cfRule>
  </conditionalFormatting>
  <conditionalFormatting sqref="N17">
    <cfRule type="cellIs" dxfId="3797" priority="589" stopIfTrue="1" operator="equal">
      <formula>$M$17</formula>
    </cfRule>
    <cfRule type="cellIs" dxfId="3796" priority="590" stopIfTrue="1" operator="lessThan">
      <formula>$M$17</formula>
    </cfRule>
  </conditionalFormatting>
  <conditionalFormatting sqref="N18">
    <cfRule type="cellIs" dxfId="3795" priority="591" stopIfTrue="1" operator="equal">
      <formula>$M$18</formula>
    </cfRule>
    <cfRule type="cellIs" dxfId="3794" priority="592" stopIfTrue="1" operator="lessThan">
      <formula>$M$18</formula>
    </cfRule>
  </conditionalFormatting>
  <conditionalFormatting sqref="N19">
    <cfRule type="cellIs" dxfId="3793" priority="593" stopIfTrue="1" operator="equal">
      <formula>$M$19</formula>
    </cfRule>
    <cfRule type="cellIs" dxfId="3792" priority="594" stopIfTrue="1" operator="lessThan">
      <formula>$M$19</formula>
    </cfRule>
  </conditionalFormatting>
  <conditionalFormatting sqref="N20">
    <cfRule type="cellIs" dxfId="3791" priority="595" stopIfTrue="1" operator="equal">
      <formula>$M$20</formula>
    </cfRule>
    <cfRule type="cellIs" dxfId="3790" priority="596" stopIfTrue="1" operator="lessThan">
      <formula>$M$20</formula>
    </cfRule>
  </conditionalFormatting>
  <conditionalFormatting sqref="N21">
    <cfRule type="cellIs" dxfId="3789" priority="597" stopIfTrue="1" operator="equal">
      <formula>$M$21</formula>
    </cfRule>
    <cfRule type="cellIs" dxfId="3788" priority="598" stopIfTrue="1" operator="lessThan">
      <formula>$M$21</formula>
    </cfRule>
  </conditionalFormatting>
  <conditionalFormatting sqref="N22">
    <cfRule type="cellIs" dxfId="3787" priority="599" stopIfTrue="1" operator="equal">
      <formula>$M$22</formula>
    </cfRule>
    <cfRule type="cellIs" dxfId="3786" priority="600" stopIfTrue="1" operator="lessThan">
      <formula>$M$22</formula>
    </cfRule>
  </conditionalFormatting>
  <conditionalFormatting sqref="N23">
    <cfRule type="cellIs" dxfId="3785" priority="601" stopIfTrue="1" operator="equal">
      <formula>$M$23</formula>
    </cfRule>
    <cfRule type="cellIs" dxfId="3784" priority="602" stopIfTrue="1" operator="lessThan">
      <formula>$M$23</formula>
    </cfRule>
  </conditionalFormatting>
  <conditionalFormatting sqref="N24">
    <cfRule type="cellIs" dxfId="3783" priority="603" stopIfTrue="1" operator="equal">
      <formula>$M$24</formula>
    </cfRule>
    <cfRule type="cellIs" dxfId="3782" priority="604" stopIfTrue="1" operator="lessThan">
      <formula>$M$24</formula>
    </cfRule>
  </conditionalFormatting>
  <conditionalFormatting sqref="N25">
    <cfRule type="cellIs" dxfId="3781" priority="605" stopIfTrue="1" operator="equal">
      <formula>$M$25</formula>
    </cfRule>
    <cfRule type="cellIs" dxfId="3780" priority="606" stopIfTrue="1" operator="lessThan">
      <formula>$M$25</formula>
    </cfRule>
  </conditionalFormatting>
  <conditionalFormatting sqref="N26">
    <cfRule type="cellIs" dxfId="3779" priority="607" stopIfTrue="1" operator="equal">
      <formula>$M$26</formula>
    </cfRule>
    <cfRule type="cellIs" dxfId="3778" priority="608" stopIfTrue="1" operator="lessThan">
      <formula>$M$26</formula>
    </cfRule>
  </conditionalFormatting>
  <conditionalFormatting sqref="N27">
    <cfRule type="cellIs" dxfId="3777" priority="609" stopIfTrue="1" operator="equal">
      <formula>$M$27</formula>
    </cfRule>
    <cfRule type="cellIs" dxfId="3776" priority="610" stopIfTrue="1" operator="lessThan">
      <formula>$M$27</formula>
    </cfRule>
  </conditionalFormatting>
  <conditionalFormatting sqref="N28">
    <cfRule type="cellIs" dxfId="3775" priority="611" stopIfTrue="1" operator="equal">
      <formula>$M$28</formula>
    </cfRule>
    <cfRule type="cellIs" dxfId="3774" priority="612" stopIfTrue="1" operator="lessThan">
      <formula>$M$28</formula>
    </cfRule>
  </conditionalFormatting>
  <conditionalFormatting sqref="O4">
    <cfRule type="cellIs" dxfId="3773" priority="613" stopIfTrue="1" operator="equal">
      <formula>$N$4</formula>
    </cfRule>
    <cfRule type="cellIs" dxfId="3772" priority="614" stopIfTrue="1" operator="lessThan">
      <formula>$N$4</formula>
    </cfRule>
  </conditionalFormatting>
  <conditionalFormatting sqref="O5">
    <cfRule type="cellIs" dxfId="3771" priority="615" stopIfTrue="1" operator="equal">
      <formula>$N$5</formula>
    </cfRule>
    <cfRule type="cellIs" dxfId="3770" priority="616" stopIfTrue="1" operator="lessThan">
      <formula>$N$5</formula>
    </cfRule>
  </conditionalFormatting>
  <conditionalFormatting sqref="O6">
    <cfRule type="cellIs" dxfId="3769" priority="617" stopIfTrue="1" operator="equal">
      <formula>$N$6</formula>
    </cfRule>
    <cfRule type="cellIs" dxfId="3768" priority="618" stopIfTrue="1" operator="lessThan">
      <formula>$N$6</formula>
    </cfRule>
  </conditionalFormatting>
  <conditionalFormatting sqref="O7">
    <cfRule type="cellIs" dxfId="3767" priority="619" stopIfTrue="1" operator="equal">
      <formula>$N$7</formula>
    </cfRule>
    <cfRule type="cellIs" dxfId="3766" priority="620" stopIfTrue="1" operator="lessThan">
      <formula>$N$7</formula>
    </cfRule>
  </conditionalFormatting>
  <conditionalFormatting sqref="O8">
    <cfRule type="cellIs" dxfId="3765" priority="621" stopIfTrue="1" operator="equal">
      <formula>$N$8</formula>
    </cfRule>
    <cfRule type="cellIs" dxfId="3764" priority="622" stopIfTrue="1" operator="lessThan">
      <formula>$N$8</formula>
    </cfRule>
  </conditionalFormatting>
  <conditionalFormatting sqref="O9">
    <cfRule type="cellIs" dxfId="3763" priority="623" stopIfTrue="1" operator="equal">
      <formula>$N$9</formula>
    </cfRule>
    <cfRule type="cellIs" dxfId="3762" priority="624" stopIfTrue="1" operator="lessThan">
      <formula>$N$9</formula>
    </cfRule>
  </conditionalFormatting>
  <conditionalFormatting sqref="O10">
    <cfRule type="cellIs" dxfId="3761" priority="625" stopIfTrue="1" operator="equal">
      <formula>$N$10</formula>
    </cfRule>
    <cfRule type="cellIs" dxfId="3760" priority="626" stopIfTrue="1" operator="lessThan">
      <formula>$N$10</formula>
    </cfRule>
  </conditionalFormatting>
  <conditionalFormatting sqref="O11">
    <cfRule type="cellIs" dxfId="3759" priority="627" stopIfTrue="1" operator="equal">
      <formula>$N$11</formula>
    </cfRule>
    <cfRule type="cellIs" dxfId="3758" priority="628" stopIfTrue="1" operator="lessThan">
      <formula>$N$11</formula>
    </cfRule>
  </conditionalFormatting>
  <conditionalFormatting sqref="O12">
    <cfRule type="cellIs" dxfId="3757" priority="629" stopIfTrue="1" operator="equal">
      <formula>$N$12</formula>
    </cfRule>
    <cfRule type="cellIs" dxfId="3756" priority="630" stopIfTrue="1" operator="lessThan">
      <formula>$N$12</formula>
    </cfRule>
  </conditionalFormatting>
  <conditionalFormatting sqref="O13">
    <cfRule type="cellIs" dxfId="3755" priority="631" stopIfTrue="1" operator="equal">
      <formula>$N$13</formula>
    </cfRule>
    <cfRule type="cellIs" dxfId="3754" priority="632" stopIfTrue="1" operator="lessThan">
      <formula>$N$13</formula>
    </cfRule>
  </conditionalFormatting>
  <conditionalFormatting sqref="O14">
    <cfRule type="cellIs" dxfId="3753" priority="633" stopIfTrue="1" operator="equal">
      <formula>$N$14</formula>
    </cfRule>
    <cfRule type="cellIs" dxfId="3752" priority="634" stopIfTrue="1" operator="lessThan">
      <formula>$N$14</formula>
    </cfRule>
  </conditionalFormatting>
  <conditionalFormatting sqref="O15">
    <cfRule type="cellIs" dxfId="3751" priority="635" stopIfTrue="1" operator="equal">
      <formula>$N$15</formula>
    </cfRule>
    <cfRule type="cellIs" dxfId="3750" priority="636" stopIfTrue="1" operator="lessThan">
      <formula>$N$15</formula>
    </cfRule>
  </conditionalFormatting>
  <conditionalFormatting sqref="O16">
    <cfRule type="cellIs" dxfId="3749" priority="637" stopIfTrue="1" operator="equal">
      <formula>$N$16</formula>
    </cfRule>
    <cfRule type="cellIs" dxfId="3748" priority="638" stopIfTrue="1" operator="lessThan">
      <formula>$N$16</formula>
    </cfRule>
  </conditionalFormatting>
  <conditionalFormatting sqref="O17">
    <cfRule type="cellIs" dxfId="3747" priority="639" stopIfTrue="1" operator="equal">
      <formula>$N$17</formula>
    </cfRule>
    <cfRule type="cellIs" dxfId="3746" priority="640" stopIfTrue="1" operator="lessThan">
      <formula>$N$17</formula>
    </cfRule>
  </conditionalFormatting>
  <conditionalFormatting sqref="O18">
    <cfRule type="cellIs" dxfId="3745" priority="641" stopIfTrue="1" operator="equal">
      <formula>$N$18</formula>
    </cfRule>
    <cfRule type="cellIs" dxfId="3744" priority="642" stopIfTrue="1" operator="lessThan">
      <formula>$N$18</formula>
    </cfRule>
  </conditionalFormatting>
  <conditionalFormatting sqref="O19">
    <cfRule type="cellIs" dxfId="3743" priority="643" stopIfTrue="1" operator="equal">
      <formula>$N$19</formula>
    </cfRule>
    <cfRule type="cellIs" dxfId="3742" priority="644" stopIfTrue="1" operator="lessThan">
      <formula>$N$19</formula>
    </cfRule>
  </conditionalFormatting>
  <conditionalFormatting sqref="O20">
    <cfRule type="cellIs" dxfId="3741" priority="645" stopIfTrue="1" operator="equal">
      <formula>$N$20</formula>
    </cfRule>
    <cfRule type="cellIs" dxfId="3740" priority="646" stopIfTrue="1" operator="lessThan">
      <formula>$N$20</formula>
    </cfRule>
  </conditionalFormatting>
  <conditionalFormatting sqref="O21">
    <cfRule type="cellIs" dxfId="3739" priority="647" stopIfTrue="1" operator="equal">
      <formula>$N$21</formula>
    </cfRule>
    <cfRule type="cellIs" dxfId="3738" priority="648" stopIfTrue="1" operator="lessThan">
      <formula>$N$21</formula>
    </cfRule>
  </conditionalFormatting>
  <conditionalFormatting sqref="O22">
    <cfRule type="cellIs" dxfId="3737" priority="649" stopIfTrue="1" operator="equal">
      <formula>$N$22</formula>
    </cfRule>
    <cfRule type="cellIs" dxfId="3736" priority="650" stopIfTrue="1" operator="lessThan">
      <formula>$N$22</formula>
    </cfRule>
  </conditionalFormatting>
  <conditionalFormatting sqref="O23">
    <cfRule type="cellIs" dxfId="3735" priority="651" stopIfTrue="1" operator="equal">
      <formula>$N$23</formula>
    </cfRule>
    <cfRule type="cellIs" dxfId="3734" priority="652" stopIfTrue="1" operator="lessThan">
      <formula>$N$23</formula>
    </cfRule>
  </conditionalFormatting>
  <conditionalFormatting sqref="O24">
    <cfRule type="cellIs" dxfId="3733" priority="653" stopIfTrue="1" operator="equal">
      <formula>$N$24</formula>
    </cfRule>
    <cfRule type="cellIs" dxfId="3732" priority="654" stopIfTrue="1" operator="lessThan">
      <formula>$N$24</formula>
    </cfRule>
  </conditionalFormatting>
  <conditionalFormatting sqref="O25">
    <cfRule type="cellIs" dxfId="3731" priority="655" stopIfTrue="1" operator="equal">
      <formula>$N$25</formula>
    </cfRule>
    <cfRule type="cellIs" dxfId="3730" priority="656" stopIfTrue="1" operator="lessThan">
      <formula>$N$25</formula>
    </cfRule>
  </conditionalFormatting>
  <conditionalFormatting sqref="O26">
    <cfRule type="cellIs" dxfId="3729" priority="657" stopIfTrue="1" operator="equal">
      <formula>$N$26</formula>
    </cfRule>
    <cfRule type="cellIs" dxfId="3728" priority="658" stopIfTrue="1" operator="lessThan">
      <formula>$N$26</formula>
    </cfRule>
  </conditionalFormatting>
  <conditionalFormatting sqref="O27">
    <cfRule type="cellIs" dxfId="3727" priority="659" stopIfTrue="1" operator="equal">
      <formula>$N$27</formula>
    </cfRule>
    <cfRule type="cellIs" dxfId="3726" priority="660" stopIfTrue="1" operator="lessThan">
      <formula>$N$27</formula>
    </cfRule>
  </conditionalFormatting>
  <conditionalFormatting sqref="O28">
    <cfRule type="cellIs" dxfId="3725" priority="661" stopIfTrue="1" operator="equal">
      <formula>$N$28</formula>
    </cfRule>
    <cfRule type="cellIs" dxfId="3724" priority="662" stopIfTrue="1" operator="lessThan">
      <formula>$N$28</formula>
    </cfRule>
  </conditionalFormatting>
  <conditionalFormatting sqref="P4">
    <cfRule type="cellIs" dxfId="3723" priority="663" stopIfTrue="1" operator="equal">
      <formula>$O$4</formula>
    </cfRule>
    <cfRule type="cellIs" dxfId="3722" priority="664" stopIfTrue="1" operator="lessThan">
      <formula>$O$4</formula>
    </cfRule>
  </conditionalFormatting>
  <conditionalFormatting sqref="P5">
    <cfRule type="cellIs" dxfId="3721" priority="665" stopIfTrue="1" operator="equal">
      <formula>$O$5</formula>
    </cfRule>
    <cfRule type="cellIs" dxfId="3720" priority="666" stopIfTrue="1" operator="lessThan">
      <formula>$O$5</formula>
    </cfRule>
  </conditionalFormatting>
  <conditionalFormatting sqref="P6">
    <cfRule type="cellIs" dxfId="3719" priority="667" stopIfTrue="1" operator="equal">
      <formula>$O$6</formula>
    </cfRule>
    <cfRule type="cellIs" dxfId="3718" priority="668" stopIfTrue="1" operator="lessThan">
      <formula>$O$6</formula>
    </cfRule>
  </conditionalFormatting>
  <conditionalFormatting sqref="P7">
    <cfRule type="cellIs" dxfId="3717" priority="669" stopIfTrue="1" operator="equal">
      <formula>$O$7</formula>
    </cfRule>
    <cfRule type="cellIs" dxfId="3716" priority="670" stopIfTrue="1" operator="lessThan">
      <formula>$O$7</formula>
    </cfRule>
  </conditionalFormatting>
  <conditionalFormatting sqref="P8">
    <cfRule type="cellIs" dxfId="3715" priority="671" stopIfTrue="1" operator="equal">
      <formula>$O$8</formula>
    </cfRule>
    <cfRule type="cellIs" dxfId="3714" priority="672" stopIfTrue="1" operator="lessThan">
      <formula>$O$8</formula>
    </cfRule>
  </conditionalFormatting>
  <conditionalFormatting sqref="P9">
    <cfRule type="cellIs" dxfId="3713" priority="673" stopIfTrue="1" operator="equal">
      <formula>$O$9</formula>
    </cfRule>
    <cfRule type="cellIs" dxfId="3712" priority="674" stopIfTrue="1" operator="lessThan">
      <formula>$O$9</formula>
    </cfRule>
  </conditionalFormatting>
  <conditionalFormatting sqref="P10">
    <cfRule type="cellIs" dxfId="3711" priority="675" stopIfTrue="1" operator="equal">
      <formula>$O$10</formula>
    </cfRule>
    <cfRule type="cellIs" dxfId="3710" priority="676" stopIfTrue="1" operator="lessThan">
      <formula>$O$10</formula>
    </cfRule>
  </conditionalFormatting>
  <conditionalFormatting sqref="P11">
    <cfRule type="cellIs" dxfId="3709" priority="677" stopIfTrue="1" operator="equal">
      <formula>$O$11</formula>
    </cfRule>
    <cfRule type="cellIs" dxfId="3708" priority="678" stopIfTrue="1" operator="lessThan">
      <formula>$O$11</formula>
    </cfRule>
  </conditionalFormatting>
  <conditionalFormatting sqref="P12">
    <cfRule type="cellIs" dxfId="3707" priority="679" stopIfTrue="1" operator="equal">
      <formula>$O$12</formula>
    </cfRule>
    <cfRule type="cellIs" dxfId="3706" priority="680" stopIfTrue="1" operator="lessThan">
      <formula>$O$12</formula>
    </cfRule>
  </conditionalFormatting>
  <conditionalFormatting sqref="P13">
    <cfRule type="cellIs" dxfId="3705" priority="681" stopIfTrue="1" operator="equal">
      <formula>$O$13</formula>
    </cfRule>
    <cfRule type="cellIs" dxfId="3704" priority="682" stopIfTrue="1" operator="lessThan">
      <formula>$O$13</formula>
    </cfRule>
  </conditionalFormatting>
  <conditionalFormatting sqref="P14">
    <cfRule type="cellIs" dxfId="3703" priority="683" stopIfTrue="1" operator="equal">
      <formula>$O$14</formula>
    </cfRule>
    <cfRule type="cellIs" dxfId="3702" priority="684" stopIfTrue="1" operator="lessThan">
      <formula>$O$14</formula>
    </cfRule>
  </conditionalFormatting>
  <conditionalFormatting sqref="P15">
    <cfRule type="cellIs" dxfId="3701" priority="685" stopIfTrue="1" operator="equal">
      <formula>$O$15</formula>
    </cfRule>
    <cfRule type="cellIs" dxfId="3700" priority="686" stopIfTrue="1" operator="lessThan">
      <formula>$O$15</formula>
    </cfRule>
  </conditionalFormatting>
  <conditionalFormatting sqref="P16">
    <cfRule type="cellIs" dxfId="3699" priority="687" stopIfTrue="1" operator="equal">
      <formula>$O$16</formula>
    </cfRule>
    <cfRule type="cellIs" dxfId="3698" priority="688" stopIfTrue="1" operator="lessThan">
      <formula>$O$16</formula>
    </cfRule>
  </conditionalFormatting>
  <conditionalFormatting sqref="P17">
    <cfRule type="cellIs" dxfId="3697" priority="689" stopIfTrue="1" operator="equal">
      <formula>$O$17</formula>
    </cfRule>
    <cfRule type="cellIs" dxfId="3696" priority="690" stopIfTrue="1" operator="lessThan">
      <formula>$O$17</formula>
    </cfRule>
  </conditionalFormatting>
  <conditionalFormatting sqref="P18">
    <cfRule type="cellIs" dxfId="3695" priority="691" stopIfTrue="1" operator="equal">
      <formula>$O$18</formula>
    </cfRule>
    <cfRule type="cellIs" dxfId="3694" priority="692" stopIfTrue="1" operator="lessThan">
      <formula>$O$18</formula>
    </cfRule>
  </conditionalFormatting>
  <conditionalFormatting sqref="P19">
    <cfRule type="cellIs" dxfId="3693" priority="693" stopIfTrue="1" operator="equal">
      <formula>$O$19</formula>
    </cfRule>
    <cfRule type="cellIs" dxfId="3692" priority="694" stopIfTrue="1" operator="lessThan">
      <formula>$O$19</formula>
    </cfRule>
  </conditionalFormatting>
  <conditionalFormatting sqref="P20">
    <cfRule type="cellIs" dxfId="3691" priority="695" stopIfTrue="1" operator="equal">
      <formula>$O$20</formula>
    </cfRule>
    <cfRule type="cellIs" dxfId="3690" priority="696" stopIfTrue="1" operator="lessThan">
      <formula>$O$20</formula>
    </cfRule>
  </conditionalFormatting>
  <conditionalFormatting sqref="P21">
    <cfRule type="cellIs" dxfId="3689" priority="697" stopIfTrue="1" operator="equal">
      <formula>$O$21</formula>
    </cfRule>
    <cfRule type="cellIs" dxfId="3688" priority="698" stopIfTrue="1" operator="lessThan">
      <formula>$O$21</formula>
    </cfRule>
  </conditionalFormatting>
  <conditionalFormatting sqref="P22">
    <cfRule type="cellIs" dxfId="3687" priority="699" stopIfTrue="1" operator="equal">
      <formula>$O$22</formula>
    </cfRule>
    <cfRule type="cellIs" dxfId="3686" priority="700" stopIfTrue="1" operator="lessThan">
      <formula>$O$22</formula>
    </cfRule>
  </conditionalFormatting>
  <conditionalFormatting sqref="P23">
    <cfRule type="cellIs" dxfId="3685" priority="701" stopIfTrue="1" operator="equal">
      <formula>$O$23</formula>
    </cfRule>
    <cfRule type="cellIs" dxfId="3684" priority="702" stopIfTrue="1" operator="lessThan">
      <formula>$O$23</formula>
    </cfRule>
  </conditionalFormatting>
  <conditionalFormatting sqref="P24">
    <cfRule type="cellIs" dxfId="3683" priority="703" stopIfTrue="1" operator="equal">
      <formula>$O$24</formula>
    </cfRule>
    <cfRule type="cellIs" dxfId="3682" priority="704" stopIfTrue="1" operator="lessThan">
      <formula>$O$24</formula>
    </cfRule>
  </conditionalFormatting>
  <conditionalFormatting sqref="P25">
    <cfRule type="cellIs" dxfId="3681" priority="705" stopIfTrue="1" operator="equal">
      <formula>$O$25</formula>
    </cfRule>
    <cfRule type="cellIs" dxfId="3680" priority="706" stopIfTrue="1" operator="lessThan">
      <formula>$O$25</formula>
    </cfRule>
  </conditionalFormatting>
  <conditionalFormatting sqref="P26">
    <cfRule type="cellIs" dxfId="3679" priority="707" stopIfTrue="1" operator="equal">
      <formula>$O$26</formula>
    </cfRule>
    <cfRule type="cellIs" dxfId="3678" priority="708" stopIfTrue="1" operator="lessThan">
      <formula>$O$26</formula>
    </cfRule>
  </conditionalFormatting>
  <conditionalFormatting sqref="P27">
    <cfRule type="cellIs" dxfId="3677" priority="709" stopIfTrue="1" operator="equal">
      <formula>$O$27</formula>
    </cfRule>
    <cfRule type="cellIs" dxfId="3676" priority="710" stopIfTrue="1" operator="lessThan">
      <formula>$O$27</formula>
    </cfRule>
  </conditionalFormatting>
  <conditionalFormatting sqref="P28">
    <cfRule type="cellIs" dxfId="3675" priority="711" stopIfTrue="1" operator="equal">
      <formula>$O$28</formula>
    </cfRule>
    <cfRule type="cellIs" dxfId="3674" priority="712" stopIfTrue="1" operator="lessThan">
      <formula>$O$28</formula>
    </cfRule>
  </conditionalFormatting>
  <conditionalFormatting sqref="V54:AG63 V4:AG23 V33:AG37 V40:AG49">
    <cfRule type="cellIs" dxfId="3673" priority="1" operator="lessThan">
      <formula>0</formula>
    </cfRule>
  </conditionalFormatting>
  <pageMargins left="0.43307086614173229" right="0.27559055118110237" top="0.27559055118110237" bottom="0.39370078740157483" header="0.51181102362204722" footer="0.51181102362204722"/>
  <pageSetup paperSize="9" firstPageNumber="0" orientation="landscape" r:id="rId1"/>
  <headerFooter alignWithMargins="0"/>
  <colBreaks count="1" manualBreakCount="1">
    <brk id="12" max="48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zoomScaleSheetLayoutView="100" workbookViewId="0">
      <selection activeCell="P26" sqref="P26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6" width="9.26953125" bestFit="1" customWidth="1"/>
    <col min="19" max="19" width="3" customWidth="1"/>
  </cols>
  <sheetData>
    <row r="1" spans="1:32" ht="15" thickBot="1" x14ac:dyDescent="0.4"/>
    <row r="2" spans="1:32" s="1" customFormat="1" ht="21" customHeight="1" thickBot="1" x14ac:dyDescent="0.55000000000000004">
      <c r="A2" s="113">
        <v>1852</v>
      </c>
      <c r="B2" s="2"/>
      <c r="C2" s="3">
        <f>'1850'!C2</f>
        <v>45292</v>
      </c>
      <c r="D2" s="3">
        <f>'1850'!D2</f>
        <v>45323</v>
      </c>
      <c r="E2" s="3">
        <f>'1850'!E2</f>
        <v>45352</v>
      </c>
      <c r="F2" s="3">
        <f>'1850'!F2</f>
        <v>45383</v>
      </c>
      <c r="G2" s="3">
        <f>'1850'!G2</f>
        <v>45413</v>
      </c>
      <c r="H2" s="3">
        <f>'1850'!H2</f>
        <v>45444</v>
      </c>
      <c r="I2" s="3">
        <f>'1850'!I2</f>
        <v>45474</v>
      </c>
      <c r="J2" s="3">
        <f>'1850'!J2</f>
        <v>45505</v>
      </c>
      <c r="K2" s="3">
        <f>'1850'!K2</f>
        <v>45536</v>
      </c>
      <c r="L2" s="3">
        <f>'1850'!L2</f>
        <v>45566</v>
      </c>
      <c r="M2" s="3">
        <f>'1850'!M2</f>
        <v>45597</v>
      </c>
      <c r="N2" s="3">
        <f>'1850'!N2</f>
        <v>45628</v>
      </c>
      <c r="O2" s="3">
        <f>'1850'!O2</f>
        <v>45658</v>
      </c>
      <c r="P2" s="1" t="s">
        <v>0</v>
      </c>
      <c r="Q2" s="1" t="s">
        <v>1</v>
      </c>
      <c r="R2" s="1" t="s">
        <v>27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93">
        <v>1</v>
      </c>
      <c r="B4" s="6" t="s">
        <v>137</v>
      </c>
      <c r="C4" s="77">
        <v>576.31200000000001</v>
      </c>
      <c r="D4" s="7">
        <v>587.19600000000003</v>
      </c>
      <c r="E4" s="7">
        <v>597.77499999999998</v>
      </c>
      <c r="F4" s="7">
        <v>606.44399999999996</v>
      </c>
      <c r="G4" s="7">
        <v>613.428</v>
      </c>
      <c r="H4" s="7">
        <v>621.38</v>
      </c>
      <c r="I4" s="7">
        <v>628.46500000000003</v>
      </c>
      <c r="J4" s="7">
        <v>636.73699999999997</v>
      </c>
      <c r="K4" s="7">
        <v>645.36699999999996</v>
      </c>
      <c r="L4" s="8">
        <v>653.73500000000001</v>
      </c>
      <c r="M4" s="7">
        <v>662.36599999999999</v>
      </c>
      <c r="N4" s="7">
        <v>672.61</v>
      </c>
      <c r="O4" s="7">
        <v>12.545</v>
      </c>
      <c r="P4" s="9">
        <f>O4+N4-C4</f>
        <v>108.84299999999996</v>
      </c>
      <c r="T4" s="1">
        <v>1</v>
      </c>
      <c r="U4" s="145">
        <f t="shared" ref="U4:AF4" si="0">D4-C4</f>
        <v>10.884000000000015</v>
      </c>
      <c r="V4" s="145">
        <f t="shared" si="0"/>
        <v>10.578999999999951</v>
      </c>
      <c r="W4" s="145">
        <f t="shared" si="0"/>
        <v>8.6689999999999827</v>
      </c>
      <c r="X4" s="145">
        <f t="shared" si="0"/>
        <v>6.9840000000000373</v>
      </c>
      <c r="Y4" s="145">
        <f t="shared" si="0"/>
        <v>7.9519999999999982</v>
      </c>
      <c r="Z4" s="145">
        <f t="shared" si="0"/>
        <v>7.0850000000000364</v>
      </c>
      <c r="AA4" s="145">
        <f t="shared" si="0"/>
        <v>8.2719999999999345</v>
      </c>
      <c r="AB4" s="145">
        <f t="shared" si="0"/>
        <v>8.6299999999999955</v>
      </c>
      <c r="AC4" s="145">
        <f t="shared" si="0"/>
        <v>8.3680000000000518</v>
      </c>
      <c r="AD4" s="145">
        <f t="shared" si="0"/>
        <v>8.6309999999999718</v>
      </c>
      <c r="AE4" s="145">
        <f t="shared" si="0"/>
        <v>10.244000000000028</v>
      </c>
      <c r="AF4" s="145">
        <f>O4</f>
        <v>12.545</v>
      </c>
    </row>
    <row r="5" spans="1:32" x14ac:dyDescent="0.35">
      <c r="A5" s="293"/>
      <c r="B5" s="10" t="s">
        <v>322</v>
      </c>
      <c r="C5" s="78">
        <v>53.408999999999999</v>
      </c>
      <c r="D5" s="11">
        <v>57.834000000000003</v>
      </c>
      <c r="E5" s="11">
        <v>60.603000000000002</v>
      </c>
      <c r="F5" s="11">
        <v>62.999000000000002</v>
      </c>
      <c r="G5" s="11">
        <v>64.409000000000006</v>
      </c>
      <c r="H5" s="11">
        <v>65.012</v>
      </c>
      <c r="I5" s="11">
        <v>65.492999999999995</v>
      </c>
      <c r="J5" s="11">
        <v>65.918999999999997</v>
      </c>
      <c r="K5" s="11">
        <v>66.319999999999993</v>
      </c>
      <c r="L5" s="12">
        <v>66.921999999999997</v>
      </c>
      <c r="M5" s="11">
        <v>68.724999999999994</v>
      </c>
      <c r="N5" s="11">
        <v>72.334000000000003</v>
      </c>
      <c r="O5" s="11">
        <v>76.346000000000004</v>
      </c>
      <c r="P5" s="9"/>
      <c r="Q5" s="9">
        <f>O5-C5</f>
        <v>22.937000000000005</v>
      </c>
      <c r="T5" s="1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</row>
    <row r="6" spans="1:32" x14ac:dyDescent="0.35">
      <c r="A6" s="294">
        <v>2</v>
      </c>
      <c r="B6" s="10" t="s">
        <v>138</v>
      </c>
      <c r="C6" s="78">
        <v>314.55200000000002</v>
      </c>
      <c r="D6" s="11">
        <v>319.64999999999998</v>
      </c>
      <c r="E6" s="11">
        <v>324.37200000000001</v>
      </c>
      <c r="F6" s="11">
        <v>330.08699999999999</v>
      </c>
      <c r="G6" s="11">
        <v>335.62099999999998</v>
      </c>
      <c r="H6" s="11">
        <v>341.96600000000001</v>
      </c>
      <c r="I6" s="11">
        <v>346.94400000000002</v>
      </c>
      <c r="J6" s="11">
        <v>352.57299999999998</v>
      </c>
      <c r="K6" s="11">
        <v>356.22899999999998</v>
      </c>
      <c r="L6" s="11">
        <v>361.87599999999998</v>
      </c>
      <c r="M6" s="11">
        <v>368.25099999999998</v>
      </c>
      <c r="N6" s="11">
        <v>373.67</v>
      </c>
      <c r="O6" s="11">
        <v>5.2850000000000001</v>
      </c>
      <c r="P6" s="9">
        <f t="shared" ref="P6" si="1">O6+N6-C6</f>
        <v>64.40300000000002</v>
      </c>
      <c r="T6" s="1">
        <v>2</v>
      </c>
      <c r="U6" s="147">
        <f t="shared" ref="U6:AF6" si="2">D6-C6</f>
        <v>5.0979999999999563</v>
      </c>
      <c r="V6" s="147">
        <f t="shared" si="2"/>
        <v>4.7220000000000368</v>
      </c>
      <c r="W6" s="147">
        <f t="shared" si="2"/>
        <v>5.714999999999975</v>
      </c>
      <c r="X6" s="147">
        <f t="shared" si="2"/>
        <v>5.5339999999999918</v>
      </c>
      <c r="Y6" s="147">
        <f t="shared" si="2"/>
        <v>6.3450000000000273</v>
      </c>
      <c r="Z6" s="147">
        <f t="shared" si="2"/>
        <v>4.9780000000000086</v>
      </c>
      <c r="AA6" s="147">
        <f t="shared" si="2"/>
        <v>5.6289999999999623</v>
      </c>
      <c r="AB6" s="147">
        <f t="shared" si="2"/>
        <v>3.6560000000000059</v>
      </c>
      <c r="AC6" s="147">
        <f t="shared" si="2"/>
        <v>5.6469999999999914</v>
      </c>
      <c r="AD6" s="147">
        <f t="shared" si="2"/>
        <v>6.375</v>
      </c>
      <c r="AE6" s="147">
        <f t="shared" si="2"/>
        <v>5.4190000000000396</v>
      </c>
      <c r="AF6" s="147">
        <f>O6</f>
        <v>5.2850000000000001</v>
      </c>
    </row>
    <row r="7" spans="1:32" x14ac:dyDescent="0.35">
      <c r="A7" s="294"/>
      <c r="B7" s="10" t="s">
        <v>323</v>
      </c>
      <c r="C7" s="78">
        <v>25.734999999999999</v>
      </c>
      <c r="D7" s="11">
        <v>27.45</v>
      </c>
      <c r="E7" s="11">
        <v>28.535</v>
      </c>
      <c r="F7" s="11">
        <v>29.35</v>
      </c>
      <c r="G7" s="11">
        <v>29.876999999999999</v>
      </c>
      <c r="H7" s="11">
        <v>30.361000000000001</v>
      </c>
      <c r="I7" s="11">
        <v>30.72</v>
      </c>
      <c r="J7" s="11">
        <v>31.044</v>
      </c>
      <c r="K7" s="11">
        <v>31.202000000000002</v>
      </c>
      <c r="L7" s="11">
        <v>31.545999999999999</v>
      </c>
      <c r="M7" s="11">
        <v>32.104999999999997</v>
      </c>
      <c r="N7" s="11">
        <v>33.680999999999997</v>
      </c>
      <c r="O7" s="11">
        <v>35.462000000000003</v>
      </c>
      <c r="P7" s="9"/>
      <c r="Q7" s="9">
        <f>O7-C7</f>
        <v>9.7270000000000039</v>
      </c>
      <c r="T7" s="1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</row>
    <row r="8" spans="1:32" x14ac:dyDescent="0.35">
      <c r="A8" s="301">
        <v>3</v>
      </c>
      <c r="B8" s="10" t="s">
        <v>266</v>
      </c>
      <c r="C8" s="78">
        <v>459.76600000000002</v>
      </c>
      <c r="D8" s="11">
        <v>469.685</v>
      </c>
      <c r="E8" s="11">
        <v>477.14299999999997</v>
      </c>
      <c r="F8" s="11">
        <v>488.20100000000002</v>
      </c>
      <c r="G8" s="11">
        <v>501.16199999999998</v>
      </c>
      <c r="H8" s="11">
        <v>513.72</v>
      </c>
      <c r="I8" s="11">
        <v>527.26800000000003</v>
      </c>
      <c r="J8" s="11">
        <v>531.77099999999996</v>
      </c>
      <c r="K8" s="11">
        <v>541.41800000000001</v>
      </c>
      <c r="L8" s="11">
        <v>555.404</v>
      </c>
      <c r="M8" s="11">
        <v>566.12199999999996</v>
      </c>
      <c r="N8" s="11">
        <v>577.94000000000005</v>
      </c>
      <c r="O8" s="11">
        <v>12.117000000000001</v>
      </c>
      <c r="P8" s="9">
        <f t="shared" ref="P8" si="3">O8+N8-C8</f>
        <v>130.291</v>
      </c>
      <c r="T8" s="1">
        <v>3</v>
      </c>
      <c r="U8" s="147">
        <f t="shared" ref="U8:AF8" si="4">D8-C8</f>
        <v>9.9189999999999827</v>
      </c>
      <c r="V8" s="147">
        <f t="shared" si="4"/>
        <v>7.45799999999997</v>
      </c>
      <c r="W8" s="147">
        <f t="shared" si="4"/>
        <v>11.05800000000005</v>
      </c>
      <c r="X8" s="147">
        <f t="shared" si="4"/>
        <v>12.960999999999956</v>
      </c>
      <c r="Y8" s="147">
        <f t="shared" si="4"/>
        <v>12.55800000000005</v>
      </c>
      <c r="Z8" s="147">
        <f t="shared" si="4"/>
        <v>13.548000000000002</v>
      </c>
      <c r="AA8" s="147">
        <f t="shared" si="4"/>
        <v>4.5029999999999291</v>
      </c>
      <c r="AB8" s="147">
        <f t="shared" si="4"/>
        <v>9.6470000000000482</v>
      </c>
      <c r="AC8" s="147">
        <f t="shared" si="4"/>
        <v>13.98599999999999</v>
      </c>
      <c r="AD8" s="147">
        <f t="shared" si="4"/>
        <v>10.717999999999961</v>
      </c>
      <c r="AE8" s="147">
        <f t="shared" si="4"/>
        <v>11.818000000000097</v>
      </c>
      <c r="AF8" s="147">
        <f t="shared" ref="AF8:AF23" si="5">O8</f>
        <v>12.117000000000001</v>
      </c>
    </row>
    <row r="9" spans="1:32" x14ac:dyDescent="0.35">
      <c r="A9" s="301"/>
      <c r="B9" s="10" t="s">
        <v>324</v>
      </c>
      <c r="C9" s="78">
        <v>72.049000000000007</v>
      </c>
      <c r="D9" s="11">
        <v>77.522000000000006</v>
      </c>
      <c r="E9" s="11">
        <v>81.146000000000001</v>
      </c>
      <c r="F9" s="11">
        <v>85.25</v>
      </c>
      <c r="G9" s="11">
        <v>87.081000000000003</v>
      </c>
      <c r="H9" s="11">
        <v>87.914000000000001</v>
      </c>
      <c r="I9" s="11">
        <v>88.643000000000001</v>
      </c>
      <c r="J9" s="11">
        <v>88.88</v>
      </c>
      <c r="K9" s="11">
        <v>89.247</v>
      </c>
      <c r="L9" s="11">
        <v>90.796000000000006</v>
      </c>
      <c r="M9" s="11">
        <v>93.947999999999993</v>
      </c>
      <c r="N9" s="11">
        <v>99.727000000000004</v>
      </c>
      <c r="O9" s="11">
        <v>106.363</v>
      </c>
      <c r="P9" s="9"/>
      <c r="Q9" s="9">
        <f>O9-C9</f>
        <v>34.313999999999993</v>
      </c>
      <c r="T9" s="1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</row>
    <row r="10" spans="1:32" x14ac:dyDescent="0.35">
      <c r="A10" s="301">
        <v>4</v>
      </c>
      <c r="B10" s="10" t="s">
        <v>139</v>
      </c>
      <c r="C10" s="78">
        <v>506.21300000000002</v>
      </c>
      <c r="D10" s="11">
        <v>515.58699999999999</v>
      </c>
      <c r="E10" s="11">
        <v>523.53</v>
      </c>
      <c r="F10" s="11">
        <v>532.88499999999999</v>
      </c>
      <c r="G10" s="11">
        <v>542.44899999999996</v>
      </c>
      <c r="H10" s="11">
        <v>552.25099999999998</v>
      </c>
      <c r="I10" s="11">
        <v>561.50400000000002</v>
      </c>
      <c r="J10" s="11">
        <v>570.00199999999995</v>
      </c>
      <c r="K10" s="11">
        <v>577.89</v>
      </c>
      <c r="L10" s="11">
        <v>586.75699999999995</v>
      </c>
      <c r="M10" s="11">
        <v>595.91099999999994</v>
      </c>
      <c r="N10" s="11">
        <v>603.84</v>
      </c>
      <c r="O10" s="11">
        <v>6.82</v>
      </c>
      <c r="P10" s="9">
        <f t="shared" ref="P10" si="6">O10+N10-C10</f>
        <v>104.44700000000006</v>
      </c>
      <c r="T10" s="1">
        <v>4</v>
      </c>
      <c r="U10" s="147">
        <f t="shared" ref="U10:AF10" si="7">D10-C10</f>
        <v>9.3739999999999668</v>
      </c>
      <c r="V10" s="147">
        <f t="shared" si="7"/>
        <v>7.9429999999999836</v>
      </c>
      <c r="W10" s="147">
        <f t="shared" si="7"/>
        <v>9.3550000000000182</v>
      </c>
      <c r="X10" s="147">
        <f t="shared" si="7"/>
        <v>9.5639999999999645</v>
      </c>
      <c r="Y10" s="147">
        <f t="shared" si="7"/>
        <v>9.8020000000000209</v>
      </c>
      <c r="Z10" s="147">
        <f t="shared" si="7"/>
        <v>9.2530000000000427</v>
      </c>
      <c r="AA10" s="147">
        <f t="shared" si="7"/>
        <v>8.4979999999999336</v>
      </c>
      <c r="AB10" s="147">
        <f t="shared" si="7"/>
        <v>7.8880000000000337</v>
      </c>
      <c r="AC10" s="147">
        <f t="shared" si="7"/>
        <v>8.8669999999999618</v>
      </c>
      <c r="AD10" s="147">
        <f t="shared" si="7"/>
        <v>9.1539999999999964</v>
      </c>
      <c r="AE10" s="147">
        <f t="shared" si="7"/>
        <v>7.9290000000000873</v>
      </c>
      <c r="AF10" s="147">
        <f t="shared" ref="AF10:AF23" si="8">O10</f>
        <v>6.82</v>
      </c>
    </row>
    <row r="11" spans="1:32" x14ac:dyDescent="0.35">
      <c r="A11" s="301"/>
      <c r="B11" s="10" t="s">
        <v>325</v>
      </c>
      <c r="C11" s="78">
        <v>61.01</v>
      </c>
      <c r="D11" s="11">
        <v>65.757000000000005</v>
      </c>
      <c r="E11" s="11">
        <v>68.448999999999998</v>
      </c>
      <c r="F11" s="11">
        <v>70.424999999999997</v>
      </c>
      <c r="G11" s="11">
        <v>71.602999999999994</v>
      </c>
      <c r="H11" s="11">
        <v>72.347999999999999</v>
      </c>
      <c r="I11" s="11">
        <v>72.965999999999994</v>
      </c>
      <c r="J11" s="11">
        <v>73.462000000000003</v>
      </c>
      <c r="K11" s="11">
        <v>73.903999999999996</v>
      </c>
      <c r="L11" s="11">
        <v>74.668999999999997</v>
      </c>
      <c r="M11" s="11">
        <v>75.891999999999996</v>
      </c>
      <c r="N11" s="11">
        <v>78.853999999999999</v>
      </c>
      <c r="O11" s="11">
        <v>82.225999999999999</v>
      </c>
      <c r="P11" s="9"/>
      <c r="Q11" s="9">
        <f>O11-C11</f>
        <v>21.216000000000001</v>
      </c>
      <c r="T11" s="1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</row>
    <row r="12" spans="1:32" x14ac:dyDescent="0.35">
      <c r="A12" s="294">
        <v>5</v>
      </c>
      <c r="B12" s="10" t="s">
        <v>140</v>
      </c>
      <c r="C12" s="78">
        <v>314.98500000000001</v>
      </c>
      <c r="D12" s="11">
        <v>323.529</v>
      </c>
      <c r="E12" s="11">
        <v>332.685</v>
      </c>
      <c r="F12" s="11">
        <v>339.66500000000002</v>
      </c>
      <c r="G12" s="11">
        <v>347.74400000000003</v>
      </c>
      <c r="H12" s="11">
        <v>354.654</v>
      </c>
      <c r="I12" s="11">
        <v>361.6</v>
      </c>
      <c r="J12" s="11">
        <v>366.49299999999999</v>
      </c>
      <c r="K12" s="11">
        <v>371.60500000000002</v>
      </c>
      <c r="L12" s="11">
        <v>378.12299999999999</v>
      </c>
      <c r="M12" s="11">
        <v>384.77600000000001</v>
      </c>
      <c r="N12" s="11">
        <v>390.39</v>
      </c>
      <c r="O12" s="11">
        <v>5.7889999999999997</v>
      </c>
      <c r="P12" s="9">
        <f t="shared" ref="P12" si="9">O12+N12-C12</f>
        <v>81.19399999999996</v>
      </c>
      <c r="T12" s="1">
        <v>5</v>
      </c>
      <c r="U12" s="147">
        <f t="shared" ref="U12:AF12" si="10">D12-C12</f>
        <v>8.5439999999999827</v>
      </c>
      <c r="V12" s="147">
        <f t="shared" si="10"/>
        <v>9.1560000000000059</v>
      </c>
      <c r="W12" s="147">
        <f t="shared" si="10"/>
        <v>6.9800000000000182</v>
      </c>
      <c r="X12" s="147">
        <f t="shared" si="10"/>
        <v>8.0790000000000077</v>
      </c>
      <c r="Y12" s="147">
        <f t="shared" si="10"/>
        <v>6.9099999999999682</v>
      </c>
      <c r="Z12" s="147">
        <f t="shared" si="10"/>
        <v>6.9460000000000264</v>
      </c>
      <c r="AA12" s="147">
        <f t="shared" si="10"/>
        <v>4.8929999999999723</v>
      </c>
      <c r="AB12" s="147">
        <f t="shared" si="10"/>
        <v>5.1120000000000232</v>
      </c>
      <c r="AC12" s="147">
        <f t="shared" si="10"/>
        <v>6.5179999999999723</v>
      </c>
      <c r="AD12" s="147">
        <f t="shared" si="10"/>
        <v>6.65300000000002</v>
      </c>
      <c r="AE12" s="147">
        <f t="shared" si="10"/>
        <v>5.6139999999999759</v>
      </c>
      <c r="AF12" s="147">
        <f t="shared" ref="AF12:AF23" si="11">O12</f>
        <v>5.7889999999999997</v>
      </c>
    </row>
    <row r="13" spans="1:32" x14ac:dyDescent="0.35">
      <c r="A13" s="294"/>
      <c r="B13" s="10" t="s">
        <v>326</v>
      </c>
      <c r="C13" s="78">
        <v>30.951000000000001</v>
      </c>
      <c r="D13" s="11">
        <v>33.237000000000002</v>
      </c>
      <c r="E13" s="11">
        <v>34.646999999999998</v>
      </c>
      <c r="F13" s="11">
        <v>35.750999999999998</v>
      </c>
      <c r="G13" s="11">
        <v>36.548999999999999</v>
      </c>
      <c r="H13" s="11">
        <v>37.100999999999999</v>
      </c>
      <c r="I13" s="11">
        <v>37.595999999999997</v>
      </c>
      <c r="J13" s="11">
        <v>37.993000000000002</v>
      </c>
      <c r="K13" s="11">
        <v>38.344000000000001</v>
      </c>
      <c r="L13" s="11">
        <v>38.771999999999998</v>
      </c>
      <c r="M13" s="11">
        <v>39.456000000000003</v>
      </c>
      <c r="N13" s="11">
        <v>40.975000000000001</v>
      </c>
      <c r="O13" s="11">
        <v>42.478999999999999</v>
      </c>
      <c r="P13" s="9"/>
      <c r="Q13" s="9">
        <f>O13-C13</f>
        <v>11.527999999999999</v>
      </c>
      <c r="T13" s="1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</row>
    <row r="14" spans="1:32" x14ac:dyDescent="0.35">
      <c r="A14" s="294">
        <v>6</v>
      </c>
      <c r="B14" s="10" t="s">
        <v>141</v>
      </c>
      <c r="C14" s="78">
        <v>435.55900000000003</v>
      </c>
      <c r="D14" s="11">
        <v>446.72500000000002</v>
      </c>
      <c r="E14" s="11">
        <v>454.44900000000001</v>
      </c>
      <c r="F14" s="11">
        <v>454.82</v>
      </c>
      <c r="G14" s="11">
        <v>455.20699999999999</v>
      </c>
      <c r="H14" s="11">
        <v>455.20800000000003</v>
      </c>
      <c r="I14" s="11">
        <v>455.22500000000002</v>
      </c>
      <c r="J14" s="11">
        <v>455.22500000000002</v>
      </c>
      <c r="K14" s="11">
        <v>455.41500000000002</v>
      </c>
      <c r="L14" s="11">
        <v>455.53699999999998</v>
      </c>
      <c r="M14" s="11">
        <v>455.53899999999999</v>
      </c>
      <c r="N14" s="11">
        <v>455.53899999999999</v>
      </c>
      <c r="O14" s="11">
        <v>4.2999999999999997E-2</v>
      </c>
      <c r="P14" s="9">
        <f t="shared" ref="P14" si="12">O14+N14-C14</f>
        <v>20.022999999999968</v>
      </c>
      <c r="T14" s="1">
        <v>6</v>
      </c>
      <c r="U14" s="147">
        <f t="shared" ref="U14:AF14" si="13">D14-C14</f>
        <v>11.165999999999997</v>
      </c>
      <c r="V14" s="147">
        <f t="shared" si="13"/>
        <v>7.7239999999999895</v>
      </c>
      <c r="W14" s="147">
        <f t="shared" si="13"/>
        <v>0.3709999999999809</v>
      </c>
      <c r="X14" s="147">
        <f t="shared" si="13"/>
        <v>0.38700000000000045</v>
      </c>
      <c r="Y14" s="147">
        <f t="shared" si="13"/>
        <v>1.0000000000331966E-3</v>
      </c>
      <c r="Z14" s="147">
        <f t="shared" si="13"/>
        <v>1.6999999999995907E-2</v>
      </c>
      <c r="AA14" s="147">
        <f t="shared" si="13"/>
        <v>0</v>
      </c>
      <c r="AB14" s="147">
        <f t="shared" si="13"/>
        <v>0.18999999999999773</v>
      </c>
      <c r="AC14" s="147">
        <f t="shared" si="13"/>
        <v>0.12199999999995725</v>
      </c>
      <c r="AD14" s="147">
        <f t="shared" si="13"/>
        <v>2.0000000000095497E-3</v>
      </c>
      <c r="AE14" s="147">
        <f t="shared" si="13"/>
        <v>0</v>
      </c>
      <c r="AF14" s="147">
        <f t="shared" ref="AF14:AF23" si="14">O14</f>
        <v>4.2999999999999997E-2</v>
      </c>
    </row>
    <row r="15" spans="1:32" x14ac:dyDescent="0.35">
      <c r="A15" s="294"/>
      <c r="B15" s="10" t="s">
        <v>327</v>
      </c>
      <c r="C15" s="78">
        <v>53.597999999999999</v>
      </c>
      <c r="D15" s="11">
        <v>57.706000000000003</v>
      </c>
      <c r="E15" s="11">
        <v>59.585000000000001</v>
      </c>
      <c r="F15" s="11">
        <v>59.686999999999998</v>
      </c>
      <c r="G15" s="11">
        <v>59.83</v>
      </c>
      <c r="H15" s="11">
        <v>60.014000000000003</v>
      </c>
      <c r="I15" s="11">
        <v>60.183</v>
      </c>
      <c r="J15" s="11">
        <v>60.353999999999999</v>
      </c>
      <c r="K15" s="11">
        <v>60.51</v>
      </c>
      <c r="L15" s="11">
        <v>60.679000000000002</v>
      </c>
      <c r="M15" s="11">
        <v>60.848999999999997</v>
      </c>
      <c r="N15" s="11">
        <v>60.915999999999997</v>
      </c>
      <c r="O15" s="11">
        <v>60.997</v>
      </c>
      <c r="P15" s="9"/>
      <c r="Q15" s="9">
        <f>O15-C15</f>
        <v>7.3990000000000009</v>
      </c>
      <c r="T15" s="1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</row>
    <row r="16" spans="1:32" x14ac:dyDescent="0.35">
      <c r="A16" s="294">
        <v>7</v>
      </c>
      <c r="B16" s="10" t="s">
        <v>142</v>
      </c>
      <c r="C16" s="78">
        <v>60.945</v>
      </c>
      <c r="D16" s="11">
        <v>63.628</v>
      </c>
      <c r="E16" s="11">
        <v>64.192999999999998</v>
      </c>
      <c r="F16" s="11">
        <v>66.016999999999996</v>
      </c>
      <c r="G16" s="11">
        <v>68.028000000000006</v>
      </c>
      <c r="H16" s="11">
        <v>71.009</v>
      </c>
      <c r="I16" s="11">
        <v>74.010999999999996</v>
      </c>
      <c r="J16" s="11">
        <v>76.686999999999998</v>
      </c>
      <c r="K16" s="11">
        <v>77.884</v>
      </c>
      <c r="L16" s="11">
        <v>78.63</v>
      </c>
      <c r="M16" s="11">
        <v>79.381</v>
      </c>
      <c r="N16" s="11">
        <v>80.3</v>
      </c>
      <c r="O16" s="11">
        <v>0.75700000000000001</v>
      </c>
      <c r="P16" s="9">
        <f t="shared" ref="P16" si="15">O16+N16-C16</f>
        <v>20.112000000000002</v>
      </c>
      <c r="T16" s="1">
        <v>7</v>
      </c>
      <c r="U16" s="147">
        <f t="shared" ref="U16:AF16" si="16">D16-C16</f>
        <v>2.6829999999999998</v>
      </c>
      <c r="V16" s="147">
        <f t="shared" si="16"/>
        <v>0.56499999999999773</v>
      </c>
      <c r="W16" s="147">
        <f t="shared" si="16"/>
        <v>1.8239999999999981</v>
      </c>
      <c r="X16" s="147">
        <f t="shared" si="16"/>
        <v>2.0110000000000099</v>
      </c>
      <c r="Y16" s="147">
        <f t="shared" si="16"/>
        <v>2.9809999999999945</v>
      </c>
      <c r="Z16" s="147">
        <f t="shared" si="16"/>
        <v>3.0019999999999953</v>
      </c>
      <c r="AA16" s="147">
        <f t="shared" si="16"/>
        <v>2.6760000000000019</v>
      </c>
      <c r="AB16" s="147">
        <f t="shared" si="16"/>
        <v>1.1970000000000027</v>
      </c>
      <c r="AC16" s="147">
        <f t="shared" si="16"/>
        <v>0.74599999999999511</v>
      </c>
      <c r="AD16" s="147">
        <f t="shared" si="16"/>
        <v>0.75100000000000477</v>
      </c>
      <c r="AE16" s="147">
        <f t="shared" si="16"/>
        <v>0.91899999999999693</v>
      </c>
      <c r="AF16" s="147">
        <f t="shared" ref="AF16:AF23" si="17">O16</f>
        <v>0.75700000000000001</v>
      </c>
    </row>
    <row r="17" spans="1:32" x14ac:dyDescent="0.35">
      <c r="A17" s="294"/>
      <c r="B17" s="10" t="s">
        <v>328</v>
      </c>
      <c r="C17" s="78">
        <v>24.091999999999999</v>
      </c>
      <c r="D17" s="11">
        <v>26.972999999999999</v>
      </c>
      <c r="E17" s="11">
        <v>27.934000000000001</v>
      </c>
      <c r="F17" s="11">
        <v>28.5</v>
      </c>
      <c r="G17" s="11">
        <v>28.655000000000001</v>
      </c>
      <c r="H17" s="11">
        <v>28.76</v>
      </c>
      <c r="I17" s="11">
        <v>28.847999999999999</v>
      </c>
      <c r="J17" s="11">
        <v>28.904</v>
      </c>
      <c r="K17" s="11">
        <v>28.925000000000001</v>
      </c>
      <c r="L17" s="11">
        <v>28.946999999999999</v>
      </c>
      <c r="M17" s="11">
        <v>28.959</v>
      </c>
      <c r="N17" s="11">
        <v>30.702999999999999</v>
      </c>
      <c r="O17" s="11">
        <v>33.49</v>
      </c>
      <c r="P17" s="9"/>
      <c r="Q17" s="9">
        <f>O17-C17</f>
        <v>9.3980000000000032</v>
      </c>
      <c r="T17" s="1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</row>
    <row r="18" spans="1:32" x14ac:dyDescent="0.35">
      <c r="A18" s="294">
        <v>8</v>
      </c>
      <c r="B18" s="10" t="s">
        <v>143</v>
      </c>
      <c r="C18" s="78">
        <v>464.17700000000002</v>
      </c>
      <c r="D18" s="11">
        <v>474.12400000000002</v>
      </c>
      <c r="E18" s="11">
        <v>480.46699999999998</v>
      </c>
      <c r="F18" s="11">
        <v>489.43799999999999</v>
      </c>
      <c r="G18" s="11">
        <v>499.76400000000001</v>
      </c>
      <c r="H18" s="11">
        <v>509.14</v>
      </c>
      <c r="I18" s="11">
        <v>516.79</v>
      </c>
      <c r="J18" s="11">
        <v>526.86099999999999</v>
      </c>
      <c r="K18" s="11">
        <v>533.048</v>
      </c>
      <c r="L18" s="11">
        <v>544.92700000000002</v>
      </c>
      <c r="M18" s="11">
        <v>557.47299999999996</v>
      </c>
      <c r="N18" s="11">
        <v>570.15</v>
      </c>
      <c r="O18" s="11">
        <v>13.38</v>
      </c>
      <c r="P18" s="9">
        <f t="shared" ref="P18" si="18">O18+N18-C18</f>
        <v>119.35299999999995</v>
      </c>
      <c r="T18" s="1">
        <v>8</v>
      </c>
      <c r="U18" s="147">
        <f t="shared" ref="U18:AF18" si="19">D18-C18</f>
        <v>9.9470000000000027</v>
      </c>
      <c r="V18" s="147">
        <f t="shared" si="19"/>
        <v>6.3429999999999609</v>
      </c>
      <c r="W18" s="147">
        <f t="shared" si="19"/>
        <v>8.9710000000000036</v>
      </c>
      <c r="X18" s="147">
        <f t="shared" si="19"/>
        <v>10.326000000000022</v>
      </c>
      <c r="Y18" s="147">
        <f t="shared" si="19"/>
        <v>9.3759999999999764</v>
      </c>
      <c r="Z18" s="147">
        <f t="shared" si="19"/>
        <v>7.6499999999999773</v>
      </c>
      <c r="AA18" s="147">
        <f t="shared" si="19"/>
        <v>10.071000000000026</v>
      </c>
      <c r="AB18" s="147">
        <f t="shared" si="19"/>
        <v>6.1870000000000118</v>
      </c>
      <c r="AC18" s="147">
        <f t="shared" si="19"/>
        <v>11.879000000000019</v>
      </c>
      <c r="AD18" s="147">
        <f t="shared" si="19"/>
        <v>12.545999999999935</v>
      </c>
      <c r="AE18" s="147">
        <f t="shared" si="19"/>
        <v>12.677000000000021</v>
      </c>
      <c r="AF18" s="147">
        <f t="shared" ref="AF18:AF23" si="20">O18</f>
        <v>13.38</v>
      </c>
    </row>
    <row r="19" spans="1:32" x14ac:dyDescent="0.35">
      <c r="A19" s="294"/>
      <c r="B19" s="10" t="s">
        <v>329</v>
      </c>
      <c r="C19" s="78">
        <v>31.794</v>
      </c>
      <c r="D19" s="11">
        <v>34.533000000000001</v>
      </c>
      <c r="E19" s="11">
        <v>35.619</v>
      </c>
      <c r="F19" s="11">
        <v>37.195</v>
      </c>
      <c r="G19" s="11">
        <v>38.158999999999999</v>
      </c>
      <c r="H19" s="11">
        <v>38.744</v>
      </c>
      <c r="I19" s="11">
        <v>39.195999999999998</v>
      </c>
      <c r="J19" s="11">
        <v>39.667000000000002</v>
      </c>
      <c r="K19" s="11">
        <v>39.973999999999997</v>
      </c>
      <c r="L19" s="11">
        <v>40.514000000000003</v>
      </c>
      <c r="M19" s="11">
        <v>41.645000000000003</v>
      </c>
      <c r="N19" s="11">
        <v>44.499000000000002</v>
      </c>
      <c r="O19" s="11">
        <v>47.793999999999997</v>
      </c>
      <c r="P19" s="9"/>
      <c r="Q19" s="9">
        <f>O19-C19</f>
        <v>15.999999999999996</v>
      </c>
      <c r="T19" s="1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</row>
    <row r="20" spans="1:32" x14ac:dyDescent="0.35">
      <c r="A20" s="294">
        <v>9</v>
      </c>
      <c r="B20" s="10" t="s">
        <v>405</v>
      </c>
      <c r="C20" s="78">
        <v>120.553</v>
      </c>
      <c r="D20" s="11">
        <v>134.24299999999999</v>
      </c>
      <c r="E20" s="11">
        <v>145.541</v>
      </c>
      <c r="F20" s="11">
        <v>158.09200000000001</v>
      </c>
      <c r="G20" s="11">
        <v>170.298</v>
      </c>
      <c r="H20" s="11">
        <v>183.58</v>
      </c>
      <c r="I20" s="11">
        <v>193.64400000000001</v>
      </c>
      <c r="J20" s="11">
        <v>204.36799999999999</v>
      </c>
      <c r="K20" s="11">
        <v>217.37200000000001</v>
      </c>
      <c r="L20" s="11">
        <v>225.864</v>
      </c>
      <c r="M20" s="11">
        <v>237.31700000000001</v>
      </c>
      <c r="N20" s="11">
        <v>249.9</v>
      </c>
      <c r="O20" s="11">
        <v>13.635999999999999</v>
      </c>
      <c r="P20" s="9">
        <f t="shared" ref="P20" si="21">O20+N20-C20</f>
        <v>142.983</v>
      </c>
      <c r="T20" s="1">
        <v>9</v>
      </c>
      <c r="U20" s="147">
        <f t="shared" ref="U20:AF20" si="22">D20-C20</f>
        <v>13.689999999999998</v>
      </c>
      <c r="V20" s="147">
        <f t="shared" si="22"/>
        <v>11.298000000000002</v>
      </c>
      <c r="W20" s="147">
        <f t="shared" si="22"/>
        <v>12.551000000000016</v>
      </c>
      <c r="X20" s="147">
        <f t="shared" si="22"/>
        <v>12.205999999999989</v>
      </c>
      <c r="Y20" s="147">
        <f t="shared" si="22"/>
        <v>13.282000000000011</v>
      </c>
      <c r="Z20" s="147">
        <f t="shared" si="22"/>
        <v>10.063999999999993</v>
      </c>
      <c r="AA20" s="147">
        <f t="shared" si="22"/>
        <v>10.72399999999999</v>
      </c>
      <c r="AB20" s="147">
        <f t="shared" si="22"/>
        <v>13.004000000000019</v>
      </c>
      <c r="AC20" s="147">
        <f t="shared" si="22"/>
        <v>8.4919999999999902</v>
      </c>
      <c r="AD20" s="147">
        <f t="shared" si="22"/>
        <v>11.453000000000003</v>
      </c>
      <c r="AE20" s="147">
        <f t="shared" si="22"/>
        <v>12.582999999999998</v>
      </c>
      <c r="AF20" s="147">
        <f t="shared" ref="AF20:AF23" si="23">O20</f>
        <v>13.635999999999999</v>
      </c>
    </row>
    <row r="21" spans="1:32" x14ac:dyDescent="0.35">
      <c r="A21" s="294"/>
      <c r="B21" s="10" t="s">
        <v>330</v>
      </c>
      <c r="C21" s="78">
        <v>75.11</v>
      </c>
      <c r="D21" s="11">
        <v>81.221000000000004</v>
      </c>
      <c r="E21" s="11">
        <v>86.536000000000001</v>
      </c>
      <c r="F21" s="11">
        <v>91.322999999999993</v>
      </c>
      <c r="G21" s="11">
        <v>94.656000000000006</v>
      </c>
      <c r="H21" s="11">
        <v>96.408000000000001</v>
      </c>
      <c r="I21" s="11">
        <v>97.123999999999995</v>
      </c>
      <c r="J21" s="11">
        <v>97.813999999999993</v>
      </c>
      <c r="K21" s="11">
        <v>98.55</v>
      </c>
      <c r="L21" s="11">
        <v>100.229</v>
      </c>
      <c r="M21" s="11">
        <v>105.66800000000001</v>
      </c>
      <c r="N21" s="11">
        <v>112.131</v>
      </c>
      <c r="O21" s="11">
        <v>118.749</v>
      </c>
      <c r="P21" s="9"/>
      <c r="Q21" s="9">
        <f>O21-C21</f>
        <v>43.638999999999996</v>
      </c>
      <c r="T21" s="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 spans="1:32" x14ac:dyDescent="0.35">
      <c r="A22" s="294">
        <v>10</v>
      </c>
      <c r="B22" s="10" t="s">
        <v>144</v>
      </c>
      <c r="C22" s="78">
        <v>362.08100000000002</v>
      </c>
      <c r="D22" s="11">
        <v>369.73399999999998</v>
      </c>
      <c r="E22" s="11">
        <v>377.57</v>
      </c>
      <c r="F22" s="11">
        <v>385.08300000000003</v>
      </c>
      <c r="G22" s="11">
        <v>393.38400000000001</v>
      </c>
      <c r="H22" s="11">
        <v>399.9</v>
      </c>
      <c r="I22" s="11">
        <v>408.01299999999998</v>
      </c>
      <c r="J22" s="11">
        <v>415.71499999999997</v>
      </c>
      <c r="K22" s="11">
        <v>416.36200000000002</v>
      </c>
      <c r="L22" s="11">
        <v>422.89100000000002</v>
      </c>
      <c r="M22" s="11">
        <v>429.25599999999997</v>
      </c>
      <c r="N22" s="11">
        <v>436.16</v>
      </c>
      <c r="O22" s="11">
        <v>6.4610000000000003</v>
      </c>
      <c r="P22" s="9">
        <f t="shared" ref="P22" si="24">O22+N22-C22</f>
        <v>80.54000000000002</v>
      </c>
      <c r="T22" s="1">
        <v>10</v>
      </c>
      <c r="U22" s="147">
        <f t="shared" ref="U22:AF22" si="25">D22-C22</f>
        <v>7.6529999999999632</v>
      </c>
      <c r="V22" s="147">
        <f t="shared" si="25"/>
        <v>7.8360000000000127</v>
      </c>
      <c r="W22" s="147">
        <f t="shared" si="25"/>
        <v>7.5130000000000337</v>
      </c>
      <c r="X22" s="147">
        <f t="shared" si="25"/>
        <v>8.3009999999999877</v>
      </c>
      <c r="Y22" s="147">
        <f t="shared" si="25"/>
        <v>6.5159999999999627</v>
      </c>
      <c r="Z22" s="147">
        <f t="shared" si="25"/>
        <v>8.1129999999999995</v>
      </c>
      <c r="AA22" s="147">
        <f t="shared" si="25"/>
        <v>7.7019999999999982</v>
      </c>
      <c r="AB22" s="147">
        <f t="shared" si="25"/>
        <v>0.6470000000000482</v>
      </c>
      <c r="AC22" s="147">
        <f t="shared" si="25"/>
        <v>6.5289999999999964</v>
      </c>
      <c r="AD22" s="147">
        <f t="shared" si="25"/>
        <v>6.3649999999999523</v>
      </c>
      <c r="AE22" s="147">
        <f t="shared" si="25"/>
        <v>6.9040000000000532</v>
      </c>
      <c r="AF22" s="147">
        <f t="shared" ref="AF22:AF23" si="26">O22</f>
        <v>6.4610000000000003</v>
      </c>
    </row>
    <row r="23" spans="1:32" x14ac:dyDescent="0.35">
      <c r="A23" s="294"/>
      <c r="B23" s="10" t="s">
        <v>331</v>
      </c>
      <c r="C23" s="78">
        <v>48.122999999999998</v>
      </c>
      <c r="D23" s="11">
        <v>52.404000000000003</v>
      </c>
      <c r="E23" s="11">
        <v>55.042000000000002</v>
      </c>
      <c r="F23" s="11">
        <v>56.853000000000002</v>
      </c>
      <c r="G23" s="11">
        <v>57.95</v>
      </c>
      <c r="H23" s="11">
        <v>58.56</v>
      </c>
      <c r="I23" s="11">
        <v>59.210999999999999</v>
      </c>
      <c r="J23" s="11">
        <v>59.741999999999997</v>
      </c>
      <c r="K23" s="11">
        <v>59.938000000000002</v>
      </c>
      <c r="L23" s="11">
        <v>60.554000000000002</v>
      </c>
      <c r="M23" s="11">
        <v>61.767000000000003</v>
      </c>
      <c r="N23" s="11">
        <v>64.989999999999995</v>
      </c>
      <c r="O23" s="11">
        <v>68.613</v>
      </c>
      <c r="P23" s="13"/>
      <c r="Q23" s="98">
        <f>O23-C23</f>
        <v>20.490000000000002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</row>
    <row r="24" spans="1:32" x14ac:dyDescent="0.35">
      <c r="A24" s="114"/>
      <c r="B24" s="10"/>
      <c r="C24" s="7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872.18899999999985</v>
      </c>
      <c r="Q24" s="9">
        <f>SUM(Q4:Q23)</f>
        <v>196.64800000000002</v>
      </c>
    </row>
    <row r="25" spans="1:32" x14ac:dyDescent="0.35">
      <c r="A25" s="114" t="s">
        <v>15</v>
      </c>
      <c r="B25" s="10" t="s">
        <v>267</v>
      </c>
      <c r="C25" s="79">
        <v>10067</v>
      </c>
      <c r="D25" s="15">
        <v>10256</v>
      </c>
      <c r="E25" s="15">
        <v>10441</v>
      </c>
      <c r="F25" s="15">
        <v>10628</v>
      </c>
      <c r="G25" s="15">
        <v>10825</v>
      </c>
      <c r="H25" s="15">
        <v>11005</v>
      </c>
      <c r="I25" s="15">
        <v>11220</v>
      </c>
      <c r="J25" s="15">
        <v>11398</v>
      </c>
      <c r="K25" s="15">
        <v>11597</v>
      </c>
      <c r="L25" s="15">
        <v>11775</v>
      </c>
      <c r="M25" s="15">
        <v>11950</v>
      </c>
      <c r="N25" s="15">
        <v>12144</v>
      </c>
      <c r="O25" s="15">
        <v>12333</v>
      </c>
      <c r="P25" s="9"/>
      <c r="R25" s="16">
        <f>O25-C25</f>
        <v>2266</v>
      </c>
    </row>
    <row r="26" spans="1:32" x14ac:dyDescent="0.35">
      <c r="A26" s="114"/>
      <c r="B26" s="10" t="s">
        <v>145</v>
      </c>
      <c r="C26" s="80">
        <v>4486.8</v>
      </c>
      <c r="D26" s="18">
        <v>4584.8</v>
      </c>
      <c r="E26" s="18">
        <v>4666.6000000000004</v>
      </c>
      <c r="F26" s="18">
        <v>4746.8999999999996</v>
      </c>
      <c r="G26" s="18">
        <v>4831.5</v>
      </c>
      <c r="H26" s="18">
        <v>4915.7</v>
      </c>
      <c r="I26" s="18">
        <v>4995</v>
      </c>
      <c r="J26" s="18">
        <v>5064.8999999999996</v>
      </c>
      <c r="K26" s="18">
        <v>5127.8</v>
      </c>
      <c r="L26" s="18">
        <v>5207</v>
      </c>
      <c r="M26" s="18">
        <v>5288.5</v>
      </c>
      <c r="N26" s="18">
        <v>5371.6</v>
      </c>
      <c r="O26" s="18">
        <v>85.5</v>
      </c>
      <c r="P26" s="330">
        <f t="shared" ref="P26" si="27">O26+N26-C26</f>
        <v>970.30000000000018</v>
      </c>
    </row>
    <row r="27" spans="1:32" x14ac:dyDescent="0.35">
      <c r="A27" s="114"/>
      <c r="B27" s="10" t="s">
        <v>427</v>
      </c>
      <c r="C27" s="81">
        <v>71.599999999999994</v>
      </c>
      <c r="D27" s="19">
        <v>112.34</v>
      </c>
      <c r="E27" s="19">
        <v>136.91999999999999</v>
      </c>
      <c r="F27" s="19">
        <v>157.11000000000001</v>
      </c>
      <c r="G27" s="19">
        <v>168.42</v>
      </c>
      <c r="H27" s="19">
        <v>173.53</v>
      </c>
      <c r="I27" s="19">
        <v>176.57</v>
      </c>
      <c r="J27" s="19">
        <v>178.53</v>
      </c>
      <c r="K27" s="19">
        <v>180</v>
      </c>
      <c r="L27" s="19">
        <v>184.56</v>
      </c>
      <c r="M27" s="19">
        <v>198.23</v>
      </c>
      <c r="N27" s="19">
        <v>226.21</v>
      </c>
      <c r="O27" s="19">
        <v>258.05</v>
      </c>
      <c r="P27" s="9"/>
      <c r="Q27" s="9">
        <f>(O27-C27)</f>
        <v>186.45000000000002</v>
      </c>
      <c r="R27" t="s">
        <v>82</v>
      </c>
    </row>
    <row r="28" spans="1:32" ht="15" thickBot="1" x14ac:dyDescent="0.4">
      <c r="A28" s="4"/>
      <c r="B28" s="26" t="s">
        <v>16</v>
      </c>
      <c r="C28" s="82">
        <v>448</v>
      </c>
      <c r="D28" s="21">
        <v>699</v>
      </c>
      <c r="E28" s="21">
        <v>849</v>
      </c>
      <c r="F28" s="21">
        <v>973</v>
      </c>
      <c r="G28" s="21">
        <v>1148</v>
      </c>
      <c r="H28" s="21">
        <v>1188</v>
      </c>
      <c r="I28" s="21">
        <v>1215</v>
      </c>
      <c r="J28" s="21">
        <v>1233</v>
      </c>
      <c r="K28" s="21">
        <v>1248</v>
      </c>
      <c r="L28" s="21">
        <v>1281</v>
      </c>
      <c r="M28" s="21">
        <v>1382</v>
      </c>
      <c r="N28" s="21">
        <v>1569</v>
      </c>
      <c r="O28" s="21">
        <v>1803</v>
      </c>
      <c r="P28" s="9"/>
      <c r="Q28" s="16">
        <f>O28-C28</f>
        <v>1355</v>
      </c>
      <c r="R28" t="s">
        <v>83</v>
      </c>
    </row>
    <row r="29" spans="1:32" ht="15" thickBot="1" x14ac:dyDescent="0.4">
      <c r="A29" s="115" t="str">
        <f>'1850'!A29</f>
        <v>fakturační vodoměr č.         63796</v>
      </c>
      <c r="B29" s="22"/>
      <c r="C29" s="83">
        <f>'1850'!C29</f>
        <v>24212</v>
      </c>
      <c r="D29" s="83">
        <f>'1850'!D29</f>
        <v>24552.7</v>
      </c>
      <c r="E29" s="83">
        <f>'1850'!E29</f>
        <v>24857.7</v>
      </c>
      <c r="F29" s="83">
        <f>'1850'!F29</f>
        <v>25187.3</v>
      </c>
      <c r="G29" s="83">
        <f>'1850'!G29</f>
        <v>25525.5</v>
      </c>
      <c r="H29" s="83">
        <f>'1850'!H29</f>
        <v>25865</v>
      </c>
      <c r="I29" s="83">
        <f>'1850'!I29</f>
        <v>26188.7</v>
      </c>
      <c r="J29" s="83">
        <f>'1850'!J29</f>
        <v>26482.400000000001</v>
      </c>
      <c r="K29" s="83">
        <f>'1850'!K29</f>
        <v>26791.4</v>
      </c>
      <c r="L29" s="83">
        <f>'1850'!L29</f>
        <v>27107</v>
      </c>
      <c r="M29" s="83">
        <f>'1850'!M29</f>
        <v>27434.1</v>
      </c>
      <c r="N29" s="83">
        <f>'1850'!N29</f>
        <v>27732.5</v>
      </c>
      <c r="O29" s="83">
        <f>'1850'!O29</f>
        <v>28101</v>
      </c>
      <c r="P29" s="9">
        <f>O29-C29</f>
        <v>3889</v>
      </c>
    </row>
    <row r="31" spans="1:32" x14ac:dyDescent="0.35">
      <c r="C31" s="235" t="s">
        <v>198</v>
      </c>
      <c r="D31" s="25" t="s">
        <v>213</v>
      </c>
      <c r="F31" s="235" t="s">
        <v>289</v>
      </c>
      <c r="G31" s="235" t="s">
        <v>290</v>
      </c>
      <c r="I31" s="265" t="s">
        <v>411</v>
      </c>
      <c r="J31" s="229"/>
      <c r="K31" s="229"/>
      <c r="L31" s="229"/>
      <c r="M31" s="228" t="s">
        <v>285</v>
      </c>
      <c r="N31" s="266">
        <v>257.22000000000003</v>
      </c>
      <c r="O31" s="229" t="s">
        <v>225</v>
      </c>
    </row>
    <row r="32" spans="1:32" x14ac:dyDescent="0.35">
      <c r="C32" s="303">
        <v>9</v>
      </c>
      <c r="D32" s="304">
        <v>43950</v>
      </c>
      <c r="E32" s="85" t="s">
        <v>211</v>
      </c>
      <c r="F32" s="107">
        <v>190834113</v>
      </c>
      <c r="G32" s="110">
        <f>M20+7.7</f>
        <v>245.017</v>
      </c>
      <c r="I32" s="265" t="s">
        <v>412</v>
      </c>
      <c r="J32" s="229"/>
      <c r="K32" s="229"/>
      <c r="L32" s="229"/>
      <c r="M32" s="228" t="s">
        <v>285</v>
      </c>
      <c r="N32" s="266">
        <v>0</v>
      </c>
      <c r="O32" s="265" t="s">
        <v>82</v>
      </c>
    </row>
    <row r="33" spans="3:8" x14ac:dyDescent="0.35">
      <c r="C33" s="303"/>
      <c r="D33" s="304"/>
      <c r="E33" s="85" t="s">
        <v>212</v>
      </c>
      <c r="F33" s="107">
        <v>221525380</v>
      </c>
      <c r="G33" s="110">
        <v>0</v>
      </c>
    </row>
    <row r="35" spans="3:8" x14ac:dyDescent="0.35">
      <c r="D35" t="s">
        <v>221</v>
      </c>
    </row>
    <row r="36" spans="3:8" x14ac:dyDescent="0.35">
      <c r="D36" s="304">
        <v>43956</v>
      </c>
      <c r="E36" s="85" t="s">
        <v>211</v>
      </c>
      <c r="F36" s="307"/>
      <c r="G36" s="306"/>
      <c r="H36" s="107"/>
    </row>
    <row r="37" spans="3:8" x14ac:dyDescent="0.35">
      <c r="D37" s="304"/>
      <c r="E37" s="85" t="s">
        <v>212</v>
      </c>
      <c r="F37" s="306"/>
      <c r="G37" s="306"/>
      <c r="H37" s="107"/>
    </row>
  </sheetData>
  <sheetProtection selectLockedCells="1" selectUnlockedCells="1"/>
  <mergeCells count="15">
    <mergeCell ref="D36:D37"/>
    <mergeCell ref="F36:G36"/>
    <mergeCell ref="F37:G37"/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C29:O29">
    <cfRule type="cellIs" dxfId="3672" priority="310" stopIfTrue="1" operator="equal">
      <formula>0</formula>
    </cfRule>
  </conditionalFormatting>
  <conditionalFormatting sqref="D4">
    <cfRule type="cellIs" dxfId="3671" priority="38" stopIfTrue="1" operator="lessThan">
      <formula>$C$4</formula>
    </cfRule>
    <cfRule type="cellIs" dxfId="3670" priority="39" stopIfTrue="1" operator="equal">
      <formula>$C$4</formula>
    </cfRule>
  </conditionalFormatting>
  <conditionalFormatting sqref="D5">
    <cfRule type="cellIs" dxfId="3669" priority="42" stopIfTrue="1" operator="equal">
      <formula>$C$5</formula>
    </cfRule>
    <cfRule type="cellIs" dxfId="3668" priority="43" stopIfTrue="1" operator="lessThan">
      <formula>$C$5</formula>
    </cfRule>
  </conditionalFormatting>
  <conditionalFormatting sqref="D6">
    <cfRule type="cellIs" dxfId="3667" priority="49" stopIfTrue="1" operator="equal">
      <formula>$C$6</formula>
    </cfRule>
    <cfRule type="cellIs" dxfId="3666" priority="50" stopIfTrue="1" operator="lessThan">
      <formula>$C$6</formula>
    </cfRule>
  </conditionalFormatting>
  <conditionalFormatting sqref="D7">
    <cfRule type="cellIs" dxfId="3665" priority="63" stopIfTrue="1" operator="equal">
      <formula>$C$7</formula>
    </cfRule>
    <cfRule type="cellIs" dxfId="3664" priority="64" stopIfTrue="1" operator="lessThan">
      <formula>$C$7</formula>
    </cfRule>
  </conditionalFormatting>
  <conditionalFormatting sqref="D8">
    <cfRule type="cellIs" dxfId="3663" priority="75" stopIfTrue="1" operator="equal">
      <formula>$C$8</formula>
    </cfRule>
    <cfRule type="cellIs" dxfId="3662" priority="76" stopIfTrue="1" operator="lessThan">
      <formula>$C$8</formula>
    </cfRule>
  </conditionalFormatting>
  <conditionalFormatting sqref="D9">
    <cfRule type="cellIs" dxfId="3661" priority="89" stopIfTrue="1" operator="equal">
      <formula>$C$9</formula>
    </cfRule>
    <cfRule type="cellIs" dxfId="3660" priority="90" stopIfTrue="1" operator="lessThan">
      <formula>$C$9</formula>
    </cfRule>
  </conditionalFormatting>
  <conditionalFormatting sqref="D10">
    <cfRule type="cellIs" dxfId="3659" priority="103" stopIfTrue="1" operator="equal">
      <formula>$C$10</formula>
    </cfRule>
    <cfRule type="cellIs" dxfId="3658" priority="104" stopIfTrue="1" operator="lessThan">
      <formula>$C$10</formula>
    </cfRule>
  </conditionalFormatting>
  <conditionalFormatting sqref="D11">
    <cfRule type="cellIs" dxfId="3657" priority="117" stopIfTrue="1" operator="equal">
      <formula>$C$11</formula>
    </cfRule>
    <cfRule type="cellIs" dxfId="3656" priority="118" stopIfTrue="1" operator="lessThan">
      <formula>$C$11</formula>
    </cfRule>
  </conditionalFormatting>
  <conditionalFormatting sqref="D12">
    <cfRule type="cellIs" dxfId="3655" priority="131" stopIfTrue="1" operator="equal">
      <formula>$C$12</formula>
    </cfRule>
    <cfRule type="cellIs" dxfId="3654" priority="132" stopIfTrue="1" operator="lessThan">
      <formula>$C$12</formula>
    </cfRule>
  </conditionalFormatting>
  <conditionalFormatting sqref="D13">
    <cfRule type="cellIs" dxfId="3653" priority="263" stopIfTrue="1" operator="equal">
      <formula>$C$13</formula>
    </cfRule>
    <cfRule type="cellIs" dxfId="3652" priority="264" stopIfTrue="1" operator="lessThan">
      <formula>$C$13</formula>
    </cfRule>
  </conditionalFormatting>
  <conditionalFormatting sqref="D14">
    <cfRule type="cellIs" dxfId="3651" priority="145" stopIfTrue="1" operator="equal">
      <formula>$C$14</formula>
    </cfRule>
    <cfRule type="cellIs" dxfId="3650" priority="146" stopIfTrue="1" operator="lessThan">
      <formula>$C$14</formula>
    </cfRule>
  </conditionalFormatting>
  <conditionalFormatting sqref="D15">
    <cfRule type="cellIs" dxfId="3649" priority="147" stopIfTrue="1" operator="equal">
      <formula>$C$15</formula>
    </cfRule>
    <cfRule type="cellIs" dxfId="3648" priority="148" stopIfTrue="1" operator="lessThan">
      <formula>$C$15</formula>
    </cfRule>
  </conditionalFormatting>
  <conditionalFormatting sqref="D16">
    <cfRule type="cellIs" dxfId="3647" priority="149" stopIfTrue="1" operator="equal">
      <formula>$C$16</formula>
    </cfRule>
    <cfRule type="cellIs" dxfId="3646" priority="150" stopIfTrue="1" operator="lessThan">
      <formula>$C$16</formula>
    </cfRule>
  </conditionalFormatting>
  <conditionalFormatting sqref="D17">
    <cfRule type="cellIs" dxfId="3645" priority="151" stopIfTrue="1" operator="equal">
      <formula>$C$17</formula>
    </cfRule>
    <cfRule type="cellIs" dxfId="3644" priority="152" stopIfTrue="1" operator="lessThan">
      <formula>$C$17</formula>
    </cfRule>
  </conditionalFormatting>
  <conditionalFormatting sqref="D18">
    <cfRule type="cellIs" dxfId="3643" priority="153" stopIfTrue="1" operator="equal">
      <formula>$C$18</formula>
    </cfRule>
    <cfRule type="cellIs" dxfId="3642" priority="154" stopIfTrue="1" operator="lessThan">
      <formula>$C$18</formula>
    </cfRule>
  </conditionalFormatting>
  <conditionalFormatting sqref="D19">
    <cfRule type="cellIs" dxfId="3641" priority="155" stopIfTrue="1" operator="equal">
      <formula>$C$19</formula>
    </cfRule>
    <cfRule type="cellIs" dxfId="3640" priority="156" stopIfTrue="1" operator="lessThan">
      <formula>$C$19</formula>
    </cfRule>
  </conditionalFormatting>
  <conditionalFormatting sqref="D20">
    <cfRule type="cellIs" dxfId="3639" priority="157" stopIfTrue="1" operator="equal">
      <formula>$C$20</formula>
    </cfRule>
    <cfRule type="cellIs" dxfId="3638" priority="158" stopIfTrue="1" operator="lessThan">
      <formula>$C$20</formula>
    </cfRule>
  </conditionalFormatting>
  <conditionalFormatting sqref="D21">
    <cfRule type="cellIs" dxfId="3637" priority="159" stopIfTrue="1" operator="equal">
      <formula>$C$21</formula>
    </cfRule>
    <cfRule type="cellIs" dxfId="3636" priority="160" stopIfTrue="1" operator="lessThan">
      <formula>$C$21</formula>
    </cfRule>
  </conditionalFormatting>
  <conditionalFormatting sqref="D22">
    <cfRule type="cellIs" dxfId="3635" priority="161" stopIfTrue="1" operator="equal">
      <formula>$C$22</formula>
    </cfRule>
    <cfRule type="cellIs" dxfId="3634" priority="162" stopIfTrue="1" operator="lessThan">
      <formula>$C$22</formula>
    </cfRule>
  </conditionalFormatting>
  <conditionalFormatting sqref="D23">
    <cfRule type="cellIs" dxfId="3633" priority="163" stopIfTrue="1" operator="equal">
      <formula>$C$23</formula>
    </cfRule>
    <cfRule type="cellIs" dxfId="3632" priority="164" stopIfTrue="1" operator="lessThan">
      <formula>$C$23</formula>
    </cfRule>
  </conditionalFormatting>
  <conditionalFormatting sqref="D24">
    <cfRule type="cellIs" dxfId="3631" priority="295" stopIfTrue="1" operator="equal">
      <formula>$C$24</formula>
    </cfRule>
    <cfRule type="cellIs" dxfId="3630" priority="296" stopIfTrue="1" operator="lessThan">
      <formula>$C$24</formula>
    </cfRule>
  </conditionalFormatting>
  <conditionalFormatting sqref="D25">
    <cfRule type="cellIs" dxfId="3629" priority="165" stopIfTrue="1" operator="equal">
      <formula>$C$25</formula>
    </cfRule>
    <cfRule type="cellIs" dxfId="3628" priority="166" stopIfTrue="1" operator="lessThan">
      <formula>$C$25</formula>
    </cfRule>
  </conditionalFormatting>
  <conditionalFormatting sqref="D26">
    <cfRule type="cellIs" dxfId="3627" priority="167" stopIfTrue="1" operator="equal">
      <formula>$C$26</formula>
    </cfRule>
    <cfRule type="cellIs" dxfId="3626" priority="168" stopIfTrue="1" operator="lessThan">
      <formula>$C$26</formula>
    </cfRule>
  </conditionalFormatting>
  <conditionalFormatting sqref="D27">
    <cfRule type="cellIs" dxfId="3625" priority="169" stopIfTrue="1" operator="equal">
      <formula>$C$27</formula>
    </cfRule>
    <cfRule type="cellIs" dxfId="3624" priority="170" stopIfTrue="1" operator="lessThan">
      <formula>$C$27</formula>
    </cfRule>
  </conditionalFormatting>
  <conditionalFormatting sqref="D28">
    <cfRule type="cellIs" dxfId="3623" priority="171" stopIfTrue="1" operator="equal">
      <formula>$C$28</formula>
    </cfRule>
    <cfRule type="cellIs" dxfId="3622" priority="172" stopIfTrue="1" operator="lessThan">
      <formula>$C$28</formula>
    </cfRule>
  </conditionalFormatting>
  <conditionalFormatting sqref="E4">
    <cfRule type="cellIs" dxfId="3621" priority="40" stopIfTrue="1" operator="equal">
      <formula>$D$4</formula>
    </cfRule>
    <cfRule type="cellIs" dxfId="3620" priority="41" stopIfTrue="1" operator="lessThan">
      <formula>$D$4</formula>
    </cfRule>
  </conditionalFormatting>
  <conditionalFormatting sqref="E5">
    <cfRule type="cellIs" dxfId="3619" priority="305" stopIfTrue="1" operator="equal">
      <formula>$D$5</formula>
    </cfRule>
    <cfRule type="cellIs" dxfId="3618" priority="306" stopIfTrue="1" operator="lessThan">
      <formula>$D$5</formula>
    </cfRule>
  </conditionalFormatting>
  <conditionalFormatting sqref="E6">
    <cfRule type="cellIs" dxfId="3617" priority="51" stopIfTrue="1" operator="equal">
      <formula>$D$6</formula>
    </cfRule>
    <cfRule type="cellIs" dxfId="3616" priority="52" stopIfTrue="1" operator="lessThan">
      <formula>$D$6</formula>
    </cfRule>
  </conditionalFormatting>
  <conditionalFormatting sqref="E7">
    <cfRule type="cellIs" dxfId="3615" priority="65" stopIfTrue="1" operator="equal">
      <formula>$D$7</formula>
    </cfRule>
    <cfRule type="cellIs" dxfId="3614" priority="66" stopIfTrue="1" operator="lessThan">
      <formula>$D$7</formula>
    </cfRule>
  </conditionalFormatting>
  <conditionalFormatting sqref="E8">
    <cfRule type="cellIs" dxfId="3613" priority="77" stopIfTrue="1" operator="equal">
      <formula>$D$8</formula>
    </cfRule>
    <cfRule type="cellIs" dxfId="3612" priority="78" stopIfTrue="1" operator="lessThan">
      <formula>$D$8</formula>
    </cfRule>
  </conditionalFormatting>
  <conditionalFormatting sqref="E9">
    <cfRule type="cellIs" dxfId="3611" priority="91" stopIfTrue="1" operator="equal">
      <formula>$D$9</formula>
    </cfRule>
    <cfRule type="cellIs" dxfId="3610" priority="92" stopIfTrue="1" operator="lessThan">
      <formula>$D$9</formula>
    </cfRule>
  </conditionalFormatting>
  <conditionalFormatting sqref="E10">
    <cfRule type="cellIs" dxfId="3609" priority="105" stopIfTrue="1" operator="equal">
      <formula>$D$10</formula>
    </cfRule>
    <cfRule type="cellIs" dxfId="3608" priority="106" stopIfTrue="1" operator="lessThan">
      <formula>$D$10</formula>
    </cfRule>
  </conditionalFormatting>
  <conditionalFormatting sqref="E11">
    <cfRule type="cellIs" dxfId="3607" priority="119" stopIfTrue="1" operator="equal">
      <formula>$D$11</formula>
    </cfRule>
    <cfRule type="cellIs" dxfId="3606" priority="120" stopIfTrue="1" operator="lessThan">
      <formula>$D$11</formula>
    </cfRule>
  </conditionalFormatting>
  <conditionalFormatting sqref="E12">
    <cfRule type="cellIs" dxfId="3605" priority="133" stopIfTrue="1" operator="equal">
      <formula>$D$12</formula>
    </cfRule>
    <cfRule type="cellIs" dxfId="3604" priority="134" stopIfTrue="1" operator="lessThan">
      <formula>$D$12</formula>
    </cfRule>
  </conditionalFormatting>
  <conditionalFormatting sqref="E13">
    <cfRule type="cellIs" dxfId="3603" priority="173" stopIfTrue="1" operator="equal">
      <formula>$D$13</formula>
    </cfRule>
    <cfRule type="cellIs" dxfId="3602" priority="174" stopIfTrue="1" operator="lessThan">
      <formula>$D$13</formula>
    </cfRule>
  </conditionalFormatting>
  <conditionalFormatting sqref="E14">
    <cfRule type="cellIs" dxfId="3601" priority="175" stopIfTrue="1" operator="equal">
      <formula>$D$14</formula>
    </cfRule>
    <cfRule type="cellIs" dxfId="3600" priority="176" stopIfTrue="1" operator="lessThan">
      <formula>$D$14</formula>
    </cfRule>
  </conditionalFormatting>
  <conditionalFormatting sqref="E15">
    <cfRule type="cellIs" dxfId="3599" priority="177" stopIfTrue="1" operator="equal">
      <formula>$D$15</formula>
    </cfRule>
    <cfRule type="cellIs" dxfId="3598" priority="178" stopIfTrue="1" operator="lessThan">
      <formula>$D$15</formula>
    </cfRule>
  </conditionalFormatting>
  <conditionalFormatting sqref="E16">
    <cfRule type="cellIs" dxfId="3597" priority="179" stopIfTrue="1" operator="equal">
      <formula>$D$16</formula>
    </cfRule>
    <cfRule type="cellIs" dxfId="3596" priority="180" stopIfTrue="1" operator="lessThan">
      <formula>$D$16</formula>
    </cfRule>
  </conditionalFormatting>
  <conditionalFormatting sqref="E17">
    <cfRule type="cellIs" dxfId="3595" priority="181" stopIfTrue="1" operator="equal">
      <formula>$D$17</formula>
    </cfRule>
    <cfRule type="cellIs" dxfId="3594" priority="182" stopIfTrue="1" operator="lessThan">
      <formula>$D$17</formula>
    </cfRule>
  </conditionalFormatting>
  <conditionalFormatting sqref="E18">
    <cfRule type="cellIs" dxfId="3593" priority="183" stopIfTrue="1" operator="equal">
      <formula>$D$18</formula>
    </cfRule>
    <cfRule type="cellIs" dxfId="3592" priority="184" stopIfTrue="1" operator="lessThan">
      <formula>$D$18</formula>
    </cfRule>
  </conditionalFormatting>
  <conditionalFormatting sqref="E19">
    <cfRule type="cellIs" dxfId="3591" priority="185" stopIfTrue="1" operator="equal">
      <formula>$D$19</formula>
    </cfRule>
    <cfRule type="cellIs" dxfId="3590" priority="186" stopIfTrue="1" operator="lessThan">
      <formula>$D$19</formula>
    </cfRule>
  </conditionalFormatting>
  <conditionalFormatting sqref="E20">
    <cfRule type="cellIs" dxfId="3589" priority="187" stopIfTrue="1" operator="equal">
      <formula>$D$20</formula>
    </cfRule>
    <cfRule type="cellIs" dxfId="3588" priority="188" stopIfTrue="1" operator="lessThan">
      <formula>$D$20</formula>
    </cfRule>
  </conditionalFormatting>
  <conditionalFormatting sqref="E21">
    <cfRule type="cellIs" dxfId="3587" priority="189" stopIfTrue="1" operator="equal">
      <formula>$D$21</formula>
    </cfRule>
    <cfRule type="cellIs" dxfId="3586" priority="190" stopIfTrue="1" operator="lessThan">
      <formula>$D$21</formula>
    </cfRule>
  </conditionalFormatting>
  <conditionalFormatting sqref="E22">
    <cfRule type="cellIs" dxfId="3585" priority="191" stopIfTrue="1" operator="equal">
      <formula>$D$22</formula>
    </cfRule>
    <cfRule type="cellIs" dxfId="3584" priority="192" stopIfTrue="1" operator="lessThan">
      <formula>$D$22</formula>
    </cfRule>
  </conditionalFormatting>
  <conditionalFormatting sqref="E23">
    <cfRule type="cellIs" dxfId="3583" priority="193" stopIfTrue="1" operator="equal">
      <formula>$D$23</formula>
    </cfRule>
    <cfRule type="cellIs" dxfId="3582" priority="194" stopIfTrue="1" operator="lessThan">
      <formula>$D$23</formula>
    </cfRule>
  </conditionalFormatting>
  <conditionalFormatting sqref="E24">
    <cfRule type="cellIs" dxfId="3581" priority="297" stopIfTrue="1" operator="equal">
      <formula>$D$24</formula>
    </cfRule>
    <cfRule type="cellIs" dxfId="3580" priority="298" stopIfTrue="1" operator="lessThan">
      <formula>$D$24</formula>
    </cfRule>
  </conditionalFormatting>
  <conditionalFormatting sqref="E25">
    <cfRule type="cellIs" dxfId="3579" priority="195" stopIfTrue="1" operator="equal">
      <formula>$D$25</formula>
    </cfRule>
    <cfRule type="cellIs" dxfId="3578" priority="196" stopIfTrue="1" operator="lessThan">
      <formula>$D$25</formula>
    </cfRule>
  </conditionalFormatting>
  <conditionalFormatting sqref="E26">
    <cfRule type="cellIs" dxfId="3577" priority="197" stopIfTrue="1" operator="equal">
      <formula>$D$26</formula>
    </cfRule>
    <cfRule type="cellIs" dxfId="3576" priority="198" stopIfTrue="1" operator="lessThan">
      <formula>$D$26</formula>
    </cfRule>
  </conditionalFormatting>
  <conditionalFormatting sqref="E27">
    <cfRule type="cellIs" dxfId="3575" priority="199" stopIfTrue="1" operator="equal">
      <formula>$D$27</formula>
    </cfRule>
    <cfRule type="cellIs" dxfId="3574" priority="200" stopIfTrue="1" operator="lessThan">
      <formula>$D$27</formula>
    </cfRule>
  </conditionalFormatting>
  <conditionalFormatting sqref="E28">
    <cfRule type="cellIs" dxfId="3573" priority="201" stopIfTrue="1" operator="equal">
      <formula>$D$28</formula>
    </cfRule>
    <cfRule type="cellIs" dxfId="3572" priority="202" stopIfTrue="1" operator="lessThan">
      <formula>$D$28</formula>
    </cfRule>
  </conditionalFormatting>
  <conditionalFormatting sqref="F4">
    <cfRule type="cellIs" dxfId="3571" priority="36" stopIfTrue="1" operator="equal">
      <formula>$E$4</formula>
    </cfRule>
    <cfRule type="cellIs" dxfId="3570" priority="37" stopIfTrue="1" operator="lessThan">
      <formula>$E$4</formula>
    </cfRule>
  </conditionalFormatting>
  <conditionalFormatting sqref="F5">
    <cfRule type="cellIs" dxfId="3569" priority="44" stopIfTrue="1" operator="equal">
      <formula>$E$5</formula>
    </cfRule>
    <cfRule type="cellIs" dxfId="3568" priority="45" stopIfTrue="1" operator="lessThan">
      <formula>$E$5</formula>
    </cfRule>
  </conditionalFormatting>
  <conditionalFormatting sqref="F6">
    <cfRule type="cellIs" dxfId="3567" priority="53" stopIfTrue="1" operator="equal">
      <formula>$E$6</formula>
    </cfRule>
    <cfRule type="cellIs" dxfId="3566" priority="54" stopIfTrue="1" operator="lessThan">
      <formula>$E$6</formula>
    </cfRule>
  </conditionalFormatting>
  <conditionalFormatting sqref="F7">
    <cfRule type="cellIs" dxfId="3565" priority="67" stopIfTrue="1" operator="equal">
      <formula>$E$7</formula>
    </cfRule>
    <cfRule type="cellIs" dxfId="3564" priority="68" stopIfTrue="1" operator="lessThan">
      <formula>$E$7</formula>
    </cfRule>
  </conditionalFormatting>
  <conditionalFormatting sqref="F8">
    <cfRule type="cellIs" dxfId="3563" priority="79" stopIfTrue="1" operator="equal">
      <formula>$E$8</formula>
    </cfRule>
    <cfRule type="cellIs" dxfId="3562" priority="80" stopIfTrue="1" operator="lessThan">
      <formula>$E$8</formula>
    </cfRule>
  </conditionalFormatting>
  <conditionalFormatting sqref="F9">
    <cfRule type="cellIs" dxfId="3561" priority="93" stopIfTrue="1" operator="equal">
      <formula>$E$9</formula>
    </cfRule>
    <cfRule type="cellIs" dxfId="3560" priority="94" stopIfTrue="1" operator="lessThan">
      <formula>$E$9</formula>
    </cfRule>
  </conditionalFormatting>
  <conditionalFormatting sqref="F10">
    <cfRule type="cellIs" dxfId="3559" priority="107" stopIfTrue="1" operator="equal">
      <formula>$E$10</formula>
    </cfRule>
    <cfRule type="cellIs" dxfId="3558" priority="108" stopIfTrue="1" operator="lessThan">
      <formula>$E$10</formula>
    </cfRule>
  </conditionalFormatting>
  <conditionalFormatting sqref="F11">
    <cfRule type="cellIs" dxfId="3557" priority="121" stopIfTrue="1" operator="equal">
      <formula>$E$11</formula>
    </cfRule>
    <cfRule type="cellIs" dxfId="3556" priority="122" stopIfTrue="1" operator="lessThan">
      <formula>$E$11</formula>
    </cfRule>
  </conditionalFormatting>
  <conditionalFormatting sqref="F12">
    <cfRule type="cellIs" dxfId="3555" priority="135" stopIfTrue="1" operator="equal">
      <formula>$E$12</formula>
    </cfRule>
    <cfRule type="cellIs" dxfId="3554" priority="136" stopIfTrue="1" operator="lessThan">
      <formula>$E$12</formula>
    </cfRule>
  </conditionalFormatting>
  <conditionalFormatting sqref="F13">
    <cfRule type="cellIs" dxfId="3553" priority="203" stopIfTrue="1" operator="equal">
      <formula>$E$13</formula>
    </cfRule>
    <cfRule type="cellIs" dxfId="3552" priority="204" stopIfTrue="1" operator="lessThan">
      <formula>$E$13</formula>
    </cfRule>
  </conditionalFormatting>
  <conditionalFormatting sqref="F14">
    <cfRule type="cellIs" dxfId="3551" priority="205" stopIfTrue="1" operator="equal">
      <formula>$E$14</formula>
    </cfRule>
    <cfRule type="cellIs" dxfId="3550" priority="206" stopIfTrue="1" operator="lessThan">
      <formula>$E$14</formula>
    </cfRule>
  </conditionalFormatting>
  <conditionalFormatting sqref="F15">
    <cfRule type="cellIs" dxfId="3549" priority="207" stopIfTrue="1" operator="equal">
      <formula>$E$15</formula>
    </cfRule>
    <cfRule type="cellIs" dxfId="3548" priority="208" stopIfTrue="1" operator="lessThan">
      <formula>$E$15</formula>
    </cfRule>
  </conditionalFormatting>
  <conditionalFormatting sqref="F16">
    <cfRule type="cellIs" dxfId="3547" priority="209" stopIfTrue="1" operator="equal">
      <formula>$E$16</formula>
    </cfRule>
    <cfRule type="cellIs" dxfId="3546" priority="210" stopIfTrue="1" operator="lessThan">
      <formula>$E$16</formula>
    </cfRule>
  </conditionalFormatting>
  <conditionalFormatting sqref="F17">
    <cfRule type="cellIs" dxfId="3545" priority="211" stopIfTrue="1" operator="equal">
      <formula>$E$17</formula>
    </cfRule>
    <cfRule type="cellIs" dxfId="3544" priority="212" stopIfTrue="1" operator="lessThan">
      <formula>$E$17</formula>
    </cfRule>
  </conditionalFormatting>
  <conditionalFormatting sqref="F18">
    <cfRule type="cellIs" dxfId="3543" priority="213" stopIfTrue="1" operator="equal">
      <formula>$E$18</formula>
    </cfRule>
    <cfRule type="cellIs" dxfId="3542" priority="214" stopIfTrue="1" operator="lessThan">
      <formula>$E$18</formula>
    </cfRule>
  </conditionalFormatting>
  <conditionalFormatting sqref="F19">
    <cfRule type="cellIs" dxfId="3541" priority="215" stopIfTrue="1" operator="equal">
      <formula>$E$19</formula>
    </cfRule>
    <cfRule type="cellIs" dxfId="3540" priority="216" stopIfTrue="1" operator="lessThan">
      <formula>$E$19</formula>
    </cfRule>
  </conditionalFormatting>
  <conditionalFormatting sqref="F20">
    <cfRule type="cellIs" dxfId="3539" priority="217" stopIfTrue="1" operator="equal">
      <formula>$E$20</formula>
    </cfRule>
    <cfRule type="cellIs" dxfId="3538" priority="218" stopIfTrue="1" operator="lessThan">
      <formula>$E$20</formula>
    </cfRule>
  </conditionalFormatting>
  <conditionalFormatting sqref="F21">
    <cfRule type="cellIs" dxfId="3537" priority="219" stopIfTrue="1" operator="equal">
      <formula>$E$21</formula>
    </cfRule>
    <cfRule type="cellIs" dxfId="3536" priority="220" stopIfTrue="1" operator="lessThan">
      <formula>$E$21</formula>
    </cfRule>
  </conditionalFormatting>
  <conditionalFormatting sqref="F22">
    <cfRule type="cellIs" dxfId="3535" priority="221" stopIfTrue="1" operator="equal">
      <formula>$E$22</formula>
    </cfRule>
    <cfRule type="cellIs" dxfId="3534" priority="222" stopIfTrue="1" operator="lessThan">
      <formula>$E$22</formula>
    </cfRule>
  </conditionalFormatting>
  <conditionalFormatting sqref="F23">
    <cfRule type="cellIs" dxfId="3533" priority="223" stopIfTrue="1" operator="equal">
      <formula>$E$23</formula>
    </cfRule>
    <cfRule type="cellIs" dxfId="3532" priority="224" stopIfTrue="1" operator="lessThan">
      <formula>$E$23</formula>
    </cfRule>
  </conditionalFormatting>
  <conditionalFormatting sqref="F24">
    <cfRule type="cellIs" dxfId="3531" priority="299" stopIfTrue="1" operator="equal">
      <formula>$E$24</formula>
    </cfRule>
    <cfRule type="cellIs" dxfId="3530" priority="300" stopIfTrue="1" operator="lessThan">
      <formula>$E$24</formula>
    </cfRule>
  </conditionalFormatting>
  <conditionalFormatting sqref="F25">
    <cfRule type="cellIs" dxfId="3529" priority="225" stopIfTrue="1" operator="equal">
      <formula>$E$25</formula>
    </cfRule>
    <cfRule type="cellIs" dxfId="3528" priority="226" stopIfTrue="1" operator="lessThan">
      <formula>$E$25</formula>
    </cfRule>
  </conditionalFormatting>
  <conditionalFormatting sqref="F26">
    <cfRule type="cellIs" dxfId="3527" priority="227" stopIfTrue="1" operator="equal">
      <formula>$E$26</formula>
    </cfRule>
    <cfRule type="cellIs" dxfId="3526" priority="228" stopIfTrue="1" operator="lessThan">
      <formula>$E$26</formula>
    </cfRule>
  </conditionalFormatting>
  <conditionalFormatting sqref="F27">
    <cfRule type="cellIs" dxfId="3525" priority="229" stopIfTrue="1" operator="equal">
      <formula>$E$27</formula>
    </cfRule>
    <cfRule type="cellIs" dxfId="3524" priority="230" stopIfTrue="1" operator="lessThan">
      <formula>$E$27</formula>
    </cfRule>
  </conditionalFormatting>
  <conditionalFormatting sqref="F28">
    <cfRule type="cellIs" dxfId="3523" priority="231" stopIfTrue="1" operator="equal">
      <formula>$E$28</formula>
    </cfRule>
    <cfRule type="cellIs" dxfId="3522" priority="232" stopIfTrue="1" operator="lessThan">
      <formula>$E$28</formula>
    </cfRule>
  </conditionalFormatting>
  <conditionalFormatting sqref="G4">
    <cfRule type="cellIs" dxfId="3521" priority="309" stopIfTrue="1" operator="equal">
      <formula>$F$4</formula>
    </cfRule>
  </conditionalFormatting>
  <conditionalFormatting sqref="G5">
    <cfRule type="cellIs" dxfId="3520" priority="307" stopIfTrue="1" operator="equal">
      <formula>$F$5</formula>
    </cfRule>
    <cfRule type="cellIs" dxfId="3519" priority="308" stopIfTrue="1" operator="lessThan">
      <formula>$F$5</formula>
    </cfRule>
  </conditionalFormatting>
  <conditionalFormatting sqref="G6">
    <cfRule type="cellIs" dxfId="3518" priority="55" stopIfTrue="1" operator="equal">
      <formula>$F$6</formula>
    </cfRule>
    <cfRule type="cellIs" dxfId="3517" priority="56" stopIfTrue="1" operator="lessThan">
      <formula>$F$6</formula>
    </cfRule>
  </conditionalFormatting>
  <conditionalFormatting sqref="G7">
    <cfRule type="cellIs" dxfId="3516" priority="28" stopIfTrue="1" operator="equal">
      <formula>$F$7</formula>
    </cfRule>
    <cfRule type="cellIs" dxfId="3515" priority="29" stopIfTrue="1" operator="lessThan">
      <formula>$F$7</formula>
    </cfRule>
  </conditionalFormatting>
  <conditionalFormatting sqref="G8">
    <cfRule type="cellIs" dxfId="3514" priority="81" stopIfTrue="1" operator="equal">
      <formula>$F$8</formula>
    </cfRule>
    <cfRule type="cellIs" dxfId="3513" priority="82" stopIfTrue="1" operator="lessThan">
      <formula>$F$8</formula>
    </cfRule>
  </conditionalFormatting>
  <conditionalFormatting sqref="G9">
    <cfRule type="cellIs" dxfId="3512" priority="95" stopIfTrue="1" operator="equal">
      <formula>$F$9</formula>
    </cfRule>
    <cfRule type="cellIs" dxfId="3511" priority="96" stopIfTrue="1" operator="lessThan">
      <formula>$F$9</formula>
    </cfRule>
  </conditionalFormatting>
  <conditionalFormatting sqref="G10">
    <cfRule type="cellIs" dxfId="3510" priority="109" stopIfTrue="1" operator="equal">
      <formula>$F$10</formula>
    </cfRule>
    <cfRule type="cellIs" dxfId="3509" priority="110" stopIfTrue="1" operator="lessThan">
      <formula>$F$10</formula>
    </cfRule>
  </conditionalFormatting>
  <conditionalFormatting sqref="G11">
    <cfRule type="cellIs" dxfId="3508" priority="123" stopIfTrue="1" operator="equal">
      <formula>$F$11</formula>
    </cfRule>
    <cfRule type="cellIs" dxfId="3507" priority="124" stopIfTrue="1" operator="lessThan">
      <formula>$F$11</formula>
    </cfRule>
  </conditionalFormatting>
  <conditionalFormatting sqref="G12">
    <cfRule type="cellIs" dxfId="3506" priority="137" stopIfTrue="1" operator="equal">
      <formula>$F$12</formula>
    </cfRule>
    <cfRule type="cellIs" dxfId="3505" priority="138" stopIfTrue="1" operator="lessThan">
      <formula>$F$12</formula>
    </cfRule>
  </conditionalFormatting>
  <conditionalFormatting sqref="G13">
    <cfRule type="cellIs" dxfId="3504" priority="233" stopIfTrue="1" operator="equal">
      <formula>$F$13</formula>
    </cfRule>
    <cfRule type="cellIs" dxfId="3503" priority="234" stopIfTrue="1" operator="lessThan">
      <formula>$F$13</formula>
    </cfRule>
  </conditionalFormatting>
  <conditionalFormatting sqref="G14">
    <cfRule type="cellIs" dxfId="3502" priority="235" stopIfTrue="1" operator="equal">
      <formula>$F$14</formula>
    </cfRule>
    <cfRule type="cellIs" dxfId="3501" priority="236" stopIfTrue="1" operator="lessThan">
      <formula>$F$14</formula>
    </cfRule>
  </conditionalFormatting>
  <conditionalFormatting sqref="G15">
    <cfRule type="cellIs" dxfId="3500" priority="237" stopIfTrue="1" operator="equal">
      <formula>$F$15</formula>
    </cfRule>
    <cfRule type="cellIs" dxfId="3499" priority="238" stopIfTrue="1" operator="lessThan">
      <formula>$F$15</formula>
    </cfRule>
  </conditionalFormatting>
  <conditionalFormatting sqref="G16">
    <cfRule type="cellIs" dxfId="3498" priority="239" stopIfTrue="1" operator="equal">
      <formula>$F$16</formula>
    </cfRule>
    <cfRule type="cellIs" dxfId="3497" priority="240" stopIfTrue="1" operator="lessThan">
      <formula>$F$16</formula>
    </cfRule>
  </conditionalFormatting>
  <conditionalFormatting sqref="G17">
    <cfRule type="cellIs" dxfId="3496" priority="241" stopIfTrue="1" operator="equal">
      <formula>$F$17</formula>
    </cfRule>
    <cfRule type="cellIs" dxfId="3495" priority="242" stopIfTrue="1" operator="lessThan">
      <formula>$F$17</formula>
    </cfRule>
  </conditionalFormatting>
  <conditionalFormatting sqref="G18">
    <cfRule type="cellIs" dxfId="3494" priority="243" stopIfTrue="1" operator="equal">
      <formula>$F$18</formula>
    </cfRule>
    <cfRule type="cellIs" dxfId="3493" priority="244" stopIfTrue="1" operator="lessThan">
      <formula>$F$18</formula>
    </cfRule>
  </conditionalFormatting>
  <conditionalFormatting sqref="G19">
    <cfRule type="cellIs" dxfId="3492" priority="245" stopIfTrue="1" operator="equal">
      <formula>$F$19</formula>
    </cfRule>
    <cfRule type="cellIs" dxfId="3491" priority="246" stopIfTrue="1" operator="lessThan">
      <formula>$F$19</formula>
    </cfRule>
  </conditionalFormatting>
  <conditionalFormatting sqref="G20">
    <cfRule type="cellIs" dxfId="3490" priority="247" stopIfTrue="1" operator="equal">
      <formula>$F$20</formula>
    </cfRule>
    <cfRule type="cellIs" dxfId="3489" priority="248" stopIfTrue="1" operator="lessThan">
      <formula>$F$20</formula>
    </cfRule>
  </conditionalFormatting>
  <conditionalFormatting sqref="G21">
    <cfRule type="cellIs" dxfId="3488" priority="249" stopIfTrue="1" operator="equal">
      <formula>$F$21</formula>
    </cfRule>
    <cfRule type="cellIs" dxfId="3487" priority="250" stopIfTrue="1" operator="lessThan">
      <formula>$F$21</formula>
    </cfRule>
  </conditionalFormatting>
  <conditionalFormatting sqref="G22">
    <cfRule type="cellIs" dxfId="3486" priority="251" stopIfTrue="1" operator="equal">
      <formula>$F$22</formula>
    </cfRule>
    <cfRule type="cellIs" dxfId="3485" priority="252" stopIfTrue="1" operator="lessThan">
      <formula>$F$22</formula>
    </cfRule>
  </conditionalFormatting>
  <conditionalFormatting sqref="G23">
    <cfRule type="cellIs" dxfId="3484" priority="253" stopIfTrue="1" operator="equal">
      <formula>$F$23</formula>
    </cfRule>
    <cfRule type="cellIs" dxfId="3483" priority="254" stopIfTrue="1" operator="lessThan">
      <formula>$F$23</formula>
    </cfRule>
  </conditionalFormatting>
  <conditionalFormatting sqref="G24">
    <cfRule type="cellIs" dxfId="3482" priority="301" stopIfTrue="1" operator="equal">
      <formula>$F$24</formula>
    </cfRule>
    <cfRule type="cellIs" dxfId="3481" priority="302" stopIfTrue="1" operator="lessThan">
      <formula>$F$24</formula>
    </cfRule>
  </conditionalFormatting>
  <conditionalFormatting sqref="G25">
    <cfRule type="cellIs" dxfId="3480" priority="255" stopIfTrue="1" operator="equal">
      <formula>$F$25</formula>
    </cfRule>
    <cfRule type="cellIs" dxfId="3479" priority="256" stopIfTrue="1" operator="lessThan">
      <formula>$F$25</formula>
    </cfRule>
  </conditionalFormatting>
  <conditionalFormatting sqref="G26">
    <cfRule type="cellIs" dxfId="3478" priority="257" stopIfTrue="1" operator="equal">
      <formula>$F$26</formula>
    </cfRule>
    <cfRule type="cellIs" dxfId="3477" priority="258" stopIfTrue="1" operator="lessThan">
      <formula>$F$26</formula>
    </cfRule>
  </conditionalFormatting>
  <conditionalFormatting sqref="G27">
    <cfRule type="cellIs" dxfId="3476" priority="259" stopIfTrue="1" operator="equal">
      <formula>$F$27</formula>
    </cfRule>
    <cfRule type="cellIs" dxfId="3475" priority="260" stopIfTrue="1" operator="lessThan">
      <formula>$F$27</formula>
    </cfRule>
  </conditionalFormatting>
  <conditionalFormatting sqref="G28">
    <cfRule type="cellIs" dxfId="3474" priority="261" stopIfTrue="1" operator="equal">
      <formula>$F$28</formula>
    </cfRule>
    <cfRule type="cellIs" dxfId="3473" priority="262" stopIfTrue="1" operator="lessThan">
      <formula>$F$28</formula>
    </cfRule>
  </conditionalFormatting>
  <conditionalFormatting sqref="H4">
    <cfRule type="cellIs" dxfId="3472" priority="26" stopIfTrue="1" operator="lessThan">
      <formula>$G$4</formula>
    </cfRule>
    <cfRule type="cellIs" dxfId="3471" priority="27" stopIfTrue="1" operator="equal">
      <formula>$G$4</formula>
    </cfRule>
  </conditionalFormatting>
  <conditionalFormatting sqref="H5">
    <cfRule type="cellIs" dxfId="3470" priority="30" stopIfTrue="1" operator="equal">
      <formula>$G$5</formula>
    </cfRule>
    <cfRule type="cellIs" dxfId="3469" priority="31" stopIfTrue="1" operator="lessThan">
      <formula>$G$5</formula>
    </cfRule>
  </conditionalFormatting>
  <conditionalFormatting sqref="H6">
    <cfRule type="cellIs" dxfId="3468" priority="57" stopIfTrue="1" operator="equal">
      <formula>$G$6</formula>
    </cfRule>
    <cfRule type="cellIs" dxfId="3467" priority="58" stopIfTrue="1" operator="lessThan">
      <formula>$G$6</formula>
    </cfRule>
  </conditionalFormatting>
  <conditionalFormatting sqref="H7">
    <cfRule type="cellIs" dxfId="3466" priority="69" stopIfTrue="1" operator="equal">
      <formula>$G$7</formula>
    </cfRule>
    <cfRule type="cellIs" dxfId="3465" priority="70" stopIfTrue="1" operator="lessThan">
      <formula>$G$7</formula>
    </cfRule>
  </conditionalFormatting>
  <conditionalFormatting sqref="H8">
    <cfRule type="cellIs" dxfId="3464" priority="83" stopIfTrue="1" operator="equal">
      <formula>$G$8</formula>
    </cfRule>
    <cfRule type="cellIs" dxfId="3463" priority="84" stopIfTrue="1" operator="lessThan">
      <formula>$G$8</formula>
    </cfRule>
  </conditionalFormatting>
  <conditionalFormatting sqref="H9">
    <cfRule type="cellIs" dxfId="3462" priority="97" stopIfTrue="1" operator="equal">
      <formula>$G$9</formula>
    </cfRule>
    <cfRule type="cellIs" dxfId="3461" priority="98" stopIfTrue="1" operator="lessThan">
      <formula>$G$9</formula>
    </cfRule>
  </conditionalFormatting>
  <conditionalFormatting sqref="H10">
    <cfRule type="cellIs" dxfId="3460" priority="111" stopIfTrue="1" operator="equal">
      <formula>$G$10</formula>
    </cfRule>
    <cfRule type="cellIs" dxfId="3459" priority="112" stopIfTrue="1" operator="lessThan">
      <formula>$G$10</formula>
    </cfRule>
  </conditionalFormatting>
  <conditionalFormatting sqref="H11">
    <cfRule type="cellIs" dxfId="3458" priority="125" stopIfTrue="1" operator="equal">
      <formula>$G$11</formula>
    </cfRule>
    <cfRule type="cellIs" dxfId="3457" priority="126" stopIfTrue="1" operator="lessThan">
      <formula>$G$11</formula>
    </cfRule>
  </conditionalFormatting>
  <conditionalFormatting sqref="H12">
    <cfRule type="cellIs" dxfId="3456" priority="139" stopIfTrue="1" operator="equal">
      <formula>$G$12</formula>
    </cfRule>
    <cfRule type="cellIs" dxfId="3455" priority="140" stopIfTrue="1" operator="lessThan">
      <formula>$G$12</formula>
    </cfRule>
  </conditionalFormatting>
  <conditionalFormatting sqref="H13">
    <cfRule type="cellIs" dxfId="3454" priority="265" stopIfTrue="1" operator="equal">
      <formula>$G$13</formula>
    </cfRule>
    <cfRule type="cellIs" dxfId="3453" priority="266" stopIfTrue="1" operator="lessThan">
      <formula>$G$13</formula>
    </cfRule>
  </conditionalFormatting>
  <conditionalFormatting sqref="H14">
    <cfRule type="cellIs" dxfId="3452" priority="267" stopIfTrue="1" operator="equal">
      <formula>$G$14</formula>
    </cfRule>
    <cfRule type="cellIs" dxfId="3451" priority="268" stopIfTrue="1" operator="lessThan">
      <formula>$G$14</formula>
    </cfRule>
  </conditionalFormatting>
  <conditionalFormatting sqref="H15">
    <cfRule type="cellIs" dxfId="3450" priority="269" stopIfTrue="1" operator="equal">
      <formula>$G$15</formula>
    </cfRule>
    <cfRule type="cellIs" dxfId="3449" priority="270" stopIfTrue="1" operator="lessThan">
      <formula>$G$15</formula>
    </cfRule>
  </conditionalFormatting>
  <conditionalFormatting sqref="H16">
    <cfRule type="cellIs" dxfId="3448" priority="271" stopIfTrue="1" operator="equal">
      <formula>$G$16</formula>
    </cfRule>
    <cfRule type="cellIs" dxfId="3447" priority="272" stopIfTrue="1" operator="lessThan">
      <formula>$G$16</formula>
    </cfRule>
  </conditionalFormatting>
  <conditionalFormatting sqref="H17">
    <cfRule type="cellIs" dxfId="3446" priority="273" stopIfTrue="1" operator="equal">
      <formula>$G$17</formula>
    </cfRule>
    <cfRule type="cellIs" dxfId="3445" priority="274" stopIfTrue="1" operator="lessThan">
      <formula>$G$17</formula>
    </cfRule>
  </conditionalFormatting>
  <conditionalFormatting sqref="H18">
    <cfRule type="cellIs" dxfId="3444" priority="275" stopIfTrue="1" operator="equal">
      <formula>$G$18</formula>
    </cfRule>
    <cfRule type="cellIs" dxfId="3443" priority="276" stopIfTrue="1" operator="lessThan">
      <formula>$G$18</formula>
    </cfRule>
  </conditionalFormatting>
  <conditionalFormatting sqref="H19">
    <cfRule type="cellIs" dxfId="3442" priority="277" stopIfTrue="1" operator="equal">
      <formula>$G$19</formula>
    </cfRule>
    <cfRule type="cellIs" dxfId="3441" priority="278" stopIfTrue="1" operator="lessThan">
      <formula>$G$19</formula>
    </cfRule>
  </conditionalFormatting>
  <conditionalFormatting sqref="H20">
    <cfRule type="cellIs" dxfId="3440" priority="279" stopIfTrue="1" operator="equal">
      <formula>$G$20</formula>
    </cfRule>
    <cfRule type="cellIs" dxfId="3439" priority="280" stopIfTrue="1" operator="lessThan">
      <formula>$G$20</formula>
    </cfRule>
  </conditionalFormatting>
  <conditionalFormatting sqref="H21">
    <cfRule type="cellIs" dxfId="3438" priority="281" stopIfTrue="1" operator="equal">
      <formula>$G$21</formula>
    </cfRule>
    <cfRule type="cellIs" dxfId="3437" priority="282" stopIfTrue="1" operator="lessThan">
      <formula>$G$21</formula>
    </cfRule>
  </conditionalFormatting>
  <conditionalFormatting sqref="H22">
    <cfRule type="cellIs" dxfId="3436" priority="283" stopIfTrue="1" operator="equal">
      <formula>$G$22</formula>
    </cfRule>
    <cfRule type="cellIs" dxfId="3435" priority="284" stopIfTrue="1" operator="lessThan">
      <formula>$G$22</formula>
    </cfRule>
  </conditionalFormatting>
  <conditionalFormatting sqref="H23">
    <cfRule type="cellIs" dxfId="3434" priority="285" stopIfTrue="1" operator="equal">
      <formula>$G$23</formula>
    </cfRule>
    <cfRule type="cellIs" dxfId="3433" priority="286" stopIfTrue="1" operator="lessThan">
      <formula>$G$23</formula>
    </cfRule>
  </conditionalFormatting>
  <conditionalFormatting sqref="H24">
    <cfRule type="cellIs" dxfId="3432" priority="303" stopIfTrue="1" operator="equal">
      <formula>$G$24</formula>
    </cfRule>
    <cfRule type="cellIs" dxfId="3431" priority="304" stopIfTrue="1" operator="lessThan">
      <formula>$G$24</formula>
    </cfRule>
  </conditionalFormatting>
  <conditionalFormatting sqref="H25">
    <cfRule type="cellIs" dxfId="3430" priority="287" stopIfTrue="1" operator="equal">
      <formula>$G$25</formula>
    </cfRule>
    <cfRule type="cellIs" dxfId="3429" priority="288" stopIfTrue="1" operator="lessThan">
      <formula>$G$25</formula>
    </cfRule>
  </conditionalFormatting>
  <conditionalFormatting sqref="H26">
    <cfRule type="cellIs" dxfId="3428" priority="289" stopIfTrue="1" operator="equal">
      <formula>$G$26</formula>
    </cfRule>
    <cfRule type="cellIs" dxfId="3427" priority="290" stopIfTrue="1" operator="lessThan">
      <formula>$G$26</formula>
    </cfRule>
  </conditionalFormatting>
  <conditionalFormatting sqref="H27">
    <cfRule type="cellIs" dxfId="3426" priority="291" stopIfTrue="1" operator="equal">
      <formula>$G$27</formula>
    </cfRule>
    <cfRule type="cellIs" dxfId="3425" priority="292" stopIfTrue="1" operator="lessThan">
      <formula>$G$27</formula>
    </cfRule>
  </conditionalFormatting>
  <conditionalFormatting sqref="H28">
    <cfRule type="cellIs" dxfId="3424" priority="293" stopIfTrue="1" operator="equal">
      <formula>$G$28</formula>
    </cfRule>
    <cfRule type="cellIs" dxfId="3423" priority="294" stopIfTrue="1" operator="lessThan">
      <formula>$G$28</formula>
    </cfRule>
  </conditionalFormatting>
  <conditionalFormatting sqref="I4">
    <cfRule type="cellIs" dxfId="3422" priority="46" stopIfTrue="1" operator="equal">
      <formula>$H$4</formula>
    </cfRule>
  </conditionalFormatting>
  <conditionalFormatting sqref="I5">
    <cfRule type="cellIs" dxfId="3421" priority="32" stopIfTrue="1" operator="equal">
      <formula>$H$5</formula>
    </cfRule>
    <cfRule type="cellIs" dxfId="3420" priority="33" stopIfTrue="1" operator="lessThan">
      <formula>$H$5</formula>
    </cfRule>
  </conditionalFormatting>
  <conditionalFormatting sqref="I6">
    <cfRule type="cellIs" dxfId="3419" priority="59" stopIfTrue="1" operator="equal">
      <formula>$H$6</formula>
    </cfRule>
    <cfRule type="cellIs" dxfId="3418" priority="60" stopIfTrue="1" operator="lessThan">
      <formula>$H$6</formula>
    </cfRule>
  </conditionalFormatting>
  <conditionalFormatting sqref="I7">
    <cfRule type="cellIs" dxfId="3417" priority="71" stopIfTrue="1" operator="equal">
      <formula>$H$7</formula>
    </cfRule>
    <cfRule type="cellIs" dxfId="3416" priority="72" stopIfTrue="1" operator="lessThan">
      <formula>$H$7</formula>
    </cfRule>
  </conditionalFormatting>
  <conditionalFormatting sqref="I8">
    <cfRule type="cellIs" dxfId="3415" priority="85" stopIfTrue="1" operator="equal">
      <formula>$H$8</formula>
    </cfRule>
    <cfRule type="cellIs" dxfId="3414" priority="86" stopIfTrue="1" operator="lessThan">
      <formula>$H$8</formula>
    </cfRule>
  </conditionalFormatting>
  <conditionalFormatting sqref="I9">
    <cfRule type="cellIs" dxfId="3413" priority="99" stopIfTrue="1" operator="equal">
      <formula>$H$9</formula>
    </cfRule>
    <cfRule type="cellIs" dxfId="3412" priority="100" stopIfTrue="1" operator="lessThan">
      <formula>$H$9</formula>
    </cfRule>
  </conditionalFormatting>
  <conditionalFormatting sqref="I10">
    <cfRule type="cellIs" dxfId="3411" priority="113" stopIfTrue="1" operator="equal">
      <formula>$H$10</formula>
    </cfRule>
    <cfRule type="cellIs" dxfId="3410" priority="114" stopIfTrue="1" operator="lessThan">
      <formula>$H$10</formula>
    </cfRule>
  </conditionalFormatting>
  <conditionalFormatting sqref="I11">
    <cfRule type="cellIs" dxfId="3409" priority="127" stopIfTrue="1" operator="equal">
      <formula>$H$11</formula>
    </cfRule>
    <cfRule type="cellIs" dxfId="3408" priority="128" stopIfTrue="1" operator="lessThan">
      <formula>$H$11</formula>
    </cfRule>
  </conditionalFormatting>
  <conditionalFormatting sqref="I12">
    <cfRule type="cellIs" dxfId="3407" priority="141" stopIfTrue="1" operator="equal">
      <formula>$H$12</formula>
    </cfRule>
    <cfRule type="cellIs" dxfId="3406" priority="142" stopIfTrue="1" operator="lessThan">
      <formula>$H$12</formula>
    </cfRule>
  </conditionalFormatting>
  <conditionalFormatting sqref="I13">
    <cfRule type="cellIs" dxfId="3405" priority="311" stopIfTrue="1" operator="equal">
      <formula>$H$13</formula>
    </cfRule>
    <cfRule type="cellIs" dxfId="3404" priority="312" stopIfTrue="1" operator="lessThan">
      <formula>$H$13</formula>
    </cfRule>
  </conditionalFormatting>
  <conditionalFormatting sqref="I14">
    <cfRule type="cellIs" dxfId="3403" priority="313" stopIfTrue="1" operator="equal">
      <formula>$H$14</formula>
    </cfRule>
    <cfRule type="cellIs" dxfId="3402" priority="314" stopIfTrue="1" operator="lessThan">
      <formula>$H$14</formula>
    </cfRule>
  </conditionalFormatting>
  <conditionalFormatting sqref="I15">
    <cfRule type="cellIs" dxfId="3401" priority="315" stopIfTrue="1" operator="equal">
      <formula>$H$15</formula>
    </cfRule>
    <cfRule type="cellIs" dxfId="3400" priority="316" stopIfTrue="1" operator="lessThan">
      <formula>$H$15</formula>
    </cfRule>
  </conditionalFormatting>
  <conditionalFormatting sqref="I16">
    <cfRule type="cellIs" dxfId="3399" priority="317" stopIfTrue="1" operator="equal">
      <formula>$H$16</formula>
    </cfRule>
    <cfRule type="cellIs" dxfId="3398" priority="318" stopIfTrue="1" operator="lessThan">
      <formula>$H$16</formula>
    </cfRule>
  </conditionalFormatting>
  <conditionalFormatting sqref="I17">
    <cfRule type="cellIs" dxfId="3397" priority="319" stopIfTrue="1" operator="equal">
      <formula>$H$17</formula>
    </cfRule>
    <cfRule type="cellIs" dxfId="3396" priority="320" stopIfTrue="1" operator="lessThan">
      <formula>$H$17</formula>
    </cfRule>
  </conditionalFormatting>
  <conditionalFormatting sqref="I18">
    <cfRule type="cellIs" dxfId="3395" priority="321" stopIfTrue="1" operator="equal">
      <formula>$H$18</formula>
    </cfRule>
    <cfRule type="cellIs" dxfId="3394" priority="322" stopIfTrue="1" operator="lessThan">
      <formula>$H$18</formula>
    </cfRule>
  </conditionalFormatting>
  <conditionalFormatting sqref="I19">
    <cfRule type="cellIs" dxfId="3393" priority="323" stopIfTrue="1" operator="equal">
      <formula>$H$19</formula>
    </cfRule>
    <cfRule type="cellIs" dxfId="3392" priority="324" stopIfTrue="1" operator="lessThan">
      <formula>$H$19</formula>
    </cfRule>
  </conditionalFormatting>
  <conditionalFormatting sqref="I20">
    <cfRule type="cellIs" dxfId="3391" priority="325" stopIfTrue="1" operator="equal">
      <formula>$H$20</formula>
    </cfRule>
    <cfRule type="cellIs" dxfId="3390" priority="326" stopIfTrue="1" operator="lessThan">
      <formula>$H$20</formula>
    </cfRule>
  </conditionalFormatting>
  <conditionalFormatting sqref="I21">
    <cfRule type="cellIs" dxfId="3389" priority="327" stopIfTrue="1" operator="equal">
      <formula>$H$21</formula>
    </cfRule>
    <cfRule type="cellIs" dxfId="3388" priority="328" stopIfTrue="1" operator="lessThan">
      <formula>$H$21</formula>
    </cfRule>
  </conditionalFormatting>
  <conditionalFormatting sqref="I22">
    <cfRule type="cellIs" dxfId="3387" priority="329" stopIfTrue="1" operator="equal">
      <formula>$H$22</formula>
    </cfRule>
    <cfRule type="cellIs" dxfId="3386" priority="330" stopIfTrue="1" operator="lessThan">
      <formula>$H$22</formula>
    </cfRule>
  </conditionalFormatting>
  <conditionalFormatting sqref="I23">
    <cfRule type="cellIs" dxfId="3385" priority="331" stopIfTrue="1" operator="equal">
      <formula>$H$23</formula>
    </cfRule>
    <cfRule type="cellIs" dxfId="3384" priority="332" stopIfTrue="1" operator="lessThan">
      <formula>$H$23</formula>
    </cfRule>
  </conditionalFormatting>
  <conditionalFormatting sqref="I24">
    <cfRule type="cellIs" dxfId="3383" priority="333" stopIfTrue="1" operator="equal">
      <formula>$H$24</formula>
    </cfRule>
    <cfRule type="cellIs" dxfId="3382" priority="334" stopIfTrue="1" operator="lessThan">
      <formula>$H$24</formula>
    </cfRule>
  </conditionalFormatting>
  <conditionalFormatting sqref="I25">
    <cfRule type="cellIs" dxfId="3381" priority="335" stopIfTrue="1" operator="equal">
      <formula>$H$25</formula>
    </cfRule>
    <cfRule type="cellIs" dxfId="3380" priority="336" stopIfTrue="1" operator="lessThan">
      <formula>$H$25</formula>
    </cfRule>
  </conditionalFormatting>
  <conditionalFormatting sqref="I26">
    <cfRule type="cellIs" dxfId="3379" priority="337" stopIfTrue="1" operator="equal">
      <formula>$H$26</formula>
    </cfRule>
    <cfRule type="cellIs" dxfId="3378" priority="338" stopIfTrue="1" operator="lessThan">
      <formula>$H$26</formula>
    </cfRule>
  </conditionalFormatting>
  <conditionalFormatting sqref="I27">
    <cfRule type="cellIs" dxfId="3377" priority="339" stopIfTrue="1" operator="equal">
      <formula>$H$27</formula>
    </cfRule>
    <cfRule type="cellIs" dxfId="3376" priority="340" stopIfTrue="1" operator="lessThan">
      <formula>$H$27</formula>
    </cfRule>
  </conditionalFormatting>
  <conditionalFormatting sqref="I28">
    <cfRule type="cellIs" dxfId="3375" priority="342" stopIfTrue="1" operator="equal">
      <formula>$H$28</formula>
    </cfRule>
    <cfRule type="cellIs" dxfId="3374" priority="343" stopIfTrue="1" operator="lessThan">
      <formula>$H$28</formula>
    </cfRule>
  </conditionalFormatting>
  <conditionalFormatting sqref="I29">
    <cfRule type="cellIs" dxfId="3373" priority="344" stopIfTrue="1" operator="equal">
      <formula>$H$29</formula>
    </cfRule>
    <cfRule type="cellIs" dxfId="3372" priority="345" stopIfTrue="1" operator="lessThan">
      <formula>$H$29</formula>
    </cfRule>
  </conditionalFormatting>
  <conditionalFormatting sqref="J4">
    <cfRule type="cellIs" dxfId="3371" priority="47" stopIfTrue="1" operator="lessThan">
      <formula>$I$4</formula>
    </cfRule>
    <cfRule type="cellIs" dxfId="3370" priority="48" stopIfTrue="1" operator="equal">
      <formula>$I$4</formula>
    </cfRule>
  </conditionalFormatting>
  <conditionalFormatting sqref="J5">
    <cfRule type="cellIs" dxfId="3369" priority="34" stopIfTrue="1" operator="equal">
      <formula>$I$5</formula>
    </cfRule>
    <cfRule type="cellIs" dxfId="3368" priority="35" stopIfTrue="1" operator="lessThan">
      <formula>$I$5</formula>
    </cfRule>
  </conditionalFormatting>
  <conditionalFormatting sqref="J6">
    <cfRule type="cellIs" dxfId="3367" priority="61" stopIfTrue="1" operator="equal">
      <formula>$I$6</formula>
    </cfRule>
    <cfRule type="cellIs" dxfId="3366" priority="62" stopIfTrue="1" operator="lessThan">
      <formula>$I$6</formula>
    </cfRule>
  </conditionalFormatting>
  <conditionalFormatting sqref="J7">
    <cfRule type="cellIs" dxfId="3365" priority="73" stopIfTrue="1" operator="equal">
      <formula>$I$7</formula>
    </cfRule>
    <cfRule type="cellIs" dxfId="3364" priority="74" stopIfTrue="1" operator="lessThan">
      <formula>$I$7</formula>
    </cfRule>
  </conditionalFormatting>
  <conditionalFormatting sqref="J8">
    <cfRule type="cellIs" dxfId="3363" priority="87" stopIfTrue="1" operator="equal">
      <formula>$I$8</formula>
    </cfRule>
    <cfRule type="cellIs" dxfId="3362" priority="88" stopIfTrue="1" operator="lessThan">
      <formula>$I$8</formula>
    </cfRule>
  </conditionalFormatting>
  <conditionalFormatting sqref="J9">
    <cfRule type="cellIs" dxfId="3361" priority="101" stopIfTrue="1" operator="equal">
      <formula>$I$9</formula>
    </cfRule>
    <cfRule type="cellIs" dxfId="3360" priority="102" stopIfTrue="1" operator="lessThan">
      <formula>$I$9</formula>
    </cfRule>
  </conditionalFormatting>
  <conditionalFormatting sqref="J10">
    <cfRule type="cellIs" dxfId="3359" priority="115" stopIfTrue="1" operator="equal">
      <formula>$I$10</formula>
    </cfRule>
    <cfRule type="cellIs" dxfId="3358" priority="116" stopIfTrue="1" operator="lessThan">
      <formula>$I$10</formula>
    </cfRule>
  </conditionalFormatting>
  <conditionalFormatting sqref="J11">
    <cfRule type="cellIs" dxfId="3357" priority="129" stopIfTrue="1" operator="equal">
      <formula>$I$11</formula>
    </cfRule>
    <cfRule type="cellIs" dxfId="3356" priority="130" stopIfTrue="1" operator="lessThan">
      <formula>$I$11</formula>
    </cfRule>
  </conditionalFormatting>
  <conditionalFormatting sqref="J12">
    <cfRule type="cellIs" dxfId="3355" priority="143" stopIfTrue="1" operator="equal">
      <formula>$I$12</formula>
    </cfRule>
    <cfRule type="cellIs" dxfId="3354" priority="144" stopIfTrue="1" operator="lessThan">
      <formula>$I$12</formula>
    </cfRule>
  </conditionalFormatting>
  <conditionalFormatting sqref="J13">
    <cfRule type="cellIs" dxfId="3353" priority="346" stopIfTrue="1" operator="equal">
      <formula>$I$13</formula>
    </cfRule>
    <cfRule type="cellIs" dxfId="3352" priority="347" stopIfTrue="1" operator="lessThan">
      <formula>$I$13</formula>
    </cfRule>
  </conditionalFormatting>
  <conditionalFormatting sqref="J14">
    <cfRule type="cellIs" dxfId="3351" priority="348" stopIfTrue="1" operator="equal">
      <formula>$I$14</formula>
    </cfRule>
    <cfRule type="cellIs" dxfId="3350" priority="349" stopIfTrue="1" operator="lessThan">
      <formula>$I$14</formula>
    </cfRule>
  </conditionalFormatting>
  <conditionalFormatting sqref="J15">
    <cfRule type="cellIs" dxfId="3349" priority="350" stopIfTrue="1" operator="equal">
      <formula>$I$15</formula>
    </cfRule>
    <cfRule type="cellIs" dxfId="3348" priority="351" stopIfTrue="1" operator="lessThan">
      <formula>$I$15</formula>
    </cfRule>
  </conditionalFormatting>
  <conditionalFormatting sqref="J16">
    <cfRule type="cellIs" dxfId="3347" priority="352" stopIfTrue="1" operator="equal">
      <formula>$I$16</formula>
    </cfRule>
    <cfRule type="cellIs" dxfId="3346" priority="353" stopIfTrue="1" operator="lessThan">
      <formula>$I$16</formula>
    </cfRule>
  </conditionalFormatting>
  <conditionalFormatting sqref="J17">
    <cfRule type="cellIs" dxfId="3345" priority="354" stopIfTrue="1" operator="equal">
      <formula>$I$17</formula>
    </cfRule>
    <cfRule type="cellIs" dxfId="3344" priority="355" stopIfTrue="1" operator="lessThan">
      <formula>$I$17</formula>
    </cfRule>
  </conditionalFormatting>
  <conditionalFormatting sqref="J18">
    <cfRule type="cellIs" dxfId="3343" priority="356" stopIfTrue="1" operator="equal">
      <formula>$I$18</formula>
    </cfRule>
    <cfRule type="cellIs" dxfId="3342" priority="357" stopIfTrue="1" operator="lessThan">
      <formula>$I$18</formula>
    </cfRule>
  </conditionalFormatting>
  <conditionalFormatting sqref="J19">
    <cfRule type="cellIs" dxfId="3341" priority="358" stopIfTrue="1" operator="equal">
      <formula>$I$19</formula>
    </cfRule>
    <cfRule type="cellIs" dxfId="3340" priority="359" stopIfTrue="1" operator="lessThan">
      <formula>$I$19</formula>
    </cfRule>
  </conditionalFormatting>
  <conditionalFormatting sqref="J20">
    <cfRule type="cellIs" dxfId="3339" priority="360" stopIfTrue="1" operator="equal">
      <formula>$I$20</formula>
    </cfRule>
    <cfRule type="cellIs" dxfId="3338" priority="361" stopIfTrue="1" operator="lessThan">
      <formula>$I$20</formula>
    </cfRule>
  </conditionalFormatting>
  <conditionalFormatting sqref="J21">
    <cfRule type="cellIs" dxfId="3337" priority="362" stopIfTrue="1" operator="equal">
      <formula>$I$21</formula>
    </cfRule>
    <cfRule type="cellIs" dxfId="3336" priority="363" stopIfTrue="1" operator="lessThan">
      <formula>$I$21</formula>
    </cfRule>
  </conditionalFormatting>
  <conditionalFormatting sqref="J22">
    <cfRule type="cellIs" dxfId="3335" priority="364" stopIfTrue="1" operator="equal">
      <formula>$I$22</formula>
    </cfRule>
    <cfRule type="cellIs" dxfId="3334" priority="365" stopIfTrue="1" operator="lessThan">
      <formula>$I$22</formula>
    </cfRule>
  </conditionalFormatting>
  <conditionalFormatting sqref="J23">
    <cfRule type="cellIs" dxfId="3333" priority="366" stopIfTrue="1" operator="equal">
      <formula>$I$23</formula>
    </cfRule>
    <cfRule type="cellIs" dxfId="3332" priority="367" stopIfTrue="1" operator="lessThan">
      <formula>$I$23</formula>
    </cfRule>
  </conditionalFormatting>
  <conditionalFormatting sqref="J24">
    <cfRule type="cellIs" dxfId="3331" priority="368" stopIfTrue="1" operator="equal">
      <formula>$I$24</formula>
    </cfRule>
    <cfRule type="cellIs" dxfId="3330" priority="369" stopIfTrue="1" operator="lessThan">
      <formula>$I$24</formula>
    </cfRule>
  </conditionalFormatting>
  <conditionalFormatting sqref="J25">
    <cfRule type="cellIs" dxfId="3329" priority="370" stopIfTrue="1" operator="equal">
      <formula>$I$25</formula>
    </cfRule>
    <cfRule type="cellIs" dxfId="3328" priority="371" stopIfTrue="1" operator="lessThan">
      <formula>$I$25</formula>
    </cfRule>
  </conditionalFormatting>
  <conditionalFormatting sqref="J26">
    <cfRule type="cellIs" dxfId="3327" priority="372" stopIfTrue="1" operator="equal">
      <formula>$I$26</formula>
    </cfRule>
    <cfRule type="cellIs" dxfId="3326" priority="373" stopIfTrue="1" operator="lessThan">
      <formula>$I$26</formula>
    </cfRule>
  </conditionalFormatting>
  <conditionalFormatting sqref="J27">
    <cfRule type="cellIs" dxfId="3325" priority="374" stopIfTrue="1" operator="equal">
      <formula>$I$27</formula>
    </cfRule>
    <cfRule type="cellIs" dxfId="3324" priority="375" stopIfTrue="1" operator="lessThan">
      <formula>$I$27</formula>
    </cfRule>
  </conditionalFormatting>
  <conditionalFormatting sqref="J28">
    <cfRule type="cellIs" dxfId="3323" priority="376" stopIfTrue="1" operator="equal">
      <formula>$I$28</formula>
    </cfRule>
    <cfRule type="cellIs" dxfId="3322" priority="377" stopIfTrue="1" operator="lessThan">
      <formula>$I$28</formula>
    </cfRule>
  </conditionalFormatting>
  <conditionalFormatting sqref="K4">
    <cfRule type="cellIs" dxfId="3321" priority="378" stopIfTrue="1" operator="equal">
      <formula>$J$4</formula>
    </cfRule>
    <cfRule type="cellIs" dxfId="3320" priority="379" stopIfTrue="1" operator="lessThan">
      <formula>$J$4</formula>
    </cfRule>
  </conditionalFormatting>
  <conditionalFormatting sqref="K5">
    <cfRule type="cellIs" dxfId="3319" priority="380" stopIfTrue="1" operator="equal">
      <formula>$J$5</formula>
    </cfRule>
    <cfRule type="cellIs" dxfId="3318" priority="381" stopIfTrue="1" operator="lessThan">
      <formula>$J$5</formula>
    </cfRule>
  </conditionalFormatting>
  <conditionalFormatting sqref="K6">
    <cfRule type="cellIs" dxfId="3317" priority="382" stopIfTrue="1" operator="equal">
      <formula>$J$6</formula>
    </cfRule>
    <cfRule type="cellIs" dxfId="3316" priority="383" stopIfTrue="1" operator="lessThan">
      <formula>$J$6</formula>
    </cfRule>
  </conditionalFormatting>
  <conditionalFormatting sqref="K7">
    <cfRule type="cellIs" dxfId="3315" priority="384" stopIfTrue="1" operator="equal">
      <formula>$J$7</formula>
    </cfRule>
    <cfRule type="cellIs" dxfId="3314" priority="385" stopIfTrue="1" operator="lessThan">
      <formula>$J$7</formula>
    </cfRule>
  </conditionalFormatting>
  <conditionalFormatting sqref="K8">
    <cfRule type="cellIs" dxfId="3313" priority="386" stopIfTrue="1" operator="equal">
      <formula>$J$8</formula>
    </cfRule>
    <cfRule type="cellIs" dxfId="3312" priority="387" stopIfTrue="1" operator="lessThan">
      <formula>$J$8</formula>
    </cfRule>
  </conditionalFormatting>
  <conditionalFormatting sqref="K9">
    <cfRule type="cellIs" dxfId="3311" priority="388" stopIfTrue="1" operator="equal">
      <formula>$J$9</formula>
    </cfRule>
    <cfRule type="cellIs" dxfId="3310" priority="389" stopIfTrue="1" operator="lessThan">
      <formula>$J$9</formula>
    </cfRule>
  </conditionalFormatting>
  <conditionalFormatting sqref="K10">
    <cfRule type="cellIs" dxfId="3309" priority="390" stopIfTrue="1" operator="equal">
      <formula>$J$10</formula>
    </cfRule>
    <cfRule type="cellIs" dxfId="3308" priority="391" stopIfTrue="1" operator="lessThan">
      <formula>$J$10</formula>
    </cfRule>
  </conditionalFormatting>
  <conditionalFormatting sqref="K11">
    <cfRule type="cellIs" dxfId="3307" priority="392" stopIfTrue="1" operator="equal">
      <formula>$J$11</formula>
    </cfRule>
    <cfRule type="cellIs" dxfId="3306" priority="393" stopIfTrue="1" operator="lessThan">
      <formula>$J$11</formula>
    </cfRule>
  </conditionalFormatting>
  <conditionalFormatting sqref="K12">
    <cfRule type="cellIs" dxfId="3305" priority="394" stopIfTrue="1" operator="equal">
      <formula>$J$12</formula>
    </cfRule>
    <cfRule type="cellIs" dxfId="3304" priority="395" stopIfTrue="1" operator="lessThan">
      <formula>$J$12</formula>
    </cfRule>
  </conditionalFormatting>
  <conditionalFormatting sqref="K13">
    <cfRule type="cellIs" dxfId="3303" priority="396" stopIfTrue="1" operator="equal">
      <formula>$J$13</formula>
    </cfRule>
    <cfRule type="cellIs" dxfId="3302" priority="397" stopIfTrue="1" operator="lessThan">
      <formula>$J$13</formula>
    </cfRule>
  </conditionalFormatting>
  <conditionalFormatting sqref="K14">
    <cfRule type="cellIs" dxfId="3301" priority="398" stopIfTrue="1" operator="equal">
      <formula>$J$14</formula>
    </cfRule>
    <cfRule type="cellIs" dxfId="3300" priority="399" stopIfTrue="1" operator="lessThan">
      <formula>$J$14</formula>
    </cfRule>
  </conditionalFormatting>
  <conditionalFormatting sqref="K15">
    <cfRule type="cellIs" dxfId="3299" priority="400" stopIfTrue="1" operator="equal">
      <formula>$J$15</formula>
    </cfRule>
    <cfRule type="cellIs" dxfId="3298" priority="401" stopIfTrue="1" operator="lessThan">
      <formula>$J$15</formula>
    </cfRule>
  </conditionalFormatting>
  <conditionalFormatting sqref="K16">
    <cfRule type="cellIs" dxfId="3297" priority="402" stopIfTrue="1" operator="equal">
      <formula>$J$16</formula>
    </cfRule>
    <cfRule type="cellIs" dxfId="3296" priority="403" stopIfTrue="1" operator="lessThan">
      <formula>$J$16</formula>
    </cfRule>
  </conditionalFormatting>
  <conditionalFormatting sqref="K17">
    <cfRule type="cellIs" dxfId="3295" priority="404" stopIfTrue="1" operator="equal">
      <formula>$J$17</formula>
    </cfRule>
    <cfRule type="cellIs" dxfId="3294" priority="405" stopIfTrue="1" operator="lessThan">
      <formula>$J$17</formula>
    </cfRule>
  </conditionalFormatting>
  <conditionalFormatting sqref="K18">
    <cfRule type="cellIs" dxfId="3293" priority="406" stopIfTrue="1" operator="equal">
      <formula>$J$18</formula>
    </cfRule>
    <cfRule type="cellIs" dxfId="3292" priority="407" stopIfTrue="1" operator="lessThan">
      <formula>$J$18</formula>
    </cfRule>
  </conditionalFormatting>
  <conditionalFormatting sqref="K19">
    <cfRule type="cellIs" dxfId="3291" priority="408" stopIfTrue="1" operator="equal">
      <formula>$J$19</formula>
    </cfRule>
    <cfRule type="cellIs" dxfId="3290" priority="409" stopIfTrue="1" operator="lessThan">
      <formula>$J$19</formula>
    </cfRule>
  </conditionalFormatting>
  <conditionalFormatting sqref="K20">
    <cfRule type="cellIs" dxfId="3289" priority="410" stopIfTrue="1" operator="equal">
      <formula>$J$20</formula>
    </cfRule>
    <cfRule type="cellIs" dxfId="3288" priority="411" stopIfTrue="1" operator="lessThan">
      <formula>$J$20</formula>
    </cfRule>
  </conditionalFormatting>
  <conditionalFormatting sqref="K21">
    <cfRule type="cellIs" dxfId="3287" priority="412" stopIfTrue="1" operator="equal">
      <formula>$J$21</formula>
    </cfRule>
    <cfRule type="cellIs" dxfId="3286" priority="413" stopIfTrue="1" operator="lessThan">
      <formula>$J$21</formula>
    </cfRule>
  </conditionalFormatting>
  <conditionalFormatting sqref="K22">
    <cfRule type="cellIs" dxfId="3285" priority="414" stopIfTrue="1" operator="equal">
      <formula>$J$22</formula>
    </cfRule>
    <cfRule type="cellIs" dxfId="3284" priority="415" stopIfTrue="1" operator="lessThan">
      <formula>$J$22</formula>
    </cfRule>
  </conditionalFormatting>
  <conditionalFormatting sqref="K23">
    <cfRule type="cellIs" dxfId="3283" priority="416" stopIfTrue="1" operator="equal">
      <formula>$J$23</formula>
    </cfRule>
    <cfRule type="cellIs" dxfId="3282" priority="417" stopIfTrue="1" operator="lessThan">
      <formula>$J$23</formula>
    </cfRule>
  </conditionalFormatting>
  <conditionalFormatting sqref="K24">
    <cfRule type="cellIs" dxfId="3281" priority="418" stopIfTrue="1" operator="equal">
      <formula>$J$24</formula>
    </cfRule>
    <cfRule type="cellIs" dxfId="3280" priority="419" stopIfTrue="1" operator="lessThan">
      <formula>$J$24</formula>
    </cfRule>
  </conditionalFormatting>
  <conditionalFormatting sqref="K25">
    <cfRule type="cellIs" dxfId="3279" priority="420" stopIfTrue="1" operator="equal">
      <formula>$J$25</formula>
    </cfRule>
    <cfRule type="cellIs" dxfId="3278" priority="421" stopIfTrue="1" operator="lessThan">
      <formula>$J$25</formula>
    </cfRule>
  </conditionalFormatting>
  <conditionalFormatting sqref="K26">
    <cfRule type="cellIs" dxfId="3277" priority="422" stopIfTrue="1" operator="equal">
      <formula>$J$26</formula>
    </cfRule>
    <cfRule type="cellIs" dxfId="3276" priority="423" stopIfTrue="1" operator="lessThan">
      <formula>$J$26</formula>
    </cfRule>
  </conditionalFormatting>
  <conditionalFormatting sqref="K27">
    <cfRule type="cellIs" dxfId="3275" priority="424" stopIfTrue="1" operator="equal">
      <formula>$J$27</formula>
    </cfRule>
    <cfRule type="cellIs" dxfId="3274" priority="425" stopIfTrue="1" operator="lessThan">
      <formula>$J$27</formula>
    </cfRule>
  </conditionalFormatting>
  <conditionalFormatting sqref="K28">
    <cfRule type="cellIs" dxfId="3273" priority="426" stopIfTrue="1" operator="lessThan">
      <formula>$J$28</formula>
    </cfRule>
    <cfRule type="cellIs" dxfId="3272" priority="427" stopIfTrue="1" operator="equal">
      <formula>$J$28</formula>
    </cfRule>
  </conditionalFormatting>
  <conditionalFormatting sqref="L4">
    <cfRule type="cellIs" dxfId="3271" priority="428" stopIfTrue="1" operator="equal">
      <formula>$K$4</formula>
    </cfRule>
    <cfRule type="cellIs" dxfId="3270" priority="429" stopIfTrue="1" operator="lessThan">
      <formula>$K$4</formula>
    </cfRule>
  </conditionalFormatting>
  <conditionalFormatting sqref="L5">
    <cfRule type="cellIs" dxfId="3269" priority="430" stopIfTrue="1" operator="equal">
      <formula>$K$5</formula>
    </cfRule>
    <cfRule type="cellIs" dxfId="3268" priority="431" stopIfTrue="1" operator="lessThan">
      <formula>$K$5</formula>
    </cfRule>
  </conditionalFormatting>
  <conditionalFormatting sqref="L6">
    <cfRule type="cellIs" dxfId="3267" priority="432" stopIfTrue="1" operator="equal">
      <formula>$K$6</formula>
    </cfRule>
    <cfRule type="cellIs" dxfId="3266" priority="433" stopIfTrue="1" operator="lessThan">
      <formula>$K$6</formula>
    </cfRule>
  </conditionalFormatting>
  <conditionalFormatting sqref="L7">
    <cfRule type="cellIs" dxfId="3265" priority="434" stopIfTrue="1" operator="equal">
      <formula>$K$7</formula>
    </cfRule>
    <cfRule type="cellIs" dxfId="3264" priority="435" stopIfTrue="1" operator="lessThan">
      <formula>$K$7</formula>
    </cfRule>
  </conditionalFormatting>
  <conditionalFormatting sqref="L8">
    <cfRule type="cellIs" dxfId="3263" priority="436" stopIfTrue="1" operator="equal">
      <formula>$K$8</formula>
    </cfRule>
    <cfRule type="cellIs" dxfId="3262" priority="437" stopIfTrue="1" operator="lessThan">
      <formula>$K$8</formula>
    </cfRule>
  </conditionalFormatting>
  <conditionalFormatting sqref="L9">
    <cfRule type="cellIs" dxfId="3261" priority="438" stopIfTrue="1" operator="equal">
      <formula>$K$9</formula>
    </cfRule>
    <cfRule type="cellIs" dxfId="3260" priority="439" stopIfTrue="1" operator="lessThan">
      <formula>$K$9</formula>
    </cfRule>
  </conditionalFormatting>
  <conditionalFormatting sqref="L10">
    <cfRule type="cellIs" dxfId="3259" priority="440" stopIfTrue="1" operator="equal">
      <formula>$K$10</formula>
    </cfRule>
    <cfRule type="cellIs" dxfId="3258" priority="441" stopIfTrue="1" operator="lessThan">
      <formula>$K$10</formula>
    </cfRule>
  </conditionalFormatting>
  <conditionalFormatting sqref="L11">
    <cfRule type="cellIs" dxfId="3257" priority="462" stopIfTrue="1" operator="equal">
      <formula>$K$11</formula>
    </cfRule>
    <cfRule type="cellIs" dxfId="3256" priority="463" stopIfTrue="1" operator="lessThan">
      <formula>$K$11</formula>
    </cfRule>
  </conditionalFormatting>
  <conditionalFormatting sqref="L12">
    <cfRule type="cellIs" dxfId="3255" priority="442" stopIfTrue="1" operator="equal">
      <formula>$K$12</formula>
    </cfRule>
    <cfRule type="cellIs" dxfId="3254" priority="443" stopIfTrue="1" operator="lessThan">
      <formula>$K$12</formula>
    </cfRule>
  </conditionalFormatting>
  <conditionalFormatting sqref="L13">
    <cfRule type="cellIs" dxfId="3253" priority="444" stopIfTrue="1" operator="equal">
      <formula>$K$13</formula>
    </cfRule>
    <cfRule type="cellIs" dxfId="3252" priority="445" stopIfTrue="1" operator="lessThan">
      <formula>$K$13</formula>
    </cfRule>
  </conditionalFormatting>
  <conditionalFormatting sqref="L14">
    <cfRule type="cellIs" dxfId="3251" priority="446" stopIfTrue="1" operator="equal">
      <formula>$K$14</formula>
    </cfRule>
    <cfRule type="cellIs" dxfId="3250" priority="447" stopIfTrue="1" operator="lessThan">
      <formula>$K$14</formula>
    </cfRule>
  </conditionalFormatting>
  <conditionalFormatting sqref="L15">
    <cfRule type="cellIs" dxfId="3249" priority="448" stopIfTrue="1" operator="equal">
      <formula>$K$15</formula>
    </cfRule>
    <cfRule type="cellIs" dxfId="3248" priority="449" stopIfTrue="1" operator="lessThan">
      <formula>$K$15</formula>
    </cfRule>
  </conditionalFormatting>
  <conditionalFormatting sqref="L16">
    <cfRule type="cellIs" dxfId="3247" priority="450" stopIfTrue="1" operator="equal">
      <formula>$K$16</formula>
    </cfRule>
    <cfRule type="cellIs" dxfId="3246" priority="451" stopIfTrue="1" operator="lessThan">
      <formula>$K$16</formula>
    </cfRule>
  </conditionalFormatting>
  <conditionalFormatting sqref="L17">
    <cfRule type="cellIs" dxfId="3245" priority="452" stopIfTrue="1" operator="equal">
      <formula>$K$17</formula>
    </cfRule>
    <cfRule type="cellIs" dxfId="3244" priority="453" stopIfTrue="1" operator="lessThan">
      <formula>$K$17</formula>
    </cfRule>
  </conditionalFormatting>
  <conditionalFormatting sqref="L18">
    <cfRule type="cellIs" dxfId="3243" priority="454" stopIfTrue="1" operator="equal">
      <formula>$K$18</formula>
    </cfRule>
    <cfRule type="cellIs" dxfId="3242" priority="455" stopIfTrue="1" operator="lessThan">
      <formula>$K$18</formula>
    </cfRule>
  </conditionalFormatting>
  <conditionalFormatting sqref="L19">
    <cfRule type="cellIs" dxfId="3241" priority="456" stopIfTrue="1" operator="equal">
      <formula>$K$19</formula>
    </cfRule>
    <cfRule type="cellIs" dxfId="3240" priority="457" stopIfTrue="1" operator="lessThan">
      <formula>$K$19</formula>
    </cfRule>
  </conditionalFormatting>
  <conditionalFormatting sqref="L20">
    <cfRule type="cellIs" dxfId="3239" priority="458" stopIfTrue="1" operator="equal">
      <formula>$K$20</formula>
    </cfRule>
    <cfRule type="cellIs" dxfId="3238" priority="459" stopIfTrue="1" operator="lessThan">
      <formula>$K$20</formula>
    </cfRule>
  </conditionalFormatting>
  <conditionalFormatting sqref="L21">
    <cfRule type="cellIs" dxfId="3237" priority="460" stopIfTrue="1" operator="equal">
      <formula>$K$21</formula>
    </cfRule>
    <cfRule type="cellIs" dxfId="3236" priority="461" stopIfTrue="1" operator="lessThan">
      <formula>$K$21</formula>
    </cfRule>
  </conditionalFormatting>
  <conditionalFormatting sqref="L22">
    <cfRule type="cellIs" dxfId="3235" priority="464" stopIfTrue="1" operator="equal">
      <formula>$K$22</formula>
    </cfRule>
    <cfRule type="cellIs" dxfId="3234" priority="465" stopIfTrue="1" operator="lessThan">
      <formula>$K$22</formula>
    </cfRule>
  </conditionalFormatting>
  <conditionalFormatting sqref="L23">
    <cfRule type="cellIs" dxfId="3233" priority="466" stopIfTrue="1" operator="equal">
      <formula>$K$23</formula>
    </cfRule>
    <cfRule type="cellIs" dxfId="3232" priority="467" stopIfTrue="1" operator="lessThan">
      <formula>$K$23</formula>
    </cfRule>
  </conditionalFormatting>
  <conditionalFormatting sqref="L24">
    <cfRule type="cellIs" dxfId="3231" priority="468" stopIfTrue="1" operator="equal">
      <formula>$K$24</formula>
    </cfRule>
    <cfRule type="cellIs" dxfId="3230" priority="469" stopIfTrue="1" operator="lessThan">
      <formula>$K$24</formula>
    </cfRule>
  </conditionalFormatting>
  <conditionalFormatting sqref="L25">
    <cfRule type="cellIs" dxfId="3229" priority="470" stopIfTrue="1" operator="equal">
      <formula>$K$25</formula>
    </cfRule>
    <cfRule type="cellIs" dxfId="3228" priority="471" stopIfTrue="1" operator="lessThan">
      <formula>$K$25</formula>
    </cfRule>
  </conditionalFormatting>
  <conditionalFormatting sqref="L26">
    <cfRule type="cellIs" dxfId="3227" priority="472" stopIfTrue="1" operator="equal">
      <formula>$K$26</formula>
    </cfRule>
    <cfRule type="cellIs" dxfId="3226" priority="473" stopIfTrue="1" operator="lessThan">
      <formula>$K$26</formula>
    </cfRule>
  </conditionalFormatting>
  <conditionalFormatting sqref="L27">
    <cfRule type="cellIs" dxfId="3225" priority="474" stopIfTrue="1" operator="equal">
      <formula>$K$27</formula>
    </cfRule>
    <cfRule type="cellIs" dxfId="3224" priority="475" stopIfTrue="1" operator="lessThan">
      <formula>$K$27</formula>
    </cfRule>
  </conditionalFormatting>
  <conditionalFormatting sqref="L28">
    <cfRule type="cellIs" dxfId="3223" priority="476" stopIfTrue="1" operator="equal">
      <formula>$K$28</formula>
    </cfRule>
    <cfRule type="cellIs" dxfId="3222" priority="477" stopIfTrue="1" operator="lessThan">
      <formula>$K$28</formula>
    </cfRule>
  </conditionalFormatting>
  <conditionalFormatting sqref="M4">
    <cfRule type="cellIs" dxfId="3221" priority="478" stopIfTrue="1" operator="lessThan">
      <formula>$L$4</formula>
    </cfRule>
    <cfRule type="cellIs" dxfId="3220" priority="479" stopIfTrue="1" operator="equal">
      <formula>$L$4</formula>
    </cfRule>
  </conditionalFormatting>
  <conditionalFormatting sqref="M5">
    <cfRule type="cellIs" dxfId="3219" priority="480" stopIfTrue="1" operator="equal">
      <formula>$L$5</formula>
    </cfRule>
    <cfRule type="cellIs" dxfId="3218" priority="481" stopIfTrue="1" operator="lessThan">
      <formula>$L$5</formula>
    </cfRule>
  </conditionalFormatting>
  <conditionalFormatting sqref="M6">
    <cfRule type="cellIs" dxfId="3217" priority="482" stopIfTrue="1" operator="equal">
      <formula>$L$6</formula>
    </cfRule>
    <cfRule type="cellIs" dxfId="3216" priority="483" stopIfTrue="1" operator="lessThan">
      <formula>$L$6</formula>
    </cfRule>
  </conditionalFormatting>
  <conditionalFormatting sqref="M7">
    <cfRule type="cellIs" dxfId="3215" priority="484" stopIfTrue="1" operator="equal">
      <formula>$L$7</formula>
    </cfRule>
    <cfRule type="cellIs" dxfId="3214" priority="485" stopIfTrue="1" operator="lessThan">
      <formula>$L$7</formula>
    </cfRule>
  </conditionalFormatting>
  <conditionalFormatting sqref="M8">
    <cfRule type="cellIs" dxfId="3213" priority="486" stopIfTrue="1" operator="equal">
      <formula>$L$8</formula>
    </cfRule>
    <cfRule type="cellIs" dxfId="3212" priority="487" stopIfTrue="1" operator="lessThan">
      <formula>$L$8</formula>
    </cfRule>
  </conditionalFormatting>
  <conditionalFormatting sqref="M9">
    <cfRule type="cellIs" dxfId="3211" priority="488" stopIfTrue="1" operator="equal">
      <formula>$L$9</formula>
    </cfRule>
    <cfRule type="cellIs" dxfId="3210" priority="489" stopIfTrue="1" operator="lessThan">
      <formula>$L$9</formula>
    </cfRule>
  </conditionalFormatting>
  <conditionalFormatting sqref="M10">
    <cfRule type="cellIs" dxfId="3209" priority="490" stopIfTrue="1" operator="equal">
      <formula>$L$10</formula>
    </cfRule>
    <cfRule type="cellIs" dxfId="3208" priority="491" stopIfTrue="1" operator="lessThan">
      <formula>$L$10</formula>
    </cfRule>
  </conditionalFormatting>
  <conditionalFormatting sqref="M11">
    <cfRule type="cellIs" dxfId="3207" priority="492" stopIfTrue="1" operator="equal">
      <formula>$L$11</formula>
    </cfRule>
    <cfRule type="cellIs" dxfId="3206" priority="493" stopIfTrue="1" operator="lessThan">
      <formula>$L$11</formula>
    </cfRule>
  </conditionalFormatting>
  <conditionalFormatting sqref="M12">
    <cfRule type="cellIs" dxfId="3205" priority="494" stopIfTrue="1" operator="equal">
      <formula>$L$12</formula>
    </cfRule>
    <cfRule type="cellIs" dxfId="3204" priority="495" stopIfTrue="1" operator="lessThan">
      <formula>$L$12</formula>
    </cfRule>
  </conditionalFormatting>
  <conditionalFormatting sqref="M13">
    <cfRule type="cellIs" dxfId="3203" priority="496" stopIfTrue="1" operator="equal">
      <formula>$L$13</formula>
    </cfRule>
    <cfRule type="cellIs" dxfId="3202" priority="497" stopIfTrue="1" operator="lessThan">
      <formula>$L$13</formula>
    </cfRule>
  </conditionalFormatting>
  <conditionalFormatting sqref="M14">
    <cfRule type="cellIs" dxfId="3201" priority="498" stopIfTrue="1" operator="equal">
      <formula>$L$14</formula>
    </cfRule>
    <cfRule type="cellIs" dxfId="3200" priority="499" stopIfTrue="1" operator="lessThan">
      <formula>$L$14</formula>
    </cfRule>
  </conditionalFormatting>
  <conditionalFormatting sqref="M15">
    <cfRule type="cellIs" dxfId="3199" priority="500" stopIfTrue="1" operator="equal">
      <formula>$L$15</formula>
    </cfRule>
    <cfRule type="cellIs" dxfId="3198" priority="501" stopIfTrue="1" operator="lessThan">
      <formula>$L$15</formula>
    </cfRule>
  </conditionalFormatting>
  <conditionalFormatting sqref="M16">
    <cfRule type="cellIs" dxfId="3197" priority="502" stopIfTrue="1" operator="equal">
      <formula>$L$16</formula>
    </cfRule>
    <cfRule type="cellIs" dxfId="3196" priority="503" stopIfTrue="1" operator="lessThan">
      <formula>$L$16</formula>
    </cfRule>
  </conditionalFormatting>
  <conditionalFormatting sqref="M17">
    <cfRule type="cellIs" dxfId="3195" priority="504" stopIfTrue="1" operator="equal">
      <formula>$L$17</formula>
    </cfRule>
    <cfRule type="cellIs" dxfId="3194" priority="505" stopIfTrue="1" operator="lessThan">
      <formula>$L$17</formula>
    </cfRule>
  </conditionalFormatting>
  <conditionalFormatting sqref="M18">
    <cfRule type="cellIs" dxfId="3193" priority="506" stopIfTrue="1" operator="equal">
      <formula>$L$18</formula>
    </cfRule>
    <cfRule type="cellIs" dxfId="3192" priority="507" stopIfTrue="1" operator="lessThan">
      <formula>$L$18</formula>
    </cfRule>
  </conditionalFormatting>
  <conditionalFormatting sqref="M19">
    <cfRule type="cellIs" dxfId="3191" priority="508" stopIfTrue="1" operator="equal">
      <formula>$L$19</formula>
    </cfRule>
    <cfRule type="cellIs" dxfId="3190" priority="509" stopIfTrue="1" operator="lessThan">
      <formula>$L$19</formula>
    </cfRule>
  </conditionalFormatting>
  <conditionalFormatting sqref="M20">
    <cfRule type="cellIs" dxfId="3189" priority="510" stopIfTrue="1" operator="equal">
      <formula>$L$20</formula>
    </cfRule>
    <cfRule type="cellIs" dxfId="3188" priority="511" stopIfTrue="1" operator="lessThan">
      <formula>$L$20</formula>
    </cfRule>
  </conditionalFormatting>
  <conditionalFormatting sqref="M21">
    <cfRule type="cellIs" dxfId="3187" priority="512" stopIfTrue="1" operator="equal">
      <formula>$L$21</formula>
    </cfRule>
    <cfRule type="cellIs" dxfId="3186" priority="513" stopIfTrue="1" operator="lessThan">
      <formula>$L$21</formula>
    </cfRule>
  </conditionalFormatting>
  <conditionalFormatting sqref="M22">
    <cfRule type="cellIs" dxfId="3185" priority="514" stopIfTrue="1" operator="equal">
      <formula>$L$22</formula>
    </cfRule>
    <cfRule type="cellIs" dxfId="3184" priority="515" stopIfTrue="1" operator="lessThan">
      <formula>$L$22</formula>
    </cfRule>
  </conditionalFormatting>
  <conditionalFormatting sqref="M23">
    <cfRule type="cellIs" dxfId="3183" priority="516" stopIfTrue="1" operator="equal">
      <formula>$L$23</formula>
    </cfRule>
    <cfRule type="cellIs" dxfId="3182" priority="517" stopIfTrue="1" operator="lessThan">
      <formula>$L$23</formula>
    </cfRule>
  </conditionalFormatting>
  <conditionalFormatting sqref="M24">
    <cfRule type="cellIs" dxfId="3181" priority="518" stopIfTrue="1" operator="equal">
      <formula>$L$24</formula>
    </cfRule>
    <cfRule type="cellIs" dxfId="3180" priority="519" stopIfTrue="1" operator="lessThan">
      <formula>$L$24</formula>
    </cfRule>
  </conditionalFormatting>
  <conditionalFormatting sqref="M25">
    <cfRule type="cellIs" dxfId="3179" priority="520" stopIfTrue="1" operator="equal">
      <formula>$L$25</formula>
    </cfRule>
    <cfRule type="cellIs" dxfId="3178" priority="521" stopIfTrue="1" operator="lessThan">
      <formula>$L$25</formula>
    </cfRule>
  </conditionalFormatting>
  <conditionalFormatting sqref="M26">
    <cfRule type="cellIs" dxfId="3177" priority="522" stopIfTrue="1" operator="equal">
      <formula>$L$26</formula>
    </cfRule>
    <cfRule type="cellIs" dxfId="3176" priority="523" stopIfTrue="1" operator="lessThan">
      <formula>$L$26</formula>
    </cfRule>
  </conditionalFormatting>
  <conditionalFormatting sqref="M27">
    <cfRule type="cellIs" dxfId="3175" priority="524" stopIfTrue="1" operator="equal">
      <formula>$L$27</formula>
    </cfRule>
    <cfRule type="cellIs" dxfId="3174" priority="525" stopIfTrue="1" operator="lessThan">
      <formula>$L$27</formula>
    </cfRule>
  </conditionalFormatting>
  <conditionalFormatting sqref="M28">
    <cfRule type="cellIs" dxfId="3173" priority="526" stopIfTrue="1" operator="equal">
      <formula>$L$28</formula>
    </cfRule>
    <cfRule type="cellIs" dxfId="3172" priority="527" stopIfTrue="1" operator="lessThan">
      <formula>$L$28</formula>
    </cfRule>
  </conditionalFormatting>
  <conditionalFormatting sqref="N4">
    <cfRule type="cellIs" dxfId="3171" priority="528" stopIfTrue="1" operator="equal">
      <formula>$M$4</formula>
    </cfRule>
    <cfRule type="cellIs" dxfId="3170" priority="529" stopIfTrue="1" operator="lessThan">
      <formula>$M$4</formula>
    </cfRule>
  </conditionalFormatting>
  <conditionalFormatting sqref="N5">
    <cfRule type="cellIs" dxfId="3169" priority="530" stopIfTrue="1" operator="equal">
      <formula>$M$5</formula>
    </cfRule>
    <cfRule type="cellIs" dxfId="3168" priority="531" stopIfTrue="1" operator="lessThan">
      <formula>$M$5</formula>
    </cfRule>
  </conditionalFormatting>
  <conditionalFormatting sqref="N6">
    <cfRule type="cellIs" dxfId="3167" priority="532" stopIfTrue="1" operator="equal">
      <formula>$M$6</formula>
    </cfRule>
    <cfRule type="cellIs" dxfId="3166" priority="533" stopIfTrue="1" operator="lessThan">
      <formula>$M$6</formula>
    </cfRule>
  </conditionalFormatting>
  <conditionalFormatting sqref="N7">
    <cfRule type="cellIs" dxfId="3165" priority="534" stopIfTrue="1" operator="equal">
      <formula>$M$7</formula>
    </cfRule>
    <cfRule type="cellIs" dxfId="3164" priority="535" stopIfTrue="1" operator="lessThan">
      <formula>$M$7</formula>
    </cfRule>
  </conditionalFormatting>
  <conditionalFormatting sqref="N8">
    <cfRule type="cellIs" dxfId="3163" priority="536" stopIfTrue="1" operator="equal">
      <formula>$M$8</formula>
    </cfRule>
    <cfRule type="cellIs" dxfId="3162" priority="537" stopIfTrue="1" operator="lessThan">
      <formula>$M$8</formula>
    </cfRule>
  </conditionalFormatting>
  <conditionalFormatting sqref="N9">
    <cfRule type="cellIs" dxfId="3161" priority="538" stopIfTrue="1" operator="equal">
      <formula>$M$9</formula>
    </cfRule>
    <cfRule type="cellIs" dxfId="3160" priority="539" stopIfTrue="1" operator="lessThan">
      <formula>$M$9</formula>
    </cfRule>
  </conditionalFormatting>
  <conditionalFormatting sqref="N10">
    <cfRule type="cellIs" dxfId="3159" priority="540" stopIfTrue="1" operator="equal">
      <formula>$M$10</formula>
    </cfRule>
    <cfRule type="cellIs" dxfId="3158" priority="541" stopIfTrue="1" operator="lessThan">
      <formula>$M$10</formula>
    </cfRule>
  </conditionalFormatting>
  <conditionalFormatting sqref="N11">
    <cfRule type="cellIs" dxfId="3157" priority="542" stopIfTrue="1" operator="equal">
      <formula>$M$11</formula>
    </cfRule>
    <cfRule type="cellIs" dxfId="3156" priority="543" stopIfTrue="1" operator="lessThan">
      <formula>$M$11</formula>
    </cfRule>
  </conditionalFormatting>
  <conditionalFormatting sqref="N12">
    <cfRule type="cellIs" dxfId="3155" priority="544" stopIfTrue="1" operator="equal">
      <formula>$M$12</formula>
    </cfRule>
    <cfRule type="cellIs" dxfId="3154" priority="545" stopIfTrue="1" operator="lessThan">
      <formula>$M$12</formula>
    </cfRule>
  </conditionalFormatting>
  <conditionalFormatting sqref="N13">
    <cfRule type="cellIs" dxfId="3153" priority="546" stopIfTrue="1" operator="equal">
      <formula>$M$13</formula>
    </cfRule>
    <cfRule type="cellIs" dxfId="3152" priority="547" stopIfTrue="1" operator="lessThan">
      <formula>$M$13</formula>
    </cfRule>
  </conditionalFormatting>
  <conditionalFormatting sqref="N14">
    <cfRule type="cellIs" dxfId="3151" priority="548" stopIfTrue="1" operator="equal">
      <formula>$M$14</formula>
    </cfRule>
    <cfRule type="cellIs" dxfId="3150" priority="549" stopIfTrue="1" operator="lessThan">
      <formula>$M$14</formula>
    </cfRule>
  </conditionalFormatting>
  <conditionalFormatting sqref="N15">
    <cfRule type="cellIs" dxfId="3149" priority="550" stopIfTrue="1" operator="equal">
      <formula>$M$15</formula>
    </cfRule>
    <cfRule type="cellIs" dxfId="3148" priority="551" stopIfTrue="1" operator="lessThan">
      <formula>$M$15</formula>
    </cfRule>
  </conditionalFormatting>
  <conditionalFormatting sqref="N16">
    <cfRule type="cellIs" dxfId="3147" priority="552" stopIfTrue="1" operator="equal">
      <formula>$M$16</formula>
    </cfRule>
    <cfRule type="cellIs" dxfId="3146" priority="553" stopIfTrue="1" operator="lessThan">
      <formula>$M$16</formula>
    </cfRule>
  </conditionalFormatting>
  <conditionalFormatting sqref="N17">
    <cfRule type="cellIs" dxfId="3145" priority="554" stopIfTrue="1" operator="equal">
      <formula>$M$17</formula>
    </cfRule>
    <cfRule type="cellIs" dxfId="3144" priority="555" stopIfTrue="1" operator="lessThan">
      <formula>$M$17</formula>
    </cfRule>
  </conditionalFormatting>
  <conditionalFormatting sqref="N18">
    <cfRule type="cellIs" dxfId="3143" priority="556" stopIfTrue="1" operator="equal">
      <formula>$M$18</formula>
    </cfRule>
    <cfRule type="cellIs" dxfId="3142" priority="557" stopIfTrue="1" operator="lessThan">
      <formula>$M$18</formula>
    </cfRule>
  </conditionalFormatting>
  <conditionalFormatting sqref="N19">
    <cfRule type="cellIs" dxfId="3141" priority="558" stopIfTrue="1" operator="equal">
      <formula>$M$19</formula>
    </cfRule>
    <cfRule type="cellIs" dxfId="3140" priority="559" stopIfTrue="1" operator="lessThan">
      <formula>$M$19</formula>
    </cfRule>
  </conditionalFormatting>
  <conditionalFormatting sqref="N20">
    <cfRule type="cellIs" dxfId="3139" priority="560" stopIfTrue="1" operator="equal">
      <formula>$M$20</formula>
    </cfRule>
    <cfRule type="cellIs" dxfId="3138" priority="561" stopIfTrue="1" operator="lessThan">
      <formula>$M$20</formula>
    </cfRule>
  </conditionalFormatting>
  <conditionalFormatting sqref="N21">
    <cfRule type="cellIs" dxfId="3137" priority="562" stopIfTrue="1" operator="equal">
      <formula>$M$21</formula>
    </cfRule>
    <cfRule type="cellIs" dxfId="3136" priority="563" stopIfTrue="1" operator="lessThan">
      <formula>$M$21</formula>
    </cfRule>
  </conditionalFormatting>
  <conditionalFormatting sqref="N22">
    <cfRule type="cellIs" dxfId="3135" priority="564" stopIfTrue="1" operator="equal">
      <formula>$M$22</formula>
    </cfRule>
    <cfRule type="cellIs" dxfId="3134" priority="565" stopIfTrue="1" operator="lessThan">
      <formula>$M$22</formula>
    </cfRule>
  </conditionalFormatting>
  <conditionalFormatting sqref="N23">
    <cfRule type="cellIs" dxfId="3133" priority="566" stopIfTrue="1" operator="equal">
      <formula>$M$23</formula>
    </cfRule>
    <cfRule type="cellIs" dxfId="3132" priority="567" stopIfTrue="1" operator="lessThan">
      <formula>$M$23</formula>
    </cfRule>
  </conditionalFormatting>
  <conditionalFormatting sqref="N24">
    <cfRule type="cellIs" dxfId="3131" priority="568" stopIfTrue="1" operator="equal">
      <formula>$M$24</formula>
    </cfRule>
    <cfRule type="cellIs" dxfId="3130" priority="569" stopIfTrue="1" operator="lessThan">
      <formula>$M$24</formula>
    </cfRule>
  </conditionalFormatting>
  <conditionalFormatting sqref="N25">
    <cfRule type="cellIs" dxfId="3129" priority="570" stopIfTrue="1" operator="equal">
      <formula>$M$25</formula>
    </cfRule>
    <cfRule type="cellIs" dxfId="3128" priority="571" stopIfTrue="1" operator="lessThan">
      <formula>$M$25</formula>
    </cfRule>
  </conditionalFormatting>
  <conditionalFormatting sqref="N26">
    <cfRule type="cellIs" dxfId="3127" priority="572" stopIfTrue="1" operator="equal">
      <formula>$M$26</formula>
    </cfRule>
    <cfRule type="cellIs" dxfId="3126" priority="573" stopIfTrue="1" operator="lessThan">
      <formula>$M$26</formula>
    </cfRule>
  </conditionalFormatting>
  <conditionalFormatting sqref="N27">
    <cfRule type="cellIs" dxfId="3125" priority="574" stopIfTrue="1" operator="equal">
      <formula>$M$27</formula>
    </cfRule>
    <cfRule type="cellIs" dxfId="3124" priority="575" stopIfTrue="1" operator="lessThan">
      <formula>$M$27</formula>
    </cfRule>
  </conditionalFormatting>
  <conditionalFormatting sqref="N28">
    <cfRule type="cellIs" dxfId="3123" priority="576" stopIfTrue="1" operator="equal">
      <formula>$M$28</formula>
    </cfRule>
    <cfRule type="cellIs" dxfId="3122" priority="577" stopIfTrue="1" operator="lessThan">
      <formula>$M$28</formula>
    </cfRule>
  </conditionalFormatting>
  <conditionalFormatting sqref="O4">
    <cfRule type="cellIs" dxfId="3121" priority="578" stopIfTrue="1" operator="equal">
      <formula>$N$4</formula>
    </cfRule>
    <cfRule type="cellIs" dxfId="3120" priority="579" stopIfTrue="1" operator="lessThan">
      <formula>$N$4</formula>
    </cfRule>
  </conditionalFormatting>
  <conditionalFormatting sqref="O5">
    <cfRule type="cellIs" dxfId="3119" priority="580" stopIfTrue="1" operator="equal">
      <formula>$N$5</formula>
    </cfRule>
    <cfRule type="cellIs" dxfId="3118" priority="581" stopIfTrue="1" operator="lessThan">
      <formula>$N$5</formula>
    </cfRule>
  </conditionalFormatting>
  <conditionalFormatting sqref="O6">
    <cfRule type="cellIs" dxfId="3117" priority="582" stopIfTrue="1" operator="equal">
      <formula>$N$6</formula>
    </cfRule>
    <cfRule type="cellIs" dxfId="3116" priority="583" stopIfTrue="1" operator="lessThan">
      <formula>$N$6</formula>
    </cfRule>
  </conditionalFormatting>
  <conditionalFormatting sqref="O7">
    <cfRule type="cellIs" dxfId="3115" priority="584" stopIfTrue="1" operator="equal">
      <formula>$N$7</formula>
    </cfRule>
    <cfRule type="cellIs" dxfId="3114" priority="585" stopIfTrue="1" operator="lessThan">
      <formula>$N$7</formula>
    </cfRule>
  </conditionalFormatting>
  <conditionalFormatting sqref="O8">
    <cfRule type="cellIs" dxfId="3113" priority="586" stopIfTrue="1" operator="equal">
      <formula>$N$8</formula>
    </cfRule>
    <cfRule type="cellIs" dxfId="3112" priority="587" stopIfTrue="1" operator="lessThan">
      <formula>$N$8</formula>
    </cfRule>
  </conditionalFormatting>
  <conditionalFormatting sqref="O9">
    <cfRule type="cellIs" dxfId="3111" priority="588" stopIfTrue="1" operator="equal">
      <formula>$N$9</formula>
    </cfRule>
    <cfRule type="cellIs" dxfId="3110" priority="589" stopIfTrue="1" operator="lessThan">
      <formula>$N$9</formula>
    </cfRule>
  </conditionalFormatting>
  <conditionalFormatting sqref="O10">
    <cfRule type="cellIs" dxfId="3109" priority="590" stopIfTrue="1" operator="equal">
      <formula>$N$10</formula>
    </cfRule>
    <cfRule type="cellIs" dxfId="3108" priority="591" stopIfTrue="1" operator="lessThan">
      <formula>$N$10</formula>
    </cfRule>
  </conditionalFormatting>
  <conditionalFormatting sqref="O11">
    <cfRule type="cellIs" dxfId="3107" priority="592" stopIfTrue="1" operator="equal">
      <formula>$N$11</formula>
    </cfRule>
    <cfRule type="cellIs" dxfId="3106" priority="593" stopIfTrue="1" operator="lessThan">
      <formula>$N$11</formula>
    </cfRule>
  </conditionalFormatting>
  <conditionalFormatting sqref="O12">
    <cfRule type="cellIs" dxfId="3105" priority="594" stopIfTrue="1" operator="equal">
      <formula>$N$12</formula>
    </cfRule>
    <cfRule type="cellIs" dxfId="3104" priority="595" stopIfTrue="1" operator="lessThan">
      <formula>$N$12</formula>
    </cfRule>
  </conditionalFormatting>
  <conditionalFormatting sqref="O13">
    <cfRule type="cellIs" dxfId="3103" priority="596" stopIfTrue="1" operator="equal">
      <formula>$N$13</formula>
    </cfRule>
    <cfRule type="cellIs" dxfId="3102" priority="597" stopIfTrue="1" operator="lessThan">
      <formula>$N$13</formula>
    </cfRule>
  </conditionalFormatting>
  <conditionalFormatting sqref="O14">
    <cfRule type="cellIs" dxfId="3101" priority="598" stopIfTrue="1" operator="equal">
      <formula>$N$14</formula>
    </cfRule>
    <cfRule type="cellIs" dxfId="3100" priority="599" stopIfTrue="1" operator="lessThan">
      <formula>$N$14</formula>
    </cfRule>
  </conditionalFormatting>
  <conditionalFormatting sqref="O15">
    <cfRule type="cellIs" dxfId="3099" priority="600" stopIfTrue="1" operator="equal">
      <formula>$N$15</formula>
    </cfRule>
    <cfRule type="cellIs" dxfId="3098" priority="601" stopIfTrue="1" operator="lessThan">
      <formula>$N$15</formula>
    </cfRule>
  </conditionalFormatting>
  <conditionalFormatting sqref="O16">
    <cfRule type="cellIs" dxfId="3097" priority="602" stopIfTrue="1" operator="equal">
      <formula>$N$16</formula>
    </cfRule>
    <cfRule type="cellIs" dxfId="3096" priority="603" stopIfTrue="1" operator="lessThan">
      <formula>$N$16</formula>
    </cfRule>
  </conditionalFormatting>
  <conditionalFormatting sqref="O17">
    <cfRule type="cellIs" dxfId="3095" priority="604" stopIfTrue="1" operator="equal">
      <formula>$N$17</formula>
    </cfRule>
    <cfRule type="cellIs" dxfId="3094" priority="605" stopIfTrue="1" operator="lessThan">
      <formula>$N$17</formula>
    </cfRule>
  </conditionalFormatting>
  <conditionalFormatting sqref="O18">
    <cfRule type="cellIs" dxfId="3093" priority="606" stopIfTrue="1" operator="equal">
      <formula>$N$18</formula>
    </cfRule>
    <cfRule type="cellIs" dxfId="3092" priority="607" stopIfTrue="1" operator="lessThan">
      <formula>$N$18</formula>
    </cfRule>
  </conditionalFormatting>
  <conditionalFormatting sqref="O19">
    <cfRule type="cellIs" dxfId="3091" priority="608" stopIfTrue="1" operator="equal">
      <formula>$N$19</formula>
    </cfRule>
    <cfRule type="cellIs" dxfId="3090" priority="609" stopIfTrue="1" operator="lessThan">
      <formula>$N$19</formula>
    </cfRule>
  </conditionalFormatting>
  <conditionalFormatting sqref="O20">
    <cfRule type="cellIs" dxfId="3089" priority="610" stopIfTrue="1" operator="equal">
      <formula>$N$20</formula>
    </cfRule>
    <cfRule type="cellIs" dxfId="3088" priority="611" stopIfTrue="1" operator="lessThan">
      <formula>$N$20</formula>
    </cfRule>
  </conditionalFormatting>
  <conditionalFormatting sqref="O21">
    <cfRule type="cellIs" dxfId="3087" priority="612" stopIfTrue="1" operator="equal">
      <formula>$N$21</formula>
    </cfRule>
    <cfRule type="cellIs" dxfId="3086" priority="613" stopIfTrue="1" operator="lessThan">
      <formula>$N$21</formula>
    </cfRule>
  </conditionalFormatting>
  <conditionalFormatting sqref="O22">
    <cfRule type="cellIs" dxfId="3085" priority="614" stopIfTrue="1" operator="equal">
      <formula>$N$22</formula>
    </cfRule>
    <cfRule type="cellIs" dxfId="3084" priority="615" stopIfTrue="1" operator="lessThan">
      <formula>$N$22</formula>
    </cfRule>
  </conditionalFormatting>
  <conditionalFormatting sqref="O23">
    <cfRule type="cellIs" dxfId="3083" priority="616" stopIfTrue="1" operator="equal">
      <formula>$N$23</formula>
    </cfRule>
    <cfRule type="cellIs" dxfId="3082" priority="617" stopIfTrue="1" operator="lessThan">
      <formula>$N$23</formula>
    </cfRule>
  </conditionalFormatting>
  <conditionalFormatting sqref="O24">
    <cfRule type="cellIs" dxfId="3081" priority="618" stopIfTrue="1" operator="equal">
      <formula>$N$24</formula>
    </cfRule>
    <cfRule type="cellIs" dxfId="3080" priority="619" stopIfTrue="1" operator="lessThan">
      <formula>$N$24</formula>
    </cfRule>
  </conditionalFormatting>
  <conditionalFormatting sqref="O25">
    <cfRule type="cellIs" dxfId="3079" priority="620" stopIfTrue="1" operator="equal">
      <formula>$N$25</formula>
    </cfRule>
    <cfRule type="cellIs" dxfId="3078" priority="621" stopIfTrue="1" operator="lessThan">
      <formula>$N$25</formula>
    </cfRule>
  </conditionalFormatting>
  <conditionalFormatting sqref="O26">
    <cfRule type="cellIs" dxfId="3077" priority="622" stopIfTrue="1" operator="equal">
      <formula>$N$26</formula>
    </cfRule>
    <cfRule type="cellIs" dxfId="3076" priority="623" stopIfTrue="1" operator="lessThan">
      <formula>$N$26</formula>
    </cfRule>
  </conditionalFormatting>
  <conditionalFormatting sqref="O27">
    <cfRule type="cellIs" dxfId="3075" priority="624" stopIfTrue="1" operator="equal">
      <formula>$N$27</formula>
    </cfRule>
    <cfRule type="cellIs" dxfId="3074" priority="625" stopIfTrue="1" operator="lessThan">
      <formula>$N$27</formula>
    </cfRule>
  </conditionalFormatting>
  <conditionalFormatting sqref="O28">
    <cfRule type="cellIs" dxfId="3073" priority="626" stopIfTrue="1" operator="equal">
      <formula>$N$28</formula>
    </cfRule>
    <cfRule type="cellIs" dxfId="3072" priority="627" stopIfTrue="1" operator="lessThan">
      <formula>$N$28</formula>
    </cfRule>
  </conditionalFormatting>
  <conditionalFormatting sqref="U4:AF23">
    <cfRule type="cellIs" dxfId="3071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4"/>
  <sheetViews>
    <sheetView zoomScaleSheetLayoutView="100" workbookViewId="0">
      <selection activeCell="P27" sqref="P27"/>
    </sheetView>
  </sheetViews>
  <sheetFormatPr defaultRowHeight="14.5" x14ac:dyDescent="0.35"/>
  <cols>
    <col min="1" max="1" width="8.54296875" customWidth="1"/>
    <col min="2" max="2" width="26.54296875" customWidth="1"/>
    <col min="3" max="15" width="10.1796875" customWidth="1"/>
    <col min="16" max="16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3">
        <v>1853</v>
      </c>
      <c r="B2" s="2"/>
      <c r="C2" s="3">
        <f>'1850'!C2</f>
        <v>45292</v>
      </c>
      <c r="D2" s="3">
        <f>'1850'!D2</f>
        <v>45323</v>
      </c>
      <c r="E2" s="3">
        <f>'1850'!E2</f>
        <v>45352</v>
      </c>
      <c r="F2" s="3">
        <f>'1850'!F2</f>
        <v>45383</v>
      </c>
      <c r="G2" s="3">
        <f>'1850'!G2</f>
        <v>45413</v>
      </c>
      <c r="H2" s="3">
        <f>'1850'!H2</f>
        <v>45444</v>
      </c>
      <c r="I2" s="3">
        <f>'1850'!I2</f>
        <v>45474</v>
      </c>
      <c r="J2" s="3">
        <f>'1850'!J2</f>
        <v>45505</v>
      </c>
      <c r="K2" s="3">
        <f>'1850'!K2</f>
        <v>45536</v>
      </c>
      <c r="L2" s="3">
        <f>'1850'!L2</f>
        <v>45566</v>
      </c>
      <c r="M2" s="3">
        <f>'1850'!M2</f>
        <v>45597</v>
      </c>
      <c r="N2" s="3">
        <f>'1850'!N2</f>
        <v>45628</v>
      </c>
      <c r="O2" s="3">
        <f>'1850'!O2</f>
        <v>45658</v>
      </c>
      <c r="P2" s="1" t="s">
        <v>25</v>
      </c>
      <c r="Q2" s="1" t="s">
        <v>26</v>
      </c>
      <c r="R2" s="1" t="s">
        <v>27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93">
        <v>1</v>
      </c>
      <c r="B4" s="6" t="s">
        <v>146</v>
      </c>
      <c r="C4" s="7">
        <v>681.20799999999997</v>
      </c>
      <c r="D4" s="7">
        <v>695.24599999999998</v>
      </c>
      <c r="E4" s="7">
        <v>706.10900000000004</v>
      </c>
      <c r="F4" s="7">
        <v>719.29200000000003</v>
      </c>
      <c r="G4" s="7">
        <v>733.24699999999996</v>
      </c>
      <c r="H4" s="7">
        <v>748.32</v>
      </c>
      <c r="I4" s="7">
        <v>760.38</v>
      </c>
      <c r="J4" s="7">
        <v>772.51199999999994</v>
      </c>
      <c r="K4" s="7">
        <v>783.34299999999996</v>
      </c>
      <c r="L4" s="8">
        <v>797.52700000000004</v>
      </c>
      <c r="M4" s="7">
        <v>811.58299999999997</v>
      </c>
      <c r="N4" s="7">
        <v>823.7</v>
      </c>
      <c r="O4" s="7">
        <v>15.692</v>
      </c>
      <c r="P4" s="9">
        <f>O4+N4-C4</f>
        <v>158.18400000000008</v>
      </c>
      <c r="T4" s="1">
        <v>1</v>
      </c>
      <c r="U4" s="145">
        <f t="shared" ref="U4:AF4" si="0">D4-C4</f>
        <v>14.038000000000011</v>
      </c>
      <c r="V4" s="145">
        <f t="shared" si="0"/>
        <v>10.863000000000056</v>
      </c>
      <c r="W4" s="145">
        <f t="shared" si="0"/>
        <v>13.182999999999993</v>
      </c>
      <c r="X4" s="145">
        <f t="shared" si="0"/>
        <v>13.954999999999927</v>
      </c>
      <c r="Y4" s="145">
        <f t="shared" si="0"/>
        <v>15.073000000000093</v>
      </c>
      <c r="Z4" s="145">
        <f t="shared" si="0"/>
        <v>12.059999999999945</v>
      </c>
      <c r="AA4" s="145">
        <f t="shared" si="0"/>
        <v>12.131999999999948</v>
      </c>
      <c r="AB4" s="145">
        <f t="shared" si="0"/>
        <v>10.831000000000017</v>
      </c>
      <c r="AC4" s="145">
        <f t="shared" si="0"/>
        <v>14.184000000000083</v>
      </c>
      <c r="AD4" s="145">
        <f t="shared" si="0"/>
        <v>14.055999999999926</v>
      </c>
      <c r="AE4" s="145">
        <f t="shared" si="0"/>
        <v>12.117000000000075</v>
      </c>
      <c r="AF4" s="145">
        <f>O4</f>
        <v>15.692</v>
      </c>
    </row>
    <row r="5" spans="1:32" x14ac:dyDescent="0.35">
      <c r="A5" s="293"/>
      <c r="B5" s="10" t="s">
        <v>332</v>
      </c>
      <c r="C5" s="11">
        <v>63.384999999999998</v>
      </c>
      <c r="D5" s="11">
        <v>69.98</v>
      </c>
      <c r="E5" s="11">
        <v>73.73</v>
      </c>
      <c r="F5" s="11">
        <v>77.334999999999994</v>
      </c>
      <c r="G5" s="11">
        <v>79.244</v>
      </c>
      <c r="H5" s="11">
        <v>80.350999999999999</v>
      </c>
      <c r="I5" s="11">
        <v>81.105000000000004</v>
      </c>
      <c r="J5" s="11">
        <v>81.747</v>
      </c>
      <c r="K5" s="11">
        <v>82.212999999999994</v>
      </c>
      <c r="L5" s="12">
        <v>83.102999999999994</v>
      </c>
      <c r="M5" s="11">
        <v>84.905000000000001</v>
      </c>
      <c r="N5" s="11">
        <v>89.971999999999994</v>
      </c>
      <c r="O5" s="11">
        <v>95.658000000000001</v>
      </c>
      <c r="P5" s="9"/>
      <c r="Q5" s="9">
        <f>O5-C5</f>
        <v>32.273000000000003</v>
      </c>
      <c r="T5" s="1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</row>
    <row r="6" spans="1:32" x14ac:dyDescent="0.35">
      <c r="A6" s="294">
        <v>2</v>
      </c>
      <c r="B6" s="10" t="s">
        <v>147</v>
      </c>
      <c r="C6" s="11">
        <v>374.77600000000001</v>
      </c>
      <c r="D6" s="11">
        <v>380.62200000000001</v>
      </c>
      <c r="E6" s="11">
        <v>381.51400000000001</v>
      </c>
      <c r="F6" s="11">
        <v>385.36900000000003</v>
      </c>
      <c r="G6" s="11">
        <v>392.76100000000002</v>
      </c>
      <c r="H6" s="11">
        <v>399.29700000000003</v>
      </c>
      <c r="I6" s="11">
        <v>404.69</v>
      </c>
      <c r="J6" s="11">
        <v>410.22</v>
      </c>
      <c r="K6" s="11">
        <v>416.625</v>
      </c>
      <c r="L6" s="11">
        <v>421.81799999999998</v>
      </c>
      <c r="M6" s="11">
        <v>427.98399999999998</v>
      </c>
      <c r="N6" s="11">
        <v>433.52</v>
      </c>
      <c r="O6" s="11">
        <v>7.5709999999999997</v>
      </c>
      <c r="P6" s="9">
        <f t="shared" ref="P6" si="1">O6+N6-C6</f>
        <v>66.314999999999998</v>
      </c>
      <c r="T6" s="1">
        <v>2</v>
      </c>
      <c r="U6" s="147">
        <f t="shared" ref="U6:AF6" si="2">D6-C6</f>
        <v>5.8460000000000036</v>
      </c>
      <c r="V6" s="147">
        <f t="shared" si="2"/>
        <v>0.89199999999999591</v>
      </c>
      <c r="W6" s="147">
        <f t="shared" si="2"/>
        <v>3.8550000000000182</v>
      </c>
      <c r="X6" s="147">
        <f t="shared" si="2"/>
        <v>7.3919999999999959</v>
      </c>
      <c r="Y6" s="147">
        <f t="shared" si="2"/>
        <v>6.5360000000000014</v>
      </c>
      <c r="Z6" s="147">
        <f t="shared" si="2"/>
        <v>5.3929999999999723</v>
      </c>
      <c r="AA6" s="147">
        <f t="shared" si="2"/>
        <v>5.5300000000000296</v>
      </c>
      <c r="AB6" s="147">
        <f t="shared" si="2"/>
        <v>6.4049999999999727</v>
      </c>
      <c r="AC6" s="147">
        <f t="shared" si="2"/>
        <v>5.1929999999999836</v>
      </c>
      <c r="AD6" s="147">
        <f t="shared" si="2"/>
        <v>6.1659999999999968</v>
      </c>
      <c r="AE6" s="147">
        <f t="shared" si="2"/>
        <v>5.5360000000000014</v>
      </c>
      <c r="AF6" s="147">
        <f>O6</f>
        <v>7.5709999999999997</v>
      </c>
    </row>
    <row r="7" spans="1:32" x14ac:dyDescent="0.35">
      <c r="A7" s="294"/>
      <c r="B7" s="10" t="s">
        <v>333</v>
      </c>
      <c r="C7" s="11">
        <v>18.928000000000001</v>
      </c>
      <c r="D7" s="11">
        <v>20.661999999999999</v>
      </c>
      <c r="E7" s="11">
        <v>20.896999999999998</v>
      </c>
      <c r="F7" s="11">
        <v>21.693999999999999</v>
      </c>
      <c r="G7" s="11">
        <v>22.445</v>
      </c>
      <c r="H7" s="11">
        <v>22.754999999999999</v>
      </c>
      <c r="I7" s="11">
        <v>22.943999999999999</v>
      </c>
      <c r="J7" s="11">
        <v>23.148</v>
      </c>
      <c r="K7" s="11">
        <v>23.398</v>
      </c>
      <c r="L7" s="11">
        <v>23.59</v>
      </c>
      <c r="M7" s="11">
        <v>24.01</v>
      </c>
      <c r="N7" s="11">
        <v>25.547000000000001</v>
      </c>
      <c r="O7" s="11">
        <v>27.501000000000001</v>
      </c>
      <c r="P7" s="9"/>
      <c r="Q7" s="9">
        <f>O7-C7</f>
        <v>8.5730000000000004</v>
      </c>
      <c r="T7" s="1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</row>
    <row r="8" spans="1:32" x14ac:dyDescent="0.35">
      <c r="A8" s="301">
        <v>3</v>
      </c>
      <c r="B8" s="10" t="s">
        <v>148</v>
      </c>
      <c r="C8" s="11">
        <v>253.55500000000001</v>
      </c>
      <c r="D8" s="11">
        <v>260.32299999999998</v>
      </c>
      <c r="E8" s="11">
        <v>266.01299999999998</v>
      </c>
      <c r="F8" s="11">
        <v>271.10599999999999</v>
      </c>
      <c r="G8" s="11">
        <v>277.774</v>
      </c>
      <c r="H8" s="11">
        <v>287.42399999999998</v>
      </c>
      <c r="I8" s="11">
        <v>296.30900000000003</v>
      </c>
      <c r="J8" s="11">
        <v>301.97000000000003</v>
      </c>
      <c r="K8" s="11">
        <v>306.65300000000002</v>
      </c>
      <c r="L8" s="11">
        <v>311.58699999999999</v>
      </c>
      <c r="M8" s="11">
        <v>316.61700000000002</v>
      </c>
      <c r="N8" s="11">
        <v>321.46000000000004</v>
      </c>
      <c r="O8" s="11">
        <v>6.2389999999999999</v>
      </c>
      <c r="P8" s="9">
        <f t="shared" ref="P8" si="3">O8+N8-C8</f>
        <v>74.144000000000005</v>
      </c>
      <c r="T8" s="1">
        <v>3</v>
      </c>
      <c r="U8" s="147">
        <f t="shared" ref="U8:AF8" si="4">D8-C8</f>
        <v>6.7679999999999723</v>
      </c>
      <c r="V8" s="147">
        <f t="shared" si="4"/>
        <v>5.6899999999999977</v>
      </c>
      <c r="W8" s="147">
        <f t="shared" si="4"/>
        <v>5.0930000000000177</v>
      </c>
      <c r="X8" s="147">
        <f t="shared" si="4"/>
        <v>6.6680000000000064</v>
      </c>
      <c r="Y8" s="147">
        <f t="shared" si="4"/>
        <v>9.6499999999999773</v>
      </c>
      <c r="Z8" s="147">
        <f t="shared" si="4"/>
        <v>8.8850000000000477</v>
      </c>
      <c r="AA8" s="147">
        <f t="shared" si="4"/>
        <v>5.6610000000000014</v>
      </c>
      <c r="AB8" s="147">
        <f t="shared" si="4"/>
        <v>4.6829999999999927</v>
      </c>
      <c r="AC8" s="147">
        <f t="shared" si="4"/>
        <v>4.9339999999999691</v>
      </c>
      <c r="AD8" s="147">
        <f t="shared" si="4"/>
        <v>5.0300000000000296</v>
      </c>
      <c r="AE8" s="147">
        <f t="shared" si="4"/>
        <v>4.8430000000000177</v>
      </c>
      <c r="AF8" s="147">
        <f t="shared" ref="AF8:AF22" si="5">O8</f>
        <v>6.2389999999999999</v>
      </c>
    </row>
    <row r="9" spans="1:32" x14ac:dyDescent="0.35">
      <c r="A9" s="301"/>
      <c r="B9" s="10" t="s">
        <v>334</v>
      </c>
      <c r="C9" s="11">
        <v>46.912999999999997</v>
      </c>
      <c r="D9" s="11">
        <v>50.2</v>
      </c>
      <c r="E9" s="11">
        <v>52.259</v>
      </c>
      <c r="F9" s="11">
        <v>54.218000000000004</v>
      </c>
      <c r="G9" s="11">
        <v>55.003999999999998</v>
      </c>
      <c r="H9" s="11">
        <v>55.497999999999998</v>
      </c>
      <c r="I9" s="11">
        <v>55.859000000000002</v>
      </c>
      <c r="J9" s="11">
        <v>56.082999999999998</v>
      </c>
      <c r="K9" s="11">
        <v>56.244999999999997</v>
      </c>
      <c r="L9" s="11">
        <v>56.441000000000003</v>
      </c>
      <c r="M9" s="11">
        <v>56.780999999999999</v>
      </c>
      <c r="N9" s="11">
        <v>59.040999999999997</v>
      </c>
      <c r="O9" s="11">
        <v>62.256999999999998</v>
      </c>
      <c r="P9" s="9"/>
      <c r="Q9" s="9">
        <f>O9-C9</f>
        <v>15.344000000000001</v>
      </c>
      <c r="T9" s="1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</row>
    <row r="10" spans="1:32" x14ac:dyDescent="0.35">
      <c r="A10" s="294">
        <v>4</v>
      </c>
      <c r="B10" s="10" t="s">
        <v>149</v>
      </c>
      <c r="C10" s="11">
        <v>248.363</v>
      </c>
      <c r="D10" s="11">
        <v>253.54599999999999</v>
      </c>
      <c r="E10" s="11">
        <v>258.60599999999999</v>
      </c>
      <c r="F10" s="11">
        <v>263.64499999999998</v>
      </c>
      <c r="G10" s="11">
        <v>268.07400000000001</v>
      </c>
      <c r="H10" s="11">
        <v>273.553</v>
      </c>
      <c r="I10" s="11">
        <v>278.39800000000002</v>
      </c>
      <c r="J10" s="11">
        <v>283.57600000000002</v>
      </c>
      <c r="K10" s="11">
        <v>288.08499999999998</v>
      </c>
      <c r="L10" s="11">
        <v>291.68200000000002</v>
      </c>
      <c r="M10" s="11">
        <v>295.62700000000001</v>
      </c>
      <c r="N10" s="11">
        <v>298.14</v>
      </c>
      <c r="O10" s="11">
        <v>3.3769999999999998</v>
      </c>
      <c r="P10" s="9">
        <f t="shared" ref="P10" si="6">O10+N10-C10</f>
        <v>53.153999999999996</v>
      </c>
      <c r="T10" s="1">
        <v>4</v>
      </c>
      <c r="U10" s="147">
        <f t="shared" ref="U10:AF10" si="7">D10-C10</f>
        <v>5.1829999999999927</v>
      </c>
      <c r="V10" s="147">
        <f t="shared" si="7"/>
        <v>5.0600000000000023</v>
      </c>
      <c r="W10" s="147">
        <f t="shared" si="7"/>
        <v>5.0389999999999873</v>
      </c>
      <c r="X10" s="147">
        <f t="shared" si="7"/>
        <v>4.4290000000000305</v>
      </c>
      <c r="Y10" s="147">
        <f t="shared" si="7"/>
        <v>5.478999999999985</v>
      </c>
      <c r="Z10" s="147">
        <f t="shared" si="7"/>
        <v>4.8450000000000273</v>
      </c>
      <c r="AA10" s="147">
        <f t="shared" si="7"/>
        <v>5.1779999999999973</v>
      </c>
      <c r="AB10" s="147">
        <f t="shared" si="7"/>
        <v>4.5089999999999577</v>
      </c>
      <c r="AC10" s="147">
        <f t="shared" si="7"/>
        <v>3.5970000000000368</v>
      </c>
      <c r="AD10" s="147">
        <f t="shared" si="7"/>
        <v>3.9449999999999932</v>
      </c>
      <c r="AE10" s="147">
        <f t="shared" si="7"/>
        <v>2.5129999999999768</v>
      </c>
      <c r="AF10" s="147">
        <f t="shared" ref="AF10:AF22" si="8">O10</f>
        <v>3.3769999999999998</v>
      </c>
    </row>
    <row r="11" spans="1:32" x14ac:dyDescent="0.35">
      <c r="A11" s="294"/>
      <c r="B11" s="10" t="s">
        <v>335</v>
      </c>
      <c r="C11" s="11">
        <v>20.852</v>
      </c>
      <c r="D11" s="11">
        <v>23.041</v>
      </c>
      <c r="E11" s="11">
        <v>23.879000000000001</v>
      </c>
      <c r="F11" s="11">
        <v>24.46</v>
      </c>
      <c r="G11" s="11">
        <v>24.812999999999999</v>
      </c>
      <c r="H11" s="11">
        <v>25.178999999999998</v>
      </c>
      <c r="I11" s="11">
        <v>25.491</v>
      </c>
      <c r="J11" s="11">
        <v>25.765000000000001</v>
      </c>
      <c r="K11" s="11">
        <v>26.009</v>
      </c>
      <c r="L11" s="11">
        <v>26.268999999999998</v>
      </c>
      <c r="M11" s="11">
        <v>26.792000000000002</v>
      </c>
      <c r="N11" s="11">
        <v>29.164000000000001</v>
      </c>
      <c r="O11" s="11">
        <v>31.791</v>
      </c>
      <c r="P11" s="9"/>
      <c r="Q11" s="9">
        <f>O11-C11</f>
        <v>10.939</v>
      </c>
      <c r="T11" s="1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</row>
    <row r="12" spans="1:32" x14ac:dyDescent="0.35">
      <c r="A12" s="294">
        <v>5</v>
      </c>
      <c r="B12" s="10" t="s">
        <v>150</v>
      </c>
      <c r="C12" s="11">
        <v>393.04300000000001</v>
      </c>
      <c r="D12" s="11">
        <v>402.16800000000001</v>
      </c>
      <c r="E12" s="11">
        <v>411.06099999999998</v>
      </c>
      <c r="F12" s="11">
        <v>420.47699999999998</v>
      </c>
      <c r="G12" s="11">
        <v>428.15800000000002</v>
      </c>
      <c r="H12" s="11">
        <v>435.66699999999997</v>
      </c>
      <c r="I12" s="11">
        <v>443.959</v>
      </c>
      <c r="J12" s="11">
        <v>451.32600000000002</v>
      </c>
      <c r="K12" s="11">
        <v>456.416</v>
      </c>
      <c r="L12" s="11">
        <v>462.846</v>
      </c>
      <c r="M12" s="11">
        <v>469.49700000000001</v>
      </c>
      <c r="N12" s="11">
        <v>475.18</v>
      </c>
      <c r="O12" s="11">
        <v>7.298</v>
      </c>
      <c r="P12" s="9">
        <f t="shared" ref="P12" si="9">O12+N12-C12</f>
        <v>89.435000000000002</v>
      </c>
      <c r="T12" s="1">
        <v>5</v>
      </c>
      <c r="U12" s="147">
        <f t="shared" ref="U12:AF12" si="10">D12-C12</f>
        <v>9.125</v>
      </c>
      <c r="V12" s="147">
        <f t="shared" si="10"/>
        <v>8.8929999999999723</v>
      </c>
      <c r="W12" s="147">
        <f t="shared" si="10"/>
        <v>9.4159999999999968</v>
      </c>
      <c r="X12" s="147">
        <f t="shared" si="10"/>
        <v>7.68100000000004</v>
      </c>
      <c r="Y12" s="147">
        <f t="shared" si="10"/>
        <v>7.5089999999999577</v>
      </c>
      <c r="Z12" s="147">
        <f t="shared" si="10"/>
        <v>8.29200000000003</v>
      </c>
      <c r="AA12" s="147">
        <f t="shared" si="10"/>
        <v>7.3670000000000186</v>
      </c>
      <c r="AB12" s="147">
        <f t="shared" si="10"/>
        <v>5.089999999999975</v>
      </c>
      <c r="AC12" s="147">
        <f t="shared" si="10"/>
        <v>6.4300000000000068</v>
      </c>
      <c r="AD12" s="147">
        <f t="shared" si="10"/>
        <v>6.6510000000000105</v>
      </c>
      <c r="AE12" s="147">
        <f t="shared" si="10"/>
        <v>5.6829999999999927</v>
      </c>
      <c r="AF12" s="147">
        <f t="shared" ref="AF12:AF22" si="11">O12</f>
        <v>7.298</v>
      </c>
    </row>
    <row r="13" spans="1:32" x14ac:dyDescent="0.35">
      <c r="A13" s="294"/>
      <c r="B13" s="10" t="s">
        <v>336</v>
      </c>
      <c r="C13" s="11">
        <v>20.087</v>
      </c>
      <c r="D13" s="11">
        <v>21.899000000000001</v>
      </c>
      <c r="E13" s="11">
        <v>23.498999999999999</v>
      </c>
      <c r="F13" s="11">
        <v>24.603000000000002</v>
      </c>
      <c r="G13" s="11">
        <v>25.047000000000001</v>
      </c>
      <c r="H13" s="11">
        <v>25.413</v>
      </c>
      <c r="I13" s="11">
        <v>25.774000000000001</v>
      </c>
      <c r="J13" s="11">
        <v>26.067</v>
      </c>
      <c r="K13" s="11">
        <v>26.254999999999999</v>
      </c>
      <c r="L13" s="11">
        <v>26.55</v>
      </c>
      <c r="M13" s="11">
        <v>26.946000000000002</v>
      </c>
      <c r="N13" s="11">
        <v>27.558</v>
      </c>
      <c r="O13" s="11">
        <v>28.57</v>
      </c>
      <c r="P13" s="9"/>
      <c r="Q13" s="9">
        <f>O13-C13</f>
        <v>8.4830000000000005</v>
      </c>
      <c r="T13" s="1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</row>
    <row r="14" spans="1:32" x14ac:dyDescent="0.35">
      <c r="A14" s="294">
        <v>6</v>
      </c>
      <c r="B14" s="10" t="s">
        <v>151</v>
      </c>
      <c r="C14" s="11">
        <v>216.42599999999999</v>
      </c>
      <c r="D14" s="11">
        <v>220.66</v>
      </c>
      <c r="E14" s="11">
        <v>225.233</v>
      </c>
      <c r="F14" s="11">
        <v>230.10400000000001</v>
      </c>
      <c r="G14" s="11">
        <v>234.518</v>
      </c>
      <c r="H14" s="11">
        <v>238.84200000000001</v>
      </c>
      <c r="I14" s="11">
        <v>242.11</v>
      </c>
      <c r="J14" s="11">
        <v>245.31700000000001</v>
      </c>
      <c r="K14" s="11">
        <v>249.98400000000001</v>
      </c>
      <c r="L14" s="11">
        <v>253.374</v>
      </c>
      <c r="M14" s="11">
        <v>258.49200000000002</v>
      </c>
      <c r="N14" s="11">
        <v>262.88</v>
      </c>
      <c r="O14" s="11">
        <v>6.274</v>
      </c>
      <c r="P14" s="9">
        <f t="shared" ref="P14" si="12">O14+N14-C14</f>
        <v>52.728000000000009</v>
      </c>
      <c r="T14" s="1">
        <v>6</v>
      </c>
      <c r="U14" s="147">
        <f t="shared" ref="U14:AF14" si="13">D14-C14</f>
        <v>4.2340000000000089</v>
      </c>
      <c r="V14" s="147">
        <f t="shared" si="13"/>
        <v>4.5730000000000075</v>
      </c>
      <c r="W14" s="147">
        <f t="shared" si="13"/>
        <v>4.8710000000000093</v>
      </c>
      <c r="X14" s="147">
        <f t="shared" si="13"/>
        <v>4.4139999999999873</v>
      </c>
      <c r="Y14" s="147">
        <f t="shared" si="13"/>
        <v>4.3240000000000123</v>
      </c>
      <c r="Z14" s="147">
        <f t="shared" si="13"/>
        <v>3.2680000000000007</v>
      </c>
      <c r="AA14" s="147">
        <f t="shared" si="13"/>
        <v>3.2069999999999936</v>
      </c>
      <c r="AB14" s="147">
        <f t="shared" si="13"/>
        <v>4.6670000000000016</v>
      </c>
      <c r="AC14" s="147">
        <f t="shared" si="13"/>
        <v>3.3899999999999864</v>
      </c>
      <c r="AD14" s="147">
        <f t="shared" si="13"/>
        <v>5.1180000000000234</v>
      </c>
      <c r="AE14" s="147">
        <f t="shared" si="13"/>
        <v>4.3879999999999768</v>
      </c>
      <c r="AF14" s="147">
        <f t="shared" ref="AF14:AF22" si="14">O14</f>
        <v>6.274</v>
      </c>
    </row>
    <row r="15" spans="1:32" x14ac:dyDescent="0.35">
      <c r="A15" s="294"/>
      <c r="B15" s="10" t="s">
        <v>337</v>
      </c>
      <c r="C15" s="11">
        <v>29.189</v>
      </c>
      <c r="D15" s="11">
        <v>32.329000000000001</v>
      </c>
      <c r="E15" s="11">
        <v>33.929000000000002</v>
      </c>
      <c r="F15" s="11">
        <v>34.832000000000001</v>
      </c>
      <c r="G15" s="11">
        <v>35.31</v>
      </c>
      <c r="H15" s="11">
        <v>35.49</v>
      </c>
      <c r="I15" s="11">
        <v>35.618000000000002</v>
      </c>
      <c r="J15" s="11">
        <v>35.744</v>
      </c>
      <c r="K15" s="11">
        <v>35.886000000000003</v>
      </c>
      <c r="L15" s="11">
        <v>36.003</v>
      </c>
      <c r="M15" s="11">
        <v>36.881999999999998</v>
      </c>
      <c r="N15" s="11">
        <v>39.923000000000002</v>
      </c>
      <c r="O15" s="11">
        <v>43.35</v>
      </c>
      <c r="P15" s="9"/>
      <c r="Q15" s="9">
        <f>O15-C15</f>
        <v>14.161000000000001</v>
      </c>
      <c r="T15" s="1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</row>
    <row r="16" spans="1:32" x14ac:dyDescent="0.35">
      <c r="A16" s="294">
        <v>7</v>
      </c>
      <c r="B16" s="10" t="s">
        <v>152</v>
      </c>
      <c r="C16" s="11">
        <v>542.29700000000003</v>
      </c>
      <c r="D16" s="11">
        <v>554.66999999999996</v>
      </c>
      <c r="E16" s="11">
        <v>566.46</v>
      </c>
      <c r="F16" s="11">
        <v>578.36400000000003</v>
      </c>
      <c r="G16" s="11">
        <v>589.98599999999999</v>
      </c>
      <c r="H16" s="11">
        <v>600.976</v>
      </c>
      <c r="I16" s="11">
        <v>612.42999999999995</v>
      </c>
      <c r="J16" s="11">
        <v>620.36199999999997</v>
      </c>
      <c r="K16" s="11">
        <v>630.34500000000003</v>
      </c>
      <c r="L16" s="11">
        <v>641.04300000000001</v>
      </c>
      <c r="M16" s="11">
        <v>650.99900000000002</v>
      </c>
      <c r="N16" s="11">
        <v>662.04</v>
      </c>
      <c r="O16" s="11">
        <v>14.625999999999999</v>
      </c>
      <c r="P16" s="9">
        <f t="shared" ref="P16" si="15">O16+N16-C16</f>
        <v>134.36899999999991</v>
      </c>
      <c r="T16" s="1">
        <v>7</v>
      </c>
      <c r="U16" s="147">
        <f t="shared" ref="U16:AF16" si="16">D16-C16</f>
        <v>12.372999999999934</v>
      </c>
      <c r="V16" s="147">
        <f t="shared" si="16"/>
        <v>11.790000000000077</v>
      </c>
      <c r="W16" s="147">
        <f t="shared" si="16"/>
        <v>11.903999999999996</v>
      </c>
      <c r="X16" s="147">
        <f t="shared" si="16"/>
        <v>11.621999999999957</v>
      </c>
      <c r="Y16" s="147">
        <f t="shared" si="16"/>
        <v>10.990000000000009</v>
      </c>
      <c r="Z16" s="147">
        <f t="shared" si="16"/>
        <v>11.453999999999951</v>
      </c>
      <c r="AA16" s="147">
        <f t="shared" si="16"/>
        <v>7.9320000000000164</v>
      </c>
      <c r="AB16" s="147">
        <f t="shared" si="16"/>
        <v>9.9830000000000609</v>
      </c>
      <c r="AC16" s="147">
        <f t="shared" si="16"/>
        <v>10.697999999999979</v>
      </c>
      <c r="AD16" s="147">
        <f t="shared" si="16"/>
        <v>9.9560000000000173</v>
      </c>
      <c r="AE16" s="147">
        <f t="shared" si="16"/>
        <v>11.04099999999994</v>
      </c>
      <c r="AF16" s="147">
        <f t="shared" ref="AF16:AF22" si="17">O16</f>
        <v>14.625999999999999</v>
      </c>
    </row>
    <row r="17" spans="1:32" x14ac:dyDescent="0.35">
      <c r="A17" s="294"/>
      <c r="B17" s="10" t="s">
        <v>338</v>
      </c>
      <c r="C17" s="11">
        <v>56.158999999999999</v>
      </c>
      <c r="D17" s="11">
        <v>60.185000000000002</v>
      </c>
      <c r="E17" s="11">
        <v>62.802</v>
      </c>
      <c r="F17" s="11">
        <v>64.585999999999999</v>
      </c>
      <c r="G17" s="11">
        <v>65.855999999999995</v>
      </c>
      <c r="H17" s="11">
        <v>66.691999999999993</v>
      </c>
      <c r="I17" s="11">
        <v>67.510000000000005</v>
      </c>
      <c r="J17" s="11">
        <v>68.03</v>
      </c>
      <c r="K17" s="11">
        <v>68.566999999999993</v>
      </c>
      <c r="L17" s="11">
        <v>69.244</v>
      </c>
      <c r="M17" s="11">
        <v>70.144999999999996</v>
      </c>
      <c r="N17" s="11">
        <v>72.98</v>
      </c>
      <c r="O17" s="11">
        <v>76.722999999999999</v>
      </c>
      <c r="P17" s="9"/>
      <c r="Q17" s="9">
        <f>O17-C17</f>
        <v>20.564</v>
      </c>
      <c r="T17" s="1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</row>
    <row r="18" spans="1:32" x14ac:dyDescent="0.35">
      <c r="A18" s="294">
        <v>8</v>
      </c>
      <c r="B18" s="10" t="s">
        <v>153</v>
      </c>
      <c r="C18" s="11">
        <v>341.37400000000002</v>
      </c>
      <c r="D18" s="11">
        <v>350.04500000000002</v>
      </c>
      <c r="E18" s="11">
        <v>358.46800000000002</v>
      </c>
      <c r="F18" s="11">
        <v>368.423</v>
      </c>
      <c r="G18" s="11">
        <v>376.90499999999997</v>
      </c>
      <c r="H18" s="11">
        <v>387.05200000000002</v>
      </c>
      <c r="I18" s="11">
        <v>394.91699999999997</v>
      </c>
      <c r="J18" s="11">
        <v>402.476</v>
      </c>
      <c r="K18" s="11">
        <v>407.09500000000003</v>
      </c>
      <c r="L18" s="11">
        <v>416.89299999999997</v>
      </c>
      <c r="M18" s="11">
        <v>428.17599999999999</v>
      </c>
      <c r="N18" s="11">
        <v>437.37</v>
      </c>
      <c r="O18" s="11">
        <v>11.298999999999999</v>
      </c>
      <c r="P18" s="9">
        <f t="shared" ref="P18" si="18">O18+N18-C18</f>
        <v>107.29499999999996</v>
      </c>
      <c r="T18" s="1">
        <v>8</v>
      </c>
      <c r="U18" s="147">
        <f t="shared" ref="U18:AF18" si="19">D18-C18</f>
        <v>8.6709999999999923</v>
      </c>
      <c r="V18" s="147">
        <f t="shared" si="19"/>
        <v>8.4230000000000018</v>
      </c>
      <c r="W18" s="147">
        <f t="shared" si="19"/>
        <v>9.9549999999999841</v>
      </c>
      <c r="X18" s="147">
        <f t="shared" si="19"/>
        <v>8.4819999999999709</v>
      </c>
      <c r="Y18" s="147">
        <f t="shared" si="19"/>
        <v>10.147000000000048</v>
      </c>
      <c r="Z18" s="147">
        <f t="shared" si="19"/>
        <v>7.8649999999999523</v>
      </c>
      <c r="AA18" s="147">
        <f t="shared" si="19"/>
        <v>7.5590000000000259</v>
      </c>
      <c r="AB18" s="147">
        <f t="shared" si="19"/>
        <v>4.6190000000000282</v>
      </c>
      <c r="AC18" s="147">
        <f t="shared" si="19"/>
        <v>9.797999999999945</v>
      </c>
      <c r="AD18" s="147">
        <f t="shared" si="19"/>
        <v>11.283000000000015</v>
      </c>
      <c r="AE18" s="147">
        <f t="shared" si="19"/>
        <v>9.1940000000000168</v>
      </c>
      <c r="AF18" s="147">
        <f t="shared" ref="AF18:AF22" si="20">O18</f>
        <v>11.298999999999999</v>
      </c>
    </row>
    <row r="19" spans="1:32" x14ac:dyDescent="0.35">
      <c r="A19" s="294"/>
      <c r="B19" s="10" t="s">
        <v>339</v>
      </c>
      <c r="C19" s="11">
        <v>40.131999999999998</v>
      </c>
      <c r="D19" s="11">
        <v>44.521999999999998</v>
      </c>
      <c r="E19" s="11">
        <v>47.216000000000001</v>
      </c>
      <c r="F19" s="11">
        <v>48.725999999999999</v>
      </c>
      <c r="G19" s="11">
        <v>49.482999999999997</v>
      </c>
      <c r="H19" s="11">
        <v>50.122999999999998</v>
      </c>
      <c r="I19" s="11">
        <v>50.514000000000003</v>
      </c>
      <c r="J19" s="11">
        <v>50.875</v>
      </c>
      <c r="K19" s="11">
        <v>51.088999999999999</v>
      </c>
      <c r="L19" s="11">
        <v>51.548000000000002</v>
      </c>
      <c r="M19" s="11">
        <v>52.246000000000002</v>
      </c>
      <c r="N19" s="11">
        <v>55.01</v>
      </c>
      <c r="O19" s="11">
        <v>58.518999999999998</v>
      </c>
      <c r="P19" s="9"/>
      <c r="Q19" s="9">
        <f>O19-C19</f>
        <v>18.387</v>
      </c>
      <c r="T19" s="1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</row>
    <row r="20" spans="1:32" x14ac:dyDescent="0.35">
      <c r="A20" s="294">
        <v>9</v>
      </c>
      <c r="B20" s="10" t="s">
        <v>154</v>
      </c>
      <c r="C20" s="11">
        <v>188.59800000000001</v>
      </c>
      <c r="D20" s="11">
        <v>192.01900000000001</v>
      </c>
      <c r="E20" s="11">
        <v>195.226</v>
      </c>
      <c r="F20" s="11">
        <v>198.464</v>
      </c>
      <c r="G20" s="11">
        <v>201.78800000000001</v>
      </c>
      <c r="H20" s="11">
        <v>205.11099999999999</v>
      </c>
      <c r="I20" s="11">
        <v>208.37</v>
      </c>
      <c r="J20" s="11">
        <v>212.078</v>
      </c>
      <c r="K20" s="11">
        <v>216.369</v>
      </c>
      <c r="L20" s="11">
        <v>216.934</v>
      </c>
      <c r="M20" s="11">
        <v>217.28899999999999</v>
      </c>
      <c r="N20" s="11">
        <v>218.68</v>
      </c>
      <c r="O20" s="11">
        <v>3.9390000000000001</v>
      </c>
      <c r="P20" s="9">
        <f t="shared" ref="P20" si="21">O20+N20-C20</f>
        <v>34.020999999999987</v>
      </c>
      <c r="T20" s="1">
        <v>9</v>
      </c>
      <c r="U20" s="147">
        <f t="shared" ref="U20:AF20" si="22">D20-C20</f>
        <v>3.4209999999999923</v>
      </c>
      <c r="V20" s="147">
        <f t="shared" si="22"/>
        <v>3.2069999999999936</v>
      </c>
      <c r="W20" s="147">
        <f t="shared" si="22"/>
        <v>3.2379999999999995</v>
      </c>
      <c r="X20" s="147">
        <f t="shared" si="22"/>
        <v>3.3240000000000123</v>
      </c>
      <c r="Y20" s="147">
        <f t="shared" si="22"/>
        <v>3.3229999999999791</v>
      </c>
      <c r="Z20" s="147">
        <f t="shared" si="22"/>
        <v>3.2590000000000146</v>
      </c>
      <c r="AA20" s="147">
        <f t="shared" si="22"/>
        <v>3.7079999999999984</v>
      </c>
      <c r="AB20" s="147">
        <f t="shared" si="22"/>
        <v>4.2909999999999968</v>
      </c>
      <c r="AC20" s="147">
        <f t="shared" si="22"/>
        <v>0.56499999999999773</v>
      </c>
      <c r="AD20" s="147">
        <f t="shared" si="22"/>
        <v>0.35499999999998977</v>
      </c>
      <c r="AE20" s="147">
        <f t="shared" si="22"/>
        <v>1.3910000000000196</v>
      </c>
      <c r="AF20" s="147">
        <f t="shared" ref="AF20:AF22" si="23">O20</f>
        <v>3.9390000000000001</v>
      </c>
    </row>
    <row r="21" spans="1:32" x14ac:dyDescent="0.35">
      <c r="A21" s="294"/>
      <c r="B21" s="10" t="s">
        <v>340</v>
      </c>
      <c r="C21" s="11">
        <v>46.406999999999996</v>
      </c>
      <c r="D21" s="11">
        <v>51.335999999999999</v>
      </c>
      <c r="E21" s="11">
        <v>54.223999999999997</v>
      </c>
      <c r="F21" s="11">
        <v>56.337000000000003</v>
      </c>
      <c r="G21" s="11">
        <v>57.22</v>
      </c>
      <c r="H21" s="11">
        <v>57.531999999999996</v>
      </c>
      <c r="I21" s="11">
        <v>57.792000000000002</v>
      </c>
      <c r="J21" s="11">
        <v>58.024999999999999</v>
      </c>
      <c r="K21" s="11">
        <v>58.255000000000003</v>
      </c>
      <c r="L21" s="11">
        <v>59.365000000000002</v>
      </c>
      <c r="M21" s="11">
        <v>60.746000000000002</v>
      </c>
      <c r="N21" s="11">
        <v>64.043999999999997</v>
      </c>
      <c r="O21" s="11">
        <v>68.215999999999994</v>
      </c>
      <c r="P21" s="9"/>
      <c r="Q21" s="9">
        <f>O21-C21</f>
        <v>21.808999999999997</v>
      </c>
      <c r="T21" s="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 spans="1:32" x14ac:dyDescent="0.35">
      <c r="A22" s="294">
        <v>10</v>
      </c>
      <c r="B22" s="10" t="s">
        <v>155</v>
      </c>
      <c r="C22" s="11">
        <v>191.28800000000001</v>
      </c>
      <c r="D22" s="11">
        <v>193.85300000000001</v>
      </c>
      <c r="E22" s="11">
        <v>196.036</v>
      </c>
      <c r="F22" s="11">
        <v>198.678</v>
      </c>
      <c r="G22" s="11">
        <v>200.59100000000001</v>
      </c>
      <c r="H22" s="11">
        <v>202.96299999999999</v>
      </c>
      <c r="I22" s="11">
        <v>205.17</v>
      </c>
      <c r="J22" s="11">
        <v>206.80199999999999</v>
      </c>
      <c r="K22" s="11">
        <v>209.70500000000001</v>
      </c>
      <c r="L22" s="11">
        <v>212.494</v>
      </c>
      <c r="M22" s="11">
        <v>215.703</v>
      </c>
      <c r="N22" s="11">
        <v>218.09</v>
      </c>
      <c r="O22" s="11">
        <v>3.7450000000000001</v>
      </c>
      <c r="P22" s="9">
        <f t="shared" ref="P22" si="24">O22+N22-C22</f>
        <v>30.546999999999997</v>
      </c>
      <c r="T22" s="1">
        <v>10</v>
      </c>
      <c r="U22" s="147">
        <f t="shared" ref="U22:AF22" si="25">D22-C22</f>
        <v>2.5649999999999977</v>
      </c>
      <c r="V22" s="147">
        <f t="shared" si="25"/>
        <v>2.1829999999999927</v>
      </c>
      <c r="W22" s="147">
        <f t="shared" si="25"/>
        <v>2.6419999999999959</v>
      </c>
      <c r="X22" s="147">
        <f t="shared" si="25"/>
        <v>1.9130000000000109</v>
      </c>
      <c r="Y22" s="147">
        <f t="shared" si="25"/>
        <v>2.3719999999999857</v>
      </c>
      <c r="Z22" s="147">
        <f t="shared" si="25"/>
        <v>2.2069999999999936</v>
      </c>
      <c r="AA22" s="147">
        <f t="shared" si="25"/>
        <v>1.632000000000005</v>
      </c>
      <c r="AB22" s="147">
        <f t="shared" si="25"/>
        <v>2.90300000000002</v>
      </c>
      <c r="AC22" s="147">
        <f t="shared" si="25"/>
        <v>2.7889999999999873</v>
      </c>
      <c r="AD22" s="147">
        <f t="shared" si="25"/>
        <v>3.2090000000000032</v>
      </c>
      <c r="AE22" s="147">
        <f t="shared" si="25"/>
        <v>2.3870000000000005</v>
      </c>
      <c r="AF22" s="147">
        <f t="shared" ref="AF22" si="26">O22</f>
        <v>3.7450000000000001</v>
      </c>
    </row>
    <row r="23" spans="1:32" x14ac:dyDescent="0.35">
      <c r="A23" s="294"/>
      <c r="B23" s="10" t="s">
        <v>341</v>
      </c>
      <c r="C23" s="11">
        <v>46.521000000000001</v>
      </c>
      <c r="D23" s="11">
        <v>50.274000000000001</v>
      </c>
      <c r="E23" s="11">
        <v>52.866999999999997</v>
      </c>
      <c r="F23" s="11">
        <v>54.755000000000003</v>
      </c>
      <c r="G23" s="11">
        <v>55.529000000000003</v>
      </c>
      <c r="H23" s="11">
        <v>55.689</v>
      </c>
      <c r="I23" s="11">
        <v>55.796999999999997</v>
      </c>
      <c r="J23" s="11">
        <v>55.862000000000002</v>
      </c>
      <c r="K23" s="11">
        <v>55.939</v>
      </c>
      <c r="L23" s="11">
        <v>56.155999999999999</v>
      </c>
      <c r="M23" s="11">
        <v>57.470999999999997</v>
      </c>
      <c r="N23" s="11">
        <v>60.353999999999999</v>
      </c>
      <c r="O23" s="11">
        <v>64.113</v>
      </c>
      <c r="P23" s="14"/>
      <c r="Q23" s="98">
        <f>O23-C23</f>
        <v>17.591999999999999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</row>
    <row r="24" spans="1:32" x14ac:dyDescent="0.35">
      <c r="A24" s="114"/>
      <c r="B24" s="10" t="s">
        <v>268</v>
      </c>
      <c r="C24" s="15">
        <v>8503</v>
      </c>
      <c r="D24" s="15">
        <v>8687</v>
      </c>
      <c r="E24" s="15">
        <v>8856</v>
      </c>
      <c r="F24" s="15">
        <v>9052</v>
      </c>
      <c r="G24" s="15">
        <v>9239</v>
      </c>
      <c r="H24" s="15">
        <v>9428</v>
      </c>
      <c r="I24" s="15">
        <v>9614</v>
      </c>
      <c r="J24" s="15">
        <v>9795</v>
      </c>
      <c r="K24" s="15">
        <v>9991</v>
      </c>
      <c r="L24" s="15">
        <v>10221</v>
      </c>
      <c r="M24" s="15">
        <v>10404</v>
      </c>
      <c r="N24" s="15">
        <v>10604</v>
      </c>
      <c r="O24" s="15">
        <v>10800</v>
      </c>
      <c r="P24" s="9">
        <f>SUM(P4:P23)</f>
        <v>800.19199999999989</v>
      </c>
      <c r="Q24" s="9">
        <f>SUM(Q4:Q23)</f>
        <v>168.125</v>
      </c>
      <c r="R24" s="28">
        <f>O24-C24</f>
        <v>2297</v>
      </c>
    </row>
    <row r="25" spans="1:32" x14ac:dyDescent="0.35">
      <c r="A25" s="114" t="s">
        <v>15</v>
      </c>
      <c r="B25" s="10" t="s">
        <v>269</v>
      </c>
      <c r="C25" s="15">
        <v>14439</v>
      </c>
      <c r="D25" s="15">
        <v>14792</v>
      </c>
      <c r="E25" s="15">
        <v>15114</v>
      </c>
      <c r="F25" s="15">
        <v>15436</v>
      </c>
      <c r="G25" s="15">
        <v>15694</v>
      </c>
      <c r="H25" s="15">
        <v>15925</v>
      </c>
      <c r="I25" s="15">
        <v>16128</v>
      </c>
      <c r="J25" s="15">
        <v>16352</v>
      </c>
      <c r="K25" s="15">
        <v>16611</v>
      </c>
      <c r="L25" s="15">
        <v>16904</v>
      </c>
      <c r="M25" s="15">
        <v>17247</v>
      </c>
      <c r="N25" s="15">
        <v>17630</v>
      </c>
      <c r="O25" s="15">
        <v>18016</v>
      </c>
      <c r="R25" s="28">
        <f>O25-C25</f>
        <v>3577</v>
      </c>
      <c r="T25" s="1" t="s">
        <v>214</v>
      </c>
      <c r="U25" s="110">
        <f t="shared" ref="U25:AF25" si="27">D26-C26</f>
        <v>0</v>
      </c>
      <c r="V25" s="110">
        <f t="shared" si="27"/>
        <v>0</v>
      </c>
      <c r="W25" s="110">
        <f t="shared" si="27"/>
        <v>0</v>
      </c>
      <c r="X25" s="110">
        <f t="shared" si="27"/>
        <v>13.007000000000062</v>
      </c>
      <c r="Y25" s="110">
        <f t="shared" si="27"/>
        <v>7.1139999999999191</v>
      </c>
      <c r="Z25" s="110">
        <f t="shared" si="27"/>
        <v>15.413000000000011</v>
      </c>
      <c r="AA25" s="110">
        <f t="shared" si="27"/>
        <v>17.829000000000065</v>
      </c>
      <c r="AB25" s="110">
        <f t="shared" si="27"/>
        <v>28.312000000000012</v>
      </c>
      <c r="AC25" s="110">
        <f t="shared" si="27"/>
        <v>9.1769999999999072</v>
      </c>
      <c r="AD25" s="110">
        <f t="shared" si="27"/>
        <v>2.0950000000000273</v>
      </c>
      <c r="AE25" s="110">
        <f t="shared" si="27"/>
        <v>0</v>
      </c>
      <c r="AF25" s="110">
        <f t="shared" si="27"/>
        <v>0</v>
      </c>
    </row>
    <row r="26" spans="1:32" x14ac:dyDescent="0.35">
      <c r="A26" s="114"/>
      <c r="B26" s="29" t="s">
        <v>210</v>
      </c>
      <c r="C26" s="11">
        <v>547.77499999999998</v>
      </c>
      <c r="D26" s="11">
        <v>547.77499999999998</v>
      </c>
      <c r="E26" s="11">
        <v>547.77499999999998</v>
      </c>
      <c r="F26" s="11">
        <v>547.77499999999998</v>
      </c>
      <c r="G26" s="11">
        <v>560.78200000000004</v>
      </c>
      <c r="H26" s="11">
        <v>567.89599999999996</v>
      </c>
      <c r="I26" s="11">
        <v>583.30899999999997</v>
      </c>
      <c r="J26" s="11">
        <v>601.13800000000003</v>
      </c>
      <c r="K26" s="11">
        <v>629.45000000000005</v>
      </c>
      <c r="L26" s="11">
        <v>638.62699999999995</v>
      </c>
      <c r="M26" s="11">
        <v>640.72199999999998</v>
      </c>
      <c r="N26" s="11">
        <v>640.72199999999998</v>
      </c>
      <c r="O26" s="11">
        <v>640.72199999999998</v>
      </c>
      <c r="P26" s="9">
        <f>O26-C26</f>
        <v>92.947000000000003</v>
      </c>
      <c r="Q26" s="224">
        <f>ROUND(P26,0)</f>
        <v>93</v>
      </c>
      <c r="R26" s="225" t="s">
        <v>281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x14ac:dyDescent="0.35">
      <c r="A27" s="114"/>
      <c r="B27" s="10" t="s">
        <v>156</v>
      </c>
      <c r="C27" s="18">
        <v>4291.1000000000004</v>
      </c>
      <c r="D27" s="18">
        <v>4370.6000000000004</v>
      </c>
      <c r="E27" s="18">
        <v>4438.3</v>
      </c>
      <c r="F27" s="18">
        <v>4516.5</v>
      </c>
      <c r="G27" s="18">
        <v>4605.2</v>
      </c>
      <c r="H27" s="18">
        <v>4695.3</v>
      </c>
      <c r="I27" s="18">
        <v>4784.8</v>
      </c>
      <c r="J27" s="18">
        <v>4869.2</v>
      </c>
      <c r="K27" s="18">
        <v>4961.6000000000004</v>
      </c>
      <c r="L27" s="18">
        <v>5039.6000000000004</v>
      </c>
      <c r="M27" s="18">
        <v>5115</v>
      </c>
      <c r="N27" s="18">
        <v>5181.3999999999996</v>
      </c>
      <c r="O27" s="18">
        <v>90.7</v>
      </c>
      <c r="P27" s="330">
        <f t="shared" ref="P27" si="28">O27+N27-C27</f>
        <v>980.99999999999909</v>
      </c>
      <c r="Q27" s="224">
        <f>P27-Q26</f>
        <v>887.99999999999909</v>
      </c>
      <c r="R27" s="225" t="s">
        <v>282</v>
      </c>
      <c r="U27" s="247">
        <f>(D27-C27)-(D26-C26)</f>
        <v>79.5</v>
      </c>
      <c r="V27" s="247">
        <f t="shared" ref="V27:AF27" si="29">(E27-D27)-(E26-D26)</f>
        <v>67.699999999999818</v>
      </c>
      <c r="W27" s="247">
        <f t="shared" si="29"/>
        <v>78.199999999999818</v>
      </c>
      <c r="X27" s="247">
        <f t="shared" si="29"/>
        <v>75.692999999999756</v>
      </c>
      <c r="Y27" s="247">
        <f t="shared" si="29"/>
        <v>82.986000000000445</v>
      </c>
      <c r="Z27" s="247">
        <f t="shared" si="29"/>
        <v>74.086999999999989</v>
      </c>
      <c r="AA27" s="247">
        <f t="shared" si="29"/>
        <v>66.570999999999572</v>
      </c>
      <c r="AB27" s="247">
        <f t="shared" si="29"/>
        <v>64.088000000000534</v>
      </c>
      <c r="AC27" s="247">
        <f t="shared" si="29"/>
        <v>68.823000000000093</v>
      </c>
      <c r="AD27" s="247">
        <f t="shared" si="29"/>
        <v>73.304999999999609</v>
      </c>
      <c r="AE27" s="247">
        <f t="shared" si="29"/>
        <v>66.399999999999636</v>
      </c>
      <c r="AF27" s="247">
        <f>(O27)-(O26-N26)</f>
        <v>90.7</v>
      </c>
    </row>
    <row r="28" spans="1:32" x14ac:dyDescent="0.35">
      <c r="A28" s="114"/>
      <c r="B28" s="10" t="s">
        <v>427</v>
      </c>
      <c r="C28" s="19">
        <v>63.56</v>
      </c>
      <c r="D28" s="19">
        <v>101.23</v>
      </c>
      <c r="E28" s="19">
        <v>123.24</v>
      </c>
      <c r="F28" s="19">
        <v>140.44</v>
      </c>
      <c r="G28" s="19">
        <v>148.66</v>
      </c>
      <c r="H28" s="19">
        <v>152.75</v>
      </c>
      <c r="I28" s="19">
        <v>155.75</v>
      </c>
      <c r="J28" s="19">
        <v>157.91</v>
      </c>
      <c r="K28" s="19">
        <v>159.63</v>
      </c>
      <c r="L28" s="19">
        <v>163.30000000000001</v>
      </c>
      <c r="M28" s="19">
        <v>171.49</v>
      </c>
      <c r="N28" s="19">
        <v>199.27</v>
      </c>
      <c r="O28" s="19">
        <v>232.37</v>
      </c>
      <c r="P28" s="33"/>
      <c r="Q28" s="9">
        <f>(O28-C28)</f>
        <v>168.81</v>
      </c>
      <c r="R28" t="s">
        <v>82</v>
      </c>
      <c r="U28" s="261">
        <f>(D28-C28)</f>
        <v>37.67</v>
      </c>
      <c r="V28" s="261">
        <f>(E28-D28)</f>
        <v>22.009999999999991</v>
      </c>
      <c r="W28" s="261">
        <f t="shared" ref="W28:AF28" si="30">(F28-E28)</f>
        <v>17.200000000000003</v>
      </c>
      <c r="X28" s="261">
        <f t="shared" si="30"/>
        <v>8.2199999999999989</v>
      </c>
      <c r="Y28" s="261">
        <f t="shared" si="30"/>
        <v>4.0900000000000034</v>
      </c>
      <c r="Z28" s="261">
        <f t="shared" si="30"/>
        <v>3</v>
      </c>
      <c r="AA28" s="261">
        <f t="shared" si="30"/>
        <v>2.1599999999999966</v>
      </c>
      <c r="AB28" s="261">
        <f t="shared" si="30"/>
        <v>1.7199999999999989</v>
      </c>
      <c r="AC28" s="261">
        <f t="shared" si="30"/>
        <v>3.6700000000000159</v>
      </c>
      <c r="AD28" s="261">
        <f t="shared" si="30"/>
        <v>8.1899999999999977</v>
      </c>
      <c r="AE28" s="261">
        <f t="shared" si="30"/>
        <v>27.78</v>
      </c>
      <c r="AF28" s="261">
        <f t="shared" si="30"/>
        <v>33.099999999999994</v>
      </c>
    </row>
    <row r="29" spans="1:32" ht="15" thickBot="1" x14ac:dyDescent="0.4">
      <c r="A29" s="4"/>
      <c r="B29" s="26" t="s">
        <v>28</v>
      </c>
      <c r="C29" s="30">
        <v>442</v>
      </c>
      <c r="D29" s="30">
        <v>704</v>
      </c>
      <c r="E29" s="30">
        <v>850</v>
      </c>
      <c r="F29" s="30">
        <v>972.8</v>
      </c>
      <c r="G29" s="30">
        <v>1034</v>
      </c>
      <c r="H29" s="30">
        <v>1067</v>
      </c>
      <c r="I29" s="30">
        <v>1094</v>
      </c>
      <c r="J29" s="30">
        <v>1114</v>
      </c>
      <c r="K29" s="30">
        <v>1132</v>
      </c>
      <c r="L29" s="30">
        <v>1162</v>
      </c>
      <c r="M29" s="30">
        <v>1225</v>
      </c>
      <c r="N29" s="30">
        <v>1423</v>
      </c>
      <c r="O29" s="30">
        <v>1649</v>
      </c>
      <c r="Q29" s="16">
        <f>O29-C29</f>
        <v>1207</v>
      </c>
      <c r="R29" t="s">
        <v>83</v>
      </c>
    </row>
    <row r="30" spans="1:32" ht="15" thickBot="1" x14ac:dyDescent="0.4">
      <c r="A30" s="115" t="str">
        <f>'1850'!A29</f>
        <v>fakturační vodoměr č.         63796</v>
      </c>
      <c r="B30" s="22"/>
      <c r="C30" s="23">
        <f>'1850'!C29</f>
        <v>24212</v>
      </c>
      <c r="D30" s="23">
        <f>'1850'!D29</f>
        <v>24552.7</v>
      </c>
      <c r="E30" s="23">
        <f>'1850'!E29</f>
        <v>24857.7</v>
      </c>
      <c r="F30" s="23">
        <f>'1850'!F29</f>
        <v>25187.3</v>
      </c>
      <c r="G30" s="23">
        <f>'1850'!G29</f>
        <v>25525.5</v>
      </c>
      <c r="H30" s="23">
        <f>'1850'!H29</f>
        <v>25865</v>
      </c>
      <c r="I30" s="23">
        <f>'1850'!I29</f>
        <v>26188.7</v>
      </c>
      <c r="J30" s="23">
        <f>'1850'!J29</f>
        <v>26482.400000000001</v>
      </c>
      <c r="K30" s="23">
        <f>'1850'!K29</f>
        <v>26791.4</v>
      </c>
      <c r="L30" s="23">
        <f>'1850'!L29</f>
        <v>27107</v>
      </c>
      <c r="M30" s="23">
        <f>'1850'!M29</f>
        <v>27434.1</v>
      </c>
      <c r="N30" s="23">
        <f>'1850'!N29</f>
        <v>27732.5</v>
      </c>
      <c r="O30" s="23">
        <f>'1850'!O29</f>
        <v>28101</v>
      </c>
      <c r="P30" s="9">
        <f>O30-C30</f>
        <v>3889</v>
      </c>
      <c r="AD30" s="9"/>
    </row>
    <row r="31" spans="1:32" ht="15" thickBot="1" x14ac:dyDescent="0.4">
      <c r="B31" s="31"/>
    </row>
    <row r="32" spans="1:32" x14ac:dyDescent="0.35">
      <c r="A32" s="308">
        <v>11</v>
      </c>
      <c r="B32" s="165" t="s">
        <v>219</v>
      </c>
      <c r="C32" s="166">
        <v>18.236000000000001</v>
      </c>
      <c r="D32" s="166">
        <v>18.716999999999999</v>
      </c>
      <c r="E32" s="166">
        <v>19.597999999999999</v>
      </c>
      <c r="F32" s="166">
        <v>19.981000000000002</v>
      </c>
      <c r="G32" s="166">
        <v>20.417999999999999</v>
      </c>
      <c r="H32" s="166">
        <v>20.808</v>
      </c>
      <c r="I32" s="166">
        <v>21.446999999999999</v>
      </c>
      <c r="J32" s="166">
        <v>21.838999999999999</v>
      </c>
      <c r="K32" s="166">
        <v>22.26</v>
      </c>
      <c r="L32" s="166">
        <v>22.678999999999998</v>
      </c>
      <c r="M32" s="166">
        <v>23.001999999999999</v>
      </c>
      <c r="N32" s="166">
        <v>23.513999999999999</v>
      </c>
      <c r="O32" s="167">
        <v>23.853000000000002</v>
      </c>
      <c r="P32" s="9">
        <f>O32-C32</f>
        <v>5.6170000000000009</v>
      </c>
      <c r="S32" t="s">
        <v>209</v>
      </c>
      <c r="T32" s="310">
        <v>11</v>
      </c>
      <c r="U32" s="110">
        <f t="shared" ref="U32:AF32" si="31">D32-C32</f>
        <v>0.4809999999999981</v>
      </c>
      <c r="V32" s="110">
        <f t="shared" si="31"/>
        <v>0.88100000000000023</v>
      </c>
      <c r="W32" s="110">
        <f t="shared" si="31"/>
        <v>0.38300000000000267</v>
      </c>
      <c r="X32" s="110">
        <f t="shared" si="31"/>
        <v>0.43699999999999761</v>
      </c>
      <c r="Y32" s="110">
        <f t="shared" si="31"/>
        <v>0.39000000000000057</v>
      </c>
      <c r="Z32" s="110">
        <f t="shared" si="31"/>
        <v>0.63899999999999935</v>
      </c>
      <c r="AA32" s="110">
        <f t="shared" si="31"/>
        <v>0.39199999999999946</v>
      </c>
      <c r="AB32" s="110">
        <f t="shared" si="31"/>
        <v>0.42100000000000293</v>
      </c>
      <c r="AC32" s="110">
        <f t="shared" si="31"/>
        <v>0.41899999999999693</v>
      </c>
      <c r="AD32" s="110">
        <f t="shared" si="31"/>
        <v>0.3230000000000004</v>
      </c>
      <c r="AE32" s="110">
        <f t="shared" si="31"/>
        <v>0.51200000000000045</v>
      </c>
      <c r="AF32" s="110">
        <f t="shared" si="31"/>
        <v>0.33900000000000219</v>
      </c>
    </row>
    <row r="33" spans="1:32" ht="15" thickBot="1" x14ac:dyDescent="0.4">
      <c r="A33" s="309"/>
      <c r="B33" s="168" t="s">
        <v>220</v>
      </c>
      <c r="C33" s="169">
        <v>0.871</v>
      </c>
      <c r="D33" s="169">
        <v>0.878</v>
      </c>
      <c r="E33" s="169">
        <v>0.95</v>
      </c>
      <c r="F33" s="169">
        <v>0.95299999999999996</v>
      </c>
      <c r="G33" s="169">
        <v>0.95699999999999996</v>
      </c>
      <c r="H33" s="169">
        <v>0.96</v>
      </c>
      <c r="I33" s="169">
        <v>0.98899999999999999</v>
      </c>
      <c r="J33" s="169">
        <v>0.997</v>
      </c>
      <c r="K33" s="169">
        <v>1</v>
      </c>
      <c r="L33" s="169">
        <v>1.0189999999999999</v>
      </c>
      <c r="M33" s="169">
        <v>1.024</v>
      </c>
      <c r="N33" s="169">
        <v>1.026</v>
      </c>
      <c r="O33" s="170">
        <v>1.05</v>
      </c>
      <c r="P33" s="9">
        <f>O33-C33</f>
        <v>0.17900000000000005</v>
      </c>
      <c r="S33" t="s">
        <v>203</v>
      </c>
      <c r="T33" s="310"/>
      <c r="U33" s="110">
        <f t="shared" ref="U33:AF33" si="32">D33-C33</f>
        <v>7.0000000000000062E-3</v>
      </c>
      <c r="V33" s="110">
        <f t="shared" si="32"/>
        <v>7.1999999999999953E-2</v>
      </c>
      <c r="W33" s="110">
        <f t="shared" si="32"/>
        <v>3.0000000000000027E-3</v>
      </c>
      <c r="X33" s="110">
        <f t="shared" si="32"/>
        <v>4.0000000000000036E-3</v>
      </c>
      <c r="Y33" s="110">
        <f t="shared" si="32"/>
        <v>3.0000000000000027E-3</v>
      </c>
      <c r="Z33" s="110">
        <f t="shared" si="32"/>
        <v>2.9000000000000026E-2</v>
      </c>
      <c r="AA33" s="110">
        <f t="shared" si="32"/>
        <v>8.0000000000000071E-3</v>
      </c>
      <c r="AB33" s="110">
        <f t="shared" si="32"/>
        <v>3.0000000000000027E-3</v>
      </c>
      <c r="AC33" s="110">
        <f t="shared" si="32"/>
        <v>1.8999999999999906E-2</v>
      </c>
      <c r="AD33" s="110">
        <f t="shared" si="32"/>
        <v>5.0000000000001155E-3</v>
      </c>
      <c r="AE33" s="110">
        <f t="shared" si="32"/>
        <v>2.0000000000000018E-3</v>
      </c>
      <c r="AF33" s="110">
        <f t="shared" si="32"/>
        <v>2.4000000000000021E-2</v>
      </c>
    </row>
    <row r="34" spans="1:32" x14ac:dyDescent="0.35">
      <c r="K34" s="123"/>
    </row>
    <row r="35" spans="1:32" x14ac:dyDescent="0.35">
      <c r="A35" s="1"/>
      <c r="D35" t="s">
        <v>223</v>
      </c>
      <c r="K35" s="123"/>
    </row>
    <row r="36" spans="1:32" x14ac:dyDescent="0.35">
      <c r="A36" s="1"/>
      <c r="D36" s="304">
        <v>43956</v>
      </c>
      <c r="E36" s="85" t="s">
        <v>211</v>
      </c>
      <c r="F36" s="306"/>
      <c r="G36" s="306"/>
      <c r="H36" s="107"/>
      <c r="O36" s="105" t="s">
        <v>372</v>
      </c>
      <c r="P36" s="9">
        <f>P8-P32-P33</f>
        <v>68.347999999999999</v>
      </c>
    </row>
    <row r="37" spans="1:32" x14ac:dyDescent="0.35">
      <c r="A37" s="1"/>
      <c r="D37" s="304"/>
      <c r="E37" s="85" t="s">
        <v>212</v>
      </c>
      <c r="F37" s="306"/>
      <c r="G37" s="306"/>
      <c r="H37" s="107"/>
      <c r="M37" s="245"/>
      <c r="N37" s="245"/>
      <c r="O37" s="246" t="s">
        <v>373</v>
      </c>
      <c r="P37" s="98">
        <f>P32+P33</f>
        <v>5.7960000000000012</v>
      </c>
    </row>
    <row r="38" spans="1:32" x14ac:dyDescent="0.35">
      <c r="A38" s="1"/>
      <c r="D38" t="s">
        <v>222</v>
      </c>
      <c r="O38" t="s">
        <v>374</v>
      </c>
      <c r="P38" s="9">
        <f>SUM(P36:P37)</f>
        <v>74.144000000000005</v>
      </c>
    </row>
    <row r="39" spans="1:32" x14ac:dyDescent="0.35">
      <c r="A39" s="1"/>
      <c r="D39" s="304">
        <v>43956</v>
      </c>
      <c r="E39" s="85" t="s">
        <v>211</v>
      </c>
      <c r="F39" s="306"/>
      <c r="G39" s="306"/>
      <c r="H39" s="107"/>
    </row>
    <row r="40" spans="1:32" x14ac:dyDescent="0.35">
      <c r="A40" s="1"/>
      <c r="D40" s="304"/>
      <c r="E40" s="85" t="s">
        <v>212</v>
      </c>
      <c r="F40" s="306"/>
      <c r="G40" s="306"/>
      <c r="H40" s="107"/>
      <c r="J40" s="265" t="s">
        <v>411</v>
      </c>
      <c r="K40" s="229"/>
      <c r="L40" s="229"/>
      <c r="M40" s="229"/>
      <c r="N40" s="228" t="s">
        <v>285</v>
      </c>
      <c r="O40" s="266">
        <v>234.86</v>
      </c>
      <c r="P40" s="229" t="s">
        <v>225</v>
      </c>
    </row>
    <row r="41" spans="1:32" x14ac:dyDescent="0.35">
      <c r="J41" s="265" t="s">
        <v>412</v>
      </c>
      <c r="K41" s="229"/>
      <c r="L41" s="229"/>
      <c r="M41" s="229"/>
      <c r="N41" s="228" t="s">
        <v>285</v>
      </c>
      <c r="O41" s="266">
        <v>0</v>
      </c>
      <c r="P41" s="265" t="s">
        <v>82</v>
      </c>
    </row>
    <row r="42" spans="1:32" x14ac:dyDescent="0.35">
      <c r="D42" t="s">
        <v>434</v>
      </c>
      <c r="G42" s="275" t="s">
        <v>435</v>
      </c>
    </row>
    <row r="43" spans="1:32" x14ac:dyDescent="0.35">
      <c r="D43" s="304">
        <v>43874</v>
      </c>
      <c r="E43" s="85" t="s">
        <v>211</v>
      </c>
      <c r="F43" s="306">
        <v>10282180</v>
      </c>
      <c r="G43" s="306"/>
      <c r="H43" s="107">
        <v>655.34799999999996</v>
      </c>
    </row>
    <row r="44" spans="1:32" x14ac:dyDescent="0.35">
      <c r="D44" s="304"/>
      <c r="E44" s="85" t="s">
        <v>212</v>
      </c>
      <c r="F44" s="306">
        <v>200076532</v>
      </c>
      <c r="G44" s="306"/>
      <c r="H44" s="107">
        <v>0</v>
      </c>
    </row>
  </sheetData>
  <sheetProtection selectLockedCells="1" selectUnlockedCells="1"/>
  <mergeCells count="21">
    <mergeCell ref="D43:D44"/>
    <mergeCell ref="F43:G43"/>
    <mergeCell ref="F44:G44"/>
    <mergeCell ref="D39:D40"/>
    <mergeCell ref="F39:G39"/>
    <mergeCell ref="F40:G40"/>
    <mergeCell ref="A32:A33"/>
    <mergeCell ref="T32:T33"/>
    <mergeCell ref="D36:D37"/>
    <mergeCell ref="F36:G36"/>
    <mergeCell ref="F37:G37"/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D4">
    <cfRule type="cellIs" dxfId="3070" priority="123" stopIfTrue="1" operator="lessThan">
      <formula>$C$4</formula>
    </cfRule>
    <cfRule type="cellIs" dxfId="3069" priority="124" stopIfTrue="1" operator="equal">
      <formula>$C$4</formula>
    </cfRule>
  </conditionalFormatting>
  <conditionalFormatting sqref="D5">
    <cfRule type="cellIs" dxfId="3068" priority="127" stopIfTrue="1" operator="equal">
      <formula>$C$5</formula>
    </cfRule>
    <cfRule type="cellIs" dxfId="3067" priority="128" stopIfTrue="1" operator="lessThan">
      <formula>$C$5</formula>
    </cfRule>
  </conditionalFormatting>
  <conditionalFormatting sqref="D6">
    <cfRule type="cellIs" dxfId="3066" priority="134" stopIfTrue="1" operator="equal">
      <formula>$C$6</formula>
    </cfRule>
    <cfRule type="cellIs" dxfId="3065" priority="135" stopIfTrue="1" operator="lessThan">
      <formula>$C$6</formula>
    </cfRule>
  </conditionalFormatting>
  <conditionalFormatting sqref="D7">
    <cfRule type="cellIs" dxfId="3064" priority="148" stopIfTrue="1" operator="equal">
      <formula>$C$7</formula>
    </cfRule>
    <cfRule type="cellIs" dxfId="3063" priority="149" stopIfTrue="1" operator="lessThan">
      <formula>$C$7</formula>
    </cfRule>
  </conditionalFormatting>
  <conditionalFormatting sqref="D8">
    <cfRule type="cellIs" dxfId="3062" priority="160" stopIfTrue="1" operator="equal">
      <formula>$C$8</formula>
    </cfRule>
    <cfRule type="cellIs" dxfId="3061" priority="161" stopIfTrue="1" operator="lessThan">
      <formula>$C$8</formula>
    </cfRule>
  </conditionalFormatting>
  <conditionalFormatting sqref="D9">
    <cfRule type="cellIs" dxfId="3060" priority="174" stopIfTrue="1" operator="equal">
      <formula>$C$9</formula>
    </cfRule>
    <cfRule type="cellIs" dxfId="3059" priority="175" stopIfTrue="1" operator="lessThan">
      <formula>$C$9</formula>
    </cfRule>
  </conditionalFormatting>
  <conditionalFormatting sqref="D10">
    <cfRule type="cellIs" dxfId="3058" priority="188" stopIfTrue="1" operator="equal">
      <formula>$C$10</formula>
    </cfRule>
    <cfRule type="cellIs" dxfId="3057" priority="189" stopIfTrue="1" operator="lessThan">
      <formula>$C$10</formula>
    </cfRule>
  </conditionalFormatting>
  <conditionalFormatting sqref="D11">
    <cfRule type="cellIs" dxfId="3056" priority="202" stopIfTrue="1" operator="equal">
      <formula>$C$11</formula>
    </cfRule>
    <cfRule type="cellIs" dxfId="3055" priority="203" stopIfTrue="1" operator="lessThan">
      <formula>$C$11</formula>
    </cfRule>
  </conditionalFormatting>
  <conditionalFormatting sqref="D12">
    <cfRule type="cellIs" dxfId="3054" priority="216" stopIfTrue="1" operator="equal">
      <formula>$C$12</formula>
    </cfRule>
    <cfRule type="cellIs" dxfId="3053" priority="217" stopIfTrue="1" operator="lessThan">
      <formula>$C$12</formula>
    </cfRule>
  </conditionalFormatting>
  <conditionalFormatting sqref="D13">
    <cfRule type="cellIs" dxfId="3052" priority="348" stopIfTrue="1" operator="equal">
      <formula>$C$13</formula>
    </cfRule>
    <cfRule type="cellIs" dxfId="3051" priority="349" stopIfTrue="1" operator="lessThan">
      <formula>$C$13</formula>
    </cfRule>
  </conditionalFormatting>
  <conditionalFormatting sqref="D14">
    <cfRule type="cellIs" dxfId="3050" priority="230" stopIfTrue="1" operator="equal">
      <formula>$C$14</formula>
    </cfRule>
    <cfRule type="cellIs" dxfId="3049" priority="231" stopIfTrue="1" operator="lessThan">
      <formula>$C$14</formula>
    </cfRule>
  </conditionalFormatting>
  <conditionalFormatting sqref="D15">
    <cfRule type="cellIs" dxfId="3048" priority="232" stopIfTrue="1" operator="equal">
      <formula>$C$15</formula>
    </cfRule>
    <cfRule type="cellIs" dxfId="3047" priority="233" stopIfTrue="1" operator="lessThan">
      <formula>$C$15</formula>
    </cfRule>
  </conditionalFormatting>
  <conditionalFormatting sqref="D16">
    <cfRule type="cellIs" dxfId="3046" priority="234" stopIfTrue="1" operator="equal">
      <formula>$C$16</formula>
    </cfRule>
    <cfRule type="cellIs" dxfId="3045" priority="235" stopIfTrue="1" operator="lessThan">
      <formula>$C$16</formula>
    </cfRule>
  </conditionalFormatting>
  <conditionalFormatting sqref="D17">
    <cfRule type="cellIs" dxfId="3044" priority="236" stopIfTrue="1" operator="equal">
      <formula>$C$17</formula>
    </cfRule>
    <cfRule type="cellIs" dxfId="3043" priority="237" stopIfTrue="1" operator="lessThan">
      <formula>$C$17</formula>
    </cfRule>
  </conditionalFormatting>
  <conditionalFormatting sqref="D18">
    <cfRule type="cellIs" dxfId="3042" priority="238" stopIfTrue="1" operator="equal">
      <formula>$C$18</formula>
    </cfRule>
    <cfRule type="cellIs" dxfId="3041" priority="239" stopIfTrue="1" operator="lessThan">
      <formula>$C$18</formula>
    </cfRule>
  </conditionalFormatting>
  <conditionalFormatting sqref="D19">
    <cfRule type="cellIs" dxfId="3040" priority="240" stopIfTrue="1" operator="equal">
      <formula>$C$19</formula>
    </cfRule>
    <cfRule type="cellIs" dxfId="3039" priority="241" stopIfTrue="1" operator="lessThan">
      <formula>$C$19</formula>
    </cfRule>
  </conditionalFormatting>
  <conditionalFormatting sqref="D20">
    <cfRule type="cellIs" dxfId="3038" priority="242" stopIfTrue="1" operator="equal">
      <formula>$C$20</formula>
    </cfRule>
    <cfRule type="cellIs" dxfId="3037" priority="243" stopIfTrue="1" operator="lessThan">
      <formula>$C$20</formula>
    </cfRule>
  </conditionalFormatting>
  <conditionalFormatting sqref="D21">
    <cfRule type="cellIs" dxfId="3036" priority="244" stopIfTrue="1" operator="equal">
      <formula>$C$21</formula>
    </cfRule>
    <cfRule type="cellIs" dxfId="3035" priority="245" stopIfTrue="1" operator="lessThan">
      <formula>$C$21</formula>
    </cfRule>
  </conditionalFormatting>
  <conditionalFormatting sqref="D22">
    <cfRule type="cellIs" dxfId="3034" priority="246" stopIfTrue="1" operator="equal">
      <formula>$C$22</formula>
    </cfRule>
    <cfRule type="cellIs" dxfId="3033" priority="247" stopIfTrue="1" operator="lessThan">
      <formula>$C$22</formula>
    </cfRule>
  </conditionalFormatting>
  <conditionalFormatting sqref="D23">
    <cfRule type="cellIs" dxfId="3032" priority="248" stopIfTrue="1" operator="equal">
      <formula>$C$23</formula>
    </cfRule>
    <cfRule type="cellIs" dxfId="3031" priority="249" stopIfTrue="1" operator="lessThan">
      <formula>$C$23</formula>
    </cfRule>
  </conditionalFormatting>
  <conditionalFormatting sqref="D24">
    <cfRule type="cellIs" dxfId="3030" priority="380" stopIfTrue="1" operator="equal">
      <formula>$C$24</formula>
    </cfRule>
    <cfRule type="cellIs" dxfId="3029" priority="381" stopIfTrue="1" operator="lessThan">
      <formula>$C$24</formula>
    </cfRule>
  </conditionalFormatting>
  <conditionalFormatting sqref="D25">
    <cfRule type="cellIs" dxfId="3028" priority="250" stopIfTrue="1" operator="equal">
      <formula>$C$25</formula>
    </cfRule>
    <cfRule type="cellIs" dxfId="3027" priority="251" stopIfTrue="1" operator="lessThan">
      <formula>$C$25</formula>
    </cfRule>
  </conditionalFormatting>
  <conditionalFormatting sqref="D26">
    <cfRule type="cellIs" dxfId="3026" priority="252" stopIfTrue="1" operator="equal">
      <formula>$C$26</formula>
    </cfRule>
    <cfRule type="cellIs" dxfId="3025" priority="253" stopIfTrue="1" operator="lessThan">
      <formula>$C$26</formula>
    </cfRule>
  </conditionalFormatting>
  <conditionalFormatting sqref="D27">
    <cfRule type="cellIs" dxfId="3024" priority="254" stopIfTrue="1" operator="equal">
      <formula>$C$27</formula>
    </cfRule>
    <cfRule type="cellIs" dxfId="3023" priority="255" stopIfTrue="1" operator="lessThan">
      <formula>$C$27</formula>
    </cfRule>
  </conditionalFormatting>
  <conditionalFormatting sqref="D28">
    <cfRule type="cellIs" dxfId="3022" priority="256" stopIfTrue="1" operator="equal">
      <formula>$C$28</formula>
    </cfRule>
    <cfRule type="cellIs" dxfId="3021" priority="257" stopIfTrue="1" operator="lessThan">
      <formula>$C$28</formula>
    </cfRule>
  </conditionalFormatting>
  <conditionalFormatting sqref="D29">
    <cfRule type="cellIs" dxfId="3020" priority="104" stopIfTrue="1" operator="lessThan">
      <formula>$C$29</formula>
    </cfRule>
    <cfRule type="cellIs" dxfId="3019" priority="105" stopIfTrue="1" operator="equal">
      <formula>$C$29</formula>
    </cfRule>
  </conditionalFormatting>
  <conditionalFormatting sqref="E4">
    <cfRule type="cellIs" dxfId="3018" priority="125" stopIfTrue="1" operator="equal">
      <formula>$D$4</formula>
    </cfRule>
    <cfRule type="cellIs" dxfId="3017" priority="126" stopIfTrue="1" operator="lessThan">
      <formula>$D$4</formula>
    </cfRule>
  </conditionalFormatting>
  <conditionalFormatting sqref="E5">
    <cfRule type="cellIs" dxfId="3016" priority="390" stopIfTrue="1" operator="equal">
      <formula>$D$5</formula>
    </cfRule>
    <cfRule type="cellIs" dxfId="3015" priority="391" stopIfTrue="1" operator="lessThan">
      <formula>$D$5</formula>
    </cfRule>
  </conditionalFormatting>
  <conditionalFormatting sqref="E6">
    <cfRule type="cellIs" dxfId="3014" priority="136" stopIfTrue="1" operator="equal">
      <formula>$D$6</formula>
    </cfRule>
    <cfRule type="cellIs" dxfId="3013" priority="137" stopIfTrue="1" operator="lessThan">
      <formula>$D$6</formula>
    </cfRule>
  </conditionalFormatting>
  <conditionalFormatting sqref="E7">
    <cfRule type="cellIs" dxfId="3012" priority="150" stopIfTrue="1" operator="equal">
      <formula>$D$7</formula>
    </cfRule>
    <cfRule type="cellIs" dxfId="3011" priority="151" stopIfTrue="1" operator="lessThan">
      <formula>$D$7</formula>
    </cfRule>
  </conditionalFormatting>
  <conditionalFormatting sqref="E8">
    <cfRule type="cellIs" dxfId="3010" priority="162" stopIfTrue="1" operator="equal">
      <formula>$D$8</formula>
    </cfRule>
    <cfRule type="cellIs" dxfId="3009" priority="163" stopIfTrue="1" operator="lessThan">
      <formula>$D$8</formula>
    </cfRule>
  </conditionalFormatting>
  <conditionalFormatting sqref="E9">
    <cfRule type="cellIs" dxfId="3008" priority="176" stopIfTrue="1" operator="equal">
      <formula>$D$9</formula>
    </cfRule>
    <cfRule type="cellIs" dxfId="3007" priority="177" stopIfTrue="1" operator="lessThan">
      <formula>$D$9</formula>
    </cfRule>
  </conditionalFormatting>
  <conditionalFormatting sqref="E10">
    <cfRule type="cellIs" dxfId="3006" priority="190" stopIfTrue="1" operator="equal">
      <formula>$D$10</formula>
    </cfRule>
    <cfRule type="cellIs" dxfId="3005" priority="191" stopIfTrue="1" operator="lessThan">
      <formula>$D$10</formula>
    </cfRule>
  </conditionalFormatting>
  <conditionalFormatting sqref="E11">
    <cfRule type="cellIs" dxfId="3004" priority="204" stopIfTrue="1" operator="equal">
      <formula>$D$11</formula>
    </cfRule>
    <cfRule type="cellIs" dxfId="3003" priority="205" stopIfTrue="1" operator="lessThan">
      <formula>$D$11</formula>
    </cfRule>
  </conditionalFormatting>
  <conditionalFormatting sqref="E12">
    <cfRule type="cellIs" dxfId="3002" priority="218" stopIfTrue="1" operator="equal">
      <formula>$D$12</formula>
    </cfRule>
    <cfRule type="cellIs" dxfId="3001" priority="219" stopIfTrue="1" operator="lessThan">
      <formula>$D$12</formula>
    </cfRule>
  </conditionalFormatting>
  <conditionalFormatting sqref="E13">
    <cfRule type="cellIs" dxfId="3000" priority="258" stopIfTrue="1" operator="equal">
      <formula>$D$13</formula>
    </cfRule>
    <cfRule type="cellIs" dxfId="2999" priority="259" stopIfTrue="1" operator="lessThan">
      <formula>$D$13</formula>
    </cfRule>
  </conditionalFormatting>
  <conditionalFormatting sqref="E14">
    <cfRule type="cellIs" dxfId="2998" priority="260" stopIfTrue="1" operator="equal">
      <formula>$D$14</formula>
    </cfRule>
    <cfRule type="cellIs" dxfId="2997" priority="261" stopIfTrue="1" operator="lessThan">
      <formula>$D$14</formula>
    </cfRule>
  </conditionalFormatting>
  <conditionalFormatting sqref="E15">
    <cfRule type="cellIs" dxfId="2996" priority="262" stopIfTrue="1" operator="equal">
      <formula>$D$15</formula>
    </cfRule>
    <cfRule type="cellIs" dxfId="2995" priority="263" stopIfTrue="1" operator="lessThan">
      <formula>$D$15</formula>
    </cfRule>
  </conditionalFormatting>
  <conditionalFormatting sqref="E16">
    <cfRule type="cellIs" dxfId="2994" priority="264" stopIfTrue="1" operator="equal">
      <formula>$D$16</formula>
    </cfRule>
    <cfRule type="cellIs" dxfId="2993" priority="265" stopIfTrue="1" operator="lessThan">
      <formula>$D$16</formula>
    </cfRule>
  </conditionalFormatting>
  <conditionalFormatting sqref="E17">
    <cfRule type="cellIs" dxfId="2992" priority="266" stopIfTrue="1" operator="equal">
      <formula>$D$17</formula>
    </cfRule>
    <cfRule type="cellIs" dxfId="2991" priority="267" stopIfTrue="1" operator="lessThan">
      <formula>$D$17</formula>
    </cfRule>
  </conditionalFormatting>
  <conditionalFormatting sqref="E18">
    <cfRule type="cellIs" dxfId="2990" priority="268" stopIfTrue="1" operator="equal">
      <formula>$D$18</formula>
    </cfRule>
    <cfRule type="cellIs" dxfId="2989" priority="269" stopIfTrue="1" operator="lessThan">
      <formula>$D$18</formula>
    </cfRule>
  </conditionalFormatting>
  <conditionalFormatting sqref="E19">
    <cfRule type="cellIs" dxfId="2988" priority="270" stopIfTrue="1" operator="equal">
      <formula>$D$19</formula>
    </cfRule>
    <cfRule type="cellIs" dxfId="2987" priority="271" stopIfTrue="1" operator="lessThan">
      <formula>$D$19</formula>
    </cfRule>
  </conditionalFormatting>
  <conditionalFormatting sqref="E20">
    <cfRule type="cellIs" dxfId="2986" priority="272" stopIfTrue="1" operator="equal">
      <formula>$D$20</formula>
    </cfRule>
    <cfRule type="cellIs" dxfId="2985" priority="273" stopIfTrue="1" operator="lessThan">
      <formula>$D$20</formula>
    </cfRule>
  </conditionalFormatting>
  <conditionalFormatting sqref="E21">
    <cfRule type="cellIs" dxfId="2984" priority="274" stopIfTrue="1" operator="equal">
      <formula>$D$21</formula>
    </cfRule>
    <cfRule type="cellIs" dxfId="2983" priority="275" stopIfTrue="1" operator="lessThan">
      <formula>$D$21</formula>
    </cfRule>
  </conditionalFormatting>
  <conditionalFormatting sqref="E22">
    <cfRule type="cellIs" dxfId="2982" priority="276" stopIfTrue="1" operator="equal">
      <formula>$D$22</formula>
    </cfRule>
    <cfRule type="cellIs" dxfId="2981" priority="277" stopIfTrue="1" operator="lessThan">
      <formula>$D$22</formula>
    </cfRule>
  </conditionalFormatting>
  <conditionalFormatting sqref="E23">
    <cfRule type="cellIs" dxfId="2980" priority="278" stopIfTrue="1" operator="equal">
      <formula>$D$23</formula>
    </cfRule>
    <cfRule type="cellIs" dxfId="2979" priority="279" stopIfTrue="1" operator="lessThan">
      <formula>$D$23</formula>
    </cfRule>
  </conditionalFormatting>
  <conditionalFormatting sqref="E24">
    <cfRule type="cellIs" dxfId="2978" priority="382" stopIfTrue="1" operator="equal">
      <formula>$D$24</formula>
    </cfRule>
    <cfRule type="cellIs" dxfId="2977" priority="383" stopIfTrue="1" operator="lessThan">
      <formula>$D$24</formula>
    </cfRule>
  </conditionalFormatting>
  <conditionalFormatting sqref="E25">
    <cfRule type="cellIs" dxfId="2976" priority="280" stopIfTrue="1" operator="equal">
      <formula>$D$25</formula>
    </cfRule>
    <cfRule type="cellIs" dxfId="2975" priority="281" stopIfTrue="1" operator="lessThan">
      <formula>$D$25</formula>
    </cfRule>
  </conditionalFormatting>
  <conditionalFormatting sqref="E26">
    <cfRule type="cellIs" dxfId="2974" priority="282" stopIfTrue="1" operator="equal">
      <formula>$D$26</formula>
    </cfRule>
    <cfRule type="cellIs" dxfId="2973" priority="283" stopIfTrue="1" operator="lessThan">
      <formula>$D$26</formula>
    </cfRule>
  </conditionalFormatting>
  <conditionalFormatting sqref="E27">
    <cfRule type="cellIs" dxfId="2972" priority="284" stopIfTrue="1" operator="equal">
      <formula>$D$27</formula>
    </cfRule>
    <cfRule type="cellIs" dxfId="2971" priority="285" stopIfTrue="1" operator="lessThan">
      <formula>$D$27</formula>
    </cfRule>
  </conditionalFormatting>
  <conditionalFormatting sqref="E28">
    <cfRule type="cellIs" dxfId="2970" priority="286" stopIfTrue="1" operator="equal">
      <formula>$D$28</formula>
    </cfRule>
    <cfRule type="cellIs" dxfId="2969" priority="287" stopIfTrue="1" operator="lessThan">
      <formula>$D$28</formula>
    </cfRule>
  </conditionalFormatting>
  <conditionalFormatting sqref="E29">
    <cfRule type="cellIs" dxfId="2968" priority="102" stopIfTrue="1" operator="lessThan">
      <formula>$D$29</formula>
    </cfRule>
    <cfRule type="cellIs" dxfId="2967" priority="103" stopIfTrue="1" operator="equal">
      <formula>$D$29</formula>
    </cfRule>
  </conditionalFormatting>
  <conditionalFormatting sqref="F4">
    <cfRule type="cellIs" dxfId="2966" priority="121" stopIfTrue="1" operator="equal">
      <formula>$E$4</formula>
    </cfRule>
    <cfRule type="cellIs" dxfId="2965" priority="122" stopIfTrue="1" operator="lessThan">
      <formula>$E$4</formula>
    </cfRule>
  </conditionalFormatting>
  <conditionalFormatting sqref="F5">
    <cfRule type="cellIs" dxfId="2964" priority="129" stopIfTrue="1" operator="equal">
      <formula>$E$5</formula>
    </cfRule>
    <cfRule type="cellIs" dxfId="2963" priority="130" stopIfTrue="1" operator="lessThan">
      <formula>$E$5</formula>
    </cfRule>
  </conditionalFormatting>
  <conditionalFormatting sqref="F6">
    <cfRule type="cellIs" dxfId="2962" priority="138" stopIfTrue="1" operator="equal">
      <formula>$E$6</formula>
    </cfRule>
    <cfRule type="cellIs" dxfId="2961" priority="139" stopIfTrue="1" operator="lessThan">
      <formula>$E$6</formula>
    </cfRule>
  </conditionalFormatting>
  <conditionalFormatting sqref="F7">
    <cfRule type="cellIs" dxfId="2960" priority="152" stopIfTrue="1" operator="equal">
      <formula>$E$7</formula>
    </cfRule>
    <cfRule type="cellIs" dxfId="2959" priority="153" stopIfTrue="1" operator="lessThan">
      <formula>$E$7</formula>
    </cfRule>
  </conditionalFormatting>
  <conditionalFormatting sqref="F8">
    <cfRule type="cellIs" dxfId="2958" priority="164" stopIfTrue="1" operator="equal">
      <formula>$E$8</formula>
    </cfRule>
    <cfRule type="cellIs" dxfId="2957" priority="165" stopIfTrue="1" operator="lessThan">
      <formula>$E$8</formula>
    </cfRule>
  </conditionalFormatting>
  <conditionalFormatting sqref="F9">
    <cfRule type="cellIs" dxfId="2956" priority="178" stopIfTrue="1" operator="equal">
      <formula>$E$9</formula>
    </cfRule>
    <cfRule type="cellIs" dxfId="2955" priority="179" stopIfTrue="1" operator="lessThan">
      <formula>$E$9</formula>
    </cfRule>
  </conditionalFormatting>
  <conditionalFormatting sqref="F10">
    <cfRule type="cellIs" dxfId="2954" priority="192" stopIfTrue="1" operator="equal">
      <formula>$E$10</formula>
    </cfRule>
    <cfRule type="cellIs" dxfId="2953" priority="193" stopIfTrue="1" operator="lessThan">
      <formula>$E$10</formula>
    </cfRule>
  </conditionalFormatting>
  <conditionalFormatting sqref="F11">
    <cfRule type="cellIs" dxfId="2952" priority="206" stopIfTrue="1" operator="equal">
      <formula>$E$11</formula>
    </cfRule>
    <cfRule type="cellIs" dxfId="2951" priority="207" stopIfTrue="1" operator="lessThan">
      <formula>$E$11</formula>
    </cfRule>
  </conditionalFormatting>
  <conditionalFormatting sqref="F12">
    <cfRule type="cellIs" dxfId="2950" priority="220" stopIfTrue="1" operator="equal">
      <formula>$E$12</formula>
    </cfRule>
    <cfRule type="cellIs" dxfId="2949" priority="221" stopIfTrue="1" operator="lessThan">
      <formula>$E$12</formula>
    </cfRule>
  </conditionalFormatting>
  <conditionalFormatting sqref="F13">
    <cfRule type="cellIs" dxfId="2948" priority="288" stopIfTrue="1" operator="equal">
      <formula>$E$13</formula>
    </cfRule>
    <cfRule type="cellIs" dxfId="2947" priority="289" stopIfTrue="1" operator="lessThan">
      <formula>$E$13</formula>
    </cfRule>
  </conditionalFormatting>
  <conditionalFormatting sqref="F14">
    <cfRule type="cellIs" dxfId="2946" priority="290" stopIfTrue="1" operator="equal">
      <formula>$E$14</formula>
    </cfRule>
    <cfRule type="cellIs" dxfId="2945" priority="291" stopIfTrue="1" operator="lessThan">
      <formula>$E$14</formula>
    </cfRule>
  </conditionalFormatting>
  <conditionalFormatting sqref="F15">
    <cfRule type="cellIs" dxfId="2944" priority="292" stopIfTrue="1" operator="equal">
      <formula>$E$15</formula>
    </cfRule>
    <cfRule type="cellIs" dxfId="2943" priority="293" stopIfTrue="1" operator="lessThan">
      <formula>$E$15</formula>
    </cfRule>
  </conditionalFormatting>
  <conditionalFormatting sqref="F16">
    <cfRule type="cellIs" dxfId="2942" priority="294" stopIfTrue="1" operator="equal">
      <formula>$E$16</formula>
    </cfRule>
    <cfRule type="cellIs" dxfId="2941" priority="295" stopIfTrue="1" operator="lessThan">
      <formula>$E$16</formula>
    </cfRule>
  </conditionalFormatting>
  <conditionalFormatting sqref="F17">
    <cfRule type="cellIs" dxfId="2940" priority="296" stopIfTrue="1" operator="equal">
      <formula>$E$17</formula>
    </cfRule>
    <cfRule type="cellIs" dxfId="2939" priority="297" stopIfTrue="1" operator="lessThan">
      <formula>$E$17</formula>
    </cfRule>
  </conditionalFormatting>
  <conditionalFormatting sqref="F18">
    <cfRule type="cellIs" dxfId="2938" priority="298" stopIfTrue="1" operator="equal">
      <formula>$E$18</formula>
    </cfRule>
    <cfRule type="cellIs" dxfId="2937" priority="299" stopIfTrue="1" operator="lessThan">
      <formula>$E$18</formula>
    </cfRule>
  </conditionalFormatting>
  <conditionalFormatting sqref="F19">
    <cfRule type="cellIs" dxfId="2936" priority="300" stopIfTrue="1" operator="equal">
      <formula>$E$19</formula>
    </cfRule>
    <cfRule type="cellIs" dxfId="2935" priority="301" stopIfTrue="1" operator="lessThan">
      <formula>$E$19</formula>
    </cfRule>
  </conditionalFormatting>
  <conditionalFormatting sqref="F20">
    <cfRule type="cellIs" dxfId="2934" priority="302" stopIfTrue="1" operator="equal">
      <formula>$E$20</formula>
    </cfRule>
    <cfRule type="cellIs" dxfId="2933" priority="303" stopIfTrue="1" operator="lessThan">
      <formula>$E$20</formula>
    </cfRule>
  </conditionalFormatting>
  <conditionalFormatting sqref="F21">
    <cfRule type="cellIs" dxfId="2932" priority="304" stopIfTrue="1" operator="equal">
      <formula>$E$21</formula>
    </cfRule>
    <cfRule type="cellIs" dxfId="2931" priority="305" stopIfTrue="1" operator="lessThan">
      <formula>$E$21</formula>
    </cfRule>
  </conditionalFormatting>
  <conditionalFormatting sqref="F22">
    <cfRule type="cellIs" dxfId="2930" priority="306" stopIfTrue="1" operator="equal">
      <formula>$E$22</formula>
    </cfRule>
    <cfRule type="cellIs" dxfId="2929" priority="307" stopIfTrue="1" operator="lessThan">
      <formula>$E$22</formula>
    </cfRule>
  </conditionalFormatting>
  <conditionalFormatting sqref="F23">
    <cfRule type="cellIs" dxfId="2928" priority="308" stopIfTrue="1" operator="equal">
      <formula>$E$23</formula>
    </cfRule>
    <cfRule type="cellIs" dxfId="2927" priority="309" stopIfTrue="1" operator="lessThan">
      <formula>$E$23</formula>
    </cfRule>
  </conditionalFormatting>
  <conditionalFormatting sqref="F24">
    <cfRule type="cellIs" dxfId="2926" priority="384" stopIfTrue="1" operator="equal">
      <formula>$E$24</formula>
    </cfRule>
    <cfRule type="cellIs" dxfId="2925" priority="385" stopIfTrue="1" operator="lessThan">
      <formula>$E$24</formula>
    </cfRule>
  </conditionalFormatting>
  <conditionalFormatting sqref="F25">
    <cfRule type="cellIs" dxfId="2924" priority="310" stopIfTrue="1" operator="equal">
      <formula>$E$25</formula>
    </cfRule>
    <cfRule type="cellIs" dxfId="2923" priority="311" stopIfTrue="1" operator="lessThan">
      <formula>$E$25</formula>
    </cfRule>
  </conditionalFormatting>
  <conditionalFormatting sqref="F26">
    <cfRule type="cellIs" dxfId="2922" priority="312" stopIfTrue="1" operator="equal">
      <formula>$E$26</formula>
    </cfRule>
    <cfRule type="cellIs" dxfId="2921" priority="313" stopIfTrue="1" operator="lessThan">
      <formula>$E$26</formula>
    </cfRule>
  </conditionalFormatting>
  <conditionalFormatting sqref="F27">
    <cfRule type="cellIs" dxfId="2920" priority="314" stopIfTrue="1" operator="equal">
      <formula>$E$27</formula>
    </cfRule>
    <cfRule type="cellIs" dxfId="2919" priority="315" stopIfTrue="1" operator="lessThan">
      <formula>$E$27</formula>
    </cfRule>
  </conditionalFormatting>
  <conditionalFormatting sqref="F28">
    <cfRule type="cellIs" dxfId="2918" priority="316" stopIfTrue="1" operator="equal">
      <formula>$E$28</formula>
    </cfRule>
    <cfRule type="cellIs" dxfId="2917" priority="317" stopIfTrue="1" operator="lessThan">
      <formula>$E$28</formula>
    </cfRule>
  </conditionalFormatting>
  <conditionalFormatting sqref="F29">
    <cfRule type="cellIs" dxfId="2916" priority="460" stopIfTrue="1" operator="equal">
      <formula>$E$29</formula>
    </cfRule>
    <cfRule type="cellIs" dxfId="2915" priority="461" stopIfTrue="1" operator="lessThan">
      <formula>$E$29</formula>
    </cfRule>
  </conditionalFormatting>
  <conditionalFormatting sqref="G4">
    <cfRule type="cellIs" dxfId="2914" priority="394" stopIfTrue="1" operator="equal">
      <formula>$F$4</formula>
    </cfRule>
  </conditionalFormatting>
  <conditionalFormatting sqref="G5">
    <cfRule type="cellIs" dxfId="2913" priority="392" stopIfTrue="1" operator="equal">
      <formula>$F$5</formula>
    </cfRule>
    <cfRule type="cellIs" dxfId="2912" priority="393" stopIfTrue="1" operator="lessThan">
      <formula>$F$5</formula>
    </cfRule>
  </conditionalFormatting>
  <conditionalFormatting sqref="G6">
    <cfRule type="cellIs" dxfId="2911" priority="140" stopIfTrue="1" operator="equal">
      <formula>$F$6</formula>
    </cfRule>
    <cfRule type="cellIs" dxfId="2910" priority="141" stopIfTrue="1" operator="lessThan">
      <formula>$F$6</formula>
    </cfRule>
  </conditionalFormatting>
  <conditionalFormatting sqref="G7">
    <cfRule type="cellIs" dxfId="2909" priority="113" stopIfTrue="1" operator="equal">
      <formula>$F$7</formula>
    </cfRule>
    <cfRule type="cellIs" dxfId="2908" priority="114" stopIfTrue="1" operator="lessThan">
      <formula>$F$7</formula>
    </cfRule>
  </conditionalFormatting>
  <conditionalFormatting sqref="G8">
    <cfRule type="cellIs" dxfId="2907" priority="166" stopIfTrue="1" operator="equal">
      <formula>$F$8</formula>
    </cfRule>
    <cfRule type="cellIs" dxfId="2906" priority="167" stopIfTrue="1" operator="lessThan">
      <formula>$F$8</formula>
    </cfRule>
  </conditionalFormatting>
  <conditionalFormatting sqref="G9">
    <cfRule type="cellIs" dxfId="2905" priority="180" stopIfTrue="1" operator="equal">
      <formula>$F$9</formula>
    </cfRule>
    <cfRule type="cellIs" dxfId="2904" priority="181" stopIfTrue="1" operator="lessThan">
      <formula>$F$9</formula>
    </cfRule>
  </conditionalFormatting>
  <conditionalFormatting sqref="G10">
    <cfRule type="cellIs" dxfId="2903" priority="194" stopIfTrue="1" operator="equal">
      <formula>$F$10</formula>
    </cfRule>
    <cfRule type="cellIs" dxfId="2902" priority="195" stopIfTrue="1" operator="lessThan">
      <formula>$F$10</formula>
    </cfRule>
  </conditionalFormatting>
  <conditionalFormatting sqref="G11">
    <cfRule type="cellIs" dxfId="2901" priority="208" stopIfTrue="1" operator="equal">
      <formula>$F$11</formula>
    </cfRule>
    <cfRule type="cellIs" dxfId="2900" priority="209" stopIfTrue="1" operator="lessThan">
      <formula>$F$11</formula>
    </cfRule>
  </conditionalFormatting>
  <conditionalFormatting sqref="G12">
    <cfRule type="cellIs" dxfId="2899" priority="222" stopIfTrue="1" operator="equal">
      <formula>$F$12</formula>
    </cfRule>
    <cfRule type="cellIs" dxfId="2898" priority="223" stopIfTrue="1" operator="lessThan">
      <formula>$F$12</formula>
    </cfRule>
  </conditionalFormatting>
  <conditionalFormatting sqref="G13">
    <cfRule type="cellIs" dxfId="2897" priority="318" stopIfTrue="1" operator="equal">
      <formula>$F$13</formula>
    </cfRule>
    <cfRule type="cellIs" dxfId="2896" priority="319" stopIfTrue="1" operator="lessThan">
      <formula>$F$13</formula>
    </cfRule>
  </conditionalFormatting>
  <conditionalFormatting sqref="G14">
    <cfRule type="cellIs" dxfId="2895" priority="320" stopIfTrue="1" operator="equal">
      <formula>$F$14</formula>
    </cfRule>
    <cfRule type="cellIs" dxfId="2894" priority="321" stopIfTrue="1" operator="lessThan">
      <formula>$F$14</formula>
    </cfRule>
  </conditionalFormatting>
  <conditionalFormatting sqref="G15">
    <cfRule type="cellIs" dxfId="2893" priority="322" stopIfTrue="1" operator="equal">
      <formula>$F$15</formula>
    </cfRule>
    <cfRule type="cellIs" dxfId="2892" priority="323" stopIfTrue="1" operator="lessThan">
      <formula>$F$15</formula>
    </cfRule>
  </conditionalFormatting>
  <conditionalFormatting sqref="G16">
    <cfRule type="cellIs" dxfId="2891" priority="324" stopIfTrue="1" operator="equal">
      <formula>$F$16</formula>
    </cfRule>
    <cfRule type="cellIs" dxfId="2890" priority="325" stopIfTrue="1" operator="lessThan">
      <formula>$F$16</formula>
    </cfRule>
  </conditionalFormatting>
  <conditionalFormatting sqref="G17">
    <cfRule type="cellIs" dxfId="2889" priority="326" stopIfTrue="1" operator="equal">
      <formula>$F$17</formula>
    </cfRule>
    <cfRule type="cellIs" dxfId="2888" priority="327" stopIfTrue="1" operator="lessThan">
      <formula>$F$17</formula>
    </cfRule>
  </conditionalFormatting>
  <conditionalFormatting sqref="G18">
    <cfRule type="cellIs" dxfId="2887" priority="328" stopIfTrue="1" operator="equal">
      <formula>$F$18</formula>
    </cfRule>
    <cfRule type="cellIs" dxfId="2886" priority="329" stopIfTrue="1" operator="lessThan">
      <formula>$F$18</formula>
    </cfRule>
  </conditionalFormatting>
  <conditionalFormatting sqref="G19">
    <cfRule type="cellIs" dxfId="2885" priority="330" stopIfTrue="1" operator="equal">
      <formula>$F$19</formula>
    </cfRule>
    <cfRule type="cellIs" dxfId="2884" priority="331" stopIfTrue="1" operator="lessThan">
      <formula>$F$19</formula>
    </cfRule>
  </conditionalFormatting>
  <conditionalFormatting sqref="G20">
    <cfRule type="cellIs" dxfId="2883" priority="332" stopIfTrue="1" operator="equal">
      <formula>$F$20</formula>
    </cfRule>
    <cfRule type="cellIs" dxfId="2882" priority="333" stopIfTrue="1" operator="lessThan">
      <formula>$F$20</formula>
    </cfRule>
  </conditionalFormatting>
  <conditionalFormatting sqref="G21">
    <cfRule type="cellIs" dxfId="2881" priority="334" stopIfTrue="1" operator="equal">
      <formula>$F$21</formula>
    </cfRule>
    <cfRule type="cellIs" dxfId="2880" priority="335" stopIfTrue="1" operator="lessThan">
      <formula>$F$21</formula>
    </cfRule>
  </conditionalFormatting>
  <conditionalFormatting sqref="G22">
    <cfRule type="cellIs" dxfId="2879" priority="336" stopIfTrue="1" operator="equal">
      <formula>$F$22</formula>
    </cfRule>
    <cfRule type="cellIs" dxfId="2878" priority="337" stopIfTrue="1" operator="lessThan">
      <formula>$F$22</formula>
    </cfRule>
  </conditionalFormatting>
  <conditionalFormatting sqref="G23">
    <cfRule type="cellIs" dxfId="2877" priority="338" stopIfTrue="1" operator="equal">
      <formula>$F$23</formula>
    </cfRule>
    <cfRule type="cellIs" dxfId="2876" priority="339" stopIfTrue="1" operator="lessThan">
      <formula>$F$23</formula>
    </cfRule>
  </conditionalFormatting>
  <conditionalFormatting sqref="G24">
    <cfRule type="cellIs" dxfId="2875" priority="386" stopIfTrue="1" operator="equal">
      <formula>$F$24</formula>
    </cfRule>
    <cfRule type="cellIs" dxfId="2874" priority="387" stopIfTrue="1" operator="lessThan">
      <formula>$F$24</formula>
    </cfRule>
  </conditionalFormatting>
  <conditionalFormatting sqref="G25">
    <cfRule type="cellIs" dxfId="2873" priority="340" stopIfTrue="1" operator="equal">
      <formula>$F$25</formula>
    </cfRule>
    <cfRule type="cellIs" dxfId="2872" priority="341" stopIfTrue="1" operator="lessThan">
      <formula>$F$25</formula>
    </cfRule>
  </conditionalFormatting>
  <conditionalFormatting sqref="G26">
    <cfRule type="cellIs" dxfId="2871" priority="342" stopIfTrue="1" operator="equal">
      <formula>$F$26</formula>
    </cfRule>
    <cfRule type="cellIs" dxfId="2870" priority="343" stopIfTrue="1" operator="lessThan">
      <formula>$F$26</formula>
    </cfRule>
  </conditionalFormatting>
  <conditionalFormatting sqref="G27">
    <cfRule type="cellIs" dxfId="2869" priority="344" stopIfTrue="1" operator="equal">
      <formula>$F$27</formula>
    </cfRule>
    <cfRule type="cellIs" dxfId="2868" priority="345" stopIfTrue="1" operator="lessThan">
      <formula>$F$27</formula>
    </cfRule>
  </conditionalFormatting>
  <conditionalFormatting sqref="G28">
    <cfRule type="cellIs" dxfId="2867" priority="346" stopIfTrue="1" operator="equal">
      <formula>$F$28</formula>
    </cfRule>
    <cfRule type="cellIs" dxfId="2866" priority="347" stopIfTrue="1" operator="lessThan">
      <formula>$F$28</formula>
    </cfRule>
  </conditionalFormatting>
  <conditionalFormatting sqref="G29">
    <cfRule type="cellIs" dxfId="2865" priority="462" stopIfTrue="1" operator="equal">
      <formula>$F$29</formula>
    </cfRule>
    <cfRule type="cellIs" dxfId="2864" priority="463" stopIfTrue="1" operator="lessThan">
      <formula>$F$29</formula>
    </cfRule>
  </conditionalFormatting>
  <conditionalFormatting sqref="H4">
    <cfRule type="cellIs" dxfId="2863" priority="111" stopIfTrue="1" operator="lessThan">
      <formula>$G$4</formula>
    </cfRule>
    <cfRule type="cellIs" dxfId="2862" priority="112" stopIfTrue="1" operator="equal">
      <formula>$G$4</formula>
    </cfRule>
  </conditionalFormatting>
  <conditionalFormatting sqref="H5">
    <cfRule type="cellIs" dxfId="2861" priority="115" stopIfTrue="1" operator="equal">
      <formula>$G$5</formula>
    </cfRule>
    <cfRule type="cellIs" dxfId="2860" priority="116" stopIfTrue="1" operator="lessThan">
      <formula>$G$5</formula>
    </cfRule>
  </conditionalFormatting>
  <conditionalFormatting sqref="H6">
    <cfRule type="cellIs" dxfId="2859" priority="142" stopIfTrue="1" operator="equal">
      <formula>$G$6</formula>
    </cfRule>
    <cfRule type="cellIs" dxfId="2858" priority="143" stopIfTrue="1" operator="lessThan">
      <formula>$G$6</formula>
    </cfRule>
  </conditionalFormatting>
  <conditionalFormatting sqref="H7">
    <cfRule type="cellIs" dxfId="2857" priority="154" stopIfTrue="1" operator="equal">
      <formula>$G$7</formula>
    </cfRule>
    <cfRule type="cellIs" dxfId="2856" priority="155" stopIfTrue="1" operator="lessThan">
      <formula>$G$7</formula>
    </cfRule>
  </conditionalFormatting>
  <conditionalFormatting sqref="H8">
    <cfRule type="cellIs" dxfId="2855" priority="168" stopIfTrue="1" operator="equal">
      <formula>$G$8</formula>
    </cfRule>
    <cfRule type="cellIs" dxfId="2854" priority="169" stopIfTrue="1" operator="lessThan">
      <formula>$G$8</formula>
    </cfRule>
  </conditionalFormatting>
  <conditionalFormatting sqref="H9">
    <cfRule type="cellIs" dxfId="2853" priority="182" stopIfTrue="1" operator="equal">
      <formula>$G$9</formula>
    </cfRule>
    <cfRule type="cellIs" dxfId="2852" priority="183" stopIfTrue="1" operator="lessThan">
      <formula>$G$9</formula>
    </cfRule>
  </conditionalFormatting>
  <conditionalFormatting sqref="H10">
    <cfRule type="cellIs" dxfId="2851" priority="196" stopIfTrue="1" operator="equal">
      <formula>$G$10</formula>
    </cfRule>
    <cfRule type="cellIs" dxfId="2850" priority="197" stopIfTrue="1" operator="lessThan">
      <formula>$G$10</formula>
    </cfRule>
  </conditionalFormatting>
  <conditionalFormatting sqref="H11">
    <cfRule type="cellIs" dxfId="2849" priority="210" stopIfTrue="1" operator="equal">
      <formula>$G$11</formula>
    </cfRule>
    <cfRule type="cellIs" dxfId="2848" priority="211" stopIfTrue="1" operator="lessThan">
      <formula>$G$11</formula>
    </cfRule>
  </conditionalFormatting>
  <conditionalFormatting sqref="H12">
    <cfRule type="cellIs" dxfId="2847" priority="224" stopIfTrue="1" operator="equal">
      <formula>$G$12</formula>
    </cfRule>
    <cfRule type="cellIs" dxfId="2846" priority="225" stopIfTrue="1" operator="lessThan">
      <formula>$G$12</formula>
    </cfRule>
  </conditionalFormatting>
  <conditionalFormatting sqref="H13">
    <cfRule type="cellIs" dxfId="2845" priority="350" stopIfTrue="1" operator="equal">
      <formula>$G$13</formula>
    </cfRule>
    <cfRule type="cellIs" dxfId="2844" priority="351" stopIfTrue="1" operator="lessThan">
      <formula>$G$13</formula>
    </cfRule>
  </conditionalFormatting>
  <conditionalFormatting sqref="H14">
    <cfRule type="cellIs" dxfId="2843" priority="352" stopIfTrue="1" operator="equal">
      <formula>$G$14</formula>
    </cfRule>
    <cfRule type="cellIs" dxfId="2842" priority="353" stopIfTrue="1" operator="lessThan">
      <formula>$G$14</formula>
    </cfRule>
  </conditionalFormatting>
  <conditionalFormatting sqref="H15">
    <cfRule type="cellIs" dxfId="2841" priority="354" stopIfTrue="1" operator="equal">
      <formula>$G$15</formula>
    </cfRule>
    <cfRule type="cellIs" dxfId="2840" priority="355" stopIfTrue="1" operator="lessThan">
      <formula>$G$15</formula>
    </cfRule>
  </conditionalFormatting>
  <conditionalFormatting sqref="H16">
    <cfRule type="cellIs" dxfId="2839" priority="356" stopIfTrue="1" operator="equal">
      <formula>$G$16</formula>
    </cfRule>
    <cfRule type="cellIs" dxfId="2838" priority="357" stopIfTrue="1" operator="lessThan">
      <formula>$G$16</formula>
    </cfRule>
  </conditionalFormatting>
  <conditionalFormatting sqref="H17">
    <cfRule type="cellIs" dxfId="2837" priority="358" stopIfTrue="1" operator="equal">
      <formula>$G$17</formula>
    </cfRule>
    <cfRule type="cellIs" dxfId="2836" priority="359" stopIfTrue="1" operator="lessThan">
      <formula>$G$17</formula>
    </cfRule>
  </conditionalFormatting>
  <conditionalFormatting sqref="H18">
    <cfRule type="cellIs" dxfId="2835" priority="360" stopIfTrue="1" operator="equal">
      <formula>$G$18</formula>
    </cfRule>
    <cfRule type="cellIs" dxfId="2834" priority="361" stopIfTrue="1" operator="lessThan">
      <formula>$G$18</formula>
    </cfRule>
  </conditionalFormatting>
  <conditionalFormatting sqref="H19">
    <cfRule type="cellIs" dxfId="2833" priority="362" stopIfTrue="1" operator="equal">
      <formula>$G$19</formula>
    </cfRule>
    <cfRule type="cellIs" dxfId="2832" priority="363" stopIfTrue="1" operator="lessThan">
      <formula>$G$19</formula>
    </cfRule>
  </conditionalFormatting>
  <conditionalFormatting sqref="H20">
    <cfRule type="cellIs" dxfId="2831" priority="364" stopIfTrue="1" operator="equal">
      <formula>$G$20</formula>
    </cfRule>
    <cfRule type="cellIs" dxfId="2830" priority="365" stopIfTrue="1" operator="lessThan">
      <formula>$G$20</formula>
    </cfRule>
  </conditionalFormatting>
  <conditionalFormatting sqref="H21">
    <cfRule type="cellIs" dxfId="2829" priority="366" stopIfTrue="1" operator="equal">
      <formula>$G$21</formula>
    </cfRule>
    <cfRule type="cellIs" dxfId="2828" priority="367" stopIfTrue="1" operator="lessThan">
      <formula>$G$21</formula>
    </cfRule>
  </conditionalFormatting>
  <conditionalFormatting sqref="H22">
    <cfRule type="cellIs" dxfId="2827" priority="368" stopIfTrue="1" operator="equal">
      <formula>$G$22</formula>
    </cfRule>
    <cfRule type="cellIs" dxfId="2826" priority="369" stopIfTrue="1" operator="lessThan">
      <formula>$G$22</formula>
    </cfRule>
  </conditionalFormatting>
  <conditionalFormatting sqref="H23">
    <cfRule type="cellIs" dxfId="2825" priority="370" stopIfTrue="1" operator="equal">
      <formula>$G$23</formula>
    </cfRule>
    <cfRule type="cellIs" dxfId="2824" priority="371" stopIfTrue="1" operator="lessThan">
      <formula>$G$23</formula>
    </cfRule>
  </conditionalFormatting>
  <conditionalFormatting sqref="H24">
    <cfRule type="cellIs" dxfId="2823" priority="388" stopIfTrue="1" operator="equal">
      <formula>$G$24</formula>
    </cfRule>
    <cfRule type="cellIs" dxfId="2822" priority="389" stopIfTrue="1" operator="lessThan">
      <formula>$G$24</formula>
    </cfRule>
  </conditionalFormatting>
  <conditionalFormatting sqref="H25">
    <cfRule type="cellIs" dxfId="2821" priority="372" stopIfTrue="1" operator="equal">
      <formula>$G$25</formula>
    </cfRule>
    <cfRule type="cellIs" dxfId="2820" priority="373" stopIfTrue="1" operator="lessThan">
      <formula>$G$25</formula>
    </cfRule>
  </conditionalFormatting>
  <conditionalFormatting sqref="H26">
    <cfRule type="cellIs" dxfId="2819" priority="374" stopIfTrue="1" operator="equal">
      <formula>$G$26</formula>
    </cfRule>
    <cfRule type="cellIs" dxfId="2818" priority="375" stopIfTrue="1" operator="lessThan">
      <formula>$G$26</formula>
    </cfRule>
  </conditionalFormatting>
  <conditionalFormatting sqref="H27">
    <cfRule type="cellIs" dxfId="2817" priority="376" stopIfTrue="1" operator="equal">
      <formula>$G$27</formula>
    </cfRule>
    <cfRule type="cellIs" dxfId="2816" priority="377" stopIfTrue="1" operator="lessThan">
      <formula>$G$27</formula>
    </cfRule>
  </conditionalFormatting>
  <conditionalFormatting sqref="H28">
    <cfRule type="cellIs" dxfId="2815" priority="378" stopIfTrue="1" operator="equal">
      <formula>$G$28</formula>
    </cfRule>
    <cfRule type="cellIs" dxfId="2814" priority="379" stopIfTrue="1" operator="lessThan">
      <formula>$G$28</formula>
    </cfRule>
  </conditionalFormatting>
  <conditionalFormatting sqref="H29">
    <cfRule type="cellIs" dxfId="2813" priority="464" stopIfTrue="1" operator="equal">
      <formula>$G$29</formula>
    </cfRule>
    <cfRule type="cellIs" dxfId="2812" priority="465" stopIfTrue="1" operator="lessThan">
      <formula>$G$29</formula>
    </cfRule>
  </conditionalFormatting>
  <conditionalFormatting sqref="I4">
    <cfRule type="cellIs" dxfId="2811" priority="131" stopIfTrue="1" operator="equal">
      <formula>$H$4</formula>
    </cfRule>
  </conditionalFormatting>
  <conditionalFormatting sqref="I5">
    <cfRule type="cellIs" dxfId="2810" priority="117" stopIfTrue="1" operator="equal">
      <formula>$H$5</formula>
    </cfRule>
    <cfRule type="cellIs" dxfId="2809" priority="118" stopIfTrue="1" operator="lessThan">
      <formula>$H$5</formula>
    </cfRule>
  </conditionalFormatting>
  <conditionalFormatting sqref="I6">
    <cfRule type="cellIs" dxfId="2808" priority="144" stopIfTrue="1" operator="equal">
      <formula>$H$6</formula>
    </cfRule>
    <cfRule type="cellIs" dxfId="2807" priority="145" stopIfTrue="1" operator="lessThan">
      <formula>$H$6</formula>
    </cfRule>
  </conditionalFormatting>
  <conditionalFormatting sqref="I7">
    <cfRule type="cellIs" dxfId="2806" priority="156" stopIfTrue="1" operator="equal">
      <formula>$H$7</formula>
    </cfRule>
    <cfRule type="cellIs" dxfId="2805" priority="157" stopIfTrue="1" operator="lessThan">
      <formula>$H$7</formula>
    </cfRule>
  </conditionalFormatting>
  <conditionalFormatting sqref="I8">
    <cfRule type="cellIs" dxfId="2804" priority="170" stopIfTrue="1" operator="equal">
      <formula>$H$8</formula>
    </cfRule>
    <cfRule type="cellIs" dxfId="2803" priority="171" stopIfTrue="1" operator="lessThan">
      <formula>$H$8</formula>
    </cfRule>
  </conditionalFormatting>
  <conditionalFormatting sqref="I9">
    <cfRule type="cellIs" dxfId="2802" priority="184" stopIfTrue="1" operator="equal">
      <formula>$H$9</formula>
    </cfRule>
    <cfRule type="cellIs" dxfId="2801" priority="185" stopIfTrue="1" operator="lessThan">
      <formula>$H$9</formula>
    </cfRule>
  </conditionalFormatting>
  <conditionalFormatting sqref="I10">
    <cfRule type="cellIs" dxfId="2800" priority="198" stopIfTrue="1" operator="equal">
      <formula>$H$10</formula>
    </cfRule>
    <cfRule type="cellIs" dxfId="2799" priority="199" stopIfTrue="1" operator="lessThan">
      <formula>$H$10</formula>
    </cfRule>
  </conditionalFormatting>
  <conditionalFormatting sqref="I11">
    <cfRule type="cellIs" dxfId="2798" priority="212" stopIfTrue="1" operator="equal">
      <formula>$H$11</formula>
    </cfRule>
    <cfRule type="cellIs" dxfId="2797" priority="213" stopIfTrue="1" operator="lessThan">
      <formula>$H$11</formula>
    </cfRule>
  </conditionalFormatting>
  <conditionalFormatting sqref="I12">
    <cfRule type="cellIs" dxfId="2796" priority="226" stopIfTrue="1" operator="equal">
      <formula>$H$12</formula>
    </cfRule>
    <cfRule type="cellIs" dxfId="2795" priority="227" stopIfTrue="1" operator="lessThan">
      <formula>$H$12</formula>
    </cfRule>
  </conditionalFormatting>
  <conditionalFormatting sqref="I13">
    <cfRule type="cellIs" dxfId="2794" priority="395" stopIfTrue="1" operator="equal">
      <formula>$H$13</formula>
    </cfRule>
    <cfRule type="cellIs" dxfId="2793" priority="396" stopIfTrue="1" operator="lessThan">
      <formula>$H$13</formula>
    </cfRule>
  </conditionalFormatting>
  <conditionalFormatting sqref="I14">
    <cfRule type="cellIs" dxfId="2792" priority="397" stopIfTrue="1" operator="equal">
      <formula>$H$14</formula>
    </cfRule>
    <cfRule type="cellIs" dxfId="2791" priority="398" stopIfTrue="1" operator="lessThan">
      <formula>$H$14</formula>
    </cfRule>
  </conditionalFormatting>
  <conditionalFormatting sqref="I15">
    <cfRule type="cellIs" dxfId="2790" priority="399" stopIfTrue="1" operator="equal">
      <formula>$H$15</formula>
    </cfRule>
    <cfRule type="cellIs" dxfId="2789" priority="400" stopIfTrue="1" operator="lessThan">
      <formula>$H$15</formula>
    </cfRule>
  </conditionalFormatting>
  <conditionalFormatting sqref="I16">
    <cfRule type="cellIs" dxfId="2788" priority="401" stopIfTrue="1" operator="equal">
      <formula>$H$16</formula>
    </cfRule>
    <cfRule type="cellIs" dxfId="2787" priority="402" stopIfTrue="1" operator="lessThan">
      <formula>$H$16</formula>
    </cfRule>
  </conditionalFormatting>
  <conditionalFormatting sqref="I17">
    <cfRule type="cellIs" dxfId="2786" priority="403" stopIfTrue="1" operator="equal">
      <formula>$H$17</formula>
    </cfRule>
    <cfRule type="cellIs" dxfId="2785" priority="404" stopIfTrue="1" operator="lessThan">
      <formula>$H$17</formula>
    </cfRule>
  </conditionalFormatting>
  <conditionalFormatting sqref="I18">
    <cfRule type="cellIs" dxfId="2784" priority="405" stopIfTrue="1" operator="equal">
      <formula>$H$18</formula>
    </cfRule>
    <cfRule type="cellIs" dxfId="2783" priority="406" stopIfTrue="1" operator="lessThan">
      <formula>$H$18</formula>
    </cfRule>
  </conditionalFormatting>
  <conditionalFormatting sqref="I19">
    <cfRule type="cellIs" dxfId="2782" priority="407" stopIfTrue="1" operator="equal">
      <formula>$H$19</formula>
    </cfRule>
    <cfRule type="cellIs" dxfId="2781" priority="408" stopIfTrue="1" operator="lessThan">
      <formula>$H$19</formula>
    </cfRule>
  </conditionalFormatting>
  <conditionalFormatting sqref="I20">
    <cfRule type="cellIs" dxfId="2780" priority="409" stopIfTrue="1" operator="equal">
      <formula>$H$20</formula>
    </cfRule>
    <cfRule type="cellIs" dxfId="2779" priority="410" stopIfTrue="1" operator="lessThan">
      <formula>$H$20</formula>
    </cfRule>
  </conditionalFormatting>
  <conditionalFormatting sqref="I21">
    <cfRule type="cellIs" dxfId="2778" priority="411" stopIfTrue="1" operator="equal">
      <formula>$H$21</formula>
    </cfRule>
    <cfRule type="cellIs" dxfId="2777" priority="412" stopIfTrue="1" operator="lessThan">
      <formula>$H$21</formula>
    </cfRule>
  </conditionalFormatting>
  <conditionalFormatting sqref="I22">
    <cfRule type="cellIs" dxfId="2776" priority="413" stopIfTrue="1" operator="equal">
      <formula>$H$22</formula>
    </cfRule>
    <cfRule type="cellIs" dxfId="2775" priority="414" stopIfTrue="1" operator="lessThan">
      <formula>$H$22</formula>
    </cfRule>
  </conditionalFormatting>
  <conditionalFormatting sqref="I23">
    <cfRule type="cellIs" dxfId="2774" priority="415" stopIfTrue="1" operator="equal">
      <formula>$H$23</formula>
    </cfRule>
    <cfRule type="cellIs" dxfId="2773" priority="416" stopIfTrue="1" operator="lessThan">
      <formula>$H$23</formula>
    </cfRule>
  </conditionalFormatting>
  <conditionalFormatting sqref="I24">
    <cfRule type="cellIs" dxfId="2772" priority="417" stopIfTrue="1" operator="equal">
      <formula>$H$24</formula>
    </cfRule>
    <cfRule type="cellIs" dxfId="2771" priority="418" stopIfTrue="1" operator="lessThan">
      <formula>$H$24</formula>
    </cfRule>
  </conditionalFormatting>
  <conditionalFormatting sqref="I25">
    <cfRule type="cellIs" dxfId="2770" priority="419" stopIfTrue="1" operator="equal">
      <formula>$H$25</formula>
    </cfRule>
    <cfRule type="cellIs" dxfId="2769" priority="420" stopIfTrue="1" operator="lessThan">
      <formula>$H$25</formula>
    </cfRule>
  </conditionalFormatting>
  <conditionalFormatting sqref="I26">
    <cfRule type="cellIs" dxfId="2768" priority="421" stopIfTrue="1" operator="equal">
      <formula>$H$26</formula>
    </cfRule>
    <cfRule type="cellIs" dxfId="2767" priority="422" stopIfTrue="1" operator="lessThan">
      <formula>$H$26</formula>
    </cfRule>
  </conditionalFormatting>
  <conditionalFormatting sqref="I27">
    <cfRule type="cellIs" dxfId="2766" priority="423" stopIfTrue="1" operator="equal">
      <formula>$H$27</formula>
    </cfRule>
    <cfRule type="cellIs" dxfId="2765" priority="424" stopIfTrue="1" operator="lessThan">
      <formula>$H$27</formula>
    </cfRule>
  </conditionalFormatting>
  <conditionalFormatting sqref="I28">
    <cfRule type="cellIs" dxfId="2764" priority="426" stopIfTrue="1" operator="equal">
      <formula>$H$28</formula>
    </cfRule>
    <cfRule type="cellIs" dxfId="2763" priority="427" stopIfTrue="1" operator="lessThan">
      <formula>$H$28</formula>
    </cfRule>
  </conditionalFormatting>
  <conditionalFormatting sqref="I29">
    <cfRule type="cellIs" dxfId="2762" priority="107" stopIfTrue="1" operator="equal">
      <formula>$H$29</formula>
    </cfRule>
    <cfRule type="cellIs" dxfId="2761" priority="108" stopIfTrue="1" operator="lessThan">
      <formula>$H$29</formula>
    </cfRule>
  </conditionalFormatting>
  <conditionalFormatting sqref="J4">
    <cfRule type="cellIs" dxfId="2760" priority="132" stopIfTrue="1" operator="lessThan">
      <formula>$I$4</formula>
    </cfRule>
    <cfRule type="cellIs" dxfId="2759" priority="133" stopIfTrue="1" operator="equal">
      <formula>$I$4</formula>
    </cfRule>
  </conditionalFormatting>
  <conditionalFormatting sqref="J5">
    <cfRule type="cellIs" dxfId="2758" priority="119" stopIfTrue="1" operator="equal">
      <formula>$I$5</formula>
    </cfRule>
    <cfRule type="cellIs" dxfId="2757" priority="120" stopIfTrue="1" operator="lessThan">
      <formula>$I$5</formula>
    </cfRule>
  </conditionalFormatting>
  <conditionalFormatting sqref="J6">
    <cfRule type="cellIs" dxfId="2756" priority="146" stopIfTrue="1" operator="equal">
      <formula>$I$6</formula>
    </cfRule>
    <cfRule type="cellIs" dxfId="2755" priority="147" stopIfTrue="1" operator="lessThan">
      <formula>$I$6</formula>
    </cfRule>
  </conditionalFormatting>
  <conditionalFormatting sqref="J7">
    <cfRule type="cellIs" dxfId="2754" priority="158" stopIfTrue="1" operator="equal">
      <formula>$I$7</formula>
    </cfRule>
    <cfRule type="cellIs" dxfId="2753" priority="159" stopIfTrue="1" operator="lessThan">
      <formula>$I$7</formula>
    </cfRule>
  </conditionalFormatting>
  <conditionalFormatting sqref="J8">
    <cfRule type="cellIs" dxfId="2752" priority="172" stopIfTrue="1" operator="equal">
      <formula>$I$8</formula>
    </cfRule>
    <cfRule type="cellIs" dxfId="2751" priority="173" stopIfTrue="1" operator="lessThan">
      <formula>$I$8</formula>
    </cfRule>
  </conditionalFormatting>
  <conditionalFormatting sqref="J9">
    <cfRule type="cellIs" dxfId="2750" priority="186" stopIfTrue="1" operator="equal">
      <formula>$I$9</formula>
    </cfRule>
    <cfRule type="cellIs" dxfId="2749" priority="187" stopIfTrue="1" operator="lessThan">
      <formula>$I$9</formula>
    </cfRule>
  </conditionalFormatting>
  <conditionalFormatting sqref="J10">
    <cfRule type="cellIs" dxfId="2748" priority="200" stopIfTrue="1" operator="equal">
      <formula>$I$10</formula>
    </cfRule>
    <cfRule type="cellIs" dxfId="2747" priority="201" stopIfTrue="1" operator="lessThan">
      <formula>$I$10</formula>
    </cfRule>
  </conditionalFormatting>
  <conditionalFormatting sqref="J11">
    <cfRule type="cellIs" dxfId="2746" priority="214" stopIfTrue="1" operator="equal">
      <formula>$I$11</formula>
    </cfRule>
    <cfRule type="cellIs" dxfId="2745" priority="215" stopIfTrue="1" operator="lessThan">
      <formula>$I$11</formula>
    </cfRule>
  </conditionalFormatting>
  <conditionalFormatting sqref="J12">
    <cfRule type="cellIs" dxfId="2744" priority="228" stopIfTrue="1" operator="equal">
      <formula>$I$12</formula>
    </cfRule>
    <cfRule type="cellIs" dxfId="2743" priority="229" stopIfTrue="1" operator="lessThan">
      <formula>$I$12</formula>
    </cfRule>
  </conditionalFormatting>
  <conditionalFormatting sqref="J13">
    <cfRule type="cellIs" dxfId="2742" priority="428" stopIfTrue="1" operator="equal">
      <formula>$I$13</formula>
    </cfRule>
    <cfRule type="cellIs" dxfId="2741" priority="429" stopIfTrue="1" operator="lessThan">
      <formula>$I$13</formula>
    </cfRule>
  </conditionalFormatting>
  <conditionalFormatting sqref="J14">
    <cfRule type="cellIs" dxfId="2740" priority="430" stopIfTrue="1" operator="equal">
      <formula>$I$14</formula>
    </cfRule>
    <cfRule type="cellIs" dxfId="2739" priority="431" stopIfTrue="1" operator="lessThan">
      <formula>$I$14</formula>
    </cfRule>
  </conditionalFormatting>
  <conditionalFormatting sqref="J15">
    <cfRule type="cellIs" dxfId="2738" priority="432" stopIfTrue="1" operator="equal">
      <formula>$I$15</formula>
    </cfRule>
    <cfRule type="cellIs" dxfId="2737" priority="433" stopIfTrue="1" operator="lessThan">
      <formula>$I$15</formula>
    </cfRule>
  </conditionalFormatting>
  <conditionalFormatting sqref="J16">
    <cfRule type="cellIs" dxfId="2736" priority="434" stopIfTrue="1" operator="equal">
      <formula>$I$16</formula>
    </cfRule>
    <cfRule type="cellIs" dxfId="2735" priority="435" stopIfTrue="1" operator="lessThan">
      <formula>$I$16</formula>
    </cfRule>
  </conditionalFormatting>
  <conditionalFormatting sqref="J17">
    <cfRule type="cellIs" dxfId="2734" priority="436" stopIfTrue="1" operator="equal">
      <formula>$I$17</formula>
    </cfRule>
    <cfRule type="cellIs" dxfId="2733" priority="437" stopIfTrue="1" operator="lessThan">
      <formula>$I$17</formula>
    </cfRule>
  </conditionalFormatting>
  <conditionalFormatting sqref="J18">
    <cfRule type="cellIs" dxfId="2732" priority="438" stopIfTrue="1" operator="equal">
      <formula>$I$18</formula>
    </cfRule>
    <cfRule type="cellIs" dxfId="2731" priority="439" stopIfTrue="1" operator="lessThan">
      <formula>$I$18</formula>
    </cfRule>
  </conditionalFormatting>
  <conditionalFormatting sqref="J19">
    <cfRule type="cellIs" dxfId="2730" priority="440" stopIfTrue="1" operator="equal">
      <formula>$I$19</formula>
    </cfRule>
    <cfRule type="cellIs" dxfId="2729" priority="441" stopIfTrue="1" operator="lessThan">
      <formula>$I$19</formula>
    </cfRule>
  </conditionalFormatting>
  <conditionalFormatting sqref="J20">
    <cfRule type="cellIs" dxfId="2728" priority="442" stopIfTrue="1" operator="equal">
      <formula>$I$20</formula>
    </cfRule>
    <cfRule type="cellIs" dxfId="2727" priority="443" stopIfTrue="1" operator="lessThan">
      <formula>$I$20</formula>
    </cfRule>
  </conditionalFormatting>
  <conditionalFormatting sqref="J21">
    <cfRule type="cellIs" dxfId="2726" priority="444" stopIfTrue="1" operator="equal">
      <formula>$I$21</formula>
    </cfRule>
    <cfRule type="cellIs" dxfId="2725" priority="445" stopIfTrue="1" operator="lessThan">
      <formula>$I$21</formula>
    </cfRule>
  </conditionalFormatting>
  <conditionalFormatting sqref="J22">
    <cfRule type="cellIs" dxfId="2724" priority="446" stopIfTrue="1" operator="equal">
      <formula>$I$22</formula>
    </cfRule>
    <cfRule type="cellIs" dxfId="2723" priority="447" stopIfTrue="1" operator="lessThan">
      <formula>$I$22</formula>
    </cfRule>
  </conditionalFormatting>
  <conditionalFormatting sqref="J23">
    <cfRule type="cellIs" dxfId="2722" priority="448" stopIfTrue="1" operator="equal">
      <formula>$I$23</formula>
    </cfRule>
    <cfRule type="cellIs" dxfId="2721" priority="449" stopIfTrue="1" operator="lessThan">
      <formula>$I$23</formula>
    </cfRule>
  </conditionalFormatting>
  <conditionalFormatting sqref="J24">
    <cfRule type="cellIs" dxfId="2720" priority="450" stopIfTrue="1" operator="equal">
      <formula>$I$24</formula>
    </cfRule>
    <cfRule type="cellIs" dxfId="2719" priority="451" stopIfTrue="1" operator="lessThan">
      <formula>$I$24</formula>
    </cfRule>
  </conditionalFormatting>
  <conditionalFormatting sqref="J25">
    <cfRule type="cellIs" dxfId="2718" priority="452" stopIfTrue="1" operator="equal">
      <formula>$I$25</formula>
    </cfRule>
    <cfRule type="cellIs" dxfId="2717" priority="453" stopIfTrue="1" operator="lessThan">
      <formula>$I$25</formula>
    </cfRule>
  </conditionalFormatting>
  <conditionalFormatting sqref="J26">
    <cfRule type="cellIs" dxfId="2716" priority="454" stopIfTrue="1" operator="equal">
      <formula>$I$26</formula>
    </cfRule>
    <cfRule type="cellIs" dxfId="2715" priority="455" stopIfTrue="1" operator="lessThan">
      <formula>$I$26</formula>
    </cfRule>
  </conditionalFormatting>
  <conditionalFormatting sqref="J27">
    <cfRule type="cellIs" dxfId="2714" priority="456" stopIfTrue="1" operator="equal">
      <formula>$I$27</formula>
    </cfRule>
    <cfRule type="cellIs" dxfId="2713" priority="457" stopIfTrue="1" operator="lessThan">
      <formula>$I$27</formula>
    </cfRule>
  </conditionalFormatting>
  <conditionalFormatting sqref="J28">
    <cfRule type="cellIs" dxfId="2712" priority="458" stopIfTrue="1" operator="equal">
      <formula>$I$28</formula>
    </cfRule>
    <cfRule type="cellIs" dxfId="2711" priority="459" stopIfTrue="1" operator="lessThan">
      <formula>$I$28</formula>
    </cfRule>
  </conditionalFormatting>
  <conditionalFormatting sqref="J29">
    <cfRule type="cellIs" dxfId="2710" priority="109" stopIfTrue="1" operator="equal">
      <formula>$I$29</formula>
    </cfRule>
    <cfRule type="cellIs" dxfId="2709" priority="110" stopIfTrue="1" operator="lessThan">
      <formula>$I$29</formula>
    </cfRule>
  </conditionalFormatting>
  <conditionalFormatting sqref="K4">
    <cfRule type="cellIs" dxfId="2708" priority="466" stopIfTrue="1" operator="equal">
      <formula>$J$4</formula>
    </cfRule>
    <cfRule type="cellIs" dxfId="2707" priority="467" stopIfTrue="1" operator="lessThan">
      <formula>$J$4</formula>
    </cfRule>
  </conditionalFormatting>
  <conditionalFormatting sqref="K5">
    <cfRule type="cellIs" dxfId="2706" priority="468" stopIfTrue="1" operator="equal">
      <formula>$J$5</formula>
    </cfRule>
    <cfRule type="cellIs" dxfId="2705" priority="469" stopIfTrue="1" operator="lessThan">
      <formula>$J$5</formula>
    </cfRule>
  </conditionalFormatting>
  <conditionalFormatting sqref="K6">
    <cfRule type="cellIs" dxfId="2704" priority="470" stopIfTrue="1" operator="equal">
      <formula>$J$6</formula>
    </cfRule>
    <cfRule type="cellIs" dxfId="2703" priority="471" stopIfTrue="1" operator="lessThan">
      <formula>$J$6</formula>
    </cfRule>
  </conditionalFormatting>
  <conditionalFormatting sqref="K7">
    <cfRule type="cellIs" dxfId="2702" priority="472" stopIfTrue="1" operator="equal">
      <formula>$J$7</formula>
    </cfRule>
    <cfRule type="cellIs" dxfId="2701" priority="473" stopIfTrue="1" operator="lessThan">
      <formula>$J$7</formula>
    </cfRule>
  </conditionalFormatting>
  <conditionalFormatting sqref="K8">
    <cfRule type="cellIs" dxfId="2700" priority="474" stopIfTrue="1" operator="equal">
      <formula>$J$8</formula>
    </cfRule>
    <cfRule type="cellIs" dxfId="2699" priority="475" stopIfTrue="1" operator="lessThan">
      <formula>$J$8</formula>
    </cfRule>
  </conditionalFormatting>
  <conditionalFormatting sqref="K9">
    <cfRule type="cellIs" dxfId="2698" priority="476" stopIfTrue="1" operator="equal">
      <formula>$J$9</formula>
    </cfRule>
    <cfRule type="cellIs" dxfId="2697" priority="477" stopIfTrue="1" operator="lessThan">
      <formula>$J$9</formula>
    </cfRule>
  </conditionalFormatting>
  <conditionalFormatting sqref="K10">
    <cfRule type="cellIs" dxfId="2696" priority="478" stopIfTrue="1" operator="equal">
      <formula>$J$10</formula>
    </cfRule>
    <cfRule type="cellIs" dxfId="2695" priority="479" stopIfTrue="1" operator="lessThan">
      <formula>$J$10</formula>
    </cfRule>
  </conditionalFormatting>
  <conditionalFormatting sqref="K11">
    <cfRule type="cellIs" dxfId="2694" priority="480" stopIfTrue="1" operator="equal">
      <formula>$J$11</formula>
    </cfRule>
    <cfRule type="cellIs" dxfId="2693" priority="481" stopIfTrue="1" operator="lessThan">
      <formula>$J$11</formula>
    </cfRule>
  </conditionalFormatting>
  <conditionalFormatting sqref="K12">
    <cfRule type="cellIs" dxfId="2692" priority="482" stopIfTrue="1" operator="equal">
      <formula>$J$12</formula>
    </cfRule>
    <cfRule type="cellIs" dxfId="2691" priority="483" stopIfTrue="1" operator="lessThan">
      <formula>$J$12</formula>
    </cfRule>
  </conditionalFormatting>
  <conditionalFormatting sqref="K13">
    <cfRule type="cellIs" dxfId="2690" priority="484" stopIfTrue="1" operator="equal">
      <formula>$J$13</formula>
    </cfRule>
    <cfRule type="cellIs" dxfId="2689" priority="485" stopIfTrue="1" operator="lessThan">
      <formula>$J$13</formula>
    </cfRule>
  </conditionalFormatting>
  <conditionalFormatting sqref="K14">
    <cfRule type="cellIs" dxfId="2688" priority="486" stopIfTrue="1" operator="equal">
      <formula>$J$14</formula>
    </cfRule>
    <cfRule type="cellIs" dxfId="2687" priority="487" stopIfTrue="1" operator="lessThan">
      <formula>$J$14</formula>
    </cfRule>
  </conditionalFormatting>
  <conditionalFormatting sqref="K15">
    <cfRule type="cellIs" dxfId="2686" priority="488" stopIfTrue="1" operator="equal">
      <formula>$J$15</formula>
    </cfRule>
    <cfRule type="cellIs" dxfId="2685" priority="489" stopIfTrue="1" operator="lessThan">
      <formula>$J$15</formula>
    </cfRule>
  </conditionalFormatting>
  <conditionalFormatting sqref="K16">
    <cfRule type="cellIs" dxfId="2684" priority="490" stopIfTrue="1" operator="equal">
      <formula>$J$16</formula>
    </cfRule>
    <cfRule type="cellIs" dxfId="2683" priority="491" stopIfTrue="1" operator="lessThan">
      <formula>$J$16</formula>
    </cfRule>
  </conditionalFormatting>
  <conditionalFormatting sqref="K17">
    <cfRule type="cellIs" dxfId="2682" priority="492" stopIfTrue="1" operator="equal">
      <formula>$J$17</formula>
    </cfRule>
    <cfRule type="cellIs" dxfId="2681" priority="493" stopIfTrue="1" operator="lessThan">
      <formula>$J$17</formula>
    </cfRule>
  </conditionalFormatting>
  <conditionalFormatting sqref="K18">
    <cfRule type="cellIs" dxfId="2680" priority="494" stopIfTrue="1" operator="equal">
      <formula>$J$18</formula>
    </cfRule>
    <cfRule type="cellIs" dxfId="2679" priority="495" stopIfTrue="1" operator="lessThan">
      <formula>$J$18</formula>
    </cfRule>
  </conditionalFormatting>
  <conditionalFormatting sqref="K19">
    <cfRule type="cellIs" dxfId="2678" priority="496" stopIfTrue="1" operator="equal">
      <formula>$J$19</formula>
    </cfRule>
    <cfRule type="cellIs" dxfId="2677" priority="497" stopIfTrue="1" operator="lessThan">
      <formula>$J$19</formula>
    </cfRule>
  </conditionalFormatting>
  <conditionalFormatting sqref="K20">
    <cfRule type="cellIs" dxfId="2676" priority="498" stopIfTrue="1" operator="equal">
      <formula>$J$20</formula>
    </cfRule>
    <cfRule type="cellIs" dxfId="2675" priority="499" stopIfTrue="1" operator="lessThan">
      <formula>$J$20</formula>
    </cfRule>
  </conditionalFormatting>
  <conditionalFormatting sqref="K21">
    <cfRule type="cellIs" dxfId="2674" priority="500" stopIfTrue="1" operator="equal">
      <formula>$J$21</formula>
    </cfRule>
    <cfRule type="cellIs" dxfId="2673" priority="501" stopIfTrue="1" operator="lessThan">
      <formula>$J$21</formula>
    </cfRule>
  </conditionalFormatting>
  <conditionalFormatting sqref="K22">
    <cfRule type="cellIs" dxfId="2672" priority="502" stopIfTrue="1" operator="equal">
      <formula>$J$22</formula>
    </cfRule>
    <cfRule type="cellIs" dxfId="2671" priority="503" stopIfTrue="1" operator="lessThan">
      <formula>$J$22</formula>
    </cfRule>
  </conditionalFormatting>
  <conditionalFormatting sqref="K23">
    <cfRule type="cellIs" dxfId="2670" priority="504" stopIfTrue="1" operator="equal">
      <formula>$J$23</formula>
    </cfRule>
    <cfRule type="cellIs" dxfId="2669" priority="505" stopIfTrue="1" operator="lessThan">
      <formula>$J$23</formula>
    </cfRule>
  </conditionalFormatting>
  <conditionalFormatting sqref="K24">
    <cfRule type="cellIs" dxfId="2668" priority="506" stopIfTrue="1" operator="equal">
      <formula>$J$24</formula>
    </cfRule>
    <cfRule type="cellIs" dxfId="2667" priority="507" stopIfTrue="1" operator="lessThan">
      <formula>$J$24</formula>
    </cfRule>
  </conditionalFormatting>
  <conditionalFormatting sqref="K25">
    <cfRule type="cellIs" dxfId="2666" priority="508" stopIfTrue="1" operator="equal">
      <formula>$J$25</formula>
    </cfRule>
    <cfRule type="cellIs" dxfId="2665" priority="509" stopIfTrue="1" operator="lessThan">
      <formula>$J$25</formula>
    </cfRule>
  </conditionalFormatting>
  <conditionalFormatting sqref="K26">
    <cfRule type="cellIs" dxfId="2664" priority="510" stopIfTrue="1" operator="equal">
      <formula>$J$26</formula>
    </cfRule>
    <cfRule type="cellIs" dxfId="2663" priority="511" stopIfTrue="1" operator="lessThan">
      <formula>$J$26</formula>
    </cfRule>
  </conditionalFormatting>
  <conditionalFormatting sqref="K27">
    <cfRule type="cellIs" dxfId="2662" priority="512" stopIfTrue="1" operator="equal">
      <formula>$J$27</formula>
    </cfRule>
    <cfRule type="cellIs" dxfId="2661" priority="513" stopIfTrue="1" operator="lessThan">
      <formula>$J$27</formula>
    </cfRule>
  </conditionalFormatting>
  <conditionalFormatting sqref="K28">
    <cfRule type="cellIs" dxfId="2660" priority="514" stopIfTrue="1" operator="lessThan">
      <formula>$J$28</formula>
    </cfRule>
    <cfRule type="cellIs" dxfId="2659" priority="515" stopIfTrue="1" operator="equal">
      <formula>$J$28</formula>
    </cfRule>
  </conditionalFormatting>
  <conditionalFormatting sqref="K29">
    <cfRule type="cellIs" dxfId="2658" priority="516" stopIfTrue="1" operator="equal">
      <formula>$J$29</formula>
    </cfRule>
    <cfRule type="cellIs" dxfId="2657" priority="517" stopIfTrue="1" operator="lessThan">
      <formula>$J$29</formula>
    </cfRule>
  </conditionalFormatting>
  <conditionalFormatting sqref="L4">
    <cfRule type="cellIs" dxfId="2656" priority="518" stopIfTrue="1" operator="equal">
      <formula>$K$4</formula>
    </cfRule>
    <cfRule type="cellIs" dxfId="2655" priority="519" stopIfTrue="1" operator="lessThan">
      <formula>$K$4</formula>
    </cfRule>
  </conditionalFormatting>
  <conditionalFormatting sqref="L5">
    <cfRule type="cellIs" dxfId="2654" priority="520" stopIfTrue="1" operator="equal">
      <formula>$K$5</formula>
    </cfRule>
    <cfRule type="cellIs" dxfId="2653" priority="521" stopIfTrue="1" operator="lessThan">
      <formula>$K$5</formula>
    </cfRule>
  </conditionalFormatting>
  <conditionalFormatting sqref="L6">
    <cfRule type="cellIs" dxfId="2652" priority="522" stopIfTrue="1" operator="equal">
      <formula>$K$6</formula>
    </cfRule>
    <cfRule type="cellIs" dxfId="2651" priority="523" stopIfTrue="1" operator="lessThan">
      <formula>$K$6</formula>
    </cfRule>
  </conditionalFormatting>
  <conditionalFormatting sqref="L7">
    <cfRule type="cellIs" dxfId="2650" priority="524" stopIfTrue="1" operator="equal">
      <formula>$K$7</formula>
    </cfRule>
    <cfRule type="cellIs" dxfId="2649" priority="525" stopIfTrue="1" operator="lessThan">
      <formula>$K$7</formula>
    </cfRule>
  </conditionalFormatting>
  <conditionalFormatting sqref="L8">
    <cfRule type="cellIs" dxfId="2648" priority="526" stopIfTrue="1" operator="equal">
      <formula>$K$8</formula>
    </cfRule>
    <cfRule type="cellIs" dxfId="2647" priority="527" stopIfTrue="1" operator="lessThan">
      <formula>$K$8</formula>
    </cfRule>
  </conditionalFormatting>
  <conditionalFormatting sqref="L9">
    <cfRule type="cellIs" dxfId="2646" priority="528" stopIfTrue="1" operator="equal">
      <formula>$K$9</formula>
    </cfRule>
    <cfRule type="cellIs" dxfId="2645" priority="529" stopIfTrue="1" operator="lessThan">
      <formula>$K$9</formula>
    </cfRule>
  </conditionalFormatting>
  <conditionalFormatting sqref="L10">
    <cfRule type="cellIs" dxfId="2644" priority="530" stopIfTrue="1" operator="equal">
      <formula>$K$10</formula>
    </cfRule>
    <cfRule type="cellIs" dxfId="2643" priority="531" stopIfTrue="1" operator="lessThan">
      <formula>$K$10</formula>
    </cfRule>
  </conditionalFormatting>
  <conditionalFormatting sqref="L11">
    <cfRule type="cellIs" dxfId="2642" priority="552" stopIfTrue="1" operator="equal">
      <formula>$K$11</formula>
    </cfRule>
    <cfRule type="cellIs" dxfId="2641" priority="553" stopIfTrue="1" operator="lessThan">
      <formula>$K$11</formula>
    </cfRule>
  </conditionalFormatting>
  <conditionalFormatting sqref="L12">
    <cfRule type="cellIs" dxfId="2640" priority="532" stopIfTrue="1" operator="equal">
      <formula>$K$12</formula>
    </cfRule>
    <cfRule type="cellIs" dxfId="2639" priority="533" stopIfTrue="1" operator="lessThan">
      <formula>$K$12</formula>
    </cfRule>
  </conditionalFormatting>
  <conditionalFormatting sqref="L13">
    <cfRule type="cellIs" dxfId="2638" priority="534" stopIfTrue="1" operator="equal">
      <formula>$K$13</formula>
    </cfRule>
    <cfRule type="cellIs" dxfId="2637" priority="535" stopIfTrue="1" operator="lessThan">
      <formula>$K$13</formula>
    </cfRule>
  </conditionalFormatting>
  <conditionalFormatting sqref="L14">
    <cfRule type="cellIs" dxfId="2636" priority="536" stopIfTrue="1" operator="equal">
      <formula>$K$14</formula>
    </cfRule>
    <cfRule type="cellIs" dxfId="2635" priority="537" stopIfTrue="1" operator="lessThan">
      <formula>$K$14</formula>
    </cfRule>
  </conditionalFormatting>
  <conditionalFormatting sqref="L15">
    <cfRule type="cellIs" dxfId="2634" priority="538" stopIfTrue="1" operator="equal">
      <formula>$K$15</formula>
    </cfRule>
    <cfRule type="cellIs" dxfId="2633" priority="539" stopIfTrue="1" operator="lessThan">
      <formula>$K$15</formula>
    </cfRule>
  </conditionalFormatting>
  <conditionalFormatting sqref="L16">
    <cfRule type="cellIs" dxfId="2632" priority="540" stopIfTrue="1" operator="equal">
      <formula>$K$16</formula>
    </cfRule>
    <cfRule type="cellIs" dxfId="2631" priority="541" stopIfTrue="1" operator="lessThan">
      <formula>$K$16</formula>
    </cfRule>
  </conditionalFormatting>
  <conditionalFormatting sqref="L17">
    <cfRule type="cellIs" dxfId="2630" priority="542" stopIfTrue="1" operator="equal">
      <formula>$K$17</formula>
    </cfRule>
    <cfRule type="cellIs" dxfId="2629" priority="543" stopIfTrue="1" operator="lessThan">
      <formula>$K$17</formula>
    </cfRule>
  </conditionalFormatting>
  <conditionalFormatting sqref="L18">
    <cfRule type="cellIs" dxfId="2628" priority="544" stopIfTrue="1" operator="equal">
      <formula>$K$18</formula>
    </cfRule>
    <cfRule type="cellIs" dxfId="2627" priority="545" stopIfTrue="1" operator="lessThan">
      <formula>$K$18</formula>
    </cfRule>
  </conditionalFormatting>
  <conditionalFormatting sqref="L19">
    <cfRule type="cellIs" dxfId="2626" priority="546" stopIfTrue="1" operator="equal">
      <formula>$K$19</formula>
    </cfRule>
    <cfRule type="cellIs" dxfId="2625" priority="547" stopIfTrue="1" operator="lessThan">
      <formula>$K$19</formula>
    </cfRule>
  </conditionalFormatting>
  <conditionalFormatting sqref="L20">
    <cfRule type="cellIs" dxfId="2624" priority="548" stopIfTrue="1" operator="equal">
      <formula>$K$20</formula>
    </cfRule>
    <cfRule type="cellIs" dxfId="2623" priority="549" stopIfTrue="1" operator="lessThan">
      <formula>$K$20</formula>
    </cfRule>
  </conditionalFormatting>
  <conditionalFormatting sqref="L21">
    <cfRule type="cellIs" dxfId="2622" priority="550" stopIfTrue="1" operator="equal">
      <formula>$K$21</formula>
    </cfRule>
    <cfRule type="cellIs" dxfId="2621" priority="551" stopIfTrue="1" operator="lessThan">
      <formula>$K$21</formula>
    </cfRule>
  </conditionalFormatting>
  <conditionalFormatting sqref="L22">
    <cfRule type="cellIs" dxfId="2620" priority="554" stopIfTrue="1" operator="equal">
      <formula>$K$22</formula>
    </cfRule>
    <cfRule type="cellIs" dxfId="2619" priority="555" stopIfTrue="1" operator="lessThan">
      <formula>$K$22</formula>
    </cfRule>
  </conditionalFormatting>
  <conditionalFormatting sqref="L23">
    <cfRule type="cellIs" dxfId="2618" priority="556" stopIfTrue="1" operator="equal">
      <formula>$K$23</formula>
    </cfRule>
    <cfRule type="cellIs" dxfId="2617" priority="557" stopIfTrue="1" operator="lessThan">
      <formula>$K$23</formula>
    </cfRule>
  </conditionalFormatting>
  <conditionalFormatting sqref="L24">
    <cfRule type="cellIs" dxfId="2616" priority="558" stopIfTrue="1" operator="equal">
      <formula>$K$24</formula>
    </cfRule>
    <cfRule type="cellIs" dxfId="2615" priority="559" stopIfTrue="1" operator="lessThan">
      <formula>$K$24</formula>
    </cfRule>
  </conditionalFormatting>
  <conditionalFormatting sqref="L25">
    <cfRule type="cellIs" dxfId="2614" priority="560" stopIfTrue="1" operator="equal">
      <formula>$K$25</formula>
    </cfRule>
    <cfRule type="cellIs" dxfId="2613" priority="561" stopIfTrue="1" operator="lessThan">
      <formula>$K$25</formula>
    </cfRule>
  </conditionalFormatting>
  <conditionalFormatting sqref="L26">
    <cfRule type="cellIs" dxfId="2612" priority="562" stopIfTrue="1" operator="equal">
      <formula>$K$26</formula>
    </cfRule>
    <cfRule type="cellIs" dxfId="2611" priority="563" stopIfTrue="1" operator="lessThan">
      <formula>$K$26</formula>
    </cfRule>
  </conditionalFormatting>
  <conditionalFormatting sqref="L27">
    <cfRule type="cellIs" dxfId="2610" priority="564" stopIfTrue="1" operator="equal">
      <formula>$K$27</formula>
    </cfRule>
    <cfRule type="cellIs" dxfId="2609" priority="565" stopIfTrue="1" operator="lessThan">
      <formula>$K$27</formula>
    </cfRule>
  </conditionalFormatting>
  <conditionalFormatting sqref="L28">
    <cfRule type="cellIs" dxfId="2608" priority="566" stopIfTrue="1" operator="equal">
      <formula>$K$28</formula>
    </cfRule>
    <cfRule type="cellIs" dxfId="2607" priority="567" stopIfTrue="1" operator="lessThan">
      <formula>$K$28</formula>
    </cfRule>
  </conditionalFormatting>
  <conditionalFormatting sqref="L29">
    <cfRule type="cellIs" dxfId="2606" priority="568" stopIfTrue="1" operator="equal">
      <formula>$K$29</formula>
    </cfRule>
    <cfRule type="cellIs" dxfId="2605" priority="569" stopIfTrue="1" operator="lessThan">
      <formula>$K$29</formula>
    </cfRule>
  </conditionalFormatting>
  <conditionalFormatting sqref="M4">
    <cfRule type="cellIs" dxfId="2604" priority="570" stopIfTrue="1" operator="lessThan">
      <formula>$L$4</formula>
    </cfRule>
    <cfRule type="cellIs" dxfId="2603" priority="571" stopIfTrue="1" operator="equal">
      <formula>$L$4</formula>
    </cfRule>
  </conditionalFormatting>
  <conditionalFormatting sqref="M5">
    <cfRule type="cellIs" dxfId="2602" priority="572" stopIfTrue="1" operator="equal">
      <formula>$L$5</formula>
    </cfRule>
    <cfRule type="cellIs" dxfId="2601" priority="573" stopIfTrue="1" operator="lessThan">
      <formula>$L$5</formula>
    </cfRule>
  </conditionalFormatting>
  <conditionalFormatting sqref="M6">
    <cfRule type="cellIs" dxfId="2600" priority="574" stopIfTrue="1" operator="equal">
      <formula>$L$6</formula>
    </cfRule>
    <cfRule type="cellIs" dxfId="2599" priority="575" stopIfTrue="1" operator="lessThan">
      <formula>$L$6</formula>
    </cfRule>
  </conditionalFormatting>
  <conditionalFormatting sqref="M7">
    <cfRule type="cellIs" dxfId="2598" priority="576" stopIfTrue="1" operator="equal">
      <formula>$L$7</formula>
    </cfRule>
    <cfRule type="cellIs" dxfId="2597" priority="577" stopIfTrue="1" operator="lessThan">
      <formula>$L$7</formula>
    </cfRule>
  </conditionalFormatting>
  <conditionalFormatting sqref="M8">
    <cfRule type="cellIs" dxfId="2596" priority="578" stopIfTrue="1" operator="equal">
      <formula>$L$8</formula>
    </cfRule>
    <cfRule type="cellIs" dxfId="2595" priority="579" stopIfTrue="1" operator="lessThan">
      <formula>$L$8</formula>
    </cfRule>
  </conditionalFormatting>
  <conditionalFormatting sqref="M9">
    <cfRule type="cellIs" dxfId="2594" priority="580" stopIfTrue="1" operator="equal">
      <formula>$L$9</formula>
    </cfRule>
    <cfRule type="cellIs" dxfId="2593" priority="581" stopIfTrue="1" operator="lessThan">
      <formula>$L$9</formula>
    </cfRule>
  </conditionalFormatting>
  <conditionalFormatting sqref="M10">
    <cfRule type="cellIs" dxfId="2592" priority="582" stopIfTrue="1" operator="equal">
      <formula>$L$10</formula>
    </cfRule>
    <cfRule type="cellIs" dxfId="2591" priority="583" stopIfTrue="1" operator="lessThan">
      <formula>$L$10</formula>
    </cfRule>
  </conditionalFormatting>
  <conditionalFormatting sqref="M11">
    <cfRule type="cellIs" dxfId="2590" priority="584" stopIfTrue="1" operator="equal">
      <formula>$L$11</formula>
    </cfRule>
    <cfRule type="cellIs" dxfId="2589" priority="585" stopIfTrue="1" operator="lessThan">
      <formula>$L$11</formula>
    </cfRule>
  </conditionalFormatting>
  <conditionalFormatting sqref="M12">
    <cfRule type="cellIs" dxfId="2588" priority="586" stopIfTrue="1" operator="equal">
      <formula>$L$12</formula>
    </cfRule>
    <cfRule type="cellIs" dxfId="2587" priority="587" stopIfTrue="1" operator="lessThan">
      <formula>$L$12</formula>
    </cfRule>
  </conditionalFormatting>
  <conditionalFormatting sqref="M13">
    <cfRule type="cellIs" dxfId="2586" priority="588" stopIfTrue="1" operator="equal">
      <formula>$L$13</formula>
    </cfRule>
    <cfRule type="cellIs" dxfId="2585" priority="589" stopIfTrue="1" operator="lessThan">
      <formula>$L$13</formula>
    </cfRule>
  </conditionalFormatting>
  <conditionalFormatting sqref="M14">
    <cfRule type="cellIs" dxfId="2584" priority="590" stopIfTrue="1" operator="equal">
      <formula>$L$14</formula>
    </cfRule>
    <cfRule type="cellIs" dxfId="2583" priority="591" stopIfTrue="1" operator="lessThan">
      <formula>$L$14</formula>
    </cfRule>
  </conditionalFormatting>
  <conditionalFormatting sqref="M15">
    <cfRule type="cellIs" dxfId="2582" priority="592" stopIfTrue="1" operator="equal">
      <formula>$L$15</formula>
    </cfRule>
    <cfRule type="cellIs" dxfId="2581" priority="593" stopIfTrue="1" operator="lessThan">
      <formula>$L$15</formula>
    </cfRule>
  </conditionalFormatting>
  <conditionalFormatting sqref="M16">
    <cfRule type="cellIs" dxfId="2580" priority="594" stopIfTrue="1" operator="equal">
      <formula>$L$16</formula>
    </cfRule>
    <cfRule type="cellIs" dxfId="2579" priority="595" stopIfTrue="1" operator="lessThan">
      <formula>$L$16</formula>
    </cfRule>
  </conditionalFormatting>
  <conditionalFormatting sqref="M17">
    <cfRule type="cellIs" dxfId="2578" priority="596" stopIfTrue="1" operator="equal">
      <formula>$L$17</formula>
    </cfRule>
    <cfRule type="cellIs" dxfId="2577" priority="597" stopIfTrue="1" operator="lessThan">
      <formula>$L$17</formula>
    </cfRule>
  </conditionalFormatting>
  <conditionalFormatting sqref="M18">
    <cfRule type="cellIs" dxfId="2576" priority="598" stopIfTrue="1" operator="equal">
      <formula>$L$18</formula>
    </cfRule>
    <cfRule type="cellIs" dxfId="2575" priority="599" stopIfTrue="1" operator="lessThan">
      <formula>$L$18</formula>
    </cfRule>
  </conditionalFormatting>
  <conditionalFormatting sqref="M19">
    <cfRule type="cellIs" dxfId="2574" priority="600" stopIfTrue="1" operator="equal">
      <formula>$L$19</formula>
    </cfRule>
    <cfRule type="cellIs" dxfId="2573" priority="601" stopIfTrue="1" operator="lessThan">
      <formula>$L$19</formula>
    </cfRule>
  </conditionalFormatting>
  <conditionalFormatting sqref="M20">
    <cfRule type="cellIs" dxfId="2572" priority="602" stopIfTrue="1" operator="equal">
      <formula>$L$20</formula>
    </cfRule>
    <cfRule type="cellIs" dxfId="2571" priority="603" stopIfTrue="1" operator="lessThan">
      <formula>$L$20</formula>
    </cfRule>
  </conditionalFormatting>
  <conditionalFormatting sqref="M21">
    <cfRule type="cellIs" dxfId="2570" priority="604" stopIfTrue="1" operator="equal">
      <formula>$L$21</formula>
    </cfRule>
    <cfRule type="cellIs" dxfId="2569" priority="605" stopIfTrue="1" operator="lessThan">
      <formula>$L$21</formula>
    </cfRule>
  </conditionalFormatting>
  <conditionalFormatting sqref="M22">
    <cfRule type="cellIs" dxfId="2568" priority="606" stopIfTrue="1" operator="equal">
      <formula>$L$22</formula>
    </cfRule>
    <cfRule type="cellIs" dxfId="2567" priority="607" stopIfTrue="1" operator="lessThan">
      <formula>$L$22</formula>
    </cfRule>
  </conditionalFormatting>
  <conditionalFormatting sqref="M23">
    <cfRule type="cellIs" dxfId="2566" priority="608" stopIfTrue="1" operator="equal">
      <formula>$L$23</formula>
    </cfRule>
    <cfRule type="cellIs" dxfId="2565" priority="609" stopIfTrue="1" operator="lessThan">
      <formula>$L$23</formula>
    </cfRule>
  </conditionalFormatting>
  <conditionalFormatting sqref="M24">
    <cfRule type="cellIs" dxfId="2564" priority="610" stopIfTrue="1" operator="equal">
      <formula>$L$24</formula>
    </cfRule>
    <cfRule type="cellIs" dxfId="2563" priority="611" stopIfTrue="1" operator="lessThan">
      <formula>$L$24</formula>
    </cfRule>
  </conditionalFormatting>
  <conditionalFormatting sqref="M25">
    <cfRule type="cellIs" dxfId="2562" priority="612" stopIfTrue="1" operator="equal">
      <formula>$L$25</formula>
    </cfRule>
    <cfRule type="cellIs" dxfId="2561" priority="613" stopIfTrue="1" operator="lessThan">
      <formula>$L$25</formula>
    </cfRule>
  </conditionalFormatting>
  <conditionalFormatting sqref="M26">
    <cfRule type="cellIs" dxfId="2560" priority="614" stopIfTrue="1" operator="equal">
      <formula>$L$26</formula>
    </cfRule>
    <cfRule type="cellIs" dxfId="2559" priority="615" stopIfTrue="1" operator="lessThan">
      <formula>$L$26</formula>
    </cfRule>
  </conditionalFormatting>
  <conditionalFormatting sqref="M27">
    <cfRule type="cellIs" dxfId="2558" priority="616" stopIfTrue="1" operator="equal">
      <formula>$L$27</formula>
    </cfRule>
    <cfRule type="cellIs" dxfId="2557" priority="617" stopIfTrue="1" operator="lessThan">
      <formula>$L$27</formula>
    </cfRule>
  </conditionalFormatting>
  <conditionalFormatting sqref="M28">
    <cfRule type="cellIs" dxfId="2556" priority="618" stopIfTrue="1" operator="equal">
      <formula>$L$28</formula>
    </cfRule>
    <cfRule type="cellIs" dxfId="2555" priority="619" stopIfTrue="1" operator="lessThan">
      <formula>$L$28</formula>
    </cfRule>
  </conditionalFormatting>
  <conditionalFormatting sqref="M29">
    <cfRule type="cellIs" dxfId="2554" priority="620" stopIfTrue="1" operator="equal">
      <formula>$L$29</formula>
    </cfRule>
    <cfRule type="cellIs" dxfId="2553" priority="621" stopIfTrue="1" operator="lessThan">
      <formula>$L$29</formula>
    </cfRule>
  </conditionalFormatting>
  <conditionalFormatting sqref="N4">
    <cfRule type="cellIs" dxfId="2552" priority="622" stopIfTrue="1" operator="equal">
      <formula>$M$4</formula>
    </cfRule>
    <cfRule type="cellIs" dxfId="2551" priority="623" stopIfTrue="1" operator="lessThan">
      <formula>$M$4</formula>
    </cfRule>
  </conditionalFormatting>
  <conditionalFormatting sqref="N5">
    <cfRule type="cellIs" dxfId="2550" priority="624" stopIfTrue="1" operator="equal">
      <formula>$M$5</formula>
    </cfRule>
    <cfRule type="cellIs" dxfId="2549" priority="625" stopIfTrue="1" operator="lessThan">
      <formula>$M$5</formula>
    </cfRule>
  </conditionalFormatting>
  <conditionalFormatting sqref="N6">
    <cfRule type="cellIs" dxfId="2548" priority="626" stopIfTrue="1" operator="equal">
      <formula>$M$6</formula>
    </cfRule>
    <cfRule type="cellIs" dxfId="2547" priority="627" stopIfTrue="1" operator="lessThan">
      <formula>$M$6</formula>
    </cfRule>
  </conditionalFormatting>
  <conditionalFormatting sqref="N7">
    <cfRule type="cellIs" dxfId="2546" priority="628" stopIfTrue="1" operator="equal">
      <formula>$M$7</formula>
    </cfRule>
    <cfRule type="cellIs" dxfId="2545" priority="629" stopIfTrue="1" operator="lessThan">
      <formula>$M$7</formula>
    </cfRule>
  </conditionalFormatting>
  <conditionalFormatting sqref="N8">
    <cfRule type="cellIs" dxfId="2544" priority="630" stopIfTrue="1" operator="equal">
      <formula>$M$8</formula>
    </cfRule>
    <cfRule type="cellIs" dxfId="2543" priority="631" stopIfTrue="1" operator="lessThan">
      <formula>$M$8</formula>
    </cfRule>
  </conditionalFormatting>
  <conditionalFormatting sqref="N9">
    <cfRule type="cellIs" dxfId="2542" priority="632" stopIfTrue="1" operator="equal">
      <formula>$M$9</formula>
    </cfRule>
    <cfRule type="cellIs" dxfId="2541" priority="633" stopIfTrue="1" operator="lessThan">
      <formula>$M$9</formula>
    </cfRule>
  </conditionalFormatting>
  <conditionalFormatting sqref="N10">
    <cfRule type="cellIs" dxfId="2540" priority="634" stopIfTrue="1" operator="equal">
      <formula>$M$10</formula>
    </cfRule>
    <cfRule type="cellIs" dxfId="2539" priority="635" stopIfTrue="1" operator="lessThan">
      <formula>$M$10</formula>
    </cfRule>
  </conditionalFormatting>
  <conditionalFormatting sqref="N11">
    <cfRule type="cellIs" dxfId="2538" priority="636" stopIfTrue="1" operator="equal">
      <formula>$M$11</formula>
    </cfRule>
    <cfRule type="cellIs" dxfId="2537" priority="637" stopIfTrue="1" operator="lessThan">
      <formula>$M$11</formula>
    </cfRule>
  </conditionalFormatting>
  <conditionalFormatting sqref="N12">
    <cfRule type="cellIs" dxfId="2536" priority="638" stopIfTrue="1" operator="equal">
      <formula>$M$12</formula>
    </cfRule>
    <cfRule type="cellIs" dxfId="2535" priority="639" stopIfTrue="1" operator="lessThan">
      <formula>$M$12</formula>
    </cfRule>
  </conditionalFormatting>
  <conditionalFormatting sqref="N13">
    <cfRule type="cellIs" dxfId="2534" priority="640" stopIfTrue="1" operator="equal">
      <formula>$M$13</formula>
    </cfRule>
    <cfRule type="cellIs" dxfId="2533" priority="641" stopIfTrue="1" operator="lessThan">
      <formula>$M$13</formula>
    </cfRule>
  </conditionalFormatting>
  <conditionalFormatting sqref="N14">
    <cfRule type="cellIs" dxfId="2532" priority="642" stopIfTrue="1" operator="equal">
      <formula>$M$14</formula>
    </cfRule>
    <cfRule type="cellIs" dxfId="2531" priority="643" stopIfTrue="1" operator="lessThan">
      <formula>$M$14</formula>
    </cfRule>
  </conditionalFormatting>
  <conditionalFormatting sqref="N15">
    <cfRule type="cellIs" dxfId="2530" priority="644" stopIfTrue="1" operator="equal">
      <formula>$M$15</formula>
    </cfRule>
    <cfRule type="cellIs" dxfId="2529" priority="645" stopIfTrue="1" operator="lessThan">
      <formula>$M$15</formula>
    </cfRule>
  </conditionalFormatting>
  <conditionalFormatting sqref="N16">
    <cfRule type="cellIs" dxfId="2528" priority="646" stopIfTrue="1" operator="equal">
      <formula>$M$16</formula>
    </cfRule>
    <cfRule type="cellIs" dxfId="2527" priority="647" stopIfTrue="1" operator="lessThan">
      <formula>$M$16</formula>
    </cfRule>
  </conditionalFormatting>
  <conditionalFormatting sqref="N17">
    <cfRule type="cellIs" dxfId="2526" priority="648" stopIfTrue="1" operator="equal">
      <formula>$M$17</formula>
    </cfRule>
    <cfRule type="cellIs" dxfId="2525" priority="649" stopIfTrue="1" operator="lessThan">
      <formula>$M$17</formula>
    </cfRule>
  </conditionalFormatting>
  <conditionalFormatting sqref="N18">
    <cfRule type="cellIs" dxfId="2524" priority="650" stopIfTrue="1" operator="equal">
      <formula>$M$18</formula>
    </cfRule>
    <cfRule type="cellIs" dxfId="2523" priority="651" stopIfTrue="1" operator="lessThan">
      <formula>$M$18</formula>
    </cfRule>
  </conditionalFormatting>
  <conditionalFormatting sqref="N19">
    <cfRule type="cellIs" dxfId="2522" priority="652" stopIfTrue="1" operator="equal">
      <formula>$M$19</formula>
    </cfRule>
    <cfRule type="cellIs" dxfId="2521" priority="653" stopIfTrue="1" operator="lessThan">
      <formula>$M$19</formula>
    </cfRule>
  </conditionalFormatting>
  <conditionalFormatting sqref="N20">
    <cfRule type="cellIs" dxfId="2520" priority="654" stopIfTrue="1" operator="equal">
      <formula>$M$20</formula>
    </cfRule>
    <cfRule type="cellIs" dxfId="2519" priority="655" stopIfTrue="1" operator="lessThan">
      <formula>$M$20</formula>
    </cfRule>
  </conditionalFormatting>
  <conditionalFormatting sqref="N21">
    <cfRule type="cellIs" dxfId="2518" priority="656" stopIfTrue="1" operator="equal">
      <formula>$M$21</formula>
    </cfRule>
    <cfRule type="cellIs" dxfId="2517" priority="657" stopIfTrue="1" operator="lessThan">
      <formula>$M$21</formula>
    </cfRule>
  </conditionalFormatting>
  <conditionalFormatting sqref="N22">
    <cfRule type="cellIs" dxfId="2516" priority="658" stopIfTrue="1" operator="equal">
      <formula>$M$22</formula>
    </cfRule>
    <cfRule type="cellIs" dxfId="2515" priority="659" stopIfTrue="1" operator="lessThan">
      <formula>$M$22</formula>
    </cfRule>
  </conditionalFormatting>
  <conditionalFormatting sqref="N23">
    <cfRule type="cellIs" dxfId="2514" priority="660" stopIfTrue="1" operator="equal">
      <formula>$M$23</formula>
    </cfRule>
    <cfRule type="cellIs" dxfId="2513" priority="661" stopIfTrue="1" operator="lessThan">
      <formula>$M$23</formula>
    </cfRule>
  </conditionalFormatting>
  <conditionalFormatting sqref="N24">
    <cfRule type="cellIs" dxfId="2512" priority="662" stopIfTrue="1" operator="equal">
      <formula>$M$24</formula>
    </cfRule>
    <cfRule type="cellIs" dxfId="2511" priority="663" stopIfTrue="1" operator="lessThan">
      <formula>$M$24</formula>
    </cfRule>
  </conditionalFormatting>
  <conditionalFormatting sqref="N25">
    <cfRule type="cellIs" dxfId="2510" priority="664" stopIfTrue="1" operator="equal">
      <formula>$M$25</formula>
    </cfRule>
    <cfRule type="cellIs" dxfId="2509" priority="665" stopIfTrue="1" operator="lessThan">
      <formula>$M$25</formula>
    </cfRule>
  </conditionalFormatting>
  <conditionalFormatting sqref="N26">
    <cfRule type="cellIs" dxfId="2508" priority="666" stopIfTrue="1" operator="equal">
      <formula>$M$26</formula>
    </cfRule>
    <cfRule type="cellIs" dxfId="2507" priority="667" stopIfTrue="1" operator="lessThan">
      <formula>$M$26</formula>
    </cfRule>
  </conditionalFormatting>
  <conditionalFormatting sqref="N27">
    <cfRule type="cellIs" dxfId="2506" priority="668" stopIfTrue="1" operator="equal">
      <formula>$M$27</formula>
    </cfRule>
    <cfRule type="cellIs" dxfId="2505" priority="669" stopIfTrue="1" operator="lessThan">
      <formula>$M$27</formula>
    </cfRule>
  </conditionalFormatting>
  <conditionalFormatting sqref="N28">
    <cfRule type="cellIs" dxfId="2504" priority="670" stopIfTrue="1" operator="equal">
      <formula>$M$28</formula>
    </cfRule>
    <cfRule type="cellIs" dxfId="2503" priority="671" stopIfTrue="1" operator="lessThan">
      <formula>$M$28</formula>
    </cfRule>
  </conditionalFormatting>
  <conditionalFormatting sqref="N29">
    <cfRule type="cellIs" dxfId="2502" priority="672" stopIfTrue="1" operator="equal">
      <formula>$M$29</formula>
    </cfRule>
    <cfRule type="cellIs" dxfId="2501" priority="673" stopIfTrue="1" operator="lessThan">
      <formula>$M$29</formula>
    </cfRule>
  </conditionalFormatting>
  <conditionalFormatting sqref="O4">
    <cfRule type="cellIs" dxfId="2500" priority="675" stopIfTrue="1" operator="lessThan">
      <formula>$N$4</formula>
    </cfRule>
  </conditionalFormatting>
  <conditionalFormatting sqref="O5">
    <cfRule type="cellIs" dxfId="2499" priority="676" stopIfTrue="1" operator="equal">
      <formula>$N$5</formula>
    </cfRule>
    <cfRule type="cellIs" dxfId="2498" priority="677" stopIfTrue="1" operator="lessThan">
      <formula>$N$5</formula>
    </cfRule>
  </conditionalFormatting>
  <conditionalFormatting sqref="O6">
    <cfRule type="cellIs" dxfId="2497" priority="678" stopIfTrue="1" operator="equal">
      <formula>$N$6</formula>
    </cfRule>
    <cfRule type="cellIs" dxfId="2496" priority="679" stopIfTrue="1" operator="lessThan">
      <formula>$N$6</formula>
    </cfRule>
  </conditionalFormatting>
  <conditionalFormatting sqref="O7">
    <cfRule type="cellIs" dxfId="2495" priority="680" stopIfTrue="1" operator="equal">
      <formula>$N$7</formula>
    </cfRule>
    <cfRule type="cellIs" dxfId="2494" priority="681" stopIfTrue="1" operator="lessThan">
      <formula>$N$7</formula>
    </cfRule>
  </conditionalFormatting>
  <conditionalFormatting sqref="O8">
    <cfRule type="cellIs" dxfId="2493" priority="682" stopIfTrue="1" operator="equal">
      <formula>$N$8</formula>
    </cfRule>
    <cfRule type="cellIs" dxfId="2492" priority="683" stopIfTrue="1" operator="lessThan">
      <formula>$N$8</formula>
    </cfRule>
  </conditionalFormatting>
  <conditionalFormatting sqref="O9">
    <cfRule type="cellIs" dxfId="2491" priority="684" stopIfTrue="1" operator="equal">
      <formula>$N$9</formula>
    </cfRule>
    <cfRule type="cellIs" dxfId="2490" priority="685" stopIfTrue="1" operator="lessThan">
      <formula>$N$9</formula>
    </cfRule>
  </conditionalFormatting>
  <conditionalFormatting sqref="O10">
    <cfRule type="cellIs" dxfId="2489" priority="686" stopIfTrue="1" operator="equal">
      <formula>$N$10</formula>
    </cfRule>
    <cfRule type="cellIs" dxfId="2488" priority="687" stopIfTrue="1" operator="lessThan">
      <formula>$N$10</formula>
    </cfRule>
  </conditionalFormatting>
  <conditionalFormatting sqref="O11">
    <cfRule type="cellIs" dxfId="2487" priority="688" stopIfTrue="1" operator="equal">
      <formula>$N$11</formula>
    </cfRule>
    <cfRule type="cellIs" dxfId="2486" priority="689" stopIfTrue="1" operator="lessThan">
      <formula>$N$11</formula>
    </cfRule>
  </conditionalFormatting>
  <conditionalFormatting sqref="O12">
    <cfRule type="cellIs" dxfId="2485" priority="690" stopIfTrue="1" operator="equal">
      <formula>$N$12</formula>
    </cfRule>
    <cfRule type="cellIs" dxfId="2484" priority="691" stopIfTrue="1" operator="lessThan">
      <formula>$N$12</formula>
    </cfRule>
  </conditionalFormatting>
  <conditionalFormatting sqref="O13">
    <cfRule type="cellIs" dxfId="2483" priority="692" stopIfTrue="1" operator="equal">
      <formula>$N$13</formula>
    </cfRule>
    <cfRule type="cellIs" dxfId="2482" priority="693" stopIfTrue="1" operator="lessThan">
      <formula>$N$13</formula>
    </cfRule>
  </conditionalFormatting>
  <conditionalFormatting sqref="O14">
    <cfRule type="cellIs" dxfId="2481" priority="694" stopIfTrue="1" operator="equal">
      <formula>$N$14</formula>
    </cfRule>
    <cfRule type="cellIs" dxfId="2480" priority="695" stopIfTrue="1" operator="lessThan">
      <formula>$N$14</formula>
    </cfRule>
  </conditionalFormatting>
  <conditionalFormatting sqref="O15">
    <cfRule type="cellIs" dxfId="2479" priority="696" stopIfTrue="1" operator="equal">
      <formula>$N$15</formula>
    </cfRule>
    <cfRule type="cellIs" dxfId="2478" priority="697" stopIfTrue="1" operator="lessThan">
      <formula>$N$15</formula>
    </cfRule>
  </conditionalFormatting>
  <conditionalFormatting sqref="O16">
    <cfRule type="cellIs" dxfId="2477" priority="698" stopIfTrue="1" operator="equal">
      <formula>$N$16</formula>
    </cfRule>
    <cfRule type="cellIs" dxfId="2476" priority="699" stopIfTrue="1" operator="lessThan">
      <formula>$N$16</formula>
    </cfRule>
  </conditionalFormatting>
  <conditionalFormatting sqref="O17">
    <cfRule type="cellIs" dxfId="2475" priority="700" stopIfTrue="1" operator="equal">
      <formula>$N$17</formula>
    </cfRule>
    <cfRule type="cellIs" dxfId="2474" priority="701" stopIfTrue="1" operator="lessThan">
      <formula>$N$17</formula>
    </cfRule>
  </conditionalFormatting>
  <conditionalFormatting sqref="O18">
    <cfRule type="cellIs" dxfId="2473" priority="702" stopIfTrue="1" operator="equal">
      <formula>$N$18</formula>
    </cfRule>
    <cfRule type="cellIs" dxfId="2472" priority="703" stopIfTrue="1" operator="lessThan">
      <formula>$N$18</formula>
    </cfRule>
  </conditionalFormatting>
  <conditionalFormatting sqref="O19">
    <cfRule type="cellIs" dxfId="2471" priority="704" stopIfTrue="1" operator="equal">
      <formula>$N$19</formula>
    </cfRule>
    <cfRule type="cellIs" dxfId="2470" priority="705" stopIfTrue="1" operator="lessThan">
      <formula>$N$19</formula>
    </cfRule>
  </conditionalFormatting>
  <conditionalFormatting sqref="O20">
    <cfRule type="cellIs" dxfId="2469" priority="706" stopIfTrue="1" operator="equal">
      <formula>$N$20</formula>
    </cfRule>
    <cfRule type="cellIs" dxfId="2468" priority="707" stopIfTrue="1" operator="lessThan">
      <formula>$N$20</formula>
    </cfRule>
  </conditionalFormatting>
  <conditionalFormatting sqref="O21">
    <cfRule type="cellIs" dxfId="2467" priority="708" stopIfTrue="1" operator="equal">
      <formula>$N$21</formula>
    </cfRule>
    <cfRule type="cellIs" dxfId="2466" priority="709" stopIfTrue="1" operator="lessThan">
      <formula>$N$21</formula>
    </cfRule>
  </conditionalFormatting>
  <conditionalFormatting sqref="O22">
    <cfRule type="cellIs" dxfId="2465" priority="710" stopIfTrue="1" operator="equal">
      <formula>$N$22</formula>
    </cfRule>
    <cfRule type="cellIs" dxfId="2464" priority="711" stopIfTrue="1" operator="lessThan">
      <formula>$N$22</formula>
    </cfRule>
  </conditionalFormatting>
  <conditionalFormatting sqref="O23">
    <cfRule type="cellIs" dxfId="2463" priority="712" stopIfTrue="1" operator="equal">
      <formula>$N$23</formula>
    </cfRule>
    <cfRule type="cellIs" dxfId="2462" priority="713" stopIfTrue="1" operator="lessThan">
      <formula>$N$23</formula>
    </cfRule>
  </conditionalFormatting>
  <conditionalFormatting sqref="O24">
    <cfRule type="cellIs" dxfId="2461" priority="714" stopIfTrue="1" operator="equal">
      <formula>$N$24</formula>
    </cfRule>
    <cfRule type="cellIs" dxfId="2460" priority="715" stopIfTrue="1" operator="lessThan">
      <formula>$N$24</formula>
    </cfRule>
  </conditionalFormatting>
  <conditionalFormatting sqref="O25">
    <cfRule type="cellIs" dxfId="2459" priority="716" stopIfTrue="1" operator="equal">
      <formula>$N$25</formula>
    </cfRule>
    <cfRule type="cellIs" dxfId="2458" priority="717" stopIfTrue="1" operator="lessThan">
      <formula>$N$25</formula>
    </cfRule>
  </conditionalFormatting>
  <conditionalFormatting sqref="O26">
    <cfRule type="cellIs" dxfId="2457" priority="718" stopIfTrue="1" operator="equal">
      <formula>$N$26</formula>
    </cfRule>
    <cfRule type="cellIs" dxfId="2456" priority="719" stopIfTrue="1" operator="lessThan">
      <formula>$N$26</formula>
    </cfRule>
  </conditionalFormatting>
  <conditionalFormatting sqref="O27">
    <cfRule type="cellIs" dxfId="2455" priority="720" stopIfTrue="1" operator="equal">
      <formula>$N$27</formula>
    </cfRule>
    <cfRule type="cellIs" dxfId="2454" priority="721" stopIfTrue="1" operator="lessThan">
      <formula>$N$27</formula>
    </cfRule>
  </conditionalFormatting>
  <conditionalFormatting sqref="O28">
    <cfRule type="cellIs" dxfId="2453" priority="722" stopIfTrue="1" operator="equal">
      <formula>$N$28</formula>
    </cfRule>
    <cfRule type="cellIs" dxfId="2452" priority="723" stopIfTrue="1" operator="lessThan">
      <formula>$N$28</formula>
    </cfRule>
  </conditionalFormatting>
  <conditionalFormatting sqref="O29">
    <cfRule type="cellIs" dxfId="2451" priority="724" stopIfTrue="1" operator="equal">
      <formula>$N$29</formula>
    </cfRule>
    <cfRule type="cellIs" dxfId="2450" priority="725" stopIfTrue="1" operator="lessThan">
      <formula>$N$29</formula>
    </cfRule>
  </conditionalFormatting>
  <conditionalFormatting sqref="U4:AF33">
    <cfRule type="cellIs" dxfId="2449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scale="97" firstPageNumber="0" orientation="landscape" r:id="rId1"/>
  <headerFooter alignWithMargins="0"/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4"/>
  <sheetViews>
    <sheetView workbookViewId="0">
      <selection activeCell="P26" sqref="P26"/>
    </sheetView>
  </sheetViews>
  <sheetFormatPr defaultRowHeight="14.5" x14ac:dyDescent="0.35"/>
  <cols>
    <col min="1" max="1" width="8.54296875" customWidth="1"/>
    <col min="2" max="2" width="26.1796875" customWidth="1"/>
    <col min="3" max="15" width="10.1796875" customWidth="1"/>
    <col min="16" max="16" width="9.54296875" customWidth="1"/>
    <col min="17" max="17" width="9.81640625" bestFit="1" customWidth="1"/>
    <col min="18" max="18" width="9.26953125" bestFit="1" customWidth="1"/>
    <col min="19" max="19" width="4" customWidth="1"/>
  </cols>
  <sheetData>
    <row r="1" spans="1:32" ht="15" thickBot="1" x14ac:dyDescent="0.4"/>
    <row r="2" spans="1:32" s="1" customFormat="1" ht="21" customHeight="1" thickBot="1" x14ac:dyDescent="0.55000000000000004">
      <c r="A2" s="113">
        <v>1854</v>
      </c>
      <c r="B2" s="2"/>
      <c r="C2" s="3">
        <f>'1850'!C2</f>
        <v>45292</v>
      </c>
      <c r="D2" s="3">
        <f>'1850'!D2</f>
        <v>45323</v>
      </c>
      <c r="E2" s="3">
        <f>'1850'!E2</f>
        <v>45352</v>
      </c>
      <c r="F2" s="3">
        <f>'1850'!F2</f>
        <v>45383</v>
      </c>
      <c r="G2" s="3">
        <f>'1850'!G2</f>
        <v>45413</v>
      </c>
      <c r="H2" s="3">
        <f>'1850'!H2</f>
        <v>45444</v>
      </c>
      <c r="I2" s="3">
        <f>'1850'!I2</f>
        <v>45474</v>
      </c>
      <c r="J2" s="3">
        <f>'1850'!J2</f>
        <v>45505</v>
      </c>
      <c r="K2" s="3">
        <f>'1850'!K2</f>
        <v>45536</v>
      </c>
      <c r="L2" s="3">
        <f>'1850'!L2</f>
        <v>45566</v>
      </c>
      <c r="M2" s="3">
        <f>'1850'!M2</f>
        <v>45597</v>
      </c>
      <c r="N2" s="3">
        <f>'1850'!N2</f>
        <v>45628</v>
      </c>
      <c r="O2" s="3">
        <f>'1850'!O2</f>
        <v>45658</v>
      </c>
      <c r="P2" s="1" t="s">
        <v>0</v>
      </c>
      <c r="Q2" s="1" t="s">
        <v>1</v>
      </c>
      <c r="R2" s="1" t="s">
        <v>27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93">
        <v>1</v>
      </c>
      <c r="B4" s="6" t="s">
        <v>157</v>
      </c>
      <c r="C4" s="7">
        <v>325.99599999999998</v>
      </c>
      <c r="D4" s="7">
        <v>328.52699999999999</v>
      </c>
      <c r="E4" s="7">
        <v>331.03699999999998</v>
      </c>
      <c r="F4" s="7">
        <v>333.661</v>
      </c>
      <c r="G4" s="7">
        <v>336.39600000000002</v>
      </c>
      <c r="H4" s="7">
        <v>339.07299999999998</v>
      </c>
      <c r="I4" s="7">
        <v>341.33800000000002</v>
      </c>
      <c r="J4" s="7">
        <v>343.28</v>
      </c>
      <c r="K4" s="7">
        <v>345.06599999999997</v>
      </c>
      <c r="L4" s="8">
        <v>347.73700000000002</v>
      </c>
      <c r="M4" s="7">
        <v>349.90499999999997</v>
      </c>
      <c r="N4" s="7">
        <v>352.01</v>
      </c>
      <c r="O4" s="7">
        <v>2.875</v>
      </c>
      <c r="P4" s="9">
        <f>O4+N4-C4</f>
        <v>28.88900000000001</v>
      </c>
      <c r="T4" s="1">
        <v>1</v>
      </c>
      <c r="U4" s="145">
        <f t="shared" ref="U4:AF4" si="0">D4-C4</f>
        <v>2.5310000000000059</v>
      </c>
      <c r="V4" s="145">
        <f t="shared" si="0"/>
        <v>2.5099999999999909</v>
      </c>
      <c r="W4" s="145">
        <f t="shared" si="0"/>
        <v>2.6240000000000236</v>
      </c>
      <c r="X4" s="145">
        <f t="shared" si="0"/>
        <v>2.7350000000000136</v>
      </c>
      <c r="Y4" s="145">
        <f t="shared" si="0"/>
        <v>2.6769999999999641</v>
      </c>
      <c r="Z4" s="145">
        <f t="shared" si="0"/>
        <v>2.2650000000000432</v>
      </c>
      <c r="AA4" s="145">
        <f t="shared" si="0"/>
        <v>1.9419999999999504</v>
      </c>
      <c r="AB4" s="145">
        <f t="shared" si="0"/>
        <v>1.7860000000000014</v>
      </c>
      <c r="AC4" s="145">
        <f t="shared" si="0"/>
        <v>2.6710000000000491</v>
      </c>
      <c r="AD4" s="145">
        <f t="shared" si="0"/>
        <v>2.1679999999999495</v>
      </c>
      <c r="AE4" s="145">
        <f t="shared" si="0"/>
        <v>2.1050000000000182</v>
      </c>
      <c r="AF4" s="145">
        <f>O4</f>
        <v>2.875</v>
      </c>
    </row>
    <row r="5" spans="1:32" x14ac:dyDescent="0.35">
      <c r="A5" s="293"/>
      <c r="B5" s="10" t="s">
        <v>342</v>
      </c>
      <c r="C5" s="11">
        <v>50.515000000000001</v>
      </c>
      <c r="D5" s="11">
        <v>54.441000000000003</v>
      </c>
      <c r="E5" s="11">
        <v>57.164999999999999</v>
      </c>
      <c r="F5" s="11">
        <v>59.375999999999998</v>
      </c>
      <c r="G5" s="11">
        <v>60.59</v>
      </c>
      <c r="H5" s="11">
        <v>60.859000000000002</v>
      </c>
      <c r="I5" s="11">
        <v>61.069000000000003</v>
      </c>
      <c r="J5" s="11">
        <v>61.252000000000002</v>
      </c>
      <c r="K5" s="11">
        <v>61.418999999999997</v>
      </c>
      <c r="L5" s="12">
        <v>61.639000000000003</v>
      </c>
      <c r="M5" s="11">
        <v>62.884</v>
      </c>
      <c r="N5" s="11">
        <v>65.734999999999999</v>
      </c>
      <c r="O5" s="11">
        <v>69.397999999999996</v>
      </c>
      <c r="P5" s="9"/>
      <c r="Q5" s="9">
        <f>O5-C5</f>
        <v>18.882999999999996</v>
      </c>
      <c r="T5" s="1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</row>
    <row r="6" spans="1:32" x14ac:dyDescent="0.35">
      <c r="A6" s="294">
        <v>2</v>
      </c>
      <c r="B6" s="10" t="s">
        <v>158</v>
      </c>
      <c r="C6" s="11">
        <v>266.56599999999997</v>
      </c>
      <c r="D6" s="11">
        <v>272.14</v>
      </c>
      <c r="E6" s="11">
        <v>276.01400000000001</v>
      </c>
      <c r="F6" s="11">
        <v>282.53500000000003</v>
      </c>
      <c r="G6" s="11">
        <v>287.05799999999999</v>
      </c>
      <c r="H6" s="11">
        <v>293.76799999999997</v>
      </c>
      <c r="I6" s="11">
        <v>299.90199999999999</v>
      </c>
      <c r="J6" s="11">
        <v>305.20499999999998</v>
      </c>
      <c r="K6" s="11">
        <v>310.87700000000001</v>
      </c>
      <c r="L6" s="11">
        <v>317.43400000000003</v>
      </c>
      <c r="M6" s="11">
        <v>324.25599999999997</v>
      </c>
      <c r="N6" s="11">
        <v>329.88</v>
      </c>
      <c r="O6" s="11">
        <v>5.8</v>
      </c>
      <c r="P6" s="9">
        <f t="shared" ref="P6" si="1">O6+N6-C6</f>
        <v>69.114000000000033</v>
      </c>
      <c r="T6" s="1">
        <v>2</v>
      </c>
      <c r="U6" s="147">
        <f t="shared" ref="U6:AF6" si="2">D6-C6</f>
        <v>5.5740000000000123</v>
      </c>
      <c r="V6" s="147">
        <f t="shared" si="2"/>
        <v>3.8740000000000236</v>
      </c>
      <c r="W6" s="147">
        <f t="shared" si="2"/>
        <v>6.521000000000015</v>
      </c>
      <c r="X6" s="147">
        <f t="shared" si="2"/>
        <v>4.5229999999999677</v>
      </c>
      <c r="Y6" s="147">
        <f t="shared" si="2"/>
        <v>6.7099999999999795</v>
      </c>
      <c r="Z6" s="147">
        <f t="shared" si="2"/>
        <v>6.1340000000000146</v>
      </c>
      <c r="AA6" s="147">
        <f t="shared" si="2"/>
        <v>5.3029999999999973</v>
      </c>
      <c r="AB6" s="147">
        <f t="shared" si="2"/>
        <v>5.6720000000000255</v>
      </c>
      <c r="AC6" s="147">
        <f t="shared" si="2"/>
        <v>6.5570000000000164</v>
      </c>
      <c r="AD6" s="147">
        <f t="shared" si="2"/>
        <v>6.8219999999999459</v>
      </c>
      <c r="AE6" s="147">
        <f t="shared" si="2"/>
        <v>5.6240000000000236</v>
      </c>
      <c r="AF6" s="147">
        <f>O6</f>
        <v>5.8</v>
      </c>
    </row>
    <row r="7" spans="1:32" x14ac:dyDescent="0.35">
      <c r="A7" s="294"/>
      <c r="B7" s="10" t="s">
        <v>343</v>
      </c>
      <c r="C7" s="11">
        <v>72.397000000000006</v>
      </c>
      <c r="D7" s="11">
        <v>78.843000000000004</v>
      </c>
      <c r="E7" s="11">
        <v>82.656999999999996</v>
      </c>
      <c r="F7" s="11">
        <v>85.796000000000006</v>
      </c>
      <c r="G7" s="11">
        <v>87.629000000000005</v>
      </c>
      <c r="H7" s="11">
        <v>88.355000000000004</v>
      </c>
      <c r="I7" s="11">
        <v>88.921999999999997</v>
      </c>
      <c r="J7" s="11">
        <v>89.268000000000001</v>
      </c>
      <c r="K7" s="11">
        <v>89.623000000000005</v>
      </c>
      <c r="L7" s="11">
        <v>90.049000000000007</v>
      </c>
      <c r="M7" s="11">
        <v>92.236999999999995</v>
      </c>
      <c r="N7" s="11">
        <v>96.864000000000004</v>
      </c>
      <c r="O7" s="11">
        <v>102.54300000000001</v>
      </c>
      <c r="P7" s="9"/>
      <c r="Q7" s="9">
        <f>O7-C7</f>
        <v>30.146000000000001</v>
      </c>
      <c r="T7" s="1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</row>
    <row r="8" spans="1:32" x14ac:dyDescent="0.35">
      <c r="A8" s="294">
        <v>3</v>
      </c>
      <c r="B8" s="10" t="s">
        <v>159</v>
      </c>
      <c r="C8" s="11">
        <v>349.84800000000001</v>
      </c>
      <c r="D8" s="11">
        <v>354.79899999999998</v>
      </c>
      <c r="E8" s="11">
        <v>359.79199999999997</v>
      </c>
      <c r="F8" s="11">
        <v>366.14800000000002</v>
      </c>
      <c r="G8" s="11">
        <v>371.5</v>
      </c>
      <c r="H8" s="11">
        <v>376.71699999999998</v>
      </c>
      <c r="I8" s="11">
        <v>382.85300000000001</v>
      </c>
      <c r="J8" s="11">
        <v>388.63400000000001</v>
      </c>
      <c r="K8" s="11">
        <v>394.88799999999998</v>
      </c>
      <c r="L8" s="11">
        <v>399.738</v>
      </c>
      <c r="M8" s="11">
        <v>404.98700000000002</v>
      </c>
      <c r="N8" s="11">
        <v>409.11</v>
      </c>
      <c r="O8" s="11">
        <v>5.6379999999999999</v>
      </c>
      <c r="P8" s="9">
        <f t="shared" ref="P8" si="3">O8+N8-C8</f>
        <v>64.899999999999977</v>
      </c>
      <c r="T8" s="1">
        <v>3</v>
      </c>
      <c r="U8" s="147">
        <f t="shared" ref="U8:AF8" si="4">D8-C8</f>
        <v>4.950999999999965</v>
      </c>
      <c r="V8" s="147">
        <f t="shared" si="4"/>
        <v>4.992999999999995</v>
      </c>
      <c r="W8" s="147">
        <f t="shared" si="4"/>
        <v>6.3560000000000514</v>
      </c>
      <c r="X8" s="147">
        <f t="shared" si="4"/>
        <v>5.3519999999999754</v>
      </c>
      <c r="Y8" s="147">
        <f t="shared" si="4"/>
        <v>5.2169999999999845</v>
      </c>
      <c r="Z8" s="147">
        <f t="shared" si="4"/>
        <v>6.1360000000000241</v>
      </c>
      <c r="AA8" s="147">
        <f t="shared" si="4"/>
        <v>5.7810000000000059</v>
      </c>
      <c r="AB8" s="147">
        <f t="shared" si="4"/>
        <v>6.2539999999999623</v>
      </c>
      <c r="AC8" s="147">
        <f t="shared" si="4"/>
        <v>4.8500000000000227</v>
      </c>
      <c r="AD8" s="147">
        <f t="shared" si="4"/>
        <v>5.2490000000000236</v>
      </c>
      <c r="AE8" s="147">
        <f t="shared" si="4"/>
        <v>4.1229999999999905</v>
      </c>
      <c r="AF8" s="147">
        <f t="shared" ref="AF8:AF22" si="5">O8</f>
        <v>5.6379999999999999</v>
      </c>
    </row>
    <row r="9" spans="1:32" x14ac:dyDescent="0.35">
      <c r="A9" s="294"/>
      <c r="B9" s="10" t="s">
        <v>344</v>
      </c>
      <c r="C9" s="11">
        <v>80.77</v>
      </c>
      <c r="D9" s="11">
        <v>87.89</v>
      </c>
      <c r="E9" s="11">
        <v>93.203999999999994</v>
      </c>
      <c r="F9" s="11">
        <v>97.841999999999999</v>
      </c>
      <c r="G9" s="11">
        <v>100.887</v>
      </c>
      <c r="H9" s="11">
        <v>101.548</v>
      </c>
      <c r="I9" s="11">
        <v>101.867</v>
      </c>
      <c r="J9" s="11">
        <v>102.116</v>
      </c>
      <c r="K9" s="11">
        <v>102.34</v>
      </c>
      <c r="L9" s="11">
        <v>102.80200000000001</v>
      </c>
      <c r="M9" s="11">
        <v>105.44</v>
      </c>
      <c r="N9" s="11">
        <v>111.102</v>
      </c>
      <c r="O9" s="11">
        <v>117.96</v>
      </c>
      <c r="P9" s="9"/>
      <c r="Q9" s="9">
        <f>O9-C9</f>
        <v>37.19</v>
      </c>
      <c r="T9" s="1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</row>
    <row r="10" spans="1:32" x14ac:dyDescent="0.35">
      <c r="A10" s="294">
        <v>4</v>
      </c>
      <c r="B10" s="10" t="s">
        <v>160</v>
      </c>
      <c r="C10" s="11">
        <v>331.89</v>
      </c>
      <c r="D10" s="11">
        <v>339.34399999999999</v>
      </c>
      <c r="E10" s="11">
        <v>347.04500000000002</v>
      </c>
      <c r="F10" s="11">
        <v>355.69</v>
      </c>
      <c r="G10" s="11">
        <v>363.03800000000001</v>
      </c>
      <c r="H10" s="11">
        <v>370.42</v>
      </c>
      <c r="I10" s="11">
        <v>377.37799999999999</v>
      </c>
      <c r="J10" s="11">
        <v>384.55200000000002</v>
      </c>
      <c r="K10" s="11">
        <v>391.38600000000002</v>
      </c>
      <c r="L10" s="11">
        <v>397.75799999999998</v>
      </c>
      <c r="M10" s="11">
        <v>403.50599999999997</v>
      </c>
      <c r="N10" s="11">
        <v>409.56</v>
      </c>
      <c r="O10" s="11">
        <v>7.6660000000000004</v>
      </c>
      <c r="P10" s="9">
        <f t="shared" ref="P10" si="6">O10+N10-C10</f>
        <v>85.336000000000013</v>
      </c>
      <c r="T10" s="1">
        <v>4</v>
      </c>
      <c r="U10" s="147">
        <f t="shared" ref="U10:AF10" si="7">D10-C10</f>
        <v>7.4540000000000077</v>
      </c>
      <c r="V10" s="147">
        <f t="shared" si="7"/>
        <v>7.7010000000000218</v>
      </c>
      <c r="W10" s="147">
        <f t="shared" si="7"/>
        <v>8.6449999999999818</v>
      </c>
      <c r="X10" s="147">
        <f t="shared" si="7"/>
        <v>7.3480000000000132</v>
      </c>
      <c r="Y10" s="147">
        <f t="shared" si="7"/>
        <v>7.382000000000005</v>
      </c>
      <c r="Z10" s="147">
        <f t="shared" si="7"/>
        <v>6.95799999999997</v>
      </c>
      <c r="AA10" s="147">
        <f t="shared" si="7"/>
        <v>7.174000000000035</v>
      </c>
      <c r="AB10" s="147">
        <f t="shared" si="7"/>
        <v>6.8340000000000032</v>
      </c>
      <c r="AC10" s="147">
        <f t="shared" si="7"/>
        <v>6.3719999999999573</v>
      </c>
      <c r="AD10" s="147">
        <f t="shared" si="7"/>
        <v>5.7479999999999905</v>
      </c>
      <c r="AE10" s="147">
        <f t="shared" si="7"/>
        <v>6.0540000000000305</v>
      </c>
      <c r="AF10" s="147">
        <f t="shared" ref="AF10:AF22" si="8">O10</f>
        <v>7.6660000000000004</v>
      </c>
    </row>
    <row r="11" spans="1:32" x14ac:dyDescent="0.35">
      <c r="A11" s="294"/>
      <c r="B11" s="10" t="s">
        <v>345</v>
      </c>
      <c r="C11" s="11">
        <v>24.163</v>
      </c>
      <c r="D11" s="11">
        <v>25.936</v>
      </c>
      <c r="E11" s="11">
        <v>26.626000000000001</v>
      </c>
      <c r="F11" s="11">
        <v>27.158000000000001</v>
      </c>
      <c r="G11" s="11">
        <v>27.634</v>
      </c>
      <c r="H11" s="11">
        <v>28.091000000000001</v>
      </c>
      <c r="I11" s="11">
        <v>28.477</v>
      </c>
      <c r="J11" s="11">
        <v>28.838000000000001</v>
      </c>
      <c r="K11" s="11">
        <v>29.138000000000002</v>
      </c>
      <c r="L11" s="11">
        <v>29.475000000000001</v>
      </c>
      <c r="M11" s="11">
        <v>29.783999999999999</v>
      </c>
      <c r="N11" s="11">
        <v>30.646999999999998</v>
      </c>
      <c r="O11" s="11">
        <v>31.658000000000001</v>
      </c>
      <c r="P11" s="9"/>
      <c r="Q11" s="9">
        <f>O11-C11</f>
        <v>7.495000000000001</v>
      </c>
      <c r="T11" s="1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</row>
    <row r="12" spans="1:32" x14ac:dyDescent="0.35">
      <c r="A12" s="294">
        <v>5</v>
      </c>
      <c r="B12" s="10" t="s">
        <v>403</v>
      </c>
      <c r="C12" s="11">
        <v>0.64300000000000002</v>
      </c>
      <c r="D12" s="11">
        <v>0.76</v>
      </c>
      <c r="E12" s="11">
        <v>1.014</v>
      </c>
      <c r="F12" s="11">
        <v>1.0589999999999999</v>
      </c>
      <c r="G12" s="11">
        <v>1.216</v>
      </c>
      <c r="H12" s="11">
        <v>1.248</v>
      </c>
      <c r="I12" s="11">
        <v>1.474</v>
      </c>
      <c r="J12" s="11">
        <v>1.5229999999999999</v>
      </c>
      <c r="K12" s="11">
        <v>1.5509999999999999</v>
      </c>
      <c r="L12" s="11">
        <v>1.579</v>
      </c>
      <c r="M12" s="11">
        <v>1.851</v>
      </c>
      <c r="N12" s="11">
        <v>1.851</v>
      </c>
      <c r="O12" s="11">
        <v>5.7000000000000002E-2</v>
      </c>
      <c r="P12" s="9">
        <f t="shared" ref="P12" si="9">O12+N12-C12</f>
        <v>1.2649999999999999</v>
      </c>
      <c r="T12" s="1">
        <v>5</v>
      </c>
      <c r="U12" s="147">
        <f t="shared" ref="U12:AD12" si="10">D12-C12</f>
        <v>0.11699999999999999</v>
      </c>
      <c r="V12" s="147">
        <f t="shared" si="10"/>
        <v>0.254</v>
      </c>
      <c r="W12" s="147">
        <f t="shared" si="10"/>
        <v>4.4999999999999929E-2</v>
      </c>
      <c r="X12" s="147">
        <f t="shared" si="10"/>
        <v>0.15700000000000003</v>
      </c>
      <c r="Y12" s="147">
        <f t="shared" si="10"/>
        <v>3.2000000000000028E-2</v>
      </c>
      <c r="Z12" s="147">
        <f t="shared" si="10"/>
        <v>0.22599999999999998</v>
      </c>
      <c r="AA12" s="147">
        <f t="shared" si="10"/>
        <v>4.8999999999999932E-2</v>
      </c>
      <c r="AB12" s="147">
        <f t="shared" si="10"/>
        <v>2.8000000000000025E-2</v>
      </c>
      <c r="AC12" s="147">
        <f t="shared" si="10"/>
        <v>2.8000000000000025E-2</v>
      </c>
      <c r="AD12" s="147">
        <f t="shared" si="10"/>
        <v>0.27200000000000002</v>
      </c>
      <c r="AE12" s="147">
        <f>N12-M12</f>
        <v>0</v>
      </c>
      <c r="AF12" s="147">
        <f t="shared" ref="AF12:AF22" si="11">O12</f>
        <v>5.7000000000000002E-2</v>
      </c>
    </row>
    <row r="13" spans="1:32" x14ac:dyDescent="0.35">
      <c r="A13" s="294"/>
      <c r="B13" s="10" t="s">
        <v>346</v>
      </c>
      <c r="C13" s="11">
        <v>6.71</v>
      </c>
      <c r="D13" s="11">
        <v>6.7119999999999997</v>
      </c>
      <c r="E13" s="11">
        <v>6.7140000000000004</v>
      </c>
      <c r="F13" s="11">
        <v>6.7149999999999999</v>
      </c>
      <c r="G13" s="11">
        <v>6.7169999999999996</v>
      </c>
      <c r="H13" s="11">
        <v>6.7169999999999996</v>
      </c>
      <c r="I13" s="11">
        <v>6.7229999999999999</v>
      </c>
      <c r="J13" s="11">
        <v>6.7240000000000002</v>
      </c>
      <c r="K13" s="11">
        <v>6.726</v>
      </c>
      <c r="L13" s="11">
        <v>6.726</v>
      </c>
      <c r="M13" s="11">
        <v>6.7279999999999998</v>
      </c>
      <c r="N13" s="11">
        <v>6.7290000000000001</v>
      </c>
      <c r="O13" s="11">
        <v>6.73</v>
      </c>
      <c r="P13" s="9"/>
      <c r="Q13" s="9">
        <f>O13-C13</f>
        <v>2.0000000000000462E-2</v>
      </c>
      <c r="T13" s="1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</row>
    <row r="14" spans="1:32" x14ac:dyDescent="0.35">
      <c r="A14" s="294">
        <v>6</v>
      </c>
      <c r="B14" s="10" t="s">
        <v>161</v>
      </c>
      <c r="C14" s="11">
        <v>424.95100000000002</v>
      </c>
      <c r="D14" s="11">
        <v>435.33</v>
      </c>
      <c r="E14" s="11">
        <v>442.197</v>
      </c>
      <c r="F14" s="11">
        <v>449.43</v>
      </c>
      <c r="G14" s="11">
        <v>457.98099999999999</v>
      </c>
      <c r="H14" s="11">
        <v>468.46699999999998</v>
      </c>
      <c r="I14" s="11">
        <v>477.96</v>
      </c>
      <c r="J14" s="11">
        <v>481.30399999999997</v>
      </c>
      <c r="K14" s="11">
        <v>490.84100000000001</v>
      </c>
      <c r="L14" s="11">
        <v>506.76600000000002</v>
      </c>
      <c r="M14" s="11">
        <v>520.37300000000005</v>
      </c>
      <c r="N14" s="11">
        <v>534</v>
      </c>
      <c r="O14" s="11">
        <v>14.895</v>
      </c>
      <c r="P14" s="9">
        <f t="shared" ref="P14" si="12">O14+N14-C14</f>
        <v>123.94399999999996</v>
      </c>
      <c r="T14" s="1">
        <v>6</v>
      </c>
      <c r="U14" s="147">
        <f t="shared" ref="U14:AF14" si="13">D14-C14</f>
        <v>10.378999999999962</v>
      </c>
      <c r="V14" s="147">
        <f t="shared" si="13"/>
        <v>6.8670000000000186</v>
      </c>
      <c r="W14" s="147">
        <f t="shared" si="13"/>
        <v>7.2330000000000041</v>
      </c>
      <c r="X14" s="147">
        <f t="shared" si="13"/>
        <v>8.5509999999999877</v>
      </c>
      <c r="Y14" s="147">
        <f t="shared" si="13"/>
        <v>10.48599999999999</v>
      </c>
      <c r="Z14" s="147">
        <f t="shared" si="13"/>
        <v>9.492999999999995</v>
      </c>
      <c r="AA14" s="147">
        <f t="shared" si="13"/>
        <v>3.3439999999999941</v>
      </c>
      <c r="AB14" s="147">
        <f t="shared" si="13"/>
        <v>9.5370000000000346</v>
      </c>
      <c r="AC14" s="147">
        <f t="shared" si="13"/>
        <v>15.925000000000011</v>
      </c>
      <c r="AD14" s="147">
        <f t="shared" si="13"/>
        <v>13.607000000000028</v>
      </c>
      <c r="AE14" s="147">
        <f t="shared" si="13"/>
        <v>13.626999999999953</v>
      </c>
      <c r="AF14" s="147">
        <f t="shared" ref="AF14:AF22" si="14">O14</f>
        <v>14.895</v>
      </c>
    </row>
    <row r="15" spans="1:32" x14ac:dyDescent="0.35">
      <c r="A15" s="294"/>
      <c r="B15" s="10" t="s">
        <v>347</v>
      </c>
      <c r="C15" s="11">
        <v>21.9</v>
      </c>
      <c r="D15" s="11">
        <v>23.800999999999998</v>
      </c>
      <c r="E15" s="11">
        <v>24.465</v>
      </c>
      <c r="F15" s="11">
        <v>24.875</v>
      </c>
      <c r="G15" s="11">
        <v>25.422000000000001</v>
      </c>
      <c r="H15" s="11">
        <v>25.995999999999999</v>
      </c>
      <c r="I15" s="11">
        <v>26.459</v>
      </c>
      <c r="J15" s="11">
        <v>26.702000000000002</v>
      </c>
      <c r="K15" s="11">
        <v>27.234000000000002</v>
      </c>
      <c r="L15" s="11">
        <v>28.276</v>
      </c>
      <c r="M15" s="11">
        <v>29.355</v>
      </c>
      <c r="N15" s="11">
        <v>31.670999999999999</v>
      </c>
      <c r="O15" s="11">
        <v>34.228999999999999</v>
      </c>
      <c r="P15" s="9"/>
      <c r="Q15" s="9">
        <f>O15-C15</f>
        <v>12.329000000000001</v>
      </c>
      <c r="T15" s="1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</row>
    <row r="16" spans="1:32" x14ac:dyDescent="0.35">
      <c r="A16" s="294">
        <v>7</v>
      </c>
      <c r="B16" s="10" t="s">
        <v>162</v>
      </c>
      <c r="C16" s="11">
        <v>141.49199999999999</v>
      </c>
      <c r="D16" s="11">
        <v>142.58500000000001</v>
      </c>
      <c r="E16" s="11">
        <v>144.77699999999999</v>
      </c>
      <c r="F16" s="11">
        <v>147.672</v>
      </c>
      <c r="G16" s="11">
        <v>150.358</v>
      </c>
      <c r="H16" s="11">
        <v>153.84700000000001</v>
      </c>
      <c r="I16" s="11">
        <v>157.334</v>
      </c>
      <c r="J16" s="11">
        <v>160.63499999999999</v>
      </c>
      <c r="K16" s="11">
        <v>163.87100000000001</v>
      </c>
      <c r="L16" s="11">
        <v>167.23400000000001</v>
      </c>
      <c r="M16" s="11">
        <v>171.71299999999999</v>
      </c>
      <c r="N16" s="11">
        <v>175.46</v>
      </c>
      <c r="O16" s="11">
        <v>4.367</v>
      </c>
      <c r="P16" s="9">
        <f t="shared" ref="P16" si="15">O16+N16-C16</f>
        <v>38.335000000000008</v>
      </c>
      <c r="T16" s="1">
        <v>7</v>
      </c>
      <c r="U16" s="147">
        <f t="shared" ref="U16:AF16" si="16">D16-C16</f>
        <v>1.0930000000000177</v>
      </c>
      <c r="V16" s="147">
        <f t="shared" si="16"/>
        <v>2.1919999999999789</v>
      </c>
      <c r="W16" s="147">
        <f t="shared" si="16"/>
        <v>2.8950000000000102</v>
      </c>
      <c r="X16" s="147">
        <f t="shared" si="16"/>
        <v>2.686000000000007</v>
      </c>
      <c r="Y16" s="147">
        <f t="shared" si="16"/>
        <v>3.4890000000000043</v>
      </c>
      <c r="Z16" s="147">
        <f t="shared" si="16"/>
        <v>3.4869999999999948</v>
      </c>
      <c r="AA16" s="147">
        <f t="shared" si="16"/>
        <v>3.3009999999999877</v>
      </c>
      <c r="AB16" s="147">
        <f t="shared" si="16"/>
        <v>3.2360000000000184</v>
      </c>
      <c r="AC16" s="147">
        <f t="shared" si="16"/>
        <v>3.3629999999999995</v>
      </c>
      <c r="AD16" s="147">
        <f t="shared" si="16"/>
        <v>4.478999999999985</v>
      </c>
      <c r="AE16" s="147">
        <f t="shared" si="16"/>
        <v>3.7470000000000141</v>
      </c>
      <c r="AF16" s="147">
        <f t="shared" ref="AF16:AF22" si="17">O16</f>
        <v>4.367</v>
      </c>
    </row>
    <row r="17" spans="1:32" x14ac:dyDescent="0.35">
      <c r="A17" s="294"/>
      <c r="B17" s="10" t="s">
        <v>348</v>
      </c>
      <c r="C17" s="11">
        <v>15.669</v>
      </c>
      <c r="D17" s="11">
        <v>16.387</v>
      </c>
      <c r="E17" s="11">
        <v>17.358000000000001</v>
      </c>
      <c r="F17" s="11">
        <v>18.012</v>
      </c>
      <c r="G17" s="11">
        <v>18.427</v>
      </c>
      <c r="H17" s="11">
        <v>18.888000000000002</v>
      </c>
      <c r="I17" s="11">
        <v>19.314</v>
      </c>
      <c r="J17" s="11">
        <v>19.696000000000002</v>
      </c>
      <c r="K17" s="11">
        <v>20.04</v>
      </c>
      <c r="L17" s="11">
        <v>20.436</v>
      </c>
      <c r="M17" s="11">
        <v>20.959</v>
      </c>
      <c r="N17" s="11">
        <v>22.434999999999999</v>
      </c>
      <c r="O17" s="11">
        <v>24.471</v>
      </c>
      <c r="P17" s="9"/>
      <c r="Q17" s="9">
        <f>O17-C17</f>
        <v>8.8019999999999996</v>
      </c>
      <c r="T17" s="1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</row>
    <row r="18" spans="1:32" x14ac:dyDescent="0.35">
      <c r="A18" s="294">
        <v>8</v>
      </c>
      <c r="B18" s="10" t="s">
        <v>163</v>
      </c>
      <c r="C18" s="11">
        <v>322.8</v>
      </c>
      <c r="D18" s="11">
        <v>328.71100000000001</v>
      </c>
      <c r="E18" s="11">
        <v>333.85300000000001</v>
      </c>
      <c r="F18" s="11">
        <v>339.46600000000001</v>
      </c>
      <c r="G18" s="11">
        <v>344.96899999999999</v>
      </c>
      <c r="H18" s="11">
        <v>352.46199999999999</v>
      </c>
      <c r="I18" s="11">
        <v>358.678</v>
      </c>
      <c r="J18" s="11">
        <v>365.29700000000003</v>
      </c>
      <c r="K18" s="11">
        <v>371.62599999999998</v>
      </c>
      <c r="L18" s="11">
        <v>378.72500000000002</v>
      </c>
      <c r="M18" s="11">
        <v>384.74900000000002</v>
      </c>
      <c r="N18" s="11">
        <v>389.90000000000003</v>
      </c>
      <c r="O18" s="11">
        <v>6.4210000000000003</v>
      </c>
      <c r="P18" s="9">
        <f t="shared" ref="P18" si="18">O18+N18-C18</f>
        <v>73.521000000000015</v>
      </c>
      <c r="T18" s="1">
        <v>8</v>
      </c>
      <c r="U18" s="147">
        <f t="shared" ref="U18:AF18" si="19">D18-C18</f>
        <v>5.9110000000000014</v>
      </c>
      <c r="V18" s="147">
        <f t="shared" si="19"/>
        <v>5.1419999999999959</v>
      </c>
      <c r="W18" s="147">
        <f t="shared" si="19"/>
        <v>5.6129999999999995</v>
      </c>
      <c r="X18" s="147">
        <f t="shared" si="19"/>
        <v>5.5029999999999859</v>
      </c>
      <c r="Y18" s="147">
        <f t="shared" si="19"/>
        <v>7.492999999999995</v>
      </c>
      <c r="Z18" s="147">
        <f t="shared" si="19"/>
        <v>6.2160000000000082</v>
      </c>
      <c r="AA18" s="147">
        <f t="shared" si="19"/>
        <v>6.6190000000000282</v>
      </c>
      <c r="AB18" s="147">
        <f t="shared" si="19"/>
        <v>6.3289999999999509</v>
      </c>
      <c r="AC18" s="147">
        <f t="shared" si="19"/>
        <v>7.0990000000000464</v>
      </c>
      <c r="AD18" s="147">
        <f t="shared" si="19"/>
        <v>6.0240000000000009</v>
      </c>
      <c r="AE18" s="147">
        <f t="shared" si="19"/>
        <v>5.1510000000000105</v>
      </c>
      <c r="AF18" s="147">
        <f t="shared" ref="AF18:AF22" si="20">O18</f>
        <v>6.4210000000000003</v>
      </c>
    </row>
    <row r="19" spans="1:32" x14ac:dyDescent="0.35">
      <c r="A19" s="294"/>
      <c r="B19" s="10" t="s">
        <v>349</v>
      </c>
      <c r="C19" s="11">
        <v>57.194000000000003</v>
      </c>
      <c r="D19" s="11">
        <v>62.948</v>
      </c>
      <c r="E19" s="11">
        <v>66.593999999999994</v>
      </c>
      <c r="F19" s="11">
        <v>69.307000000000002</v>
      </c>
      <c r="G19" s="11">
        <v>70.506</v>
      </c>
      <c r="H19" s="11">
        <v>70.838999999999999</v>
      </c>
      <c r="I19" s="11">
        <v>71.096999999999994</v>
      </c>
      <c r="J19" s="11">
        <v>71.296999999999997</v>
      </c>
      <c r="K19" s="11">
        <v>71.463999999999999</v>
      </c>
      <c r="L19" s="11">
        <v>71.701999999999998</v>
      </c>
      <c r="M19" s="11">
        <v>73.36</v>
      </c>
      <c r="N19" s="11">
        <v>77.600999999999999</v>
      </c>
      <c r="O19" s="11">
        <v>82.638000000000005</v>
      </c>
      <c r="P19" s="9"/>
      <c r="Q19" s="9">
        <f>O19-C19</f>
        <v>25.444000000000003</v>
      </c>
      <c r="T19" s="1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</row>
    <row r="20" spans="1:32" x14ac:dyDescent="0.35">
      <c r="A20" s="294">
        <v>9</v>
      </c>
      <c r="B20" s="10" t="s">
        <v>164</v>
      </c>
      <c r="C20" s="11">
        <v>602.928</v>
      </c>
      <c r="D20" s="11">
        <v>614.18799999999999</v>
      </c>
      <c r="E20" s="11">
        <v>624.10900000000004</v>
      </c>
      <c r="F20" s="11">
        <v>636.75800000000004</v>
      </c>
      <c r="G20" s="11">
        <v>646.04499999999996</v>
      </c>
      <c r="H20" s="11">
        <v>656.68299999999999</v>
      </c>
      <c r="I20" s="11">
        <v>668.58199999999999</v>
      </c>
      <c r="J20" s="11">
        <v>679.05899999999997</v>
      </c>
      <c r="K20" s="11">
        <v>691.88</v>
      </c>
      <c r="L20" s="11">
        <v>704.33100000000002</v>
      </c>
      <c r="M20" s="11">
        <v>715.41700000000003</v>
      </c>
      <c r="N20" s="11">
        <v>727.64</v>
      </c>
      <c r="O20" s="11">
        <v>12.707000000000001</v>
      </c>
      <c r="P20" s="9">
        <f t="shared" ref="P20" si="21">O20+N20-C20</f>
        <v>137.41899999999998</v>
      </c>
      <c r="T20" s="1">
        <v>9</v>
      </c>
      <c r="U20" s="147">
        <f t="shared" ref="U20:AF20" si="22">D20-C20</f>
        <v>11.259999999999991</v>
      </c>
      <c r="V20" s="147">
        <f t="shared" si="22"/>
        <v>9.9210000000000491</v>
      </c>
      <c r="W20" s="147">
        <f t="shared" si="22"/>
        <v>12.649000000000001</v>
      </c>
      <c r="X20" s="147">
        <f t="shared" si="22"/>
        <v>9.2869999999999209</v>
      </c>
      <c r="Y20" s="147">
        <f t="shared" si="22"/>
        <v>10.638000000000034</v>
      </c>
      <c r="Z20" s="147">
        <f t="shared" si="22"/>
        <v>11.899000000000001</v>
      </c>
      <c r="AA20" s="147">
        <f t="shared" si="22"/>
        <v>10.476999999999975</v>
      </c>
      <c r="AB20" s="147">
        <f t="shared" si="22"/>
        <v>12.821000000000026</v>
      </c>
      <c r="AC20" s="147">
        <f t="shared" si="22"/>
        <v>12.451000000000022</v>
      </c>
      <c r="AD20" s="147">
        <f t="shared" si="22"/>
        <v>11.086000000000013</v>
      </c>
      <c r="AE20" s="147">
        <f t="shared" si="22"/>
        <v>12.222999999999956</v>
      </c>
      <c r="AF20" s="147">
        <f t="shared" ref="AF20:AF22" si="23">O20</f>
        <v>12.707000000000001</v>
      </c>
    </row>
    <row r="21" spans="1:32" x14ac:dyDescent="0.35">
      <c r="A21" s="294"/>
      <c r="B21" s="10" t="s">
        <v>350</v>
      </c>
      <c r="C21" s="11">
        <v>71.245000000000005</v>
      </c>
      <c r="D21" s="11">
        <v>77.350999999999999</v>
      </c>
      <c r="E21" s="11">
        <v>81.14</v>
      </c>
      <c r="F21" s="11">
        <v>83.837000000000003</v>
      </c>
      <c r="G21" s="11">
        <v>85.204999999999998</v>
      </c>
      <c r="H21" s="11">
        <v>85.79</v>
      </c>
      <c r="I21" s="11">
        <v>86.334999999999994</v>
      </c>
      <c r="J21" s="11">
        <v>86.771000000000001</v>
      </c>
      <c r="K21" s="11">
        <v>87.257999999999996</v>
      </c>
      <c r="L21" s="11">
        <v>87.772000000000006</v>
      </c>
      <c r="M21" s="11">
        <v>89.254999999999995</v>
      </c>
      <c r="N21" s="11">
        <v>93.046999999999997</v>
      </c>
      <c r="O21" s="11">
        <v>97.754999999999995</v>
      </c>
      <c r="P21" s="9"/>
      <c r="Q21" s="9">
        <f>O21-C21</f>
        <v>26.509999999999991</v>
      </c>
      <c r="T21" s="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 spans="1:32" x14ac:dyDescent="0.35">
      <c r="A22" s="294">
        <v>10</v>
      </c>
      <c r="B22" s="10" t="s">
        <v>165</v>
      </c>
      <c r="C22" s="11">
        <v>0.38200000000000001</v>
      </c>
      <c r="D22" s="11">
        <v>0.38200000000000001</v>
      </c>
      <c r="E22" s="11">
        <v>0.38200000000000001</v>
      </c>
      <c r="F22" s="11">
        <v>0.38300000000000001</v>
      </c>
      <c r="G22" s="11">
        <v>0.38300000000000001</v>
      </c>
      <c r="H22" s="11">
        <v>0.38300000000000001</v>
      </c>
      <c r="I22" s="11">
        <v>0.38300000000000001</v>
      </c>
      <c r="J22" s="11">
        <v>0.38400000000000001</v>
      </c>
      <c r="K22" s="11">
        <v>0.39200000000000002</v>
      </c>
      <c r="L22" s="11">
        <v>0.39200000000000002</v>
      </c>
      <c r="M22" s="11">
        <v>0.39200000000000002</v>
      </c>
      <c r="N22" s="11">
        <v>0.39200000000000002</v>
      </c>
      <c r="O22" s="11">
        <v>5.7000000000000002E-2</v>
      </c>
      <c r="P22" s="9">
        <f t="shared" ref="P22" si="24">O22+N22-C22</f>
        <v>6.7000000000000004E-2</v>
      </c>
      <c r="T22" s="1">
        <v>10</v>
      </c>
      <c r="U22" s="147">
        <f t="shared" ref="U22:AF22" si="25">D22-C22</f>
        <v>0</v>
      </c>
      <c r="V22" s="147">
        <f t="shared" si="25"/>
        <v>0</v>
      </c>
      <c r="W22" s="147">
        <f t="shared" si="25"/>
        <v>1.0000000000000009E-3</v>
      </c>
      <c r="X22" s="147">
        <f t="shared" si="25"/>
        <v>0</v>
      </c>
      <c r="Y22" s="147">
        <f t="shared" si="25"/>
        <v>0</v>
      </c>
      <c r="Z22" s="147">
        <f t="shared" si="25"/>
        <v>0</v>
      </c>
      <c r="AA22" s="147">
        <f t="shared" si="25"/>
        <v>1.0000000000000009E-3</v>
      </c>
      <c r="AB22" s="147">
        <f t="shared" si="25"/>
        <v>8.0000000000000071E-3</v>
      </c>
      <c r="AC22" s="147">
        <f t="shared" si="25"/>
        <v>0</v>
      </c>
      <c r="AD22" s="147">
        <f t="shared" si="25"/>
        <v>0</v>
      </c>
      <c r="AE22" s="147">
        <f t="shared" si="25"/>
        <v>0</v>
      </c>
      <c r="AF22" s="147">
        <f t="shared" ref="AF22" si="26">O22</f>
        <v>5.7000000000000002E-2</v>
      </c>
    </row>
    <row r="23" spans="1:32" x14ac:dyDescent="0.35">
      <c r="A23" s="294"/>
      <c r="B23" s="10" t="s">
        <v>351</v>
      </c>
      <c r="C23" s="11">
        <v>0.13600000000000001</v>
      </c>
      <c r="D23" s="11">
        <v>0.13700000000000001</v>
      </c>
      <c r="E23" s="11">
        <v>0.13700000000000001</v>
      </c>
      <c r="F23" s="11">
        <v>0.13800000000000001</v>
      </c>
      <c r="G23" s="11">
        <v>0.14399999999999999</v>
      </c>
      <c r="H23" s="11">
        <v>0.14599999999999999</v>
      </c>
      <c r="I23" s="11">
        <v>0.14799999999999999</v>
      </c>
      <c r="J23" s="11">
        <v>0.14899999999999999</v>
      </c>
      <c r="K23" s="11">
        <v>0.14899999999999999</v>
      </c>
      <c r="L23" s="11">
        <v>0.14899999999999999</v>
      </c>
      <c r="M23" s="11">
        <v>0.15</v>
      </c>
      <c r="N23" s="11">
        <v>0.15</v>
      </c>
      <c r="O23" s="11">
        <v>0.15</v>
      </c>
      <c r="P23" s="13"/>
      <c r="Q23" s="98">
        <f>O23-C23</f>
        <v>1.3999999999999985E-2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</row>
    <row r="24" spans="1:32" x14ac:dyDescent="0.35">
      <c r="A24" s="114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622.79</v>
      </c>
      <c r="Q24" s="9">
        <f>SUM(Q4:Q23)</f>
        <v>166.83299999999997</v>
      </c>
    </row>
    <row r="25" spans="1:32" x14ac:dyDescent="0.35">
      <c r="A25" s="114" t="s">
        <v>15</v>
      </c>
      <c r="B25" s="10" t="s">
        <v>29</v>
      </c>
      <c r="C25" s="15">
        <v>57342</v>
      </c>
      <c r="D25" s="15">
        <v>57527</v>
      </c>
      <c r="E25" s="15">
        <v>57707</v>
      </c>
      <c r="F25" s="15">
        <v>57893</v>
      </c>
      <c r="G25" s="15">
        <v>58074</v>
      </c>
      <c r="H25" s="15">
        <v>192</v>
      </c>
      <c r="I25" s="15">
        <v>393</v>
      </c>
      <c r="J25" s="15">
        <v>611</v>
      </c>
      <c r="K25" s="15">
        <v>813</v>
      </c>
      <c r="L25" s="15">
        <v>993</v>
      </c>
      <c r="M25" s="15">
        <v>1184</v>
      </c>
      <c r="N25" s="15">
        <v>1374</v>
      </c>
      <c r="O25" s="15">
        <v>1556</v>
      </c>
      <c r="P25" s="9"/>
      <c r="R25" s="273">
        <f>O25-G44+G43-C25</f>
        <v>2283</v>
      </c>
    </row>
    <row r="26" spans="1:32" x14ac:dyDescent="0.35">
      <c r="A26" s="114"/>
      <c r="B26" s="10" t="s">
        <v>166</v>
      </c>
      <c r="C26" s="18">
        <v>3042.4</v>
      </c>
      <c r="D26" s="18">
        <v>3097.6</v>
      </c>
      <c r="E26" s="18">
        <v>3145.3</v>
      </c>
      <c r="F26" s="18">
        <v>3203.7</v>
      </c>
      <c r="G26" s="18">
        <v>3254.8</v>
      </c>
      <c r="H26" s="18">
        <v>3315.2</v>
      </c>
      <c r="I26" s="18">
        <v>3374.2</v>
      </c>
      <c r="J26" s="18">
        <v>3423.2</v>
      </c>
      <c r="K26" s="18">
        <v>3481.1</v>
      </c>
      <c r="L26" s="18">
        <v>3547.2</v>
      </c>
      <c r="M26" s="18">
        <v>3608.1</v>
      </c>
      <c r="N26" s="18">
        <v>3667</v>
      </c>
      <c r="O26" s="18">
        <v>66.3</v>
      </c>
      <c r="P26" s="330">
        <f t="shared" ref="P26" si="27">O26+N26-C26</f>
        <v>690.90000000000009</v>
      </c>
    </row>
    <row r="27" spans="1:32" x14ac:dyDescent="0.35">
      <c r="A27" s="120"/>
      <c r="B27" s="209" t="s">
        <v>271</v>
      </c>
      <c r="C27" s="19">
        <v>678.51</v>
      </c>
      <c r="D27" s="19">
        <v>714.71</v>
      </c>
      <c r="E27" s="19">
        <v>737.94</v>
      </c>
      <c r="F27" s="19">
        <v>756.09</v>
      </c>
      <c r="G27" s="19">
        <v>766.79</v>
      </c>
      <c r="H27" s="19">
        <v>771.58</v>
      </c>
      <c r="I27" s="19">
        <v>775.47</v>
      </c>
      <c r="J27" s="19">
        <v>778.18</v>
      </c>
      <c r="K27" s="19">
        <v>780.67</v>
      </c>
      <c r="L27" s="19">
        <v>784.68</v>
      </c>
      <c r="M27" s="19">
        <v>796.62</v>
      </c>
      <c r="N27" s="19">
        <v>824.98</v>
      </c>
      <c r="O27" s="19">
        <v>859.25</v>
      </c>
      <c r="P27" s="9"/>
      <c r="Q27" s="9">
        <f>O27-C27</f>
        <v>180.74</v>
      </c>
      <c r="R27" t="s">
        <v>82</v>
      </c>
    </row>
    <row r="28" spans="1:32" ht="15" thickBot="1" x14ac:dyDescent="0.4">
      <c r="A28" s="4"/>
      <c r="B28" s="26" t="s">
        <v>30</v>
      </c>
      <c r="C28" s="21">
        <v>5485</v>
      </c>
      <c r="D28" s="21">
        <v>5748</v>
      </c>
      <c r="E28" s="21">
        <v>5901</v>
      </c>
      <c r="F28" s="21">
        <v>6028</v>
      </c>
      <c r="G28" s="21">
        <v>6113</v>
      </c>
      <c r="H28" s="21">
        <v>6174</v>
      </c>
      <c r="I28" s="21">
        <v>6229</v>
      </c>
      <c r="J28" s="21">
        <v>6269</v>
      </c>
      <c r="K28" s="21">
        <v>6303</v>
      </c>
      <c r="L28" s="21">
        <v>6347</v>
      </c>
      <c r="M28" s="21">
        <v>6435</v>
      </c>
      <c r="N28" s="21">
        <v>6622</v>
      </c>
      <c r="O28" s="21">
        <v>6850</v>
      </c>
      <c r="P28" s="9"/>
      <c r="Q28" s="16">
        <f>O28-C28</f>
        <v>1365</v>
      </c>
      <c r="R28" t="s">
        <v>83</v>
      </c>
    </row>
    <row r="29" spans="1:32" ht="15" thickBot="1" x14ac:dyDescent="0.4">
      <c r="A29" s="122" t="s">
        <v>270</v>
      </c>
      <c r="B29" s="22"/>
      <c r="C29" s="23">
        <v>11067</v>
      </c>
      <c r="D29" s="23">
        <v>11362.8</v>
      </c>
      <c r="E29" s="23">
        <v>11626.9</v>
      </c>
      <c r="F29" s="23">
        <v>11916.3</v>
      </c>
      <c r="G29" s="23">
        <v>12197</v>
      </c>
      <c r="H29" s="23">
        <v>12488</v>
      </c>
      <c r="I29" s="23">
        <v>12761.9</v>
      </c>
      <c r="J29" s="23">
        <v>12999.7</v>
      </c>
      <c r="K29" s="23">
        <v>13270.1</v>
      </c>
      <c r="L29" s="23">
        <v>13553.4</v>
      </c>
      <c r="M29" s="23">
        <v>13826.2</v>
      </c>
      <c r="N29" s="276">
        <v>14094.300000000001</v>
      </c>
      <c r="O29" s="23">
        <v>14411</v>
      </c>
      <c r="P29" s="9">
        <f>O29-C29</f>
        <v>3344</v>
      </c>
    </row>
    <row r="30" spans="1:32" x14ac:dyDescent="0.35">
      <c r="G30" s="260"/>
    </row>
    <row r="32" spans="1:32" x14ac:dyDescent="0.35">
      <c r="E32" t="s">
        <v>224</v>
      </c>
      <c r="H32" s="176" t="s">
        <v>225</v>
      </c>
      <c r="I32" s="1" t="s">
        <v>83</v>
      </c>
      <c r="K32" t="s">
        <v>233</v>
      </c>
      <c r="N32" s="1" t="s">
        <v>83</v>
      </c>
    </row>
    <row r="33" spans="3:15" x14ac:dyDescent="0.35">
      <c r="D33" t="s">
        <v>227</v>
      </c>
      <c r="E33" s="164">
        <v>43984</v>
      </c>
      <c r="F33" s="85" t="s">
        <v>211</v>
      </c>
      <c r="G33" s="85"/>
      <c r="H33" s="171"/>
      <c r="I33" s="109"/>
      <c r="K33" s="181">
        <v>44095</v>
      </c>
      <c r="L33" s="85" t="s">
        <v>211</v>
      </c>
      <c r="M33" s="85"/>
      <c r="N33" s="85"/>
    </row>
    <row r="34" spans="3:15" x14ac:dyDescent="0.35">
      <c r="E34" s="172"/>
      <c r="F34" s="173"/>
      <c r="G34" s="173" t="s">
        <v>226</v>
      </c>
      <c r="H34" s="175" t="s">
        <v>82</v>
      </c>
      <c r="I34" s="174" t="s">
        <v>83</v>
      </c>
      <c r="L34" s="1"/>
      <c r="M34" s="173" t="s">
        <v>226</v>
      </c>
      <c r="N34" s="174" t="s">
        <v>83</v>
      </c>
    </row>
    <row r="35" spans="3:15" x14ac:dyDescent="0.35">
      <c r="D35" t="s">
        <v>228</v>
      </c>
      <c r="E35" s="164">
        <v>43986</v>
      </c>
      <c r="F35" s="85" t="s">
        <v>212</v>
      </c>
      <c r="G35" s="85"/>
      <c r="H35" s="171"/>
      <c r="I35" s="109"/>
      <c r="K35" s="181">
        <v>44095</v>
      </c>
      <c r="L35" s="85" t="s">
        <v>212</v>
      </c>
      <c r="M35" s="85"/>
      <c r="N35" s="85"/>
    </row>
    <row r="38" spans="3:15" x14ac:dyDescent="0.35">
      <c r="C38" s="235" t="s">
        <v>198</v>
      </c>
      <c r="D38" s="25" t="s">
        <v>213</v>
      </c>
      <c r="F38" s="235" t="s">
        <v>289</v>
      </c>
      <c r="G38" s="235" t="s">
        <v>290</v>
      </c>
      <c r="N38" s="264" t="s">
        <v>414</v>
      </c>
      <c r="O38">
        <f>C29</f>
        <v>11067</v>
      </c>
    </row>
    <row r="39" spans="3:15" x14ac:dyDescent="0.35">
      <c r="C39" s="303">
        <v>5</v>
      </c>
      <c r="D39" s="304">
        <v>43950</v>
      </c>
      <c r="E39" s="85" t="s">
        <v>211</v>
      </c>
      <c r="F39" s="107">
        <v>190907002</v>
      </c>
      <c r="G39" s="110">
        <v>0.60199999999999998</v>
      </c>
      <c r="N39" s="210"/>
      <c r="O39" s="75"/>
    </row>
    <row r="40" spans="3:15" x14ac:dyDescent="0.35">
      <c r="C40" s="303"/>
      <c r="D40" s="304"/>
      <c r="E40" s="85" t="s">
        <v>212</v>
      </c>
      <c r="F40" s="107">
        <v>221525395</v>
      </c>
      <c r="G40" s="110">
        <v>0.02</v>
      </c>
      <c r="N40" s="329" t="s">
        <v>444</v>
      </c>
      <c r="O40">
        <f>O29</f>
        <v>14411</v>
      </c>
    </row>
    <row r="41" spans="3:15" x14ac:dyDescent="0.35">
      <c r="N41" s="210"/>
    </row>
    <row r="42" spans="3:15" x14ac:dyDescent="0.35">
      <c r="C42" t="s">
        <v>223</v>
      </c>
      <c r="N42" s="244" t="s">
        <v>291</v>
      </c>
      <c r="O42">
        <f>O40-O38-O39</f>
        <v>3344</v>
      </c>
    </row>
    <row r="43" spans="3:15" x14ac:dyDescent="0.35">
      <c r="C43" s="304">
        <v>45415</v>
      </c>
      <c r="D43" s="85" t="s">
        <v>211</v>
      </c>
      <c r="E43" s="306">
        <v>72370871</v>
      </c>
      <c r="F43" s="306"/>
      <c r="G43" s="107">
        <v>58085</v>
      </c>
    </row>
    <row r="44" spans="3:15" x14ac:dyDescent="0.35">
      <c r="C44" s="304"/>
      <c r="D44" s="85" t="s">
        <v>212</v>
      </c>
      <c r="E44" s="306">
        <v>2480481736</v>
      </c>
      <c r="F44" s="306"/>
      <c r="G44" s="107">
        <v>16</v>
      </c>
    </row>
  </sheetData>
  <sheetProtection selectLockedCells="1" selectUnlockedCells="1"/>
  <mergeCells count="15">
    <mergeCell ref="C43:C44"/>
    <mergeCell ref="E43:F43"/>
    <mergeCell ref="E44:F44"/>
    <mergeCell ref="C39:C40"/>
    <mergeCell ref="D39:D40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2448" priority="66" stopIfTrue="1" operator="lessThan">
      <formula>$C$4</formula>
    </cfRule>
    <cfRule type="cellIs" dxfId="2447" priority="67" stopIfTrue="1" operator="equal">
      <formula>$C$4</formula>
    </cfRule>
  </conditionalFormatting>
  <conditionalFormatting sqref="D5">
    <cfRule type="cellIs" dxfId="2446" priority="70" stopIfTrue="1" operator="equal">
      <formula>$C$5</formula>
    </cfRule>
    <cfRule type="cellIs" dxfId="2445" priority="71" stopIfTrue="1" operator="lessThan">
      <formula>$C$5</formula>
    </cfRule>
  </conditionalFormatting>
  <conditionalFormatting sqref="D6">
    <cfRule type="cellIs" dxfId="2444" priority="77" stopIfTrue="1" operator="equal">
      <formula>$C$6</formula>
    </cfRule>
    <cfRule type="cellIs" dxfId="2443" priority="78" stopIfTrue="1" operator="lessThan">
      <formula>$C$6</formula>
    </cfRule>
  </conditionalFormatting>
  <conditionalFormatting sqref="D7">
    <cfRule type="cellIs" dxfId="2442" priority="91" stopIfTrue="1" operator="equal">
      <formula>$C$7</formula>
    </cfRule>
    <cfRule type="cellIs" dxfId="2441" priority="92" stopIfTrue="1" operator="lessThan">
      <formula>$C$7</formula>
    </cfRule>
  </conditionalFormatting>
  <conditionalFormatting sqref="D8">
    <cfRule type="cellIs" dxfId="2440" priority="103" stopIfTrue="1" operator="equal">
      <formula>$C$8</formula>
    </cfRule>
    <cfRule type="cellIs" dxfId="2439" priority="104" stopIfTrue="1" operator="lessThan">
      <formula>$C$8</formula>
    </cfRule>
  </conditionalFormatting>
  <conditionalFormatting sqref="D9">
    <cfRule type="cellIs" dxfId="2438" priority="117" stopIfTrue="1" operator="equal">
      <formula>$C$9</formula>
    </cfRule>
    <cfRule type="cellIs" dxfId="2437" priority="118" stopIfTrue="1" operator="lessThan">
      <formula>$C$9</formula>
    </cfRule>
  </conditionalFormatting>
  <conditionalFormatting sqref="D10">
    <cfRule type="cellIs" dxfId="2436" priority="131" stopIfTrue="1" operator="equal">
      <formula>$C$10</formula>
    </cfRule>
    <cfRule type="cellIs" dxfId="2435" priority="132" stopIfTrue="1" operator="lessThan">
      <formula>$C$10</formula>
    </cfRule>
  </conditionalFormatting>
  <conditionalFormatting sqref="D11">
    <cfRule type="cellIs" dxfId="2434" priority="145" stopIfTrue="1" operator="equal">
      <formula>$C$11</formula>
    </cfRule>
    <cfRule type="cellIs" dxfId="2433" priority="146" stopIfTrue="1" operator="lessThan">
      <formula>$C$11</formula>
    </cfRule>
  </conditionalFormatting>
  <conditionalFormatting sqref="D12">
    <cfRule type="cellIs" dxfId="2432" priority="159" stopIfTrue="1" operator="equal">
      <formula>$C$12</formula>
    </cfRule>
    <cfRule type="cellIs" dxfId="2431" priority="160" stopIfTrue="1" operator="lessThan">
      <formula>$C$12</formula>
    </cfRule>
  </conditionalFormatting>
  <conditionalFormatting sqref="D13">
    <cfRule type="cellIs" dxfId="2430" priority="291" stopIfTrue="1" operator="equal">
      <formula>$C$13</formula>
    </cfRule>
    <cfRule type="cellIs" dxfId="2429" priority="292" stopIfTrue="1" operator="lessThan">
      <formula>$C$13</formula>
    </cfRule>
  </conditionalFormatting>
  <conditionalFormatting sqref="D14">
    <cfRule type="cellIs" dxfId="2428" priority="173" stopIfTrue="1" operator="equal">
      <formula>$C$14</formula>
    </cfRule>
    <cfRule type="cellIs" dxfId="2427" priority="174" stopIfTrue="1" operator="lessThan">
      <formula>$C$14</formula>
    </cfRule>
  </conditionalFormatting>
  <conditionalFormatting sqref="D15">
    <cfRule type="cellIs" dxfId="2426" priority="175" stopIfTrue="1" operator="equal">
      <formula>$C$15</formula>
    </cfRule>
    <cfRule type="cellIs" dxfId="2425" priority="176" stopIfTrue="1" operator="lessThan">
      <formula>$C$15</formula>
    </cfRule>
  </conditionalFormatting>
  <conditionalFormatting sqref="D16">
    <cfRule type="cellIs" dxfId="2424" priority="177" stopIfTrue="1" operator="equal">
      <formula>$C$16</formula>
    </cfRule>
    <cfRule type="cellIs" dxfId="2423" priority="178" stopIfTrue="1" operator="lessThan">
      <formula>$C$16</formula>
    </cfRule>
  </conditionalFormatting>
  <conditionalFormatting sqref="D17">
    <cfRule type="cellIs" dxfId="2422" priority="179" stopIfTrue="1" operator="equal">
      <formula>$C$17</formula>
    </cfRule>
    <cfRule type="cellIs" dxfId="2421" priority="180" stopIfTrue="1" operator="lessThan">
      <formula>$C$17</formula>
    </cfRule>
  </conditionalFormatting>
  <conditionalFormatting sqref="D18">
    <cfRule type="cellIs" dxfId="2420" priority="181" stopIfTrue="1" operator="equal">
      <formula>$C$18</formula>
    </cfRule>
    <cfRule type="cellIs" dxfId="2419" priority="182" stopIfTrue="1" operator="lessThan">
      <formula>$C$18</formula>
    </cfRule>
  </conditionalFormatting>
  <conditionalFormatting sqref="D19">
    <cfRule type="cellIs" dxfId="2418" priority="183" stopIfTrue="1" operator="equal">
      <formula>$C$19</formula>
    </cfRule>
    <cfRule type="cellIs" dxfId="2417" priority="184" stopIfTrue="1" operator="lessThan">
      <formula>$C$19</formula>
    </cfRule>
  </conditionalFormatting>
  <conditionalFormatting sqref="D20">
    <cfRule type="cellIs" dxfId="2416" priority="185" stopIfTrue="1" operator="equal">
      <formula>$C$20</formula>
    </cfRule>
    <cfRule type="cellIs" dxfId="2415" priority="186" stopIfTrue="1" operator="lessThan">
      <formula>$C$20</formula>
    </cfRule>
  </conditionalFormatting>
  <conditionalFormatting sqref="D21">
    <cfRule type="cellIs" dxfId="2414" priority="187" stopIfTrue="1" operator="equal">
      <formula>$C$21</formula>
    </cfRule>
    <cfRule type="cellIs" dxfId="2413" priority="188" stopIfTrue="1" operator="lessThan">
      <formula>$C$21</formula>
    </cfRule>
  </conditionalFormatting>
  <conditionalFormatting sqref="D22">
    <cfRule type="cellIs" dxfId="2412" priority="189" stopIfTrue="1" operator="equal">
      <formula>$C$22</formula>
    </cfRule>
    <cfRule type="cellIs" dxfId="2411" priority="190" stopIfTrue="1" operator="lessThan">
      <formula>$C$22</formula>
    </cfRule>
  </conditionalFormatting>
  <conditionalFormatting sqref="D23">
    <cfRule type="cellIs" dxfId="2410" priority="191" stopIfTrue="1" operator="equal">
      <formula>$C$23</formula>
    </cfRule>
    <cfRule type="cellIs" dxfId="2409" priority="192" stopIfTrue="1" operator="lessThan">
      <formula>$C$23</formula>
    </cfRule>
  </conditionalFormatting>
  <conditionalFormatting sqref="D24">
    <cfRule type="cellIs" dxfId="2408" priority="323" stopIfTrue="1" operator="equal">
      <formula>$C$24</formula>
    </cfRule>
    <cfRule type="cellIs" dxfId="2407" priority="324" stopIfTrue="1" operator="lessThan">
      <formula>$C$24</formula>
    </cfRule>
  </conditionalFormatting>
  <conditionalFormatting sqref="D25">
    <cfRule type="cellIs" dxfId="2406" priority="193" stopIfTrue="1" operator="equal">
      <formula>$C$25</formula>
    </cfRule>
    <cfRule type="cellIs" dxfId="2405" priority="194" stopIfTrue="1" operator="lessThan">
      <formula>$C$25</formula>
    </cfRule>
  </conditionalFormatting>
  <conditionalFormatting sqref="D26">
    <cfRule type="cellIs" dxfId="2404" priority="195" stopIfTrue="1" operator="equal">
      <formula>$C$26</formula>
    </cfRule>
    <cfRule type="cellIs" dxfId="2403" priority="196" stopIfTrue="1" operator="lessThan">
      <formula>$C$26</formula>
    </cfRule>
  </conditionalFormatting>
  <conditionalFormatting sqref="D27">
    <cfRule type="cellIs" dxfId="2402" priority="197" stopIfTrue="1" operator="equal">
      <formula>$C$27</formula>
    </cfRule>
    <cfRule type="cellIs" dxfId="2401" priority="198" stopIfTrue="1" operator="lessThan">
      <formula>$C$27</formula>
    </cfRule>
  </conditionalFormatting>
  <conditionalFormatting sqref="D28">
    <cfRule type="cellIs" dxfId="2400" priority="199" stopIfTrue="1" operator="equal">
      <formula>$C$28</formula>
    </cfRule>
    <cfRule type="cellIs" dxfId="2399" priority="200" stopIfTrue="1" operator="lessThan">
      <formula>$C$28</formula>
    </cfRule>
  </conditionalFormatting>
  <conditionalFormatting sqref="D29:H29 J29">
    <cfRule type="cellIs" dxfId="2398" priority="338" stopIfTrue="1" operator="equal">
      <formula>0</formula>
    </cfRule>
  </conditionalFormatting>
  <conditionalFormatting sqref="E4">
    <cfRule type="cellIs" dxfId="2397" priority="68" stopIfTrue="1" operator="equal">
      <formula>$D$4</formula>
    </cfRule>
    <cfRule type="cellIs" dxfId="2396" priority="69" stopIfTrue="1" operator="lessThan">
      <formula>$D$4</formula>
    </cfRule>
  </conditionalFormatting>
  <conditionalFormatting sqref="E5">
    <cfRule type="cellIs" dxfId="2395" priority="333" stopIfTrue="1" operator="equal">
      <formula>$D$5</formula>
    </cfRule>
    <cfRule type="cellIs" dxfId="2394" priority="334" stopIfTrue="1" operator="lessThan">
      <formula>$D$5</formula>
    </cfRule>
  </conditionalFormatting>
  <conditionalFormatting sqref="E6">
    <cfRule type="cellIs" dxfId="2393" priority="79" stopIfTrue="1" operator="equal">
      <formula>$D$6</formula>
    </cfRule>
    <cfRule type="cellIs" dxfId="2392" priority="80" stopIfTrue="1" operator="lessThan">
      <formula>$D$6</formula>
    </cfRule>
  </conditionalFormatting>
  <conditionalFormatting sqref="E7">
    <cfRule type="cellIs" dxfId="2391" priority="93" stopIfTrue="1" operator="equal">
      <formula>$D$7</formula>
    </cfRule>
    <cfRule type="cellIs" dxfId="2390" priority="94" stopIfTrue="1" operator="lessThan">
      <formula>$D$7</formula>
    </cfRule>
  </conditionalFormatting>
  <conditionalFormatting sqref="E8">
    <cfRule type="cellIs" dxfId="2389" priority="105" stopIfTrue="1" operator="equal">
      <formula>$D$8</formula>
    </cfRule>
    <cfRule type="cellIs" dxfId="2388" priority="106" stopIfTrue="1" operator="lessThan">
      <formula>$D$8</formula>
    </cfRule>
  </conditionalFormatting>
  <conditionalFormatting sqref="E9">
    <cfRule type="cellIs" dxfId="2387" priority="119" stopIfTrue="1" operator="equal">
      <formula>$D$9</formula>
    </cfRule>
    <cfRule type="cellIs" dxfId="2386" priority="120" stopIfTrue="1" operator="lessThan">
      <formula>$D$9</formula>
    </cfRule>
  </conditionalFormatting>
  <conditionalFormatting sqref="E10">
    <cfRule type="cellIs" dxfId="2385" priority="133" stopIfTrue="1" operator="equal">
      <formula>$D$10</formula>
    </cfRule>
    <cfRule type="cellIs" dxfId="2384" priority="134" stopIfTrue="1" operator="lessThan">
      <formula>$D$10</formula>
    </cfRule>
  </conditionalFormatting>
  <conditionalFormatting sqref="E11">
    <cfRule type="cellIs" dxfId="2383" priority="147" stopIfTrue="1" operator="equal">
      <formula>$D$11</formula>
    </cfRule>
    <cfRule type="cellIs" dxfId="2382" priority="148" stopIfTrue="1" operator="lessThan">
      <formula>$D$11</formula>
    </cfRule>
  </conditionalFormatting>
  <conditionalFormatting sqref="E12">
    <cfRule type="cellIs" dxfId="2381" priority="161" stopIfTrue="1" operator="equal">
      <formula>$D$12</formula>
    </cfRule>
    <cfRule type="cellIs" dxfId="2380" priority="162" stopIfTrue="1" operator="lessThan">
      <formula>$D$12</formula>
    </cfRule>
  </conditionalFormatting>
  <conditionalFormatting sqref="E13">
    <cfRule type="cellIs" dxfId="2379" priority="201" stopIfTrue="1" operator="equal">
      <formula>$D$13</formula>
    </cfRule>
    <cfRule type="cellIs" dxfId="2378" priority="202" stopIfTrue="1" operator="lessThan">
      <formula>$D$13</formula>
    </cfRule>
  </conditionalFormatting>
  <conditionalFormatting sqref="E14">
    <cfRule type="cellIs" dxfId="2377" priority="203" stopIfTrue="1" operator="equal">
      <formula>$D$14</formula>
    </cfRule>
    <cfRule type="cellIs" dxfId="2376" priority="204" stopIfTrue="1" operator="lessThan">
      <formula>$D$14</formula>
    </cfRule>
  </conditionalFormatting>
  <conditionalFormatting sqref="E15">
    <cfRule type="cellIs" dxfId="2375" priority="205" stopIfTrue="1" operator="equal">
      <formula>$D$15</formula>
    </cfRule>
    <cfRule type="cellIs" dxfId="2374" priority="206" stopIfTrue="1" operator="lessThan">
      <formula>$D$15</formula>
    </cfRule>
  </conditionalFormatting>
  <conditionalFormatting sqref="E16">
    <cfRule type="cellIs" dxfId="2373" priority="207" stopIfTrue="1" operator="equal">
      <formula>$D$16</formula>
    </cfRule>
    <cfRule type="cellIs" dxfId="2372" priority="208" stopIfTrue="1" operator="lessThan">
      <formula>$D$16</formula>
    </cfRule>
  </conditionalFormatting>
  <conditionalFormatting sqref="E17">
    <cfRule type="cellIs" dxfId="2371" priority="209" stopIfTrue="1" operator="equal">
      <formula>$D$17</formula>
    </cfRule>
    <cfRule type="cellIs" dxfId="2370" priority="210" stopIfTrue="1" operator="lessThan">
      <formula>$D$17</formula>
    </cfRule>
  </conditionalFormatting>
  <conditionalFormatting sqref="E18">
    <cfRule type="cellIs" dxfId="2369" priority="211" stopIfTrue="1" operator="equal">
      <formula>$D$18</formula>
    </cfRule>
    <cfRule type="cellIs" dxfId="2368" priority="212" stopIfTrue="1" operator="lessThan">
      <formula>$D$18</formula>
    </cfRule>
  </conditionalFormatting>
  <conditionalFormatting sqref="E19">
    <cfRule type="cellIs" dxfId="2367" priority="213" stopIfTrue="1" operator="equal">
      <formula>$D$19</formula>
    </cfRule>
    <cfRule type="cellIs" dxfId="2366" priority="214" stopIfTrue="1" operator="lessThan">
      <formula>$D$19</formula>
    </cfRule>
  </conditionalFormatting>
  <conditionalFormatting sqref="E20">
    <cfRule type="cellIs" dxfId="2365" priority="215" stopIfTrue="1" operator="equal">
      <formula>$D$20</formula>
    </cfRule>
    <cfRule type="cellIs" dxfId="2364" priority="216" stopIfTrue="1" operator="lessThan">
      <formula>$D$20</formula>
    </cfRule>
  </conditionalFormatting>
  <conditionalFormatting sqref="E21">
    <cfRule type="cellIs" dxfId="2363" priority="217" stopIfTrue="1" operator="equal">
      <formula>$D$21</formula>
    </cfRule>
    <cfRule type="cellIs" dxfId="2362" priority="218" stopIfTrue="1" operator="lessThan">
      <formula>$D$21</formula>
    </cfRule>
  </conditionalFormatting>
  <conditionalFormatting sqref="E22">
    <cfRule type="cellIs" dxfId="2361" priority="219" stopIfTrue="1" operator="equal">
      <formula>$D$22</formula>
    </cfRule>
    <cfRule type="cellIs" dxfId="2360" priority="220" stopIfTrue="1" operator="lessThan">
      <formula>$D$22</formula>
    </cfRule>
  </conditionalFormatting>
  <conditionalFormatting sqref="E23">
    <cfRule type="cellIs" dxfId="2359" priority="221" stopIfTrue="1" operator="equal">
      <formula>$D$23</formula>
    </cfRule>
    <cfRule type="cellIs" dxfId="2358" priority="222" stopIfTrue="1" operator="lessThan">
      <formula>$D$23</formula>
    </cfRule>
  </conditionalFormatting>
  <conditionalFormatting sqref="E24">
    <cfRule type="cellIs" dxfId="2357" priority="325" stopIfTrue="1" operator="equal">
      <formula>$D$24</formula>
    </cfRule>
    <cfRule type="cellIs" dxfId="2356" priority="326" stopIfTrue="1" operator="lessThan">
      <formula>$D$24</formula>
    </cfRule>
  </conditionalFormatting>
  <conditionalFormatting sqref="E25">
    <cfRule type="cellIs" dxfId="2355" priority="223" stopIfTrue="1" operator="equal">
      <formula>$D$25</formula>
    </cfRule>
    <cfRule type="cellIs" dxfId="2354" priority="224" stopIfTrue="1" operator="lessThan">
      <formula>$D$25</formula>
    </cfRule>
  </conditionalFormatting>
  <conditionalFormatting sqref="E26">
    <cfRule type="cellIs" dxfId="2353" priority="225" stopIfTrue="1" operator="equal">
      <formula>$D$26</formula>
    </cfRule>
    <cfRule type="cellIs" dxfId="2352" priority="226" stopIfTrue="1" operator="lessThan">
      <formula>$D$26</formula>
    </cfRule>
  </conditionalFormatting>
  <conditionalFormatting sqref="E27">
    <cfRule type="cellIs" dxfId="2351" priority="227" stopIfTrue="1" operator="equal">
      <formula>$D$27</formula>
    </cfRule>
    <cfRule type="cellIs" dxfId="2350" priority="228" stopIfTrue="1" operator="lessThan">
      <formula>$D$27</formula>
    </cfRule>
  </conditionalFormatting>
  <conditionalFormatting sqref="E28">
    <cfRule type="cellIs" dxfId="2349" priority="229" stopIfTrue="1" operator="equal">
      <formula>$D$28</formula>
    </cfRule>
    <cfRule type="cellIs" dxfId="2348" priority="230" stopIfTrue="1" operator="lessThan">
      <formula>$D$28</formula>
    </cfRule>
  </conditionalFormatting>
  <conditionalFormatting sqref="F4">
    <cfRule type="cellIs" dxfId="2347" priority="64" stopIfTrue="1" operator="equal">
      <formula>$E$4</formula>
    </cfRule>
    <cfRule type="cellIs" dxfId="2346" priority="65" stopIfTrue="1" operator="lessThan">
      <formula>$E$4</formula>
    </cfRule>
  </conditionalFormatting>
  <conditionalFormatting sqref="F5">
    <cfRule type="cellIs" dxfId="2345" priority="72" stopIfTrue="1" operator="equal">
      <formula>$E$5</formula>
    </cfRule>
    <cfRule type="cellIs" dxfId="2344" priority="73" stopIfTrue="1" operator="lessThan">
      <formula>$E$5</formula>
    </cfRule>
  </conditionalFormatting>
  <conditionalFormatting sqref="F6">
    <cfRule type="cellIs" dxfId="2343" priority="81" stopIfTrue="1" operator="equal">
      <formula>$E$6</formula>
    </cfRule>
    <cfRule type="cellIs" dxfId="2342" priority="82" stopIfTrue="1" operator="lessThan">
      <formula>$E$6</formula>
    </cfRule>
  </conditionalFormatting>
  <conditionalFormatting sqref="F7">
    <cfRule type="cellIs" dxfId="2341" priority="95" stopIfTrue="1" operator="equal">
      <formula>$E$7</formula>
    </cfRule>
    <cfRule type="cellIs" dxfId="2340" priority="96" stopIfTrue="1" operator="lessThan">
      <formula>$E$7</formula>
    </cfRule>
  </conditionalFormatting>
  <conditionalFormatting sqref="F8">
    <cfRule type="cellIs" dxfId="2339" priority="107" stopIfTrue="1" operator="equal">
      <formula>$E$8</formula>
    </cfRule>
    <cfRule type="cellIs" dxfId="2338" priority="108" stopIfTrue="1" operator="lessThan">
      <formula>$E$8</formula>
    </cfRule>
  </conditionalFormatting>
  <conditionalFormatting sqref="F9">
    <cfRule type="cellIs" dxfId="2337" priority="121" stopIfTrue="1" operator="equal">
      <formula>$E$9</formula>
    </cfRule>
    <cfRule type="cellIs" dxfId="2336" priority="122" stopIfTrue="1" operator="lessThan">
      <formula>$E$9</formula>
    </cfRule>
  </conditionalFormatting>
  <conditionalFormatting sqref="F10">
    <cfRule type="cellIs" dxfId="2335" priority="135" stopIfTrue="1" operator="equal">
      <formula>$E$10</formula>
    </cfRule>
    <cfRule type="cellIs" dxfId="2334" priority="136" stopIfTrue="1" operator="lessThan">
      <formula>$E$10</formula>
    </cfRule>
  </conditionalFormatting>
  <conditionalFormatting sqref="F11">
    <cfRule type="cellIs" dxfId="2333" priority="149" stopIfTrue="1" operator="equal">
      <formula>$E$11</formula>
    </cfRule>
    <cfRule type="cellIs" dxfId="2332" priority="150" stopIfTrue="1" operator="lessThan">
      <formula>$E$11</formula>
    </cfRule>
  </conditionalFormatting>
  <conditionalFormatting sqref="F12">
    <cfRule type="cellIs" dxfId="2331" priority="163" stopIfTrue="1" operator="equal">
      <formula>$E$12</formula>
    </cfRule>
    <cfRule type="cellIs" dxfId="2330" priority="164" stopIfTrue="1" operator="lessThan">
      <formula>$E$12</formula>
    </cfRule>
  </conditionalFormatting>
  <conditionalFormatting sqref="F13">
    <cfRule type="cellIs" dxfId="2329" priority="231" stopIfTrue="1" operator="equal">
      <formula>$E$13</formula>
    </cfRule>
    <cfRule type="cellIs" dxfId="2328" priority="232" stopIfTrue="1" operator="lessThan">
      <formula>$E$13</formula>
    </cfRule>
  </conditionalFormatting>
  <conditionalFormatting sqref="F14">
    <cfRule type="cellIs" dxfId="2327" priority="233" stopIfTrue="1" operator="equal">
      <formula>$E$14</formula>
    </cfRule>
    <cfRule type="cellIs" dxfId="2326" priority="234" stopIfTrue="1" operator="lessThan">
      <formula>$E$14</formula>
    </cfRule>
  </conditionalFormatting>
  <conditionalFormatting sqref="F15">
    <cfRule type="cellIs" dxfId="2325" priority="235" stopIfTrue="1" operator="equal">
      <formula>$E$15</formula>
    </cfRule>
    <cfRule type="cellIs" dxfId="2324" priority="236" stopIfTrue="1" operator="lessThan">
      <formula>$E$15</formula>
    </cfRule>
  </conditionalFormatting>
  <conditionalFormatting sqref="F16">
    <cfRule type="cellIs" dxfId="2323" priority="237" stopIfTrue="1" operator="equal">
      <formula>$E$16</formula>
    </cfRule>
    <cfRule type="cellIs" dxfId="2322" priority="238" stopIfTrue="1" operator="lessThan">
      <formula>$E$16</formula>
    </cfRule>
  </conditionalFormatting>
  <conditionalFormatting sqref="F17">
    <cfRule type="cellIs" dxfId="2321" priority="239" stopIfTrue="1" operator="equal">
      <formula>$E$17</formula>
    </cfRule>
    <cfRule type="cellIs" dxfId="2320" priority="240" stopIfTrue="1" operator="lessThan">
      <formula>$E$17</formula>
    </cfRule>
  </conditionalFormatting>
  <conditionalFormatting sqref="F18">
    <cfRule type="cellIs" dxfId="2319" priority="241" stopIfTrue="1" operator="equal">
      <formula>$E$18</formula>
    </cfRule>
    <cfRule type="cellIs" dxfId="2318" priority="242" stopIfTrue="1" operator="lessThan">
      <formula>$E$18</formula>
    </cfRule>
  </conditionalFormatting>
  <conditionalFormatting sqref="F19">
    <cfRule type="cellIs" dxfId="2317" priority="243" stopIfTrue="1" operator="equal">
      <formula>$E$19</formula>
    </cfRule>
    <cfRule type="cellIs" dxfId="2316" priority="244" stopIfTrue="1" operator="lessThan">
      <formula>$E$19</formula>
    </cfRule>
  </conditionalFormatting>
  <conditionalFormatting sqref="F20">
    <cfRule type="cellIs" dxfId="2315" priority="245" stopIfTrue="1" operator="equal">
      <formula>$E$20</formula>
    </cfRule>
    <cfRule type="cellIs" dxfId="2314" priority="246" stopIfTrue="1" operator="lessThan">
      <formula>$E$20</formula>
    </cfRule>
  </conditionalFormatting>
  <conditionalFormatting sqref="F21">
    <cfRule type="cellIs" dxfId="2313" priority="247" stopIfTrue="1" operator="equal">
      <formula>$E$21</formula>
    </cfRule>
    <cfRule type="cellIs" dxfId="2312" priority="248" stopIfTrue="1" operator="lessThan">
      <formula>$E$21</formula>
    </cfRule>
  </conditionalFormatting>
  <conditionalFormatting sqref="F22">
    <cfRule type="cellIs" dxfId="2311" priority="249" stopIfTrue="1" operator="equal">
      <formula>$E$22</formula>
    </cfRule>
    <cfRule type="cellIs" dxfId="2310" priority="250" stopIfTrue="1" operator="lessThan">
      <formula>$E$22</formula>
    </cfRule>
  </conditionalFormatting>
  <conditionalFormatting sqref="F23">
    <cfRule type="cellIs" dxfId="2309" priority="251" stopIfTrue="1" operator="equal">
      <formula>$E$23</formula>
    </cfRule>
    <cfRule type="cellIs" dxfId="2308" priority="252" stopIfTrue="1" operator="lessThan">
      <formula>$E$23</formula>
    </cfRule>
  </conditionalFormatting>
  <conditionalFormatting sqref="F24">
    <cfRule type="cellIs" dxfId="2307" priority="327" stopIfTrue="1" operator="equal">
      <formula>$E$24</formula>
    </cfRule>
    <cfRule type="cellIs" dxfId="2306" priority="328" stopIfTrue="1" operator="lessThan">
      <formula>$E$24</formula>
    </cfRule>
  </conditionalFormatting>
  <conditionalFormatting sqref="F25">
    <cfRule type="cellIs" dxfId="2305" priority="253" stopIfTrue="1" operator="equal">
      <formula>$E$25</formula>
    </cfRule>
    <cfRule type="cellIs" dxfId="2304" priority="254" stopIfTrue="1" operator="lessThan">
      <formula>$E$25</formula>
    </cfRule>
  </conditionalFormatting>
  <conditionalFormatting sqref="F26">
    <cfRule type="cellIs" dxfId="2303" priority="255" stopIfTrue="1" operator="equal">
      <formula>$E$26</formula>
    </cfRule>
    <cfRule type="cellIs" dxfId="2302" priority="256" stopIfTrue="1" operator="lessThan">
      <formula>$E$26</formula>
    </cfRule>
  </conditionalFormatting>
  <conditionalFormatting sqref="F27">
    <cfRule type="cellIs" dxfId="2301" priority="257" stopIfTrue="1" operator="equal">
      <formula>$E$27</formula>
    </cfRule>
    <cfRule type="cellIs" dxfId="2300" priority="258" stopIfTrue="1" operator="lessThan">
      <formula>$E$27</formula>
    </cfRule>
  </conditionalFormatting>
  <conditionalFormatting sqref="F28">
    <cfRule type="cellIs" dxfId="2299" priority="259" stopIfTrue="1" operator="equal">
      <formula>$E$28</formula>
    </cfRule>
    <cfRule type="cellIs" dxfId="2298" priority="260" stopIfTrue="1" operator="lessThan">
      <formula>$E$28</formula>
    </cfRule>
  </conditionalFormatting>
  <conditionalFormatting sqref="G4">
    <cfRule type="cellIs" dxfId="2297" priority="337" stopIfTrue="1" operator="equal">
      <formula>$F$4</formula>
    </cfRule>
  </conditionalFormatting>
  <conditionalFormatting sqref="G5">
    <cfRule type="cellIs" dxfId="2296" priority="335" stopIfTrue="1" operator="equal">
      <formula>$F$5</formula>
    </cfRule>
    <cfRule type="cellIs" dxfId="2295" priority="336" stopIfTrue="1" operator="lessThan">
      <formula>$F$5</formula>
    </cfRule>
  </conditionalFormatting>
  <conditionalFormatting sqref="G6">
    <cfRule type="cellIs" dxfId="2294" priority="83" stopIfTrue="1" operator="equal">
      <formula>$F$6</formula>
    </cfRule>
    <cfRule type="cellIs" dxfId="2293" priority="84" stopIfTrue="1" operator="lessThan">
      <formula>$F$6</formula>
    </cfRule>
  </conditionalFormatting>
  <conditionalFormatting sqref="G7">
    <cfRule type="cellIs" dxfId="2292" priority="56" stopIfTrue="1" operator="equal">
      <formula>$F$7</formula>
    </cfRule>
    <cfRule type="cellIs" dxfId="2291" priority="57" stopIfTrue="1" operator="lessThan">
      <formula>$F$7</formula>
    </cfRule>
  </conditionalFormatting>
  <conditionalFormatting sqref="G8">
    <cfRule type="cellIs" dxfId="2290" priority="109" stopIfTrue="1" operator="equal">
      <formula>$F$8</formula>
    </cfRule>
    <cfRule type="cellIs" dxfId="2289" priority="110" stopIfTrue="1" operator="lessThan">
      <formula>$F$8</formula>
    </cfRule>
  </conditionalFormatting>
  <conditionalFormatting sqref="G9">
    <cfRule type="cellIs" dxfId="2288" priority="123" stopIfTrue="1" operator="equal">
      <formula>$F$9</formula>
    </cfRule>
    <cfRule type="cellIs" dxfId="2287" priority="124" stopIfTrue="1" operator="lessThan">
      <formula>$F$9</formula>
    </cfRule>
  </conditionalFormatting>
  <conditionalFormatting sqref="G10">
    <cfRule type="cellIs" dxfId="2286" priority="137" stopIfTrue="1" operator="equal">
      <formula>$F$10</formula>
    </cfRule>
    <cfRule type="cellIs" dxfId="2285" priority="138" stopIfTrue="1" operator="lessThan">
      <formula>$F$10</formula>
    </cfRule>
  </conditionalFormatting>
  <conditionalFormatting sqref="G11">
    <cfRule type="cellIs" dxfId="2284" priority="151" stopIfTrue="1" operator="equal">
      <formula>$F$11</formula>
    </cfRule>
    <cfRule type="cellIs" dxfId="2283" priority="152" stopIfTrue="1" operator="lessThan">
      <formula>$F$11</formula>
    </cfRule>
  </conditionalFormatting>
  <conditionalFormatting sqref="G12">
    <cfRule type="cellIs" dxfId="2282" priority="165" stopIfTrue="1" operator="equal">
      <formula>$F$12</formula>
    </cfRule>
    <cfRule type="cellIs" dxfId="2281" priority="166" stopIfTrue="1" operator="lessThan">
      <formula>$F$12</formula>
    </cfRule>
  </conditionalFormatting>
  <conditionalFormatting sqref="G13">
    <cfRule type="cellIs" dxfId="2280" priority="261" stopIfTrue="1" operator="equal">
      <formula>$F$13</formula>
    </cfRule>
    <cfRule type="cellIs" dxfId="2279" priority="262" stopIfTrue="1" operator="lessThan">
      <formula>$F$13</formula>
    </cfRule>
  </conditionalFormatting>
  <conditionalFormatting sqref="G14">
    <cfRule type="cellIs" dxfId="2278" priority="263" stopIfTrue="1" operator="equal">
      <formula>$F$14</formula>
    </cfRule>
    <cfRule type="cellIs" dxfId="2277" priority="264" stopIfTrue="1" operator="lessThan">
      <formula>$F$14</formula>
    </cfRule>
  </conditionalFormatting>
  <conditionalFormatting sqref="G15">
    <cfRule type="cellIs" dxfId="2276" priority="265" stopIfTrue="1" operator="equal">
      <formula>$F$15</formula>
    </cfRule>
    <cfRule type="cellIs" dxfId="2275" priority="266" stopIfTrue="1" operator="lessThan">
      <formula>$F$15</formula>
    </cfRule>
  </conditionalFormatting>
  <conditionalFormatting sqref="G16">
    <cfRule type="cellIs" dxfId="2274" priority="267" stopIfTrue="1" operator="equal">
      <formula>$F$16</formula>
    </cfRule>
    <cfRule type="cellIs" dxfId="2273" priority="268" stopIfTrue="1" operator="lessThan">
      <formula>$F$16</formula>
    </cfRule>
  </conditionalFormatting>
  <conditionalFormatting sqref="G17">
    <cfRule type="cellIs" dxfId="2272" priority="269" stopIfTrue="1" operator="equal">
      <formula>$F$17</formula>
    </cfRule>
    <cfRule type="cellIs" dxfId="2271" priority="270" stopIfTrue="1" operator="lessThan">
      <formula>$F$17</formula>
    </cfRule>
  </conditionalFormatting>
  <conditionalFormatting sqref="G18">
    <cfRule type="cellIs" dxfId="2270" priority="271" stopIfTrue="1" operator="equal">
      <formula>$F$18</formula>
    </cfRule>
    <cfRule type="cellIs" dxfId="2269" priority="272" stopIfTrue="1" operator="lessThan">
      <formula>$F$18</formula>
    </cfRule>
  </conditionalFormatting>
  <conditionalFormatting sqref="G19">
    <cfRule type="cellIs" dxfId="2268" priority="273" stopIfTrue="1" operator="equal">
      <formula>$F$19</formula>
    </cfRule>
    <cfRule type="cellIs" dxfId="2267" priority="274" stopIfTrue="1" operator="lessThan">
      <formula>$F$19</formula>
    </cfRule>
  </conditionalFormatting>
  <conditionalFormatting sqref="G20">
    <cfRule type="cellIs" dxfId="2266" priority="275" stopIfTrue="1" operator="equal">
      <formula>$F$20</formula>
    </cfRule>
    <cfRule type="cellIs" dxfId="2265" priority="276" stopIfTrue="1" operator="lessThan">
      <formula>$F$20</formula>
    </cfRule>
  </conditionalFormatting>
  <conditionalFormatting sqref="G21">
    <cfRule type="cellIs" dxfId="2264" priority="277" stopIfTrue="1" operator="equal">
      <formula>$F$21</formula>
    </cfRule>
    <cfRule type="cellIs" dxfId="2263" priority="278" stopIfTrue="1" operator="lessThan">
      <formula>$F$21</formula>
    </cfRule>
  </conditionalFormatting>
  <conditionalFormatting sqref="G22">
    <cfRule type="cellIs" dxfId="2262" priority="279" stopIfTrue="1" operator="equal">
      <formula>$F$22</formula>
    </cfRule>
    <cfRule type="cellIs" dxfId="2261" priority="280" stopIfTrue="1" operator="lessThan">
      <formula>$F$22</formula>
    </cfRule>
  </conditionalFormatting>
  <conditionalFormatting sqref="G23">
    <cfRule type="cellIs" dxfId="2260" priority="281" stopIfTrue="1" operator="equal">
      <formula>$F$23</formula>
    </cfRule>
    <cfRule type="cellIs" dxfId="2259" priority="282" stopIfTrue="1" operator="lessThan">
      <formula>$F$23</formula>
    </cfRule>
  </conditionalFormatting>
  <conditionalFormatting sqref="G24">
    <cfRule type="cellIs" dxfId="2258" priority="329" stopIfTrue="1" operator="equal">
      <formula>$F$24</formula>
    </cfRule>
    <cfRule type="cellIs" dxfId="2257" priority="330" stopIfTrue="1" operator="lessThan">
      <formula>$F$24</formula>
    </cfRule>
  </conditionalFormatting>
  <conditionalFormatting sqref="G25">
    <cfRule type="cellIs" dxfId="2256" priority="283" stopIfTrue="1" operator="equal">
      <formula>$F$25</formula>
    </cfRule>
    <cfRule type="cellIs" dxfId="2255" priority="284" stopIfTrue="1" operator="lessThan">
      <formula>$F$25</formula>
    </cfRule>
  </conditionalFormatting>
  <conditionalFormatting sqref="G26">
    <cfRule type="cellIs" dxfId="2254" priority="285" stopIfTrue="1" operator="equal">
      <formula>$F$26</formula>
    </cfRule>
    <cfRule type="cellIs" dxfId="2253" priority="286" stopIfTrue="1" operator="lessThan">
      <formula>$F$26</formula>
    </cfRule>
  </conditionalFormatting>
  <conditionalFormatting sqref="G27">
    <cfRule type="cellIs" dxfId="2252" priority="287" stopIfTrue="1" operator="equal">
      <formula>$F$27</formula>
    </cfRule>
    <cfRule type="cellIs" dxfId="2251" priority="288" stopIfTrue="1" operator="lessThan">
      <formula>$F$27</formula>
    </cfRule>
  </conditionalFormatting>
  <conditionalFormatting sqref="G28">
    <cfRule type="cellIs" dxfId="2250" priority="289" stopIfTrue="1" operator="equal">
      <formula>$F$28</formula>
    </cfRule>
    <cfRule type="cellIs" dxfId="2249" priority="290" stopIfTrue="1" operator="lessThan">
      <formula>$F$28</formula>
    </cfRule>
  </conditionalFormatting>
  <conditionalFormatting sqref="H4">
    <cfRule type="cellIs" dxfId="2248" priority="54" stopIfTrue="1" operator="lessThan">
      <formula>$G$4</formula>
    </cfRule>
    <cfRule type="cellIs" dxfId="2247" priority="55" stopIfTrue="1" operator="equal">
      <formula>$G$4</formula>
    </cfRule>
  </conditionalFormatting>
  <conditionalFormatting sqref="H5">
    <cfRule type="cellIs" dxfId="2246" priority="58" stopIfTrue="1" operator="equal">
      <formula>$G$5</formula>
    </cfRule>
    <cfRule type="cellIs" dxfId="2245" priority="59" stopIfTrue="1" operator="lessThan">
      <formula>$G$5</formula>
    </cfRule>
  </conditionalFormatting>
  <conditionalFormatting sqref="H6">
    <cfRule type="cellIs" dxfId="2244" priority="85" stopIfTrue="1" operator="equal">
      <formula>$G$6</formula>
    </cfRule>
    <cfRule type="cellIs" dxfId="2243" priority="86" stopIfTrue="1" operator="lessThan">
      <formula>$G$6</formula>
    </cfRule>
  </conditionalFormatting>
  <conditionalFormatting sqref="H7">
    <cfRule type="cellIs" dxfId="2242" priority="97" stopIfTrue="1" operator="equal">
      <formula>$G$7</formula>
    </cfRule>
    <cfRule type="cellIs" dxfId="2241" priority="98" stopIfTrue="1" operator="lessThan">
      <formula>$G$7</formula>
    </cfRule>
  </conditionalFormatting>
  <conditionalFormatting sqref="H8">
    <cfRule type="cellIs" dxfId="2240" priority="111" stopIfTrue="1" operator="equal">
      <formula>$G$8</formula>
    </cfRule>
    <cfRule type="cellIs" dxfId="2239" priority="112" stopIfTrue="1" operator="lessThan">
      <formula>$G$8</formula>
    </cfRule>
  </conditionalFormatting>
  <conditionalFormatting sqref="H9">
    <cfRule type="cellIs" dxfId="2238" priority="125" stopIfTrue="1" operator="equal">
      <formula>$G$9</formula>
    </cfRule>
    <cfRule type="cellIs" dxfId="2237" priority="126" stopIfTrue="1" operator="lessThan">
      <formula>$G$9</formula>
    </cfRule>
  </conditionalFormatting>
  <conditionalFormatting sqref="H10">
    <cfRule type="cellIs" dxfId="2236" priority="139" stopIfTrue="1" operator="equal">
      <formula>$G$10</formula>
    </cfRule>
    <cfRule type="cellIs" dxfId="2235" priority="140" stopIfTrue="1" operator="lessThan">
      <formula>$G$10</formula>
    </cfRule>
  </conditionalFormatting>
  <conditionalFormatting sqref="H11">
    <cfRule type="cellIs" dxfId="2234" priority="153" stopIfTrue="1" operator="equal">
      <formula>$G$11</formula>
    </cfRule>
    <cfRule type="cellIs" dxfId="2233" priority="154" stopIfTrue="1" operator="lessThan">
      <formula>$G$11</formula>
    </cfRule>
  </conditionalFormatting>
  <conditionalFormatting sqref="H12">
    <cfRule type="cellIs" dxfId="2232" priority="167" stopIfTrue="1" operator="equal">
      <formula>$G$12</formula>
    </cfRule>
    <cfRule type="cellIs" dxfId="2231" priority="168" stopIfTrue="1" operator="lessThan">
      <formula>$G$12</formula>
    </cfRule>
  </conditionalFormatting>
  <conditionalFormatting sqref="H13">
    <cfRule type="cellIs" dxfId="2230" priority="293" stopIfTrue="1" operator="equal">
      <formula>$G$13</formula>
    </cfRule>
    <cfRule type="cellIs" dxfId="2229" priority="294" stopIfTrue="1" operator="lessThan">
      <formula>$G$13</formula>
    </cfRule>
  </conditionalFormatting>
  <conditionalFormatting sqref="H14">
    <cfRule type="cellIs" dxfId="2228" priority="295" stopIfTrue="1" operator="equal">
      <formula>$G$14</formula>
    </cfRule>
    <cfRule type="cellIs" dxfId="2227" priority="296" stopIfTrue="1" operator="lessThan">
      <formula>$G$14</formula>
    </cfRule>
  </conditionalFormatting>
  <conditionalFormatting sqref="H15">
    <cfRule type="cellIs" dxfId="2226" priority="297" stopIfTrue="1" operator="equal">
      <formula>$G$15</formula>
    </cfRule>
    <cfRule type="cellIs" dxfId="2225" priority="298" stopIfTrue="1" operator="lessThan">
      <formula>$G$15</formula>
    </cfRule>
  </conditionalFormatting>
  <conditionalFormatting sqref="H16">
    <cfRule type="cellIs" dxfId="2224" priority="299" stopIfTrue="1" operator="equal">
      <formula>$G$16</formula>
    </cfRule>
    <cfRule type="cellIs" dxfId="2223" priority="300" stopIfTrue="1" operator="lessThan">
      <formula>$G$16</formula>
    </cfRule>
  </conditionalFormatting>
  <conditionalFormatting sqref="H17">
    <cfRule type="cellIs" dxfId="2222" priority="301" stopIfTrue="1" operator="equal">
      <formula>$G$17</formula>
    </cfRule>
    <cfRule type="cellIs" dxfId="2221" priority="302" stopIfTrue="1" operator="lessThan">
      <formula>$G$17</formula>
    </cfRule>
  </conditionalFormatting>
  <conditionalFormatting sqref="H18">
    <cfRule type="cellIs" dxfId="2220" priority="303" stopIfTrue="1" operator="equal">
      <formula>$G$18</formula>
    </cfRule>
    <cfRule type="cellIs" dxfId="2219" priority="304" stopIfTrue="1" operator="lessThan">
      <formula>$G$18</formula>
    </cfRule>
  </conditionalFormatting>
  <conditionalFormatting sqref="H19">
    <cfRule type="cellIs" dxfId="2218" priority="305" stopIfTrue="1" operator="equal">
      <formula>$G$19</formula>
    </cfRule>
    <cfRule type="cellIs" dxfId="2217" priority="306" stopIfTrue="1" operator="lessThan">
      <formula>$G$19</formula>
    </cfRule>
  </conditionalFormatting>
  <conditionalFormatting sqref="H20">
    <cfRule type="cellIs" dxfId="2216" priority="307" stopIfTrue="1" operator="equal">
      <formula>$G$20</formula>
    </cfRule>
    <cfRule type="cellIs" dxfId="2215" priority="308" stopIfTrue="1" operator="lessThan">
      <formula>$G$20</formula>
    </cfRule>
  </conditionalFormatting>
  <conditionalFormatting sqref="H21">
    <cfRule type="cellIs" dxfId="2214" priority="309" stopIfTrue="1" operator="equal">
      <formula>$G$21</formula>
    </cfRule>
    <cfRule type="cellIs" dxfId="2213" priority="310" stopIfTrue="1" operator="lessThan">
      <formula>$G$21</formula>
    </cfRule>
  </conditionalFormatting>
  <conditionalFormatting sqref="H22">
    <cfRule type="cellIs" dxfId="2212" priority="311" stopIfTrue="1" operator="equal">
      <formula>$G$22</formula>
    </cfRule>
    <cfRule type="cellIs" dxfId="2211" priority="312" stopIfTrue="1" operator="lessThan">
      <formula>$G$22</formula>
    </cfRule>
  </conditionalFormatting>
  <conditionalFormatting sqref="H23">
    <cfRule type="cellIs" dxfId="2210" priority="313" stopIfTrue="1" operator="equal">
      <formula>$G$23</formula>
    </cfRule>
    <cfRule type="cellIs" dxfId="2209" priority="314" stopIfTrue="1" operator="lessThan">
      <formula>$G$23</formula>
    </cfRule>
  </conditionalFormatting>
  <conditionalFormatting sqref="H24">
    <cfRule type="cellIs" dxfId="2208" priority="331" stopIfTrue="1" operator="equal">
      <formula>$G$24</formula>
    </cfRule>
    <cfRule type="cellIs" dxfId="2207" priority="332" stopIfTrue="1" operator="lessThan">
      <formula>$G$24</formula>
    </cfRule>
  </conditionalFormatting>
  <conditionalFormatting sqref="H25">
    <cfRule type="cellIs" dxfId="2206" priority="315" stopIfTrue="1" operator="equal">
      <formula>$G$25</formula>
    </cfRule>
    <cfRule type="cellIs" dxfId="2205" priority="316" stopIfTrue="1" operator="lessThan">
      <formula>$G$25</formula>
    </cfRule>
  </conditionalFormatting>
  <conditionalFormatting sqref="H26">
    <cfRule type="cellIs" dxfId="2204" priority="317" stopIfTrue="1" operator="equal">
      <formula>$G$26</formula>
    </cfRule>
    <cfRule type="cellIs" dxfId="2203" priority="318" stopIfTrue="1" operator="lessThan">
      <formula>$G$26</formula>
    </cfRule>
  </conditionalFormatting>
  <conditionalFormatting sqref="H27">
    <cfRule type="cellIs" dxfId="2202" priority="319" stopIfTrue="1" operator="equal">
      <formula>$G$27</formula>
    </cfRule>
    <cfRule type="cellIs" dxfId="2201" priority="320" stopIfTrue="1" operator="lessThan">
      <formula>$G$27</formula>
    </cfRule>
  </conditionalFormatting>
  <conditionalFormatting sqref="H28">
    <cfRule type="cellIs" dxfId="2200" priority="321" stopIfTrue="1" operator="equal">
      <formula>$G$28</formula>
    </cfRule>
    <cfRule type="cellIs" dxfId="2199" priority="322" stopIfTrue="1" operator="lessThan">
      <formula>$G$28</formula>
    </cfRule>
  </conditionalFormatting>
  <conditionalFormatting sqref="I4">
    <cfRule type="cellIs" dxfId="2198" priority="74" stopIfTrue="1" operator="equal">
      <formula>$H$4</formula>
    </cfRule>
  </conditionalFormatting>
  <conditionalFormatting sqref="I5">
    <cfRule type="cellIs" dxfId="2197" priority="60" stopIfTrue="1" operator="equal">
      <formula>$H$5</formula>
    </cfRule>
    <cfRule type="cellIs" dxfId="2196" priority="61" stopIfTrue="1" operator="lessThan">
      <formula>$H$5</formula>
    </cfRule>
  </conditionalFormatting>
  <conditionalFormatting sqref="I6">
    <cfRule type="cellIs" dxfId="2195" priority="87" stopIfTrue="1" operator="equal">
      <formula>$H$6</formula>
    </cfRule>
    <cfRule type="cellIs" dxfId="2194" priority="88" stopIfTrue="1" operator="lessThan">
      <formula>$H$6</formula>
    </cfRule>
  </conditionalFormatting>
  <conditionalFormatting sqref="I7">
    <cfRule type="cellIs" dxfId="2193" priority="99" stopIfTrue="1" operator="equal">
      <formula>$H$7</formula>
    </cfRule>
    <cfRule type="cellIs" dxfId="2192" priority="100" stopIfTrue="1" operator="lessThan">
      <formula>$H$7</formula>
    </cfRule>
  </conditionalFormatting>
  <conditionalFormatting sqref="I8">
    <cfRule type="cellIs" dxfId="2191" priority="113" stopIfTrue="1" operator="equal">
      <formula>$H$8</formula>
    </cfRule>
    <cfRule type="cellIs" dxfId="2190" priority="114" stopIfTrue="1" operator="lessThan">
      <formula>$H$8</formula>
    </cfRule>
  </conditionalFormatting>
  <conditionalFormatting sqref="I9">
    <cfRule type="cellIs" dxfId="2189" priority="127" stopIfTrue="1" operator="equal">
      <formula>$H$9</formula>
    </cfRule>
    <cfRule type="cellIs" dxfId="2188" priority="128" stopIfTrue="1" operator="lessThan">
      <formula>$H$9</formula>
    </cfRule>
  </conditionalFormatting>
  <conditionalFormatting sqref="I10">
    <cfRule type="cellIs" dxfId="2187" priority="141" stopIfTrue="1" operator="equal">
      <formula>$H$10</formula>
    </cfRule>
    <cfRule type="cellIs" dxfId="2186" priority="142" stopIfTrue="1" operator="lessThan">
      <formula>$H$10</formula>
    </cfRule>
  </conditionalFormatting>
  <conditionalFormatting sqref="I11">
    <cfRule type="cellIs" dxfId="2185" priority="155" stopIfTrue="1" operator="equal">
      <formula>$H$11</formula>
    </cfRule>
    <cfRule type="cellIs" dxfId="2184" priority="156" stopIfTrue="1" operator="lessThan">
      <formula>$H$11</formula>
    </cfRule>
  </conditionalFormatting>
  <conditionalFormatting sqref="I12">
    <cfRule type="cellIs" dxfId="2183" priority="169" stopIfTrue="1" operator="equal">
      <formula>$H$12</formula>
    </cfRule>
    <cfRule type="cellIs" dxfId="2182" priority="170" stopIfTrue="1" operator="lessThan">
      <formula>$H$12</formula>
    </cfRule>
  </conditionalFormatting>
  <conditionalFormatting sqref="I13">
    <cfRule type="cellIs" dxfId="2181" priority="339" stopIfTrue="1" operator="equal">
      <formula>$H$13</formula>
    </cfRule>
    <cfRule type="cellIs" dxfId="2180" priority="340" stopIfTrue="1" operator="lessThan">
      <formula>$H$13</formula>
    </cfRule>
  </conditionalFormatting>
  <conditionalFormatting sqref="I14">
    <cfRule type="cellIs" dxfId="2179" priority="341" stopIfTrue="1" operator="equal">
      <formula>$H$14</formula>
    </cfRule>
    <cfRule type="cellIs" dxfId="2178" priority="342" stopIfTrue="1" operator="lessThan">
      <formula>$H$14</formula>
    </cfRule>
  </conditionalFormatting>
  <conditionalFormatting sqref="I15">
    <cfRule type="cellIs" dxfId="2177" priority="343" stopIfTrue="1" operator="equal">
      <formula>$H$15</formula>
    </cfRule>
    <cfRule type="cellIs" dxfId="2176" priority="344" stopIfTrue="1" operator="lessThan">
      <formula>$H$15</formula>
    </cfRule>
  </conditionalFormatting>
  <conditionalFormatting sqref="I16">
    <cfRule type="cellIs" dxfId="2175" priority="345" stopIfTrue="1" operator="equal">
      <formula>$H$16</formula>
    </cfRule>
    <cfRule type="cellIs" dxfId="2174" priority="346" stopIfTrue="1" operator="lessThan">
      <formula>$H$16</formula>
    </cfRule>
  </conditionalFormatting>
  <conditionalFormatting sqref="I17">
    <cfRule type="cellIs" dxfId="2173" priority="347" stopIfTrue="1" operator="equal">
      <formula>$H$17</formula>
    </cfRule>
    <cfRule type="cellIs" dxfId="2172" priority="348" stopIfTrue="1" operator="lessThan">
      <formula>$H$17</formula>
    </cfRule>
  </conditionalFormatting>
  <conditionalFormatting sqref="I18">
    <cfRule type="cellIs" dxfId="2171" priority="349" stopIfTrue="1" operator="equal">
      <formula>$H$18</formula>
    </cfRule>
    <cfRule type="cellIs" dxfId="2170" priority="350" stopIfTrue="1" operator="lessThan">
      <formula>$H$18</formula>
    </cfRule>
  </conditionalFormatting>
  <conditionalFormatting sqref="I19">
    <cfRule type="cellIs" dxfId="2169" priority="351" stopIfTrue="1" operator="equal">
      <formula>$H$19</formula>
    </cfRule>
    <cfRule type="cellIs" dxfId="2168" priority="352" stopIfTrue="1" operator="lessThan">
      <formula>$H$19</formula>
    </cfRule>
  </conditionalFormatting>
  <conditionalFormatting sqref="I20">
    <cfRule type="cellIs" dxfId="2167" priority="353" stopIfTrue="1" operator="equal">
      <formula>$H$20</formula>
    </cfRule>
    <cfRule type="cellIs" dxfId="2166" priority="354" stopIfTrue="1" operator="lessThan">
      <formula>$H$20</formula>
    </cfRule>
  </conditionalFormatting>
  <conditionalFormatting sqref="I21">
    <cfRule type="cellIs" dxfId="2165" priority="355" stopIfTrue="1" operator="equal">
      <formula>$H$21</formula>
    </cfRule>
    <cfRule type="cellIs" dxfId="2164" priority="356" stopIfTrue="1" operator="lessThan">
      <formula>$H$21</formula>
    </cfRule>
  </conditionalFormatting>
  <conditionalFormatting sqref="I22">
    <cfRule type="cellIs" dxfId="2163" priority="357" stopIfTrue="1" operator="equal">
      <formula>$H$22</formula>
    </cfRule>
    <cfRule type="cellIs" dxfId="2162" priority="358" stopIfTrue="1" operator="lessThan">
      <formula>$H$22</formula>
    </cfRule>
  </conditionalFormatting>
  <conditionalFormatting sqref="I23">
    <cfRule type="cellIs" dxfId="2161" priority="359" stopIfTrue="1" operator="equal">
      <formula>$H$23</formula>
    </cfRule>
    <cfRule type="cellIs" dxfId="2160" priority="360" stopIfTrue="1" operator="lessThan">
      <formula>$H$23</formula>
    </cfRule>
  </conditionalFormatting>
  <conditionalFormatting sqref="I24">
    <cfRule type="cellIs" dxfId="2159" priority="361" stopIfTrue="1" operator="equal">
      <formula>$H$24</formula>
    </cfRule>
    <cfRule type="cellIs" dxfId="2158" priority="362" stopIfTrue="1" operator="lessThan">
      <formula>$H$24</formula>
    </cfRule>
  </conditionalFormatting>
  <conditionalFormatting sqref="I25">
    <cfRule type="cellIs" dxfId="2157" priority="363" stopIfTrue="1" operator="equal">
      <formula>$H$25</formula>
    </cfRule>
    <cfRule type="cellIs" dxfId="2156" priority="364" stopIfTrue="1" operator="lessThan">
      <formula>$H$25</formula>
    </cfRule>
  </conditionalFormatting>
  <conditionalFormatting sqref="I26">
    <cfRule type="cellIs" dxfId="2155" priority="365" stopIfTrue="1" operator="equal">
      <formula>$H$26</formula>
    </cfRule>
    <cfRule type="cellIs" dxfId="2154" priority="366" stopIfTrue="1" operator="lessThan">
      <formula>$H$26</formula>
    </cfRule>
  </conditionalFormatting>
  <conditionalFormatting sqref="I27">
    <cfRule type="cellIs" dxfId="2153" priority="367" stopIfTrue="1" operator="equal">
      <formula>$H$27</formula>
    </cfRule>
    <cfRule type="cellIs" dxfId="2152" priority="368" stopIfTrue="1" operator="lessThan">
      <formula>$H$27</formula>
    </cfRule>
  </conditionalFormatting>
  <conditionalFormatting sqref="I28">
    <cfRule type="cellIs" dxfId="2151" priority="370" stopIfTrue="1" operator="equal">
      <formula>$H$28</formula>
    </cfRule>
    <cfRule type="cellIs" dxfId="2150" priority="371" stopIfTrue="1" operator="lessThan">
      <formula>$H$28</formula>
    </cfRule>
  </conditionalFormatting>
  <conditionalFormatting sqref="I29">
    <cfRule type="cellIs" dxfId="2149" priority="372" stopIfTrue="1" operator="equal">
      <formula>$H$29</formula>
    </cfRule>
    <cfRule type="cellIs" dxfId="2148" priority="373" stopIfTrue="1" operator="lessThan">
      <formula>$H$29</formula>
    </cfRule>
  </conditionalFormatting>
  <conditionalFormatting sqref="J4">
    <cfRule type="cellIs" dxfId="2147" priority="75" stopIfTrue="1" operator="lessThan">
      <formula>$I$4</formula>
    </cfRule>
    <cfRule type="cellIs" dxfId="2146" priority="76" stopIfTrue="1" operator="equal">
      <formula>$I$4</formula>
    </cfRule>
  </conditionalFormatting>
  <conditionalFormatting sqref="J5">
    <cfRule type="cellIs" dxfId="2145" priority="62" stopIfTrue="1" operator="equal">
      <formula>$I$5</formula>
    </cfRule>
    <cfRule type="cellIs" dxfId="2144" priority="63" stopIfTrue="1" operator="lessThan">
      <formula>$I$5</formula>
    </cfRule>
  </conditionalFormatting>
  <conditionalFormatting sqref="J6">
    <cfRule type="cellIs" dxfId="2143" priority="89" stopIfTrue="1" operator="equal">
      <formula>$I$6</formula>
    </cfRule>
    <cfRule type="cellIs" dxfId="2142" priority="90" stopIfTrue="1" operator="lessThan">
      <formula>$I$6</formula>
    </cfRule>
  </conditionalFormatting>
  <conditionalFormatting sqref="J7">
    <cfRule type="cellIs" dxfId="2141" priority="101" stopIfTrue="1" operator="equal">
      <formula>$I$7</formula>
    </cfRule>
    <cfRule type="cellIs" dxfId="2140" priority="102" stopIfTrue="1" operator="lessThan">
      <formula>$I$7</formula>
    </cfRule>
  </conditionalFormatting>
  <conditionalFormatting sqref="J8">
    <cfRule type="cellIs" dxfId="2139" priority="115" stopIfTrue="1" operator="equal">
      <formula>$I$8</formula>
    </cfRule>
    <cfRule type="cellIs" dxfId="2138" priority="116" stopIfTrue="1" operator="lessThan">
      <formula>$I$8</formula>
    </cfRule>
  </conditionalFormatting>
  <conditionalFormatting sqref="J9">
    <cfRule type="cellIs" dxfId="2137" priority="129" stopIfTrue="1" operator="equal">
      <formula>$I$9</formula>
    </cfRule>
    <cfRule type="cellIs" dxfId="2136" priority="130" stopIfTrue="1" operator="lessThan">
      <formula>$I$9</formula>
    </cfRule>
  </conditionalFormatting>
  <conditionalFormatting sqref="J10">
    <cfRule type="cellIs" dxfId="2135" priority="143" stopIfTrue="1" operator="equal">
      <formula>$I$10</formula>
    </cfRule>
    <cfRule type="cellIs" dxfId="2134" priority="144" stopIfTrue="1" operator="lessThan">
      <formula>$I$10</formula>
    </cfRule>
  </conditionalFormatting>
  <conditionalFormatting sqref="J11">
    <cfRule type="cellIs" dxfId="2133" priority="157" stopIfTrue="1" operator="equal">
      <formula>$I$11</formula>
    </cfRule>
    <cfRule type="cellIs" dxfId="2132" priority="158" stopIfTrue="1" operator="lessThan">
      <formula>$I$11</formula>
    </cfRule>
  </conditionalFormatting>
  <conditionalFormatting sqref="J12">
    <cfRule type="cellIs" dxfId="2131" priority="171" stopIfTrue="1" operator="equal">
      <formula>$I$12</formula>
    </cfRule>
    <cfRule type="cellIs" dxfId="2130" priority="172" stopIfTrue="1" operator="lessThan">
      <formula>$I$12</formula>
    </cfRule>
  </conditionalFormatting>
  <conditionalFormatting sqref="J13">
    <cfRule type="cellIs" dxfId="2129" priority="374" stopIfTrue="1" operator="equal">
      <formula>$I$13</formula>
    </cfRule>
    <cfRule type="cellIs" dxfId="2128" priority="375" stopIfTrue="1" operator="lessThan">
      <formula>$I$13</formula>
    </cfRule>
  </conditionalFormatting>
  <conditionalFormatting sqref="J14">
    <cfRule type="cellIs" dxfId="2127" priority="376" stopIfTrue="1" operator="equal">
      <formula>$I$14</formula>
    </cfRule>
    <cfRule type="cellIs" dxfId="2126" priority="377" stopIfTrue="1" operator="lessThan">
      <formula>$I$14</formula>
    </cfRule>
  </conditionalFormatting>
  <conditionalFormatting sqref="J15">
    <cfRule type="cellIs" dxfId="2125" priority="378" stopIfTrue="1" operator="equal">
      <formula>$I$15</formula>
    </cfRule>
    <cfRule type="cellIs" dxfId="2124" priority="379" stopIfTrue="1" operator="lessThan">
      <formula>$I$15</formula>
    </cfRule>
  </conditionalFormatting>
  <conditionalFormatting sqref="J16">
    <cfRule type="cellIs" dxfId="2123" priority="380" stopIfTrue="1" operator="equal">
      <formula>$I$16</formula>
    </cfRule>
    <cfRule type="cellIs" dxfId="2122" priority="381" stopIfTrue="1" operator="lessThan">
      <formula>$I$16</formula>
    </cfRule>
  </conditionalFormatting>
  <conditionalFormatting sqref="J17">
    <cfRule type="cellIs" dxfId="2121" priority="382" stopIfTrue="1" operator="equal">
      <formula>$I$17</formula>
    </cfRule>
    <cfRule type="cellIs" dxfId="2120" priority="383" stopIfTrue="1" operator="lessThan">
      <formula>$I$17</formula>
    </cfRule>
  </conditionalFormatting>
  <conditionalFormatting sqref="J18">
    <cfRule type="cellIs" dxfId="2119" priority="384" stopIfTrue="1" operator="equal">
      <formula>$I$18</formula>
    </cfRule>
    <cfRule type="cellIs" dxfId="2118" priority="385" stopIfTrue="1" operator="lessThan">
      <formula>$I$18</formula>
    </cfRule>
  </conditionalFormatting>
  <conditionalFormatting sqref="J19">
    <cfRule type="cellIs" dxfId="2117" priority="386" stopIfTrue="1" operator="equal">
      <formula>$I$19</formula>
    </cfRule>
    <cfRule type="cellIs" dxfId="2116" priority="387" stopIfTrue="1" operator="lessThan">
      <formula>$I$19</formula>
    </cfRule>
  </conditionalFormatting>
  <conditionalFormatting sqref="J20">
    <cfRule type="cellIs" dxfId="2115" priority="388" stopIfTrue="1" operator="equal">
      <formula>$I$20</formula>
    </cfRule>
    <cfRule type="cellIs" dxfId="2114" priority="389" stopIfTrue="1" operator="lessThan">
      <formula>$I$20</formula>
    </cfRule>
  </conditionalFormatting>
  <conditionalFormatting sqref="J21">
    <cfRule type="cellIs" dxfId="2113" priority="390" stopIfTrue="1" operator="equal">
      <formula>$I$21</formula>
    </cfRule>
    <cfRule type="cellIs" dxfId="2112" priority="391" stopIfTrue="1" operator="lessThan">
      <formula>$I$21</formula>
    </cfRule>
  </conditionalFormatting>
  <conditionalFormatting sqref="J22">
    <cfRule type="cellIs" dxfId="2111" priority="392" stopIfTrue="1" operator="equal">
      <formula>$I$22</formula>
    </cfRule>
    <cfRule type="cellIs" dxfId="2110" priority="393" stopIfTrue="1" operator="lessThan">
      <formula>$I$22</formula>
    </cfRule>
  </conditionalFormatting>
  <conditionalFormatting sqref="J23">
    <cfRule type="cellIs" dxfId="2109" priority="394" stopIfTrue="1" operator="equal">
      <formula>$I$23</formula>
    </cfRule>
    <cfRule type="cellIs" dxfId="2108" priority="395" stopIfTrue="1" operator="lessThan">
      <formula>$I$23</formula>
    </cfRule>
  </conditionalFormatting>
  <conditionalFormatting sqref="J24">
    <cfRule type="cellIs" dxfId="2107" priority="396" stopIfTrue="1" operator="equal">
      <formula>$I$24</formula>
    </cfRule>
    <cfRule type="cellIs" dxfId="2106" priority="397" stopIfTrue="1" operator="lessThan">
      <formula>$I$24</formula>
    </cfRule>
  </conditionalFormatting>
  <conditionalFormatting sqref="J25">
    <cfRule type="cellIs" dxfId="2105" priority="398" stopIfTrue="1" operator="equal">
      <formula>$I$25</formula>
    </cfRule>
    <cfRule type="cellIs" dxfId="2104" priority="399" stopIfTrue="1" operator="lessThan">
      <formula>$I$25</formula>
    </cfRule>
  </conditionalFormatting>
  <conditionalFormatting sqref="J26">
    <cfRule type="cellIs" dxfId="2103" priority="400" stopIfTrue="1" operator="equal">
      <formula>$I$26</formula>
    </cfRule>
    <cfRule type="cellIs" dxfId="2102" priority="401" stopIfTrue="1" operator="lessThan">
      <formula>$I$26</formula>
    </cfRule>
  </conditionalFormatting>
  <conditionalFormatting sqref="J27">
    <cfRule type="cellIs" dxfId="2101" priority="402" stopIfTrue="1" operator="equal">
      <formula>$I$27</formula>
    </cfRule>
    <cfRule type="cellIs" dxfId="2100" priority="403" stopIfTrue="1" operator="lessThan">
      <formula>$I$27</formula>
    </cfRule>
  </conditionalFormatting>
  <conditionalFormatting sqref="J28">
    <cfRule type="cellIs" dxfId="2099" priority="404" stopIfTrue="1" operator="equal">
      <formula>$I$28</formula>
    </cfRule>
    <cfRule type="cellIs" dxfId="2098" priority="405" stopIfTrue="1" operator="lessThan">
      <formula>$I$28</formula>
    </cfRule>
  </conditionalFormatting>
  <conditionalFormatting sqref="K4">
    <cfRule type="cellIs" dxfId="2097" priority="406" stopIfTrue="1" operator="equal">
      <formula>$J$4</formula>
    </cfRule>
    <cfRule type="cellIs" dxfId="2096" priority="407" stopIfTrue="1" operator="lessThan">
      <formula>$J$4</formula>
    </cfRule>
  </conditionalFormatting>
  <conditionalFormatting sqref="K5">
    <cfRule type="cellIs" dxfId="2095" priority="408" stopIfTrue="1" operator="equal">
      <formula>$J$5</formula>
    </cfRule>
    <cfRule type="cellIs" dxfId="2094" priority="409" stopIfTrue="1" operator="lessThan">
      <formula>$J$5</formula>
    </cfRule>
  </conditionalFormatting>
  <conditionalFormatting sqref="K6">
    <cfRule type="cellIs" dxfId="2093" priority="410" stopIfTrue="1" operator="equal">
      <formula>$J$6</formula>
    </cfRule>
    <cfRule type="cellIs" dxfId="2092" priority="411" stopIfTrue="1" operator="lessThan">
      <formula>$J$6</formula>
    </cfRule>
  </conditionalFormatting>
  <conditionalFormatting sqref="K7">
    <cfRule type="cellIs" dxfId="2091" priority="412" stopIfTrue="1" operator="equal">
      <formula>$J$7</formula>
    </cfRule>
    <cfRule type="cellIs" dxfId="2090" priority="413" stopIfTrue="1" operator="lessThan">
      <formula>$J$7</formula>
    </cfRule>
  </conditionalFormatting>
  <conditionalFormatting sqref="K8">
    <cfRule type="cellIs" dxfId="2089" priority="414" stopIfTrue="1" operator="equal">
      <formula>$J$8</formula>
    </cfRule>
    <cfRule type="cellIs" dxfId="2088" priority="415" stopIfTrue="1" operator="lessThan">
      <formula>$J$8</formula>
    </cfRule>
  </conditionalFormatting>
  <conditionalFormatting sqref="K9">
    <cfRule type="cellIs" dxfId="2087" priority="416" stopIfTrue="1" operator="equal">
      <formula>$J$9</formula>
    </cfRule>
    <cfRule type="cellIs" dxfId="2086" priority="417" stopIfTrue="1" operator="lessThan">
      <formula>$J$9</formula>
    </cfRule>
  </conditionalFormatting>
  <conditionalFormatting sqref="K10">
    <cfRule type="cellIs" dxfId="2085" priority="418" stopIfTrue="1" operator="equal">
      <formula>$J$10</formula>
    </cfRule>
    <cfRule type="cellIs" dxfId="2084" priority="419" stopIfTrue="1" operator="lessThan">
      <formula>$J$10</formula>
    </cfRule>
  </conditionalFormatting>
  <conditionalFormatting sqref="K11">
    <cfRule type="cellIs" dxfId="2083" priority="420" stopIfTrue="1" operator="equal">
      <formula>$J$11</formula>
    </cfRule>
    <cfRule type="cellIs" dxfId="2082" priority="421" stopIfTrue="1" operator="lessThan">
      <formula>$J$11</formula>
    </cfRule>
  </conditionalFormatting>
  <conditionalFormatting sqref="K12">
    <cfRule type="cellIs" dxfId="2081" priority="422" stopIfTrue="1" operator="equal">
      <formula>$J$12</formula>
    </cfRule>
    <cfRule type="cellIs" dxfId="2080" priority="423" stopIfTrue="1" operator="lessThan">
      <formula>$J$12</formula>
    </cfRule>
  </conditionalFormatting>
  <conditionalFormatting sqref="K13">
    <cfRule type="cellIs" dxfId="2079" priority="424" stopIfTrue="1" operator="equal">
      <formula>$J$13</formula>
    </cfRule>
    <cfRule type="cellIs" dxfId="2078" priority="425" stopIfTrue="1" operator="lessThan">
      <formula>$J$13</formula>
    </cfRule>
  </conditionalFormatting>
  <conditionalFormatting sqref="K14">
    <cfRule type="cellIs" dxfId="2077" priority="426" stopIfTrue="1" operator="equal">
      <formula>$J$14</formula>
    </cfRule>
    <cfRule type="cellIs" dxfId="2076" priority="427" stopIfTrue="1" operator="lessThan">
      <formula>$J$14</formula>
    </cfRule>
  </conditionalFormatting>
  <conditionalFormatting sqref="K15">
    <cfRule type="cellIs" dxfId="2075" priority="428" stopIfTrue="1" operator="equal">
      <formula>$J$15</formula>
    </cfRule>
    <cfRule type="cellIs" dxfId="2074" priority="429" stopIfTrue="1" operator="lessThan">
      <formula>$J$15</formula>
    </cfRule>
  </conditionalFormatting>
  <conditionalFormatting sqref="K16">
    <cfRule type="cellIs" dxfId="2073" priority="430" stopIfTrue="1" operator="equal">
      <formula>$J$16</formula>
    </cfRule>
    <cfRule type="cellIs" dxfId="2072" priority="431" stopIfTrue="1" operator="lessThan">
      <formula>$J$16</formula>
    </cfRule>
  </conditionalFormatting>
  <conditionalFormatting sqref="K17">
    <cfRule type="cellIs" dxfId="2071" priority="432" stopIfTrue="1" operator="equal">
      <formula>$J$17</formula>
    </cfRule>
    <cfRule type="cellIs" dxfId="2070" priority="433" stopIfTrue="1" operator="lessThan">
      <formula>$J$17</formula>
    </cfRule>
  </conditionalFormatting>
  <conditionalFormatting sqref="K18">
    <cfRule type="cellIs" dxfId="2069" priority="434" stopIfTrue="1" operator="equal">
      <formula>$J$18</formula>
    </cfRule>
    <cfRule type="cellIs" dxfId="2068" priority="435" stopIfTrue="1" operator="lessThan">
      <formula>$J$18</formula>
    </cfRule>
  </conditionalFormatting>
  <conditionalFormatting sqref="K19">
    <cfRule type="cellIs" dxfId="2067" priority="436" stopIfTrue="1" operator="equal">
      <formula>$J$19</formula>
    </cfRule>
    <cfRule type="cellIs" dxfId="2066" priority="437" stopIfTrue="1" operator="lessThan">
      <formula>$J$19</formula>
    </cfRule>
  </conditionalFormatting>
  <conditionalFormatting sqref="K20">
    <cfRule type="cellIs" dxfId="2065" priority="438" stopIfTrue="1" operator="equal">
      <formula>$J$20</formula>
    </cfRule>
    <cfRule type="cellIs" dxfId="2064" priority="439" stopIfTrue="1" operator="lessThan">
      <formula>$J$20</formula>
    </cfRule>
  </conditionalFormatting>
  <conditionalFormatting sqref="K21">
    <cfRule type="cellIs" dxfId="2063" priority="440" stopIfTrue="1" operator="equal">
      <formula>$J$21</formula>
    </cfRule>
    <cfRule type="cellIs" dxfId="2062" priority="441" stopIfTrue="1" operator="lessThan">
      <formula>$J$21</formula>
    </cfRule>
  </conditionalFormatting>
  <conditionalFormatting sqref="K22">
    <cfRule type="cellIs" dxfId="2061" priority="442" stopIfTrue="1" operator="equal">
      <formula>$J$22</formula>
    </cfRule>
    <cfRule type="cellIs" dxfId="2060" priority="443" stopIfTrue="1" operator="lessThan">
      <formula>$J$22</formula>
    </cfRule>
  </conditionalFormatting>
  <conditionalFormatting sqref="K23">
    <cfRule type="cellIs" dxfId="2059" priority="444" stopIfTrue="1" operator="equal">
      <formula>$J$23</formula>
    </cfRule>
    <cfRule type="cellIs" dxfId="2058" priority="445" stopIfTrue="1" operator="lessThan">
      <formula>$J$23</formula>
    </cfRule>
  </conditionalFormatting>
  <conditionalFormatting sqref="K24">
    <cfRule type="cellIs" dxfId="2057" priority="446" stopIfTrue="1" operator="equal">
      <formula>$J$24</formula>
    </cfRule>
    <cfRule type="cellIs" dxfId="2056" priority="447" stopIfTrue="1" operator="lessThan">
      <formula>$J$24</formula>
    </cfRule>
  </conditionalFormatting>
  <conditionalFormatting sqref="K25">
    <cfRule type="cellIs" dxfId="2055" priority="448" stopIfTrue="1" operator="equal">
      <formula>$J$25</formula>
    </cfRule>
    <cfRule type="cellIs" dxfId="2054" priority="449" stopIfTrue="1" operator="lessThan">
      <formula>$J$25</formula>
    </cfRule>
  </conditionalFormatting>
  <conditionalFormatting sqref="K26">
    <cfRule type="cellIs" dxfId="2053" priority="450" stopIfTrue="1" operator="equal">
      <formula>$J$26</formula>
    </cfRule>
    <cfRule type="cellIs" dxfId="2052" priority="451" stopIfTrue="1" operator="lessThan">
      <formula>$J$26</formula>
    </cfRule>
  </conditionalFormatting>
  <conditionalFormatting sqref="K27">
    <cfRule type="cellIs" dxfId="2051" priority="452" stopIfTrue="1" operator="equal">
      <formula>$J$27</formula>
    </cfRule>
    <cfRule type="cellIs" dxfId="2050" priority="453" stopIfTrue="1" operator="lessThan">
      <formula>$J$27</formula>
    </cfRule>
  </conditionalFormatting>
  <conditionalFormatting sqref="K28">
    <cfRule type="cellIs" dxfId="2049" priority="454" stopIfTrue="1" operator="lessThan">
      <formula>$J$28</formula>
    </cfRule>
    <cfRule type="cellIs" dxfId="2048" priority="455" stopIfTrue="1" operator="equal">
      <formula>$J$28</formula>
    </cfRule>
  </conditionalFormatting>
  <conditionalFormatting sqref="K29">
    <cfRule type="cellIs" dxfId="2047" priority="456" stopIfTrue="1" operator="equal">
      <formula>$J$29</formula>
    </cfRule>
    <cfRule type="cellIs" dxfId="2046" priority="457" stopIfTrue="1" operator="lessThan">
      <formula>$J$29</formula>
    </cfRule>
  </conditionalFormatting>
  <conditionalFormatting sqref="L4">
    <cfRule type="cellIs" dxfId="2045" priority="458" stopIfTrue="1" operator="equal">
      <formula>$K$4</formula>
    </cfRule>
    <cfRule type="cellIs" dxfId="2044" priority="459" stopIfTrue="1" operator="lessThan">
      <formula>$K$4</formula>
    </cfRule>
  </conditionalFormatting>
  <conditionalFormatting sqref="L5">
    <cfRule type="cellIs" dxfId="2043" priority="460" stopIfTrue="1" operator="equal">
      <formula>$K$5</formula>
    </cfRule>
    <cfRule type="cellIs" dxfId="2042" priority="461" stopIfTrue="1" operator="lessThan">
      <formula>$K$5</formula>
    </cfRule>
  </conditionalFormatting>
  <conditionalFormatting sqref="L6">
    <cfRule type="cellIs" dxfId="2041" priority="462" stopIfTrue="1" operator="equal">
      <formula>$K$6</formula>
    </cfRule>
    <cfRule type="cellIs" dxfId="2040" priority="463" stopIfTrue="1" operator="lessThan">
      <formula>$K$6</formula>
    </cfRule>
  </conditionalFormatting>
  <conditionalFormatting sqref="L7">
    <cfRule type="cellIs" dxfId="2039" priority="464" stopIfTrue="1" operator="equal">
      <formula>$K$7</formula>
    </cfRule>
    <cfRule type="cellIs" dxfId="2038" priority="465" stopIfTrue="1" operator="lessThan">
      <formula>$K$7</formula>
    </cfRule>
  </conditionalFormatting>
  <conditionalFormatting sqref="L8">
    <cfRule type="cellIs" dxfId="2037" priority="466" stopIfTrue="1" operator="equal">
      <formula>$K$8</formula>
    </cfRule>
    <cfRule type="cellIs" dxfId="2036" priority="467" stopIfTrue="1" operator="lessThan">
      <formula>$K$8</formula>
    </cfRule>
  </conditionalFormatting>
  <conditionalFormatting sqref="L9">
    <cfRule type="cellIs" dxfId="2035" priority="468" stopIfTrue="1" operator="equal">
      <formula>$K$9</formula>
    </cfRule>
    <cfRule type="cellIs" dxfId="2034" priority="469" stopIfTrue="1" operator="lessThan">
      <formula>$K$9</formula>
    </cfRule>
  </conditionalFormatting>
  <conditionalFormatting sqref="L10">
    <cfRule type="cellIs" dxfId="2033" priority="470" stopIfTrue="1" operator="equal">
      <formula>$K$10</formula>
    </cfRule>
    <cfRule type="cellIs" dxfId="2032" priority="471" stopIfTrue="1" operator="lessThan">
      <formula>$K$10</formula>
    </cfRule>
  </conditionalFormatting>
  <conditionalFormatting sqref="L11">
    <cfRule type="cellIs" dxfId="2031" priority="492" stopIfTrue="1" operator="equal">
      <formula>$K$11</formula>
    </cfRule>
    <cfRule type="cellIs" dxfId="2030" priority="493" stopIfTrue="1" operator="lessThan">
      <formula>$K$11</formula>
    </cfRule>
  </conditionalFormatting>
  <conditionalFormatting sqref="L12">
    <cfRule type="cellIs" dxfId="2029" priority="472" stopIfTrue="1" operator="equal">
      <formula>$K$12</formula>
    </cfRule>
    <cfRule type="cellIs" dxfId="2028" priority="473" stopIfTrue="1" operator="lessThan">
      <formula>$K$12</formula>
    </cfRule>
  </conditionalFormatting>
  <conditionalFormatting sqref="L13">
    <cfRule type="cellIs" dxfId="2027" priority="474" stopIfTrue="1" operator="equal">
      <formula>$K$13</formula>
    </cfRule>
    <cfRule type="cellIs" dxfId="2026" priority="475" stopIfTrue="1" operator="lessThan">
      <formula>$K$13</formula>
    </cfRule>
  </conditionalFormatting>
  <conditionalFormatting sqref="L14">
    <cfRule type="cellIs" dxfId="2025" priority="476" stopIfTrue="1" operator="equal">
      <formula>$K$14</formula>
    </cfRule>
    <cfRule type="cellIs" dxfId="2024" priority="477" stopIfTrue="1" operator="lessThan">
      <formula>$K$14</formula>
    </cfRule>
  </conditionalFormatting>
  <conditionalFormatting sqref="L15">
    <cfRule type="cellIs" dxfId="2023" priority="478" stopIfTrue="1" operator="equal">
      <formula>$K$15</formula>
    </cfRule>
    <cfRule type="cellIs" dxfId="2022" priority="479" stopIfTrue="1" operator="lessThan">
      <formula>$K$15</formula>
    </cfRule>
  </conditionalFormatting>
  <conditionalFormatting sqref="L16">
    <cfRule type="cellIs" dxfId="2021" priority="480" stopIfTrue="1" operator="equal">
      <formula>$K$16</formula>
    </cfRule>
    <cfRule type="cellIs" dxfId="2020" priority="481" stopIfTrue="1" operator="lessThan">
      <formula>$K$16</formula>
    </cfRule>
  </conditionalFormatting>
  <conditionalFormatting sqref="L17">
    <cfRule type="cellIs" dxfId="2019" priority="482" stopIfTrue="1" operator="equal">
      <formula>$K$17</formula>
    </cfRule>
    <cfRule type="cellIs" dxfId="2018" priority="483" stopIfTrue="1" operator="lessThan">
      <formula>$K$17</formula>
    </cfRule>
  </conditionalFormatting>
  <conditionalFormatting sqref="L18">
    <cfRule type="cellIs" dxfId="2017" priority="484" stopIfTrue="1" operator="equal">
      <formula>$K$18</formula>
    </cfRule>
    <cfRule type="cellIs" dxfId="2016" priority="485" stopIfTrue="1" operator="lessThan">
      <formula>$K$18</formula>
    </cfRule>
  </conditionalFormatting>
  <conditionalFormatting sqref="L19">
    <cfRule type="cellIs" dxfId="2015" priority="486" stopIfTrue="1" operator="equal">
      <formula>$K$19</formula>
    </cfRule>
    <cfRule type="cellIs" dxfId="2014" priority="487" stopIfTrue="1" operator="lessThan">
      <formula>$K$19</formula>
    </cfRule>
  </conditionalFormatting>
  <conditionalFormatting sqref="L20">
    <cfRule type="cellIs" dxfId="2013" priority="488" stopIfTrue="1" operator="equal">
      <formula>$K$20</formula>
    </cfRule>
    <cfRule type="cellIs" dxfId="2012" priority="489" stopIfTrue="1" operator="lessThan">
      <formula>$K$20</formula>
    </cfRule>
  </conditionalFormatting>
  <conditionalFormatting sqref="L21">
    <cfRule type="cellIs" dxfId="2011" priority="490" stopIfTrue="1" operator="equal">
      <formula>$K$21</formula>
    </cfRule>
    <cfRule type="cellIs" dxfId="2010" priority="491" stopIfTrue="1" operator="lessThan">
      <formula>$K$21</formula>
    </cfRule>
  </conditionalFormatting>
  <conditionalFormatting sqref="L22">
    <cfRule type="cellIs" dxfId="2009" priority="494" stopIfTrue="1" operator="equal">
      <formula>$K$22</formula>
    </cfRule>
    <cfRule type="cellIs" dxfId="2008" priority="495" stopIfTrue="1" operator="lessThan">
      <formula>$K$22</formula>
    </cfRule>
  </conditionalFormatting>
  <conditionalFormatting sqref="L23">
    <cfRule type="cellIs" dxfId="2007" priority="496" stopIfTrue="1" operator="equal">
      <formula>$K$23</formula>
    </cfRule>
    <cfRule type="cellIs" dxfId="2006" priority="497" stopIfTrue="1" operator="lessThan">
      <formula>$K$23</formula>
    </cfRule>
  </conditionalFormatting>
  <conditionalFormatting sqref="L24">
    <cfRule type="cellIs" dxfId="2005" priority="498" stopIfTrue="1" operator="equal">
      <formula>$K$24</formula>
    </cfRule>
    <cfRule type="cellIs" dxfId="2004" priority="499" stopIfTrue="1" operator="lessThan">
      <formula>$K$24</formula>
    </cfRule>
  </conditionalFormatting>
  <conditionalFormatting sqref="L25">
    <cfRule type="cellIs" dxfId="2003" priority="500" stopIfTrue="1" operator="equal">
      <formula>$K$25</formula>
    </cfRule>
    <cfRule type="cellIs" dxfId="2002" priority="501" stopIfTrue="1" operator="lessThan">
      <formula>$K$25</formula>
    </cfRule>
  </conditionalFormatting>
  <conditionalFormatting sqref="L26">
    <cfRule type="cellIs" dxfId="2001" priority="502" stopIfTrue="1" operator="equal">
      <formula>$K$26</formula>
    </cfRule>
    <cfRule type="cellIs" dxfId="2000" priority="503" stopIfTrue="1" operator="lessThan">
      <formula>$K$26</formula>
    </cfRule>
  </conditionalFormatting>
  <conditionalFormatting sqref="L27">
    <cfRule type="cellIs" dxfId="1999" priority="504" stopIfTrue="1" operator="equal">
      <formula>$K$27</formula>
    </cfRule>
    <cfRule type="cellIs" dxfId="1998" priority="505" stopIfTrue="1" operator="lessThan">
      <formula>$K$27</formula>
    </cfRule>
  </conditionalFormatting>
  <conditionalFormatting sqref="L28">
    <cfRule type="cellIs" dxfId="1997" priority="506" stopIfTrue="1" operator="equal">
      <formula>$K$28</formula>
    </cfRule>
    <cfRule type="cellIs" dxfId="1996" priority="507" stopIfTrue="1" operator="lessThan">
      <formula>$K$28</formula>
    </cfRule>
  </conditionalFormatting>
  <conditionalFormatting sqref="L29:O29">
    <cfRule type="cellIs" dxfId="1995" priority="1" stopIfTrue="1" operator="equal">
      <formula>0</formula>
    </cfRule>
  </conditionalFormatting>
  <conditionalFormatting sqref="M4">
    <cfRule type="cellIs" dxfId="1994" priority="508" stopIfTrue="1" operator="lessThan">
      <formula>$L$4</formula>
    </cfRule>
    <cfRule type="cellIs" dxfId="1993" priority="509" stopIfTrue="1" operator="equal">
      <formula>$L$4</formula>
    </cfRule>
  </conditionalFormatting>
  <conditionalFormatting sqref="M5">
    <cfRule type="cellIs" dxfId="1992" priority="510" stopIfTrue="1" operator="equal">
      <formula>$L$5</formula>
    </cfRule>
    <cfRule type="cellIs" dxfId="1991" priority="511" stopIfTrue="1" operator="lessThan">
      <formula>$L$5</formula>
    </cfRule>
  </conditionalFormatting>
  <conditionalFormatting sqref="M6">
    <cfRule type="cellIs" dxfId="1990" priority="512" stopIfTrue="1" operator="equal">
      <formula>$L$6</formula>
    </cfRule>
    <cfRule type="cellIs" dxfId="1989" priority="513" stopIfTrue="1" operator="lessThan">
      <formula>$L$6</formula>
    </cfRule>
  </conditionalFormatting>
  <conditionalFormatting sqref="M7">
    <cfRule type="cellIs" dxfId="1988" priority="514" stopIfTrue="1" operator="equal">
      <formula>$L$7</formula>
    </cfRule>
    <cfRule type="cellIs" dxfId="1987" priority="515" stopIfTrue="1" operator="lessThan">
      <formula>$L$7</formula>
    </cfRule>
  </conditionalFormatting>
  <conditionalFormatting sqref="M8">
    <cfRule type="cellIs" dxfId="1986" priority="516" stopIfTrue="1" operator="equal">
      <formula>$L$8</formula>
    </cfRule>
    <cfRule type="cellIs" dxfId="1985" priority="517" stopIfTrue="1" operator="lessThan">
      <formula>$L$8</formula>
    </cfRule>
  </conditionalFormatting>
  <conditionalFormatting sqref="M9">
    <cfRule type="cellIs" dxfId="1984" priority="518" stopIfTrue="1" operator="equal">
      <formula>$L$9</formula>
    </cfRule>
    <cfRule type="cellIs" dxfId="1983" priority="519" stopIfTrue="1" operator="lessThan">
      <formula>$L$9</formula>
    </cfRule>
  </conditionalFormatting>
  <conditionalFormatting sqref="M10">
    <cfRule type="cellIs" dxfId="1982" priority="520" stopIfTrue="1" operator="equal">
      <formula>$L$10</formula>
    </cfRule>
    <cfRule type="cellIs" dxfId="1981" priority="521" stopIfTrue="1" operator="lessThan">
      <formula>$L$10</formula>
    </cfRule>
  </conditionalFormatting>
  <conditionalFormatting sqref="M11">
    <cfRule type="cellIs" dxfId="1980" priority="522" stopIfTrue="1" operator="equal">
      <formula>$L$11</formula>
    </cfRule>
    <cfRule type="cellIs" dxfId="1979" priority="523" stopIfTrue="1" operator="lessThan">
      <formula>$L$11</formula>
    </cfRule>
  </conditionalFormatting>
  <conditionalFormatting sqref="M12">
    <cfRule type="cellIs" dxfId="1978" priority="524" stopIfTrue="1" operator="equal">
      <formula>$L$12</formula>
    </cfRule>
    <cfRule type="cellIs" dxfId="1977" priority="525" stopIfTrue="1" operator="lessThan">
      <formula>$L$12</formula>
    </cfRule>
  </conditionalFormatting>
  <conditionalFormatting sqref="M13">
    <cfRule type="cellIs" dxfId="1976" priority="526" stopIfTrue="1" operator="equal">
      <formula>$L$13</formula>
    </cfRule>
    <cfRule type="cellIs" dxfId="1975" priority="527" stopIfTrue="1" operator="lessThan">
      <formula>$L$13</formula>
    </cfRule>
  </conditionalFormatting>
  <conditionalFormatting sqref="M14">
    <cfRule type="cellIs" dxfId="1974" priority="528" stopIfTrue="1" operator="equal">
      <formula>$L$14</formula>
    </cfRule>
    <cfRule type="cellIs" dxfId="1973" priority="529" stopIfTrue="1" operator="lessThan">
      <formula>$L$14</formula>
    </cfRule>
  </conditionalFormatting>
  <conditionalFormatting sqref="M15">
    <cfRule type="cellIs" dxfId="1972" priority="530" stopIfTrue="1" operator="equal">
      <formula>$L$15</formula>
    </cfRule>
    <cfRule type="cellIs" dxfId="1971" priority="531" stopIfTrue="1" operator="lessThan">
      <formula>$L$15</formula>
    </cfRule>
  </conditionalFormatting>
  <conditionalFormatting sqref="M16">
    <cfRule type="cellIs" dxfId="1970" priority="532" stopIfTrue="1" operator="equal">
      <formula>$L$16</formula>
    </cfRule>
    <cfRule type="cellIs" dxfId="1969" priority="533" stopIfTrue="1" operator="lessThan">
      <formula>$L$16</formula>
    </cfRule>
  </conditionalFormatting>
  <conditionalFormatting sqref="M17">
    <cfRule type="cellIs" dxfId="1968" priority="534" stopIfTrue="1" operator="equal">
      <formula>$L$17</formula>
    </cfRule>
    <cfRule type="cellIs" dxfId="1967" priority="535" stopIfTrue="1" operator="lessThan">
      <formula>$L$17</formula>
    </cfRule>
  </conditionalFormatting>
  <conditionalFormatting sqref="M18">
    <cfRule type="cellIs" dxfId="1966" priority="536" stopIfTrue="1" operator="equal">
      <formula>$L$18</formula>
    </cfRule>
    <cfRule type="cellIs" dxfId="1965" priority="537" stopIfTrue="1" operator="lessThan">
      <formula>$L$18</formula>
    </cfRule>
  </conditionalFormatting>
  <conditionalFormatting sqref="M19">
    <cfRule type="cellIs" dxfId="1964" priority="538" stopIfTrue="1" operator="equal">
      <formula>$L$19</formula>
    </cfRule>
    <cfRule type="cellIs" dxfId="1963" priority="539" stopIfTrue="1" operator="lessThan">
      <formula>$L$19</formula>
    </cfRule>
  </conditionalFormatting>
  <conditionalFormatting sqref="M20">
    <cfRule type="cellIs" dxfId="1962" priority="540" stopIfTrue="1" operator="equal">
      <formula>$L$20</formula>
    </cfRule>
    <cfRule type="cellIs" dxfId="1961" priority="541" stopIfTrue="1" operator="lessThan">
      <formula>$L$20</formula>
    </cfRule>
  </conditionalFormatting>
  <conditionalFormatting sqref="M21">
    <cfRule type="cellIs" dxfId="1960" priority="542" stopIfTrue="1" operator="equal">
      <formula>$L$21</formula>
    </cfRule>
    <cfRule type="cellIs" dxfId="1959" priority="543" stopIfTrue="1" operator="lessThan">
      <formula>$L$21</formula>
    </cfRule>
  </conditionalFormatting>
  <conditionalFormatting sqref="M22">
    <cfRule type="cellIs" dxfId="1958" priority="544" stopIfTrue="1" operator="equal">
      <formula>$L$22</formula>
    </cfRule>
    <cfRule type="cellIs" dxfId="1957" priority="545" stopIfTrue="1" operator="lessThan">
      <formula>$L$22</formula>
    </cfRule>
  </conditionalFormatting>
  <conditionalFormatting sqref="M23">
    <cfRule type="cellIs" dxfId="1956" priority="546" stopIfTrue="1" operator="equal">
      <formula>$L$23</formula>
    </cfRule>
    <cfRule type="cellIs" dxfId="1955" priority="547" stopIfTrue="1" operator="lessThan">
      <formula>$L$23</formula>
    </cfRule>
  </conditionalFormatting>
  <conditionalFormatting sqref="M24">
    <cfRule type="cellIs" dxfId="1954" priority="548" stopIfTrue="1" operator="equal">
      <formula>$L$24</formula>
    </cfRule>
    <cfRule type="cellIs" dxfId="1953" priority="549" stopIfTrue="1" operator="lessThan">
      <formula>$L$24</formula>
    </cfRule>
  </conditionalFormatting>
  <conditionalFormatting sqref="M25">
    <cfRule type="cellIs" dxfId="1952" priority="550" stopIfTrue="1" operator="equal">
      <formula>$L$25</formula>
    </cfRule>
    <cfRule type="cellIs" dxfId="1951" priority="551" stopIfTrue="1" operator="lessThan">
      <formula>$L$25</formula>
    </cfRule>
  </conditionalFormatting>
  <conditionalFormatting sqref="M26">
    <cfRule type="cellIs" dxfId="1950" priority="552" stopIfTrue="1" operator="equal">
      <formula>$L$26</formula>
    </cfRule>
    <cfRule type="cellIs" dxfId="1949" priority="553" stopIfTrue="1" operator="lessThan">
      <formula>$L$26</formula>
    </cfRule>
  </conditionalFormatting>
  <conditionalFormatting sqref="M27">
    <cfRule type="cellIs" dxfId="1948" priority="554" stopIfTrue="1" operator="equal">
      <formula>$L$27</formula>
    </cfRule>
    <cfRule type="cellIs" dxfId="1947" priority="555" stopIfTrue="1" operator="lessThan">
      <formula>$L$27</formula>
    </cfRule>
  </conditionalFormatting>
  <conditionalFormatting sqref="M28">
    <cfRule type="cellIs" dxfId="1946" priority="556" stopIfTrue="1" operator="equal">
      <formula>$L$28</formula>
    </cfRule>
    <cfRule type="cellIs" dxfId="1945" priority="557" stopIfTrue="1" operator="lessThan">
      <formula>$L$28</formula>
    </cfRule>
  </conditionalFormatting>
  <conditionalFormatting sqref="N4">
    <cfRule type="cellIs" dxfId="1944" priority="558" stopIfTrue="1" operator="equal">
      <formula>$M$4</formula>
    </cfRule>
    <cfRule type="cellIs" dxfId="1943" priority="559" stopIfTrue="1" operator="lessThan">
      <formula>$M$4</formula>
    </cfRule>
  </conditionalFormatting>
  <conditionalFormatting sqref="N5">
    <cfRule type="cellIs" dxfId="1942" priority="560" stopIfTrue="1" operator="equal">
      <formula>$M$5</formula>
    </cfRule>
    <cfRule type="cellIs" dxfId="1941" priority="561" stopIfTrue="1" operator="lessThan">
      <formula>$M$5</formula>
    </cfRule>
  </conditionalFormatting>
  <conditionalFormatting sqref="N6">
    <cfRule type="cellIs" dxfId="1940" priority="562" stopIfTrue="1" operator="equal">
      <formula>$M$6</formula>
    </cfRule>
    <cfRule type="cellIs" dxfId="1939" priority="563" stopIfTrue="1" operator="lessThan">
      <formula>$M$6</formula>
    </cfRule>
  </conditionalFormatting>
  <conditionalFormatting sqref="N7">
    <cfRule type="cellIs" dxfId="1938" priority="564" stopIfTrue="1" operator="equal">
      <formula>$M$7</formula>
    </cfRule>
    <cfRule type="cellIs" dxfId="1937" priority="565" stopIfTrue="1" operator="lessThan">
      <formula>$M$7</formula>
    </cfRule>
  </conditionalFormatting>
  <conditionalFormatting sqref="N8">
    <cfRule type="cellIs" dxfId="1936" priority="566" stopIfTrue="1" operator="equal">
      <formula>$M$8</formula>
    </cfRule>
    <cfRule type="cellIs" dxfId="1935" priority="567" stopIfTrue="1" operator="lessThan">
      <formula>$M$8</formula>
    </cfRule>
  </conditionalFormatting>
  <conditionalFormatting sqref="N9">
    <cfRule type="cellIs" dxfId="1934" priority="568" stopIfTrue="1" operator="equal">
      <formula>$M$9</formula>
    </cfRule>
    <cfRule type="cellIs" dxfId="1933" priority="569" stopIfTrue="1" operator="lessThan">
      <formula>$M$9</formula>
    </cfRule>
  </conditionalFormatting>
  <conditionalFormatting sqref="N10">
    <cfRule type="cellIs" dxfId="1932" priority="570" stopIfTrue="1" operator="equal">
      <formula>$M$10</formula>
    </cfRule>
    <cfRule type="cellIs" dxfId="1931" priority="571" stopIfTrue="1" operator="lessThan">
      <formula>$M$10</formula>
    </cfRule>
  </conditionalFormatting>
  <conditionalFormatting sqref="N11">
    <cfRule type="cellIs" dxfId="1930" priority="572" stopIfTrue="1" operator="equal">
      <formula>$M$11</formula>
    </cfRule>
    <cfRule type="cellIs" dxfId="1929" priority="573" stopIfTrue="1" operator="lessThan">
      <formula>$M$11</formula>
    </cfRule>
  </conditionalFormatting>
  <conditionalFormatting sqref="N12">
    <cfRule type="cellIs" dxfId="1928" priority="574" stopIfTrue="1" operator="equal">
      <formula>$M$12</formula>
    </cfRule>
    <cfRule type="cellIs" dxfId="1927" priority="575" stopIfTrue="1" operator="lessThan">
      <formula>$M$12</formula>
    </cfRule>
  </conditionalFormatting>
  <conditionalFormatting sqref="N13">
    <cfRule type="cellIs" dxfId="1926" priority="576" stopIfTrue="1" operator="equal">
      <formula>$M$13</formula>
    </cfRule>
    <cfRule type="cellIs" dxfId="1925" priority="577" stopIfTrue="1" operator="lessThan">
      <formula>$M$13</formula>
    </cfRule>
  </conditionalFormatting>
  <conditionalFormatting sqref="N14">
    <cfRule type="cellIs" dxfId="1924" priority="578" stopIfTrue="1" operator="equal">
      <formula>$M$14</formula>
    </cfRule>
    <cfRule type="cellIs" dxfId="1923" priority="579" stopIfTrue="1" operator="lessThan">
      <formula>$M$14</formula>
    </cfRule>
  </conditionalFormatting>
  <conditionalFormatting sqref="N15">
    <cfRule type="cellIs" dxfId="1922" priority="580" stopIfTrue="1" operator="equal">
      <formula>$M$15</formula>
    </cfRule>
    <cfRule type="cellIs" dxfId="1921" priority="581" stopIfTrue="1" operator="lessThan">
      <formula>$M$15</formula>
    </cfRule>
  </conditionalFormatting>
  <conditionalFormatting sqref="N16">
    <cfRule type="cellIs" dxfId="1920" priority="582" stopIfTrue="1" operator="equal">
      <formula>$M$16</formula>
    </cfRule>
    <cfRule type="cellIs" dxfId="1919" priority="583" stopIfTrue="1" operator="lessThan">
      <formula>$M$16</formula>
    </cfRule>
  </conditionalFormatting>
  <conditionalFormatting sqref="N17">
    <cfRule type="cellIs" dxfId="1918" priority="584" stopIfTrue="1" operator="equal">
      <formula>$M$17</formula>
    </cfRule>
    <cfRule type="cellIs" dxfId="1917" priority="585" stopIfTrue="1" operator="lessThan">
      <formula>$M$17</formula>
    </cfRule>
  </conditionalFormatting>
  <conditionalFormatting sqref="N18">
    <cfRule type="cellIs" dxfId="1916" priority="586" stopIfTrue="1" operator="equal">
      <formula>$M$18</formula>
    </cfRule>
    <cfRule type="cellIs" dxfId="1915" priority="587" stopIfTrue="1" operator="lessThan">
      <formula>$M$18</formula>
    </cfRule>
  </conditionalFormatting>
  <conditionalFormatting sqref="N19">
    <cfRule type="cellIs" dxfId="1914" priority="588" stopIfTrue="1" operator="equal">
      <formula>$M$19</formula>
    </cfRule>
    <cfRule type="cellIs" dxfId="1913" priority="589" stopIfTrue="1" operator="lessThan">
      <formula>$M$19</formula>
    </cfRule>
  </conditionalFormatting>
  <conditionalFormatting sqref="N20">
    <cfRule type="cellIs" dxfId="1912" priority="590" stopIfTrue="1" operator="equal">
      <formula>$M$20</formula>
    </cfRule>
    <cfRule type="cellIs" dxfId="1911" priority="591" stopIfTrue="1" operator="lessThan">
      <formula>$M$20</formula>
    </cfRule>
  </conditionalFormatting>
  <conditionalFormatting sqref="N21">
    <cfRule type="cellIs" dxfId="1910" priority="592" stopIfTrue="1" operator="equal">
      <formula>$M$21</formula>
    </cfRule>
    <cfRule type="cellIs" dxfId="1909" priority="593" stopIfTrue="1" operator="lessThan">
      <formula>$M$21</formula>
    </cfRule>
  </conditionalFormatting>
  <conditionalFormatting sqref="N22">
    <cfRule type="cellIs" dxfId="1908" priority="594" stopIfTrue="1" operator="equal">
      <formula>$M$22</formula>
    </cfRule>
    <cfRule type="cellIs" dxfId="1907" priority="595" stopIfTrue="1" operator="lessThan">
      <formula>$M$22</formula>
    </cfRule>
  </conditionalFormatting>
  <conditionalFormatting sqref="N23">
    <cfRule type="cellIs" dxfId="1906" priority="596" stopIfTrue="1" operator="equal">
      <formula>$M$23</formula>
    </cfRule>
    <cfRule type="cellIs" dxfId="1905" priority="597" stopIfTrue="1" operator="lessThan">
      <formula>$M$23</formula>
    </cfRule>
  </conditionalFormatting>
  <conditionalFormatting sqref="N24">
    <cfRule type="cellIs" dxfId="1904" priority="598" stopIfTrue="1" operator="equal">
      <formula>$M$24</formula>
    </cfRule>
    <cfRule type="cellIs" dxfId="1903" priority="599" stopIfTrue="1" operator="lessThan">
      <formula>$M$24</formula>
    </cfRule>
  </conditionalFormatting>
  <conditionalFormatting sqref="N25">
    <cfRule type="cellIs" dxfId="1902" priority="600" stopIfTrue="1" operator="equal">
      <formula>$M$25</formula>
    </cfRule>
    <cfRule type="cellIs" dxfId="1901" priority="601" stopIfTrue="1" operator="lessThan">
      <formula>$M$25</formula>
    </cfRule>
  </conditionalFormatting>
  <conditionalFormatting sqref="N26">
    <cfRule type="cellIs" dxfId="1900" priority="602" stopIfTrue="1" operator="equal">
      <formula>$M$26</formula>
    </cfRule>
    <cfRule type="cellIs" dxfId="1899" priority="603" stopIfTrue="1" operator="lessThan">
      <formula>$M$26</formula>
    </cfRule>
  </conditionalFormatting>
  <conditionalFormatting sqref="N27">
    <cfRule type="cellIs" dxfId="1898" priority="604" stopIfTrue="1" operator="equal">
      <formula>$M$27</formula>
    </cfRule>
    <cfRule type="cellIs" dxfId="1897" priority="605" stopIfTrue="1" operator="lessThan">
      <formula>$M$27</formula>
    </cfRule>
  </conditionalFormatting>
  <conditionalFormatting sqref="N28">
    <cfRule type="cellIs" dxfId="1896" priority="606" stopIfTrue="1" operator="equal">
      <formula>$M$28</formula>
    </cfRule>
    <cfRule type="cellIs" dxfId="1895" priority="607" stopIfTrue="1" operator="lessThan">
      <formula>$M$28</formula>
    </cfRule>
  </conditionalFormatting>
  <conditionalFormatting sqref="O4">
    <cfRule type="cellIs" dxfId="1894" priority="608" stopIfTrue="1" operator="equal">
      <formula>$N$4</formula>
    </cfRule>
    <cfRule type="cellIs" dxfId="1893" priority="609" stopIfTrue="1" operator="lessThan">
      <formula>$N$4</formula>
    </cfRule>
  </conditionalFormatting>
  <conditionalFormatting sqref="O5">
    <cfRule type="cellIs" dxfId="1892" priority="610" stopIfTrue="1" operator="equal">
      <formula>$N$5</formula>
    </cfRule>
    <cfRule type="cellIs" dxfId="1891" priority="611" stopIfTrue="1" operator="lessThan">
      <formula>$N$5</formula>
    </cfRule>
  </conditionalFormatting>
  <conditionalFormatting sqref="O6">
    <cfRule type="cellIs" dxfId="1890" priority="612" stopIfTrue="1" operator="equal">
      <formula>$N$6</formula>
    </cfRule>
    <cfRule type="cellIs" dxfId="1889" priority="613" stopIfTrue="1" operator="lessThan">
      <formula>$N$6</formula>
    </cfRule>
  </conditionalFormatting>
  <conditionalFormatting sqref="O7">
    <cfRule type="cellIs" dxfId="1888" priority="614" stopIfTrue="1" operator="equal">
      <formula>$N$7</formula>
    </cfRule>
    <cfRule type="cellIs" dxfId="1887" priority="615" stopIfTrue="1" operator="lessThan">
      <formula>$N$7</formula>
    </cfRule>
  </conditionalFormatting>
  <conditionalFormatting sqref="O8">
    <cfRule type="cellIs" dxfId="1886" priority="616" stopIfTrue="1" operator="equal">
      <formula>$N$8</formula>
    </cfRule>
    <cfRule type="cellIs" dxfId="1885" priority="617" stopIfTrue="1" operator="lessThan">
      <formula>$N$8</formula>
    </cfRule>
  </conditionalFormatting>
  <conditionalFormatting sqref="O9">
    <cfRule type="cellIs" dxfId="1884" priority="618" stopIfTrue="1" operator="equal">
      <formula>$N$9</formula>
    </cfRule>
    <cfRule type="cellIs" dxfId="1883" priority="619" stopIfTrue="1" operator="lessThan">
      <formula>$N$9</formula>
    </cfRule>
  </conditionalFormatting>
  <conditionalFormatting sqref="O10">
    <cfRule type="cellIs" dxfId="1882" priority="620" stopIfTrue="1" operator="equal">
      <formula>$N$10</formula>
    </cfRule>
    <cfRule type="cellIs" dxfId="1881" priority="621" stopIfTrue="1" operator="lessThan">
      <formula>$N$10</formula>
    </cfRule>
  </conditionalFormatting>
  <conditionalFormatting sqref="O11">
    <cfRule type="cellIs" dxfId="1880" priority="622" stopIfTrue="1" operator="equal">
      <formula>$N$11</formula>
    </cfRule>
    <cfRule type="cellIs" dxfId="1879" priority="623" stopIfTrue="1" operator="lessThan">
      <formula>$N$11</formula>
    </cfRule>
  </conditionalFormatting>
  <conditionalFormatting sqref="O12">
    <cfRule type="cellIs" dxfId="1878" priority="624" stopIfTrue="1" operator="equal">
      <formula>$N$12</formula>
    </cfRule>
    <cfRule type="cellIs" dxfId="1877" priority="625" stopIfTrue="1" operator="lessThan">
      <formula>$N$12</formula>
    </cfRule>
  </conditionalFormatting>
  <conditionalFormatting sqref="O13">
    <cfRule type="cellIs" dxfId="1876" priority="626" stopIfTrue="1" operator="equal">
      <formula>$N$13</formula>
    </cfRule>
    <cfRule type="cellIs" dxfId="1875" priority="627" stopIfTrue="1" operator="lessThan">
      <formula>$N$13</formula>
    </cfRule>
  </conditionalFormatting>
  <conditionalFormatting sqref="O14">
    <cfRule type="cellIs" dxfId="1874" priority="628" stopIfTrue="1" operator="equal">
      <formula>$N$14</formula>
    </cfRule>
    <cfRule type="cellIs" dxfId="1873" priority="629" stopIfTrue="1" operator="lessThan">
      <formula>$N$14</formula>
    </cfRule>
  </conditionalFormatting>
  <conditionalFormatting sqref="O15">
    <cfRule type="cellIs" dxfId="1872" priority="630" stopIfTrue="1" operator="equal">
      <formula>$N$15</formula>
    </cfRule>
    <cfRule type="cellIs" dxfId="1871" priority="631" stopIfTrue="1" operator="lessThan">
      <formula>$N$15</formula>
    </cfRule>
  </conditionalFormatting>
  <conditionalFormatting sqref="O16">
    <cfRule type="cellIs" dxfId="1870" priority="632" stopIfTrue="1" operator="equal">
      <formula>$N$16</formula>
    </cfRule>
    <cfRule type="cellIs" dxfId="1869" priority="633" stopIfTrue="1" operator="lessThan">
      <formula>$N$16</formula>
    </cfRule>
  </conditionalFormatting>
  <conditionalFormatting sqref="O17">
    <cfRule type="cellIs" dxfId="1868" priority="634" stopIfTrue="1" operator="equal">
      <formula>$N$17</formula>
    </cfRule>
    <cfRule type="cellIs" dxfId="1867" priority="635" stopIfTrue="1" operator="lessThan">
      <formula>$N$17</formula>
    </cfRule>
  </conditionalFormatting>
  <conditionalFormatting sqref="O18">
    <cfRule type="cellIs" dxfId="1866" priority="636" stopIfTrue="1" operator="equal">
      <formula>$N$18</formula>
    </cfRule>
    <cfRule type="cellIs" dxfId="1865" priority="637" stopIfTrue="1" operator="lessThan">
      <formula>$N$18</formula>
    </cfRule>
  </conditionalFormatting>
  <conditionalFormatting sqref="O19">
    <cfRule type="cellIs" dxfId="1864" priority="638" stopIfTrue="1" operator="equal">
      <formula>$N$19</formula>
    </cfRule>
    <cfRule type="cellIs" dxfId="1863" priority="639" stopIfTrue="1" operator="lessThan">
      <formula>$N$19</formula>
    </cfRule>
  </conditionalFormatting>
  <conditionalFormatting sqref="O20">
    <cfRule type="cellIs" dxfId="1862" priority="640" stopIfTrue="1" operator="equal">
      <formula>$N$20</formula>
    </cfRule>
    <cfRule type="cellIs" dxfId="1861" priority="641" stopIfTrue="1" operator="lessThan">
      <formula>$N$20</formula>
    </cfRule>
  </conditionalFormatting>
  <conditionalFormatting sqref="O21">
    <cfRule type="cellIs" dxfId="1860" priority="642" stopIfTrue="1" operator="equal">
      <formula>$N$21</formula>
    </cfRule>
    <cfRule type="cellIs" dxfId="1859" priority="643" stopIfTrue="1" operator="lessThan">
      <formula>$N$21</formula>
    </cfRule>
  </conditionalFormatting>
  <conditionalFormatting sqref="O22">
    <cfRule type="cellIs" dxfId="1858" priority="644" stopIfTrue="1" operator="equal">
      <formula>$N$22</formula>
    </cfRule>
    <cfRule type="cellIs" dxfId="1857" priority="645" stopIfTrue="1" operator="lessThan">
      <formula>$N$22</formula>
    </cfRule>
  </conditionalFormatting>
  <conditionalFormatting sqref="O23">
    <cfRule type="cellIs" dxfId="1856" priority="646" stopIfTrue="1" operator="equal">
      <formula>$N$23</formula>
    </cfRule>
    <cfRule type="cellIs" dxfId="1855" priority="647" stopIfTrue="1" operator="lessThan">
      <formula>$N$23</formula>
    </cfRule>
  </conditionalFormatting>
  <conditionalFormatting sqref="O24">
    <cfRule type="cellIs" dxfId="1854" priority="648" stopIfTrue="1" operator="equal">
      <formula>$N$24</formula>
    </cfRule>
    <cfRule type="cellIs" dxfId="1853" priority="649" stopIfTrue="1" operator="lessThan">
      <formula>$N$24</formula>
    </cfRule>
  </conditionalFormatting>
  <conditionalFormatting sqref="O25">
    <cfRule type="cellIs" dxfId="1852" priority="650" stopIfTrue="1" operator="equal">
      <formula>$N$25</formula>
    </cfRule>
    <cfRule type="cellIs" dxfId="1851" priority="651" stopIfTrue="1" operator="lessThan">
      <formula>$N$25</formula>
    </cfRule>
  </conditionalFormatting>
  <conditionalFormatting sqref="O26">
    <cfRule type="cellIs" dxfId="1850" priority="652" stopIfTrue="1" operator="equal">
      <formula>$N$26</formula>
    </cfRule>
    <cfRule type="cellIs" dxfId="1849" priority="653" stopIfTrue="1" operator="lessThan">
      <formula>$N$26</formula>
    </cfRule>
  </conditionalFormatting>
  <conditionalFormatting sqref="O27">
    <cfRule type="cellIs" dxfId="1848" priority="654" stopIfTrue="1" operator="equal">
      <formula>$N$27</formula>
    </cfRule>
    <cfRule type="cellIs" dxfId="1847" priority="655" stopIfTrue="1" operator="lessThan">
      <formula>$N$27</formula>
    </cfRule>
  </conditionalFormatting>
  <conditionalFormatting sqref="O28">
    <cfRule type="cellIs" dxfId="1846" priority="656" stopIfTrue="1" operator="equal">
      <formula>$N$28</formula>
    </cfRule>
    <cfRule type="cellIs" dxfId="1845" priority="657" stopIfTrue="1" operator="lessThan">
      <formula>$N$28</formula>
    </cfRule>
  </conditionalFormatting>
  <conditionalFormatting sqref="U4:AF23">
    <cfRule type="cellIs" dxfId="1844" priority="2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41"/>
  <sheetViews>
    <sheetView tabSelected="1" workbookViewId="0">
      <selection activeCell="P26" sqref="P26"/>
    </sheetView>
  </sheetViews>
  <sheetFormatPr defaultRowHeight="14.5" x14ac:dyDescent="0.35"/>
  <cols>
    <col min="1" max="1" width="8.54296875" customWidth="1"/>
    <col min="2" max="2" width="26.26953125" customWidth="1"/>
    <col min="3" max="15" width="10.1796875" customWidth="1"/>
    <col min="16" max="16" width="10" customWidth="1"/>
    <col min="17" max="17" width="11.1796875" bestFit="1" customWidth="1"/>
    <col min="18" max="18" width="9.26953125" bestFit="1" customWidth="1"/>
    <col min="19" max="19" width="3.453125" customWidth="1"/>
    <col min="38" max="38" width="8.7265625" style="1"/>
  </cols>
  <sheetData>
    <row r="1" spans="1:38" ht="15" thickBot="1" x14ac:dyDescent="0.4">
      <c r="AH1" s="288" t="s">
        <v>439</v>
      </c>
      <c r="AI1" s="311" t="s">
        <v>437</v>
      </c>
      <c r="AJ1" s="311"/>
      <c r="AK1" s="311"/>
      <c r="AL1" s="311"/>
    </row>
    <row r="2" spans="1:38" s="1" customFormat="1" ht="21" customHeight="1" thickBot="1" x14ac:dyDescent="0.55000000000000004">
      <c r="A2" s="113">
        <v>1855</v>
      </c>
      <c r="B2" s="2"/>
      <c r="C2" s="3">
        <f>'1850'!C2</f>
        <v>45292</v>
      </c>
      <c r="D2" s="3">
        <f>'1850'!D2</f>
        <v>45323</v>
      </c>
      <c r="E2" s="3">
        <f>'1850'!E2</f>
        <v>45352</v>
      </c>
      <c r="F2" s="3">
        <f>'1850'!F2</f>
        <v>45383</v>
      </c>
      <c r="G2" s="3">
        <f>'1850'!G2</f>
        <v>45413</v>
      </c>
      <c r="H2" s="3">
        <f>'1850'!H2</f>
        <v>45444</v>
      </c>
      <c r="I2" s="3">
        <f>'1850'!I2</f>
        <v>45474</v>
      </c>
      <c r="J2" s="3">
        <f>'1850'!J2</f>
        <v>45505</v>
      </c>
      <c r="K2" s="3">
        <f>'1850'!K2</f>
        <v>45536</v>
      </c>
      <c r="L2" s="3">
        <f>'1850'!L2</f>
        <v>45566</v>
      </c>
      <c r="M2" s="3">
        <f>'1850'!M2</f>
        <v>45597</v>
      </c>
      <c r="N2" s="3">
        <f>'1850'!N2</f>
        <v>45628</v>
      </c>
      <c r="O2" s="3">
        <f>'1850'!O2</f>
        <v>45658</v>
      </c>
      <c r="P2" s="1" t="s">
        <v>0</v>
      </c>
      <c r="Q2" s="1" t="s">
        <v>1</v>
      </c>
      <c r="R2" s="1" t="s">
        <v>85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  <c r="AH2" s="280" t="s">
        <v>198</v>
      </c>
      <c r="AI2" s="279">
        <v>2024</v>
      </c>
      <c r="AJ2" s="279">
        <v>2023</v>
      </c>
      <c r="AK2" s="279">
        <v>2022</v>
      </c>
      <c r="AL2" s="279">
        <v>2021</v>
      </c>
    </row>
    <row r="3" spans="1:38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  <c r="AH3" s="280"/>
      <c r="AI3" s="280"/>
      <c r="AJ3" s="280"/>
      <c r="AK3" s="280"/>
      <c r="AL3" s="280"/>
    </row>
    <row r="4" spans="1:38" ht="15" thickBot="1" x14ac:dyDescent="0.4">
      <c r="A4" s="293">
        <v>1</v>
      </c>
      <c r="B4" s="6" t="s">
        <v>167</v>
      </c>
      <c r="C4" s="77">
        <v>657.64800000000002</v>
      </c>
      <c r="D4" s="7">
        <v>668.49699999999996</v>
      </c>
      <c r="E4" s="7">
        <v>681.74599999999998</v>
      </c>
      <c r="F4" s="7">
        <v>694.94299999999998</v>
      </c>
      <c r="G4" s="7">
        <v>705.50300000000004</v>
      </c>
      <c r="H4" s="7">
        <v>717.71799999999996</v>
      </c>
      <c r="I4" s="7">
        <v>729.226</v>
      </c>
      <c r="J4" s="7">
        <v>735.55</v>
      </c>
      <c r="K4" s="7">
        <v>744.44299999999998</v>
      </c>
      <c r="L4" s="8">
        <v>753.33500000000004</v>
      </c>
      <c r="M4" s="7">
        <v>762.04</v>
      </c>
      <c r="N4" s="7">
        <v>770.98</v>
      </c>
      <c r="O4" s="7">
        <v>11.974</v>
      </c>
      <c r="P4" s="9">
        <f>O4+N4-C4</f>
        <v>125.30600000000004</v>
      </c>
      <c r="T4" s="1">
        <v>1</v>
      </c>
      <c r="U4" s="145">
        <f t="shared" ref="U4:AE5" si="0">D4-C4</f>
        <v>10.848999999999933</v>
      </c>
      <c r="V4" s="145">
        <f t="shared" si="0"/>
        <v>13.249000000000024</v>
      </c>
      <c r="W4" s="145">
        <f t="shared" si="0"/>
        <v>13.197000000000003</v>
      </c>
      <c r="X4" s="145">
        <f t="shared" si="0"/>
        <v>10.560000000000059</v>
      </c>
      <c r="Y4" s="145">
        <f t="shared" si="0"/>
        <v>12.214999999999918</v>
      </c>
      <c r="Z4" s="145">
        <f t="shared" si="0"/>
        <v>11.508000000000038</v>
      </c>
      <c r="AA4" s="145">
        <f t="shared" si="0"/>
        <v>6.3239999999999554</v>
      </c>
      <c r="AB4" s="145">
        <f t="shared" si="0"/>
        <v>8.8930000000000291</v>
      </c>
      <c r="AC4" s="145">
        <f t="shared" si="0"/>
        <v>8.8920000000000528</v>
      </c>
      <c r="AD4" s="145">
        <f t="shared" si="0"/>
        <v>8.7049999999999272</v>
      </c>
      <c r="AE4" s="145">
        <f t="shared" si="0"/>
        <v>8.9400000000000546</v>
      </c>
      <c r="AF4" s="145">
        <f>O4</f>
        <v>11.974</v>
      </c>
      <c r="AG4" s="9"/>
      <c r="AH4" s="280">
        <v>1</v>
      </c>
      <c r="AI4" s="281">
        <f>SUM(U4:AE4)</f>
        <v>113.33199999999999</v>
      </c>
      <c r="AJ4" s="281">
        <v>124.64999999999998</v>
      </c>
      <c r="AK4" s="281">
        <v>143.755</v>
      </c>
      <c r="AL4" s="282">
        <v>166.55600000000001</v>
      </c>
    </row>
    <row r="5" spans="1:38" x14ac:dyDescent="0.35">
      <c r="A5" s="293"/>
      <c r="B5" s="10" t="s">
        <v>353</v>
      </c>
      <c r="C5" s="78">
        <v>88.736999999999995</v>
      </c>
      <c r="D5" s="11">
        <v>95.45</v>
      </c>
      <c r="E5" s="11">
        <v>99.924999999999997</v>
      </c>
      <c r="F5" s="11">
        <v>103.194</v>
      </c>
      <c r="G5" s="11">
        <v>105.304</v>
      </c>
      <c r="H5" s="11">
        <v>106.35</v>
      </c>
      <c r="I5" s="11">
        <v>107.187</v>
      </c>
      <c r="J5" s="11">
        <v>107.658</v>
      </c>
      <c r="K5" s="11">
        <v>108.114</v>
      </c>
      <c r="L5" s="12">
        <v>108.779</v>
      </c>
      <c r="M5" s="11">
        <v>110.535</v>
      </c>
      <c r="N5" s="11">
        <v>115.069</v>
      </c>
      <c r="O5" s="11">
        <v>121.09</v>
      </c>
      <c r="P5" s="9"/>
      <c r="Q5" s="9">
        <f>O5-C5</f>
        <v>32.353000000000009</v>
      </c>
      <c r="T5" s="160" t="s">
        <v>1</v>
      </c>
      <c r="U5" s="159">
        <f t="shared" si="0"/>
        <v>6.7130000000000081</v>
      </c>
      <c r="V5" s="159">
        <f t="shared" si="0"/>
        <v>4.4749999999999943</v>
      </c>
      <c r="W5" s="159">
        <f t="shared" si="0"/>
        <v>3.2690000000000055</v>
      </c>
      <c r="X5" s="159">
        <f t="shared" si="0"/>
        <v>2.1099999999999994</v>
      </c>
      <c r="Y5" s="159">
        <f t="shared" si="0"/>
        <v>1.0459999999999923</v>
      </c>
      <c r="Z5" s="159">
        <f t="shared" si="0"/>
        <v>0.8370000000000033</v>
      </c>
      <c r="AA5" s="159">
        <f t="shared" si="0"/>
        <v>0.47100000000000364</v>
      </c>
      <c r="AB5" s="159">
        <f t="shared" si="0"/>
        <v>0.45600000000000307</v>
      </c>
      <c r="AC5" s="159">
        <f t="shared" si="0"/>
        <v>0.66499999999999204</v>
      </c>
      <c r="AD5" s="159">
        <f t="shared" si="0"/>
        <v>1.7560000000000002</v>
      </c>
      <c r="AE5" s="159">
        <f t="shared" si="0"/>
        <v>4.534000000000006</v>
      </c>
      <c r="AF5" s="159">
        <f t="shared" ref="AF4:AF23" si="1">O5-N5</f>
        <v>6.0210000000000008</v>
      </c>
      <c r="AG5" s="277"/>
      <c r="AH5" s="280"/>
      <c r="AI5" s="281"/>
      <c r="AJ5" s="281"/>
      <c r="AK5" s="281"/>
      <c r="AL5" s="282"/>
    </row>
    <row r="6" spans="1:38" x14ac:dyDescent="0.35">
      <c r="A6" s="294">
        <v>2</v>
      </c>
      <c r="B6" s="10" t="s">
        <v>168</v>
      </c>
      <c r="C6" s="78">
        <v>788.49599999999998</v>
      </c>
      <c r="D6" s="11">
        <v>804.80700000000002</v>
      </c>
      <c r="E6" s="11">
        <v>817.37800000000004</v>
      </c>
      <c r="F6" s="11">
        <v>832.87800000000004</v>
      </c>
      <c r="G6" s="11">
        <v>849.08500000000004</v>
      </c>
      <c r="H6" s="11">
        <v>865.66</v>
      </c>
      <c r="I6" s="11">
        <v>881.19100000000003</v>
      </c>
      <c r="J6" s="11">
        <v>891.88199999999995</v>
      </c>
      <c r="K6" s="11">
        <v>906.721</v>
      </c>
      <c r="L6" s="11">
        <v>922.99300000000005</v>
      </c>
      <c r="M6" s="11">
        <v>937.01499999999999</v>
      </c>
      <c r="N6" s="11">
        <v>952.03</v>
      </c>
      <c r="O6" s="11">
        <v>16.076000000000001</v>
      </c>
      <c r="P6" s="9">
        <f t="shared" ref="P6" si="2">O6+N6-C6</f>
        <v>179.61</v>
      </c>
      <c r="T6" s="1">
        <v>2</v>
      </c>
      <c r="U6" s="147">
        <f>D6-C6</f>
        <v>16.311000000000035</v>
      </c>
      <c r="V6" s="147">
        <f t="shared" ref="U6:AE21" si="3">E6-D6</f>
        <v>12.571000000000026</v>
      </c>
      <c r="W6" s="147">
        <f t="shared" si="3"/>
        <v>15.5</v>
      </c>
      <c r="X6" s="147">
        <f t="shared" si="3"/>
        <v>16.206999999999994</v>
      </c>
      <c r="Y6" s="147">
        <f t="shared" si="3"/>
        <v>16.574999999999932</v>
      </c>
      <c r="Z6" s="147">
        <f t="shared" si="3"/>
        <v>15.531000000000063</v>
      </c>
      <c r="AA6" s="147">
        <f t="shared" si="3"/>
        <v>10.690999999999917</v>
      </c>
      <c r="AB6" s="147">
        <f t="shared" si="3"/>
        <v>14.839000000000055</v>
      </c>
      <c r="AC6" s="147">
        <f t="shared" si="3"/>
        <v>16.272000000000048</v>
      </c>
      <c r="AD6" s="147">
        <f t="shared" si="3"/>
        <v>14.021999999999935</v>
      </c>
      <c r="AE6" s="147">
        <f t="shared" si="3"/>
        <v>15.014999999999986</v>
      </c>
      <c r="AF6" s="147">
        <f>O6</f>
        <v>16.076000000000001</v>
      </c>
      <c r="AG6" s="9"/>
      <c r="AH6" s="280">
        <v>2</v>
      </c>
      <c r="AI6" s="281">
        <f>SUM(U6:AE6)</f>
        <v>163.53399999999999</v>
      </c>
      <c r="AJ6" s="281">
        <v>153.82999999999993</v>
      </c>
      <c r="AK6" s="281">
        <v>160.27199999999993</v>
      </c>
      <c r="AL6" s="282">
        <v>194.58399999999997</v>
      </c>
    </row>
    <row r="7" spans="1:38" x14ac:dyDescent="0.35">
      <c r="A7" s="294"/>
      <c r="B7" s="10" t="s">
        <v>352</v>
      </c>
      <c r="C7" s="78">
        <v>70.480999999999995</v>
      </c>
      <c r="D7" s="11">
        <v>76.114000000000004</v>
      </c>
      <c r="E7" s="11">
        <v>79.070999999999998</v>
      </c>
      <c r="F7" s="11">
        <v>82.012</v>
      </c>
      <c r="G7" s="11">
        <v>84.304000000000002</v>
      </c>
      <c r="H7" s="11">
        <v>85.488</v>
      </c>
      <c r="I7" s="11">
        <v>86.527000000000001</v>
      </c>
      <c r="J7" s="11">
        <v>87.192999999999998</v>
      </c>
      <c r="K7" s="11">
        <v>88.025000000000006</v>
      </c>
      <c r="L7" s="11">
        <v>89.016999999999996</v>
      </c>
      <c r="M7" s="11">
        <v>90.959000000000003</v>
      </c>
      <c r="N7" s="11">
        <v>95.376999999999995</v>
      </c>
      <c r="O7" s="11">
        <v>99.778999999999996</v>
      </c>
      <c r="P7" s="9"/>
      <c r="Q7" s="9">
        <f>O7-C7</f>
        <v>29.298000000000002</v>
      </c>
      <c r="T7" s="160"/>
      <c r="U7" s="159">
        <f t="shared" ref="U7:AE7" si="4">D7-C7</f>
        <v>5.6330000000000098</v>
      </c>
      <c r="V7" s="159">
        <f t="shared" si="4"/>
        <v>2.9569999999999936</v>
      </c>
      <c r="W7" s="159">
        <f t="shared" si="4"/>
        <v>2.9410000000000025</v>
      </c>
      <c r="X7" s="159">
        <f t="shared" si="4"/>
        <v>2.2920000000000016</v>
      </c>
      <c r="Y7" s="159">
        <f t="shared" si="4"/>
        <v>1.1839999999999975</v>
      </c>
      <c r="Z7" s="159">
        <f t="shared" si="4"/>
        <v>1.0390000000000015</v>
      </c>
      <c r="AA7" s="159">
        <f t="shared" si="4"/>
        <v>0.66599999999999682</v>
      </c>
      <c r="AB7" s="159">
        <f t="shared" si="4"/>
        <v>0.83200000000000784</v>
      </c>
      <c r="AC7" s="159">
        <f t="shared" si="4"/>
        <v>0.99199999999999022</v>
      </c>
      <c r="AD7" s="159">
        <f t="shared" si="4"/>
        <v>1.9420000000000073</v>
      </c>
      <c r="AE7" s="159">
        <f t="shared" si="4"/>
        <v>4.4179999999999922</v>
      </c>
      <c r="AF7" s="159">
        <f t="shared" si="1"/>
        <v>4.402000000000001</v>
      </c>
      <c r="AG7" s="277"/>
      <c r="AH7" s="278"/>
      <c r="AI7" s="281"/>
      <c r="AJ7" s="281"/>
      <c r="AK7" s="281"/>
      <c r="AL7" s="282"/>
    </row>
    <row r="8" spans="1:38" x14ac:dyDescent="0.35">
      <c r="A8" s="294">
        <v>3</v>
      </c>
      <c r="B8" s="10" t="s">
        <v>169</v>
      </c>
      <c r="C8" s="78">
        <v>194.066</v>
      </c>
      <c r="D8" s="11">
        <v>197.87100000000001</v>
      </c>
      <c r="E8" s="11">
        <v>201.22200000000001</v>
      </c>
      <c r="F8" s="11">
        <v>204.887</v>
      </c>
      <c r="G8" s="11">
        <v>208.19499999999999</v>
      </c>
      <c r="H8" s="11">
        <v>211.85599999999999</v>
      </c>
      <c r="I8" s="11">
        <v>215.30099999999999</v>
      </c>
      <c r="J8" s="11">
        <v>218.73500000000001</v>
      </c>
      <c r="K8" s="11">
        <v>222.232</v>
      </c>
      <c r="L8" s="11">
        <v>225.46600000000001</v>
      </c>
      <c r="M8" s="11">
        <v>229.434</v>
      </c>
      <c r="N8" s="11">
        <v>233.32999999999998</v>
      </c>
      <c r="O8" s="11">
        <v>2.694</v>
      </c>
      <c r="P8" s="9">
        <f t="shared" ref="P8" si="5">O8+N8-C8</f>
        <v>41.95799999999997</v>
      </c>
      <c r="T8" s="1">
        <v>3</v>
      </c>
      <c r="U8" s="147">
        <f t="shared" si="3"/>
        <v>3.8050000000000068</v>
      </c>
      <c r="V8" s="147">
        <f t="shared" si="3"/>
        <v>3.3509999999999991</v>
      </c>
      <c r="W8" s="147">
        <f t="shared" si="3"/>
        <v>3.664999999999992</v>
      </c>
      <c r="X8" s="147">
        <f t="shared" si="3"/>
        <v>3.3079999999999927</v>
      </c>
      <c r="Y8" s="147">
        <f t="shared" si="3"/>
        <v>3.6610000000000014</v>
      </c>
      <c r="Z8" s="147">
        <f t="shared" si="3"/>
        <v>3.4449999999999932</v>
      </c>
      <c r="AA8" s="147">
        <f t="shared" si="3"/>
        <v>3.4340000000000259</v>
      </c>
      <c r="AB8" s="147">
        <f t="shared" si="3"/>
        <v>3.4969999999999857</v>
      </c>
      <c r="AC8" s="147">
        <f t="shared" si="3"/>
        <v>3.2340000000000089</v>
      </c>
      <c r="AD8" s="147">
        <f t="shared" si="3"/>
        <v>3.9679999999999893</v>
      </c>
      <c r="AE8" s="147">
        <f t="shared" si="3"/>
        <v>3.8959999999999866</v>
      </c>
      <c r="AF8" s="147">
        <f t="shared" ref="AF8:AF23" si="6">O8</f>
        <v>2.694</v>
      </c>
      <c r="AG8" s="9"/>
      <c r="AH8" s="280">
        <v>3</v>
      </c>
      <c r="AI8" s="281">
        <f>SUM(U8:AE8)</f>
        <v>39.263999999999982</v>
      </c>
      <c r="AJ8" s="281">
        <v>38.844999999999999</v>
      </c>
      <c r="AK8" s="281">
        <v>40.903000000000006</v>
      </c>
      <c r="AL8" s="282">
        <v>45.514999999999993</v>
      </c>
    </row>
    <row r="9" spans="1:38" x14ac:dyDescent="0.35">
      <c r="A9" s="294"/>
      <c r="B9" s="10" t="s">
        <v>354</v>
      </c>
      <c r="C9" s="78">
        <v>41.048999999999999</v>
      </c>
      <c r="D9" s="11">
        <v>45.353999999999999</v>
      </c>
      <c r="E9" s="11">
        <v>48.033999999999999</v>
      </c>
      <c r="F9" s="11">
        <v>50.302</v>
      </c>
      <c r="G9" s="11">
        <v>51.203000000000003</v>
      </c>
      <c r="H9" s="11">
        <v>51.497</v>
      </c>
      <c r="I9" s="11">
        <v>51.716999999999999</v>
      </c>
      <c r="J9" s="11">
        <v>51.921999999999997</v>
      </c>
      <c r="K9" s="11">
        <v>52.097000000000001</v>
      </c>
      <c r="L9" s="11">
        <v>52.374000000000002</v>
      </c>
      <c r="M9" s="11">
        <v>53.405000000000001</v>
      </c>
      <c r="N9" s="11">
        <v>56.898000000000003</v>
      </c>
      <c r="O9" s="11">
        <v>59.594999999999999</v>
      </c>
      <c r="P9" s="9"/>
      <c r="Q9" s="9">
        <f>O9-C9</f>
        <v>18.545999999999999</v>
      </c>
      <c r="T9" s="160"/>
      <c r="U9" s="159">
        <f t="shared" si="3"/>
        <v>4.3049999999999997</v>
      </c>
      <c r="V9" s="159">
        <f t="shared" si="3"/>
        <v>2.6799999999999997</v>
      </c>
      <c r="W9" s="159">
        <f t="shared" si="3"/>
        <v>2.2680000000000007</v>
      </c>
      <c r="X9" s="159">
        <f t="shared" si="3"/>
        <v>0.90100000000000335</v>
      </c>
      <c r="Y9" s="159">
        <f t="shared" si="3"/>
        <v>0.29399999999999693</v>
      </c>
      <c r="Z9" s="159">
        <f t="shared" si="3"/>
        <v>0.21999999999999886</v>
      </c>
      <c r="AA9" s="159">
        <f t="shared" si="3"/>
        <v>0.20499999999999829</v>
      </c>
      <c r="AB9" s="159">
        <f t="shared" si="3"/>
        <v>0.17500000000000426</v>
      </c>
      <c r="AC9" s="159">
        <f t="shared" si="3"/>
        <v>0.27700000000000102</v>
      </c>
      <c r="AD9" s="159">
        <f t="shared" si="3"/>
        <v>1.0309999999999988</v>
      </c>
      <c r="AE9" s="159">
        <f t="shared" si="3"/>
        <v>3.4930000000000021</v>
      </c>
      <c r="AF9" s="159">
        <f t="shared" si="1"/>
        <v>2.6969999999999956</v>
      </c>
      <c r="AG9" s="277"/>
      <c r="AH9" s="280"/>
      <c r="AI9" s="281"/>
      <c r="AJ9" s="281"/>
      <c r="AK9" s="281"/>
      <c r="AL9" s="282"/>
    </row>
    <row r="10" spans="1:38" x14ac:dyDescent="0.35">
      <c r="A10" s="294">
        <v>4</v>
      </c>
      <c r="B10" s="10" t="s">
        <v>170</v>
      </c>
      <c r="C10" s="78">
        <v>58.087000000000003</v>
      </c>
      <c r="D10" s="11">
        <v>60.612000000000002</v>
      </c>
      <c r="E10" s="11">
        <v>62.281999999999996</v>
      </c>
      <c r="F10" s="11">
        <v>64.313000000000002</v>
      </c>
      <c r="G10" s="11">
        <v>66.453999999999994</v>
      </c>
      <c r="H10" s="11">
        <v>68.430000000000007</v>
      </c>
      <c r="I10" s="11">
        <v>70.885000000000005</v>
      </c>
      <c r="J10" s="11">
        <v>74.86</v>
      </c>
      <c r="K10" s="11">
        <v>76.599999999999994</v>
      </c>
      <c r="L10" s="11">
        <v>78.36</v>
      </c>
      <c r="M10" s="11">
        <v>79.465000000000003</v>
      </c>
      <c r="N10" s="11">
        <v>80.27</v>
      </c>
      <c r="O10" s="11">
        <v>1.8480000000000001</v>
      </c>
      <c r="P10" s="9">
        <f t="shared" ref="P10" si="7">O10+N10-C10</f>
        <v>24.030999999999992</v>
      </c>
      <c r="T10" s="1">
        <v>4</v>
      </c>
      <c r="U10" s="147">
        <f t="shared" si="3"/>
        <v>2.5249999999999986</v>
      </c>
      <c r="V10" s="147">
        <f t="shared" si="3"/>
        <v>1.6699999999999946</v>
      </c>
      <c r="W10" s="147">
        <f t="shared" si="3"/>
        <v>2.0310000000000059</v>
      </c>
      <c r="X10" s="147">
        <f t="shared" si="3"/>
        <v>2.1409999999999911</v>
      </c>
      <c r="Y10" s="147">
        <f t="shared" si="3"/>
        <v>1.9760000000000133</v>
      </c>
      <c r="Z10" s="147">
        <f t="shared" si="3"/>
        <v>2.4549999999999983</v>
      </c>
      <c r="AA10" s="147">
        <f t="shared" si="3"/>
        <v>3.9749999999999943</v>
      </c>
      <c r="AB10" s="147">
        <f t="shared" si="3"/>
        <v>1.7399999999999949</v>
      </c>
      <c r="AC10" s="147">
        <f t="shared" si="3"/>
        <v>1.7600000000000051</v>
      </c>
      <c r="AD10" s="147">
        <f t="shared" si="3"/>
        <v>1.105000000000004</v>
      </c>
      <c r="AE10" s="147">
        <f t="shared" si="3"/>
        <v>0.80499999999999261</v>
      </c>
      <c r="AF10" s="147">
        <f t="shared" ref="AF10:AF23" si="8">O10</f>
        <v>1.8480000000000001</v>
      </c>
      <c r="AG10" s="9"/>
      <c r="AH10" s="280">
        <v>4</v>
      </c>
      <c r="AI10" s="281">
        <f>SUM(U10:AE10)</f>
        <v>22.182999999999993</v>
      </c>
      <c r="AJ10" s="281">
        <v>16.192</v>
      </c>
      <c r="AK10" s="281">
        <v>13.024999999999999</v>
      </c>
      <c r="AL10" s="282">
        <v>10.867000000000001</v>
      </c>
    </row>
    <row r="11" spans="1:38" x14ac:dyDescent="0.35">
      <c r="A11" s="294"/>
      <c r="B11" s="10" t="s">
        <v>355</v>
      </c>
      <c r="C11" s="78">
        <v>6.0309999999999997</v>
      </c>
      <c r="D11" s="11">
        <v>6.9059999999999997</v>
      </c>
      <c r="E11" s="11">
        <v>7.0179999999999998</v>
      </c>
      <c r="F11" s="11">
        <v>7.1870000000000003</v>
      </c>
      <c r="G11" s="11">
        <v>7.29</v>
      </c>
      <c r="H11" s="11">
        <v>7.3419999999999996</v>
      </c>
      <c r="I11" s="11">
        <v>7.4009999999999998</v>
      </c>
      <c r="J11" s="11">
        <v>7.4960000000000004</v>
      </c>
      <c r="K11" s="11">
        <v>7.5259999999999998</v>
      </c>
      <c r="L11" s="11">
        <v>7.55</v>
      </c>
      <c r="M11" s="11">
        <v>7.5670000000000002</v>
      </c>
      <c r="N11" s="11">
        <v>8.3840000000000003</v>
      </c>
      <c r="O11" s="11">
        <v>8.8520000000000003</v>
      </c>
      <c r="P11" s="9"/>
      <c r="Q11" s="9">
        <f>O11-C11</f>
        <v>2.8210000000000006</v>
      </c>
      <c r="T11" s="1"/>
      <c r="U11" s="159">
        <f t="shared" si="3"/>
        <v>0.875</v>
      </c>
      <c r="V11" s="159">
        <f t="shared" si="3"/>
        <v>0.1120000000000001</v>
      </c>
      <c r="W11" s="159">
        <f t="shared" si="3"/>
        <v>0.16900000000000048</v>
      </c>
      <c r="X11" s="159">
        <f t="shared" si="3"/>
        <v>0.10299999999999976</v>
      </c>
      <c r="Y11" s="159">
        <f t="shared" si="3"/>
        <v>5.1999999999999602E-2</v>
      </c>
      <c r="Z11" s="159">
        <f t="shared" si="3"/>
        <v>5.9000000000000163E-2</v>
      </c>
      <c r="AA11" s="159">
        <f t="shared" si="3"/>
        <v>9.5000000000000639E-2</v>
      </c>
      <c r="AB11" s="159">
        <f t="shared" si="3"/>
        <v>2.9999999999999361E-2</v>
      </c>
      <c r="AC11" s="159">
        <f t="shared" si="3"/>
        <v>2.4000000000000021E-2</v>
      </c>
      <c r="AD11" s="159">
        <f t="shared" si="3"/>
        <v>1.7000000000000348E-2</v>
      </c>
      <c r="AE11" s="159">
        <f t="shared" si="3"/>
        <v>0.81700000000000017</v>
      </c>
      <c r="AF11" s="159">
        <f t="shared" si="1"/>
        <v>0.46799999999999997</v>
      </c>
      <c r="AG11" s="277"/>
      <c r="AH11" s="278"/>
      <c r="AI11" s="281"/>
      <c r="AJ11" s="281"/>
      <c r="AK11" s="281"/>
      <c r="AL11" s="282"/>
    </row>
    <row r="12" spans="1:38" x14ac:dyDescent="0.35">
      <c r="A12" s="294">
        <v>5</v>
      </c>
      <c r="B12" s="10" t="s">
        <v>171</v>
      </c>
      <c r="C12" s="78">
        <v>288.62</v>
      </c>
      <c r="D12" s="11">
        <v>294.39699999999999</v>
      </c>
      <c r="E12" s="11">
        <v>299.47399999999999</v>
      </c>
      <c r="F12" s="11">
        <v>305.726</v>
      </c>
      <c r="G12" s="11">
        <v>311.53699999999998</v>
      </c>
      <c r="H12" s="11">
        <v>317.22800000000001</v>
      </c>
      <c r="I12" s="11">
        <v>322.25299999999999</v>
      </c>
      <c r="J12" s="11">
        <v>325.286</v>
      </c>
      <c r="K12" s="11">
        <v>328.49799999999999</v>
      </c>
      <c r="L12" s="11">
        <v>332.649</v>
      </c>
      <c r="M12" s="11">
        <v>337.70400000000001</v>
      </c>
      <c r="N12" s="11">
        <v>344.51000000000005</v>
      </c>
      <c r="O12" s="11">
        <v>7.0019999999999998</v>
      </c>
      <c r="P12" s="9">
        <f t="shared" ref="P12" si="9">O12+N12-C12</f>
        <v>62.892000000000053</v>
      </c>
      <c r="T12" s="1">
        <v>5</v>
      </c>
      <c r="U12" s="147">
        <f t="shared" si="3"/>
        <v>5.7769999999999868</v>
      </c>
      <c r="V12" s="147">
        <f t="shared" si="3"/>
        <v>5.0769999999999982</v>
      </c>
      <c r="W12" s="147">
        <f t="shared" si="3"/>
        <v>6.2520000000000095</v>
      </c>
      <c r="X12" s="147">
        <f t="shared" si="3"/>
        <v>5.8109999999999786</v>
      </c>
      <c r="Y12" s="147">
        <f t="shared" si="3"/>
        <v>5.6910000000000309</v>
      </c>
      <c r="Z12" s="147">
        <f t="shared" si="3"/>
        <v>5.0249999999999773</v>
      </c>
      <c r="AA12" s="147">
        <f t="shared" si="3"/>
        <v>3.0330000000000155</v>
      </c>
      <c r="AB12" s="147">
        <f t="shared" si="3"/>
        <v>3.2119999999999891</v>
      </c>
      <c r="AC12" s="147">
        <f t="shared" si="3"/>
        <v>4.1510000000000105</v>
      </c>
      <c r="AD12" s="147">
        <f t="shared" si="3"/>
        <v>5.0550000000000068</v>
      </c>
      <c r="AE12" s="147">
        <f t="shared" si="3"/>
        <v>6.80600000000004</v>
      </c>
      <c r="AF12" s="147">
        <f t="shared" ref="AF12:AF23" si="10">O12</f>
        <v>7.0019999999999998</v>
      </c>
      <c r="AG12" s="9"/>
      <c r="AH12" s="280">
        <v>5</v>
      </c>
      <c r="AI12" s="281">
        <f>SUM(U12:AE12)</f>
        <v>55.890000000000043</v>
      </c>
      <c r="AJ12" s="281">
        <v>51.191000000000003</v>
      </c>
      <c r="AK12" s="281">
        <v>59.693999999999988</v>
      </c>
      <c r="AL12" s="282">
        <v>66.632999999999996</v>
      </c>
    </row>
    <row r="13" spans="1:38" x14ac:dyDescent="0.35">
      <c r="A13" s="294"/>
      <c r="B13" s="10" t="s">
        <v>356</v>
      </c>
      <c r="C13" s="78">
        <v>38.718000000000004</v>
      </c>
      <c r="D13" s="11">
        <v>42.875</v>
      </c>
      <c r="E13" s="11">
        <v>45.277000000000001</v>
      </c>
      <c r="F13" s="11">
        <v>46.732999999999997</v>
      </c>
      <c r="G13" s="11">
        <v>47.39</v>
      </c>
      <c r="H13" s="11">
        <v>47.610999999999997</v>
      </c>
      <c r="I13" s="11">
        <v>47.814</v>
      </c>
      <c r="J13" s="11">
        <v>47.905999999999999</v>
      </c>
      <c r="K13" s="11">
        <v>47.981000000000002</v>
      </c>
      <c r="L13" s="11">
        <v>48.152000000000001</v>
      </c>
      <c r="M13" s="11">
        <v>48.890999999999998</v>
      </c>
      <c r="N13" s="11">
        <v>51.826000000000001</v>
      </c>
      <c r="O13" s="11">
        <v>55.107999999999997</v>
      </c>
      <c r="P13" s="9"/>
      <c r="Q13" s="9">
        <f>O13-C13</f>
        <v>16.389999999999993</v>
      </c>
      <c r="T13" s="1"/>
      <c r="U13" s="159">
        <f t="shared" si="3"/>
        <v>4.1569999999999965</v>
      </c>
      <c r="V13" s="159">
        <f t="shared" si="3"/>
        <v>2.402000000000001</v>
      </c>
      <c r="W13" s="159">
        <f t="shared" si="3"/>
        <v>1.455999999999996</v>
      </c>
      <c r="X13" s="159">
        <f t="shared" si="3"/>
        <v>0.65700000000000358</v>
      </c>
      <c r="Y13" s="159">
        <f t="shared" si="3"/>
        <v>0.22099999999999653</v>
      </c>
      <c r="Z13" s="159">
        <f t="shared" si="3"/>
        <v>0.20300000000000296</v>
      </c>
      <c r="AA13" s="159">
        <f t="shared" si="3"/>
        <v>9.1999999999998749E-2</v>
      </c>
      <c r="AB13" s="159">
        <f t="shared" si="3"/>
        <v>7.5000000000002842E-2</v>
      </c>
      <c r="AC13" s="159">
        <f t="shared" si="3"/>
        <v>0.17099999999999937</v>
      </c>
      <c r="AD13" s="159">
        <f t="shared" si="3"/>
        <v>0.73899999999999721</v>
      </c>
      <c r="AE13" s="159">
        <f t="shared" si="3"/>
        <v>2.9350000000000023</v>
      </c>
      <c r="AF13" s="159">
        <f t="shared" si="1"/>
        <v>3.2819999999999965</v>
      </c>
      <c r="AG13" s="277"/>
      <c r="AH13" s="280"/>
      <c r="AI13" s="281"/>
      <c r="AJ13" s="281"/>
      <c r="AK13" s="281"/>
      <c r="AL13" s="282"/>
    </row>
    <row r="14" spans="1:38" x14ac:dyDescent="0.35">
      <c r="A14" s="294">
        <v>6</v>
      </c>
      <c r="B14" s="10" t="s">
        <v>172</v>
      </c>
      <c r="C14" s="78">
        <v>169.59</v>
      </c>
      <c r="D14" s="11">
        <v>174.75700000000001</v>
      </c>
      <c r="E14" s="11">
        <v>179.67099999999999</v>
      </c>
      <c r="F14" s="11">
        <v>184.59</v>
      </c>
      <c r="G14" s="11">
        <v>190.89</v>
      </c>
      <c r="H14" s="11">
        <v>196.53700000000001</v>
      </c>
      <c r="I14" s="11">
        <v>197.67500000000001</v>
      </c>
      <c r="J14" s="11">
        <v>202.23599999999999</v>
      </c>
      <c r="K14" s="11">
        <v>208.13900000000001</v>
      </c>
      <c r="L14" s="11">
        <v>213.405</v>
      </c>
      <c r="M14" s="11">
        <v>218.23400000000001</v>
      </c>
      <c r="N14" s="11">
        <v>222.1</v>
      </c>
      <c r="O14" s="11">
        <v>5.7220000000000004</v>
      </c>
      <c r="P14" s="9">
        <f t="shared" ref="P14" si="11">O14+N14-C14</f>
        <v>58.231999999999999</v>
      </c>
      <c r="T14" s="1">
        <v>6</v>
      </c>
      <c r="U14" s="147">
        <f t="shared" si="3"/>
        <v>5.1670000000000016</v>
      </c>
      <c r="V14" s="147">
        <f t="shared" si="3"/>
        <v>4.9139999999999873</v>
      </c>
      <c r="W14" s="147">
        <f t="shared" si="3"/>
        <v>4.9190000000000111</v>
      </c>
      <c r="X14" s="147">
        <f t="shared" si="3"/>
        <v>6.2999999999999829</v>
      </c>
      <c r="Y14" s="147">
        <f t="shared" si="3"/>
        <v>5.6470000000000198</v>
      </c>
      <c r="Z14" s="147">
        <f t="shared" si="3"/>
        <v>1.1380000000000052</v>
      </c>
      <c r="AA14" s="147">
        <f t="shared" si="3"/>
        <v>4.5609999999999786</v>
      </c>
      <c r="AB14" s="147">
        <f t="shared" si="3"/>
        <v>5.90300000000002</v>
      </c>
      <c r="AC14" s="147">
        <f t="shared" si="3"/>
        <v>5.2659999999999911</v>
      </c>
      <c r="AD14" s="147">
        <f t="shared" si="3"/>
        <v>4.8290000000000077</v>
      </c>
      <c r="AE14" s="147">
        <f t="shared" si="3"/>
        <v>3.8659999999999854</v>
      </c>
      <c r="AF14" s="147">
        <f t="shared" ref="AF14:AF23" si="12">O14</f>
        <v>5.7220000000000004</v>
      </c>
      <c r="AG14" s="9"/>
      <c r="AH14" s="280">
        <v>6</v>
      </c>
      <c r="AI14" s="281">
        <f>SUM(U14:AE14)</f>
        <v>52.509999999999991</v>
      </c>
      <c r="AJ14" s="281">
        <v>43.543000000000006</v>
      </c>
      <c r="AK14" s="281">
        <v>37.146999999999991</v>
      </c>
      <c r="AL14" s="282">
        <v>30.63600000000001</v>
      </c>
    </row>
    <row r="15" spans="1:38" x14ac:dyDescent="0.35">
      <c r="A15" s="294"/>
      <c r="B15" s="10" t="s">
        <v>357</v>
      </c>
      <c r="C15" s="78">
        <v>69.13</v>
      </c>
      <c r="D15" s="11">
        <v>74.805999999999997</v>
      </c>
      <c r="E15" s="11">
        <v>78.835999999999999</v>
      </c>
      <c r="F15" s="11">
        <v>82.409000000000006</v>
      </c>
      <c r="G15" s="11">
        <v>84.78</v>
      </c>
      <c r="H15" s="11">
        <v>85.653999999999996</v>
      </c>
      <c r="I15" s="11">
        <v>85.816999999999993</v>
      </c>
      <c r="J15" s="11">
        <v>86.122</v>
      </c>
      <c r="K15" s="11">
        <v>86.516999999999996</v>
      </c>
      <c r="L15" s="11">
        <v>87.284999999999997</v>
      </c>
      <c r="M15" s="11">
        <v>90.105999999999995</v>
      </c>
      <c r="N15" s="11">
        <v>93.355999999999995</v>
      </c>
      <c r="O15" s="11">
        <v>97.730999999999995</v>
      </c>
      <c r="P15" s="9"/>
      <c r="Q15" s="9">
        <f>O15-C15</f>
        <v>28.600999999999999</v>
      </c>
      <c r="T15" s="1"/>
      <c r="U15" s="159">
        <f t="shared" si="3"/>
        <v>5.6760000000000019</v>
      </c>
      <c r="V15" s="159">
        <f t="shared" si="3"/>
        <v>4.0300000000000011</v>
      </c>
      <c r="W15" s="159">
        <f t="shared" si="3"/>
        <v>3.5730000000000075</v>
      </c>
      <c r="X15" s="159">
        <f t="shared" si="3"/>
        <v>2.3709999999999951</v>
      </c>
      <c r="Y15" s="159">
        <f t="shared" si="3"/>
        <v>0.87399999999999523</v>
      </c>
      <c r="Z15" s="159">
        <f t="shared" si="3"/>
        <v>0.1629999999999967</v>
      </c>
      <c r="AA15" s="159">
        <f t="shared" si="3"/>
        <v>0.30500000000000682</v>
      </c>
      <c r="AB15" s="159">
        <f t="shared" si="3"/>
        <v>0.39499999999999602</v>
      </c>
      <c r="AC15" s="159">
        <f t="shared" si="3"/>
        <v>0.76800000000000068</v>
      </c>
      <c r="AD15" s="159">
        <f t="shared" si="3"/>
        <v>2.820999999999998</v>
      </c>
      <c r="AE15" s="159">
        <f t="shared" si="3"/>
        <v>3.25</v>
      </c>
      <c r="AF15" s="159">
        <f t="shared" si="1"/>
        <v>4.375</v>
      </c>
      <c r="AG15" s="277"/>
      <c r="AH15" s="278"/>
      <c r="AI15" s="281"/>
      <c r="AJ15" s="281"/>
      <c r="AK15" s="281"/>
      <c r="AL15" s="282"/>
    </row>
    <row r="16" spans="1:38" x14ac:dyDescent="0.35">
      <c r="A16" s="294">
        <v>7</v>
      </c>
      <c r="B16" s="10" t="s">
        <v>173</v>
      </c>
      <c r="C16" s="78">
        <v>124.749</v>
      </c>
      <c r="D16" s="11">
        <v>131.905</v>
      </c>
      <c r="E16" s="11">
        <v>137.654</v>
      </c>
      <c r="F16" s="11">
        <v>143.721</v>
      </c>
      <c r="G16" s="11">
        <v>148.65700000000001</v>
      </c>
      <c r="H16" s="11">
        <v>150.803</v>
      </c>
      <c r="I16" s="11">
        <v>153.24100000000001</v>
      </c>
      <c r="J16" s="11">
        <v>155.99100000000001</v>
      </c>
      <c r="K16" s="11">
        <v>158.89599999999999</v>
      </c>
      <c r="L16" s="11">
        <v>161.339</v>
      </c>
      <c r="M16" s="11">
        <v>161.90799999999999</v>
      </c>
      <c r="N16" s="11">
        <v>166.71</v>
      </c>
      <c r="O16" s="11">
        <v>6.1440000000000001</v>
      </c>
      <c r="P16" s="9">
        <f t="shared" ref="P16" si="13">O16+N16-C16</f>
        <v>48.105000000000018</v>
      </c>
      <c r="T16" s="1">
        <v>7</v>
      </c>
      <c r="U16" s="147">
        <f t="shared" si="3"/>
        <v>7.1560000000000059</v>
      </c>
      <c r="V16" s="147">
        <f t="shared" si="3"/>
        <v>5.7489999999999952</v>
      </c>
      <c r="W16" s="147">
        <f t="shared" si="3"/>
        <v>6.0670000000000073</v>
      </c>
      <c r="X16" s="147">
        <f t="shared" si="3"/>
        <v>4.936000000000007</v>
      </c>
      <c r="Y16" s="147">
        <f t="shared" si="3"/>
        <v>2.1459999999999866</v>
      </c>
      <c r="Z16" s="147">
        <f t="shared" si="3"/>
        <v>2.4380000000000166</v>
      </c>
      <c r="AA16" s="147">
        <f t="shared" si="3"/>
        <v>2.75</v>
      </c>
      <c r="AB16" s="147">
        <f t="shared" si="3"/>
        <v>2.9049999999999727</v>
      </c>
      <c r="AC16" s="147">
        <f t="shared" si="3"/>
        <v>2.4430000000000121</v>
      </c>
      <c r="AD16" s="147">
        <f t="shared" si="3"/>
        <v>0.5689999999999884</v>
      </c>
      <c r="AE16" s="147">
        <f t="shared" si="3"/>
        <v>4.8020000000000209</v>
      </c>
      <c r="AF16" s="147">
        <f t="shared" ref="AF16:AF23" si="14">O16</f>
        <v>6.1440000000000001</v>
      </c>
      <c r="AG16" s="9"/>
      <c r="AH16" s="280">
        <v>7</v>
      </c>
      <c r="AI16" s="281">
        <f>SUM(U16:AE16)</f>
        <v>41.961000000000013</v>
      </c>
      <c r="AJ16" s="281">
        <v>51.850999999999999</v>
      </c>
      <c r="AK16" s="281">
        <v>14.010000000000005</v>
      </c>
      <c r="AL16" s="282">
        <v>21.308999999999997</v>
      </c>
    </row>
    <row r="17" spans="1:38" x14ac:dyDescent="0.35">
      <c r="A17" s="294"/>
      <c r="B17" s="10" t="s">
        <v>358</v>
      </c>
      <c r="C17" s="78">
        <v>9.6720000000000006</v>
      </c>
      <c r="D17" s="11">
        <v>11.308</v>
      </c>
      <c r="E17" s="11">
        <v>12.956</v>
      </c>
      <c r="F17" s="11">
        <v>13.449</v>
      </c>
      <c r="G17" s="11">
        <v>13.702999999999999</v>
      </c>
      <c r="H17" s="11">
        <v>13.752000000000001</v>
      </c>
      <c r="I17" s="11">
        <v>13.811</v>
      </c>
      <c r="J17" s="11">
        <v>13.86</v>
      </c>
      <c r="K17" s="11">
        <v>13.887</v>
      </c>
      <c r="L17" s="11">
        <v>13.93</v>
      </c>
      <c r="M17" s="11">
        <v>13.96</v>
      </c>
      <c r="N17" s="11">
        <v>15.009</v>
      </c>
      <c r="O17" s="11">
        <v>16.783000000000001</v>
      </c>
      <c r="P17" s="9"/>
      <c r="Q17" s="9">
        <f>O17-C17</f>
        <v>7.1110000000000007</v>
      </c>
      <c r="T17" s="1"/>
      <c r="U17" s="159">
        <f t="shared" si="3"/>
        <v>1.6359999999999992</v>
      </c>
      <c r="V17" s="159">
        <f t="shared" si="3"/>
        <v>1.6479999999999997</v>
      </c>
      <c r="W17" s="159">
        <f t="shared" si="3"/>
        <v>0.49300000000000033</v>
      </c>
      <c r="X17" s="159">
        <f t="shared" si="3"/>
        <v>0.25399999999999956</v>
      </c>
      <c r="Y17" s="159">
        <f t="shared" si="3"/>
        <v>4.9000000000001265E-2</v>
      </c>
      <c r="Z17" s="159">
        <f t="shared" si="3"/>
        <v>5.8999999999999275E-2</v>
      </c>
      <c r="AA17" s="159">
        <f t="shared" si="3"/>
        <v>4.8999999999999488E-2</v>
      </c>
      <c r="AB17" s="159">
        <f t="shared" si="3"/>
        <v>2.7000000000001023E-2</v>
      </c>
      <c r="AC17" s="159">
        <f t="shared" si="3"/>
        <v>4.2999999999999261E-2</v>
      </c>
      <c r="AD17" s="159">
        <f t="shared" si="3"/>
        <v>3.0000000000001137E-2</v>
      </c>
      <c r="AE17" s="159">
        <f t="shared" si="3"/>
        <v>1.0489999999999995</v>
      </c>
      <c r="AF17" s="159">
        <f t="shared" si="1"/>
        <v>1.7740000000000009</v>
      </c>
      <c r="AG17" s="277"/>
      <c r="AH17" s="280"/>
      <c r="AI17" s="281"/>
      <c r="AJ17" s="281"/>
      <c r="AK17" s="281"/>
      <c r="AL17" s="282"/>
    </row>
    <row r="18" spans="1:38" x14ac:dyDescent="0.35">
      <c r="A18" s="294">
        <v>8</v>
      </c>
      <c r="B18" s="10" t="s">
        <v>174</v>
      </c>
      <c r="C18" s="78">
        <v>111.07</v>
      </c>
      <c r="D18" s="11">
        <v>112.827</v>
      </c>
      <c r="E18" s="11">
        <v>114.85</v>
      </c>
      <c r="F18" s="11">
        <v>118.75</v>
      </c>
      <c r="G18" s="11">
        <v>122.134</v>
      </c>
      <c r="H18" s="11">
        <v>125.925</v>
      </c>
      <c r="I18" s="11">
        <v>129.11000000000001</v>
      </c>
      <c r="J18" s="11">
        <v>132.548</v>
      </c>
      <c r="K18" s="11">
        <v>135.178</v>
      </c>
      <c r="L18" s="11">
        <v>138.572</v>
      </c>
      <c r="M18" s="11">
        <v>141.804</v>
      </c>
      <c r="N18" s="11">
        <v>145.76999999999998</v>
      </c>
      <c r="O18" s="11">
        <v>3.8759999999999999</v>
      </c>
      <c r="P18" s="9">
        <f t="shared" ref="P18" si="15">O18+N18-C18</f>
        <v>38.575999999999993</v>
      </c>
      <c r="T18" s="1">
        <v>8</v>
      </c>
      <c r="U18" s="147">
        <f t="shared" si="3"/>
        <v>1.757000000000005</v>
      </c>
      <c r="V18" s="147">
        <f t="shared" si="3"/>
        <v>2.0229999999999961</v>
      </c>
      <c r="W18" s="147">
        <f t="shared" si="3"/>
        <v>3.9000000000000057</v>
      </c>
      <c r="X18" s="147">
        <f t="shared" si="3"/>
        <v>3.3840000000000003</v>
      </c>
      <c r="Y18" s="147">
        <f t="shared" si="3"/>
        <v>3.7909999999999968</v>
      </c>
      <c r="Z18" s="147">
        <f t="shared" si="3"/>
        <v>3.1850000000000165</v>
      </c>
      <c r="AA18" s="147">
        <f t="shared" si="3"/>
        <v>3.4379999999999882</v>
      </c>
      <c r="AB18" s="147">
        <f t="shared" si="3"/>
        <v>2.6299999999999955</v>
      </c>
      <c r="AC18" s="147">
        <f t="shared" si="3"/>
        <v>3.3940000000000055</v>
      </c>
      <c r="AD18" s="147">
        <f t="shared" si="3"/>
        <v>3.2319999999999993</v>
      </c>
      <c r="AE18" s="147">
        <f t="shared" si="3"/>
        <v>3.9659999999999798</v>
      </c>
      <c r="AF18" s="147">
        <f t="shared" ref="AF18:AF23" si="16">O18</f>
        <v>3.8759999999999999</v>
      </c>
      <c r="AG18" s="9"/>
      <c r="AH18" s="280">
        <v>8</v>
      </c>
      <c r="AI18" s="281">
        <f>SUM(U18:AE18)</f>
        <v>34.699999999999989</v>
      </c>
      <c r="AJ18" s="281">
        <v>29.063999999999993</v>
      </c>
      <c r="AK18" s="281">
        <v>24.359000000000002</v>
      </c>
      <c r="AL18" s="282">
        <v>19.303000000000001</v>
      </c>
    </row>
    <row r="19" spans="1:38" x14ac:dyDescent="0.35">
      <c r="A19" s="294"/>
      <c r="B19" s="10" t="s">
        <v>359</v>
      </c>
      <c r="C19" s="78">
        <v>31.562999999999999</v>
      </c>
      <c r="D19" s="11">
        <v>33.789000000000001</v>
      </c>
      <c r="E19" s="11">
        <v>34.777999999999999</v>
      </c>
      <c r="F19" s="11">
        <v>35.552999999999997</v>
      </c>
      <c r="G19" s="11">
        <v>35.920999999999999</v>
      </c>
      <c r="H19" s="11">
        <v>36.238</v>
      </c>
      <c r="I19" s="11">
        <v>36.488</v>
      </c>
      <c r="J19" s="11">
        <v>36.734999999999999</v>
      </c>
      <c r="K19" s="11">
        <v>36.954000000000001</v>
      </c>
      <c r="L19" s="11">
        <v>37.17</v>
      </c>
      <c r="M19" s="11">
        <v>37.542000000000002</v>
      </c>
      <c r="N19" s="11">
        <v>39.445</v>
      </c>
      <c r="O19" s="11">
        <v>41.570999999999998</v>
      </c>
      <c r="P19" s="9"/>
      <c r="Q19" s="9">
        <f>O19-C19</f>
        <v>10.007999999999999</v>
      </c>
      <c r="T19" s="1"/>
      <c r="U19" s="159">
        <f t="shared" si="3"/>
        <v>2.2260000000000026</v>
      </c>
      <c r="V19" s="159">
        <f t="shared" si="3"/>
        <v>0.98899999999999721</v>
      </c>
      <c r="W19" s="159">
        <f t="shared" si="3"/>
        <v>0.77499999999999858</v>
      </c>
      <c r="X19" s="159">
        <f t="shared" si="3"/>
        <v>0.3680000000000021</v>
      </c>
      <c r="Y19" s="159">
        <f t="shared" si="3"/>
        <v>0.31700000000000017</v>
      </c>
      <c r="Z19" s="159">
        <f t="shared" si="3"/>
        <v>0.25</v>
      </c>
      <c r="AA19" s="159">
        <f t="shared" si="3"/>
        <v>0.24699999999999989</v>
      </c>
      <c r="AB19" s="159">
        <f t="shared" si="3"/>
        <v>0.21900000000000119</v>
      </c>
      <c r="AC19" s="159">
        <f t="shared" si="3"/>
        <v>0.21600000000000108</v>
      </c>
      <c r="AD19" s="159">
        <f t="shared" si="3"/>
        <v>0.37199999999999989</v>
      </c>
      <c r="AE19" s="159">
        <f t="shared" si="3"/>
        <v>1.9029999999999987</v>
      </c>
      <c r="AF19" s="159">
        <f t="shared" si="1"/>
        <v>2.1259999999999977</v>
      </c>
      <c r="AG19" s="277"/>
      <c r="AH19" s="278"/>
      <c r="AI19" s="281"/>
      <c r="AJ19" s="281"/>
      <c r="AK19" s="281"/>
      <c r="AL19" s="282"/>
    </row>
    <row r="20" spans="1:38" x14ac:dyDescent="0.35">
      <c r="A20" s="294">
        <v>9</v>
      </c>
      <c r="B20" s="10" t="s">
        <v>175</v>
      </c>
      <c r="C20" s="78">
        <v>332.14299999999997</v>
      </c>
      <c r="D20" s="11">
        <v>339.20100000000002</v>
      </c>
      <c r="E20" s="11">
        <v>346.351</v>
      </c>
      <c r="F20" s="11">
        <v>351.88600000000002</v>
      </c>
      <c r="G20" s="11">
        <v>359.87799999999999</v>
      </c>
      <c r="H20" s="11">
        <v>366.79500000000002</v>
      </c>
      <c r="I20" s="11">
        <v>372.60899999999998</v>
      </c>
      <c r="J20" s="11">
        <v>378.25900000000001</v>
      </c>
      <c r="K20" s="11">
        <v>385.81799999999998</v>
      </c>
      <c r="L20" s="11">
        <v>391.69400000000002</v>
      </c>
      <c r="M20" s="11">
        <v>398.423</v>
      </c>
      <c r="N20" s="11">
        <v>403.52</v>
      </c>
      <c r="O20" s="11">
        <v>6.0759999999999996</v>
      </c>
      <c r="P20" s="9">
        <f t="shared" ref="P20" si="17">O20+N20-C20</f>
        <v>77.453000000000031</v>
      </c>
      <c r="T20" s="1">
        <v>9</v>
      </c>
      <c r="U20" s="147">
        <f t="shared" si="3"/>
        <v>7.0580000000000496</v>
      </c>
      <c r="V20" s="147">
        <f t="shared" si="3"/>
        <v>7.1499999999999773</v>
      </c>
      <c r="W20" s="147">
        <f t="shared" si="3"/>
        <v>5.535000000000025</v>
      </c>
      <c r="X20" s="147">
        <f t="shared" si="3"/>
        <v>7.9919999999999618</v>
      </c>
      <c r="Y20" s="147">
        <f t="shared" si="3"/>
        <v>6.91700000000003</v>
      </c>
      <c r="Z20" s="147">
        <f t="shared" si="3"/>
        <v>5.8139999999999645</v>
      </c>
      <c r="AA20" s="147">
        <f t="shared" si="3"/>
        <v>5.6500000000000341</v>
      </c>
      <c r="AB20" s="147">
        <f t="shared" si="3"/>
        <v>7.5589999999999691</v>
      </c>
      <c r="AC20" s="147">
        <f t="shared" si="3"/>
        <v>5.8760000000000332</v>
      </c>
      <c r="AD20" s="147">
        <f t="shared" si="3"/>
        <v>6.728999999999985</v>
      </c>
      <c r="AE20" s="147">
        <f t="shared" si="3"/>
        <v>5.09699999999998</v>
      </c>
      <c r="AF20" s="147">
        <f t="shared" ref="AF20:AF23" si="18">O20</f>
        <v>6.0759999999999996</v>
      </c>
      <c r="AG20" s="9"/>
      <c r="AH20" s="280">
        <v>9</v>
      </c>
      <c r="AI20" s="281">
        <f>SUM(U20:AE20)</f>
        <v>71.37700000000001</v>
      </c>
      <c r="AJ20" s="281">
        <v>71.521999999999991</v>
      </c>
      <c r="AK20" s="281">
        <v>69.056999999999988</v>
      </c>
      <c r="AL20" s="282">
        <v>78.231999999999999</v>
      </c>
    </row>
    <row r="21" spans="1:38" x14ac:dyDescent="0.35">
      <c r="A21" s="294"/>
      <c r="B21" s="10" t="s">
        <v>360</v>
      </c>
      <c r="C21" s="78">
        <v>47.131999999999998</v>
      </c>
      <c r="D21" s="11">
        <v>51.433999999999997</v>
      </c>
      <c r="E21" s="11">
        <v>53.844999999999999</v>
      </c>
      <c r="F21" s="11">
        <v>55.023000000000003</v>
      </c>
      <c r="G21" s="11">
        <v>55.749000000000002</v>
      </c>
      <c r="H21" s="11">
        <v>56.127000000000002</v>
      </c>
      <c r="I21" s="11">
        <v>56.402000000000001</v>
      </c>
      <c r="J21" s="11">
        <v>56.637</v>
      </c>
      <c r="K21" s="11">
        <v>56.872999999999998</v>
      </c>
      <c r="L21" s="11">
        <v>57.265999999999998</v>
      </c>
      <c r="M21" s="11">
        <v>58.219000000000001</v>
      </c>
      <c r="N21" s="11">
        <v>61.518999999999998</v>
      </c>
      <c r="O21" s="11">
        <v>65.319000000000003</v>
      </c>
      <c r="P21" s="9"/>
      <c r="Q21" s="9">
        <f>O21-C21</f>
        <v>18.187000000000005</v>
      </c>
      <c r="T21" s="1"/>
      <c r="U21" s="159">
        <f t="shared" si="3"/>
        <v>4.3019999999999996</v>
      </c>
      <c r="V21" s="159">
        <f t="shared" si="3"/>
        <v>2.4110000000000014</v>
      </c>
      <c r="W21" s="159">
        <f t="shared" si="3"/>
        <v>1.1780000000000044</v>
      </c>
      <c r="X21" s="159">
        <f t="shared" si="3"/>
        <v>0.72599999999999909</v>
      </c>
      <c r="Y21" s="159">
        <f t="shared" si="3"/>
        <v>0.37800000000000011</v>
      </c>
      <c r="Z21" s="159">
        <f t="shared" si="3"/>
        <v>0.27499999999999858</v>
      </c>
      <c r="AA21" s="159">
        <f t="shared" si="3"/>
        <v>0.23499999999999943</v>
      </c>
      <c r="AB21" s="159">
        <f t="shared" si="3"/>
        <v>0.2359999999999971</v>
      </c>
      <c r="AC21" s="159">
        <f t="shared" si="3"/>
        <v>0.39300000000000068</v>
      </c>
      <c r="AD21" s="159">
        <f t="shared" si="3"/>
        <v>0.95300000000000296</v>
      </c>
      <c r="AE21" s="159">
        <f t="shared" si="3"/>
        <v>3.2999999999999972</v>
      </c>
      <c r="AF21" s="159">
        <f t="shared" si="1"/>
        <v>3.8000000000000043</v>
      </c>
      <c r="AG21" s="277"/>
      <c r="AH21" s="280"/>
      <c r="AI21" s="281"/>
      <c r="AJ21" s="281"/>
      <c r="AK21" s="281"/>
      <c r="AL21" s="282"/>
    </row>
    <row r="22" spans="1:38" x14ac:dyDescent="0.35">
      <c r="A22" s="294">
        <v>10</v>
      </c>
      <c r="B22" s="10" t="s">
        <v>176</v>
      </c>
      <c r="C22" s="78">
        <v>787.04499999999996</v>
      </c>
      <c r="D22" s="11">
        <v>794.59199999999998</v>
      </c>
      <c r="E22" s="11">
        <v>801.85299999999995</v>
      </c>
      <c r="F22" s="11">
        <v>809.93700000000001</v>
      </c>
      <c r="G22" s="11">
        <v>816.59400000000005</v>
      </c>
      <c r="H22" s="11">
        <v>823.65200000000004</v>
      </c>
      <c r="I22" s="11">
        <v>830.06299999999999</v>
      </c>
      <c r="J22" s="11">
        <v>837.83699999999999</v>
      </c>
      <c r="K22" s="11">
        <v>845.30399999999997</v>
      </c>
      <c r="L22" s="11">
        <v>852.23800000000006</v>
      </c>
      <c r="M22" s="11">
        <v>859.85799999999995</v>
      </c>
      <c r="N22" s="11">
        <v>866.12</v>
      </c>
      <c r="O22" s="11">
        <v>8.7639999999999993</v>
      </c>
      <c r="P22" s="9">
        <f t="shared" ref="P22" si="19">O22+N22-C22</f>
        <v>87.839000000000055</v>
      </c>
      <c r="T22" s="1">
        <v>10</v>
      </c>
      <c r="U22" s="147">
        <f t="shared" ref="U22:AE23" si="20">D22-C22</f>
        <v>7.5470000000000255</v>
      </c>
      <c r="V22" s="147">
        <f t="shared" si="20"/>
        <v>7.2609999999999673</v>
      </c>
      <c r="W22" s="147">
        <f t="shared" si="20"/>
        <v>8.08400000000006</v>
      </c>
      <c r="X22" s="147">
        <f t="shared" si="20"/>
        <v>6.6570000000000391</v>
      </c>
      <c r="Y22" s="147">
        <f t="shared" si="20"/>
        <v>7.0579999999999927</v>
      </c>
      <c r="Z22" s="147">
        <f t="shared" si="20"/>
        <v>6.4109999999999445</v>
      </c>
      <c r="AA22" s="147">
        <f t="shared" si="20"/>
        <v>7.7740000000000009</v>
      </c>
      <c r="AB22" s="147">
        <f t="shared" si="20"/>
        <v>7.4669999999999845</v>
      </c>
      <c r="AC22" s="147">
        <f t="shared" si="20"/>
        <v>6.9340000000000828</v>
      </c>
      <c r="AD22" s="147">
        <f t="shared" si="20"/>
        <v>7.6199999999998909</v>
      </c>
      <c r="AE22" s="147">
        <f t="shared" si="20"/>
        <v>6.2620000000000573</v>
      </c>
      <c r="AF22" s="147">
        <f t="shared" ref="AF22:AF23" si="21">O22</f>
        <v>8.7639999999999993</v>
      </c>
      <c r="AG22" s="9"/>
      <c r="AH22" s="283">
        <v>10</v>
      </c>
      <c r="AI22" s="284">
        <f>SUM(U22:AE22)</f>
        <v>79.075000000000045</v>
      </c>
      <c r="AJ22" s="284">
        <v>94.421000000000049</v>
      </c>
      <c r="AK22" s="284">
        <v>141.68200000000002</v>
      </c>
      <c r="AL22" s="285">
        <v>199.08799999999997</v>
      </c>
    </row>
    <row r="23" spans="1:38" x14ac:dyDescent="0.35">
      <c r="A23" s="294"/>
      <c r="B23" s="10" t="s">
        <v>361</v>
      </c>
      <c r="C23" s="78">
        <v>40.399000000000001</v>
      </c>
      <c r="D23" s="11">
        <v>43.362000000000002</v>
      </c>
      <c r="E23" s="11">
        <v>45.273000000000003</v>
      </c>
      <c r="F23" s="11">
        <v>46.343000000000004</v>
      </c>
      <c r="G23" s="11">
        <v>46.804000000000002</v>
      </c>
      <c r="H23" s="11">
        <v>47.146000000000001</v>
      </c>
      <c r="I23" s="11">
        <v>47.454000000000001</v>
      </c>
      <c r="J23" s="11">
        <v>47.725000000000001</v>
      </c>
      <c r="K23" s="11">
        <v>47.96</v>
      </c>
      <c r="L23" s="11">
        <v>48.261000000000003</v>
      </c>
      <c r="M23" s="11">
        <v>48.661999999999999</v>
      </c>
      <c r="N23" s="11">
        <v>50.787999999999997</v>
      </c>
      <c r="O23" s="11">
        <v>53.569000000000003</v>
      </c>
      <c r="P23" s="13"/>
      <c r="Q23" s="98">
        <f>O23-C23</f>
        <v>13.170000000000002</v>
      </c>
      <c r="U23" s="159">
        <f t="shared" si="20"/>
        <v>2.963000000000001</v>
      </c>
      <c r="V23" s="159">
        <f t="shared" si="20"/>
        <v>1.9110000000000014</v>
      </c>
      <c r="W23" s="159">
        <f t="shared" si="20"/>
        <v>1.0700000000000003</v>
      </c>
      <c r="X23" s="159">
        <f t="shared" si="20"/>
        <v>0.46099999999999852</v>
      </c>
      <c r="Y23" s="159">
        <f t="shared" si="20"/>
        <v>0.34199999999999875</v>
      </c>
      <c r="Z23" s="159">
        <f t="shared" si="20"/>
        <v>0.30799999999999983</v>
      </c>
      <c r="AA23" s="159">
        <f t="shared" si="20"/>
        <v>0.2710000000000008</v>
      </c>
      <c r="AB23" s="159">
        <f t="shared" si="20"/>
        <v>0.23499999999999943</v>
      </c>
      <c r="AC23" s="159">
        <f t="shared" si="20"/>
        <v>0.30100000000000193</v>
      </c>
      <c r="AD23" s="159">
        <f t="shared" si="20"/>
        <v>0.40099999999999625</v>
      </c>
      <c r="AE23" s="159">
        <f t="shared" si="20"/>
        <v>2.1259999999999977</v>
      </c>
      <c r="AF23" s="159">
        <f t="shared" si="1"/>
        <v>2.7810000000000059</v>
      </c>
      <c r="AG23" s="277"/>
      <c r="AH23" s="278"/>
      <c r="AI23" s="278"/>
      <c r="AJ23" s="278"/>
      <c r="AK23" s="278"/>
      <c r="AL23" s="280"/>
    </row>
    <row r="24" spans="1:38" x14ac:dyDescent="0.35">
      <c r="A24" s="114"/>
      <c r="B24" s="10"/>
      <c r="C24" s="7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744.00200000000029</v>
      </c>
      <c r="Q24" s="9">
        <f>SUM(Q4:Q23)</f>
        <v>176.48500000000001</v>
      </c>
      <c r="AH24" s="286" t="s">
        <v>282</v>
      </c>
      <c r="AI24" s="290">
        <f>SUM(AI4:AI22)+2.6</f>
        <v>676.42600000000004</v>
      </c>
      <c r="AJ24" s="282">
        <f t="shared" ref="AJ24:AL24" si="22">SUM(AJ4:AJ22)</f>
        <v>675.10899999999992</v>
      </c>
      <c r="AK24" s="282">
        <f t="shared" si="22"/>
        <v>703.90399999999988</v>
      </c>
      <c r="AL24" s="282">
        <f t="shared" si="22"/>
        <v>832.72299999999984</v>
      </c>
    </row>
    <row r="25" spans="1:38" x14ac:dyDescent="0.35">
      <c r="A25" s="114" t="s">
        <v>15</v>
      </c>
      <c r="B25" s="10" t="s">
        <v>31</v>
      </c>
      <c r="C25" s="79">
        <v>46424</v>
      </c>
      <c r="D25" s="15">
        <v>46817</v>
      </c>
      <c r="E25" s="15">
        <v>47014</v>
      </c>
      <c r="F25" s="15">
        <v>47230</v>
      </c>
      <c r="G25" s="15">
        <v>47490</v>
      </c>
      <c r="H25" s="15">
        <v>1251</v>
      </c>
      <c r="I25" s="15">
        <v>1481</v>
      </c>
      <c r="J25" s="15">
        <v>1742</v>
      </c>
      <c r="K25" s="15">
        <v>1973</v>
      </c>
      <c r="L25" s="15">
        <v>2175</v>
      </c>
      <c r="M25" s="15">
        <v>2399</v>
      </c>
      <c r="N25" s="15">
        <v>2647</v>
      </c>
      <c r="O25" s="15">
        <v>3253</v>
      </c>
      <c r="P25" s="9"/>
      <c r="R25" s="273">
        <f>O25-G39+G38-C25</f>
        <v>3287</v>
      </c>
      <c r="AH25" s="286"/>
      <c r="AI25" s="280"/>
      <c r="AJ25" s="280"/>
      <c r="AK25" s="280"/>
      <c r="AL25" s="280"/>
    </row>
    <row r="26" spans="1:38" x14ac:dyDescent="0.35">
      <c r="A26" s="114"/>
      <c r="B26" s="10" t="s">
        <v>177</v>
      </c>
      <c r="C26" s="80">
        <v>4071.3</v>
      </c>
      <c r="D26" s="18">
        <v>4150.1000000000004</v>
      </c>
      <c r="E26" s="18">
        <v>4222.3</v>
      </c>
      <c r="F26" s="18">
        <v>4300.6000000000004</v>
      </c>
      <c r="G26" s="18">
        <v>4378.3</v>
      </c>
      <c r="H26" s="18">
        <v>4454.5</v>
      </c>
      <c r="I26" s="18">
        <v>4520</v>
      </c>
      <c r="J26" s="18">
        <v>4581.1000000000004</v>
      </c>
      <c r="K26" s="18">
        <v>4651.3</v>
      </c>
      <c r="L26" s="18">
        <v>4718.8</v>
      </c>
      <c r="M26" s="18">
        <v>4784.5</v>
      </c>
      <c r="N26" s="18">
        <v>4856.5</v>
      </c>
      <c r="O26" s="18">
        <v>71.8</v>
      </c>
      <c r="P26" s="330">
        <f>O26+N26-C26</f>
        <v>857</v>
      </c>
      <c r="AH26" s="286" t="s">
        <v>438</v>
      </c>
      <c r="AI26" s="282">
        <f>N26-C26</f>
        <v>785.19999999999982</v>
      </c>
      <c r="AJ26" s="280">
        <v>771.60000000000036</v>
      </c>
      <c r="AK26" s="280">
        <v>795</v>
      </c>
      <c r="AL26" s="280">
        <v>949.39999999999986</v>
      </c>
    </row>
    <row r="27" spans="1:38" x14ac:dyDescent="0.35">
      <c r="A27" s="120"/>
      <c r="B27" s="209" t="s">
        <v>273</v>
      </c>
      <c r="C27" s="81">
        <v>797.82</v>
      </c>
      <c r="D27" s="19">
        <v>839.24</v>
      </c>
      <c r="E27" s="19">
        <v>864.64</v>
      </c>
      <c r="F27" s="19">
        <v>883.16</v>
      </c>
      <c r="G27" s="19">
        <v>894.51</v>
      </c>
      <c r="H27" s="19">
        <v>899.05</v>
      </c>
      <c r="I27" s="19">
        <v>902</v>
      </c>
      <c r="J27" s="19">
        <v>904.07</v>
      </c>
      <c r="K27" s="19">
        <v>906.16</v>
      </c>
      <c r="L27" s="19">
        <v>909.85</v>
      </c>
      <c r="M27" s="19">
        <v>921.22</v>
      </c>
      <c r="N27" s="19">
        <v>951.47</v>
      </c>
      <c r="O27" s="19">
        <v>985.9</v>
      </c>
      <c r="P27" s="9"/>
      <c r="Q27" s="9">
        <f>O27-C27</f>
        <v>188.07999999999993</v>
      </c>
      <c r="R27" t="s">
        <v>82</v>
      </c>
      <c r="AH27" s="278"/>
      <c r="AI27" s="278"/>
      <c r="AJ27" s="278"/>
      <c r="AK27" s="278"/>
      <c r="AL27" s="280"/>
    </row>
    <row r="28" spans="1:38" ht="15" thickBot="1" x14ac:dyDescent="0.4">
      <c r="A28" s="4"/>
      <c r="B28" s="26" t="s">
        <v>16</v>
      </c>
      <c r="C28" s="82">
        <v>5556</v>
      </c>
      <c r="D28" s="21">
        <v>5838</v>
      </c>
      <c r="E28" s="21">
        <v>6003</v>
      </c>
      <c r="F28" s="21">
        <v>6118.4</v>
      </c>
      <c r="G28" s="21">
        <v>6207</v>
      </c>
      <c r="H28" s="21">
        <v>6241</v>
      </c>
      <c r="I28" s="21">
        <v>6263</v>
      </c>
      <c r="J28" s="21">
        <v>6278</v>
      </c>
      <c r="K28" s="21">
        <v>6294</v>
      </c>
      <c r="L28" s="21">
        <v>6322</v>
      </c>
      <c r="M28" s="21">
        <v>6419</v>
      </c>
      <c r="N28" s="21">
        <v>6624</v>
      </c>
      <c r="O28" s="21">
        <v>6854</v>
      </c>
      <c r="P28" s="9"/>
      <c r="Q28" s="16">
        <f>O28-C28</f>
        <v>1298</v>
      </c>
      <c r="R28" t="s">
        <v>83</v>
      </c>
      <c r="AH28" s="278"/>
      <c r="AI28" s="278"/>
      <c r="AJ28" s="278"/>
      <c r="AK28" s="278"/>
      <c r="AL28" s="280"/>
    </row>
    <row r="29" spans="1:38" ht="15" thickBot="1" x14ac:dyDescent="0.4">
      <c r="A29" s="122" t="str">
        <f>'1854'!A29</f>
        <v>Fakturační vodoměr:      42012114941</v>
      </c>
      <c r="B29" s="22"/>
      <c r="C29" s="23">
        <f>'1854'!C29</f>
        <v>11067</v>
      </c>
      <c r="D29" s="23">
        <f>'1854'!D29</f>
        <v>11362.8</v>
      </c>
      <c r="E29" s="23">
        <f>'1854'!E29</f>
        <v>11626.9</v>
      </c>
      <c r="F29" s="23">
        <f>'1854'!F29</f>
        <v>11916.3</v>
      </c>
      <c r="G29" s="23">
        <f>'1854'!G29</f>
        <v>12197</v>
      </c>
      <c r="H29" s="23">
        <f>'1854'!H29</f>
        <v>12488</v>
      </c>
      <c r="I29" s="23">
        <f>'1854'!I29</f>
        <v>12761.9</v>
      </c>
      <c r="J29" s="23">
        <f>'1854'!J29</f>
        <v>12999.7</v>
      </c>
      <c r="K29" s="23">
        <f>'1854'!K29</f>
        <v>13270.1</v>
      </c>
      <c r="L29" s="23">
        <f>'1854'!L29</f>
        <v>13553.4</v>
      </c>
      <c r="M29" s="23">
        <f>'1854'!M29</f>
        <v>13826.2</v>
      </c>
      <c r="N29" s="23">
        <f>'1854'!N29</f>
        <v>14094.300000000001</v>
      </c>
      <c r="O29" s="23">
        <f>'1854'!O29</f>
        <v>14411</v>
      </c>
      <c r="P29" s="9">
        <f>O29-C29</f>
        <v>3344</v>
      </c>
      <c r="W29" s="105" t="s">
        <v>440</v>
      </c>
      <c r="X29" s="291">
        <v>2.6</v>
      </c>
      <c r="Y29" t="s">
        <v>83</v>
      </c>
      <c r="AH29" s="278"/>
      <c r="AI29" s="287">
        <f>1-AI24/AI26</f>
        <v>0.13853031074885358</v>
      </c>
      <c r="AJ29" s="287">
        <f t="shared" ref="AJ29:AL29" si="23">1-AJ24/AJ26</f>
        <v>0.12505313634007309</v>
      </c>
      <c r="AK29" s="287">
        <f t="shared" si="23"/>
        <v>0.11458616352201267</v>
      </c>
      <c r="AL29" s="287">
        <f t="shared" si="23"/>
        <v>0.1228955129555509</v>
      </c>
    </row>
    <row r="32" spans="1:38" x14ac:dyDescent="0.35">
      <c r="E32" t="s">
        <v>224</v>
      </c>
      <c r="H32" s="176" t="s">
        <v>225</v>
      </c>
      <c r="I32" s="1" t="s">
        <v>83</v>
      </c>
      <c r="K32" t="s">
        <v>233</v>
      </c>
      <c r="N32" s="1" t="s">
        <v>83</v>
      </c>
    </row>
    <row r="33" spans="2:14" x14ac:dyDescent="0.35">
      <c r="D33" t="s">
        <v>227</v>
      </c>
      <c r="E33" s="164">
        <v>43984</v>
      </c>
      <c r="F33" s="85" t="s">
        <v>211</v>
      </c>
      <c r="G33" s="85"/>
      <c r="H33" s="171"/>
      <c r="I33" s="109"/>
      <c r="K33" s="181">
        <v>44095</v>
      </c>
      <c r="L33" s="85" t="s">
        <v>211</v>
      </c>
      <c r="M33" s="85"/>
      <c r="N33" s="85"/>
    </row>
    <row r="34" spans="2:14" x14ac:dyDescent="0.35">
      <c r="E34" s="172"/>
      <c r="F34" s="173"/>
      <c r="G34" s="173" t="s">
        <v>226</v>
      </c>
      <c r="H34" s="175" t="s">
        <v>82</v>
      </c>
      <c r="I34" s="174" t="s">
        <v>83</v>
      </c>
      <c r="L34" s="1"/>
      <c r="M34" s="173" t="s">
        <v>226</v>
      </c>
      <c r="N34" s="174" t="s">
        <v>83</v>
      </c>
    </row>
    <row r="35" spans="2:14" x14ac:dyDescent="0.35">
      <c r="D35" t="s">
        <v>228</v>
      </c>
      <c r="E35" s="164">
        <v>43986</v>
      </c>
      <c r="F35" s="85" t="s">
        <v>212</v>
      </c>
      <c r="G35" s="85"/>
      <c r="H35" s="171"/>
      <c r="I35" s="109"/>
      <c r="K35" s="181">
        <v>44095</v>
      </c>
      <c r="L35" s="85" t="s">
        <v>212</v>
      </c>
      <c r="M35" s="85"/>
      <c r="N35" s="85"/>
    </row>
    <row r="37" spans="2:14" x14ac:dyDescent="0.35">
      <c r="C37" t="s">
        <v>223</v>
      </c>
    </row>
    <row r="38" spans="2:14" x14ac:dyDescent="0.35">
      <c r="C38" s="304">
        <v>45415</v>
      </c>
      <c r="D38" s="85" t="s">
        <v>211</v>
      </c>
      <c r="E38" s="306">
        <v>72370870</v>
      </c>
      <c r="F38" s="306"/>
      <c r="G38" s="107">
        <v>47503</v>
      </c>
    </row>
    <row r="39" spans="2:14" x14ac:dyDescent="0.35">
      <c r="C39" s="304"/>
      <c r="D39" s="85" t="s">
        <v>212</v>
      </c>
      <c r="E39" s="306">
        <v>72846558</v>
      </c>
      <c r="F39" s="306"/>
      <c r="G39" s="107">
        <v>1045</v>
      </c>
    </row>
    <row r="41" spans="2:14" x14ac:dyDescent="0.35">
      <c r="B41" t="s">
        <v>431</v>
      </c>
      <c r="C41" t="s">
        <v>430</v>
      </c>
    </row>
  </sheetData>
  <sheetProtection selectLockedCells="1" selectUnlockedCells="1"/>
  <mergeCells count="14">
    <mergeCell ref="C38:C39"/>
    <mergeCell ref="E38:F38"/>
    <mergeCell ref="E39:F39"/>
    <mergeCell ref="A16:A17"/>
    <mergeCell ref="A18:A19"/>
    <mergeCell ref="A20:A21"/>
    <mergeCell ref="A22:A23"/>
    <mergeCell ref="AI1:AL1"/>
    <mergeCell ref="A14:A15"/>
    <mergeCell ref="A4:A5"/>
    <mergeCell ref="A6:A7"/>
    <mergeCell ref="A8:A9"/>
    <mergeCell ref="A10:A11"/>
    <mergeCell ref="A12:A13"/>
  </mergeCells>
  <conditionalFormatting sqref="D4">
    <cfRule type="cellIs" dxfId="1843" priority="14" stopIfTrue="1" operator="lessThan">
      <formula>$C$4</formula>
    </cfRule>
    <cfRule type="cellIs" dxfId="1842" priority="15" stopIfTrue="1" operator="equal">
      <formula>$C$4</formula>
    </cfRule>
  </conditionalFormatting>
  <conditionalFormatting sqref="D5">
    <cfRule type="cellIs" dxfId="1841" priority="18" stopIfTrue="1" operator="equal">
      <formula>$C$5</formula>
    </cfRule>
    <cfRule type="cellIs" dxfId="1840" priority="19" stopIfTrue="1" operator="lessThan">
      <formula>$C$5</formula>
    </cfRule>
  </conditionalFormatting>
  <conditionalFormatting sqref="D6">
    <cfRule type="cellIs" dxfId="1839" priority="25" stopIfTrue="1" operator="equal">
      <formula>$C$6</formula>
    </cfRule>
    <cfRule type="cellIs" dxfId="1838" priority="26" stopIfTrue="1" operator="lessThan">
      <formula>$C$6</formula>
    </cfRule>
  </conditionalFormatting>
  <conditionalFormatting sqref="D7">
    <cfRule type="cellIs" dxfId="1837" priority="39" stopIfTrue="1" operator="equal">
      <formula>$C$7</formula>
    </cfRule>
    <cfRule type="cellIs" dxfId="1836" priority="40" stopIfTrue="1" operator="lessThan">
      <formula>$C$7</formula>
    </cfRule>
  </conditionalFormatting>
  <conditionalFormatting sqref="D8">
    <cfRule type="cellIs" dxfId="1835" priority="51" stopIfTrue="1" operator="equal">
      <formula>$C$8</formula>
    </cfRule>
    <cfRule type="cellIs" dxfId="1834" priority="52" stopIfTrue="1" operator="lessThan">
      <formula>$C$8</formula>
    </cfRule>
  </conditionalFormatting>
  <conditionalFormatting sqref="D9">
    <cfRule type="cellIs" dxfId="1833" priority="65" stopIfTrue="1" operator="equal">
      <formula>$C$9</formula>
    </cfRule>
    <cfRule type="cellIs" dxfId="1832" priority="66" stopIfTrue="1" operator="lessThan">
      <formula>$C$9</formula>
    </cfRule>
  </conditionalFormatting>
  <conditionalFormatting sqref="D10">
    <cfRule type="cellIs" dxfId="1831" priority="79" stopIfTrue="1" operator="equal">
      <formula>$C$10</formula>
    </cfRule>
    <cfRule type="cellIs" dxfId="1830" priority="80" stopIfTrue="1" operator="lessThan">
      <formula>$C$10</formula>
    </cfRule>
  </conditionalFormatting>
  <conditionalFormatting sqref="D11">
    <cfRule type="cellIs" dxfId="1829" priority="93" stopIfTrue="1" operator="equal">
      <formula>$C$11</formula>
    </cfRule>
    <cfRule type="cellIs" dxfId="1828" priority="94" stopIfTrue="1" operator="lessThan">
      <formula>$C$11</formula>
    </cfRule>
  </conditionalFormatting>
  <conditionalFormatting sqref="D12">
    <cfRule type="cellIs" dxfId="1827" priority="107" stopIfTrue="1" operator="equal">
      <formula>$C$12</formula>
    </cfRule>
    <cfRule type="cellIs" dxfId="1826" priority="108" stopIfTrue="1" operator="lessThan">
      <formula>$C$12</formula>
    </cfRule>
  </conditionalFormatting>
  <conditionalFormatting sqref="D13">
    <cfRule type="cellIs" dxfId="1825" priority="239" stopIfTrue="1" operator="equal">
      <formula>$C$13</formula>
    </cfRule>
    <cfRule type="cellIs" dxfId="1824" priority="240" stopIfTrue="1" operator="lessThan">
      <formula>$C$13</formula>
    </cfRule>
  </conditionalFormatting>
  <conditionalFormatting sqref="D14">
    <cfRule type="cellIs" dxfId="1823" priority="121" stopIfTrue="1" operator="equal">
      <formula>$C$14</formula>
    </cfRule>
    <cfRule type="cellIs" dxfId="1822" priority="122" stopIfTrue="1" operator="lessThan">
      <formula>$C$14</formula>
    </cfRule>
  </conditionalFormatting>
  <conditionalFormatting sqref="D15">
    <cfRule type="cellIs" dxfId="1821" priority="123" stopIfTrue="1" operator="equal">
      <formula>$C$15</formula>
    </cfRule>
    <cfRule type="cellIs" dxfId="1820" priority="124" stopIfTrue="1" operator="lessThan">
      <formula>$C$15</formula>
    </cfRule>
  </conditionalFormatting>
  <conditionalFormatting sqref="D16">
    <cfRule type="cellIs" dxfId="1819" priority="125" stopIfTrue="1" operator="equal">
      <formula>$C$16</formula>
    </cfRule>
    <cfRule type="cellIs" dxfId="1818" priority="126" stopIfTrue="1" operator="lessThan">
      <formula>$C$16</formula>
    </cfRule>
  </conditionalFormatting>
  <conditionalFormatting sqref="D17">
    <cfRule type="cellIs" dxfId="1817" priority="127" stopIfTrue="1" operator="equal">
      <formula>$C$17</formula>
    </cfRule>
    <cfRule type="cellIs" dxfId="1816" priority="128" stopIfTrue="1" operator="lessThan">
      <formula>$C$17</formula>
    </cfRule>
  </conditionalFormatting>
  <conditionalFormatting sqref="D18">
    <cfRule type="cellIs" dxfId="1815" priority="129" stopIfTrue="1" operator="equal">
      <formula>$C$18</formula>
    </cfRule>
    <cfRule type="cellIs" dxfId="1814" priority="130" stopIfTrue="1" operator="lessThan">
      <formula>$C$18</formula>
    </cfRule>
  </conditionalFormatting>
  <conditionalFormatting sqref="D19">
    <cfRule type="cellIs" dxfId="1813" priority="131" stopIfTrue="1" operator="equal">
      <formula>$C$19</formula>
    </cfRule>
    <cfRule type="cellIs" dxfId="1812" priority="132" stopIfTrue="1" operator="lessThan">
      <formula>$C$19</formula>
    </cfRule>
  </conditionalFormatting>
  <conditionalFormatting sqref="D20">
    <cfRule type="cellIs" dxfId="1811" priority="133" stopIfTrue="1" operator="equal">
      <formula>$C$20</formula>
    </cfRule>
    <cfRule type="cellIs" dxfId="1810" priority="134" stopIfTrue="1" operator="lessThan">
      <formula>$C$20</formula>
    </cfRule>
  </conditionalFormatting>
  <conditionalFormatting sqref="D21">
    <cfRule type="cellIs" dxfId="1809" priority="135" stopIfTrue="1" operator="equal">
      <formula>$C$21</formula>
    </cfRule>
    <cfRule type="cellIs" dxfId="1808" priority="136" stopIfTrue="1" operator="lessThan">
      <formula>$C$21</formula>
    </cfRule>
  </conditionalFormatting>
  <conditionalFormatting sqref="D22">
    <cfRule type="cellIs" dxfId="1807" priority="137" stopIfTrue="1" operator="equal">
      <formula>$C$22</formula>
    </cfRule>
    <cfRule type="cellIs" dxfId="1806" priority="138" stopIfTrue="1" operator="lessThan">
      <formula>$C$22</formula>
    </cfRule>
  </conditionalFormatting>
  <conditionalFormatting sqref="D23">
    <cfRule type="cellIs" dxfId="1805" priority="139" stopIfTrue="1" operator="equal">
      <formula>$C$23</formula>
    </cfRule>
    <cfRule type="cellIs" dxfId="1804" priority="140" stopIfTrue="1" operator="lessThan">
      <formula>$C$23</formula>
    </cfRule>
  </conditionalFormatting>
  <conditionalFormatting sqref="D24">
    <cfRule type="cellIs" dxfId="1803" priority="271" stopIfTrue="1" operator="equal">
      <formula>$C$24</formula>
    </cfRule>
    <cfRule type="cellIs" dxfId="1802" priority="272" stopIfTrue="1" operator="lessThan">
      <formula>$C$24</formula>
    </cfRule>
  </conditionalFormatting>
  <conditionalFormatting sqref="D25">
    <cfRule type="cellIs" dxfId="1801" priority="141" stopIfTrue="1" operator="equal">
      <formula>$C$25</formula>
    </cfRule>
    <cfRule type="cellIs" dxfId="1800" priority="142" stopIfTrue="1" operator="lessThan">
      <formula>$C$25</formula>
    </cfRule>
  </conditionalFormatting>
  <conditionalFormatting sqref="D26">
    <cfRule type="cellIs" dxfId="1799" priority="143" stopIfTrue="1" operator="equal">
      <formula>$C$26</formula>
    </cfRule>
    <cfRule type="cellIs" dxfId="1798" priority="144" stopIfTrue="1" operator="lessThan">
      <formula>$C$26</formula>
    </cfRule>
  </conditionalFormatting>
  <conditionalFormatting sqref="D27">
    <cfRule type="cellIs" dxfId="1797" priority="145" stopIfTrue="1" operator="equal">
      <formula>$C$27</formula>
    </cfRule>
    <cfRule type="cellIs" dxfId="1796" priority="146" stopIfTrue="1" operator="lessThan">
      <formula>$C$27</formula>
    </cfRule>
  </conditionalFormatting>
  <conditionalFormatting sqref="D28">
    <cfRule type="cellIs" dxfId="1795" priority="147" stopIfTrue="1" operator="equal">
      <formula>$C$28</formula>
    </cfRule>
    <cfRule type="cellIs" dxfId="1794" priority="148" stopIfTrue="1" operator="lessThan">
      <formula>$C$28</formula>
    </cfRule>
  </conditionalFormatting>
  <conditionalFormatting sqref="D29:H29 J29:O29">
    <cfRule type="cellIs" dxfId="1793" priority="286" stopIfTrue="1" operator="equal">
      <formula>0</formula>
    </cfRule>
  </conditionalFormatting>
  <conditionalFormatting sqref="E4">
    <cfRule type="cellIs" dxfId="1792" priority="16" stopIfTrue="1" operator="equal">
      <formula>$D$4</formula>
    </cfRule>
    <cfRule type="cellIs" dxfId="1791" priority="17" stopIfTrue="1" operator="lessThan">
      <formula>$D$4</formula>
    </cfRule>
  </conditionalFormatting>
  <conditionalFormatting sqref="E5">
    <cfRule type="cellIs" dxfId="1790" priority="281" stopIfTrue="1" operator="equal">
      <formula>$D$5</formula>
    </cfRule>
    <cfRule type="cellIs" dxfId="1789" priority="282" stopIfTrue="1" operator="lessThan">
      <formula>$D$5</formula>
    </cfRule>
  </conditionalFormatting>
  <conditionalFormatting sqref="E6">
    <cfRule type="cellIs" dxfId="1788" priority="27" stopIfTrue="1" operator="equal">
      <formula>$D$6</formula>
    </cfRule>
    <cfRule type="cellIs" dxfId="1787" priority="28" stopIfTrue="1" operator="lessThan">
      <formula>$D$6</formula>
    </cfRule>
  </conditionalFormatting>
  <conditionalFormatting sqref="E7">
    <cfRule type="cellIs" dxfId="1786" priority="41" stopIfTrue="1" operator="equal">
      <formula>$D$7</formula>
    </cfRule>
    <cfRule type="cellIs" dxfId="1785" priority="42" stopIfTrue="1" operator="lessThan">
      <formula>$D$7</formula>
    </cfRule>
  </conditionalFormatting>
  <conditionalFormatting sqref="E8">
    <cfRule type="cellIs" dxfId="1784" priority="53" stopIfTrue="1" operator="equal">
      <formula>$D$8</formula>
    </cfRule>
    <cfRule type="cellIs" dxfId="1783" priority="54" stopIfTrue="1" operator="lessThan">
      <formula>$D$8</formula>
    </cfRule>
  </conditionalFormatting>
  <conditionalFormatting sqref="E9">
    <cfRule type="cellIs" dxfId="1782" priority="67" stopIfTrue="1" operator="equal">
      <formula>$D$9</formula>
    </cfRule>
    <cfRule type="cellIs" dxfId="1781" priority="68" stopIfTrue="1" operator="lessThan">
      <formula>$D$9</formula>
    </cfRule>
  </conditionalFormatting>
  <conditionalFormatting sqref="E10">
    <cfRule type="cellIs" dxfId="1780" priority="81" stopIfTrue="1" operator="equal">
      <formula>$D$10</formula>
    </cfRule>
    <cfRule type="cellIs" dxfId="1779" priority="82" stopIfTrue="1" operator="lessThan">
      <formula>$D$10</formula>
    </cfRule>
  </conditionalFormatting>
  <conditionalFormatting sqref="E11">
    <cfRule type="cellIs" dxfId="1778" priority="95" stopIfTrue="1" operator="equal">
      <formula>$D$11</formula>
    </cfRule>
    <cfRule type="cellIs" dxfId="1777" priority="96" stopIfTrue="1" operator="lessThan">
      <formula>$D$11</formula>
    </cfRule>
  </conditionalFormatting>
  <conditionalFormatting sqref="E12">
    <cfRule type="cellIs" dxfId="1776" priority="109" stopIfTrue="1" operator="equal">
      <formula>$D$12</formula>
    </cfRule>
    <cfRule type="cellIs" dxfId="1775" priority="110" stopIfTrue="1" operator="lessThan">
      <formula>$D$12</formula>
    </cfRule>
  </conditionalFormatting>
  <conditionalFormatting sqref="E13">
    <cfRule type="cellIs" dxfId="1774" priority="149" stopIfTrue="1" operator="equal">
      <formula>$D$13</formula>
    </cfRule>
    <cfRule type="cellIs" dxfId="1773" priority="150" stopIfTrue="1" operator="lessThan">
      <formula>$D$13</formula>
    </cfRule>
  </conditionalFormatting>
  <conditionalFormatting sqref="E14">
    <cfRule type="cellIs" dxfId="1772" priority="151" stopIfTrue="1" operator="equal">
      <formula>$D$14</formula>
    </cfRule>
    <cfRule type="cellIs" dxfId="1771" priority="152" stopIfTrue="1" operator="lessThan">
      <formula>$D$14</formula>
    </cfRule>
  </conditionalFormatting>
  <conditionalFormatting sqref="E15">
    <cfRule type="cellIs" dxfId="1770" priority="153" stopIfTrue="1" operator="equal">
      <formula>$D$15</formula>
    </cfRule>
    <cfRule type="cellIs" dxfId="1769" priority="154" stopIfTrue="1" operator="lessThan">
      <formula>$D$15</formula>
    </cfRule>
  </conditionalFormatting>
  <conditionalFormatting sqref="E16">
    <cfRule type="cellIs" dxfId="1768" priority="155" stopIfTrue="1" operator="equal">
      <formula>$D$16</formula>
    </cfRule>
    <cfRule type="cellIs" dxfId="1767" priority="156" stopIfTrue="1" operator="lessThan">
      <formula>$D$16</formula>
    </cfRule>
  </conditionalFormatting>
  <conditionalFormatting sqref="E17">
    <cfRule type="cellIs" dxfId="1766" priority="157" stopIfTrue="1" operator="equal">
      <formula>$D$17</formula>
    </cfRule>
    <cfRule type="cellIs" dxfId="1765" priority="158" stopIfTrue="1" operator="lessThan">
      <formula>$D$17</formula>
    </cfRule>
  </conditionalFormatting>
  <conditionalFormatting sqref="E18">
    <cfRule type="cellIs" dxfId="1764" priority="159" stopIfTrue="1" operator="equal">
      <formula>$D$18</formula>
    </cfRule>
    <cfRule type="cellIs" dxfId="1763" priority="160" stopIfTrue="1" operator="lessThan">
      <formula>$D$18</formula>
    </cfRule>
  </conditionalFormatting>
  <conditionalFormatting sqref="E19">
    <cfRule type="cellIs" dxfId="1762" priority="161" stopIfTrue="1" operator="equal">
      <formula>$D$19</formula>
    </cfRule>
    <cfRule type="cellIs" dxfId="1761" priority="162" stopIfTrue="1" operator="lessThan">
      <formula>$D$19</formula>
    </cfRule>
  </conditionalFormatting>
  <conditionalFormatting sqref="E20">
    <cfRule type="cellIs" dxfId="1760" priority="163" stopIfTrue="1" operator="equal">
      <formula>$D$20</formula>
    </cfRule>
    <cfRule type="cellIs" dxfId="1759" priority="164" stopIfTrue="1" operator="lessThan">
      <formula>$D$20</formula>
    </cfRule>
  </conditionalFormatting>
  <conditionalFormatting sqref="E21">
    <cfRule type="cellIs" dxfId="1758" priority="165" stopIfTrue="1" operator="equal">
      <formula>$D$21</formula>
    </cfRule>
    <cfRule type="cellIs" dxfId="1757" priority="166" stopIfTrue="1" operator="lessThan">
      <formula>$D$21</formula>
    </cfRule>
  </conditionalFormatting>
  <conditionalFormatting sqref="E22">
    <cfRule type="cellIs" dxfId="1756" priority="167" stopIfTrue="1" operator="equal">
      <formula>$D$22</formula>
    </cfRule>
    <cfRule type="cellIs" dxfId="1755" priority="168" stopIfTrue="1" operator="lessThan">
      <formula>$D$22</formula>
    </cfRule>
  </conditionalFormatting>
  <conditionalFormatting sqref="E23">
    <cfRule type="cellIs" dxfId="1754" priority="169" stopIfTrue="1" operator="equal">
      <formula>$D$23</formula>
    </cfRule>
    <cfRule type="cellIs" dxfId="1753" priority="170" stopIfTrue="1" operator="lessThan">
      <formula>$D$23</formula>
    </cfRule>
  </conditionalFormatting>
  <conditionalFormatting sqref="E24">
    <cfRule type="cellIs" dxfId="1752" priority="273" stopIfTrue="1" operator="equal">
      <formula>$D$24</formula>
    </cfRule>
    <cfRule type="cellIs" dxfId="1751" priority="274" stopIfTrue="1" operator="lessThan">
      <formula>$D$24</formula>
    </cfRule>
  </conditionalFormatting>
  <conditionalFormatting sqref="E25">
    <cfRule type="cellIs" dxfId="1750" priority="171" stopIfTrue="1" operator="equal">
      <formula>$D$25</formula>
    </cfRule>
    <cfRule type="cellIs" dxfId="1749" priority="172" stopIfTrue="1" operator="lessThan">
      <formula>$D$25</formula>
    </cfRule>
  </conditionalFormatting>
  <conditionalFormatting sqref="E26">
    <cfRule type="cellIs" dxfId="1748" priority="173" stopIfTrue="1" operator="equal">
      <formula>$D$26</formula>
    </cfRule>
    <cfRule type="cellIs" dxfId="1747" priority="174" stopIfTrue="1" operator="lessThan">
      <formula>$D$26</formula>
    </cfRule>
  </conditionalFormatting>
  <conditionalFormatting sqref="E27">
    <cfRule type="cellIs" dxfId="1746" priority="175" stopIfTrue="1" operator="equal">
      <formula>$D$27</formula>
    </cfRule>
    <cfRule type="cellIs" dxfId="1745" priority="176" stopIfTrue="1" operator="lessThan">
      <formula>$D$27</formula>
    </cfRule>
  </conditionalFormatting>
  <conditionalFormatting sqref="E28">
    <cfRule type="cellIs" dxfId="1744" priority="177" stopIfTrue="1" operator="equal">
      <formula>$D$28</formula>
    </cfRule>
    <cfRule type="cellIs" dxfId="1743" priority="178" stopIfTrue="1" operator="lessThan">
      <formula>$D$28</formula>
    </cfRule>
  </conditionalFormatting>
  <conditionalFormatting sqref="F4">
    <cfRule type="cellIs" dxfId="1742" priority="12" stopIfTrue="1" operator="equal">
      <formula>$E$4</formula>
    </cfRule>
    <cfRule type="cellIs" dxfId="1741" priority="13" stopIfTrue="1" operator="lessThan">
      <formula>$E$4</formula>
    </cfRule>
  </conditionalFormatting>
  <conditionalFormatting sqref="F5">
    <cfRule type="cellIs" dxfId="1740" priority="20" stopIfTrue="1" operator="equal">
      <formula>$E$5</formula>
    </cfRule>
    <cfRule type="cellIs" dxfId="1739" priority="21" stopIfTrue="1" operator="lessThan">
      <formula>$E$5</formula>
    </cfRule>
  </conditionalFormatting>
  <conditionalFormatting sqref="F6">
    <cfRule type="cellIs" dxfId="1738" priority="29" stopIfTrue="1" operator="equal">
      <formula>$E$6</formula>
    </cfRule>
    <cfRule type="cellIs" dxfId="1737" priority="30" stopIfTrue="1" operator="lessThan">
      <formula>$E$6</formula>
    </cfRule>
  </conditionalFormatting>
  <conditionalFormatting sqref="F7">
    <cfRule type="cellIs" dxfId="1736" priority="43" stopIfTrue="1" operator="equal">
      <formula>$E$7</formula>
    </cfRule>
    <cfRule type="cellIs" dxfId="1735" priority="44" stopIfTrue="1" operator="lessThan">
      <formula>$E$7</formula>
    </cfRule>
  </conditionalFormatting>
  <conditionalFormatting sqref="F8">
    <cfRule type="cellIs" dxfId="1734" priority="55" stopIfTrue="1" operator="equal">
      <formula>$E$8</formula>
    </cfRule>
    <cfRule type="cellIs" dxfId="1733" priority="56" stopIfTrue="1" operator="lessThan">
      <formula>$E$8</formula>
    </cfRule>
  </conditionalFormatting>
  <conditionalFormatting sqref="F9">
    <cfRule type="cellIs" dxfId="1732" priority="69" stopIfTrue="1" operator="equal">
      <formula>$E$9</formula>
    </cfRule>
    <cfRule type="cellIs" dxfId="1731" priority="70" stopIfTrue="1" operator="lessThan">
      <formula>$E$9</formula>
    </cfRule>
  </conditionalFormatting>
  <conditionalFormatting sqref="F10">
    <cfRule type="cellIs" dxfId="1730" priority="83" stopIfTrue="1" operator="equal">
      <formula>$E$10</formula>
    </cfRule>
    <cfRule type="cellIs" dxfId="1729" priority="84" stopIfTrue="1" operator="lessThan">
      <formula>$E$10</formula>
    </cfRule>
  </conditionalFormatting>
  <conditionalFormatting sqref="F11">
    <cfRule type="cellIs" dxfId="1728" priority="97" stopIfTrue="1" operator="equal">
      <formula>$E$11</formula>
    </cfRule>
    <cfRule type="cellIs" dxfId="1727" priority="98" stopIfTrue="1" operator="lessThan">
      <formula>$E$11</formula>
    </cfRule>
  </conditionalFormatting>
  <conditionalFormatting sqref="F12">
    <cfRule type="cellIs" dxfId="1726" priority="111" stopIfTrue="1" operator="equal">
      <formula>$E$12</formula>
    </cfRule>
    <cfRule type="cellIs" dxfId="1725" priority="112" stopIfTrue="1" operator="lessThan">
      <formula>$E$12</formula>
    </cfRule>
  </conditionalFormatting>
  <conditionalFormatting sqref="F13">
    <cfRule type="cellIs" dxfId="1724" priority="179" stopIfTrue="1" operator="equal">
      <formula>$E$13</formula>
    </cfRule>
    <cfRule type="cellIs" dxfId="1723" priority="180" stopIfTrue="1" operator="lessThan">
      <formula>$E$13</formula>
    </cfRule>
  </conditionalFormatting>
  <conditionalFormatting sqref="F14">
    <cfRule type="cellIs" dxfId="1722" priority="181" stopIfTrue="1" operator="equal">
      <formula>$E$14</formula>
    </cfRule>
    <cfRule type="cellIs" dxfId="1721" priority="182" stopIfTrue="1" operator="lessThan">
      <formula>$E$14</formula>
    </cfRule>
  </conditionalFormatting>
  <conditionalFormatting sqref="F15">
    <cfRule type="cellIs" dxfId="1720" priority="183" stopIfTrue="1" operator="equal">
      <formula>$E$15</formula>
    </cfRule>
    <cfRule type="cellIs" dxfId="1719" priority="184" stopIfTrue="1" operator="lessThan">
      <formula>$E$15</formula>
    </cfRule>
  </conditionalFormatting>
  <conditionalFormatting sqref="F16">
    <cfRule type="cellIs" dxfId="1718" priority="185" stopIfTrue="1" operator="equal">
      <formula>$E$16</formula>
    </cfRule>
    <cfRule type="cellIs" dxfId="1717" priority="186" stopIfTrue="1" operator="lessThan">
      <formula>$E$16</formula>
    </cfRule>
  </conditionalFormatting>
  <conditionalFormatting sqref="F17">
    <cfRule type="cellIs" dxfId="1716" priority="187" stopIfTrue="1" operator="equal">
      <formula>$E$17</formula>
    </cfRule>
    <cfRule type="cellIs" dxfId="1715" priority="188" stopIfTrue="1" operator="lessThan">
      <formula>$E$17</formula>
    </cfRule>
  </conditionalFormatting>
  <conditionalFormatting sqref="F18">
    <cfRule type="cellIs" dxfId="1714" priority="189" stopIfTrue="1" operator="equal">
      <formula>$E$18</formula>
    </cfRule>
    <cfRule type="cellIs" dxfId="1713" priority="190" stopIfTrue="1" operator="lessThan">
      <formula>$E$18</formula>
    </cfRule>
  </conditionalFormatting>
  <conditionalFormatting sqref="F19">
    <cfRule type="cellIs" dxfId="1712" priority="191" stopIfTrue="1" operator="equal">
      <formula>$E$19</formula>
    </cfRule>
    <cfRule type="cellIs" dxfId="1711" priority="192" stopIfTrue="1" operator="lessThan">
      <formula>$E$19</formula>
    </cfRule>
  </conditionalFormatting>
  <conditionalFormatting sqref="F20">
    <cfRule type="cellIs" dxfId="1710" priority="193" stopIfTrue="1" operator="equal">
      <formula>$E$20</formula>
    </cfRule>
    <cfRule type="cellIs" dxfId="1709" priority="194" stopIfTrue="1" operator="lessThan">
      <formula>$E$20</formula>
    </cfRule>
  </conditionalFormatting>
  <conditionalFormatting sqref="F21">
    <cfRule type="cellIs" dxfId="1708" priority="195" stopIfTrue="1" operator="equal">
      <formula>$E$21</formula>
    </cfRule>
    <cfRule type="cellIs" dxfId="1707" priority="196" stopIfTrue="1" operator="lessThan">
      <formula>$E$21</formula>
    </cfRule>
  </conditionalFormatting>
  <conditionalFormatting sqref="F22">
    <cfRule type="cellIs" dxfId="1706" priority="197" stopIfTrue="1" operator="equal">
      <formula>$E$22</formula>
    </cfRule>
    <cfRule type="cellIs" dxfId="1705" priority="198" stopIfTrue="1" operator="lessThan">
      <formula>$E$22</formula>
    </cfRule>
  </conditionalFormatting>
  <conditionalFormatting sqref="F23">
    <cfRule type="cellIs" dxfId="1704" priority="199" stopIfTrue="1" operator="equal">
      <formula>$E$23</formula>
    </cfRule>
    <cfRule type="cellIs" dxfId="1703" priority="200" stopIfTrue="1" operator="lessThan">
      <formula>$E$23</formula>
    </cfRule>
  </conditionalFormatting>
  <conditionalFormatting sqref="F24">
    <cfRule type="cellIs" dxfId="1702" priority="275" stopIfTrue="1" operator="equal">
      <formula>$E$24</formula>
    </cfRule>
    <cfRule type="cellIs" dxfId="1701" priority="276" stopIfTrue="1" operator="lessThan">
      <formula>$E$24</formula>
    </cfRule>
  </conditionalFormatting>
  <conditionalFormatting sqref="F25">
    <cfRule type="cellIs" dxfId="1700" priority="201" stopIfTrue="1" operator="equal">
      <formula>$E$25</formula>
    </cfRule>
    <cfRule type="cellIs" dxfId="1699" priority="202" stopIfTrue="1" operator="lessThan">
      <formula>$E$25</formula>
    </cfRule>
  </conditionalFormatting>
  <conditionalFormatting sqref="F26">
    <cfRule type="cellIs" dxfId="1698" priority="203" stopIfTrue="1" operator="equal">
      <formula>$E$26</formula>
    </cfRule>
    <cfRule type="cellIs" dxfId="1697" priority="204" stopIfTrue="1" operator="lessThan">
      <formula>$E$26</formula>
    </cfRule>
  </conditionalFormatting>
  <conditionalFormatting sqref="F27">
    <cfRule type="cellIs" dxfId="1696" priority="205" stopIfTrue="1" operator="equal">
      <formula>$E$27</formula>
    </cfRule>
    <cfRule type="cellIs" dxfId="1695" priority="206" stopIfTrue="1" operator="lessThan">
      <formula>$E$27</formula>
    </cfRule>
  </conditionalFormatting>
  <conditionalFormatting sqref="F28">
    <cfRule type="cellIs" dxfId="1694" priority="207" stopIfTrue="1" operator="equal">
      <formula>$E$28</formula>
    </cfRule>
    <cfRule type="cellIs" dxfId="1693" priority="208" stopIfTrue="1" operator="lessThan">
      <formula>$E$28</formula>
    </cfRule>
  </conditionalFormatting>
  <conditionalFormatting sqref="G4">
    <cfRule type="cellIs" dxfId="1692" priority="285" stopIfTrue="1" operator="equal">
      <formula>$F$4</formula>
    </cfRule>
  </conditionalFormatting>
  <conditionalFormatting sqref="G5">
    <cfRule type="cellIs" dxfId="1691" priority="283" stopIfTrue="1" operator="equal">
      <formula>$F$5</formula>
    </cfRule>
    <cfRule type="cellIs" dxfId="1690" priority="284" stopIfTrue="1" operator="lessThan">
      <formula>$F$5</formula>
    </cfRule>
  </conditionalFormatting>
  <conditionalFormatting sqref="G6">
    <cfRule type="cellIs" dxfId="1689" priority="31" stopIfTrue="1" operator="equal">
      <formula>$F$6</formula>
    </cfRule>
    <cfRule type="cellIs" dxfId="1688" priority="32" stopIfTrue="1" operator="lessThan">
      <formula>$F$6</formula>
    </cfRule>
  </conditionalFormatting>
  <conditionalFormatting sqref="G7">
    <cfRule type="cellIs" dxfId="1687" priority="4" stopIfTrue="1" operator="equal">
      <formula>$F$7</formula>
    </cfRule>
    <cfRule type="cellIs" dxfId="1686" priority="5" stopIfTrue="1" operator="lessThan">
      <formula>$F$7</formula>
    </cfRule>
  </conditionalFormatting>
  <conditionalFormatting sqref="G8">
    <cfRule type="cellIs" dxfId="1685" priority="57" stopIfTrue="1" operator="equal">
      <formula>$F$8</formula>
    </cfRule>
    <cfRule type="cellIs" dxfId="1684" priority="58" stopIfTrue="1" operator="lessThan">
      <formula>$F$8</formula>
    </cfRule>
  </conditionalFormatting>
  <conditionalFormatting sqref="G9">
    <cfRule type="cellIs" dxfId="1683" priority="71" stopIfTrue="1" operator="equal">
      <formula>$F$9</formula>
    </cfRule>
    <cfRule type="cellIs" dxfId="1682" priority="72" stopIfTrue="1" operator="lessThan">
      <formula>$F$9</formula>
    </cfRule>
  </conditionalFormatting>
  <conditionalFormatting sqref="G10">
    <cfRule type="cellIs" dxfId="1681" priority="85" stopIfTrue="1" operator="equal">
      <formula>$F$10</formula>
    </cfRule>
    <cfRule type="cellIs" dxfId="1680" priority="86" stopIfTrue="1" operator="lessThan">
      <formula>$F$10</formula>
    </cfRule>
  </conditionalFormatting>
  <conditionalFormatting sqref="G11">
    <cfRule type="cellIs" dxfId="1679" priority="99" stopIfTrue="1" operator="equal">
      <formula>$F$11</formula>
    </cfRule>
    <cfRule type="cellIs" dxfId="1678" priority="100" stopIfTrue="1" operator="lessThan">
      <formula>$F$11</formula>
    </cfRule>
  </conditionalFormatting>
  <conditionalFormatting sqref="G12">
    <cfRule type="cellIs" dxfId="1677" priority="113" stopIfTrue="1" operator="equal">
      <formula>$F$12</formula>
    </cfRule>
    <cfRule type="cellIs" dxfId="1676" priority="114" stopIfTrue="1" operator="lessThan">
      <formula>$F$12</formula>
    </cfRule>
  </conditionalFormatting>
  <conditionalFormatting sqref="G13">
    <cfRule type="cellIs" dxfId="1675" priority="209" stopIfTrue="1" operator="equal">
      <formula>$F$13</formula>
    </cfRule>
    <cfRule type="cellIs" dxfId="1674" priority="210" stopIfTrue="1" operator="lessThan">
      <formula>$F$13</formula>
    </cfRule>
  </conditionalFormatting>
  <conditionalFormatting sqref="G14">
    <cfRule type="cellIs" dxfId="1673" priority="211" stopIfTrue="1" operator="equal">
      <formula>$F$14</formula>
    </cfRule>
    <cfRule type="cellIs" dxfId="1672" priority="212" stopIfTrue="1" operator="lessThan">
      <formula>$F$14</formula>
    </cfRule>
  </conditionalFormatting>
  <conditionalFormatting sqref="G15">
    <cfRule type="cellIs" dxfId="1671" priority="213" stopIfTrue="1" operator="equal">
      <formula>$F$15</formula>
    </cfRule>
    <cfRule type="cellIs" dxfId="1670" priority="214" stopIfTrue="1" operator="lessThan">
      <formula>$F$15</formula>
    </cfRule>
  </conditionalFormatting>
  <conditionalFormatting sqref="G16">
    <cfRule type="cellIs" dxfId="1669" priority="215" stopIfTrue="1" operator="equal">
      <formula>$F$16</formula>
    </cfRule>
    <cfRule type="cellIs" dxfId="1668" priority="216" stopIfTrue="1" operator="lessThan">
      <formula>$F$16</formula>
    </cfRule>
  </conditionalFormatting>
  <conditionalFormatting sqref="G17">
    <cfRule type="cellIs" dxfId="1667" priority="217" stopIfTrue="1" operator="equal">
      <formula>$F$17</formula>
    </cfRule>
    <cfRule type="cellIs" dxfId="1666" priority="218" stopIfTrue="1" operator="lessThan">
      <formula>$F$17</formula>
    </cfRule>
  </conditionalFormatting>
  <conditionalFormatting sqref="G18">
    <cfRule type="cellIs" dxfId="1665" priority="219" stopIfTrue="1" operator="equal">
      <formula>$F$18</formula>
    </cfRule>
    <cfRule type="cellIs" dxfId="1664" priority="220" stopIfTrue="1" operator="lessThan">
      <formula>$F$18</formula>
    </cfRule>
  </conditionalFormatting>
  <conditionalFormatting sqref="G19">
    <cfRule type="cellIs" dxfId="1663" priority="221" stopIfTrue="1" operator="equal">
      <formula>$F$19</formula>
    </cfRule>
    <cfRule type="cellIs" dxfId="1662" priority="222" stopIfTrue="1" operator="lessThan">
      <formula>$F$19</formula>
    </cfRule>
  </conditionalFormatting>
  <conditionalFormatting sqref="G20">
    <cfRule type="cellIs" dxfId="1661" priority="223" stopIfTrue="1" operator="equal">
      <formula>$F$20</formula>
    </cfRule>
    <cfRule type="cellIs" dxfId="1660" priority="224" stopIfTrue="1" operator="lessThan">
      <formula>$F$20</formula>
    </cfRule>
  </conditionalFormatting>
  <conditionalFormatting sqref="G21">
    <cfRule type="cellIs" dxfId="1659" priority="225" stopIfTrue="1" operator="equal">
      <formula>$F$21</formula>
    </cfRule>
    <cfRule type="cellIs" dxfId="1658" priority="226" stopIfTrue="1" operator="lessThan">
      <formula>$F$21</formula>
    </cfRule>
  </conditionalFormatting>
  <conditionalFormatting sqref="G22">
    <cfRule type="cellIs" dxfId="1657" priority="227" stopIfTrue="1" operator="equal">
      <formula>$F$22</formula>
    </cfRule>
    <cfRule type="cellIs" dxfId="1656" priority="228" stopIfTrue="1" operator="lessThan">
      <formula>$F$22</formula>
    </cfRule>
  </conditionalFormatting>
  <conditionalFormatting sqref="G23">
    <cfRule type="cellIs" dxfId="1655" priority="229" stopIfTrue="1" operator="equal">
      <formula>$F$23</formula>
    </cfRule>
    <cfRule type="cellIs" dxfId="1654" priority="230" stopIfTrue="1" operator="lessThan">
      <formula>$F$23</formula>
    </cfRule>
  </conditionalFormatting>
  <conditionalFormatting sqref="G24">
    <cfRule type="cellIs" dxfId="1653" priority="277" stopIfTrue="1" operator="equal">
      <formula>$F$24</formula>
    </cfRule>
    <cfRule type="cellIs" dxfId="1652" priority="278" stopIfTrue="1" operator="lessThan">
      <formula>$F$24</formula>
    </cfRule>
  </conditionalFormatting>
  <conditionalFormatting sqref="G25">
    <cfRule type="cellIs" dxfId="1651" priority="231" stopIfTrue="1" operator="equal">
      <formula>$F$25</formula>
    </cfRule>
    <cfRule type="cellIs" dxfId="1650" priority="232" stopIfTrue="1" operator="lessThan">
      <formula>$F$25</formula>
    </cfRule>
  </conditionalFormatting>
  <conditionalFormatting sqref="G26">
    <cfRule type="cellIs" dxfId="1649" priority="233" stopIfTrue="1" operator="equal">
      <formula>$F$26</formula>
    </cfRule>
    <cfRule type="cellIs" dxfId="1648" priority="234" stopIfTrue="1" operator="lessThan">
      <formula>$F$26</formula>
    </cfRule>
  </conditionalFormatting>
  <conditionalFormatting sqref="G27">
    <cfRule type="cellIs" dxfId="1647" priority="235" stopIfTrue="1" operator="equal">
      <formula>$F$27</formula>
    </cfRule>
    <cfRule type="cellIs" dxfId="1646" priority="236" stopIfTrue="1" operator="lessThan">
      <formula>$F$27</formula>
    </cfRule>
  </conditionalFormatting>
  <conditionalFormatting sqref="G28">
    <cfRule type="cellIs" dxfId="1645" priority="237" stopIfTrue="1" operator="equal">
      <formula>$F$28</formula>
    </cfRule>
    <cfRule type="cellIs" dxfId="1644" priority="238" stopIfTrue="1" operator="lessThan">
      <formula>$F$28</formula>
    </cfRule>
  </conditionalFormatting>
  <conditionalFormatting sqref="H4">
    <cfRule type="cellIs" dxfId="1643" priority="2" stopIfTrue="1" operator="lessThan">
      <formula>$G$4</formula>
    </cfRule>
    <cfRule type="cellIs" dxfId="1642" priority="3" stopIfTrue="1" operator="equal">
      <formula>$G$4</formula>
    </cfRule>
  </conditionalFormatting>
  <conditionalFormatting sqref="H5">
    <cfRule type="cellIs" dxfId="1641" priority="6" stopIfTrue="1" operator="equal">
      <formula>$G$5</formula>
    </cfRule>
    <cfRule type="cellIs" dxfId="1640" priority="7" stopIfTrue="1" operator="lessThan">
      <formula>$G$5</formula>
    </cfRule>
  </conditionalFormatting>
  <conditionalFormatting sqref="H6">
    <cfRule type="cellIs" dxfId="1639" priority="33" stopIfTrue="1" operator="equal">
      <formula>$G$6</formula>
    </cfRule>
    <cfRule type="cellIs" dxfId="1638" priority="34" stopIfTrue="1" operator="lessThan">
      <formula>$G$6</formula>
    </cfRule>
  </conditionalFormatting>
  <conditionalFormatting sqref="H7">
    <cfRule type="cellIs" dxfId="1637" priority="45" stopIfTrue="1" operator="equal">
      <formula>$G$7</formula>
    </cfRule>
    <cfRule type="cellIs" dxfId="1636" priority="46" stopIfTrue="1" operator="lessThan">
      <formula>$G$7</formula>
    </cfRule>
  </conditionalFormatting>
  <conditionalFormatting sqref="H8">
    <cfRule type="cellIs" dxfId="1635" priority="59" stopIfTrue="1" operator="equal">
      <formula>$G$8</formula>
    </cfRule>
    <cfRule type="cellIs" dxfId="1634" priority="60" stopIfTrue="1" operator="lessThan">
      <formula>$G$8</formula>
    </cfRule>
  </conditionalFormatting>
  <conditionalFormatting sqref="H9">
    <cfRule type="cellIs" dxfId="1633" priority="73" stopIfTrue="1" operator="equal">
      <formula>$G$9</formula>
    </cfRule>
    <cfRule type="cellIs" dxfId="1632" priority="74" stopIfTrue="1" operator="lessThan">
      <formula>$G$9</formula>
    </cfRule>
  </conditionalFormatting>
  <conditionalFormatting sqref="H10">
    <cfRule type="cellIs" dxfId="1631" priority="87" stopIfTrue="1" operator="equal">
      <formula>$G$10</formula>
    </cfRule>
    <cfRule type="cellIs" dxfId="1630" priority="88" stopIfTrue="1" operator="lessThan">
      <formula>$G$10</formula>
    </cfRule>
  </conditionalFormatting>
  <conditionalFormatting sqref="H11">
    <cfRule type="cellIs" dxfId="1629" priority="101" stopIfTrue="1" operator="equal">
      <formula>$G$11</formula>
    </cfRule>
    <cfRule type="cellIs" dxfId="1628" priority="102" stopIfTrue="1" operator="lessThan">
      <formula>$G$11</formula>
    </cfRule>
  </conditionalFormatting>
  <conditionalFormatting sqref="H12">
    <cfRule type="cellIs" dxfId="1627" priority="115" stopIfTrue="1" operator="equal">
      <formula>$G$12</formula>
    </cfRule>
    <cfRule type="cellIs" dxfId="1626" priority="116" stopIfTrue="1" operator="lessThan">
      <formula>$G$12</formula>
    </cfRule>
  </conditionalFormatting>
  <conditionalFormatting sqref="H13">
    <cfRule type="cellIs" dxfId="1625" priority="241" stopIfTrue="1" operator="equal">
      <formula>$G$13</formula>
    </cfRule>
    <cfRule type="cellIs" dxfId="1624" priority="242" stopIfTrue="1" operator="lessThan">
      <formula>$G$13</formula>
    </cfRule>
  </conditionalFormatting>
  <conditionalFormatting sqref="H14">
    <cfRule type="cellIs" dxfId="1623" priority="243" stopIfTrue="1" operator="equal">
      <formula>$G$14</formula>
    </cfRule>
    <cfRule type="cellIs" dxfId="1622" priority="244" stopIfTrue="1" operator="lessThan">
      <formula>$G$14</formula>
    </cfRule>
  </conditionalFormatting>
  <conditionalFormatting sqref="H15">
    <cfRule type="cellIs" dxfId="1621" priority="245" stopIfTrue="1" operator="equal">
      <formula>$G$15</formula>
    </cfRule>
    <cfRule type="cellIs" dxfId="1620" priority="246" stopIfTrue="1" operator="lessThan">
      <formula>$G$15</formula>
    </cfRule>
  </conditionalFormatting>
  <conditionalFormatting sqref="H16">
    <cfRule type="cellIs" dxfId="1619" priority="247" stopIfTrue="1" operator="equal">
      <formula>$G$16</formula>
    </cfRule>
    <cfRule type="cellIs" dxfId="1618" priority="248" stopIfTrue="1" operator="lessThan">
      <formula>$G$16</formula>
    </cfRule>
  </conditionalFormatting>
  <conditionalFormatting sqref="H17">
    <cfRule type="cellIs" dxfId="1617" priority="249" stopIfTrue="1" operator="equal">
      <formula>$G$17</formula>
    </cfRule>
    <cfRule type="cellIs" dxfId="1616" priority="250" stopIfTrue="1" operator="lessThan">
      <formula>$G$17</formula>
    </cfRule>
  </conditionalFormatting>
  <conditionalFormatting sqref="H18">
    <cfRule type="cellIs" dxfId="1615" priority="251" stopIfTrue="1" operator="equal">
      <formula>$G$18</formula>
    </cfRule>
    <cfRule type="cellIs" dxfId="1614" priority="252" stopIfTrue="1" operator="lessThan">
      <formula>$G$18</formula>
    </cfRule>
  </conditionalFormatting>
  <conditionalFormatting sqref="H19">
    <cfRule type="cellIs" dxfId="1613" priority="253" stopIfTrue="1" operator="equal">
      <formula>$G$19</formula>
    </cfRule>
    <cfRule type="cellIs" dxfId="1612" priority="254" stopIfTrue="1" operator="lessThan">
      <formula>$G$19</formula>
    </cfRule>
  </conditionalFormatting>
  <conditionalFormatting sqref="H20">
    <cfRule type="cellIs" dxfId="1611" priority="255" stopIfTrue="1" operator="equal">
      <formula>$G$20</formula>
    </cfRule>
    <cfRule type="cellIs" dxfId="1610" priority="256" stopIfTrue="1" operator="lessThan">
      <formula>$G$20</formula>
    </cfRule>
  </conditionalFormatting>
  <conditionalFormatting sqref="H21">
    <cfRule type="cellIs" dxfId="1609" priority="257" stopIfTrue="1" operator="equal">
      <formula>$G$21</formula>
    </cfRule>
    <cfRule type="cellIs" dxfId="1608" priority="258" stopIfTrue="1" operator="lessThan">
      <formula>$G$21</formula>
    </cfRule>
  </conditionalFormatting>
  <conditionalFormatting sqref="H22">
    <cfRule type="cellIs" dxfId="1607" priority="259" stopIfTrue="1" operator="equal">
      <formula>$G$22</formula>
    </cfRule>
    <cfRule type="cellIs" dxfId="1606" priority="260" stopIfTrue="1" operator="lessThan">
      <formula>$G$22</formula>
    </cfRule>
  </conditionalFormatting>
  <conditionalFormatting sqref="H23">
    <cfRule type="cellIs" dxfId="1605" priority="261" stopIfTrue="1" operator="equal">
      <formula>$G$23</formula>
    </cfRule>
    <cfRule type="cellIs" dxfId="1604" priority="262" stopIfTrue="1" operator="lessThan">
      <formula>$G$23</formula>
    </cfRule>
  </conditionalFormatting>
  <conditionalFormatting sqref="H24">
    <cfRule type="cellIs" dxfId="1603" priority="279" stopIfTrue="1" operator="equal">
      <formula>$G$24</formula>
    </cfRule>
    <cfRule type="cellIs" dxfId="1602" priority="280" stopIfTrue="1" operator="lessThan">
      <formula>$G$24</formula>
    </cfRule>
  </conditionalFormatting>
  <conditionalFormatting sqref="H25">
    <cfRule type="cellIs" dxfId="1601" priority="263" stopIfTrue="1" operator="equal">
      <formula>$G$25</formula>
    </cfRule>
    <cfRule type="cellIs" dxfId="1600" priority="264" stopIfTrue="1" operator="lessThan">
      <formula>$G$25</formula>
    </cfRule>
  </conditionalFormatting>
  <conditionalFormatting sqref="H26">
    <cfRule type="cellIs" dxfId="1599" priority="265" stopIfTrue="1" operator="equal">
      <formula>$G$26</formula>
    </cfRule>
    <cfRule type="cellIs" dxfId="1598" priority="266" stopIfTrue="1" operator="lessThan">
      <formula>$G$26</formula>
    </cfRule>
  </conditionalFormatting>
  <conditionalFormatting sqref="H27">
    <cfRule type="cellIs" dxfId="1597" priority="267" stopIfTrue="1" operator="equal">
      <formula>$G$27</formula>
    </cfRule>
    <cfRule type="cellIs" dxfId="1596" priority="268" stopIfTrue="1" operator="lessThan">
      <formula>$G$27</formula>
    </cfRule>
  </conditionalFormatting>
  <conditionalFormatting sqref="H28">
    <cfRule type="cellIs" dxfId="1595" priority="269" stopIfTrue="1" operator="equal">
      <formula>$G$28</formula>
    </cfRule>
    <cfRule type="cellIs" dxfId="1594" priority="270" stopIfTrue="1" operator="lessThan">
      <formula>$G$28</formula>
    </cfRule>
  </conditionalFormatting>
  <conditionalFormatting sqref="I4">
    <cfRule type="cellIs" dxfId="1593" priority="22" stopIfTrue="1" operator="equal">
      <formula>$H$4</formula>
    </cfRule>
  </conditionalFormatting>
  <conditionalFormatting sqref="I5">
    <cfRule type="cellIs" dxfId="1592" priority="8" stopIfTrue="1" operator="equal">
      <formula>$H$5</formula>
    </cfRule>
    <cfRule type="cellIs" dxfId="1591" priority="9" stopIfTrue="1" operator="lessThan">
      <formula>$H$5</formula>
    </cfRule>
  </conditionalFormatting>
  <conditionalFormatting sqref="I6">
    <cfRule type="cellIs" dxfId="1590" priority="35" stopIfTrue="1" operator="equal">
      <formula>$H$6</formula>
    </cfRule>
    <cfRule type="cellIs" dxfId="1589" priority="36" stopIfTrue="1" operator="lessThan">
      <formula>$H$6</formula>
    </cfRule>
  </conditionalFormatting>
  <conditionalFormatting sqref="I7">
    <cfRule type="cellIs" dxfId="1588" priority="47" stopIfTrue="1" operator="equal">
      <formula>$H$7</formula>
    </cfRule>
    <cfRule type="cellIs" dxfId="1587" priority="48" stopIfTrue="1" operator="lessThan">
      <formula>$H$7</formula>
    </cfRule>
  </conditionalFormatting>
  <conditionalFormatting sqref="I8">
    <cfRule type="cellIs" dxfId="1586" priority="61" stopIfTrue="1" operator="equal">
      <formula>$H$8</formula>
    </cfRule>
    <cfRule type="cellIs" dxfId="1585" priority="62" stopIfTrue="1" operator="lessThan">
      <formula>$H$8</formula>
    </cfRule>
  </conditionalFormatting>
  <conditionalFormatting sqref="I9">
    <cfRule type="cellIs" dxfId="1584" priority="75" stopIfTrue="1" operator="equal">
      <formula>$H$9</formula>
    </cfRule>
    <cfRule type="cellIs" dxfId="1583" priority="76" stopIfTrue="1" operator="lessThan">
      <formula>$H$9</formula>
    </cfRule>
  </conditionalFormatting>
  <conditionalFormatting sqref="I10">
    <cfRule type="cellIs" dxfId="1582" priority="89" stopIfTrue="1" operator="equal">
      <formula>$H$10</formula>
    </cfRule>
    <cfRule type="cellIs" dxfId="1581" priority="90" stopIfTrue="1" operator="lessThan">
      <formula>$H$10</formula>
    </cfRule>
  </conditionalFormatting>
  <conditionalFormatting sqref="I11">
    <cfRule type="cellIs" dxfId="1580" priority="103" stopIfTrue="1" operator="equal">
      <formula>$H$11</formula>
    </cfRule>
    <cfRule type="cellIs" dxfId="1579" priority="104" stopIfTrue="1" operator="lessThan">
      <formula>$H$11</formula>
    </cfRule>
  </conditionalFormatting>
  <conditionalFormatting sqref="I12">
    <cfRule type="cellIs" dxfId="1578" priority="117" stopIfTrue="1" operator="equal">
      <formula>$H$12</formula>
    </cfRule>
    <cfRule type="cellIs" dxfId="1577" priority="118" stopIfTrue="1" operator="lessThan">
      <formula>$H$12</formula>
    </cfRule>
  </conditionalFormatting>
  <conditionalFormatting sqref="I13">
    <cfRule type="cellIs" dxfId="1576" priority="287" stopIfTrue="1" operator="equal">
      <formula>$H$13</formula>
    </cfRule>
    <cfRule type="cellIs" dxfId="1575" priority="288" stopIfTrue="1" operator="lessThan">
      <formula>$H$13</formula>
    </cfRule>
  </conditionalFormatting>
  <conditionalFormatting sqref="I14">
    <cfRule type="cellIs" dxfId="1574" priority="289" stopIfTrue="1" operator="equal">
      <formula>$H$14</formula>
    </cfRule>
    <cfRule type="cellIs" dxfId="1573" priority="290" stopIfTrue="1" operator="lessThan">
      <formula>$H$14</formula>
    </cfRule>
  </conditionalFormatting>
  <conditionalFormatting sqref="I15">
    <cfRule type="cellIs" dxfId="1572" priority="291" stopIfTrue="1" operator="equal">
      <formula>$H$15</formula>
    </cfRule>
    <cfRule type="cellIs" dxfId="1571" priority="292" stopIfTrue="1" operator="lessThan">
      <formula>$H$15</formula>
    </cfRule>
  </conditionalFormatting>
  <conditionalFormatting sqref="I16">
    <cfRule type="cellIs" dxfId="1570" priority="293" stopIfTrue="1" operator="equal">
      <formula>$H$16</formula>
    </cfRule>
    <cfRule type="cellIs" dxfId="1569" priority="294" stopIfTrue="1" operator="lessThan">
      <formula>$H$16</formula>
    </cfRule>
  </conditionalFormatting>
  <conditionalFormatting sqref="I17">
    <cfRule type="cellIs" dxfId="1568" priority="295" stopIfTrue="1" operator="equal">
      <formula>$H$17</formula>
    </cfRule>
    <cfRule type="cellIs" dxfId="1567" priority="296" stopIfTrue="1" operator="lessThan">
      <formula>$H$17</formula>
    </cfRule>
  </conditionalFormatting>
  <conditionalFormatting sqref="I18">
    <cfRule type="cellIs" dxfId="1566" priority="297" stopIfTrue="1" operator="equal">
      <formula>$H$18</formula>
    </cfRule>
    <cfRule type="cellIs" dxfId="1565" priority="298" stopIfTrue="1" operator="lessThan">
      <formula>$H$18</formula>
    </cfRule>
  </conditionalFormatting>
  <conditionalFormatting sqref="I19">
    <cfRule type="cellIs" dxfId="1564" priority="299" stopIfTrue="1" operator="equal">
      <formula>$H$19</formula>
    </cfRule>
    <cfRule type="cellIs" dxfId="1563" priority="300" stopIfTrue="1" operator="lessThan">
      <formula>$H$19</formula>
    </cfRule>
  </conditionalFormatting>
  <conditionalFormatting sqref="I20">
    <cfRule type="cellIs" dxfId="1562" priority="301" stopIfTrue="1" operator="equal">
      <formula>$H$20</formula>
    </cfRule>
    <cfRule type="cellIs" dxfId="1561" priority="302" stopIfTrue="1" operator="lessThan">
      <formula>$H$20</formula>
    </cfRule>
  </conditionalFormatting>
  <conditionalFormatting sqref="I21">
    <cfRule type="cellIs" dxfId="1560" priority="303" stopIfTrue="1" operator="equal">
      <formula>$H$21</formula>
    </cfRule>
    <cfRule type="cellIs" dxfId="1559" priority="304" stopIfTrue="1" operator="lessThan">
      <formula>$H$21</formula>
    </cfRule>
  </conditionalFormatting>
  <conditionalFormatting sqref="I22">
    <cfRule type="cellIs" dxfId="1558" priority="305" stopIfTrue="1" operator="equal">
      <formula>$H$22</formula>
    </cfRule>
    <cfRule type="cellIs" dxfId="1557" priority="306" stopIfTrue="1" operator="lessThan">
      <formula>$H$22</formula>
    </cfRule>
  </conditionalFormatting>
  <conditionalFormatting sqref="I23">
    <cfRule type="cellIs" dxfId="1556" priority="307" stopIfTrue="1" operator="equal">
      <formula>$H$23</formula>
    </cfRule>
    <cfRule type="cellIs" dxfId="1555" priority="308" stopIfTrue="1" operator="lessThan">
      <formula>$H$23</formula>
    </cfRule>
  </conditionalFormatting>
  <conditionalFormatting sqref="I24">
    <cfRule type="cellIs" dxfId="1554" priority="309" stopIfTrue="1" operator="equal">
      <formula>$H$24</formula>
    </cfRule>
    <cfRule type="cellIs" dxfId="1553" priority="310" stopIfTrue="1" operator="lessThan">
      <formula>$H$24</formula>
    </cfRule>
  </conditionalFormatting>
  <conditionalFormatting sqref="I25">
    <cfRule type="cellIs" dxfId="1552" priority="311" stopIfTrue="1" operator="equal">
      <formula>$H$25</formula>
    </cfRule>
    <cfRule type="cellIs" dxfId="1551" priority="312" stopIfTrue="1" operator="lessThan">
      <formula>$H$25</formula>
    </cfRule>
  </conditionalFormatting>
  <conditionalFormatting sqref="I26">
    <cfRule type="cellIs" dxfId="1550" priority="313" stopIfTrue="1" operator="equal">
      <formula>$H$26</formula>
    </cfRule>
    <cfRule type="cellIs" dxfId="1549" priority="314" stopIfTrue="1" operator="lessThan">
      <formula>$H$26</formula>
    </cfRule>
  </conditionalFormatting>
  <conditionalFormatting sqref="I27">
    <cfRule type="cellIs" dxfId="1548" priority="315" stopIfTrue="1" operator="equal">
      <formula>$H$27</formula>
    </cfRule>
    <cfRule type="cellIs" dxfId="1547" priority="316" stopIfTrue="1" operator="lessThan">
      <formula>$H$27</formula>
    </cfRule>
  </conditionalFormatting>
  <conditionalFormatting sqref="I28">
    <cfRule type="cellIs" dxfId="1546" priority="318" stopIfTrue="1" operator="equal">
      <formula>$H$28</formula>
    </cfRule>
    <cfRule type="cellIs" dxfId="1545" priority="319" stopIfTrue="1" operator="lessThan">
      <formula>$H$28</formula>
    </cfRule>
  </conditionalFormatting>
  <conditionalFormatting sqref="I29">
    <cfRule type="cellIs" dxfId="1544" priority="320" stopIfTrue="1" operator="equal">
      <formula>$H$29</formula>
    </cfRule>
    <cfRule type="cellIs" dxfId="1543" priority="321" stopIfTrue="1" operator="lessThan">
      <formula>$H$29</formula>
    </cfRule>
  </conditionalFormatting>
  <conditionalFormatting sqref="J4">
    <cfRule type="cellIs" dxfId="1542" priority="23" stopIfTrue="1" operator="lessThan">
      <formula>$I$4</formula>
    </cfRule>
    <cfRule type="cellIs" dxfId="1541" priority="24" stopIfTrue="1" operator="equal">
      <formula>$I$4</formula>
    </cfRule>
  </conditionalFormatting>
  <conditionalFormatting sqref="J5">
    <cfRule type="cellIs" dxfId="1540" priority="10" stopIfTrue="1" operator="equal">
      <formula>$I$5</formula>
    </cfRule>
    <cfRule type="cellIs" dxfId="1539" priority="11" stopIfTrue="1" operator="lessThan">
      <formula>$I$5</formula>
    </cfRule>
  </conditionalFormatting>
  <conditionalFormatting sqref="J6">
    <cfRule type="cellIs" dxfId="1538" priority="37" stopIfTrue="1" operator="equal">
      <formula>$I$6</formula>
    </cfRule>
    <cfRule type="cellIs" dxfId="1537" priority="38" stopIfTrue="1" operator="lessThan">
      <formula>$I$6</formula>
    </cfRule>
  </conditionalFormatting>
  <conditionalFormatting sqref="J7">
    <cfRule type="cellIs" dxfId="1536" priority="49" stopIfTrue="1" operator="equal">
      <formula>$I$7</formula>
    </cfRule>
    <cfRule type="cellIs" dxfId="1535" priority="50" stopIfTrue="1" operator="lessThan">
      <formula>$I$7</formula>
    </cfRule>
  </conditionalFormatting>
  <conditionalFormatting sqref="J8">
    <cfRule type="cellIs" dxfId="1534" priority="63" stopIfTrue="1" operator="equal">
      <formula>$I$8</formula>
    </cfRule>
    <cfRule type="cellIs" dxfId="1533" priority="64" stopIfTrue="1" operator="lessThan">
      <formula>$I$8</formula>
    </cfRule>
  </conditionalFormatting>
  <conditionalFormatting sqref="J9">
    <cfRule type="cellIs" dxfId="1532" priority="77" stopIfTrue="1" operator="equal">
      <formula>$I$9</formula>
    </cfRule>
    <cfRule type="cellIs" dxfId="1531" priority="78" stopIfTrue="1" operator="lessThan">
      <formula>$I$9</formula>
    </cfRule>
  </conditionalFormatting>
  <conditionalFormatting sqref="J10">
    <cfRule type="cellIs" dxfId="1530" priority="91" stopIfTrue="1" operator="equal">
      <formula>$I$10</formula>
    </cfRule>
    <cfRule type="cellIs" dxfId="1529" priority="92" stopIfTrue="1" operator="lessThan">
      <formula>$I$10</formula>
    </cfRule>
  </conditionalFormatting>
  <conditionalFormatting sqref="J11">
    <cfRule type="cellIs" dxfId="1528" priority="105" stopIfTrue="1" operator="equal">
      <formula>$I$11</formula>
    </cfRule>
    <cfRule type="cellIs" dxfId="1527" priority="106" stopIfTrue="1" operator="lessThan">
      <formula>$I$11</formula>
    </cfRule>
  </conditionalFormatting>
  <conditionalFormatting sqref="J12">
    <cfRule type="cellIs" dxfId="1526" priority="119" stopIfTrue="1" operator="equal">
      <formula>$I$12</formula>
    </cfRule>
    <cfRule type="cellIs" dxfId="1525" priority="120" stopIfTrue="1" operator="lessThan">
      <formula>$I$12</formula>
    </cfRule>
  </conditionalFormatting>
  <conditionalFormatting sqref="J13">
    <cfRule type="cellIs" dxfId="1524" priority="322" stopIfTrue="1" operator="equal">
      <formula>$I$13</formula>
    </cfRule>
    <cfRule type="cellIs" dxfId="1523" priority="323" stopIfTrue="1" operator="lessThan">
      <formula>$I$13</formula>
    </cfRule>
  </conditionalFormatting>
  <conditionalFormatting sqref="J14">
    <cfRule type="cellIs" dxfId="1522" priority="324" stopIfTrue="1" operator="equal">
      <formula>$I$14</formula>
    </cfRule>
    <cfRule type="cellIs" dxfId="1521" priority="325" stopIfTrue="1" operator="lessThan">
      <formula>$I$14</formula>
    </cfRule>
  </conditionalFormatting>
  <conditionalFormatting sqref="J15">
    <cfRule type="cellIs" dxfId="1520" priority="326" stopIfTrue="1" operator="equal">
      <formula>$I$15</formula>
    </cfRule>
    <cfRule type="cellIs" dxfId="1519" priority="327" stopIfTrue="1" operator="lessThan">
      <formula>$I$15</formula>
    </cfRule>
  </conditionalFormatting>
  <conditionalFormatting sqref="J16">
    <cfRule type="cellIs" dxfId="1518" priority="328" stopIfTrue="1" operator="equal">
      <formula>$I$16</formula>
    </cfRule>
    <cfRule type="cellIs" dxfId="1517" priority="329" stopIfTrue="1" operator="lessThan">
      <formula>$I$16</formula>
    </cfRule>
  </conditionalFormatting>
  <conditionalFormatting sqref="J17">
    <cfRule type="cellIs" dxfId="1516" priority="330" stopIfTrue="1" operator="equal">
      <formula>$I$17</formula>
    </cfRule>
    <cfRule type="cellIs" dxfId="1515" priority="331" stopIfTrue="1" operator="lessThan">
      <formula>$I$17</formula>
    </cfRule>
  </conditionalFormatting>
  <conditionalFormatting sqref="J18">
    <cfRule type="cellIs" dxfId="1514" priority="332" stopIfTrue="1" operator="equal">
      <formula>$I$18</formula>
    </cfRule>
    <cfRule type="cellIs" dxfId="1513" priority="333" stopIfTrue="1" operator="lessThan">
      <formula>$I$18</formula>
    </cfRule>
  </conditionalFormatting>
  <conditionalFormatting sqref="J19">
    <cfRule type="cellIs" dxfId="1512" priority="334" stopIfTrue="1" operator="equal">
      <formula>$I$19</formula>
    </cfRule>
    <cfRule type="cellIs" dxfId="1511" priority="335" stopIfTrue="1" operator="lessThan">
      <formula>$I$19</formula>
    </cfRule>
  </conditionalFormatting>
  <conditionalFormatting sqref="J20">
    <cfRule type="cellIs" dxfId="1510" priority="336" stopIfTrue="1" operator="equal">
      <formula>$I$20</formula>
    </cfRule>
    <cfRule type="cellIs" dxfId="1509" priority="337" stopIfTrue="1" operator="lessThan">
      <formula>$I$20</formula>
    </cfRule>
  </conditionalFormatting>
  <conditionalFormatting sqref="J21">
    <cfRule type="cellIs" dxfId="1508" priority="338" stopIfTrue="1" operator="equal">
      <formula>$I$21</formula>
    </cfRule>
    <cfRule type="cellIs" dxfId="1507" priority="339" stopIfTrue="1" operator="lessThan">
      <formula>$I$21</formula>
    </cfRule>
  </conditionalFormatting>
  <conditionalFormatting sqref="J22">
    <cfRule type="cellIs" dxfId="1506" priority="340" stopIfTrue="1" operator="equal">
      <formula>$I$22</formula>
    </cfRule>
    <cfRule type="cellIs" dxfId="1505" priority="341" stopIfTrue="1" operator="lessThan">
      <formula>$I$22</formula>
    </cfRule>
  </conditionalFormatting>
  <conditionalFormatting sqref="J23">
    <cfRule type="cellIs" dxfId="1504" priority="342" stopIfTrue="1" operator="equal">
      <formula>$I$23</formula>
    </cfRule>
    <cfRule type="cellIs" dxfId="1503" priority="343" stopIfTrue="1" operator="lessThan">
      <formula>$I$23</formula>
    </cfRule>
  </conditionalFormatting>
  <conditionalFormatting sqref="J24">
    <cfRule type="cellIs" dxfId="1502" priority="344" stopIfTrue="1" operator="equal">
      <formula>$I$24</formula>
    </cfRule>
    <cfRule type="cellIs" dxfId="1501" priority="345" stopIfTrue="1" operator="lessThan">
      <formula>$I$24</formula>
    </cfRule>
  </conditionalFormatting>
  <conditionalFormatting sqref="J25">
    <cfRule type="cellIs" dxfId="1500" priority="346" stopIfTrue="1" operator="equal">
      <formula>$I$25</formula>
    </cfRule>
    <cfRule type="cellIs" dxfId="1499" priority="347" stopIfTrue="1" operator="lessThan">
      <formula>$I$25</formula>
    </cfRule>
  </conditionalFormatting>
  <conditionalFormatting sqref="J26">
    <cfRule type="cellIs" dxfId="1498" priority="348" stopIfTrue="1" operator="equal">
      <formula>$I$26</formula>
    </cfRule>
    <cfRule type="cellIs" dxfId="1497" priority="349" stopIfTrue="1" operator="lessThan">
      <formula>$I$26</formula>
    </cfRule>
  </conditionalFormatting>
  <conditionalFormatting sqref="J27">
    <cfRule type="cellIs" dxfId="1496" priority="350" stopIfTrue="1" operator="equal">
      <formula>$I$27</formula>
    </cfRule>
    <cfRule type="cellIs" dxfId="1495" priority="351" stopIfTrue="1" operator="lessThan">
      <formula>$I$27</formula>
    </cfRule>
  </conditionalFormatting>
  <conditionalFormatting sqref="J28">
    <cfRule type="cellIs" dxfId="1494" priority="352" stopIfTrue="1" operator="equal">
      <formula>$I$28</formula>
    </cfRule>
    <cfRule type="cellIs" dxfId="1493" priority="353" stopIfTrue="1" operator="lessThan">
      <formula>$I$28</formula>
    </cfRule>
  </conditionalFormatting>
  <conditionalFormatting sqref="K4">
    <cfRule type="cellIs" dxfId="1492" priority="354" stopIfTrue="1" operator="equal">
      <formula>$J$4</formula>
    </cfRule>
    <cfRule type="cellIs" dxfId="1491" priority="355" stopIfTrue="1" operator="lessThan">
      <formula>$J$4</formula>
    </cfRule>
  </conditionalFormatting>
  <conditionalFormatting sqref="K5">
    <cfRule type="cellIs" dxfId="1490" priority="356" stopIfTrue="1" operator="equal">
      <formula>$J$5</formula>
    </cfRule>
    <cfRule type="cellIs" dxfId="1489" priority="357" stopIfTrue="1" operator="lessThan">
      <formula>$J$5</formula>
    </cfRule>
  </conditionalFormatting>
  <conditionalFormatting sqref="K6">
    <cfRule type="cellIs" dxfId="1488" priority="358" stopIfTrue="1" operator="equal">
      <formula>$J$6</formula>
    </cfRule>
    <cfRule type="cellIs" dxfId="1487" priority="359" stopIfTrue="1" operator="lessThan">
      <formula>$J$6</formula>
    </cfRule>
  </conditionalFormatting>
  <conditionalFormatting sqref="K7">
    <cfRule type="cellIs" dxfId="1486" priority="360" stopIfTrue="1" operator="equal">
      <formula>$J$7</formula>
    </cfRule>
    <cfRule type="cellIs" dxfId="1485" priority="361" stopIfTrue="1" operator="lessThan">
      <formula>$J$7</formula>
    </cfRule>
  </conditionalFormatting>
  <conditionalFormatting sqref="K8">
    <cfRule type="cellIs" dxfId="1484" priority="362" stopIfTrue="1" operator="equal">
      <formula>$J$8</formula>
    </cfRule>
    <cfRule type="cellIs" dxfId="1483" priority="363" stopIfTrue="1" operator="lessThan">
      <formula>$J$8</formula>
    </cfRule>
  </conditionalFormatting>
  <conditionalFormatting sqref="K9">
    <cfRule type="cellIs" dxfId="1482" priority="364" stopIfTrue="1" operator="equal">
      <formula>$J$9</formula>
    </cfRule>
    <cfRule type="cellIs" dxfId="1481" priority="365" stopIfTrue="1" operator="lessThan">
      <formula>$J$9</formula>
    </cfRule>
  </conditionalFormatting>
  <conditionalFormatting sqref="K10">
    <cfRule type="cellIs" dxfId="1480" priority="366" stopIfTrue="1" operator="equal">
      <formula>$J$10</formula>
    </cfRule>
    <cfRule type="cellIs" dxfId="1479" priority="367" stopIfTrue="1" operator="lessThan">
      <formula>$J$10</formula>
    </cfRule>
  </conditionalFormatting>
  <conditionalFormatting sqref="K11">
    <cfRule type="cellIs" dxfId="1478" priority="368" stopIfTrue="1" operator="equal">
      <formula>$J$11</formula>
    </cfRule>
    <cfRule type="cellIs" dxfId="1477" priority="369" stopIfTrue="1" operator="lessThan">
      <formula>$J$11</formula>
    </cfRule>
  </conditionalFormatting>
  <conditionalFormatting sqref="K12">
    <cfRule type="cellIs" dxfId="1476" priority="370" stopIfTrue="1" operator="equal">
      <formula>$J$12</formula>
    </cfRule>
    <cfRule type="cellIs" dxfId="1475" priority="371" stopIfTrue="1" operator="lessThan">
      <formula>$J$12</formula>
    </cfRule>
  </conditionalFormatting>
  <conditionalFormatting sqref="K13">
    <cfRule type="cellIs" dxfId="1474" priority="372" stopIfTrue="1" operator="equal">
      <formula>$J$13</formula>
    </cfRule>
    <cfRule type="cellIs" dxfId="1473" priority="373" stopIfTrue="1" operator="lessThan">
      <formula>$J$13</formula>
    </cfRule>
  </conditionalFormatting>
  <conditionalFormatting sqref="K14">
    <cfRule type="cellIs" dxfId="1472" priority="374" stopIfTrue="1" operator="equal">
      <formula>$J$14</formula>
    </cfRule>
    <cfRule type="cellIs" dxfId="1471" priority="375" stopIfTrue="1" operator="lessThan">
      <formula>$J$14</formula>
    </cfRule>
  </conditionalFormatting>
  <conditionalFormatting sqref="K15">
    <cfRule type="cellIs" dxfId="1470" priority="376" stopIfTrue="1" operator="equal">
      <formula>$J$15</formula>
    </cfRule>
    <cfRule type="cellIs" dxfId="1469" priority="377" stopIfTrue="1" operator="lessThan">
      <formula>$J$15</formula>
    </cfRule>
  </conditionalFormatting>
  <conditionalFormatting sqref="K16">
    <cfRule type="cellIs" dxfId="1468" priority="378" stopIfTrue="1" operator="equal">
      <formula>$J$16</formula>
    </cfRule>
    <cfRule type="cellIs" dxfId="1467" priority="379" stopIfTrue="1" operator="lessThan">
      <formula>$J$16</formula>
    </cfRule>
  </conditionalFormatting>
  <conditionalFormatting sqref="K17">
    <cfRule type="cellIs" dxfId="1466" priority="380" stopIfTrue="1" operator="equal">
      <formula>$J$17</formula>
    </cfRule>
    <cfRule type="cellIs" dxfId="1465" priority="381" stopIfTrue="1" operator="lessThan">
      <formula>$J$17</formula>
    </cfRule>
  </conditionalFormatting>
  <conditionalFormatting sqref="K18">
    <cfRule type="cellIs" dxfId="1464" priority="382" stopIfTrue="1" operator="equal">
      <formula>$J$18</formula>
    </cfRule>
    <cfRule type="cellIs" dxfId="1463" priority="383" stopIfTrue="1" operator="lessThan">
      <formula>$J$18</formula>
    </cfRule>
  </conditionalFormatting>
  <conditionalFormatting sqref="K19">
    <cfRule type="cellIs" dxfId="1462" priority="384" stopIfTrue="1" operator="equal">
      <formula>$J$19</formula>
    </cfRule>
    <cfRule type="cellIs" dxfId="1461" priority="385" stopIfTrue="1" operator="lessThan">
      <formula>$J$19</formula>
    </cfRule>
  </conditionalFormatting>
  <conditionalFormatting sqref="K20">
    <cfRule type="cellIs" dxfId="1460" priority="386" stopIfTrue="1" operator="equal">
      <formula>$J$20</formula>
    </cfRule>
    <cfRule type="cellIs" dxfId="1459" priority="387" stopIfTrue="1" operator="lessThan">
      <formula>$J$20</formula>
    </cfRule>
  </conditionalFormatting>
  <conditionalFormatting sqref="K21">
    <cfRule type="cellIs" dxfId="1458" priority="388" stopIfTrue="1" operator="equal">
      <formula>$J$21</formula>
    </cfRule>
    <cfRule type="cellIs" dxfId="1457" priority="389" stopIfTrue="1" operator="lessThan">
      <formula>$J$21</formula>
    </cfRule>
  </conditionalFormatting>
  <conditionalFormatting sqref="K22">
    <cfRule type="cellIs" dxfId="1456" priority="390" stopIfTrue="1" operator="equal">
      <formula>$J$22</formula>
    </cfRule>
    <cfRule type="cellIs" dxfId="1455" priority="391" stopIfTrue="1" operator="lessThan">
      <formula>$J$22</formula>
    </cfRule>
  </conditionalFormatting>
  <conditionalFormatting sqref="K23">
    <cfRule type="cellIs" dxfId="1454" priority="392" stopIfTrue="1" operator="equal">
      <formula>$J$23</formula>
    </cfRule>
    <cfRule type="cellIs" dxfId="1453" priority="393" stopIfTrue="1" operator="lessThan">
      <formula>$J$23</formula>
    </cfRule>
  </conditionalFormatting>
  <conditionalFormatting sqref="K24">
    <cfRule type="cellIs" dxfId="1452" priority="394" stopIfTrue="1" operator="equal">
      <formula>$J$24</formula>
    </cfRule>
    <cfRule type="cellIs" dxfId="1451" priority="395" stopIfTrue="1" operator="lessThan">
      <formula>$J$24</formula>
    </cfRule>
  </conditionalFormatting>
  <conditionalFormatting sqref="K25">
    <cfRule type="cellIs" dxfId="1450" priority="396" stopIfTrue="1" operator="equal">
      <formula>$J$25</formula>
    </cfRule>
    <cfRule type="cellIs" dxfId="1449" priority="397" stopIfTrue="1" operator="lessThan">
      <formula>$J$25</formula>
    </cfRule>
  </conditionalFormatting>
  <conditionalFormatting sqref="K26">
    <cfRule type="cellIs" dxfId="1448" priority="398" stopIfTrue="1" operator="equal">
      <formula>$J$26</formula>
    </cfRule>
    <cfRule type="cellIs" dxfId="1447" priority="399" stopIfTrue="1" operator="lessThan">
      <formula>$J$26</formula>
    </cfRule>
  </conditionalFormatting>
  <conditionalFormatting sqref="K27">
    <cfRule type="cellIs" dxfId="1446" priority="400" stopIfTrue="1" operator="equal">
      <formula>$J$27</formula>
    </cfRule>
    <cfRule type="cellIs" dxfId="1445" priority="401" stopIfTrue="1" operator="lessThan">
      <formula>$J$27</formula>
    </cfRule>
  </conditionalFormatting>
  <conditionalFormatting sqref="K28">
    <cfRule type="cellIs" dxfId="1444" priority="402" stopIfTrue="1" operator="lessThan">
      <formula>$J$28</formula>
    </cfRule>
    <cfRule type="cellIs" dxfId="1443" priority="403" stopIfTrue="1" operator="equal">
      <formula>$J$28</formula>
    </cfRule>
  </conditionalFormatting>
  <conditionalFormatting sqref="L4">
    <cfRule type="cellIs" dxfId="1442" priority="404" stopIfTrue="1" operator="equal">
      <formula>$K$4</formula>
    </cfRule>
    <cfRule type="cellIs" dxfId="1441" priority="405" stopIfTrue="1" operator="lessThan">
      <formula>$K$4</formula>
    </cfRule>
  </conditionalFormatting>
  <conditionalFormatting sqref="L5">
    <cfRule type="cellIs" dxfId="1440" priority="406" stopIfTrue="1" operator="equal">
      <formula>$K$5</formula>
    </cfRule>
    <cfRule type="cellIs" dxfId="1439" priority="407" stopIfTrue="1" operator="lessThan">
      <formula>$K$5</formula>
    </cfRule>
  </conditionalFormatting>
  <conditionalFormatting sqref="L6">
    <cfRule type="cellIs" dxfId="1438" priority="408" stopIfTrue="1" operator="equal">
      <formula>$K$6</formula>
    </cfRule>
    <cfRule type="cellIs" dxfId="1437" priority="409" stopIfTrue="1" operator="lessThan">
      <formula>$K$6</formula>
    </cfRule>
  </conditionalFormatting>
  <conditionalFormatting sqref="L7">
    <cfRule type="cellIs" dxfId="1436" priority="410" stopIfTrue="1" operator="equal">
      <formula>$K$7</formula>
    </cfRule>
    <cfRule type="cellIs" dxfId="1435" priority="411" stopIfTrue="1" operator="lessThan">
      <formula>$K$7</formula>
    </cfRule>
  </conditionalFormatting>
  <conditionalFormatting sqref="L8">
    <cfRule type="cellIs" dxfId="1434" priority="412" stopIfTrue="1" operator="equal">
      <formula>$K$8</formula>
    </cfRule>
    <cfRule type="cellIs" dxfId="1433" priority="413" stopIfTrue="1" operator="lessThan">
      <formula>$K$8</formula>
    </cfRule>
  </conditionalFormatting>
  <conditionalFormatting sqref="L9">
    <cfRule type="cellIs" dxfId="1432" priority="414" stopIfTrue="1" operator="equal">
      <formula>$K$9</formula>
    </cfRule>
    <cfRule type="cellIs" dxfId="1431" priority="415" stopIfTrue="1" operator="lessThan">
      <formula>$K$9</formula>
    </cfRule>
  </conditionalFormatting>
  <conditionalFormatting sqref="L10">
    <cfRule type="cellIs" dxfId="1430" priority="416" stopIfTrue="1" operator="equal">
      <formula>$K$10</formula>
    </cfRule>
    <cfRule type="cellIs" dxfId="1429" priority="417" stopIfTrue="1" operator="lessThan">
      <formula>$K$10</formula>
    </cfRule>
  </conditionalFormatting>
  <conditionalFormatting sqref="L11">
    <cfRule type="cellIs" dxfId="1428" priority="438" stopIfTrue="1" operator="equal">
      <formula>$K$11</formula>
    </cfRule>
    <cfRule type="cellIs" dxfId="1427" priority="439" stopIfTrue="1" operator="lessThan">
      <formula>$K$11</formula>
    </cfRule>
  </conditionalFormatting>
  <conditionalFormatting sqref="L12">
    <cfRule type="cellIs" dxfId="1426" priority="418" stopIfTrue="1" operator="equal">
      <formula>$K$12</formula>
    </cfRule>
    <cfRule type="cellIs" dxfId="1425" priority="419" stopIfTrue="1" operator="lessThan">
      <formula>$K$12</formula>
    </cfRule>
  </conditionalFormatting>
  <conditionalFormatting sqref="L13">
    <cfRule type="cellIs" dxfId="1424" priority="420" stopIfTrue="1" operator="equal">
      <formula>$K$13</formula>
    </cfRule>
    <cfRule type="cellIs" dxfId="1423" priority="421" stopIfTrue="1" operator="lessThan">
      <formula>$K$13</formula>
    </cfRule>
  </conditionalFormatting>
  <conditionalFormatting sqref="L14">
    <cfRule type="cellIs" dxfId="1422" priority="422" stopIfTrue="1" operator="equal">
      <formula>$K$14</formula>
    </cfRule>
    <cfRule type="cellIs" dxfId="1421" priority="423" stopIfTrue="1" operator="lessThan">
      <formula>$K$14</formula>
    </cfRule>
  </conditionalFormatting>
  <conditionalFormatting sqref="L15">
    <cfRule type="cellIs" dxfId="1420" priority="424" stopIfTrue="1" operator="equal">
      <formula>$K$15</formula>
    </cfRule>
    <cfRule type="cellIs" dxfId="1419" priority="425" stopIfTrue="1" operator="lessThan">
      <formula>$K$15</formula>
    </cfRule>
  </conditionalFormatting>
  <conditionalFormatting sqref="L16">
    <cfRule type="cellIs" dxfId="1418" priority="426" stopIfTrue="1" operator="equal">
      <formula>$K$16</formula>
    </cfRule>
    <cfRule type="cellIs" dxfId="1417" priority="427" stopIfTrue="1" operator="lessThan">
      <formula>$K$16</formula>
    </cfRule>
  </conditionalFormatting>
  <conditionalFormatting sqref="L17">
    <cfRule type="cellIs" dxfId="1416" priority="428" stopIfTrue="1" operator="equal">
      <formula>$K$17</formula>
    </cfRule>
    <cfRule type="cellIs" dxfId="1415" priority="429" stopIfTrue="1" operator="lessThan">
      <formula>$K$17</formula>
    </cfRule>
  </conditionalFormatting>
  <conditionalFormatting sqref="L18">
    <cfRule type="cellIs" dxfId="1414" priority="430" stopIfTrue="1" operator="equal">
      <formula>$K$18</formula>
    </cfRule>
    <cfRule type="cellIs" dxfId="1413" priority="431" stopIfTrue="1" operator="lessThan">
      <formula>$K$18</formula>
    </cfRule>
  </conditionalFormatting>
  <conditionalFormatting sqref="L19">
    <cfRule type="cellIs" dxfId="1412" priority="432" stopIfTrue="1" operator="equal">
      <formula>$K$19</formula>
    </cfRule>
    <cfRule type="cellIs" dxfId="1411" priority="433" stopIfTrue="1" operator="lessThan">
      <formula>$K$19</formula>
    </cfRule>
  </conditionalFormatting>
  <conditionalFormatting sqref="L20">
    <cfRule type="cellIs" dxfId="1410" priority="434" stopIfTrue="1" operator="equal">
      <formula>$K$20</formula>
    </cfRule>
    <cfRule type="cellIs" dxfId="1409" priority="435" stopIfTrue="1" operator="lessThan">
      <formula>$K$20</formula>
    </cfRule>
  </conditionalFormatting>
  <conditionalFormatting sqref="L21">
    <cfRule type="cellIs" dxfId="1408" priority="436" stopIfTrue="1" operator="equal">
      <formula>$K$21</formula>
    </cfRule>
    <cfRule type="cellIs" dxfId="1407" priority="437" stopIfTrue="1" operator="lessThan">
      <formula>$K$21</formula>
    </cfRule>
  </conditionalFormatting>
  <conditionalFormatting sqref="L22">
    <cfRule type="cellIs" dxfId="1406" priority="440" stopIfTrue="1" operator="equal">
      <formula>$K$22</formula>
    </cfRule>
    <cfRule type="cellIs" dxfId="1405" priority="441" stopIfTrue="1" operator="lessThan">
      <formula>$K$22</formula>
    </cfRule>
  </conditionalFormatting>
  <conditionalFormatting sqref="L23">
    <cfRule type="cellIs" dxfId="1404" priority="442" stopIfTrue="1" operator="equal">
      <formula>$K$23</formula>
    </cfRule>
    <cfRule type="cellIs" dxfId="1403" priority="443" stopIfTrue="1" operator="lessThan">
      <formula>$K$23</formula>
    </cfRule>
  </conditionalFormatting>
  <conditionalFormatting sqref="L24">
    <cfRule type="cellIs" dxfId="1402" priority="444" stopIfTrue="1" operator="equal">
      <formula>$K$24</formula>
    </cfRule>
    <cfRule type="cellIs" dxfId="1401" priority="445" stopIfTrue="1" operator="lessThan">
      <formula>$K$24</formula>
    </cfRule>
  </conditionalFormatting>
  <conditionalFormatting sqref="L25">
    <cfRule type="cellIs" dxfId="1400" priority="446" stopIfTrue="1" operator="equal">
      <formula>$K$25</formula>
    </cfRule>
    <cfRule type="cellIs" dxfId="1399" priority="447" stopIfTrue="1" operator="lessThan">
      <formula>$K$25</formula>
    </cfRule>
  </conditionalFormatting>
  <conditionalFormatting sqref="L26">
    <cfRule type="cellIs" dxfId="1398" priority="448" stopIfTrue="1" operator="equal">
      <formula>$K$26</formula>
    </cfRule>
    <cfRule type="cellIs" dxfId="1397" priority="449" stopIfTrue="1" operator="lessThan">
      <formula>$K$26</formula>
    </cfRule>
  </conditionalFormatting>
  <conditionalFormatting sqref="L27">
    <cfRule type="cellIs" dxfId="1396" priority="450" stopIfTrue="1" operator="equal">
      <formula>$K$27</formula>
    </cfRule>
    <cfRule type="cellIs" dxfId="1395" priority="451" stopIfTrue="1" operator="lessThan">
      <formula>$K$27</formula>
    </cfRule>
  </conditionalFormatting>
  <conditionalFormatting sqref="L28">
    <cfRule type="cellIs" dxfId="1394" priority="452" stopIfTrue="1" operator="equal">
      <formula>$K$28</formula>
    </cfRule>
    <cfRule type="cellIs" dxfId="1393" priority="453" stopIfTrue="1" operator="lessThan">
      <formula>$K$28</formula>
    </cfRule>
  </conditionalFormatting>
  <conditionalFormatting sqref="M4">
    <cfRule type="cellIs" dxfId="1392" priority="454" stopIfTrue="1" operator="lessThan">
      <formula>$L$4</formula>
    </cfRule>
    <cfRule type="cellIs" dxfId="1391" priority="455" stopIfTrue="1" operator="equal">
      <formula>$L$4</formula>
    </cfRule>
  </conditionalFormatting>
  <conditionalFormatting sqref="M5">
    <cfRule type="cellIs" dxfId="1390" priority="456" stopIfTrue="1" operator="equal">
      <formula>$L$5</formula>
    </cfRule>
    <cfRule type="cellIs" dxfId="1389" priority="457" stopIfTrue="1" operator="lessThan">
      <formula>$L$5</formula>
    </cfRule>
  </conditionalFormatting>
  <conditionalFormatting sqref="M6">
    <cfRule type="cellIs" dxfId="1388" priority="458" stopIfTrue="1" operator="equal">
      <formula>$L$6</formula>
    </cfRule>
    <cfRule type="cellIs" dxfId="1387" priority="459" stopIfTrue="1" operator="lessThan">
      <formula>$L$6</formula>
    </cfRule>
  </conditionalFormatting>
  <conditionalFormatting sqref="M7">
    <cfRule type="cellIs" dxfId="1386" priority="460" stopIfTrue="1" operator="equal">
      <formula>$L$7</formula>
    </cfRule>
    <cfRule type="cellIs" dxfId="1385" priority="461" stopIfTrue="1" operator="lessThan">
      <formula>$L$7</formula>
    </cfRule>
  </conditionalFormatting>
  <conditionalFormatting sqref="M8">
    <cfRule type="cellIs" dxfId="1384" priority="462" stopIfTrue="1" operator="equal">
      <formula>$L$8</formula>
    </cfRule>
    <cfRule type="cellIs" dxfId="1383" priority="463" stopIfTrue="1" operator="lessThan">
      <formula>$L$8</formula>
    </cfRule>
  </conditionalFormatting>
  <conditionalFormatting sqref="M9">
    <cfRule type="cellIs" dxfId="1382" priority="464" stopIfTrue="1" operator="equal">
      <formula>$L$9</formula>
    </cfRule>
    <cfRule type="cellIs" dxfId="1381" priority="465" stopIfTrue="1" operator="lessThan">
      <formula>$L$9</formula>
    </cfRule>
  </conditionalFormatting>
  <conditionalFormatting sqref="M10">
    <cfRule type="cellIs" dxfId="1380" priority="466" stopIfTrue="1" operator="equal">
      <formula>$L$10</formula>
    </cfRule>
    <cfRule type="cellIs" dxfId="1379" priority="467" stopIfTrue="1" operator="lessThan">
      <formula>$L$10</formula>
    </cfRule>
  </conditionalFormatting>
  <conditionalFormatting sqref="M11">
    <cfRule type="cellIs" dxfId="1378" priority="468" stopIfTrue="1" operator="equal">
      <formula>$L$11</formula>
    </cfRule>
    <cfRule type="cellIs" dxfId="1377" priority="469" stopIfTrue="1" operator="lessThan">
      <formula>$L$11</formula>
    </cfRule>
  </conditionalFormatting>
  <conditionalFormatting sqref="M12">
    <cfRule type="cellIs" dxfId="1376" priority="470" stopIfTrue="1" operator="equal">
      <formula>$L$12</formula>
    </cfRule>
    <cfRule type="cellIs" dxfId="1375" priority="471" stopIfTrue="1" operator="lessThan">
      <formula>$L$12</formula>
    </cfRule>
  </conditionalFormatting>
  <conditionalFormatting sqref="M13">
    <cfRule type="cellIs" dxfId="1374" priority="472" stopIfTrue="1" operator="equal">
      <formula>$L$13</formula>
    </cfRule>
    <cfRule type="cellIs" dxfId="1373" priority="473" stopIfTrue="1" operator="lessThan">
      <formula>$L$13</formula>
    </cfRule>
  </conditionalFormatting>
  <conditionalFormatting sqref="M14">
    <cfRule type="cellIs" dxfId="1372" priority="474" stopIfTrue="1" operator="equal">
      <formula>$L$14</formula>
    </cfRule>
    <cfRule type="cellIs" dxfId="1371" priority="475" stopIfTrue="1" operator="lessThan">
      <formula>$L$14</formula>
    </cfRule>
  </conditionalFormatting>
  <conditionalFormatting sqref="M15">
    <cfRule type="cellIs" dxfId="1370" priority="476" stopIfTrue="1" operator="equal">
      <formula>$L$15</formula>
    </cfRule>
    <cfRule type="cellIs" dxfId="1369" priority="477" stopIfTrue="1" operator="lessThan">
      <formula>$L$15</formula>
    </cfRule>
  </conditionalFormatting>
  <conditionalFormatting sqref="M16">
    <cfRule type="cellIs" dxfId="1368" priority="478" stopIfTrue="1" operator="equal">
      <formula>$L$16</formula>
    </cfRule>
    <cfRule type="cellIs" dxfId="1367" priority="479" stopIfTrue="1" operator="lessThan">
      <formula>$L$16</formula>
    </cfRule>
  </conditionalFormatting>
  <conditionalFormatting sqref="M17">
    <cfRule type="cellIs" dxfId="1366" priority="480" stopIfTrue="1" operator="equal">
      <formula>$L$17</formula>
    </cfRule>
    <cfRule type="cellIs" dxfId="1365" priority="481" stopIfTrue="1" operator="lessThan">
      <formula>$L$17</formula>
    </cfRule>
  </conditionalFormatting>
  <conditionalFormatting sqref="M18">
    <cfRule type="cellIs" dxfId="1364" priority="482" stopIfTrue="1" operator="equal">
      <formula>$L$18</formula>
    </cfRule>
    <cfRule type="cellIs" dxfId="1363" priority="483" stopIfTrue="1" operator="lessThan">
      <formula>$L$18</formula>
    </cfRule>
  </conditionalFormatting>
  <conditionalFormatting sqref="M19">
    <cfRule type="cellIs" dxfId="1362" priority="484" stopIfTrue="1" operator="equal">
      <formula>$L$19</formula>
    </cfRule>
    <cfRule type="cellIs" dxfId="1361" priority="485" stopIfTrue="1" operator="lessThan">
      <formula>$L$19</formula>
    </cfRule>
  </conditionalFormatting>
  <conditionalFormatting sqref="M20">
    <cfRule type="cellIs" dxfId="1360" priority="486" stopIfTrue="1" operator="equal">
      <formula>$L$20</formula>
    </cfRule>
    <cfRule type="cellIs" dxfId="1359" priority="487" stopIfTrue="1" operator="lessThan">
      <formula>$L$20</formula>
    </cfRule>
  </conditionalFormatting>
  <conditionalFormatting sqref="M21">
    <cfRule type="cellIs" dxfId="1358" priority="488" stopIfTrue="1" operator="equal">
      <formula>$L$21</formula>
    </cfRule>
    <cfRule type="cellIs" dxfId="1357" priority="489" stopIfTrue="1" operator="lessThan">
      <formula>$L$21</formula>
    </cfRule>
  </conditionalFormatting>
  <conditionalFormatting sqref="M22">
    <cfRule type="cellIs" dxfId="1356" priority="490" stopIfTrue="1" operator="equal">
      <formula>$L$22</formula>
    </cfRule>
    <cfRule type="cellIs" dxfId="1355" priority="491" stopIfTrue="1" operator="lessThan">
      <formula>$L$22</formula>
    </cfRule>
  </conditionalFormatting>
  <conditionalFormatting sqref="M23">
    <cfRule type="cellIs" dxfId="1354" priority="492" stopIfTrue="1" operator="equal">
      <formula>$L$23</formula>
    </cfRule>
    <cfRule type="cellIs" dxfId="1353" priority="493" stopIfTrue="1" operator="lessThan">
      <formula>$L$23</formula>
    </cfRule>
  </conditionalFormatting>
  <conditionalFormatting sqref="M24">
    <cfRule type="cellIs" dxfId="1352" priority="494" stopIfTrue="1" operator="equal">
      <formula>$L$24</formula>
    </cfRule>
    <cfRule type="cellIs" dxfId="1351" priority="495" stopIfTrue="1" operator="lessThan">
      <formula>$L$24</formula>
    </cfRule>
  </conditionalFormatting>
  <conditionalFormatting sqref="M25">
    <cfRule type="cellIs" dxfId="1350" priority="496" stopIfTrue="1" operator="equal">
      <formula>$L$25</formula>
    </cfRule>
    <cfRule type="cellIs" dxfId="1349" priority="497" stopIfTrue="1" operator="lessThan">
      <formula>$L$25</formula>
    </cfRule>
  </conditionalFormatting>
  <conditionalFormatting sqref="M26">
    <cfRule type="cellIs" dxfId="1348" priority="498" stopIfTrue="1" operator="equal">
      <formula>$L$26</formula>
    </cfRule>
    <cfRule type="cellIs" dxfId="1347" priority="499" stopIfTrue="1" operator="lessThan">
      <formula>$L$26</formula>
    </cfRule>
  </conditionalFormatting>
  <conditionalFormatting sqref="M27">
    <cfRule type="cellIs" dxfId="1346" priority="500" stopIfTrue="1" operator="equal">
      <formula>$L$27</formula>
    </cfRule>
    <cfRule type="cellIs" dxfId="1345" priority="501" stopIfTrue="1" operator="lessThan">
      <formula>$L$27</formula>
    </cfRule>
  </conditionalFormatting>
  <conditionalFormatting sqref="M28">
    <cfRule type="cellIs" dxfId="1344" priority="502" stopIfTrue="1" operator="equal">
      <formula>$L$28</formula>
    </cfRule>
    <cfRule type="cellIs" dxfId="1343" priority="503" stopIfTrue="1" operator="lessThan">
      <formula>$L$28</formula>
    </cfRule>
  </conditionalFormatting>
  <conditionalFormatting sqref="N4">
    <cfRule type="cellIs" dxfId="1342" priority="504" stopIfTrue="1" operator="equal">
      <formula>$M$4</formula>
    </cfRule>
    <cfRule type="cellIs" dxfId="1341" priority="505" stopIfTrue="1" operator="lessThan">
      <formula>$M$4</formula>
    </cfRule>
  </conditionalFormatting>
  <conditionalFormatting sqref="N5">
    <cfRule type="cellIs" dxfId="1340" priority="506" stopIfTrue="1" operator="equal">
      <formula>$M$5</formula>
    </cfRule>
    <cfRule type="cellIs" dxfId="1339" priority="507" stopIfTrue="1" operator="lessThan">
      <formula>$M$5</formula>
    </cfRule>
  </conditionalFormatting>
  <conditionalFormatting sqref="N6">
    <cfRule type="cellIs" dxfId="1338" priority="508" stopIfTrue="1" operator="equal">
      <formula>$M$6</formula>
    </cfRule>
    <cfRule type="cellIs" dxfId="1337" priority="509" stopIfTrue="1" operator="lessThan">
      <formula>$M$6</formula>
    </cfRule>
  </conditionalFormatting>
  <conditionalFormatting sqref="N7">
    <cfRule type="cellIs" dxfId="1336" priority="510" stopIfTrue="1" operator="equal">
      <formula>$M$7</formula>
    </cfRule>
    <cfRule type="cellIs" dxfId="1335" priority="511" stopIfTrue="1" operator="lessThan">
      <formula>$M$7</formula>
    </cfRule>
  </conditionalFormatting>
  <conditionalFormatting sqref="N8">
    <cfRule type="cellIs" dxfId="1334" priority="512" stopIfTrue="1" operator="equal">
      <formula>$M$8</formula>
    </cfRule>
    <cfRule type="cellIs" dxfId="1333" priority="513" stopIfTrue="1" operator="lessThan">
      <formula>$M$8</formula>
    </cfRule>
  </conditionalFormatting>
  <conditionalFormatting sqref="N9">
    <cfRule type="cellIs" dxfId="1332" priority="514" stopIfTrue="1" operator="equal">
      <formula>$M$9</formula>
    </cfRule>
    <cfRule type="cellIs" dxfId="1331" priority="515" stopIfTrue="1" operator="lessThan">
      <formula>$M$9</formula>
    </cfRule>
  </conditionalFormatting>
  <conditionalFormatting sqref="N10">
    <cfRule type="cellIs" dxfId="1330" priority="516" stopIfTrue="1" operator="equal">
      <formula>$M$10</formula>
    </cfRule>
    <cfRule type="cellIs" dxfId="1329" priority="517" stopIfTrue="1" operator="lessThan">
      <formula>$M$10</formula>
    </cfRule>
  </conditionalFormatting>
  <conditionalFormatting sqref="N11">
    <cfRule type="cellIs" dxfId="1328" priority="518" stopIfTrue="1" operator="equal">
      <formula>$M$11</formula>
    </cfRule>
    <cfRule type="cellIs" dxfId="1327" priority="519" stopIfTrue="1" operator="lessThan">
      <formula>$M$11</formula>
    </cfRule>
  </conditionalFormatting>
  <conditionalFormatting sqref="N12">
    <cfRule type="cellIs" dxfId="1326" priority="520" stopIfTrue="1" operator="equal">
      <formula>$M$12</formula>
    </cfRule>
    <cfRule type="cellIs" dxfId="1325" priority="521" stopIfTrue="1" operator="lessThan">
      <formula>$M$12</formula>
    </cfRule>
  </conditionalFormatting>
  <conditionalFormatting sqref="N13">
    <cfRule type="cellIs" dxfId="1324" priority="522" stopIfTrue="1" operator="equal">
      <formula>$M$13</formula>
    </cfRule>
    <cfRule type="cellIs" dxfId="1323" priority="523" stopIfTrue="1" operator="lessThan">
      <formula>$M$13</formula>
    </cfRule>
  </conditionalFormatting>
  <conditionalFormatting sqref="N14">
    <cfRule type="cellIs" dxfId="1322" priority="524" stopIfTrue="1" operator="equal">
      <formula>$M$14</formula>
    </cfRule>
    <cfRule type="cellIs" dxfId="1321" priority="525" stopIfTrue="1" operator="lessThan">
      <formula>$M$14</formula>
    </cfRule>
  </conditionalFormatting>
  <conditionalFormatting sqref="N15">
    <cfRule type="cellIs" dxfId="1320" priority="526" stopIfTrue="1" operator="equal">
      <formula>$M$15</formula>
    </cfRule>
    <cfRule type="cellIs" dxfId="1319" priority="527" stopIfTrue="1" operator="lessThan">
      <formula>$M$15</formula>
    </cfRule>
  </conditionalFormatting>
  <conditionalFormatting sqref="N16">
    <cfRule type="cellIs" dxfId="1318" priority="528" stopIfTrue="1" operator="equal">
      <formula>$M$16</formula>
    </cfRule>
    <cfRule type="cellIs" dxfId="1317" priority="529" stopIfTrue="1" operator="lessThan">
      <formula>$M$16</formula>
    </cfRule>
  </conditionalFormatting>
  <conditionalFormatting sqref="N17">
    <cfRule type="cellIs" dxfId="1316" priority="530" stopIfTrue="1" operator="equal">
      <formula>$M$17</formula>
    </cfRule>
    <cfRule type="cellIs" dxfId="1315" priority="531" stopIfTrue="1" operator="lessThan">
      <formula>$M$17</formula>
    </cfRule>
  </conditionalFormatting>
  <conditionalFormatting sqref="N18">
    <cfRule type="cellIs" dxfId="1314" priority="532" stopIfTrue="1" operator="equal">
      <formula>$M$18</formula>
    </cfRule>
    <cfRule type="cellIs" dxfId="1313" priority="533" stopIfTrue="1" operator="lessThan">
      <formula>$M$18</formula>
    </cfRule>
  </conditionalFormatting>
  <conditionalFormatting sqref="N19">
    <cfRule type="cellIs" dxfId="1312" priority="534" stopIfTrue="1" operator="equal">
      <formula>$M$19</formula>
    </cfRule>
    <cfRule type="cellIs" dxfId="1311" priority="535" stopIfTrue="1" operator="lessThan">
      <formula>$M$19</formula>
    </cfRule>
  </conditionalFormatting>
  <conditionalFormatting sqref="N20">
    <cfRule type="cellIs" dxfId="1310" priority="536" stopIfTrue="1" operator="equal">
      <formula>$M$20</formula>
    </cfRule>
    <cfRule type="cellIs" dxfId="1309" priority="537" stopIfTrue="1" operator="lessThan">
      <formula>$M$20</formula>
    </cfRule>
  </conditionalFormatting>
  <conditionalFormatting sqref="N21">
    <cfRule type="cellIs" dxfId="1308" priority="538" stopIfTrue="1" operator="equal">
      <formula>$M$21</formula>
    </cfRule>
    <cfRule type="cellIs" dxfId="1307" priority="539" stopIfTrue="1" operator="lessThan">
      <formula>$M$21</formula>
    </cfRule>
  </conditionalFormatting>
  <conditionalFormatting sqref="N22">
    <cfRule type="cellIs" dxfId="1306" priority="540" stopIfTrue="1" operator="equal">
      <formula>$M$22</formula>
    </cfRule>
    <cfRule type="cellIs" dxfId="1305" priority="541" stopIfTrue="1" operator="lessThan">
      <formula>$M$22</formula>
    </cfRule>
  </conditionalFormatting>
  <conditionalFormatting sqref="N23">
    <cfRule type="cellIs" dxfId="1304" priority="542" stopIfTrue="1" operator="equal">
      <formula>$M$23</formula>
    </cfRule>
    <cfRule type="cellIs" dxfId="1303" priority="543" stopIfTrue="1" operator="lessThan">
      <formula>$M$23</formula>
    </cfRule>
  </conditionalFormatting>
  <conditionalFormatting sqref="N24">
    <cfRule type="cellIs" dxfId="1302" priority="544" stopIfTrue="1" operator="equal">
      <formula>$M$24</formula>
    </cfRule>
    <cfRule type="cellIs" dxfId="1301" priority="545" stopIfTrue="1" operator="lessThan">
      <formula>$M$24</formula>
    </cfRule>
  </conditionalFormatting>
  <conditionalFormatting sqref="N25">
    <cfRule type="cellIs" dxfId="1300" priority="546" stopIfTrue="1" operator="equal">
      <formula>$M$25</formula>
    </cfRule>
    <cfRule type="cellIs" dxfId="1299" priority="547" stopIfTrue="1" operator="lessThan">
      <formula>$M$25</formula>
    </cfRule>
  </conditionalFormatting>
  <conditionalFormatting sqref="N26">
    <cfRule type="cellIs" dxfId="1298" priority="548" stopIfTrue="1" operator="equal">
      <formula>$M$26</formula>
    </cfRule>
    <cfRule type="cellIs" dxfId="1297" priority="549" stopIfTrue="1" operator="lessThan">
      <formula>$M$26</formula>
    </cfRule>
  </conditionalFormatting>
  <conditionalFormatting sqref="N27">
    <cfRule type="cellIs" dxfId="1296" priority="550" stopIfTrue="1" operator="equal">
      <formula>$M$27</formula>
    </cfRule>
    <cfRule type="cellIs" dxfId="1295" priority="551" stopIfTrue="1" operator="lessThan">
      <formula>$M$27</formula>
    </cfRule>
  </conditionalFormatting>
  <conditionalFormatting sqref="N28">
    <cfRule type="cellIs" dxfId="1294" priority="552" stopIfTrue="1" operator="equal">
      <formula>$M$28</formula>
    </cfRule>
    <cfRule type="cellIs" dxfId="1293" priority="553" stopIfTrue="1" operator="lessThan">
      <formula>$M$28</formula>
    </cfRule>
  </conditionalFormatting>
  <conditionalFormatting sqref="O4">
    <cfRule type="cellIs" dxfId="1292" priority="554" stopIfTrue="1" operator="equal">
      <formula>$N$4</formula>
    </cfRule>
    <cfRule type="cellIs" dxfId="1291" priority="555" stopIfTrue="1" operator="lessThan">
      <formula>$N$4</formula>
    </cfRule>
  </conditionalFormatting>
  <conditionalFormatting sqref="O5">
    <cfRule type="cellIs" dxfId="1290" priority="556" stopIfTrue="1" operator="equal">
      <formula>$N$5</formula>
    </cfRule>
    <cfRule type="cellIs" dxfId="1289" priority="557" stopIfTrue="1" operator="lessThan">
      <formula>$N$5</formula>
    </cfRule>
  </conditionalFormatting>
  <conditionalFormatting sqref="O6">
    <cfRule type="cellIs" dxfId="1288" priority="558" stopIfTrue="1" operator="equal">
      <formula>$N$6</formula>
    </cfRule>
    <cfRule type="cellIs" dxfId="1287" priority="559" stopIfTrue="1" operator="lessThan">
      <formula>$N$6</formula>
    </cfRule>
  </conditionalFormatting>
  <conditionalFormatting sqref="O7">
    <cfRule type="cellIs" dxfId="1286" priority="560" stopIfTrue="1" operator="equal">
      <formula>$N$7</formula>
    </cfRule>
    <cfRule type="cellIs" dxfId="1285" priority="561" stopIfTrue="1" operator="lessThan">
      <formula>$N$7</formula>
    </cfRule>
  </conditionalFormatting>
  <conditionalFormatting sqref="O8">
    <cfRule type="cellIs" dxfId="1284" priority="562" stopIfTrue="1" operator="equal">
      <formula>$N$8</formula>
    </cfRule>
    <cfRule type="cellIs" dxfId="1283" priority="563" stopIfTrue="1" operator="lessThan">
      <formula>$N$8</formula>
    </cfRule>
  </conditionalFormatting>
  <conditionalFormatting sqref="O9">
    <cfRule type="cellIs" dxfId="1282" priority="564" stopIfTrue="1" operator="equal">
      <formula>$N$9</formula>
    </cfRule>
    <cfRule type="cellIs" dxfId="1281" priority="565" stopIfTrue="1" operator="lessThan">
      <formula>$N$9</formula>
    </cfRule>
  </conditionalFormatting>
  <conditionalFormatting sqref="O10">
    <cfRule type="cellIs" dxfId="1280" priority="566" stopIfTrue="1" operator="equal">
      <formula>$N$10</formula>
    </cfRule>
    <cfRule type="cellIs" dxfId="1279" priority="567" stopIfTrue="1" operator="lessThan">
      <formula>$N$10</formula>
    </cfRule>
  </conditionalFormatting>
  <conditionalFormatting sqref="O11">
    <cfRule type="cellIs" dxfId="1278" priority="568" stopIfTrue="1" operator="equal">
      <formula>$N$11</formula>
    </cfRule>
    <cfRule type="cellIs" dxfId="1277" priority="569" stopIfTrue="1" operator="lessThan">
      <formula>$N$11</formula>
    </cfRule>
  </conditionalFormatting>
  <conditionalFormatting sqref="O12">
    <cfRule type="cellIs" dxfId="1276" priority="570" stopIfTrue="1" operator="equal">
      <formula>$N$12</formula>
    </cfRule>
    <cfRule type="cellIs" dxfId="1275" priority="571" stopIfTrue="1" operator="lessThan">
      <formula>$N$12</formula>
    </cfRule>
  </conditionalFormatting>
  <conditionalFormatting sqref="O13">
    <cfRule type="cellIs" dxfId="1274" priority="572" stopIfTrue="1" operator="equal">
      <formula>$N$13</formula>
    </cfRule>
    <cfRule type="cellIs" dxfId="1273" priority="573" stopIfTrue="1" operator="lessThan">
      <formula>$N$13</formula>
    </cfRule>
  </conditionalFormatting>
  <conditionalFormatting sqref="O14">
    <cfRule type="cellIs" dxfId="1272" priority="574" stopIfTrue="1" operator="equal">
      <formula>$N$14</formula>
    </cfRule>
    <cfRule type="cellIs" dxfId="1271" priority="575" stopIfTrue="1" operator="lessThan">
      <formula>$N$14</formula>
    </cfRule>
  </conditionalFormatting>
  <conditionalFormatting sqref="O15">
    <cfRule type="cellIs" dxfId="1270" priority="576" stopIfTrue="1" operator="equal">
      <formula>$N$15</formula>
    </cfRule>
    <cfRule type="cellIs" dxfId="1269" priority="577" stopIfTrue="1" operator="lessThan">
      <formula>$N$15</formula>
    </cfRule>
  </conditionalFormatting>
  <conditionalFormatting sqref="O16">
    <cfRule type="cellIs" dxfId="1268" priority="578" stopIfTrue="1" operator="equal">
      <formula>$N$16</formula>
    </cfRule>
    <cfRule type="cellIs" dxfId="1267" priority="579" stopIfTrue="1" operator="lessThan">
      <formula>$N$16</formula>
    </cfRule>
  </conditionalFormatting>
  <conditionalFormatting sqref="O17">
    <cfRule type="cellIs" dxfId="1266" priority="580" stopIfTrue="1" operator="equal">
      <formula>$N$17</formula>
    </cfRule>
    <cfRule type="cellIs" dxfId="1265" priority="581" stopIfTrue="1" operator="lessThan">
      <formula>$N$17</formula>
    </cfRule>
  </conditionalFormatting>
  <conditionalFormatting sqref="O18">
    <cfRule type="cellIs" dxfId="1264" priority="582" stopIfTrue="1" operator="equal">
      <formula>$N$18</formula>
    </cfRule>
    <cfRule type="cellIs" dxfId="1263" priority="583" stopIfTrue="1" operator="lessThan">
      <formula>$N$18</formula>
    </cfRule>
  </conditionalFormatting>
  <conditionalFormatting sqref="O19">
    <cfRule type="cellIs" dxfId="1262" priority="584" stopIfTrue="1" operator="equal">
      <formula>$N$19</formula>
    </cfRule>
    <cfRule type="cellIs" dxfId="1261" priority="585" stopIfTrue="1" operator="lessThan">
      <formula>$N$19</formula>
    </cfRule>
  </conditionalFormatting>
  <conditionalFormatting sqref="O20">
    <cfRule type="cellIs" dxfId="1260" priority="586" stopIfTrue="1" operator="equal">
      <formula>$N$20</formula>
    </cfRule>
    <cfRule type="cellIs" dxfId="1259" priority="587" stopIfTrue="1" operator="lessThan">
      <formula>$N$20</formula>
    </cfRule>
  </conditionalFormatting>
  <conditionalFormatting sqref="O21">
    <cfRule type="cellIs" dxfId="1258" priority="588" stopIfTrue="1" operator="equal">
      <formula>$N$21</formula>
    </cfRule>
    <cfRule type="cellIs" dxfId="1257" priority="589" stopIfTrue="1" operator="lessThan">
      <formula>$N$21</formula>
    </cfRule>
  </conditionalFormatting>
  <conditionalFormatting sqref="O22">
    <cfRule type="cellIs" dxfId="1256" priority="590" stopIfTrue="1" operator="equal">
      <formula>$N$22</formula>
    </cfRule>
    <cfRule type="cellIs" dxfId="1255" priority="591" stopIfTrue="1" operator="lessThan">
      <formula>$N$22</formula>
    </cfRule>
  </conditionalFormatting>
  <conditionalFormatting sqref="O23">
    <cfRule type="cellIs" dxfId="1254" priority="592" stopIfTrue="1" operator="equal">
      <formula>$N$23</formula>
    </cfRule>
    <cfRule type="cellIs" dxfId="1253" priority="593" stopIfTrue="1" operator="lessThan">
      <formula>$N$23</formula>
    </cfRule>
  </conditionalFormatting>
  <conditionalFormatting sqref="O24">
    <cfRule type="cellIs" dxfId="1252" priority="594" stopIfTrue="1" operator="equal">
      <formula>$N$24</formula>
    </cfRule>
    <cfRule type="cellIs" dxfId="1251" priority="595" stopIfTrue="1" operator="lessThan">
      <formula>$N$24</formula>
    </cfRule>
  </conditionalFormatting>
  <conditionalFormatting sqref="O25">
    <cfRule type="cellIs" dxfId="1250" priority="596" stopIfTrue="1" operator="equal">
      <formula>$N$25</formula>
    </cfRule>
    <cfRule type="cellIs" dxfId="1249" priority="597" stopIfTrue="1" operator="lessThan">
      <formula>$N$25</formula>
    </cfRule>
  </conditionalFormatting>
  <conditionalFormatting sqref="O26">
    <cfRule type="cellIs" dxfId="1248" priority="598" stopIfTrue="1" operator="equal">
      <formula>$N$26</formula>
    </cfRule>
    <cfRule type="cellIs" dxfId="1247" priority="599" stopIfTrue="1" operator="lessThan">
      <formula>$N$26</formula>
    </cfRule>
  </conditionalFormatting>
  <conditionalFormatting sqref="O27">
    <cfRule type="cellIs" dxfId="1246" priority="600" stopIfTrue="1" operator="equal">
      <formula>$N$27</formula>
    </cfRule>
    <cfRule type="cellIs" dxfId="1245" priority="601" stopIfTrue="1" operator="lessThan">
      <formula>$N$27</formula>
    </cfRule>
  </conditionalFormatting>
  <conditionalFormatting sqref="O28">
    <cfRule type="cellIs" dxfId="1244" priority="602" stopIfTrue="1" operator="equal">
      <formula>$N$28</formula>
    </cfRule>
    <cfRule type="cellIs" dxfId="1243" priority="603" stopIfTrue="1" operator="lessThan">
      <formula>$N$28</formula>
    </cfRule>
  </conditionalFormatting>
  <conditionalFormatting sqref="U4:AG23">
    <cfRule type="cellIs" dxfId="1242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1"/>
  <sheetViews>
    <sheetView workbookViewId="0">
      <selection activeCell="P26" sqref="P26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6" width="9.81640625" bestFit="1" customWidth="1"/>
    <col min="17" max="17" width="11.1796875" bestFit="1" customWidth="1"/>
    <col min="18" max="18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3">
        <v>1856</v>
      </c>
      <c r="B2" s="2"/>
      <c r="C2" s="3">
        <f>'1850'!C2</f>
        <v>45292</v>
      </c>
      <c r="D2" s="3">
        <f>'1850'!D2</f>
        <v>45323</v>
      </c>
      <c r="E2" s="3">
        <f>'1850'!E2</f>
        <v>45352</v>
      </c>
      <c r="F2" s="3">
        <f>'1850'!F2</f>
        <v>45383</v>
      </c>
      <c r="G2" s="3">
        <f>'1850'!G2</f>
        <v>45413</v>
      </c>
      <c r="H2" s="3">
        <f>'1850'!H2</f>
        <v>45444</v>
      </c>
      <c r="I2" s="3">
        <f>'1850'!I2</f>
        <v>45474</v>
      </c>
      <c r="J2" s="3">
        <f>'1850'!J2</f>
        <v>45505</v>
      </c>
      <c r="K2" s="3">
        <f>'1850'!K2</f>
        <v>45536</v>
      </c>
      <c r="L2" s="3">
        <f>'1850'!L2</f>
        <v>45566</v>
      </c>
      <c r="M2" s="3">
        <f>'1850'!M2</f>
        <v>45597</v>
      </c>
      <c r="N2" s="3">
        <f>'1850'!N2</f>
        <v>45628</v>
      </c>
      <c r="O2" s="3">
        <f>'1850'!O2</f>
        <v>45658</v>
      </c>
      <c r="P2" s="1" t="s">
        <v>25</v>
      </c>
      <c r="Q2" s="1" t="s">
        <v>26</v>
      </c>
      <c r="R2" s="1" t="s">
        <v>27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93">
        <v>1</v>
      </c>
      <c r="B4" s="6" t="s">
        <v>178</v>
      </c>
      <c r="C4" s="77">
        <v>781.52800000000002</v>
      </c>
      <c r="D4" s="7">
        <v>799.678</v>
      </c>
      <c r="E4" s="7">
        <v>816.12699999999995</v>
      </c>
      <c r="F4" s="7">
        <v>832.85</v>
      </c>
      <c r="G4" s="7">
        <v>848.07</v>
      </c>
      <c r="H4" s="7">
        <v>865.25400000000002</v>
      </c>
      <c r="I4" s="7">
        <v>875.37800000000004</v>
      </c>
      <c r="J4" s="7">
        <v>880.30600000000004</v>
      </c>
      <c r="K4" s="7">
        <v>895.77</v>
      </c>
      <c r="L4" s="8">
        <v>910.02859999999998</v>
      </c>
      <c r="M4" s="7">
        <v>923.80799999999999</v>
      </c>
      <c r="N4" s="7">
        <v>935.79</v>
      </c>
      <c r="O4" s="7">
        <v>13.94</v>
      </c>
      <c r="P4" s="33">
        <f>O4+N4-C4</f>
        <v>168.202</v>
      </c>
      <c r="Q4" s="9"/>
      <c r="T4" s="1">
        <v>1</v>
      </c>
      <c r="U4" s="145">
        <f t="shared" ref="U4:AF4" si="0">D4-C4</f>
        <v>18.149999999999977</v>
      </c>
      <c r="V4" s="145">
        <f t="shared" si="0"/>
        <v>16.448999999999955</v>
      </c>
      <c r="W4" s="145">
        <f t="shared" si="0"/>
        <v>16.72300000000007</v>
      </c>
      <c r="X4" s="145">
        <f t="shared" si="0"/>
        <v>15.220000000000027</v>
      </c>
      <c r="Y4" s="145">
        <f t="shared" si="0"/>
        <v>17.183999999999969</v>
      </c>
      <c r="Z4" s="145">
        <f t="shared" si="0"/>
        <v>10.124000000000024</v>
      </c>
      <c r="AA4" s="145">
        <f t="shared" si="0"/>
        <v>4.9279999999999973</v>
      </c>
      <c r="AB4" s="145">
        <f t="shared" si="0"/>
        <v>15.463999999999942</v>
      </c>
      <c r="AC4" s="145">
        <f t="shared" si="0"/>
        <v>14.258600000000001</v>
      </c>
      <c r="AD4" s="145">
        <f t="shared" si="0"/>
        <v>13.77940000000001</v>
      </c>
      <c r="AE4" s="145">
        <f t="shared" si="0"/>
        <v>11.981999999999971</v>
      </c>
      <c r="AF4" s="145">
        <f>O4</f>
        <v>13.94</v>
      </c>
    </row>
    <row r="5" spans="1:32" x14ac:dyDescent="0.35">
      <c r="A5" s="293"/>
      <c r="B5" s="10" t="s">
        <v>416</v>
      </c>
      <c r="C5" s="78">
        <v>10.875999999999999</v>
      </c>
      <c r="D5" s="11">
        <v>16.885000000000002</v>
      </c>
      <c r="E5" s="11">
        <v>21.324000000000002</v>
      </c>
      <c r="F5" s="11">
        <v>25.161000000000001</v>
      </c>
      <c r="G5" s="11">
        <v>27.797000000000001</v>
      </c>
      <c r="H5" s="11">
        <v>28.795999999999999</v>
      </c>
      <c r="I5" s="11">
        <v>29.303000000000001</v>
      </c>
      <c r="J5" s="11">
        <v>29.631</v>
      </c>
      <c r="K5" s="11">
        <v>30.106999999999999</v>
      </c>
      <c r="L5" s="12">
        <v>30.777999999999999</v>
      </c>
      <c r="M5" s="11">
        <v>32.601999999999997</v>
      </c>
      <c r="N5" s="11">
        <v>37.209000000000003</v>
      </c>
      <c r="O5" s="11">
        <v>42.305</v>
      </c>
      <c r="Q5" s="9">
        <f>O5-C5</f>
        <v>31.429000000000002</v>
      </c>
      <c r="T5" s="1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</row>
    <row r="6" spans="1:32" x14ac:dyDescent="0.35">
      <c r="A6" s="294">
        <v>2</v>
      </c>
      <c r="B6" s="10" t="s">
        <v>179</v>
      </c>
      <c r="C6" s="78">
        <v>285.54300000000001</v>
      </c>
      <c r="D6" s="11">
        <v>292.58999999999997</v>
      </c>
      <c r="E6" s="11">
        <v>296.56900000000002</v>
      </c>
      <c r="F6" s="11">
        <v>301.30399999999997</v>
      </c>
      <c r="G6" s="11">
        <v>305.983</v>
      </c>
      <c r="H6" s="11">
        <v>310.71300000000002</v>
      </c>
      <c r="I6" s="11">
        <v>316.17</v>
      </c>
      <c r="J6" s="11">
        <v>322.02999999999997</v>
      </c>
      <c r="K6" s="11">
        <v>326.75</v>
      </c>
      <c r="L6" s="11">
        <v>331.98500000000001</v>
      </c>
      <c r="M6" s="11">
        <v>336.63499999999999</v>
      </c>
      <c r="N6" s="11">
        <v>340.87</v>
      </c>
      <c r="O6" s="11">
        <v>5.9189999999999996</v>
      </c>
      <c r="P6" s="33">
        <f t="shared" ref="P6" si="1">O6+N6-C6</f>
        <v>61.245999999999981</v>
      </c>
      <c r="Q6" s="9"/>
      <c r="T6" s="1">
        <v>2</v>
      </c>
      <c r="U6" s="147">
        <f t="shared" ref="U6:AF6" si="2">D6-C6</f>
        <v>7.0469999999999686</v>
      </c>
      <c r="V6" s="147">
        <f t="shared" si="2"/>
        <v>3.9790000000000418</v>
      </c>
      <c r="W6" s="147">
        <f t="shared" si="2"/>
        <v>4.7349999999999568</v>
      </c>
      <c r="X6" s="147">
        <f t="shared" si="2"/>
        <v>4.6790000000000305</v>
      </c>
      <c r="Y6" s="147">
        <f t="shared" si="2"/>
        <v>4.7300000000000182</v>
      </c>
      <c r="Z6" s="147">
        <f t="shared" si="2"/>
        <v>5.4569999999999936</v>
      </c>
      <c r="AA6" s="147">
        <f t="shared" si="2"/>
        <v>5.8599999999999568</v>
      </c>
      <c r="AB6" s="147">
        <f t="shared" si="2"/>
        <v>4.7200000000000273</v>
      </c>
      <c r="AC6" s="147">
        <f t="shared" si="2"/>
        <v>5.2350000000000136</v>
      </c>
      <c r="AD6" s="147">
        <f t="shared" si="2"/>
        <v>4.6499999999999773</v>
      </c>
      <c r="AE6" s="147">
        <f t="shared" si="2"/>
        <v>4.2350000000000136</v>
      </c>
      <c r="AF6" s="147">
        <f>O6</f>
        <v>5.9189999999999996</v>
      </c>
    </row>
    <row r="7" spans="1:32" x14ac:dyDescent="0.35">
      <c r="A7" s="294"/>
      <c r="B7" s="10" t="s">
        <v>417</v>
      </c>
      <c r="C7" s="78">
        <v>3.411</v>
      </c>
      <c r="D7" s="11">
        <v>4.9610000000000003</v>
      </c>
      <c r="E7" s="11">
        <v>5.9370000000000003</v>
      </c>
      <c r="F7" s="11">
        <v>6.5149999999999997</v>
      </c>
      <c r="G7" s="11">
        <v>6.8719999999999999</v>
      </c>
      <c r="H7" s="11">
        <v>7.2380000000000004</v>
      </c>
      <c r="I7" s="11">
        <v>7.5609999999999999</v>
      </c>
      <c r="J7" s="11">
        <v>7.8630000000000004</v>
      </c>
      <c r="K7" s="11">
        <v>8.0709999999999997</v>
      </c>
      <c r="L7" s="11">
        <v>8.3450000000000006</v>
      </c>
      <c r="M7" s="11">
        <v>8.7620000000000005</v>
      </c>
      <c r="N7" s="11">
        <v>10.038</v>
      </c>
      <c r="O7" s="11">
        <v>11.413</v>
      </c>
      <c r="Q7" s="9">
        <f t="shared" ref="Q7" si="3">O7-C7</f>
        <v>8.0020000000000007</v>
      </c>
      <c r="T7" s="1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</row>
    <row r="8" spans="1:32" x14ac:dyDescent="0.35">
      <c r="A8" s="294">
        <v>3</v>
      </c>
      <c r="B8" s="10" t="s">
        <v>180</v>
      </c>
      <c r="C8" s="78">
        <v>227.48</v>
      </c>
      <c r="D8" s="11">
        <v>231.81399999999999</v>
      </c>
      <c r="E8" s="11">
        <v>235.059</v>
      </c>
      <c r="F8" s="11">
        <v>239.256</v>
      </c>
      <c r="G8" s="11">
        <v>243.46799999999999</v>
      </c>
      <c r="H8" s="11">
        <v>247.15700000000001</v>
      </c>
      <c r="I8" s="11">
        <v>250.393</v>
      </c>
      <c r="J8" s="11">
        <v>252.92400000000001</v>
      </c>
      <c r="K8" s="11">
        <v>255.364</v>
      </c>
      <c r="L8" s="11">
        <v>259.721</v>
      </c>
      <c r="M8" s="11">
        <v>262.35399999999998</v>
      </c>
      <c r="N8" s="11">
        <v>264.97000000000003</v>
      </c>
      <c r="O8" s="11">
        <v>3.323</v>
      </c>
      <c r="P8" s="33">
        <f t="shared" ref="P8" si="4">O8+N8-C8</f>
        <v>40.813000000000017</v>
      </c>
      <c r="Q8" s="9"/>
      <c r="T8" s="1">
        <v>3</v>
      </c>
      <c r="U8" s="147">
        <f t="shared" ref="U8:AF8" si="5">D8-C8</f>
        <v>4.3340000000000032</v>
      </c>
      <c r="V8" s="147">
        <f t="shared" si="5"/>
        <v>3.2450000000000045</v>
      </c>
      <c r="W8" s="147">
        <f t="shared" si="5"/>
        <v>4.1970000000000027</v>
      </c>
      <c r="X8" s="147">
        <f t="shared" si="5"/>
        <v>4.2119999999999891</v>
      </c>
      <c r="Y8" s="147">
        <f t="shared" si="5"/>
        <v>3.6890000000000214</v>
      </c>
      <c r="Z8" s="147">
        <f t="shared" si="5"/>
        <v>3.23599999999999</v>
      </c>
      <c r="AA8" s="147">
        <f t="shared" si="5"/>
        <v>2.5310000000000059</v>
      </c>
      <c r="AB8" s="147">
        <f t="shared" si="5"/>
        <v>2.4399999999999977</v>
      </c>
      <c r="AC8" s="147">
        <f t="shared" si="5"/>
        <v>4.3569999999999993</v>
      </c>
      <c r="AD8" s="147">
        <f t="shared" si="5"/>
        <v>2.6329999999999814</v>
      </c>
      <c r="AE8" s="147">
        <f t="shared" si="5"/>
        <v>2.6160000000000423</v>
      </c>
      <c r="AF8" s="147">
        <f t="shared" ref="AF8:AF22" si="6">O8</f>
        <v>3.323</v>
      </c>
    </row>
    <row r="9" spans="1:32" x14ac:dyDescent="0.35">
      <c r="A9" s="294"/>
      <c r="B9" s="10" t="s">
        <v>418</v>
      </c>
      <c r="C9" s="78">
        <v>6.6050000000000004</v>
      </c>
      <c r="D9" s="11">
        <v>10.884</v>
      </c>
      <c r="E9" s="11">
        <v>12.798</v>
      </c>
      <c r="F9" s="11">
        <v>14.83</v>
      </c>
      <c r="G9" s="11">
        <v>15.997999999999999</v>
      </c>
      <c r="H9" s="11">
        <v>16.338000000000001</v>
      </c>
      <c r="I9" s="11">
        <v>16.625</v>
      </c>
      <c r="J9" s="11">
        <v>16.795999999999999</v>
      </c>
      <c r="K9" s="11">
        <v>16.962</v>
      </c>
      <c r="L9" s="11">
        <v>17.210999999999999</v>
      </c>
      <c r="M9" s="11">
        <v>18.533000000000001</v>
      </c>
      <c r="N9" s="11">
        <v>21.971</v>
      </c>
      <c r="O9" s="11">
        <v>25.652000000000001</v>
      </c>
      <c r="Q9" s="9">
        <f t="shared" ref="Q9" si="7">O9-C9</f>
        <v>19.047000000000001</v>
      </c>
      <c r="T9" s="1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</row>
    <row r="10" spans="1:32" x14ac:dyDescent="0.35">
      <c r="A10" s="294">
        <v>4</v>
      </c>
      <c r="B10" s="10" t="s">
        <v>426</v>
      </c>
      <c r="C10" s="78">
        <v>377.82400000000001</v>
      </c>
      <c r="D10" s="11">
        <v>389.88499999999999</v>
      </c>
      <c r="E10" s="11">
        <v>397.70499999999998</v>
      </c>
      <c r="F10" s="11">
        <v>409.62599999999998</v>
      </c>
      <c r="G10" s="11">
        <v>422.58800000000002</v>
      </c>
      <c r="H10" s="11">
        <v>434.65600000000001</v>
      </c>
      <c r="I10" s="11">
        <v>444.23</v>
      </c>
      <c r="J10" s="11">
        <v>449.40300000000002</v>
      </c>
      <c r="K10" s="11">
        <v>458.06</v>
      </c>
      <c r="L10" s="11">
        <v>470.53100000000001</v>
      </c>
      <c r="M10" s="11">
        <v>481.01499999999999</v>
      </c>
      <c r="N10" s="11">
        <v>490.8</v>
      </c>
      <c r="O10" s="11">
        <v>11.144</v>
      </c>
      <c r="P10" s="33">
        <f t="shared" ref="P10" si="8">O10+N10-C10</f>
        <v>124.12</v>
      </c>
      <c r="Q10" s="9"/>
      <c r="T10" s="1">
        <v>4</v>
      </c>
      <c r="U10" s="147">
        <f t="shared" ref="U10:AF10" si="9">D10-C10</f>
        <v>12.060999999999979</v>
      </c>
      <c r="V10" s="147">
        <f t="shared" si="9"/>
        <v>7.8199999999999932</v>
      </c>
      <c r="W10" s="147">
        <f t="shared" si="9"/>
        <v>11.920999999999992</v>
      </c>
      <c r="X10" s="147">
        <f t="shared" si="9"/>
        <v>12.962000000000046</v>
      </c>
      <c r="Y10" s="147">
        <f t="shared" si="9"/>
        <v>12.067999999999984</v>
      </c>
      <c r="Z10" s="147">
        <f t="shared" si="9"/>
        <v>9.5740000000000123</v>
      </c>
      <c r="AA10" s="147">
        <f t="shared" si="9"/>
        <v>5.1730000000000018</v>
      </c>
      <c r="AB10" s="147">
        <f t="shared" si="9"/>
        <v>8.6569999999999823</v>
      </c>
      <c r="AC10" s="147">
        <f t="shared" si="9"/>
        <v>12.471000000000004</v>
      </c>
      <c r="AD10" s="147">
        <f t="shared" si="9"/>
        <v>10.48399999999998</v>
      </c>
      <c r="AE10" s="147">
        <f t="shared" si="9"/>
        <v>9.785000000000025</v>
      </c>
      <c r="AF10" s="147">
        <f t="shared" ref="AF10:AF22" si="10">O10</f>
        <v>11.144</v>
      </c>
    </row>
    <row r="11" spans="1:32" x14ac:dyDescent="0.35">
      <c r="A11" s="294"/>
      <c r="B11" s="10" t="s">
        <v>419</v>
      </c>
      <c r="C11" s="78">
        <v>7.524</v>
      </c>
      <c r="D11" s="267">
        <v>11.609</v>
      </c>
      <c r="E11" s="11">
        <v>13.942</v>
      </c>
      <c r="F11" s="11">
        <v>16.262</v>
      </c>
      <c r="G11" s="11">
        <v>17.901</v>
      </c>
      <c r="H11" s="11">
        <v>19.103000000000002</v>
      </c>
      <c r="I11" s="11">
        <v>19.984999999999999</v>
      </c>
      <c r="J11" s="11">
        <v>20.434999999999999</v>
      </c>
      <c r="K11" s="11">
        <v>21.036999999999999</v>
      </c>
      <c r="L11" s="11">
        <v>21.977</v>
      </c>
      <c r="M11" s="262">
        <v>23.44</v>
      </c>
      <c r="N11" s="262">
        <v>26.402000000000001</v>
      </c>
      <c r="O11" s="262">
        <v>30.146000000000001</v>
      </c>
      <c r="Q11" s="9">
        <f t="shared" ref="Q11" si="11">O11-C11</f>
        <v>22.622</v>
      </c>
      <c r="T11" s="1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</row>
    <row r="12" spans="1:32" x14ac:dyDescent="0.35">
      <c r="A12" s="294">
        <v>5</v>
      </c>
      <c r="B12" s="10" t="s">
        <v>181</v>
      </c>
      <c r="C12" s="78">
        <v>100.16500000000001</v>
      </c>
      <c r="D12" s="11">
        <v>108.208</v>
      </c>
      <c r="E12" s="11">
        <v>115.395</v>
      </c>
      <c r="F12" s="11">
        <v>122.372</v>
      </c>
      <c r="G12" s="11">
        <v>128.83099999999999</v>
      </c>
      <c r="H12" s="11">
        <v>134.92500000000001</v>
      </c>
      <c r="I12" s="11">
        <v>141.048</v>
      </c>
      <c r="J12" s="11">
        <v>147.75299999999999</v>
      </c>
      <c r="K12" s="11">
        <v>154.15</v>
      </c>
      <c r="L12" s="11">
        <v>161.26900000000001</v>
      </c>
      <c r="M12" s="11">
        <v>168.94800000000001</v>
      </c>
      <c r="N12" s="11">
        <v>175.54000000000002</v>
      </c>
      <c r="O12" s="11">
        <v>7.65</v>
      </c>
      <c r="P12" s="33">
        <f t="shared" ref="P12" si="12">O12+N12-C12</f>
        <v>83.02500000000002</v>
      </c>
      <c r="Q12" s="9"/>
      <c r="T12" s="1">
        <v>5</v>
      </c>
      <c r="U12" s="147">
        <f t="shared" ref="U12:AF12" si="13">D12-C12</f>
        <v>8.0429999999999922</v>
      </c>
      <c r="V12" s="147">
        <f t="shared" si="13"/>
        <v>7.1869999999999976</v>
      </c>
      <c r="W12" s="147">
        <f t="shared" si="13"/>
        <v>6.9770000000000039</v>
      </c>
      <c r="X12" s="147">
        <f t="shared" si="13"/>
        <v>6.458999999999989</v>
      </c>
      <c r="Y12" s="147">
        <f t="shared" si="13"/>
        <v>6.0940000000000225</v>
      </c>
      <c r="Z12" s="147">
        <f t="shared" si="13"/>
        <v>6.1229999999999905</v>
      </c>
      <c r="AA12" s="147">
        <f t="shared" si="13"/>
        <v>6.7049999999999841</v>
      </c>
      <c r="AB12" s="147">
        <f t="shared" si="13"/>
        <v>6.3970000000000198</v>
      </c>
      <c r="AC12" s="147">
        <f t="shared" si="13"/>
        <v>7.1189999999999998</v>
      </c>
      <c r="AD12" s="147">
        <f t="shared" si="13"/>
        <v>7.679000000000002</v>
      </c>
      <c r="AE12" s="147">
        <f t="shared" si="13"/>
        <v>6.592000000000013</v>
      </c>
      <c r="AF12" s="147">
        <f t="shared" ref="AF12:AF22" si="14">O12</f>
        <v>7.65</v>
      </c>
    </row>
    <row r="13" spans="1:32" x14ac:dyDescent="0.35">
      <c r="A13" s="294"/>
      <c r="B13" s="10" t="s">
        <v>420</v>
      </c>
      <c r="C13" s="78">
        <v>2.3980000000000001</v>
      </c>
      <c r="D13" s="11">
        <v>4.1719999999999997</v>
      </c>
      <c r="E13" s="11">
        <v>4.9400000000000004</v>
      </c>
      <c r="F13" s="11">
        <v>5.6959999999999997</v>
      </c>
      <c r="G13" s="11">
        <v>6.3209999999999997</v>
      </c>
      <c r="H13" s="11">
        <v>6.7969999999999997</v>
      </c>
      <c r="I13" s="11">
        <v>7.2530000000000001</v>
      </c>
      <c r="J13" s="11">
        <v>7.6559999999999997</v>
      </c>
      <c r="K13" s="11">
        <v>7.9859999999999998</v>
      </c>
      <c r="L13" s="11">
        <v>8.3989999999999991</v>
      </c>
      <c r="M13" s="11">
        <v>8.9320000000000004</v>
      </c>
      <c r="N13" s="11">
        <v>9.9169999999999998</v>
      </c>
      <c r="O13" s="11">
        <v>11.288</v>
      </c>
      <c r="Q13" s="9">
        <f t="shared" ref="Q13" si="15">O13-C13</f>
        <v>8.89</v>
      </c>
      <c r="T13" s="1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</row>
    <row r="14" spans="1:32" x14ac:dyDescent="0.35">
      <c r="A14" s="294">
        <v>6</v>
      </c>
      <c r="B14" s="10" t="s">
        <v>182</v>
      </c>
      <c r="C14" s="78">
        <v>283.80500000000001</v>
      </c>
      <c r="D14" s="11">
        <v>288.18900000000002</v>
      </c>
      <c r="E14" s="11">
        <v>292.89400000000001</v>
      </c>
      <c r="F14" s="11">
        <v>298.577</v>
      </c>
      <c r="G14" s="11">
        <v>304.29000000000002</v>
      </c>
      <c r="H14" s="11">
        <v>309.33600000000001</v>
      </c>
      <c r="I14" s="11">
        <v>314.13799999999998</v>
      </c>
      <c r="J14" s="11">
        <v>317.59399999999999</v>
      </c>
      <c r="K14" s="11">
        <v>321.392</v>
      </c>
      <c r="L14" s="11">
        <v>325.24599999999998</v>
      </c>
      <c r="M14" s="11">
        <v>329.75799999999998</v>
      </c>
      <c r="N14" s="11">
        <v>334.11</v>
      </c>
      <c r="O14" s="11">
        <v>5.7370000000000001</v>
      </c>
      <c r="P14" s="33">
        <f t="shared" ref="P14" si="16">O14+N14-C14</f>
        <v>56.04200000000003</v>
      </c>
      <c r="Q14" s="9"/>
      <c r="T14" s="1">
        <v>6</v>
      </c>
      <c r="U14" s="147">
        <f t="shared" ref="U14:AF14" si="17">D14-C14</f>
        <v>4.3840000000000146</v>
      </c>
      <c r="V14" s="147">
        <f t="shared" si="17"/>
        <v>4.7049999999999841</v>
      </c>
      <c r="W14" s="147">
        <f t="shared" si="17"/>
        <v>5.6829999999999927</v>
      </c>
      <c r="X14" s="147">
        <f t="shared" si="17"/>
        <v>5.7130000000000223</v>
      </c>
      <c r="Y14" s="147">
        <f t="shared" si="17"/>
        <v>5.0459999999999923</v>
      </c>
      <c r="Z14" s="147">
        <f t="shared" si="17"/>
        <v>4.8019999999999641</v>
      </c>
      <c r="AA14" s="147">
        <f t="shared" si="17"/>
        <v>3.4560000000000173</v>
      </c>
      <c r="AB14" s="147">
        <f t="shared" si="17"/>
        <v>3.7980000000000018</v>
      </c>
      <c r="AC14" s="147">
        <f t="shared" si="17"/>
        <v>3.853999999999985</v>
      </c>
      <c r="AD14" s="147">
        <f t="shared" si="17"/>
        <v>4.5120000000000005</v>
      </c>
      <c r="AE14" s="147">
        <f t="shared" si="17"/>
        <v>4.3520000000000323</v>
      </c>
      <c r="AF14" s="147">
        <f t="shared" ref="AF14:AF22" si="18">O14</f>
        <v>5.7370000000000001</v>
      </c>
    </row>
    <row r="15" spans="1:32" x14ac:dyDescent="0.35">
      <c r="A15" s="294"/>
      <c r="B15" s="10" t="s">
        <v>421</v>
      </c>
      <c r="C15" s="78">
        <v>5.641</v>
      </c>
      <c r="D15" s="11">
        <v>8.9359999999999999</v>
      </c>
      <c r="E15" s="11">
        <v>11.268000000000001</v>
      </c>
      <c r="F15" s="11">
        <v>13.132999999999999</v>
      </c>
      <c r="G15" s="11">
        <v>14.13</v>
      </c>
      <c r="H15" s="11">
        <v>14.53</v>
      </c>
      <c r="I15" s="11">
        <v>14.879</v>
      </c>
      <c r="J15" s="11">
        <v>15.112</v>
      </c>
      <c r="K15" s="11">
        <v>15.334</v>
      </c>
      <c r="L15" s="11">
        <v>15.571999999999999</v>
      </c>
      <c r="M15" s="11">
        <v>16.158999999999999</v>
      </c>
      <c r="N15" s="11">
        <v>18.37</v>
      </c>
      <c r="O15" s="11">
        <v>20.805</v>
      </c>
      <c r="Q15" s="9">
        <f t="shared" ref="Q15" si="19">O15-C15</f>
        <v>15.164</v>
      </c>
      <c r="T15" s="1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</row>
    <row r="16" spans="1:32" x14ac:dyDescent="0.35">
      <c r="A16" s="294">
        <v>7</v>
      </c>
      <c r="B16" s="10" t="s">
        <v>183</v>
      </c>
      <c r="C16" s="78">
        <v>243.51</v>
      </c>
      <c r="D16" s="11">
        <v>249.59399999999999</v>
      </c>
      <c r="E16" s="11">
        <v>255.369</v>
      </c>
      <c r="F16" s="11">
        <v>260.49700000000001</v>
      </c>
      <c r="G16" s="11">
        <v>264.45</v>
      </c>
      <c r="H16" s="11">
        <v>269.464</v>
      </c>
      <c r="I16" s="11">
        <v>274.25</v>
      </c>
      <c r="J16" s="11">
        <v>278.54300000000001</v>
      </c>
      <c r="K16" s="11">
        <v>283.36099999999999</v>
      </c>
      <c r="L16" s="11">
        <v>288.197</v>
      </c>
      <c r="M16" s="11">
        <v>294.07499999999999</v>
      </c>
      <c r="N16" s="11">
        <v>298.97000000000003</v>
      </c>
      <c r="O16" s="11">
        <v>7.46</v>
      </c>
      <c r="P16" s="33">
        <f t="shared" ref="P16" si="20">O16+N16-C16</f>
        <v>62.920000000000016</v>
      </c>
      <c r="Q16" s="9"/>
      <c r="T16" s="1">
        <v>7</v>
      </c>
      <c r="U16" s="147">
        <f t="shared" ref="U16:AF16" si="21">D16-C16</f>
        <v>6.0840000000000032</v>
      </c>
      <c r="V16" s="147">
        <f t="shared" si="21"/>
        <v>5.7750000000000057</v>
      </c>
      <c r="W16" s="147">
        <f t="shared" si="21"/>
        <v>5.1280000000000143</v>
      </c>
      <c r="X16" s="147">
        <f t="shared" si="21"/>
        <v>3.9529999999999745</v>
      </c>
      <c r="Y16" s="147">
        <f t="shared" si="21"/>
        <v>5.01400000000001</v>
      </c>
      <c r="Z16" s="147">
        <f t="shared" si="21"/>
        <v>4.7860000000000014</v>
      </c>
      <c r="AA16" s="147">
        <f t="shared" si="21"/>
        <v>4.2930000000000064</v>
      </c>
      <c r="AB16" s="147">
        <f t="shared" si="21"/>
        <v>4.8179999999999836</v>
      </c>
      <c r="AC16" s="147">
        <f t="shared" si="21"/>
        <v>4.8360000000000127</v>
      </c>
      <c r="AD16" s="147">
        <f t="shared" si="21"/>
        <v>5.8779999999999859</v>
      </c>
      <c r="AE16" s="147">
        <f t="shared" si="21"/>
        <v>4.8950000000000387</v>
      </c>
      <c r="AF16" s="147">
        <f t="shared" ref="AF16:AF22" si="22">O16</f>
        <v>7.46</v>
      </c>
    </row>
    <row r="17" spans="1:32" x14ac:dyDescent="0.35">
      <c r="A17" s="294"/>
      <c r="B17" s="10" t="s">
        <v>422</v>
      </c>
      <c r="C17" s="78">
        <v>5.6660000000000004</v>
      </c>
      <c r="D17" s="11">
        <v>8.8420000000000005</v>
      </c>
      <c r="E17" s="11">
        <v>10.585000000000001</v>
      </c>
      <c r="F17" s="11">
        <v>11.379</v>
      </c>
      <c r="G17" s="11">
        <v>11.849</v>
      </c>
      <c r="H17" s="11">
        <v>12.298</v>
      </c>
      <c r="I17" s="11">
        <v>12.695</v>
      </c>
      <c r="J17" s="11">
        <v>13.045</v>
      </c>
      <c r="K17" s="11">
        <v>13.363</v>
      </c>
      <c r="L17" s="11">
        <v>13.706</v>
      </c>
      <c r="M17" s="11">
        <v>14.294</v>
      </c>
      <c r="N17" s="11">
        <v>17.443000000000001</v>
      </c>
      <c r="O17" s="11">
        <v>20.965</v>
      </c>
      <c r="Q17" s="9">
        <f t="shared" ref="Q17" si="23">O17-C17</f>
        <v>15.298999999999999</v>
      </c>
      <c r="T17" s="1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</row>
    <row r="18" spans="1:32" x14ac:dyDescent="0.35">
      <c r="A18" s="294">
        <v>8</v>
      </c>
      <c r="B18" s="10" t="s">
        <v>184</v>
      </c>
      <c r="C18" s="78">
        <v>500.15899999999999</v>
      </c>
      <c r="D18" s="11">
        <v>508.89800000000002</v>
      </c>
      <c r="E18" s="11">
        <v>517.25300000000004</v>
      </c>
      <c r="F18" s="11">
        <v>525.399</v>
      </c>
      <c r="G18" s="11">
        <v>533.48500000000001</v>
      </c>
      <c r="H18" s="11">
        <v>542.01199999999994</v>
      </c>
      <c r="I18" s="11">
        <v>553.14599999999996</v>
      </c>
      <c r="J18" s="11">
        <v>565.62199999999996</v>
      </c>
      <c r="K18" s="11">
        <v>576.69000000000005</v>
      </c>
      <c r="L18" s="11">
        <v>585.4</v>
      </c>
      <c r="M18" s="11">
        <v>595.74900000000002</v>
      </c>
      <c r="N18" s="11">
        <v>604.58000000000004</v>
      </c>
      <c r="O18" s="11">
        <v>11.898</v>
      </c>
      <c r="P18" s="33">
        <f t="shared" ref="P18" si="24">O18+N18-C18</f>
        <v>116.31900000000007</v>
      </c>
      <c r="Q18" s="9"/>
      <c r="T18" s="1">
        <v>8</v>
      </c>
      <c r="U18" s="147">
        <f t="shared" ref="U18:AF18" si="25">D18-C18</f>
        <v>8.7390000000000327</v>
      </c>
      <c r="V18" s="147">
        <f t="shared" si="25"/>
        <v>8.3550000000000182</v>
      </c>
      <c r="W18" s="147">
        <f t="shared" si="25"/>
        <v>8.1459999999999582</v>
      </c>
      <c r="X18" s="147">
        <f t="shared" si="25"/>
        <v>8.0860000000000127</v>
      </c>
      <c r="Y18" s="147">
        <f t="shared" si="25"/>
        <v>8.52699999999993</v>
      </c>
      <c r="Z18" s="147">
        <f t="shared" si="25"/>
        <v>11.134000000000015</v>
      </c>
      <c r="AA18" s="147">
        <f t="shared" si="25"/>
        <v>12.475999999999999</v>
      </c>
      <c r="AB18" s="147">
        <f t="shared" si="25"/>
        <v>11.068000000000097</v>
      </c>
      <c r="AC18" s="147">
        <f t="shared" si="25"/>
        <v>8.7099999999999227</v>
      </c>
      <c r="AD18" s="147">
        <f t="shared" si="25"/>
        <v>10.349000000000046</v>
      </c>
      <c r="AE18" s="147">
        <f t="shared" si="25"/>
        <v>8.8310000000000173</v>
      </c>
      <c r="AF18" s="147">
        <f t="shared" ref="AF18:AF22" si="26">O18</f>
        <v>11.898</v>
      </c>
    </row>
    <row r="19" spans="1:32" x14ac:dyDescent="0.35">
      <c r="A19" s="294"/>
      <c r="B19" s="10" t="s">
        <v>423</v>
      </c>
      <c r="C19" s="78">
        <v>4.1609999999999996</v>
      </c>
      <c r="D19" s="11">
        <v>8.0239999999999991</v>
      </c>
      <c r="E19" s="11">
        <v>9.5630000000000006</v>
      </c>
      <c r="F19" s="11">
        <v>10.693</v>
      </c>
      <c r="G19" s="11">
        <v>11.087</v>
      </c>
      <c r="H19" s="11">
        <v>11.436999999999999</v>
      </c>
      <c r="I19" s="11">
        <v>11.773</v>
      </c>
      <c r="J19" s="11">
        <v>12.113</v>
      </c>
      <c r="K19" s="11">
        <v>12.39</v>
      </c>
      <c r="L19" s="11">
        <v>12.64</v>
      </c>
      <c r="M19" s="11">
        <v>13.026</v>
      </c>
      <c r="N19" s="11">
        <v>15.896000000000001</v>
      </c>
      <c r="O19" s="11">
        <v>20.018999999999998</v>
      </c>
      <c r="Q19" s="9">
        <f t="shared" ref="Q19" si="27">O19-C19</f>
        <v>15.857999999999999</v>
      </c>
      <c r="T19" s="1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</row>
    <row r="20" spans="1:32" x14ac:dyDescent="0.35">
      <c r="A20" s="294">
        <v>9</v>
      </c>
      <c r="B20" s="10" t="s">
        <v>185</v>
      </c>
      <c r="C20" s="78">
        <v>302.09500000000003</v>
      </c>
      <c r="D20" s="11">
        <v>306.81799999999998</v>
      </c>
      <c r="E20" s="11">
        <v>312.54000000000002</v>
      </c>
      <c r="F20" s="11">
        <v>319.82499999999999</v>
      </c>
      <c r="G20" s="11">
        <v>325.50400000000002</v>
      </c>
      <c r="H20" s="11">
        <v>331.02699999999999</v>
      </c>
      <c r="I20" s="11">
        <v>335.78300000000002</v>
      </c>
      <c r="J20" s="11">
        <v>340.71199999999999</v>
      </c>
      <c r="K20" s="11">
        <v>346.39</v>
      </c>
      <c r="L20" s="11">
        <v>352.93099999999998</v>
      </c>
      <c r="M20" s="11">
        <v>357.18099999999998</v>
      </c>
      <c r="N20" s="11">
        <v>361.02</v>
      </c>
      <c r="O20" s="11">
        <v>7.5519999999999996</v>
      </c>
      <c r="P20" s="33">
        <f t="shared" ref="P20" si="28">O20+N20-C20</f>
        <v>66.476999999999975</v>
      </c>
      <c r="Q20" s="9"/>
      <c r="T20" s="1">
        <v>9</v>
      </c>
      <c r="U20" s="147">
        <f t="shared" ref="U20:AF20" si="29">D20-C20</f>
        <v>4.7229999999999563</v>
      </c>
      <c r="V20" s="147">
        <f t="shared" si="29"/>
        <v>5.7220000000000368</v>
      </c>
      <c r="W20" s="147">
        <f t="shared" si="29"/>
        <v>7.2849999999999682</v>
      </c>
      <c r="X20" s="147">
        <f t="shared" si="29"/>
        <v>5.6790000000000305</v>
      </c>
      <c r="Y20" s="147">
        <f t="shared" si="29"/>
        <v>5.5229999999999677</v>
      </c>
      <c r="Z20" s="147">
        <f t="shared" si="29"/>
        <v>4.7560000000000286</v>
      </c>
      <c r="AA20" s="147">
        <f t="shared" si="29"/>
        <v>4.9289999999999736</v>
      </c>
      <c r="AB20" s="147">
        <f t="shared" si="29"/>
        <v>5.6779999999999973</v>
      </c>
      <c r="AC20" s="147">
        <f t="shared" si="29"/>
        <v>6.5409999999999968</v>
      </c>
      <c r="AD20" s="147">
        <f t="shared" si="29"/>
        <v>4.25</v>
      </c>
      <c r="AE20" s="147">
        <f t="shared" si="29"/>
        <v>3.8389999999999986</v>
      </c>
      <c r="AF20" s="147">
        <f t="shared" ref="AF20:AF22" si="30">O20</f>
        <v>7.5519999999999996</v>
      </c>
    </row>
    <row r="21" spans="1:32" x14ac:dyDescent="0.35">
      <c r="A21" s="294"/>
      <c r="B21" s="10" t="s">
        <v>424</v>
      </c>
      <c r="C21" s="78">
        <v>5.7569999999999997</v>
      </c>
      <c r="D21" s="11">
        <v>9.6289999999999996</v>
      </c>
      <c r="E21" s="11">
        <v>11.766999999999999</v>
      </c>
      <c r="F21" s="11">
        <v>13.015000000000001</v>
      </c>
      <c r="G21" s="11">
        <v>13.567</v>
      </c>
      <c r="H21" s="11">
        <v>13.875999999999999</v>
      </c>
      <c r="I21" s="11">
        <v>14.102</v>
      </c>
      <c r="J21" s="11">
        <v>14.302</v>
      </c>
      <c r="K21" s="11">
        <v>14.532</v>
      </c>
      <c r="L21" s="11">
        <v>14.843</v>
      </c>
      <c r="M21" s="11">
        <v>15.54</v>
      </c>
      <c r="N21" s="11">
        <v>17.852</v>
      </c>
      <c r="O21" s="11">
        <v>21.071000000000002</v>
      </c>
      <c r="Q21" s="9">
        <f t="shared" ref="Q21" si="31">O21-C21</f>
        <v>15.314000000000002</v>
      </c>
      <c r="T21" s="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 spans="1:32" x14ac:dyDescent="0.35">
      <c r="A22" s="294">
        <v>10</v>
      </c>
      <c r="B22" s="10" t="s">
        <v>186</v>
      </c>
      <c r="C22" s="78">
        <v>355.32400000000001</v>
      </c>
      <c r="D22" s="11">
        <v>361.46300000000002</v>
      </c>
      <c r="E22" s="11">
        <v>367.37099999999998</v>
      </c>
      <c r="F22" s="11">
        <v>374.18900000000002</v>
      </c>
      <c r="G22" s="11">
        <v>381.214</v>
      </c>
      <c r="H22" s="11">
        <v>386.87799999999999</v>
      </c>
      <c r="I22" s="11">
        <v>392.08800000000002</v>
      </c>
      <c r="J22" s="11">
        <v>399.53</v>
      </c>
      <c r="K22" s="11">
        <v>405.20299999999997</v>
      </c>
      <c r="L22" s="11">
        <v>410.58199999999999</v>
      </c>
      <c r="M22" s="11">
        <v>417.88499999999999</v>
      </c>
      <c r="N22" s="11">
        <v>422.08</v>
      </c>
      <c r="O22" s="11">
        <v>6.2690000000000001</v>
      </c>
      <c r="P22" s="33">
        <f t="shared" ref="P22" si="32">O22+N22-C22</f>
        <v>73.024999999999977</v>
      </c>
      <c r="Q22" s="9"/>
      <c r="T22" s="1">
        <v>10</v>
      </c>
      <c r="U22" s="147">
        <f t="shared" ref="U22:AF22" si="33">D22-C22</f>
        <v>6.13900000000001</v>
      </c>
      <c r="V22" s="147">
        <f t="shared" si="33"/>
        <v>5.9079999999999586</v>
      </c>
      <c r="W22" s="147">
        <f t="shared" si="33"/>
        <v>6.8180000000000405</v>
      </c>
      <c r="X22" s="147">
        <f t="shared" si="33"/>
        <v>7.0249999999999773</v>
      </c>
      <c r="Y22" s="147">
        <f t="shared" si="33"/>
        <v>5.6639999999999873</v>
      </c>
      <c r="Z22" s="147">
        <f t="shared" si="33"/>
        <v>5.2100000000000364</v>
      </c>
      <c r="AA22" s="147">
        <f t="shared" si="33"/>
        <v>7.4419999999999504</v>
      </c>
      <c r="AB22" s="147">
        <f t="shared" si="33"/>
        <v>5.6730000000000018</v>
      </c>
      <c r="AC22" s="147">
        <f t="shared" si="33"/>
        <v>5.3790000000000191</v>
      </c>
      <c r="AD22" s="147">
        <f t="shared" si="33"/>
        <v>7.3029999999999973</v>
      </c>
      <c r="AE22" s="147">
        <f t="shared" si="33"/>
        <v>4.1949999999999932</v>
      </c>
      <c r="AF22" s="147">
        <f t="shared" ref="AF22" si="34">O22</f>
        <v>6.2690000000000001</v>
      </c>
    </row>
    <row r="23" spans="1:32" x14ac:dyDescent="0.35">
      <c r="A23" s="294"/>
      <c r="B23" s="10" t="s">
        <v>425</v>
      </c>
      <c r="C23" s="78">
        <v>5.75</v>
      </c>
      <c r="D23" s="11">
        <v>9.4809999999999999</v>
      </c>
      <c r="E23" s="11">
        <v>11.477</v>
      </c>
      <c r="F23" s="11">
        <v>12.935</v>
      </c>
      <c r="G23" s="11">
        <v>13.515000000000001</v>
      </c>
      <c r="H23" s="11">
        <v>13.965</v>
      </c>
      <c r="I23" s="11">
        <v>14.305999999999999</v>
      </c>
      <c r="J23" s="11">
        <v>14.702</v>
      </c>
      <c r="K23" s="11">
        <v>15.071</v>
      </c>
      <c r="L23" s="11">
        <v>15.388999999999999</v>
      </c>
      <c r="M23" s="11">
        <v>16.405999999999999</v>
      </c>
      <c r="N23" s="11">
        <v>19.530999999999999</v>
      </c>
      <c r="O23" s="11">
        <v>22.85</v>
      </c>
      <c r="P23" s="32"/>
      <c r="Q23" s="98">
        <f>O23-C23</f>
        <v>17.100000000000001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</row>
    <row r="24" spans="1:32" x14ac:dyDescent="0.35">
      <c r="A24" s="114"/>
      <c r="B24" s="10"/>
      <c r="C24" s="7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852.18900000000019</v>
      </c>
      <c r="Q24" s="9">
        <f>SUM(Q4:Q23)</f>
        <v>168.72499999999999</v>
      </c>
    </row>
    <row r="25" spans="1:32" x14ac:dyDescent="0.35">
      <c r="A25" s="114" t="s">
        <v>15</v>
      </c>
      <c r="B25" s="10" t="s">
        <v>32</v>
      </c>
      <c r="C25" s="79">
        <v>46815</v>
      </c>
      <c r="D25" s="15">
        <v>46996</v>
      </c>
      <c r="E25" s="15">
        <v>47175</v>
      </c>
      <c r="F25" s="15">
        <v>47391</v>
      </c>
      <c r="G25" s="15">
        <v>47590</v>
      </c>
      <c r="H25" s="15">
        <v>219</v>
      </c>
      <c r="I25" s="15">
        <v>436</v>
      </c>
      <c r="J25" s="15">
        <v>635</v>
      </c>
      <c r="K25" s="15">
        <v>839</v>
      </c>
      <c r="L25" s="15">
        <v>1032</v>
      </c>
      <c r="M25" s="15">
        <v>1218</v>
      </c>
      <c r="N25" s="15">
        <v>1405</v>
      </c>
      <c r="O25" s="15">
        <v>1581</v>
      </c>
      <c r="Q25" s="9"/>
      <c r="R25" s="273">
        <f>O25-G41+G40-C25</f>
        <v>2356</v>
      </c>
    </row>
    <row r="26" spans="1:32" x14ac:dyDescent="0.35">
      <c r="A26" s="114"/>
      <c r="B26" s="10" t="s">
        <v>187</v>
      </c>
      <c r="C26" s="80">
        <v>3845.3</v>
      </c>
      <c r="D26" s="18">
        <v>3931.1</v>
      </c>
      <c r="E26" s="18">
        <v>4010.2</v>
      </c>
      <c r="F26" s="18">
        <v>4096.7</v>
      </c>
      <c r="G26" s="18">
        <v>4178.8</v>
      </c>
      <c r="H26" s="18">
        <v>4260.8</v>
      </c>
      <c r="I26" s="18">
        <v>4333.8999999999996</v>
      </c>
      <c r="J26" s="18">
        <v>4397.8999999999996</v>
      </c>
      <c r="K26" s="18">
        <v>4474.8999999999996</v>
      </c>
      <c r="L26" s="18">
        <v>4556.3</v>
      </c>
      <c r="M26" s="18">
        <v>4635.8</v>
      </c>
      <c r="N26" s="18">
        <v>4704.3999999999996</v>
      </c>
      <c r="O26" s="18">
        <v>88.7</v>
      </c>
      <c r="P26" s="331">
        <f>O26+N26-C26</f>
        <v>947.79999999999927</v>
      </c>
      <c r="Q26" s="9"/>
    </row>
    <row r="27" spans="1:32" x14ac:dyDescent="0.35">
      <c r="A27" s="120"/>
      <c r="B27" s="209" t="s">
        <v>274</v>
      </c>
      <c r="C27" s="81">
        <v>673.45</v>
      </c>
      <c r="D27" s="19">
        <v>711.76</v>
      </c>
      <c r="E27" s="19">
        <v>733.11</v>
      </c>
      <c r="F27" s="19">
        <v>749.81</v>
      </c>
      <c r="G27" s="19">
        <v>758.95</v>
      </c>
      <c r="H27" s="19">
        <v>763.28</v>
      </c>
      <c r="I27" s="19">
        <v>766.37</v>
      </c>
      <c r="J27" s="19">
        <v>768.6</v>
      </c>
      <c r="K27" s="19">
        <v>770.78</v>
      </c>
      <c r="L27" s="19">
        <v>774.16</v>
      </c>
      <c r="M27" s="19">
        <v>782.77</v>
      </c>
      <c r="N27" s="19">
        <v>811.92</v>
      </c>
      <c r="O27" s="19">
        <v>846.3</v>
      </c>
      <c r="Q27" s="9">
        <f>O27-C27</f>
        <v>172.84999999999991</v>
      </c>
      <c r="R27" t="s">
        <v>82</v>
      </c>
    </row>
    <row r="28" spans="1:32" ht="15" thickBot="1" x14ac:dyDescent="0.4">
      <c r="A28" s="4"/>
      <c r="B28" s="26" t="s">
        <v>16</v>
      </c>
      <c r="C28" s="82">
        <v>4670</v>
      </c>
      <c r="D28" s="21">
        <v>4924</v>
      </c>
      <c r="E28" s="21">
        <v>5049</v>
      </c>
      <c r="F28" s="21">
        <v>5148</v>
      </c>
      <c r="G28" s="21">
        <v>5203</v>
      </c>
      <c r="H28" s="21">
        <v>5232</v>
      </c>
      <c r="I28" s="21">
        <v>5253</v>
      </c>
      <c r="J28" s="21">
        <v>5270</v>
      </c>
      <c r="K28" s="21">
        <v>5285</v>
      </c>
      <c r="L28" s="21">
        <v>5308</v>
      </c>
      <c r="M28" s="21">
        <v>5361</v>
      </c>
      <c r="N28" s="21">
        <v>5559</v>
      </c>
      <c r="O28" s="21">
        <v>5788</v>
      </c>
      <c r="Q28" s="16">
        <f>O28-C28</f>
        <v>1118</v>
      </c>
      <c r="R28" t="s">
        <v>83</v>
      </c>
    </row>
    <row r="29" spans="1:32" ht="15" thickBot="1" x14ac:dyDescent="0.4">
      <c r="A29" s="122" t="str">
        <f>'1854'!A29</f>
        <v>Fakturační vodoměr:      42012114941</v>
      </c>
      <c r="B29" s="22"/>
      <c r="C29" s="23">
        <f>'1854'!C29</f>
        <v>11067</v>
      </c>
      <c r="D29" s="23">
        <f>'1854'!D29</f>
        <v>11362.8</v>
      </c>
      <c r="E29" s="23">
        <f>'1854'!E29</f>
        <v>11626.9</v>
      </c>
      <c r="F29" s="23">
        <f>'1854'!F29</f>
        <v>11916.3</v>
      </c>
      <c r="G29" s="23">
        <f>'1854'!G29</f>
        <v>12197</v>
      </c>
      <c r="H29" s="23">
        <f>'1854'!H29</f>
        <v>12488</v>
      </c>
      <c r="I29" s="23">
        <f>'1854'!I29</f>
        <v>12761.9</v>
      </c>
      <c r="J29" s="23">
        <f>'1854'!J29</f>
        <v>12999.7</v>
      </c>
      <c r="K29" s="23">
        <f>'1854'!K29</f>
        <v>13270.1</v>
      </c>
      <c r="L29" s="23">
        <f>'1854'!L29</f>
        <v>13553.4</v>
      </c>
      <c r="M29" s="23">
        <f>'1854'!M29</f>
        <v>13826.2</v>
      </c>
      <c r="N29" s="23">
        <f>'1854'!N29</f>
        <v>14094.300000000001</v>
      </c>
      <c r="O29" s="23">
        <f>'1854'!O29</f>
        <v>14411</v>
      </c>
      <c r="P29">
        <f>O29-N35+N33-C29</f>
        <v>3344</v>
      </c>
      <c r="Q29" s="9"/>
    </row>
    <row r="32" spans="1:32" x14ac:dyDescent="0.35">
      <c r="E32" t="s">
        <v>224</v>
      </c>
      <c r="H32" s="176" t="s">
        <v>225</v>
      </c>
      <c r="I32" s="1" t="s">
        <v>83</v>
      </c>
      <c r="K32" t="s">
        <v>233</v>
      </c>
      <c r="N32" s="1" t="s">
        <v>83</v>
      </c>
    </row>
    <row r="33" spans="3:14" x14ac:dyDescent="0.35">
      <c r="D33" t="s">
        <v>227</v>
      </c>
      <c r="E33" s="164">
        <v>43984</v>
      </c>
      <c r="F33" s="85" t="s">
        <v>211</v>
      </c>
      <c r="G33" s="85"/>
      <c r="H33" s="171"/>
      <c r="I33" s="109"/>
      <c r="K33" s="181">
        <v>44095</v>
      </c>
      <c r="L33" s="85" t="s">
        <v>211</v>
      </c>
      <c r="M33" s="85"/>
      <c r="N33" s="85"/>
    </row>
    <row r="34" spans="3:14" x14ac:dyDescent="0.35">
      <c r="E34" s="172"/>
      <c r="F34" s="173"/>
      <c r="G34" s="173" t="s">
        <v>226</v>
      </c>
      <c r="H34" s="175" t="s">
        <v>82</v>
      </c>
      <c r="I34" s="174" t="s">
        <v>83</v>
      </c>
      <c r="L34" s="1"/>
      <c r="M34" s="173" t="s">
        <v>226</v>
      </c>
      <c r="N34" s="174" t="s">
        <v>83</v>
      </c>
    </row>
    <row r="35" spans="3:14" x14ac:dyDescent="0.35">
      <c r="D35" t="s">
        <v>228</v>
      </c>
      <c r="E35" s="164">
        <v>43986</v>
      </c>
      <c r="F35" s="85" t="s">
        <v>212</v>
      </c>
      <c r="G35" s="85"/>
      <c r="H35" s="171"/>
      <c r="I35" s="109"/>
      <c r="K35" s="181">
        <v>44095</v>
      </c>
      <c r="L35" s="85" t="s">
        <v>212</v>
      </c>
      <c r="M35" s="85"/>
      <c r="N35" s="85"/>
    </row>
    <row r="37" spans="3:14" x14ac:dyDescent="0.35">
      <c r="E37" t="s">
        <v>413</v>
      </c>
    </row>
    <row r="39" spans="3:14" x14ac:dyDescent="0.35">
      <c r="C39" t="s">
        <v>223</v>
      </c>
    </row>
    <row r="40" spans="3:14" x14ac:dyDescent="0.35">
      <c r="C40" s="304">
        <v>45415</v>
      </c>
      <c r="D40" s="85" t="s">
        <v>211</v>
      </c>
      <c r="E40" s="306">
        <v>72371793</v>
      </c>
      <c r="F40" s="306"/>
      <c r="G40" s="107">
        <v>47604</v>
      </c>
    </row>
    <row r="41" spans="3:14" x14ac:dyDescent="0.35">
      <c r="C41" s="304"/>
      <c r="D41" s="85" t="s">
        <v>212</v>
      </c>
      <c r="E41" s="306">
        <v>2480481656</v>
      </c>
      <c r="F41" s="306"/>
      <c r="G41" s="107">
        <v>14</v>
      </c>
    </row>
  </sheetData>
  <sheetProtection selectLockedCells="1" selectUnlockedCells="1"/>
  <mergeCells count="13">
    <mergeCell ref="C40:C41"/>
    <mergeCell ref="E40:F40"/>
    <mergeCell ref="E41:F41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1241" priority="14" stopIfTrue="1" operator="lessThan">
      <formula>$C$4</formula>
    </cfRule>
    <cfRule type="cellIs" dxfId="1240" priority="15" stopIfTrue="1" operator="equal">
      <formula>$C$4</formula>
    </cfRule>
  </conditionalFormatting>
  <conditionalFormatting sqref="D5">
    <cfRule type="cellIs" dxfId="1239" priority="18" stopIfTrue="1" operator="equal">
      <formula>$C$5</formula>
    </cfRule>
    <cfRule type="cellIs" dxfId="1238" priority="19" stopIfTrue="1" operator="lessThan">
      <formula>$C$5</formula>
    </cfRule>
  </conditionalFormatting>
  <conditionalFormatting sqref="D6">
    <cfRule type="cellIs" dxfId="1237" priority="25" stopIfTrue="1" operator="equal">
      <formula>$C$6</formula>
    </cfRule>
    <cfRule type="cellIs" dxfId="1236" priority="26" stopIfTrue="1" operator="lessThan">
      <formula>$C$6</formula>
    </cfRule>
  </conditionalFormatting>
  <conditionalFormatting sqref="D7">
    <cfRule type="cellIs" dxfId="1235" priority="39" stopIfTrue="1" operator="equal">
      <formula>$C$7</formula>
    </cfRule>
    <cfRule type="cellIs" dxfId="1234" priority="40" stopIfTrue="1" operator="lessThan">
      <formula>$C$7</formula>
    </cfRule>
  </conditionalFormatting>
  <conditionalFormatting sqref="D8">
    <cfRule type="cellIs" dxfId="1233" priority="51" stopIfTrue="1" operator="equal">
      <formula>$C$8</formula>
    </cfRule>
    <cfRule type="cellIs" dxfId="1232" priority="52" stopIfTrue="1" operator="lessThan">
      <formula>$C$8</formula>
    </cfRule>
  </conditionalFormatting>
  <conditionalFormatting sqref="D9">
    <cfRule type="cellIs" dxfId="1231" priority="65" stopIfTrue="1" operator="equal">
      <formula>$C$9</formula>
    </cfRule>
    <cfRule type="cellIs" dxfId="1230" priority="66" stopIfTrue="1" operator="lessThan">
      <formula>$C$9</formula>
    </cfRule>
  </conditionalFormatting>
  <conditionalFormatting sqref="D10">
    <cfRule type="cellIs" dxfId="1229" priority="79" stopIfTrue="1" operator="equal">
      <formula>$C$10</formula>
    </cfRule>
    <cfRule type="cellIs" dxfId="1228" priority="80" stopIfTrue="1" operator="lessThan">
      <formula>$C$10</formula>
    </cfRule>
  </conditionalFormatting>
  <conditionalFormatting sqref="D11">
    <cfRule type="cellIs" dxfId="1227" priority="93" stopIfTrue="1" operator="equal">
      <formula>$C$11</formula>
    </cfRule>
    <cfRule type="cellIs" dxfId="1226" priority="94" stopIfTrue="1" operator="lessThan">
      <formula>$C$11</formula>
    </cfRule>
  </conditionalFormatting>
  <conditionalFormatting sqref="D12">
    <cfRule type="cellIs" dxfId="1225" priority="107" stopIfTrue="1" operator="equal">
      <formula>$C$12</formula>
    </cfRule>
    <cfRule type="cellIs" dxfId="1224" priority="108" stopIfTrue="1" operator="lessThan">
      <formula>$C$12</formula>
    </cfRule>
  </conditionalFormatting>
  <conditionalFormatting sqref="D13">
    <cfRule type="cellIs" dxfId="1223" priority="239" stopIfTrue="1" operator="equal">
      <formula>$C$13</formula>
    </cfRule>
    <cfRule type="cellIs" dxfId="1222" priority="240" stopIfTrue="1" operator="lessThan">
      <formula>$C$13</formula>
    </cfRule>
  </conditionalFormatting>
  <conditionalFormatting sqref="D14">
    <cfRule type="cellIs" dxfId="1221" priority="121" stopIfTrue="1" operator="equal">
      <formula>$C$14</formula>
    </cfRule>
    <cfRule type="cellIs" dxfId="1220" priority="122" stopIfTrue="1" operator="lessThan">
      <formula>$C$14</formula>
    </cfRule>
  </conditionalFormatting>
  <conditionalFormatting sqref="D15">
    <cfRule type="cellIs" dxfId="1219" priority="123" stopIfTrue="1" operator="equal">
      <formula>$C$15</formula>
    </cfRule>
    <cfRule type="cellIs" dxfId="1218" priority="124" stopIfTrue="1" operator="lessThan">
      <formula>$C$15</formula>
    </cfRule>
  </conditionalFormatting>
  <conditionalFormatting sqref="D16">
    <cfRule type="cellIs" dxfId="1217" priority="125" stopIfTrue="1" operator="equal">
      <formula>$C$16</formula>
    </cfRule>
    <cfRule type="cellIs" dxfId="1216" priority="126" stopIfTrue="1" operator="lessThan">
      <formula>$C$16</formula>
    </cfRule>
  </conditionalFormatting>
  <conditionalFormatting sqref="D17">
    <cfRule type="cellIs" dxfId="1215" priority="127" stopIfTrue="1" operator="equal">
      <formula>$C$17</formula>
    </cfRule>
    <cfRule type="cellIs" dxfId="1214" priority="128" stopIfTrue="1" operator="lessThan">
      <formula>$C$17</formula>
    </cfRule>
  </conditionalFormatting>
  <conditionalFormatting sqref="D18">
    <cfRule type="cellIs" dxfId="1213" priority="129" stopIfTrue="1" operator="equal">
      <formula>$C$18</formula>
    </cfRule>
    <cfRule type="cellIs" dxfId="1212" priority="130" stopIfTrue="1" operator="lessThan">
      <formula>$C$18</formula>
    </cfRule>
  </conditionalFormatting>
  <conditionalFormatting sqref="D19">
    <cfRule type="cellIs" dxfId="1211" priority="131" stopIfTrue="1" operator="equal">
      <formula>$C$19</formula>
    </cfRule>
    <cfRule type="cellIs" dxfId="1210" priority="132" stopIfTrue="1" operator="lessThan">
      <formula>$C$19</formula>
    </cfRule>
  </conditionalFormatting>
  <conditionalFormatting sqref="D20">
    <cfRule type="cellIs" dxfId="1209" priority="133" stopIfTrue="1" operator="equal">
      <formula>$C$20</formula>
    </cfRule>
    <cfRule type="cellIs" dxfId="1208" priority="134" stopIfTrue="1" operator="lessThan">
      <formula>$C$20</formula>
    </cfRule>
  </conditionalFormatting>
  <conditionalFormatting sqref="D21">
    <cfRule type="cellIs" dxfId="1207" priority="135" stopIfTrue="1" operator="equal">
      <formula>$C$21</formula>
    </cfRule>
    <cfRule type="cellIs" dxfId="1206" priority="136" stopIfTrue="1" operator="lessThan">
      <formula>$C$21</formula>
    </cfRule>
  </conditionalFormatting>
  <conditionalFormatting sqref="D22">
    <cfRule type="cellIs" dxfId="1205" priority="137" stopIfTrue="1" operator="equal">
      <formula>$C$22</formula>
    </cfRule>
    <cfRule type="cellIs" dxfId="1204" priority="138" stopIfTrue="1" operator="lessThan">
      <formula>$C$22</formula>
    </cfRule>
  </conditionalFormatting>
  <conditionalFormatting sqref="D23">
    <cfRule type="cellIs" dxfId="1203" priority="139" stopIfTrue="1" operator="equal">
      <formula>$C$23</formula>
    </cfRule>
    <cfRule type="cellIs" dxfId="1202" priority="140" stopIfTrue="1" operator="lessThan">
      <formula>$C$23</formula>
    </cfRule>
  </conditionalFormatting>
  <conditionalFormatting sqref="D24">
    <cfRule type="cellIs" dxfId="1201" priority="271" stopIfTrue="1" operator="equal">
      <formula>$C$24</formula>
    </cfRule>
    <cfRule type="cellIs" dxfId="1200" priority="272" stopIfTrue="1" operator="lessThan">
      <formula>$C$24</formula>
    </cfRule>
  </conditionalFormatting>
  <conditionalFormatting sqref="D25">
    <cfRule type="cellIs" dxfId="1199" priority="141" stopIfTrue="1" operator="equal">
      <formula>$C$25</formula>
    </cfRule>
    <cfRule type="cellIs" dxfId="1198" priority="142" stopIfTrue="1" operator="lessThan">
      <formula>$C$25</formula>
    </cfRule>
  </conditionalFormatting>
  <conditionalFormatting sqref="D26">
    <cfRule type="cellIs" dxfId="1197" priority="143" stopIfTrue="1" operator="equal">
      <formula>$C$26</formula>
    </cfRule>
    <cfRule type="cellIs" dxfId="1196" priority="144" stopIfTrue="1" operator="lessThan">
      <formula>$C$26</formula>
    </cfRule>
  </conditionalFormatting>
  <conditionalFormatting sqref="D27">
    <cfRule type="cellIs" dxfId="1195" priority="145" stopIfTrue="1" operator="equal">
      <formula>$C$27</formula>
    </cfRule>
    <cfRule type="cellIs" dxfId="1194" priority="146" stopIfTrue="1" operator="lessThan">
      <formula>$C$27</formula>
    </cfRule>
  </conditionalFormatting>
  <conditionalFormatting sqref="D28">
    <cfRule type="cellIs" dxfId="1193" priority="147" stopIfTrue="1" operator="equal">
      <formula>$C$28</formula>
    </cfRule>
    <cfRule type="cellIs" dxfId="1192" priority="148" stopIfTrue="1" operator="lessThan">
      <formula>$C$28</formula>
    </cfRule>
  </conditionalFormatting>
  <conditionalFormatting sqref="D29:H29 J29:O29">
    <cfRule type="cellIs" dxfId="1191" priority="286" stopIfTrue="1" operator="equal">
      <formula>0</formula>
    </cfRule>
  </conditionalFormatting>
  <conditionalFormatting sqref="E4">
    <cfRule type="cellIs" dxfId="1190" priority="16" stopIfTrue="1" operator="equal">
      <formula>$D$4</formula>
    </cfRule>
    <cfRule type="cellIs" dxfId="1189" priority="17" stopIfTrue="1" operator="lessThan">
      <formula>$D$4</formula>
    </cfRule>
  </conditionalFormatting>
  <conditionalFormatting sqref="E5">
    <cfRule type="cellIs" dxfId="1188" priority="281" stopIfTrue="1" operator="equal">
      <formula>$D$5</formula>
    </cfRule>
    <cfRule type="cellIs" dxfId="1187" priority="282" stopIfTrue="1" operator="lessThan">
      <formula>$D$5</formula>
    </cfRule>
  </conditionalFormatting>
  <conditionalFormatting sqref="E6">
    <cfRule type="cellIs" dxfId="1186" priority="27" stopIfTrue="1" operator="equal">
      <formula>$D$6</formula>
    </cfRule>
    <cfRule type="cellIs" dxfId="1185" priority="28" stopIfTrue="1" operator="lessThan">
      <formula>$D$6</formula>
    </cfRule>
  </conditionalFormatting>
  <conditionalFormatting sqref="E7">
    <cfRule type="cellIs" dxfId="1184" priority="41" stopIfTrue="1" operator="equal">
      <formula>$D$7</formula>
    </cfRule>
    <cfRule type="cellIs" dxfId="1183" priority="42" stopIfTrue="1" operator="lessThan">
      <formula>$D$7</formula>
    </cfRule>
  </conditionalFormatting>
  <conditionalFormatting sqref="E8">
    <cfRule type="cellIs" dxfId="1182" priority="53" stopIfTrue="1" operator="equal">
      <formula>$D$8</formula>
    </cfRule>
    <cfRule type="cellIs" dxfId="1181" priority="54" stopIfTrue="1" operator="lessThan">
      <formula>$D$8</formula>
    </cfRule>
  </conditionalFormatting>
  <conditionalFormatting sqref="E9">
    <cfRule type="cellIs" dxfId="1180" priority="67" stopIfTrue="1" operator="equal">
      <formula>$D$9</formula>
    </cfRule>
    <cfRule type="cellIs" dxfId="1179" priority="68" stopIfTrue="1" operator="lessThan">
      <formula>$D$9</formula>
    </cfRule>
  </conditionalFormatting>
  <conditionalFormatting sqref="E10">
    <cfRule type="cellIs" dxfId="1178" priority="81" stopIfTrue="1" operator="equal">
      <formula>$D$10</formula>
    </cfRule>
    <cfRule type="cellIs" dxfId="1177" priority="82" stopIfTrue="1" operator="lessThan">
      <formula>$D$10</formula>
    </cfRule>
  </conditionalFormatting>
  <conditionalFormatting sqref="E11">
    <cfRule type="cellIs" dxfId="1176" priority="95" stopIfTrue="1" operator="equal">
      <formula>$D$11</formula>
    </cfRule>
    <cfRule type="cellIs" dxfId="1175" priority="96" stopIfTrue="1" operator="lessThan">
      <formula>$D$11</formula>
    </cfRule>
  </conditionalFormatting>
  <conditionalFormatting sqref="E12">
    <cfRule type="cellIs" dxfId="1174" priority="109" stopIfTrue="1" operator="equal">
      <formula>$D$12</formula>
    </cfRule>
    <cfRule type="cellIs" dxfId="1173" priority="110" stopIfTrue="1" operator="lessThan">
      <formula>$D$12</formula>
    </cfRule>
  </conditionalFormatting>
  <conditionalFormatting sqref="E13">
    <cfRule type="cellIs" dxfId="1172" priority="149" stopIfTrue="1" operator="equal">
      <formula>$D$13</formula>
    </cfRule>
    <cfRule type="cellIs" dxfId="1171" priority="150" stopIfTrue="1" operator="lessThan">
      <formula>$D$13</formula>
    </cfRule>
  </conditionalFormatting>
  <conditionalFormatting sqref="E14">
    <cfRule type="cellIs" dxfId="1170" priority="151" stopIfTrue="1" operator="equal">
      <formula>$D$14</formula>
    </cfRule>
    <cfRule type="cellIs" dxfId="1169" priority="152" stopIfTrue="1" operator="lessThan">
      <formula>$D$14</formula>
    </cfRule>
  </conditionalFormatting>
  <conditionalFormatting sqref="E15">
    <cfRule type="cellIs" dxfId="1168" priority="153" stopIfTrue="1" operator="equal">
      <formula>$D$15</formula>
    </cfRule>
    <cfRule type="cellIs" dxfId="1167" priority="154" stopIfTrue="1" operator="lessThan">
      <formula>$D$15</formula>
    </cfRule>
  </conditionalFormatting>
  <conditionalFormatting sqref="E16">
    <cfRule type="cellIs" dxfId="1166" priority="155" stopIfTrue="1" operator="equal">
      <formula>$D$16</formula>
    </cfRule>
    <cfRule type="cellIs" dxfId="1165" priority="156" stopIfTrue="1" operator="lessThan">
      <formula>$D$16</formula>
    </cfRule>
  </conditionalFormatting>
  <conditionalFormatting sqref="E17">
    <cfRule type="cellIs" dxfId="1164" priority="157" stopIfTrue="1" operator="equal">
      <formula>$D$17</formula>
    </cfRule>
    <cfRule type="cellIs" dxfId="1163" priority="158" stopIfTrue="1" operator="lessThan">
      <formula>$D$17</formula>
    </cfRule>
  </conditionalFormatting>
  <conditionalFormatting sqref="E18">
    <cfRule type="cellIs" dxfId="1162" priority="159" stopIfTrue="1" operator="equal">
      <formula>$D$18</formula>
    </cfRule>
    <cfRule type="cellIs" dxfId="1161" priority="160" stopIfTrue="1" operator="lessThan">
      <formula>$D$18</formula>
    </cfRule>
  </conditionalFormatting>
  <conditionalFormatting sqref="E19">
    <cfRule type="cellIs" dxfId="1160" priority="161" stopIfTrue="1" operator="equal">
      <formula>$D$19</formula>
    </cfRule>
    <cfRule type="cellIs" dxfId="1159" priority="162" stopIfTrue="1" operator="lessThan">
      <formula>$D$19</formula>
    </cfRule>
  </conditionalFormatting>
  <conditionalFormatting sqref="E20">
    <cfRule type="cellIs" dxfId="1158" priority="163" stopIfTrue="1" operator="equal">
      <formula>$D$20</formula>
    </cfRule>
    <cfRule type="cellIs" dxfId="1157" priority="164" stopIfTrue="1" operator="lessThan">
      <formula>$D$20</formula>
    </cfRule>
  </conditionalFormatting>
  <conditionalFormatting sqref="E21">
    <cfRule type="cellIs" dxfId="1156" priority="165" stopIfTrue="1" operator="equal">
      <formula>$D$21</formula>
    </cfRule>
    <cfRule type="cellIs" dxfId="1155" priority="166" stopIfTrue="1" operator="lessThan">
      <formula>$D$21</formula>
    </cfRule>
  </conditionalFormatting>
  <conditionalFormatting sqref="E22">
    <cfRule type="cellIs" dxfId="1154" priority="167" stopIfTrue="1" operator="equal">
      <formula>$D$22</formula>
    </cfRule>
    <cfRule type="cellIs" dxfId="1153" priority="168" stopIfTrue="1" operator="lessThan">
      <formula>$D$22</formula>
    </cfRule>
  </conditionalFormatting>
  <conditionalFormatting sqref="E23">
    <cfRule type="cellIs" dxfId="1152" priority="169" stopIfTrue="1" operator="equal">
      <formula>$D$23</formula>
    </cfRule>
    <cfRule type="cellIs" dxfId="1151" priority="170" stopIfTrue="1" operator="lessThan">
      <formula>$D$23</formula>
    </cfRule>
  </conditionalFormatting>
  <conditionalFormatting sqref="E24">
    <cfRule type="cellIs" dxfId="1150" priority="273" stopIfTrue="1" operator="equal">
      <formula>$D$24</formula>
    </cfRule>
    <cfRule type="cellIs" dxfId="1149" priority="274" stopIfTrue="1" operator="lessThan">
      <formula>$D$24</formula>
    </cfRule>
  </conditionalFormatting>
  <conditionalFormatting sqref="E25">
    <cfRule type="cellIs" dxfId="1148" priority="171" stopIfTrue="1" operator="equal">
      <formula>$D$25</formula>
    </cfRule>
    <cfRule type="cellIs" dxfId="1147" priority="172" stopIfTrue="1" operator="lessThan">
      <formula>$D$25</formula>
    </cfRule>
  </conditionalFormatting>
  <conditionalFormatting sqref="E26">
    <cfRule type="cellIs" dxfId="1146" priority="173" stopIfTrue="1" operator="equal">
      <formula>$D$26</formula>
    </cfRule>
    <cfRule type="cellIs" dxfId="1145" priority="174" stopIfTrue="1" operator="lessThan">
      <formula>$D$26</formula>
    </cfRule>
  </conditionalFormatting>
  <conditionalFormatting sqref="E27">
    <cfRule type="cellIs" dxfId="1144" priority="175" stopIfTrue="1" operator="equal">
      <formula>$D$27</formula>
    </cfRule>
    <cfRule type="cellIs" dxfId="1143" priority="176" stopIfTrue="1" operator="lessThan">
      <formula>$D$27</formula>
    </cfRule>
  </conditionalFormatting>
  <conditionalFormatting sqref="E28">
    <cfRule type="cellIs" dxfId="1142" priority="177" stopIfTrue="1" operator="equal">
      <formula>$D$28</formula>
    </cfRule>
    <cfRule type="cellIs" dxfId="1141" priority="178" stopIfTrue="1" operator="lessThan">
      <formula>$D$28</formula>
    </cfRule>
  </conditionalFormatting>
  <conditionalFormatting sqref="F4">
    <cfRule type="cellIs" dxfId="1140" priority="12" stopIfTrue="1" operator="equal">
      <formula>$E$4</formula>
    </cfRule>
    <cfRule type="cellIs" dxfId="1139" priority="13" stopIfTrue="1" operator="lessThan">
      <formula>$E$4</formula>
    </cfRule>
  </conditionalFormatting>
  <conditionalFormatting sqref="F5">
    <cfRule type="cellIs" dxfId="1138" priority="20" stopIfTrue="1" operator="equal">
      <formula>$E$5</formula>
    </cfRule>
    <cfRule type="cellIs" dxfId="1137" priority="21" stopIfTrue="1" operator="lessThan">
      <formula>$E$5</formula>
    </cfRule>
  </conditionalFormatting>
  <conditionalFormatting sqref="F6">
    <cfRule type="cellIs" dxfId="1136" priority="29" stopIfTrue="1" operator="equal">
      <formula>$E$6</formula>
    </cfRule>
    <cfRule type="cellIs" dxfId="1135" priority="30" stopIfTrue="1" operator="lessThan">
      <formula>$E$6</formula>
    </cfRule>
  </conditionalFormatting>
  <conditionalFormatting sqref="F7">
    <cfRule type="cellIs" dxfId="1134" priority="43" stopIfTrue="1" operator="equal">
      <formula>$E$7</formula>
    </cfRule>
    <cfRule type="cellIs" dxfId="1133" priority="44" stopIfTrue="1" operator="lessThan">
      <formula>$E$7</formula>
    </cfRule>
  </conditionalFormatting>
  <conditionalFormatting sqref="F8">
    <cfRule type="cellIs" dxfId="1132" priority="55" stopIfTrue="1" operator="equal">
      <formula>$E$8</formula>
    </cfRule>
    <cfRule type="cellIs" dxfId="1131" priority="56" stopIfTrue="1" operator="lessThan">
      <formula>$E$8</formula>
    </cfRule>
  </conditionalFormatting>
  <conditionalFormatting sqref="F9">
    <cfRule type="cellIs" dxfId="1130" priority="69" stopIfTrue="1" operator="equal">
      <formula>$E$9</formula>
    </cfRule>
    <cfRule type="cellIs" dxfId="1129" priority="70" stopIfTrue="1" operator="lessThan">
      <formula>$E$9</formula>
    </cfRule>
  </conditionalFormatting>
  <conditionalFormatting sqref="F10">
    <cfRule type="cellIs" dxfId="1128" priority="83" stopIfTrue="1" operator="equal">
      <formula>$E$10</formula>
    </cfRule>
    <cfRule type="cellIs" dxfId="1127" priority="84" stopIfTrue="1" operator="lessThan">
      <formula>$E$10</formula>
    </cfRule>
  </conditionalFormatting>
  <conditionalFormatting sqref="F11">
    <cfRule type="cellIs" dxfId="1126" priority="97" stopIfTrue="1" operator="equal">
      <formula>$E$11</formula>
    </cfRule>
    <cfRule type="cellIs" dxfId="1125" priority="98" stopIfTrue="1" operator="lessThan">
      <formula>$E$11</formula>
    </cfRule>
  </conditionalFormatting>
  <conditionalFormatting sqref="F12">
    <cfRule type="cellIs" dxfId="1124" priority="111" stopIfTrue="1" operator="equal">
      <formula>$E$12</formula>
    </cfRule>
    <cfRule type="cellIs" dxfId="1123" priority="112" stopIfTrue="1" operator="lessThan">
      <formula>$E$12</formula>
    </cfRule>
  </conditionalFormatting>
  <conditionalFormatting sqref="F13">
    <cfRule type="cellIs" dxfId="1122" priority="179" stopIfTrue="1" operator="equal">
      <formula>$E$13</formula>
    </cfRule>
    <cfRule type="cellIs" dxfId="1121" priority="180" stopIfTrue="1" operator="lessThan">
      <formula>$E$13</formula>
    </cfRule>
  </conditionalFormatting>
  <conditionalFormatting sqref="F14">
    <cfRule type="cellIs" dxfId="1120" priority="181" stopIfTrue="1" operator="equal">
      <formula>$E$14</formula>
    </cfRule>
    <cfRule type="cellIs" dxfId="1119" priority="182" stopIfTrue="1" operator="lessThan">
      <formula>$E$14</formula>
    </cfRule>
  </conditionalFormatting>
  <conditionalFormatting sqref="F15">
    <cfRule type="cellIs" dxfId="1118" priority="183" stopIfTrue="1" operator="equal">
      <formula>$E$15</formula>
    </cfRule>
    <cfRule type="cellIs" dxfId="1117" priority="184" stopIfTrue="1" operator="lessThan">
      <formula>$E$15</formula>
    </cfRule>
  </conditionalFormatting>
  <conditionalFormatting sqref="F16">
    <cfRule type="cellIs" dxfId="1116" priority="185" stopIfTrue="1" operator="equal">
      <formula>$E$16</formula>
    </cfRule>
    <cfRule type="cellIs" dxfId="1115" priority="186" stopIfTrue="1" operator="lessThan">
      <formula>$E$16</formula>
    </cfRule>
  </conditionalFormatting>
  <conditionalFormatting sqref="F17">
    <cfRule type="cellIs" dxfId="1114" priority="187" stopIfTrue="1" operator="equal">
      <formula>$E$17</formula>
    </cfRule>
    <cfRule type="cellIs" dxfId="1113" priority="188" stopIfTrue="1" operator="lessThan">
      <formula>$E$17</formula>
    </cfRule>
  </conditionalFormatting>
  <conditionalFormatting sqref="F18">
    <cfRule type="cellIs" dxfId="1112" priority="189" stopIfTrue="1" operator="equal">
      <formula>$E$18</formula>
    </cfRule>
    <cfRule type="cellIs" dxfId="1111" priority="190" stopIfTrue="1" operator="lessThan">
      <formula>$E$18</formula>
    </cfRule>
  </conditionalFormatting>
  <conditionalFormatting sqref="F19">
    <cfRule type="cellIs" dxfId="1110" priority="191" stopIfTrue="1" operator="equal">
      <formula>$E$19</formula>
    </cfRule>
    <cfRule type="cellIs" dxfId="1109" priority="192" stopIfTrue="1" operator="lessThan">
      <formula>$E$19</formula>
    </cfRule>
  </conditionalFormatting>
  <conditionalFormatting sqref="F20">
    <cfRule type="cellIs" dxfId="1108" priority="193" stopIfTrue="1" operator="equal">
      <formula>$E$20</formula>
    </cfRule>
    <cfRule type="cellIs" dxfId="1107" priority="194" stopIfTrue="1" operator="lessThan">
      <formula>$E$20</formula>
    </cfRule>
  </conditionalFormatting>
  <conditionalFormatting sqref="F21">
    <cfRule type="cellIs" dxfId="1106" priority="195" stopIfTrue="1" operator="equal">
      <formula>$E$21</formula>
    </cfRule>
    <cfRule type="cellIs" dxfId="1105" priority="196" stopIfTrue="1" operator="lessThan">
      <formula>$E$21</formula>
    </cfRule>
  </conditionalFormatting>
  <conditionalFormatting sqref="F22">
    <cfRule type="cellIs" dxfId="1104" priority="197" stopIfTrue="1" operator="equal">
      <formula>$E$22</formula>
    </cfRule>
    <cfRule type="cellIs" dxfId="1103" priority="198" stopIfTrue="1" operator="lessThan">
      <formula>$E$22</formula>
    </cfRule>
  </conditionalFormatting>
  <conditionalFormatting sqref="F23">
    <cfRule type="cellIs" dxfId="1102" priority="199" stopIfTrue="1" operator="equal">
      <formula>$E$23</formula>
    </cfRule>
    <cfRule type="cellIs" dxfId="1101" priority="200" stopIfTrue="1" operator="lessThan">
      <formula>$E$23</formula>
    </cfRule>
  </conditionalFormatting>
  <conditionalFormatting sqref="F24">
    <cfRule type="cellIs" dxfId="1100" priority="275" stopIfTrue="1" operator="equal">
      <formula>$E$24</formula>
    </cfRule>
    <cfRule type="cellIs" dxfId="1099" priority="276" stopIfTrue="1" operator="lessThan">
      <formula>$E$24</formula>
    </cfRule>
  </conditionalFormatting>
  <conditionalFormatting sqref="F25">
    <cfRule type="cellIs" dxfId="1098" priority="201" stopIfTrue="1" operator="equal">
      <formula>$E$25</formula>
    </cfRule>
    <cfRule type="cellIs" dxfId="1097" priority="202" stopIfTrue="1" operator="lessThan">
      <formula>$E$25</formula>
    </cfRule>
  </conditionalFormatting>
  <conditionalFormatting sqref="F26">
    <cfRule type="cellIs" dxfId="1096" priority="203" stopIfTrue="1" operator="equal">
      <formula>$E$26</formula>
    </cfRule>
    <cfRule type="cellIs" dxfId="1095" priority="204" stopIfTrue="1" operator="lessThan">
      <formula>$E$26</formula>
    </cfRule>
  </conditionalFormatting>
  <conditionalFormatting sqref="F27">
    <cfRule type="cellIs" dxfId="1094" priority="205" stopIfTrue="1" operator="equal">
      <formula>$E$27</formula>
    </cfRule>
    <cfRule type="cellIs" dxfId="1093" priority="206" stopIfTrue="1" operator="lessThan">
      <formula>$E$27</formula>
    </cfRule>
  </conditionalFormatting>
  <conditionalFormatting sqref="F28">
    <cfRule type="cellIs" dxfId="1092" priority="207" stopIfTrue="1" operator="equal">
      <formula>$E$28</formula>
    </cfRule>
    <cfRule type="cellIs" dxfId="1091" priority="208" stopIfTrue="1" operator="lessThan">
      <formula>$E$28</formula>
    </cfRule>
  </conditionalFormatting>
  <conditionalFormatting sqref="G4">
    <cfRule type="cellIs" dxfId="1090" priority="285" stopIfTrue="1" operator="equal">
      <formula>$F$4</formula>
    </cfRule>
  </conditionalFormatting>
  <conditionalFormatting sqref="G5">
    <cfRule type="cellIs" dxfId="1089" priority="283" stopIfTrue="1" operator="equal">
      <formula>$F$5</formula>
    </cfRule>
    <cfRule type="cellIs" dxfId="1088" priority="284" stopIfTrue="1" operator="lessThan">
      <formula>$F$5</formula>
    </cfRule>
  </conditionalFormatting>
  <conditionalFormatting sqref="G6">
    <cfRule type="cellIs" dxfId="1087" priority="31" stopIfTrue="1" operator="equal">
      <formula>$F$6</formula>
    </cfRule>
    <cfRule type="cellIs" dxfId="1086" priority="32" stopIfTrue="1" operator="lessThan">
      <formula>$F$6</formula>
    </cfRule>
  </conditionalFormatting>
  <conditionalFormatting sqref="G7">
    <cfRule type="cellIs" dxfId="1085" priority="4" stopIfTrue="1" operator="equal">
      <formula>$F$7</formula>
    </cfRule>
    <cfRule type="cellIs" dxfId="1084" priority="5" stopIfTrue="1" operator="lessThan">
      <formula>$F$7</formula>
    </cfRule>
  </conditionalFormatting>
  <conditionalFormatting sqref="G8">
    <cfRule type="cellIs" dxfId="1083" priority="57" stopIfTrue="1" operator="equal">
      <formula>$F$8</formula>
    </cfRule>
    <cfRule type="cellIs" dxfId="1082" priority="58" stopIfTrue="1" operator="lessThan">
      <formula>$F$8</formula>
    </cfRule>
  </conditionalFormatting>
  <conditionalFormatting sqref="G9">
    <cfRule type="cellIs" dxfId="1081" priority="71" stopIfTrue="1" operator="equal">
      <formula>$F$9</formula>
    </cfRule>
    <cfRule type="cellIs" dxfId="1080" priority="72" stopIfTrue="1" operator="lessThan">
      <formula>$F$9</formula>
    </cfRule>
  </conditionalFormatting>
  <conditionalFormatting sqref="G10">
    <cfRule type="cellIs" dxfId="1079" priority="85" stopIfTrue="1" operator="equal">
      <formula>$F$10</formula>
    </cfRule>
    <cfRule type="cellIs" dxfId="1078" priority="86" stopIfTrue="1" operator="lessThan">
      <formula>$F$10</formula>
    </cfRule>
  </conditionalFormatting>
  <conditionalFormatting sqref="G11">
    <cfRule type="cellIs" dxfId="1077" priority="99" stopIfTrue="1" operator="equal">
      <formula>$F$11</formula>
    </cfRule>
    <cfRule type="cellIs" dxfId="1076" priority="100" stopIfTrue="1" operator="lessThan">
      <formula>$F$11</formula>
    </cfRule>
  </conditionalFormatting>
  <conditionalFormatting sqref="G12">
    <cfRule type="cellIs" dxfId="1075" priority="113" stopIfTrue="1" operator="equal">
      <formula>$F$12</formula>
    </cfRule>
    <cfRule type="cellIs" dxfId="1074" priority="114" stopIfTrue="1" operator="lessThan">
      <formula>$F$12</formula>
    </cfRule>
  </conditionalFormatting>
  <conditionalFormatting sqref="G13">
    <cfRule type="cellIs" dxfId="1073" priority="209" stopIfTrue="1" operator="equal">
      <formula>$F$13</formula>
    </cfRule>
    <cfRule type="cellIs" dxfId="1072" priority="210" stopIfTrue="1" operator="lessThan">
      <formula>$F$13</formula>
    </cfRule>
  </conditionalFormatting>
  <conditionalFormatting sqref="G14">
    <cfRule type="cellIs" dxfId="1071" priority="211" stopIfTrue="1" operator="equal">
      <formula>$F$14</formula>
    </cfRule>
    <cfRule type="cellIs" dxfId="1070" priority="212" stopIfTrue="1" operator="lessThan">
      <formula>$F$14</formula>
    </cfRule>
  </conditionalFormatting>
  <conditionalFormatting sqref="G15">
    <cfRule type="cellIs" dxfId="1069" priority="213" stopIfTrue="1" operator="equal">
      <formula>$F$15</formula>
    </cfRule>
    <cfRule type="cellIs" dxfId="1068" priority="214" stopIfTrue="1" operator="lessThan">
      <formula>$F$15</formula>
    </cfRule>
  </conditionalFormatting>
  <conditionalFormatting sqref="G16">
    <cfRule type="cellIs" dxfId="1067" priority="215" stopIfTrue="1" operator="equal">
      <formula>$F$16</formula>
    </cfRule>
    <cfRule type="cellIs" dxfId="1066" priority="216" stopIfTrue="1" operator="lessThan">
      <formula>$F$16</formula>
    </cfRule>
  </conditionalFormatting>
  <conditionalFormatting sqref="G17">
    <cfRule type="cellIs" dxfId="1065" priority="217" stopIfTrue="1" operator="equal">
      <formula>$F$17</formula>
    </cfRule>
    <cfRule type="cellIs" dxfId="1064" priority="218" stopIfTrue="1" operator="lessThan">
      <formula>$F$17</formula>
    </cfRule>
  </conditionalFormatting>
  <conditionalFormatting sqref="G18">
    <cfRule type="cellIs" dxfId="1063" priority="219" stopIfTrue="1" operator="equal">
      <formula>$F$18</formula>
    </cfRule>
    <cfRule type="cellIs" dxfId="1062" priority="220" stopIfTrue="1" operator="lessThan">
      <formula>$F$18</formula>
    </cfRule>
  </conditionalFormatting>
  <conditionalFormatting sqref="G19">
    <cfRule type="cellIs" dxfId="1061" priority="221" stopIfTrue="1" operator="equal">
      <formula>$F$19</formula>
    </cfRule>
    <cfRule type="cellIs" dxfId="1060" priority="222" stopIfTrue="1" operator="lessThan">
      <formula>$F$19</formula>
    </cfRule>
  </conditionalFormatting>
  <conditionalFormatting sqref="G20">
    <cfRule type="cellIs" dxfId="1059" priority="223" stopIfTrue="1" operator="equal">
      <formula>$F$20</formula>
    </cfRule>
    <cfRule type="cellIs" dxfId="1058" priority="224" stopIfTrue="1" operator="lessThan">
      <formula>$F$20</formula>
    </cfRule>
  </conditionalFormatting>
  <conditionalFormatting sqref="G21">
    <cfRule type="cellIs" dxfId="1057" priority="225" stopIfTrue="1" operator="equal">
      <formula>$F$21</formula>
    </cfRule>
    <cfRule type="cellIs" dxfId="1056" priority="226" stopIfTrue="1" operator="lessThan">
      <formula>$F$21</formula>
    </cfRule>
  </conditionalFormatting>
  <conditionalFormatting sqref="G22">
    <cfRule type="cellIs" dxfId="1055" priority="227" stopIfTrue="1" operator="equal">
      <formula>$F$22</formula>
    </cfRule>
    <cfRule type="cellIs" dxfId="1054" priority="228" stopIfTrue="1" operator="lessThan">
      <formula>$F$22</formula>
    </cfRule>
  </conditionalFormatting>
  <conditionalFormatting sqref="G23">
    <cfRule type="cellIs" dxfId="1053" priority="229" stopIfTrue="1" operator="equal">
      <formula>$F$23</formula>
    </cfRule>
    <cfRule type="cellIs" dxfId="1052" priority="230" stopIfTrue="1" operator="lessThan">
      <formula>$F$23</formula>
    </cfRule>
  </conditionalFormatting>
  <conditionalFormatting sqref="G24">
    <cfRule type="cellIs" dxfId="1051" priority="277" stopIfTrue="1" operator="equal">
      <formula>$F$24</formula>
    </cfRule>
    <cfRule type="cellIs" dxfId="1050" priority="278" stopIfTrue="1" operator="lessThan">
      <formula>$F$24</formula>
    </cfRule>
  </conditionalFormatting>
  <conditionalFormatting sqref="G25">
    <cfRule type="cellIs" dxfId="1049" priority="231" stopIfTrue="1" operator="equal">
      <formula>$F$25</formula>
    </cfRule>
    <cfRule type="cellIs" dxfId="1048" priority="232" stopIfTrue="1" operator="lessThan">
      <formula>$F$25</formula>
    </cfRule>
  </conditionalFormatting>
  <conditionalFormatting sqref="G26">
    <cfRule type="cellIs" dxfId="1047" priority="233" stopIfTrue="1" operator="equal">
      <formula>$F$26</formula>
    </cfRule>
    <cfRule type="cellIs" dxfId="1046" priority="234" stopIfTrue="1" operator="lessThan">
      <formula>$F$26</formula>
    </cfRule>
  </conditionalFormatting>
  <conditionalFormatting sqref="G27">
    <cfRule type="cellIs" dxfId="1045" priority="235" stopIfTrue="1" operator="equal">
      <formula>$F$27</formula>
    </cfRule>
    <cfRule type="cellIs" dxfId="1044" priority="236" stopIfTrue="1" operator="lessThan">
      <formula>$F$27</formula>
    </cfRule>
  </conditionalFormatting>
  <conditionalFormatting sqref="G28">
    <cfRule type="cellIs" dxfId="1043" priority="237" stopIfTrue="1" operator="equal">
      <formula>$F$28</formula>
    </cfRule>
    <cfRule type="cellIs" dxfId="1042" priority="238" stopIfTrue="1" operator="lessThan">
      <formula>$F$28</formula>
    </cfRule>
  </conditionalFormatting>
  <conditionalFormatting sqref="H4">
    <cfRule type="cellIs" dxfId="1041" priority="2" stopIfTrue="1" operator="lessThan">
      <formula>$G$4</formula>
    </cfRule>
    <cfRule type="cellIs" dxfId="1040" priority="3" stopIfTrue="1" operator="equal">
      <formula>$G$4</formula>
    </cfRule>
  </conditionalFormatting>
  <conditionalFormatting sqref="H5">
    <cfRule type="cellIs" dxfId="1039" priority="6" stopIfTrue="1" operator="equal">
      <formula>$G$5</formula>
    </cfRule>
    <cfRule type="cellIs" dxfId="1038" priority="7" stopIfTrue="1" operator="lessThan">
      <formula>$G$5</formula>
    </cfRule>
  </conditionalFormatting>
  <conditionalFormatting sqref="H6">
    <cfRule type="cellIs" dxfId="1037" priority="33" stopIfTrue="1" operator="equal">
      <formula>$G$6</formula>
    </cfRule>
    <cfRule type="cellIs" dxfId="1036" priority="34" stopIfTrue="1" operator="lessThan">
      <formula>$G$6</formula>
    </cfRule>
  </conditionalFormatting>
  <conditionalFormatting sqref="H7">
    <cfRule type="cellIs" dxfId="1035" priority="45" stopIfTrue="1" operator="equal">
      <formula>$G$7</formula>
    </cfRule>
    <cfRule type="cellIs" dxfId="1034" priority="46" stopIfTrue="1" operator="lessThan">
      <formula>$G$7</formula>
    </cfRule>
  </conditionalFormatting>
  <conditionalFormatting sqref="H8">
    <cfRule type="cellIs" dxfId="1033" priority="59" stopIfTrue="1" operator="equal">
      <formula>$G$8</formula>
    </cfRule>
    <cfRule type="cellIs" dxfId="1032" priority="60" stopIfTrue="1" operator="lessThan">
      <formula>$G$8</formula>
    </cfRule>
  </conditionalFormatting>
  <conditionalFormatting sqref="H9">
    <cfRule type="cellIs" dxfId="1031" priority="73" stopIfTrue="1" operator="equal">
      <formula>$G$9</formula>
    </cfRule>
    <cfRule type="cellIs" dxfId="1030" priority="74" stopIfTrue="1" operator="lessThan">
      <formula>$G$9</formula>
    </cfRule>
  </conditionalFormatting>
  <conditionalFormatting sqref="H10">
    <cfRule type="cellIs" dxfId="1029" priority="87" stopIfTrue="1" operator="equal">
      <formula>$G$10</formula>
    </cfRule>
    <cfRule type="cellIs" dxfId="1028" priority="88" stopIfTrue="1" operator="lessThan">
      <formula>$G$10</formula>
    </cfRule>
  </conditionalFormatting>
  <conditionalFormatting sqref="H11">
    <cfRule type="cellIs" dxfId="1027" priority="101" stopIfTrue="1" operator="equal">
      <formula>$G$11</formula>
    </cfRule>
    <cfRule type="cellIs" dxfId="1026" priority="102" stopIfTrue="1" operator="lessThan">
      <formula>$G$11</formula>
    </cfRule>
  </conditionalFormatting>
  <conditionalFormatting sqref="H12">
    <cfRule type="cellIs" dxfId="1025" priority="115" stopIfTrue="1" operator="equal">
      <formula>$G$12</formula>
    </cfRule>
    <cfRule type="cellIs" dxfId="1024" priority="116" stopIfTrue="1" operator="lessThan">
      <formula>$G$12</formula>
    </cfRule>
  </conditionalFormatting>
  <conditionalFormatting sqref="H13">
    <cfRule type="cellIs" dxfId="1023" priority="241" stopIfTrue="1" operator="equal">
      <formula>$G$13</formula>
    </cfRule>
    <cfRule type="cellIs" dxfId="1022" priority="242" stopIfTrue="1" operator="lessThan">
      <formula>$G$13</formula>
    </cfRule>
  </conditionalFormatting>
  <conditionalFormatting sqref="H14">
    <cfRule type="cellIs" dxfId="1021" priority="243" stopIfTrue="1" operator="equal">
      <formula>$G$14</formula>
    </cfRule>
    <cfRule type="cellIs" dxfId="1020" priority="244" stopIfTrue="1" operator="lessThan">
      <formula>$G$14</formula>
    </cfRule>
  </conditionalFormatting>
  <conditionalFormatting sqref="H15">
    <cfRule type="cellIs" dxfId="1019" priority="245" stopIfTrue="1" operator="equal">
      <formula>$G$15</formula>
    </cfRule>
    <cfRule type="cellIs" dxfId="1018" priority="246" stopIfTrue="1" operator="lessThan">
      <formula>$G$15</formula>
    </cfRule>
  </conditionalFormatting>
  <conditionalFormatting sqref="H16">
    <cfRule type="cellIs" dxfId="1017" priority="247" stopIfTrue="1" operator="equal">
      <formula>$G$16</formula>
    </cfRule>
    <cfRule type="cellIs" dxfId="1016" priority="248" stopIfTrue="1" operator="lessThan">
      <formula>$G$16</formula>
    </cfRule>
  </conditionalFormatting>
  <conditionalFormatting sqref="H17">
    <cfRule type="cellIs" dxfId="1015" priority="249" stopIfTrue="1" operator="equal">
      <formula>$G$17</formula>
    </cfRule>
    <cfRule type="cellIs" dxfId="1014" priority="250" stopIfTrue="1" operator="lessThan">
      <formula>$G$17</formula>
    </cfRule>
  </conditionalFormatting>
  <conditionalFormatting sqref="H18">
    <cfRule type="cellIs" dxfId="1013" priority="251" stopIfTrue="1" operator="equal">
      <formula>$G$18</formula>
    </cfRule>
    <cfRule type="cellIs" dxfId="1012" priority="252" stopIfTrue="1" operator="lessThan">
      <formula>$G$18</formula>
    </cfRule>
  </conditionalFormatting>
  <conditionalFormatting sqref="H19">
    <cfRule type="cellIs" dxfId="1011" priority="253" stopIfTrue="1" operator="equal">
      <formula>$G$19</formula>
    </cfRule>
    <cfRule type="cellIs" dxfId="1010" priority="254" stopIfTrue="1" operator="lessThan">
      <formula>$G$19</formula>
    </cfRule>
  </conditionalFormatting>
  <conditionalFormatting sqref="H20">
    <cfRule type="cellIs" dxfId="1009" priority="255" stopIfTrue="1" operator="equal">
      <formula>$G$20</formula>
    </cfRule>
    <cfRule type="cellIs" dxfId="1008" priority="256" stopIfTrue="1" operator="lessThan">
      <formula>$G$20</formula>
    </cfRule>
  </conditionalFormatting>
  <conditionalFormatting sqref="H21">
    <cfRule type="cellIs" dxfId="1007" priority="257" stopIfTrue="1" operator="equal">
      <formula>$G$21</formula>
    </cfRule>
    <cfRule type="cellIs" dxfId="1006" priority="258" stopIfTrue="1" operator="lessThan">
      <formula>$G$21</formula>
    </cfRule>
  </conditionalFormatting>
  <conditionalFormatting sqref="H22">
    <cfRule type="cellIs" dxfId="1005" priority="259" stopIfTrue="1" operator="equal">
      <formula>$G$22</formula>
    </cfRule>
    <cfRule type="cellIs" dxfId="1004" priority="260" stopIfTrue="1" operator="lessThan">
      <formula>$G$22</formula>
    </cfRule>
  </conditionalFormatting>
  <conditionalFormatting sqref="H23">
    <cfRule type="cellIs" dxfId="1003" priority="261" stopIfTrue="1" operator="equal">
      <formula>$G$23</formula>
    </cfRule>
    <cfRule type="cellIs" dxfId="1002" priority="262" stopIfTrue="1" operator="lessThan">
      <formula>$G$23</formula>
    </cfRule>
  </conditionalFormatting>
  <conditionalFormatting sqref="H24">
    <cfRule type="cellIs" dxfId="1001" priority="279" stopIfTrue="1" operator="equal">
      <formula>$G$24</formula>
    </cfRule>
    <cfRule type="cellIs" dxfId="1000" priority="280" stopIfTrue="1" operator="lessThan">
      <formula>$G$24</formula>
    </cfRule>
  </conditionalFormatting>
  <conditionalFormatting sqref="H25">
    <cfRule type="cellIs" dxfId="999" priority="263" stopIfTrue="1" operator="equal">
      <formula>$G$25</formula>
    </cfRule>
    <cfRule type="cellIs" dxfId="998" priority="264" stopIfTrue="1" operator="lessThan">
      <formula>$G$25</formula>
    </cfRule>
  </conditionalFormatting>
  <conditionalFormatting sqref="H26">
    <cfRule type="cellIs" dxfId="997" priority="265" stopIfTrue="1" operator="equal">
      <formula>$G$26</formula>
    </cfRule>
    <cfRule type="cellIs" dxfId="996" priority="266" stopIfTrue="1" operator="lessThan">
      <formula>$G$26</formula>
    </cfRule>
  </conditionalFormatting>
  <conditionalFormatting sqref="H27">
    <cfRule type="cellIs" dxfId="995" priority="267" stopIfTrue="1" operator="equal">
      <formula>$G$27</formula>
    </cfRule>
    <cfRule type="cellIs" dxfId="994" priority="268" stopIfTrue="1" operator="lessThan">
      <formula>$G$27</formula>
    </cfRule>
  </conditionalFormatting>
  <conditionalFormatting sqref="H28">
    <cfRule type="cellIs" dxfId="993" priority="269" stopIfTrue="1" operator="equal">
      <formula>$G$28</formula>
    </cfRule>
    <cfRule type="cellIs" dxfId="992" priority="270" stopIfTrue="1" operator="lessThan">
      <formula>$G$28</formula>
    </cfRule>
  </conditionalFormatting>
  <conditionalFormatting sqref="I4">
    <cfRule type="cellIs" dxfId="991" priority="22" stopIfTrue="1" operator="equal">
      <formula>$H$4</formula>
    </cfRule>
  </conditionalFormatting>
  <conditionalFormatting sqref="I5">
    <cfRule type="cellIs" dxfId="990" priority="8" stopIfTrue="1" operator="equal">
      <formula>$H$5</formula>
    </cfRule>
    <cfRule type="cellIs" dxfId="989" priority="9" stopIfTrue="1" operator="lessThan">
      <formula>$H$5</formula>
    </cfRule>
  </conditionalFormatting>
  <conditionalFormatting sqref="I6">
    <cfRule type="cellIs" dxfId="988" priority="35" stopIfTrue="1" operator="equal">
      <formula>$H$6</formula>
    </cfRule>
    <cfRule type="cellIs" dxfId="987" priority="36" stopIfTrue="1" operator="lessThan">
      <formula>$H$6</formula>
    </cfRule>
  </conditionalFormatting>
  <conditionalFormatting sqref="I7">
    <cfRule type="cellIs" dxfId="986" priority="47" stopIfTrue="1" operator="equal">
      <formula>$H$7</formula>
    </cfRule>
    <cfRule type="cellIs" dxfId="985" priority="48" stopIfTrue="1" operator="lessThan">
      <formula>$H$7</formula>
    </cfRule>
  </conditionalFormatting>
  <conditionalFormatting sqref="I8">
    <cfRule type="cellIs" dxfId="984" priority="61" stopIfTrue="1" operator="equal">
      <formula>$H$8</formula>
    </cfRule>
    <cfRule type="cellIs" dxfId="983" priority="62" stopIfTrue="1" operator="lessThan">
      <formula>$H$8</formula>
    </cfRule>
  </conditionalFormatting>
  <conditionalFormatting sqref="I9">
    <cfRule type="cellIs" dxfId="982" priority="75" stopIfTrue="1" operator="equal">
      <formula>$H$9</formula>
    </cfRule>
    <cfRule type="cellIs" dxfId="981" priority="76" stopIfTrue="1" operator="lessThan">
      <formula>$H$9</formula>
    </cfRule>
  </conditionalFormatting>
  <conditionalFormatting sqref="I10">
    <cfRule type="cellIs" dxfId="980" priority="89" stopIfTrue="1" operator="equal">
      <formula>$H$10</formula>
    </cfRule>
    <cfRule type="cellIs" dxfId="979" priority="90" stopIfTrue="1" operator="lessThan">
      <formula>$H$10</formula>
    </cfRule>
  </conditionalFormatting>
  <conditionalFormatting sqref="I11">
    <cfRule type="cellIs" dxfId="978" priority="103" stopIfTrue="1" operator="equal">
      <formula>$H$11</formula>
    </cfRule>
    <cfRule type="cellIs" dxfId="977" priority="104" stopIfTrue="1" operator="lessThan">
      <formula>$H$11</formula>
    </cfRule>
  </conditionalFormatting>
  <conditionalFormatting sqref="I12">
    <cfRule type="cellIs" dxfId="976" priority="117" stopIfTrue="1" operator="equal">
      <formula>$H$12</formula>
    </cfRule>
    <cfRule type="cellIs" dxfId="975" priority="118" stopIfTrue="1" operator="lessThan">
      <formula>$H$12</formula>
    </cfRule>
  </conditionalFormatting>
  <conditionalFormatting sqref="I13">
    <cfRule type="cellIs" dxfId="974" priority="287" stopIfTrue="1" operator="equal">
      <formula>$H$13</formula>
    </cfRule>
    <cfRule type="cellIs" dxfId="973" priority="288" stopIfTrue="1" operator="lessThan">
      <formula>$H$13</formula>
    </cfRule>
  </conditionalFormatting>
  <conditionalFormatting sqref="I14">
    <cfRule type="cellIs" dxfId="972" priority="289" stopIfTrue="1" operator="equal">
      <formula>$H$14</formula>
    </cfRule>
    <cfRule type="cellIs" dxfId="971" priority="290" stopIfTrue="1" operator="lessThan">
      <formula>$H$14</formula>
    </cfRule>
  </conditionalFormatting>
  <conditionalFormatting sqref="I15">
    <cfRule type="cellIs" dxfId="970" priority="291" stopIfTrue="1" operator="equal">
      <formula>$H$15</formula>
    </cfRule>
    <cfRule type="cellIs" dxfId="969" priority="292" stopIfTrue="1" operator="lessThan">
      <formula>$H$15</formula>
    </cfRule>
  </conditionalFormatting>
  <conditionalFormatting sqref="I16">
    <cfRule type="cellIs" dxfId="968" priority="293" stopIfTrue="1" operator="equal">
      <formula>$H$16</formula>
    </cfRule>
    <cfRule type="cellIs" dxfId="967" priority="294" stopIfTrue="1" operator="lessThan">
      <formula>$H$16</formula>
    </cfRule>
  </conditionalFormatting>
  <conditionalFormatting sqref="I17">
    <cfRule type="cellIs" dxfId="966" priority="295" stopIfTrue="1" operator="equal">
      <formula>$H$17</formula>
    </cfRule>
    <cfRule type="cellIs" dxfId="965" priority="296" stopIfTrue="1" operator="lessThan">
      <formula>$H$17</formula>
    </cfRule>
  </conditionalFormatting>
  <conditionalFormatting sqref="I18">
    <cfRule type="cellIs" dxfId="964" priority="297" stopIfTrue="1" operator="equal">
      <formula>$H$18</formula>
    </cfRule>
    <cfRule type="cellIs" dxfId="963" priority="298" stopIfTrue="1" operator="lessThan">
      <formula>$H$18</formula>
    </cfRule>
  </conditionalFormatting>
  <conditionalFormatting sqref="I19">
    <cfRule type="cellIs" dxfId="962" priority="299" stopIfTrue="1" operator="equal">
      <formula>$H$19</formula>
    </cfRule>
    <cfRule type="cellIs" dxfId="961" priority="300" stopIfTrue="1" operator="lessThan">
      <formula>$H$19</formula>
    </cfRule>
  </conditionalFormatting>
  <conditionalFormatting sqref="I20">
    <cfRule type="cellIs" dxfId="960" priority="301" stopIfTrue="1" operator="equal">
      <formula>$H$20</formula>
    </cfRule>
    <cfRule type="cellIs" dxfId="959" priority="302" stopIfTrue="1" operator="lessThan">
      <formula>$H$20</formula>
    </cfRule>
  </conditionalFormatting>
  <conditionalFormatting sqref="I21">
    <cfRule type="cellIs" dxfId="958" priority="303" stopIfTrue="1" operator="equal">
      <formula>$H$21</formula>
    </cfRule>
    <cfRule type="cellIs" dxfId="957" priority="304" stopIfTrue="1" operator="lessThan">
      <formula>$H$21</formula>
    </cfRule>
  </conditionalFormatting>
  <conditionalFormatting sqref="I22">
    <cfRule type="cellIs" dxfId="956" priority="305" stopIfTrue="1" operator="equal">
      <formula>$H$22</formula>
    </cfRule>
    <cfRule type="cellIs" dxfId="955" priority="306" stopIfTrue="1" operator="lessThan">
      <formula>$H$22</formula>
    </cfRule>
  </conditionalFormatting>
  <conditionalFormatting sqref="I23">
    <cfRule type="cellIs" dxfId="954" priority="307" stopIfTrue="1" operator="equal">
      <formula>$H$23</formula>
    </cfRule>
    <cfRule type="cellIs" dxfId="953" priority="308" stopIfTrue="1" operator="lessThan">
      <formula>$H$23</formula>
    </cfRule>
  </conditionalFormatting>
  <conditionalFormatting sqref="I24">
    <cfRule type="cellIs" dxfId="952" priority="309" stopIfTrue="1" operator="equal">
      <formula>$H$24</formula>
    </cfRule>
    <cfRule type="cellIs" dxfId="951" priority="310" stopIfTrue="1" operator="lessThan">
      <formula>$H$24</formula>
    </cfRule>
  </conditionalFormatting>
  <conditionalFormatting sqref="I25">
    <cfRule type="cellIs" dxfId="950" priority="311" stopIfTrue="1" operator="equal">
      <formula>$H$25</formula>
    </cfRule>
    <cfRule type="cellIs" dxfId="949" priority="312" stopIfTrue="1" operator="lessThan">
      <formula>$H$25</formula>
    </cfRule>
  </conditionalFormatting>
  <conditionalFormatting sqref="I26">
    <cfRule type="cellIs" dxfId="948" priority="313" stopIfTrue="1" operator="equal">
      <formula>$H$26</formula>
    </cfRule>
    <cfRule type="cellIs" dxfId="947" priority="314" stopIfTrue="1" operator="lessThan">
      <formula>$H$26</formula>
    </cfRule>
  </conditionalFormatting>
  <conditionalFormatting sqref="I27">
    <cfRule type="cellIs" dxfId="946" priority="315" stopIfTrue="1" operator="equal">
      <formula>$H$27</formula>
    </cfRule>
    <cfRule type="cellIs" dxfId="945" priority="316" stopIfTrue="1" operator="lessThan">
      <formula>$H$27</formula>
    </cfRule>
  </conditionalFormatting>
  <conditionalFormatting sqref="I28">
    <cfRule type="cellIs" dxfId="944" priority="318" stopIfTrue="1" operator="equal">
      <formula>$H$28</formula>
    </cfRule>
    <cfRule type="cellIs" dxfId="943" priority="319" stopIfTrue="1" operator="lessThan">
      <formula>$H$28</formula>
    </cfRule>
  </conditionalFormatting>
  <conditionalFormatting sqref="I29">
    <cfRule type="cellIs" dxfId="942" priority="320" stopIfTrue="1" operator="equal">
      <formula>$H$29</formula>
    </cfRule>
    <cfRule type="cellIs" dxfId="941" priority="321" stopIfTrue="1" operator="lessThan">
      <formula>$H$29</formula>
    </cfRule>
  </conditionalFormatting>
  <conditionalFormatting sqref="J4">
    <cfRule type="cellIs" dxfId="940" priority="23" stopIfTrue="1" operator="lessThan">
      <formula>$I$4</formula>
    </cfRule>
    <cfRule type="cellIs" dxfId="939" priority="24" stopIfTrue="1" operator="equal">
      <formula>$I$4</formula>
    </cfRule>
  </conditionalFormatting>
  <conditionalFormatting sqref="J5">
    <cfRule type="cellIs" dxfId="938" priority="10" stopIfTrue="1" operator="equal">
      <formula>$I$5</formula>
    </cfRule>
    <cfRule type="cellIs" dxfId="937" priority="11" stopIfTrue="1" operator="lessThan">
      <formula>$I$5</formula>
    </cfRule>
  </conditionalFormatting>
  <conditionalFormatting sqref="J6">
    <cfRule type="cellIs" dxfId="936" priority="37" stopIfTrue="1" operator="equal">
      <formula>$I$6</formula>
    </cfRule>
    <cfRule type="cellIs" dxfId="935" priority="38" stopIfTrue="1" operator="lessThan">
      <formula>$I$6</formula>
    </cfRule>
  </conditionalFormatting>
  <conditionalFormatting sqref="J7">
    <cfRule type="cellIs" dxfId="934" priority="49" stopIfTrue="1" operator="equal">
      <formula>$I$7</formula>
    </cfRule>
    <cfRule type="cellIs" dxfId="933" priority="50" stopIfTrue="1" operator="lessThan">
      <formula>$I$7</formula>
    </cfRule>
  </conditionalFormatting>
  <conditionalFormatting sqref="J8">
    <cfRule type="cellIs" dxfId="932" priority="63" stopIfTrue="1" operator="equal">
      <formula>$I$8</formula>
    </cfRule>
    <cfRule type="cellIs" dxfId="931" priority="64" stopIfTrue="1" operator="lessThan">
      <formula>$I$8</formula>
    </cfRule>
  </conditionalFormatting>
  <conditionalFormatting sqref="J9">
    <cfRule type="cellIs" dxfId="930" priority="77" stopIfTrue="1" operator="equal">
      <formula>$I$9</formula>
    </cfRule>
    <cfRule type="cellIs" dxfId="929" priority="78" stopIfTrue="1" operator="lessThan">
      <formula>$I$9</formula>
    </cfRule>
  </conditionalFormatting>
  <conditionalFormatting sqref="J10">
    <cfRule type="cellIs" dxfId="928" priority="91" stopIfTrue="1" operator="equal">
      <formula>$I$10</formula>
    </cfRule>
    <cfRule type="cellIs" dxfId="927" priority="92" stopIfTrue="1" operator="lessThan">
      <formula>$I$10</formula>
    </cfRule>
  </conditionalFormatting>
  <conditionalFormatting sqref="J11">
    <cfRule type="cellIs" dxfId="926" priority="105" stopIfTrue="1" operator="equal">
      <formula>$I$11</formula>
    </cfRule>
    <cfRule type="cellIs" dxfId="925" priority="106" stopIfTrue="1" operator="lessThan">
      <formula>$I$11</formula>
    </cfRule>
  </conditionalFormatting>
  <conditionalFormatting sqref="J12">
    <cfRule type="cellIs" dxfId="924" priority="119" stopIfTrue="1" operator="equal">
      <formula>$I$12</formula>
    </cfRule>
    <cfRule type="cellIs" dxfId="923" priority="120" stopIfTrue="1" operator="lessThan">
      <formula>$I$12</formula>
    </cfRule>
  </conditionalFormatting>
  <conditionalFormatting sqref="J13">
    <cfRule type="cellIs" dxfId="922" priority="322" stopIfTrue="1" operator="equal">
      <formula>$I$13</formula>
    </cfRule>
    <cfRule type="cellIs" dxfId="921" priority="323" stopIfTrue="1" operator="lessThan">
      <formula>$I$13</formula>
    </cfRule>
  </conditionalFormatting>
  <conditionalFormatting sqref="J14">
    <cfRule type="cellIs" dxfId="920" priority="324" stopIfTrue="1" operator="equal">
      <formula>$I$14</formula>
    </cfRule>
    <cfRule type="cellIs" dxfId="919" priority="325" stopIfTrue="1" operator="lessThan">
      <formula>$I$14</formula>
    </cfRule>
  </conditionalFormatting>
  <conditionalFormatting sqref="J15">
    <cfRule type="cellIs" dxfId="918" priority="326" stopIfTrue="1" operator="equal">
      <formula>$I$15</formula>
    </cfRule>
    <cfRule type="cellIs" dxfId="917" priority="327" stopIfTrue="1" operator="lessThan">
      <formula>$I$15</formula>
    </cfRule>
  </conditionalFormatting>
  <conditionalFormatting sqref="J16">
    <cfRule type="cellIs" dxfId="916" priority="328" stopIfTrue="1" operator="equal">
      <formula>$I$16</formula>
    </cfRule>
    <cfRule type="cellIs" dxfId="915" priority="329" stopIfTrue="1" operator="lessThan">
      <formula>$I$16</formula>
    </cfRule>
  </conditionalFormatting>
  <conditionalFormatting sqref="J17">
    <cfRule type="cellIs" dxfId="914" priority="330" stopIfTrue="1" operator="equal">
      <formula>$I$17</formula>
    </cfRule>
    <cfRule type="cellIs" dxfId="913" priority="331" stopIfTrue="1" operator="lessThan">
      <formula>$I$17</formula>
    </cfRule>
  </conditionalFormatting>
  <conditionalFormatting sqref="J18">
    <cfRule type="cellIs" dxfId="912" priority="332" stopIfTrue="1" operator="equal">
      <formula>$I$18</formula>
    </cfRule>
    <cfRule type="cellIs" dxfId="911" priority="333" stopIfTrue="1" operator="lessThan">
      <formula>$I$18</formula>
    </cfRule>
  </conditionalFormatting>
  <conditionalFormatting sqref="J19">
    <cfRule type="cellIs" dxfId="910" priority="334" stopIfTrue="1" operator="equal">
      <formula>$I$19</formula>
    </cfRule>
    <cfRule type="cellIs" dxfId="909" priority="335" stopIfTrue="1" operator="lessThan">
      <formula>$I$19</formula>
    </cfRule>
  </conditionalFormatting>
  <conditionalFormatting sqref="J20">
    <cfRule type="cellIs" dxfId="908" priority="336" stopIfTrue="1" operator="equal">
      <formula>$I$20</formula>
    </cfRule>
    <cfRule type="cellIs" dxfId="907" priority="337" stopIfTrue="1" operator="lessThan">
      <formula>$I$20</formula>
    </cfRule>
  </conditionalFormatting>
  <conditionalFormatting sqref="J21">
    <cfRule type="cellIs" dxfId="906" priority="338" stopIfTrue="1" operator="equal">
      <formula>$I$21</formula>
    </cfRule>
    <cfRule type="cellIs" dxfId="905" priority="339" stopIfTrue="1" operator="lessThan">
      <formula>$I$21</formula>
    </cfRule>
  </conditionalFormatting>
  <conditionalFormatting sqref="J22">
    <cfRule type="cellIs" dxfId="904" priority="340" stopIfTrue="1" operator="equal">
      <formula>$I$22</formula>
    </cfRule>
    <cfRule type="cellIs" dxfId="903" priority="341" stopIfTrue="1" operator="lessThan">
      <formula>$I$22</formula>
    </cfRule>
  </conditionalFormatting>
  <conditionalFormatting sqref="J23">
    <cfRule type="cellIs" dxfId="902" priority="342" stopIfTrue="1" operator="equal">
      <formula>$I$23</formula>
    </cfRule>
    <cfRule type="cellIs" dxfId="901" priority="343" stopIfTrue="1" operator="lessThan">
      <formula>$I$23</formula>
    </cfRule>
  </conditionalFormatting>
  <conditionalFormatting sqref="J24">
    <cfRule type="cellIs" dxfId="900" priority="344" stopIfTrue="1" operator="equal">
      <formula>$I$24</formula>
    </cfRule>
    <cfRule type="cellIs" dxfId="899" priority="345" stopIfTrue="1" operator="lessThan">
      <formula>$I$24</formula>
    </cfRule>
  </conditionalFormatting>
  <conditionalFormatting sqref="J25">
    <cfRule type="cellIs" dxfId="898" priority="346" stopIfTrue="1" operator="equal">
      <formula>$I$25</formula>
    </cfRule>
    <cfRule type="cellIs" dxfId="897" priority="347" stopIfTrue="1" operator="lessThan">
      <formula>$I$25</formula>
    </cfRule>
  </conditionalFormatting>
  <conditionalFormatting sqref="J26">
    <cfRule type="cellIs" dxfId="896" priority="348" stopIfTrue="1" operator="equal">
      <formula>$I$26</formula>
    </cfRule>
    <cfRule type="cellIs" dxfId="895" priority="349" stopIfTrue="1" operator="lessThan">
      <formula>$I$26</formula>
    </cfRule>
  </conditionalFormatting>
  <conditionalFormatting sqref="J27">
    <cfRule type="cellIs" dxfId="894" priority="350" stopIfTrue="1" operator="equal">
      <formula>$I$27</formula>
    </cfRule>
    <cfRule type="cellIs" dxfId="893" priority="351" stopIfTrue="1" operator="lessThan">
      <formula>$I$27</formula>
    </cfRule>
  </conditionalFormatting>
  <conditionalFormatting sqref="J28">
    <cfRule type="cellIs" dxfId="892" priority="352" stopIfTrue="1" operator="equal">
      <formula>$I$28</formula>
    </cfRule>
    <cfRule type="cellIs" dxfId="891" priority="353" stopIfTrue="1" operator="lessThan">
      <formula>$I$28</formula>
    </cfRule>
  </conditionalFormatting>
  <conditionalFormatting sqref="K4">
    <cfRule type="cellIs" dxfId="890" priority="354" stopIfTrue="1" operator="equal">
      <formula>$J$4</formula>
    </cfRule>
    <cfRule type="cellIs" dxfId="889" priority="355" stopIfTrue="1" operator="lessThan">
      <formula>$J$4</formula>
    </cfRule>
  </conditionalFormatting>
  <conditionalFormatting sqref="K5">
    <cfRule type="cellIs" dxfId="888" priority="356" stopIfTrue="1" operator="equal">
      <formula>$J$5</formula>
    </cfRule>
    <cfRule type="cellIs" dxfId="887" priority="357" stopIfTrue="1" operator="lessThan">
      <formula>$J$5</formula>
    </cfRule>
  </conditionalFormatting>
  <conditionalFormatting sqref="K6">
    <cfRule type="cellIs" dxfId="886" priority="358" stopIfTrue="1" operator="equal">
      <formula>$J$6</formula>
    </cfRule>
    <cfRule type="cellIs" dxfId="885" priority="359" stopIfTrue="1" operator="lessThan">
      <formula>$J$6</formula>
    </cfRule>
  </conditionalFormatting>
  <conditionalFormatting sqref="K7">
    <cfRule type="cellIs" dxfId="884" priority="360" stopIfTrue="1" operator="equal">
      <formula>$J$7</formula>
    </cfRule>
    <cfRule type="cellIs" dxfId="883" priority="361" stopIfTrue="1" operator="lessThan">
      <formula>$J$7</formula>
    </cfRule>
  </conditionalFormatting>
  <conditionalFormatting sqref="K8">
    <cfRule type="cellIs" dxfId="882" priority="362" stopIfTrue="1" operator="equal">
      <formula>$J$8</formula>
    </cfRule>
    <cfRule type="cellIs" dxfId="881" priority="363" stopIfTrue="1" operator="lessThan">
      <formula>$J$8</formula>
    </cfRule>
  </conditionalFormatting>
  <conditionalFormatting sqref="K9">
    <cfRule type="cellIs" dxfId="880" priority="364" stopIfTrue="1" operator="equal">
      <formula>$J$9</formula>
    </cfRule>
    <cfRule type="cellIs" dxfId="879" priority="365" stopIfTrue="1" operator="lessThan">
      <formula>$J$9</formula>
    </cfRule>
  </conditionalFormatting>
  <conditionalFormatting sqref="K10">
    <cfRule type="cellIs" dxfId="878" priority="366" stopIfTrue="1" operator="equal">
      <formula>$J$10</formula>
    </cfRule>
    <cfRule type="cellIs" dxfId="877" priority="367" stopIfTrue="1" operator="lessThan">
      <formula>$J$10</formula>
    </cfRule>
  </conditionalFormatting>
  <conditionalFormatting sqref="K11">
    <cfRule type="cellIs" dxfId="876" priority="368" stopIfTrue="1" operator="equal">
      <formula>$J$11</formula>
    </cfRule>
    <cfRule type="cellIs" dxfId="875" priority="369" stopIfTrue="1" operator="lessThan">
      <formula>$J$11</formula>
    </cfRule>
  </conditionalFormatting>
  <conditionalFormatting sqref="K12">
    <cfRule type="cellIs" dxfId="874" priority="370" stopIfTrue="1" operator="equal">
      <formula>$J$12</formula>
    </cfRule>
    <cfRule type="cellIs" dxfId="873" priority="371" stopIfTrue="1" operator="lessThan">
      <formula>$J$12</formula>
    </cfRule>
  </conditionalFormatting>
  <conditionalFormatting sqref="K13">
    <cfRule type="cellIs" dxfId="872" priority="372" stopIfTrue="1" operator="equal">
      <formula>$J$13</formula>
    </cfRule>
    <cfRule type="cellIs" dxfId="871" priority="373" stopIfTrue="1" operator="lessThan">
      <formula>$J$13</formula>
    </cfRule>
  </conditionalFormatting>
  <conditionalFormatting sqref="K14">
    <cfRule type="cellIs" dxfId="870" priority="374" stopIfTrue="1" operator="equal">
      <formula>$J$14</formula>
    </cfRule>
    <cfRule type="cellIs" dxfId="869" priority="375" stopIfTrue="1" operator="lessThan">
      <formula>$J$14</formula>
    </cfRule>
  </conditionalFormatting>
  <conditionalFormatting sqref="K15">
    <cfRule type="cellIs" dxfId="868" priority="376" stopIfTrue="1" operator="equal">
      <formula>$J$15</formula>
    </cfRule>
    <cfRule type="cellIs" dxfId="867" priority="377" stopIfTrue="1" operator="lessThan">
      <formula>$J$15</formula>
    </cfRule>
  </conditionalFormatting>
  <conditionalFormatting sqref="K16">
    <cfRule type="cellIs" dxfId="866" priority="378" stopIfTrue="1" operator="equal">
      <formula>$J$16</formula>
    </cfRule>
    <cfRule type="cellIs" dxfId="865" priority="379" stopIfTrue="1" operator="lessThan">
      <formula>$J$16</formula>
    </cfRule>
  </conditionalFormatting>
  <conditionalFormatting sqref="K17">
    <cfRule type="cellIs" dxfId="864" priority="380" stopIfTrue="1" operator="equal">
      <formula>$J$17</formula>
    </cfRule>
    <cfRule type="cellIs" dxfId="863" priority="381" stopIfTrue="1" operator="lessThan">
      <formula>$J$17</formula>
    </cfRule>
  </conditionalFormatting>
  <conditionalFormatting sqref="K18">
    <cfRule type="cellIs" dxfId="862" priority="382" stopIfTrue="1" operator="equal">
      <formula>$J$18</formula>
    </cfRule>
    <cfRule type="cellIs" dxfId="861" priority="383" stopIfTrue="1" operator="lessThan">
      <formula>$J$18</formula>
    </cfRule>
  </conditionalFormatting>
  <conditionalFormatting sqref="K19">
    <cfRule type="cellIs" dxfId="860" priority="384" stopIfTrue="1" operator="equal">
      <formula>$J$19</formula>
    </cfRule>
    <cfRule type="cellIs" dxfId="859" priority="385" stopIfTrue="1" operator="lessThan">
      <formula>$J$19</formula>
    </cfRule>
  </conditionalFormatting>
  <conditionalFormatting sqref="K20">
    <cfRule type="cellIs" dxfId="858" priority="386" stopIfTrue="1" operator="equal">
      <formula>$J$20</formula>
    </cfRule>
    <cfRule type="cellIs" dxfId="857" priority="387" stopIfTrue="1" operator="lessThan">
      <formula>$J$20</formula>
    </cfRule>
  </conditionalFormatting>
  <conditionalFormatting sqref="K21">
    <cfRule type="cellIs" dxfId="856" priority="388" stopIfTrue="1" operator="equal">
      <formula>$J$21</formula>
    </cfRule>
    <cfRule type="cellIs" dxfId="855" priority="389" stopIfTrue="1" operator="lessThan">
      <formula>$J$21</formula>
    </cfRule>
  </conditionalFormatting>
  <conditionalFormatting sqref="K22">
    <cfRule type="cellIs" dxfId="854" priority="390" stopIfTrue="1" operator="equal">
      <formula>$J$22</formula>
    </cfRule>
    <cfRule type="cellIs" dxfId="853" priority="391" stopIfTrue="1" operator="lessThan">
      <formula>$J$22</formula>
    </cfRule>
  </conditionalFormatting>
  <conditionalFormatting sqref="K23">
    <cfRule type="cellIs" dxfId="852" priority="392" stopIfTrue="1" operator="equal">
      <formula>$J$23</formula>
    </cfRule>
    <cfRule type="cellIs" dxfId="851" priority="393" stopIfTrue="1" operator="lessThan">
      <formula>$J$23</formula>
    </cfRule>
  </conditionalFormatting>
  <conditionalFormatting sqref="K24">
    <cfRule type="cellIs" dxfId="850" priority="394" stopIfTrue="1" operator="equal">
      <formula>$J$24</formula>
    </cfRule>
    <cfRule type="cellIs" dxfId="849" priority="395" stopIfTrue="1" operator="lessThan">
      <formula>$J$24</formula>
    </cfRule>
  </conditionalFormatting>
  <conditionalFormatting sqref="K25">
    <cfRule type="cellIs" dxfId="848" priority="396" stopIfTrue="1" operator="equal">
      <formula>$J$25</formula>
    </cfRule>
    <cfRule type="cellIs" dxfId="847" priority="397" stopIfTrue="1" operator="lessThan">
      <formula>$J$25</formula>
    </cfRule>
  </conditionalFormatting>
  <conditionalFormatting sqref="K26">
    <cfRule type="cellIs" dxfId="846" priority="398" stopIfTrue="1" operator="equal">
      <formula>$J$26</formula>
    </cfRule>
    <cfRule type="cellIs" dxfId="845" priority="399" stopIfTrue="1" operator="lessThan">
      <formula>$J$26</formula>
    </cfRule>
  </conditionalFormatting>
  <conditionalFormatting sqref="K27">
    <cfRule type="cellIs" dxfId="844" priority="400" stopIfTrue="1" operator="equal">
      <formula>$J$27</formula>
    </cfRule>
    <cfRule type="cellIs" dxfId="843" priority="401" stopIfTrue="1" operator="lessThan">
      <formula>$J$27</formula>
    </cfRule>
  </conditionalFormatting>
  <conditionalFormatting sqref="K28">
    <cfRule type="cellIs" dxfId="842" priority="402" stopIfTrue="1" operator="lessThan">
      <formula>$J$28</formula>
    </cfRule>
    <cfRule type="cellIs" dxfId="841" priority="403" stopIfTrue="1" operator="equal">
      <formula>$J$28</formula>
    </cfRule>
  </conditionalFormatting>
  <conditionalFormatting sqref="L4">
    <cfRule type="cellIs" dxfId="840" priority="404" stopIfTrue="1" operator="equal">
      <formula>$K$4</formula>
    </cfRule>
    <cfRule type="cellIs" dxfId="839" priority="405" stopIfTrue="1" operator="lessThan">
      <formula>$K$4</formula>
    </cfRule>
  </conditionalFormatting>
  <conditionalFormatting sqref="L5">
    <cfRule type="cellIs" dxfId="838" priority="406" stopIfTrue="1" operator="equal">
      <formula>$K$5</formula>
    </cfRule>
    <cfRule type="cellIs" dxfId="837" priority="407" stopIfTrue="1" operator="lessThan">
      <formula>$K$5</formula>
    </cfRule>
  </conditionalFormatting>
  <conditionalFormatting sqref="L6">
    <cfRule type="cellIs" dxfId="836" priority="408" stopIfTrue="1" operator="equal">
      <formula>$K$6</formula>
    </cfRule>
    <cfRule type="cellIs" dxfId="835" priority="409" stopIfTrue="1" operator="lessThan">
      <formula>$K$6</formula>
    </cfRule>
  </conditionalFormatting>
  <conditionalFormatting sqref="L7">
    <cfRule type="cellIs" dxfId="834" priority="410" stopIfTrue="1" operator="equal">
      <formula>$K$7</formula>
    </cfRule>
    <cfRule type="cellIs" dxfId="833" priority="411" stopIfTrue="1" operator="lessThan">
      <formula>$K$7</formula>
    </cfRule>
  </conditionalFormatting>
  <conditionalFormatting sqref="L8">
    <cfRule type="cellIs" dxfId="832" priority="412" stopIfTrue="1" operator="equal">
      <formula>$K$8</formula>
    </cfRule>
    <cfRule type="cellIs" dxfId="831" priority="413" stopIfTrue="1" operator="lessThan">
      <formula>$K$8</formula>
    </cfRule>
  </conditionalFormatting>
  <conditionalFormatting sqref="L9">
    <cfRule type="cellIs" dxfId="830" priority="414" stopIfTrue="1" operator="equal">
      <formula>$K$9</formula>
    </cfRule>
    <cfRule type="cellIs" dxfId="829" priority="415" stopIfTrue="1" operator="lessThan">
      <formula>$K$9</formula>
    </cfRule>
  </conditionalFormatting>
  <conditionalFormatting sqref="L10">
    <cfRule type="cellIs" dxfId="828" priority="416" stopIfTrue="1" operator="equal">
      <formula>$K$10</formula>
    </cfRule>
    <cfRule type="cellIs" dxfId="827" priority="417" stopIfTrue="1" operator="lessThan">
      <formula>$K$10</formula>
    </cfRule>
  </conditionalFormatting>
  <conditionalFormatting sqref="L11">
    <cfRule type="cellIs" dxfId="826" priority="438" stopIfTrue="1" operator="equal">
      <formula>$K$11</formula>
    </cfRule>
    <cfRule type="cellIs" dxfId="825" priority="439" stopIfTrue="1" operator="lessThan">
      <formula>$K$11</formula>
    </cfRule>
  </conditionalFormatting>
  <conditionalFormatting sqref="L12">
    <cfRule type="cellIs" dxfId="824" priority="418" stopIfTrue="1" operator="equal">
      <formula>$K$12</formula>
    </cfRule>
    <cfRule type="cellIs" dxfId="823" priority="419" stopIfTrue="1" operator="lessThan">
      <formula>$K$12</formula>
    </cfRule>
  </conditionalFormatting>
  <conditionalFormatting sqref="L13">
    <cfRule type="cellIs" dxfId="822" priority="420" stopIfTrue="1" operator="equal">
      <formula>$K$13</formula>
    </cfRule>
    <cfRule type="cellIs" dxfId="821" priority="421" stopIfTrue="1" operator="lessThan">
      <formula>$K$13</formula>
    </cfRule>
  </conditionalFormatting>
  <conditionalFormatting sqref="L14">
    <cfRule type="cellIs" dxfId="820" priority="422" stopIfTrue="1" operator="equal">
      <formula>$K$14</formula>
    </cfRule>
    <cfRule type="cellIs" dxfId="819" priority="423" stopIfTrue="1" operator="lessThan">
      <formula>$K$14</formula>
    </cfRule>
  </conditionalFormatting>
  <conditionalFormatting sqref="L15">
    <cfRule type="cellIs" dxfId="818" priority="424" stopIfTrue="1" operator="equal">
      <formula>$K$15</formula>
    </cfRule>
    <cfRule type="cellIs" dxfId="817" priority="425" stopIfTrue="1" operator="lessThan">
      <formula>$K$15</formula>
    </cfRule>
  </conditionalFormatting>
  <conditionalFormatting sqref="L16">
    <cfRule type="cellIs" dxfId="816" priority="426" stopIfTrue="1" operator="equal">
      <formula>$K$16</formula>
    </cfRule>
    <cfRule type="cellIs" dxfId="815" priority="427" stopIfTrue="1" operator="lessThan">
      <formula>$K$16</formula>
    </cfRule>
  </conditionalFormatting>
  <conditionalFormatting sqref="L17">
    <cfRule type="cellIs" dxfId="814" priority="428" stopIfTrue="1" operator="equal">
      <formula>$K$17</formula>
    </cfRule>
    <cfRule type="cellIs" dxfId="813" priority="429" stopIfTrue="1" operator="lessThan">
      <formula>$K$17</formula>
    </cfRule>
  </conditionalFormatting>
  <conditionalFormatting sqref="L18">
    <cfRule type="cellIs" dxfId="812" priority="430" stopIfTrue="1" operator="equal">
      <formula>$K$18</formula>
    </cfRule>
    <cfRule type="cellIs" dxfId="811" priority="431" stopIfTrue="1" operator="lessThan">
      <formula>$K$18</formula>
    </cfRule>
  </conditionalFormatting>
  <conditionalFormatting sqref="L19">
    <cfRule type="cellIs" dxfId="810" priority="432" stopIfTrue="1" operator="equal">
      <formula>$K$19</formula>
    </cfRule>
    <cfRule type="cellIs" dxfId="809" priority="433" stopIfTrue="1" operator="lessThan">
      <formula>$K$19</formula>
    </cfRule>
  </conditionalFormatting>
  <conditionalFormatting sqref="L20">
    <cfRule type="cellIs" dxfId="808" priority="434" stopIfTrue="1" operator="equal">
      <formula>$K$20</formula>
    </cfRule>
    <cfRule type="cellIs" dxfId="807" priority="435" stopIfTrue="1" operator="lessThan">
      <formula>$K$20</formula>
    </cfRule>
  </conditionalFormatting>
  <conditionalFormatting sqref="L21">
    <cfRule type="cellIs" dxfId="806" priority="436" stopIfTrue="1" operator="equal">
      <formula>$K$21</formula>
    </cfRule>
    <cfRule type="cellIs" dxfId="805" priority="437" stopIfTrue="1" operator="lessThan">
      <formula>$K$21</formula>
    </cfRule>
  </conditionalFormatting>
  <conditionalFormatting sqref="L22">
    <cfRule type="cellIs" dxfId="804" priority="440" stopIfTrue="1" operator="equal">
      <formula>$K$22</formula>
    </cfRule>
    <cfRule type="cellIs" dxfId="803" priority="441" stopIfTrue="1" operator="lessThan">
      <formula>$K$22</formula>
    </cfRule>
  </conditionalFormatting>
  <conditionalFormatting sqref="L23">
    <cfRule type="cellIs" dxfId="802" priority="442" stopIfTrue="1" operator="equal">
      <formula>$K$23</formula>
    </cfRule>
    <cfRule type="cellIs" dxfId="801" priority="443" stopIfTrue="1" operator="lessThan">
      <formula>$K$23</formula>
    </cfRule>
  </conditionalFormatting>
  <conditionalFormatting sqref="L24">
    <cfRule type="cellIs" dxfId="800" priority="444" stopIfTrue="1" operator="equal">
      <formula>$K$24</formula>
    </cfRule>
    <cfRule type="cellIs" dxfId="799" priority="445" stopIfTrue="1" operator="lessThan">
      <formula>$K$24</formula>
    </cfRule>
  </conditionalFormatting>
  <conditionalFormatting sqref="L25">
    <cfRule type="cellIs" dxfId="798" priority="446" stopIfTrue="1" operator="equal">
      <formula>$K$25</formula>
    </cfRule>
    <cfRule type="cellIs" dxfId="797" priority="447" stopIfTrue="1" operator="lessThan">
      <formula>$K$25</formula>
    </cfRule>
  </conditionalFormatting>
  <conditionalFormatting sqref="L26">
    <cfRule type="cellIs" dxfId="796" priority="448" stopIfTrue="1" operator="equal">
      <formula>$K$26</formula>
    </cfRule>
    <cfRule type="cellIs" dxfId="795" priority="449" stopIfTrue="1" operator="lessThan">
      <formula>$K$26</formula>
    </cfRule>
  </conditionalFormatting>
  <conditionalFormatting sqref="L27">
    <cfRule type="cellIs" dxfId="794" priority="450" stopIfTrue="1" operator="equal">
      <formula>$K$27</formula>
    </cfRule>
    <cfRule type="cellIs" dxfId="793" priority="451" stopIfTrue="1" operator="lessThan">
      <formula>$K$27</formula>
    </cfRule>
  </conditionalFormatting>
  <conditionalFormatting sqref="L28">
    <cfRule type="cellIs" dxfId="792" priority="452" stopIfTrue="1" operator="equal">
      <formula>$K$28</formula>
    </cfRule>
    <cfRule type="cellIs" dxfId="791" priority="453" stopIfTrue="1" operator="lessThan">
      <formula>$K$28</formula>
    </cfRule>
  </conditionalFormatting>
  <conditionalFormatting sqref="M4">
    <cfRule type="cellIs" dxfId="790" priority="454" stopIfTrue="1" operator="lessThan">
      <formula>$L$4</formula>
    </cfRule>
    <cfRule type="cellIs" dxfId="789" priority="455" stopIfTrue="1" operator="equal">
      <formula>$L$4</formula>
    </cfRule>
  </conditionalFormatting>
  <conditionalFormatting sqref="M5">
    <cfRule type="cellIs" dxfId="788" priority="456" stopIfTrue="1" operator="equal">
      <formula>$L$5</formula>
    </cfRule>
    <cfRule type="cellIs" dxfId="787" priority="457" stopIfTrue="1" operator="lessThan">
      <formula>$L$5</formula>
    </cfRule>
  </conditionalFormatting>
  <conditionalFormatting sqref="M6">
    <cfRule type="cellIs" dxfId="786" priority="458" stopIfTrue="1" operator="equal">
      <formula>$L$6</formula>
    </cfRule>
    <cfRule type="cellIs" dxfId="785" priority="459" stopIfTrue="1" operator="lessThan">
      <formula>$L$6</formula>
    </cfRule>
  </conditionalFormatting>
  <conditionalFormatting sqref="M7">
    <cfRule type="cellIs" dxfId="784" priority="460" stopIfTrue="1" operator="equal">
      <formula>$L$7</formula>
    </cfRule>
    <cfRule type="cellIs" dxfId="783" priority="461" stopIfTrue="1" operator="lessThan">
      <formula>$L$7</formula>
    </cfRule>
  </conditionalFormatting>
  <conditionalFormatting sqref="M8">
    <cfRule type="cellIs" dxfId="782" priority="462" stopIfTrue="1" operator="equal">
      <formula>$L$8</formula>
    </cfRule>
    <cfRule type="cellIs" dxfId="781" priority="463" stopIfTrue="1" operator="lessThan">
      <formula>$L$8</formula>
    </cfRule>
  </conditionalFormatting>
  <conditionalFormatting sqref="M9">
    <cfRule type="cellIs" dxfId="780" priority="464" stopIfTrue="1" operator="equal">
      <formula>$L$9</formula>
    </cfRule>
    <cfRule type="cellIs" dxfId="779" priority="465" stopIfTrue="1" operator="lessThan">
      <formula>$L$9</formula>
    </cfRule>
  </conditionalFormatting>
  <conditionalFormatting sqref="M10">
    <cfRule type="cellIs" dxfId="778" priority="466" stopIfTrue="1" operator="equal">
      <formula>$L$10</formula>
    </cfRule>
    <cfRule type="cellIs" dxfId="777" priority="467" stopIfTrue="1" operator="lessThan">
      <formula>$L$10</formula>
    </cfRule>
  </conditionalFormatting>
  <conditionalFormatting sqref="M11">
    <cfRule type="cellIs" dxfId="776" priority="468" stopIfTrue="1" operator="equal">
      <formula>$L$11</formula>
    </cfRule>
    <cfRule type="cellIs" dxfId="775" priority="469" stopIfTrue="1" operator="lessThan">
      <formula>$L$11</formula>
    </cfRule>
  </conditionalFormatting>
  <conditionalFormatting sqref="M12">
    <cfRule type="cellIs" dxfId="774" priority="470" stopIfTrue="1" operator="equal">
      <formula>$L$12</formula>
    </cfRule>
    <cfRule type="cellIs" dxfId="773" priority="471" stopIfTrue="1" operator="lessThan">
      <formula>$L$12</formula>
    </cfRule>
  </conditionalFormatting>
  <conditionalFormatting sqref="M13">
    <cfRule type="cellIs" dxfId="772" priority="472" stopIfTrue="1" operator="equal">
      <formula>$L$13</formula>
    </cfRule>
    <cfRule type="cellIs" dxfId="771" priority="473" stopIfTrue="1" operator="lessThan">
      <formula>$L$13</formula>
    </cfRule>
  </conditionalFormatting>
  <conditionalFormatting sqref="M14">
    <cfRule type="cellIs" dxfId="770" priority="474" stopIfTrue="1" operator="equal">
      <formula>$L$14</formula>
    </cfRule>
    <cfRule type="cellIs" dxfId="769" priority="475" stopIfTrue="1" operator="lessThan">
      <formula>$L$14</formula>
    </cfRule>
  </conditionalFormatting>
  <conditionalFormatting sqref="M15">
    <cfRule type="cellIs" dxfId="768" priority="476" stopIfTrue="1" operator="equal">
      <formula>$L$15</formula>
    </cfRule>
    <cfRule type="cellIs" dxfId="767" priority="477" stopIfTrue="1" operator="lessThan">
      <formula>$L$15</formula>
    </cfRule>
  </conditionalFormatting>
  <conditionalFormatting sqref="M16">
    <cfRule type="cellIs" dxfId="766" priority="478" stopIfTrue="1" operator="equal">
      <formula>$L$16</formula>
    </cfRule>
    <cfRule type="cellIs" dxfId="765" priority="479" stopIfTrue="1" operator="lessThan">
      <formula>$L$16</formula>
    </cfRule>
  </conditionalFormatting>
  <conditionalFormatting sqref="M17">
    <cfRule type="cellIs" dxfId="764" priority="480" stopIfTrue="1" operator="equal">
      <formula>$L$17</formula>
    </cfRule>
    <cfRule type="cellIs" dxfId="763" priority="481" stopIfTrue="1" operator="lessThan">
      <formula>$L$17</formula>
    </cfRule>
  </conditionalFormatting>
  <conditionalFormatting sqref="M18">
    <cfRule type="cellIs" dxfId="762" priority="482" stopIfTrue="1" operator="equal">
      <formula>$L$18</formula>
    </cfRule>
    <cfRule type="cellIs" dxfId="761" priority="483" stopIfTrue="1" operator="lessThan">
      <formula>$L$18</formula>
    </cfRule>
  </conditionalFormatting>
  <conditionalFormatting sqref="M19">
    <cfRule type="cellIs" dxfId="760" priority="484" stopIfTrue="1" operator="equal">
      <formula>$L$19</formula>
    </cfRule>
    <cfRule type="cellIs" dxfId="759" priority="485" stopIfTrue="1" operator="lessThan">
      <formula>$L$19</formula>
    </cfRule>
  </conditionalFormatting>
  <conditionalFormatting sqref="M20">
    <cfRule type="cellIs" dxfId="758" priority="486" stopIfTrue="1" operator="equal">
      <formula>$L$20</formula>
    </cfRule>
    <cfRule type="cellIs" dxfId="757" priority="487" stopIfTrue="1" operator="lessThan">
      <formula>$L$20</formula>
    </cfRule>
  </conditionalFormatting>
  <conditionalFormatting sqref="M21">
    <cfRule type="cellIs" dxfId="756" priority="488" stopIfTrue="1" operator="equal">
      <formula>$L$21</formula>
    </cfRule>
    <cfRule type="cellIs" dxfId="755" priority="489" stopIfTrue="1" operator="lessThan">
      <formula>$L$21</formula>
    </cfRule>
  </conditionalFormatting>
  <conditionalFormatting sqref="M22">
    <cfRule type="cellIs" dxfId="754" priority="490" stopIfTrue="1" operator="equal">
      <formula>$L$22</formula>
    </cfRule>
    <cfRule type="cellIs" dxfId="753" priority="491" stopIfTrue="1" operator="lessThan">
      <formula>$L$22</formula>
    </cfRule>
  </conditionalFormatting>
  <conditionalFormatting sqref="M23">
    <cfRule type="cellIs" dxfId="752" priority="492" stopIfTrue="1" operator="equal">
      <formula>$L$23</formula>
    </cfRule>
    <cfRule type="cellIs" dxfId="751" priority="493" stopIfTrue="1" operator="lessThan">
      <formula>$L$23</formula>
    </cfRule>
  </conditionalFormatting>
  <conditionalFormatting sqref="M24">
    <cfRule type="cellIs" dxfId="750" priority="494" stopIfTrue="1" operator="equal">
      <formula>$L$24</formula>
    </cfRule>
    <cfRule type="cellIs" dxfId="749" priority="495" stopIfTrue="1" operator="lessThan">
      <formula>$L$24</formula>
    </cfRule>
  </conditionalFormatting>
  <conditionalFormatting sqref="M25">
    <cfRule type="cellIs" dxfId="748" priority="496" stopIfTrue="1" operator="equal">
      <formula>$L$25</formula>
    </cfRule>
    <cfRule type="cellIs" dxfId="747" priority="497" stopIfTrue="1" operator="lessThan">
      <formula>$L$25</formula>
    </cfRule>
  </conditionalFormatting>
  <conditionalFormatting sqref="M26">
    <cfRule type="cellIs" dxfId="746" priority="498" stopIfTrue="1" operator="equal">
      <formula>$L$26</formula>
    </cfRule>
    <cfRule type="cellIs" dxfId="745" priority="499" stopIfTrue="1" operator="lessThan">
      <formula>$L$26</formula>
    </cfRule>
  </conditionalFormatting>
  <conditionalFormatting sqref="M27">
    <cfRule type="cellIs" dxfId="744" priority="500" stopIfTrue="1" operator="equal">
      <formula>$L$27</formula>
    </cfRule>
    <cfRule type="cellIs" dxfId="743" priority="501" stopIfTrue="1" operator="lessThan">
      <formula>$L$27</formula>
    </cfRule>
  </conditionalFormatting>
  <conditionalFormatting sqref="M28">
    <cfRule type="cellIs" dxfId="742" priority="502" stopIfTrue="1" operator="equal">
      <formula>$L$28</formula>
    </cfRule>
    <cfRule type="cellIs" dxfId="741" priority="503" stopIfTrue="1" operator="lessThan">
      <formula>$L$28</formula>
    </cfRule>
  </conditionalFormatting>
  <conditionalFormatting sqref="N4">
    <cfRule type="cellIs" dxfId="740" priority="504" stopIfTrue="1" operator="equal">
      <formula>$M$4</formula>
    </cfRule>
    <cfRule type="cellIs" dxfId="739" priority="505" stopIfTrue="1" operator="lessThan">
      <formula>$M$4</formula>
    </cfRule>
  </conditionalFormatting>
  <conditionalFormatting sqref="N5">
    <cfRule type="cellIs" dxfId="738" priority="506" stopIfTrue="1" operator="equal">
      <formula>$M$5</formula>
    </cfRule>
    <cfRule type="cellIs" dxfId="737" priority="507" stopIfTrue="1" operator="lessThan">
      <formula>$M$5</formula>
    </cfRule>
  </conditionalFormatting>
  <conditionalFormatting sqref="N6">
    <cfRule type="cellIs" dxfId="736" priority="508" stopIfTrue="1" operator="equal">
      <formula>$M$6</formula>
    </cfRule>
    <cfRule type="cellIs" dxfId="735" priority="509" stopIfTrue="1" operator="lessThan">
      <formula>$M$6</formula>
    </cfRule>
  </conditionalFormatting>
  <conditionalFormatting sqref="N7">
    <cfRule type="cellIs" dxfId="734" priority="510" stopIfTrue="1" operator="equal">
      <formula>$M$7</formula>
    </cfRule>
    <cfRule type="cellIs" dxfId="733" priority="511" stopIfTrue="1" operator="lessThan">
      <formula>$M$7</formula>
    </cfRule>
  </conditionalFormatting>
  <conditionalFormatting sqref="N8">
    <cfRule type="cellIs" dxfId="732" priority="512" stopIfTrue="1" operator="equal">
      <formula>$M$8</formula>
    </cfRule>
    <cfRule type="cellIs" dxfId="731" priority="513" stopIfTrue="1" operator="lessThan">
      <formula>$M$8</formula>
    </cfRule>
  </conditionalFormatting>
  <conditionalFormatting sqref="N9">
    <cfRule type="cellIs" dxfId="730" priority="514" stopIfTrue="1" operator="equal">
      <formula>$M$9</formula>
    </cfRule>
    <cfRule type="cellIs" dxfId="729" priority="515" stopIfTrue="1" operator="lessThan">
      <formula>$M$9</formula>
    </cfRule>
  </conditionalFormatting>
  <conditionalFormatting sqref="N10">
    <cfRule type="cellIs" dxfId="728" priority="516" stopIfTrue="1" operator="equal">
      <formula>$M$10</formula>
    </cfRule>
    <cfRule type="cellIs" dxfId="727" priority="517" stopIfTrue="1" operator="lessThan">
      <formula>$M$10</formula>
    </cfRule>
  </conditionalFormatting>
  <conditionalFormatting sqref="N11">
    <cfRule type="cellIs" dxfId="726" priority="518" stopIfTrue="1" operator="equal">
      <formula>$M$11</formula>
    </cfRule>
    <cfRule type="cellIs" dxfId="725" priority="519" stopIfTrue="1" operator="lessThan">
      <formula>$M$11</formula>
    </cfRule>
  </conditionalFormatting>
  <conditionalFormatting sqref="N12">
    <cfRule type="cellIs" dxfId="724" priority="520" stopIfTrue="1" operator="equal">
      <formula>$M$12</formula>
    </cfRule>
    <cfRule type="cellIs" dxfId="723" priority="521" stopIfTrue="1" operator="lessThan">
      <formula>$M$12</formula>
    </cfRule>
  </conditionalFormatting>
  <conditionalFormatting sqref="N13">
    <cfRule type="cellIs" dxfId="722" priority="522" stopIfTrue="1" operator="equal">
      <formula>$M$13</formula>
    </cfRule>
    <cfRule type="cellIs" dxfId="721" priority="523" stopIfTrue="1" operator="lessThan">
      <formula>$M$13</formula>
    </cfRule>
  </conditionalFormatting>
  <conditionalFormatting sqref="N14">
    <cfRule type="cellIs" dxfId="720" priority="524" stopIfTrue="1" operator="equal">
      <formula>$M$14</formula>
    </cfRule>
    <cfRule type="cellIs" dxfId="719" priority="525" stopIfTrue="1" operator="lessThan">
      <formula>$M$14</formula>
    </cfRule>
  </conditionalFormatting>
  <conditionalFormatting sqref="N15">
    <cfRule type="cellIs" dxfId="718" priority="526" stopIfTrue="1" operator="equal">
      <formula>$M$15</formula>
    </cfRule>
    <cfRule type="cellIs" dxfId="717" priority="527" stopIfTrue="1" operator="lessThan">
      <formula>$M$15</formula>
    </cfRule>
  </conditionalFormatting>
  <conditionalFormatting sqref="N16">
    <cfRule type="cellIs" dxfId="716" priority="528" stopIfTrue="1" operator="equal">
      <formula>$M$16</formula>
    </cfRule>
    <cfRule type="cellIs" dxfId="715" priority="529" stopIfTrue="1" operator="lessThan">
      <formula>$M$16</formula>
    </cfRule>
  </conditionalFormatting>
  <conditionalFormatting sqref="N17">
    <cfRule type="cellIs" dxfId="714" priority="530" stopIfTrue="1" operator="equal">
      <formula>$M$17</formula>
    </cfRule>
    <cfRule type="cellIs" dxfId="713" priority="531" stopIfTrue="1" operator="lessThan">
      <formula>$M$17</formula>
    </cfRule>
  </conditionalFormatting>
  <conditionalFormatting sqref="N18">
    <cfRule type="cellIs" dxfId="712" priority="532" stopIfTrue="1" operator="equal">
      <formula>$M$18</formula>
    </cfRule>
    <cfRule type="cellIs" dxfId="711" priority="533" stopIfTrue="1" operator="lessThan">
      <formula>$M$18</formula>
    </cfRule>
  </conditionalFormatting>
  <conditionalFormatting sqref="N19">
    <cfRule type="cellIs" dxfId="710" priority="534" stopIfTrue="1" operator="equal">
      <formula>$M$19</formula>
    </cfRule>
    <cfRule type="cellIs" dxfId="709" priority="535" stopIfTrue="1" operator="lessThan">
      <formula>$M$19</formula>
    </cfRule>
  </conditionalFormatting>
  <conditionalFormatting sqref="N20">
    <cfRule type="cellIs" dxfId="708" priority="536" stopIfTrue="1" operator="equal">
      <formula>$M$20</formula>
    </cfRule>
    <cfRule type="cellIs" dxfId="707" priority="537" stopIfTrue="1" operator="lessThan">
      <formula>$M$20</formula>
    </cfRule>
  </conditionalFormatting>
  <conditionalFormatting sqref="N21">
    <cfRule type="cellIs" dxfId="706" priority="538" stopIfTrue="1" operator="equal">
      <formula>$M$21</formula>
    </cfRule>
    <cfRule type="cellIs" dxfId="705" priority="539" stopIfTrue="1" operator="lessThan">
      <formula>$M$21</formula>
    </cfRule>
  </conditionalFormatting>
  <conditionalFormatting sqref="N22">
    <cfRule type="cellIs" dxfId="704" priority="540" stopIfTrue="1" operator="equal">
      <formula>$M$22</formula>
    </cfRule>
    <cfRule type="cellIs" dxfId="703" priority="541" stopIfTrue="1" operator="lessThan">
      <formula>$M$22</formula>
    </cfRule>
  </conditionalFormatting>
  <conditionalFormatting sqref="N23">
    <cfRule type="cellIs" dxfId="702" priority="542" stopIfTrue="1" operator="equal">
      <formula>$M$23</formula>
    </cfRule>
    <cfRule type="cellIs" dxfId="701" priority="543" stopIfTrue="1" operator="lessThan">
      <formula>$M$23</formula>
    </cfRule>
  </conditionalFormatting>
  <conditionalFormatting sqref="N24">
    <cfRule type="cellIs" dxfId="700" priority="544" stopIfTrue="1" operator="equal">
      <formula>$M$24</formula>
    </cfRule>
    <cfRule type="cellIs" dxfId="699" priority="545" stopIfTrue="1" operator="lessThan">
      <formula>$M$24</formula>
    </cfRule>
  </conditionalFormatting>
  <conditionalFormatting sqref="N25">
    <cfRule type="cellIs" dxfId="698" priority="546" stopIfTrue="1" operator="equal">
      <formula>$M$25</formula>
    </cfRule>
    <cfRule type="cellIs" dxfId="697" priority="547" stopIfTrue="1" operator="lessThan">
      <formula>$M$25</formula>
    </cfRule>
  </conditionalFormatting>
  <conditionalFormatting sqref="N26">
    <cfRule type="cellIs" dxfId="696" priority="548" stopIfTrue="1" operator="equal">
      <formula>$M$26</formula>
    </cfRule>
    <cfRule type="cellIs" dxfId="695" priority="549" stopIfTrue="1" operator="lessThan">
      <formula>$M$26</formula>
    </cfRule>
  </conditionalFormatting>
  <conditionalFormatting sqref="N27">
    <cfRule type="cellIs" dxfId="694" priority="550" stopIfTrue="1" operator="equal">
      <formula>$M$27</formula>
    </cfRule>
    <cfRule type="cellIs" dxfId="693" priority="551" stopIfTrue="1" operator="lessThan">
      <formula>$M$27</formula>
    </cfRule>
  </conditionalFormatting>
  <conditionalFormatting sqref="N28">
    <cfRule type="cellIs" dxfId="692" priority="552" stopIfTrue="1" operator="equal">
      <formula>$M$28</formula>
    </cfRule>
    <cfRule type="cellIs" dxfId="691" priority="553" stopIfTrue="1" operator="lessThan">
      <formula>$M$28</formula>
    </cfRule>
  </conditionalFormatting>
  <conditionalFormatting sqref="O4">
    <cfRule type="cellIs" dxfId="690" priority="554" stopIfTrue="1" operator="equal">
      <formula>$N$4</formula>
    </cfRule>
    <cfRule type="cellIs" dxfId="689" priority="555" stopIfTrue="1" operator="lessThan">
      <formula>$N$4</formula>
    </cfRule>
  </conditionalFormatting>
  <conditionalFormatting sqref="O5">
    <cfRule type="cellIs" dxfId="688" priority="556" stopIfTrue="1" operator="equal">
      <formula>$N$5</formula>
    </cfRule>
    <cfRule type="cellIs" dxfId="687" priority="557" stopIfTrue="1" operator="lessThan">
      <formula>$N$5</formula>
    </cfRule>
  </conditionalFormatting>
  <conditionalFormatting sqref="O6">
    <cfRule type="cellIs" dxfId="686" priority="558" stopIfTrue="1" operator="equal">
      <formula>$N$6</formula>
    </cfRule>
    <cfRule type="cellIs" dxfId="685" priority="559" stopIfTrue="1" operator="lessThan">
      <formula>$N$6</formula>
    </cfRule>
  </conditionalFormatting>
  <conditionalFormatting sqref="O7">
    <cfRule type="cellIs" dxfId="684" priority="560" stopIfTrue="1" operator="equal">
      <formula>$N$7</formula>
    </cfRule>
    <cfRule type="cellIs" dxfId="683" priority="561" stopIfTrue="1" operator="lessThan">
      <formula>$N$7</formula>
    </cfRule>
  </conditionalFormatting>
  <conditionalFormatting sqref="O8">
    <cfRule type="cellIs" dxfId="682" priority="562" stopIfTrue="1" operator="equal">
      <formula>$N$8</formula>
    </cfRule>
    <cfRule type="cellIs" dxfId="681" priority="563" stopIfTrue="1" operator="lessThan">
      <formula>$N$8</formula>
    </cfRule>
  </conditionalFormatting>
  <conditionalFormatting sqref="O9">
    <cfRule type="cellIs" dxfId="680" priority="564" stopIfTrue="1" operator="equal">
      <formula>$N$9</formula>
    </cfRule>
    <cfRule type="cellIs" dxfId="679" priority="565" stopIfTrue="1" operator="lessThan">
      <formula>$N$9</formula>
    </cfRule>
  </conditionalFormatting>
  <conditionalFormatting sqref="O10">
    <cfRule type="cellIs" dxfId="678" priority="566" stopIfTrue="1" operator="equal">
      <formula>$N$10</formula>
    </cfRule>
    <cfRule type="cellIs" dxfId="677" priority="567" stopIfTrue="1" operator="lessThan">
      <formula>$N$10</formula>
    </cfRule>
  </conditionalFormatting>
  <conditionalFormatting sqref="O11">
    <cfRule type="cellIs" dxfId="676" priority="568" stopIfTrue="1" operator="equal">
      <formula>$N$11</formula>
    </cfRule>
    <cfRule type="cellIs" dxfId="675" priority="569" stopIfTrue="1" operator="lessThan">
      <formula>$N$11</formula>
    </cfRule>
  </conditionalFormatting>
  <conditionalFormatting sqref="O12">
    <cfRule type="cellIs" dxfId="674" priority="570" stopIfTrue="1" operator="equal">
      <formula>$N$12</formula>
    </cfRule>
    <cfRule type="cellIs" dxfId="673" priority="571" stopIfTrue="1" operator="lessThan">
      <formula>$N$12</formula>
    </cfRule>
  </conditionalFormatting>
  <conditionalFormatting sqref="O13">
    <cfRule type="cellIs" dxfId="672" priority="572" stopIfTrue="1" operator="equal">
      <formula>$N$13</formula>
    </cfRule>
    <cfRule type="cellIs" dxfId="671" priority="573" stopIfTrue="1" operator="lessThan">
      <formula>$N$13</formula>
    </cfRule>
  </conditionalFormatting>
  <conditionalFormatting sqref="O14">
    <cfRule type="cellIs" dxfId="670" priority="574" stopIfTrue="1" operator="equal">
      <formula>$N$14</formula>
    </cfRule>
    <cfRule type="cellIs" dxfId="669" priority="575" stopIfTrue="1" operator="lessThan">
      <formula>$N$14</formula>
    </cfRule>
  </conditionalFormatting>
  <conditionalFormatting sqref="O15">
    <cfRule type="cellIs" dxfId="668" priority="576" stopIfTrue="1" operator="equal">
      <formula>$N$15</formula>
    </cfRule>
    <cfRule type="cellIs" dxfId="667" priority="577" stopIfTrue="1" operator="lessThan">
      <formula>$N$15</formula>
    </cfRule>
  </conditionalFormatting>
  <conditionalFormatting sqref="O16">
    <cfRule type="cellIs" dxfId="666" priority="578" stopIfTrue="1" operator="equal">
      <formula>$N$16</formula>
    </cfRule>
    <cfRule type="cellIs" dxfId="665" priority="579" stopIfTrue="1" operator="lessThan">
      <formula>$N$16</formula>
    </cfRule>
  </conditionalFormatting>
  <conditionalFormatting sqref="O17">
    <cfRule type="cellIs" dxfId="664" priority="580" stopIfTrue="1" operator="equal">
      <formula>$N$17</formula>
    </cfRule>
    <cfRule type="cellIs" dxfId="663" priority="581" stopIfTrue="1" operator="lessThan">
      <formula>$N$17</formula>
    </cfRule>
  </conditionalFormatting>
  <conditionalFormatting sqref="O18">
    <cfRule type="cellIs" dxfId="662" priority="582" stopIfTrue="1" operator="equal">
      <formula>$N$18</formula>
    </cfRule>
    <cfRule type="cellIs" dxfId="661" priority="583" stopIfTrue="1" operator="lessThan">
      <formula>$N$18</formula>
    </cfRule>
  </conditionalFormatting>
  <conditionalFormatting sqref="O19">
    <cfRule type="cellIs" dxfId="660" priority="584" stopIfTrue="1" operator="equal">
      <formula>$N$19</formula>
    </cfRule>
    <cfRule type="cellIs" dxfId="659" priority="585" stopIfTrue="1" operator="lessThan">
      <formula>$N$19</formula>
    </cfRule>
  </conditionalFormatting>
  <conditionalFormatting sqref="O20">
    <cfRule type="cellIs" dxfId="658" priority="586" stopIfTrue="1" operator="equal">
      <formula>$N$20</formula>
    </cfRule>
    <cfRule type="cellIs" dxfId="657" priority="587" stopIfTrue="1" operator="lessThan">
      <formula>$N$20</formula>
    </cfRule>
  </conditionalFormatting>
  <conditionalFormatting sqref="O21">
    <cfRule type="cellIs" dxfId="656" priority="588" stopIfTrue="1" operator="equal">
      <formula>$N$21</formula>
    </cfRule>
    <cfRule type="cellIs" dxfId="655" priority="589" stopIfTrue="1" operator="lessThan">
      <formula>$N$21</formula>
    </cfRule>
  </conditionalFormatting>
  <conditionalFormatting sqref="O22">
    <cfRule type="cellIs" dxfId="654" priority="590" stopIfTrue="1" operator="equal">
      <formula>$N$22</formula>
    </cfRule>
    <cfRule type="cellIs" dxfId="653" priority="591" stopIfTrue="1" operator="lessThan">
      <formula>$N$22</formula>
    </cfRule>
  </conditionalFormatting>
  <conditionalFormatting sqref="O23">
    <cfRule type="cellIs" dxfId="652" priority="592" stopIfTrue="1" operator="equal">
      <formula>$N$23</formula>
    </cfRule>
    <cfRule type="cellIs" dxfId="651" priority="593" stopIfTrue="1" operator="lessThan">
      <formula>$N$23</formula>
    </cfRule>
  </conditionalFormatting>
  <conditionalFormatting sqref="O24">
    <cfRule type="cellIs" dxfId="650" priority="594" stopIfTrue="1" operator="equal">
      <formula>$N$24</formula>
    </cfRule>
    <cfRule type="cellIs" dxfId="649" priority="595" stopIfTrue="1" operator="lessThan">
      <formula>$N$24</formula>
    </cfRule>
  </conditionalFormatting>
  <conditionalFormatting sqref="O25">
    <cfRule type="cellIs" dxfId="648" priority="596" stopIfTrue="1" operator="equal">
      <formula>$N$25</formula>
    </cfRule>
    <cfRule type="cellIs" dxfId="647" priority="597" stopIfTrue="1" operator="lessThan">
      <formula>$N$25</formula>
    </cfRule>
  </conditionalFormatting>
  <conditionalFormatting sqref="O26">
    <cfRule type="cellIs" dxfId="646" priority="598" stopIfTrue="1" operator="equal">
      <formula>$N$26</formula>
    </cfRule>
    <cfRule type="cellIs" dxfId="645" priority="599" stopIfTrue="1" operator="lessThan">
      <formula>$N$26</formula>
    </cfRule>
  </conditionalFormatting>
  <conditionalFormatting sqref="O27">
    <cfRule type="cellIs" dxfId="644" priority="600" stopIfTrue="1" operator="equal">
      <formula>$N$27</formula>
    </cfRule>
    <cfRule type="cellIs" dxfId="643" priority="601" stopIfTrue="1" operator="lessThan">
      <formula>$N$27</formula>
    </cfRule>
  </conditionalFormatting>
  <conditionalFormatting sqref="O28">
    <cfRule type="cellIs" dxfId="642" priority="602" stopIfTrue="1" operator="equal">
      <formula>$N$28</formula>
    </cfRule>
    <cfRule type="cellIs" dxfId="641" priority="603" stopIfTrue="1" operator="lessThan">
      <formula>$N$28</formula>
    </cfRule>
  </conditionalFormatting>
  <conditionalFormatting sqref="U4:AF23">
    <cfRule type="cellIs" dxfId="640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4"/>
  <sheetViews>
    <sheetView workbookViewId="0">
      <selection activeCell="P26" sqref="P26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7" width="11.1796875" bestFit="1" customWidth="1"/>
    <col min="18" max="18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3">
        <v>1857</v>
      </c>
      <c r="B2" s="2"/>
      <c r="C2" s="3">
        <f>'1850'!C2</f>
        <v>45292</v>
      </c>
      <c r="D2" s="3">
        <f>'1850'!D2</f>
        <v>45323</v>
      </c>
      <c r="E2" s="3">
        <f>'1850'!E2</f>
        <v>45352</v>
      </c>
      <c r="F2" s="3">
        <f>'1850'!F2</f>
        <v>45383</v>
      </c>
      <c r="G2" s="3">
        <f>'1850'!G2</f>
        <v>45413</v>
      </c>
      <c r="H2" s="3">
        <f>'1850'!H2</f>
        <v>45444</v>
      </c>
      <c r="I2" s="3">
        <f>'1850'!I2</f>
        <v>45474</v>
      </c>
      <c r="J2" s="3">
        <f>'1850'!J2</f>
        <v>45505</v>
      </c>
      <c r="K2" s="3">
        <f>'1850'!K2</f>
        <v>45536</v>
      </c>
      <c r="L2" s="3">
        <f>'1850'!L2</f>
        <v>45566</v>
      </c>
      <c r="M2" s="3">
        <f>'1850'!M2</f>
        <v>45597</v>
      </c>
      <c r="N2" s="3">
        <f>'1850'!N2</f>
        <v>45628</v>
      </c>
      <c r="O2" s="3">
        <f>'1850'!O2</f>
        <v>45658</v>
      </c>
      <c r="P2" s="1" t="s">
        <v>0</v>
      </c>
      <c r="Q2" s="1" t="s">
        <v>1</v>
      </c>
      <c r="R2" s="1" t="s">
        <v>85</v>
      </c>
      <c r="U2" s="143"/>
      <c r="V2" s="144"/>
      <c r="W2" s="144"/>
      <c r="X2" s="144"/>
      <c r="Y2" s="144" t="s">
        <v>199</v>
      </c>
      <c r="Z2" s="144"/>
      <c r="AA2" s="144"/>
      <c r="AB2" s="144"/>
      <c r="AC2" s="144"/>
      <c r="AD2" s="144"/>
      <c r="AE2" s="144"/>
      <c r="AF2" s="148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83</v>
      </c>
      <c r="Q3" s="1" t="s">
        <v>82</v>
      </c>
      <c r="R3" s="1" t="s">
        <v>84</v>
      </c>
      <c r="T3" s="1" t="s">
        <v>198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93">
        <v>1</v>
      </c>
      <c r="B4" s="6" t="s">
        <v>188</v>
      </c>
      <c r="C4" s="77">
        <v>228.42400000000001</v>
      </c>
      <c r="D4" s="7">
        <v>231.49700000000001</v>
      </c>
      <c r="E4" s="7">
        <v>235.011</v>
      </c>
      <c r="F4" s="7">
        <v>238.45</v>
      </c>
      <c r="G4" s="7">
        <v>242.249</v>
      </c>
      <c r="H4" s="7">
        <v>246.06200000000001</v>
      </c>
      <c r="I4" s="7">
        <v>249.077</v>
      </c>
      <c r="J4" s="7">
        <v>252.33500000000001</v>
      </c>
      <c r="K4" s="7">
        <v>255.66</v>
      </c>
      <c r="L4" s="8">
        <v>259.11799999999999</v>
      </c>
      <c r="M4" s="7">
        <v>262.125</v>
      </c>
      <c r="N4" s="7">
        <v>265.01</v>
      </c>
      <c r="O4" s="7">
        <v>5.1769999999999996</v>
      </c>
      <c r="P4" s="9">
        <f>O4+N4-C4</f>
        <v>41.763000000000005</v>
      </c>
      <c r="T4" s="1">
        <v>1</v>
      </c>
      <c r="U4" s="145">
        <f t="shared" ref="U4:AF4" si="0">D4-C4</f>
        <v>3.0730000000000075</v>
      </c>
      <c r="V4" s="145">
        <f t="shared" si="0"/>
        <v>3.5139999999999816</v>
      </c>
      <c r="W4" s="145">
        <f t="shared" si="0"/>
        <v>3.438999999999993</v>
      </c>
      <c r="X4" s="145">
        <f t="shared" si="0"/>
        <v>3.7990000000000066</v>
      </c>
      <c r="Y4" s="145">
        <f t="shared" si="0"/>
        <v>3.8130000000000166</v>
      </c>
      <c r="Z4" s="145">
        <f t="shared" si="0"/>
        <v>3.0149999999999864</v>
      </c>
      <c r="AA4" s="145">
        <f t="shared" si="0"/>
        <v>3.2580000000000098</v>
      </c>
      <c r="AB4" s="145">
        <f t="shared" si="0"/>
        <v>3.3249999999999886</v>
      </c>
      <c r="AC4" s="145">
        <f t="shared" si="0"/>
        <v>3.4579999999999984</v>
      </c>
      <c r="AD4" s="145">
        <f t="shared" si="0"/>
        <v>3.007000000000005</v>
      </c>
      <c r="AE4" s="145">
        <f t="shared" si="0"/>
        <v>2.8849999999999909</v>
      </c>
      <c r="AF4" s="145">
        <f>O4</f>
        <v>5.1769999999999996</v>
      </c>
    </row>
    <row r="5" spans="1:32" x14ac:dyDescent="0.35">
      <c r="A5" s="293"/>
      <c r="B5" s="10" t="s">
        <v>362</v>
      </c>
      <c r="C5" s="78">
        <v>70.468999999999994</v>
      </c>
      <c r="D5" s="11">
        <v>76.326999999999998</v>
      </c>
      <c r="E5" s="11">
        <v>80.328999999999994</v>
      </c>
      <c r="F5" s="11">
        <v>83.668000000000006</v>
      </c>
      <c r="G5" s="11">
        <v>85.593000000000004</v>
      </c>
      <c r="H5" s="11">
        <v>85.882999999999996</v>
      </c>
      <c r="I5" s="11">
        <v>86.078000000000003</v>
      </c>
      <c r="J5" s="11">
        <v>86.251000000000005</v>
      </c>
      <c r="K5" s="11">
        <v>86.415000000000006</v>
      </c>
      <c r="L5" s="12">
        <v>87.078999999999994</v>
      </c>
      <c r="M5" s="11">
        <v>89.584999999999994</v>
      </c>
      <c r="N5" s="11">
        <v>94.429000000000002</v>
      </c>
      <c r="O5" s="11">
        <v>100.145</v>
      </c>
      <c r="P5" s="9"/>
      <c r="Q5" s="9">
        <f>O5-C5</f>
        <v>29.676000000000002</v>
      </c>
      <c r="T5" s="1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</row>
    <row r="6" spans="1:32" x14ac:dyDescent="0.35">
      <c r="A6" s="294">
        <v>2</v>
      </c>
      <c r="B6" s="10" t="s">
        <v>189</v>
      </c>
      <c r="C6" s="78">
        <v>183.76599999999999</v>
      </c>
      <c r="D6" s="11">
        <v>187.19300000000001</v>
      </c>
      <c r="E6" s="11">
        <v>190.768</v>
      </c>
      <c r="F6" s="11">
        <v>194.59299999999999</v>
      </c>
      <c r="G6" s="11">
        <v>198.11799999999999</v>
      </c>
      <c r="H6" s="11">
        <v>201.80799999999999</v>
      </c>
      <c r="I6" s="11">
        <v>205.483</v>
      </c>
      <c r="J6" s="11">
        <v>209.53399999999999</v>
      </c>
      <c r="K6" s="11">
        <v>213.404</v>
      </c>
      <c r="L6" s="11">
        <v>217.339</v>
      </c>
      <c r="M6" s="11">
        <v>221.02799999999999</v>
      </c>
      <c r="N6" s="11">
        <v>224.42000000000002</v>
      </c>
      <c r="O6" s="11">
        <v>4.1559999999999997</v>
      </c>
      <c r="P6" s="9">
        <f t="shared" ref="P6" si="1">O6+N6-C6</f>
        <v>44.810000000000031</v>
      </c>
      <c r="T6" s="1">
        <v>2</v>
      </c>
      <c r="U6" s="147">
        <f t="shared" ref="U6:AF6" si="2">D6-C6</f>
        <v>3.4270000000000209</v>
      </c>
      <c r="V6" s="147">
        <f t="shared" si="2"/>
        <v>3.5749999999999886</v>
      </c>
      <c r="W6" s="147">
        <f t="shared" si="2"/>
        <v>3.8249999999999886</v>
      </c>
      <c r="X6" s="147">
        <f t="shared" si="2"/>
        <v>3.5250000000000057</v>
      </c>
      <c r="Y6" s="147">
        <f t="shared" si="2"/>
        <v>3.6899999999999977</v>
      </c>
      <c r="Z6" s="147">
        <f t="shared" si="2"/>
        <v>3.6750000000000114</v>
      </c>
      <c r="AA6" s="147">
        <f t="shared" si="2"/>
        <v>4.0509999999999877</v>
      </c>
      <c r="AB6" s="147">
        <f t="shared" si="2"/>
        <v>3.8700000000000045</v>
      </c>
      <c r="AC6" s="147">
        <f t="shared" si="2"/>
        <v>3.9350000000000023</v>
      </c>
      <c r="AD6" s="147">
        <f t="shared" si="2"/>
        <v>3.688999999999993</v>
      </c>
      <c r="AE6" s="147">
        <f t="shared" si="2"/>
        <v>3.3920000000000243</v>
      </c>
      <c r="AF6" s="147">
        <f>O6</f>
        <v>4.1559999999999997</v>
      </c>
    </row>
    <row r="7" spans="1:32" x14ac:dyDescent="0.35">
      <c r="A7" s="294"/>
      <c r="B7" s="10" t="s">
        <v>363</v>
      </c>
      <c r="C7" s="78">
        <v>21.102</v>
      </c>
      <c r="D7" s="11">
        <v>22.690999999999999</v>
      </c>
      <c r="E7" s="11">
        <v>23.742999999999999</v>
      </c>
      <c r="F7" s="11">
        <v>24.539000000000001</v>
      </c>
      <c r="G7" s="11">
        <v>24.852</v>
      </c>
      <c r="H7" s="11">
        <v>25.202000000000002</v>
      </c>
      <c r="I7" s="11">
        <v>25.509</v>
      </c>
      <c r="J7" s="11">
        <v>25.824000000000002</v>
      </c>
      <c r="K7" s="11">
        <v>26.097000000000001</v>
      </c>
      <c r="L7" s="11">
        <v>26.414999999999999</v>
      </c>
      <c r="M7" s="11">
        <v>27.082000000000001</v>
      </c>
      <c r="N7" s="11">
        <v>28.603000000000002</v>
      </c>
      <c r="O7" s="11">
        <v>30.457000000000001</v>
      </c>
      <c r="P7" s="9"/>
      <c r="Q7" s="9">
        <f>O7-C7</f>
        <v>9.3550000000000004</v>
      </c>
      <c r="T7" s="1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</row>
    <row r="8" spans="1:32" x14ac:dyDescent="0.35">
      <c r="A8" s="301">
        <v>3</v>
      </c>
      <c r="B8" s="10" t="s">
        <v>190</v>
      </c>
      <c r="C8" s="78">
        <v>760.33500000000004</v>
      </c>
      <c r="D8" s="11">
        <v>777.65499999999997</v>
      </c>
      <c r="E8" s="11">
        <v>792.77200000000005</v>
      </c>
      <c r="F8" s="11">
        <v>809.17600000000004</v>
      </c>
      <c r="G8" s="11">
        <v>825.27599999999995</v>
      </c>
      <c r="H8" s="11">
        <v>839.69600000000003</v>
      </c>
      <c r="I8" s="11">
        <v>858.25099999999998</v>
      </c>
      <c r="J8" s="11">
        <v>868.02</v>
      </c>
      <c r="K8" s="11">
        <v>880.37699999999995</v>
      </c>
      <c r="L8" s="11">
        <v>896.37400000000002</v>
      </c>
      <c r="M8" s="11">
        <v>910.83299999999997</v>
      </c>
      <c r="N8" s="11">
        <v>925.94</v>
      </c>
      <c r="O8" s="11">
        <v>18.53</v>
      </c>
      <c r="P8" s="9">
        <f t="shared" ref="P8" si="3">O8+N8-C8</f>
        <v>184.13499999999999</v>
      </c>
      <c r="T8" s="1">
        <v>3</v>
      </c>
      <c r="U8" s="147">
        <f t="shared" ref="U8:AF8" si="4">D8-C8</f>
        <v>17.319999999999936</v>
      </c>
      <c r="V8" s="147">
        <f t="shared" si="4"/>
        <v>15.117000000000075</v>
      </c>
      <c r="W8" s="147">
        <f t="shared" si="4"/>
        <v>16.403999999999996</v>
      </c>
      <c r="X8" s="147">
        <f t="shared" si="4"/>
        <v>16.099999999999909</v>
      </c>
      <c r="Y8" s="147">
        <f t="shared" si="4"/>
        <v>14.420000000000073</v>
      </c>
      <c r="Z8" s="147">
        <f t="shared" si="4"/>
        <v>18.55499999999995</v>
      </c>
      <c r="AA8" s="147">
        <f t="shared" si="4"/>
        <v>9.7690000000000055</v>
      </c>
      <c r="AB8" s="147">
        <f t="shared" si="4"/>
        <v>12.356999999999971</v>
      </c>
      <c r="AC8" s="147">
        <f t="shared" si="4"/>
        <v>15.997000000000071</v>
      </c>
      <c r="AD8" s="147">
        <f t="shared" si="4"/>
        <v>14.458999999999946</v>
      </c>
      <c r="AE8" s="147">
        <f t="shared" si="4"/>
        <v>15.107000000000085</v>
      </c>
      <c r="AF8" s="147">
        <f t="shared" ref="AF8:AF22" si="5">O8</f>
        <v>18.53</v>
      </c>
    </row>
    <row r="9" spans="1:32" x14ac:dyDescent="0.35">
      <c r="A9" s="301"/>
      <c r="B9" s="10" t="s">
        <v>364</v>
      </c>
      <c r="C9" s="78">
        <v>65.28</v>
      </c>
      <c r="D9" s="11">
        <v>70.997</v>
      </c>
      <c r="E9" s="11">
        <v>74.287999999999997</v>
      </c>
      <c r="F9" s="11">
        <v>77.894999999999996</v>
      </c>
      <c r="G9" s="11">
        <v>80.010999999999996</v>
      </c>
      <c r="H9" s="11">
        <v>80.662000000000006</v>
      </c>
      <c r="I9" s="11">
        <v>81.305000000000007</v>
      </c>
      <c r="J9" s="11">
        <v>81.58</v>
      </c>
      <c r="K9" s="11">
        <v>81.912999999999997</v>
      </c>
      <c r="L9" s="11">
        <v>82.492000000000004</v>
      </c>
      <c r="M9" s="11">
        <v>84.234999999999999</v>
      </c>
      <c r="N9" s="11">
        <v>89.078999999999994</v>
      </c>
      <c r="O9" s="11">
        <v>94.093000000000004</v>
      </c>
      <c r="P9" s="9"/>
      <c r="Q9" s="9">
        <f>O9-C9</f>
        <v>28.813000000000002</v>
      </c>
      <c r="T9" s="1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</row>
    <row r="10" spans="1:32" x14ac:dyDescent="0.35">
      <c r="A10" s="301">
        <v>4</v>
      </c>
      <c r="B10" s="10" t="s">
        <v>275</v>
      </c>
      <c r="C10" s="78">
        <v>178.44800000000001</v>
      </c>
      <c r="D10" s="11">
        <v>184.87100000000001</v>
      </c>
      <c r="E10" s="11">
        <v>187.06399999999999</v>
      </c>
      <c r="F10" s="11">
        <v>191.018</v>
      </c>
      <c r="G10" s="11">
        <v>194.81700000000001</v>
      </c>
      <c r="H10" s="11">
        <v>203.05099999999999</v>
      </c>
      <c r="I10" s="11">
        <v>210.96199999999999</v>
      </c>
      <c r="J10" s="11">
        <v>219.405</v>
      </c>
      <c r="K10" s="11">
        <v>224.053</v>
      </c>
      <c r="L10" s="11">
        <v>228.762</v>
      </c>
      <c r="M10" s="11">
        <v>231.7</v>
      </c>
      <c r="N10" s="11">
        <v>238.94</v>
      </c>
      <c r="O10" s="11">
        <v>5.3970000000000002</v>
      </c>
      <c r="P10" s="9">
        <f t="shared" ref="P10" si="6">O10+N10-C10</f>
        <v>65.888999999999982</v>
      </c>
      <c r="T10" s="1">
        <v>4</v>
      </c>
      <c r="U10" s="147">
        <f t="shared" ref="U10:AF10" si="7">D10-C10</f>
        <v>6.4230000000000018</v>
      </c>
      <c r="V10" s="147">
        <f t="shared" si="7"/>
        <v>2.1929999999999836</v>
      </c>
      <c r="W10" s="147">
        <f t="shared" si="7"/>
        <v>3.9540000000000077</v>
      </c>
      <c r="X10" s="147">
        <f t="shared" si="7"/>
        <v>3.7990000000000066</v>
      </c>
      <c r="Y10" s="147">
        <f t="shared" si="7"/>
        <v>8.2339999999999804</v>
      </c>
      <c r="Z10" s="147">
        <f t="shared" si="7"/>
        <v>7.9110000000000014</v>
      </c>
      <c r="AA10" s="147">
        <f t="shared" si="7"/>
        <v>8.4430000000000121</v>
      </c>
      <c r="AB10" s="147">
        <f t="shared" si="7"/>
        <v>4.6479999999999961</v>
      </c>
      <c r="AC10" s="147">
        <f t="shared" si="7"/>
        <v>4.7090000000000032</v>
      </c>
      <c r="AD10" s="147">
        <f t="shared" si="7"/>
        <v>2.9379999999999882</v>
      </c>
      <c r="AE10" s="147">
        <f t="shared" si="7"/>
        <v>7.2400000000000091</v>
      </c>
      <c r="AF10" s="147">
        <f t="shared" ref="AF10:AF22" si="8">O10</f>
        <v>5.3970000000000002</v>
      </c>
    </row>
    <row r="11" spans="1:32" x14ac:dyDescent="0.35">
      <c r="A11" s="301"/>
      <c r="B11" s="10" t="s">
        <v>365</v>
      </c>
      <c r="C11" s="78">
        <v>15.885</v>
      </c>
      <c r="D11" s="11">
        <v>17.768000000000001</v>
      </c>
      <c r="E11" s="11">
        <v>18.286999999999999</v>
      </c>
      <c r="F11" s="11">
        <v>18.658999999999999</v>
      </c>
      <c r="G11" s="11">
        <v>19.007000000000001</v>
      </c>
      <c r="H11" s="11">
        <v>19.635000000000002</v>
      </c>
      <c r="I11" s="11">
        <v>20.195</v>
      </c>
      <c r="J11" s="11">
        <v>20.681000000000001</v>
      </c>
      <c r="K11" s="11">
        <v>20.943000000000001</v>
      </c>
      <c r="L11" s="11">
        <v>21.263999999999999</v>
      </c>
      <c r="M11" s="11">
        <v>21.484000000000002</v>
      </c>
      <c r="N11" s="11">
        <v>22.582000000000001</v>
      </c>
      <c r="O11" s="11">
        <v>23.329000000000001</v>
      </c>
      <c r="P11" s="9"/>
      <c r="Q11" s="9">
        <f>O11-C11</f>
        <v>7.4440000000000008</v>
      </c>
      <c r="T11" s="1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</row>
    <row r="12" spans="1:32" x14ac:dyDescent="0.35">
      <c r="A12" s="294">
        <v>5</v>
      </c>
      <c r="B12" s="10" t="s">
        <v>191</v>
      </c>
      <c r="C12" s="78">
        <v>332.06200000000001</v>
      </c>
      <c r="D12" s="11">
        <v>344.19900000000001</v>
      </c>
      <c r="E12" s="11">
        <v>355.517</v>
      </c>
      <c r="F12" s="11">
        <v>367.49900000000002</v>
      </c>
      <c r="G12" s="11">
        <v>378.96</v>
      </c>
      <c r="H12" s="11">
        <v>391.36200000000002</v>
      </c>
      <c r="I12" s="11">
        <v>404.798</v>
      </c>
      <c r="J12" s="11">
        <v>418.31299999999999</v>
      </c>
      <c r="K12" s="11">
        <v>432.899</v>
      </c>
      <c r="L12" s="11">
        <v>446.35199999999998</v>
      </c>
      <c r="M12" s="11">
        <v>459.96199999999999</v>
      </c>
      <c r="N12" s="11">
        <v>470.68</v>
      </c>
      <c r="O12" s="11">
        <v>11.214</v>
      </c>
      <c r="P12" s="9">
        <f t="shared" ref="P12" si="9">O12+N12-C12</f>
        <v>149.83199999999999</v>
      </c>
      <c r="T12" s="1">
        <v>5</v>
      </c>
      <c r="U12" s="147">
        <f t="shared" ref="U12:AF12" si="10">D12-C12</f>
        <v>12.137</v>
      </c>
      <c r="V12" s="147">
        <f t="shared" si="10"/>
        <v>11.317999999999984</v>
      </c>
      <c r="W12" s="147">
        <f t="shared" si="10"/>
        <v>11.982000000000028</v>
      </c>
      <c r="X12" s="147">
        <f t="shared" si="10"/>
        <v>11.460999999999956</v>
      </c>
      <c r="Y12" s="147">
        <f t="shared" si="10"/>
        <v>12.402000000000044</v>
      </c>
      <c r="Z12" s="147">
        <f t="shared" si="10"/>
        <v>13.435999999999979</v>
      </c>
      <c r="AA12" s="147">
        <f t="shared" si="10"/>
        <v>13.514999999999986</v>
      </c>
      <c r="AB12" s="147">
        <f t="shared" si="10"/>
        <v>14.586000000000013</v>
      </c>
      <c r="AC12" s="147">
        <f t="shared" si="10"/>
        <v>13.452999999999975</v>
      </c>
      <c r="AD12" s="147">
        <f t="shared" si="10"/>
        <v>13.610000000000014</v>
      </c>
      <c r="AE12" s="147">
        <f t="shared" si="10"/>
        <v>10.718000000000018</v>
      </c>
      <c r="AF12" s="147">
        <f t="shared" ref="AF12:AF22" si="11">O12</f>
        <v>11.214</v>
      </c>
    </row>
    <row r="13" spans="1:32" x14ac:dyDescent="0.35">
      <c r="A13" s="294"/>
      <c r="B13" s="10" t="s">
        <v>366</v>
      </c>
      <c r="C13" s="78">
        <v>27.158999999999999</v>
      </c>
      <c r="D13" s="11">
        <v>29.518000000000001</v>
      </c>
      <c r="E13" s="11">
        <v>31.018000000000001</v>
      </c>
      <c r="F13" s="11">
        <v>32.481000000000002</v>
      </c>
      <c r="G13" s="11">
        <v>33.468000000000004</v>
      </c>
      <c r="H13" s="11">
        <v>34.341999999999999</v>
      </c>
      <c r="I13" s="11">
        <v>35.115000000000002</v>
      </c>
      <c r="J13" s="11">
        <v>35.817999999999998</v>
      </c>
      <c r="K13" s="11">
        <v>36.415999999999997</v>
      </c>
      <c r="L13" s="11">
        <v>37.113999999999997</v>
      </c>
      <c r="M13" s="11">
        <v>38.158000000000001</v>
      </c>
      <c r="N13" s="11">
        <v>40.127000000000002</v>
      </c>
      <c r="O13" s="11">
        <v>42.301000000000002</v>
      </c>
      <c r="P13" s="9"/>
      <c r="Q13" s="9">
        <f>O13-C13</f>
        <v>15.142000000000003</v>
      </c>
      <c r="T13" s="1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</row>
    <row r="14" spans="1:32" x14ac:dyDescent="0.35">
      <c r="A14" s="294">
        <v>6</v>
      </c>
      <c r="B14" s="10" t="s">
        <v>192</v>
      </c>
      <c r="C14" s="78">
        <v>257.08699999999999</v>
      </c>
      <c r="D14" s="11">
        <v>260.57100000000003</v>
      </c>
      <c r="E14" s="11">
        <v>263.79199999999997</v>
      </c>
      <c r="F14" s="11">
        <v>264.363</v>
      </c>
      <c r="G14" s="11">
        <v>266.76</v>
      </c>
      <c r="H14" s="11">
        <v>270.803</v>
      </c>
      <c r="I14" s="11">
        <v>274.21499999999997</v>
      </c>
      <c r="J14" s="11">
        <v>277.91699999999997</v>
      </c>
      <c r="K14" s="11">
        <v>281.33</v>
      </c>
      <c r="L14" s="11">
        <v>284.44200000000001</v>
      </c>
      <c r="M14" s="11">
        <v>284.69799999999998</v>
      </c>
      <c r="N14" s="11">
        <v>286.33999999999997</v>
      </c>
      <c r="O14" s="11">
        <v>4.9690000000000003</v>
      </c>
      <c r="P14" s="9">
        <f t="shared" ref="P14" si="12">O14+N14-C14</f>
        <v>34.22199999999998</v>
      </c>
      <c r="T14" s="1">
        <v>6</v>
      </c>
      <c r="U14" s="147">
        <f t="shared" ref="U14:AF14" si="13">D14-C14</f>
        <v>3.4840000000000373</v>
      </c>
      <c r="V14" s="147">
        <f t="shared" si="13"/>
        <v>3.2209999999999468</v>
      </c>
      <c r="W14" s="147">
        <f t="shared" si="13"/>
        <v>0.57100000000002638</v>
      </c>
      <c r="X14" s="147">
        <f t="shared" si="13"/>
        <v>2.3969999999999914</v>
      </c>
      <c r="Y14" s="147">
        <f t="shared" si="13"/>
        <v>4.0430000000000064</v>
      </c>
      <c r="Z14" s="147">
        <f t="shared" si="13"/>
        <v>3.4119999999999777</v>
      </c>
      <c r="AA14" s="147">
        <f t="shared" si="13"/>
        <v>3.7019999999999982</v>
      </c>
      <c r="AB14" s="147">
        <f t="shared" si="13"/>
        <v>3.4130000000000109</v>
      </c>
      <c r="AC14" s="147">
        <f t="shared" si="13"/>
        <v>3.1120000000000232</v>
      </c>
      <c r="AD14" s="147">
        <f t="shared" si="13"/>
        <v>0.25599999999997181</v>
      </c>
      <c r="AE14" s="147">
        <f t="shared" si="13"/>
        <v>1.6419999999999959</v>
      </c>
      <c r="AF14" s="147">
        <f t="shared" ref="AF14:AF22" si="14">O14</f>
        <v>4.9690000000000003</v>
      </c>
    </row>
    <row r="15" spans="1:32" x14ac:dyDescent="0.35">
      <c r="A15" s="294"/>
      <c r="B15" s="10" t="s">
        <v>367</v>
      </c>
      <c r="C15" s="78">
        <v>38.878</v>
      </c>
      <c r="D15" s="11">
        <v>42.57</v>
      </c>
      <c r="E15" s="11">
        <v>44.81</v>
      </c>
      <c r="F15" s="11">
        <v>45.021000000000001</v>
      </c>
      <c r="G15" s="11">
        <v>45.484000000000002</v>
      </c>
      <c r="H15" s="11">
        <v>45.893999999999998</v>
      </c>
      <c r="I15" s="11">
        <v>46.238</v>
      </c>
      <c r="J15" s="11">
        <v>46.527000000000001</v>
      </c>
      <c r="K15" s="11">
        <v>46.777999999999999</v>
      </c>
      <c r="L15" s="11">
        <v>47.03</v>
      </c>
      <c r="M15" s="11">
        <v>47.158000000000001</v>
      </c>
      <c r="N15" s="11">
        <v>48.634999999999998</v>
      </c>
      <c r="O15" s="11">
        <v>51.493000000000002</v>
      </c>
      <c r="P15" s="9"/>
      <c r="Q15" s="9">
        <f>O15-C15</f>
        <v>12.615000000000002</v>
      </c>
      <c r="T15" s="1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</row>
    <row r="16" spans="1:32" x14ac:dyDescent="0.35">
      <c r="A16" s="294">
        <v>7</v>
      </c>
      <c r="B16" s="10" t="s">
        <v>193</v>
      </c>
      <c r="C16" s="78">
        <v>601.72500000000002</v>
      </c>
      <c r="D16" s="11">
        <v>614.89</v>
      </c>
      <c r="E16" s="11">
        <v>626.89499999999998</v>
      </c>
      <c r="F16" s="11">
        <v>638.01599999999996</v>
      </c>
      <c r="G16" s="11">
        <v>651.45899999999995</v>
      </c>
      <c r="H16" s="11">
        <v>662.69100000000003</v>
      </c>
      <c r="I16" s="11">
        <v>675.05499999999995</v>
      </c>
      <c r="J16" s="11">
        <v>684.47299999999996</v>
      </c>
      <c r="K16" s="11">
        <v>696.12400000000002</v>
      </c>
      <c r="L16" s="11">
        <v>708.31899999999996</v>
      </c>
      <c r="M16" s="11">
        <v>719.76700000000005</v>
      </c>
      <c r="N16" s="11">
        <v>732.78000000000009</v>
      </c>
      <c r="O16" s="11">
        <v>16.535</v>
      </c>
      <c r="P16" s="9">
        <f t="shared" ref="P16" si="15">O16+N16-C16</f>
        <v>147.59000000000003</v>
      </c>
      <c r="T16" s="1">
        <v>7</v>
      </c>
      <c r="U16" s="147">
        <f t="shared" ref="U16:AF16" si="16">D16-C16</f>
        <v>13.164999999999964</v>
      </c>
      <c r="V16" s="147">
        <f t="shared" si="16"/>
        <v>12.004999999999995</v>
      </c>
      <c r="W16" s="147">
        <f t="shared" si="16"/>
        <v>11.120999999999981</v>
      </c>
      <c r="X16" s="147">
        <f t="shared" si="16"/>
        <v>13.442999999999984</v>
      </c>
      <c r="Y16" s="147">
        <f t="shared" si="16"/>
        <v>11.232000000000085</v>
      </c>
      <c r="Z16" s="147">
        <f t="shared" si="16"/>
        <v>12.363999999999919</v>
      </c>
      <c r="AA16" s="147">
        <f t="shared" si="16"/>
        <v>9.4180000000000064</v>
      </c>
      <c r="AB16" s="147">
        <f t="shared" si="16"/>
        <v>11.651000000000067</v>
      </c>
      <c r="AC16" s="147">
        <f t="shared" si="16"/>
        <v>12.194999999999936</v>
      </c>
      <c r="AD16" s="147">
        <f t="shared" si="16"/>
        <v>11.448000000000093</v>
      </c>
      <c r="AE16" s="147">
        <f t="shared" si="16"/>
        <v>13.013000000000034</v>
      </c>
      <c r="AF16" s="147">
        <f t="shared" ref="AF16:AF22" si="17">O16</f>
        <v>16.535</v>
      </c>
    </row>
    <row r="17" spans="1:32" x14ac:dyDescent="0.35">
      <c r="A17" s="294"/>
      <c r="B17" s="10" t="s">
        <v>368</v>
      </c>
      <c r="C17" s="78">
        <v>69.489000000000004</v>
      </c>
      <c r="D17" s="11">
        <v>74.385999999999996</v>
      </c>
      <c r="E17" s="11">
        <v>78.994</v>
      </c>
      <c r="F17" s="11">
        <v>82.561000000000007</v>
      </c>
      <c r="G17" s="11">
        <v>84.105999999999995</v>
      </c>
      <c r="H17" s="11">
        <v>85.055000000000007</v>
      </c>
      <c r="I17" s="11">
        <v>85.950999999999993</v>
      </c>
      <c r="J17" s="11">
        <v>86.534999999999997</v>
      </c>
      <c r="K17" s="11">
        <v>87.180999999999997</v>
      </c>
      <c r="L17" s="11">
        <v>88.013999999999996</v>
      </c>
      <c r="M17" s="11">
        <v>89.908000000000001</v>
      </c>
      <c r="N17" s="11">
        <v>94.869</v>
      </c>
      <c r="O17" s="11">
        <v>100.364</v>
      </c>
      <c r="P17" s="9"/>
      <c r="Q17" s="9">
        <f>O17-C17</f>
        <v>30.875</v>
      </c>
      <c r="T17" s="1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</row>
    <row r="18" spans="1:32" x14ac:dyDescent="0.35">
      <c r="A18" s="294">
        <v>8</v>
      </c>
      <c r="B18" s="10" t="s">
        <v>194</v>
      </c>
      <c r="C18" s="78">
        <v>358.09800000000001</v>
      </c>
      <c r="D18" s="11">
        <v>366.99299999999999</v>
      </c>
      <c r="E18" s="11">
        <v>374.63900000000001</v>
      </c>
      <c r="F18" s="11">
        <v>382.92</v>
      </c>
      <c r="G18" s="11">
        <v>390.44299999999998</v>
      </c>
      <c r="H18" s="11">
        <v>398.11</v>
      </c>
      <c r="I18" s="11">
        <v>404.43799999999999</v>
      </c>
      <c r="J18" s="11">
        <v>409.49700000000001</v>
      </c>
      <c r="K18" s="11">
        <v>414.59399999999999</v>
      </c>
      <c r="L18" s="11">
        <v>421.029</v>
      </c>
      <c r="M18" s="11">
        <v>428.06799999999998</v>
      </c>
      <c r="N18" s="11">
        <v>436</v>
      </c>
      <c r="O18" s="11">
        <v>9.1690000000000005</v>
      </c>
      <c r="P18" s="9">
        <f t="shared" ref="P18" si="18">O18+N18-C18</f>
        <v>87.07099999999997</v>
      </c>
      <c r="T18" s="1">
        <v>8</v>
      </c>
      <c r="U18" s="147">
        <f t="shared" ref="U18:AF18" si="19">D18-C18</f>
        <v>8.8949999999999818</v>
      </c>
      <c r="V18" s="147">
        <f t="shared" si="19"/>
        <v>7.646000000000015</v>
      </c>
      <c r="W18" s="147">
        <f t="shared" si="19"/>
        <v>8.2810000000000059</v>
      </c>
      <c r="X18" s="147">
        <f t="shared" si="19"/>
        <v>7.5229999999999677</v>
      </c>
      <c r="Y18" s="147">
        <f t="shared" si="19"/>
        <v>7.66700000000003</v>
      </c>
      <c r="Z18" s="147">
        <f t="shared" si="19"/>
        <v>6.3279999999999745</v>
      </c>
      <c r="AA18" s="147">
        <f t="shared" si="19"/>
        <v>5.0590000000000259</v>
      </c>
      <c r="AB18" s="147">
        <f t="shared" si="19"/>
        <v>5.09699999999998</v>
      </c>
      <c r="AC18" s="147">
        <f t="shared" si="19"/>
        <v>6.4350000000000023</v>
      </c>
      <c r="AD18" s="147">
        <f t="shared" si="19"/>
        <v>7.0389999999999873</v>
      </c>
      <c r="AE18" s="147">
        <f t="shared" si="19"/>
        <v>7.9320000000000164</v>
      </c>
      <c r="AF18" s="147">
        <f t="shared" ref="AF18:AF22" si="20">O18</f>
        <v>9.1690000000000005</v>
      </c>
    </row>
    <row r="19" spans="1:32" x14ac:dyDescent="0.35">
      <c r="A19" s="294"/>
      <c r="B19" s="10" t="s">
        <v>369</v>
      </c>
      <c r="C19" s="78">
        <v>34.542000000000002</v>
      </c>
      <c r="D19" s="11">
        <v>37.753999999999998</v>
      </c>
      <c r="E19" s="11">
        <v>39.802999999999997</v>
      </c>
      <c r="F19" s="11">
        <v>41.322000000000003</v>
      </c>
      <c r="G19" s="11">
        <v>41.962000000000003</v>
      </c>
      <c r="H19" s="11">
        <v>42.375999999999998</v>
      </c>
      <c r="I19" s="11">
        <v>42.707000000000001</v>
      </c>
      <c r="J19" s="11">
        <v>42.915999999999997</v>
      </c>
      <c r="K19" s="11">
        <v>43.109000000000002</v>
      </c>
      <c r="L19" s="11">
        <v>43.415999999999997</v>
      </c>
      <c r="M19" s="11">
        <v>44.344999999999999</v>
      </c>
      <c r="N19" s="11">
        <v>47.529000000000003</v>
      </c>
      <c r="O19" s="11">
        <v>50.76</v>
      </c>
      <c r="P19" s="9"/>
      <c r="Q19" s="9">
        <f>O19-C19</f>
        <v>16.217999999999996</v>
      </c>
      <c r="T19" s="1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</row>
    <row r="20" spans="1:32" x14ac:dyDescent="0.35">
      <c r="A20" s="294">
        <v>9</v>
      </c>
      <c r="B20" s="10" t="s">
        <v>195</v>
      </c>
      <c r="C20" s="78">
        <v>108.634</v>
      </c>
      <c r="D20" s="11">
        <v>111.64400000000001</v>
      </c>
      <c r="E20" s="11">
        <v>114.375</v>
      </c>
      <c r="F20" s="11">
        <v>116.624</v>
      </c>
      <c r="G20" s="11">
        <v>118.977</v>
      </c>
      <c r="H20" s="11">
        <v>121.425</v>
      </c>
      <c r="I20" s="11">
        <v>123.863</v>
      </c>
      <c r="J20" s="11">
        <v>126.05200000000001</v>
      </c>
      <c r="K20" s="11">
        <v>128.36500000000001</v>
      </c>
      <c r="L20" s="11">
        <v>131.001</v>
      </c>
      <c r="M20" s="11">
        <v>134.048</v>
      </c>
      <c r="N20" s="11">
        <v>136.10999999999999</v>
      </c>
      <c r="O20" s="11">
        <v>3.294</v>
      </c>
      <c r="P20" s="9">
        <f t="shared" ref="P20" si="21">O20+N20-C20</f>
        <v>30.769999999999996</v>
      </c>
      <c r="T20" s="1">
        <v>9</v>
      </c>
      <c r="U20" s="147">
        <f t="shared" ref="U20:AF20" si="22">D20-C20</f>
        <v>3.0100000000000051</v>
      </c>
      <c r="V20" s="147">
        <f t="shared" si="22"/>
        <v>2.7309999999999945</v>
      </c>
      <c r="W20" s="147">
        <f t="shared" si="22"/>
        <v>2.2489999999999952</v>
      </c>
      <c r="X20" s="147">
        <f t="shared" si="22"/>
        <v>2.3530000000000086</v>
      </c>
      <c r="Y20" s="147">
        <f t="shared" si="22"/>
        <v>2.4479999999999933</v>
      </c>
      <c r="Z20" s="147">
        <f t="shared" si="22"/>
        <v>2.4380000000000024</v>
      </c>
      <c r="AA20" s="147">
        <f t="shared" si="22"/>
        <v>2.1890000000000072</v>
      </c>
      <c r="AB20" s="147">
        <f t="shared" si="22"/>
        <v>2.3130000000000024</v>
      </c>
      <c r="AC20" s="147">
        <f t="shared" si="22"/>
        <v>2.6359999999999957</v>
      </c>
      <c r="AD20" s="147">
        <f t="shared" si="22"/>
        <v>3.046999999999997</v>
      </c>
      <c r="AE20" s="147">
        <f t="shared" si="22"/>
        <v>2.0619999999999834</v>
      </c>
      <c r="AF20" s="147">
        <f t="shared" ref="AF20:AF22" si="23">O20</f>
        <v>3.294</v>
      </c>
    </row>
    <row r="21" spans="1:32" x14ac:dyDescent="0.35">
      <c r="A21" s="294"/>
      <c r="B21" s="10" t="s">
        <v>370</v>
      </c>
      <c r="C21" s="78">
        <v>23.882000000000001</v>
      </c>
      <c r="D21" s="11">
        <v>26.152000000000001</v>
      </c>
      <c r="E21" s="11">
        <v>26.812000000000001</v>
      </c>
      <c r="F21" s="11">
        <v>26.931999999999999</v>
      </c>
      <c r="G21" s="11">
        <v>26.971</v>
      </c>
      <c r="H21" s="11">
        <v>27.006</v>
      </c>
      <c r="I21" s="11">
        <v>27.041</v>
      </c>
      <c r="J21" s="11">
        <v>27.053999999999998</v>
      </c>
      <c r="K21" s="11">
        <v>27.076000000000001</v>
      </c>
      <c r="L21" s="11">
        <v>27.100999999999999</v>
      </c>
      <c r="M21" s="11">
        <v>27.277000000000001</v>
      </c>
      <c r="N21" s="11">
        <v>28.824000000000002</v>
      </c>
      <c r="O21" s="11">
        <v>31.082999999999998</v>
      </c>
      <c r="P21" s="9"/>
      <c r="Q21" s="9">
        <f>O21-C21</f>
        <v>7.200999999999997</v>
      </c>
      <c r="T21" s="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 spans="1:32" x14ac:dyDescent="0.35">
      <c r="A22" s="294">
        <v>10</v>
      </c>
      <c r="B22" s="10" t="s">
        <v>196</v>
      </c>
      <c r="C22" s="78">
        <v>490.625</v>
      </c>
      <c r="D22" s="11">
        <v>501.596</v>
      </c>
      <c r="E22" s="11">
        <v>510.512</v>
      </c>
      <c r="F22" s="11">
        <v>520.93499999999995</v>
      </c>
      <c r="G22" s="11">
        <v>532.22400000000005</v>
      </c>
      <c r="H22" s="11">
        <v>543.274</v>
      </c>
      <c r="I22" s="11">
        <v>553.04</v>
      </c>
      <c r="J22" s="11">
        <v>560.82899999999995</v>
      </c>
      <c r="K22" s="11">
        <v>571.30899999999997</v>
      </c>
      <c r="L22" s="11">
        <v>579.37099999999998</v>
      </c>
      <c r="M22" s="11">
        <v>591.529</v>
      </c>
      <c r="N22" s="11">
        <v>603.21</v>
      </c>
      <c r="O22" s="11">
        <v>12.856999999999999</v>
      </c>
      <c r="P22" s="9">
        <f t="shared" ref="P22" si="24">O22+N22-C22</f>
        <v>125.44200000000001</v>
      </c>
      <c r="T22" s="1">
        <v>10</v>
      </c>
      <c r="U22" s="147">
        <f t="shared" ref="U22:AF22" si="25">D22-C22</f>
        <v>10.971000000000004</v>
      </c>
      <c r="V22" s="147">
        <f t="shared" si="25"/>
        <v>8.9159999999999968</v>
      </c>
      <c r="W22" s="147">
        <f t="shared" si="25"/>
        <v>10.422999999999945</v>
      </c>
      <c r="X22" s="147">
        <f t="shared" si="25"/>
        <v>11.289000000000101</v>
      </c>
      <c r="Y22" s="147">
        <f t="shared" si="25"/>
        <v>11.049999999999955</v>
      </c>
      <c r="Z22" s="147">
        <f t="shared" si="25"/>
        <v>9.7659999999999627</v>
      </c>
      <c r="AA22" s="147">
        <f t="shared" si="25"/>
        <v>7.7889999999999873</v>
      </c>
      <c r="AB22" s="147">
        <f t="shared" si="25"/>
        <v>10.480000000000018</v>
      </c>
      <c r="AC22" s="147">
        <f t="shared" si="25"/>
        <v>8.0620000000000118</v>
      </c>
      <c r="AD22" s="147">
        <f t="shared" si="25"/>
        <v>12.158000000000015</v>
      </c>
      <c r="AE22" s="147">
        <f t="shared" si="25"/>
        <v>11.68100000000004</v>
      </c>
      <c r="AF22" s="147">
        <f t="shared" ref="AF22" si="26">O22</f>
        <v>12.856999999999999</v>
      </c>
    </row>
    <row r="23" spans="1:32" x14ac:dyDescent="0.35">
      <c r="A23" s="294"/>
      <c r="B23" s="10" t="s">
        <v>371</v>
      </c>
      <c r="C23" s="78">
        <v>50.173999999999999</v>
      </c>
      <c r="D23" s="11">
        <v>55.082000000000001</v>
      </c>
      <c r="E23" s="11">
        <v>57.944000000000003</v>
      </c>
      <c r="F23" s="11">
        <v>59.795999999999999</v>
      </c>
      <c r="G23" s="11">
        <v>60.826000000000001</v>
      </c>
      <c r="H23" s="11">
        <v>61.484999999999999</v>
      </c>
      <c r="I23" s="11">
        <v>62.027999999999999</v>
      </c>
      <c r="J23" s="11">
        <v>62.4</v>
      </c>
      <c r="K23" s="11">
        <v>62.817999999999998</v>
      </c>
      <c r="L23" s="11">
        <v>63.192</v>
      </c>
      <c r="M23" s="11">
        <v>64.472999999999999</v>
      </c>
      <c r="N23" s="11">
        <v>68.418999999999997</v>
      </c>
      <c r="O23" s="11">
        <v>72.903000000000006</v>
      </c>
      <c r="P23" s="13"/>
      <c r="Q23" s="98">
        <f>O23-C23</f>
        <v>22.729000000000006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</row>
    <row r="24" spans="1:32" x14ac:dyDescent="0.35">
      <c r="A24" s="114"/>
      <c r="B24" s="10"/>
      <c r="C24" s="7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911.52399999999989</v>
      </c>
      <c r="Q24" s="9">
        <f>SUM(Q4:Q23)</f>
        <v>180.06800000000001</v>
      </c>
    </row>
    <row r="25" spans="1:32" x14ac:dyDescent="0.35">
      <c r="A25" s="114" t="s">
        <v>15</v>
      </c>
      <c r="B25" s="10" t="s">
        <v>33</v>
      </c>
      <c r="C25" s="79">
        <v>52040</v>
      </c>
      <c r="D25" s="15">
        <v>52279</v>
      </c>
      <c r="E25" s="15">
        <v>52464</v>
      </c>
      <c r="F25" s="15">
        <v>52693</v>
      </c>
      <c r="G25" s="15">
        <v>52882</v>
      </c>
      <c r="H25" s="15">
        <v>35946</v>
      </c>
      <c r="I25" s="15">
        <v>36159</v>
      </c>
      <c r="J25" s="15">
        <v>36374</v>
      </c>
      <c r="K25" s="15">
        <v>36568</v>
      </c>
      <c r="L25" s="15">
        <v>36756</v>
      </c>
      <c r="M25" s="15">
        <v>36951</v>
      </c>
      <c r="N25" s="15">
        <v>37156</v>
      </c>
      <c r="O25" s="15">
        <v>37354</v>
      </c>
      <c r="P25" s="9"/>
      <c r="R25" s="273">
        <f>O25-G42+G41-C25</f>
        <v>2450</v>
      </c>
    </row>
    <row r="26" spans="1:32" x14ac:dyDescent="0.35">
      <c r="A26" s="114"/>
      <c r="B26" s="10" t="s">
        <v>197</v>
      </c>
      <c r="C26" s="80">
        <v>3993.9</v>
      </c>
      <c r="D26" s="18">
        <v>4084.8</v>
      </c>
      <c r="E26" s="18">
        <v>4163.3</v>
      </c>
      <c r="F26" s="18">
        <v>4244.1000000000004</v>
      </c>
      <c r="G26" s="18">
        <v>4328.3</v>
      </c>
      <c r="H26" s="18">
        <v>4416.1000000000004</v>
      </c>
      <c r="I26" s="18">
        <v>4505.8999999999996</v>
      </c>
      <c r="J26" s="18">
        <v>4581</v>
      </c>
      <c r="K26" s="18">
        <v>4661.3</v>
      </c>
      <c r="L26" s="18">
        <v>4745.1000000000004</v>
      </c>
      <c r="M26" s="18">
        <v>4826.3</v>
      </c>
      <c r="N26" s="18">
        <v>4911.8999999999996</v>
      </c>
      <c r="O26" s="18">
        <v>98.9</v>
      </c>
      <c r="P26" s="330">
        <f>O26+N26-C26</f>
        <v>1016.8999999999992</v>
      </c>
    </row>
    <row r="27" spans="1:32" x14ac:dyDescent="0.35">
      <c r="A27" s="120"/>
      <c r="B27" s="209" t="s">
        <v>272</v>
      </c>
      <c r="C27" s="81">
        <v>722.37</v>
      </c>
      <c r="D27" s="19">
        <v>762.66</v>
      </c>
      <c r="E27" s="19">
        <v>787.68</v>
      </c>
      <c r="F27" s="19">
        <v>805.41</v>
      </c>
      <c r="G27" s="19">
        <v>813.92</v>
      </c>
      <c r="H27" s="19">
        <v>818</v>
      </c>
      <c r="I27" s="19">
        <v>821.5</v>
      </c>
      <c r="J27" s="19">
        <v>823.82</v>
      </c>
      <c r="K27" s="19">
        <v>825.96</v>
      </c>
      <c r="L27" s="19">
        <v>829.42</v>
      </c>
      <c r="M27" s="19">
        <v>839.9</v>
      </c>
      <c r="N27" s="19">
        <v>871.97</v>
      </c>
      <c r="O27" s="19">
        <v>909.03</v>
      </c>
      <c r="P27" s="9"/>
      <c r="Q27" s="9">
        <f>O27-C27</f>
        <v>186.65999999999997</v>
      </c>
      <c r="R27" t="s">
        <v>82</v>
      </c>
    </row>
    <row r="28" spans="1:32" ht="15" thickBot="1" x14ac:dyDescent="0.4">
      <c r="A28" s="4"/>
      <c r="B28" s="26" t="s">
        <v>16</v>
      </c>
      <c r="C28" s="82">
        <v>5583</v>
      </c>
      <c r="D28" s="21">
        <v>5881</v>
      </c>
      <c r="E28" s="21">
        <v>6056</v>
      </c>
      <c r="F28" s="21">
        <v>6172</v>
      </c>
      <c r="G28" s="21">
        <v>6230</v>
      </c>
      <c r="H28" s="21">
        <v>6268</v>
      </c>
      <c r="I28" s="21">
        <v>6301</v>
      </c>
      <c r="J28" s="21">
        <v>6325</v>
      </c>
      <c r="K28" s="21">
        <v>6347</v>
      </c>
      <c r="L28" s="21">
        <v>6378</v>
      </c>
      <c r="M28" s="21">
        <v>6460</v>
      </c>
      <c r="N28" s="21">
        <v>6690</v>
      </c>
      <c r="O28" s="21">
        <v>6959</v>
      </c>
      <c r="P28" s="9"/>
      <c r="Q28" s="16">
        <f>O28-C28</f>
        <v>1376</v>
      </c>
      <c r="R28" t="s">
        <v>83</v>
      </c>
    </row>
    <row r="29" spans="1:32" ht="15" thickBot="1" x14ac:dyDescent="0.4">
      <c r="A29" s="122" t="str">
        <f>'1854'!A29</f>
        <v>Fakturační vodoměr:      42012114941</v>
      </c>
      <c r="B29" s="22"/>
      <c r="C29" s="23">
        <f>'1854'!C29</f>
        <v>11067</v>
      </c>
      <c r="D29" s="23">
        <f>'1854'!D29</f>
        <v>11362.8</v>
      </c>
      <c r="E29" s="23">
        <f>'1854'!E29</f>
        <v>11626.9</v>
      </c>
      <c r="F29" s="23">
        <f>'1854'!F29</f>
        <v>11916.3</v>
      </c>
      <c r="G29" s="23">
        <f>'1854'!G29</f>
        <v>12197</v>
      </c>
      <c r="H29" s="23">
        <f>'1854'!H29</f>
        <v>12488</v>
      </c>
      <c r="I29" s="23">
        <f>'1854'!I29</f>
        <v>12761.9</v>
      </c>
      <c r="J29" s="23">
        <f>'1854'!J29</f>
        <v>12999.7</v>
      </c>
      <c r="K29" s="23">
        <f>'1854'!K29</f>
        <v>13270.1</v>
      </c>
      <c r="L29" s="23">
        <f>'1854'!L29</f>
        <v>13553.4</v>
      </c>
      <c r="M29" s="23">
        <f>'1854'!M29</f>
        <v>13826.2</v>
      </c>
      <c r="N29" s="23">
        <f>'1854'!N29</f>
        <v>14094.300000000001</v>
      </c>
      <c r="O29" s="23">
        <f>'1854'!O29</f>
        <v>14411</v>
      </c>
      <c r="P29" s="9">
        <f>O29--C29</f>
        <v>25478</v>
      </c>
    </row>
    <row r="31" spans="1:32" x14ac:dyDescent="0.35">
      <c r="D31" s="25" t="s">
        <v>213</v>
      </c>
      <c r="F31" s="137"/>
    </row>
    <row r="32" spans="1:32" x14ac:dyDescent="0.35">
      <c r="C32" s="303">
        <v>4</v>
      </c>
      <c r="D32" s="304">
        <v>43950</v>
      </c>
      <c r="E32" s="85" t="s">
        <v>211</v>
      </c>
      <c r="F32" s="107"/>
      <c r="G32" s="107"/>
      <c r="K32" t="s">
        <v>233</v>
      </c>
      <c r="N32" s="1" t="s">
        <v>83</v>
      </c>
    </row>
    <row r="33" spans="2:14" x14ac:dyDescent="0.35">
      <c r="C33" s="303"/>
      <c r="D33" s="304"/>
      <c r="E33" s="85" t="s">
        <v>212</v>
      </c>
      <c r="F33" s="107"/>
      <c r="G33" s="107"/>
      <c r="K33" s="181">
        <v>44095</v>
      </c>
      <c r="L33" s="85" t="s">
        <v>211</v>
      </c>
      <c r="M33" s="85"/>
      <c r="N33" s="85"/>
    </row>
    <row r="34" spans="2:14" x14ac:dyDescent="0.35">
      <c r="L34" s="1"/>
      <c r="M34" s="173" t="s">
        <v>226</v>
      </c>
      <c r="N34" s="174" t="s">
        <v>83</v>
      </c>
    </row>
    <row r="35" spans="2:14" x14ac:dyDescent="0.35">
      <c r="E35" t="s">
        <v>224</v>
      </c>
      <c r="H35" s="176" t="s">
        <v>225</v>
      </c>
      <c r="I35" s="1" t="s">
        <v>83</v>
      </c>
      <c r="K35" s="181">
        <v>44095</v>
      </c>
      <c r="L35" s="85" t="s">
        <v>212</v>
      </c>
      <c r="M35" s="85"/>
      <c r="N35" s="85"/>
    </row>
    <row r="36" spans="2:14" x14ac:dyDescent="0.35">
      <c r="D36" t="s">
        <v>227</v>
      </c>
      <c r="E36" s="164">
        <v>43984</v>
      </c>
      <c r="F36" s="85" t="s">
        <v>211</v>
      </c>
      <c r="G36" s="85"/>
      <c r="H36" s="171"/>
      <c r="I36" s="109"/>
    </row>
    <row r="37" spans="2:14" x14ac:dyDescent="0.35">
      <c r="E37" s="172"/>
      <c r="F37" s="173"/>
      <c r="G37" s="173" t="s">
        <v>226</v>
      </c>
      <c r="H37" s="175" t="s">
        <v>82</v>
      </c>
      <c r="I37" s="174" t="s">
        <v>83</v>
      </c>
    </row>
    <row r="38" spans="2:14" x14ac:dyDescent="0.35">
      <c r="D38" t="s">
        <v>228</v>
      </c>
      <c r="E38" s="164">
        <v>43986</v>
      </c>
      <c r="F38" s="85" t="s">
        <v>212</v>
      </c>
      <c r="G38" s="85"/>
      <c r="H38" s="171"/>
      <c r="I38" s="109"/>
    </row>
    <row r="40" spans="2:14" x14ac:dyDescent="0.35">
      <c r="C40" t="s">
        <v>223</v>
      </c>
    </row>
    <row r="41" spans="2:14" x14ac:dyDescent="0.35">
      <c r="C41" s="304">
        <v>45415</v>
      </c>
      <c r="D41" s="85" t="s">
        <v>211</v>
      </c>
      <c r="E41" s="306">
        <v>72370868</v>
      </c>
      <c r="F41" s="306"/>
      <c r="G41" s="107">
        <v>52894</v>
      </c>
    </row>
    <row r="42" spans="2:14" x14ac:dyDescent="0.35">
      <c r="C42" s="304"/>
      <c r="D42" s="85" t="s">
        <v>212</v>
      </c>
      <c r="E42" s="306">
        <v>72954852</v>
      </c>
      <c r="F42" s="306"/>
      <c r="G42" s="107">
        <v>35758</v>
      </c>
    </row>
    <row r="44" spans="2:14" x14ac:dyDescent="0.35">
      <c r="B44" t="s">
        <v>431</v>
      </c>
      <c r="C44" t="s">
        <v>432</v>
      </c>
    </row>
  </sheetData>
  <sheetProtection selectLockedCells="1" selectUnlockedCells="1"/>
  <mergeCells count="15">
    <mergeCell ref="C41:C42"/>
    <mergeCell ref="E41:F41"/>
    <mergeCell ref="E42:F42"/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639" priority="64" stopIfTrue="1" operator="lessThan">
      <formula>$C$4</formula>
    </cfRule>
    <cfRule type="cellIs" dxfId="638" priority="65" stopIfTrue="1" operator="equal">
      <formula>$C$4</formula>
    </cfRule>
  </conditionalFormatting>
  <conditionalFormatting sqref="D5">
    <cfRule type="cellIs" dxfId="637" priority="68" stopIfTrue="1" operator="equal">
      <formula>$C$5</formula>
    </cfRule>
    <cfRule type="cellIs" dxfId="636" priority="69" stopIfTrue="1" operator="lessThan">
      <formula>$C$5</formula>
    </cfRule>
  </conditionalFormatting>
  <conditionalFormatting sqref="D6">
    <cfRule type="cellIs" dxfId="635" priority="75" stopIfTrue="1" operator="equal">
      <formula>$C$6</formula>
    </cfRule>
    <cfRule type="cellIs" dxfId="634" priority="76" stopIfTrue="1" operator="lessThan">
      <formula>$C$6</formula>
    </cfRule>
  </conditionalFormatting>
  <conditionalFormatting sqref="D7">
    <cfRule type="cellIs" dxfId="633" priority="89" stopIfTrue="1" operator="equal">
      <formula>$C$7</formula>
    </cfRule>
    <cfRule type="cellIs" dxfId="632" priority="90" stopIfTrue="1" operator="lessThan">
      <formula>$C$7</formula>
    </cfRule>
  </conditionalFormatting>
  <conditionalFormatting sqref="D8">
    <cfRule type="cellIs" dxfId="631" priority="101" stopIfTrue="1" operator="equal">
      <formula>$C$8</formula>
    </cfRule>
    <cfRule type="cellIs" dxfId="630" priority="102" stopIfTrue="1" operator="lessThan">
      <formula>$C$8</formula>
    </cfRule>
  </conditionalFormatting>
  <conditionalFormatting sqref="D9">
    <cfRule type="cellIs" dxfId="629" priority="115" stopIfTrue="1" operator="equal">
      <formula>$C$9</formula>
    </cfRule>
    <cfRule type="cellIs" dxfId="628" priority="116" stopIfTrue="1" operator="lessThan">
      <formula>$C$9</formula>
    </cfRule>
  </conditionalFormatting>
  <conditionalFormatting sqref="D10">
    <cfRule type="cellIs" dxfId="627" priority="129" stopIfTrue="1" operator="equal">
      <formula>$C$10</formula>
    </cfRule>
    <cfRule type="cellIs" dxfId="626" priority="130" stopIfTrue="1" operator="lessThan">
      <formula>$C$10</formula>
    </cfRule>
  </conditionalFormatting>
  <conditionalFormatting sqref="D11">
    <cfRule type="cellIs" dxfId="625" priority="143" stopIfTrue="1" operator="equal">
      <formula>$C$11</formula>
    </cfRule>
    <cfRule type="cellIs" dxfId="624" priority="144" stopIfTrue="1" operator="lessThan">
      <formula>$C$11</formula>
    </cfRule>
  </conditionalFormatting>
  <conditionalFormatting sqref="D12">
    <cfRule type="cellIs" dxfId="623" priority="157" stopIfTrue="1" operator="equal">
      <formula>$C$12</formula>
    </cfRule>
    <cfRule type="cellIs" dxfId="622" priority="158" stopIfTrue="1" operator="lessThan">
      <formula>$C$12</formula>
    </cfRule>
  </conditionalFormatting>
  <conditionalFormatting sqref="D13">
    <cfRule type="cellIs" dxfId="621" priority="289" stopIfTrue="1" operator="equal">
      <formula>$C$13</formula>
    </cfRule>
    <cfRule type="cellIs" dxfId="620" priority="290" stopIfTrue="1" operator="lessThan">
      <formula>$C$13</formula>
    </cfRule>
  </conditionalFormatting>
  <conditionalFormatting sqref="D14">
    <cfRule type="cellIs" dxfId="619" priority="171" stopIfTrue="1" operator="equal">
      <formula>$C$14</formula>
    </cfRule>
    <cfRule type="cellIs" dxfId="618" priority="172" stopIfTrue="1" operator="lessThan">
      <formula>$C$14</formula>
    </cfRule>
  </conditionalFormatting>
  <conditionalFormatting sqref="D15">
    <cfRule type="cellIs" dxfId="617" priority="173" stopIfTrue="1" operator="equal">
      <formula>$C$15</formula>
    </cfRule>
    <cfRule type="cellIs" dxfId="616" priority="174" stopIfTrue="1" operator="lessThan">
      <formula>$C$15</formula>
    </cfRule>
  </conditionalFormatting>
  <conditionalFormatting sqref="D16">
    <cfRule type="cellIs" dxfId="615" priority="175" stopIfTrue="1" operator="equal">
      <formula>$C$16</formula>
    </cfRule>
    <cfRule type="cellIs" dxfId="614" priority="176" stopIfTrue="1" operator="lessThan">
      <formula>$C$16</formula>
    </cfRule>
  </conditionalFormatting>
  <conditionalFormatting sqref="D17">
    <cfRule type="cellIs" dxfId="613" priority="177" stopIfTrue="1" operator="equal">
      <formula>$C$17</formula>
    </cfRule>
    <cfRule type="cellIs" dxfId="612" priority="178" stopIfTrue="1" operator="lessThan">
      <formula>$C$17</formula>
    </cfRule>
  </conditionalFormatting>
  <conditionalFormatting sqref="D18">
    <cfRule type="cellIs" dxfId="611" priority="179" stopIfTrue="1" operator="equal">
      <formula>$C$18</formula>
    </cfRule>
    <cfRule type="cellIs" dxfId="610" priority="180" stopIfTrue="1" operator="lessThan">
      <formula>$C$18</formula>
    </cfRule>
  </conditionalFormatting>
  <conditionalFormatting sqref="D19">
    <cfRule type="cellIs" dxfId="609" priority="181" stopIfTrue="1" operator="equal">
      <formula>$C$19</formula>
    </cfRule>
    <cfRule type="cellIs" dxfId="608" priority="182" stopIfTrue="1" operator="lessThan">
      <formula>$C$19</formula>
    </cfRule>
  </conditionalFormatting>
  <conditionalFormatting sqref="D20">
    <cfRule type="cellIs" dxfId="607" priority="183" stopIfTrue="1" operator="equal">
      <formula>$C$20</formula>
    </cfRule>
    <cfRule type="cellIs" dxfId="606" priority="184" stopIfTrue="1" operator="lessThan">
      <formula>$C$20</formula>
    </cfRule>
  </conditionalFormatting>
  <conditionalFormatting sqref="D21">
    <cfRule type="cellIs" dxfId="605" priority="185" stopIfTrue="1" operator="equal">
      <formula>$C$21</formula>
    </cfRule>
    <cfRule type="cellIs" dxfId="604" priority="186" stopIfTrue="1" operator="lessThan">
      <formula>$C$21</formula>
    </cfRule>
  </conditionalFormatting>
  <conditionalFormatting sqref="D22">
    <cfRule type="cellIs" dxfId="603" priority="187" stopIfTrue="1" operator="equal">
      <formula>$C$22</formula>
    </cfRule>
    <cfRule type="cellIs" dxfId="602" priority="188" stopIfTrue="1" operator="lessThan">
      <formula>$C$22</formula>
    </cfRule>
  </conditionalFormatting>
  <conditionalFormatting sqref="D23">
    <cfRule type="cellIs" dxfId="601" priority="189" stopIfTrue="1" operator="equal">
      <formula>$C$23</formula>
    </cfRule>
    <cfRule type="cellIs" dxfId="600" priority="190" stopIfTrue="1" operator="lessThan">
      <formula>$C$23</formula>
    </cfRule>
  </conditionalFormatting>
  <conditionalFormatting sqref="D24">
    <cfRule type="cellIs" dxfId="599" priority="321" stopIfTrue="1" operator="equal">
      <formula>$C$24</formula>
    </cfRule>
    <cfRule type="cellIs" dxfId="598" priority="322" stopIfTrue="1" operator="lessThan">
      <formula>$C$24</formula>
    </cfRule>
  </conditionalFormatting>
  <conditionalFormatting sqref="D25">
    <cfRule type="cellIs" dxfId="597" priority="191" stopIfTrue="1" operator="equal">
      <formula>$C$25</formula>
    </cfRule>
    <cfRule type="cellIs" dxfId="596" priority="192" stopIfTrue="1" operator="lessThan">
      <formula>$C$25</formula>
    </cfRule>
  </conditionalFormatting>
  <conditionalFormatting sqref="D26">
    <cfRule type="cellIs" dxfId="595" priority="193" stopIfTrue="1" operator="equal">
      <formula>$C$26</formula>
    </cfRule>
    <cfRule type="cellIs" dxfId="594" priority="194" stopIfTrue="1" operator="lessThan">
      <formula>$C$26</formula>
    </cfRule>
  </conditionalFormatting>
  <conditionalFormatting sqref="D27">
    <cfRule type="cellIs" dxfId="593" priority="195" stopIfTrue="1" operator="equal">
      <formula>$C$27</formula>
    </cfRule>
    <cfRule type="cellIs" dxfId="592" priority="196" stopIfTrue="1" operator="lessThan">
      <formula>$C$27</formula>
    </cfRule>
  </conditionalFormatting>
  <conditionalFormatting sqref="D28">
    <cfRule type="cellIs" dxfId="591" priority="197" stopIfTrue="1" operator="equal">
      <formula>$C$28</formula>
    </cfRule>
    <cfRule type="cellIs" dxfId="590" priority="198" stopIfTrue="1" operator="lessThan">
      <formula>$C$28</formula>
    </cfRule>
  </conditionalFormatting>
  <conditionalFormatting sqref="D29:H29 J29:O29">
    <cfRule type="cellIs" dxfId="589" priority="336" stopIfTrue="1" operator="equal">
      <formula>0</formula>
    </cfRule>
  </conditionalFormatting>
  <conditionalFormatting sqref="E4">
    <cfRule type="cellIs" dxfId="588" priority="66" stopIfTrue="1" operator="equal">
      <formula>$D$4</formula>
    </cfRule>
    <cfRule type="cellIs" dxfId="587" priority="67" stopIfTrue="1" operator="lessThan">
      <formula>$D$4</formula>
    </cfRule>
  </conditionalFormatting>
  <conditionalFormatting sqref="E5">
    <cfRule type="cellIs" dxfId="586" priority="331" stopIfTrue="1" operator="equal">
      <formula>$D$5</formula>
    </cfRule>
    <cfRule type="cellIs" dxfId="585" priority="332" stopIfTrue="1" operator="lessThan">
      <formula>$D$5</formula>
    </cfRule>
  </conditionalFormatting>
  <conditionalFormatting sqref="E6">
    <cfRule type="cellIs" dxfId="584" priority="77" stopIfTrue="1" operator="equal">
      <formula>$D$6</formula>
    </cfRule>
    <cfRule type="cellIs" dxfId="583" priority="78" stopIfTrue="1" operator="lessThan">
      <formula>$D$6</formula>
    </cfRule>
  </conditionalFormatting>
  <conditionalFormatting sqref="E7">
    <cfRule type="cellIs" dxfId="582" priority="91" stopIfTrue="1" operator="equal">
      <formula>$D$7</formula>
    </cfRule>
    <cfRule type="cellIs" dxfId="581" priority="92" stopIfTrue="1" operator="lessThan">
      <formula>$D$7</formula>
    </cfRule>
  </conditionalFormatting>
  <conditionalFormatting sqref="E8">
    <cfRule type="cellIs" dxfId="580" priority="103" stopIfTrue="1" operator="equal">
      <formula>$D$8</formula>
    </cfRule>
    <cfRule type="cellIs" dxfId="579" priority="104" stopIfTrue="1" operator="lessThan">
      <formula>$D$8</formula>
    </cfRule>
  </conditionalFormatting>
  <conditionalFormatting sqref="E9">
    <cfRule type="cellIs" dxfId="578" priority="117" stopIfTrue="1" operator="equal">
      <formula>$D$9</formula>
    </cfRule>
    <cfRule type="cellIs" dxfId="577" priority="118" stopIfTrue="1" operator="lessThan">
      <formula>$D$9</formula>
    </cfRule>
  </conditionalFormatting>
  <conditionalFormatting sqref="E10">
    <cfRule type="cellIs" dxfId="576" priority="131" stopIfTrue="1" operator="equal">
      <formula>$D$10</formula>
    </cfRule>
    <cfRule type="cellIs" dxfId="575" priority="132" stopIfTrue="1" operator="lessThan">
      <formula>$D$10</formula>
    </cfRule>
  </conditionalFormatting>
  <conditionalFormatting sqref="E11">
    <cfRule type="cellIs" dxfId="574" priority="145" stopIfTrue="1" operator="equal">
      <formula>$D$11</formula>
    </cfRule>
    <cfRule type="cellIs" dxfId="573" priority="146" stopIfTrue="1" operator="lessThan">
      <formula>$D$11</formula>
    </cfRule>
  </conditionalFormatting>
  <conditionalFormatting sqref="E12">
    <cfRule type="cellIs" dxfId="572" priority="159" stopIfTrue="1" operator="equal">
      <formula>$D$12</formula>
    </cfRule>
    <cfRule type="cellIs" dxfId="571" priority="160" stopIfTrue="1" operator="lessThan">
      <formula>$D$12</formula>
    </cfRule>
  </conditionalFormatting>
  <conditionalFormatting sqref="E13">
    <cfRule type="cellIs" dxfId="570" priority="199" stopIfTrue="1" operator="equal">
      <formula>$D$13</formula>
    </cfRule>
    <cfRule type="cellIs" dxfId="569" priority="200" stopIfTrue="1" operator="lessThan">
      <formula>$D$13</formula>
    </cfRule>
  </conditionalFormatting>
  <conditionalFormatting sqref="E14">
    <cfRule type="cellIs" dxfId="568" priority="201" stopIfTrue="1" operator="equal">
      <formula>$D$14</formula>
    </cfRule>
    <cfRule type="cellIs" dxfId="567" priority="202" stopIfTrue="1" operator="lessThan">
      <formula>$D$14</formula>
    </cfRule>
  </conditionalFormatting>
  <conditionalFormatting sqref="E15">
    <cfRule type="cellIs" dxfId="566" priority="203" stopIfTrue="1" operator="equal">
      <formula>$D$15</formula>
    </cfRule>
    <cfRule type="cellIs" dxfId="565" priority="204" stopIfTrue="1" operator="lessThan">
      <formula>$D$15</formula>
    </cfRule>
  </conditionalFormatting>
  <conditionalFormatting sqref="E16">
    <cfRule type="cellIs" dxfId="564" priority="205" stopIfTrue="1" operator="equal">
      <formula>$D$16</formula>
    </cfRule>
    <cfRule type="cellIs" dxfId="563" priority="206" stopIfTrue="1" operator="lessThan">
      <formula>$D$16</formula>
    </cfRule>
  </conditionalFormatting>
  <conditionalFormatting sqref="E17">
    <cfRule type="cellIs" dxfId="562" priority="207" stopIfTrue="1" operator="equal">
      <formula>$D$17</formula>
    </cfRule>
    <cfRule type="cellIs" dxfId="561" priority="208" stopIfTrue="1" operator="lessThan">
      <formula>$D$17</formula>
    </cfRule>
  </conditionalFormatting>
  <conditionalFormatting sqref="E18">
    <cfRule type="cellIs" dxfId="560" priority="209" stopIfTrue="1" operator="equal">
      <formula>$D$18</formula>
    </cfRule>
    <cfRule type="cellIs" dxfId="559" priority="210" stopIfTrue="1" operator="lessThan">
      <formula>$D$18</formula>
    </cfRule>
  </conditionalFormatting>
  <conditionalFormatting sqref="E19">
    <cfRule type="cellIs" dxfId="558" priority="211" stopIfTrue="1" operator="equal">
      <formula>$D$19</formula>
    </cfRule>
    <cfRule type="cellIs" dxfId="557" priority="212" stopIfTrue="1" operator="lessThan">
      <formula>$D$19</formula>
    </cfRule>
  </conditionalFormatting>
  <conditionalFormatting sqref="E20">
    <cfRule type="cellIs" dxfId="556" priority="213" stopIfTrue="1" operator="equal">
      <formula>$D$20</formula>
    </cfRule>
    <cfRule type="cellIs" dxfId="555" priority="214" stopIfTrue="1" operator="lessThan">
      <formula>$D$20</formula>
    </cfRule>
  </conditionalFormatting>
  <conditionalFormatting sqref="E21">
    <cfRule type="cellIs" dxfId="554" priority="215" stopIfTrue="1" operator="equal">
      <formula>$D$21</formula>
    </cfRule>
    <cfRule type="cellIs" dxfId="553" priority="216" stopIfTrue="1" operator="lessThan">
      <formula>$D$21</formula>
    </cfRule>
  </conditionalFormatting>
  <conditionalFormatting sqref="E22">
    <cfRule type="cellIs" dxfId="552" priority="217" stopIfTrue="1" operator="equal">
      <formula>$D$22</formula>
    </cfRule>
    <cfRule type="cellIs" dxfId="551" priority="218" stopIfTrue="1" operator="lessThan">
      <formula>$D$22</formula>
    </cfRule>
  </conditionalFormatting>
  <conditionalFormatting sqref="E23">
    <cfRule type="cellIs" dxfId="550" priority="219" stopIfTrue="1" operator="equal">
      <formula>$D$23</formula>
    </cfRule>
    <cfRule type="cellIs" dxfId="549" priority="220" stopIfTrue="1" operator="lessThan">
      <formula>$D$23</formula>
    </cfRule>
  </conditionalFormatting>
  <conditionalFormatting sqref="E24">
    <cfRule type="cellIs" dxfId="548" priority="323" stopIfTrue="1" operator="equal">
      <formula>$D$24</formula>
    </cfRule>
    <cfRule type="cellIs" dxfId="547" priority="324" stopIfTrue="1" operator="lessThan">
      <formula>$D$24</formula>
    </cfRule>
  </conditionalFormatting>
  <conditionalFormatting sqref="E25">
    <cfRule type="cellIs" dxfId="546" priority="221" stopIfTrue="1" operator="equal">
      <formula>$D$25</formula>
    </cfRule>
    <cfRule type="cellIs" dxfId="545" priority="222" stopIfTrue="1" operator="lessThan">
      <formula>$D$25</formula>
    </cfRule>
  </conditionalFormatting>
  <conditionalFormatting sqref="E26">
    <cfRule type="cellIs" dxfId="544" priority="223" stopIfTrue="1" operator="equal">
      <formula>$D$26</formula>
    </cfRule>
    <cfRule type="cellIs" dxfId="543" priority="224" stopIfTrue="1" operator="lessThan">
      <formula>$D$26</formula>
    </cfRule>
  </conditionalFormatting>
  <conditionalFormatting sqref="E27">
    <cfRule type="cellIs" dxfId="542" priority="225" stopIfTrue="1" operator="equal">
      <formula>$D$27</formula>
    </cfRule>
    <cfRule type="cellIs" dxfId="541" priority="226" stopIfTrue="1" operator="lessThan">
      <formula>$D$27</formula>
    </cfRule>
  </conditionalFormatting>
  <conditionalFormatting sqref="E28">
    <cfRule type="cellIs" dxfId="540" priority="227" stopIfTrue="1" operator="equal">
      <formula>$D$28</formula>
    </cfRule>
    <cfRule type="cellIs" dxfId="539" priority="228" stopIfTrue="1" operator="lessThan">
      <formula>$D$28</formula>
    </cfRule>
  </conditionalFormatting>
  <conditionalFormatting sqref="F4">
    <cfRule type="cellIs" dxfId="538" priority="62" stopIfTrue="1" operator="equal">
      <formula>$E$4</formula>
    </cfRule>
    <cfRule type="cellIs" dxfId="537" priority="63" stopIfTrue="1" operator="lessThan">
      <formula>$E$4</formula>
    </cfRule>
  </conditionalFormatting>
  <conditionalFormatting sqref="F5">
    <cfRule type="cellIs" dxfId="536" priority="70" stopIfTrue="1" operator="equal">
      <formula>$E$5</formula>
    </cfRule>
    <cfRule type="cellIs" dxfId="535" priority="71" stopIfTrue="1" operator="lessThan">
      <formula>$E$5</formula>
    </cfRule>
  </conditionalFormatting>
  <conditionalFormatting sqref="F6">
    <cfRule type="cellIs" dxfId="534" priority="79" stopIfTrue="1" operator="equal">
      <formula>$E$6</formula>
    </cfRule>
    <cfRule type="cellIs" dxfId="533" priority="80" stopIfTrue="1" operator="lessThan">
      <formula>$E$6</formula>
    </cfRule>
  </conditionalFormatting>
  <conditionalFormatting sqref="F7">
    <cfRule type="cellIs" dxfId="532" priority="93" stopIfTrue="1" operator="equal">
      <formula>$E$7</formula>
    </cfRule>
    <cfRule type="cellIs" dxfId="531" priority="94" stopIfTrue="1" operator="lessThan">
      <formula>$E$7</formula>
    </cfRule>
  </conditionalFormatting>
  <conditionalFormatting sqref="F8">
    <cfRule type="cellIs" dxfId="530" priority="105" stopIfTrue="1" operator="equal">
      <formula>$E$8</formula>
    </cfRule>
    <cfRule type="cellIs" dxfId="529" priority="106" stopIfTrue="1" operator="lessThan">
      <formula>$E$8</formula>
    </cfRule>
  </conditionalFormatting>
  <conditionalFormatting sqref="F9">
    <cfRule type="cellIs" dxfId="528" priority="119" stopIfTrue="1" operator="equal">
      <formula>$E$9</formula>
    </cfRule>
    <cfRule type="cellIs" dxfId="527" priority="120" stopIfTrue="1" operator="lessThan">
      <formula>$E$9</formula>
    </cfRule>
  </conditionalFormatting>
  <conditionalFormatting sqref="F10">
    <cfRule type="cellIs" dxfId="526" priority="133" stopIfTrue="1" operator="equal">
      <formula>$E$10</formula>
    </cfRule>
    <cfRule type="cellIs" dxfId="525" priority="134" stopIfTrue="1" operator="lessThan">
      <formula>$E$10</formula>
    </cfRule>
  </conditionalFormatting>
  <conditionalFormatting sqref="F11">
    <cfRule type="cellIs" dxfId="524" priority="147" stopIfTrue="1" operator="equal">
      <formula>$E$11</formula>
    </cfRule>
    <cfRule type="cellIs" dxfId="523" priority="148" stopIfTrue="1" operator="lessThan">
      <formula>$E$11</formula>
    </cfRule>
  </conditionalFormatting>
  <conditionalFormatting sqref="F12">
    <cfRule type="cellIs" dxfId="522" priority="161" stopIfTrue="1" operator="equal">
      <formula>$E$12</formula>
    </cfRule>
    <cfRule type="cellIs" dxfId="521" priority="162" stopIfTrue="1" operator="lessThan">
      <formula>$E$12</formula>
    </cfRule>
  </conditionalFormatting>
  <conditionalFormatting sqref="F13">
    <cfRule type="cellIs" dxfId="520" priority="229" stopIfTrue="1" operator="equal">
      <formula>$E$13</formula>
    </cfRule>
    <cfRule type="cellIs" dxfId="519" priority="230" stopIfTrue="1" operator="lessThan">
      <formula>$E$13</formula>
    </cfRule>
  </conditionalFormatting>
  <conditionalFormatting sqref="F14">
    <cfRule type="cellIs" dxfId="518" priority="231" stopIfTrue="1" operator="equal">
      <formula>$E$14</formula>
    </cfRule>
    <cfRule type="cellIs" dxfId="517" priority="232" stopIfTrue="1" operator="lessThan">
      <formula>$E$14</formula>
    </cfRule>
  </conditionalFormatting>
  <conditionalFormatting sqref="F15">
    <cfRule type="cellIs" dxfId="516" priority="233" stopIfTrue="1" operator="equal">
      <formula>$E$15</formula>
    </cfRule>
    <cfRule type="cellIs" dxfId="515" priority="234" stopIfTrue="1" operator="lessThan">
      <formula>$E$15</formula>
    </cfRule>
  </conditionalFormatting>
  <conditionalFormatting sqref="F16">
    <cfRule type="cellIs" dxfId="514" priority="235" stopIfTrue="1" operator="equal">
      <formula>$E$16</formula>
    </cfRule>
    <cfRule type="cellIs" dxfId="513" priority="236" stopIfTrue="1" operator="lessThan">
      <formula>$E$16</formula>
    </cfRule>
  </conditionalFormatting>
  <conditionalFormatting sqref="F17">
    <cfRule type="cellIs" dxfId="512" priority="237" stopIfTrue="1" operator="equal">
      <formula>$E$17</formula>
    </cfRule>
    <cfRule type="cellIs" dxfId="511" priority="238" stopIfTrue="1" operator="lessThan">
      <formula>$E$17</formula>
    </cfRule>
  </conditionalFormatting>
  <conditionalFormatting sqref="F18">
    <cfRule type="cellIs" dxfId="510" priority="239" stopIfTrue="1" operator="equal">
      <formula>$E$18</formula>
    </cfRule>
    <cfRule type="cellIs" dxfId="509" priority="240" stopIfTrue="1" operator="lessThan">
      <formula>$E$18</formula>
    </cfRule>
  </conditionalFormatting>
  <conditionalFormatting sqref="F19">
    <cfRule type="cellIs" dxfId="508" priority="241" stopIfTrue="1" operator="equal">
      <formula>$E$19</formula>
    </cfRule>
    <cfRule type="cellIs" dxfId="507" priority="242" stopIfTrue="1" operator="lessThan">
      <formula>$E$19</formula>
    </cfRule>
  </conditionalFormatting>
  <conditionalFormatting sqref="F20">
    <cfRule type="cellIs" dxfId="506" priority="243" stopIfTrue="1" operator="equal">
      <formula>$E$20</formula>
    </cfRule>
    <cfRule type="cellIs" dxfId="505" priority="244" stopIfTrue="1" operator="lessThan">
      <formula>$E$20</formula>
    </cfRule>
  </conditionalFormatting>
  <conditionalFormatting sqref="F21">
    <cfRule type="cellIs" dxfId="504" priority="245" stopIfTrue="1" operator="equal">
      <formula>$E$21</formula>
    </cfRule>
    <cfRule type="cellIs" dxfId="503" priority="246" stopIfTrue="1" operator="lessThan">
      <formula>$E$21</formula>
    </cfRule>
  </conditionalFormatting>
  <conditionalFormatting sqref="F22">
    <cfRule type="cellIs" dxfId="502" priority="247" stopIfTrue="1" operator="equal">
      <formula>$E$22</formula>
    </cfRule>
    <cfRule type="cellIs" dxfId="501" priority="248" stopIfTrue="1" operator="lessThan">
      <formula>$E$22</formula>
    </cfRule>
  </conditionalFormatting>
  <conditionalFormatting sqref="F23">
    <cfRule type="cellIs" dxfId="500" priority="249" stopIfTrue="1" operator="equal">
      <formula>$E$23</formula>
    </cfRule>
    <cfRule type="cellIs" dxfId="499" priority="250" stopIfTrue="1" operator="lessThan">
      <formula>$E$23</formula>
    </cfRule>
  </conditionalFormatting>
  <conditionalFormatting sqref="F24">
    <cfRule type="cellIs" dxfId="498" priority="325" stopIfTrue="1" operator="equal">
      <formula>$E$24</formula>
    </cfRule>
    <cfRule type="cellIs" dxfId="497" priority="326" stopIfTrue="1" operator="lessThan">
      <formula>$E$24</formula>
    </cfRule>
  </conditionalFormatting>
  <conditionalFormatting sqref="F25">
    <cfRule type="cellIs" dxfId="496" priority="251" stopIfTrue="1" operator="equal">
      <formula>$E$25</formula>
    </cfRule>
    <cfRule type="cellIs" dxfId="495" priority="252" stopIfTrue="1" operator="lessThan">
      <formula>$E$25</formula>
    </cfRule>
  </conditionalFormatting>
  <conditionalFormatting sqref="F26">
    <cfRule type="cellIs" dxfId="494" priority="253" stopIfTrue="1" operator="equal">
      <formula>$E$26</formula>
    </cfRule>
    <cfRule type="cellIs" dxfId="493" priority="254" stopIfTrue="1" operator="lessThan">
      <formula>$E$26</formula>
    </cfRule>
  </conditionalFormatting>
  <conditionalFormatting sqref="F27">
    <cfRule type="cellIs" dxfId="492" priority="255" stopIfTrue="1" operator="equal">
      <formula>$E$27</formula>
    </cfRule>
    <cfRule type="cellIs" dxfId="491" priority="256" stopIfTrue="1" operator="lessThan">
      <formula>$E$27</formula>
    </cfRule>
  </conditionalFormatting>
  <conditionalFormatting sqref="F28">
    <cfRule type="cellIs" dxfId="490" priority="257" stopIfTrue="1" operator="equal">
      <formula>$E$28</formula>
    </cfRule>
    <cfRule type="cellIs" dxfId="489" priority="258" stopIfTrue="1" operator="lessThan">
      <formula>$E$28</formula>
    </cfRule>
  </conditionalFormatting>
  <conditionalFormatting sqref="G4">
    <cfRule type="cellIs" dxfId="488" priority="335" stopIfTrue="1" operator="equal">
      <formula>$F$4</formula>
    </cfRule>
  </conditionalFormatting>
  <conditionalFormatting sqref="G5">
    <cfRule type="cellIs" dxfId="487" priority="333" stopIfTrue="1" operator="equal">
      <formula>$F$5</formula>
    </cfRule>
    <cfRule type="cellIs" dxfId="486" priority="334" stopIfTrue="1" operator="lessThan">
      <formula>$F$5</formula>
    </cfRule>
  </conditionalFormatting>
  <conditionalFormatting sqref="G6">
    <cfRule type="cellIs" dxfId="485" priority="81" stopIfTrue="1" operator="equal">
      <formula>$F$6</formula>
    </cfRule>
    <cfRule type="cellIs" dxfId="484" priority="82" stopIfTrue="1" operator="lessThan">
      <formula>$F$6</formula>
    </cfRule>
  </conditionalFormatting>
  <conditionalFormatting sqref="G7">
    <cfRule type="cellIs" dxfId="483" priority="54" stopIfTrue="1" operator="equal">
      <formula>$F$7</formula>
    </cfRule>
    <cfRule type="cellIs" dxfId="482" priority="55" stopIfTrue="1" operator="lessThan">
      <formula>$F$7</formula>
    </cfRule>
  </conditionalFormatting>
  <conditionalFormatting sqref="G8">
    <cfRule type="cellIs" dxfId="481" priority="107" stopIfTrue="1" operator="equal">
      <formula>$F$8</formula>
    </cfRule>
    <cfRule type="cellIs" dxfId="480" priority="108" stopIfTrue="1" operator="lessThan">
      <formula>$F$8</formula>
    </cfRule>
  </conditionalFormatting>
  <conditionalFormatting sqref="G9">
    <cfRule type="cellIs" dxfId="479" priority="121" stopIfTrue="1" operator="equal">
      <formula>$F$9</formula>
    </cfRule>
    <cfRule type="cellIs" dxfId="478" priority="122" stopIfTrue="1" operator="lessThan">
      <formula>$F$9</formula>
    </cfRule>
  </conditionalFormatting>
  <conditionalFormatting sqref="G10">
    <cfRule type="cellIs" dxfId="477" priority="135" stopIfTrue="1" operator="equal">
      <formula>$F$10</formula>
    </cfRule>
    <cfRule type="cellIs" dxfId="476" priority="136" stopIfTrue="1" operator="lessThan">
      <formula>$F$10</formula>
    </cfRule>
  </conditionalFormatting>
  <conditionalFormatting sqref="G11">
    <cfRule type="cellIs" dxfId="475" priority="149" stopIfTrue="1" operator="equal">
      <formula>$F$11</formula>
    </cfRule>
    <cfRule type="cellIs" dxfId="474" priority="150" stopIfTrue="1" operator="lessThan">
      <formula>$F$11</formula>
    </cfRule>
  </conditionalFormatting>
  <conditionalFormatting sqref="G12">
    <cfRule type="cellIs" dxfId="473" priority="163" stopIfTrue="1" operator="equal">
      <formula>$F$12</formula>
    </cfRule>
    <cfRule type="cellIs" dxfId="472" priority="164" stopIfTrue="1" operator="lessThan">
      <formula>$F$12</formula>
    </cfRule>
  </conditionalFormatting>
  <conditionalFormatting sqref="G13">
    <cfRule type="cellIs" dxfId="471" priority="259" stopIfTrue="1" operator="equal">
      <formula>$F$13</formula>
    </cfRule>
    <cfRule type="cellIs" dxfId="470" priority="260" stopIfTrue="1" operator="lessThan">
      <formula>$F$13</formula>
    </cfRule>
  </conditionalFormatting>
  <conditionalFormatting sqref="G14">
    <cfRule type="cellIs" dxfId="469" priority="261" stopIfTrue="1" operator="equal">
      <formula>$F$14</formula>
    </cfRule>
    <cfRule type="cellIs" dxfId="468" priority="262" stopIfTrue="1" operator="lessThan">
      <formula>$F$14</formula>
    </cfRule>
  </conditionalFormatting>
  <conditionalFormatting sqref="G15">
    <cfRule type="cellIs" dxfId="467" priority="263" stopIfTrue="1" operator="equal">
      <formula>$F$15</formula>
    </cfRule>
    <cfRule type="cellIs" dxfId="466" priority="264" stopIfTrue="1" operator="lessThan">
      <formula>$F$15</formula>
    </cfRule>
  </conditionalFormatting>
  <conditionalFormatting sqref="G16">
    <cfRule type="cellIs" dxfId="465" priority="265" stopIfTrue="1" operator="equal">
      <formula>$F$16</formula>
    </cfRule>
    <cfRule type="cellIs" dxfId="464" priority="266" stopIfTrue="1" operator="lessThan">
      <formula>$F$16</formula>
    </cfRule>
  </conditionalFormatting>
  <conditionalFormatting sqref="G17">
    <cfRule type="cellIs" dxfId="463" priority="267" stopIfTrue="1" operator="equal">
      <formula>$F$17</formula>
    </cfRule>
    <cfRule type="cellIs" dxfId="462" priority="268" stopIfTrue="1" operator="lessThan">
      <formula>$F$17</formula>
    </cfRule>
  </conditionalFormatting>
  <conditionalFormatting sqref="G18">
    <cfRule type="cellIs" dxfId="461" priority="269" stopIfTrue="1" operator="equal">
      <formula>$F$18</formula>
    </cfRule>
    <cfRule type="cellIs" dxfId="460" priority="270" stopIfTrue="1" operator="lessThan">
      <formula>$F$18</formula>
    </cfRule>
  </conditionalFormatting>
  <conditionalFormatting sqref="G19">
    <cfRule type="cellIs" dxfId="459" priority="271" stopIfTrue="1" operator="equal">
      <formula>$F$19</formula>
    </cfRule>
    <cfRule type="cellIs" dxfId="458" priority="272" stopIfTrue="1" operator="lessThan">
      <formula>$F$19</formula>
    </cfRule>
  </conditionalFormatting>
  <conditionalFormatting sqref="G20">
    <cfRule type="cellIs" dxfId="457" priority="273" stopIfTrue="1" operator="equal">
      <formula>$F$20</formula>
    </cfRule>
    <cfRule type="cellIs" dxfId="456" priority="274" stopIfTrue="1" operator="lessThan">
      <formula>$F$20</formula>
    </cfRule>
  </conditionalFormatting>
  <conditionalFormatting sqref="G21">
    <cfRule type="cellIs" dxfId="455" priority="275" stopIfTrue="1" operator="equal">
      <formula>$F$21</formula>
    </cfRule>
    <cfRule type="cellIs" dxfId="454" priority="276" stopIfTrue="1" operator="lessThan">
      <formula>$F$21</formula>
    </cfRule>
  </conditionalFormatting>
  <conditionalFormatting sqref="G22">
    <cfRule type="cellIs" dxfId="453" priority="277" stopIfTrue="1" operator="equal">
      <formula>$F$22</formula>
    </cfRule>
    <cfRule type="cellIs" dxfId="452" priority="278" stopIfTrue="1" operator="lessThan">
      <formula>$F$22</formula>
    </cfRule>
  </conditionalFormatting>
  <conditionalFormatting sqref="G23">
    <cfRule type="cellIs" dxfId="451" priority="279" stopIfTrue="1" operator="equal">
      <formula>$F$23</formula>
    </cfRule>
    <cfRule type="cellIs" dxfId="450" priority="280" stopIfTrue="1" operator="lessThan">
      <formula>$F$23</formula>
    </cfRule>
  </conditionalFormatting>
  <conditionalFormatting sqref="G24">
    <cfRule type="cellIs" dxfId="449" priority="327" stopIfTrue="1" operator="equal">
      <formula>$F$24</formula>
    </cfRule>
    <cfRule type="cellIs" dxfId="448" priority="328" stopIfTrue="1" operator="lessThan">
      <formula>$F$24</formula>
    </cfRule>
  </conditionalFormatting>
  <conditionalFormatting sqref="G25">
    <cfRule type="cellIs" dxfId="447" priority="281" stopIfTrue="1" operator="equal">
      <formula>$F$25</formula>
    </cfRule>
    <cfRule type="cellIs" dxfId="446" priority="282" stopIfTrue="1" operator="lessThan">
      <formula>$F$25</formula>
    </cfRule>
  </conditionalFormatting>
  <conditionalFormatting sqref="G26">
    <cfRule type="cellIs" dxfId="445" priority="283" stopIfTrue="1" operator="equal">
      <formula>$F$26</formula>
    </cfRule>
    <cfRule type="cellIs" dxfId="444" priority="284" stopIfTrue="1" operator="lessThan">
      <formula>$F$26</formula>
    </cfRule>
  </conditionalFormatting>
  <conditionalFormatting sqref="G27">
    <cfRule type="cellIs" dxfId="443" priority="285" stopIfTrue="1" operator="equal">
      <formula>$F$27</formula>
    </cfRule>
    <cfRule type="cellIs" dxfId="442" priority="286" stopIfTrue="1" operator="lessThan">
      <formula>$F$27</formula>
    </cfRule>
  </conditionalFormatting>
  <conditionalFormatting sqref="G28">
    <cfRule type="cellIs" dxfId="441" priority="287" stopIfTrue="1" operator="equal">
      <formula>$F$28</formula>
    </cfRule>
    <cfRule type="cellIs" dxfId="440" priority="288" stopIfTrue="1" operator="lessThan">
      <formula>$F$28</formula>
    </cfRule>
  </conditionalFormatting>
  <conditionalFormatting sqref="H4">
    <cfRule type="cellIs" dxfId="439" priority="52" stopIfTrue="1" operator="lessThan">
      <formula>$G$4</formula>
    </cfRule>
    <cfRule type="cellIs" dxfId="438" priority="53" stopIfTrue="1" operator="equal">
      <formula>$G$4</formula>
    </cfRule>
  </conditionalFormatting>
  <conditionalFormatting sqref="H5">
    <cfRule type="cellIs" dxfId="437" priority="56" stopIfTrue="1" operator="equal">
      <formula>$G$5</formula>
    </cfRule>
    <cfRule type="cellIs" dxfId="436" priority="57" stopIfTrue="1" operator="lessThan">
      <formula>$G$5</formula>
    </cfRule>
  </conditionalFormatting>
  <conditionalFormatting sqref="H6">
    <cfRule type="cellIs" dxfId="435" priority="83" stopIfTrue="1" operator="equal">
      <formula>$G$6</formula>
    </cfRule>
    <cfRule type="cellIs" dxfId="434" priority="84" stopIfTrue="1" operator="lessThan">
      <formula>$G$6</formula>
    </cfRule>
  </conditionalFormatting>
  <conditionalFormatting sqref="H7">
    <cfRule type="cellIs" dxfId="433" priority="95" stopIfTrue="1" operator="equal">
      <formula>$G$7</formula>
    </cfRule>
    <cfRule type="cellIs" dxfId="432" priority="96" stopIfTrue="1" operator="lessThan">
      <formula>$G$7</formula>
    </cfRule>
  </conditionalFormatting>
  <conditionalFormatting sqref="H8">
    <cfRule type="cellIs" dxfId="431" priority="109" stopIfTrue="1" operator="equal">
      <formula>$G$8</formula>
    </cfRule>
    <cfRule type="cellIs" dxfId="430" priority="110" stopIfTrue="1" operator="lessThan">
      <formula>$G$8</formula>
    </cfRule>
  </conditionalFormatting>
  <conditionalFormatting sqref="H9">
    <cfRule type="cellIs" dxfId="429" priority="123" stopIfTrue="1" operator="equal">
      <formula>$G$9</formula>
    </cfRule>
    <cfRule type="cellIs" dxfId="428" priority="124" stopIfTrue="1" operator="lessThan">
      <formula>$G$9</formula>
    </cfRule>
  </conditionalFormatting>
  <conditionalFormatting sqref="H10">
    <cfRule type="cellIs" dxfId="427" priority="137" stopIfTrue="1" operator="equal">
      <formula>$G$10</formula>
    </cfRule>
    <cfRule type="cellIs" dxfId="426" priority="138" stopIfTrue="1" operator="lessThan">
      <formula>$G$10</formula>
    </cfRule>
  </conditionalFormatting>
  <conditionalFormatting sqref="H11">
    <cfRule type="cellIs" dxfId="425" priority="151" stopIfTrue="1" operator="equal">
      <formula>$G$11</formula>
    </cfRule>
    <cfRule type="cellIs" dxfId="424" priority="152" stopIfTrue="1" operator="lessThan">
      <formula>$G$11</formula>
    </cfRule>
  </conditionalFormatting>
  <conditionalFormatting sqref="H12">
    <cfRule type="cellIs" dxfId="423" priority="165" stopIfTrue="1" operator="equal">
      <formula>$G$12</formula>
    </cfRule>
    <cfRule type="cellIs" dxfId="422" priority="166" stopIfTrue="1" operator="lessThan">
      <formula>$G$12</formula>
    </cfRule>
  </conditionalFormatting>
  <conditionalFormatting sqref="H13">
    <cfRule type="cellIs" dxfId="421" priority="291" stopIfTrue="1" operator="equal">
      <formula>$G$13</formula>
    </cfRule>
    <cfRule type="cellIs" dxfId="420" priority="292" stopIfTrue="1" operator="lessThan">
      <formula>$G$13</formula>
    </cfRule>
  </conditionalFormatting>
  <conditionalFormatting sqref="H14">
    <cfRule type="cellIs" dxfId="419" priority="293" stopIfTrue="1" operator="equal">
      <formula>$G$14</formula>
    </cfRule>
    <cfRule type="cellIs" dxfId="418" priority="294" stopIfTrue="1" operator="lessThan">
      <formula>$G$14</formula>
    </cfRule>
  </conditionalFormatting>
  <conditionalFormatting sqref="H15">
    <cfRule type="cellIs" dxfId="417" priority="295" stopIfTrue="1" operator="equal">
      <formula>$G$15</formula>
    </cfRule>
    <cfRule type="cellIs" dxfId="416" priority="296" stopIfTrue="1" operator="lessThan">
      <formula>$G$15</formula>
    </cfRule>
  </conditionalFormatting>
  <conditionalFormatting sqref="H16">
    <cfRule type="cellIs" dxfId="415" priority="297" stopIfTrue="1" operator="equal">
      <formula>$G$16</formula>
    </cfRule>
    <cfRule type="cellIs" dxfId="414" priority="298" stopIfTrue="1" operator="lessThan">
      <formula>$G$16</formula>
    </cfRule>
  </conditionalFormatting>
  <conditionalFormatting sqref="H17">
    <cfRule type="cellIs" dxfId="413" priority="299" stopIfTrue="1" operator="equal">
      <formula>$G$17</formula>
    </cfRule>
    <cfRule type="cellIs" dxfId="412" priority="300" stopIfTrue="1" operator="lessThan">
      <formula>$G$17</formula>
    </cfRule>
  </conditionalFormatting>
  <conditionalFormatting sqref="H18">
    <cfRule type="cellIs" dxfId="411" priority="301" stopIfTrue="1" operator="equal">
      <formula>$G$18</formula>
    </cfRule>
    <cfRule type="cellIs" dxfId="410" priority="302" stopIfTrue="1" operator="lessThan">
      <formula>$G$18</formula>
    </cfRule>
  </conditionalFormatting>
  <conditionalFormatting sqref="H19">
    <cfRule type="cellIs" dxfId="409" priority="303" stopIfTrue="1" operator="equal">
      <formula>$G$19</formula>
    </cfRule>
    <cfRule type="cellIs" dxfId="408" priority="304" stopIfTrue="1" operator="lessThan">
      <formula>$G$19</formula>
    </cfRule>
  </conditionalFormatting>
  <conditionalFormatting sqref="H20">
    <cfRule type="cellIs" dxfId="407" priority="305" stopIfTrue="1" operator="equal">
      <formula>$G$20</formula>
    </cfRule>
    <cfRule type="cellIs" dxfId="406" priority="306" stopIfTrue="1" operator="lessThan">
      <formula>$G$20</formula>
    </cfRule>
  </conditionalFormatting>
  <conditionalFormatting sqref="H21">
    <cfRule type="cellIs" dxfId="405" priority="307" stopIfTrue="1" operator="equal">
      <formula>$G$21</formula>
    </cfRule>
    <cfRule type="cellIs" dxfId="404" priority="308" stopIfTrue="1" operator="lessThan">
      <formula>$G$21</formula>
    </cfRule>
  </conditionalFormatting>
  <conditionalFormatting sqref="H22">
    <cfRule type="cellIs" dxfId="403" priority="309" stopIfTrue="1" operator="equal">
      <formula>$G$22</formula>
    </cfRule>
    <cfRule type="cellIs" dxfId="402" priority="310" stopIfTrue="1" operator="lessThan">
      <formula>$G$22</formula>
    </cfRule>
  </conditionalFormatting>
  <conditionalFormatting sqref="H23">
    <cfRule type="cellIs" dxfId="401" priority="311" stopIfTrue="1" operator="equal">
      <formula>$G$23</formula>
    </cfRule>
    <cfRule type="cellIs" dxfId="400" priority="312" stopIfTrue="1" operator="lessThan">
      <formula>$G$23</formula>
    </cfRule>
  </conditionalFormatting>
  <conditionalFormatting sqref="H24">
    <cfRule type="cellIs" dxfId="399" priority="329" stopIfTrue="1" operator="equal">
      <formula>$G$24</formula>
    </cfRule>
    <cfRule type="cellIs" dxfId="398" priority="330" stopIfTrue="1" operator="lessThan">
      <formula>$G$24</formula>
    </cfRule>
  </conditionalFormatting>
  <conditionalFormatting sqref="H25">
    <cfRule type="cellIs" dxfId="397" priority="313" stopIfTrue="1" operator="equal">
      <formula>$G$25</formula>
    </cfRule>
    <cfRule type="cellIs" dxfId="396" priority="314" stopIfTrue="1" operator="lessThan">
      <formula>$G$25</formula>
    </cfRule>
  </conditionalFormatting>
  <conditionalFormatting sqref="H26">
    <cfRule type="cellIs" dxfId="395" priority="315" stopIfTrue="1" operator="equal">
      <formula>$G$26</formula>
    </cfRule>
    <cfRule type="cellIs" dxfId="394" priority="316" stopIfTrue="1" operator="lessThan">
      <formula>$G$26</formula>
    </cfRule>
  </conditionalFormatting>
  <conditionalFormatting sqref="H27">
    <cfRule type="cellIs" dxfId="393" priority="317" stopIfTrue="1" operator="equal">
      <formula>$G$27</formula>
    </cfRule>
    <cfRule type="cellIs" dxfId="392" priority="318" stopIfTrue="1" operator="lessThan">
      <formula>$G$27</formula>
    </cfRule>
  </conditionalFormatting>
  <conditionalFormatting sqref="H28">
    <cfRule type="cellIs" dxfId="391" priority="319" stopIfTrue="1" operator="equal">
      <formula>$G$28</formula>
    </cfRule>
    <cfRule type="cellIs" dxfId="390" priority="320" stopIfTrue="1" operator="lessThan">
      <formula>$G$28</formula>
    </cfRule>
  </conditionalFormatting>
  <conditionalFormatting sqref="I4">
    <cfRule type="cellIs" dxfId="389" priority="72" stopIfTrue="1" operator="equal">
      <formula>$H$4</formula>
    </cfRule>
  </conditionalFormatting>
  <conditionalFormatting sqref="I5">
    <cfRule type="cellIs" dxfId="388" priority="58" stopIfTrue="1" operator="equal">
      <formula>$H$5</formula>
    </cfRule>
    <cfRule type="cellIs" dxfId="387" priority="59" stopIfTrue="1" operator="lessThan">
      <formula>$H$5</formula>
    </cfRule>
  </conditionalFormatting>
  <conditionalFormatting sqref="I6">
    <cfRule type="cellIs" dxfId="386" priority="85" stopIfTrue="1" operator="equal">
      <formula>$H$6</formula>
    </cfRule>
    <cfRule type="cellIs" dxfId="385" priority="86" stopIfTrue="1" operator="lessThan">
      <formula>$H$6</formula>
    </cfRule>
  </conditionalFormatting>
  <conditionalFormatting sqref="I7">
    <cfRule type="cellIs" dxfId="384" priority="97" stopIfTrue="1" operator="equal">
      <formula>$H$7</formula>
    </cfRule>
    <cfRule type="cellIs" dxfId="383" priority="98" stopIfTrue="1" operator="lessThan">
      <formula>$H$7</formula>
    </cfRule>
  </conditionalFormatting>
  <conditionalFormatting sqref="I8">
    <cfRule type="cellIs" dxfId="382" priority="111" stopIfTrue="1" operator="equal">
      <formula>$H$8</formula>
    </cfRule>
    <cfRule type="cellIs" dxfId="381" priority="112" stopIfTrue="1" operator="lessThan">
      <formula>$H$8</formula>
    </cfRule>
  </conditionalFormatting>
  <conditionalFormatting sqref="I9">
    <cfRule type="cellIs" dxfId="380" priority="125" stopIfTrue="1" operator="equal">
      <formula>$H$9</formula>
    </cfRule>
    <cfRule type="cellIs" dxfId="379" priority="126" stopIfTrue="1" operator="lessThan">
      <formula>$H$9</formula>
    </cfRule>
  </conditionalFormatting>
  <conditionalFormatting sqref="I10">
    <cfRule type="cellIs" dxfId="378" priority="139" stopIfTrue="1" operator="equal">
      <formula>$H$10</formula>
    </cfRule>
    <cfRule type="cellIs" dxfId="377" priority="140" stopIfTrue="1" operator="lessThan">
      <formula>$H$10</formula>
    </cfRule>
  </conditionalFormatting>
  <conditionalFormatting sqref="I11">
    <cfRule type="cellIs" dxfId="376" priority="153" stopIfTrue="1" operator="equal">
      <formula>$H$11</formula>
    </cfRule>
    <cfRule type="cellIs" dxfId="375" priority="154" stopIfTrue="1" operator="lessThan">
      <formula>$H$11</formula>
    </cfRule>
  </conditionalFormatting>
  <conditionalFormatting sqref="I12">
    <cfRule type="cellIs" dxfId="374" priority="167" stopIfTrue="1" operator="equal">
      <formula>$H$12</formula>
    </cfRule>
    <cfRule type="cellIs" dxfId="373" priority="168" stopIfTrue="1" operator="lessThan">
      <formula>$H$12</formula>
    </cfRule>
  </conditionalFormatting>
  <conditionalFormatting sqref="I13">
    <cfRule type="cellIs" dxfId="372" priority="337" stopIfTrue="1" operator="equal">
      <formula>$H$13</formula>
    </cfRule>
    <cfRule type="cellIs" dxfId="371" priority="338" stopIfTrue="1" operator="lessThan">
      <formula>$H$13</formula>
    </cfRule>
  </conditionalFormatting>
  <conditionalFormatting sqref="I14">
    <cfRule type="cellIs" dxfId="370" priority="339" stopIfTrue="1" operator="equal">
      <formula>$H$14</formula>
    </cfRule>
    <cfRule type="cellIs" dxfId="369" priority="340" stopIfTrue="1" operator="lessThan">
      <formula>$H$14</formula>
    </cfRule>
  </conditionalFormatting>
  <conditionalFormatting sqref="I15">
    <cfRule type="cellIs" dxfId="368" priority="341" stopIfTrue="1" operator="equal">
      <formula>$H$15</formula>
    </cfRule>
    <cfRule type="cellIs" dxfId="367" priority="342" stopIfTrue="1" operator="lessThan">
      <formula>$H$15</formula>
    </cfRule>
  </conditionalFormatting>
  <conditionalFormatting sqref="I16">
    <cfRule type="cellIs" dxfId="366" priority="343" stopIfTrue="1" operator="equal">
      <formula>$H$16</formula>
    </cfRule>
    <cfRule type="cellIs" dxfId="365" priority="344" stopIfTrue="1" operator="lessThan">
      <formula>$H$16</formula>
    </cfRule>
  </conditionalFormatting>
  <conditionalFormatting sqref="I17">
    <cfRule type="cellIs" dxfId="364" priority="345" stopIfTrue="1" operator="equal">
      <formula>$H$17</formula>
    </cfRule>
    <cfRule type="cellIs" dxfId="363" priority="346" stopIfTrue="1" operator="lessThan">
      <formula>$H$17</formula>
    </cfRule>
  </conditionalFormatting>
  <conditionalFormatting sqref="I18">
    <cfRule type="cellIs" dxfId="362" priority="347" stopIfTrue="1" operator="equal">
      <formula>$H$18</formula>
    </cfRule>
    <cfRule type="cellIs" dxfId="361" priority="348" stopIfTrue="1" operator="lessThan">
      <formula>$H$18</formula>
    </cfRule>
  </conditionalFormatting>
  <conditionalFormatting sqref="I19">
    <cfRule type="cellIs" dxfId="360" priority="349" stopIfTrue="1" operator="equal">
      <formula>$H$19</formula>
    </cfRule>
    <cfRule type="cellIs" dxfId="359" priority="350" stopIfTrue="1" operator="lessThan">
      <formula>$H$19</formula>
    </cfRule>
  </conditionalFormatting>
  <conditionalFormatting sqref="I20">
    <cfRule type="cellIs" dxfId="358" priority="351" stopIfTrue="1" operator="equal">
      <formula>$H$20</formula>
    </cfRule>
    <cfRule type="cellIs" dxfId="357" priority="352" stopIfTrue="1" operator="lessThan">
      <formula>$H$20</formula>
    </cfRule>
  </conditionalFormatting>
  <conditionalFormatting sqref="I21">
    <cfRule type="cellIs" dxfId="356" priority="353" stopIfTrue="1" operator="equal">
      <formula>$H$21</formula>
    </cfRule>
    <cfRule type="cellIs" dxfId="355" priority="354" stopIfTrue="1" operator="lessThan">
      <formula>$H$21</formula>
    </cfRule>
  </conditionalFormatting>
  <conditionalFormatting sqref="I22">
    <cfRule type="cellIs" dxfId="354" priority="355" stopIfTrue="1" operator="equal">
      <formula>$H$22</formula>
    </cfRule>
    <cfRule type="cellIs" dxfId="353" priority="356" stopIfTrue="1" operator="lessThan">
      <formula>$H$22</formula>
    </cfRule>
  </conditionalFormatting>
  <conditionalFormatting sqref="I23">
    <cfRule type="cellIs" dxfId="352" priority="357" stopIfTrue="1" operator="equal">
      <formula>$H$23</formula>
    </cfRule>
    <cfRule type="cellIs" dxfId="351" priority="358" stopIfTrue="1" operator="lessThan">
      <formula>$H$23</formula>
    </cfRule>
  </conditionalFormatting>
  <conditionalFormatting sqref="I24">
    <cfRule type="cellIs" dxfId="350" priority="359" stopIfTrue="1" operator="equal">
      <formula>$H$24</formula>
    </cfRule>
    <cfRule type="cellIs" dxfId="349" priority="360" stopIfTrue="1" operator="lessThan">
      <formula>$H$24</formula>
    </cfRule>
  </conditionalFormatting>
  <conditionalFormatting sqref="I25">
    <cfRule type="cellIs" dxfId="348" priority="361" stopIfTrue="1" operator="equal">
      <formula>$H$25</formula>
    </cfRule>
    <cfRule type="cellIs" dxfId="347" priority="362" stopIfTrue="1" operator="lessThan">
      <formula>$H$25</formula>
    </cfRule>
  </conditionalFormatting>
  <conditionalFormatting sqref="I26">
    <cfRule type="cellIs" dxfId="346" priority="363" stopIfTrue="1" operator="equal">
      <formula>$H$26</formula>
    </cfRule>
    <cfRule type="cellIs" dxfId="345" priority="364" stopIfTrue="1" operator="lessThan">
      <formula>$H$26</formula>
    </cfRule>
  </conditionalFormatting>
  <conditionalFormatting sqref="I27">
    <cfRule type="cellIs" dxfId="344" priority="365" stopIfTrue="1" operator="equal">
      <formula>$H$27</formula>
    </cfRule>
    <cfRule type="cellIs" dxfId="343" priority="366" stopIfTrue="1" operator="lessThan">
      <formula>$H$27</formula>
    </cfRule>
  </conditionalFormatting>
  <conditionalFormatting sqref="I28">
    <cfRule type="cellIs" dxfId="342" priority="368" stopIfTrue="1" operator="equal">
      <formula>$H$28</formula>
    </cfRule>
    <cfRule type="cellIs" dxfId="341" priority="369" stopIfTrue="1" operator="lessThan">
      <formula>$H$28</formula>
    </cfRule>
  </conditionalFormatting>
  <conditionalFormatting sqref="I29">
    <cfRule type="cellIs" dxfId="340" priority="370" stopIfTrue="1" operator="equal">
      <formula>$H$29</formula>
    </cfRule>
    <cfRule type="cellIs" dxfId="339" priority="371" stopIfTrue="1" operator="lessThan">
      <formula>$H$29</formula>
    </cfRule>
  </conditionalFormatting>
  <conditionalFormatting sqref="J4">
    <cfRule type="cellIs" dxfId="338" priority="73" stopIfTrue="1" operator="lessThan">
      <formula>$I$4</formula>
    </cfRule>
    <cfRule type="cellIs" dxfId="337" priority="74" stopIfTrue="1" operator="equal">
      <formula>$I$4</formula>
    </cfRule>
  </conditionalFormatting>
  <conditionalFormatting sqref="J5">
    <cfRule type="cellIs" dxfId="336" priority="60" stopIfTrue="1" operator="equal">
      <formula>$I$5</formula>
    </cfRule>
    <cfRule type="cellIs" dxfId="335" priority="61" stopIfTrue="1" operator="lessThan">
      <formula>$I$5</formula>
    </cfRule>
  </conditionalFormatting>
  <conditionalFormatting sqref="J6">
    <cfRule type="cellIs" dxfId="334" priority="87" stopIfTrue="1" operator="equal">
      <formula>$I$6</formula>
    </cfRule>
    <cfRule type="cellIs" dxfId="333" priority="88" stopIfTrue="1" operator="lessThan">
      <formula>$I$6</formula>
    </cfRule>
  </conditionalFormatting>
  <conditionalFormatting sqref="J7">
    <cfRule type="cellIs" dxfId="332" priority="99" stopIfTrue="1" operator="equal">
      <formula>$I$7</formula>
    </cfRule>
    <cfRule type="cellIs" dxfId="331" priority="100" stopIfTrue="1" operator="lessThan">
      <formula>$I$7</formula>
    </cfRule>
  </conditionalFormatting>
  <conditionalFormatting sqref="J8">
    <cfRule type="cellIs" dxfId="330" priority="113" stopIfTrue="1" operator="equal">
      <formula>$I$8</formula>
    </cfRule>
    <cfRule type="cellIs" dxfId="329" priority="114" stopIfTrue="1" operator="lessThan">
      <formula>$I$8</formula>
    </cfRule>
  </conditionalFormatting>
  <conditionalFormatting sqref="J9">
    <cfRule type="cellIs" dxfId="328" priority="127" stopIfTrue="1" operator="equal">
      <formula>$I$9</formula>
    </cfRule>
    <cfRule type="cellIs" dxfId="327" priority="128" stopIfTrue="1" operator="lessThan">
      <formula>$I$9</formula>
    </cfRule>
  </conditionalFormatting>
  <conditionalFormatting sqref="J10">
    <cfRule type="cellIs" dxfId="326" priority="141" stopIfTrue="1" operator="equal">
      <formula>$I$10</formula>
    </cfRule>
    <cfRule type="cellIs" dxfId="325" priority="142" stopIfTrue="1" operator="lessThan">
      <formula>$I$10</formula>
    </cfRule>
  </conditionalFormatting>
  <conditionalFormatting sqref="J11">
    <cfRule type="cellIs" dxfId="324" priority="155" stopIfTrue="1" operator="equal">
      <formula>$I$11</formula>
    </cfRule>
    <cfRule type="cellIs" dxfId="323" priority="156" stopIfTrue="1" operator="lessThan">
      <formula>$I$11</formula>
    </cfRule>
  </conditionalFormatting>
  <conditionalFormatting sqref="J12">
    <cfRule type="cellIs" dxfId="322" priority="169" stopIfTrue="1" operator="equal">
      <formula>$I$12</formula>
    </cfRule>
    <cfRule type="cellIs" dxfId="321" priority="170" stopIfTrue="1" operator="lessThan">
      <formula>$I$12</formula>
    </cfRule>
  </conditionalFormatting>
  <conditionalFormatting sqref="J13">
    <cfRule type="cellIs" dxfId="320" priority="372" stopIfTrue="1" operator="equal">
      <formula>$I$13</formula>
    </cfRule>
    <cfRule type="cellIs" dxfId="319" priority="373" stopIfTrue="1" operator="lessThan">
      <formula>$I$13</formula>
    </cfRule>
  </conditionalFormatting>
  <conditionalFormatting sqref="J14">
    <cfRule type="cellIs" dxfId="318" priority="374" stopIfTrue="1" operator="equal">
      <formula>$I$14</formula>
    </cfRule>
    <cfRule type="cellIs" dxfId="317" priority="375" stopIfTrue="1" operator="lessThan">
      <formula>$I$14</formula>
    </cfRule>
  </conditionalFormatting>
  <conditionalFormatting sqref="J15">
    <cfRule type="cellIs" dxfId="316" priority="376" stopIfTrue="1" operator="equal">
      <formula>$I$15</formula>
    </cfRule>
    <cfRule type="cellIs" dxfId="315" priority="377" stopIfTrue="1" operator="lessThan">
      <formula>$I$15</formula>
    </cfRule>
  </conditionalFormatting>
  <conditionalFormatting sqref="J16">
    <cfRule type="cellIs" dxfId="314" priority="378" stopIfTrue="1" operator="equal">
      <formula>$I$16</formula>
    </cfRule>
    <cfRule type="cellIs" dxfId="313" priority="379" stopIfTrue="1" operator="lessThan">
      <formula>$I$16</formula>
    </cfRule>
  </conditionalFormatting>
  <conditionalFormatting sqref="J17">
    <cfRule type="cellIs" dxfId="312" priority="380" stopIfTrue="1" operator="equal">
      <formula>$I$17</formula>
    </cfRule>
    <cfRule type="cellIs" dxfId="311" priority="381" stopIfTrue="1" operator="lessThan">
      <formula>$I$17</formula>
    </cfRule>
  </conditionalFormatting>
  <conditionalFormatting sqref="J18">
    <cfRule type="cellIs" dxfId="310" priority="382" stopIfTrue="1" operator="equal">
      <formula>$I$18</formula>
    </cfRule>
    <cfRule type="cellIs" dxfId="309" priority="383" stopIfTrue="1" operator="lessThan">
      <formula>$I$18</formula>
    </cfRule>
  </conditionalFormatting>
  <conditionalFormatting sqref="J19">
    <cfRule type="cellIs" dxfId="308" priority="384" stopIfTrue="1" operator="equal">
      <formula>$I$19</formula>
    </cfRule>
    <cfRule type="cellIs" dxfId="307" priority="385" stopIfTrue="1" operator="lessThan">
      <formula>$I$19</formula>
    </cfRule>
  </conditionalFormatting>
  <conditionalFormatting sqref="J20">
    <cfRule type="cellIs" dxfId="306" priority="386" stopIfTrue="1" operator="equal">
      <formula>$I$20</formula>
    </cfRule>
    <cfRule type="cellIs" dxfId="305" priority="387" stopIfTrue="1" operator="lessThan">
      <formula>$I$20</formula>
    </cfRule>
  </conditionalFormatting>
  <conditionalFormatting sqref="J21">
    <cfRule type="cellIs" dxfId="304" priority="388" stopIfTrue="1" operator="equal">
      <formula>$I$21</formula>
    </cfRule>
    <cfRule type="cellIs" dxfId="303" priority="389" stopIfTrue="1" operator="lessThan">
      <formula>$I$21</formula>
    </cfRule>
  </conditionalFormatting>
  <conditionalFormatting sqref="J22">
    <cfRule type="cellIs" dxfId="302" priority="390" stopIfTrue="1" operator="equal">
      <formula>$I$22</formula>
    </cfRule>
    <cfRule type="cellIs" dxfId="301" priority="391" stopIfTrue="1" operator="lessThan">
      <formula>$I$22</formula>
    </cfRule>
  </conditionalFormatting>
  <conditionalFormatting sqref="J23">
    <cfRule type="cellIs" dxfId="300" priority="392" stopIfTrue="1" operator="equal">
      <formula>$I$23</formula>
    </cfRule>
    <cfRule type="cellIs" dxfId="299" priority="393" stopIfTrue="1" operator="lessThan">
      <formula>$I$23</formula>
    </cfRule>
  </conditionalFormatting>
  <conditionalFormatting sqref="J24">
    <cfRule type="cellIs" dxfId="298" priority="394" stopIfTrue="1" operator="equal">
      <formula>$I$24</formula>
    </cfRule>
    <cfRule type="cellIs" dxfId="297" priority="395" stopIfTrue="1" operator="lessThan">
      <formula>$I$24</formula>
    </cfRule>
  </conditionalFormatting>
  <conditionalFormatting sqref="J25">
    <cfRule type="cellIs" dxfId="296" priority="396" stopIfTrue="1" operator="equal">
      <formula>$I$25</formula>
    </cfRule>
    <cfRule type="cellIs" dxfId="295" priority="397" stopIfTrue="1" operator="lessThan">
      <formula>$I$25</formula>
    </cfRule>
  </conditionalFormatting>
  <conditionalFormatting sqref="J26">
    <cfRule type="cellIs" dxfId="294" priority="398" stopIfTrue="1" operator="equal">
      <formula>$I$26</formula>
    </cfRule>
    <cfRule type="cellIs" dxfId="293" priority="399" stopIfTrue="1" operator="lessThan">
      <formula>$I$26</formula>
    </cfRule>
  </conditionalFormatting>
  <conditionalFormatting sqref="J27">
    <cfRule type="cellIs" dxfId="292" priority="400" stopIfTrue="1" operator="equal">
      <formula>$I$27</formula>
    </cfRule>
    <cfRule type="cellIs" dxfId="291" priority="401" stopIfTrue="1" operator="lessThan">
      <formula>$I$27</formula>
    </cfRule>
  </conditionalFormatting>
  <conditionalFormatting sqref="J28">
    <cfRule type="cellIs" dxfId="290" priority="402" stopIfTrue="1" operator="equal">
      <formula>$I$28</formula>
    </cfRule>
    <cfRule type="cellIs" dxfId="289" priority="403" stopIfTrue="1" operator="lessThan">
      <formula>$I$28</formula>
    </cfRule>
  </conditionalFormatting>
  <conditionalFormatting sqref="K4">
    <cfRule type="cellIs" dxfId="288" priority="404" stopIfTrue="1" operator="equal">
      <formula>$J$4</formula>
    </cfRule>
    <cfRule type="cellIs" dxfId="287" priority="405" stopIfTrue="1" operator="lessThan">
      <formula>$J$4</formula>
    </cfRule>
  </conditionalFormatting>
  <conditionalFormatting sqref="K5">
    <cfRule type="cellIs" dxfId="286" priority="406" stopIfTrue="1" operator="equal">
      <formula>$J$5</formula>
    </cfRule>
    <cfRule type="cellIs" dxfId="285" priority="407" stopIfTrue="1" operator="lessThan">
      <formula>$J$5</formula>
    </cfRule>
  </conditionalFormatting>
  <conditionalFormatting sqref="K6">
    <cfRule type="cellIs" dxfId="284" priority="408" stopIfTrue="1" operator="equal">
      <formula>$J$6</formula>
    </cfRule>
    <cfRule type="cellIs" dxfId="283" priority="409" stopIfTrue="1" operator="lessThan">
      <formula>$J$6</formula>
    </cfRule>
  </conditionalFormatting>
  <conditionalFormatting sqref="K7">
    <cfRule type="cellIs" dxfId="282" priority="410" stopIfTrue="1" operator="equal">
      <formula>$J$7</formula>
    </cfRule>
    <cfRule type="cellIs" dxfId="281" priority="411" stopIfTrue="1" operator="lessThan">
      <formula>$J$7</formula>
    </cfRule>
  </conditionalFormatting>
  <conditionalFormatting sqref="K8">
    <cfRule type="cellIs" dxfId="280" priority="412" stopIfTrue="1" operator="equal">
      <formula>$J$8</formula>
    </cfRule>
    <cfRule type="cellIs" dxfId="279" priority="413" stopIfTrue="1" operator="lessThan">
      <formula>$J$8</formula>
    </cfRule>
  </conditionalFormatting>
  <conditionalFormatting sqref="K9">
    <cfRule type="cellIs" dxfId="278" priority="414" stopIfTrue="1" operator="equal">
      <formula>$J$9</formula>
    </cfRule>
    <cfRule type="cellIs" dxfId="277" priority="415" stopIfTrue="1" operator="lessThan">
      <formula>$J$9</formula>
    </cfRule>
  </conditionalFormatting>
  <conditionalFormatting sqref="K10">
    <cfRule type="cellIs" dxfId="276" priority="416" stopIfTrue="1" operator="equal">
      <formula>$J$10</formula>
    </cfRule>
    <cfRule type="cellIs" dxfId="275" priority="417" stopIfTrue="1" operator="lessThan">
      <formula>$J$10</formula>
    </cfRule>
  </conditionalFormatting>
  <conditionalFormatting sqref="K11">
    <cfRule type="cellIs" dxfId="274" priority="418" stopIfTrue="1" operator="equal">
      <formula>$J$11</formula>
    </cfRule>
    <cfRule type="cellIs" dxfId="273" priority="419" stopIfTrue="1" operator="lessThan">
      <formula>$J$11</formula>
    </cfRule>
  </conditionalFormatting>
  <conditionalFormatting sqref="K12">
    <cfRule type="cellIs" dxfId="272" priority="420" stopIfTrue="1" operator="equal">
      <formula>$J$12</formula>
    </cfRule>
    <cfRule type="cellIs" dxfId="271" priority="421" stopIfTrue="1" operator="lessThan">
      <formula>$J$12</formula>
    </cfRule>
  </conditionalFormatting>
  <conditionalFormatting sqref="K13">
    <cfRule type="cellIs" dxfId="270" priority="422" stopIfTrue="1" operator="equal">
      <formula>$J$13</formula>
    </cfRule>
    <cfRule type="cellIs" dxfId="269" priority="423" stopIfTrue="1" operator="lessThan">
      <formula>$J$13</formula>
    </cfRule>
  </conditionalFormatting>
  <conditionalFormatting sqref="K14">
    <cfRule type="cellIs" dxfId="268" priority="424" stopIfTrue="1" operator="equal">
      <formula>$J$14</formula>
    </cfRule>
    <cfRule type="cellIs" dxfId="267" priority="425" stopIfTrue="1" operator="lessThan">
      <formula>$J$14</formula>
    </cfRule>
  </conditionalFormatting>
  <conditionalFormatting sqref="K15">
    <cfRule type="cellIs" dxfId="266" priority="426" stopIfTrue="1" operator="equal">
      <formula>$J$15</formula>
    </cfRule>
    <cfRule type="cellIs" dxfId="265" priority="427" stopIfTrue="1" operator="lessThan">
      <formula>$J$15</formula>
    </cfRule>
  </conditionalFormatting>
  <conditionalFormatting sqref="K16">
    <cfRule type="cellIs" dxfId="264" priority="428" stopIfTrue="1" operator="equal">
      <formula>$J$16</formula>
    </cfRule>
    <cfRule type="cellIs" dxfId="263" priority="429" stopIfTrue="1" operator="lessThan">
      <formula>$J$16</formula>
    </cfRule>
  </conditionalFormatting>
  <conditionalFormatting sqref="K17">
    <cfRule type="cellIs" dxfId="262" priority="430" stopIfTrue="1" operator="equal">
      <formula>$J$17</formula>
    </cfRule>
    <cfRule type="cellIs" dxfId="261" priority="431" stopIfTrue="1" operator="lessThan">
      <formula>$J$17</formula>
    </cfRule>
  </conditionalFormatting>
  <conditionalFormatting sqref="K18">
    <cfRule type="cellIs" dxfId="260" priority="432" stopIfTrue="1" operator="equal">
      <formula>$J$18</formula>
    </cfRule>
    <cfRule type="cellIs" dxfId="259" priority="433" stopIfTrue="1" operator="lessThan">
      <formula>$J$18</formula>
    </cfRule>
  </conditionalFormatting>
  <conditionalFormatting sqref="K19">
    <cfRule type="cellIs" dxfId="258" priority="434" stopIfTrue="1" operator="equal">
      <formula>$J$19</formula>
    </cfRule>
    <cfRule type="cellIs" dxfId="257" priority="435" stopIfTrue="1" operator="lessThan">
      <formula>$J$19</formula>
    </cfRule>
  </conditionalFormatting>
  <conditionalFormatting sqref="K20">
    <cfRule type="cellIs" dxfId="256" priority="436" stopIfTrue="1" operator="equal">
      <formula>$J$20</formula>
    </cfRule>
    <cfRule type="cellIs" dxfId="255" priority="437" stopIfTrue="1" operator="lessThan">
      <formula>$J$20</formula>
    </cfRule>
  </conditionalFormatting>
  <conditionalFormatting sqref="K21">
    <cfRule type="cellIs" dxfId="254" priority="438" stopIfTrue="1" operator="equal">
      <formula>$J$21</formula>
    </cfRule>
    <cfRule type="cellIs" dxfId="253" priority="439" stopIfTrue="1" operator="lessThan">
      <formula>$J$21</formula>
    </cfRule>
  </conditionalFormatting>
  <conditionalFormatting sqref="K22">
    <cfRule type="cellIs" dxfId="252" priority="440" stopIfTrue="1" operator="equal">
      <formula>$J$22</formula>
    </cfRule>
    <cfRule type="cellIs" dxfId="251" priority="441" stopIfTrue="1" operator="lessThan">
      <formula>$J$22</formula>
    </cfRule>
  </conditionalFormatting>
  <conditionalFormatting sqref="K23">
    <cfRule type="cellIs" dxfId="250" priority="442" stopIfTrue="1" operator="equal">
      <formula>$J$23</formula>
    </cfRule>
    <cfRule type="cellIs" dxfId="249" priority="443" stopIfTrue="1" operator="lessThan">
      <formula>$J$23</formula>
    </cfRule>
  </conditionalFormatting>
  <conditionalFormatting sqref="K24">
    <cfRule type="cellIs" dxfId="248" priority="444" stopIfTrue="1" operator="equal">
      <formula>$J$24</formula>
    </cfRule>
    <cfRule type="cellIs" dxfId="247" priority="445" stopIfTrue="1" operator="lessThan">
      <formula>$J$24</formula>
    </cfRule>
  </conditionalFormatting>
  <conditionalFormatting sqref="K25">
    <cfRule type="cellIs" dxfId="246" priority="446" stopIfTrue="1" operator="equal">
      <formula>$J$25</formula>
    </cfRule>
    <cfRule type="cellIs" dxfId="245" priority="447" stopIfTrue="1" operator="lessThan">
      <formula>$J$25</formula>
    </cfRule>
  </conditionalFormatting>
  <conditionalFormatting sqref="K26">
    <cfRule type="cellIs" dxfId="244" priority="448" stopIfTrue="1" operator="equal">
      <formula>$J$26</formula>
    </cfRule>
    <cfRule type="cellIs" dxfId="243" priority="449" stopIfTrue="1" operator="lessThan">
      <formula>$J$26</formula>
    </cfRule>
  </conditionalFormatting>
  <conditionalFormatting sqref="K27">
    <cfRule type="cellIs" dxfId="242" priority="450" stopIfTrue="1" operator="equal">
      <formula>$J$27</formula>
    </cfRule>
    <cfRule type="cellIs" dxfId="241" priority="451" stopIfTrue="1" operator="lessThan">
      <formula>$J$27</formula>
    </cfRule>
  </conditionalFormatting>
  <conditionalFormatting sqref="K28">
    <cfRule type="cellIs" dxfId="240" priority="452" stopIfTrue="1" operator="lessThan">
      <formula>$J$28</formula>
    </cfRule>
    <cfRule type="cellIs" dxfId="239" priority="453" stopIfTrue="1" operator="equal">
      <formula>$J$28</formula>
    </cfRule>
  </conditionalFormatting>
  <conditionalFormatting sqref="L4">
    <cfRule type="cellIs" dxfId="238" priority="454" stopIfTrue="1" operator="equal">
      <formula>$K$4</formula>
    </cfRule>
    <cfRule type="cellIs" dxfId="237" priority="455" stopIfTrue="1" operator="lessThan">
      <formula>$K$4</formula>
    </cfRule>
  </conditionalFormatting>
  <conditionalFormatting sqref="L5">
    <cfRule type="cellIs" dxfId="236" priority="456" stopIfTrue="1" operator="equal">
      <formula>$K$5</formula>
    </cfRule>
    <cfRule type="cellIs" dxfId="235" priority="457" stopIfTrue="1" operator="lessThan">
      <formula>$K$5</formula>
    </cfRule>
  </conditionalFormatting>
  <conditionalFormatting sqref="L6">
    <cfRule type="cellIs" dxfId="234" priority="458" stopIfTrue="1" operator="equal">
      <formula>$K$6</formula>
    </cfRule>
    <cfRule type="cellIs" dxfId="233" priority="459" stopIfTrue="1" operator="lessThan">
      <formula>$K$6</formula>
    </cfRule>
  </conditionalFormatting>
  <conditionalFormatting sqref="L7">
    <cfRule type="cellIs" dxfId="232" priority="460" stopIfTrue="1" operator="equal">
      <formula>$K$7</formula>
    </cfRule>
    <cfRule type="cellIs" dxfId="231" priority="461" stopIfTrue="1" operator="lessThan">
      <formula>$K$7</formula>
    </cfRule>
  </conditionalFormatting>
  <conditionalFormatting sqref="L8">
    <cfRule type="cellIs" dxfId="230" priority="462" stopIfTrue="1" operator="equal">
      <formula>$K$8</formula>
    </cfRule>
    <cfRule type="cellIs" dxfId="229" priority="463" stopIfTrue="1" operator="lessThan">
      <formula>$K$8</formula>
    </cfRule>
  </conditionalFormatting>
  <conditionalFormatting sqref="L9">
    <cfRule type="cellIs" dxfId="228" priority="464" stopIfTrue="1" operator="equal">
      <formula>$K$9</formula>
    </cfRule>
    <cfRule type="cellIs" dxfId="227" priority="465" stopIfTrue="1" operator="lessThan">
      <formula>$K$9</formula>
    </cfRule>
  </conditionalFormatting>
  <conditionalFormatting sqref="L10">
    <cfRule type="cellIs" dxfId="226" priority="466" stopIfTrue="1" operator="equal">
      <formula>$K$10</formula>
    </cfRule>
    <cfRule type="cellIs" dxfId="225" priority="467" stopIfTrue="1" operator="lessThan">
      <formula>$K$10</formula>
    </cfRule>
  </conditionalFormatting>
  <conditionalFormatting sqref="L11">
    <cfRule type="cellIs" dxfId="224" priority="488" stopIfTrue="1" operator="equal">
      <formula>$K$11</formula>
    </cfRule>
    <cfRule type="cellIs" dxfId="223" priority="489" stopIfTrue="1" operator="lessThan">
      <formula>$K$11</formula>
    </cfRule>
  </conditionalFormatting>
  <conditionalFormatting sqref="L12">
    <cfRule type="cellIs" dxfId="222" priority="468" stopIfTrue="1" operator="equal">
      <formula>$K$12</formula>
    </cfRule>
    <cfRule type="cellIs" dxfId="221" priority="469" stopIfTrue="1" operator="lessThan">
      <formula>$K$12</formula>
    </cfRule>
  </conditionalFormatting>
  <conditionalFormatting sqref="L13">
    <cfRule type="cellIs" dxfId="220" priority="470" stopIfTrue="1" operator="equal">
      <formula>$K$13</formula>
    </cfRule>
    <cfRule type="cellIs" dxfId="219" priority="471" stopIfTrue="1" operator="lessThan">
      <formula>$K$13</formula>
    </cfRule>
  </conditionalFormatting>
  <conditionalFormatting sqref="L14">
    <cfRule type="cellIs" dxfId="218" priority="472" stopIfTrue="1" operator="equal">
      <formula>$K$14</formula>
    </cfRule>
    <cfRule type="cellIs" dxfId="217" priority="473" stopIfTrue="1" operator="lessThan">
      <formula>$K$14</formula>
    </cfRule>
  </conditionalFormatting>
  <conditionalFormatting sqref="L15">
    <cfRule type="cellIs" dxfId="216" priority="474" stopIfTrue="1" operator="equal">
      <formula>$K$15</formula>
    </cfRule>
    <cfRule type="cellIs" dxfId="215" priority="475" stopIfTrue="1" operator="lessThan">
      <formula>$K$15</formula>
    </cfRule>
  </conditionalFormatting>
  <conditionalFormatting sqref="L16">
    <cfRule type="cellIs" dxfId="214" priority="476" stopIfTrue="1" operator="equal">
      <formula>$K$16</formula>
    </cfRule>
    <cfRule type="cellIs" dxfId="213" priority="477" stopIfTrue="1" operator="lessThan">
      <formula>$K$16</formula>
    </cfRule>
  </conditionalFormatting>
  <conditionalFormatting sqref="L17">
    <cfRule type="cellIs" dxfId="212" priority="478" stopIfTrue="1" operator="equal">
      <formula>$K$17</formula>
    </cfRule>
    <cfRule type="cellIs" dxfId="211" priority="479" stopIfTrue="1" operator="lessThan">
      <formula>$K$17</formula>
    </cfRule>
  </conditionalFormatting>
  <conditionalFormatting sqref="L18">
    <cfRule type="cellIs" dxfId="210" priority="480" stopIfTrue="1" operator="equal">
      <formula>$K$18</formula>
    </cfRule>
    <cfRule type="cellIs" dxfId="209" priority="481" stopIfTrue="1" operator="lessThan">
      <formula>$K$18</formula>
    </cfRule>
  </conditionalFormatting>
  <conditionalFormatting sqref="L19">
    <cfRule type="cellIs" dxfId="208" priority="482" stopIfTrue="1" operator="equal">
      <formula>$K$19</formula>
    </cfRule>
    <cfRule type="cellIs" dxfId="207" priority="483" stopIfTrue="1" operator="lessThan">
      <formula>$K$19</formula>
    </cfRule>
  </conditionalFormatting>
  <conditionalFormatting sqref="L20">
    <cfRule type="cellIs" dxfId="206" priority="484" stopIfTrue="1" operator="equal">
      <formula>$K$20</formula>
    </cfRule>
    <cfRule type="cellIs" dxfId="205" priority="485" stopIfTrue="1" operator="lessThan">
      <formula>$K$20</formula>
    </cfRule>
  </conditionalFormatting>
  <conditionalFormatting sqref="L21">
    <cfRule type="cellIs" dxfId="204" priority="486" stopIfTrue="1" operator="equal">
      <formula>$K$21</formula>
    </cfRule>
    <cfRule type="cellIs" dxfId="203" priority="487" stopIfTrue="1" operator="lessThan">
      <formula>$K$21</formula>
    </cfRule>
  </conditionalFormatting>
  <conditionalFormatting sqref="L22">
    <cfRule type="cellIs" dxfId="202" priority="490" stopIfTrue="1" operator="equal">
      <formula>$K$22</formula>
    </cfRule>
    <cfRule type="cellIs" dxfId="201" priority="491" stopIfTrue="1" operator="lessThan">
      <formula>$K$22</formula>
    </cfRule>
  </conditionalFormatting>
  <conditionalFormatting sqref="L23">
    <cfRule type="cellIs" dxfId="200" priority="492" stopIfTrue="1" operator="equal">
      <formula>$K$23</formula>
    </cfRule>
    <cfRule type="cellIs" dxfId="199" priority="493" stopIfTrue="1" operator="lessThan">
      <formula>$K$23</formula>
    </cfRule>
  </conditionalFormatting>
  <conditionalFormatting sqref="L24">
    <cfRule type="cellIs" dxfId="198" priority="494" stopIfTrue="1" operator="equal">
      <formula>$K$24</formula>
    </cfRule>
    <cfRule type="cellIs" dxfId="197" priority="495" stopIfTrue="1" operator="lessThan">
      <formula>$K$24</formula>
    </cfRule>
  </conditionalFormatting>
  <conditionalFormatting sqref="L25">
    <cfRule type="cellIs" dxfId="196" priority="496" stopIfTrue="1" operator="equal">
      <formula>$K$25</formula>
    </cfRule>
    <cfRule type="cellIs" dxfId="195" priority="497" stopIfTrue="1" operator="lessThan">
      <formula>$K$25</formula>
    </cfRule>
  </conditionalFormatting>
  <conditionalFormatting sqref="L26">
    <cfRule type="cellIs" dxfId="194" priority="498" stopIfTrue="1" operator="equal">
      <formula>$K$26</formula>
    </cfRule>
    <cfRule type="cellIs" dxfId="193" priority="499" stopIfTrue="1" operator="lessThan">
      <formula>$K$26</formula>
    </cfRule>
  </conditionalFormatting>
  <conditionalFormatting sqref="L27">
    <cfRule type="cellIs" dxfId="192" priority="500" stopIfTrue="1" operator="equal">
      <formula>$K$27</formula>
    </cfRule>
    <cfRule type="cellIs" dxfId="191" priority="501" stopIfTrue="1" operator="lessThan">
      <formula>$K$27</formula>
    </cfRule>
  </conditionalFormatting>
  <conditionalFormatting sqref="L28">
    <cfRule type="cellIs" dxfId="190" priority="502" stopIfTrue="1" operator="equal">
      <formula>$K$28</formula>
    </cfRule>
    <cfRule type="cellIs" dxfId="189" priority="503" stopIfTrue="1" operator="lessThan">
      <formula>$K$28</formula>
    </cfRule>
  </conditionalFormatting>
  <conditionalFormatting sqref="M4">
    <cfRule type="cellIs" dxfId="188" priority="504" stopIfTrue="1" operator="lessThan">
      <formula>$L$4</formula>
    </cfRule>
    <cfRule type="cellIs" dxfId="187" priority="505" stopIfTrue="1" operator="equal">
      <formula>$L$4</formula>
    </cfRule>
  </conditionalFormatting>
  <conditionalFormatting sqref="M5">
    <cfRule type="cellIs" dxfId="186" priority="506" stopIfTrue="1" operator="equal">
      <formula>$L$5</formula>
    </cfRule>
    <cfRule type="cellIs" dxfId="185" priority="507" stopIfTrue="1" operator="lessThan">
      <formula>$L$5</formula>
    </cfRule>
  </conditionalFormatting>
  <conditionalFormatting sqref="M6">
    <cfRule type="cellIs" dxfId="184" priority="508" stopIfTrue="1" operator="equal">
      <formula>$L$6</formula>
    </cfRule>
    <cfRule type="cellIs" dxfId="183" priority="509" stopIfTrue="1" operator="lessThan">
      <formula>$L$6</formula>
    </cfRule>
  </conditionalFormatting>
  <conditionalFormatting sqref="M7">
    <cfRule type="cellIs" dxfId="182" priority="510" stopIfTrue="1" operator="equal">
      <formula>$L$7</formula>
    </cfRule>
    <cfRule type="cellIs" dxfId="181" priority="511" stopIfTrue="1" operator="lessThan">
      <formula>$L$7</formula>
    </cfRule>
  </conditionalFormatting>
  <conditionalFormatting sqref="M8">
    <cfRule type="cellIs" dxfId="180" priority="512" stopIfTrue="1" operator="equal">
      <formula>$L$8</formula>
    </cfRule>
    <cfRule type="cellIs" dxfId="179" priority="513" stopIfTrue="1" operator="lessThan">
      <formula>$L$8</formula>
    </cfRule>
  </conditionalFormatting>
  <conditionalFormatting sqref="M9">
    <cfRule type="cellIs" dxfId="178" priority="514" stopIfTrue="1" operator="equal">
      <formula>$L$9</formula>
    </cfRule>
    <cfRule type="cellIs" dxfId="177" priority="515" stopIfTrue="1" operator="lessThan">
      <formula>$L$9</formula>
    </cfRule>
  </conditionalFormatting>
  <conditionalFormatting sqref="M10">
    <cfRule type="cellIs" dxfId="176" priority="516" stopIfTrue="1" operator="equal">
      <formula>$L$10</formula>
    </cfRule>
    <cfRule type="cellIs" dxfId="175" priority="517" stopIfTrue="1" operator="lessThan">
      <formula>$L$10</formula>
    </cfRule>
  </conditionalFormatting>
  <conditionalFormatting sqref="M11">
    <cfRule type="cellIs" dxfId="174" priority="518" stopIfTrue="1" operator="equal">
      <formula>$L$11</formula>
    </cfRule>
    <cfRule type="cellIs" dxfId="173" priority="519" stopIfTrue="1" operator="lessThan">
      <formula>$L$11</formula>
    </cfRule>
  </conditionalFormatting>
  <conditionalFormatting sqref="M12">
    <cfRule type="cellIs" dxfId="172" priority="520" stopIfTrue="1" operator="equal">
      <formula>$L$12</formula>
    </cfRule>
    <cfRule type="cellIs" dxfId="171" priority="521" stopIfTrue="1" operator="lessThan">
      <formula>$L$12</formula>
    </cfRule>
  </conditionalFormatting>
  <conditionalFormatting sqref="M13">
    <cfRule type="cellIs" dxfId="170" priority="522" stopIfTrue="1" operator="equal">
      <formula>$L$13</formula>
    </cfRule>
    <cfRule type="cellIs" dxfId="169" priority="523" stopIfTrue="1" operator="lessThan">
      <formula>$L$13</formula>
    </cfRule>
  </conditionalFormatting>
  <conditionalFormatting sqref="M14">
    <cfRule type="cellIs" dxfId="168" priority="524" stopIfTrue="1" operator="equal">
      <formula>$L$14</formula>
    </cfRule>
    <cfRule type="cellIs" dxfId="167" priority="525" stopIfTrue="1" operator="lessThan">
      <formula>$L$14</formula>
    </cfRule>
  </conditionalFormatting>
  <conditionalFormatting sqref="M15">
    <cfRule type="cellIs" dxfId="166" priority="526" stopIfTrue="1" operator="equal">
      <formula>$L$15</formula>
    </cfRule>
    <cfRule type="cellIs" dxfId="165" priority="527" stopIfTrue="1" operator="lessThan">
      <formula>$L$15</formula>
    </cfRule>
  </conditionalFormatting>
  <conditionalFormatting sqref="M16">
    <cfRule type="cellIs" dxfId="164" priority="528" stopIfTrue="1" operator="equal">
      <formula>$L$16</formula>
    </cfRule>
    <cfRule type="cellIs" dxfId="163" priority="529" stopIfTrue="1" operator="lessThan">
      <formula>$L$16</formula>
    </cfRule>
  </conditionalFormatting>
  <conditionalFormatting sqref="M17">
    <cfRule type="cellIs" dxfId="162" priority="530" stopIfTrue="1" operator="equal">
      <formula>$L$17</formula>
    </cfRule>
    <cfRule type="cellIs" dxfId="161" priority="531" stopIfTrue="1" operator="lessThan">
      <formula>$L$17</formula>
    </cfRule>
  </conditionalFormatting>
  <conditionalFormatting sqref="M18">
    <cfRule type="cellIs" dxfId="160" priority="532" stopIfTrue="1" operator="equal">
      <formula>$L$18</formula>
    </cfRule>
    <cfRule type="cellIs" dxfId="159" priority="533" stopIfTrue="1" operator="lessThan">
      <formula>$L$18</formula>
    </cfRule>
  </conditionalFormatting>
  <conditionalFormatting sqref="M19">
    <cfRule type="cellIs" dxfId="158" priority="534" stopIfTrue="1" operator="equal">
      <formula>$L$19</formula>
    </cfRule>
    <cfRule type="cellIs" dxfId="157" priority="535" stopIfTrue="1" operator="lessThan">
      <formula>$L$19</formula>
    </cfRule>
  </conditionalFormatting>
  <conditionalFormatting sqref="M20">
    <cfRule type="cellIs" dxfId="156" priority="536" stopIfTrue="1" operator="equal">
      <formula>$L$20</formula>
    </cfRule>
    <cfRule type="cellIs" dxfId="155" priority="537" stopIfTrue="1" operator="lessThan">
      <formula>$L$20</formula>
    </cfRule>
  </conditionalFormatting>
  <conditionalFormatting sqref="M21">
    <cfRule type="cellIs" dxfId="154" priority="538" stopIfTrue="1" operator="equal">
      <formula>$L$21</formula>
    </cfRule>
    <cfRule type="cellIs" dxfId="153" priority="539" stopIfTrue="1" operator="lessThan">
      <formula>$L$21</formula>
    </cfRule>
  </conditionalFormatting>
  <conditionalFormatting sqref="M22">
    <cfRule type="cellIs" dxfId="152" priority="540" stopIfTrue="1" operator="equal">
      <formula>$L$22</formula>
    </cfRule>
    <cfRule type="cellIs" dxfId="151" priority="541" stopIfTrue="1" operator="lessThan">
      <formula>$L$22</formula>
    </cfRule>
  </conditionalFormatting>
  <conditionalFormatting sqref="M23">
    <cfRule type="cellIs" dxfId="150" priority="542" stopIfTrue="1" operator="equal">
      <formula>$L$23</formula>
    </cfRule>
    <cfRule type="cellIs" dxfId="149" priority="543" stopIfTrue="1" operator="lessThan">
      <formula>$L$23</formula>
    </cfRule>
  </conditionalFormatting>
  <conditionalFormatting sqref="M24">
    <cfRule type="cellIs" dxfId="148" priority="544" stopIfTrue="1" operator="equal">
      <formula>$L$24</formula>
    </cfRule>
    <cfRule type="cellIs" dxfId="147" priority="545" stopIfTrue="1" operator="lessThan">
      <formula>$L$24</formula>
    </cfRule>
  </conditionalFormatting>
  <conditionalFormatting sqref="M25">
    <cfRule type="cellIs" dxfId="146" priority="546" stopIfTrue="1" operator="equal">
      <formula>$L$25</formula>
    </cfRule>
    <cfRule type="cellIs" dxfId="145" priority="547" stopIfTrue="1" operator="lessThan">
      <formula>$L$25</formula>
    </cfRule>
  </conditionalFormatting>
  <conditionalFormatting sqref="M26">
    <cfRule type="cellIs" dxfId="144" priority="548" stopIfTrue="1" operator="equal">
      <formula>$L$26</formula>
    </cfRule>
    <cfRule type="cellIs" dxfId="143" priority="549" stopIfTrue="1" operator="lessThan">
      <formula>$L$26</formula>
    </cfRule>
  </conditionalFormatting>
  <conditionalFormatting sqref="M27">
    <cfRule type="cellIs" dxfId="142" priority="550" stopIfTrue="1" operator="equal">
      <formula>$L$27</formula>
    </cfRule>
    <cfRule type="cellIs" dxfId="141" priority="551" stopIfTrue="1" operator="lessThan">
      <formula>$L$27</formula>
    </cfRule>
  </conditionalFormatting>
  <conditionalFormatting sqref="M28">
    <cfRule type="cellIs" dxfId="140" priority="552" stopIfTrue="1" operator="equal">
      <formula>$L$28</formula>
    </cfRule>
    <cfRule type="cellIs" dxfId="139" priority="553" stopIfTrue="1" operator="lessThan">
      <formula>$L$28</formula>
    </cfRule>
  </conditionalFormatting>
  <conditionalFormatting sqref="N4">
    <cfRule type="cellIs" dxfId="138" priority="554" stopIfTrue="1" operator="equal">
      <formula>$M$4</formula>
    </cfRule>
    <cfRule type="cellIs" dxfId="137" priority="555" stopIfTrue="1" operator="lessThan">
      <formula>$M$4</formula>
    </cfRule>
  </conditionalFormatting>
  <conditionalFormatting sqref="N5">
    <cfRule type="cellIs" dxfId="136" priority="556" stopIfTrue="1" operator="equal">
      <formula>$M$5</formula>
    </cfRule>
    <cfRule type="cellIs" dxfId="135" priority="557" stopIfTrue="1" operator="lessThan">
      <formula>$M$5</formula>
    </cfRule>
  </conditionalFormatting>
  <conditionalFormatting sqref="N6">
    <cfRule type="cellIs" dxfId="134" priority="558" stopIfTrue="1" operator="equal">
      <formula>$M$6</formula>
    </cfRule>
    <cfRule type="cellIs" dxfId="133" priority="559" stopIfTrue="1" operator="lessThan">
      <formula>$M$6</formula>
    </cfRule>
  </conditionalFormatting>
  <conditionalFormatting sqref="N7">
    <cfRule type="cellIs" dxfId="132" priority="560" stopIfTrue="1" operator="equal">
      <formula>$M$7</formula>
    </cfRule>
    <cfRule type="cellIs" dxfId="131" priority="561" stopIfTrue="1" operator="lessThan">
      <formula>$M$7</formula>
    </cfRule>
  </conditionalFormatting>
  <conditionalFormatting sqref="N8">
    <cfRule type="cellIs" dxfId="130" priority="562" stopIfTrue="1" operator="equal">
      <formula>$M$8</formula>
    </cfRule>
    <cfRule type="cellIs" dxfId="129" priority="563" stopIfTrue="1" operator="lessThan">
      <formula>$M$8</formula>
    </cfRule>
  </conditionalFormatting>
  <conditionalFormatting sqref="N9">
    <cfRule type="cellIs" dxfId="128" priority="564" stopIfTrue="1" operator="equal">
      <formula>$M$9</formula>
    </cfRule>
    <cfRule type="cellIs" dxfId="127" priority="565" stopIfTrue="1" operator="lessThan">
      <formula>$M$9</formula>
    </cfRule>
  </conditionalFormatting>
  <conditionalFormatting sqref="N10">
    <cfRule type="cellIs" dxfId="126" priority="566" stopIfTrue="1" operator="equal">
      <formula>$M$10</formula>
    </cfRule>
    <cfRule type="cellIs" dxfId="125" priority="567" stopIfTrue="1" operator="lessThan">
      <formula>$M$10</formula>
    </cfRule>
  </conditionalFormatting>
  <conditionalFormatting sqref="N11">
    <cfRule type="cellIs" dxfId="124" priority="568" stopIfTrue="1" operator="equal">
      <formula>$M$11</formula>
    </cfRule>
    <cfRule type="cellIs" dxfId="123" priority="569" stopIfTrue="1" operator="lessThan">
      <formula>$M$11</formula>
    </cfRule>
  </conditionalFormatting>
  <conditionalFormatting sqref="N12">
    <cfRule type="cellIs" dxfId="122" priority="570" stopIfTrue="1" operator="equal">
      <formula>$M$12</formula>
    </cfRule>
    <cfRule type="cellIs" dxfId="121" priority="571" stopIfTrue="1" operator="lessThan">
      <formula>$M$12</formula>
    </cfRule>
  </conditionalFormatting>
  <conditionalFormatting sqref="N13">
    <cfRule type="cellIs" dxfId="120" priority="572" stopIfTrue="1" operator="equal">
      <formula>$M$13</formula>
    </cfRule>
    <cfRule type="cellIs" dxfId="119" priority="573" stopIfTrue="1" operator="lessThan">
      <formula>$M$13</formula>
    </cfRule>
  </conditionalFormatting>
  <conditionalFormatting sqref="N14">
    <cfRule type="cellIs" dxfId="118" priority="574" stopIfTrue="1" operator="equal">
      <formula>$M$14</formula>
    </cfRule>
    <cfRule type="cellIs" dxfId="117" priority="575" stopIfTrue="1" operator="lessThan">
      <formula>$M$14</formula>
    </cfRule>
  </conditionalFormatting>
  <conditionalFormatting sqref="N15">
    <cfRule type="cellIs" dxfId="116" priority="576" stopIfTrue="1" operator="equal">
      <formula>$M$15</formula>
    </cfRule>
    <cfRule type="cellIs" dxfId="115" priority="577" stopIfTrue="1" operator="lessThan">
      <formula>$M$15</formula>
    </cfRule>
  </conditionalFormatting>
  <conditionalFormatting sqref="N16">
    <cfRule type="cellIs" dxfId="114" priority="578" stopIfTrue="1" operator="equal">
      <formula>$M$16</formula>
    </cfRule>
    <cfRule type="cellIs" dxfId="113" priority="579" stopIfTrue="1" operator="lessThan">
      <formula>$M$16</formula>
    </cfRule>
  </conditionalFormatting>
  <conditionalFormatting sqref="N17">
    <cfRule type="cellIs" dxfId="112" priority="580" stopIfTrue="1" operator="equal">
      <formula>$M$17</formula>
    </cfRule>
    <cfRule type="cellIs" dxfId="111" priority="581" stopIfTrue="1" operator="lessThan">
      <formula>$M$17</formula>
    </cfRule>
  </conditionalFormatting>
  <conditionalFormatting sqref="N18">
    <cfRule type="cellIs" dxfId="110" priority="582" stopIfTrue="1" operator="equal">
      <formula>$M$18</formula>
    </cfRule>
    <cfRule type="cellIs" dxfId="109" priority="583" stopIfTrue="1" operator="lessThan">
      <formula>$M$18</formula>
    </cfRule>
  </conditionalFormatting>
  <conditionalFormatting sqref="N19">
    <cfRule type="cellIs" dxfId="108" priority="584" stopIfTrue="1" operator="equal">
      <formula>$M$19</formula>
    </cfRule>
    <cfRule type="cellIs" dxfId="107" priority="585" stopIfTrue="1" operator="lessThan">
      <formula>$M$19</formula>
    </cfRule>
  </conditionalFormatting>
  <conditionalFormatting sqref="N20">
    <cfRule type="cellIs" dxfId="106" priority="586" stopIfTrue="1" operator="equal">
      <formula>$M$20</formula>
    </cfRule>
    <cfRule type="cellIs" dxfId="105" priority="587" stopIfTrue="1" operator="lessThan">
      <formula>$M$20</formula>
    </cfRule>
  </conditionalFormatting>
  <conditionalFormatting sqref="N21">
    <cfRule type="cellIs" dxfId="104" priority="588" stopIfTrue="1" operator="equal">
      <formula>$M$21</formula>
    </cfRule>
    <cfRule type="cellIs" dxfId="103" priority="589" stopIfTrue="1" operator="lessThan">
      <formula>$M$21</formula>
    </cfRule>
  </conditionalFormatting>
  <conditionalFormatting sqref="N22">
    <cfRule type="cellIs" dxfId="102" priority="590" stopIfTrue="1" operator="equal">
      <formula>$M$22</formula>
    </cfRule>
    <cfRule type="cellIs" dxfId="101" priority="591" stopIfTrue="1" operator="lessThan">
      <formula>$M$22</formula>
    </cfRule>
  </conditionalFormatting>
  <conditionalFormatting sqref="N23">
    <cfRule type="cellIs" dxfId="100" priority="592" stopIfTrue="1" operator="equal">
      <formula>$M$23</formula>
    </cfRule>
    <cfRule type="cellIs" dxfId="99" priority="593" stopIfTrue="1" operator="lessThan">
      <formula>$M$23</formula>
    </cfRule>
  </conditionalFormatting>
  <conditionalFormatting sqref="N24">
    <cfRule type="cellIs" dxfId="98" priority="594" stopIfTrue="1" operator="equal">
      <formula>$M$24</formula>
    </cfRule>
    <cfRule type="cellIs" dxfId="97" priority="595" stopIfTrue="1" operator="lessThan">
      <formula>$M$24</formula>
    </cfRule>
  </conditionalFormatting>
  <conditionalFormatting sqref="N25">
    <cfRule type="cellIs" dxfId="96" priority="596" stopIfTrue="1" operator="equal">
      <formula>$M$25</formula>
    </cfRule>
    <cfRule type="cellIs" dxfId="95" priority="597" stopIfTrue="1" operator="lessThan">
      <formula>$M$25</formula>
    </cfRule>
  </conditionalFormatting>
  <conditionalFormatting sqref="N26">
    <cfRule type="cellIs" dxfId="94" priority="598" stopIfTrue="1" operator="equal">
      <formula>$M$26</formula>
    </cfRule>
    <cfRule type="cellIs" dxfId="93" priority="599" stopIfTrue="1" operator="lessThan">
      <formula>$M$26</formula>
    </cfRule>
  </conditionalFormatting>
  <conditionalFormatting sqref="N27">
    <cfRule type="cellIs" dxfId="92" priority="600" stopIfTrue="1" operator="equal">
      <formula>$M$27</formula>
    </cfRule>
    <cfRule type="cellIs" dxfId="91" priority="601" stopIfTrue="1" operator="lessThan">
      <formula>$M$27</formula>
    </cfRule>
  </conditionalFormatting>
  <conditionalFormatting sqref="N28">
    <cfRule type="cellIs" dxfId="90" priority="602" stopIfTrue="1" operator="equal">
      <formula>$M$28</formula>
    </cfRule>
    <cfRule type="cellIs" dxfId="89" priority="603" stopIfTrue="1" operator="lessThan">
      <formula>$M$28</formula>
    </cfRule>
  </conditionalFormatting>
  <conditionalFormatting sqref="O4">
    <cfRule type="cellIs" dxfId="88" priority="604" stopIfTrue="1" operator="equal">
      <formula>$N$4</formula>
    </cfRule>
    <cfRule type="cellIs" dxfId="87" priority="605" stopIfTrue="1" operator="lessThan">
      <formula>$N$4</formula>
    </cfRule>
  </conditionalFormatting>
  <conditionalFormatting sqref="O5">
    <cfRule type="cellIs" dxfId="86" priority="606" stopIfTrue="1" operator="equal">
      <formula>$N$5</formula>
    </cfRule>
    <cfRule type="cellIs" dxfId="85" priority="607" stopIfTrue="1" operator="lessThan">
      <formula>$N$5</formula>
    </cfRule>
  </conditionalFormatting>
  <conditionalFormatting sqref="O6">
    <cfRule type="cellIs" dxfId="84" priority="608" stopIfTrue="1" operator="equal">
      <formula>$N$6</formula>
    </cfRule>
    <cfRule type="cellIs" dxfId="83" priority="609" stopIfTrue="1" operator="lessThan">
      <formula>$N$6</formula>
    </cfRule>
  </conditionalFormatting>
  <conditionalFormatting sqref="O7">
    <cfRule type="cellIs" dxfId="82" priority="610" stopIfTrue="1" operator="equal">
      <formula>$N$7</formula>
    </cfRule>
    <cfRule type="cellIs" dxfId="81" priority="611" stopIfTrue="1" operator="lessThan">
      <formula>$N$7</formula>
    </cfRule>
  </conditionalFormatting>
  <conditionalFormatting sqref="O8">
    <cfRule type="cellIs" dxfId="80" priority="612" stopIfTrue="1" operator="equal">
      <formula>$N$8</formula>
    </cfRule>
    <cfRule type="cellIs" dxfId="79" priority="613" stopIfTrue="1" operator="lessThan">
      <formula>$N$8</formula>
    </cfRule>
  </conditionalFormatting>
  <conditionalFormatting sqref="O9">
    <cfRule type="cellIs" dxfId="78" priority="614" stopIfTrue="1" operator="equal">
      <formula>$N$9</formula>
    </cfRule>
    <cfRule type="cellIs" dxfId="77" priority="615" stopIfTrue="1" operator="lessThan">
      <formula>$N$9</formula>
    </cfRule>
  </conditionalFormatting>
  <conditionalFormatting sqref="O10">
    <cfRule type="cellIs" dxfId="76" priority="616" stopIfTrue="1" operator="equal">
      <formula>$N$10</formula>
    </cfRule>
    <cfRule type="cellIs" dxfId="75" priority="617" stopIfTrue="1" operator="lessThan">
      <formula>$N$10</formula>
    </cfRule>
  </conditionalFormatting>
  <conditionalFormatting sqref="O11">
    <cfRule type="cellIs" dxfId="74" priority="618" stopIfTrue="1" operator="equal">
      <formula>$N$11</formula>
    </cfRule>
    <cfRule type="cellIs" dxfId="73" priority="619" stopIfTrue="1" operator="lessThan">
      <formula>$N$11</formula>
    </cfRule>
  </conditionalFormatting>
  <conditionalFormatting sqref="O12">
    <cfRule type="cellIs" dxfId="72" priority="620" stopIfTrue="1" operator="equal">
      <formula>$N$12</formula>
    </cfRule>
    <cfRule type="cellIs" dxfId="71" priority="621" stopIfTrue="1" operator="lessThan">
      <formula>$N$12</formula>
    </cfRule>
  </conditionalFormatting>
  <conditionalFormatting sqref="O13">
    <cfRule type="cellIs" dxfId="70" priority="622" stopIfTrue="1" operator="equal">
      <formula>$N$13</formula>
    </cfRule>
    <cfRule type="cellIs" dxfId="69" priority="623" stopIfTrue="1" operator="lessThan">
      <formula>$N$13</formula>
    </cfRule>
  </conditionalFormatting>
  <conditionalFormatting sqref="O14">
    <cfRule type="cellIs" dxfId="68" priority="624" stopIfTrue="1" operator="equal">
      <formula>$N$14</formula>
    </cfRule>
    <cfRule type="cellIs" dxfId="67" priority="625" stopIfTrue="1" operator="lessThan">
      <formula>$N$14</formula>
    </cfRule>
  </conditionalFormatting>
  <conditionalFormatting sqref="O15">
    <cfRule type="cellIs" dxfId="66" priority="626" stopIfTrue="1" operator="equal">
      <formula>$N$15</formula>
    </cfRule>
    <cfRule type="cellIs" dxfId="65" priority="627" stopIfTrue="1" operator="lessThan">
      <formula>$N$15</formula>
    </cfRule>
  </conditionalFormatting>
  <conditionalFormatting sqref="O16">
    <cfRule type="cellIs" dxfId="64" priority="628" stopIfTrue="1" operator="equal">
      <formula>$N$16</formula>
    </cfRule>
    <cfRule type="cellIs" dxfId="63" priority="629" stopIfTrue="1" operator="lessThan">
      <formula>$N$16</formula>
    </cfRule>
  </conditionalFormatting>
  <conditionalFormatting sqref="O17">
    <cfRule type="cellIs" dxfId="62" priority="630" stopIfTrue="1" operator="equal">
      <formula>$N$17</formula>
    </cfRule>
    <cfRule type="cellIs" dxfId="61" priority="631" stopIfTrue="1" operator="lessThan">
      <formula>$N$17</formula>
    </cfRule>
  </conditionalFormatting>
  <conditionalFormatting sqref="O18">
    <cfRule type="cellIs" dxfId="60" priority="632" stopIfTrue="1" operator="equal">
      <formula>$N$18</formula>
    </cfRule>
    <cfRule type="cellIs" dxfId="59" priority="633" stopIfTrue="1" operator="lessThan">
      <formula>$N$18</formula>
    </cfRule>
  </conditionalFormatting>
  <conditionalFormatting sqref="O19">
    <cfRule type="cellIs" dxfId="58" priority="634" stopIfTrue="1" operator="equal">
      <formula>$N$19</formula>
    </cfRule>
    <cfRule type="cellIs" dxfId="57" priority="635" stopIfTrue="1" operator="lessThan">
      <formula>$N$19</formula>
    </cfRule>
  </conditionalFormatting>
  <conditionalFormatting sqref="O20">
    <cfRule type="cellIs" dxfId="56" priority="636" stopIfTrue="1" operator="equal">
      <formula>$N$20</formula>
    </cfRule>
    <cfRule type="cellIs" dxfId="55" priority="637" stopIfTrue="1" operator="lessThan">
      <formula>$N$20</formula>
    </cfRule>
  </conditionalFormatting>
  <conditionalFormatting sqref="O21">
    <cfRule type="cellIs" dxfId="54" priority="638" stopIfTrue="1" operator="equal">
      <formula>$N$21</formula>
    </cfRule>
    <cfRule type="cellIs" dxfId="53" priority="639" stopIfTrue="1" operator="lessThan">
      <formula>$N$21</formula>
    </cfRule>
  </conditionalFormatting>
  <conditionalFormatting sqref="O22">
    <cfRule type="cellIs" dxfId="52" priority="640" stopIfTrue="1" operator="equal">
      <formula>$N$22</formula>
    </cfRule>
    <cfRule type="cellIs" dxfId="51" priority="641" stopIfTrue="1" operator="lessThan">
      <formula>$N$22</formula>
    </cfRule>
  </conditionalFormatting>
  <conditionalFormatting sqref="O23">
    <cfRule type="cellIs" dxfId="50" priority="642" stopIfTrue="1" operator="equal">
      <formula>$N$23</formula>
    </cfRule>
    <cfRule type="cellIs" dxfId="49" priority="643" stopIfTrue="1" operator="lessThan">
      <formula>$N$23</formula>
    </cfRule>
  </conditionalFormatting>
  <conditionalFormatting sqref="O24">
    <cfRule type="cellIs" dxfId="48" priority="644" stopIfTrue="1" operator="equal">
      <formula>$N$24</formula>
    </cfRule>
    <cfRule type="cellIs" dxfId="47" priority="645" stopIfTrue="1" operator="lessThan">
      <formula>$N$24</formula>
    </cfRule>
  </conditionalFormatting>
  <conditionalFormatting sqref="O25">
    <cfRule type="cellIs" dxfId="46" priority="646" stopIfTrue="1" operator="equal">
      <formula>$N$25</formula>
    </cfRule>
    <cfRule type="cellIs" dxfId="45" priority="647" stopIfTrue="1" operator="lessThan">
      <formula>$N$25</formula>
    </cfRule>
  </conditionalFormatting>
  <conditionalFormatting sqref="O26">
    <cfRule type="cellIs" dxfId="44" priority="648" stopIfTrue="1" operator="equal">
      <formula>$N$26</formula>
    </cfRule>
    <cfRule type="cellIs" dxfId="43" priority="649" stopIfTrue="1" operator="lessThan">
      <formula>$N$26</formula>
    </cfRule>
  </conditionalFormatting>
  <conditionalFormatting sqref="O27">
    <cfRule type="cellIs" dxfId="42" priority="650" stopIfTrue="1" operator="equal">
      <formula>$N$27</formula>
    </cfRule>
    <cfRule type="cellIs" dxfId="41" priority="651" stopIfTrue="1" operator="lessThan">
      <formula>$N$27</formula>
    </cfRule>
  </conditionalFormatting>
  <conditionalFormatting sqref="O28">
    <cfRule type="cellIs" dxfId="40" priority="652" stopIfTrue="1" operator="equal">
      <formula>$N$28</formula>
    </cfRule>
    <cfRule type="cellIs" dxfId="39" priority="653" stopIfTrue="1" operator="lessThan">
      <formula>$N$28</formula>
    </cfRule>
  </conditionalFormatting>
  <conditionalFormatting sqref="U4:AF23">
    <cfRule type="cellIs" dxfId="38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7"/>
  <sheetViews>
    <sheetView workbookViewId="0">
      <selection activeCell="H19" sqref="H19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6.453125" style="34" customWidth="1"/>
    <col min="7" max="10" width="11.453125" style="34" customWidth="1"/>
    <col min="11" max="11" width="5.7265625" style="34" customWidth="1"/>
    <col min="12" max="15" width="9.1796875" style="34" bestFit="1" customWidth="1"/>
    <col min="16" max="16" width="5.1796875" style="34" customWidth="1"/>
    <col min="17" max="16384" width="9" style="34"/>
  </cols>
  <sheetData>
    <row r="1" spans="1:20" ht="18" x14ac:dyDescent="0.4">
      <c r="A1" s="35" t="s">
        <v>34</v>
      </c>
      <c r="B1" s="36">
        <v>2024</v>
      </c>
    </row>
    <row r="2" spans="1:20" x14ac:dyDescent="0.35">
      <c r="L2" s="259" t="s">
        <v>409</v>
      </c>
      <c r="Q2" s="270" t="s">
        <v>415</v>
      </c>
      <c r="R2" s="270"/>
      <c r="S2" s="270"/>
      <c r="T2" s="270"/>
    </row>
    <row r="3" spans="1:20" ht="18" x14ac:dyDescent="0.4">
      <c r="A3" s="124" t="s">
        <v>35</v>
      </c>
      <c r="B3" s="125">
        <v>1850</v>
      </c>
      <c r="C3" s="125">
        <v>1851</v>
      </c>
      <c r="D3" s="125">
        <v>1852</v>
      </c>
      <c r="E3" s="125">
        <v>1853</v>
      </c>
      <c r="Q3" s="270"/>
      <c r="R3" s="270"/>
      <c r="S3" s="270"/>
      <c r="T3" s="270"/>
    </row>
    <row r="4" spans="1:20" x14ac:dyDescent="0.35">
      <c r="A4" s="37" t="s">
        <v>36</v>
      </c>
      <c r="B4" s="37">
        <f>'1850'!D4-'1850'!C4+'1850'!D6-'1850'!C6+'1850'!D8-'1850'!C8+'1850'!D10-'1850'!C10+'1850'!D12-'1850'!C12+'1850'!D14-'1850'!C14+'1850'!D16-'1850'!C16+'1850'!D18-'1850'!C18+'1850'!D20-'1850'!C20+'1850'!D22-'1850'!C22</f>
        <v>53.270999999999901</v>
      </c>
      <c r="C4" s="37">
        <f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82.535999999999959</v>
      </c>
      <c r="D4" s="37">
        <f>'1852'!D4-'1852'!C4+'1852'!D6-'1852'!C6+'1852'!D8-'1852'!C8+'1852'!D10-'1852'!C10+'1852'!D12-'1852'!C12+'1852'!D14-'1852'!C14+'1852'!D16-'1852'!C16+'1852'!D18-'1852'!C18+'1852'!D20-'1852'!C20+'1852'!D22-'1852'!C22</f>
        <v>88.957999999999856</v>
      </c>
      <c r="E4" s="37">
        <f>'1853'!D4-'1853'!C4+'1853'!D6-'1853'!C6+'1853'!D8-'1853'!C8+'1853'!D10-'1853'!C10+'1853'!D12-'1853'!C12+'1853'!D14-'1853'!C14+'1853'!D16-'1853'!C16+'1853'!D18-'1853'!C18+'1853'!D20-'1853'!C20+'1853'!D22-'1853'!C22+'1853'!D26-'1853'!C26</f>
        <v>72.224000000000046</v>
      </c>
      <c r="G4" s="134">
        <f>1-B4/B5</f>
        <v>0.12094059405940627</v>
      </c>
      <c r="H4" s="134">
        <f>1-C4/C5</f>
        <v>8.2933333333333747E-2</v>
      </c>
      <c r="I4" s="134">
        <f>1-D4/D5</f>
        <v>9.226530612245043E-2</v>
      </c>
      <c r="J4" s="134">
        <f>1-E4/E5</f>
        <v>9.1522012578615808E-2</v>
      </c>
      <c r="L4" s="258">
        <v>0.10776056338028184</v>
      </c>
      <c r="M4" s="258">
        <v>6.3344017094016269E-2</v>
      </c>
      <c r="N4" s="258">
        <v>0.1015005476451285</v>
      </c>
      <c r="O4" s="258">
        <v>8.1363057324841503E-2</v>
      </c>
      <c r="Q4" s="271">
        <v>0.12214642262895303</v>
      </c>
      <c r="R4" s="271">
        <v>6.0734341252698276E-2</v>
      </c>
      <c r="S4" s="271">
        <v>9.9550209205024109E-2</v>
      </c>
      <c r="T4" s="271">
        <v>8.908571428571499E-2</v>
      </c>
    </row>
    <row r="5" spans="1:20" x14ac:dyDescent="0.35">
      <c r="A5" s="37" t="s">
        <v>37</v>
      </c>
      <c r="B5" s="37">
        <f>'1850'!D26-'1850'!C26</f>
        <v>60.599999999999909</v>
      </c>
      <c r="C5" s="37">
        <f>'1851'!E26-'1851'!D26</f>
        <v>90</v>
      </c>
      <c r="D5" s="38">
        <f>'1852'!D26-'1852'!C26</f>
        <v>98</v>
      </c>
      <c r="E5" s="37">
        <f>'1853'!D27-'1853'!C27</f>
        <v>79.5</v>
      </c>
      <c r="L5" s="258"/>
      <c r="M5" s="258"/>
      <c r="N5" s="258"/>
      <c r="O5" s="258"/>
      <c r="Q5" s="271"/>
      <c r="R5" s="271"/>
      <c r="S5" s="271"/>
      <c r="T5" s="271"/>
    </row>
    <row r="6" spans="1:20" x14ac:dyDescent="0.35">
      <c r="A6" s="37" t="s">
        <v>38</v>
      </c>
      <c r="B6" s="312">
        <f>B5+C5+D5+E5</f>
        <v>328.09999999999991</v>
      </c>
      <c r="C6" s="312"/>
      <c r="D6" s="312"/>
      <c r="E6" s="312"/>
      <c r="G6" s="134">
        <f>1-B6/B7</f>
        <v>3.6982682712065729E-2</v>
      </c>
      <c r="L6" s="258">
        <v>4.2930738408704316E-2</v>
      </c>
      <c r="M6" s="258"/>
      <c r="N6" s="258"/>
      <c r="O6" s="258"/>
      <c r="Q6" s="271">
        <v>4.500450045004234E-2</v>
      </c>
      <c r="R6" s="271"/>
      <c r="S6" s="271"/>
      <c r="T6" s="271"/>
    </row>
    <row r="7" spans="1:20" x14ac:dyDescent="0.35">
      <c r="A7" s="37" t="s">
        <v>39</v>
      </c>
      <c r="B7" s="312">
        <f>'1850'!D29-'1850'!C29</f>
        <v>340.70000000000073</v>
      </c>
      <c r="C7" s="312"/>
      <c r="D7" s="312"/>
      <c r="E7" s="312"/>
      <c r="L7" s="258"/>
      <c r="M7" s="258"/>
      <c r="N7" s="258"/>
      <c r="O7" s="258"/>
      <c r="Q7" s="271"/>
      <c r="R7" s="271"/>
      <c r="S7" s="271"/>
      <c r="T7" s="271"/>
    </row>
    <row r="8" spans="1:20" ht="18" x14ac:dyDescent="0.4">
      <c r="A8" s="126" t="s">
        <v>40</v>
      </c>
      <c r="B8" s="127"/>
      <c r="C8" s="127"/>
      <c r="D8" s="127"/>
      <c r="E8" s="128"/>
      <c r="L8" s="258"/>
      <c r="M8" s="258"/>
      <c r="N8" s="258"/>
      <c r="O8" s="258"/>
      <c r="Q8" s="271"/>
      <c r="R8" s="271"/>
      <c r="S8" s="271"/>
      <c r="T8" s="271"/>
    </row>
    <row r="9" spans="1:20" x14ac:dyDescent="0.35">
      <c r="A9" s="37" t="s">
        <v>41</v>
      </c>
      <c r="B9" s="37">
        <f>'1850'!D5-'1850'!C5+'1850'!D7-'1850'!C7+'1850'!D9-'1850'!C9+'1850'!D11-'1850'!C11+'1850'!D13-'1850'!C13+'1850'!D15-'1850'!C15+'1850'!D17-'1850'!C17+'1850'!D19-'1850'!C19+'1850'!D21-'1850'!C21+'1850'!D23-'1850'!C23</f>
        <v>35.789000000000016</v>
      </c>
      <c r="C9" s="37">
        <f>'1851'!E5-'1851'!D5+'1851'!E7-'1851'!D7+'1851'!E9-'1851'!D9+'1851'!E11-'1851'!D11+'1851'!E13-'1851'!D13+'1851'!E15-'1851'!D15+'1851'!E17-'1851'!D17+'1851'!E19-'1851'!D19+'1851'!E21-'1851'!D21+'1851'!E23-'1851'!D23</f>
        <v>40.862000000000023</v>
      </c>
      <c r="D9" s="37">
        <f>'1852'!D5-'1852'!C5+'1852'!D7-'1852'!C7+'1852'!D9-'1852'!C9+'1852'!D11-'1852'!C11+'1852'!D13-'1852'!C13+'1852'!D15-'1852'!C15+'1852'!D17-'1852'!C17+'1852'!D19-'1852'!C19+'1852'!D21-'1852'!C21+'1852'!D23-'1852'!C23</f>
        <v>38.766000000000012</v>
      </c>
      <c r="E9" s="37">
        <f>'1853'!D5-'1853'!C5+'1853'!D7-'1853'!C7+'1853'!D9-'1853'!C9+'1853'!D11-'1853'!C11+'1853'!D13-'1853'!C13+'1853'!D15-'1853'!C15+'1853'!D17-'1853'!C17+'1853'!D19-'1853'!C19+'1853'!D21-'1853'!C21+'1853'!D23-'1853'!C23</f>
        <v>35.855000000000018</v>
      </c>
      <c r="G9" s="134">
        <f>1-B9/B10</f>
        <v>8.9801627670396567E-2</v>
      </c>
      <c r="H9" s="134">
        <f>1-C9/C10</f>
        <v>7.4682971014492505E-2</v>
      </c>
      <c r="I9" s="134">
        <f>1-D9/D10</f>
        <v>4.8453608247422619E-2</v>
      </c>
      <c r="J9" s="134">
        <f>1-E9/E10</f>
        <v>4.8181576851605623E-2</v>
      </c>
      <c r="L9" s="258">
        <v>7.274340208472041E-2</v>
      </c>
      <c r="M9" s="258">
        <v>9.7352024922118696E-2</v>
      </c>
      <c r="N9" s="258">
        <v>5.4242244028147812E-2</v>
      </c>
      <c r="O9" s="258">
        <v>7.7654693968891686E-2</v>
      </c>
      <c r="Q9" s="271">
        <v>8.4226410445923161E-2</v>
      </c>
      <c r="R9" s="271">
        <v>0.10960399126909892</v>
      </c>
      <c r="S9" s="271">
        <v>6.2670765027321607E-2</v>
      </c>
      <c r="T9" s="271">
        <v>5.0868252170631401E-2</v>
      </c>
    </row>
    <row r="10" spans="1:20" x14ac:dyDescent="0.35">
      <c r="A10" s="37" t="s">
        <v>42</v>
      </c>
      <c r="B10" s="39">
        <f>('1850'!D27-'1850'!C27)</f>
        <v>39.320000000000007</v>
      </c>
      <c r="C10" s="44">
        <f>('1851'!E27-'1851'!D27)</f>
        <v>44.160000000000011</v>
      </c>
      <c r="D10" s="44">
        <f>('1852'!D27-'1852'!C27)</f>
        <v>40.740000000000009</v>
      </c>
      <c r="E10" s="44">
        <f>('1853'!D28-'1853'!C28)</f>
        <v>37.67</v>
      </c>
      <c r="L10" s="258"/>
      <c r="M10" s="258"/>
      <c r="N10" s="258"/>
      <c r="O10" s="258"/>
      <c r="Q10" s="271"/>
      <c r="R10" s="271"/>
      <c r="S10" s="271"/>
      <c r="T10" s="271"/>
    </row>
    <row r="11" spans="1:20" ht="18" x14ac:dyDescent="0.4">
      <c r="A11" s="126" t="s">
        <v>43</v>
      </c>
      <c r="B11" s="127"/>
      <c r="C11" s="127"/>
      <c r="D11" s="127"/>
      <c r="E11" s="128"/>
      <c r="L11" s="258"/>
      <c r="M11" s="258"/>
      <c r="N11" s="258"/>
      <c r="O11" s="258"/>
      <c r="Q11" s="271"/>
      <c r="R11" s="271"/>
      <c r="S11" s="271"/>
      <c r="T11" s="271"/>
    </row>
    <row r="12" spans="1:20" x14ac:dyDescent="0.35">
      <c r="A12" s="37" t="s">
        <v>44</v>
      </c>
      <c r="B12" s="40">
        <f>'1850'!D25-'1850'!C25</f>
        <v>169</v>
      </c>
      <c r="C12" s="40">
        <f>'1851'!E24-'1851'!D24</f>
        <v>269</v>
      </c>
      <c r="D12" s="40">
        <f>'1852'!D25-'1852'!C25</f>
        <v>189</v>
      </c>
      <c r="E12" s="40">
        <f>'1853'!D24-'1853'!C24</f>
        <v>184</v>
      </c>
      <c r="L12" s="258"/>
      <c r="M12" s="258"/>
      <c r="N12" s="258"/>
      <c r="O12" s="258"/>
      <c r="Q12" s="271"/>
      <c r="R12" s="271"/>
      <c r="S12" s="271"/>
      <c r="T12" s="271"/>
    </row>
    <row r="13" spans="1:20" x14ac:dyDescent="0.35">
      <c r="B13" s="41"/>
      <c r="C13" s="41"/>
      <c r="D13" s="41"/>
      <c r="E13" s="41"/>
      <c r="G13" s="41"/>
      <c r="H13" s="41"/>
      <c r="I13" s="41"/>
      <c r="J13" s="41"/>
      <c r="L13" s="258"/>
      <c r="M13" s="258"/>
      <c r="N13" s="258"/>
      <c r="O13" s="258"/>
      <c r="Q13" s="271"/>
      <c r="R13" s="271"/>
      <c r="S13" s="271"/>
      <c r="T13" s="271"/>
    </row>
    <row r="14" spans="1:20" x14ac:dyDescent="0.35">
      <c r="A14" s="34" t="s">
        <v>45</v>
      </c>
      <c r="B14" s="41">
        <f>'1853'!D25-'1853'!C25</f>
        <v>353</v>
      </c>
      <c r="C14" s="41"/>
      <c r="D14" s="41"/>
      <c r="E14" s="41"/>
      <c r="G14" s="41"/>
      <c r="H14" s="41"/>
      <c r="I14" s="41"/>
      <c r="J14" s="41"/>
      <c r="L14" s="258"/>
      <c r="M14" s="258"/>
      <c r="N14" s="258"/>
      <c r="O14" s="258"/>
      <c r="Q14" s="271"/>
      <c r="R14" s="271"/>
      <c r="S14" s="271"/>
      <c r="T14" s="271"/>
    </row>
    <row r="15" spans="1:20" x14ac:dyDescent="0.35">
      <c r="A15" s="34" t="s">
        <v>46</v>
      </c>
      <c r="B15" s="42">
        <f>'1853'!D26-'1853'!C26</f>
        <v>0</v>
      </c>
      <c r="C15" s="41"/>
      <c r="D15" s="41"/>
      <c r="E15" s="41"/>
      <c r="G15" s="41"/>
      <c r="H15" s="41"/>
      <c r="I15" s="41"/>
      <c r="J15" s="41"/>
      <c r="L15" s="258"/>
      <c r="M15" s="258"/>
      <c r="N15" s="258"/>
      <c r="O15" s="258"/>
      <c r="Q15" s="271"/>
      <c r="R15" s="271"/>
      <c r="S15" s="271"/>
      <c r="T15" s="271"/>
    </row>
    <row r="16" spans="1:20" x14ac:dyDescent="0.35">
      <c r="B16" s="41"/>
      <c r="C16" s="41"/>
      <c r="D16" s="41"/>
      <c r="E16" s="41"/>
      <c r="G16" s="41"/>
      <c r="H16" s="41"/>
      <c r="I16" s="41"/>
      <c r="J16" s="41"/>
      <c r="L16" s="258"/>
      <c r="M16" s="258"/>
      <c r="N16" s="258"/>
      <c r="O16" s="258"/>
      <c r="Q16" s="271"/>
      <c r="R16" s="271"/>
      <c r="S16" s="271"/>
      <c r="T16" s="271"/>
    </row>
    <row r="17" spans="1:20" x14ac:dyDescent="0.35">
      <c r="L17" s="258"/>
      <c r="M17" s="258"/>
      <c r="N17" s="258"/>
      <c r="O17" s="258"/>
      <c r="Q17" s="271"/>
      <c r="R17" s="271"/>
      <c r="S17" s="271"/>
      <c r="T17" s="271"/>
    </row>
    <row r="18" spans="1:2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  <c r="L18" s="258"/>
      <c r="M18" s="258"/>
      <c r="N18" s="258"/>
      <c r="O18" s="258"/>
      <c r="Q18" s="271"/>
      <c r="R18" s="271"/>
      <c r="S18" s="271"/>
      <c r="T18" s="271"/>
    </row>
    <row r="19" spans="1:20" x14ac:dyDescent="0.35">
      <c r="A19" s="37" t="s">
        <v>36</v>
      </c>
      <c r="B19" s="37">
        <f>'1854'!D4-'1854'!C4+'1854'!D6-'1854'!C6+'1854'!D8-'1854'!C8+'1854'!D10-'1854'!C10+'1854'!D12-'1854'!C12+'1854'!D14-'1854'!C14+'1854'!D16-'1854'!C16+'1854'!D18-'1854'!C18+'1854'!D20-'1854'!C20+'1854'!D22-'1854'!C22</f>
        <v>49.269999999999982</v>
      </c>
      <c r="C19" s="37">
        <f>'1855'!D4-'1855'!C4+'1855'!D6-'1855'!C6+'1855'!D8-'1855'!C8+'1855'!D10-'1855'!C10+'1855'!D12-'1855'!C12+'1855'!D14-'1855'!C14+'1855'!D16-'1855'!C16+'1855'!D18-'1855'!C18+'1855'!D20-'1855'!C20+'1855'!D22-'1855'!C22</f>
        <v>67.952000000000112</v>
      </c>
      <c r="D19" s="37">
        <f>'1856'!D4-'1856'!C4+'1856'!D6-'1856'!C6+'1856'!D8-'1856'!C8+'1856'!D10-'1856'!C10+'1856'!D12-'1856'!C12+'1856'!D14-'1856'!C14+'1856'!D16-'1856'!C16+'1856'!D18-'1856'!C18+'1856'!D20-'1856'!C20+'1856'!D22-'1856'!C22</f>
        <v>79.703999999999951</v>
      </c>
      <c r="E19" s="37">
        <f>'1857'!D4-'1857'!C4+'1857'!D6-'1857'!C6+'1857'!D8-'1857'!C8+'1857'!D10-'1857'!C10+'1857'!D12-'1857'!C12+'1857'!D14-'1857'!C14+'1857'!D16-'1857'!C16+'1857'!D18-'1857'!C18+'1857'!D20-'1857'!C20+'1857'!D22-'1857'!C22</f>
        <v>81.904999999999859</v>
      </c>
      <c r="G19" s="134">
        <f>1-B19/B20</f>
        <v>0.10742753623188139</v>
      </c>
      <c r="H19" s="134">
        <f>1-C19/C20</f>
        <v>0.13766497461928995</v>
      </c>
      <c r="I19" s="134">
        <f>1-D19/D20</f>
        <v>7.1048951048948705E-2</v>
      </c>
      <c r="J19" s="134">
        <f>1-E19/E20</f>
        <v>9.8954895489551387E-2</v>
      </c>
      <c r="L19" s="258">
        <v>9.1895803183790092E-2</v>
      </c>
      <c r="M19" s="258">
        <v>0.1014319526627222</v>
      </c>
      <c r="N19" s="258">
        <v>9.2536136662284774E-2</v>
      </c>
      <c r="O19" s="258">
        <v>9.1850060459489957E-2</v>
      </c>
      <c r="Q19" s="271">
        <v>9.0062305295953937E-2</v>
      </c>
      <c r="R19" s="271">
        <v>0.10805405405405222</v>
      </c>
      <c r="S19" s="271">
        <v>9.1619156214365005E-2</v>
      </c>
      <c r="T19" s="271">
        <v>0.11914864864864871</v>
      </c>
    </row>
    <row r="20" spans="1:20" x14ac:dyDescent="0.35">
      <c r="A20" s="37" t="s">
        <v>37</v>
      </c>
      <c r="B20" s="37">
        <f>'1854'!D26-'1854'!C26</f>
        <v>55.199999999999818</v>
      </c>
      <c r="C20" s="37">
        <f>'1855'!D26-'1855'!C26</f>
        <v>78.800000000000182</v>
      </c>
      <c r="D20" s="37">
        <f>'1856'!D26-'1856'!C26</f>
        <v>85.799999999999727</v>
      </c>
      <c r="E20" s="37">
        <f>'1857'!D26-'1857'!C26</f>
        <v>90.900000000000091</v>
      </c>
      <c r="L20" s="258"/>
      <c r="M20" s="258"/>
      <c r="N20" s="258"/>
      <c r="O20" s="258"/>
      <c r="Q20" s="271"/>
      <c r="R20" s="271"/>
      <c r="S20" s="271"/>
      <c r="T20" s="271"/>
    </row>
    <row r="21" spans="1:20" x14ac:dyDescent="0.35">
      <c r="A21" s="37" t="s">
        <v>38</v>
      </c>
      <c r="B21" s="312">
        <f>B20+C20+D20+E20</f>
        <v>310.69999999999982</v>
      </c>
      <c r="C21" s="312"/>
      <c r="D21" s="312"/>
      <c r="E21" s="312"/>
      <c r="G21" s="134">
        <f>1-B21/B22</f>
        <v>-5.0371872887087887E-2</v>
      </c>
      <c r="L21" s="258">
        <v>-3.9254823685958895E-2</v>
      </c>
      <c r="M21" s="258"/>
      <c r="N21" s="258"/>
      <c r="O21" s="258"/>
      <c r="Q21" s="271">
        <v>-4.1319444444444686E-2</v>
      </c>
      <c r="R21" s="271"/>
      <c r="S21" s="271"/>
      <c r="T21" s="271"/>
    </row>
    <row r="22" spans="1:20" x14ac:dyDescent="0.35">
      <c r="A22" s="37" t="s">
        <v>39</v>
      </c>
      <c r="B22" s="312">
        <f>'1854'!D29-'1854'!C29</f>
        <v>295.79999999999927</v>
      </c>
      <c r="C22" s="312"/>
      <c r="D22" s="312"/>
      <c r="E22" s="312"/>
      <c r="L22" s="258"/>
      <c r="M22" s="258"/>
      <c r="N22" s="258"/>
      <c r="O22" s="258"/>
      <c r="Q22" s="271"/>
      <c r="R22" s="271"/>
      <c r="S22" s="271"/>
      <c r="T22" s="271"/>
    </row>
    <row r="23" spans="1:20" ht="18" x14ac:dyDescent="0.4">
      <c r="A23" s="126" t="s">
        <v>40</v>
      </c>
      <c r="B23" s="127"/>
      <c r="C23" s="127"/>
      <c r="D23" s="127"/>
      <c r="E23" s="128"/>
      <c r="L23" s="258"/>
      <c r="M23" s="258"/>
      <c r="N23" s="258"/>
      <c r="O23" s="258"/>
      <c r="Q23" s="271"/>
      <c r="R23" s="271"/>
      <c r="S23" s="271"/>
      <c r="T23" s="271"/>
    </row>
    <row r="24" spans="1:20" x14ac:dyDescent="0.35">
      <c r="A24" s="37" t="s">
        <v>41</v>
      </c>
      <c r="B24" s="37">
        <f>'1854'!D5-'1854'!C5+'1854'!D7-'1854'!C7+'1854'!D9-'1854'!C9+'1854'!D11-'1854'!C11+'1854'!D13-'1854'!C13+'1854'!D15-'1854'!C15+'1854'!D17-'1854'!C17+'1854'!D19-'1854'!C19+'1854'!D21-'1854'!C21+'1854'!D23-'1854'!C23</f>
        <v>33.746999999999993</v>
      </c>
      <c r="C24" s="37">
        <f>'1855'!D5-'1855'!C5+'1855'!D7-'1855'!C7+'1855'!D9-'1855'!C9+'1855'!D11-'1855'!C11+'1855'!D13-'1855'!C13+'1855'!D15-'1855'!C15+'1855'!D17-'1855'!C17+'1855'!D19-'1855'!C19+'1855'!D21-'1855'!C21+'1855'!D23-'1855'!C23</f>
        <v>38.486000000000004</v>
      </c>
      <c r="D24" s="37">
        <f>'1856'!D5-'1856'!C5+'1856'!D7-'1856'!C7+'1856'!D9-'1856'!C9+'1856'!D11-'1856'!C11+'1856'!D13-'1856'!C13+'1856'!D15-'1856'!C15+'1856'!D17-'1856'!C17+'1856'!D19-'1856'!C19+'1856'!D21-'1856'!C21+'1856'!D23-'1856'!C23</f>
        <v>35.634</v>
      </c>
      <c r="E24" s="37">
        <f>'1857'!D5-'1857'!C5+'1857'!D7-'1857'!C7+'1857'!D9-'1857'!C9+'1857'!D11-'1857'!C11+'1857'!D13-'1857'!C13+'1857'!D15-'1857'!C15+'1857'!D17-'1857'!C17+'1857'!D19-'1857'!C19+'1857'!D21-'1857'!C21+'1857'!D23-'1857'!C23</f>
        <v>36.384999999999998</v>
      </c>
      <c r="G24" s="134">
        <f>1-B24/B25</f>
        <v>6.7762430939227847E-2</v>
      </c>
      <c r="H24" s="134">
        <f>1-C24/C25</f>
        <v>7.0835345243842496E-2</v>
      </c>
      <c r="I24" s="134">
        <f>1-D24/D25</f>
        <v>6.9851213782300969E-2</v>
      </c>
      <c r="J24" s="134">
        <f>1-E24/E25</f>
        <v>9.6922313229088286E-2</v>
      </c>
      <c r="L24" s="258">
        <v>5.8015267175572705E-2</v>
      </c>
      <c r="M24" s="258">
        <v>7.2727272727273196E-2</v>
      </c>
      <c r="N24" s="258">
        <v>7.8701986754966646E-2</v>
      </c>
      <c r="O24" s="258">
        <v>8.7025071077797667E-2</v>
      </c>
      <c r="Q24" s="271">
        <v>7.2464219041692868E-2</v>
      </c>
      <c r="R24" s="271">
        <v>7.4006476302620583E-2</v>
      </c>
      <c r="S24" s="271">
        <v>8.6205817954331798E-2</v>
      </c>
      <c r="T24" s="271">
        <v>7.6633478531424659E-2</v>
      </c>
    </row>
    <row r="25" spans="1:20" x14ac:dyDescent="0.35">
      <c r="A25" s="37" t="s">
        <v>42</v>
      </c>
      <c r="B25" s="44">
        <f>('1854'!D27-'1854'!C27)</f>
        <v>36.200000000000045</v>
      </c>
      <c r="C25" s="44">
        <f>('1855'!D27-'1855'!C27)</f>
        <v>41.419999999999959</v>
      </c>
      <c r="D25" s="44">
        <f>('1856'!D27-'1856'!C27)</f>
        <v>38.309999999999945</v>
      </c>
      <c r="E25" s="44">
        <f>('1857'!D27-'1857'!C27)</f>
        <v>40.289999999999964</v>
      </c>
    </row>
    <row r="26" spans="1:20" ht="18" x14ac:dyDescent="0.4">
      <c r="A26" s="126" t="s">
        <v>43</v>
      </c>
      <c r="B26" s="127"/>
      <c r="C26" s="127"/>
      <c r="D26" s="127"/>
      <c r="E26" s="128"/>
    </row>
    <row r="27" spans="1:20" x14ac:dyDescent="0.35">
      <c r="A27" s="37" t="s">
        <v>44</v>
      </c>
      <c r="B27" s="40">
        <f>'1854'!D25-'1854'!C25</f>
        <v>185</v>
      </c>
      <c r="C27" s="40">
        <f>'1855'!D25-'1855'!C25</f>
        <v>393</v>
      </c>
      <c r="D27" s="40">
        <f>'1856'!D25-'1856'!C25</f>
        <v>181</v>
      </c>
      <c r="E27" s="40">
        <f>'1857'!D25-'1857'!C25</f>
        <v>239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37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L15" sqref="L15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6.7265625" style="34" customWidth="1"/>
    <col min="7" max="10" width="11.453125" style="34" customWidth="1"/>
    <col min="11" max="12" width="9" style="34" customWidth="1"/>
    <col min="13" max="16384" width="9" style="34"/>
  </cols>
  <sheetData>
    <row r="1" spans="1:10" ht="18" x14ac:dyDescent="0.4">
      <c r="A1" s="35" t="s">
        <v>47</v>
      </c>
      <c r="B1" s="36">
        <f>'S1'!B1</f>
        <v>2024</v>
      </c>
    </row>
    <row r="3" spans="1:10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10" x14ac:dyDescent="0.35">
      <c r="A4" s="43" t="s">
        <v>36</v>
      </c>
      <c r="B4" s="37">
        <f>'1850'!E4-'1850'!D4+'1850'!E6-'1850'!D6+'1850'!E8-'1850'!D8+'1850'!E10-'1850'!D10+'1850'!E12-'1850'!D12+'1850'!E14-'1850'!D14+'1850'!E16-'1850'!D16+'1850'!E18-'1850'!D18+'1850'!E20-'1850'!D20+'1850'!E22-'1850'!D22</f>
        <v>54.805000000000064</v>
      </c>
      <c r="C4" s="37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75.694000000000102</v>
      </c>
      <c r="D4" s="37">
        <f>'1852'!E4-'1852'!D4+'1852'!E6-'1852'!D6+'1852'!E8-'1852'!D8+'1852'!E10-'1852'!D10+'1852'!E12-'1852'!D12+'1852'!E14-'1852'!D14+'1852'!E16-'1852'!D16+'1852'!E18-'1852'!D18+'1852'!E20-'1852'!D20+'1852'!E22-'1852'!D22</f>
        <v>73.624000000000024</v>
      </c>
      <c r="E4" s="37">
        <f>'1853'!E4-'1853'!D4+'1853'!E6-'1853'!D6+'1853'!E8-'1853'!D8+'1853'!E10-'1853'!D10+'1853'!E12-'1853'!D12+'1853'!E14-'1853'!D14+'1853'!E16-'1853'!D16+'1853'!E18-'1853'!D18+'1853'!E20-'1853'!D20+'1853'!E22-'1853'!D22+'1853'!E26-'1853'!D26</f>
        <v>61.574000000000069</v>
      </c>
      <c r="G4" s="134">
        <f>1-B4/B5</f>
        <v>0.11889067524116037</v>
      </c>
      <c r="H4" s="134">
        <f>1-C4/C5</f>
        <v>8.2496969696968514E-2</v>
      </c>
      <c r="I4" s="134">
        <f>1-D4/D5</f>
        <v>9.995110024450049E-2</v>
      </c>
      <c r="J4" s="134">
        <f>1-E4/E5</f>
        <v>9.0487444608563727E-2</v>
      </c>
    </row>
    <row r="5" spans="1:10" x14ac:dyDescent="0.35">
      <c r="A5" s="43" t="s">
        <v>37</v>
      </c>
      <c r="B5" s="37">
        <f>'1850'!E26-'1850'!D26</f>
        <v>62.200000000000273</v>
      </c>
      <c r="C5" s="37">
        <f>'1851'!F26-'1851'!E26</f>
        <v>82.5</v>
      </c>
      <c r="D5" s="37">
        <f>'1852'!E26-'1852'!D26</f>
        <v>81.800000000000182</v>
      </c>
      <c r="E5" s="37">
        <f>'1853'!E27-'1853'!D27</f>
        <v>67.699999999999818</v>
      </c>
    </row>
    <row r="6" spans="1:10" x14ac:dyDescent="0.35">
      <c r="A6" s="43" t="s">
        <v>38</v>
      </c>
      <c r="B6" s="312">
        <f>SUM(B5:E5)</f>
        <v>294.20000000000027</v>
      </c>
      <c r="C6" s="312"/>
      <c r="D6" s="312"/>
      <c r="E6" s="312"/>
      <c r="G6" s="134">
        <f>1-B6/B7</f>
        <v>3.5409836065572908E-2</v>
      </c>
    </row>
    <row r="7" spans="1:10" x14ac:dyDescent="0.35">
      <c r="A7" s="43" t="s">
        <v>39</v>
      </c>
      <c r="B7" s="312">
        <f>'1850'!E29-'1850'!D29</f>
        <v>305</v>
      </c>
      <c r="C7" s="312"/>
      <c r="D7" s="312"/>
      <c r="E7" s="312"/>
    </row>
    <row r="8" spans="1:10" ht="18" x14ac:dyDescent="0.4">
      <c r="A8" s="126" t="s">
        <v>40</v>
      </c>
      <c r="B8" s="129"/>
      <c r="C8" s="127"/>
      <c r="D8" s="127"/>
      <c r="E8" s="128"/>
    </row>
    <row r="9" spans="1:10" x14ac:dyDescent="0.35">
      <c r="A9" s="37" t="s">
        <v>41</v>
      </c>
      <c r="B9" s="37">
        <f>'1850'!E5-'1850'!D5+'1850'!E7-'1850'!D7+'1850'!E9-'1850'!D9+'1850'!E11-'1850'!D11+'1850'!E13-'1850'!D13+'1850'!E15-'1850'!D15+'1850'!E17-'1850'!D17+'1850'!E19-'1850'!D19+'1850'!E21-'1850'!D21+'1850'!E23-'1850'!D23</f>
        <v>23.655000000000001</v>
      </c>
      <c r="C9" s="37">
        <f>'1851'!F5-'1851'!E5+'1851'!F7-'1851'!E7+'1851'!F9-'1851'!E9+'1851'!F11-'1851'!E11+'1851'!F13-'1851'!E13+'1851'!F15-'1851'!E15+'1851'!F17-'1851'!E17+'1851'!F19-'1851'!E19+'1851'!F21-'1851'!E21+'1851'!F23-'1851'!E23</f>
        <v>25.408999999999999</v>
      </c>
      <c r="D9" s="37">
        <f>'1852'!E5-'1852'!D5+'1852'!E7-'1852'!D7+'1852'!E9-'1852'!D9+'1852'!E11-'1852'!D11+'1852'!E13-'1852'!D13+'1852'!E15-'1852'!D15+'1852'!E17-'1852'!D17+'1852'!E19-'1852'!D19+'1852'!E21-'1852'!D21+'1852'!E23-'1852'!D23</f>
        <v>23.458999999999982</v>
      </c>
      <c r="E9" s="37">
        <f>'1853'!E5-'1853'!D5+'1853'!E7-'1853'!D7+'1853'!E9-'1853'!D9+'1853'!E11-'1853'!D11+'1853'!E13-'1853'!D13+'1853'!E15-'1853'!D15+'1853'!E17-'1853'!D17+'1853'!E19-'1853'!D19+'1853'!E21-'1853'!D21+'1853'!E23-'1853'!D23</f>
        <v>20.873999999999995</v>
      </c>
      <c r="G9" s="134">
        <f>1-B9/B10</f>
        <v>7.4530516431924876E-2</v>
      </c>
      <c r="H9" s="134">
        <f>1-C9/C10</f>
        <v>7.8716461203770405E-2</v>
      </c>
      <c r="I9" s="134">
        <f>1-D9/D10</f>
        <v>4.5606183889341012E-2</v>
      </c>
      <c r="J9" s="134">
        <f>1-E9/E10</f>
        <v>5.161290322580625E-2</v>
      </c>
    </row>
    <row r="10" spans="1:10" x14ac:dyDescent="0.35">
      <c r="A10" s="37" t="s">
        <v>42</v>
      </c>
      <c r="B10" s="44">
        <f>('1850'!E27-'1850'!D27)</f>
        <v>25.560000000000002</v>
      </c>
      <c r="C10" s="44">
        <f>('1851'!F27-'1851'!E27)</f>
        <v>27.579999999999984</v>
      </c>
      <c r="D10" s="44">
        <f>('1852'!E27-'1852'!D27)</f>
        <v>24.579999999999984</v>
      </c>
      <c r="E10" s="44">
        <f>('1853'!E28-'1853'!D28)</f>
        <v>22.009999999999991</v>
      </c>
    </row>
    <row r="11" spans="1:10" ht="18" x14ac:dyDescent="0.4">
      <c r="A11" s="126" t="s">
        <v>48</v>
      </c>
      <c r="B11" s="127"/>
      <c r="C11" s="127"/>
      <c r="D11" s="127"/>
      <c r="E11" s="128"/>
    </row>
    <row r="12" spans="1:10" x14ac:dyDescent="0.35">
      <c r="A12" s="37" t="s">
        <v>44</v>
      </c>
      <c r="B12" s="40">
        <f>'1850'!E25-'1850'!D25</f>
        <v>237</v>
      </c>
      <c r="C12" s="40">
        <f>'1851'!F24-'1851'!E24</f>
        <v>239</v>
      </c>
      <c r="D12" s="40">
        <f>'1852'!E25-'1852'!D25</f>
        <v>185</v>
      </c>
      <c r="E12" s="40">
        <f>'1853'!E24-'1853'!D24</f>
        <v>169</v>
      </c>
    </row>
    <row r="13" spans="1:10" x14ac:dyDescent="0.35">
      <c r="B13" s="41"/>
      <c r="C13" s="41"/>
      <c r="D13" s="41"/>
      <c r="E13" s="41"/>
      <c r="F13" s="41"/>
      <c r="G13" s="41"/>
      <c r="H13" s="41"/>
      <c r="I13" s="41"/>
      <c r="J13" s="41"/>
    </row>
    <row r="14" spans="1:10" x14ac:dyDescent="0.35">
      <c r="A14" s="34" t="s">
        <v>45</v>
      </c>
      <c r="B14" s="41">
        <f>'1853'!E25-'1853'!D25</f>
        <v>322</v>
      </c>
      <c r="C14" s="41"/>
      <c r="D14" s="41"/>
      <c r="E14" s="41"/>
      <c r="F14" s="41"/>
      <c r="G14" s="41"/>
      <c r="H14" s="41"/>
      <c r="I14" s="41"/>
      <c r="J14" s="41"/>
    </row>
    <row r="15" spans="1:10" x14ac:dyDescent="0.35">
      <c r="A15" s="34" t="s">
        <v>46</v>
      </c>
      <c r="B15" s="42">
        <f>'1853'!E26-'1853'!D26</f>
        <v>0</v>
      </c>
      <c r="C15" s="41"/>
      <c r="D15" s="41"/>
      <c r="E15" s="41"/>
      <c r="F15" s="41"/>
      <c r="G15" s="41"/>
      <c r="H15" s="41"/>
      <c r="I15" s="41"/>
      <c r="J15" s="41"/>
    </row>
    <row r="16" spans="1:10" x14ac:dyDescent="0.35">
      <c r="B16" s="41"/>
      <c r="C16" s="41"/>
      <c r="D16" s="41"/>
      <c r="E16" s="41"/>
      <c r="F16" s="41"/>
      <c r="G16" s="41"/>
      <c r="H16" s="41"/>
      <c r="I16" s="41"/>
      <c r="J16" s="41"/>
    </row>
    <row r="18" spans="1:1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0" x14ac:dyDescent="0.35">
      <c r="A19" s="37" t="s">
        <v>36</v>
      </c>
      <c r="B19" s="37">
        <f>'1854'!E4-'1854'!D4+'1854'!E6-'1854'!D6+'1854'!E8-'1854'!D8+'1854'!E10-'1854'!D10+'1854'!E12-'1854'!D12+'1854'!E14-'1854'!D14+'1854'!E16-'1854'!D16+'1854'!E18-'1854'!D18+'1854'!E20-'1854'!D20+'1854'!E22-'1854'!D22</f>
        <v>43.454000000000065</v>
      </c>
      <c r="C19" s="37">
        <f>'1855'!E4-'1855'!D4+'1855'!E6-'1855'!D6+'1855'!E8-'1855'!D8+'1855'!E10-'1855'!D10+'1855'!E12-'1855'!D12+'1855'!E14-'1855'!D14+'1855'!E16-'1855'!D16+'1855'!E18-'1855'!D18+'1855'!E20-'1855'!D20+'1855'!E22-'1855'!D22</f>
        <v>63.014999999999986</v>
      </c>
      <c r="D19" s="37">
        <f>'1856'!E4-'1856'!D4+'1856'!E6-'1856'!D6+'1856'!E8-'1856'!D8+'1856'!E10-'1856'!D10+'1856'!E12-'1856'!D12+'1856'!E14-'1856'!D14+'1856'!E16-'1856'!D16+'1856'!E18-'1856'!D18+'1856'!E20-'1856'!D20+'1856'!E22-'1856'!D22</f>
        <v>69.144999999999982</v>
      </c>
      <c r="E19" s="37">
        <f>'1857'!E4-'1857'!D4+'1857'!E6-'1857'!D6+'1857'!E8-'1857'!D8+'1857'!E10-'1857'!D10+'1857'!E12-'1857'!D12+'1857'!E14-'1857'!D14+'1857'!E16-'1857'!D16+'1857'!E18-'1857'!D18+'1857'!E20-'1857'!D20+'1857'!E22-'1857'!D22</f>
        <v>70.235999999999876</v>
      </c>
      <c r="G19" s="134">
        <f>1-B19/B20</f>
        <v>8.9014675052414782E-2</v>
      </c>
      <c r="H19" s="134">
        <f>1-C19/C20</f>
        <v>0.12721606648199246</v>
      </c>
      <c r="I19" s="134">
        <f>1-D19/D20</f>
        <v>0.12585335018963262</v>
      </c>
      <c r="J19" s="134">
        <f>1-E19/E20</f>
        <v>0.10527388535032001</v>
      </c>
    </row>
    <row r="20" spans="1:10" x14ac:dyDescent="0.35">
      <c r="A20" s="37" t="s">
        <v>37</v>
      </c>
      <c r="B20" s="37">
        <f>'1854'!E26-'1854'!D26</f>
        <v>47.700000000000273</v>
      </c>
      <c r="C20" s="37">
        <f>'1855'!E26-'1855'!D26</f>
        <v>72.199999999999818</v>
      </c>
      <c r="D20" s="37">
        <f>'1856'!E26-'1856'!D26</f>
        <v>79.099999999999909</v>
      </c>
      <c r="E20" s="37">
        <f>'1857'!E26-'1857'!D26</f>
        <v>78.5</v>
      </c>
    </row>
    <row r="21" spans="1:10" x14ac:dyDescent="0.35">
      <c r="A21" s="37" t="s">
        <v>38</v>
      </c>
      <c r="B21" s="312">
        <f>SUM(B20:E20)</f>
        <v>277.5</v>
      </c>
      <c r="C21" s="312"/>
      <c r="D21" s="312"/>
      <c r="E21" s="312"/>
      <c r="G21" s="134">
        <f>1-B21/B22</f>
        <v>-5.0738356683073249E-2</v>
      </c>
    </row>
    <row r="22" spans="1:10" x14ac:dyDescent="0.35">
      <c r="A22" s="37" t="s">
        <v>39</v>
      </c>
      <c r="B22" s="312">
        <f>'1854'!E29-'1854'!D29</f>
        <v>264.10000000000036</v>
      </c>
      <c r="C22" s="312"/>
      <c r="D22" s="312"/>
      <c r="E22" s="312"/>
    </row>
    <row r="23" spans="1:10" ht="18" x14ac:dyDescent="0.4">
      <c r="A23" s="126" t="s">
        <v>40</v>
      </c>
      <c r="B23" s="127"/>
      <c r="C23" s="127"/>
      <c r="D23" s="127"/>
      <c r="E23" s="128"/>
    </row>
    <row r="24" spans="1:10" x14ac:dyDescent="0.35">
      <c r="A24" s="37" t="s">
        <v>41</v>
      </c>
      <c r="B24" s="37">
        <f>'1854'!E5-'1854'!D5+'1854'!E7-'1854'!D7+'1854'!E9-'1854'!D9+'1854'!E11-'1854'!D11+'1854'!E13-'1854'!D13+'1854'!E15-'1854'!D15+'1854'!E17-'1854'!D17+'1854'!E19-'1854'!D19+'1854'!E21-'1854'!D21+'1854'!E23-'1854'!D23</f>
        <v>21.614000000000004</v>
      </c>
      <c r="C24" s="37">
        <f>'1855'!E5-'1855'!D5+'1855'!E7-'1855'!D7+'1855'!E9-'1855'!D9+'1855'!E11-'1855'!D11+'1855'!E13-'1855'!D13+'1855'!E15-'1855'!D15+'1855'!E17-'1855'!D17+'1855'!E19-'1855'!D19+'1855'!E21-'1855'!D21+'1855'!E23-'1855'!D23</f>
        <v>23.615000000000002</v>
      </c>
      <c r="D24" s="37">
        <f>'1856'!E5-'1856'!D5+'1856'!E7-'1856'!D7+'1856'!E9-'1856'!D9+'1856'!E11-'1856'!D11+'1856'!E13-'1856'!D13+'1856'!E15-'1856'!D15+'1856'!E17-'1856'!D17+'1856'!E19-'1856'!D19+'1856'!E21-'1856'!D21+'1856'!E23-'1856'!D23</f>
        <v>20.178000000000004</v>
      </c>
      <c r="E24" s="37">
        <f>'1857'!E5-'1857'!D5+'1857'!E7-'1857'!D7+'1857'!E9-'1857'!D9+'1857'!E11-'1857'!D11+'1857'!E13-'1857'!D13+'1857'!E15-'1857'!D15+'1857'!E17-'1857'!D17+'1857'!E19-'1857'!D19+'1857'!E21-'1857'!D21+'1857'!E23-'1857'!D23</f>
        <v>22.782999999999994</v>
      </c>
      <c r="G24" s="134">
        <f>1-B24/B25</f>
        <v>6.9565217391304945E-2</v>
      </c>
      <c r="H24" s="134">
        <f>1-C24/C25</f>
        <v>7.0275590551180156E-2</v>
      </c>
      <c r="I24" s="134">
        <f>1-D24/D25</f>
        <v>5.4894613583138963E-2</v>
      </c>
      <c r="J24" s="134">
        <f>1-E24/E25</f>
        <v>8.9408473221422424E-2</v>
      </c>
    </row>
    <row r="25" spans="1:10" x14ac:dyDescent="0.35">
      <c r="A25" s="37" t="s">
        <v>42</v>
      </c>
      <c r="B25" s="44">
        <f>('1854'!E27-'1854'!D27)</f>
        <v>23.230000000000018</v>
      </c>
      <c r="C25" s="44">
        <f>('1855'!E27-'1855'!D27)</f>
        <v>25.399999999999977</v>
      </c>
      <c r="D25" s="44">
        <f>('1856'!E27-'1856'!D27)</f>
        <v>21.350000000000023</v>
      </c>
      <c r="E25" s="44">
        <f>('1857'!E27-'1857'!D27)</f>
        <v>25.019999999999982</v>
      </c>
    </row>
    <row r="26" spans="1:10" ht="18" x14ac:dyDescent="0.4">
      <c r="A26" s="126" t="s">
        <v>48</v>
      </c>
      <c r="B26" s="127"/>
      <c r="C26" s="127"/>
      <c r="D26" s="127"/>
      <c r="E26" s="128"/>
    </row>
    <row r="27" spans="1:10" x14ac:dyDescent="0.35">
      <c r="A27" s="37" t="s">
        <v>44</v>
      </c>
      <c r="B27" s="40">
        <f>'1854'!E25-'1854'!D25</f>
        <v>180</v>
      </c>
      <c r="C27" s="40">
        <f>'1855'!E25-'1855'!D25</f>
        <v>197</v>
      </c>
      <c r="D27" s="40">
        <f>'1856'!E25-'1856'!D25</f>
        <v>179</v>
      </c>
      <c r="E27" s="40">
        <f>'1857'!E25-'1857'!D25</f>
        <v>185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3:I13 G16:I17">
    <cfRule type="cellIs" dxfId="36" priority="4" stopIfTrue="1" operator="lessThan">
      <formula>0</formula>
    </cfRule>
  </conditionalFormatting>
  <conditionalFormatting sqref="G1:J2 G28:J65536">
    <cfRule type="cellIs" dxfId="35" priority="2" stopIfTrue="1" operator="lessThan">
      <formula>0</formula>
    </cfRule>
  </conditionalFormatting>
  <conditionalFormatting sqref="G13:J17">
    <cfRule type="cellIs" dxfId="34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selection activeCell="M13" sqref="M13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9.81640625" style="34" customWidth="1"/>
    <col min="7" max="10" width="11.453125" style="34" customWidth="1"/>
    <col min="11" max="15" width="6.453125" style="34" customWidth="1"/>
    <col min="16" max="16384" width="9" style="34"/>
  </cols>
  <sheetData>
    <row r="1" spans="1:11" ht="18" x14ac:dyDescent="0.4">
      <c r="A1" s="35" t="s">
        <v>49</v>
      </c>
      <c r="B1" s="36">
        <f>'S1'!B1</f>
        <v>2024</v>
      </c>
    </row>
    <row r="3" spans="1:11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11" x14ac:dyDescent="0.35">
      <c r="A4" s="43" t="s">
        <v>36</v>
      </c>
      <c r="B4" s="37">
        <f>'1850'!F4-'1850'!E4+'1850'!F6-'1850'!E6+'1850'!F8-'1850'!E8+'1850'!F10-'1850'!E10+'1850'!F12-'1850'!E12+'1850'!F14-'1850'!E14+'1850'!F16-'1850'!E16+'1850'!F18-'1850'!E18+'1850'!F20-'1850'!E20+'1850'!F22-'1850'!E22</f>
        <v>61.519999999999982</v>
      </c>
      <c r="C4" s="37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79.939999999999884</v>
      </c>
      <c r="D4" s="37">
        <f>'1852'!F4-'1852'!E4+'1852'!F6-'1852'!E6+'1852'!F8-'1852'!E8+'1852'!F10-'1852'!E10+'1852'!F12-'1852'!E12+'1852'!F14-'1852'!E14+'1852'!F16-'1852'!E16+'1852'!F18-'1852'!E18+'1852'!F20-'1852'!E20+'1852'!F22-'1852'!E22</f>
        <v>73.007000000000005</v>
      </c>
      <c r="E4" s="37">
        <f>'1853'!F4-'1853'!E4+'1853'!F6-'1853'!E6+'1853'!F8-'1853'!E8+'1853'!F10-'1853'!E10+'1853'!F12-'1853'!E12+'1853'!F14-'1853'!E14+'1853'!F16-'1853'!E16+'1853'!F18-'1853'!E18+'1853'!F20-'1853'!E20+'1853'!F22-'1853'!E22+'1853'!F26-'1853'!E26</f>
        <v>69.196000000000026</v>
      </c>
      <c r="G4" s="134">
        <f>1-B4/B5</f>
        <v>0.13595505617977333</v>
      </c>
      <c r="H4" s="134">
        <f>1-C4/C5</f>
        <v>7.0465116279071149E-2</v>
      </c>
      <c r="I4" s="134">
        <f>1-D4/D5</f>
        <v>9.0821917808210917E-2</v>
      </c>
      <c r="J4" s="134">
        <f>1-E4/E5</f>
        <v>0.11514066496163444</v>
      </c>
    </row>
    <row r="5" spans="1:11" x14ac:dyDescent="0.35">
      <c r="A5" s="43" t="s">
        <v>37</v>
      </c>
      <c r="B5" s="37">
        <f>'1850'!F26-'1850'!E26</f>
        <v>71.199999999999818</v>
      </c>
      <c r="C5" s="37">
        <f>'1851'!G26-'1851'!F26</f>
        <v>86</v>
      </c>
      <c r="D5" s="37">
        <f>'1852'!F26-'1852'!E26</f>
        <v>80.299999999999272</v>
      </c>
      <c r="E5" s="37">
        <f>'1853'!F27-'1853'!E27</f>
        <v>78.199999999999818</v>
      </c>
    </row>
    <row r="6" spans="1:11" x14ac:dyDescent="0.35">
      <c r="A6" s="43" t="s">
        <v>38</v>
      </c>
      <c r="B6" s="312">
        <f>SUM(B5:E5)</f>
        <v>315.69999999999891</v>
      </c>
      <c r="C6" s="312"/>
      <c r="D6" s="312"/>
      <c r="E6" s="312"/>
      <c r="G6" s="134">
        <f>1-B6/B7</f>
        <v>4.217233009708643E-2</v>
      </c>
    </row>
    <row r="7" spans="1:11" x14ac:dyDescent="0.35">
      <c r="A7" s="43" t="s">
        <v>39</v>
      </c>
      <c r="B7" s="312">
        <f>'1850'!F29-'1850'!E29</f>
        <v>329.59999999999854</v>
      </c>
      <c r="C7" s="312"/>
      <c r="D7" s="312"/>
      <c r="E7" s="312"/>
    </row>
    <row r="8" spans="1:11" ht="18" x14ac:dyDescent="0.4">
      <c r="A8" s="126" t="s">
        <v>40</v>
      </c>
      <c r="B8" s="129"/>
      <c r="C8" s="127"/>
      <c r="D8" s="127"/>
      <c r="E8" s="128"/>
    </row>
    <row r="9" spans="1:11" x14ac:dyDescent="0.35">
      <c r="A9" s="37" t="s">
        <v>41</v>
      </c>
      <c r="B9" s="37">
        <f>'1850'!F5-'1850'!E5+'1850'!F7-'1850'!E7+'1850'!F9-'1850'!E9+'1850'!F11-'1850'!E11+'1850'!F13-'1850'!E13+'1850'!F15-'1850'!E15+'1850'!F17-'1850'!E17+'1850'!F19-'1850'!E19+'1850'!F21-'1850'!E21+'1850'!F23-'1850'!E23</f>
        <v>16.748000000000005</v>
      </c>
      <c r="C9" s="37">
        <f>'1851'!G5-'1851'!F5+'1851'!G7-'1851'!F7+'1851'!G9-'1851'!F9+'1851'!G11-'1851'!F11+'1851'!G13-'1851'!F13+'1851'!G15-'1851'!F15+'1851'!G17-'1851'!F17+'1851'!G19-'1851'!F19+'1851'!G21-'1851'!F21+'1851'!G23-'1851'!F23</f>
        <v>21.265999999999991</v>
      </c>
      <c r="D9" s="37">
        <f>'1852'!F5-'1852'!E5+'1852'!F7-'1852'!E7+'1852'!F9-'1852'!E9+'1852'!F11-'1852'!E11+'1852'!F13-'1852'!E13+'1852'!F15-'1852'!E15+'1852'!F17-'1852'!E17+'1852'!F19-'1852'!E19+'1852'!F21-'1852'!E21+'1852'!F23-'1852'!E23</f>
        <v>19.236999999999995</v>
      </c>
      <c r="E9" s="37">
        <f>'1853'!F5-'1853'!E5+'1853'!F7-'1853'!E7+'1853'!F9-'1853'!E9+'1853'!F11-'1853'!E11+'1853'!F13-'1853'!E13+'1853'!F15-'1853'!E15+'1853'!F17-'1853'!E17+'1853'!F19-'1853'!E19+'1853'!F21-'1853'!E21+'1853'!F23-'1853'!E23</f>
        <v>16.244000000000007</v>
      </c>
      <c r="G9" s="134">
        <f>1-B9/B10</f>
        <v>6.1210762331838531E-2</v>
      </c>
      <c r="H9" s="134">
        <f>1-C9/C10</f>
        <v>7.4989125706829807E-2</v>
      </c>
      <c r="I9" s="134">
        <f>1-D9/D10</f>
        <v>4.7201584943042607E-2</v>
      </c>
      <c r="J9" s="134">
        <f>1-E9/E10</f>
        <v>5.5581395348836993E-2</v>
      </c>
    </row>
    <row r="10" spans="1:11" x14ac:dyDescent="0.35">
      <c r="A10" s="37" t="s">
        <v>42</v>
      </c>
      <c r="B10" s="44">
        <f>('1850'!F27-'1850'!E27)</f>
        <v>17.840000000000003</v>
      </c>
      <c r="C10" s="44">
        <f>('1851'!G27-'1851'!F27)</f>
        <v>22.990000000000009</v>
      </c>
      <c r="D10" s="44">
        <f>('1852'!F27-'1852'!E27)</f>
        <v>20.190000000000026</v>
      </c>
      <c r="E10" s="44">
        <f>('1853'!F28-'1853'!E28)</f>
        <v>17.200000000000003</v>
      </c>
    </row>
    <row r="11" spans="1:11" ht="18" x14ac:dyDescent="0.4">
      <c r="A11" s="126" t="s">
        <v>48</v>
      </c>
      <c r="B11" s="127"/>
      <c r="C11" s="127"/>
      <c r="D11" s="127"/>
      <c r="E11" s="128"/>
    </row>
    <row r="12" spans="1:11" x14ac:dyDescent="0.35">
      <c r="A12" s="37" t="s">
        <v>44</v>
      </c>
      <c r="B12" s="40">
        <f>'1850'!F25-'1850'!E25</f>
        <v>176</v>
      </c>
      <c r="C12" s="40">
        <f>'1851'!G24-'1851'!F24</f>
        <v>193</v>
      </c>
      <c r="D12" s="40">
        <f>'1852'!F25-'1852'!E25</f>
        <v>187</v>
      </c>
      <c r="E12" s="40">
        <f>'1853'!F24-'1853'!E24</f>
        <v>196</v>
      </c>
    </row>
    <row r="13" spans="1:11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 spans="1:11" x14ac:dyDescent="0.35">
      <c r="A14" s="34" t="s">
        <v>45</v>
      </c>
      <c r="B14" s="41">
        <f>'1853'!F25-'1853'!E25</f>
        <v>322</v>
      </c>
      <c r="C14" s="41"/>
      <c r="D14" s="41"/>
      <c r="E14" s="41"/>
      <c r="F14" s="41"/>
      <c r="G14" s="41"/>
      <c r="H14" s="41"/>
      <c r="I14" s="41"/>
      <c r="J14" s="41"/>
    </row>
    <row r="15" spans="1:11" x14ac:dyDescent="0.35">
      <c r="A15" s="34" t="s">
        <v>46</v>
      </c>
      <c r="B15" s="42">
        <f>'1853'!F26-'1853'!E26</f>
        <v>0</v>
      </c>
      <c r="C15" s="41"/>
      <c r="D15" s="41"/>
      <c r="E15" s="41"/>
      <c r="F15" s="41"/>
      <c r="G15" s="41"/>
      <c r="H15" s="41"/>
      <c r="I15" s="41"/>
      <c r="J15" s="41"/>
    </row>
    <row r="16" spans="1:11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</row>
    <row r="18" spans="1:1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0" x14ac:dyDescent="0.35">
      <c r="A19" s="37" t="s">
        <v>36</v>
      </c>
      <c r="B19" s="37">
        <f>'1854'!F4-'1854'!E4+'1854'!F6-'1854'!E6+'1854'!F8-'1854'!E8+'1854'!F10-'1854'!E10+'1854'!F12-'1854'!E12+'1854'!F14-'1854'!E14+'1854'!F16-'1854'!E16+'1854'!F18-'1854'!E18+'1854'!F20-'1854'!E20+'1854'!F22-'1854'!E22</f>
        <v>52.582000000000022</v>
      </c>
      <c r="C19" s="37">
        <f>'1855'!F4-'1855'!E4+'1855'!F6-'1855'!E6+'1855'!F8-'1855'!E8+'1855'!F10-'1855'!E10+'1855'!F12-'1855'!E12+'1855'!F14-'1855'!E14+'1855'!F16-'1855'!E16+'1855'!F18-'1855'!E18+'1855'!F20-'1855'!E20+'1855'!F22-'1855'!E22</f>
        <v>69.150000000000205</v>
      </c>
      <c r="D19" s="37">
        <f>'1856'!F4-'1856'!E4+'1856'!F6-'1856'!E6+'1856'!F8-'1856'!E8+'1856'!F10-'1856'!E10+'1856'!F12-'1856'!E12+'1856'!F14-'1856'!E14+'1856'!F16-'1856'!E16+'1856'!F18-'1856'!E18+'1856'!F20-'1856'!E20+'1856'!F22-'1856'!E22</f>
        <v>77.613000000000113</v>
      </c>
      <c r="E19" s="37">
        <f>'1857'!F4-'1857'!E4+'1857'!F6-'1857'!E6+'1857'!F8-'1857'!E8+'1857'!F10-'1857'!E10+'1857'!F12-'1857'!E12+'1857'!F14-'1857'!E14+'1857'!F16-'1857'!E16+'1857'!F18-'1857'!E18+'1857'!F20-'1857'!E20+'1857'!F22-'1857'!E22</f>
        <v>72.248999999999967</v>
      </c>
      <c r="G19" s="134">
        <f>1-B19/B20</f>
        <v>9.9623287671226857E-2</v>
      </c>
      <c r="H19" s="134">
        <f>1-C19/C20</f>
        <v>0.11685823754789215</v>
      </c>
      <c r="I19" s="134">
        <f>1-D19/D20</f>
        <v>0.10273988439306225</v>
      </c>
      <c r="J19" s="134">
        <f>1-E19/E20</f>
        <v>0.10582920792079453</v>
      </c>
    </row>
    <row r="20" spans="1:10" x14ac:dyDescent="0.35">
      <c r="A20" s="37" t="s">
        <v>37</v>
      </c>
      <c r="B20" s="37">
        <f>'1854'!F26-'1854'!E26</f>
        <v>58.399999999999636</v>
      </c>
      <c r="C20" s="37">
        <f>'1855'!F26-'1855'!E26</f>
        <v>78.300000000000182</v>
      </c>
      <c r="D20" s="37">
        <f>'1856'!F26-'1856'!E26</f>
        <v>86.5</v>
      </c>
      <c r="E20" s="37">
        <f>'1857'!F26-'1857'!E26</f>
        <v>80.800000000000182</v>
      </c>
    </row>
    <row r="21" spans="1:10" x14ac:dyDescent="0.35">
      <c r="A21" s="37" t="s">
        <v>38</v>
      </c>
      <c r="B21" s="312">
        <f>SUM(B20:E20)</f>
        <v>304</v>
      </c>
      <c r="C21" s="312"/>
      <c r="D21" s="312"/>
      <c r="E21" s="312"/>
      <c r="G21" s="134">
        <f>1-B21/B22</f>
        <v>-5.0449205252247387E-2</v>
      </c>
    </row>
    <row r="22" spans="1:10" x14ac:dyDescent="0.35">
      <c r="A22" s="37" t="s">
        <v>39</v>
      </c>
      <c r="B22" s="312">
        <f>'1854'!F29-'1854'!E29</f>
        <v>289.39999999999964</v>
      </c>
      <c r="C22" s="312"/>
      <c r="D22" s="312"/>
      <c r="E22" s="312"/>
    </row>
    <row r="23" spans="1:10" ht="18" x14ac:dyDescent="0.4">
      <c r="A23" s="126" t="s">
        <v>40</v>
      </c>
      <c r="B23" s="127"/>
      <c r="C23" s="127"/>
      <c r="D23" s="127"/>
      <c r="E23" s="128"/>
    </row>
    <row r="24" spans="1:10" x14ac:dyDescent="0.35">
      <c r="A24" s="37" t="s">
        <v>41</v>
      </c>
      <c r="B24" s="37">
        <f>'1854'!F5-'1854'!E5+'1854'!F7-'1854'!E7+'1854'!F9-'1854'!E9+'1854'!F11-'1854'!E11+'1854'!F13-'1854'!E13+'1854'!F15-'1854'!E15+'1854'!F17-'1854'!E17+'1854'!F19-'1854'!E19+'1854'!F21-'1854'!E21+'1854'!F23-'1854'!E23</f>
        <v>16.996000000000034</v>
      </c>
      <c r="C24" s="37">
        <f>'1855'!F5-'1855'!E5+'1855'!F7-'1855'!E7+'1855'!F9-'1855'!E9+'1855'!F11-'1855'!E11+'1855'!F13-'1855'!E13+'1855'!F15-'1855'!E15+'1855'!F17-'1855'!E17+'1855'!F19-'1855'!E19+'1855'!F21-'1855'!E21+'1855'!F23-'1855'!E23</f>
        <v>17.192000000000014</v>
      </c>
      <c r="D24" s="37">
        <f>'1856'!F5-'1856'!E5+'1856'!F7-'1856'!E7+'1856'!F9-'1856'!E9+'1856'!F11-'1856'!E11+'1856'!F13-'1856'!E13+'1856'!F15-'1856'!E15+'1856'!F17-'1856'!E17+'1856'!F19-'1856'!E19+'1856'!F21-'1856'!E21+'1856'!F23-'1856'!E23</f>
        <v>16.017999999999997</v>
      </c>
      <c r="E24" s="37">
        <f>'1857'!F5-'1857'!E5+'1857'!F7-'1857'!E7+'1857'!F9-'1857'!E9+'1857'!F11-'1857'!E11+'1857'!F13-'1857'!E13+'1857'!F15-'1857'!E15+'1857'!F17-'1857'!E17+'1857'!F19-'1857'!E19+'1857'!F21-'1857'!E21+'1857'!F23-'1857'!E23</f>
        <v>16.846000000000018</v>
      </c>
      <c r="G24" s="134">
        <f>1-B24/B25</f>
        <v>6.3581267217627802E-2</v>
      </c>
      <c r="H24" s="134">
        <f>1-C24/C25</f>
        <v>7.1706263498918399E-2</v>
      </c>
      <c r="I24" s="134">
        <f>1-D24/D25</f>
        <v>4.0838323353289629E-2</v>
      </c>
      <c r="J24" s="134">
        <f>1-E24/E25</f>
        <v>4.985899605188937E-2</v>
      </c>
    </row>
    <row r="25" spans="1:10" x14ac:dyDescent="0.35">
      <c r="A25" s="37" t="s">
        <v>42</v>
      </c>
      <c r="B25" s="44">
        <f>('1854'!F27-'1854'!E27)</f>
        <v>18.149999999999977</v>
      </c>
      <c r="C25" s="44">
        <f>('1855'!F27-'1855'!E27)</f>
        <v>18.519999999999982</v>
      </c>
      <c r="D25" s="44">
        <f>('1856'!F27-'1856'!E27)</f>
        <v>16.699999999999932</v>
      </c>
      <c r="E25" s="44">
        <f>('1857'!F27-'1857'!E27)</f>
        <v>17.730000000000018</v>
      </c>
    </row>
    <row r="26" spans="1:10" ht="18" x14ac:dyDescent="0.4">
      <c r="A26" s="126" t="s">
        <v>48</v>
      </c>
      <c r="B26" s="127"/>
      <c r="C26" s="127"/>
      <c r="D26" s="127"/>
      <c r="E26" s="128"/>
    </row>
    <row r="27" spans="1:10" x14ac:dyDescent="0.35">
      <c r="A27" s="37" t="s">
        <v>44</v>
      </c>
      <c r="B27" s="40">
        <f>'1854'!F25-'1854'!E25</f>
        <v>186</v>
      </c>
      <c r="C27" s="40">
        <f>'1855'!F25-'1855'!E25</f>
        <v>216</v>
      </c>
      <c r="D27" s="40">
        <f>'1856'!F25-'1856'!E25</f>
        <v>216</v>
      </c>
      <c r="E27" s="40">
        <f>'1857'!F25-'1857'!E25</f>
        <v>229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33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7"/>
  <sheetViews>
    <sheetView workbookViewId="0">
      <selection activeCell="I15" sqref="I15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6.81640625" style="34" customWidth="1"/>
    <col min="7" max="10" width="11.453125" style="34" customWidth="1"/>
    <col min="11" max="11" width="9.81640625" style="34" customWidth="1"/>
    <col min="12" max="15" width="9.7265625" style="34" customWidth="1"/>
    <col min="16" max="16" width="6.453125" style="34" customWidth="1"/>
    <col min="17" max="16384" width="9" style="34"/>
  </cols>
  <sheetData>
    <row r="1" spans="1:15" ht="18" x14ac:dyDescent="0.4">
      <c r="A1" s="35" t="s">
        <v>50</v>
      </c>
      <c r="B1" s="36">
        <f>'S1'!B1</f>
        <v>2024</v>
      </c>
    </row>
    <row r="2" spans="1:15" x14ac:dyDescent="0.35">
      <c r="L2" s="270" t="s">
        <v>429</v>
      </c>
    </row>
    <row r="3" spans="1:15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15" x14ac:dyDescent="0.35">
      <c r="A4" s="43" t="s">
        <v>36</v>
      </c>
      <c r="B4" s="37">
        <f>'1850'!G4-'1850'!F4+'1850'!G6-'1850'!F6+'1850'!G8-'1850'!F8+'1850'!G10-'1850'!F10+'1850'!G12-'1850'!F12+'1850'!G14-'1850'!F14+'1850'!G16-'1850'!F16+'1850'!G18-'1850'!F18+'1850'!G20-'1850'!F20+'1850'!G22-'1850'!F22</f>
        <v>54.617999999999995</v>
      </c>
      <c r="C4" s="37">
        <f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80.731999999999914</v>
      </c>
      <c r="D4" s="37">
        <f>'1852'!G4-'1852'!F4+'1852'!G6-'1852'!F6+'1852'!G8-'1852'!F8+'1852'!G10-'1852'!F10+'1852'!G12-'1852'!F12+'1852'!G14-'1852'!F14+'1852'!G16-'1852'!F16+'1852'!G18-'1852'!F18+'1852'!G20-'1852'!F20+'1852'!G22-'1852'!F22</f>
        <v>76.353000000000009</v>
      </c>
      <c r="E4" s="37">
        <f>'1853'!G4-'1853'!F4+'1853'!G6-'1853'!F6+'1853'!G8-'1853'!F8+'1853'!G10-'1853'!F10+'1853'!G12-'1853'!F12+'1853'!G14-'1853'!F14+'1853'!G16-'1853'!F16+'1853'!G18-'1853'!F18+'1853'!G20-'1853'!F20+'1853'!G22-'1853'!F22+'1853'!G26-'1853'!F26</f>
        <v>82.887000000000057</v>
      </c>
      <c r="G4" s="134">
        <f>1-B4/B5</f>
        <v>0.14659375000000008</v>
      </c>
      <c r="H4" s="134">
        <f>1-C4/C5</f>
        <v>8.8803611738144328E-2</v>
      </c>
      <c r="I4" s="134">
        <f>1-D4/D5</f>
        <v>9.7482269503549879E-2</v>
      </c>
      <c r="J4" s="134">
        <f>1-E4/E5</f>
        <v>6.5535512965048226E-2</v>
      </c>
      <c r="L4" s="271">
        <v>0.12156089193824882</v>
      </c>
      <c r="M4" s="271">
        <v>6.317685589520039E-2</v>
      </c>
      <c r="N4" s="271">
        <v>8.7252873563218536E-2</v>
      </c>
      <c r="O4" s="271">
        <v>9.6567567567567014E-2</v>
      </c>
    </row>
    <row r="5" spans="1:15" x14ac:dyDescent="0.35">
      <c r="A5" s="43" t="s">
        <v>37</v>
      </c>
      <c r="B5" s="37">
        <f>'1850'!G26-'1850'!F26</f>
        <v>64</v>
      </c>
      <c r="C5" s="37">
        <f>'1851'!H26-'1851'!G26</f>
        <v>88.599999999999454</v>
      </c>
      <c r="D5" s="37">
        <f>'1852'!G26-'1852'!F26</f>
        <v>84.600000000000364</v>
      </c>
      <c r="E5" s="37">
        <f>'1853'!G27-'1853'!F27</f>
        <v>88.699999999999818</v>
      </c>
      <c r="L5" s="270"/>
      <c r="M5" s="270"/>
      <c r="N5" s="270"/>
      <c r="O5" s="270"/>
    </row>
    <row r="6" spans="1:15" x14ac:dyDescent="0.35">
      <c r="A6" s="43" t="s">
        <v>38</v>
      </c>
      <c r="B6" s="312">
        <f>SUM(B5:E5)</f>
        <v>325.89999999999964</v>
      </c>
      <c r="C6" s="312"/>
      <c r="D6" s="312"/>
      <c r="E6" s="312"/>
      <c r="G6" s="134">
        <f>1-B6/B7</f>
        <v>3.6369012418690283E-2</v>
      </c>
      <c r="L6" s="271">
        <v>4.2795566502460636E-2</v>
      </c>
      <c r="M6" s="270"/>
      <c r="N6" s="270"/>
      <c r="O6" s="270"/>
    </row>
    <row r="7" spans="1:15" x14ac:dyDescent="0.35">
      <c r="A7" s="43" t="s">
        <v>39</v>
      </c>
      <c r="B7" s="312">
        <f>'1850'!G29-'1850'!F29</f>
        <v>338.20000000000073</v>
      </c>
      <c r="C7" s="312"/>
      <c r="D7" s="312"/>
      <c r="E7" s="312"/>
      <c r="L7" s="270"/>
      <c r="M7" s="270"/>
      <c r="N7" s="270"/>
      <c r="O7" s="270"/>
    </row>
    <row r="8" spans="1:15" ht="18" x14ac:dyDescent="0.4">
      <c r="A8" s="126" t="s">
        <v>40</v>
      </c>
      <c r="B8" s="129"/>
      <c r="C8" s="127"/>
      <c r="D8" s="127"/>
      <c r="E8" s="128"/>
      <c r="L8" s="270"/>
      <c r="M8" s="270"/>
      <c r="N8" s="270"/>
      <c r="O8" s="270"/>
    </row>
    <row r="9" spans="1:15" x14ac:dyDescent="0.35">
      <c r="A9" s="37" t="s">
        <v>41</v>
      </c>
      <c r="B9" s="37">
        <f>'1850'!G5-'1850'!F5+'1850'!G7-'1850'!F7+'1850'!G9-'1850'!F9+'1850'!G11-'1850'!F11+'1850'!G13-'1850'!F13+'1850'!G15-'1850'!F15+'1850'!G17-'1850'!F17+'1850'!G19-'1850'!F19+'1850'!G21-'1850'!F21+'1850'!G23-'1850'!F23</f>
        <v>8.7019999999999911</v>
      </c>
      <c r="C9" s="37">
        <f>'1851'!H5-'1851'!G5+'1851'!H7-'1851'!G7+'1851'!H9-'1851'!G9+'1851'!H11-'1851'!G11+'1851'!H13-'1851'!G13+'1851'!H15-'1851'!G15+'1851'!H17-'1851'!G17+'1851'!H19-'1851'!G19+'1851'!H21-'1851'!G21+'1851'!H23-'1851'!G23</f>
        <v>13.082000000000001</v>
      </c>
      <c r="D9" s="37">
        <f>'1852'!G5-'1852'!F5+'1852'!G7-'1852'!F7+'1852'!G9-'1852'!F9+'1852'!G11-'1852'!F11+'1852'!G13-'1852'!F13+'1852'!G15-'1852'!F15+'1852'!G17-'1852'!F17+'1852'!G19-'1852'!F19+'1852'!G21-'1852'!F21+'1852'!G23-'1852'!F23</f>
        <v>11.436000000000014</v>
      </c>
      <c r="E9" s="37">
        <f>'1853'!G5-'1853'!F5+'1853'!G7-'1853'!F7+'1853'!G9-'1853'!F9+'1853'!G11-'1853'!F11+'1853'!G13-'1853'!F13+'1853'!G15-'1853'!F15+'1853'!G17-'1853'!F17+'1853'!G19-'1853'!F19+'1853'!G21-'1853'!F21+'1853'!G23-'1853'!F23</f>
        <v>8.404999999999994</v>
      </c>
      <c r="G9" s="134">
        <f>1-B9/B10</f>
        <v>-7.299630086313269E-2</v>
      </c>
      <c r="H9" s="134">
        <f>1-C9/C10</f>
        <v>0.12377762893503053</v>
      </c>
      <c r="I9" s="134">
        <f>1-D9/D10</f>
        <v>-1.1140583554380301E-2</v>
      </c>
      <c r="J9" s="134">
        <f>1-E9/E10</f>
        <v>-2.2506082725060272E-2</v>
      </c>
      <c r="L9" s="271">
        <v>5.2057094878253163E-2</v>
      </c>
      <c r="M9" s="271">
        <v>0.12181409295351819</v>
      </c>
      <c r="N9" s="271">
        <v>1.9920318725095143E-2</v>
      </c>
      <c r="O9" s="271">
        <v>3.7235627047957576E-2</v>
      </c>
    </row>
    <row r="10" spans="1:15" x14ac:dyDescent="0.35">
      <c r="A10" s="37" t="s">
        <v>42</v>
      </c>
      <c r="B10" s="44">
        <f>('1850'!G27-'1850'!F27)</f>
        <v>8.1099999999999852</v>
      </c>
      <c r="C10" s="44">
        <f>('1851'!H27-'1851'!G27)</f>
        <v>14.930000000000007</v>
      </c>
      <c r="D10" s="44">
        <f>('1852'!G27-'1852'!F27)</f>
        <v>11.309999999999974</v>
      </c>
      <c r="E10" s="44">
        <f>('1853'!G28-'1853'!F28)</f>
        <v>8.2199999999999989</v>
      </c>
      <c r="L10" s="270"/>
      <c r="M10" s="270"/>
      <c r="N10" s="270"/>
      <c r="O10" s="270"/>
    </row>
    <row r="11" spans="1:15" ht="18" x14ac:dyDescent="0.4">
      <c r="A11" s="126" t="s">
        <v>48</v>
      </c>
      <c r="B11" s="127"/>
      <c r="C11" s="127"/>
      <c r="D11" s="127"/>
      <c r="E11" s="128"/>
      <c r="L11" s="270"/>
      <c r="M11" s="270"/>
      <c r="N11" s="270"/>
      <c r="O11" s="270"/>
    </row>
    <row r="12" spans="1:15" x14ac:dyDescent="0.35">
      <c r="A12" s="37" t="s">
        <v>44</v>
      </c>
      <c r="B12" s="40">
        <f>'1850'!G25-'1850'!F25</f>
        <v>184</v>
      </c>
      <c r="C12" s="40">
        <f>'1851'!H24-'1851'!G24</f>
        <v>209</v>
      </c>
      <c r="D12" s="40">
        <f>'1852'!G25-'1852'!F25</f>
        <v>197</v>
      </c>
      <c r="E12" s="40">
        <f>'1853'!G24-'1853'!F24</f>
        <v>187</v>
      </c>
      <c r="L12" s="270"/>
      <c r="M12" s="270"/>
      <c r="N12" s="270"/>
      <c r="O12" s="270"/>
    </row>
    <row r="13" spans="1:15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272"/>
      <c r="M13" s="272"/>
      <c r="N13" s="272"/>
      <c r="O13" s="272"/>
    </row>
    <row r="14" spans="1:15" x14ac:dyDescent="0.35">
      <c r="A14" s="34" t="s">
        <v>45</v>
      </c>
      <c r="B14" s="41">
        <f>'1853'!G25-'1853'!F25</f>
        <v>258</v>
      </c>
      <c r="C14" s="41"/>
      <c r="D14" s="41"/>
      <c r="E14" s="41"/>
      <c r="F14" s="41"/>
      <c r="G14" s="41"/>
      <c r="H14" s="41"/>
      <c r="I14" s="41"/>
      <c r="J14" s="41"/>
      <c r="L14" s="272"/>
      <c r="M14" s="272"/>
      <c r="N14" s="272"/>
      <c r="O14" s="272"/>
    </row>
    <row r="15" spans="1:15" x14ac:dyDescent="0.35">
      <c r="A15" s="34" t="s">
        <v>46</v>
      </c>
      <c r="B15" s="42">
        <f>'1853'!G26-'1853'!F26</f>
        <v>13.007000000000062</v>
      </c>
      <c r="C15" s="41"/>
      <c r="D15" s="41"/>
      <c r="E15" s="41"/>
      <c r="F15" s="41"/>
      <c r="G15" s="41"/>
      <c r="H15" s="41"/>
      <c r="I15" s="41"/>
      <c r="J15" s="41"/>
      <c r="K15" s="41"/>
      <c r="L15" s="272"/>
      <c r="M15" s="272"/>
      <c r="N15" s="272"/>
      <c r="O15" s="272"/>
    </row>
    <row r="16" spans="1:15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272"/>
      <c r="M16" s="272"/>
      <c r="N16" s="272"/>
      <c r="O16" s="272"/>
    </row>
    <row r="17" spans="1:15" x14ac:dyDescent="0.35">
      <c r="L17" s="270"/>
      <c r="M17" s="270"/>
      <c r="N17" s="270"/>
      <c r="O17" s="270"/>
    </row>
    <row r="18" spans="1:15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  <c r="L18" s="270"/>
      <c r="M18" s="270"/>
      <c r="N18" s="270"/>
      <c r="O18" s="270"/>
    </row>
    <row r="19" spans="1:15" x14ac:dyDescent="0.35">
      <c r="A19" s="37" t="s">
        <v>36</v>
      </c>
      <c r="B19" s="37">
        <f>'1854'!G4-'1854'!F4+'1854'!G6-'1854'!F6+'1854'!G8-'1854'!F8+'1854'!G10-'1854'!F10+'1854'!G12-'1854'!F12+'1854'!G14-'1854'!F14+'1854'!G16-'1854'!F16+'1854'!G18-'1854'!F18+'1854'!G20-'1854'!F20+'1854'!G22-'1854'!F22</f>
        <v>46.141999999999825</v>
      </c>
      <c r="C19" s="37">
        <f>'1855'!G4-'1855'!F4+'1855'!G6-'1855'!F6+'1855'!G8-'1855'!F8+'1855'!G10-'1855'!F10+'1855'!G12-'1855'!F12+'1855'!G14-'1855'!F14+'1855'!G16-'1855'!F16+'1855'!G18-'1855'!F18+'1855'!G20-'1855'!F20+'1855'!G22-'1855'!F22</f>
        <v>67.296000000000049</v>
      </c>
      <c r="D19" s="37">
        <f>'1856'!G4-'1856'!F4+'1856'!G6-'1856'!F6+'1856'!G8-'1856'!F8+'1856'!G10-'1856'!F10+'1856'!G12-'1856'!F12+'1856'!G14-'1856'!F14+'1856'!G16-'1856'!F16+'1856'!G18-'1856'!F18+'1856'!G20-'1856'!F20+'1856'!G22-'1856'!F22</f>
        <v>73.988000000000113</v>
      </c>
      <c r="E19" s="37">
        <f>'1857'!G4-'1857'!F4+'1857'!G6-'1857'!F6+'1857'!G8-'1857'!F8+'1857'!G10-'1857'!F10+'1857'!G12-'1857'!F12+'1857'!G14-'1857'!F14+'1857'!G16-'1857'!F16+'1857'!G18-'1857'!F18+'1857'!G20-'1857'!F20+'1857'!G22-'1857'!F22</f>
        <v>75.688999999999851</v>
      </c>
      <c r="G19" s="134">
        <f>1-B19/B20</f>
        <v>9.7025440313121436E-2</v>
      </c>
      <c r="H19" s="134">
        <f>1-C19/C20</f>
        <v>0.13389961389961125</v>
      </c>
      <c r="I19" s="134">
        <f>1-D19/D20</f>
        <v>9.8806333739344887E-2</v>
      </c>
      <c r="J19" s="134">
        <f>1-E19/E20</f>
        <v>0.10108076009501166</v>
      </c>
      <c r="L19" s="271">
        <v>9.4204152249139472E-2</v>
      </c>
      <c r="M19" s="271">
        <v>0.12833558863329009</v>
      </c>
      <c r="N19" s="271">
        <v>9.7749683944373222E-2</v>
      </c>
      <c r="O19" s="271">
        <v>0.10306849315068489</v>
      </c>
    </row>
    <row r="20" spans="1:15" x14ac:dyDescent="0.35">
      <c r="A20" s="37" t="s">
        <v>37</v>
      </c>
      <c r="B20" s="37">
        <f>'1854'!G26-'1854'!F26</f>
        <v>51.100000000000364</v>
      </c>
      <c r="C20" s="37">
        <f>'1855'!G26-'1855'!F26</f>
        <v>77.699999999999818</v>
      </c>
      <c r="D20" s="37">
        <f>'1856'!G26-'1856'!F26</f>
        <v>82.100000000000364</v>
      </c>
      <c r="E20" s="37">
        <f>'1857'!G26-'1857'!F26</f>
        <v>84.199999999999818</v>
      </c>
      <c r="L20" s="270"/>
      <c r="M20" s="270"/>
      <c r="N20" s="270"/>
      <c r="O20" s="270"/>
    </row>
    <row r="21" spans="1:15" x14ac:dyDescent="0.35">
      <c r="A21" s="37" t="s">
        <v>38</v>
      </c>
      <c r="B21" s="312">
        <f>SUM(B20:E20)</f>
        <v>295.10000000000036</v>
      </c>
      <c r="C21" s="312"/>
      <c r="D21" s="312"/>
      <c r="E21" s="312"/>
      <c r="G21" s="134">
        <f>1-B21/B22</f>
        <v>-5.1300320627002405E-2</v>
      </c>
      <c r="L21" s="271">
        <v>-4.7619047619042565E-2</v>
      </c>
      <c r="M21" s="270"/>
      <c r="N21" s="270"/>
      <c r="O21" s="270"/>
    </row>
    <row r="22" spans="1:15" x14ac:dyDescent="0.35">
      <c r="A22" s="37" t="s">
        <v>39</v>
      </c>
      <c r="B22" s="312">
        <f>'1854'!G29-'1854'!F29</f>
        <v>280.70000000000073</v>
      </c>
      <c r="C22" s="312"/>
      <c r="D22" s="312"/>
      <c r="E22" s="312"/>
      <c r="L22" s="270"/>
      <c r="M22" s="270"/>
      <c r="N22" s="270"/>
      <c r="O22" s="270"/>
    </row>
    <row r="23" spans="1:15" ht="18" x14ac:dyDescent="0.4">
      <c r="A23" s="126" t="s">
        <v>40</v>
      </c>
      <c r="B23" s="127"/>
      <c r="C23" s="127"/>
      <c r="D23" s="127"/>
      <c r="E23" s="128"/>
      <c r="L23" s="270"/>
      <c r="M23" s="270"/>
      <c r="N23" s="270"/>
      <c r="O23" s="270"/>
    </row>
    <row r="24" spans="1:15" x14ac:dyDescent="0.35">
      <c r="A24" s="37" t="s">
        <v>41</v>
      </c>
      <c r="B24" s="37">
        <f>'1854'!G5-'1854'!F5+'1854'!G7-'1854'!F7+'1854'!G9-'1854'!F9+'1854'!G11-'1854'!F11+'1854'!G13-'1854'!F13+'1854'!G15-'1854'!F15+'1854'!G17-'1854'!F17+'1854'!G19-'1854'!F19+'1854'!G21-'1854'!F21+'1854'!G23-'1854'!F23</f>
        <v>10.105000000000004</v>
      </c>
      <c r="C24" s="37">
        <f>'1855'!G5-'1855'!F5+'1855'!G7-'1855'!F7+'1855'!G9-'1855'!F9+'1855'!G11-'1855'!F11+'1855'!G13-'1855'!F13+'1855'!G15-'1855'!F15+'1855'!G17-'1855'!F17+'1855'!G19-'1855'!F19+'1855'!G21-'1855'!F21+'1855'!G23-'1855'!F23</f>
        <v>10.243000000000002</v>
      </c>
      <c r="D24" s="37">
        <f>'1856'!G5-'1856'!F5+'1856'!G7-'1856'!F7+'1856'!G9-'1856'!F9+'1856'!G11-'1856'!F11+'1856'!G13-'1856'!F13+'1856'!G15-'1856'!F15+'1856'!G17-'1856'!F17+'1856'!G19-'1856'!F19+'1856'!G21-'1856'!F21+'1856'!G23-'1856'!F23</f>
        <v>9.418000000000001</v>
      </c>
      <c r="E24" s="37">
        <f>'1857'!G5-'1857'!F5+'1857'!G7-'1857'!F7+'1857'!G9-'1857'!F9+'1857'!G11-'1857'!F11+'1857'!G13-'1857'!F13+'1857'!G15-'1857'!F15+'1857'!G17-'1857'!F17+'1857'!G19-'1857'!F19+'1857'!G21-'1857'!F21+'1857'!G23-'1857'!F23</f>
        <v>9.4059999999999988</v>
      </c>
      <c r="G24" s="134">
        <f>1-B24/B25</f>
        <v>5.560747663550758E-2</v>
      </c>
      <c r="H24" s="134">
        <f>1-C24/C25</f>
        <v>9.7533039647578756E-2</v>
      </c>
      <c r="I24" s="134">
        <f>1-D24/D25</f>
        <v>-3.0415754923402316E-2</v>
      </c>
      <c r="J24" s="134">
        <f>1-E24/E25</f>
        <v>-0.10528789659224547</v>
      </c>
      <c r="L24" s="271">
        <v>4.3912529550825363E-2</v>
      </c>
      <c r="M24" s="271">
        <v>9.7775242441528909E-2</v>
      </c>
      <c r="N24" s="271">
        <v>2.7994428969354668E-2</v>
      </c>
      <c r="O24" s="271">
        <v>7.4728588661038708E-2</v>
      </c>
    </row>
    <row r="25" spans="1:15" x14ac:dyDescent="0.35">
      <c r="A25" s="37" t="s">
        <v>42</v>
      </c>
      <c r="B25" s="44">
        <f>('1854'!G27-'1854'!F27)</f>
        <v>10.699999999999932</v>
      </c>
      <c r="C25" s="44">
        <f>('1855'!G27-'1855'!F27)</f>
        <v>11.350000000000023</v>
      </c>
      <c r="D25" s="44">
        <f>('1856'!G27-'1856'!F27)</f>
        <v>9.1400000000001</v>
      </c>
      <c r="E25" s="44">
        <f>('1857'!G27-'1857'!F27)</f>
        <v>8.5099999999999909</v>
      </c>
    </row>
    <row r="26" spans="1:15" ht="18" x14ac:dyDescent="0.4">
      <c r="A26" s="126" t="s">
        <v>48</v>
      </c>
      <c r="B26" s="127"/>
      <c r="C26" s="127"/>
      <c r="D26" s="127"/>
      <c r="E26" s="128"/>
    </row>
    <row r="27" spans="1:15" x14ac:dyDescent="0.35">
      <c r="A27" s="37" t="s">
        <v>44</v>
      </c>
      <c r="B27" s="40">
        <f>'1854'!G25-'1854'!F25</f>
        <v>181</v>
      </c>
      <c r="C27" s="40">
        <f>'1855'!G25-'1855'!F25</f>
        <v>260</v>
      </c>
      <c r="D27" s="40">
        <f>'1856'!G25-'1856'!F25</f>
        <v>199</v>
      </c>
      <c r="E27" s="40">
        <f>'1857'!G25-'1857'!F25</f>
        <v>189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13 C16:E20 C23:E65536">
    <cfRule type="cellIs" dxfId="32" priority="4" stopIfTrue="1" operator="lessThan">
      <formula>0</formula>
    </cfRule>
  </conditionalFormatting>
  <conditionalFormatting sqref="G1:J2 I13:J13 G13:J17 I16:J17 G28:J65536">
    <cfRule type="cellIs" dxfId="31" priority="2" stopIfTrue="1" operator="lessThan">
      <formula>0</formula>
    </cfRule>
  </conditionalFormatting>
  <conditionalFormatting sqref="L13:O17">
    <cfRule type="cellIs" dxfId="3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7"/>
  <sheetViews>
    <sheetView workbookViewId="0">
      <selection activeCell="N26" sqref="N26"/>
    </sheetView>
  </sheetViews>
  <sheetFormatPr defaultColWidth="9" defaultRowHeight="17.5" x14ac:dyDescent="0.35"/>
  <cols>
    <col min="1" max="1" width="35" style="34" customWidth="1"/>
    <col min="2" max="10" width="11.453125" style="34" customWidth="1"/>
    <col min="11" max="17" width="9.81640625" style="34" customWidth="1"/>
    <col min="18" max="21" width="6.453125" style="34" customWidth="1"/>
    <col min="22" max="16384" width="9" style="34"/>
  </cols>
  <sheetData>
    <row r="1" spans="1:17" ht="18" x14ac:dyDescent="0.4">
      <c r="A1" s="35" t="s">
        <v>51</v>
      </c>
      <c r="B1" s="36">
        <f>'S1'!B1</f>
        <v>2024</v>
      </c>
    </row>
    <row r="3" spans="1:17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17" x14ac:dyDescent="0.35">
      <c r="A4" s="43" t="s">
        <v>36</v>
      </c>
      <c r="B4" s="37">
        <f>'1850'!H4-'1850'!G4+'1850'!H6-'1850'!G6+'1850'!H8-'1850'!G8+'1850'!H10-'1850'!G10+'1850'!H12-'1850'!G12+'1850'!H14-'1850'!G14+'1850'!H16-'1850'!G16+'1850'!H18-'1850'!G18+'1850'!H20-'1850'!G20+'1850'!H22-'1850'!G22</f>
        <v>55.463999999999942</v>
      </c>
      <c r="C4" s="37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79.627999999999901</v>
      </c>
      <c r="D4" s="37">
        <f>'1852'!H4-'1852'!G4+'1852'!H6-'1852'!G6+'1852'!H8-'1852'!G8+'1852'!H10-'1852'!G10+'1852'!H12-'1852'!G12+'1852'!H14-'1852'!G14+'1852'!H16-'1852'!G16+'1852'!H18-'1852'!G18+'1852'!H20-'1852'!G20+'1852'!H22-'1852'!G22</f>
        <v>75.72300000000007</v>
      </c>
      <c r="E4" s="37">
        <f>'1853'!H4-'1853'!G4+'1853'!H6-'1853'!G6+'1853'!H8-'1853'!G8+'1853'!H10-'1853'!G10+'1853'!H12-'1853'!G12+'1853'!H14-'1853'!G14+'1853'!H16-'1853'!G16+'1853'!H18-'1853'!G18+'1853'!H20-'1853'!G20+'1853'!H22-'1853'!G22+'1853'!H26-'1853'!G26</f>
        <v>82.516999999999939</v>
      </c>
      <c r="G4" s="134">
        <f>1-B4/B5</f>
        <v>0.1320187793427251</v>
      </c>
      <c r="H4" s="134">
        <f>1-C4/C5</f>
        <v>9.307517084282757E-2</v>
      </c>
      <c r="I4" s="134">
        <f>1-D4/D5</f>
        <v>0.10067695961994971</v>
      </c>
      <c r="J4" s="134">
        <f>1-E4/E5</f>
        <v>8.4162042175365048E-2</v>
      </c>
    </row>
    <row r="5" spans="1:17" x14ac:dyDescent="0.35">
      <c r="A5" s="43" t="s">
        <v>37</v>
      </c>
      <c r="B5" s="37">
        <f>'1850'!H26-'1850'!G26</f>
        <v>63.900000000000091</v>
      </c>
      <c r="C5" s="37">
        <f>'1851'!I26-'1851'!H26</f>
        <v>87.800000000000182</v>
      </c>
      <c r="D5" s="37">
        <f>'1852'!H26-'1852'!G26</f>
        <v>84.199999999999818</v>
      </c>
      <c r="E5" s="37">
        <f>'1853'!H27-'1853'!G27</f>
        <v>90.100000000000364</v>
      </c>
    </row>
    <row r="6" spans="1:17" x14ac:dyDescent="0.35">
      <c r="A6" s="43" t="s">
        <v>38</v>
      </c>
      <c r="B6" s="312">
        <f>SUM(B5:E5)</f>
        <v>326.00000000000045</v>
      </c>
      <c r="C6" s="312"/>
      <c r="D6" s="312"/>
      <c r="E6" s="312"/>
      <c r="G6" s="134">
        <f>1-B6/B7</f>
        <v>3.9764359351986855E-2</v>
      </c>
    </row>
    <row r="7" spans="1:17" x14ac:dyDescent="0.35">
      <c r="A7" s="43" t="s">
        <v>39</v>
      </c>
      <c r="B7" s="312">
        <f>'1850'!H29-'1850'!G29</f>
        <v>339.5</v>
      </c>
      <c r="C7" s="312"/>
      <c r="D7" s="312"/>
      <c r="E7" s="312"/>
    </row>
    <row r="8" spans="1:17" ht="18" x14ac:dyDescent="0.4">
      <c r="A8" s="126" t="s">
        <v>40</v>
      </c>
      <c r="B8" s="129"/>
      <c r="C8" s="129"/>
      <c r="D8" s="127"/>
      <c r="E8" s="128"/>
    </row>
    <row r="9" spans="1:17" x14ac:dyDescent="0.35">
      <c r="A9" s="37" t="s">
        <v>41</v>
      </c>
      <c r="B9" s="37">
        <f>'1850'!H5-'1850'!G5+'1850'!H7-'1850'!G7+'1850'!H9-'1850'!G9+'1850'!H11-'1850'!G11+'1850'!H13-'1850'!G13+'1850'!H15-'1850'!G15+'1850'!H17-'1850'!G17+'1850'!H19-'1850'!G19+'1850'!H21-'1850'!G21+'1850'!H23-'1850'!G23</f>
        <v>4.5859999999999914</v>
      </c>
      <c r="C9" s="37">
        <f>'1851'!I5-'1851'!H5+'1851'!I7-'1851'!H7+'1851'!I9-'1851'!H9+'1851'!I11-'1851'!H11+'1851'!I13-'1851'!H13+'1851'!I15-'1851'!H15+'1851'!I17-'1851'!H17+'1851'!I19-'1851'!H19+'1851'!I21-'1851'!H21+'1851'!I23-'1851'!H23</f>
        <v>6.4179999999999922</v>
      </c>
      <c r="D9" s="37">
        <f>'1852'!H5-'1852'!G5+'1852'!H7-'1852'!G7+'1852'!H9-'1852'!G9+'1852'!H11-'1852'!G11+'1852'!H13-'1852'!G13+'1852'!H15-'1852'!G15+'1852'!H17-'1852'!G17+'1852'!H19-'1852'!G19+'1852'!H21-'1852'!G21+'1852'!H23-'1852'!G23</f>
        <v>6.4530000000000172</v>
      </c>
      <c r="E9" s="37">
        <f>'1853'!H5-'1853'!G5+'1853'!H7-'1853'!G7+'1853'!H9-'1853'!G9+'1853'!H11-'1853'!G11+'1853'!H13-'1853'!G13+'1853'!H15-'1853'!G15+'1853'!H17-'1853'!G17+'1853'!H19-'1853'!G19+'1853'!H21-'1853'!G21+'1853'!H23-'1853'!G23</f>
        <v>4.7709999999999866</v>
      </c>
      <c r="G9" s="134">
        <f>1-B9/B10</f>
        <v>-0.50360655737704074</v>
      </c>
      <c r="H9" s="134">
        <f>1-C9/C10</f>
        <v>0.34842639593908675</v>
      </c>
      <c r="I9" s="134">
        <f>1-D9/D10</f>
        <v>-0.26281800391389432</v>
      </c>
      <c r="J9" s="134">
        <f>1-E9/E10</f>
        <v>-0.16650366748165824</v>
      </c>
    </row>
    <row r="10" spans="1:17" x14ac:dyDescent="0.35">
      <c r="A10" s="37" t="s">
        <v>42</v>
      </c>
      <c r="B10" s="44">
        <f>('1850'!H27-'1850'!G27)</f>
        <v>3.0500000000000114</v>
      </c>
      <c r="C10" s="44">
        <f>('1851'!I27-'1851'!H27)</f>
        <v>9.8499999999999943</v>
      </c>
      <c r="D10" s="44">
        <f>('1852'!H27-'1852'!G27)</f>
        <v>5.1100000000000136</v>
      </c>
      <c r="E10" s="44">
        <f>('1853'!H28-'1853'!G28)</f>
        <v>4.0900000000000034</v>
      </c>
    </row>
    <row r="11" spans="1:17" ht="18" x14ac:dyDescent="0.4">
      <c r="A11" s="126" t="s">
        <v>48</v>
      </c>
      <c r="B11" s="127"/>
      <c r="C11" s="127"/>
      <c r="D11" s="127"/>
      <c r="E11" s="128"/>
    </row>
    <row r="12" spans="1:17" x14ac:dyDescent="0.35">
      <c r="A12" s="37" t="s">
        <v>44</v>
      </c>
      <c r="B12" s="40">
        <f>'1850'!H25-'1850'!G25</f>
        <v>188</v>
      </c>
      <c r="C12" s="40">
        <f>'1851'!I24-'1851'!H24</f>
        <v>206</v>
      </c>
      <c r="D12" s="40">
        <f>'1852'!H25-'1852'!G25</f>
        <v>180</v>
      </c>
      <c r="E12" s="40">
        <f>'1853'!H24-'1853'!G24</f>
        <v>189</v>
      </c>
    </row>
    <row r="13" spans="1:17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7" x14ac:dyDescent="0.35">
      <c r="A14" s="34" t="s">
        <v>45</v>
      </c>
      <c r="B14" s="41">
        <f>'1853'!H25-'1853'!G25</f>
        <v>231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1:17" x14ac:dyDescent="0.35">
      <c r="A15" s="34" t="s">
        <v>46</v>
      </c>
      <c r="B15" s="42">
        <f>'1853'!H26-'1853'!G26</f>
        <v>7.1139999999999191</v>
      </c>
      <c r="C15" s="42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7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8" spans="1:17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7" x14ac:dyDescent="0.35">
      <c r="A19" s="37" t="s">
        <v>36</v>
      </c>
      <c r="B19" s="37">
        <f>'1854'!H4-'1854'!G4+'1854'!H6-'1854'!G6+'1854'!H8-'1854'!G8+'1854'!H10-'1854'!G10+'1854'!H12-'1854'!G12+'1854'!H14-'1854'!G14+'1854'!H16-'1854'!G16+'1854'!H18-'1854'!G18+'1854'!H20-'1854'!G20+'1854'!H22-'1854'!G22</f>
        <v>54.12399999999991</v>
      </c>
      <c r="C19" s="37">
        <f>'1855'!H4-'1855'!G4+'1855'!H6-'1855'!G6+'1855'!H8-'1855'!G8+'1855'!H10-'1855'!G10+'1855'!H12-'1855'!G12+'1855'!H14-'1855'!G14+'1855'!H16-'1855'!G16+'1855'!H18-'1855'!G18+'1855'!H20-'1855'!G20+'1855'!H22-'1855'!G22</f>
        <v>65.676999999999907</v>
      </c>
      <c r="D19" s="37">
        <f>'1856'!H4-'1856'!G4+'1856'!H6-'1856'!G6+'1856'!H8-'1856'!G8+'1856'!H10-'1856'!G10+'1856'!H12-'1856'!G12+'1856'!H14-'1856'!G14+'1856'!H16-'1856'!G16+'1856'!H18-'1856'!G18+'1856'!H20-'1856'!G20+'1856'!H22-'1856'!G22</f>
        <v>73.53899999999993</v>
      </c>
      <c r="E19" s="37">
        <f>'1857'!H4-'1857'!G4+'1857'!H6-'1857'!G6+'1857'!H8-'1857'!G8+'1857'!H10-'1857'!G10+'1857'!H12-'1857'!G12+'1857'!H14-'1857'!G14+'1857'!H16-'1857'!G16+'1857'!H18-'1857'!G18+'1857'!H20-'1857'!G20+'1857'!H22-'1857'!G22</f>
        <v>78.999000000000137</v>
      </c>
      <c r="G19" s="134">
        <f>1-B19/B20</f>
        <v>0.10390728476820799</v>
      </c>
      <c r="H19" s="134">
        <f>1-C19/C20</f>
        <v>0.13809711286089155</v>
      </c>
      <c r="I19" s="134">
        <f>1-D19/D20</f>
        <v>0.10318292682926911</v>
      </c>
      <c r="J19" s="134">
        <f>1-E19/E20</f>
        <v>0.1002391799544422</v>
      </c>
    </row>
    <row r="20" spans="1:17" x14ac:dyDescent="0.35">
      <c r="A20" s="37" t="s">
        <v>37</v>
      </c>
      <c r="B20" s="37">
        <f>'1854'!H26-'1854'!G26</f>
        <v>60.399999999999636</v>
      </c>
      <c r="C20" s="37">
        <f>'1855'!H26-'1855'!G26</f>
        <v>76.199999999999818</v>
      </c>
      <c r="D20" s="37">
        <f>'1856'!H26-'1856'!G26</f>
        <v>82</v>
      </c>
      <c r="E20" s="37">
        <f>'1857'!H26-'1857'!G26</f>
        <v>87.800000000000182</v>
      </c>
    </row>
    <row r="21" spans="1:17" x14ac:dyDescent="0.35">
      <c r="A21" s="37" t="s">
        <v>38</v>
      </c>
      <c r="B21" s="312">
        <f>SUM(B20:E20)</f>
        <v>306.39999999999964</v>
      </c>
      <c r="C21" s="312"/>
      <c r="D21" s="312"/>
      <c r="E21" s="312"/>
      <c r="G21" s="134">
        <f>1-B21/B22</f>
        <v>-5.2920962199311417E-2</v>
      </c>
    </row>
    <row r="22" spans="1:17" x14ac:dyDescent="0.35">
      <c r="A22" s="37" t="s">
        <v>39</v>
      </c>
      <c r="B22" s="312">
        <f>'1854'!H29-'1854'!G29</f>
        <v>291</v>
      </c>
      <c r="C22" s="312"/>
      <c r="D22" s="312"/>
      <c r="E22" s="312"/>
    </row>
    <row r="23" spans="1:17" ht="18" x14ac:dyDescent="0.4">
      <c r="A23" s="126" t="s">
        <v>40</v>
      </c>
      <c r="B23" s="127"/>
      <c r="C23" s="127"/>
      <c r="D23" s="127"/>
      <c r="E23" s="128"/>
    </row>
    <row r="24" spans="1:17" x14ac:dyDescent="0.35">
      <c r="A24" s="37" t="s">
        <v>41</v>
      </c>
      <c r="B24" s="37">
        <f>'1854'!H5-'1854'!G5+'1854'!H7-'1854'!G7+'1854'!H9-'1854'!G9+'1854'!H11-'1854'!G11+'1854'!H13-'1854'!G13+'1854'!H15-'1854'!G15+'1854'!H17-'1854'!G17+'1854'!H19-'1854'!G19+'1854'!H21-'1854'!G21+'1854'!H23-'1854'!G23</f>
        <v>4.0680000000000023</v>
      </c>
      <c r="C24" s="37">
        <f>'1855'!H5-'1855'!G5+'1855'!H7-'1855'!G7+'1855'!H9-'1855'!G9+'1855'!H11-'1855'!G11+'1855'!H13-'1855'!G13+'1855'!H15-'1855'!G15+'1855'!H17-'1855'!G17+'1855'!H19-'1855'!G19+'1855'!H21-'1855'!G21+'1855'!H23-'1855'!G23</f>
        <v>4.7569999999999837</v>
      </c>
      <c r="D24" s="37">
        <f>'1856'!H5-'1856'!G5+'1856'!H7-'1856'!G7+'1856'!H9-'1856'!G9+'1856'!H11-'1856'!G11+'1856'!H13-'1856'!G13+'1856'!H15-'1856'!G15+'1856'!H17-'1856'!G17+'1856'!H19-'1856'!G19+'1856'!H21-'1856'!G21+'1856'!H23-'1856'!G23</f>
        <v>5.3409999999999975</v>
      </c>
      <c r="E24" s="37">
        <f>'1857'!H5-'1857'!G5+'1857'!H7-'1857'!G7+'1857'!H9-'1857'!G9+'1857'!H11-'1857'!G11+'1857'!H13-'1857'!G13+'1857'!H15-'1857'!G15+'1857'!H17-'1857'!G17+'1857'!H19-'1857'!G19+'1857'!H21-'1857'!G21+'1857'!H23-'1857'!G23</f>
        <v>5.259999999999998</v>
      </c>
      <c r="G24" s="134">
        <f>1-B24/B25</f>
        <v>0.15073068893529507</v>
      </c>
      <c r="H24" s="134">
        <f>1-C24/C25</f>
        <v>-4.7797356828198634E-2</v>
      </c>
      <c r="I24" s="134">
        <f>1-D24/D25</f>
        <v>-0.23348729792149814</v>
      </c>
      <c r="J24" s="134">
        <f>1-E24/E25</f>
        <v>-0.28921568627449634</v>
      </c>
    </row>
    <row r="25" spans="1:17" x14ac:dyDescent="0.35">
      <c r="A25" s="37" t="s">
        <v>42</v>
      </c>
      <c r="B25" s="44">
        <f>('1854'!H27-'1854'!G27)</f>
        <v>4.7900000000000773</v>
      </c>
      <c r="C25" s="44">
        <f>('1855'!H27-'1855'!G27)</f>
        <v>4.5399999999999636</v>
      </c>
      <c r="D25" s="44">
        <f>('1856'!H27-'1856'!G27)</f>
        <v>4.3299999999999272</v>
      </c>
      <c r="E25" s="44">
        <f>('1857'!H27-'1857'!G27)</f>
        <v>4.0800000000000409</v>
      </c>
    </row>
    <row r="26" spans="1:17" ht="18" x14ac:dyDescent="0.4">
      <c r="A26" s="126" t="s">
        <v>48</v>
      </c>
      <c r="B26" s="127"/>
      <c r="C26" s="127"/>
      <c r="D26" s="127"/>
      <c r="E26" s="128"/>
      <c r="N26" s="34" t="s">
        <v>433</v>
      </c>
    </row>
    <row r="27" spans="1:17" x14ac:dyDescent="0.35">
      <c r="A27" s="37" t="s">
        <v>44</v>
      </c>
      <c r="B27" s="274">
        <f>'1854'!H25-'1854'!G44+'1854'!G43-'1854'!G25</f>
        <v>187</v>
      </c>
      <c r="C27" s="274">
        <f>'1855'!H25-'1855'!G39+'1855'!G38-'1855'!G25</f>
        <v>219</v>
      </c>
      <c r="D27" s="274">
        <f>'1856'!H25-'1856'!G41+'1856'!G40-'1856'!G25</f>
        <v>219</v>
      </c>
      <c r="E27" s="274">
        <f>'1857'!H25-'1857'!G42+'1857'!G41-'1857'!G25</f>
        <v>200</v>
      </c>
      <c r="N27" s="274">
        <f>'1854'!T25-'1854'!S25</f>
        <v>0</v>
      </c>
      <c r="O27" s="274">
        <f>'1855'!T25-'1855'!S25</f>
        <v>0</v>
      </c>
      <c r="P27" s="274">
        <f>'1856'!T25-'1856'!S25</f>
        <v>0</v>
      </c>
      <c r="Q27" s="274">
        <f>'1857'!T25-'1857'!S25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C23:E65536 F27:F65536">
    <cfRule type="cellIs" dxfId="29" priority="4" stopIfTrue="1" operator="lessThan">
      <formula>0</formula>
    </cfRule>
  </conditionalFormatting>
  <conditionalFormatting sqref="F1:J2 F13:J13 G13:J17 F16:J17 G28:J65536">
    <cfRule type="cellIs" dxfId="28" priority="2" stopIfTrue="1" operator="lessThan">
      <formula>0</formula>
    </cfRule>
  </conditionalFormatting>
  <conditionalFormatting sqref="N27:Q27">
    <cfRule type="cellIs" dxfId="27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7"/>
  <sheetViews>
    <sheetView workbookViewId="0">
      <selection activeCell="L4" sqref="L4"/>
    </sheetView>
  </sheetViews>
  <sheetFormatPr defaultColWidth="9" defaultRowHeight="17.5" x14ac:dyDescent="0.35"/>
  <cols>
    <col min="1" max="1" width="35" style="34" customWidth="1"/>
    <col min="2" max="12" width="11.453125" style="34" customWidth="1"/>
    <col min="13" max="20" width="9.81640625" style="34" customWidth="1"/>
    <col min="21" max="24" width="6.453125" style="34" customWidth="1"/>
    <col min="25" max="16384" width="9" style="34"/>
  </cols>
  <sheetData>
    <row r="1" spans="1:20" ht="18" x14ac:dyDescent="0.4">
      <c r="A1" s="35" t="s">
        <v>52</v>
      </c>
      <c r="B1" s="36">
        <f>'S1'!B1</f>
        <v>2024</v>
      </c>
    </row>
    <row r="3" spans="1:20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20" x14ac:dyDescent="0.35">
      <c r="A4" s="43" t="s">
        <v>36</v>
      </c>
      <c r="B4" s="37">
        <f>'1850'!I4-'1850'!H4+'1850'!I6-'1850'!H6+'1850'!I8-'1850'!H8+'1850'!I10-'1850'!H10+'1850'!I12-'1850'!H12+'1850'!I14-'1850'!H14+'1850'!I16-'1850'!H16+'1850'!I18-'1850'!H18+'1850'!I20-'1850'!H20+'1850'!I22-'1850'!H22</f>
        <v>56.127000000000237</v>
      </c>
      <c r="C4" s="37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72.097999999999871</v>
      </c>
      <c r="D4" s="37">
        <f>'1852'!I4-'1852'!H4+'1852'!I6-'1852'!H6+'1852'!I8-'1852'!H8+'1852'!I10-'1852'!H10+'1852'!I12-'1852'!H12+'1852'!I14-'1852'!H14+'1852'!I16-'1852'!H16+'1852'!I18-'1852'!H18+'1852'!I20-'1852'!H20+'1852'!I22-'1852'!H22</f>
        <v>70.656000000000176</v>
      </c>
      <c r="E4" s="37">
        <f>'1853'!I4-'1853'!H4+'1853'!I6-'1853'!H6+'1853'!I8-'1853'!H8+'1853'!I10-'1853'!H10+'1853'!I12-'1853'!H12+'1853'!I14-'1853'!H14+'1853'!I16-'1853'!H16+'1853'!I18-'1853'!H18+'1853'!I20-'1853'!H20+'1853'!I22-'1853'!H22+'1853'!I26-'1853'!H26</f>
        <v>82.941000000000031</v>
      </c>
      <c r="G4" s="134">
        <f>1-B4/B5</f>
        <v>0.13650769230768867</v>
      </c>
      <c r="H4" s="134">
        <f>1-C4/C5</f>
        <v>6.7296248382927581E-2</v>
      </c>
      <c r="I4" s="134">
        <f>1-D4/D5</f>
        <v>0.10900378310214354</v>
      </c>
      <c r="J4" s="134">
        <f>1-E4/E5</f>
        <v>7.328491620111699E-2</v>
      </c>
    </row>
    <row r="5" spans="1:20" x14ac:dyDescent="0.35">
      <c r="A5" s="43" t="s">
        <v>37</v>
      </c>
      <c r="B5" s="37">
        <f>'1850'!I26-'1850'!H26</f>
        <v>65</v>
      </c>
      <c r="C5" s="37">
        <f>'1851'!J26-'1851'!I26</f>
        <v>77.300000000000182</v>
      </c>
      <c r="D5" s="37">
        <f>'1852'!I26-'1852'!H26</f>
        <v>79.300000000000182</v>
      </c>
      <c r="E5" s="37">
        <f>'1853'!I27-'1853'!H27</f>
        <v>89.5</v>
      </c>
    </row>
    <row r="6" spans="1:20" x14ac:dyDescent="0.35">
      <c r="A6" s="43" t="s">
        <v>38</v>
      </c>
      <c r="B6" s="312">
        <f>SUM(B5:E5)</f>
        <v>311.10000000000036</v>
      </c>
      <c r="C6" s="312"/>
      <c r="D6" s="312"/>
      <c r="E6" s="312"/>
      <c r="G6" s="134">
        <f>1-B6/B7</f>
        <v>3.8924930491196608E-2</v>
      </c>
    </row>
    <row r="7" spans="1:20" x14ac:dyDescent="0.35">
      <c r="A7" s="43" t="s">
        <v>39</v>
      </c>
      <c r="B7" s="312">
        <f>'1850'!I29-'1850'!H29</f>
        <v>323.70000000000073</v>
      </c>
      <c r="C7" s="312"/>
      <c r="D7" s="312"/>
      <c r="E7" s="312"/>
    </row>
    <row r="8" spans="1:20" ht="18" x14ac:dyDescent="0.4">
      <c r="A8" s="126" t="s">
        <v>40</v>
      </c>
      <c r="B8" s="127"/>
      <c r="C8" s="127"/>
      <c r="D8" s="127"/>
      <c r="E8" s="128"/>
    </row>
    <row r="9" spans="1:20" x14ac:dyDescent="0.35">
      <c r="A9" s="37" t="s">
        <v>41</v>
      </c>
      <c r="B9" s="37">
        <f>'1850'!I5-'1850'!H5+'1850'!I7-'1850'!H7+'1850'!I9-'1850'!H9+'1850'!I11-'1850'!H11+'1850'!I13-'1850'!H13+'1850'!I15-'1850'!H15+'1850'!I17-'1850'!H17+'1850'!I19-'1850'!H19+'1850'!I21-'1850'!H21+'1850'!I23-'1850'!H23</f>
        <v>4.0150000000000006</v>
      </c>
      <c r="C9" s="37">
        <f>'1851'!J5-'1851'!I5+'1851'!J7-'1851'!I7+'1851'!J9-'1851'!I9+'1851'!J11-'1851'!I11+'1851'!J13-'1851'!I13+'1851'!J15-'1851'!I15+'1851'!J17-'1851'!I17+'1851'!J19-'1851'!I19+'1851'!J21-'1851'!I21+'1851'!J23-'1851'!I23</f>
        <v>4.7290000000000063</v>
      </c>
      <c r="D9" s="37">
        <f>'1852'!I5-'1852'!H5+'1852'!I7-'1852'!H7+'1852'!I9-'1852'!H9+'1852'!I11-'1852'!H11+'1852'!I13-'1852'!H13+'1852'!I15-'1852'!H15+'1852'!I17-'1852'!H17+'1852'!I19-'1852'!H19+'1852'!I21-'1852'!H21+'1852'!I23-'1852'!H23</f>
        <v>4.7579999999999671</v>
      </c>
      <c r="E9" s="37">
        <f>'1853'!I5-'1853'!H5+'1853'!I7-'1853'!H7+'1853'!I9-'1853'!H9+'1853'!I11-'1853'!H11+'1853'!I13-'1853'!H13+'1853'!I15-'1853'!H15+'1853'!I17-'1853'!H17+'1853'!I19-'1853'!H19+'1853'!I21-'1853'!H21+'1853'!I23-'1853'!H23</f>
        <v>3.6820000000000235</v>
      </c>
      <c r="G9" s="134">
        <f>1-B9/B10</f>
        <v>-0.77654867256637905</v>
      </c>
      <c r="H9" s="134">
        <f>1-C9/C10</f>
        <v>0.39604086845465958</v>
      </c>
      <c r="I9" s="134">
        <f>1-D9/D10</f>
        <v>-0.56513157894736166</v>
      </c>
      <c r="J9" s="134">
        <f>1-E9/E10</f>
        <v>-0.22733333333334116</v>
      </c>
    </row>
    <row r="10" spans="1:20" x14ac:dyDescent="0.35">
      <c r="A10" s="37" t="s">
        <v>42</v>
      </c>
      <c r="B10" s="39">
        <f>('1850'!I27-'1850'!H27)</f>
        <v>2.2599999999999909</v>
      </c>
      <c r="C10" s="44">
        <f>('1851'!J27-'1851'!I27)</f>
        <v>7.8299999999999841</v>
      </c>
      <c r="D10" s="44">
        <f>('1852'!I27-'1852'!H27)</f>
        <v>3.039999999999992</v>
      </c>
      <c r="E10" s="44">
        <f>('1853'!I28-'1853'!H28)</f>
        <v>3</v>
      </c>
    </row>
    <row r="11" spans="1:20" ht="18" x14ac:dyDescent="0.4">
      <c r="A11" s="126" t="s">
        <v>48</v>
      </c>
      <c r="B11" s="127"/>
      <c r="C11" s="127"/>
      <c r="D11" s="127"/>
      <c r="E11" s="128"/>
    </row>
    <row r="12" spans="1:20" x14ac:dyDescent="0.35">
      <c r="A12" s="37" t="s">
        <v>44</v>
      </c>
      <c r="B12" s="40">
        <f>'1850'!I25-'1850'!H25</f>
        <v>219</v>
      </c>
      <c r="C12" s="40">
        <f>'1851'!J24-'1851'!I24</f>
        <v>303</v>
      </c>
      <c r="D12" s="40">
        <f>'1852'!I25-'1852'!H25</f>
        <v>215</v>
      </c>
      <c r="E12" s="40">
        <f>'1853'!I24-'1853'!H24</f>
        <v>186</v>
      </c>
    </row>
    <row r="13" spans="1:20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</row>
    <row r="14" spans="1:20" x14ac:dyDescent="0.35">
      <c r="A14" s="34" t="s">
        <v>45</v>
      </c>
      <c r="B14" s="41">
        <f>'1853'!I25-'1853'!H25</f>
        <v>203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20" x14ac:dyDescent="0.35">
      <c r="A15" s="34" t="s">
        <v>46</v>
      </c>
      <c r="B15" s="42">
        <f>'1853'!I26-'1853'!H26</f>
        <v>15.413000000000011</v>
      </c>
      <c r="C15" s="42"/>
      <c r="D15" s="42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20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8" spans="1:1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0" x14ac:dyDescent="0.35">
      <c r="A19" s="37" t="s">
        <v>36</v>
      </c>
      <c r="B19" s="37">
        <f>'1854'!I4-'1854'!H4+'1854'!I6-'1854'!H6+'1854'!I8-'1854'!H8+'1854'!I10-'1854'!H10+'1854'!I12-'1854'!H12+'1854'!I14-'1854'!H14+'1854'!I16-'1854'!H16+'1854'!I18-'1854'!H18+'1854'!I20-'1854'!H20+'1854'!I22-'1854'!H22</f>
        <v>52.814000000000078</v>
      </c>
      <c r="C19" s="37">
        <f>'1855'!I4-'1855'!H4+'1855'!I6-'1855'!H6+'1855'!I8-'1855'!H8+'1855'!I10-'1855'!H10+'1855'!I12-'1855'!H12+'1855'!I14-'1855'!H14+'1855'!I16-'1855'!H16+'1855'!I18-'1855'!H18+'1855'!I20-'1855'!H20+'1855'!I22-'1855'!H22</f>
        <v>56.950000000000045</v>
      </c>
      <c r="D19" s="37">
        <f>'1856'!I4-'1856'!H4+'1856'!I6-'1856'!H6+'1856'!I8-'1856'!H8+'1856'!I10-'1856'!H10+'1856'!I12-'1856'!H12+'1856'!I14-'1856'!H14+'1856'!I16-'1856'!H16+'1856'!I18-'1856'!H18+'1856'!I20-'1856'!H20+'1856'!I22-'1856'!H22</f>
        <v>65.202000000000055</v>
      </c>
      <c r="E19" s="37">
        <f>'1857'!I4-'1857'!H4+'1857'!I6-'1857'!H6+'1857'!I8-'1857'!H8+'1857'!I10-'1857'!H10+'1857'!I12-'1857'!H12+'1857'!I14-'1857'!H14+'1857'!I16-'1857'!H16+'1857'!I18-'1857'!H18+'1857'!I20-'1857'!H20+'1857'!I22-'1857'!H22</f>
        <v>80.899999999999864</v>
      </c>
      <c r="G19" s="134">
        <f>1-B19/B20</f>
        <v>0.10484745762711734</v>
      </c>
      <c r="H19" s="134">
        <f>1-C19/C20</f>
        <v>0.13053435114503742</v>
      </c>
      <c r="I19" s="134">
        <f>1-D19/D20</f>
        <v>0.1080437756497874</v>
      </c>
      <c r="J19" s="134">
        <f>1-E19/E20</f>
        <v>9.9109131403112283E-2</v>
      </c>
    </row>
    <row r="20" spans="1:10" x14ac:dyDescent="0.35">
      <c r="A20" s="37" t="s">
        <v>37</v>
      </c>
      <c r="B20" s="37">
        <f>'1854'!I26-'1854'!H26</f>
        <v>59</v>
      </c>
      <c r="C20" s="38">
        <f>'1855'!I26-'1855'!H26</f>
        <v>65.5</v>
      </c>
      <c r="D20" s="37">
        <f>'1856'!I26-'1856'!H26</f>
        <v>73.099999999999454</v>
      </c>
      <c r="E20" s="37">
        <f>'1857'!I26-'1857'!H26</f>
        <v>89.799999999999272</v>
      </c>
    </row>
    <row r="21" spans="1:10" x14ac:dyDescent="0.35">
      <c r="A21" s="37" t="s">
        <v>38</v>
      </c>
      <c r="B21" s="312">
        <f>SUM(B20:E20)</f>
        <v>287.39999999999873</v>
      </c>
      <c r="C21" s="312"/>
      <c r="D21" s="312"/>
      <c r="E21" s="312"/>
      <c r="G21" s="134">
        <f>1-B21/B22</f>
        <v>-4.9288061336250744E-2</v>
      </c>
    </row>
    <row r="22" spans="1:10" x14ac:dyDescent="0.35">
      <c r="A22" s="37" t="s">
        <v>39</v>
      </c>
      <c r="B22" s="312">
        <f>'1854'!I29-'1854'!H29</f>
        <v>273.89999999999964</v>
      </c>
      <c r="C22" s="312"/>
      <c r="D22" s="312"/>
      <c r="E22" s="312"/>
    </row>
    <row r="23" spans="1:10" ht="18" x14ac:dyDescent="0.4">
      <c r="A23" s="126" t="s">
        <v>40</v>
      </c>
      <c r="B23" s="127"/>
      <c r="C23" s="127"/>
      <c r="D23" s="127"/>
      <c r="E23" s="128"/>
    </row>
    <row r="24" spans="1:10" x14ac:dyDescent="0.35">
      <c r="A24" s="37" t="s">
        <v>41</v>
      </c>
      <c r="B24" s="37">
        <f>'1854'!I5-'1854'!H5+'1854'!I7-'1854'!H7+'1854'!I9-'1854'!H9+'1854'!I11-'1854'!H11+'1854'!I13-'1854'!H13+'1854'!I15-'1854'!H15+'1854'!I17-'1854'!H17+'1854'!I19-'1854'!H19+'1854'!I21-'1854'!H21+'1854'!I23-'1854'!H23</f>
        <v>3.1819999999999786</v>
      </c>
      <c r="C24" s="37">
        <f>'1855'!I5-'1855'!H5+'1855'!I7-'1855'!H7+'1855'!I9-'1855'!H9+'1855'!I11-'1855'!H11+'1855'!I13-'1855'!H13+'1855'!I15-'1855'!H15+'1855'!I17-'1855'!H17+'1855'!I19-'1855'!H19+'1855'!I21-'1855'!H21+'1855'!I23-'1855'!H23</f>
        <v>3.4129999999999967</v>
      </c>
      <c r="D24" s="37">
        <f>'1856'!I5-'1856'!H5+'1856'!I7-'1856'!H7+'1856'!I9-'1856'!H9+'1856'!I11-'1856'!H11+'1856'!I13-'1856'!H13+'1856'!I15-'1856'!H15+'1856'!I17-'1856'!H17+'1856'!I19-'1856'!H19+'1856'!I21-'1856'!H21+'1856'!I23-'1856'!H23</f>
        <v>4.1040000000000028</v>
      </c>
      <c r="E24" s="37">
        <f>'1857'!I5-'1857'!H5+'1857'!I7-'1857'!H7+'1857'!I9-'1857'!H9+'1857'!I11-'1857'!H11+'1857'!I13-'1857'!H13+'1857'!I15-'1857'!H15+'1857'!I17-'1857'!H17+'1857'!I19-'1857'!H19+'1857'!I21-'1857'!H21+'1857'!I23-'1857'!H23</f>
        <v>4.6269999999999953</v>
      </c>
      <c r="G24" s="134">
        <f>1-B24/B25</f>
        <v>0.18200514138817747</v>
      </c>
      <c r="H24" s="134">
        <f>1-C24/C25</f>
        <v>-0.15694915254235386</v>
      </c>
      <c r="I24" s="134">
        <f>1-D24/D25</f>
        <v>-0.32815533980581235</v>
      </c>
      <c r="J24" s="134">
        <f>1-E24/E25</f>
        <v>-0.32199999999999873</v>
      </c>
    </row>
    <row r="25" spans="1:10" x14ac:dyDescent="0.35">
      <c r="A25" s="37" t="s">
        <v>42</v>
      </c>
      <c r="B25" s="44">
        <f>'1854'!I27-'1854'!H27</f>
        <v>3.8899999999999864</v>
      </c>
      <c r="C25" s="44">
        <f>'1855'!I27-'1855'!H27</f>
        <v>2.9500000000000455</v>
      </c>
      <c r="D25" s="44">
        <f>'1856'!I27-'1856'!H27</f>
        <v>3.0900000000000318</v>
      </c>
      <c r="E25" s="44">
        <f>'1857'!I27-'1857'!H27</f>
        <v>3.5</v>
      </c>
    </row>
    <row r="26" spans="1:10" ht="18" x14ac:dyDescent="0.4">
      <c r="A26" s="126" t="s">
        <v>48</v>
      </c>
      <c r="B26" s="127"/>
      <c r="C26" s="127"/>
      <c r="D26" s="127"/>
      <c r="E26" s="128"/>
    </row>
    <row r="27" spans="1:10" x14ac:dyDescent="0.35">
      <c r="A27" s="37" t="s">
        <v>44</v>
      </c>
      <c r="B27" s="40">
        <f>'1854'!I25-'1854'!H25</f>
        <v>201</v>
      </c>
      <c r="C27" s="40">
        <f>'1855'!I25-'1855'!H25</f>
        <v>230</v>
      </c>
      <c r="D27" s="40">
        <f>'1856'!I25-'1856'!H25</f>
        <v>217</v>
      </c>
      <c r="E27" s="40">
        <f>'1857'!I25-'1857'!H25</f>
        <v>213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F1:L2 C1:E5 B1:B65536 C8:E20 I13:L13 F13:H17 I16:L17 C23:E65536 F28:L65536">
    <cfRule type="cellIs" dxfId="26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7"/>
  <sheetViews>
    <sheetView workbookViewId="0">
      <selection activeCell="H13" sqref="H13"/>
    </sheetView>
  </sheetViews>
  <sheetFormatPr defaultColWidth="9" defaultRowHeight="17.5" x14ac:dyDescent="0.35"/>
  <cols>
    <col min="1" max="1" width="35" style="34" customWidth="1"/>
    <col min="2" max="15" width="11.453125" style="34" customWidth="1"/>
    <col min="16" max="23" width="9.81640625" style="34" customWidth="1"/>
    <col min="24" max="27" width="6.453125" style="34" customWidth="1"/>
    <col min="28" max="16384" width="9" style="34"/>
  </cols>
  <sheetData>
    <row r="1" spans="1:23" ht="18" x14ac:dyDescent="0.4">
      <c r="A1" s="35" t="s">
        <v>53</v>
      </c>
      <c r="B1" s="36">
        <f>'S1'!B1</f>
        <v>2024</v>
      </c>
    </row>
    <row r="3" spans="1:23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23" x14ac:dyDescent="0.35">
      <c r="A4" s="43" t="s">
        <v>36</v>
      </c>
      <c r="B4" s="37">
        <f>'1850'!J4-'1850'!I4+'1850'!J6-'1850'!I6+'1850'!J8-'1850'!I8+'1850'!J10-'1850'!I10+'1850'!J12-'1850'!I12+'1850'!J14-'1850'!I14+'1850'!J16-'1850'!I16+'1850'!J18-'1850'!I18+'1850'!J20-'1850'!I20+'1850'!J22-'1850'!I22</f>
        <v>45.812000000000012</v>
      </c>
      <c r="C4" s="37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66.077000000000012</v>
      </c>
      <c r="D4" s="37">
        <f>'1852'!J4-'1852'!I4+'1852'!J6-'1852'!I6+'1852'!J8-'1852'!I8+'1852'!J10-'1852'!I10+'1852'!J12-'1852'!I12+'1852'!J14-'1852'!I14+'1852'!J16-'1852'!I16+'1852'!J18-'1852'!I18+'1852'!J20-'1852'!I20+'1852'!J22-'1852'!I22</f>
        <v>62.967999999999677</v>
      </c>
      <c r="E4" s="37">
        <f>'1853'!J4-'1853'!I4+'1853'!J6-'1853'!I6+'1853'!J8-'1853'!I8+'1853'!J10-'1853'!I10+'1853'!J12-'1853'!I12+'1853'!J14-'1853'!I14+'1853'!J16-'1853'!I16+'1853'!J18-'1853'!I18+'1853'!J20-'1853'!I20+'1853'!J22-'1853'!I22+'1853'!J26-'1853'!I26</f>
        <v>77.735000000000127</v>
      </c>
      <c r="G4" s="134">
        <f>1-B4/B5</f>
        <v>0.13234848484848016</v>
      </c>
      <c r="H4" s="134">
        <f>1-C4/C5</f>
        <v>9.1100412654743113E-2</v>
      </c>
      <c r="I4" s="134">
        <f>1-D4/D5</f>
        <v>9.9170243204577901E-2</v>
      </c>
      <c r="J4" s="134">
        <f>1-E4/E5</f>
        <v>7.8969194312790703E-2</v>
      </c>
    </row>
    <row r="5" spans="1:23" x14ac:dyDescent="0.35">
      <c r="A5" s="43" t="s">
        <v>37</v>
      </c>
      <c r="B5" s="37">
        <f>'1850'!J26-'1850'!I26</f>
        <v>52.799999999999727</v>
      </c>
      <c r="C5" s="37">
        <f>'1851'!K26-'1851'!J26</f>
        <v>72.699999999999818</v>
      </c>
      <c r="D5" s="37">
        <f>'1852'!J26-'1852'!I26</f>
        <v>69.899999999999636</v>
      </c>
      <c r="E5" s="37">
        <f>'1853'!J27-'1853'!I27</f>
        <v>84.399999999999636</v>
      </c>
    </row>
    <row r="6" spans="1:23" x14ac:dyDescent="0.35">
      <c r="A6" s="43" t="s">
        <v>38</v>
      </c>
      <c r="B6" s="312">
        <f>SUM(B5:E5)</f>
        <v>279.79999999999882</v>
      </c>
      <c r="C6" s="312"/>
      <c r="D6" s="312"/>
      <c r="E6" s="312"/>
      <c r="G6" s="134">
        <f>1-B6/B7</f>
        <v>4.7327204630581821E-2</v>
      </c>
    </row>
    <row r="7" spans="1:23" x14ac:dyDescent="0.35">
      <c r="A7" s="43" t="s">
        <v>39</v>
      </c>
      <c r="B7" s="312">
        <f>'1850'!J29-'1850'!I29</f>
        <v>293.70000000000073</v>
      </c>
      <c r="C7" s="312"/>
      <c r="D7" s="312"/>
      <c r="E7" s="312"/>
    </row>
    <row r="8" spans="1:23" ht="18" x14ac:dyDescent="0.4">
      <c r="A8" s="126" t="s">
        <v>40</v>
      </c>
      <c r="B8" s="127"/>
      <c r="C8" s="127"/>
      <c r="D8" s="127"/>
      <c r="E8" s="128"/>
    </row>
    <row r="9" spans="1:23" x14ac:dyDescent="0.35">
      <c r="A9" s="37" t="s">
        <v>41</v>
      </c>
      <c r="B9" s="37">
        <f>'1850'!J5-'1850'!I5+'1850'!J7-'1850'!I7+'1850'!J9-'1850'!I9+'1850'!J11-'1850'!I11+'1850'!J13-'1850'!I13+'1850'!J15-'1850'!I15+'1850'!J17-'1850'!I17+'1850'!J19-'1850'!I19+'1850'!J21-'1850'!I21+'1850'!J23-'1850'!I23</f>
        <v>3.032999999999987</v>
      </c>
      <c r="C9" s="37">
        <f>'1851'!K5-'1851'!J5+'1851'!K7-'1851'!J7+'1851'!K9-'1851'!J9+'1851'!K11-'1851'!J11+'1851'!K13-'1851'!J13+'1851'!K15-'1851'!J15+'1851'!K17-'1851'!J17+'1851'!K19-'1851'!J19+'1851'!K21-'1851'!J21+'1851'!K23-'1851'!J23</f>
        <v>3.6490000000000293</v>
      </c>
      <c r="D9" s="37">
        <f>'1852'!J5-'1852'!I5+'1852'!J7-'1852'!I7+'1852'!J9-'1852'!I9+'1852'!J11-'1852'!I11+'1852'!J13-'1852'!I13+'1852'!J15-'1852'!I15+'1852'!J17-'1852'!I17+'1852'!J19-'1852'!I19+'1852'!J21-'1852'!I21+'1852'!J23-'1852'!I23</f>
        <v>3.7990000000000137</v>
      </c>
      <c r="E9" s="37">
        <f>'1853'!J5-'1853'!I5+'1853'!J7-'1853'!I7+'1853'!J9-'1853'!I9+'1853'!J11-'1853'!I11+'1853'!J13-'1853'!I13+'1853'!J15-'1853'!I15+'1853'!J17-'1853'!I17+'1853'!J19-'1853'!I19+'1853'!J21-'1853'!I21+'1853'!J23-'1853'!I23</f>
        <v>2.941999999999986</v>
      </c>
      <c r="G9" s="134">
        <f>1-B9/B10</f>
        <v>-1.3152671755725054</v>
      </c>
      <c r="H9" s="134">
        <f>1-C9/C10</f>
        <v>0.47344877344876979</v>
      </c>
      <c r="I9" s="134">
        <f>1-D9/D10</f>
        <v>-0.93826530612244818</v>
      </c>
      <c r="J9" s="134">
        <f>1-E9/E10</f>
        <v>-0.36203703703703272</v>
      </c>
    </row>
    <row r="10" spans="1:23" x14ac:dyDescent="0.35">
      <c r="A10" s="37" t="s">
        <v>42</v>
      </c>
      <c r="B10" s="44">
        <f>('1850'!J27-'1850'!I27)</f>
        <v>1.3100000000000023</v>
      </c>
      <c r="C10" s="44">
        <f>('1851'!K27-'1851'!J27)</f>
        <v>6.9300000000000068</v>
      </c>
      <c r="D10" s="44">
        <f>('1852'!J27-'1852'!I27)</f>
        <v>1.960000000000008</v>
      </c>
      <c r="E10" s="44">
        <f>('1853'!J28-'1853'!I28)</f>
        <v>2.1599999999999966</v>
      </c>
    </row>
    <row r="11" spans="1:23" ht="18" x14ac:dyDescent="0.4">
      <c r="A11" s="126" t="s">
        <v>48</v>
      </c>
      <c r="B11" s="127"/>
      <c r="C11" s="127"/>
      <c r="D11" s="127"/>
      <c r="E11" s="128"/>
    </row>
    <row r="12" spans="1:23" x14ac:dyDescent="0.35">
      <c r="A12" s="37" t="s">
        <v>44</v>
      </c>
      <c r="B12" s="40">
        <f>'1850'!J25-'1850'!I25</f>
        <v>186</v>
      </c>
      <c r="C12" s="40">
        <f>'1851'!K24-'1851'!J24</f>
        <v>201</v>
      </c>
      <c r="D12" s="40">
        <f>'1852'!J25-'1852'!I25</f>
        <v>178</v>
      </c>
      <c r="E12" s="40">
        <f>'1853'!J24-'1853'!I24</f>
        <v>181</v>
      </c>
    </row>
    <row r="13" spans="1:23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3" x14ac:dyDescent="0.35">
      <c r="A14" s="34" t="s">
        <v>45</v>
      </c>
      <c r="B14" s="41">
        <f>'1853'!J25-'1853'!I25</f>
        <v>224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23" x14ac:dyDescent="0.35">
      <c r="A15" s="34" t="s">
        <v>46</v>
      </c>
      <c r="B15" s="42">
        <f>'1853'!J26-'1853'!I26</f>
        <v>17.829000000000065</v>
      </c>
      <c r="C15" s="42"/>
      <c r="D15" s="42"/>
      <c r="E15" s="42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</row>
    <row r="16" spans="1:23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8" spans="1:1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0" x14ac:dyDescent="0.35">
      <c r="A19" s="37" t="s">
        <v>36</v>
      </c>
      <c r="B19" s="37">
        <f>'1854'!J4-'1854'!I4+'1854'!J6-'1854'!I6+'1854'!J8-'1854'!I8+'1854'!J10-'1854'!I10+'1854'!J12-'1854'!I12+'1854'!J14-'1854'!I14+'1854'!J16-'1854'!I16+'1854'!J18-'1854'!I18+'1854'!J20-'1854'!I20+'1854'!J22-'1854'!I22</f>
        <v>43.990999999999893</v>
      </c>
      <c r="C19" s="37">
        <f>'1855'!J4-'1855'!I4+'1855'!J6-'1855'!I6+'1855'!J8-'1855'!I8+'1855'!J10-'1855'!I10+'1855'!J12-'1855'!I12+'1855'!J14-'1855'!I14+'1855'!J16-'1855'!I16+'1855'!J18-'1855'!I18+'1855'!J20-'1855'!I20+'1855'!J22-'1855'!I22</f>
        <v>51.629999999999995</v>
      </c>
      <c r="D19" s="37">
        <f>'1856'!J4-'1856'!I4+'1856'!J6-'1856'!I6+'1856'!J8-'1856'!I8+'1856'!J10-'1856'!I10+'1856'!J12-'1856'!I12+'1856'!J14-'1856'!I14+'1856'!J16-'1856'!I16+'1856'!J18-'1856'!I18+'1856'!J20-'1856'!I20+'1856'!J22-'1856'!I22</f>
        <v>57.79299999999995</v>
      </c>
      <c r="E19" s="37">
        <f>'1857'!J4-'1857'!I4+'1857'!J6-'1857'!I6+'1857'!J8-'1857'!I8+'1857'!J10-'1857'!I10+'1857'!J12-'1857'!I12+'1857'!J14-'1857'!I14+'1857'!J16-'1857'!I16+'1857'!J18-'1857'!I18+'1857'!J20-'1857'!I20+'1857'!J22-'1857'!I22</f>
        <v>67.192999999999984</v>
      </c>
      <c r="G19" s="134">
        <f>1-B19/B20</f>
        <v>0.10222448979592058</v>
      </c>
      <c r="H19" s="134">
        <f>1-C19/C20</f>
        <v>0.15499181669394946</v>
      </c>
      <c r="I19" s="134">
        <f>1-D19/D20</f>
        <v>9.6984375000000789E-2</v>
      </c>
      <c r="J19" s="134">
        <f>1-E19/E20</f>
        <v>0.10528628495339998</v>
      </c>
    </row>
    <row r="20" spans="1:10" x14ac:dyDescent="0.35">
      <c r="A20" s="37" t="s">
        <v>37</v>
      </c>
      <c r="B20" s="37">
        <f>'1854'!J26-'1854'!I26</f>
        <v>49</v>
      </c>
      <c r="C20" s="37">
        <f>'1855'!J26-'1855'!I26</f>
        <v>61.100000000000364</v>
      </c>
      <c r="D20" s="37">
        <f>'1856'!J26-'1856'!I26</f>
        <v>64</v>
      </c>
      <c r="E20" s="37">
        <f>'1857'!J26-'1857'!I26</f>
        <v>75.100000000000364</v>
      </c>
    </row>
    <row r="21" spans="1:10" x14ac:dyDescent="0.35">
      <c r="A21" s="37" t="s">
        <v>38</v>
      </c>
      <c r="B21" s="312">
        <f>SUM(B20:E20)</f>
        <v>249.20000000000073</v>
      </c>
      <c r="C21" s="312"/>
      <c r="D21" s="312"/>
      <c r="E21" s="312"/>
      <c r="G21" s="134">
        <f>1-B21/B22</f>
        <v>-4.7939444911688778E-2</v>
      </c>
    </row>
    <row r="22" spans="1:10" x14ac:dyDescent="0.35">
      <c r="A22" s="37" t="s">
        <v>39</v>
      </c>
      <c r="B22" s="312">
        <f>'1854'!J29-'1854'!I29</f>
        <v>237.80000000000109</v>
      </c>
      <c r="C22" s="312"/>
      <c r="D22" s="312"/>
      <c r="E22" s="312"/>
    </row>
    <row r="23" spans="1:10" ht="18" x14ac:dyDescent="0.4">
      <c r="A23" s="126" t="s">
        <v>40</v>
      </c>
      <c r="B23" s="127"/>
      <c r="C23" s="127"/>
      <c r="D23" s="127"/>
      <c r="E23" s="128"/>
    </row>
    <row r="24" spans="1:10" x14ac:dyDescent="0.35">
      <c r="A24" s="37" t="s">
        <v>41</v>
      </c>
      <c r="B24" s="37">
        <f>'1854'!J5-'1854'!I5+'1854'!J7-'1854'!I7+'1854'!J9-'1854'!I9+'1854'!J11-'1854'!I11+'1854'!J13-'1854'!I13+'1854'!J15-'1854'!I15+'1854'!J17-'1854'!I17+'1854'!J19-'1854'!I19+'1854'!J21-'1854'!I21+'1854'!J23-'1854'!I23</f>
        <v>2.4020000000000103</v>
      </c>
      <c r="C24" s="37">
        <f>'1855'!J5-'1855'!I5+'1855'!J7-'1855'!I7+'1855'!J9-'1855'!I9+'1855'!J11-'1855'!I11+'1855'!J13-'1855'!I13+'1855'!J15-'1855'!I15+'1855'!J17-'1855'!I17+'1855'!J19-'1855'!I19+'1855'!J21-'1855'!I21+'1855'!J23-'1855'!I23</f>
        <v>2.6360000000000028</v>
      </c>
      <c r="D24" s="37">
        <f>'1856'!J5-'1856'!I5+'1856'!J7-'1856'!I7+'1856'!J9-'1856'!I9+'1856'!J11-'1856'!I11+'1856'!J13-'1856'!I13+'1856'!J15-'1856'!I15+'1856'!J17-'1856'!I17+'1856'!J19-'1856'!I19+'1856'!J21-'1856'!I21+'1856'!J23-'1856'!I23</f>
        <v>3.173</v>
      </c>
      <c r="E24" s="37">
        <f>'1857'!J5-'1857'!I5+'1857'!J7-'1857'!I7+'1857'!J9-'1857'!I9+'1857'!J11-'1857'!I11+'1857'!J13-'1857'!I13+'1857'!J15-'1857'!I15+'1857'!J17-'1857'!I17+'1857'!J19-'1857'!I19+'1857'!J21-'1857'!I21+'1857'!J23-'1857'!I23</f>
        <v>3.4189999999999756</v>
      </c>
      <c r="G24" s="134">
        <f>1-B24/B25</f>
        <v>0.11365313653133624</v>
      </c>
      <c r="H24" s="134">
        <f>1-C24/C25</f>
        <v>-0.27342995169079187</v>
      </c>
      <c r="I24" s="134">
        <f>1-D24/D25</f>
        <v>-0.42286995515693904</v>
      </c>
      <c r="J24" s="134">
        <f>1-E24/E25</f>
        <v>-0.47370689655168174</v>
      </c>
    </row>
    <row r="25" spans="1:10" x14ac:dyDescent="0.35">
      <c r="A25" s="37" t="s">
        <v>42</v>
      </c>
      <c r="B25" s="44">
        <f>'1854'!J27-'1854'!I27</f>
        <v>2.7099999999999227</v>
      </c>
      <c r="C25" s="44">
        <f>'1855'!J27-'1855'!I27</f>
        <v>2.07000000000005</v>
      </c>
      <c r="D25" s="44">
        <f>'1856'!J27-'1856'!I27</f>
        <v>2.2300000000000182</v>
      </c>
      <c r="E25" s="44">
        <f>'1857'!J27-'1857'!I27</f>
        <v>2.32000000000005</v>
      </c>
    </row>
    <row r="26" spans="1:10" ht="18" x14ac:dyDescent="0.4">
      <c r="A26" s="126" t="s">
        <v>48</v>
      </c>
      <c r="B26" s="127"/>
      <c r="C26" s="127"/>
      <c r="D26" s="127"/>
      <c r="E26" s="128"/>
    </row>
    <row r="27" spans="1:10" x14ac:dyDescent="0.35">
      <c r="A27" s="37" t="s">
        <v>44</v>
      </c>
      <c r="B27" s="40">
        <f>'1854'!J25-'1854'!I25</f>
        <v>218</v>
      </c>
      <c r="C27" s="40">
        <f>'1855'!J25-'1855'!I25</f>
        <v>261</v>
      </c>
      <c r="D27" s="40">
        <f>'1856'!J25-'1856'!I25</f>
        <v>199</v>
      </c>
      <c r="E27" s="40">
        <f>'1857'!J25-'1857'!I25</f>
        <v>215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C23:E65536">
    <cfRule type="cellIs" dxfId="25" priority="2" stopIfTrue="1" operator="lessThan">
      <formula>0</formula>
    </cfRule>
  </conditionalFormatting>
  <conditionalFormatting sqref="F1:O2 I13:N13 F13:J17 I16:O17 F28:O65536">
    <cfRule type="cellIs" dxfId="2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7"/>
  <sheetViews>
    <sheetView workbookViewId="0">
      <selection activeCell="I15" sqref="I15"/>
    </sheetView>
  </sheetViews>
  <sheetFormatPr defaultColWidth="9" defaultRowHeight="17.5" x14ac:dyDescent="0.35"/>
  <cols>
    <col min="1" max="1" width="35" style="34" customWidth="1"/>
    <col min="2" max="18" width="11.453125" style="34" customWidth="1"/>
    <col min="19" max="26" width="9.81640625" style="34" customWidth="1"/>
    <col min="27" max="30" width="6.453125" style="34" customWidth="1"/>
    <col min="31" max="16384" width="9" style="34"/>
  </cols>
  <sheetData>
    <row r="1" spans="1:26" ht="18" x14ac:dyDescent="0.4">
      <c r="A1" s="35" t="s">
        <v>54</v>
      </c>
      <c r="B1" s="36">
        <f>'S1'!B1</f>
        <v>2024</v>
      </c>
    </row>
    <row r="3" spans="1:26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26" x14ac:dyDescent="0.35">
      <c r="A4" s="43" t="s">
        <v>36</v>
      </c>
      <c r="B4" s="37">
        <f>'1850'!K4-'1850'!J4+'1850'!K6-'1850'!J6+'1850'!K8-'1850'!J8+'1850'!K10-'1850'!J10+'1850'!K12-'1850'!J12+'1850'!K14-'1850'!J14+'1850'!K16-'1850'!J16+'1850'!K18-'1850'!J18+'1850'!K20-'1850'!J20+'1850'!K22-'1850'!J22</f>
        <v>53.713000000000079</v>
      </c>
      <c r="C4" s="37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71.110000000000056</v>
      </c>
      <c r="D4" s="37">
        <f>'1852'!K4-'1852'!J4+'1852'!K6-'1852'!J6+'1852'!K8-'1852'!J8+'1852'!K10-'1852'!J10+'1852'!K12-'1852'!J12+'1852'!K14-'1852'!J14+'1852'!K16-'1852'!J16+'1852'!K18-'1852'!J18+'1852'!K20-'1852'!J20+'1852'!K22-'1852'!J22</f>
        <v>56.158000000000129</v>
      </c>
      <c r="E4" s="37">
        <f>'1853'!K4-'1853'!J4+'1853'!K6-'1853'!J6+'1853'!K8-'1853'!J8+'1853'!K10-'1853'!J10+'1853'!K12-'1853'!J12+'1853'!K14-'1853'!J14+'1853'!K16-'1853'!J16+'1853'!K18-'1853'!J18+'1853'!K20-'1853'!J20+'1853'!K22-'1853'!J22+'1853'!K26-'1853'!J26</f>
        <v>86.29300000000012</v>
      </c>
      <c r="G4" s="134">
        <f>1-B4/B5</f>
        <v>0.10328881469115192</v>
      </c>
      <c r="H4" s="134">
        <f>1-C4/C5</f>
        <v>9.7588832487310984E-2</v>
      </c>
      <c r="I4" s="134">
        <f>1-D4/D5</f>
        <v>0.10718600953895641</v>
      </c>
      <c r="J4" s="134">
        <f>1-E4/E5</f>
        <v>6.6093073593077811E-2</v>
      </c>
    </row>
    <row r="5" spans="1:26" x14ac:dyDescent="0.35">
      <c r="A5" s="43" t="s">
        <v>37</v>
      </c>
      <c r="B5" s="37">
        <f>'1850'!K26-'1850'!J26</f>
        <v>59.900000000000091</v>
      </c>
      <c r="C5" s="37">
        <f>'1851'!L26-'1851'!K26</f>
        <v>78.800000000000182</v>
      </c>
      <c r="D5" s="37">
        <f>'1852'!K26-'1852'!J26</f>
        <v>62.900000000000546</v>
      </c>
      <c r="E5" s="37">
        <f>'1853'!K27-'1853'!J27</f>
        <v>92.400000000000546</v>
      </c>
    </row>
    <row r="6" spans="1:26" x14ac:dyDescent="0.35">
      <c r="A6" s="43" t="s">
        <v>38</v>
      </c>
      <c r="B6" s="312">
        <f>SUM(B5:E5)</f>
        <v>294.00000000000136</v>
      </c>
      <c r="C6" s="312"/>
      <c r="D6" s="312"/>
      <c r="E6" s="312"/>
      <c r="G6" s="134">
        <f>1-B6/B7</f>
        <v>4.8543689320383887E-2</v>
      </c>
    </row>
    <row r="7" spans="1:26" x14ac:dyDescent="0.35">
      <c r="A7" s="43" t="s">
        <v>39</v>
      </c>
      <c r="B7" s="312">
        <f>'1850'!K29-'1850'!J29</f>
        <v>309</v>
      </c>
      <c r="C7" s="312"/>
      <c r="D7" s="312"/>
      <c r="E7" s="312"/>
    </row>
    <row r="8" spans="1:26" ht="18" x14ac:dyDescent="0.4">
      <c r="A8" s="126" t="s">
        <v>40</v>
      </c>
      <c r="B8" s="127"/>
      <c r="C8" s="127"/>
      <c r="D8" s="127"/>
      <c r="E8" s="128"/>
    </row>
    <row r="9" spans="1:26" x14ac:dyDescent="0.35">
      <c r="A9" s="37" t="s">
        <v>41</v>
      </c>
      <c r="B9" s="37">
        <f>'1850'!K5-'1850'!J5+'1850'!K7-'1850'!J7+'1850'!K9-'1850'!J9+'1850'!K11-'1850'!J11+'1850'!K13-'1850'!J13+'1850'!K15-'1850'!J15+'1850'!K17-'1850'!J17+'1850'!K19-'1850'!J19+'1850'!K21-'1850'!J21+'1850'!K23-'1850'!J23</f>
        <v>3.0610000000000213</v>
      </c>
      <c r="C9" s="37">
        <f>'1851'!L5-'1851'!K5+'1851'!L7-'1851'!K7+'1851'!L9-'1851'!K9+'1851'!L11-'1851'!K11+'1851'!L13-'1851'!K13+'1851'!L15-'1851'!K15+'1851'!L17-'1851'!K17+'1851'!L19-'1851'!K19+'1851'!L21-'1851'!K21+'1851'!L23-'1851'!K23</f>
        <v>3.5609999999999857</v>
      </c>
      <c r="D9" s="37">
        <f>'1852'!K5-'1852'!J5+'1852'!K7-'1852'!J7+'1852'!K9-'1852'!J9+'1852'!K11-'1852'!J11+'1852'!K13-'1852'!J13+'1852'!K15-'1852'!J15+'1852'!K17-'1852'!J17+'1852'!K19-'1852'!J19+'1852'!K21-'1852'!J21+'1852'!K23-'1852'!J23</f>
        <v>3.134999999999998</v>
      </c>
      <c r="E9" s="37">
        <f>'1853'!K5-'1853'!J5+'1853'!K7-'1853'!J7+'1853'!K9-'1853'!J9+'1853'!K11-'1853'!J11+'1853'!K13-'1853'!J13+'1853'!K15-'1853'!J15+'1853'!K17-'1853'!J17+'1853'!K19-'1853'!J19+'1853'!K21-'1853'!J21+'1853'!K23-'1853'!J23</f>
        <v>2.5099999999999909</v>
      </c>
      <c r="G9" s="134">
        <f>1-B9/B10</f>
        <v>-1.5297520661157034</v>
      </c>
      <c r="H9" s="134">
        <f>1-C9/C10</f>
        <v>0.4025167785234931</v>
      </c>
      <c r="I9" s="134">
        <f>1-D9/D10</f>
        <v>-1.1326530612244903</v>
      </c>
      <c r="J9" s="134">
        <f>1-E9/E10</f>
        <v>-0.45930232558139106</v>
      </c>
    </row>
    <row r="10" spans="1:26" x14ac:dyDescent="0.35">
      <c r="A10" s="37" t="s">
        <v>42</v>
      </c>
      <c r="B10" s="39">
        <f>('1850'!K27-'1850'!J27)</f>
        <v>1.210000000000008</v>
      </c>
      <c r="C10" s="44">
        <f>('1851'!L27-'1851'!K27)</f>
        <v>5.960000000000008</v>
      </c>
      <c r="D10" s="44">
        <f>('1852'!K27-'1852'!J27)</f>
        <v>1.4699999999999989</v>
      </c>
      <c r="E10" s="44">
        <f>('1853'!K28-'1853'!J28)</f>
        <v>1.7199999999999989</v>
      </c>
    </row>
    <row r="11" spans="1:26" ht="18" x14ac:dyDescent="0.4">
      <c r="A11" s="126" t="s">
        <v>48</v>
      </c>
      <c r="B11" s="127"/>
      <c r="C11" s="127"/>
      <c r="D11" s="127"/>
      <c r="E11" s="128"/>
    </row>
    <row r="12" spans="1:26" x14ac:dyDescent="0.35">
      <c r="A12" s="37" t="s">
        <v>44</v>
      </c>
      <c r="B12" s="40">
        <f>'1850'!K25-'1850'!J25</f>
        <v>176</v>
      </c>
      <c r="C12" s="40">
        <f>'1851'!L24-'1851'!K24</f>
        <v>236</v>
      </c>
      <c r="D12" s="40">
        <f>'1852'!K25-'1852'!J25</f>
        <v>199</v>
      </c>
      <c r="E12" s="40">
        <f>'1853'!K24-'1853'!J24</f>
        <v>196</v>
      </c>
    </row>
    <row r="13" spans="1:26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1:26" x14ac:dyDescent="0.35">
      <c r="A14" s="34" t="s">
        <v>45</v>
      </c>
      <c r="B14" s="41">
        <f>'1853'!K25-'1853'!J25</f>
        <v>259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1:26" x14ac:dyDescent="0.35">
      <c r="A15" s="34" t="s">
        <v>46</v>
      </c>
      <c r="B15" s="42">
        <f>'1853'!K26-'1853'!J26</f>
        <v>28.312000000000012</v>
      </c>
      <c r="C15" s="42"/>
      <c r="D15" s="42"/>
      <c r="E15" s="42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6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8" spans="1:1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0" x14ac:dyDescent="0.35">
      <c r="A19" s="37" t="s">
        <v>36</v>
      </c>
      <c r="B19" s="37">
        <f>'1854'!K4-'1854'!J4+'1854'!K6-'1854'!J6+'1854'!K8-'1854'!J8+'1854'!K10-'1854'!J10+'1854'!K12-'1854'!J12+'1854'!K14-'1854'!J14+'1854'!K16-'1854'!J16+'1854'!K18-'1854'!J18+'1854'!K20-'1854'!J20+'1854'!K22-'1854'!J22</f>
        <v>52.505000000000074</v>
      </c>
      <c r="C19" s="37">
        <f>'1855'!K4-'1855'!J4+'1855'!K6-'1855'!J6+'1855'!K8-'1855'!J8+'1855'!K10-'1855'!J10+'1855'!K12-'1855'!J12+'1855'!K14-'1855'!J14+'1855'!K16-'1855'!J16+'1855'!K18-'1855'!J18+'1855'!K20-'1855'!J20+'1855'!K22-'1855'!J22</f>
        <v>58.644999999999982</v>
      </c>
      <c r="D19" s="37">
        <f>'1856'!K4-'1856'!J4+'1856'!K6-'1856'!J6+'1856'!K8-'1856'!J8+'1856'!K10-'1856'!J10+'1856'!K12-'1856'!J12+'1856'!K14-'1856'!J14+'1856'!K16-'1856'!J16+'1856'!K18-'1856'!J18+'1856'!K20-'1856'!J20+'1856'!K22-'1856'!J22</f>
        <v>68.712999999999965</v>
      </c>
      <c r="E19" s="37">
        <f>'1857'!K4-'1857'!J4+'1857'!K6-'1857'!J6+'1857'!K8-'1857'!J8+'1857'!K10-'1857'!J10+'1857'!K12-'1857'!J12+'1857'!K14-'1857'!J14+'1857'!K16-'1857'!J16+'1857'!K18-'1857'!J18+'1857'!K20-'1857'!J20+'1857'!K22-'1857'!J22</f>
        <v>71.740000000000009</v>
      </c>
      <c r="G19" s="134">
        <f>1-B19/B20</f>
        <v>9.3177892918825722E-2</v>
      </c>
      <c r="H19" s="134">
        <f>1-C19/C20</f>
        <v>0.16460113960113765</v>
      </c>
      <c r="I19" s="134">
        <f>1-D19/D20</f>
        <v>0.10762337662337707</v>
      </c>
      <c r="J19" s="134">
        <f>1-E19/E20</f>
        <v>0.1066002490660044</v>
      </c>
    </row>
    <row r="20" spans="1:10" x14ac:dyDescent="0.35">
      <c r="A20" s="37" t="s">
        <v>37</v>
      </c>
      <c r="B20" s="37">
        <f>'1854'!K26-'1854'!J26</f>
        <v>57.900000000000091</v>
      </c>
      <c r="C20" s="37">
        <f>'1855'!K26-'1855'!J26</f>
        <v>70.199999999999818</v>
      </c>
      <c r="D20" s="37">
        <f>'1856'!K26-'1856'!J26</f>
        <v>77</v>
      </c>
      <c r="E20" s="37">
        <f>'1857'!K26-'1857'!J26</f>
        <v>80.300000000000182</v>
      </c>
    </row>
    <row r="21" spans="1:10" x14ac:dyDescent="0.35">
      <c r="A21" s="37" t="s">
        <v>38</v>
      </c>
      <c r="B21" s="312">
        <f>SUM(B20:E20)</f>
        <v>285.40000000000009</v>
      </c>
      <c r="C21" s="312"/>
      <c r="D21" s="312"/>
      <c r="E21" s="312"/>
      <c r="G21" s="134">
        <f>1-B21/B22</f>
        <v>-5.5473372781066788E-2</v>
      </c>
    </row>
    <row r="22" spans="1:10" x14ac:dyDescent="0.35">
      <c r="A22" s="37" t="s">
        <v>39</v>
      </c>
      <c r="B22" s="312">
        <f>'1854'!K29-'1854'!J29</f>
        <v>270.39999999999964</v>
      </c>
      <c r="C22" s="312"/>
      <c r="D22" s="312"/>
      <c r="E22" s="312"/>
    </row>
    <row r="23" spans="1:10" ht="18" x14ac:dyDescent="0.4">
      <c r="A23" s="126" t="s">
        <v>40</v>
      </c>
      <c r="B23" s="127"/>
      <c r="C23" s="127"/>
      <c r="D23" s="127"/>
      <c r="E23" s="128"/>
    </row>
    <row r="24" spans="1:10" x14ac:dyDescent="0.35">
      <c r="A24" s="37" t="s">
        <v>41</v>
      </c>
      <c r="B24" s="37">
        <f>'1854'!K5-'1854'!J5+'1854'!K7-'1854'!J7+'1854'!K9-'1854'!J9+'1854'!K11-'1854'!J11+'1854'!K13-'1854'!J13+'1854'!K15-'1854'!J15+'1854'!K17-'1854'!J17+'1854'!K19-'1854'!J19+'1854'!K21-'1854'!J21+'1854'!K23-'1854'!J23</f>
        <v>2.5779999999999887</v>
      </c>
      <c r="C24" s="37">
        <f>'1855'!K5-'1855'!J5+'1855'!K7-'1855'!J7+'1855'!K9-'1855'!J9+'1855'!K11-'1855'!J11+'1855'!K13-'1855'!J13+'1855'!K15-'1855'!J15+'1855'!K17-'1855'!J17+'1855'!K19-'1855'!J19+'1855'!K21-'1855'!J21+'1855'!K23-'1855'!J23</f>
        <v>2.6800000000000068</v>
      </c>
      <c r="D24" s="37">
        <f>'1856'!K5-'1856'!J5+'1856'!K7-'1856'!J7+'1856'!K9-'1856'!J9+'1856'!K11-'1856'!J11+'1856'!K13-'1856'!J13+'1856'!K15-'1856'!J15+'1856'!K17-'1856'!J17+'1856'!K19-'1856'!J19+'1856'!K21-'1856'!J21+'1856'!K23-'1856'!J23</f>
        <v>3.1979999999999986</v>
      </c>
      <c r="E24" s="37">
        <f>'1857'!K5-'1857'!J5+'1857'!K7-'1857'!J7+'1857'!K9-'1857'!J9+'1857'!K11-'1857'!J11+'1857'!K13-'1857'!J13+'1857'!K15-'1857'!J15+'1857'!K17-'1857'!J17+'1857'!K19-'1857'!J19+'1857'!K21-'1857'!J21+'1857'!K23-'1857'!J23</f>
        <v>3.1599999999999895</v>
      </c>
      <c r="G24" s="134">
        <f>1-B24/B25</f>
        <v>-3.534136546183908E-2</v>
      </c>
      <c r="H24" s="134">
        <f>1-C24/C25</f>
        <v>-0.28229665071775689</v>
      </c>
      <c r="I24" s="134">
        <f>1-D24/D25</f>
        <v>-0.46697247706425316</v>
      </c>
      <c r="J24" s="134">
        <f>1-E24/E25</f>
        <v>-0.47663551401869619</v>
      </c>
    </row>
    <row r="25" spans="1:10" x14ac:dyDescent="0.35">
      <c r="A25" s="37" t="s">
        <v>42</v>
      </c>
      <c r="B25" s="39">
        <f>('1854'!K27-'1854'!J27)</f>
        <v>2.4900000000000091</v>
      </c>
      <c r="C25" s="44">
        <f>('1855'!K27-'1855'!J27)</f>
        <v>2.0899999999999181</v>
      </c>
      <c r="D25" s="44">
        <f>('1856'!K27-'1856'!J27)</f>
        <v>2.17999999999995</v>
      </c>
      <c r="E25" s="44">
        <f>('1857'!K27-'1857'!J27)</f>
        <v>2.1399999999999864</v>
      </c>
    </row>
    <row r="26" spans="1:10" ht="18" x14ac:dyDescent="0.4">
      <c r="A26" s="126" t="s">
        <v>48</v>
      </c>
      <c r="B26" s="127"/>
      <c r="C26" s="127"/>
      <c r="D26" s="127"/>
      <c r="E26" s="128"/>
    </row>
    <row r="27" spans="1:10" x14ac:dyDescent="0.35">
      <c r="A27" s="37" t="s">
        <v>44</v>
      </c>
      <c r="B27" s="40">
        <f>'1854'!K25-'1854'!J25</f>
        <v>202</v>
      </c>
      <c r="C27" s="40">
        <f>'1855'!K25-'1855'!J25</f>
        <v>231</v>
      </c>
      <c r="D27" s="40">
        <f>'1856'!K25-'1856'!J25</f>
        <v>204</v>
      </c>
      <c r="E27" s="40">
        <f>'1857'!K25-'1857'!J25</f>
        <v>194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M13:P13 M16:R17 C23:E65536">
    <cfRule type="cellIs" dxfId="23" priority="3" stopIfTrue="1" operator="lessThan">
      <formula>0</formula>
    </cfRule>
  </conditionalFormatting>
  <conditionalFormatting sqref="F1:R2 I13:J13 F13:L17 I16:J17 F28:R65536">
    <cfRule type="cellIs" dxfId="22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7"/>
  <sheetViews>
    <sheetView workbookViewId="0">
      <selection activeCell="H9" sqref="H9"/>
    </sheetView>
  </sheetViews>
  <sheetFormatPr defaultColWidth="9" defaultRowHeight="17.5" x14ac:dyDescent="0.35"/>
  <cols>
    <col min="1" max="1" width="35" style="34" customWidth="1"/>
    <col min="2" max="21" width="11.453125" style="34" customWidth="1"/>
    <col min="22" max="29" width="9.81640625" style="34" customWidth="1"/>
    <col min="30" max="33" width="6.453125" style="34" customWidth="1"/>
    <col min="34" max="16384" width="9" style="34"/>
  </cols>
  <sheetData>
    <row r="1" spans="1:29" ht="18" x14ac:dyDescent="0.4">
      <c r="A1" s="35" t="s">
        <v>55</v>
      </c>
      <c r="B1" s="36">
        <f>'S1'!B1</f>
        <v>2024</v>
      </c>
    </row>
    <row r="3" spans="1:29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29" x14ac:dyDescent="0.35">
      <c r="A4" s="43" t="s">
        <v>36</v>
      </c>
      <c r="B4" s="37">
        <f>'1850'!L4-'1850'!K4+'1850'!L6-'1850'!K6+'1850'!L8-'1850'!K8+'1850'!L10-'1850'!K10+'1850'!L12-'1850'!K12+'1850'!L14-'1850'!K14+'1850'!L16-'1850'!K16+'1850'!L18-'1850'!K18+'1850'!L20-'1850'!K20+'1850'!L22-'1850'!K22</f>
        <v>54.99899999999991</v>
      </c>
      <c r="C4" s="37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78.986999999999938</v>
      </c>
      <c r="D4" s="37">
        <f>'1852'!L4-'1852'!K4+'1852'!L6-'1852'!K6+'1852'!L8-'1852'!K8+'1852'!L10-'1852'!K10+'1852'!L12-'1852'!K12+'1852'!L14-'1852'!K14+'1852'!L16-'1852'!K16+'1852'!L18-'1852'!K18+'1852'!L20-'1852'!K20+'1852'!L22-'1852'!K22</f>
        <v>71.154000000000053</v>
      </c>
      <c r="E4" s="37">
        <f>'1853'!L4-'1853'!K4+'1853'!L6-'1853'!K6+'1853'!L8-'1853'!K8+'1853'!L10-'1853'!K10+'1853'!L12-'1853'!K12+'1853'!L14-'1853'!K14+'1853'!L16-'1853'!K16+'1853'!L18-'1853'!K18+'1853'!L20-'1853'!K20+'1853'!L22-'1853'!K22+'1853'!L26-'1853'!K26</f>
        <v>70.754999999999882</v>
      </c>
      <c r="G4" s="134">
        <f>1-B4/B5</f>
        <v>0.11577170418006966</v>
      </c>
      <c r="H4" s="134">
        <f>1-C4/C5</f>
        <v>7.1833137485306175E-2</v>
      </c>
      <c r="I4" s="134">
        <f>1-D4/D5</f>
        <v>0.1015909090909064</v>
      </c>
      <c r="J4" s="134">
        <f>1-E4/E5</f>
        <v>9.2884615384616898E-2</v>
      </c>
    </row>
    <row r="5" spans="1:29" x14ac:dyDescent="0.35">
      <c r="A5" s="43" t="s">
        <v>37</v>
      </c>
      <c r="B5" s="37">
        <f>'1850'!L26-'1850'!K26</f>
        <v>62.200000000000273</v>
      </c>
      <c r="C5" s="37">
        <f>'1851'!M26-'1851'!L26</f>
        <v>85.099999999999454</v>
      </c>
      <c r="D5" s="37">
        <f>'1852'!L26-'1852'!K26</f>
        <v>79.199999999999818</v>
      </c>
      <c r="E5" s="37">
        <f>'1853'!L27-'1853'!K27</f>
        <v>78</v>
      </c>
    </row>
    <row r="6" spans="1:29" x14ac:dyDescent="0.35">
      <c r="A6" s="43" t="s">
        <v>38</v>
      </c>
      <c r="B6" s="312">
        <f>SUM(B5:E5)</f>
        <v>304.49999999999955</v>
      </c>
      <c r="C6" s="312"/>
      <c r="D6" s="312"/>
      <c r="E6" s="312"/>
      <c r="G6" s="134">
        <f>1-B6/B7</f>
        <v>3.5171102661593956E-2</v>
      </c>
    </row>
    <row r="7" spans="1:29" x14ac:dyDescent="0.35">
      <c r="A7" s="43" t="s">
        <v>39</v>
      </c>
      <c r="B7" s="312">
        <f>'1850'!L29-'1850'!K29</f>
        <v>315.59999999999854</v>
      </c>
      <c r="C7" s="312"/>
      <c r="D7" s="312"/>
      <c r="E7" s="312"/>
    </row>
    <row r="8" spans="1:29" ht="18" x14ac:dyDescent="0.4">
      <c r="A8" s="126" t="s">
        <v>40</v>
      </c>
      <c r="B8" s="127"/>
      <c r="C8" s="127"/>
      <c r="D8" s="127"/>
      <c r="E8" s="128"/>
    </row>
    <row r="9" spans="1:29" x14ac:dyDescent="0.35">
      <c r="A9" s="37" t="s">
        <v>41</v>
      </c>
      <c r="B9" s="37">
        <f>'1850'!L5-'1850'!K5+'1850'!L7-'1850'!K7+'1850'!L9-'1850'!K9+'1850'!L11-'1850'!K11+'1850'!L13-'1850'!K13+'1850'!L15-'1850'!K15+'1850'!L17-'1850'!K17+'1850'!L19-'1850'!K19+'1850'!L21-'1850'!K21+'1850'!L23-'1850'!K23</f>
        <v>7.2919999999999945</v>
      </c>
      <c r="C9" s="37">
        <f>'1851'!M5-'1851'!L5+'1851'!M7-'1851'!L7+'1851'!M9-'1851'!L9+'1851'!M11-'1851'!L11+'1851'!M13-'1851'!L13+'1851'!M15-'1851'!L15+'1851'!M17-'1851'!L17+'1851'!M19-'1851'!L19+'1851'!M21-'1851'!L21+'1851'!M23-'1851'!L23</f>
        <v>5.6090000000000018</v>
      </c>
      <c r="D9" s="37">
        <f>'1852'!L5-'1852'!K5+'1852'!L7-'1852'!K7+'1852'!L9-'1852'!K9+'1852'!L11-'1852'!K11+'1852'!L13-'1852'!K13+'1852'!L15-'1852'!K15+'1852'!L17-'1852'!K17+'1852'!L19-'1852'!K19+'1852'!L21-'1852'!K21+'1852'!L23-'1852'!K23</f>
        <v>6.7139999999999986</v>
      </c>
      <c r="E9" s="37">
        <f>'1853'!L5-'1853'!K5+'1853'!L7-'1853'!K7+'1853'!L9-'1853'!K9+'1853'!L11-'1853'!K11+'1853'!L13-'1853'!K13+'1853'!L15-'1853'!K15+'1853'!L17-'1853'!K17+'1853'!L19-'1853'!K19+'1853'!L21-'1853'!K21+'1853'!L23-'1853'!K23</f>
        <v>4.4130000000000109</v>
      </c>
      <c r="G9" s="134">
        <f>1-B9/B10</f>
        <v>-2.5921182266009803</v>
      </c>
      <c r="H9" s="134">
        <f>1-C9/C10</f>
        <v>0.29711779448621445</v>
      </c>
      <c r="I9" s="134">
        <f>1-D9/D10</f>
        <v>-0.47236842105263044</v>
      </c>
      <c r="J9" s="134">
        <f>1-E9/E10</f>
        <v>-0.2024523160762921</v>
      </c>
    </row>
    <row r="10" spans="1:29" x14ac:dyDescent="0.35">
      <c r="A10" s="37" t="s">
        <v>42</v>
      </c>
      <c r="B10" s="39">
        <f>('1850'!L27-'1850'!K27)</f>
        <v>2.0300000000000011</v>
      </c>
      <c r="C10" s="44">
        <f>('1851'!M27-'1851'!L27)</f>
        <v>7.9799999999999898</v>
      </c>
      <c r="D10" s="44">
        <f>('1852'!L27-'1852'!K27)</f>
        <v>4.5600000000000023</v>
      </c>
      <c r="E10" s="44">
        <f>('1853'!L28-'1853'!K28)</f>
        <v>3.6700000000000159</v>
      </c>
    </row>
    <row r="11" spans="1:29" ht="18" x14ac:dyDescent="0.4">
      <c r="A11" s="126" t="s">
        <v>48</v>
      </c>
      <c r="B11" s="127"/>
      <c r="C11" s="127"/>
      <c r="D11" s="127"/>
      <c r="E11" s="128"/>
    </row>
    <row r="12" spans="1:29" x14ac:dyDescent="0.35">
      <c r="A12" s="37" t="s">
        <v>44</v>
      </c>
      <c r="B12" s="40">
        <f>'1850'!L25-'1850'!K25</f>
        <v>174</v>
      </c>
      <c r="C12" s="40">
        <f>'1851'!M24-'1851'!L24</f>
        <v>200</v>
      </c>
      <c r="D12" s="40">
        <f>'1852'!L25-'1852'!K25</f>
        <v>178</v>
      </c>
      <c r="E12" s="40">
        <f>'1853'!L24-'1853'!K24</f>
        <v>230</v>
      </c>
    </row>
    <row r="13" spans="1:29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spans="1:29" x14ac:dyDescent="0.35">
      <c r="A14" s="34" t="s">
        <v>45</v>
      </c>
      <c r="B14" s="41">
        <f>'1853'!L25-'1853'!K25</f>
        <v>293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spans="1:29" x14ac:dyDescent="0.35">
      <c r="A15" s="34" t="s">
        <v>46</v>
      </c>
      <c r="B15" s="42">
        <f>'1853'!L26-'1853'!K26</f>
        <v>9.1769999999999072</v>
      </c>
      <c r="C15" s="42"/>
      <c r="D15" s="42"/>
      <c r="E15" s="42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spans="1:29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8" spans="1:10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0" x14ac:dyDescent="0.35">
      <c r="A19" s="37" t="s">
        <v>36</v>
      </c>
      <c r="B19" s="37">
        <f>'1854'!L4-'1854'!K4+'1854'!L6-'1854'!K6+'1854'!L8-'1854'!K8+'1854'!L10-'1854'!K10+'1854'!L12-'1854'!K12+'1854'!L14-'1854'!K14+'1854'!L16-'1854'!K16+'1854'!L18-'1854'!K18+'1854'!L20-'1854'!K20+'1854'!L22-'1854'!K22</f>
        <v>59.316000000000145</v>
      </c>
      <c r="C19" s="37">
        <f>'1855'!L4-'1855'!K4+'1855'!L6-'1855'!K6+'1855'!L8-'1855'!K8+'1855'!L10-'1855'!K10+'1855'!L12-'1855'!K12+'1855'!L14-'1855'!K14+'1855'!L16-'1855'!K16+'1855'!L18-'1855'!K18+'1855'!L20-'1855'!K20+'1855'!L22-'1855'!K22</f>
        <v>58.222000000000321</v>
      </c>
      <c r="D19" s="37">
        <f>'1856'!L4-'1856'!K4+'1856'!L6-'1856'!K6+'1856'!L8-'1856'!K8+'1856'!L10-'1856'!K10+'1856'!L12-'1856'!K12+'1856'!L14-'1856'!K14+'1856'!L16-'1856'!K16+'1856'!L18-'1856'!K18+'1856'!L20-'1856'!K20+'1856'!L22-'1856'!K22</f>
        <v>72.760600000000011</v>
      </c>
      <c r="E19" s="37">
        <f>'1857'!L4-'1857'!K4+'1857'!L6-'1857'!K6+'1857'!L8-'1857'!K8+'1857'!L10-'1857'!K10+'1857'!L12-'1857'!K12+'1857'!L14-'1857'!K14+'1857'!L16-'1857'!K16+'1857'!L18-'1857'!K18+'1857'!L20-'1857'!K20+'1857'!L22-'1857'!K22</f>
        <v>73.992000000000075</v>
      </c>
      <c r="G19" s="134">
        <f>1-B19/B20</f>
        <v>0.10263237518910395</v>
      </c>
      <c r="H19" s="134">
        <f>1-C19/C20</f>
        <v>0.13745185185184705</v>
      </c>
      <c r="I19" s="134">
        <f>1-D19/D20</f>
        <v>0.10613513513514095</v>
      </c>
      <c r="J19" s="134">
        <f>1-E19/E20</f>
        <v>0.1170405727923638</v>
      </c>
    </row>
    <row r="20" spans="1:10" x14ac:dyDescent="0.35">
      <c r="A20" s="37" t="s">
        <v>37</v>
      </c>
      <c r="B20" s="37">
        <f>'1854'!L26-'1854'!K26</f>
        <v>66.099999999999909</v>
      </c>
      <c r="C20" s="37">
        <f>'1855'!L26-'1855'!K26</f>
        <v>67.5</v>
      </c>
      <c r="D20" s="37">
        <f>'1856'!L26-'1856'!K26</f>
        <v>81.400000000000546</v>
      </c>
      <c r="E20" s="37">
        <f>'1857'!L26-'1857'!K26</f>
        <v>83.800000000000182</v>
      </c>
    </row>
    <row r="21" spans="1:10" x14ac:dyDescent="0.35">
      <c r="A21" s="37" t="s">
        <v>38</v>
      </c>
      <c r="B21" s="312">
        <f>SUM(B20:E20)</f>
        <v>298.80000000000064</v>
      </c>
      <c r="C21" s="312"/>
      <c r="D21" s="312"/>
      <c r="E21" s="312"/>
      <c r="G21" s="134">
        <f>1-B21/B22</f>
        <v>-5.47123190963692E-2</v>
      </c>
    </row>
    <row r="22" spans="1:10" x14ac:dyDescent="0.35">
      <c r="A22" s="37" t="s">
        <v>39</v>
      </c>
      <c r="B22" s="312">
        <f>'1854'!L29-'1854'!K29</f>
        <v>283.29999999999927</v>
      </c>
      <c r="C22" s="312"/>
      <c r="D22" s="312"/>
      <c r="E22" s="312"/>
    </row>
    <row r="23" spans="1:10" ht="18" x14ac:dyDescent="0.4">
      <c r="A23" s="126" t="s">
        <v>40</v>
      </c>
      <c r="B23" s="127"/>
      <c r="C23" s="127"/>
      <c r="D23" s="127"/>
      <c r="E23" s="128"/>
    </row>
    <row r="24" spans="1:10" x14ac:dyDescent="0.35">
      <c r="A24" s="37" t="s">
        <v>41</v>
      </c>
      <c r="B24" s="37">
        <f>'1854'!L5-'1854'!K5+'1854'!L7-'1854'!K7+'1854'!L9-'1854'!K9+'1854'!L11-'1854'!K11+'1854'!L13-'1854'!K13+'1854'!L15-'1854'!K15+'1854'!L17-'1854'!K17+'1854'!L19-'1854'!K19+'1854'!L21-'1854'!K21+'1854'!L23-'1854'!K23</f>
        <v>3.6350000000000193</v>
      </c>
      <c r="C24" s="37">
        <f>'1855'!L5-'1855'!K5+'1855'!L7-'1855'!K7+'1855'!L9-'1855'!K9+'1855'!L11-'1855'!K11+'1855'!L13-'1855'!K13+'1855'!L15-'1855'!K15+'1855'!L17-'1855'!K17+'1855'!L19-'1855'!K19+'1855'!L21-'1855'!K21+'1855'!L23-'1855'!K23</f>
        <v>3.8499999999999943</v>
      </c>
      <c r="D24" s="37">
        <f>'1856'!L5-'1856'!K5+'1856'!L7-'1856'!K7+'1856'!L9-'1856'!K9+'1856'!L11-'1856'!K11+'1856'!L13-'1856'!K13+'1856'!L15-'1856'!K15+'1856'!L17-'1856'!K17+'1856'!L19-'1856'!K19+'1856'!L21-'1856'!K21+'1856'!L23-'1856'!K23</f>
        <v>4.0069999999999997</v>
      </c>
      <c r="E24" s="37">
        <f>'1857'!L5-'1857'!K5+'1857'!L7-'1857'!K7+'1857'!L9-'1857'!K9+'1857'!L11-'1857'!K11+'1857'!L13-'1857'!K13+'1857'!L15-'1857'!K15+'1857'!L17-'1857'!K17+'1857'!L19-'1857'!K19+'1857'!L21-'1857'!K21+'1857'!L23-'1857'!K23</f>
        <v>4.3709999999999951</v>
      </c>
      <c r="G24" s="134">
        <f>1-B24/B25</f>
        <v>9.3516209476302348E-2</v>
      </c>
      <c r="H24" s="134">
        <f>1-C24/C25</f>
        <v>-4.3360433604319182E-2</v>
      </c>
      <c r="I24" s="134">
        <f>1-D24/D25</f>
        <v>-0.18550295857988308</v>
      </c>
      <c r="J24" s="134">
        <f>1-E24/E25</f>
        <v>-0.2632947976878881</v>
      </c>
    </row>
    <row r="25" spans="1:10" x14ac:dyDescent="0.35">
      <c r="A25" s="37" t="s">
        <v>42</v>
      </c>
      <c r="B25" s="44">
        <f>('1854'!L27-'1854'!K27)</f>
        <v>4.0099999999999909</v>
      </c>
      <c r="C25" s="44">
        <f>('1855'!L27-'1855'!K27)</f>
        <v>3.6900000000000546</v>
      </c>
      <c r="D25" s="44">
        <f>('1856'!L27-'1856'!K27)</f>
        <v>3.3799999999999955</v>
      </c>
      <c r="E25" s="44">
        <f>('1857'!L27-'1857'!K27)</f>
        <v>3.4599999999999227</v>
      </c>
    </row>
    <row r="26" spans="1:10" ht="18" x14ac:dyDescent="0.4">
      <c r="A26" s="126" t="s">
        <v>48</v>
      </c>
      <c r="B26" s="127"/>
      <c r="C26" s="127"/>
      <c r="D26" s="127"/>
      <c r="E26" s="128"/>
    </row>
    <row r="27" spans="1:10" x14ac:dyDescent="0.35">
      <c r="A27" s="37" t="s">
        <v>44</v>
      </c>
      <c r="B27" s="40">
        <f>'1854'!L25-'1854'!K25</f>
        <v>180</v>
      </c>
      <c r="C27" s="40">
        <f>'1855'!L25-'1855'!K25</f>
        <v>202</v>
      </c>
      <c r="D27" s="40">
        <f>'1856'!L25-'1856'!K25</f>
        <v>193</v>
      </c>
      <c r="E27" s="40">
        <f>'1857'!L25-'1857'!K25</f>
        <v>188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65536">
    <cfRule type="cellIs" dxfId="21" priority="4" stopIfTrue="1" operator="lessThan">
      <formula>0</formula>
    </cfRule>
  </conditionalFormatting>
  <conditionalFormatting sqref="C1:E5 C8:E20 O13:R13 O16:U17 C23:E65536">
    <cfRule type="cellIs" dxfId="20" priority="5" stopIfTrue="1" operator="lessThan">
      <formula>0</formula>
    </cfRule>
  </conditionalFormatting>
  <conditionalFormatting sqref="F1:U2 I13:J13 F13:N17 I16:J17 F28:U65536">
    <cfRule type="cellIs" dxfId="1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27"/>
  <sheetViews>
    <sheetView workbookViewId="0">
      <selection activeCell="B7" sqref="B7:E7"/>
    </sheetView>
  </sheetViews>
  <sheetFormatPr defaultColWidth="9" defaultRowHeight="17.5" x14ac:dyDescent="0.35"/>
  <cols>
    <col min="1" max="1" width="35" style="34" customWidth="1"/>
    <col min="2" max="15" width="11.453125" style="34" customWidth="1"/>
    <col min="16" max="16" width="13.36328125" style="34" customWidth="1"/>
    <col min="17" max="24" width="11.453125" style="34" customWidth="1"/>
    <col min="25" max="32" width="9.81640625" style="34" customWidth="1"/>
    <col min="33" max="36" width="6.453125" style="34" customWidth="1"/>
    <col min="37" max="16384" width="9" style="34"/>
  </cols>
  <sheetData>
    <row r="1" spans="1:32" ht="18" x14ac:dyDescent="0.4">
      <c r="A1" s="35" t="s">
        <v>56</v>
      </c>
      <c r="B1" s="36">
        <f>'S1'!B1</f>
        <v>2024</v>
      </c>
      <c r="C1" s="36"/>
    </row>
    <row r="3" spans="1:32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32" x14ac:dyDescent="0.35">
      <c r="A4" s="43" t="s">
        <v>36</v>
      </c>
      <c r="B4" s="37">
        <f>'1850'!M4-'1850'!L4+'1850'!M6-'1850'!L6+'1850'!M8-'1850'!L8+'1850'!M10-'1850'!L10+'1850'!M12-'1850'!L12+'1850'!M14-'1850'!L14+'1850'!M16-'1850'!L16+'1850'!M18-'1850'!L18+'1850'!M20-'1850'!L20+'1850'!M22-'1850'!L22</f>
        <v>59.521999999999935</v>
      </c>
      <c r="C4" s="37">
        <f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83.356999999999971</v>
      </c>
      <c r="D4" s="37">
        <f>'1852'!M4-'1852'!L4+'1852'!M6-'1852'!L6+'1852'!M8-'1852'!L8+'1852'!M10-'1852'!L10+'1852'!M12-'1852'!L12+'1852'!M14-'1852'!L14+'1852'!M16-'1852'!L16+'1852'!M18-'1852'!L18+'1852'!M20-'1852'!L20+'1852'!M22-'1852'!L22</f>
        <v>72.647999999999854</v>
      </c>
      <c r="E4" s="37">
        <f>'1853'!M4-'1853'!L4+'1853'!M6-'1853'!L6+'1853'!M8-'1853'!L8+'1853'!M10-'1853'!L10+'1853'!M12-'1853'!L12+'1853'!M14-'1853'!L14+'1853'!M16-'1853'!L16+'1853'!M18-'1853'!L18+'1853'!M20-'1853'!L20+'1853'!M22-'1853'!L22+'1853'!M26-'1853'!L26</f>
        <v>67.864000000000033</v>
      </c>
      <c r="G4" s="134">
        <f>1-B4/B5</f>
        <v>0.11819259259259352</v>
      </c>
      <c r="H4" s="134">
        <f>1-C4/C5</f>
        <v>7.9944812362034878E-2</v>
      </c>
      <c r="I4" s="134">
        <f>1-D4/D5</f>
        <v>0.1086134969325171</v>
      </c>
      <c r="J4" s="134">
        <f>1-E4/E5</f>
        <v>9.9946949602117252E-2</v>
      </c>
    </row>
    <row r="5" spans="1:32" x14ac:dyDescent="0.35">
      <c r="A5" s="43" t="s">
        <v>37</v>
      </c>
      <c r="B5" s="37">
        <f>'1850'!M26-'1850'!L26</f>
        <v>67.5</v>
      </c>
      <c r="C5" s="37">
        <f>'1851'!N26-'1851'!M26</f>
        <v>90.600000000000364</v>
      </c>
      <c r="D5" s="37">
        <f>'1852'!M26-'1852'!L26</f>
        <v>81.5</v>
      </c>
      <c r="E5" s="37">
        <f>'1853'!M27-'1853'!L27</f>
        <v>75.399999999999636</v>
      </c>
    </row>
    <row r="6" spans="1:32" x14ac:dyDescent="0.35">
      <c r="A6" s="43" t="s">
        <v>38</v>
      </c>
      <c r="B6" s="312">
        <f>SUM(B5:E5)</f>
        <v>315</v>
      </c>
      <c r="C6" s="312"/>
      <c r="D6" s="312"/>
      <c r="E6" s="312"/>
      <c r="G6" s="134">
        <f>1-B6/B7</f>
        <v>3.6991745643529805E-2</v>
      </c>
    </row>
    <row r="7" spans="1:32" x14ac:dyDescent="0.35">
      <c r="A7" s="43" t="s">
        <v>39</v>
      </c>
      <c r="B7" s="312">
        <f>'1850'!M29-'1850'!L29</f>
        <v>327.09999999999854</v>
      </c>
      <c r="C7" s="312"/>
      <c r="D7" s="312"/>
      <c r="E7" s="312"/>
    </row>
    <row r="8" spans="1:32" ht="18" x14ac:dyDescent="0.4">
      <c r="A8" s="126" t="s">
        <v>40</v>
      </c>
      <c r="B8" s="127"/>
      <c r="C8" s="127"/>
      <c r="D8" s="127"/>
      <c r="E8" s="128"/>
    </row>
    <row r="9" spans="1:32" x14ac:dyDescent="0.35">
      <c r="A9" s="37" t="s">
        <v>41</v>
      </c>
      <c r="B9" s="37">
        <f>'1850'!M5-'1850'!L5+'1850'!M7-'1850'!L7+'1850'!M9-'1850'!L9+'1850'!M11-'1850'!L11+'1850'!M13-'1850'!L13+'1850'!M15-'1850'!L15+'1850'!M17-'1850'!L17+'1850'!M19-'1850'!L19+'1850'!M21-'1850'!L21+'1850'!M23-'1850'!L23</f>
        <v>8.4249999999999829</v>
      </c>
      <c r="C9" s="37">
        <f>'1851'!N5-'1851'!M5+'1851'!N7-'1851'!M7+'1851'!N9-'1851'!M9+'1851'!N11-'1851'!M11+'1851'!N13-'1851'!M13+'1851'!N15-'1851'!M15+'1851'!N17-'1851'!M17+'1851'!N19-'1851'!M19+'1851'!N21-'1851'!M21+'1851'!N23-'1851'!M23</f>
        <v>13.360999999999983</v>
      </c>
      <c r="D9" s="37">
        <f>'1852'!M5-'1852'!L5+'1852'!M7-'1852'!L7+'1852'!M9-'1852'!L9+'1852'!M11-'1852'!L11+'1852'!M13-'1852'!L13+'1852'!M15-'1852'!L15+'1852'!M17-'1852'!L17+'1852'!M19-'1852'!L19+'1852'!M21-'1852'!L21+'1852'!M23-'1852'!L23</f>
        <v>15.385999999999996</v>
      </c>
      <c r="E9" s="37">
        <f>'1853'!M5-'1853'!L5+'1853'!M7-'1853'!L7+'1853'!M9-'1853'!L9+'1853'!M11-'1853'!L11+'1853'!M13-'1853'!L13+'1853'!M15-'1853'!L15+'1853'!M17-'1853'!L17+'1853'!M19-'1853'!L19+'1853'!M21-'1853'!L21+'1853'!M23-'1853'!L23</f>
        <v>8.654999999999994</v>
      </c>
      <c r="G9" s="134">
        <f>1-B9/B10</f>
        <v>-0.36547811993517021</v>
      </c>
      <c r="H9" s="134">
        <f>1-C9/C10</f>
        <v>0.11692002643754218</v>
      </c>
      <c r="I9" s="134">
        <f>1-D9/D10</f>
        <v>-0.12553035844915938</v>
      </c>
      <c r="J9" s="134">
        <f>1-E9/E10</f>
        <v>-5.6776556776556353E-2</v>
      </c>
    </row>
    <row r="10" spans="1:32" x14ac:dyDescent="0.35">
      <c r="A10" s="37" t="s">
        <v>42</v>
      </c>
      <c r="B10" s="44">
        <f>('1850'!M27-'1850'!L27)</f>
        <v>6.1699999999999875</v>
      </c>
      <c r="C10" s="44">
        <f>('1851'!N27-'1851'!M27)</f>
        <v>15.129999999999995</v>
      </c>
      <c r="D10" s="44">
        <f>('1852'!M27-'1852'!L27)</f>
        <v>13.669999999999987</v>
      </c>
      <c r="E10" s="44">
        <f>('1853'!M28-'1853'!L28)</f>
        <v>8.1899999999999977</v>
      </c>
    </row>
    <row r="11" spans="1:32" ht="18" x14ac:dyDescent="0.4">
      <c r="A11" s="126" t="s">
        <v>48</v>
      </c>
      <c r="B11" s="127"/>
      <c r="C11" s="127"/>
      <c r="D11" s="127"/>
      <c r="E11" s="128"/>
    </row>
    <row r="12" spans="1:32" x14ac:dyDescent="0.35">
      <c r="A12" s="37" t="s">
        <v>44</v>
      </c>
      <c r="B12" s="40">
        <f>'1850'!M25-'1850'!L25</f>
        <v>262</v>
      </c>
      <c r="C12" s="40">
        <f>'1851'!N24-'1851'!M24</f>
        <v>206</v>
      </c>
      <c r="D12" s="40">
        <f>'1852'!M25-'1852'!L25</f>
        <v>175</v>
      </c>
      <c r="E12" s="40">
        <f>'1853'!M24-'1853'!L24</f>
        <v>183</v>
      </c>
    </row>
    <row r="13" spans="1:32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32" x14ac:dyDescent="0.35">
      <c r="A14" s="34" t="s">
        <v>45</v>
      </c>
      <c r="B14" s="41">
        <f>'1853'!M25-'1853'!L25</f>
        <v>343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32" x14ac:dyDescent="0.35">
      <c r="A15" s="34" t="s">
        <v>46</v>
      </c>
      <c r="B15" s="42">
        <f>'1853'!M26-'1853'!L26</f>
        <v>2.0950000000000273</v>
      </c>
      <c r="C15" s="42"/>
      <c r="D15" s="42"/>
      <c r="E15" s="42"/>
      <c r="F15" s="42"/>
      <c r="G15" s="41"/>
      <c r="H15" s="41"/>
      <c r="I15" s="41"/>
      <c r="J15" s="41"/>
      <c r="K15" s="42"/>
      <c r="L15" s="42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32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</row>
    <row r="18" spans="1:16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6" x14ac:dyDescent="0.35">
      <c r="A19" s="37" t="s">
        <v>36</v>
      </c>
      <c r="B19" s="37">
        <f>'1854'!M4-'1854'!L4+'1854'!M6-'1854'!L6+'1854'!M8-'1854'!L8+'1854'!M10-'1854'!L10+'1854'!M12-'1854'!L12+'1854'!M14-'1854'!L14+'1854'!M16-'1854'!L16+'1854'!M18-'1854'!L18+'1854'!M20-'1854'!L20+'1854'!M22-'1854'!L22</f>
        <v>55.454999999999927</v>
      </c>
      <c r="C19" s="37">
        <f>'1855'!M4-'1855'!L4+'1855'!M6-'1855'!L6+'1855'!M8-'1855'!L8+'1855'!M10-'1855'!L10+'1855'!M12-'1855'!L12+'1855'!M14-'1855'!L14+'1855'!M16-'1855'!L16+'1855'!M18-'1855'!L18+'1855'!M20-'1855'!L20+'1855'!M22-'1855'!L22</f>
        <v>55.833999999999719</v>
      </c>
      <c r="D19" s="37">
        <f>'1856'!M4-'1856'!L4+'1856'!M6-'1856'!L6+'1856'!M8-'1856'!L8+'1856'!M10-'1856'!L10+'1856'!M12-'1856'!L12+'1856'!M14-'1856'!L14+'1856'!M16-'1856'!L16+'1856'!M18-'1856'!L18+'1856'!M20-'1856'!L20+'1856'!M22-'1856'!L22</f>
        <v>71.517399999999952</v>
      </c>
      <c r="E19" s="37">
        <f>'1857'!M4-'1857'!L4+'1857'!M6-'1857'!L6+'1857'!M8-'1857'!L8+'1857'!M10-'1857'!L10+'1857'!M12-'1857'!L12+'1857'!M14-'1857'!L14+'1857'!M16-'1857'!L16+'1857'!M18-'1857'!L18+'1857'!M20-'1857'!L20+'1857'!M22-'1857'!L22</f>
        <v>71.651000000000067</v>
      </c>
      <c r="G19" s="134">
        <f>1-B19/B20</f>
        <v>8.9408866995076441E-2</v>
      </c>
      <c r="H19" s="134">
        <f>1-C19/C20</f>
        <v>0.15016742770167624</v>
      </c>
      <c r="I19" s="134">
        <f>1-D19/D20</f>
        <v>0.10041006289308241</v>
      </c>
      <c r="J19" s="134">
        <f>1-E19/E20</f>
        <v>0.1175985221674849</v>
      </c>
    </row>
    <row r="20" spans="1:16" x14ac:dyDescent="0.35">
      <c r="A20" s="37" t="s">
        <v>37</v>
      </c>
      <c r="B20" s="37">
        <f>'1854'!M26-'1854'!L26</f>
        <v>60.900000000000091</v>
      </c>
      <c r="C20" s="37">
        <f>'1855'!M26-'1855'!L26</f>
        <v>65.699999999999818</v>
      </c>
      <c r="D20" s="37">
        <f>'1856'!M26-'1856'!L26</f>
        <v>79.5</v>
      </c>
      <c r="E20" s="37">
        <f>'1857'!M26-'1857'!L26</f>
        <v>81.199999999999818</v>
      </c>
    </row>
    <row r="21" spans="1:16" x14ac:dyDescent="0.35">
      <c r="A21" s="37" t="s">
        <v>38</v>
      </c>
      <c r="B21" s="312">
        <f>SUM(B20:E20)</f>
        <v>287.29999999999973</v>
      </c>
      <c r="C21" s="312"/>
      <c r="D21" s="312"/>
      <c r="E21" s="312"/>
      <c r="G21" s="134">
        <f>1-B21/B22</f>
        <v>-5.3152492668616436E-2</v>
      </c>
    </row>
    <row r="22" spans="1:16" x14ac:dyDescent="0.35">
      <c r="A22" s="37" t="s">
        <v>39</v>
      </c>
      <c r="B22" s="312">
        <f>'1854'!M29-'1854'!L29</f>
        <v>272.80000000000109</v>
      </c>
      <c r="C22" s="312"/>
      <c r="D22" s="312"/>
      <c r="E22" s="312"/>
    </row>
    <row r="23" spans="1:16" ht="18" x14ac:dyDescent="0.4">
      <c r="A23" s="126" t="s">
        <v>40</v>
      </c>
      <c r="B23" s="127"/>
      <c r="C23" s="127"/>
      <c r="D23" s="127"/>
      <c r="E23" s="128"/>
      <c r="O23" s="268"/>
      <c r="P23" s="67"/>
    </row>
    <row r="24" spans="1:16" x14ac:dyDescent="0.35">
      <c r="A24" s="37" t="s">
        <v>41</v>
      </c>
      <c r="B24" s="37">
        <f>'1854'!M5-'1854'!L5+'1854'!M7-'1854'!L7+'1854'!M9-'1854'!L9+'1854'!M11-'1854'!L11+'1854'!M13-'1854'!L13+'1854'!M15-'1854'!L15+'1854'!M17-'1854'!L17+'1854'!M19-'1854'!L19+'1854'!M21-'1854'!L21+'1854'!M23-'1854'!L23</f>
        <v>11.125999999999973</v>
      </c>
      <c r="C24" s="37">
        <f>'1855'!M5-'1855'!L5+'1855'!M7-'1855'!L7+'1855'!M9-'1855'!L9+'1855'!M11-'1855'!L11+'1855'!M13-'1855'!L13+'1855'!M15-'1855'!L15+'1855'!M17-'1855'!L17+'1855'!M19-'1855'!L19+'1855'!M21-'1855'!L21+'1855'!M23-'1855'!L23</f>
        <v>10.062000000000019</v>
      </c>
      <c r="D24" s="37">
        <f>'1856'!M5-'1856'!L5+'1856'!M7-'1856'!L7+'1856'!M9-'1856'!L9+'1856'!M11-'1856'!L11+'1856'!M13-'1856'!L13+'1856'!M15-'1856'!L15+'1856'!M17-'1856'!L17+'1856'!M19-'1856'!L19+'1856'!M21-'1856'!L21+'1856'!M23-'1856'!L23</f>
        <v>8.8340000000000032</v>
      </c>
      <c r="E24" s="37">
        <f>'1857'!M5-'1857'!L5+'1857'!M7-'1857'!L7+'1857'!M9-'1857'!L9+'1857'!M11-'1857'!L11+'1857'!M13-'1857'!L13+'1857'!M15-'1857'!L15+'1857'!M17-'1857'!L17+'1857'!M19-'1857'!L19+'1857'!M21-'1857'!L21+'1857'!M23-'1857'!L23</f>
        <v>10.588000000000015</v>
      </c>
      <c r="G24" s="134">
        <f>1-B24/B25</f>
        <v>6.8174204355115453E-2</v>
      </c>
      <c r="H24" s="134">
        <f>1-C24/C25</f>
        <v>0.11503957783641028</v>
      </c>
      <c r="I24" s="134">
        <f>1-D24/D25</f>
        <v>-2.6016260162600391E-2</v>
      </c>
      <c r="J24" s="134">
        <f>1-E24/E25</f>
        <v>-1.0305343511450182E-2</v>
      </c>
      <c r="O24" s="268"/>
      <c r="P24" s="269"/>
    </row>
    <row r="25" spans="1:16" x14ac:dyDescent="0.35">
      <c r="A25" s="37" t="s">
        <v>42</v>
      </c>
      <c r="B25" s="44">
        <f>('1854'!M27-'1854'!L27)</f>
        <v>11.940000000000055</v>
      </c>
      <c r="C25" s="44">
        <f>('1855'!M27-'1855'!L27)</f>
        <v>11.370000000000005</v>
      </c>
      <c r="D25" s="44">
        <f>('1856'!M27-'1856'!L27)</f>
        <v>8.6100000000000136</v>
      </c>
      <c r="E25" s="44">
        <f>('1857'!M27-'1857'!L27)</f>
        <v>10.480000000000018</v>
      </c>
    </row>
    <row r="26" spans="1:16" ht="18" x14ac:dyDescent="0.4">
      <c r="A26" s="126" t="s">
        <v>48</v>
      </c>
      <c r="B26" s="127"/>
      <c r="C26" s="127"/>
      <c r="D26" s="127"/>
      <c r="E26" s="128"/>
    </row>
    <row r="27" spans="1:16" x14ac:dyDescent="0.35">
      <c r="A27" s="37" t="s">
        <v>44</v>
      </c>
      <c r="B27" s="40">
        <f>'1854'!M25-'1854'!L25</f>
        <v>191</v>
      </c>
      <c r="C27" s="40">
        <f>'1855'!M25-'1855'!L25</f>
        <v>224</v>
      </c>
      <c r="D27" s="40">
        <f>'1856'!M25-'1856'!L25</f>
        <v>186</v>
      </c>
      <c r="E27" s="40">
        <f>'1857'!M25-'1857'!L25</f>
        <v>195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Q13:T13 Q16:X17 C23:E65536">
    <cfRule type="cellIs" dxfId="18" priority="5" stopIfTrue="1" operator="lessThan">
      <formula>0</formula>
    </cfRule>
  </conditionalFormatting>
  <conditionalFormatting sqref="F1:X2 I13:J13 F13:P17 I16:J17 F28:X65536">
    <cfRule type="cellIs" dxfId="17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7"/>
  <sheetViews>
    <sheetView workbookViewId="0">
      <selection activeCell="M22" sqref="M22"/>
    </sheetView>
  </sheetViews>
  <sheetFormatPr defaultColWidth="9" defaultRowHeight="17.5" x14ac:dyDescent="0.35"/>
  <cols>
    <col min="1" max="1" width="35" style="34" customWidth="1"/>
    <col min="2" max="6" width="11.453125" style="34" customWidth="1"/>
    <col min="7" max="7" width="12.08984375" style="34" bestFit="1" customWidth="1"/>
    <col min="8" max="27" width="11.453125" style="34" customWidth="1"/>
    <col min="28" max="35" width="9.81640625" style="34" customWidth="1"/>
    <col min="36" max="39" width="6.453125" style="34" customWidth="1"/>
    <col min="40" max="16384" width="9" style="34"/>
  </cols>
  <sheetData>
    <row r="1" spans="1:35" ht="18" x14ac:dyDescent="0.4">
      <c r="A1" s="35" t="s">
        <v>57</v>
      </c>
      <c r="B1" s="36">
        <f>'S1'!B1</f>
        <v>2024</v>
      </c>
      <c r="C1" s="36"/>
      <c r="D1" s="36"/>
      <c r="E1" s="36"/>
    </row>
    <row r="3" spans="1:35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35" x14ac:dyDescent="0.35">
      <c r="A4" s="43" t="s">
        <v>36</v>
      </c>
      <c r="B4" s="37">
        <f>'1850'!N4-'1850'!M4+'1850'!N6-'1850'!M6+'1850'!N8-'1850'!M8+'1850'!N10-'1850'!M10+'1850'!N12-'1850'!M12+'1850'!N14-'1850'!M14+'1850'!N16-'1850'!M16+'1850'!N18-'1850'!M18+'1850'!N20-'1850'!M20+'1850'!N22-'1850'!M22</f>
        <v>53.261000000000081</v>
      </c>
      <c r="C4" s="263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72.285999999998623</v>
      </c>
      <c r="D4" s="263">
        <f>'1852'!N4-'1852'!M4+'1852'!N6-'1852'!M6+'1852'!N8-'1852'!M8+'1852'!N10-'1852'!M10+'1852'!N12-'1852'!M12+'1852'!N14-'1852'!M14+'1852'!N16-'1852'!M16+'1852'!N18-'1852'!M18+'1852'!N20-'1852'!M20+'1852'!N22-'1852'!M22</f>
        <v>74.107000000000255</v>
      </c>
      <c r="E4" s="37">
        <f>'1853'!N4-'1853'!M4+'1853'!N6-'1853'!M6+'1853'!N8-'1853'!M8+'1853'!N10-'1853'!M10+'1853'!N12-'1853'!M12+'1853'!N14-'1853'!M14+'1853'!N16-'1853'!M16+'1853'!N18-'1853'!M18+'1853'!N20-'1853'!M20+'1853'!N22-'1853'!M22+'1853'!N26-'1853'!M26</f>
        <v>59.093000000000075</v>
      </c>
      <c r="G4" s="134">
        <f>1-B4/B5</f>
        <v>0.12686885245901502</v>
      </c>
      <c r="H4" s="134">
        <f>1-C4/C5</f>
        <v>9.5294117647071963E-2</v>
      </c>
      <c r="I4" s="134">
        <f>1-D4/D5</f>
        <v>0.10821901323706462</v>
      </c>
      <c r="J4" s="134">
        <f>1-E4/E5</f>
        <v>0.1100451807228856</v>
      </c>
    </row>
    <row r="5" spans="1:35" x14ac:dyDescent="0.35">
      <c r="A5" s="43" t="s">
        <v>37</v>
      </c>
      <c r="B5" s="37">
        <f>'1850'!N26-'1850'!M26</f>
        <v>61</v>
      </c>
      <c r="C5" s="37">
        <f>'1851'!O26-'1851'!N26</f>
        <v>79.899999999999636</v>
      </c>
      <c r="D5" s="37">
        <f>'1852'!N26-'1852'!M26</f>
        <v>83.100000000000364</v>
      </c>
      <c r="E5" s="37">
        <f>'1853'!N27-'1853'!M27</f>
        <v>66.399999999999636</v>
      </c>
    </row>
    <row r="6" spans="1:35" x14ac:dyDescent="0.35">
      <c r="A6" s="43" t="s">
        <v>38</v>
      </c>
      <c r="B6" s="312">
        <f>SUM(B5:E5)</f>
        <v>290.39999999999964</v>
      </c>
      <c r="C6" s="312"/>
      <c r="D6" s="312"/>
      <c r="E6" s="312"/>
      <c r="G6" s="134">
        <f>1-B6/B7</f>
        <v>2.6809651474536844E-2</v>
      </c>
    </row>
    <row r="7" spans="1:35" x14ac:dyDescent="0.35">
      <c r="A7" s="43" t="s">
        <v>39</v>
      </c>
      <c r="B7" s="312">
        <f>'1850'!N29-'1850'!M29</f>
        <v>298.40000000000146</v>
      </c>
      <c r="C7" s="312"/>
      <c r="D7" s="312"/>
      <c r="E7" s="312"/>
    </row>
    <row r="8" spans="1:35" ht="18" x14ac:dyDescent="0.4">
      <c r="A8" s="126" t="s">
        <v>40</v>
      </c>
      <c r="B8" s="127"/>
      <c r="C8" s="127"/>
      <c r="D8" s="127"/>
      <c r="E8" s="128"/>
    </row>
    <row r="9" spans="1:35" x14ac:dyDescent="0.35">
      <c r="A9" s="37" t="s">
        <v>41</v>
      </c>
      <c r="B9" s="37">
        <f>'1850'!N5-'1850'!M5+'1850'!N7-'1850'!M7+'1850'!N9-'1850'!M9+'1850'!N11-'1850'!M11+'1850'!N13-'1850'!M13+'1850'!N15-'1850'!M15+'1850'!N17-'1850'!M17+'1850'!N19-'1850'!M19+'1850'!N21-'1850'!M21+'1850'!N23-'1850'!M23</f>
        <v>24.954000000000001</v>
      </c>
      <c r="C9" s="37">
        <f>'1851'!O5-'1851'!N5+'1851'!O7-'1851'!N7+'1851'!O9-'1851'!N9+'1851'!O11-'1851'!N11+'1851'!O13-'1851'!N13+'1851'!O15-'1851'!N15+'1851'!O17-'1851'!N17+'1851'!O19-'1851'!N19+'1851'!O21-'1851'!N21+'1851'!O23-'1851'!N23</f>
        <v>31.675000000000026</v>
      </c>
      <c r="D9" s="37">
        <f>'1852'!N5-'1852'!M5+'1852'!N7-'1852'!M7+'1852'!N9-'1852'!M9+'1852'!N11-'1852'!M11+'1852'!N13-'1852'!M13+'1852'!N15-'1852'!M15+'1852'!N17-'1852'!M17+'1852'!N19-'1852'!M19+'1852'!N21-'1852'!M21+'1852'!N23-'1852'!M23</f>
        <v>29.795999999999999</v>
      </c>
      <c r="E9" s="37">
        <f>'1853'!N5-'1853'!M5+'1853'!N7-'1853'!M7+'1853'!N9-'1853'!M9+'1853'!N11-'1853'!M11+'1853'!N13-'1853'!M13+'1853'!N15-'1853'!M15+'1853'!N17-'1853'!M17+'1853'!N19-'1853'!M19+'1853'!N21-'1853'!M21+'1853'!N23-'1853'!M23</f>
        <v>26.669000000000018</v>
      </c>
      <c r="G9" s="134">
        <f>1-B9/B10</f>
        <v>-4.8047039059218699E-2</v>
      </c>
      <c r="H9" s="134">
        <f>1-C9/C10</f>
        <v>7.2745901639344246E-2</v>
      </c>
      <c r="I9" s="134">
        <f>1-D9/D10</f>
        <v>-6.4903502501786337E-2</v>
      </c>
      <c r="J9" s="134">
        <f>1-E9/E10</f>
        <v>3.9992800575953336E-2</v>
      </c>
    </row>
    <row r="10" spans="1:35" x14ac:dyDescent="0.35">
      <c r="A10" s="37" t="s">
        <v>42</v>
      </c>
      <c r="B10" s="44">
        <f>('1850'!N27-'1850'!M27)</f>
        <v>23.810000000000002</v>
      </c>
      <c r="C10" s="44">
        <f>('1851'!O27-'1851'!N27)</f>
        <v>34.160000000000025</v>
      </c>
      <c r="D10" s="44">
        <f>('1852'!N27-'1852'!M27)</f>
        <v>27.980000000000018</v>
      </c>
      <c r="E10" s="44">
        <f>('1853'!N28-'1853'!M28)</f>
        <v>27.78</v>
      </c>
    </row>
    <row r="11" spans="1:35" ht="18" x14ac:dyDescent="0.4">
      <c r="A11" s="126" t="s">
        <v>48</v>
      </c>
      <c r="B11" s="127"/>
      <c r="C11" s="127"/>
      <c r="D11" s="127"/>
      <c r="E11" s="128"/>
    </row>
    <row r="12" spans="1:35" x14ac:dyDescent="0.35">
      <c r="A12" s="37" t="s">
        <v>44</v>
      </c>
      <c r="B12" s="40">
        <f>'1850'!N25-'1850'!M25</f>
        <v>195</v>
      </c>
      <c r="C12" s="40">
        <f>'1851'!O24-'1851'!N24</f>
        <v>201</v>
      </c>
      <c r="D12" s="40">
        <f>'1852'!N25-'1852'!M25</f>
        <v>194</v>
      </c>
      <c r="E12" s="40">
        <f>'1853'!N24-'1853'!M24</f>
        <v>200</v>
      </c>
    </row>
    <row r="13" spans="1:35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35" x14ac:dyDescent="0.35">
      <c r="A14" s="34" t="s">
        <v>45</v>
      </c>
      <c r="B14" s="41">
        <f>'1853'!N25-'1853'!M25</f>
        <v>383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35" x14ac:dyDescent="0.35">
      <c r="A15" s="34" t="s">
        <v>46</v>
      </c>
      <c r="B15" s="42">
        <f>'1853'!N26-'1853'!M26</f>
        <v>0</v>
      </c>
      <c r="C15" s="42"/>
      <c r="D15" s="42"/>
      <c r="E15" s="42"/>
      <c r="F15" s="42"/>
      <c r="G15" s="41"/>
      <c r="H15" s="41"/>
      <c r="I15" s="41"/>
      <c r="J15" s="41"/>
      <c r="K15" s="42"/>
      <c r="L15" s="42"/>
      <c r="M15" s="42"/>
      <c r="N15" s="42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5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289" t="s">
        <v>441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</row>
    <row r="17" spans="1:13" x14ac:dyDescent="0.35">
      <c r="M17" s="67" t="s">
        <v>442</v>
      </c>
    </row>
    <row r="18" spans="1:13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  <c r="M18" s="67" t="s">
        <v>443</v>
      </c>
    </row>
    <row r="19" spans="1:13" x14ac:dyDescent="0.35">
      <c r="A19" s="37" t="s">
        <v>36</v>
      </c>
      <c r="B19" s="263">
        <f>'1854'!N4-'1854'!M4+'1854'!N6-'1854'!M6+'1854'!N8-'1854'!M8+'1854'!N10-'1854'!M10+'1854'!N12-'1854'!M12+'1854'!N14-'1854'!M14+'1854'!N16-'1854'!M16+'1854'!N18-'1854'!M18+'1854'!N20-'1854'!M20+'1854'!N22-'1854'!M22</f>
        <v>52.653999999999996</v>
      </c>
      <c r="C19" s="37">
        <f>'1855'!N4-'1855'!M4+'1855'!N6-'1855'!M6+'1855'!N8-'1855'!M8+'1855'!N10-'1855'!M10+'1855'!N12-'1855'!M12+'1855'!N14-'1855'!M14+'1855'!N16-'1855'!M16+'1855'!N18-'1855'!M18+'1855'!N20-'1855'!M20+'1855'!N22-'1855'!M22</f>
        <v>59.455000000000041</v>
      </c>
      <c r="D19" s="37">
        <f>'1856'!N4-'1856'!M4+'1856'!N6-'1856'!M6+'1856'!N8-'1856'!M8+'1856'!N10-'1856'!M10+'1856'!N12-'1856'!M12+'1856'!N14-'1856'!M14+'1856'!N16-'1856'!M16+'1856'!N18-'1856'!M18+'1856'!N20-'1856'!M20+'1856'!N22-'1856'!M22</f>
        <v>61.322000000000116</v>
      </c>
      <c r="E19" s="37">
        <f>'1857'!N4-'1857'!M4+'1857'!N6-'1857'!M6+'1857'!N8-'1857'!M8+'1857'!N10-'1857'!M10+'1857'!N12-'1857'!M12+'1857'!N14-'1857'!M14+'1857'!N16-'1857'!M16+'1857'!N18-'1857'!M18+'1857'!N20-'1857'!M20+'1857'!N22-'1857'!M22</f>
        <v>75.672000000000253</v>
      </c>
      <c r="G19" s="134">
        <f>1-B19/B20</f>
        <v>0.10604414261460249</v>
      </c>
      <c r="H19" s="134">
        <f>1-C19/C20</f>
        <v>0.17423611111111059</v>
      </c>
      <c r="I19" s="134">
        <f>1-D19/D20</f>
        <v>0.10609329446063254</v>
      </c>
      <c r="J19" s="134">
        <f>1-E19/E20</f>
        <v>0.11598130841120635</v>
      </c>
      <c r="M19" s="292">
        <f>1-(C19+2.6)/C20</f>
        <v>0.13812499999999939</v>
      </c>
    </row>
    <row r="20" spans="1:13" x14ac:dyDescent="0.35">
      <c r="A20" s="37" t="s">
        <v>37</v>
      </c>
      <c r="B20" s="37">
        <f>'1854'!N26-'1854'!M26</f>
        <v>58.900000000000091</v>
      </c>
      <c r="C20" s="37">
        <f>'1855'!N26-'1855'!M26</f>
        <v>72</v>
      </c>
      <c r="D20" s="37">
        <f>'1856'!N26-'1856'!M26</f>
        <v>68.599999999999454</v>
      </c>
      <c r="E20" s="37">
        <f>'1857'!N26-'1857'!M26</f>
        <v>85.599999999999454</v>
      </c>
    </row>
    <row r="21" spans="1:13" x14ac:dyDescent="0.35">
      <c r="A21" s="37" t="s">
        <v>38</v>
      </c>
      <c r="B21" s="312">
        <f>SUM(B20:E20)</f>
        <v>285.099999999999</v>
      </c>
      <c r="C21" s="312"/>
      <c r="D21" s="312"/>
      <c r="E21" s="312"/>
      <c r="G21" s="134">
        <f>1-B21/B22</f>
        <v>-6.3409175680710916E-2</v>
      </c>
    </row>
    <row r="22" spans="1:13" x14ac:dyDescent="0.35">
      <c r="A22" s="37" t="s">
        <v>39</v>
      </c>
      <c r="B22" s="312">
        <f>'1854'!N29-'1854'!M29</f>
        <v>268.10000000000036</v>
      </c>
      <c r="C22" s="312"/>
      <c r="D22" s="312"/>
      <c r="E22" s="312"/>
    </row>
    <row r="23" spans="1:13" ht="18" x14ac:dyDescent="0.4">
      <c r="A23" s="126" t="s">
        <v>40</v>
      </c>
      <c r="B23" s="127"/>
      <c r="C23" s="127"/>
      <c r="D23" s="127"/>
      <c r="E23" s="128"/>
    </row>
    <row r="24" spans="1:13" x14ac:dyDescent="0.35">
      <c r="A24" s="37" t="s">
        <v>41</v>
      </c>
      <c r="B24" s="37">
        <f>'1854'!N5-'1854'!M5+'1854'!N7-'1854'!M7+'1854'!N9-'1854'!M9+'1854'!N11-'1854'!M11+'1854'!N13-'1854'!M13+'1854'!N15-'1854'!M15+'1854'!N17-'1854'!M17+'1854'!N19-'1854'!M19+'1854'!N21-'1854'!M21+'1854'!N23-'1854'!M23</f>
        <v>25.829000000000008</v>
      </c>
      <c r="C24" s="37">
        <f>'1855'!N5-'1855'!M5+'1855'!N7-'1855'!M7+'1855'!N9-'1855'!M9+'1855'!N11-'1855'!M11+'1855'!N13-'1855'!M13+'1855'!N15-'1855'!M15+'1855'!N17-'1855'!M17+'1855'!N19-'1855'!M19+'1855'!N21-'1855'!M21+'1855'!N23-'1855'!M23</f>
        <v>27.824999999999996</v>
      </c>
      <c r="D24" s="37">
        <f>'1856'!N5-'1856'!M5+'1856'!N7-'1856'!M7+'1856'!N9-'1856'!M9+'1856'!N11-'1856'!M11+'1856'!N13-'1856'!M13+'1856'!N15-'1856'!M15+'1856'!N17-'1856'!M17+'1856'!N19-'1856'!M19+'1856'!N21-'1856'!M21+'1856'!N23-'1856'!M23</f>
        <v>26.935000000000016</v>
      </c>
      <c r="E24" s="37">
        <f>'1857'!N5-'1857'!M5+'1857'!N7-'1857'!M7+'1857'!N9-'1857'!M9+'1857'!N11-'1857'!M11+'1857'!N13-'1857'!M13+'1857'!N15-'1857'!M15+'1857'!N17-'1857'!M17+'1857'!N19-'1857'!M19+'1857'!N21-'1857'!M21+'1857'!N23-'1857'!M23</f>
        <v>29.390999999999991</v>
      </c>
      <c r="G24" s="134">
        <f>1-B24/B25</f>
        <v>8.9245416078984618E-2</v>
      </c>
      <c r="H24" s="134">
        <f>1-C24/C25</f>
        <v>8.016528925619848E-2</v>
      </c>
      <c r="I24" s="134">
        <f>1-D24/D25</f>
        <v>7.5986277873068997E-2</v>
      </c>
      <c r="J24" s="134">
        <f>1-E24/E25</f>
        <v>8.3536014967260819E-2</v>
      </c>
    </row>
    <row r="25" spans="1:13" x14ac:dyDescent="0.35">
      <c r="A25" s="37" t="s">
        <v>42</v>
      </c>
      <c r="B25" s="44">
        <f>('1854'!N27-'1854'!M27)</f>
        <v>28.360000000000014</v>
      </c>
      <c r="C25" s="44">
        <f>('1855'!N27-'1855'!M27)</f>
        <v>30.25</v>
      </c>
      <c r="D25" s="44">
        <f>('1856'!N27-'1856'!M27)</f>
        <v>29.149999999999977</v>
      </c>
      <c r="E25" s="44">
        <f>('1857'!N27-'1857'!M27)</f>
        <v>32.07000000000005</v>
      </c>
    </row>
    <row r="26" spans="1:13" ht="18" x14ac:dyDescent="0.4">
      <c r="A26" s="126" t="s">
        <v>48</v>
      </c>
      <c r="B26" s="127"/>
      <c r="C26" s="127"/>
      <c r="D26" s="127"/>
      <c r="E26" s="128"/>
    </row>
    <row r="27" spans="1:13" x14ac:dyDescent="0.35">
      <c r="A27" s="37" t="s">
        <v>44</v>
      </c>
      <c r="B27" s="40">
        <f>'1854'!N25-'1854'!M25</f>
        <v>190</v>
      </c>
      <c r="C27" s="40">
        <f>'1855'!N25-'1855'!M25</f>
        <v>248</v>
      </c>
      <c r="D27" s="40">
        <f>'1856'!N25-'1856'!M25</f>
        <v>187</v>
      </c>
      <c r="E27" s="40">
        <f>'1857'!N25-'1857'!M25</f>
        <v>205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S13:V13 S16:AA17 C23:E65536">
    <cfRule type="cellIs" dxfId="16" priority="6" stopIfTrue="1" operator="lessThan">
      <formula>0</formula>
    </cfRule>
  </conditionalFormatting>
  <conditionalFormatting sqref="F1:AA2 I13:J13 F13:R17 I16:J17 F28:AA65536">
    <cfRule type="cellIs" dxfId="1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27"/>
  <sheetViews>
    <sheetView workbookViewId="0">
      <selection activeCell="F26" sqref="F26"/>
    </sheetView>
  </sheetViews>
  <sheetFormatPr defaultColWidth="9" defaultRowHeight="17.5" x14ac:dyDescent="0.35"/>
  <cols>
    <col min="1" max="1" width="36.26953125" style="34" customWidth="1"/>
    <col min="2" max="30" width="11.453125" style="34" customWidth="1"/>
    <col min="31" max="38" width="9.81640625" style="34" customWidth="1"/>
    <col min="39" max="42" width="6.453125" style="34" customWidth="1"/>
    <col min="43" max="16384" width="9" style="34"/>
  </cols>
  <sheetData>
    <row r="1" spans="1:38" ht="18" x14ac:dyDescent="0.4">
      <c r="A1" s="35" t="s">
        <v>58</v>
      </c>
      <c r="B1" s="36">
        <f>'S1'!B1</f>
        <v>2024</v>
      </c>
      <c r="C1" s="36"/>
      <c r="D1" s="36"/>
      <c r="E1" s="36"/>
      <c r="F1" s="36"/>
    </row>
    <row r="2" spans="1:38" x14ac:dyDescent="0.35">
      <c r="N2" s="334" t="s">
        <v>433</v>
      </c>
      <c r="O2" s="334"/>
    </row>
    <row r="3" spans="1:38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</row>
    <row r="4" spans="1:38" x14ac:dyDescent="0.35">
      <c r="A4" s="43" t="s">
        <v>36</v>
      </c>
      <c r="B4" s="37">
        <f>'1850'!O4+'1850'!O6+'1850'!O8+'1850'!O10+'1850'!O12+'1850'!O14+'1850'!O16+'1850'!O18+'1850'!O20+'1850'!O22</f>
        <v>71.935999999999993</v>
      </c>
      <c r="C4" s="37">
        <f>'1851'!P4+'1851'!P6+'1851'!P8+'1851'!P10+'1851'!P12+'1851'!P14+'1851'!P16+'1851'!P18+'1851'!P20+'1851'!P22+'1851'!P33+'1851'!P34+'1851'!P35+'1851'!P36+'1851'!P37+'1851'!P40+'1851'!P41+'1851'!P42+'1851'!P43+'1851'!P44+'1851'!P45+'1851'!P46+'1851'!P47+'1851'!P48+'1851'!P49</f>
        <v>91.955999999999989</v>
      </c>
      <c r="D4" s="37">
        <f>'1852'!O4+'1852'!O6+'1852'!O8+'1852'!O10+'1852'!O12+'1852'!O14+'1852'!O16+'1852'!O18+'1852'!O20+'1852'!O22</f>
        <v>76.832999999999998</v>
      </c>
      <c r="E4" s="37">
        <f>'1853'!O4+'1853'!O6+'1853'!O8+'1853'!O10+'1853'!O12+'1853'!O14+'1853'!O16+'1853'!O18+'1853'!O20+'1853'!O22</f>
        <v>80.06</v>
      </c>
      <c r="G4" s="134">
        <f>1-B4/B5</f>
        <v>9.0568900126422269E-2</v>
      </c>
      <c r="H4" s="134">
        <f>1-C4/C5</f>
        <v>9.2240868706811585E-2</v>
      </c>
      <c r="I4" s="134">
        <f>1-D4/D5</f>
        <v>0.10136842105263155</v>
      </c>
      <c r="J4" s="134">
        <f>1-E4/E5</f>
        <v>0.11730981256890849</v>
      </c>
      <c r="N4" s="332">
        <f>'1850'!AA4-'1850'!Z4+'1850'!AA6-'1850'!Z6+'1850'!AA8-'1850'!Z8+'1850'!AA10-'1850'!Z10+'1850'!AA12-'1850'!Z12+'1850'!AA14-'1850'!Z14+'1850'!AA16-'1850'!Z16+'1850'!AA18-'1850'!Z18+'1850'!AA20-'1850'!Z20+'1850'!AA22-'1850'!Z22</f>
        <v>-10.315000000000147</v>
      </c>
      <c r="O4" s="332">
        <f>'1851'!AB4-'1851'!AA4+'1851'!AB6-'1851'!AA6+'1851'!AB8-'1851'!AA8+'1851'!AB10-'1851'!AA10+'1851'!AB12-'1851'!AA12+'1851'!AB14-'1851'!AA14+'1851'!AB16-'1851'!AA16+'1851'!AB18-'1851'!AA18+'1851'!AB20-'1851'!AA20+'1851'!AB22-'1851'!AA22+'1851'!AB33-'1851'!AA33+'1851'!AB34-'1851'!AA34+'1851'!AB35-'1851'!AA35+'1851'!AB36-'1851'!AA36+'1851'!AB37-'1851'!AA37+'1851'!AB40-'1851'!AA40+'1851'!AB41-'1851'!AA41+'1851'!AB42-'1851'!AA42+'1851'!AB43-'1851'!AA43+'1851'!AB44-'1851'!AA44+'1851'!AB45-'1851'!AA45+'1851'!AB46-'1851'!AA46+'1851'!AB47-'1851'!AA47+'1851'!AB48-'1851'!AA48+'1851'!AB49-'1851'!AA49</f>
        <v>-6.0210000000000363</v>
      </c>
      <c r="P4" s="332">
        <f>'1852'!AA4-'1852'!Z4+'1852'!AA6-'1852'!Z6+'1852'!AA8-'1852'!Z8+'1852'!AA10-'1852'!Z10+'1852'!AA12-'1852'!Z12+'1852'!AA14-'1852'!Z14+'1852'!AA16-'1852'!Z16+'1852'!AA18-'1852'!Z18+'1852'!AA20-'1852'!Z20+'1852'!AA22-'1852'!Z22</f>
        <v>-7.6880000000003292</v>
      </c>
      <c r="Q4" s="332">
        <f>'1853'!AA4-'1853'!Z4+'1853'!AA6-'1853'!Z6+'1853'!AA8-'1853'!Z8+'1853'!AA10-'1853'!Z10+'1853'!AA12-'1853'!Z12+'1853'!AA14-'1853'!Z14+'1853'!AA16-'1853'!Z16+'1853'!AA18-'1853'!Z18+'1853'!AA20-'1853'!Z20+'1853'!AA22-'1853'!Z22+'1853'!AA26-'1853'!Z26</f>
        <v>-7.6219999999999004</v>
      </c>
    </row>
    <row r="5" spans="1:38" x14ac:dyDescent="0.35">
      <c r="A5" s="43" t="s">
        <v>37</v>
      </c>
      <c r="B5" s="37">
        <f>'1850'!O26</f>
        <v>79.099999999999994</v>
      </c>
      <c r="C5" s="37">
        <f>'1851'!P26</f>
        <v>101.3</v>
      </c>
      <c r="D5" s="37">
        <f>'1852'!O26</f>
        <v>85.5</v>
      </c>
      <c r="E5" s="37">
        <f>'1853'!O27</f>
        <v>90.7</v>
      </c>
      <c r="N5" s="332">
        <f>'1850'!AA26-'1850'!Z26</f>
        <v>0</v>
      </c>
      <c r="O5" s="332">
        <f>'1851'!AB26-'1851'!AA26</f>
        <v>0</v>
      </c>
      <c r="P5" s="332">
        <f>'1852'!AA26-'1852'!Z26</f>
        <v>0</v>
      </c>
      <c r="Q5" s="332">
        <f>'1853'!AA27-'1853'!Z27</f>
        <v>-7.5160000000004175</v>
      </c>
    </row>
    <row r="6" spans="1:38" x14ac:dyDescent="0.35">
      <c r="A6" s="43" t="s">
        <v>38</v>
      </c>
      <c r="B6" s="312">
        <f>SUM(B5:E5)</f>
        <v>356.59999999999997</v>
      </c>
      <c r="C6" s="312"/>
      <c r="D6" s="312"/>
      <c r="E6" s="312"/>
      <c r="G6" s="134">
        <f>1-B6/B7</f>
        <v>3.2293080054274226E-2</v>
      </c>
      <c r="N6" s="333">
        <f>SUM(N5:Q5)</f>
        <v>-7.5160000000004175</v>
      </c>
      <c r="O6" s="333"/>
      <c r="P6" s="333"/>
      <c r="Q6" s="333"/>
    </row>
    <row r="7" spans="1:38" x14ac:dyDescent="0.35">
      <c r="A7" s="43" t="s">
        <v>39</v>
      </c>
      <c r="B7" s="312">
        <f>'1850'!O29-'1850'!N29</f>
        <v>368.5</v>
      </c>
      <c r="C7" s="312"/>
      <c r="D7" s="312"/>
      <c r="E7" s="312"/>
    </row>
    <row r="8" spans="1:38" ht="18" x14ac:dyDescent="0.4">
      <c r="A8" s="126" t="s">
        <v>40</v>
      </c>
      <c r="B8" s="127"/>
      <c r="C8" s="127"/>
      <c r="D8" s="127"/>
      <c r="E8" s="128"/>
    </row>
    <row r="9" spans="1:38" x14ac:dyDescent="0.35">
      <c r="A9" s="37" t="s">
        <v>41</v>
      </c>
      <c r="B9" s="37">
        <f>'1850'!O5-'1850'!N5+'1850'!O7-'1850'!N7+'1850'!O9-'1850'!N9+'1850'!O11-'1850'!N11+'1850'!O13-'1850'!N13+'1850'!O15-'1850'!N15+'1850'!O17-'1850'!N17+'1850'!O19-'1850'!N19+'1850'!O21-'1850'!N21+'1850'!O23-'1850'!N23</f>
        <v>32.921999999999983</v>
      </c>
      <c r="C9" s="37">
        <f>'1851'!P5-'1851'!O5+'1851'!P7-'1851'!O7+'1851'!P9-'1851'!O9+'1851'!P11-'1851'!O11+'1851'!P13-'1851'!O13+'1851'!P15-'1851'!O15+'1851'!P17-'1851'!O17+'1851'!P19-'1851'!O19+'1851'!P21-'1851'!O21+'1851'!P23-'1851'!O23</f>
        <v>38.073</v>
      </c>
      <c r="D9" s="37">
        <f>'1852'!O5-'1852'!N5+'1852'!O7-'1852'!N7+'1852'!O9-'1852'!N9+'1852'!O11-'1852'!N11+'1852'!O13-'1852'!N13+'1852'!O15-'1852'!N15+'1852'!O17-'1852'!N17+'1852'!O19-'1852'!N19+'1852'!O21-'1852'!N21+'1852'!O23-'1852'!N23</f>
        <v>33.708999999999989</v>
      </c>
      <c r="E9" s="37">
        <f>'1853'!O5-'1853'!N5+'1853'!O7-'1853'!N7+'1853'!O9-'1853'!N9+'1853'!O11-'1853'!N11+'1853'!O13-'1853'!N13+'1853'!O15-'1853'!N15+'1853'!O17-'1853'!N17+'1853'!O19-'1853'!N19+'1853'!O21-'1853'!N21+'1853'!O23-'1853'!N23</f>
        <v>33.10499999999999</v>
      </c>
      <c r="G9" s="134">
        <f>1-B9/B10</f>
        <v>-9.7399999999999487E-2</v>
      </c>
      <c r="H9" s="134">
        <f>1-C9/C10</f>
        <v>4.435240963855358E-2</v>
      </c>
      <c r="I9" s="134">
        <f>1-D9/D10</f>
        <v>-5.8699748743718194E-2</v>
      </c>
      <c r="J9" s="134">
        <f>1-E9/E10</f>
        <v>-1.5105740181264871E-4</v>
      </c>
    </row>
    <row r="10" spans="1:38" x14ac:dyDescent="0.35">
      <c r="A10" s="37" t="s">
        <v>42</v>
      </c>
      <c r="B10" s="39">
        <f>('1850'!O27-'1850'!N27)</f>
        <v>30</v>
      </c>
      <c r="C10" s="44">
        <f>('1851'!P27-'1851'!O27)</f>
        <v>39.839999999999975</v>
      </c>
      <c r="D10" s="44">
        <f>('1852'!O27-'1852'!N27)</f>
        <v>31.840000000000003</v>
      </c>
      <c r="E10" s="44">
        <f>('1853'!O28-'1853'!N28)</f>
        <v>33.099999999999994</v>
      </c>
    </row>
    <row r="11" spans="1:38" ht="18" x14ac:dyDescent="0.4">
      <c r="A11" s="126" t="s">
        <v>48</v>
      </c>
      <c r="B11" s="127"/>
      <c r="C11" s="127"/>
      <c r="D11" s="127"/>
      <c r="E11" s="128"/>
    </row>
    <row r="12" spans="1:38" x14ac:dyDescent="0.35">
      <c r="A12" s="37" t="s">
        <v>44</v>
      </c>
      <c r="B12" s="40">
        <f>'1850'!O25-'1850'!N25</f>
        <v>168</v>
      </c>
      <c r="C12" s="40">
        <f>'1851'!P24-'1851'!O24</f>
        <v>191</v>
      </c>
      <c r="D12" s="40">
        <f>'1852'!O25-'1852'!N25</f>
        <v>189</v>
      </c>
      <c r="E12" s="40">
        <f>'1853'!O24-'1853'!N24</f>
        <v>196</v>
      </c>
    </row>
    <row r="13" spans="1:38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spans="1:38" x14ac:dyDescent="0.35">
      <c r="A14" s="34" t="s">
        <v>45</v>
      </c>
      <c r="B14" s="41">
        <f>'1853'!O25-'1853'!N25</f>
        <v>386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38" x14ac:dyDescent="0.35">
      <c r="A15" s="34" t="s">
        <v>46</v>
      </c>
      <c r="B15" s="42">
        <f>'1853'!O26-'1853'!N26</f>
        <v>0</v>
      </c>
      <c r="C15" s="42"/>
      <c r="D15" s="42"/>
      <c r="E15" s="42"/>
      <c r="F15" s="42"/>
      <c r="G15" s="41"/>
      <c r="H15" s="41"/>
      <c r="I15" s="41"/>
      <c r="J15" s="41"/>
      <c r="K15" s="42"/>
      <c r="L15" s="42"/>
      <c r="M15" s="42"/>
      <c r="N15" s="42"/>
      <c r="O15" s="42"/>
      <c r="P15" s="42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38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8" spans="1:17" ht="18" x14ac:dyDescent="0.4">
      <c r="A18" s="124" t="s">
        <v>35</v>
      </c>
      <c r="B18" s="125">
        <v>1854</v>
      </c>
      <c r="C18" s="125">
        <v>1855</v>
      </c>
      <c r="D18" s="125">
        <v>1856</v>
      </c>
      <c r="E18" s="125">
        <v>1857</v>
      </c>
    </row>
    <row r="19" spans="1:17" x14ac:dyDescent="0.35">
      <c r="A19" s="37" t="s">
        <v>36</v>
      </c>
      <c r="B19" s="37">
        <f>'1854'!O4+'1854'!O6+'1854'!O8+'1854'!O10+'1854'!O12+'1854'!O14+'1854'!O16+'1854'!O18+'1854'!O20+'1854'!O22</f>
        <v>60.482999999999997</v>
      </c>
      <c r="C19" s="37">
        <f>'1855'!O4+'1855'!O6+'1855'!O8+'1855'!O10+'1855'!O12+'1855'!O14+'1855'!O16+'1855'!O18+'1855'!O20+'1855'!O22</f>
        <v>70.176000000000002</v>
      </c>
      <c r="D19" s="37">
        <f>'1856'!O4+'1856'!O6+'1856'!O8+'1856'!O10+'1856'!O12+'1856'!O14+'1856'!O16+'1856'!O18+'1856'!O20+'1856'!O22</f>
        <v>80.891999999999996</v>
      </c>
      <c r="E19" s="37">
        <f>'1857'!O4+'1857'!O6+'1857'!O8+'1857'!O10+'1857'!O12+'1857'!O14+'1857'!O16+'1857'!O18+'1857'!O20+'1857'!O22</f>
        <v>91.297999999999988</v>
      </c>
      <c r="G19" s="134">
        <f>1-B19/B20</f>
        <v>8.773755656108595E-2</v>
      </c>
      <c r="H19" s="134">
        <f>1-C19/C20</f>
        <v>2.2618384401114189E-2</v>
      </c>
      <c r="I19" s="134">
        <f>1-D19/D20</f>
        <v>8.8027057497181538E-2</v>
      </c>
      <c r="J19" s="134">
        <f>1-E19/E20</f>
        <v>7.686552072800823E-2</v>
      </c>
      <c r="N19" s="332">
        <f>'1854'!AA4-'1854'!Z4+'1854'!AA6-'1854'!Z6+'1854'!AA8-'1854'!Z8+'1854'!AA10-'1854'!Z10+'1854'!AA12-'1854'!Z12+'1854'!AA14-'1854'!Z14+'1854'!AA16-'1854'!Z16+'1854'!AA18-'1854'!Z18+'1854'!AA20-'1854'!Z20+'1854'!AA22-'1854'!Z22</f>
        <v>-8.8230000000000768</v>
      </c>
      <c r="O19" s="332">
        <f>'1855'!AA4-'1855'!Z4+'1855'!AA6-'1855'!Z6+'1855'!AA8-'1855'!Z8+'1855'!AA10-'1855'!Z10+'1855'!AA12-'1855'!Z12+'1855'!AA14-'1855'!Z14+'1855'!AA16-'1855'!Z16+'1855'!AA18-'1855'!Z18+'1855'!AA20-'1855'!Z20+'1855'!AA22-'1855'!Z22</f>
        <v>-5.3200000000001069</v>
      </c>
      <c r="P19" s="332">
        <f>'1856'!AA4-'1856'!Z4+'1856'!AA6-'1856'!Z6+'1856'!AA8-'1856'!Z8+'1856'!AA10-'1856'!Z10+'1856'!AA12-'1856'!Z12+'1856'!AA14-'1856'!Z14+'1856'!AA16-'1856'!Z16+'1856'!AA18-'1856'!Z18+'1856'!AA20-'1856'!Z20+'1856'!AA22-'1856'!Z22</f>
        <v>-7.4090000000001623</v>
      </c>
      <c r="Q19" s="332">
        <f>'1857'!AA4-'1857'!Z4+'1857'!AA6-'1857'!Z6+'1857'!AA8-'1857'!Z8+'1857'!AA10-'1857'!Z10+'1857'!AA12-'1857'!Z12+'1857'!AA14-'1857'!Z14+'1857'!AA16-'1857'!Z16+'1857'!AA18-'1857'!Z18+'1857'!AA20-'1857'!Z20+'1857'!AA22-'1857'!Z22</f>
        <v>-13.706999999999738</v>
      </c>
    </row>
    <row r="20" spans="1:17" x14ac:dyDescent="0.35">
      <c r="A20" s="37" t="s">
        <v>37</v>
      </c>
      <c r="B20" s="37">
        <f>'1854'!O26</f>
        <v>66.3</v>
      </c>
      <c r="C20" s="37">
        <f>'1855'!O26</f>
        <v>71.8</v>
      </c>
      <c r="D20" s="37">
        <f>'1856'!O26</f>
        <v>88.7</v>
      </c>
      <c r="E20" s="37">
        <f>'1857'!O26</f>
        <v>98.9</v>
      </c>
      <c r="N20" s="332">
        <f>'1854'!AA26-'1854'!Z26</f>
        <v>0</v>
      </c>
      <c r="O20" s="332">
        <f>'1855'!AA26-'1855'!Z26</f>
        <v>0</v>
      </c>
      <c r="P20" s="332">
        <f>'1856'!AA26-'1856'!Z26</f>
        <v>0</v>
      </c>
      <c r="Q20" s="332">
        <f>'1857'!AA26-'1857'!Z26</f>
        <v>0</v>
      </c>
    </row>
    <row r="21" spans="1:17" x14ac:dyDescent="0.35">
      <c r="A21" s="37" t="s">
        <v>38</v>
      </c>
      <c r="B21" s="312">
        <f>SUM(B20:E20)</f>
        <v>325.70000000000005</v>
      </c>
      <c r="C21" s="312"/>
      <c r="D21" s="312"/>
      <c r="E21" s="312"/>
      <c r="G21" s="134">
        <f>1-B21/B22</f>
        <v>-2.8418061256713534E-2</v>
      </c>
      <c r="N21" s="333">
        <f>SUM(N20:Q20)</f>
        <v>0</v>
      </c>
      <c r="O21" s="333"/>
      <c r="P21" s="333"/>
      <c r="Q21" s="333"/>
    </row>
    <row r="22" spans="1:17" x14ac:dyDescent="0.35">
      <c r="A22" s="37" t="s">
        <v>39</v>
      </c>
      <c r="B22" s="312">
        <f>'1854'!O29-'1854'!N29</f>
        <v>316.69999999999891</v>
      </c>
      <c r="C22" s="312"/>
      <c r="D22" s="312"/>
      <c r="E22" s="312"/>
    </row>
    <row r="23" spans="1:17" ht="18" x14ac:dyDescent="0.4">
      <c r="A23" s="126" t="s">
        <v>40</v>
      </c>
      <c r="B23" s="127"/>
      <c r="C23" s="127"/>
      <c r="D23" s="127"/>
      <c r="E23" s="128"/>
    </row>
    <row r="24" spans="1:17" x14ac:dyDescent="0.35">
      <c r="A24" s="37" t="s">
        <v>41</v>
      </c>
      <c r="B24" s="37">
        <f>'1854'!O5-'1854'!N5+'1854'!O7-'1854'!N7+'1854'!O9-'1854'!N9+'1854'!O11-'1854'!N11+'1854'!O13-'1854'!N13+'1854'!O15-'1854'!N15+'1854'!O17-'1854'!N17+'1854'!O19-'1854'!N19+'1854'!O21-'1854'!N21+'1854'!O23-'1854'!N23</f>
        <v>31.550999999999988</v>
      </c>
      <c r="C24" s="37">
        <f>'1855'!O5-'1855'!N5+'1855'!O7-'1855'!N7+'1855'!O9-'1855'!N9+'1855'!O11-'1855'!N11+'1855'!O13-'1855'!N13+'1855'!O15-'1855'!N15+'1855'!O17-'1855'!N17+'1855'!O19-'1855'!N19+'1855'!O21-'1855'!N21+'1855'!O23-'1855'!N23</f>
        <v>31.726000000000013</v>
      </c>
      <c r="D24" s="37">
        <f>'1856'!O5-'1856'!N5+'1856'!O7-'1856'!N7+'1856'!O9-'1856'!N9+'1856'!O11-'1856'!N11+'1856'!O13-'1856'!N13+'1856'!O15-'1856'!N15+'1856'!O17-'1856'!N17+'1856'!O19-'1856'!N19+'1856'!O21-'1856'!N21+'1856'!O23-'1856'!N23</f>
        <v>31.884999999999998</v>
      </c>
      <c r="E24" s="37">
        <f>'1857'!O5-'1857'!N5+'1857'!O7-'1857'!N7+'1857'!O9-'1857'!N9+'1857'!O11-'1857'!N11+'1857'!O13-'1857'!N13+'1857'!O15-'1857'!N15+'1857'!O17-'1857'!N17+'1857'!O19-'1857'!N19+'1857'!O21-'1857'!N21+'1857'!O23-'1857'!N23</f>
        <v>33.831999999999994</v>
      </c>
      <c r="G24" s="134">
        <f>1-B24/B25</f>
        <v>7.9340531076743326E-2</v>
      </c>
      <c r="H24" s="134">
        <f>1-C24/C25</f>
        <v>7.8536160325295978E-2</v>
      </c>
      <c r="I24" s="134">
        <f>1-D24/D25</f>
        <v>7.2571262361838196E-2</v>
      </c>
      <c r="J24" s="134">
        <f>1-E24/E25</f>
        <v>8.7101996762006362E-2</v>
      </c>
    </row>
    <row r="25" spans="1:17" x14ac:dyDescent="0.35">
      <c r="A25" s="37" t="s">
        <v>42</v>
      </c>
      <c r="B25" s="44">
        <f>('1854'!O27-'1854'!N27)</f>
        <v>34.269999999999982</v>
      </c>
      <c r="C25" s="44">
        <f>('1855'!O27-'1855'!N27)</f>
        <v>34.42999999999995</v>
      </c>
      <c r="D25" s="44">
        <f>('1856'!O27-'1856'!N27)</f>
        <v>34.379999999999995</v>
      </c>
      <c r="E25" s="44">
        <f>('1857'!O27-'1857'!N27)</f>
        <v>37.059999999999945</v>
      </c>
    </row>
    <row r="26" spans="1:17" ht="18" x14ac:dyDescent="0.4">
      <c r="A26" s="126" t="s">
        <v>48</v>
      </c>
      <c r="B26" s="127"/>
      <c r="C26" s="127"/>
      <c r="D26" s="127"/>
      <c r="E26" s="128"/>
    </row>
    <row r="27" spans="1:17" x14ac:dyDescent="0.35">
      <c r="A27" s="37" t="s">
        <v>44</v>
      </c>
      <c r="B27" s="40">
        <f>'1854'!O25-'1854'!N25</f>
        <v>182</v>
      </c>
      <c r="C27" s="335">
        <f>'1855'!O25-'1855'!N25</f>
        <v>606</v>
      </c>
      <c r="D27" s="40">
        <f>'1856'!O25-'1856'!N25</f>
        <v>176</v>
      </c>
      <c r="E27" s="40">
        <f>'1857'!O25-'1857'!N25</f>
        <v>198</v>
      </c>
    </row>
  </sheetData>
  <sheetProtection selectLockedCells="1" selectUnlockedCells="1"/>
  <mergeCells count="6">
    <mergeCell ref="B6:E6"/>
    <mergeCell ref="B7:E7"/>
    <mergeCell ref="B21:E21"/>
    <mergeCell ref="B22:E22"/>
    <mergeCell ref="N6:Q6"/>
    <mergeCell ref="N21:Q21"/>
  </mergeCells>
  <conditionalFormatting sqref="C1:E5 B1:B1048576 C8:E20 U13:Y13 U16:AD17 C23:E65536">
    <cfRule type="cellIs" dxfId="14" priority="10" stopIfTrue="1" operator="lessThan">
      <formula>0</formula>
    </cfRule>
  </conditionalFormatting>
  <conditionalFormatting sqref="F1:AD1 F13:T17 F28:AD65536 F2:M2 O2:AD2">
    <cfRule type="cellIs" dxfId="13" priority="4" stopIfTrue="1" operator="lessThan">
      <formula>0</formula>
    </cfRule>
  </conditionalFormatting>
  <conditionalFormatting sqref="N4:Q5">
    <cfRule type="cellIs" dxfId="2" priority="3" stopIfTrue="1" operator="lessThan">
      <formula>0</formula>
    </cfRule>
  </conditionalFormatting>
  <conditionalFormatting sqref="N6">
    <cfRule type="cellIs" dxfId="1" priority="2" stopIfTrue="1" operator="lessThan">
      <formula>0</formula>
    </cfRule>
  </conditionalFormatting>
  <conditionalFormatting sqref="N19:N21 O19:Q20">
    <cfRule type="cellIs" dxfId="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A40"/>
  <sheetViews>
    <sheetView topLeftCell="A22" workbookViewId="0">
      <selection activeCell="Y41" sqref="Y41"/>
    </sheetView>
  </sheetViews>
  <sheetFormatPr defaultColWidth="9.1796875" defaultRowHeight="14.5" x14ac:dyDescent="0.35"/>
  <cols>
    <col min="1" max="1" width="9.1796875" style="45"/>
    <col min="2" max="2" width="10.26953125" style="45" customWidth="1"/>
    <col min="3" max="4" width="7" style="45" customWidth="1"/>
    <col min="5" max="5" width="9" style="45" customWidth="1"/>
    <col min="6" max="7" width="7" style="45" customWidth="1"/>
    <col min="8" max="8" width="7.7265625" style="45" customWidth="1"/>
    <col min="9" max="9" width="7" style="45" customWidth="1"/>
    <col min="10" max="10" width="6.81640625" style="45" customWidth="1"/>
    <col min="11" max="11" width="9" style="45" customWidth="1"/>
    <col min="12" max="22" width="7" style="45" customWidth="1"/>
    <col min="23" max="23" width="8" style="45" customWidth="1"/>
    <col min="24" max="26" width="7" style="45" customWidth="1"/>
    <col min="27" max="16384" width="9.1796875" style="45"/>
  </cols>
  <sheetData>
    <row r="1" spans="1:27" ht="18.5" x14ac:dyDescent="0.35">
      <c r="A1" s="46" t="s">
        <v>59</v>
      </c>
      <c r="F1" s="46">
        <f>'S1'!B1</f>
        <v>2024</v>
      </c>
    </row>
    <row r="2" spans="1:27" ht="11.25" customHeight="1" x14ac:dyDescent="0.35">
      <c r="A2" s="46"/>
    </row>
    <row r="3" spans="1:27" hidden="1" x14ac:dyDescent="0.35">
      <c r="C3" s="45">
        <v>1850</v>
      </c>
      <c r="F3" s="45">
        <v>51</v>
      </c>
      <c r="I3" s="45">
        <v>52</v>
      </c>
      <c r="L3" s="45">
        <v>53</v>
      </c>
      <c r="O3" s="45">
        <v>54</v>
      </c>
      <c r="R3" s="45">
        <v>55</v>
      </c>
      <c r="U3" s="45">
        <v>56</v>
      </c>
      <c r="X3" s="45">
        <v>57</v>
      </c>
    </row>
    <row r="4" spans="1:27" s="48" customFormat="1" ht="18.5" x14ac:dyDescent="0.35">
      <c r="A4" s="322"/>
      <c r="B4" s="322"/>
      <c r="C4" s="321">
        <v>1850</v>
      </c>
      <c r="D4" s="321"/>
      <c r="E4" s="321"/>
      <c r="F4" s="321">
        <v>1851</v>
      </c>
      <c r="G4" s="321"/>
      <c r="H4" s="321"/>
      <c r="I4" s="321">
        <v>1852</v>
      </c>
      <c r="J4" s="321"/>
      <c r="K4" s="321"/>
      <c r="L4" s="321">
        <v>1853</v>
      </c>
      <c r="M4" s="321"/>
      <c r="N4" s="321"/>
      <c r="O4" s="321">
        <v>1854</v>
      </c>
      <c r="P4" s="321"/>
      <c r="Q4" s="321"/>
      <c r="R4" s="321">
        <v>1855</v>
      </c>
      <c r="S4" s="321"/>
      <c r="T4" s="321"/>
      <c r="U4" s="321">
        <v>1856</v>
      </c>
      <c r="V4" s="321"/>
      <c r="W4" s="321"/>
      <c r="X4" s="321">
        <v>1857</v>
      </c>
      <c r="Y4" s="321"/>
      <c r="Z4" s="321"/>
      <c r="AA4" s="47"/>
    </row>
    <row r="5" spans="1:27" ht="29" x14ac:dyDescent="0.35">
      <c r="A5" s="322"/>
      <c r="B5" s="322"/>
      <c r="C5" s="49" t="s">
        <v>60</v>
      </c>
      <c r="D5" s="50" t="s">
        <v>61</v>
      </c>
      <c r="E5" s="50" t="s">
        <v>62</v>
      </c>
      <c r="F5" s="49" t="s">
        <v>60</v>
      </c>
      <c r="G5" s="50" t="s">
        <v>61</v>
      </c>
      <c r="H5" s="50" t="s">
        <v>62</v>
      </c>
      <c r="I5" s="49" t="s">
        <v>60</v>
      </c>
      <c r="J5" s="50" t="s">
        <v>61</v>
      </c>
      <c r="K5" s="50" t="s">
        <v>62</v>
      </c>
      <c r="L5" s="49" t="s">
        <v>60</v>
      </c>
      <c r="M5" s="50" t="s">
        <v>61</v>
      </c>
      <c r="N5" s="50" t="s">
        <v>62</v>
      </c>
      <c r="O5" s="49" t="s">
        <v>60</v>
      </c>
      <c r="P5" s="50" t="s">
        <v>61</v>
      </c>
      <c r="Q5" s="50" t="s">
        <v>62</v>
      </c>
      <c r="R5" s="49" t="s">
        <v>60</v>
      </c>
      <c r="S5" s="50" t="s">
        <v>61</v>
      </c>
      <c r="T5" s="50" t="s">
        <v>62</v>
      </c>
      <c r="U5" s="49" t="s">
        <v>60</v>
      </c>
      <c r="V5" s="50" t="s">
        <v>61</v>
      </c>
      <c r="W5" s="50" t="s">
        <v>62</v>
      </c>
      <c r="X5" s="49" t="s">
        <v>60</v>
      </c>
      <c r="Y5" s="50" t="s">
        <v>61</v>
      </c>
      <c r="Z5" s="50" t="s">
        <v>62</v>
      </c>
      <c r="AA5" s="51"/>
    </row>
    <row r="6" spans="1:27" x14ac:dyDescent="0.35">
      <c r="A6" s="315" t="s">
        <v>4</v>
      </c>
      <c r="B6" s="52" t="s">
        <v>63</v>
      </c>
      <c r="C6" s="52">
        <f>'S1'!B9</f>
        <v>35.789000000000016</v>
      </c>
      <c r="D6" s="320">
        <f>'S1'!B10-'S1'!B9</f>
        <v>3.5309999999999917</v>
      </c>
      <c r="E6" s="313">
        <f>D6/C7</f>
        <v>8.9801627670396511E-2</v>
      </c>
      <c r="F6" s="52">
        <f>'S1'!C9</f>
        <v>40.862000000000023</v>
      </c>
      <c r="G6" s="320">
        <f>'S1'!C10-'S1'!C9</f>
        <v>3.2979999999999876</v>
      </c>
      <c r="H6" s="313">
        <f>G6/F7</f>
        <v>7.468297101449245E-2</v>
      </c>
      <c r="I6" s="52">
        <f>'S1'!D9</f>
        <v>38.766000000000012</v>
      </c>
      <c r="J6" s="320">
        <f>'S1'!D10-'S1'!D9</f>
        <v>1.9739999999999966</v>
      </c>
      <c r="K6" s="313">
        <f>J6/I7</f>
        <v>4.8453608247422585E-2</v>
      </c>
      <c r="L6" s="52">
        <f>'S1'!E9</f>
        <v>35.855000000000018</v>
      </c>
      <c r="M6" s="320">
        <f>'S1'!E10-'S1'!E9</f>
        <v>1.8149999999999835</v>
      </c>
      <c r="N6" s="313">
        <f>M6/L7</f>
        <v>4.8181576851605616E-2</v>
      </c>
      <c r="O6" s="52">
        <f>'S1'!B24</f>
        <v>33.746999999999993</v>
      </c>
      <c r="P6" s="320">
        <f>'S1'!B25-'S1'!B24</f>
        <v>2.4530000000000527</v>
      </c>
      <c r="Q6" s="313">
        <f>P6/O7</f>
        <v>6.7762430939227888E-2</v>
      </c>
      <c r="R6" s="52">
        <f>'S1'!C24</f>
        <v>38.486000000000004</v>
      </c>
      <c r="S6" s="320">
        <f>'S1'!C25-'S1'!C24</f>
        <v>2.9339999999999549</v>
      </c>
      <c r="T6" s="313">
        <f>S6/R7</f>
        <v>7.0835345243842537E-2</v>
      </c>
      <c r="U6" s="52">
        <f>'S1'!D24</f>
        <v>35.634</v>
      </c>
      <c r="V6" s="320">
        <f>'S1'!D25-'S1'!D24</f>
        <v>2.6759999999999451</v>
      </c>
      <c r="W6" s="313">
        <f>V6/U7</f>
        <v>6.9851213782300942E-2</v>
      </c>
      <c r="X6" s="52">
        <f>'S1'!E24</f>
        <v>36.384999999999998</v>
      </c>
      <c r="Y6" s="320">
        <f>'S1'!E25-'S1'!E24</f>
        <v>3.9049999999999656</v>
      </c>
      <c r="Z6" s="313">
        <f>Y6/X7</f>
        <v>9.6922313229088342E-2</v>
      </c>
    </row>
    <row r="7" spans="1:27" x14ac:dyDescent="0.35">
      <c r="A7" s="315"/>
      <c r="B7" s="52" t="s">
        <v>64</v>
      </c>
      <c r="C7" s="52">
        <f>'S1'!B10</f>
        <v>39.320000000000007</v>
      </c>
      <c r="D7" s="320"/>
      <c r="E7" s="313"/>
      <c r="F7" s="52">
        <f>'S1'!C10</f>
        <v>44.160000000000011</v>
      </c>
      <c r="G7" s="320"/>
      <c r="H7" s="313"/>
      <c r="I7" s="52">
        <f>'S1'!D10</f>
        <v>40.740000000000009</v>
      </c>
      <c r="J7" s="320"/>
      <c r="K7" s="313"/>
      <c r="L7" s="52">
        <f>'S1'!E10</f>
        <v>37.67</v>
      </c>
      <c r="M7" s="320"/>
      <c r="N7" s="313"/>
      <c r="O7" s="52">
        <f>'S1'!B25</f>
        <v>36.200000000000045</v>
      </c>
      <c r="P7" s="320"/>
      <c r="Q7" s="313"/>
      <c r="R7" s="52">
        <f>'S1'!C25</f>
        <v>41.419999999999959</v>
      </c>
      <c r="S7" s="320"/>
      <c r="T7" s="313"/>
      <c r="U7" s="52">
        <f>'S1'!D25</f>
        <v>38.309999999999945</v>
      </c>
      <c r="V7" s="320"/>
      <c r="W7" s="313"/>
      <c r="X7" s="52">
        <f>'S1'!E25</f>
        <v>40.289999999999964</v>
      </c>
      <c r="Y7" s="320"/>
      <c r="Z7" s="313"/>
    </row>
    <row r="8" spans="1:27" x14ac:dyDescent="0.35">
      <c r="A8" s="315" t="s">
        <v>5</v>
      </c>
      <c r="B8" s="52" t="s">
        <v>63</v>
      </c>
      <c r="C8" s="52">
        <f>'S2'!B9</f>
        <v>23.655000000000001</v>
      </c>
      <c r="D8" s="314">
        <f>'S2'!B10-'S2'!B9</f>
        <v>1.9050000000000011</v>
      </c>
      <c r="E8" s="313">
        <f>D8/C9</f>
        <v>7.4530516431924917E-2</v>
      </c>
      <c r="F8" s="53">
        <f>'S2'!C9</f>
        <v>25.408999999999999</v>
      </c>
      <c r="G8" s="314">
        <f>'S2'!C10-'S2'!C9</f>
        <v>2.1709999999999852</v>
      </c>
      <c r="H8" s="313">
        <f>G8/F9</f>
        <v>7.8716461203770349E-2</v>
      </c>
      <c r="I8" s="53">
        <f>'S2'!D9</f>
        <v>23.458999999999982</v>
      </c>
      <c r="J8" s="314">
        <f>'S2'!D10-'S2'!D9</f>
        <v>1.1210000000000022</v>
      </c>
      <c r="K8" s="313">
        <f>J8/I9</f>
        <v>4.5606183889341047E-2</v>
      </c>
      <c r="L8" s="53">
        <f>'S2'!E9</f>
        <v>20.873999999999995</v>
      </c>
      <c r="M8" s="314">
        <f>'S2'!E10-'S2'!E9</f>
        <v>1.1359999999999957</v>
      </c>
      <c r="N8" s="313">
        <f>M8/L9</f>
        <v>5.1612903225806278E-2</v>
      </c>
      <c r="O8" s="53">
        <f>'S2'!B24</f>
        <v>21.614000000000004</v>
      </c>
      <c r="P8" s="314">
        <f>'S2'!B25-'S2'!B24</f>
        <v>1.6160000000000139</v>
      </c>
      <c r="Q8" s="313">
        <f>P8/O9</f>
        <v>6.956521739130489E-2</v>
      </c>
      <c r="R8" s="53">
        <f>'S2'!C24</f>
        <v>23.615000000000002</v>
      </c>
      <c r="S8" s="314">
        <f>'S2'!C25-'S2'!C24</f>
        <v>1.7849999999999753</v>
      </c>
      <c r="T8" s="313">
        <f>S8/R9</f>
        <v>7.0275590551180198E-2</v>
      </c>
      <c r="U8" s="53">
        <f>'S2'!D24</f>
        <v>20.178000000000004</v>
      </c>
      <c r="V8" s="314">
        <f>'S2'!D25-'S2'!D24</f>
        <v>1.1720000000000184</v>
      </c>
      <c r="W8" s="313">
        <f>V8/U9</f>
        <v>5.4894613583138976E-2</v>
      </c>
      <c r="X8" s="53">
        <f>'S2'!E24</f>
        <v>22.782999999999994</v>
      </c>
      <c r="Y8" s="314">
        <f>'S2'!E25-'S2'!E24</f>
        <v>2.2369999999999877</v>
      </c>
      <c r="Z8" s="313">
        <f>Y8/X9</f>
        <v>8.9408473221422438E-2</v>
      </c>
    </row>
    <row r="9" spans="1:27" x14ac:dyDescent="0.35">
      <c r="A9" s="315"/>
      <c r="B9" s="52" t="s">
        <v>64</v>
      </c>
      <c r="C9" s="53">
        <f>'S2'!B10</f>
        <v>25.560000000000002</v>
      </c>
      <c r="D9" s="314"/>
      <c r="E9" s="313"/>
      <c r="F9" s="53">
        <f>'S2'!C10</f>
        <v>27.579999999999984</v>
      </c>
      <c r="G9" s="314"/>
      <c r="H9" s="313"/>
      <c r="I9" s="53">
        <f>'S2'!D10</f>
        <v>24.579999999999984</v>
      </c>
      <c r="J9" s="314"/>
      <c r="K9" s="313"/>
      <c r="L9" s="53">
        <f>'S2'!E10</f>
        <v>22.009999999999991</v>
      </c>
      <c r="M9" s="314"/>
      <c r="N9" s="313"/>
      <c r="O9" s="53">
        <f>'S2'!B25</f>
        <v>23.230000000000018</v>
      </c>
      <c r="P9" s="314"/>
      <c r="Q9" s="313"/>
      <c r="R9" s="53">
        <f>'S2'!C25</f>
        <v>25.399999999999977</v>
      </c>
      <c r="S9" s="314"/>
      <c r="T9" s="313"/>
      <c r="U9" s="53">
        <f>'S2'!D25</f>
        <v>21.350000000000023</v>
      </c>
      <c r="V9" s="314"/>
      <c r="W9" s="313"/>
      <c r="X9" s="53">
        <f>'S2'!E25</f>
        <v>25.019999999999982</v>
      </c>
      <c r="Y9" s="314"/>
      <c r="Z9" s="313"/>
    </row>
    <row r="10" spans="1:27" x14ac:dyDescent="0.35">
      <c r="A10" s="315" t="s">
        <v>6</v>
      </c>
      <c r="B10" s="52" t="s">
        <v>63</v>
      </c>
      <c r="C10" s="52">
        <f>'S3'!B9</f>
        <v>16.748000000000005</v>
      </c>
      <c r="D10" s="314">
        <f>'S3'!B10-'S3'!B9</f>
        <v>1.0919999999999987</v>
      </c>
      <c r="E10" s="313">
        <f>D10/C11</f>
        <v>6.1210762331838482E-2</v>
      </c>
      <c r="F10" s="53">
        <f>'S3'!C9</f>
        <v>21.265999999999991</v>
      </c>
      <c r="G10" s="314">
        <f>'S3'!C10-'S3'!C9</f>
        <v>1.724000000000018</v>
      </c>
      <c r="H10" s="313">
        <f>G10/F11</f>
        <v>7.4989125706829807E-2</v>
      </c>
      <c r="I10" s="53">
        <f>'S3'!D9</f>
        <v>19.236999999999995</v>
      </c>
      <c r="J10" s="314">
        <f>'S3'!D10-'S3'!D9</f>
        <v>0.95300000000003138</v>
      </c>
      <c r="K10" s="313">
        <f>J10/I11</f>
        <v>4.72015849430426E-2</v>
      </c>
      <c r="L10" s="53">
        <f>'S3'!E9</f>
        <v>16.244000000000007</v>
      </c>
      <c r="M10" s="314">
        <f>'S3'!E10-'S3'!E9</f>
        <v>0.95599999999999596</v>
      </c>
      <c r="N10" s="313">
        <f>M10/L11</f>
        <v>5.5581395348836965E-2</v>
      </c>
      <c r="O10" s="53">
        <f>'S3'!B24</f>
        <v>16.996000000000034</v>
      </c>
      <c r="P10" s="320">
        <f>'S3'!B25-'S3'!B24</f>
        <v>1.1539999999999431</v>
      </c>
      <c r="Q10" s="313">
        <f>P10/O11</f>
        <v>6.3581267217627802E-2</v>
      </c>
      <c r="R10" s="52">
        <f>'S3'!C24</f>
        <v>17.192000000000014</v>
      </c>
      <c r="S10" s="320">
        <f>'S3'!C25-'S3'!C24</f>
        <v>1.3279999999999674</v>
      </c>
      <c r="T10" s="313">
        <f>S10/R11</f>
        <v>7.1706263498918399E-2</v>
      </c>
      <c r="U10" s="52">
        <f>'S3'!D24</f>
        <v>16.017999999999997</v>
      </c>
      <c r="V10" s="320">
        <f>'S3'!D25-'S3'!D24</f>
        <v>0.68199999999993466</v>
      </c>
      <c r="W10" s="313">
        <f>V10/U11</f>
        <v>4.0838323353289664E-2</v>
      </c>
      <c r="X10" s="52">
        <f>'S3'!E24</f>
        <v>16.846000000000018</v>
      </c>
      <c r="Y10" s="320">
        <f>'S3'!E25-'S3'!E24</f>
        <v>0.88400000000000034</v>
      </c>
      <c r="Z10" s="313">
        <f>Y10/X11</f>
        <v>4.9858996051889419E-2</v>
      </c>
    </row>
    <row r="11" spans="1:27" x14ac:dyDescent="0.35">
      <c r="A11" s="315"/>
      <c r="B11" s="52" t="s">
        <v>64</v>
      </c>
      <c r="C11" s="53">
        <f>'S3'!B10</f>
        <v>17.840000000000003</v>
      </c>
      <c r="D11" s="314"/>
      <c r="E11" s="313"/>
      <c r="F11" s="53">
        <f>'S3'!C10</f>
        <v>22.990000000000009</v>
      </c>
      <c r="G11" s="314"/>
      <c r="H11" s="313"/>
      <c r="I11" s="53">
        <f>'S3'!D10</f>
        <v>20.190000000000026</v>
      </c>
      <c r="J11" s="314"/>
      <c r="K11" s="313"/>
      <c r="L11" s="53">
        <f>'S3'!E10</f>
        <v>17.200000000000003</v>
      </c>
      <c r="M11" s="314"/>
      <c r="N11" s="313"/>
      <c r="O11" s="53">
        <f>'S3'!B25</f>
        <v>18.149999999999977</v>
      </c>
      <c r="P11" s="320"/>
      <c r="Q11" s="313"/>
      <c r="R11" s="52">
        <f>'S3'!C25</f>
        <v>18.519999999999982</v>
      </c>
      <c r="S11" s="320"/>
      <c r="T11" s="313"/>
      <c r="U11" s="52">
        <f>'S3'!D25</f>
        <v>16.699999999999932</v>
      </c>
      <c r="V11" s="320"/>
      <c r="W11" s="313"/>
      <c r="X11" s="52">
        <f>'S3'!E25</f>
        <v>17.730000000000018</v>
      </c>
      <c r="Y11" s="320"/>
      <c r="Z11" s="313"/>
    </row>
    <row r="12" spans="1:27" x14ac:dyDescent="0.35">
      <c r="A12" s="315" t="s">
        <v>7</v>
      </c>
      <c r="B12" s="52" t="s">
        <v>63</v>
      </c>
      <c r="C12" s="52">
        <f>'S4'!B9</f>
        <v>8.7019999999999911</v>
      </c>
      <c r="D12" s="314">
        <f>'S4'!B10-'S4'!B9</f>
        <v>-0.59200000000000585</v>
      </c>
      <c r="E12" s="313">
        <f>D12/C13</f>
        <v>-7.2996300863132788E-2</v>
      </c>
      <c r="F12" s="53">
        <f>'S4'!C9</f>
        <v>13.082000000000001</v>
      </c>
      <c r="G12" s="320">
        <f>'S4'!C10-'S4'!C9</f>
        <v>1.8480000000000061</v>
      </c>
      <c r="H12" s="313">
        <f>G12/F13</f>
        <v>0.1237776289350305</v>
      </c>
      <c r="I12" s="52">
        <f>'S4'!D9</f>
        <v>11.436000000000014</v>
      </c>
      <c r="J12" s="320">
        <f>'S4'!D10-'S4'!D9</f>
        <v>-0.1260000000000403</v>
      </c>
      <c r="K12" s="313">
        <f>J12/I13</f>
        <v>-1.1140583554380247E-2</v>
      </c>
      <c r="L12" s="52">
        <f>'S4'!E9</f>
        <v>8.404999999999994</v>
      </c>
      <c r="M12" s="320">
        <f>'S4'!E10-'S4'!E9</f>
        <v>-0.18499999999999517</v>
      </c>
      <c r="N12" s="313">
        <f>M12/L13</f>
        <v>-2.2506082725060241E-2</v>
      </c>
      <c r="O12" s="52">
        <f>'S4'!B24</f>
        <v>10.105000000000004</v>
      </c>
      <c r="P12" s="320">
        <f>'S4'!B25-'S4'!B24</f>
        <v>0.59499999999992781</v>
      </c>
      <c r="Q12" s="313">
        <f>P12/O13</f>
        <v>5.5607476635507629E-2</v>
      </c>
      <c r="R12" s="52">
        <f>'S4'!C24</f>
        <v>10.243000000000002</v>
      </c>
      <c r="S12" s="320">
        <f>'S4'!C25-'S4'!C24</f>
        <v>1.1070000000000206</v>
      </c>
      <c r="T12" s="313">
        <f>S12/R13</f>
        <v>9.7533039647578715E-2</v>
      </c>
      <c r="U12" s="52">
        <f>'S4'!D24</f>
        <v>9.418000000000001</v>
      </c>
      <c r="V12" s="320">
        <f>'S4'!D25-'S4'!D24</f>
        <v>-0.27799999999990099</v>
      </c>
      <c r="W12" s="313">
        <f>V12/U13</f>
        <v>-3.0415754923402403E-2</v>
      </c>
      <c r="X12" s="52">
        <f>'S4'!E24</f>
        <v>9.4059999999999988</v>
      </c>
      <c r="Y12" s="320">
        <f>'S4'!E25-'S4'!E24</f>
        <v>-0.8960000000000079</v>
      </c>
      <c r="Z12" s="313">
        <f>Y12/X13</f>
        <v>-0.10528789659224545</v>
      </c>
    </row>
    <row r="13" spans="1:27" x14ac:dyDescent="0.35">
      <c r="A13" s="315"/>
      <c r="B13" s="52" t="s">
        <v>64</v>
      </c>
      <c r="C13" s="53">
        <f>'S4'!B10</f>
        <v>8.1099999999999852</v>
      </c>
      <c r="D13" s="314"/>
      <c r="E13" s="313"/>
      <c r="F13" s="53">
        <f>'S4'!C10</f>
        <v>14.930000000000007</v>
      </c>
      <c r="G13" s="320"/>
      <c r="H13" s="313"/>
      <c r="I13" s="52">
        <f>'S4'!D10</f>
        <v>11.309999999999974</v>
      </c>
      <c r="J13" s="320"/>
      <c r="K13" s="313"/>
      <c r="L13" s="52">
        <f>'S4'!E10</f>
        <v>8.2199999999999989</v>
      </c>
      <c r="M13" s="320"/>
      <c r="N13" s="313"/>
      <c r="O13" s="52">
        <f>'S4'!B25</f>
        <v>10.699999999999932</v>
      </c>
      <c r="P13" s="320"/>
      <c r="Q13" s="313"/>
      <c r="R13" s="52">
        <f>'S4'!C25</f>
        <v>11.350000000000023</v>
      </c>
      <c r="S13" s="320"/>
      <c r="T13" s="313"/>
      <c r="U13" s="52">
        <f>'S4'!D25</f>
        <v>9.1400000000001</v>
      </c>
      <c r="V13" s="320"/>
      <c r="W13" s="313"/>
      <c r="X13" s="52">
        <f>'S4'!E25</f>
        <v>8.5099999999999909</v>
      </c>
      <c r="Y13" s="320"/>
      <c r="Z13" s="313"/>
    </row>
    <row r="14" spans="1:27" x14ac:dyDescent="0.35">
      <c r="A14" s="315" t="s">
        <v>8</v>
      </c>
      <c r="B14" s="52" t="s">
        <v>63</v>
      </c>
      <c r="C14" s="52">
        <f>'S5'!B9</f>
        <v>4.5859999999999914</v>
      </c>
      <c r="D14" s="314">
        <f>'S5'!B10-'S5'!B9</f>
        <v>-1.53599999999998</v>
      </c>
      <c r="E14" s="313">
        <f>D14/C15</f>
        <v>-0.50360655737704074</v>
      </c>
      <c r="F14" s="52">
        <f>'S5'!C9</f>
        <v>6.4179999999999922</v>
      </c>
      <c r="G14" s="314">
        <f>'S5'!C10-'S5'!C9</f>
        <v>3.4320000000000022</v>
      </c>
      <c r="H14" s="313">
        <f>G14/F15</f>
        <v>0.3484263959390867</v>
      </c>
      <c r="I14" s="52">
        <f>'S5'!D9</f>
        <v>6.4530000000000172</v>
      </c>
      <c r="J14" s="314">
        <f>'S5'!D10-'S5'!D9</f>
        <v>-1.3430000000000035</v>
      </c>
      <c r="K14" s="313">
        <f>J14/I15</f>
        <v>-0.26281800391389432</v>
      </c>
      <c r="L14" s="52">
        <f>'S5'!E9</f>
        <v>4.7709999999999866</v>
      </c>
      <c r="M14" s="314">
        <f>'S5'!E10-'S5'!E9</f>
        <v>-0.68099999999998317</v>
      </c>
      <c r="N14" s="313">
        <f>M14/L15</f>
        <v>-0.16650366748165835</v>
      </c>
      <c r="O14" s="52">
        <f>'S5'!B24</f>
        <v>4.0680000000000023</v>
      </c>
      <c r="P14" s="314">
        <f>'S5'!B25-'S5'!B24</f>
        <v>0.72200000000007503</v>
      </c>
      <c r="Q14" s="313">
        <f>P14/O15</f>
        <v>0.15073068893529507</v>
      </c>
      <c r="R14" s="52">
        <f>'S5'!C24</f>
        <v>4.7569999999999837</v>
      </c>
      <c r="S14" s="314">
        <f>'S5'!C25-'S5'!C24</f>
        <v>-0.21700000000002007</v>
      </c>
      <c r="T14" s="313">
        <f>S14/R15</f>
        <v>-4.7797356828198634E-2</v>
      </c>
      <c r="U14" s="52">
        <f>'S5'!D24</f>
        <v>5.3409999999999975</v>
      </c>
      <c r="V14" s="314">
        <f>'S5'!D25-'S5'!D24</f>
        <v>-1.0110000000000703</v>
      </c>
      <c r="W14" s="313">
        <f>V14/U15</f>
        <v>-0.23348729792149822</v>
      </c>
      <c r="X14" s="52">
        <f>'S5'!E24</f>
        <v>5.259999999999998</v>
      </c>
      <c r="Y14" s="314">
        <f>'S5'!E25-'S5'!E24</f>
        <v>-1.1799999999999571</v>
      </c>
      <c r="Z14" s="313">
        <f>Y14/X15</f>
        <v>-0.2892156862744964</v>
      </c>
    </row>
    <row r="15" spans="1:27" x14ac:dyDescent="0.35">
      <c r="A15" s="315"/>
      <c r="B15" s="52" t="s">
        <v>64</v>
      </c>
      <c r="C15" s="53">
        <f>'S5'!B10</f>
        <v>3.0500000000000114</v>
      </c>
      <c r="D15" s="314"/>
      <c r="E15" s="313"/>
      <c r="F15" s="53">
        <f>'S5'!C10</f>
        <v>9.8499999999999943</v>
      </c>
      <c r="G15" s="314"/>
      <c r="H15" s="313"/>
      <c r="I15" s="53">
        <f>'S5'!D10</f>
        <v>5.1100000000000136</v>
      </c>
      <c r="J15" s="314"/>
      <c r="K15" s="313"/>
      <c r="L15" s="53">
        <f>'S5'!E10</f>
        <v>4.0900000000000034</v>
      </c>
      <c r="M15" s="314"/>
      <c r="N15" s="313"/>
      <c r="O15" s="53">
        <f>'S5'!B25</f>
        <v>4.7900000000000773</v>
      </c>
      <c r="P15" s="314"/>
      <c r="Q15" s="313"/>
      <c r="R15" s="53">
        <f>'S5'!C25</f>
        <v>4.5399999999999636</v>
      </c>
      <c r="S15" s="314"/>
      <c r="T15" s="313"/>
      <c r="U15" s="53">
        <f>'S5'!D25</f>
        <v>4.3299999999999272</v>
      </c>
      <c r="V15" s="314"/>
      <c r="W15" s="313"/>
      <c r="X15" s="53">
        <f>'S5'!E25</f>
        <v>4.0800000000000409</v>
      </c>
      <c r="Y15" s="314"/>
      <c r="Z15" s="313"/>
    </row>
    <row r="16" spans="1:27" x14ac:dyDescent="0.35">
      <c r="A16" s="315" t="s">
        <v>9</v>
      </c>
      <c r="B16" s="52" t="s">
        <v>63</v>
      </c>
      <c r="C16" s="52">
        <f>'S6'!B9</f>
        <v>4.0150000000000006</v>
      </c>
      <c r="D16" s="314">
        <f>'S6'!B10-'S6'!B9</f>
        <v>-1.7550000000000097</v>
      </c>
      <c r="E16" s="313">
        <f>D16/C17</f>
        <v>-0.77654867256637905</v>
      </c>
      <c r="F16" s="52">
        <f>'S6'!C9</f>
        <v>4.7290000000000063</v>
      </c>
      <c r="G16" s="314">
        <f>'S6'!C10-'S6'!C9</f>
        <v>3.1009999999999778</v>
      </c>
      <c r="H16" s="313">
        <f>G16/F17</f>
        <v>0.39604086845465952</v>
      </c>
      <c r="I16" s="52">
        <f>'S6'!D9</f>
        <v>4.7579999999999671</v>
      </c>
      <c r="J16" s="314">
        <f>'S6'!D10-'S6'!D9</f>
        <v>-1.7179999999999751</v>
      </c>
      <c r="K16" s="313">
        <f>J16/I17</f>
        <v>-0.56513157894736166</v>
      </c>
      <c r="L16" s="52">
        <f>'S6'!E9</f>
        <v>3.6820000000000235</v>
      </c>
      <c r="M16" s="314">
        <f>'S6'!E10-'S6'!E9</f>
        <v>-0.68200000000002348</v>
      </c>
      <c r="N16" s="313">
        <f>M16/L17</f>
        <v>-0.22733333333334116</v>
      </c>
      <c r="O16" s="52">
        <f>'S6'!B24</f>
        <v>3.1819999999999786</v>
      </c>
      <c r="P16" s="314">
        <f>'S6'!B25-'S6'!B24</f>
        <v>0.70800000000000773</v>
      </c>
      <c r="Q16" s="313">
        <f>P16/O17</f>
        <v>0.18200514138817744</v>
      </c>
      <c r="R16" s="52">
        <f>'S6'!C24</f>
        <v>3.4129999999999967</v>
      </c>
      <c r="S16" s="314">
        <f>'S6'!C25-'S6'!C24</f>
        <v>-0.46299999999995123</v>
      </c>
      <c r="T16" s="313">
        <f>S16/R17</f>
        <v>-0.15694915254235392</v>
      </c>
      <c r="U16" s="52">
        <f>'S6'!D24</f>
        <v>4.1040000000000028</v>
      </c>
      <c r="V16" s="314">
        <f>'S6'!D25-'S6'!D24</f>
        <v>-1.0139999999999709</v>
      </c>
      <c r="W16" s="313">
        <f>V16/U17</f>
        <v>-0.32815533980581246</v>
      </c>
      <c r="X16" s="52">
        <f>'S6'!E24</f>
        <v>4.6269999999999953</v>
      </c>
      <c r="Y16" s="314">
        <f>'S6'!E25-'S6'!E24</f>
        <v>-1.1269999999999953</v>
      </c>
      <c r="Z16" s="313">
        <f>Y16/X17</f>
        <v>-0.32199999999999868</v>
      </c>
    </row>
    <row r="17" spans="1:26" x14ac:dyDescent="0.35">
      <c r="A17" s="315"/>
      <c r="B17" s="52" t="s">
        <v>64</v>
      </c>
      <c r="C17" s="52">
        <f>'S6'!B10</f>
        <v>2.2599999999999909</v>
      </c>
      <c r="D17" s="314"/>
      <c r="E17" s="313"/>
      <c r="F17" s="52">
        <f>'S6'!C10</f>
        <v>7.8299999999999841</v>
      </c>
      <c r="G17" s="314"/>
      <c r="H17" s="313"/>
      <c r="I17" s="52">
        <f>'S6'!D10</f>
        <v>3.039999999999992</v>
      </c>
      <c r="J17" s="314"/>
      <c r="K17" s="313"/>
      <c r="L17" s="52">
        <f>'S6'!E10</f>
        <v>3</v>
      </c>
      <c r="M17" s="314"/>
      <c r="N17" s="313"/>
      <c r="O17" s="52">
        <f>'S6'!B25</f>
        <v>3.8899999999999864</v>
      </c>
      <c r="P17" s="314"/>
      <c r="Q17" s="313"/>
      <c r="R17" s="52">
        <f>'S6'!C25</f>
        <v>2.9500000000000455</v>
      </c>
      <c r="S17" s="314"/>
      <c r="T17" s="313"/>
      <c r="U17" s="52">
        <f>'S6'!D25</f>
        <v>3.0900000000000318</v>
      </c>
      <c r="V17" s="314"/>
      <c r="W17" s="313"/>
      <c r="X17" s="52">
        <f>'S6'!E25</f>
        <v>3.5</v>
      </c>
      <c r="Y17" s="314"/>
      <c r="Z17" s="313"/>
    </row>
    <row r="18" spans="1:26" x14ac:dyDescent="0.35">
      <c r="A18" s="315" t="s">
        <v>10</v>
      </c>
      <c r="B18" s="52" t="s">
        <v>63</v>
      </c>
      <c r="C18" s="52">
        <f>'S7'!B9</f>
        <v>3.032999999999987</v>
      </c>
      <c r="D18" s="314">
        <f>'S7'!B10-'S7'!B9</f>
        <v>-1.7229999999999848</v>
      </c>
      <c r="E18" s="313">
        <f>D18/C19</f>
        <v>-1.3152671755725052</v>
      </c>
      <c r="F18" s="52">
        <f>'S7'!C9</f>
        <v>3.6490000000000293</v>
      </c>
      <c r="G18" s="314">
        <f>'S7'!C10-'S7'!C9</f>
        <v>3.2809999999999775</v>
      </c>
      <c r="H18" s="313">
        <f>G18/F19</f>
        <v>0.47344877344876973</v>
      </c>
      <c r="I18" s="52">
        <f>'S7'!D9</f>
        <v>3.7990000000000137</v>
      </c>
      <c r="J18" s="314">
        <f>'S7'!D10-'S7'!D9</f>
        <v>-1.8390000000000057</v>
      </c>
      <c r="K18" s="313">
        <f>J18/I19</f>
        <v>-0.93826530612244807</v>
      </c>
      <c r="L18" s="52">
        <f>'S7'!E9</f>
        <v>2.941999999999986</v>
      </c>
      <c r="M18" s="314">
        <f>'S7'!E10-'S7'!E9</f>
        <v>-0.78199999999998937</v>
      </c>
      <c r="N18" s="313">
        <f>M18/L19</f>
        <v>-0.36203703703703266</v>
      </c>
      <c r="O18" s="52">
        <f>'S7'!B24</f>
        <v>2.4020000000000103</v>
      </c>
      <c r="P18" s="314">
        <f>'S7'!B25-'S7'!B24</f>
        <v>0.30799999999991234</v>
      </c>
      <c r="Q18" s="313">
        <f>P18/O19</f>
        <v>0.11365313653133621</v>
      </c>
      <c r="R18" s="52">
        <f>'S7'!C24</f>
        <v>2.6360000000000028</v>
      </c>
      <c r="S18" s="314">
        <f>'S7'!C25-'S7'!C24</f>
        <v>-0.56599999999995276</v>
      </c>
      <c r="T18" s="313">
        <f>S18/R19</f>
        <v>-0.27342995169079182</v>
      </c>
      <c r="U18" s="52">
        <f>'S7'!D24</f>
        <v>3.173</v>
      </c>
      <c r="V18" s="314">
        <f>'S7'!D25-'S7'!D24</f>
        <v>-0.94299999999998185</v>
      </c>
      <c r="W18" s="313">
        <f>V18/U19</f>
        <v>-0.42286995515693909</v>
      </c>
      <c r="X18" s="52">
        <f>'S7'!E24</f>
        <v>3.4189999999999756</v>
      </c>
      <c r="Y18" s="314">
        <f>'S7'!E25-'S7'!E24</f>
        <v>-1.0989999999999256</v>
      </c>
      <c r="Z18" s="313">
        <f>Y18/X19</f>
        <v>-0.47370689655168186</v>
      </c>
    </row>
    <row r="19" spans="1:26" x14ac:dyDescent="0.35">
      <c r="A19" s="315"/>
      <c r="B19" s="52" t="s">
        <v>64</v>
      </c>
      <c r="C19" s="52">
        <f>'S7'!B10</f>
        <v>1.3100000000000023</v>
      </c>
      <c r="D19" s="314"/>
      <c r="E19" s="313"/>
      <c r="F19" s="53">
        <f>'S7'!C10</f>
        <v>6.9300000000000068</v>
      </c>
      <c r="G19" s="314"/>
      <c r="H19" s="313"/>
      <c r="I19" s="52">
        <f>'S7'!D10</f>
        <v>1.960000000000008</v>
      </c>
      <c r="J19" s="314"/>
      <c r="K19" s="313"/>
      <c r="L19" s="52">
        <f>'S7'!E10</f>
        <v>2.1599999999999966</v>
      </c>
      <c r="M19" s="314"/>
      <c r="N19" s="313"/>
      <c r="O19" s="52">
        <f>'S7'!B25</f>
        <v>2.7099999999999227</v>
      </c>
      <c r="P19" s="314"/>
      <c r="Q19" s="313"/>
      <c r="R19" s="52">
        <f>'S7'!C25</f>
        <v>2.07000000000005</v>
      </c>
      <c r="S19" s="314"/>
      <c r="T19" s="313"/>
      <c r="U19" s="52">
        <f>'S7'!D25</f>
        <v>2.2300000000000182</v>
      </c>
      <c r="V19" s="314"/>
      <c r="W19" s="313"/>
      <c r="X19" s="52">
        <f>'S7'!E25</f>
        <v>2.32000000000005</v>
      </c>
      <c r="Y19" s="314"/>
      <c r="Z19" s="313"/>
    </row>
    <row r="20" spans="1:26" x14ac:dyDescent="0.35">
      <c r="A20" s="315" t="s">
        <v>11</v>
      </c>
      <c r="B20" s="52" t="s">
        <v>63</v>
      </c>
      <c r="C20" s="52">
        <f>'S8'!B9</f>
        <v>3.0610000000000213</v>
      </c>
      <c r="D20" s="314">
        <f>'S8'!B10-'S8'!B9</f>
        <v>-1.8510000000000133</v>
      </c>
      <c r="E20" s="313">
        <f>D20/C21</f>
        <v>-1.5297520661157034</v>
      </c>
      <c r="F20" s="52">
        <f>'S8'!C9</f>
        <v>3.5609999999999857</v>
      </c>
      <c r="G20" s="314">
        <f>'S8'!C10-'S8'!C9</f>
        <v>2.3990000000000222</v>
      </c>
      <c r="H20" s="313">
        <f>G20/F21</f>
        <v>0.4025167785234931</v>
      </c>
      <c r="I20" s="52">
        <f>'S8'!D9</f>
        <v>3.134999999999998</v>
      </c>
      <c r="J20" s="314">
        <f>'S8'!D10-'S8'!D9</f>
        <v>-1.6649999999999991</v>
      </c>
      <c r="K20" s="313">
        <f>J20/I21</f>
        <v>-1.1326530612244901</v>
      </c>
      <c r="L20" s="52">
        <f>'S8'!E9</f>
        <v>2.5099999999999909</v>
      </c>
      <c r="M20" s="314">
        <f>'S8'!E10-'S8'!E9</f>
        <v>-0.78999999999999204</v>
      </c>
      <c r="N20" s="313">
        <f>M20/L21</f>
        <v>-0.459302325581391</v>
      </c>
      <c r="O20" s="52">
        <f>'S8'!B24</f>
        <v>2.5779999999999887</v>
      </c>
      <c r="P20" s="314">
        <f>'S8'!B25-'S8'!B24</f>
        <v>-8.799999999997965E-2</v>
      </c>
      <c r="Q20" s="313">
        <f>P20/O21</f>
        <v>-3.5341365461839087E-2</v>
      </c>
      <c r="R20" s="52">
        <f>'S8'!C24</f>
        <v>2.6800000000000068</v>
      </c>
      <c r="S20" s="314">
        <f>'S8'!C25-'S8'!C24</f>
        <v>-0.59000000000008868</v>
      </c>
      <c r="T20" s="313">
        <f>S20/R21</f>
        <v>-0.28229665071775684</v>
      </c>
      <c r="U20" s="52">
        <f>'S8'!D24</f>
        <v>3.1979999999999986</v>
      </c>
      <c r="V20" s="314">
        <f>'S8'!D25-'S8'!D24</f>
        <v>-1.0180000000000486</v>
      </c>
      <c r="W20" s="313">
        <f>V20/U21</f>
        <v>-0.46697247706425321</v>
      </c>
      <c r="X20" s="52">
        <f>'S8'!E24</f>
        <v>3.1599999999999895</v>
      </c>
      <c r="Y20" s="314">
        <f>'S8'!E25-'S8'!E24</f>
        <v>-1.0200000000000031</v>
      </c>
      <c r="Z20" s="313">
        <f>Y20/X21</f>
        <v>-0.47663551401869608</v>
      </c>
    </row>
    <row r="21" spans="1:26" x14ac:dyDescent="0.35">
      <c r="A21" s="315"/>
      <c r="B21" s="52" t="s">
        <v>64</v>
      </c>
      <c r="C21" s="52">
        <f>'S8'!B10</f>
        <v>1.210000000000008</v>
      </c>
      <c r="D21" s="314"/>
      <c r="E21" s="313"/>
      <c r="F21" s="52">
        <f>'S8'!C10</f>
        <v>5.960000000000008</v>
      </c>
      <c r="G21" s="314"/>
      <c r="H21" s="313"/>
      <c r="I21" s="52">
        <f>'S8'!D10</f>
        <v>1.4699999999999989</v>
      </c>
      <c r="J21" s="314"/>
      <c r="K21" s="313"/>
      <c r="L21" s="52">
        <f>'S8'!E10</f>
        <v>1.7199999999999989</v>
      </c>
      <c r="M21" s="314"/>
      <c r="N21" s="313"/>
      <c r="O21" s="52">
        <f>'S8'!B25</f>
        <v>2.4900000000000091</v>
      </c>
      <c r="P21" s="314"/>
      <c r="Q21" s="313"/>
      <c r="R21" s="52">
        <f>'S8'!C25</f>
        <v>2.0899999999999181</v>
      </c>
      <c r="S21" s="314"/>
      <c r="T21" s="313"/>
      <c r="U21" s="52">
        <f>'S8'!D25</f>
        <v>2.17999999999995</v>
      </c>
      <c r="V21" s="314"/>
      <c r="W21" s="313"/>
      <c r="X21" s="52">
        <f>'S8'!E25</f>
        <v>2.1399999999999864</v>
      </c>
      <c r="Y21" s="314"/>
      <c r="Z21" s="313"/>
    </row>
    <row r="22" spans="1:26" ht="15" customHeight="1" x14ac:dyDescent="0.35">
      <c r="A22" s="318" t="s">
        <v>12</v>
      </c>
      <c r="B22" s="52" t="s">
        <v>63</v>
      </c>
      <c r="C22" s="52">
        <f>'S9'!B9</f>
        <v>7.2919999999999945</v>
      </c>
      <c r="D22" s="314">
        <f>'S9'!B10-'S9'!B9</f>
        <v>-5.2619999999999933</v>
      </c>
      <c r="E22" s="316">
        <f>D22/C23</f>
        <v>-2.5921182266009803</v>
      </c>
      <c r="F22" s="52">
        <f>'S9'!C9</f>
        <v>5.6090000000000018</v>
      </c>
      <c r="G22" s="314">
        <f>'S9'!C10-'S9'!C9</f>
        <v>2.370999999999988</v>
      </c>
      <c r="H22" s="316">
        <f>G22/F23</f>
        <v>0.29711779448621439</v>
      </c>
      <c r="I22" s="52">
        <f>'S9'!D9</f>
        <v>6.7139999999999986</v>
      </c>
      <c r="J22" s="314">
        <f>'S9'!D10-'S9'!D9</f>
        <v>-2.1539999999999964</v>
      </c>
      <c r="K22" s="316">
        <f>J22/I23</f>
        <v>-0.47236842105263055</v>
      </c>
      <c r="L22" s="52">
        <f>'S9'!E9</f>
        <v>4.4130000000000109</v>
      </c>
      <c r="M22" s="314">
        <f>'S9'!E10-'S9'!E9</f>
        <v>-0.742999999999995</v>
      </c>
      <c r="N22" s="316">
        <f>M22/L23</f>
        <v>-0.20245231607629205</v>
      </c>
      <c r="O22" s="111">
        <f>'S9'!B24</f>
        <v>3.6350000000000193</v>
      </c>
      <c r="P22" s="314">
        <f>'S9'!B25-'S9'!B24</f>
        <v>0.37499999999997158</v>
      </c>
      <c r="Q22" s="316">
        <f>P22/O23</f>
        <v>9.3516209476302348E-2</v>
      </c>
      <c r="R22" s="52">
        <f>'S9'!C24</f>
        <v>3.8499999999999943</v>
      </c>
      <c r="S22" s="314">
        <f>'S9'!C25-'S9'!C24</f>
        <v>-0.15999999999993975</v>
      </c>
      <c r="T22" s="316">
        <f>S22/R23</f>
        <v>-4.3360433604319071E-2</v>
      </c>
      <c r="U22" s="52">
        <f>'S9'!D24</f>
        <v>4.0069999999999997</v>
      </c>
      <c r="V22" s="314">
        <f>'S9'!D25-'S9'!D24</f>
        <v>-0.62700000000000422</v>
      </c>
      <c r="W22" s="316">
        <f>V22/U23</f>
        <v>-0.18550295857988316</v>
      </c>
      <c r="X22" s="52">
        <f>'S9'!E24</f>
        <v>4.3709999999999951</v>
      </c>
      <c r="Y22" s="314">
        <f>'S9'!E25-'S9'!E24</f>
        <v>-0.91100000000007242</v>
      </c>
      <c r="Z22" s="316">
        <f>Y22/X23</f>
        <v>-0.2632947976878881</v>
      </c>
    </row>
    <row r="23" spans="1:26" ht="15" customHeight="1" x14ac:dyDescent="0.35">
      <c r="A23" s="319"/>
      <c r="B23" s="52" t="s">
        <v>64</v>
      </c>
      <c r="C23" s="54">
        <f>'S9'!B10</f>
        <v>2.0300000000000011</v>
      </c>
      <c r="D23" s="314"/>
      <c r="E23" s="317"/>
      <c r="F23" s="54">
        <f>'S9'!C10</f>
        <v>7.9799999999999898</v>
      </c>
      <c r="G23" s="314"/>
      <c r="H23" s="317"/>
      <c r="I23" s="54">
        <f>'S9'!D10</f>
        <v>4.5600000000000023</v>
      </c>
      <c r="J23" s="314"/>
      <c r="K23" s="317"/>
      <c r="L23" s="54">
        <f>'S9'!E10</f>
        <v>3.6700000000000159</v>
      </c>
      <c r="M23" s="314"/>
      <c r="N23" s="317"/>
      <c r="O23" s="112">
        <f>'S9'!B25</f>
        <v>4.0099999999999909</v>
      </c>
      <c r="P23" s="314"/>
      <c r="Q23" s="317"/>
      <c r="R23" s="52">
        <f>'S9'!C25</f>
        <v>3.6900000000000546</v>
      </c>
      <c r="S23" s="314"/>
      <c r="T23" s="317"/>
      <c r="U23" s="54">
        <f>'S9'!D25</f>
        <v>3.3799999999999955</v>
      </c>
      <c r="V23" s="314"/>
      <c r="W23" s="317"/>
      <c r="X23" s="52">
        <f>'S9'!E25</f>
        <v>3.4599999999999227</v>
      </c>
      <c r="Y23" s="314"/>
      <c r="Z23" s="317"/>
    </row>
    <row r="24" spans="1:26" x14ac:dyDescent="0.35">
      <c r="A24" s="315" t="s">
        <v>13</v>
      </c>
      <c r="B24" s="52" t="s">
        <v>63</v>
      </c>
      <c r="C24" s="52">
        <f>'S10'!B9</f>
        <v>8.4249999999999829</v>
      </c>
      <c r="D24" s="314">
        <f>'S10'!B10-'S10'!B9</f>
        <v>-2.2549999999999955</v>
      </c>
      <c r="E24" s="313">
        <f>D24/C25</f>
        <v>-0.36547811993517021</v>
      </c>
      <c r="F24" s="52">
        <f>'S10'!C9</f>
        <v>13.360999999999983</v>
      </c>
      <c r="G24" s="314">
        <f>'S10'!C10-'S10'!C9</f>
        <v>1.7690000000000126</v>
      </c>
      <c r="H24" s="313">
        <f>G24/F25</f>
        <v>0.11692002643754218</v>
      </c>
      <c r="I24" s="52">
        <f>'S10'!D9</f>
        <v>15.385999999999996</v>
      </c>
      <c r="J24" s="314">
        <f>'S10'!D10-'S10'!D9</f>
        <v>-1.7160000000000082</v>
      </c>
      <c r="K24" s="313">
        <f>J24/I25</f>
        <v>-0.12553035844915947</v>
      </c>
      <c r="L24" s="52">
        <f>'S10'!E9</f>
        <v>8.654999999999994</v>
      </c>
      <c r="M24" s="314">
        <f>'S10'!E10-'S10'!E9</f>
        <v>-0.46499999999999631</v>
      </c>
      <c r="N24" s="313">
        <f>M24/L25</f>
        <v>-5.6776556776556339E-2</v>
      </c>
      <c r="O24" s="52">
        <f>'S10'!B24</f>
        <v>11.125999999999973</v>
      </c>
      <c r="P24" s="314">
        <f>'S10'!B25-'S10'!B24</f>
        <v>0.81400000000008177</v>
      </c>
      <c r="Q24" s="313">
        <f>P24/O25</f>
        <v>6.8174204355115411E-2</v>
      </c>
      <c r="R24" s="52">
        <f>'S10'!C24</f>
        <v>10.062000000000019</v>
      </c>
      <c r="S24" s="314">
        <f>'S10'!C25-'S10'!C24</f>
        <v>1.3079999999999856</v>
      </c>
      <c r="T24" s="313">
        <f>S24/R25</f>
        <v>0.11503957783641029</v>
      </c>
      <c r="U24" s="52">
        <f>'S10'!D24</f>
        <v>8.8340000000000032</v>
      </c>
      <c r="V24" s="314">
        <f>'S10'!D25-'S10'!D24</f>
        <v>-0.22399999999998954</v>
      </c>
      <c r="W24" s="313">
        <f>V24/U25</f>
        <v>-2.601626016260037E-2</v>
      </c>
      <c r="X24" s="52">
        <f>'S10'!E24</f>
        <v>10.588000000000015</v>
      </c>
      <c r="Y24" s="314">
        <f>'S10'!E25-'S10'!E24</f>
        <v>-0.10799999999999699</v>
      </c>
      <c r="Z24" s="313">
        <f>Y24/X25</f>
        <v>-1.0305343511450077E-2</v>
      </c>
    </row>
    <row r="25" spans="1:26" x14ac:dyDescent="0.35">
      <c r="A25" s="315"/>
      <c r="B25" s="52" t="s">
        <v>64</v>
      </c>
      <c r="C25" s="54">
        <f>'S10'!B10</f>
        <v>6.1699999999999875</v>
      </c>
      <c r="D25" s="314"/>
      <c r="E25" s="313"/>
      <c r="F25" s="54">
        <f>'S10'!C10</f>
        <v>15.129999999999995</v>
      </c>
      <c r="G25" s="314"/>
      <c r="H25" s="313"/>
      <c r="I25" s="54">
        <f>'S10'!D10</f>
        <v>13.669999999999987</v>
      </c>
      <c r="J25" s="314"/>
      <c r="K25" s="313"/>
      <c r="L25" s="54">
        <f>'S10'!E10</f>
        <v>8.1899999999999977</v>
      </c>
      <c r="M25" s="314"/>
      <c r="N25" s="313"/>
      <c r="O25" s="54">
        <f>'S10'!B25</f>
        <v>11.940000000000055</v>
      </c>
      <c r="P25" s="314"/>
      <c r="Q25" s="313"/>
      <c r="R25" s="54">
        <f>'S10'!C25</f>
        <v>11.370000000000005</v>
      </c>
      <c r="S25" s="314"/>
      <c r="T25" s="313"/>
      <c r="U25" s="54">
        <f>'S10'!D25</f>
        <v>8.6100000000000136</v>
      </c>
      <c r="V25" s="314"/>
      <c r="W25" s="313"/>
      <c r="X25" s="54">
        <f>'S10'!E25</f>
        <v>10.480000000000018</v>
      </c>
      <c r="Y25" s="314"/>
      <c r="Z25" s="313"/>
    </row>
    <row r="26" spans="1:26" x14ac:dyDescent="0.35">
      <c r="A26" s="315" t="s">
        <v>14</v>
      </c>
      <c r="B26" s="52" t="s">
        <v>63</v>
      </c>
      <c r="C26" s="52">
        <f>'S11'!B9</f>
        <v>24.954000000000001</v>
      </c>
      <c r="D26" s="314">
        <f>'S11'!B10-'S11'!B9</f>
        <v>-1.1439999999999984</v>
      </c>
      <c r="E26" s="313">
        <f>D26/C27</f>
        <v>-4.8047039059218741E-2</v>
      </c>
      <c r="F26" s="52">
        <f>'S11'!C9</f>
        <v>31.675000000000026</v>
      </c>
      <c r="G26" s="314">
        <f>'S11'!C10-'S11'!C9</f>
        <v>2.4849999999999994</v>
      </c>
      <c r="H26" s="313">
        <f>G26/F27</f>
        <v>7.274590163934419E-2</v>
      </c>
      <c r="I26" s="52">
        <f>'S11'!D9</f>
        <v>29.795999999999999</v>
      </c>
      <c r="J26" s="314">
        <f>'S11'!D10-'S11'!D9</f>
        <v>-1.8159999999999812</v>
      </c>
      <c r="K26" s="313">
        <f>J26/I27</f>
        <v>-6.4903502501786281E-2</v>
      </c>
      <c r="L26" s="52">
        <f>'S11'!E9</f>
        <v>26.669000000000018</v>
      </c>
      <c r="M26" s="314">
        <f>'S11'!E10-'S11'!E9</f>
        <v>1.1109999999999829</v>
      </c>
      <c r="N26" s="313">
        <f>M26/L27</f>
        <v>3.9992800575953308E-2</v>
      </c>
      <c r="O26" s="52">
        <f>'S11'!B24</f>
        <v>25.829000000000008</v>
      </c>
      <c r="P26" s="314">
        <f>'S11'!B25-'S11'!B24</f>
        <v>2.5310000000000059</v>
      </c>
      <c r="Q26" s="313">
        <f>P26/O27</f>
        <v>8.9245416078984646E-2</v>
      </c>
      <c r="R26" s="52">
        <f>'S11'!C24</f>
        <v>27.824999999999996</v>
      </c>
      <c r="S26" s="314">
        <f>'S11'!C25-'S11'!C24</f>
        <v>2.4250000000000043</v>
      </c>
      <c r="T26" s="313">
        <f>S26/R27</f>
        <v>8.0165289256198494E-2</v>
      </c>
      <c r="U26" s="52">
        <f>'S11'!D24</f>
        <v>26.935000000000016</v>
      </c>
      <c r="V26" s="314">
        <f>'S11'!D25-'S11'!D24</f>
        <v>2.2149999999999608</v>
      </c>
      <c r="W26" s="313">
        <f>V26/U27</f>
        <v>7.5986277873069039E-2</v>
      </c>
      <c r="X26" s="52">
        <f>'S11'!E24</f>
        <v>29.390999999999991</v>
      </c>
      <c r="Y26" s="314">
        <f>'S11'!E25-'S11'!E24</f>
        <v>2.6790000000000589</v>
      </c>
      <c r="Z26" s="313">
        <f>Y26/X27</f>
        <v>8.3536014967260833E-2</v>
      </c>
    </row>
    <row r="27" spans="1:26" x14ac:dyDescent="0.35">
      <c r="A27" s="315"/>
      <c r="B27" s="52" t="s">
        <v>64</v>
      </c>
      <c r="C27" s="52">
        <f>'S11'!B10</f>
        <v>23.810000000000002</v>
      </c>
      <c r="D27" s="314"/>
      <c r="E27" s="313"/>
      <c r="F27" s="52">
        <f>'S11'!C10</f>
        <v>34.160000000000025</v>
      </c>
      <c r="G27" s="314"/>
      <c r="H27" s="313"/>
      <c r="I27" s="52">
        <f>'S11'!D10</f>
        <v>27.980000000000018</v>
      </c>
      <c r="J27" s="314"/>
      <c r="K27" s="313"/>
      <c r="L27" s="52">
        <f>'S11'!E10</f>
        <v>27.78</v>
      </c>
      <c r="M27" s="314"/>
      <c r="N27" s="313"/>
      <c r="O27" s="52">
        <f>'S11'!B25</f>
        <v>28.360000000000014</v>
      </c>
      <c r="P27" s="314"/>
      <c r="Q27" s="313"/>
      <c r="R27" s="52">
        <f>'S11'!C25</f>
        <v>30.25</v>
      </c>
      <c r="S27" s="314"/>
      <c r="T27" s="313"/>
      <c r="U27" s="52">
        <f>'S11'!D25</f>
        <v>29.149999999999977</v>
      </c>
      <c r="V27" s="314"/>
      <c r="W27" s="313"/>
      <c r="X27" s="52">
        <f>'S11'!E25</f>
        <v>32.07000000000005</v>
      </c>
      <c r="Y27" s="314"/>
      <c r="Z27" s="313"/>
    </row>
    <row r="28" spans="1:26" x14ac:dyDescent="0.35">
      <c r="A28" s="315" t="s">
        <v>3</v>
      </c>
      <c r="B28" s="52" t="s">
        <v>63</v>
      </c>
      <c r="C28" s="52">
        <f>'S12'!B9</f>
        <v>32.921999999999983</v>
      </c>
      <c r="D28" s="314">
        <f>'S12'!B10-'S12'!B9</f>
        <v>-2.9219999999999828</v>
      </c>
      <c r="E28" s="313">
        <f>D28/C29</f>
        <v>-9.7399999999999431E-2</v>
      </c>
      <c r="F28" s="52">
        <f>'S12'!C9</f>
        <v>38.073</v>
      </c>
      <c r="G28" s="314">
        <f>'S12'!C10-'S12'!C9</f>
        <v>1.7669999999999746</v>
      </c>
      <c r="H28" s="313">
        <f>G28/F29</f>
        <v>4.4352409638553608E-2</v>
      </c>
      <c r="I28" s="52">
        <f>'S12'!D9</f>
        <v>33.708999999999989</v>
      </c>
      <c r="J28" s="314">
        <f>'S12'!D10-'S12'!D9</f>
        <v>-1.8689999999999856</v>
      </c>
      <c r="K28" s="313">
        <f>J28/I29</f>
        <v>-5.8699748743718132E-2</v>
      </c>
      <c r="L28" s="52">
        <f>'S12'!E9</f>
        <v>33.10499999999999</v>
      </c>
      <c r="M28" s="314">
        <f>'S12'!E10-'S12'!E9</f>
        <v>-4.9999999999954525E-3</v>
      </c>
      <c r="N28" s="313">
        <f>M28/L29</f>
        <v>-1.5105740181255145E-4</v>
      </c>
      <c r="O28" s="52">
        <f>'S12'!B24</f>
        <v>31.550999999999988</v>
      </c>
      <c r="P28" s="314">
        <f>'S12'!B25-'S12'!B24</f>
        <v>2.7189999999999941</v>
      </c>
      <c r="Q28" s="313">
        <f>P28/O29</f>
        <v>7.9340531076743381E-2</v>
      </c>
      <c r="R28" s="52">
        <f>'S12'!C24</f>
        <v>31.726000000000013</v>
      </c>
      <c r="S28" s="314">
        <f>'S12'!C25-'S12'!C24</f>
        <v>2.7039999999999367</v>
      </c>
      <c r="T28" s="313">
        <f>S28/R29</f>
        <v>7.8536160325295978E-2</v>
      </c>
      <c r="U28" s="52">
        <f>'S12'!D24</f>
        <v>31.884999999999998</v>
      </c>
      <c r="V28" s="314">
        <f>'S12'!D25-'S12'!D24</f>
        <v>2.4949999999999974</v>
      </c>
      <c r="W28" s="313">
        <f>V28/U29</f>
        <v>7.257126236183821E-2</v>
      </c>
      <c r="X28" s="52">
        <f>'S12'!E24</f>
        <v>33.831999999999994</v>
      </c>
      <c r="Y28" s="314">
        <f>'S12'!E25-'S12'!E24</f>
        <v>3.2279999999999518</v>
      </c>
      <c r="Z28" s="313">
        <f>Y28/X29</f>
        <v>8.710199676200639E-2</v>
      </c>
    </row>
    <row r="29" spans="1:26" x14ac:dyDescent="0.35">
      <c r="A29" s="315"/>
      <c r="B29" s="52" t="s">
        <v>64</v>
      </c>
      <c r="C29" s="54">
        <f>'S12'!B10</f>
        <v>30</v>
      </c>
      <c r="D29" s="314"/>
      <c r="E29" s="313"/>
      <c r="F29" s="54">
        <f>'S12'!C10</f>
        <v>39.839999999999975</v>
      </c>
      <c r="G29" s="314"/>
      <c r="H29" s="313"/>
      <c r="I29" s="54">
        <f>'S12'!D10</f>
        <v>31.840000000000003</v>
      </c>
      <c r="J29" s="314"/>
      <c r="K29" s="313"/>
      <c r="L29" s="54">
        <f>'S12'!E10</f>
        <v>33.099999999999994</v>
      </c>
      <c r="M29" s="314"/>
      <c r="N29" s="313"/>
      <c r="O29" s="54">
        <f>'S12'!B25</f>
        <v>34.269999999999982</v>
      </c>
      <c r="P29" s="314"/>
      <c r="Q29" s="313"/>
      <c r="R29" s="54">
        <f>'S12'!C25</f>
        <v>34.42999999999995</v>
      </c>
      <c r="S29" s="314"/>
      <c r="T29" s="313"/>
      <c r="U29" s="54">
        <f>'S12'!D25</f>
        <v>34.379999999999995</v>
      </c>
      <c r="V29" s="314"/>
      <c r="W29" s="313"/>
      <c r="X29" s="54">
        <f>'S12'!E25</f>
        <v>37.059999999999945</v>
      </c>
      <c r="Y29" s="314"/>
      <c r="Z29" s="313"/>
    </row>
    <row r="30" spans="1:26" ht="15.5" x14ac:dyDescent="0.35">
      <c r="A30" s="55"/>
      <c r="B30" s="99" t="s">
        <v>99</v>
      </c>
      <c r="C30" s="56"/>
      <c r="D30" s="158"/>
      <c r="E30" s="57"/>
      <c r="F30" s="106"/>
      <c r="G30" s="57"/>
      <c r="H30" s="57"/>
      <c r="I30" s="56"/>
      <c r="J30" s="57"/>
      <c r="K30" s="57"/>
      <c r="L30" s="56"/>
      <c r="M30" s="57"/>
      <c r="N30" s="57"/>
      <c r="O30" s="56"/>
      <c r="P30" s="57"/>
      <c r="Q30" s="57"/>
      <c r="R30" s="56"/>
      <c r="S30" s="57"/>
      <c r="T30" s="57"/>
      <c r="U30" s="56"/>
      <c r="V30" s="57"/>
      <c r="W30" s="57"/>
      <c r="X30" s="56"/>
      <c r="Y30" s="57"/>
      <c r="Z30" s="57"/>
    </row>
    <row r="31" spans="1:26" s="58" customFormat="1" ht="15.5" x14ac:dyDescent="0.35">
      <c r="A31" s="58" t="s">
        <v>65</v>
      </c>
      <c r="D31" s="58">
        <f>SUM(D6:D29)</f>
        <v>-12.511999999999972</v>
      </c>
      <c r="G31" s="58">
        <f>SUM(G6:G29)</f>
        <v>29.645999999999951</v>
      </c>
      <c r="J31" s="58">
        <f>SUM(J6:J29)</f>
        <v>-10.197999999999965</v>
      </c>
      <c r="M31" s="58">
        <f>SUM(M6:M29)</f>
        <v>0.68499999999998806</v>
      </c>
      <c r="P31" s="58">
        <f>SUM(P6:P29)</f>
        <v>13.907000000000007</v>
      </c>
      <c r="S31" s="58">
        <f>SUM(S6:S29)</f>
        <v>11.594999999999892</v>
      </c>
      <c r="V31" s="58">
        <f>SUM(V6:V29)</f>
        <v>4.1249999999998899</v>
      </c>
      <c r="Y31" s="58">
        <f>SUM(Y6:Y29)</f>
        <v>6.5920000000000059</v>
      </c>
    </row>
    <row r="32" spans="1:26" ht="6.75" customHeight="1" x14ac:dyDescent="0.35"/>
    <row r="33" spans="1:25" s="59" customFormat="1" ht="15.5" x14ac:dyDescent="0.35">
      <c r="A33" s="58" t="s">
        <v>66</v>
      </c>
      <c r="D33" s="60">
        <f>(D6+D8+D10+D12+D14+D16+D18+D20+D22+D24+D26+D28)/(C7+C9+C11+C13+C15+C17+C19+C21+C23+C25+C27+C29)</f>
        <v>-7.7873903031057262E-2</v>
      </c>
      <c r="G33" s="60">
        <f>(G6+G8+G10+G12+G14+G16+G18+G20+G22+G24+G26+G28)/(F7+F9+F11+F13+F15+F17+F19+F21+F23+F25+F27+F29)</f>
        <v>0.12490941265694765</v>
      </c>
      <c r="J33" s="60">
        <f>(J6+J8+J10+J12+J14+J16+J18+J20+J22+J24+J26+J28)/(I7+I9+I11+I13+I15+I17+I19+I21+I23+I25+I27+I29)</f>
        <v>-5.46956288549207E-2</v>
      </c>
      <c r="M33" s="60">
        <f>(M6+M8+M10+M12+M14+M16+M18+M20+M22+M24+M26+M28)/(L7+L9+L11+L13+L15+L17+L19+L21+L23+L25+L27+L29)</f>
        <v>4.0578164800662763E-3</v>
      </c>
      <c r="P33" s="60">
        <f>(P6+P8+P10+P12+P14+P16+P18+P20+P22+P24+P26+P28)/(O7+O9+O11+O13+O15+O17+O19+O21+O23+O25+O27+O29)</f>
        <v>7.6944782560584304E-2</v>
      </c>
      <c r="S33" s="60">
        <f>(S6+S8+S10+S12+S14+S16+S18+S20+S22+S24+S26+S28)/(R7+R9+R11+R13+R15+R17+R19+R21+R23+R25+R27+R29)</f>
        <v>6.1649298170990519E-2</v>
      </c>
      <c r="V33" s="60">
        <f>(V6+V8+V10+V12+V14+V16+V18+V20+V22+V24+V26+V28)/(U7+U9+U11+U13+U15+U17+U19+U21+U23+U25+U27+U29)</f>
        <v>2.3864622505061567E-2</v>
      </c>
      <c r="Y33" s="60">
        <f>(Y6+Y8+Y10+Y12+Y14+Y16+Y18+Y20+Y22+Y24+Y26+Y28)/(X7+X9+X11+X13+X15+X17+X19+X21+X23+X25+X27+X29)</f>
        <v>3.5315546983820889E-2</v>
      </c>
    </row>
    <row r="34" spans="1:25" s="61" customFormat="1" x14ac:dyDescent="0.35">
      <c r="D34" s="61">
        <v>1850</v>
      </c>
      <c r="G34" s="61">
        <v>1851</v>
      </c>
      <c r="J34" s="61">
        <v>1852</v>
      </c>
      <c r="M34" s="61">
        <v>1853</v>
      </c>
      <c r="P34" s="61">
        <v>1854</v>
      </c>
      <c r="S34" s="61">
        <v>1855</v>
      </c>
      <c r="V34" s="61">
        <v>1856</v>
      </c>
      <c r="Y34" s="61">
        <v>1857</v>
      </c>
    </row>
    <row r="38" spans="1:25" x14ac:dyDescent="0.35">
      <c r="A38" s="62"/>
    </row>
    <row r="39" spans="1:25" x14ac:dyDescent="0.35">
      <c r="A39"/>
    </row>
    <row r="40" spans="1:25" x14ac:dyDescent="0.35">
      <c r="A40" s="62"/>
    </row>
  </sheetData>
  <sheetProtection selectLockedCells="1" selectUnlockedCells="1"/>
  <mergeCells count="213">
    <mergeCell ref="Y8:Y9"/>
    <mergeCell ref="Z8:Z9"/>
    <mergeCell ref="A8:A9"/>
    <mergeCell ref="D8:D9"/>
    <mergeCell ref="E8:E9"/>
    <mergeCell ref="G8:G9"/>
    <mergeCell ref="H8:H9"/>
    <mergeCell ref="J8:J9"/>
    <mergeCell ref="K8:K9"/>
    <mergeCell ref="M8:M9"/>
    <mergeCell ref="N8:N9"/>
    <mergeCell ref="A10:A11"/>
    <mergeCell ref="D10:D11"/>
    <mergeCell ref="E10:E11"/>
    <mergeCell ref="G10:G11"/>
    <mergeCell ref="H10:H11"/>
    <mergeCell ref="S10:S11"/>
    <mergeCell ref="T10:T11"/>
    <mergeCell ref="V10:V11"/>
    <mergeCell ref="W10:W11"/>
    <mergeCell ref="R4:T4"/>
    <mergeCell ref="U4:W4"/>
    <mergeCell ref="S16:S17"/>
    <mergeCell ref="J18:J19"/>
    <mergeCell ref="K18:K19"/>
    <mergeCell ref="M18:M19"/>
    <mergeCell ref="N18:N19"/>
    <mergeCell ref="P18:P19"/>
    <mergeCell ref="Q18:Q19"/>
    <mergeCell ref="P8:P9"/>
    <mergeCell ref="Q8:Q9"/>
    <mergeCell ref="S8:S9"/>
    <mergeCell ref="T8:T9"/>
    <mergeCell ref="V8:V9"/>
    <mergeCell ref="W8:W9"/>
    <mergeCell ref="S14:S15"/>
    <mergeCell ref="T14:T15"/>
    <mergeCell ref="V14:V15"/>
    <mergeCell ref="W14:W15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M6:M7"/>
    <mergeCell ref="N6:N7"/>
    <mergeCell ref="P6:P7"/>
    <mergeCell ref="Y10:Y11"/>
    <mergeCell ref="Z10:Z11"/>
    <mergeCell ref="J10:J11"/>
    <mergeCell ref="K10:K11"/>
    <mergeCell ref="M10:M11"/>
    <mergeCell ref="N10:N11"/>
    <mergeCell ref="P10:P11"/>
    <mergeCell ref="Y12:Y13"/>
    <mergeCell ref="Z12:Z13"/>
    <mergeCell ref="Q12:Q13"/>
    <mergeCell ref="S12:S13"/>
    <mergeCell ref="Q10:Q11"/>
    <mergeCell ref="T12:T13"/>
    <mergeCell ref="V12:V13"/>
    <mergeCell ref="W12:W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K16:K17"/>
    <mergeCell ref="M16:M17"/>
    <mergeCell ref="N16:N17"/>
    <mergeCell ref="P16:P17"/>
    <mergeCell ref="Q16:Q17"/>
    <mergeCell ref="A16:A17"/>
    <mergeCell ref="D16:D17"/>
    <mergeCell ref="E16:E17"/>
    <mergeCell ref="G16:G17"/>
    <mergeCell ref="H16:H17"/>
    <mergeCell ref="J16:J17"/>
    <mergeCell ref="E18:E19"/>
    <mergeCell ref="G18:G19"/>
    <mergeCell ref="H18:H19"/>
    <mergeCell ref="A18:A19"/>
    <mergeCell ref="D18:D19"/>
    <mergeCell ref="Z20:Z21"/>
    <mergeCell ref="K20:K21"/>
    <mergeCell ref="M20:M21"/>
    <mergeCell ref="N20:N21"/>
    <mergeCell ref="P20:P21"/>
    <mergeCell ref="Q20:Q21"/>
    <mergeCell ref="S20:S21"/>
    <mergeCell ref="W18:W19"/>
    <mergeCell ref="Y18:Y19"/>
    <mergeCell ref="Z18:Z19"/>
    <mergeCell ref="S18:S19"/>
    <mergeCell ref="T18:T19"/>
    <mergeCell ref="V18:V19"/>
    <mergeCell ref="A20:A21"/>
    <mergeCell ref="D20:D21"/>
    <mergeCell ref="E20:E21"/>
    <mergeCell ref="G20:G21"/>
    <mergeCell ref="H20:H21"/>
    <mergeCell ref="J20:J21"/>
    <mergeCell ref="V22:V23"/>
    <mergeCell ref="W22:W23"/>
    <mergeCell ref="Y22:Y23"/>
    <mergeCell ref="T20:T21"/>
    <mergeCell ref="V20:V21"/>
    <mergeCell ref="W20:W21"/>
    <mergeCell ref="Y20:Y21"/>
    <mergeCell ref="A22:A23"/>
    <mergeCell ref="D22:D23"/>
    <mergeCell ref="E22:E23"/>
    <mergeCell ref="G22:G23"/>
    <mergeCell ref="H22:H23"/>
    <mergeCell ref="S22:S23"/>
    <mergeCell ref="T22:T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Q24:Q25"/>
    <mergeCell ref="S24:S25"/>
    <mergeCell ref="K24:K25"/>
    <mergeCell ref="M24:M25"/>
    <mergeCell ref="N24:N25"/>
    <mergeCell ref="P24:P25"/>
    <mergeCell ref="A24:A25"/>
    <mergeCell ref="D24:D25"/>
    <mergeCell ref="E24:E25"/>
    <mergeCell ref="G24:G25"/>
    <mergeCell ref="H24:H25"/>
    <mergeCell ref="J24:J25"/>
    <mergeCell ref="A28:A29"/>
    <mergeCell ref="D28:D29"/>
    <mergeCell ref="E28:E29"/>
    <mergeCell ref="G28:G29"/>
    <mergeCell ref="H28:H29"/>
    <mergeCell ref="J28:J29"/>
    <mergeCell ref="A26:A27"/>
    <mergeCell ref="D26:D27"/>
    <mergeCell ref="E26:E27"/>
    <mergeCell ref="G26:G27"/>
    <mergeCell ref="H26:H27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W26:W27"/>
    <mergeCell ref="Y26:Y27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</mergeCells>
  <printOptions horizontalCentered="1" verticalCentered="1"/>
  <pageMargins left="0" right="0" top="0.19652777777777777" bottom="0.19652777777777777" header="0.51180555555555551" footer="0.51180555555555551"/>
  <pageSetup paperSize="9" scale="75" firstPageNumber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A40"/>
  <sheetViews>
    <sheetView topLeftCell="A7" workbookViewId="0">
      <selection activeCell="B28" sqref="A28:XFD29"/>
    </sheetView>
  </sheetViews>
  <sheetFormatPr defaultColWidth="9.1796875" defaultRowHeight="14.5" x14ac:dyDescent="0.35"/>
  <cols>
    <col min="1" max="1" width="9.1796875" style="45"/>
    <col min="2" max="2" width="10.26953125" style="45" customWidth="1"/>
    <col min="3" max="4" width="7" style="45" customWidth="1"/>
    <col min="5" max="5" width="9" style="45" customWidth="1"/>
    <col min="6" max="7" width="7" style="45" customWidth="1"/>
    <col min="8" max="8" width="7.7265625" style="45" customWidth="1"/>
    <col min="9" max="9" width="7" style="45" customWidth="1"/>
    <col min="10" max="10" width="6.81640625" style="45" customWidth="1"/>
    <col min="11" max="11" width="9" style="45" customWidth="1"/>
    <col min="12" max="19" width="7" style="45" customWidth="1"/>
    <col min="20" max="20" width="7.7265625" style="45" customWidth="1"/>
    <col min="21" max="22" width="7" style="45" customWidth="1"/>
    <col min="23" max="23" width="8" style="45" customWidth="1"/>
    <col min="24" max="26" width="7" style="45" customWidth="1"/>
    <col min="27" max="16384" width="9.1796875" style="45"/>
  </cols>
  <sheetData>
    <row r="1" spans="1:27" ht="18.5" x14ac:dyDescent="0.35">
      <c r="A1" s="46" t="s">
        <v>59</v>
      </c>
    </row>
    <row r="2" spans="1:27" ht="11.25" customHeight="1" x14ac:dyDescent="0.35">
      <c r="A2" s="46"/>
    </row>
    <row r="3" spans="1:27" hidden="1" x14ac:dyDescent="0.35">
      <c r="C3" s="45">
        <v>1850</v>
      </c>
      <c r="F3" s="45">
        <v>51</v>
      </c>
      <c r="I3" s="45">
        <v>52</v>
      </c>
      <c r="L3" s="45">
        <v>53</v>
      </c>
      <c r="O3" s="45">
        <v>54</v>
      </c>
      <c r="R3" s="45">
        <v>55</v>
      </c>
      <c r="U3" s="45">
        <v>56</v>
      </c>
      <c r="X3" s="45">
        <v>57</v>
      </c>
    </row>
    <row r="4" spans="1:27" s="48" customFormat="1" ht="18.5" x14ac:dyDescent="0.35">
      <c r="A4" s="322"/>
      <c r="B4" s="322"/>
      <c r="C4" s="321">
        <v>1850</v>
      </c>
      <c r="D4" s="321"/>
      <c r="E4" s="321"/>
      <c r="F4" s="321">
        <v>1851</v>
      </c>
      <c r="G4" s="321"/>
      <c r="H4" s="321"/>
      <c r="I4" s="321">
        <v>1852</v>
      </c>
      <c r="J4" s="321"/>
      <c r="K4" s="321"/>
      <c r="L4" s="321">
        <v>1853</v>
      </c>
      <c r="M4" s="321"/>
      <c r="N4" s="321"/>
      <c r="O4" s="321">
        <v>1854</v>
      </c>
      <c r="P4" s="321"/>
      <c r="Q4" s="321"/>
      <c r="R4" s="321">
        <v>1855</v>
      </c>
      <c r="S4" s="321"/>
      <c r="T4" s="321"/>
      <c r="U4" s="321">
        <v>1856</v>
      </c>
      <c r="V4" s="321"/>
      <c r="W4" s="321"/>
      <c r="X4" s="321">
        <v>1857</v>
      </c>
      <c r="Y4" s="321"/>
      <c r="Z4" s="321"/>
      <c r="AA4" s="47"/>
    </row>
    <row r="5" spans="1:27" ht="29" x14ac:dyDescent="0.35">
      <c r="A5" s="322"/>
      <c r="B5" s="322"/>
      <c r="C5" s="49" t="s">
        <v>60</v>
      </c>
      <c r="D5" s="50" t="s">
        <v>61</v>
      </c>
      <c r="E5" s="50" t="s">
        <v>62</v>
      </c>
      <c r="F5" s="49" t="s">
        <v>60</v>
      </c>
      <c r="G5" s="50" t="s">
        <v>61</v>
      </c>
      <c r="H5" s="50" t="s">
        <v>62</v>
      </c>
      <c r="I5" s="49" t="s">
        <v>60</v>
      </c>
      <c r="J5" s="50" t="s">
        <v>61</v>
      </c>
      <c r="K5" s="50" t="s">
        <v>62</v>
      </c>
      <c r="L5" s="49" t="s">
        <v>60</v>
      </c>
      <c r="M5" s="50" t="s">
        <v>61</v>
      </c>
      <c r="N5" s="50" t="s">
        <v>62</v>
      </c>
      <c r="O5" s="49" t="s">
        <v>60</v>
      </c>
      <c r="P5" s="50" t="s">
        <v>61</v>
      </c>
      <c r="Q5" s="50" t="s">
        <v>62</v>
      </c>
      <c r="R5" s="49" t="s">
        <v>60</v>
      </c>
      <c r="S5" s="50" t="s">
        <v>61</v>
      </c>
      <c r="T5" s="50" t="s">
        <v>62</v>
      </c>
      <c r="U5" s="49" t="s">
        <v>60</v>
      </c>
      <c r="V5" s="50" t="s">
        <v>61</v>
      </c>
      <c r="W5" s="50" t="s">
        <v>62</v>
      </c>
      <c r="X5" s="49" t="s">
        <v>60</v>
      </c>
      <c r="Y5" s="50" t="s">
        <v>61</v>
      </c>
      <c r="Z5" s="50" t="s">
        <v>62</v>
      </c>
      <c r="AA5" s="51"/>
    </row>
    <row r="6" spans="1:27" x14ac:dyDescent="0.35">
      <c r="A6" s="315" t="s">
        <v>4</v>
      </c>
      <c r="B6" s="52" t="s">
        <v>63</v>
      </c>
      <c r="C6" s="52">
        <f>'S1'!B9</f>
        <v>35.789000000000016</v>
      </c>
      <c r="D6" s="320">
        <f>'S1'!B10-'S1'!B9</f>
        <v>3.5309999999999917</v>
      </c>
      <c r="E6" s="313">
        <f>D6/C7</f>
        <v>8.9801627670396511E-2</v>
      </c>
      <c r="F6" s="52">
        <f>'S1'!C9</f>
        <v>40.862000000000023</v>
      </c>
      <c r="G6" s="320">
        <f>'S1'!C10-'S1'!C9</f>
        <v>3.2979999999999876</v>
      </c>
      <c r="H6" s="313">
        <f>G6/F7</f>
        <v>7.468297101449245E-2</v>
      </c>
      <c r="I6" s="52">
        <f>'S1'!D9</f>
        <v>38.766000000000012</v>
      </c>
      <c r="J6" s="320">
        <f>'S1'!D10-'S1'!D9</f>
        <v>1.9739999999999966</v>
      </c>
      <c r="K6" s="313">
        <f>J6/I7</f>
        <v>4.8453608247422585E-2</v>
      </c>
      <c r="L6" s="52">
        <f>'S1'!E9</f>
        <v>35.855000000000018</v>
      </c>
      <c r="M6" s="320">
        <f>'S1'!E10-'S1'!E9</f>
        <v>1.8149999999999835</v>
      </c>
      <c r="N6" s="313">
        <f>M6/L7</f>
        <v>4.8181576851605616E-2</v>
      </c>
      <c r="O6" s="52">
        <f>'S1'!B24</f>
        <v>33.746999999999993</v>
      </c>
      <c r="P6" s="320">
        <f>'S1'!B25-'S1'!B24</f>
        <v>2.4530000000000527</v>
      </c>
      <c r="Q6" s="313">
        <f>P6/O7</f>
        <v>6.7762430939227888E-2</v>
      </c>
      <c r="R6" s="52">
        <f>'S1'!C24</f>
        <v>38.486000000000004</v>
      </c>
      <c r="S6" s="320">
        <f>'S1'!C25-'S1'!C24</f>
        <v>2.9339999999999549</v>
      </c>
      <c r="T6" s="313">
        <f>S6/R7</f>
        <v>7.0835345243842537E-2</v>
      </c>
      <c r="U6" s="52">
        <f>'S1'!D24</f>
        <v>35.634</v>
      </c>
      <c r="V6" s="320">
        <f>'S1'!D25-'S1'!D24</f>
        <v>2.6759999999999451</v>
      </c>
      <c r="W6" s="313">
        <f>V6/U7</f>
        <v>6.9851213782300942E-2</v>
      </c>
      <c r="X6" s="52">
        <f>'S1'!E24</f>
        <v>36.384999999999998</v>
      </c>
      <c r="Y6" s="320">
        <f>'S1'!E25-'S1'!E24</f>
        <v>3.9049999999999656</v>
      </c>
      <c r="Z6" s="313">
        <f>Y6/X7</f>
        <v>9.6922313229088342E-2</v>
      </c>
    </row>
    <row r="7" spans="1:27" x14ac:dyDescent="0.35">
      <c r="A7" s="315"/>
      <c r="B7" s="52" t="s">
        <v>64</v>
      </c>
      <c r="C7" s="52">
        <f>'S1'!B10</f>
        <v>39.320000000000007</v>
      </c>
      <c r="D7" s="320"/>
      <c r="E7" s="313"/>
      <c r="F7" s="52">
        <f>'S1'!C10</f>
        <v>44.160000000000011</v>
      </c>
      <c r="G7" s="320"/>
      <c r="H7" s="313"/>
      <c r="I7" s="52">
        <f>'S1'!D10</f>
        <v>40.740000000000009</v>
      </c>
      <c r="J7" s="320"/>
      <c r="K7" s="313"/>
      <c r="L7" s="52">
        <f>'S1'!E10</f>
        <v>37.67</v>
      </c>
      <c r="M7" s="320"/>
      <c r="N7" s="313"/>
      <c r="O7" s="52">
        <f>'S1'!B25</f>
        <v>36.200000000000045</v>
      </c>
      <c r="P7" s="320"/>
      <c r="Q7" s="313"/>
      <c r="R7" s="52">
        <f>'S1'!C25</f>
        <v>41.419999999999959</v>
      </c>
      <c r="S7" s="320"/>
      <c r="T7" s="313"/>
      <c r="U7" s="52">
        <f>'S1'!D25</f>
        <v>38.309999999999945</v>
      </c>
      <c r="V7" s="320"/>
      <c r="W7" s="313"/>
      <c r="X7" s="52">
        <f>'S1'!E25</f>
        <v>40.289999999999964</v>
      </c>
      <c r="Y7" s="320"/>
      <c r="Z7" s="313"/>
    </row>
    <row r="8" spans="1:27" x14ac:dyDescent="0.35">
      <c r="A8" s="315" t="s">
        <v>5</v>
      </c>
      <c r="B8" s="52" t="s">
        <v>63</v>
      </c>
      <c r="C8" s="52">
        <f>'S2'!B9</f>
        <v>23.655000000000001</v>
      </c>
      <c r="D8" s="314">
        <f>'S2'!B10-'S2'!B9</f>
        <v>1.9050000000000011</v>
      </c>
      <c r="E8" s="313">
        <f>D8/C9</f>
        <v>7.4530516431924917E-2</v>
      </c>
      <c r="F8" s="53">
        <f>'S2'!C9</f>
        <v>25.408999999999999</v>
      </c>
      <c r="G8" s="314">
        <f>'S2'!C10-'S2'!C9</f>
        <v>2.1709999999999852</v>
      </c>
      <c r="H8" s="313">
        <f>G8/F9</f>
        <v>7.8716461203770349E-2</v>
      </c>
      <c r="I8" s="53">
        <f>'S2'!D9</f>
        <v>23.458999999999982</v>
      </c>
      <c r="J8" s="314">
        <f>'S2'!D10-'S2'!D9</f>
        <v>1.1210000000000022</v>
      </c>
      <c r="K8" s="313">
        <f>J8/I9</f>
        <v>4.5606183889341047E-2</v>
      </c>
      <c r="L8" s="53">
        <f>'S2'!E9</f>
        <v>20.873999999999995</v>
      </c>
      <c r="M8" s="314">
        <f>'S2'!E10-'S2'!E9</f>
        <v>1.1359999999999957</v>
      </c>
      <c r="N8" s="313">
        <f>M8/L9</f>
        <v>5.1612903225806278E-2</v>
      </c>
      <c r="O8" s="53">
        <f>'S2'!B24</f>
        <v>21.614000000000004</v>
      </c>
      <c r="P8" s="314">
        <f>'S2'!B25-'S2'!B24</f>
        <v>1.6160000000000139</v>
      </c>
      <c r="Q8" s="313">
        <f>P8/O9</f>
        <v>6.956521739130489E-2</v>
      </c>
      <c r="R8" s="53">
        <f>'S2'!C24</f>
        <v>23.615000000000002</v>
      </c>
      <c r="S8" s="314">
        <f>'S2'!C25-'S2'!C24</f>
        <v>1.7849999999999753</v>
      </c>
      <c r="T8" s="313">
        <f>S8/R9</f>
        <v>7.0275590551180198E-2</v>
      </c>
      <c r="U8" s="53">
        <f>'S2'!D24</f>
        <v>20.178000000000004</v>
      </c>
      <c r="V8" s="314">
        <f>'S2'!D25-'S2'!D24</f>
        <v>1.1720000000000184</v>
      </c>
      <c r="W8" s="313">
        <f>V8/U9</f>
        <v>5.4894613583138976E-2</v>
      </c>
      <c r="X8" s="53">
        <f>'S2'!E24</f>
        <v>22.782999999999994</v>
      </c>
      <c r="Y8" s="314">
        <f>'S2'!E25-'S2'!E24</f>
        <v>2.2369999999999877</v>
      </c>
      <c r="Z8" s="313">
        <f>Y8/X9</f>
        <v>8.9408473221422438E-2</v>
      </c>
    </row>
    <row r="9" spans="1:27" x14ac:dyDescent="0.35">
      <c r="A9" s="315"/>
      <c r="B9" s="52" t="s">
        <v>64</v>
      </c>
      <c r="C9" s="53">
        <f>'S2'!B10</f>
        <v>25.560000000000002</v>
      </c>
      <c r="D9" s="314"/>
      <c r="E9" s="313"/>
      <c r="F9" s="53">
        <f>'S2'!C10</f>
        <v>27.579999999999984</v>
      </c>
      <c r="G9" s="314"/>
      <c r="H9" s="313"/>
      <c r="I9" s="53">
        <f>'S2'!D10</f>
        <v>24.579999999999984</v>
      </c>
      <c r="J9" s="314"/>
      <c r="K9" s="313"/>
      <c r="L9" s="53">
        <f>'S2'!E10</f>
        <v>22.009999999999991</v>
      </c>
      <c r="M9" s="314"/>
      <c r="N9" s="313"/>
      <c r="O9" s="53">
        <f>'S2'!B25</f>
        <v>23.230000000000018</v>
      </c>
      <c r="P9" s="314"/>
      <c r="Q9" s="313"/>
      <c r="R9" s="53">
        <f>'S2'!C25</f>
        <v>25.399999999999977</v>
      </c>
      <c r="S9" s="314"/>
      <c r="T9" s="313"/>
      <c r="U9" s="53">
        <f>'S2'!D25</f>
        <v>21.350000000000023</v>
      </c>
      <c r="V9" s="314"/>
      <c r="W9" s="313"/>
      <c r="X9" s="53">
        <f>'S2'!E25</f>
        <v>25.019999999999982</v>
      </c>
      <c r="Y9" s="314"/>
      <c r="Z9" s="313"/>
    </row>
    <row r="10" spans="1:27" x14ac:dyDescent="0.35">
      <c r="A10" s="315" t="s">
        <v>6</v>
      </c>
      <c r="B10" s="52" t="s">
        <v>63</v>
      </c>
      <c r="C10" s="52">
        <f>'S3'!B9</f>
        <v>16.748000000000005</v>
      </c>
      <c r="D10" s="314">
        <f>'S3'!B10-'S3'!B9</f>
        <v>1.0919999999999987</v>
      </c>
      <c r="E10" s="313">
        <f>D10/C11</f>
        <v>6.1210762331838482E-2</v>
      </c>
      <c r="F10" s="53">
        <f>'S3'!C9</f>
        <v>21.265999999999991</v>
      </c>
      <c r="G10" s="314">
        <f>'S3'!C10-'S3'!C9</f>
        <v>1.724000000000018</v>
      </c>
      <c r="H10" s="313">
        <f>G10/F11</f>
        <v>7.4989125706829807E-2</v>
      </c>
      <c r="I10" s="53">
        <f>'S3'!D9</f>
        <v>19.236999999999995</v>
      </c>
      <c r="J10" s="314">
        <f>'S3'!D10-'S3'!D9</f>
        <v>0.95300000000003138</v>
      </c>
      <c r="K10" s="313">
        <f>J10/I11</f>
        <v>4.72015849430426E-2</v>
      </c>
      <c r="L10" s="53">
        <f>'S3'!E9</f>
        <v>16.244000000000007</v>
      </c>
      <c r="M10" s="314">
        <f>'S3'!E10-'S3'!E9</f>
        <v>0.95599999999999596</v>
      </c>
      <c r="N10" s="313">
        <f>M10/L11</f>
        <v>5.5581395348836965E-2</v>
      </c>
      <c r="O10" s="53">
        <f>'S3'!B24</f>
        <v>16.996000000000034</v>
      </c>
      <c r="P10" s="320">
        <f>'S3'!B25-'S3'!B24</f>
        <v>1.1539999999999431</v>
      </c>
      <c r="Q10" s="313">
        <f>P10/O11</f>
        <v>6.3581267217627802E-2</v>
      </c>
      <c r="R10" s="52">
        <f>'S3'!C24</f>
        <v>17.192000000000014</v>
      </c>
      <c r="S10" s="320">
        <f>'S3'!C25-'S3'!C24</f>
        <v>1.3279999999999674</v>
      </c>
      <c r="T10" s="313">
        <f>S10/R11</f>
        <v>7.1706263498918399E-2</v>
      </c>
      <c r="U10" s="52">
        <f>'S3'!D24</f>
        <v>16.017999999999997</v>
      </c>
      <c r="V10" s="320">
        <f>'S3'!D25-'S3'!D24</f>
        <v>0.68199999999993466</v>
      </c>
      <c r="W10" s="313">
        <f>V10/U11</f>
        <v>4.0838323353289664E-2</v>
      </c>
      <c r="X10" s="52">
        <f>'S3'!E24</f>
        <v>16.846000000000018</v>
      </c>
      <c r="Y10" s="320">
        <f>'S3'!E25-'S3'!E24</f>
        <v>0.88400000000000034</v>
      </c>
      <c r="Z10" s="313">
        <f>Y10/X11</f>
        <v>4.9858996051889419E-2</v>
      </c>
    </row>
    <row r="11" spans="1:27" x14ac:dyDescent="0.35">
      <c r="A11" s="315"/>
      <c r="B11" s="52" t="s">
        <v>64</v>
      </c>
      <c r="C11" s="53">
        <f>'S3'!B10</f>
        <v>17.840000000000003</v>
      </c>
      <c r="D11" s="314"/>
      <c r="E11" s="313"/>
      <c r="F11" s="53">
        <f>'S3'!C10</f>
        <v>22.990000000000009</v>
      </c>
      <c r="G11" s="314"/>
      <c r="H11" s="313"/>
      <c r="I11" s="53">
        <f>'S3'!D10</f>
        <v>20.190000000000026</v>
      </c>
      <c r="J11" s="314"/>
      <c r="K11" s="313"/>
      <c r="L11" s="53">
        <f>'S3'!E10</f>
        <v>17.200000000000003</v>
      </c>
      <c r="M11" s="314"/>
      <c r="N11" s="313"/>
      <c r="O11" s="53">
        <f>'S3'!B25</f>
        <v>18.149999999999977</v>
      </c>
      <c r="P11" s="320"/>
      <c r="Q11" s="313"/>
      <c r="R11" s="52">
        <f>'S3'!C25</f>
        <v>18.519999999999982</v>
      </c>
      <c r="S11" s="320"/>
      <c r="T11" s="313"/>
      <c r="U11" s="52">
        <f>'S3'!D25</f>
        <v>16.699999999999932</v>
      </c>
      <c r="V11" s="320"/>
      <c r="W11" s="313"/>
      <c r="X11" s="52">
        <f>'S3'!E25</f>
        <v>17.730000000000018</v>
      </c>
      <c r="Y11" s="320"/>
      <c r="Z11" s="313"/>
    </row>
    <row r="12" spans="1:27" x14ac:dyDescent="0.35">
      <c r="A12" s="315" t="s">
        <v>7</v>
      </c>
      <c r="B12" s="52" t="s">
        <v>63</v>
      </c>
      <c r="C12" s="52">
        <f>'S4'!B9</f>
        <v>8.7019999999999911</v>
      </c>
      <c r="D12" s="314">
        <f>'S4'!B10-'S4'!B9</f>
        <v>-0.59200000000000585</v>
      </c>
      <c r="E12" s="313">
        <f>D12/C13</f>
        <v>-7.2996300863132788E-2</v>
      </c>
      <c r="F12" s="53">
        <f>'S4'!C9</f>
        <v>13.082000000000001</v>
      </c>
      <c r="G12" s="320">
        <f>'S4'!C10-'S4'!C9</f>
        <v>1.8480000000000061</v>
      </c>
      <c r="H12" s="313">
        <f>G12/F13</f>
        <v>0.1237776289350305</v>
      </c>
      <c r="I12" s="52">
        <f>'S4'!D9</f>
        <v>11.436000000000014</v>
      </c>
      <c r="J12" s="320">
        <f>'S4'!D10-'S4'!D9</f>
        <v>-0.1260000000000403</v>
      </c>
      <c r="K12" s="313">
        <f>J12/I13</f>
        <v>-1.1140583554380247E-2</v>
      </c>
      <c r="L12" s="52">
        <f>'S4'!E9</f>
        <v>8.404999999999994</v>
      </c>
      <c r="M12" s="320">
        <f>'S4'!E10-'S4'!E9</f>
        <v>-0.18499999999999517</v>
      </c>
      <c r="N12" s="313">
        <f>M12/L13</f>
        <v>-2.2506082725060241E-2</v>
      </c>
      <c r="O12" s="52">
        <f>'S4'!B24</f>
        <v>10.105000000000004</v>
      </c>
      <c r="P12" s="320">
        <f>'S4'!B25-'S4'!B24</f>
        <v>0.59499999999992781</v>
      </c>
      <c r="Q12" s="313">
        <f>P12/O13</f>
        <v>5.5607476635507629E-2</v>
      </c>
      <c r="R12" s="52">
        <f>'S4'!C24</f>
        <v>10.243000000000002</v>
      </c>
      <c r="S12" s="320">
        <f>'S4'!C25-'S4'!C24</f>
        <v>1.1070000000000206</v>
      </c>
      <c r="T12" s="313">
        <f>S12/R13</f>
        <v>9.7533039647578715E-2</v>
      </c>
      <c r="U12" s="52">
        <f>'S4'!D24</f>
        <v>9.418000000000001</v>
      </c>
      <c r="V12" s="320">
        <f>'S4'!D25-'S4'!D24</f>
        <v>-0.27799999999990099</v>
      </c>
      <c r="W12" s="313">
        <f>V12/U13</f>
        <v>-3.0415754923402403E-2</v>
      </c>
      <c r="X12" s="52">
        <f>'S4'!E24</f>
        <v>9.4059999999999988</v>
      </c>
      <c r="Y12" s="320">
        <f>'S4'!E25-'S4'!E24</f>
        <v>-0.8960000000000079</v>
      </c>
      <c r="Z12" s="313">
        <f>Y12/X13</f>
        <v>-0.10528789659224545</v>
      </c>
    </row>
    <row r="13" spans="1:27" x14ac:dyDescent="0.35">
      <c r="A13" s="315"/>
      <c r="B13" s="52" t="s">
        <v>64</v>
      </c>
      <c r="C13" s="53">
        <f>'S4'!B10</f>
        <v>8.1099999999999852</v>
      </c>
      <c r="D13" s="314"/>
      <c r="E13" s="313"/>
      <c r="F13" s="53">
        <f>'S4'!C10</f>
        <v>14.930000000000007</v>
      </c>
      <c r="G13" s="320"/>
      <c r="H13" s="313"/>
      <c r="I13" s="52">
        <f>'S4'!D10</f>
        <v>11.309999999999974</v>
      </c>
      <c r="J13" s="320"/>
      <c r="K13" s="313"/>
      <c r="L13" s="52">
        <f>'S4'!E10</f>
        <v>8.2199999999999989</v>
      </c>
      <c r="M13" s="320"/>
      <c r="N13" s="313"/>
      <c r="O13" s="52">
        <f>'S4'!B25</f>
        <v>10.699999999999932</v>
      </c>
      <c r="P13" s="320"/>
      <c r="Q13" s="313"/>
      <c r="R13" s="52">
        <f>'S4'!C25</f>
        <v>11.350000000000023</v>
      </c>
      <c r="S13" s="320"/>
      <c r="T13" s="313"/>
      <c r="U13" s="52">
        <f>'S4'!D25</f>
        <v>9.1400000000001</v>
      </c>
      <c r="V13" s="320"/>
      <c r="W13" s="313"/>
      <c r="X13" s="52">
        <f>'S4'!E25</f>
        <v>8.5099999999999909</v>
      </c>
      <c r="Y13" s="320"/>
      <c r="Z13" s="313"/>
    </row>
    <row r="14" spans="1:27" x14ac:dyDescent="0.35">
      <c r="A14" s="315" t="s">
        <v>8</v>
      </c>
      <c r="B14" s="52" t="s">
        <v>63</v>
      </c>
      <c r="C14" s="52">
        <f>'S5'!B9</f>
        <v>4.5859999999999914</v>
      </c>
      <c r="D14" s="314">
        <f>'S5'!B10-'S5'!B9</f>
        <v>-1.53599999999998</v>
      </c>
      <c r="E14" s="313">
        <f>D14/C15</f>
        <v>-0.50360655737704074</v>
      </c>
      <c r="F14" s="52">
        <f>'S5'!C9</f>
        <v>6.4179999999999922</v>
      </c>
      <c r="G14" s="314">
        <f>'S5'!C10-'S5'!C9</f>
        <v>3.4320000000000022</v>
      </c>
      <c r="H14" s="313">
        <f>G14/F15</f>
        <v>0.3484263959390867</v>
      </c>
      <c r="I14" s="52">
        <f>'S5'!D9</f>
        <v>6.4530000000000172</v>
      </c>
      <c r="J14" s="314">
        <f>'S5'!D10-'S5'!D9</f>
        <v>-1.3430000000000035</v>
      </c>
      <c r="K14" s="313">
        <f>J14/I15</f>
        <v>-0.26281800391389432</v>
      </c>
      <c r="L14" s="52">
        <f>'S5'!E9</f>
        <v>4.7709999999999866</v>
      </c>
      <c r="M14" s="314">
        <f>'S5'!E10-'S5'!E9</f>
        <v>-0.68099999999998317</v>
      </c>
      <c r="N14" s="313">
        <f>M14/L15</f>
        <v>-0.16650366748165835</v>
      </c>
      <c r="O14" s="52">
        <f>'S5'!B24</f>
        <v>4.0680000000000023</v>
      </c>
      <c r="P14" s="314">
        <f>'S5'!B25-'S5'!B24</f>
        <v>0.72200000000007503</v>
      </c>
      <c r="Q14" s="313">
        <f>P14/O15</f>
        <v>0.15073068893529507</v>
      </c>
      <c r="R14" s="52">
        <f>'S5'!C24</f>
        <v>4.7569999999999837</v>
      </c>
      <c r="S14" s="314">
        <f>'S5'!C25-'S5'!C24</f>
        <v>-0.21700000000002007</v>
      </c>
      <c r="T14" s="313">
        <f>S14/R15</f>
        <v>-4.7797356828198634E-2</v>
      </c>
      <c r="U14" s="52">
        <f>'S5'!D24</f>
        <v>5.3409999999999975</v>
      </c>
      <c r="V14" s="314">
        <f>'S5'!D25-'S5'!D24</f>
        <v>-1.0110000000000703</v>
      </c>
      <c r="W14" s="313">
        <f>V14/U15</f>
        <v>-0.23348729792149822</v>
      </c>
      <c r="X14" s="52">
        <f>'S5'!E24</f>
        <v>5.259999999999998</v>
      </c>
      <c r="Y14" s="314">
        <f>'S5'!E25-'S5'!E24</f>
        <v>-1.1799999999999571</v>
      </c>
      <c r="Z14" s="313">
        <f>Y14/X15</f>
        <v>-0.2892156862744964</v>
      </c>
    </row>
    <row r="15" spans="1:27" x14ac:dyDescent="0.35">
      <c r="A15" s="315"/>
      <c r="B15" s="52" t="s">
        <v>64</v>
      </c>
      <c r="C15" s="53">
        <f>'S5'!B10</f>
        <v>3.0500000000000114</v>
      </c>
      <c r="D15" s="314"/>
      <c r="E15" s="313"/>
      <c r="F15" s="53">
        <f>'S5'!C10</f>
        <v>9.8499999999999943</v>
      </c>
      <c r="G15" s="314"/>
      <c r="H15" s="313"/>
      <c r="I15" s="53">
        <f>'S5'!D10</f>
        <v>5.1100000000000136</v>
      </c>
      <c r="J15" s="314"/>
      <c r="K15" s="313"/>
      <c r="L15" s="53">
        <f>'S5'!E10</f>
        <v>4.0900000000000034</v>
      </c>
      <c r="M15" s="314"/>
      <c r="N15" s="313"/>
      <c r="O15" s="53">
        <f>'S5'!B25</f>
        <v>4.7900000000000773</v>
      </c>
      <c r="P15" s="314"/>
      <c r="Q15" s="313"/>
      <c r="R15" s="53">
        <f>'S5'!C25</f>
        <v>4.5399999999999636</v>
      </c>
      <c r="S15" s="314"/>
      <c r="T15" s="313"/>
      <c r="U15" s="53">
        <f>'S5'!D25</f>
        <v>4.3299999999999272</v>
      </c>
      <c r="V15" s="314"/>
      <c r="W15" s="313"/>
      <c r="X15" s="53">
        <f>'S5'!E25</f>
        <v>4.0800000000000409</v>
      </c>
      <c r="Y15" s="314"/>
      <c r="Z15" s="313"/>
    </row>
    <row r="16" spans="1:27" x14ac:dyDescent="0.35">
      <c r="A16" s="315" t="s">
        <v>9</v>
      </c>
      <c r="B16" s="52" t="s">
        <v>63</v>
      </c>
      <c r="C16" s="52">
        <f>'S6'!B9</f>
        <v>4.0150000000000006</v>
      </c>
      <c r="D16" s="314">
        <f>'S6'!B10-'S6'!B9</f>
        <v>-1.7550000000000097</v>
      </c>
      <c r="E16" s="313">
        <f>D16/C17</f>
        <v>-0.77654867256637905</v>
      </c>
      <c r="F16" s="52">
        <f>'S6'!C9</f>
        <v>4.7290000000000063</v>
      </c>
      <c r="G16" s="314">
        <f>'S6'!C10-'S6'!C9</f>
        <v>3.1009999999999778</v>
      </c>
      <c r="H16" s="313">
        <f>G16/F17</f>
        <v>0.39604086845465952</v>
      </c>
      <c r="I16" s="52">
        <f>'S6'!D9</f>
        <v>4.7579999999999671</v>
      </c>
      <c r="J16" s="314">
        <f>'S6'!D10-'S6'!D9</f>
        <v>-1.7179999999999751</v>
      </c>
      <c r="K16" s="313">
        <f>J16/I17</f>
        <v>-0.56513157894736166</v>
      </c>
      <c r="L16" s="52">
        <f>'S6'!E9</f>
        <v>3.6820000000000235</v>
      </c>
      <c r="M16" s="314">
        <f>'S6'!E10-'S6'!E9</f>
        <v>-0.68200000000002348</v>
      </c>
      <c r="N16" s="313">
        <f>M16/L17</f>
        <v>-0.22733333333334116</v>
      </c>
      <c r="O16" s="52">
        <f>'S6'!B24</f>
        <v>3.1819999999999786</v>
      </c>
      <c r="P16" s="314">
        <f>'S6'!B25-'S6'!B24</f>
        <v>0.70800000000000773</v>
      </c>
      <c r="Q16" s="313">
        <f>P16/O17</f>
        <v>0.18200514138817744</v>
      </c>
      <c r="R16" s="52">
        <f>'S6'!C24</f>
        <v>3.4129999999999967</v>
      </c>
      <c r="S16" s="314">
        <f>'S6'!C25-'S6'!C24</f>
        <v>-0.46299999999995123</v>
      </c>
      <c r="T16" s="313">
        <f>S16/R17</f>
        <v>-0.15694915254235392</v>
      </c>
      <c r="U16" s="52">
        <f>'S6'!D24</f>
        <v>4.1040000000000028</v>
      </c>
      <c r="V16" s="314">
        <f>'S6'!D25-'S6'!D24</f>
        <v>-1.0139999999999709</v>
      </c>
      <c r="W16" s="313">
        <f>V16/U17</f>
        <v>-0.32815533980581246</v>
      </c>
      <c r="X16" s="52">
        <f>'S6'!E24</f>
        <v>4.6269999999999953</v>
      </c>
      <c r="Y16" s="314">
        <f>'S6'!E25-'S6'!E24</f>
        <v>-1.1269999999999953</v>
      </c>
      <c r="Z16" s="313">
        <f>Y16/X17</f>
        <v>-0.32199999999999868</v>
      </c>
    </row>
    <row r="17" spans="1:26" x14ac:dyDescent="0.35">
      <c r="A17" s="315"/>
      <c r="B17" s="52" t="s">
        <v>64</v>
      </c>
      <c r="C17" s="52">
        <f>'S6'!B10</f>
        <v>2.2599999999999909</v>
      </c>
      <c r="D17" s="314"/>
      <c r="E17" s="313"/>
      <c r="F17" s="52">
        <f>'S6'!C10</f>
        <v>7.8299999999999841</v>
      </c>
      <c r="G17" s="314"/>
      <c r="H17" s="313"/>
      <c r="I17" s="52">
        <f>'S6'!D10</f>
        <v>3.039999999999992</v>
      </c>
      <c r="J17" s="314"/>
      <c r="K17" s="313"/>
      <c r="L17" s="52">
        <f>'S6'!E10</f>
        <v>3</v>
      </c>
      <c r="M17" s="314"/>
      <c r="N17" s="313"/>
      <c r="O17" s="52">
        <f>'S6'!B25</f>
        <v>3.8899999999999864</v>
      </c>
      <c r="P17" s="314"/>
      <c r="Q17" s="313"/>
      <c r="R17" s="52">
        <f>'S6'!C25</f>
        <v>2.9500000000000455</v>
      </c>
      <c r="S17" s="314"/>
      <c r="T17" s="313"/>
      <c r="U17" s="52">
        <f>'S6'!D25</f>
        <v>3.0900000000000318</v>
      </c>
      <c r="V17" s="314"/>
      <c r="W17" s="313"/>
      <c r="X17" s="52">
        <f>'S6'!E25</f>
        <v>3.5</v>
      </c>
      <c r="Y17" s="314"/>
      <c r="Z17" s="313"/>
    </row>
    <row r="18" spans="1:26" x14ac:dyDescent="0.35">
      <c r="A18" s="315" t="s">
        <v>10</v>
      </c>
      <c r="B18" s="52" t="s">
        <v>63</v>
      </c>
      <c r="C18" s="52">
        <f>'S7'!B9</f>
        <v>3.032999999999987</v>
      </c>
      <c r="D18" s="314">
        <f>'S7'!B10-'S7'!B9</f>
        <v>-1.7229999999999848</v>
      </c>
      <c r="E18" s="313">
        <f>D18/C19</f>
        <v>-1.3152671755725052</v>
      </c>
      <c r="F18" s="52">
        <f>'S7'!C9</f>
        <v>3.6490000000000293</v>
      </c>
      <c r="G18" s="314">
        <f>'S7'!C10-'S7'!C9</f>
        <v>3.2809999999999775</v>
      </c>
      <c r="H18" s="313">
        <f>G18/F19</f>
        <v>0.47344877344876973</v>
      </c>
      <c r="I18" s="52">
        <f>'S7'!D9</f>
        <v>3.7990000000000137</v>
      </c>
      <c r="J18" s="314">
        <f>'S7'!D10-'S7'!D9</f>
        <v>-1.8390000000000057</v>
      </c>
      <c r="K18" s="313">
        <f>J18/I19</f>
        <v>-0.93826530612244807</v>
      </c>
      <c r="L18" s="52">
        <f>'S7'!E9</f>
        <v>2.941999999999986</v>
      </c>
      <c r="M18" s="314">
        <f>'S7'!E10-'S7'!E9</f>
        <v>-0.78199999999998937</v>
      </c>
      <c r="N18" s="313">
        <f>M18/L19</f>
        <v>-0.36203703703703266</v>
      </c>
      <c r="O18" s="52">
        <f>'S7'!B24</f>
        <v>2.4020000000000103</v>
      </c>
      <c r="P18" s="314">
        <f>'S7'!B25-'S7'!B24</f>
        <v>0.30799999999991234</v>
      </c>
      <c r="Q18" s="313">
        <f>P18/O19</f>
        <v>0.11365313653133621</v>
      </c>
      <c r="R18" s="52">
        <f>'S7'!C24</f>
        <v>2.6360000000000028</v>
      </c>
      <c r="S18" s="314">
        <f>'S7'!C25-'S7'!C24</f>
        <v>-0.56599999999995276</v>
      </c>
      <c r="T18" s="313">
        <f>S18/R19</f>
        <v>-0.27342995169079182</v>
      </c>
      <c r="U18" s="52">
        <f>'S7'!D24</f>
        <v>3.173</v>
      </c>
      <c r="V18" s="314">
        <f>'S7'!D25-'S7'!D24</f>
        <v>-0.94299999999998185</v>
      </c>
      <c r="W18" s="313">
        <f>V18/U19</f>
        <v>-0.42286995515693909</v>
      </c>
      <c r="X18" s="52">
        <f>'S7'!E24</f>
        <v>3.4189999999999756</v>
      </c>
      <c r="Y18" s="314">
        <f>'S7'!E25-'S7'!E24</f>
        <v>-1.0989999999999256</v>
      </c>
      <c r="Z18" s="313">
        <f>Y18/X19</f>
        <v>-0.47370689655168186</v>
      </c>
    </row>
    <row r="19" spans="1:26" x14ac:dyDescent="0.35">
      <c r="A19" s="315"/>
      <c r="B19" s="52" t="s">
        <v>64</v>
      </c>
      <c r="C19" s="52">
        <f>'S7'!B10</f>
        <v>1.3100000000000023</v>
      </c>
      <c r="D19" s="314"/>
      <c r="E19" s="313"/>
      <c r="F19" s="53">
        <f>'S7'!C10</f>
        <v>6.9300000000000068</v>
      </c>
      <c r="G19" s="314"/>
      <c r="H19" s="313"/>
      <c r="I19" s="52">
        <f>'S7'!D10</f>
        <v>1.960000000000008</v>
      </c>
      <c r="J19" s="314"/>
      <c r="K19" s="313"/>
      <c r="L19" s="52">
        <f>'S7'!E10</f>
        <v>2.1599999999999966</v>
      </c>
      <c r="M19" s="314"/>
      <c r="N19" s="313"/>
      <c r="O19" s="52">
        <f>'S7'!B25</f>
        <v>2.7099999999999227</v>
      </c>
      <c r="P19" s="314"/>
      <c r="Q19" s="313"/>
      <c r="R19" s="52">
        <f>'S7'!C25</f>
        <v>2.07000000000005</v>
      </c>
      <c r="S19" s="314"/>
      <c r="T19" s="313"/>
      <c r="U19" s="52">
        <f>'S7'!D25</f>
        <v>2.2300000000000182</v>
      </c>
      <c r="V19" s="314"/>
      <c r="W19" s="313"/>
      <c r="X19" s="52">
        <f>'S7'!E25</f>
        <v>2.32000000000005</v>
      </c>
      <c r="Y19" s="314"/>
      <c r="Z19" s="313"/>
    </row>
    <row r="20" spans="1:26" x14ac:dyDescent="0.35">
      <c r="A20" s="315" t="s">
        <v>11</v>
      </c>
      <c r="B20" s="52" t="s">
        <v>63</v>
      </c>
      <c r="C20" s="52">
        <f>'S8'!B9</f>
        <v>3.0610000000000213</v>
      </c>
      <c r="D20" s="314">
        <f>'S8'!B10-'S8'!B9</f>
        <v>-1.8510000000000133</v>
      </c>
      <c r="E20" s="313">
        <f>D20/C21</f>
        <v>-1.5297520661157034</v>
      </c>
      <c r="F20" s="52">
        <f>'S8'!C9</f>
        <v>3.5609999999999857</v>
      </c>
      <c r="G20" s="314">
        <f>'S8'!C10-'S8'!C9</f>
        <v>2.3990000000000222</v>
      </c>
      <c r="H20" s="313">
        <f>G20/F21</f>
        <v>0.4025167785234931</v>
      </c>
      <c r="I20" s="52">
        <f>'S8'!D9</f>
        <v>3.134999999999998</v>
      </c>
      <c r="J20" s="314">
        <f>'S8'!D10-'S8'!D9</f>
        <v>-1.6649999999999991</v>
      </c>
      <c r="K20" s="313">
        <f>J20/I21</f>
        <v>-1.1326530612244901</v>
      </c>
      <c r="L20" s="52">
        <f>'S8'!E9</f>
        <v>2.5099999999999909</v>
      </c>
      <c r="M20" s="314">
        <f>'S8'!E10-'S8'!E9</f>
        <v>-0.78999999999999204</v>
      </c>
      <c r="N20" s="313">
        <f>M20/L21</f>
        <v>-0.459302325581391</v>
      </c>
      <c r="O20" s="52">
        <f>'S8'!B24</f>
        <v>2.5779999999999887</v>
      </c>
      <c r="P20" s="314">
        <f>'S8'!B25-'S8'!B24</f>
        <v>-8.799999999997965E-2</v>
      </c>
      <c r="Q20" s="313">
        <f>P20/O21</f>
        <v>-3.5341365461839087E-2</v>
      </c>
      <c r="R20" s="52">
        <f>'S8'!C24</f>
        <v>2.6800000000000068</v>
      </c>
      <c r="S20" s="314">
        <f>'S8'!C25-'S8'!C24</f>
        <v>-0.59000000000008868</v>
      </c>
      <c r="T20" s="313">
        <f>S20/R21</f>
        <v>-0.28229665071775684</v>
      </c>
      <c r="U20" s="52">
        <f>'S8'!D24</f>
        <v>3.1979999999999986</v>
      </c>
      <c r="V20" s="314">
        <f>'S8'!D25-'S8'!D24</f>
        <v>-1.0180000000000486</v>
      </c>
      <c r="W20" s="313">
        <f>V20/U21</f>
        <v>-0.46697247706425321</v>
      </c>
      <c r="X20" s="52">
        <f>'S8'!E24</f>
        <v>3.1599999999999895</v>
      </c>
      <c r="Y20" s="314">
        <f>'S8'!E25-'S8'!E24</f>
        <v>-1.0200000000000031</v>
      </c>
      <c r="Z20" s="313">
        <f>Y20/X21</f>
        <v>-0.47663551401869608</v>
      </c>
    </row>
    <row r="21" spans="1:26" x14ac:dyDescent="0.35">
      <c r="A21" s="315"/>
      <c r="B21" s="52" t="s">
        <v>64</v>
      </c>
      <c r="C21" s="52">
        <f>'S8'!B10</f>
        <v>1.210000000000008</v>
      </c>
      <c r="D21" s="314"/>
      <c r="E21" s="313"/>
      <c r="F21" s="52">
        <f>'S8'!C10</f>
        <v>5.960000000000008</v>
      </c>
      <c r="G21" s="314"/>
      <c r="H21" s="313"/>
      <c r="I21" s="52">
        <f>'S8'!D10</f>
        <v>1.4699999999999989</v>
      </c>
      <c r="J21" s="314"/>
      <c r="K21" s="313"/>
      <c r="L21" s="52">
        <f>'S8'!E10</f>
        <v>1.7199999999999989</v>
      </c>
      <c r="M21" s="314"/>
      <c r="N21" s="313"/>
      <c r="O21" s="52">
        <f>'S8'!B25</f>
        <v>2.4900000000000091</v>
      </c>
      <c r="P21" s="314"/>
      <c r="Q21" s="313"/>
      <c r="R21" s="52">
        <f>'S8'!C25</f>
        <v>2.0899999999999181</v>
      </c>
      <c r="S21" s="314"/>
      <c r="T21" s="313"/>
      <c r="U21" s="52">
        <f>'S8'!D25</f>
        <v>2.17999999999995</v>
      </c>
      <c r="V21" s="314"/>
      <c r="W21" s="313"/>
      <c r="X21" s="52">
        <f>'S8'!E25</f>
        <v>2.1399999999999864</v>
      </c>
      <c r="Y21" s="314"/>
      <c r="Z21" s="313"/>
    </row>
    <row r="22" spans="1:26" ht="15" customHeight="1" x14ac:dyDescent="0.35">
      <c r="A22" s="318" t="s">
        <v>12</v>
      </c>
      <c r="B22" s="52" t="s">
        <v>63</v>
      </c>
      <c r="C22" s="52">
        <f>'S9'!B9</f>
        <v>7.2919999999999945</v>
      </c>
      <c r="D22" s="314">
        <f>'S9'!B10-'S9'!B9</f>
        <v>-5.2619999999999933</v>
      </c>
      <c r="E22" s="316">
        <f>D22/C23</f>
        <v>-2.5921182266009803</v>
      </c>
      <c r="F22" s="52">
        <f>'S9'!C9</f>
        <v>5.6090000000000018</v>
      </c>
      <c r="G22" s="314">
        <f>'S9'!C10-'S9'!C9</f>
        <v>2.370999999999988</v>
      </c>
      <c r="H22" s="316">
        <f>G22/F23</f>
        <v>0.29711779448621439</v>
      </c>
      <c r="I22" s="52">
        <f>'S9'!D9</f>
        <v>6.7139999999999986</v>
      </c>
      <c r="J22" s="314">
        <f>'S9'!D10-'S9'!D9</f>
        <v>-2.1539999999999964</v>
      </c>
      <c r="K22" s="316">
        <f>J22/I23</f>
        <v>-0.47236842105263055</v>
      </c>
      <c r="L22" s="52">
        <f>'S9'!E9</f>
        <v>4.4130000000000109</v>
      </c>
      <c r="M22" s="314">
        <f>'S9'!E10-'S9'!E9</f>
        <v>-0.742999999999995</v>
      </c>
      <c r="N22" s="316">
        <f>M22/L23</f>
        <v>-0.20245231607629205</v>
      </c>
      <c r="O22" s="111">
        <f>'S9'!B24</f>
        <v>3.6350000000000193</v>
      </c>
      <c r="P22" s="314">
        <f>'S9'!B25-'S9'!B24</f>
        <v>0.37499999999997158</v>
      </c>
      <c r="Q22" s="316">
        <f>P22/O23</f>
        <v>9.3516209476302348E-2</v>
      </c>
      <c r="R22" s="52">
        <f>'S9'!C24</f>
        <v>3.8499999999999943</v>
      </c>
      <c r="S22" s="314">
        <f>'S9'!C25-'S9'!C24</f>
        <v>-0.15999999999993975</v>
      </c>
      <c r="T22" s="316">
        <f>S22/R23</f>
        <v>-4.3360433604319071E-2</v>
      </c>
      <c r="U22" s="52">
        <f>'S9'!D24</f>
        <v>4.0069999999999997</v>
      </c>
      <c r="V22" s="314">
        <f>'S9'!D25-'S9'!D24</f>
        <v>-0.62700000000000422</v>
      </c>
      <c r="W22" s="316">
        <f>V22/U23</f>
        <v>-0.18550295857988316</v>
      </c>
      <c r="X22" s="52">
        <f>'S9'!E24</f>
        <v>4.3709999999999951</v>
      </c>
      <c r="Y22" s="314">
        <f>'S9'!E25-'S9'!E24</f>
        <v>-0.91100000000007242</v>
      </c>
      <c r="Z22" s="316">
        <f>Y22/X23</f>
        <v>-0.2632947976878881</v>
      </c>
    </row>
    <row r="23" spans="1:26" ht="15" customHeight="1" x14ac:dyDescent="0.35">
      <c r="A23" s="319"/>
      <c r="B23" s="52" t="s">
        <v>64</v>
      </c>
      <c r="C23" s="54">
        <f>'S9'!B10</f>
        <v>2.0300000000000011</v>
      </c>
      <c r="D23" s="314"/>
      <c r="E23" s="317"/>
      <c r="F23" s="54">
        <f>'S9'!C10</f>
        <v>7.9799999999999898</v>
      </c>
      <c r="G23" s="314"/>
      <c r="H23" s="317"/>
      <c r="I23" s="54">
        <f>'S9'!D10</f>
        <v>4.5600000000000023</v>
      </c>
      <c r="J23" s="314"/>
      <c r="K23" s="317"/>
      <c r="L23" s="54">
        <f>'S9'!E10</f>
        <v>3.6700000000000159</v>
      </c>
      <c r="M23" s="314"/>
      <c r="N23" s="317"/>
      <c r="O23" s="112">
        <f>'S9'!B25</f>
        <v>4.0099999999999909</v>
      </c>
      <c r="P23" s="314"/>
      <c r="Q23" s="317"/>
      <c r="R23" s="52">
        <f>'S9'!C25</f>
        <v>3.6900000000000546</v>
      </c>
      <c r="S23" s="314"/>
      <c r="T23" s="317"/>
      <c r="U23" s="54">
        <f>'S9'!D25</f>
        <v>3.3799999999999955</v>
      </c>
      <c r="V23" s="314"/>
      <c r="W23" s="317"/>
      <c r="X23" s="52">
        <f>'S9'!E25</f>
        <v>3.4599999999999227</v>
      </c>
      <c r="Y23" s="314"/>
      <c r="Z23" s="317"/>
    </row>
    <row r="24" spans="1:26" x14ac:dyDescent="0.35">
      <c r="A24" s="315" t="s">
        <v>13</v>
      </c>
      <c r="B24" s="52" t="s">
        <v>63</v>
      </c>
      <c r="C24" s="52">
        <f>'S10'!B9</f>
        <v>8.4249999999999829</v>
      </c>
      <c r="D24" s="314">
        <f>'S10'!B10-'S10'!B9</f>
        <v>-2.2549999999999955</v>
      </c>
      <c r="E24" s="313">
        <f>D24/C25</f>
        <v>-0.36547811993517021</v>
      </c>
      <c r="F24" s="52">
        <f>'S10'!C9</f>
        <v>13.360999999999983</v>
      </c>
      <c r="G24" s="314">
        <f>'S10'!C10-'S10'!C9</f>
        <v>1.7690000000000126</v>
      </c>
      <c r="H24" s="313">
        <f>G24/F25</f>
        <v>0.11692002643754218</v>
      </c>
      <c r="I24" s="52">
        <f>'S10'!D9</f>
        <v>15.385999999999996</v>
      </c>
      <c r="J24" s="314">
        <f>'S10'!D10-'S10'!D9</f>
        <v>-1.7160000000000082</v>
      </c>
      <c r="K24" s="313">
        <f>J24/I25</f>
        <v>-0.12553035844915947</v>
      </c>
      <c r="L24" s="52">
        <f>'S10'!E9</f>
        <v>8.654999999999994</v>
      </c>
      <c r="M24" s="314">
        <f>'S10'!E10-'S10'!E9</f>
        <v>-0.46499999999999631</v>
      </c>
      <c r="N24" s="313">
        <f>M24/L25</f>
        <v>-5.6776556776556339E-2</v>
      </c>
      <c r="O24" s="52">
        <f>'S10'!B24</f>
        <v>11.125999999999973</v>
      </c>
      <c r="P24" s="314">
        <f>'S10'!B25-'S10'!B24</f>
        <v>0.81400000000008177</v>
      </c>
      <c r="Q24" s="313">
        <f>P24/O25</f>
        <v>6.8174204355115411E-2</v>
      </c>
      <c r="R24" s="52">
        <f>'S10'!C24</f>
        <v>10.062000000000019</v>
      </c>
      <c r="S24" s="314">
        <f>'S10'!C25-'S10'!C24</f>
        <v>1.3079999999999856</v>
      </c>
      <c r="T24" s="313">
        <f>S24/R25</f>
        <v>0.11503957783641029</v>
      </c>
      <c r="U24" s="52">
        <f>'S10'!D24</f>
        <v>8.8340000000000032</v>
      </c>
      <c r="V24" s="314">
        <f>'S10'!D25-'S10'!D24</f>
        <v>-0.22399999999998954</v>
      </c>
      <c r="W24" s="313">
        <f>V24/U25</f>
        <v>-2.601626016260037E-2</v>
      </c>
      <c r="X24" s="52">
        <f>'S10'!E24</f>
        <v>10.588000000000015</v>
      </c>
      <c r="Y24" s="314">
        <f>'S10'!E25-'S10'!E24</f>
        <v>-0.10799999999999699</v>
      </c>
      <c r="Z24" s="313">
        <f>Y24/X25</f>
        <v>-1.0305343511450077E-2</v>
      </c>
    </row>
    <row r="25" spans="1:26" x14ac:dyDescent="0.35">
      <c r="A25" s="315"/>
      <c r="B25" s="52" t="s">
        <v>64</v>
      </c>
      <c r="C25" s="54">
        <f>'S10'!B10</f>
        <v>6.1699999999999875</v>
      </c>
      <c r="D25" s="314"/>
      <c r="E25" s="313"/>
      <c r="F25" s="54">
        <f>'S10'!C10</f>
        <v>15.129999999999995</v>
      </c>
      <c r="G25" s="314"/>
      <c r="H25" s="313"/>
      <c r="I25" s="54">
        <f>'S10'!D10</f>
        <v>13.669999999999987</v>
      </c>
      <c r="J25" s="314"/>
      <c r="K25" s="313"/>
      <c r="L25" s="54">
        <f>'S10'!E10</f>
        <v>8.1899999999999977</v>
      </c>
      <c r="M25" s="314"/>
      <c r="N25" s="313"/>
      <c r="O25" s="54">
        <f>'S10'!B25</f>
        <v>11.940000000000055</v>
      </c>
      <c r="P25" s="314"/>
      <c r="Q25" s="313"/>
      <c r="R25" s="54">
        <f>'S10'!C25</f>
        <v>11.370000000000005</v>
      </c>
      <c r="S25" s="314"/>
      <c r="T25" s="313"/>
      <c r="U25" s="54">
        <f>'S10'!D25</f>
        <v>8.6100000000000136</v>
      </c>
      <c r="V25" s="314"/>
      <c r="W25" s="313"/>
      <c r="X25" s="54">
        <f>'S10'!E25</f>
        <v>10.480000000000018</v>
      </c>
      <c r="Y25" s="314"/>
      <c r="Z25" s="313"/>
    </row>
    <row r="26" spans="1:26" x14ac:dyDescent="0.35">
      <c r="A26" s="315" t="s">
        <v>14</v>
      </c>
      <c r="B26" s="52" t="s">
        <v>63</v>
      </c>
      <c r="C26" s="52">
        <f>'S11'!B9</f>
        <v>24.954000000000001</v>
      </c>
      <c r="D26" s="314">
        <f>'S11'!B10-'S11'!B9</f>
        <v>-1.1439999999999984</v>
      </c>
      <c r="E26" s="313">
        <f>D26/C27</f>
        <v>-4.8047039059218741E-2</v>
      </c>
      <c r="F26" s="52">
        <f>'S11'!C9</f>
        <v>31.675000000000026</v>
      </c>
      <c r="G26" s="314">
        <f>'S11'!C10-'S11'!C9</f>
        <v>2.4849999999999994</v>
      </c>
      <c r="H26" s="313">
        <f>G26/F27</f>
        <v>7.274590163934419E-2</v>
      </c>
      <c r="I26" s="52">
        <f>'S11'!D9</f>
        <v>29.795999999999999</v>
      </c>
      <c r="J26" s="314">
        <f>'S11'!D10-'S11'!D9</f>
        <v>-1.8159999999999812</v>
      </c>
      <c r="K26" s="313">
        <f>J26/I27</f>
        <v>-6.4903502501786281E-2</v>
      </c>
      <c r="L26" s="52">
        <f>'S11'!E9</f>
        <v>26.669000000000018</v>
      </c>
      <c r="M26" s="314">
        <f>'S11'!E10-'S11'!E9</f>
        <v>1.1109999999999829</v>
      </c>
      <c r="N26" s="313">
        <f>M26/L27</f>
        <v>3.9992800575953308E-2</v>
      </c>
      <c r="O26" s="52">
        <f>'S11'!B24</f>
        <v>25.829000000000008</v>
      </c>
      <c r="P26" s="314">
        <f>'S11'!B25-'S11'!B24</f>
        <v>2.5310000000000059</v>
      </c>
      <c r="Q26" s="313">
        <f>P26/O27</f>
        <v>8.9245416078984646E-2</v>
      </c>
      <c r="R26" s="52">
        <f>'S11'!C24</f>
        <v>27.824999999999996</v>
      </c>
      <c r="S26" s="314">
        <f>'S11'!C25-'S11'!C24</f>
        <v>2.4250000000000043</v>
      </c>
      <c r="T26" s="313">
        <f>S26/R27</f>
        <v>8.0165289256198494E-2</v>
      </c>
      <c r="U26" s="52">
        <f>'S11'!D24</f>
        <v>26.935000000000016</v>
      </c>
      <c r="V26" s="314">
        <f>'S11'!D25-'S11'!D24</f>
        <v>2.2149999999999608</v>
      </c>
      <c r="W26" s="313">
        <f>V26/U27</f>
        <v>7.5986277873069039E-2</v>
      </c>
      <c r="X26" s="52">
        <f>'S11'!E24</f>
        <v>29.390999999999991</v>
      </c>
      <c r="Y26" s="314">
        <f>'S11'!E25-'S11'!E24</f>
        <v>2.6790000000000589</v>
      </c>
      <c r="Z26" s="313">
        <f>Y26/X27</f>
        <v>8.3536014967260833E-2</v>
      </c>
    </row>
    <row r="27" spans="1:26" x14ac:dyDescent="0.35">
      <c r="A27" s="315"/>
      <c r="B27" s="52" t="s">
        <v>64</v>
      </c>
      <c r="C27" s="52">
        <f>'S11'!B10</f>
        <v>23.810000000000002</v>
      </c>
      <c r="D27" s="314"/>
      <c r="E27" s="313"/>
      <c r="F27" s="52">
        <f>'S11'!C10</f>
        <v>34.160000000000025</v>
      </c>
      <c r="G27" s="314"/>
      <c r="H27" s="313"/>
      <c r="I27" s="52">
        <f>'S11'!D10</f>
        <v>27.980000000000018</v>
      </c>
      <c r="J27" s="314"/>
      <c r="K27" s="313"/>
      <c r="L27" s="52">
        <f>'S11'!E10</f>
        <v>27.78</v>
      </c>
      <c r="M27" s="314"/>
      <c r="N27" s="313"/>
      <c r="O27" s="52">
        <f>'S11'!B25</f>
        <v>28.360000000000014</v>
      </c>
      <c r="P27" s="314"/>
      <c r="Q27" s="313"/>
      <c r="R27" s="52">
        <f>'S11'!C25</f>
        <v>30.25</v>
      </c>
      <c r="S27" s="314"/>
      <c r="T27" s="313"/>
      <c r="U27" s="52">
        <f>'S11'!D25</f>
        <v>29.149999999999977</v>
      </c>
      <c r="V27" s="314"/>
      <c r="W27" s="313"/>
      <c r="X27" s="52">
        <f>'S11'!E25</f>
        <v>32.07000000000005</v>
      </c>
      <c r="Y27" s="314"/>
      <c r="Z27" s="313"/>
    </row>
    <row r="28" spans="1:26" x14ac:dyDescent="0.35">
      <c r="A28" s="315" t="s">
        <v>3</v>
      </c>
      <c r="B28" s="52" t="s">
        <v>63</v>
      </c>
      <c r="C28" s="52">
        <f>'S12'!B9</f>
        <v>32.921999999999983</v>
      </c>
      <c r="D28" s="314">
        <f>'S12'!B10-'S12'!B9</f>
        <v>-2.9219999999999828</v>
      </c>
      <c r="E28" s="313">
        <f>D28/C29</f>
        <v>-9.7399999999999431E-2</v>
      </c>
      <c r="F28" s="52">
        <f>'S12'!C9</f>
        <v>38.073</v>
      </c>
      <c r="G28" s="314">
        <f>'S12'!C10-'S12'!C9</f>
        <v>1.7669999999999746</v>
      </c>
      <c r="H28" s="313">
        <f>G28/F29</f>
        <v>4.4352409638553608E-2</v>
      </c>
      <c r="I28" s="52">
        <f>'S12'!D9</f>
        <v>33.708999999999989</v>
      </c>
      <c r="J28" s="314">
        <f>'S12'!D10-'S12'!D9</f>
        <v>-1.8689999999999856</v>
      </c>
      <c r="K28" s="313">
        <f>J28/I29</f>
        <v>-5.8699748743718132E-2</v>
      </c>
      <c r="L28" s="52">
        <f>'S12'!E9</f>
        <v>33.10499999999999</v>
      </c>
      <c r="M28" s="314">
        <f>'S12'!E10-'S12'!E9</f>
        <v>-4.9999999999954525E-3</v>
      </c>
      <c r="N28" s="313">
        <f>M28/L29</f>
        <v>-1.5105740181255145E-4</v>
      </c>
      <c r="O28" s="52">
        <f>'S12'!B24</f>
        <v>31.550999999999988</v>
      </c>
      <c r="P28" s="314">
        <f>'S12'!B25-'S12'!B24</f>
        <v>2.7189999999999941</v>
      </c>
      <c r="Q28" s="313">
        <f>P28/O29</f>
        <v>7.9340531076743381E-2</v>
      </c>
      <c r="R28" s="52">
        <f>'S12'!C24</f>
        <v>31.726000000000013</v>
      </c>
      <c r="S28" s="314">
        <f>'S12'!C25-'S12'!C24</f>
        <v>2.7039999999999367</v>
      </c>
      <c r="T28" s="313">
        <f>S28/R29</f>
        <v>7.8536160325295978E-2</v>
      </c>
      <c r="U28" s="52">
        <f>'S12'!D24</f>
        <v>31.884999999999998</v>
      </c>
      <c r="V28" s="314">
        <f>'S12'!D25-'S12'!D24</f>
        <v>2.4949999999999974</v>
      </c>
      <c r="W28" s="313">
        <f>V28/U29</f>
        <v>7.257126236183821E-2</v>
      </c>
      <c r="X28" s="52">
        <f>'S12'!E24</f>
        <v>33.831999999999994</v>
      </c>
      <c r="Y28" s="314">
        <f>'S12'!E25-'S12'!E24</f>
        <v>3.2279999999999518</v>
      </c>
      <c r="Z28" s="313">
        <f>Y28/X29</f>
        <v>8.710199676200639E-2</v>
      </c>
    </row>
    <row r="29" spans="1:26" x14ac:dyDescent="0.35">
      <c r="A29" s="315"/>
      <c r="B29" s="52" t="s">
        <v>64</v>
      </c>
      <c r="C29" s="54">
        <f>'S12'!B10</f>
        <v>30</v>
      </c>
      <c r="D29" s="314"/>
      <c r="E29" s="313"/>
      <c r="F29" s="54">
        <f>'S12'!C10</f>
        <v>39.839999999999975</v>
      </c>
      <c r="G29" s="314"/>
      <c r="H29" s="313"/>
      <c r="I29" s="54">
        <f>'S12'!D10</f>
        <v>31.840000000000003</v>
      </c>
      <c r="J29" s="314"/>
      <c r="K29" s="313"/>
      <c r="L29" s="54">
        <f>'S12'!E10</f>
        <v>33.099999999999994</v>
      </c>
      <c r="M29" s="314"/>
      <c r="N29" s="313"/>
      <c r="O29" s="54">
        <f>'S12'!B25</f>
        <v>34.269999999999982</v>
      </c>
      <c r="P29" s="314"/>
      <c r="Q29" s="313"/>
      <c r="R29" s="54">
        <f>'S12'!C25</f>
        <v>34.42999999999995</v>
      </c>
      <c r="S29" s="314"/>
      <c r="T29" s="313"/>
      <c r="U29" s="54">
        <f>'S12'!D25</f>
        <v>34.379999999999995</v>
      </c>
      <c r="V29" s="314"/>
      <c r="W29" s="313"/>
      <c r="X29" s="54">
        <f>'S12'!E25</f>
        <v>37.059999999999945</v>
      </c>
      <c r="Y29" s="314"/>
      <c r="Z29" s="313"/>
    </row>
    <row r="30" spans="1:26" ht="15.5" x14ac:dyDescent="0.35">
      <c r="A30" s="55"/>
      <c r="C30" s="56"/>
      <c r="D30" s="57"/>
      <c r="E30" s="57"/>
      <c r="F30" s="56"/>
      <c r="G30" s="57"/>
      <c r="H30" s="57"/>
      <c r="I30" s="56"/>
      <c r="J30" s="57"/>
      <c r="K30" s="57"/>
      <c r="L30" s="56"/>
      <c r="M30" s="57"/>
      <c r="N30" s="57"/>
      <c r="O30" s="56"/>
      <c r="P30" s="57"/>
      <c r="Q30" s="57"/>
      <c r="R30" s="56"/>
      <c r="S30" s="57"/>
      <c r="T30" s="57"/>
      <c r="U30" s="56"/>
      <c r="V30" s="57"/>
      <c r="W30" s="57"/>
      <c r="X30" s="56"/>
      <c r="Y30" s="57"/>
      <c r="Z30" s="57"/>
    </row>
    <row r="31" spans="1:26" s="58" customFormat="1" ht="15.5" x14ac:dyDescent="0.35">
      <c r="A31" s="58" t="s">
        <v>65</v>
      </c>
      <c r="D31" s="58">
        <f>SUM(D6:D29)</f>
        <v>-12.511999999999972</v>
      </c>
      <c r="G31" s="58">
        <f>SUM(G6:G29)</f>
        <v>29.645999999999951</v>
      </c>
      <c r="J31" s="58">
        <f>SUM(J6:J29)</f>
        <v>-10.197999999999965</v>
      </c>
      <c r="M31" s="58">
        <f>SUM(M6:M29)</f>
        <v>0.68499999999998806</v>
      </c>
      <c r="P31" s="58">
        <f>SUM(P6:P29)</f>
        <v>13.907000000000007</v>
      </c>
      <c r="S31" s="58">
        <f>SUM(S6:S29)</f>
        <v>11.594999999999892</v>
      </c>
      <c r="V31" s="58">
        <f>SUM(V6:V29)</f>
        <v>4.1249999999998899</v>
      </c>
      <c r="Y31" s="58">
        <f>SUM(Y6:Y29)</f>
        <v>6.5920000000000059</v>
      </c>
    </row>
    <row r="32" spans="1:26" ht="6.75" customHeight="1" x14ac:dyDescent="0.35"/>
    <row r="33" spans="1:25" s="59" customFormat="1" ht="15.5" x14ac:dyDescent="0.35">
      <c r="A33" s="58" t="s">
        <v>66</v>
      </c>
      <c r="D33" s="60">
        <f>(D6+D8+D10+D12+D14+D16+D18+D20+D22+D24+D26+D28)/(C7+C9+C11+C13+C15+C17+C19+C21+C23+C25+C27+C29)</f>
        <v>-7.7873903031057262E-2</v>
      </c>
      <c r="G33" s="60">
        <f>(G6+G8+G10+G12+G14+G16+G18+G20+G22+G24+G26+G28)/(F7+F9+F11+F13+F15+F17+F19+F21+F23+F25+F27+F29)</f>
        <v>0.12490941265694765</v>
      </c>
      <c r="J33" s="60">
        <f>(J6+J8+J10+J12+J14+J16+J18+J20+J22+J24+J26+J28)/(I7+I9+I11+I13+I15+I17+I19+I21+I23+I25+I27+I29)</f>
        <v>-5.46956288549207E-2</v>
      </c>
      <c r="M33" s="60">
        <f>(M6+M8+M10+M12+M14+M16+M18+M20+M22+M24+M26+M28)/(L7+L9+L11+L13+L15+L17+L19+L21+L23+L25+L27+L29)</f>
        <v>4.0578164800662763E-3</v>
      </c>
      <c r="P33" s="60">
        <f>(P6+P8+P10+P12+P14+P16+P18+P20+P22+P24+P26+P28)/(O7+O9+O11+O13+O15+O17+O19+O21+O23+O25+O27+O29)</f>
        <v>7.6944782560584304E-2</v>
      </c>
      <c r="S33" s="60">
        <f>(S6+S8+S10+S12+S14+S16+S18+S20+S22+S24+S26+S28)/(R7+R9+R11+R13+R15+R17+R19+R21+R23+R25+R27+R29)</f>
        <v>6.1649298170990519E-2</v>
      </c>
      <c r="V33" s="60">
        <f>(V6+V8+V10+V12+V14+V16+V18+V20+V22+V24+V26+V28)/(U7+U9+U11+U13+U15+U17+U19+U21+U23+U25+U27+U29)</f>
        <v>2.3864622505061567E-2</v>
      </c>
      <c r="Y33" s="60">
        <f>(Y6+Y8+Y10+Y12+Y14+Y16+Y18+Y20+Y22+Y24+Y26+Y28)/(X7+X9+X11+X13+X15+X17+X19+X21+X23+X25+X27+X29)</f>
        <v>3.5315546983820889E-2</v>
      </c>
    </row>
    <row r="34" spans="1:25" s="61" customFormat="1" x14ac:dyDescent="0.35">
      <c r="D34" s="61">
        <v>1850</v>
      </c>
      <c r="G34" s="61">
        <v>1851</v>
      </c>
      <c r="J34" s="61">
        <v>1852</v>
      </c>
      <c r="M34" s="61">
        <v>1853</v>
      </c>
      <c r="P34" s="61">
        <v>1854</v>
      </c>
      <c r="S34" s="61">
        <v>1855</v>
      </c>
      <c r="V34" s="61">
        <v>1856</v>
      </c>
      <c r="Y34" s="61">
        <v>1857</v>
      </c>
    </row>
    <row r="38" spans="1:25" x14ac:dyDescent="0.35">
      <c r="A38" s="62"/>
    </row>
    <row r="39" spans="1:25" x14ac:dyDescent="0.35">
      <c r="A39"/>
    </row>
    <row r="40" spans="1:25" x14ac:dyDescent="0.35">
      <c r="A40" s="62"/>
    </row>
  </sheetData>
  <sheetProtection selectLockedCells="1" selectUnlockedCells="1"/>
  <mergeCells count="213"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</mergeCells>
  <printOptions horizontalCentered="1" verticalCentered="1"/>
  <pageMargins left="0" right="0" top="0.19652777777777777" bottom="0.19652777777777777" header="0.51180555555555551" footer="0.51180555555555551"/>
  <pageSetup paperSize="9" scale="10" firstPageNumber="0" orientation="landscape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K33"/>
  <sheetViews>
    <sheetView workbookViewId="0">
      <selection activeCell="G11" sqref="G11"/>
    </sheetView>
  </sheetViews>
  <sheetFormatPr defaultColWidth="9" defaultRowHeight="17.5" x14ac:dyDescent="0.35"/>
  <cols>
    <col min="1" max="1" width="36.26953125" style="34" customWidth="1"/>
    <col min="2" max="5" width="13.1796875" style="34" customWidth="1"/>
    <col min="6" max="6" width="2.54296875" style="34" customWidth="1"/>
    <col min="7" max="7" width="11.453125" style="34" customWidth="1"/>
    <col min="8" max="8" width="14.1796875" style="34" customWidth="1"/>
    <col min="9" max="9" width="14.453125" style="34" customWidth="1"/>
    <col min="10" max="11" width="9.81640625" style="34" customWidth="1"/>
    <col min="12" max="12" width="8.81640625" style="34" customWidth="1"/>
    <col min="13" max="13" width="5" style="34" customWidth="1"/>
    <col min="14" max="14" width="2.7265625" style="34" customWidth="1"/>
    <col min="15" max="15" width="8.1796875" style="34" customWidth="1"/>
    <col min="16" max="16" width="5.7265625" style="34" customWidth="1"/>
    <col min="17" max="17" width="2.7265625" style="34" customWidth="1"/>
    <col min="18" max="19" width="7.7265625" style="34" customWidth="1"/>
    <col min="20" max="20" width="7.7265625" style="100" customWidth="1"/>
    <col min="21" max="21" width="11.453125" style="100" customWidth="1"/>
    <col min="22" max="26" width="7.7265625" style="100" customWidth="1"/>
    <col min="27" max="29" width="9.81640625" style="100" customWidth="1"/>
    <col min="30" max="33" width="6.453125" style="100" customWidth="1"/>
    <col min="34" max="37" width="9" style="100"/>
    <col min="38" max="16384" width="9" style="34"/>
  </cols>
  <sheetData>
    <row r="1" spans="1:26" ht="18" x14ac:dyDescent="0.4">
      <c r="A1" s="35" t="s">
        <v>67</v>
      </c>
      <c r="B1" s="36">
        <f>'S1'!B1</f>
        <v>2024</v>
      </c>
      <c r="C1" s="36"/>
      <c r="D1" s="36"/>
      <c r="E1" s="36"/>
      <c r="F1" s="36"/>
      <c r="O1" s="205"/>
    </row>
    <row r="2" spans="1:26" x14ac:dyDescent="0.35">
      <c r="O2" s="205"/>
    </row>
    <row r="3" spans="1:26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  <c r="F3" s="63"/>
      <c r="H3" s="214"/>
      <c r="O3" s="205"/>
    </row>
    <row r="4" spans="1:26" x14ac:dyDescent="0.35">
      <c r="A4" s="43" t="s">
        <v>36</v>
      </c>
      <c r="B4" s="39">
        <f>'S1'!B4+'S2'!B4+'S3'!B4+'S4'!B4+'S5'!B4+'S6'!B4+'S7'!B4+'S8'!B4+'S9'!B4+'S10'!B4+'S11'!B4+'S12'!B4</f>
        <v>675.04800000000023</v>
      </c>
      <c r="C4" s="39">
        <f>'S1'!C4+'S2'!C4+'S3'!C4+'S4'!C4+'S5'!C4+'S6'!C4+'S7'!C4+'S8'!C4+'S9'!C4+'S10'!C4+'S11'!C4+'S12'!C4</f>
        <v>934.40099999999813</v>
      </c>
      <c r="D4" s="39">
        <f>'S1'!D4+'S2'!D4+'S3'!D4+'S4'!D4+'S5'!D4+'S6'!D4+'S7'!D4+'S8'!D4+'S9'!D4+'S10'!D4+'S11'!D4+'S12'!D4</f>
        <v>872.18899999999996</v>
      </c>
      <c r="E4" s="218">
        <f>'S1'!E4+'S2'!E4+'S3'!E4+'S4'!E4+'S5'!E4+'S6'!E4+'S7'!E4+'S8'!E4+'S9'!E4+'S10'!E4+'S11'!E4+'S12'!E4</f>
        <v>893.13900000000035</v>
      </c>
      <c r="G4" s="211"/>
      <c r="H4" s="219">
        <f>'1853'!P24</f>
        <v>800.19199999999989</v>
      </c>
      <c r="I4" s="220" t="s">
        <v>280</v>
      </c>
      <c r="J4" s="221"/>
      <c r="K4" s="67"/>
      <c r="O4" s="215"/>
    </row>
    <row r="5" spans="1:26" x14ac:dyDescent="0.35">
      <c r="A5" s="43" t="s">
        <v>37</v>
      </c>
      <c r="B5" s="38">
        <f>'1850'!O26-'1850'!C26</f>
        <v>-3092.9</v>
      </c>
      <c r="C5" s="38">
        <f>'1851'!P26-'1851'!D26</f>
        <v>-4781.3</v>
      </c>
      <c r="D5" s="38">
        <f>'1852'!O26-'1852'!C26</f>
        <v>-4401.3</v>
      </c>
      <c r="E5" s="104">
        <f>'1853'!O27-'1853'!C27</f>
        <v>-4200.4000000000005</v>
      </c>
      <c r="G5" s="64" t="s">
        <v>68</v>
      </c>
      <c r="H5" s="212">
        <f>E5-C15</f>
        <v>-4331.4000000000005</v>
      </c>
      <c r="I5" s="213" t="s">
        <v>69</v>
      </c>
      <c r="J5" s="213" t="s">
        <v>70</v>
      </c>
      <c r="K5" s="67" t="s">
        <v>71</v>
      </c>
      <c r="O5" s="216" t="s">
        <v>279</v>
      </c>
    </row>
    <row r="6" spans="1:26" x14ac:dyDescent="0.35">
      <c r="A6" s="43" t="s">
        <v>38</v>
      </c>
      <c r="B6" s="323">
        <f>SUM(B5:E5)</f>
        <v>-16475.900000000001</v>
      </c>
      <c r="C6" s="324"/>
      <c r="D6" s="324"/>
      <c r="E6" s="325"/>
      <c r="F6" s="68"/>
      <c r="G6" s="64" t="s">
        <v>72</v>
      </c>
      <c r="H6" s="65">
        <f>C15</f>
        <v>131</v>
      </c>
      <c r="I6" s="66" t="s">
        <v>73</v>
      </c>
      <c r="J6" s="66" t="s">
        <v>74</v>
      </c>
      <c r="K6" s="69" t="s">
        <v>75</v>
      </c>
      <c r="O6" s="226">
        <f>B6-H6</f>
        <v>-16606.900000000001</v>
      </c>
      <c r="P6" s="227" t="s">
        <v>283</v>
      </c>
    </row>
    <row r="7" spans="1:26" x14ac:dyDescent="0.35">
      <c r="A7" s="43" t="s">
        <v>39</v>
      </c>
      <c r="B7" s="326">
        <f>'1850'!O29-'1850'!C29</f>
        <v>3889</v>
      </c>
      <c r="C7" s="327"/>
      <c r="D7" s="327"/>
      <c r="E7" s="328"/>
      <c r="F7" s="68"/>
      <c r="G7" s="70" t="s">
        <v>68</v>
      </c>
      <c r="H7" s="71">
        <f>B7-C15</f>
        <v>3758</v>
      </c>
      <c r="I7" s="72" t="s">
        <v>76</v>
      </c>
      <c r="J7" s="72"/>
      <c r="K7" s="67" t="s">
        <v>71</v>
      </c>
      <c r="O7" s="217"/>
    </row>
    <row r="8" spans="1:26" ht="18" x14ac:dyDescent="0.4">
      <c r="A8" s="126" t="s">
        <v>40</v>
      </c>
      <c r="B8" s="130"/>
      <c r="C8" s="130"/>
      <c r="D8" s="130"/>
      <c r="E8" s="131"/>
      <c r="G8" s="70" t="s">
        <v>72</v>
      </c>
      <c r="H8" s="71">
        <f>C15</f>
        <v>131</v>
      </c>
      <c r="I8" s="72" t="s">
        <v>73</v>
      </c>
      <c r="J8" s="72"/>
      <c r="K8" s="67" t="s">
        <v>75</v>
      </c>
    </row>
    <row r="9" spans="1:26" x14ac:dyDescent="0.35">
      <c r="A9" s="37" t="s">
        <v>41</v>
      </c>
      <c r="B9" s="39">
        <f>'S1'!B9+'S2'!B9+'S3'!B9+'S4'!B9+'S5'!B9+'S6'!B9+'S7'!B9+'S8'!B9+'S9'!B9+'S10'!B9+'S11'!B9+'S12'!B9</f>
        <v>173.18199999999996</v>
      </c>
      <c r="C9" s="39">
        <f>'S1'!C9+'S2'!C9+'S3'!C9+'S4'!C9+'S5'!C9+'S6'!C9+'S7'!C9+'S8'!C9+'S9'!C9+'S10'!C9+'S11'!C9+'S12'!C9</f>
        <v>207.69400000000005</v>
      </c>
      <c r="D9" s="39">
        <f>'S1'!D9+'S2'!D9+'S3'!D9+'S4'!D9+'S5'!D9+'S6'!D9+'S7'!D9+'S8'!D9+'S9'!D9+'S10'!D9+'S11'!D9+'S12'!D9</f>
        <v>196.64799999999997</v>
      </c>
      <c r="E9" s="39">
        <f>'S1'!E9+'S2'!E9+'S3'!E9+'S4'!E9+'S5'!E9+'S6'!E9+'S7'!E9+'S8'!E9+'S9'!E9+'S10'!E9+'S11'!E9+'S12'!E9</f>
        <v>168.125</v>
      </c>
      <c r="O9" s="133" t="s">
        <v>254</v>
      </c>
      <c r="T9" s="135"/>
    </row>
    <row r="10" spans="1:26" x14ac:dyDescent="0.35">
      <c r="A10" s="37" t="s">
        <v>42</v>
      </c>
      <c r="B10" s="39">
        <f>('1850'!O27-'1850'!C27)</f>
        <v>160.67000000000002</v>
      </c>
      <c r="C10" s="39">
        <f>('1851'!P27-'1851'!D27)</f>
        <v>237.33999999999997</v>
      </c>
      <c r="D10" s="39">
        <f>('1852'!O27-'1852'!C27)</f>
        <v>186.45000000000002</v>
      </c>
      <c r="E10" s="39">
        <f>('1853'!O28-'1853'!C28)</f>
        <v>168.81</v>
      </c>
      <c r="I10" s="24" t="s">
        <v>93</v>
      </c>
      <c r="N10" s="186"/>
      <c r="O10" s="202" t="s">
        <v>102</v>
      </c>
      <c r="P10" s="186"/>
      <c r="Q10" s="135"/>
      <c r="R10" s="204" t="s">
        <v>256</v>
      </c>
    </row>
    <row r="11" spans="1:26" ht="18.5" thickBot="1" x14ac:dyDescent="0.45">
      <c r="A11" s="126" t="s">
        <v>48</v>
      </c>
      <c r="B11" s="130"/>
      <c r="C11" s="130"/>
      <c r="D11" s="130"/>
      <c r="E11" s="131"/>
      <c r="I11" s="100" t="s">
        <v>96</v>
      </c>
      <c r="J11" s="101" t="s">
        <v>97</v>
      </c>
      <c r="K11" s="101" t="s">
        <v>98</v>
      </c>
      <c r="L11" s="101" t="s">
        <v>95</v>
      </c>
      <c r="M11" s="100"/>
      <c r="N11"/>
      <c r="O11" s="88" t="s">
        <v>86</v>
      </c>
      <c r="Q11" s="135"/>
      <c r="R11" s="100" t="s">
        <v>276</v>
      </c>
      <c r="U11" s="237" t="s">
        <v>299</v>
      </c>
      <c r="V11" s="101" t="s">
        <v>298</v>
      </c>
      <c r="W11" s="101" t="s">
        <v>98</v>
      </c>
      <c r="X11" s="101" t="s">
        <v>95</v>
      </c>
      <c r="Y11" s="101" t="s">
        <v>300</v>
      </c>
      <c r="Z11" s="100" t="s">
        <v>301</v>
      </c>
    </row>
    <row r="12" spans="1:26" x14ac:dyDescent="0.35">
      <c r="A12" s="37" t="s">
        <v>44</v>
      </c>
      <c r="B12" s="102">
        <f>'1850'!O25-'1850'!E35+'1850'!E34-'1850'!C25</f>
        <v>2334</v>
      </c>
      <c r="C12" s="102">
        <f>'1851'!P24-'1851'!I58+'1851'!I57-'1851'!D24</f>
        <v>2654</v>
      </c>
      <c r="D12" s="102">
        <f>'1852'!O25-'1852'!H37+'1852'!H36-'1852'!C25</f>
        <v>2266</v>
      </c>
      <c r="E12" s="102">
        <f>'1853'!O24-'1853'!H37+'1853'!H36-'1853'!C24</f>
        <v>2297</v>
      </c>
      <c r="F12" s="41"/>
      <c r="H12" s="194" t="s">
        <v>240</v>
      </c>
      <c r="I12" s="188" t="s">
        <v>234</v>
      </c>
      <c r="J12" s="161">
        <v>0</v>
      </c>
      <c r="K12" s="241">
        <f>ROUND(Z12,3)</f>
        <v>16.498000000000001</v>
      </c>
      <c r="L12" s="161">
        <f t="shared" ref="L12:L17" si="0">K12-J12</f>
        <v>16.498000000000001</v>
      </c>
      <c r="M12" s="162" t="s">
        <v>83</v>
      </c>
      <c r="N12" s="45"/>
      <c r="O12" s="96">
        <f t="shared" ref="O12:O28" si="1">L$30/L$29*L12</f>
        <v>16.498881619628531</v>
      </c>
      <c r="P12" s="97" t="s">
        <v>83</v>
      </c>
      <c r="Q12" s="135"/>
      <c r="R12" s="101" t="s">
        <v>97</v>
      </c>
      <c r="S12" s="101" t="s">
        <v>98</v>
      </c>
      <c r="T12" s="101" t="s">
        <v>95</v>
      </c>
      <c r="U12" s="236" t="s">
        <v>297</v>
      </c>
      <c r="V12" s="238">
        <v>10.135</v>
      </c>
      <c r="W12" s="238">
        <v>12.898</v>
      </c>
      <c r="X12" s="238">
        <f>W12-V12</f>
        <v>2.7629999999999999</v>
      </c>
      <c r="Y12" s="100">
        <f>T13/X14</f>
        <v>5.9708737864077595</v>
      </c>
      <c r="Z12" s="240">
        <f>X12*Y12</f>
        <v>16.49752427184464</v>
      </c>
    </row>
    <row r="13" spans="1:26" x14ac:dyDescent="0.35">
      <c r="B13" s="42"/>
      <c r="C13" s="42"/>
      <c r="D13" s="42"/>
      <c r="E13" s="42"/>
      <c r="F13" s="41"/>
      <c r="G13" s="41"/>
      <c r="H13" s="194" t="s">
        <v>241</v>
      </c>
      <c r="I13" s="189" t="s">
        <v>234</v>
      </c>
      <c r="J13" s="190">
        <v>0</v>
      </c>
      <c r="K13" s="190">
        <f>ROUND(Z13,3)</f>
        <v>4.4119999999999999</v>
      </c>
      <c r="L13" s="208">
        <f t="shared" si="0"/>
        <v>4.4119999999999999</v>
      </c>
      <c r="M13" s="191" t="s">
        <v>83</v>
      </c>
      <c r="N13" s="45"/>
      <c r="O13" s="96">
        <f t="shared" si="1"/>
        <v>4.4122357683234981</v>
      </c>
      <c r="P13" s="97" t="s">
        <v>83</v>
      </c>
      <c r="Q13" s="135"/>
      <c r="R13" s="100">
        <f>23.477+7</f>
        <v>30.477</v>
      </c>
      <c r="S13" s="100">
        <v>51.387</v>
      </c>
      <c r="T13" s="100">
        <f>S13-R13</f>
        <v>20.91</v>
      </c>
      <c r="U13" s="236" t="s">
        <v>296</v>
      </c>
      <c r="V13" s="238">
        <v>43.951000000000001</v>
      </c>
      <c r="W13" s="238">
        <f>43.99+0.7</f>
        <v>44.690000000000005</v>
      </c>
      <c r="X13" s="239">
        <f>W13-V13</f>
        <v>0.73900000000000432</v>
      </c>
      <c r="Y13" s="100">
        <f>T13/X14</f>
        <v>5.9708737864077595</v>
      </c>
      <c r="Z13" s="242">
        <f>X13*Y13</f>
        <v>4.4124757281553597</v>
      </c>
    </row>
    <row r="14" spans="1:26" x14ac:dyDescent="0.35">
      <c r="A14" s="34" t="s">
        <v>45</v>
      </c>
      <c r="B14" s="103">
        <f>'1853'!O25-'1853'!H40+'1853'!H39-'1853'!C25</f>
        <v>3577</v>
      </c>
      <c r="C14" s="42"/>
      <c r="D14" s="42"/>
      <c r="E14" s="42"/>
      <c r="F14" s="41"/>
      <c r="H14" s="194" t="s">
        <v>294</v>
      </c>
      <c r="I14" s="189" t="s">
        <v>295</v>
      </c>
      <c r="J14" s="190">
        <v>8.5939999999999994</v>
      </c>
      <c r="K14" s="190">
        <v>18.536000000000001</v>
      </c>
      <c r="L14" s="190">
        <f t="shared" si="0"/>
        <v>9.9420000000000019</v>
      </c>
      <c r="M14" s="191" t="s">
        <v>83</v>
      </c>
      <c r="N14" s="45"/>
      <c r="O14" s="96">
        <f t="shared" si="1"/>
        <v>9.9425312802974233</v>
      </c>
      <c r="P14" s="97" t="s">
        <v>83</v>
      </c>
      <c r="Q14" s="135"/>
      <c r="R14" s="100"/>
      <c r="S14" s="100"/>
      <c r="X14" s="100">
        <f>SUM(X12:X13)</f>
        <v>3.5020000000000042</v>
      </c>
      <c r="Z14" s="100">
        <f>SUM(Z12:Z13)</f>
        <v>20.91</v>
      </c>
    </row>
    <row r="15" spans="1:26" x14ac:dyDescent="0.35">
      <c r="A15" s="34" t="s">
        <v>46</v>
      </c>
      <c r="B15" s="42">
        <f>'1853'!O26-'1853'!D26</f>
        <v>92.947000000000003</v>
      </c>
      <c r="C15" s="74">
        <v>131</v>
      </c>
      <c r="D15" s="42"/>
      <c r="E15" s="73" t="s">
        <v>239</v>
      </c>
      <c r="F15" s="73"/>
      <c r="G15" s="186"/>
      <c r="H15" s="194" t="s">
        <v>242</v>
      </c>
      <c r="I15" s="189" t="s">
        <v>106</v>
      </c>
      <c r="J15" s="190">
        <v>95.86</v>
      </c>
      <c r="K15" s="190">
        <v>114.869</v>
      </c>
      <c r="L15" s="190">
        <f t="shared" si="0"/>
        <v>19.009</v>
      </c>
      <c r="M15" s="191" t="s">
        <v>83</v>
      </c>
      <c r="N15" s="45"/>
      <c r="O15" s="96">
        <f t="shared" si="1"/>
        <v>19.010015802371122</v>
      </c>
      <c r="P15" s="97" t="s">
        <v>83</v>
      </c>
      <c r="Q15" s="135"/>
    </row>
    <row r="16" spans="1:26" x14ac:dyDescent="0.35">
      <c r="A16" s="206" t="s">
        <v>257</v>
      </c>
      <c r="B16" s="207">
        <f>C15-B15</f>
        <v>38.052999999999997</v>
      </c>
      <c r="C16" s="42"/>
      <c r="D16" s="42"/>
      <c r="E16" s="42"/>
      <c r="F16" s="41"/>
      <c r="G16" s="41"/>
      <c r="H16" s="194" t="s">
        <v>243</v>
      </c>
      <c r="I16" s="189" t="s">
        <v>105</v>
      </c>
      <c r="J16" s="190">
        <v>49.76</v>
      </c>
      <c r="K16" s="190">
        <v>56.878999999999998</v>
      </c>
      <c r="L16" s="190">
        <f t="shared" si="0"/>
        <v>7.1189999999999998</v>
      </c>
      <c r="M16" s="191" t="s">
        <v>83</v>
      </c>
      <c r="N16" s="45"/>
      <c r="O16" s="96">
        <f t="shared" si="1"/>
        <v>7.1193804249082016</v>
      </c>
      <c r="P16" s="97" t="s">
        <v>83</v>
      </c>
      <c r="Q16" s="135"/>
      <c r="S16" s="45"/>
      <c r="T16" s="45"/>
      <c r="W16" s="136"/>
      <c r="X16" s="136"/>
      <c r="Y16" s="136"/>
      <c r="Z16" s="136"/>
    </row>
    <row r="17" spans="1:23" x14ac:dyDescent="0.35">
      <c r="B17" s="42"/>
      <c r="C17" s="42"/>
      <c r="D17" s="42"/>
      <c r="E17" s="42"/>
      <c r="H17" s="194" t="s">
        <v>244</v>
      </c>
      <c r="I17" s="189" t="s">
        <v>236</v>
      </c>
      <c r="J17" s="190">
        <v>18.46</v>
      </c>
      <c r="K17" s="190">
        <v>26.152000000000001</v>
      </c>
      <c r="L17" s="190">
        <f t="shared" si="0"/>
        <v>7.6920000000000002</v>
      </c>
      <c r="M17" s="191" t="s">
        <v>83</v>
      </c>
      <c r="N17" s="45"/>
      <c r="O17" s="96">
        <f t="shared" si="1"/>
        <v>7.6924110448649934</v>
      </c>
      <c r="P17" s="97" t="s">
        <v>83</v>
      </c>
      <c r="Q17" s="135"/>
    </row>
    <row r="18" spans="1:23" ht="18" x14ac:dyDescent="0.4">
      <c r="A18" s="124" t="s">
        <v>35</v>
      </c>
      <c r="B18" s="132">
        <v>1854</v>
      </c>
      <c r="C18" s="132">
        <v>1855</v>
      </c>
      <c r="D18" s="132">
        <v>1856</v>
      </c>
      <c r="E18" s="132">
        <v>1857</v>
      </c>
      <c r="F18" s="63"/>
      <c r="H18" s="194" t="s">
        <v>245</v>
      </c>
      <c r="I18" s="189" t="s">
        <v>237</v>
      </c>
      <c r="J18" s="190">
        <v>6.4850000000000003</v>
      </c>
      <c r="K18" s="190">
        <v>9.3420000000000005</v>
      </c>
      <c r="L18" s="190">
        <f>K18-J18</f>
        <v>2.8570000000000002</v>
      </c>
      <c r="M18" s="191" t="s">
        <v>83</v>
      </c>
      <c r="N18" s="45"/>
      <c r="O18" s="96">
        <f t="shared" si="1"/>
        <v>2.8571526722801988</v>
      </c>
      <c r="P18" s="97" t="s">
        <v>83</v>
      </c>
      <c r="Q18" s="136"/>
    </row>
    <row r="19" spans="1:23" x14ac:dyDescent="0.35">
      <c r="A19" s="37" t="s">
        <v>36</v>
      </c>
      <c r="B19" s="39">
        <f>'S1'!B19+'S2'!B19+'S3'!B19+'S4'!B19+'S5'!B19+'S6'!B19+'S7'!B19+'S8'!B19+'S9'!B19+'S10'!B19+'S11'!B19+'S12'!B19</f>
        <v>622.78999999999974</v>
      </c>
      <c r="C19" s="39">
        <f>'S1'!C19+'S2'!C19+'S3'!C19+'S4'!C19+'S5'!C19+'S6'!C19+'S7'!C19+'S8'!C19+'S9'!C19+'S10'!C19+'S11'!C19+'S12'!C19</f>
        <v>744.00200000000041</v>
      </c>
      <c r="D19" s="39">
        <f>'S1'!D19+'S2'!D19+'S3'!D19+'S4'!D19+'S5'!D19+'S6'!D19+'S7'!D19+'S8'!D19+'S9'!D19+'S10'!D19+'S11'!D19+'S12'!D19</f>
        <v>852.18900000000031</v>
      </c>
      <c r="E19" s="39">
        <f>'S1'!E19+'S2'!E19+'S3'!E19+'S4'!E19+'S5'!E19+'S6'!E19+'S7'!E19+'S8'!E19+'S9'!E19+'S10'!E19+'S11'!E19+'S12'!E19</f>
        <v>911.524</v>
      </c>
      <c r="H19" s="194" t="s">
        <v>246</v>
      </c>
      <c r="I19" s="189" t="s">
        <v>238</v>
      </c>
      <c r="J19" s="190">
        <v>5.1920000000000002</v>
      </c>
      <c r="K19" s="190">
        <v>5.6859999999999999</v>
      </c>
      <c r="L19" s="190">
        <f>K19-J19</f>
        <v>0.49399999999999977</v>
      </c>
      <c r="M19" s="191" t="s">
        <v>83</v>
      </c>
      <c r="N19" s="45"/>
      <c r="O19" s="96">
        <f t="shared" si="1"/>
        <v>0.49402639835716394</v>
      </c>
      <c r="P19" s="97" t="s">
        <v>83</v>
      </c>
      <c r="Q19" s="136"/>
    </row>
    <row r="20" spans="1:23" x14ac:dyDescent="0.35">
      <c r="A20" s="37" t="s">
        <v>37</v>
      </c>
      <c r="B20" s="38">
        <f>'1854'!O26-'1854'!C26</f>
        <v>-2976.1</v>
      </c>
      <c r="C20" s="38">
        <f>'1855'!O26-'1855'!C26</f>
        <v>-3999.5</v>
      </c>
      <c r="D20" s="38">
        <f>'1856'!O26-'1856'!C26</f>
        <v>-3756.6000000000004</v>
      </c>
      <c r="E20" s="38">
        <f>'1857'!O26-'1857'!C26</f>
        <v>-3895</v>
      </c>
      <c r="H20" s="194" t="s">
        <v>247</v>
      </c>
      <c r="I20" s="189" t="s">
        <v>235</v>
      </c>
      <c r="J20" s="190">
        <v>21.346</v>
      </c>
      <c r="K20" s="190">
        <v>21.635000000000002</v>
      </c>
      <c r="L20" s="190">
        <f t="shared" ref="L20:L27" si="2">K20-J20</f>
        <v>0.28900000000000148</v>
      </c>
      <c r="M20" s="191" t="s">
        <v>83</v>
      </c>
      <c r="N20" s="45"/>
      <c r="O20" s="96">
        <f t="shared" si="1"/>
        <v>0.28901544357332221</v>
      </c>
      <c r="P20" s="97" t="s">
        <v>83</v>
      </c>
      <c r="Q20" s="136"/>
    </row>
    <row r="21" spans="1:23" x14ac:dyDescent="0.35">
      <c r="A21" s="37" t="s">
        <v>38</v>
      </c>
      <c r="B21" s="323">
        <f>SUM(B20:E20)</f>
        <v>-14627.2</v>
      </c>
      <c r="C21" s="324"/>
      <c r="D21" s="324"/>
      <c r="E21" s="325"/>
      <c r="F21" s="68"/>
      <c r="H21" s="194" t="s">
        <v>248</v>
      </c>
      <c r="I21" s="189" t="s">
        <v>88</v>
      </c>
      <c r="J21" s="190">
        <v>353.15</v>
      </c>
      <c r="K21" s="190">
        <v>371.77199999999999</v>
      </c>
      <c r="L21" s="190">
        <f t="shared" si="2"/>
        <v>18.622000000000014</v>
      </c>
      <c r="M21" s="191" t="s">
        <v>83</v>
      </c>
      <c r="N21" s="45"/>
      <c r="O21" s="96">
        <f t="shared" si="1"/>
        <v>18.622995121876755</v>
      </c>
      <c r="P21" s="97" t="s">
        <v>83</v>
      </c>
      <c r="Q21" s="100"/>
    </row>
    <row r="22" spans="1:23" x14ac:dyDescent="0.35">
      <c r="A22" s="37" t="s">
        <v>39</v>
      </c>
      <c r="B22" s="323">
        <f>'1854'!O29-'1854'!N35+'1854'!N33-'1854'!C29</f>
        <v>3344</v>
      </c>
      <c r="C22" s="324"/>
      <c r="D22" s="324"/>
      <c r="E22" s="325"/>
      <c r="F22" s="68"/>
      <c r="H22" s="194" t="s">
        <v>249</v>
      </c>
      <c r="I22" s="192" t="s">
        <v>107</v>
      </c>
      <c r="J22" s="190">
        <v>15.835000000000001</v>
      </c>
      <c r="K22" s="190">
        <v>23.369</v>
      </c>
      <c r="L22" s="190">
        <f t="shared" si="2"/>
        <v>7.5339999999999989</v>
      </c>
      <c r="M22" s="191" t="s">
        <v>83</v>
      </c>
      <c r="N22" s="45"/>
      <c r="O22" s="96">
        <f t="shared" si="1"/>
        <v>7.5344026016657377</v>
      </c>
      <c r="P22" s="97" t="s">
        <v>83</v>
      </c>
      <c r="Q22" s="100"/>
    </row>
    <row r="23" spans="1:23" ht="18" x14ac:dyDescent="0.4">
      <c r="A23" s="126" t="s">
        <v>40</v>
      </c>
      <c r="B23" s="130"/>
      <c r="C23" s="130"/>
      <c r="D23" s="130"/>
      <c r="E23" s="131"/>
      <c r="H23" s="194" t="s">
        <v>250</v>
      </c>
      <c r="I23" s="189" t="s">
        <v>89</v>
      </c>
      <c r="J23" s="190">
        <v>61.302999999999997</v>
      </c>
      <c r="K23" s="190">
        <v>69.135999999999996</v>
      </c>
      <c r="L23" s="190">
        <f t="shared" si="2"/>
        <v>7.8329999999999984</v>
      </c>
      <c r="M23" s="191" t="s">
        <v>83</v>
      </c>
      <c r="N23" s="45"/>
      <c r="O23" s="96">
        <f t="shared" si="1"/>
        <v>7.8334185796187574</v>
      </c>
      <c r="P23" s="97" t="s">
        <v>83</v>
      </c>
      <c r="Q23" s="100"/>
    </row>
    <row r="24" spans="1:23" x14ac:dyDescent="0.35">
      <c r="A24" s="37" t="s">
        <v>41</v>
      </c>
      <c r="B24" s="39">
        <f>'S1'!B24+'S2'!B24+'S3'!B24+'S4'!B24+'S5'!B24+'S6'!B24+'S7'!B24+'S8'!B24+'S9'!B24+'S10'!B24+'S11'!B24+'S12'!B24</f>
        <v>166.833</v>
      </c>
      <c r="C24" s="39">
        <f>'S1'!C24+'S2'!C24+'S3'!C24+'S4'!C24+'S5'!C24+'S6'!C24+'S7'!C24+'S8'!C24+'S9'!C24+'S10'!C24+'S11'!C24+'S12'!C24</f>
        <v>176.48500000000001</v>
      </c>
      <c r="D24" s="39">
        <f>'S1'!D24+'S2'!D24+'S3'!D24+'S4'!D24+'S5'!D24+'S6'!D24+'S7'!D24+'S8'!D24+'S9'!D24+'S10'!D24+'S11'!D24+'S12'!D24</f>
        <v>168.72500000000002</v>
      </c>
      <c r="E24" s="39">
        <f>'S1'!E24+'S2'!E24+'S3'!E24+'S4'!E24+'S5'!E24+'S6'!E24+'S7'!E24+'S8'!E24+'S9'!E24+'S10'!E24+'S11'!E24+'S12'!E24</f>
        <v>180.06799999999996</v>
      </c>
      <c r="H24" s="194" t="s">
        <v>277</v>
      </c>
      <c r="I24" s="189" t="s">
        <v>278</v>
      </c>
      <c r="J24" s="190">
        <v>0</v>
      </c>
      <c r="K24" s="190">
        <v>0</v>
      </c>
      <c r="L24" s="193">
        <f t="shared" si="2"/>
        <v>0</v>
      </c>
      <c r="M24" s="191" t="s">
        <v>83</v>
      </c>
      <c r="N24" s="45"/>
      <c r="O24" s="96">
        <f t="shared" si="1"/>
        <v>0</v>
      </c>
      <c r="P24" s="97" t="s">
        <v>83</v>
      </c>
      <c r="Q24" s="100"/>
      <c r="R24" s="204" t="s">
        <v>256</v>
      </c>
    </row>
    <row r="25" spans="1:23" x14ac:dyDescent="0.35">
      <c r="A25" s="37" t="s">
        <v>42</v>
      </c>
      <c r="B25" s="39">
        <f>('1854'!O27-'1854'!C27)</f>
        <v>180.74</v>
      </c>
      <c r="C25" s="39">
        <f>('1855'!O27-'1855'!C27)</f>
        <v>188.07999999999993</v>
      </c>
      <c r="D25" s="39">
        <f>('1856'!O27-'1856'!C27)</f>
        <v>172.84999999999991</v>
      </c>
      <c r="E25" s="39">
        <f>('1857'!O27-'1857'!C27)</f>
        <v>186.65999999999997</v>
      </c>
      <c r="H25" s="194" t="s">
        <v>251</v>
      </c>
      <c r="I25" s="192" t="s">
        <v>103</v>
      </c>
      <c r="J25" s="190">
        <v>0</v>
      </c>
      <c r="K25" s="190">
        <v>6.4130000000000003</v>
      </c>
      <c r="L25" s="190">
        <f t="shared" si="2"/>
        <v>6.4130000000000003</v>
      </c>
      <c r="M25" s="191" t="s">
        <v>83</v>
      </c>
      <c r="N25" s="45"/>
      <c r="O25" s="96">
        <f t="shared" si="1"/>
        <v>6.4133426977014043</v>
      </c>
      <c r="P25" s="97" t="s">
        <v>83</v>
      </c>
      <c r="Q25" s="100"/>
      <c r="R25" s="100" t="s">
        <v>255</v>
      </c>
    </row>
    <row r="26" spans="1:23" ht="18" x14ac:dyDescent="0.4">
      <c r="A26" s="126" t="s">
        <v>48</v>
      </c>
      <c r="B26" s="130"/>
      <c r="C26" s="130"/>
      <c r="D26" s="130"/>
      <c r="E26" s="131"/>
      <c r="H26" s="194" t="s">
        <v>252</v>
      </c>
      <c r="I26" s="192" t="s">
        <v>104</v>
      </c>
      <c r="J26" s="190">
        <v>0</v>
      </c>
      <c r="K26" s="190">
        <v>4.9130000000000003</v>
      </c>
      <c r="L26" s="190">
        <f t="shared" si="2"/>
        <v>4.9130000000000003</v>
      </c>
      <c r="M26" s="191" t="s">
        <v>83</v>
      </c>
      <c r="N26" s="45"/>
      <c r="O26" s="96">
        <f t="shared" si="1"/>
        <v>4.9132625407464525</v>
      </c>
      <c r="P26" s="97" t="s">
        <v>83</v>
      </c>
      <c r="Q26" s="100"/>
      <c r="R26" s="101" t="s">
        <v>97</v>
      </c>
      <c r="S26" s="101" t="s">
        <v>98</v>
      </c>
      <c r="T26" s="101" t="s">
        <v>95</v>
      </c>
      <c r="U26" s="203"/>
    </row>
    <row r="27" spans="1:23" ht="18" thickBot="1" x14ac:dyDescent="0.4">
      <c r="A27" s="37" t="s">
        <v>44</v>
      </c>
      <c r="B27" s="102">
        <f>'1854'!O25-'1854'!C25</f>
        <v>-55786</v>
      </c>
      <c r="C27" s="102">
        <f>'1855'!O25-'1855'!C25</f>
        <v>-43171</v>
      </c>
      <c r="D27" s="102">
        <f>'1856'!O25-'1856'!C25</f>
        <v>-45234</v>
      </c>
      <c r="E27" s="102">
        <f>'1857'!O25-'1857'!C25</f>
        <v>-14686</v>
      </c>
      <c r="F27" s="41"/>
      <c r="H27" s="197" t="s">
        <v>253</v>
      </c>
      <c r="I27" s="198" t="s">
        <v>87</v>
      </c>
      <c r="J27" s="199">
        <v>0</v>
      </c>
      <c r="K27" s="199">
        <v>6.3029999999999999</v>
      </c>
      <c r="L27" s="199">
        <f t="shared" si="2"/>
        <v>6.3029999999999999</v>
      </c>
      <c r="M27" s="200" t="s">
        <v>83</v>
      </c>
      <c r="N27" s="45"/>
      <c r="O27" s="201">
        <f t="shared" si="1"/>
        <v>6.3033368195247075</v>
      </c>
      <c r="P27" s="97" t="s">
        <v>83</v>
      </c>
      <c r="Q27" s="100"/>
      <c r="R27" s="100">
        <v>120.53400000000001</v>
      </c>
      <c r="S27" s="100">
        <v>138.16300000000001</v>
      </c>
      <c r="T27" s="100">
        <f>S27-R27</f>
        <v>17.629000000000005</v>
      </c>
    </row>
    <row r="28" spans="1:23" ht="18" thickBot="1" x14ac:dyDescent="0.4">
      <c r="H28" s="194" t="s">
        <v>90</v>
      </c>
      <c r="I28" s="187"/>
      <c r="J28" s="195">
        <v>6.88</v>
      </c>
      <c r="K28" s="195">
        <v>17.943000000000001</v>
      </c>
      <c r="L28" s="195">
        <f>K28-J28</f>
        <v>11.063000000000002</v>
      </c>
      <c r="M28" s="196" t="s">
        <v>83</v>
      </c>
      <c r="N28" s="45"/>
      <c r="O28" s="96">
        <f t="shared" si="1"/>
        <v>11.063591184261758</v>
      </c>
      <c r="P28" s="97" t="s">
        <v>83</v>
      </c>
      <c r="Q28" s="100"/>
      <c r="R28" s="100"/>
      <c r="S28" s="100"/>
    </row>
    <row r="29" spans="1:23" x14ac:dyDescent="0.35">
      <c r="I29" s="89" t="s">
        <v>94</v>
      </c>
      <c r="J29" s="89"/>
      <c r="K29" s="89"/>
      <c r="L29" s="89">
        <f>SUM(L12:L28)</f>
        <v>130.99299999999999</v>
      </c>
      <c r="M29" s="90" t="s">
        <v>83</v>
      </c>
      <c r="N29" s="89"/>
      <c r="O29" s="89"/>
      <c r="P29" s="41"/>
      <c r="Q29" s="100"/>
      <c r="R29" s="100"/>
      <c r="S29" s="100"/>
    </row>
    <row r="30" spans="1:23" x14ac:dyDescent="0.35">
      <c r="I30" s="91" t="s">
        <v>91</v>
      </c>
      <c r="J30" s="91"/>
      <c r="K30" s="91"/>
      <c r="L30" s="92">
        <f>C15</f>
        <v>131</v>
      </c>
      <c r="M30" s="93" t="s">
        <v>83</v>
      </c>
      <c r="N30"/>
      <c r="O30" s="95">
        <f>SUM(O12:O28)</f>
        <v>131.00000000000003</v>
      </c>
      <c r="P30" s="41"/>
      <c r="Q30" s="100"/>
      <c r="R30" s="204"/>
      <c r="S30" s="100"/>
      <c r="V30" s="101"/>
      <c r="W30" s="101"/>
    </row>
    <row r="31" spans="1:23" x14ac:dyDescent="0.35">
      <c r="I31"/>
      <c r="J31"/>
      <c r="K31" t="s">
        <v>92</v>
      </c>
      <c r="L31" s="9">
        <f>L30-L29</f>
        <v>7.0000000000050022E-3</v>
      </c>
      <c r="M31" s="94" t="s">
        <v>83</v>
      </c>
      <c r="N31"/>
      <c r="O31"/>
      <c r="Q31" s="100"/>
      <c r="R31" s="233"/>
      <c r="S31" s="234"/>
    </row>
    <row r="32" spans="1:23" x14ac:dyDescent="0.35">
      <c r="J32"/>
      <c r="K32"/>
      <c r="L32" s="243"/>
      <c r="M32" s="101"/>
      <c r="Q32" s="100"/>
      <c r="R32" s="100"/>
      <c r="S32" s="100"/>
    </row>
    <row r="33" spans="19:19" x14ac:dyDescent="0.35">
      <c r="S33" s="100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G1:U2 C1:F5 B1:B1048576 G4:G8 C8:F20 J12:K12 M12:M14 I12:I17 G13 K13 J15:K17 J15:J19 S16:T16 G16:G17 M17 I18:L19 Q19:Q21 I20:I21 J21:L21 C23:F65536 I24:M24 N24:N30 P27:P31 I28:M30 G28:G65536 H29:H65538 R30:R32 Q32 S33 T33:T65539 U34:U65538 I34:J65539 K35:K65539 Q35:Q65544 R36:S65544 L36:P65546 Q37:R65545 S38:S65545">
    <cfRule type="cellIs" dxfId="12" priority="11" stopIfTrue="1" operator="lessThan">
      <formula>0</formula>
    </cfRule>
  </conditionalFormatting>
  <conditionalFormatting sqref="T31">
    <cfRule type="cellIs" dxfId="11" priority="2" stopIfTrue="1" operator="lessThan">
      <formula>0</formula>
    </cfRule>
  </conditionalFormatting>
  <conditionalFormatting sqref="V12:W12 U12:U13">
    <cfRule type="cellIs" dxfId="10" priority="1" stopIfTrue="1" operator="lessThan">
      <formula>0</formula>
    </cfRule>
  </conditionalFormatting>
  <pageMargins left="0.37" right="0.28000000000000003" top="0.78740157480314965" bottom="0.78740157480314965" header="0.53" footer="0.51181102362204722"/>
  <pageSetup paperSize="9" scale="77" firstPageNumber="0" orientation="landscape" horizontalDpi="300" verticalDpi="300" r:id="rId1"/>
  <headerFooter alignWithMargins="0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7"/>
  <sheetViews>
    <sheetView workbookViewId="0">
      <selection activeCell="B10" sqref="B10"/>
    </sheetView>
  </sheetViews>
  <sheetFormatPr defaultColWidth="9" defaultRowHeight="17.5" x14ac:dyDescent="0.35"/>
  <cols>
    <col min="1" max="1" width="36.26953125" style="34" customWidth="1"/>
    <col min="2" max="5" width="13.1796875" style="34" customWidth="1"/>
    <col min="6" max="6" width="11" style="34" customWidth="1"/>
    <col min="7" max="10" width="11.453125" style="34" customWidth="1"/>
    <col min="11" max="11" width="16" style="34" customWidth="1"/>
    <col min="12" max="15" width="6.453125" style="34" customWidth="1"/>
    <col min="16" max="16384" width="9" style="34"/>
  </cols>
  <sheetData>
    <row r="1" spans="1:11" ht="18" x14ac:dyDescent="0.4">
      <c r="A1" s="35" t="s">
        <v>67</v>
      </c>
      <c r="B1" s="36">
        <f>'S1'!B1</f>
        <v>2024</v>
      </c>
      <c r="C1" s="36"/>
      <c r="D1" s="36"/>
      <c r="E1" s="36"/>
      <c r="F1" s="36"/>
    </row>
    <row r="2" spans="1:11" x14ac:dyDescent="0.35">
      <c r="K2" s="68"/>
    </row>
    <row r="3" spans="1:11" ht="18" x14ac:dyDescent="0.4">
      <c r="A3" s="126" t="s">
        <v>35</v>
      </c>
      <c r="B3" s="125">
        <v>1850</v>
      </c>
      <c r="C3" s="125">
        <v>1851</v>
      </c>
      <c r="D3" s="125">
        <v>1852</v>
      </c>
      <c r="E3" s="125">
        <v>1853</v>
      </c>
      <c r="F3" s="63"/>
      <c r="K3" s="222"/>
    </row>
    <row r="4" spans="1:11" x14ac:dyDescent="0.35">
      <c r="A4" s="43" t="s">
        <v>36</v>
      </c>
      <c r="B4" s="39">
        <f>'S1'!B4+'S2'!B4+'S3'!B4+'S4'!B4+'S5'!B4+'S6'!B4+'S7'!B4+'S8'!B4+'S9'!B4+'S10'!B4+'S11'!B4+'S12'!B4</f>
        <v>675.04800000000023</v>
      </c>
      <c r="C4" s="39">
        <f>'S1'!C4+'S2'!C4+'S3'!C4+'S4'!C4+'S5'!C4+'S6'!C4+'S7'!C4+'S8'!C4+'S9'!C4+'S10'!C4+'S11'!C4+'S12'!C4</f>
        <v>934.40099999999813</v>
      </c>
      <c r="D4" s="39">
        <f>'S1'!D4+'S2'!D4+'S3'!D4+'S4'!D4+'S5'!D4+'S6'!D4+'S7'!D4+'S8'!D4+'S9'!D4+'S10'!D4+'S11'!D4+'S12'!D4</f>
        <v>872.18899999999996</v>
      </c>
      <c r="E4" s="39">
        <f>'S1'!E4+'S2'!E4+'S3'!E4+'S4'!E4+'S5'!E4+'S6'!E4+'S7'!E4+'S8'!E4+'S9'!E4+'S10'!E4+'S11'!E4+'S12'!E4</f>
        <v>893.13900000000035</v>
      </c>
      <c r="G4" s="134">
        <f>1-B4/B5</f>
        <v>1.218257298975072</v>
      </c>
      <c r="H4" s="134">
        <f>1-C4/C5</f>
        <v>1.1954282308158866</v>
      </c>
      <c r="I4" s="134">
        <f>1-D4/D5</f>
        <v>1.19816622361575</v>
      </c>
      <c r="J4" s="134">
        <f>1-E4/E5</f>
        <v>1.2126318922007429</v>
      </c>
      <c r="K4" s="223"/>
    </row>
    <row r="5" spans="1:11" x14ac:dyDescent="0.35">
      <c r="A5" s="43" t="s">
        <v>37</v>
      </c>
      <c r="B5" s="38">
        <f>'1850'!O26-'1850'!C26</f>
        <v>-3092.9</v>
      </c>
      <c r="C5" s="38">
        <f>'1851'!P26-'1851'!D26</f>
        <v>-4781.3</v>
      </c>
      <c r="D5" s="38">
        <f>'1852'!O26-'1852'!C26</f>
        <v>-4401.3</v>
      </c>
      <c r="E5" s="104">
        <f>'1853'!O27-'1853'!C27</f>
        <v>-4200.4000000000005</v>
      </c>
    </row>
    <row r="6" spans="1:11" x14ac:dyDescent="0.35">
      <c r="A6" s="43" t="s">
        <v>38</v>
      </c>
      <c r="B6" s="323">
        <f>SUM(B5:E5)</f>
        <v>-16475.900000000001</v>
      </c>
      <c r="C6" s="324"/>
      <c r="D6" s="324"/>
      <c r="E6" s="325"/>
      <c r="F6" s="68"/>
      <c r="G6" s="134">
        <f>1-B6/B7</f>
        <v>5.2365389560298281</v>
      </c>
    </row>
    <row r="7" spans="1:11" x14ac:dyDescent="0.35">
      <c r="A7" s="43" t="s">
        <v>39</v>
      </c>
      <c r="B7" s="326">
        <f>'1850'!O29-'1850'!C29</f>
        <v>3889</v>
      </c>
      <c r="C7" s="327"/>
      <c r="D7" s="327"/>
      <c r="E7" s="328"/>
      <c r="F7" s="68"/>
    </row>
    <row r="8" spans="1:11" ht="18" x14ac:dyDescent="0.4">
      <c r="A8" s="126" t="s">
        <v>40</v>
      </c>
      <c r="B8" s="130"/>
      <c r="C8" s="130"/>
      <c r="D8" s="130"/>
      <c r="E8" s="131"/>
    </row>
    <row r="9" spans="1:11" x14ac:dyDescent="0.35">
      <c r="A9" s="37" t="s">
        <v>41</v>
      </c>
      <c r="B9" s="39">
        <f>'S1'!B9+'S2'!B9+'S3'!B9+'S4'!B9+'S5'!B9+'S6'!B9+'S7'!B9+'S8'!B9+'S9'!B9+'S10'!B9+'S11'!B9+'S12'!B9</f>
        <v>173.18199999999996</v>
      </c>
      <c r="C9" s="39">
        <f>'S1'!C9+'S2'!C9+'S3'!C9+'S4'!C9+'S5'!C9+'S6'!C9+'S7'!C9+'S8'!C9+'S9'!C9+'S10'!C9+'S11'!C9+'S12'!C9</f>
        <v>207.69400000000005</v>
      </c>
      <c r="D9" s="39">
        <f>'S1'!D9+'S2'!D9+'S3'!D9+'S4'!D9+'S5'!D9+'S6'!D9+'S7'!D9+'S8'!D9+'S9'!D9+'S10'!D9+'S11'!D9+'S12'!D9</f>
        <v>196.64799999999997</v>
      </c>
      <c r="E9" s="39">
        <f>'S1'!E9+'S2'!E9+'S3'!E9+'S4'!E9+'S5'!E9+'S6'!E9+'S7'!E9+'S8'!E9+'S9'!E9+'S10'!E9+'S11'!E9+'S12'!E9</f>
        <v>168.125</v>
      </c>
      <c r="G9" s="134">
        <f>1-B9/B10</f>
        <v>-7.7873903031057123E-2</v>
      </c>
      <c r="H9" s="134">
        <f>1-C9/C10</f>
        <v>0.12490941265694755</v>
      </c>
      <c r="I9" s="134">
        <f>1-D9/D10</f>
        <v>-5.4695628854920519E-2</v>
      </c>
      <c r="J9" s="134">
        <f>1-E9/E10</f>
        <v>4.0578164800663119E-3</v>
      </c>
    </row>
    <row r="10" spans="1:11" x14ac:dyDescent="0.35">
      <c r="A10" s="37" t="s">
        <v>42</v>
      </c>
      <c r="B10" s="39">
        <f>'S 2022'!B10</f>
        <v>160.67000000000002</v>
      </c>
      <c r="C10" s="39">
        <f>'S 2022'!C10</f>
        <v>237.33999999999997</v>
      </c>
      <c r="D10" s="39">
        <f>'S 2022'!D10</f>
        <v>186.45000000000002</v>
      </c>
      <c r="E10" s="39">
        <f>'S 2022'!E10</f>
        <v>168.81</v>
      </c>
    </row>
    <row r="11" spans="1:11" ht="18" x14ac:dyDescent="0.4">
      <c r="A11" s="126" t="s">
        <v>48</v>
      </c>
      <c r="B11" s="130"/>
      <c r="C11" s="130"/>
      <c r="D11" s="130"/>
      <c r="E11" s="131"/>
    </row>
    <row r="12" spans="1:11" x14ac:dyDescent="0.35">
      <c r="A12" s="37" t="s">
        <v>44</v>
      </c>
      <c r="B12" s="102">
        <f>'1850'!O25-'1850'!E35+'1850'!E34-'1850'!C25</f>
        <v>2334</v>
      </c>
      <c r="C12" s="102">
        <f>'1851'!P24-'1851'!I58+'1851'!I57-'1851'!D24</f>
        <v>2654</v>
      </c>
      <c r="D12" s="102">
        <f>'1852'!O25-'1852'!H37+'1852'!H36-'1852'!C25</f>
        <v>2266</v>
      </c>
      <c r="E12" s="102">
        <f>'1853'!O24-'1853'!H37+'1853'!H36-'1853'!C24</f>
        <v>2297</v>
      </c>
      <c r="F12" s="41"/>
    </row>
    <row r="13" spans="1:11" x14ac:dyDescent="0.35">
      <c r="B13" s="42"/>
      <c r="C13" s="42"/>
      <c r="D13" s="42"/>
      <c r="E13" s="42"/>
      <c r="F13" s="41"/>
      <c r="G13" s="41"/>
      <c r="H13" s="41"/>
      <c r="I13" s="41"/>
      <c r="J13" s="41"/>
    </row>
    <row r="14" spans="1:11" x14ac:dyDescent="0.35">
      <c r="A14" s="34" t="s">
        <v>45</v>
      </c>
      <c r="B14" s="103">
        <f>'1853'!O25-'1853'!H40+'1853'!H39-'1853'!C25</f>
        <v>3577</v>
      </c>
      <c r="C14" s="42"/>
      <c r="D14" s="42"/>
      <c r="E14" s="42"/>
      <c r="F14" s="41"/>
      <c r="G14" s="41"/>
      <c r="H14" s="41"/>
      <c r="I14" s="41"/>
      <c r="J14" s="41"/>
    </row>
    <row r="15" spans="1:11" x14ac:dyDescent="0.35">
      <c r="A15" s="34" t="s">
        <v>46</v>
      </c>
      <c r="B15" s="42">
        <f>'1853'!O26-'1853'!D26</f>
        <v>92.947000000000003</v>
      </c>
      <c r="C15" s="74">
        <f>'S 2022'!C15</f>
        <v>131</v>
      </c>
      <c r="D15" s="42"/>
      <c r="E15" s="42"/>
      <c r="F15" s="42"/>
      <c r="G15" s="41"/>
      <c r="H15" s="41"/>
      <c r="I15" s="41"/>
      <c r="J15" s="41"/>
    </row>
    <row r="16" spans="1:11" x14ac:dyDescent="0.35">
      <c r="B16" s="42"/>
      <c r="C16" s="42"/>
      <c r="D16" s="42"/>
      <c r="E16" s="42"/>
      <c r="F16" s="41"/>
      <c r="G16" s="41"/>
      <c r="H16" s="41"/>
      <c r="I16" s="41"/>
      <c r="J16" s="41"/>
      <c r="K16" s="41"/>
    </row>
    <row r="17" spans="1:10" x14ac:dyDescent="0.35">
      <c r="B17" s="42"/>
      <c r="C17" s="42"/>
      <c r="D17" s="42"/>
      <c r="E17" s="42"/>
    </row>
    <row r="18" spans="1:10" ht="18" x14ac:dyDescent="0.4">
      <c r="A18" s="124" t="s">
        <v>35</v>
      </c>
      <c r="B18" s="132">
        <v>1854</v>
      </c>
      <c r="C18" s="132">
        <v>1855</v>
      </c>
      <c r="D18" s="132">
        <v>1856</v>
      </c>
      <c r="E18" s="132">
        <v>1857</v>
      </c>
      <c r="F18" s="63"/>
    </row>
    <row r="19" spans="1:10" x14ac:dyDescent="0.35">
      <c r="A19" s="37" t="s">
        <v>36</v>
      </c>
      <c r="B19" s="39">
        <f>'S1'!B19+'S2'!B19+'S3'!B19+'S4'!B19+'S5'!B19+'S6'!B19+'S7'!B19+'S8'!B19+'S9'!B19+'S10'!B19+'S11'!B19+'S12'!B19</f>
        <v>622.78999999999974</v>
      </c>
      <c r="C19" s="39">
        <f>'S1'!C19+'S2'!C19+'S3'!C19+'S4'!C19+'S5'!C19+'S6'!C19+'S7'!C19+'S8'!C19+'S9'!C19+'S10'!C19+'S11'!C19+'S12'!C19</f>
        <v>744.00200000000041</v>
      </c>
      <c r="D19" s="39">
        <f>'S1'!D19+'S2'!D19+'S3'!D19+'S4'!D19+'S5'!D19+'S6'!D19+'S7'!D19+'S8'!D19+'S9'!D19+'S10'!D19+'S11'!D19+'S12'!D19</f>
        <v>852.18900000000031</v>
      </c>
      <c r="E19" s="39">
        <f>'S1'!E19+'S2'!E19+'S3'!E19+'S4'!E19+'S5'!E19+'S6'!E19+'S7'!E19+'S8'!E19+'S9'!E19+'S10'!E19+'S11'!E19+'S12'!E19</f>
        <v>911.524</v>
      </c>
      <c r="G19" s="134">
        <f>1-B19/B20</f>
        <v>1.2092638016195691</v>
      </c>
      <c r="H19" s="134">
        <f>1-C19/C20</f>
        <v>1.1860237529691213</v>
      </c>
      <c r="I19" s="134">
        <f>1-D19/D20</f>
        <v>1.2268511419900974</v>
      </c>
      <c r="J19" s="134">
        <f>1-E19/E20</f>
        <v>1.234024133504493</v>
      </c>
    </row>
    <row r="20" spans="1:10" x14ac:dyDescent="0.35">
      <c r="A20" s="37" t="s">
        <v>37</v>
      </c>
      <c r="B20" s="38">
        <f>'1854'!O26-'1854'!C26</f>
        <v>-2976.1</v>
      </c>
      <c r="C20" s="38">
        <f>'1855'!O26-'1855'!C26</f>
        <v>-3999.5</v>
      </c>
      <c r="D20" s="38">
        <f>'1856'!O26-'1856'!C26</f>
        <v>-3756.6000000000004</v>
      </c>
      <c r="E20" s="38">
        <f>'1857'!O26-'1857'!C26</f>
        <v>-3895</v>
      </c>
    </row>
    <row r="21" spans="1:10" x14ac:dyDescent="0.35">
      <c r="A21" s="37" t="s">
        <v>38</v>
      </c>
      <c r="B21" s="323">
        <f>SUM(B20:E20)</f>
        <v>-14627.2</v>
      </c>
      <c r="C21" s="324"/>
      <c r="D21" s="324"/>
      <c r="E21" s="325"/>
      <c r="F21" s="68"/>
      <c r="G21" s="134">
        <f>1-B21/B22</f>
        <v>5.3741626794258375</v>
      </c>
    </row>
    <row r="22" spans="1:10" x14ac:dyDescent="0.35">
      <c r="A22" s="37" t="s">
        <v>39</v>
      </c>
      <c r="B22" s="323">
        <f>'1854'!O29-'1854'!N35+'1854'!N33-'1854'!C29</f>
        <v>3344</v>
      </c>
      <c r="C22" s="324"/>
      <c r="D22" s="324"/>
      <c r="E22" s="325"/>
      <c r="F22" s="68"/>
    </row>
    <row r="23" spans="1:10" ht="18" x14ac:dyDescent="0.4">
      <c r="A23" s="126" t="s">
        <v>40</v>
      </c>
      <c r="B23" s="130"/>
      <c r="C23" s="130"/>
      <c r="D23" s="130"/>
      <c r="E23" s="131"/>
    </row>
    <row r="24" spans="1:10" x14ac:dyDescent="0.35">
      <c r="A24" s="37" t="s">
        <v>41</v>
      </c>
      <c r="B24" s="39">
        <f>'S1'!B24+'S2'!B24+'S3'!B24+'S4'!B24+'S5'!B24+'S6'!B24+'S7'!B24+'S8'!B24+'S9'!B24+'S10'!B24+'S11'!B24+'S12'!B24</f>
        <v>166.833</v>
      </c>
      <c r="C24" s="39">
        <f>'S1'!C24+'S2'!C24+'S3'!C24+'S4'!C24+'S5'!C24+'S6'!C24+'S7'!C24+'S8'!C24+'S9'!C24+'S10'!C24+'S11'!C24+'S12'!C24</f>
        <v>176.48500000000001</v>
      </c>
      <c r="D24" s="39">
        <f>'S1'!D24+'S2'!D24+'S3'!D24+'S4'!D24+'S5'!D24+'S6'!D24+'S7'!D24+'S8'!D24+'S9'!D24+'S10'!D24+'S11'!D24+'S12'!D24</f>
        <v>168.72500000000002</v>
      </c>
      <c r="E24" s="39">
        <f>'S1'!E24+'S2'!E24+'S3'!E24+'S4'!E24+'S5'!E24+'S6'!E24+'S7'!E24+'S8'!E24+'S9'!E24+'S10'!E24+'S11'!E24+'S12'!E24</f>
        <v>180.06799999999996</v>
      </c>
      <c r="G24" s="134">
        <f>1-B24/B25</f>
        <v>7.6944782560584346E-2</v>
      </c>
      <c r="H24" s="134">
        <f>1-C24/C25</f>
        <v>6.164929817099063E-2</v>
      </c>
      <c r="I24" s="134">
        <f>1-D24/D25</f>
        <v>2.3864622505061495E-2</v>
      </c>
      <c r="J24" s="134">
        <f>1-E24/E25</f>
        <v>3.5315546983820889E-2</v>
      </c>
    </row>
    <row r="25" spans="1:10" x14ac:dyDescent="0.35">
      <c r="A25" s="37" t="s">
        <v>42</v>
      </c>
      <c r="B25" s="39">
        <f>('1854'!O27-'1854'!C27)</f>
        <v>180.74</v>
      </c>
      <c r="C25" s="39">
        <f>('1855'!O27-'1855'!C27)</f>
        <v>188.07999999999993</v>
      </c>
      <c r="D25" s="39">
        <f>('1856'!O27-'1856'!C27)</f>
        <v>172.84999999999991</v>
      </c>
      <c r="E25" s="39">
        <f>('1857'!O27-'1857'!C27)</f>
        <v>186.65999999999997</v>
      </c>
    </row>
    <row r="26" spans="1:10" ht="18" x14ac:dyDescent="0.4">
      <c r="A26" s="126" t="s">
        <v>48</v>
      </c>
      <c r="B26" s="130"/>
      <c r="C26" s="130"/>
      <c r="D26" s="130"/>
      <c r="E26" s="131"/>
    </row>
    <row r="27" spans="1:10" x14ac:dyDescent="0.35">
      <c r="A27" s="37" t="s">
        <v>44</v>
      </c>
      <c r="B27" s="102">
        <f>'1854'!O25-'1854'!C25</f>
        <v>-55786</v>
      </c>
      <c r="C27" s="102">
        <f>'1855'!O25-'1855'!C25</f>
        <v>-43171</v>
      </c>
      <c r="D27" s="102">
        <f>'1856'!O25-'1856'!C25</f>
        <v>-45234</v>
      </c>
      <c r="E27" s="102">
        <f>'1857'!O25-'1857'!C25</f>
        <v>-14686</v>
      </c>
      <c r="F27" s="41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B25:E25">
    <cfRule type="cellIs" dxfId="9" priority="1" stopIfTrue="1" operator="lessThan">
      <formula>0</formula>
    </cfRule>
  </conditionalFormatting>
  <conditionalFormatting sqref="C1:F5 B1:B1048576 C8:F20 C23:F65536">
    <cfRule type="cellIs" dxfId="8" priority="13" stopIfTrue="1" operator="lessThan">
      <formula>0</formula>
    </cfRule>
  </conditionalFormatting>
  <conditionalFormatting sqref="G1:J2 I13:J13 G13:J17 I16:J17 G28:J65536">
    <cfRule type="cellIs" dxfId="7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7"/>
  <sheetViews>
    <sheetView workbookViewId="0">
      <selection activeCell="O21" sqref="O21"/>
    </sheetView>
  </sheetViews>
  <sheetFormatPr defaultRowHeight="14.5" x14ac:dyDescent="0.35"/>
  <cols>
    <col min="1" max="1" width="6.26953125" customWidth="1"/>
    <col min="2" max="2" width="8.81640625" customWidth="1"/>
  </cols>
  <sheetData>
    <row r="1" spans="1:14" x14ac:dyDescent="0.35">
      <c r="A1" s="24" t="s">
        <v>229</v>
      </c>
    </row>
    <row r="2" spans="1:14" ht="3.75" customHeight="1" x14ac:dyDescent="0.35">
      <c r="A2" s="24"/>
    </row>
    <row r="3" spans="1:14" x14ac:dyDescent="0.35">
      <c r="A3" s="107"/>
      <c r="B3" s="107"/>
      <c r="C3" s="85" t="s">
        <v>4</v>
      </c>
      <c r="D3" s="85" t="s">
        <v>5</v>
      </c>
      <c r="E3" s="85" t="s">
        <v>6</v>
      </c>
      <c r="F3" s="85" t="s">
        <v>7</v>
      </c>
      <c r="G3" s="85" t="s">
        <v>8</v>
      </c>
      <c r="H3" s="85" t="s">
        <v>9</v>
      </c>
      <c r="I3" s="85" t="s">
        <v>10</v>
      </c>
      <c r="J3" s="85" t="s">
        <v>11</v>
      </c>
      <c r="K3" s="85" t="s">
        <v>12</v>
      </c>
      <c r="L3" s="85" t="s">
        <v>13</v>
      </c>
      <c r="M3" s="85" t="s">
        <v>14</v>
      </c>
      <c r="N3" s="85" t="s">
        <v>3</v>
      </c>
    </row>
    <row r="4" spans="1:14" ht="15" hidden="1" customHeight="1" x14ac:dyDescent="0.35">
      <c r="A4" s="85">
        <v>1850</v>
      </c>
      <c r="B4" s="85" t="s">
        <v>82</v>
      </c>
      <c r="C4" s="171">
        <f>('1850'!D27-'1850'!C27)</f>
        <v>39.320000000000007</v>
      </c>
      <c r="D4" s="171">
        <f>('1850'!E27-'1850'!D27)</f>
        <v>25.560000000000002</v>
      </c>
      <c r="E4" s="171">
        <f>('1850'!F27-'1850'!E27)</f>
        <v>17.840000000000003</v>
      </c>
      <c r="F4" s="171">
        <f>('1850'!G27-'1850'!F27)</f>
        <v>8.1099999999999852</v>
      </c>
      <c r="G4" s="171">
        <f>('1850'!H27-'1850'!G27)</f>
        <v>3.0500000000000114</v>
      </c>
      <c r="H4" s="171">
        <f>('1850'!I27-'1850'!H27)</f>
        <v>2.2599999999999909</v>
      </c>
      <c r="I4" s="171">
        <f>('1850'!J27-'1850'!I27)</f>
        <v>1.3100000000000023</v>
      </c>
      <c r="J4" s="171">
        <f>('1850'!K27-'1850'!J27)</f>
        <v>1.210000000000008</v>
      </c>
      <c r="K4" s="177">
        <f>'1850'!L27-'1850'!K27</f>
        <v>2.0300000000000011</v>
      </c>
      <c r="L4" s="177">
        <f>'1850'!M27-'1850'!L27</f>
        <v>6.1699999999999875</v>
      </c>
      <c r="M4" s="177">
        <f>'1850'!N27-'1850'!M27</f>
        <v>23.810000000000002</v>
      </c>
      <c r="N4" s="177">
        <f>'1850'!O27-'1850'!N27</f>
        <v>30</v>
      </c>
    </row>
    <row r="5" spans="1:14" ht="17.25" hidden="1" customHeight="1" x14ac:dyDescent="0.35">
      <c r="A5" s="85">
        <v>1850</v>
      </c>
      <c r="B5" s="108" t="s">
        <v>100</v>
      </c>
      <c r="C5" s="109">
        <f>'1850'!D28-'1850'!C28</f>
        <v>364</v>
      </c>
      <c r="D5" s="109">
        <f>'1850'!E28-'1850'!D28</f>
        <v>196</v>
      </c>
      <c r="E5" s="109">
        <f>'1850'!F28-'1850'!E28</f>
        <v>144</v>
      </c>
      <c r="F5" s="109">
        <f>'1850'!G28-'1850'!F28</f>
        <v>74</v>
      </c>
      <c r="G5" s="109">
        <f>'1850'!H28-'1850'!G28</f>
        <v>34</v>
      </c>
      <c r="H5" s="109">
        <f>'1850'!I28-'1850'!H28</f>
        <v>25</v>
      </c>
      <c r="I5" s="109">
        <f>'1850'!J28-'1850'!I28</f>
        <v>17</v>
      </c>
      <c r="J5" s="178">
        <f>'1850'!K28-'1850'!J28</f>
        <v>16</v>
      </c>
      <c r="K5" s="178">
        <f>'1850'!L28-'1850'!K28</f>
        <v>22</v>
      </c>
      <c r="L5" s="178">
        <f>'1850'!M28-'1850'!L28</f>
        <v>57</v>
      </c>
      <c r="M5" s="178">
        <f>'1850'!N28-'1850'!M28</f>
        <v>195</v>
      </c>
      <c r="N5" s="178">
        <f>'1850'!O28-'1850'!N28</f>
        <v>262</v>
      </c>
    </row>
    <row r="6" spans="1:14" ht="16.5" x14ac:dyDescent="0.35">
      <c r="A6" s="85">
        <v>1850</v>
      </c>
      <c r="B6" s="108" t="s">
        <v>101</v>
      </c>
      <c r="C6" s="110">
        <f t="shared" ref="C6:D6" si="0">C4/C5*1000</f>
        <v>108.02197802197804</v>
      </c>
      <c r="D6" s="110">
        <f t="shared" si="0"/>
        <v>130.40816326530614</v>
      </c>
      <c r="E6" s="110">
        <f t="shared" ref="E6:F6" si="1">E4/E5*1000</f>
        <v>123.88888888888891</v>
      </c>
      <c r="F6" s="110">
        <f t="shared" si="1"/>
        <v>109.5945945945944</v>
      </c>
      <c r="G6" s="110">
        <f t="shared" ref="G6:H6" si="2">G4/G5*1000</f>
        <v>89.705882352941515</v>
      </c>
      <c r="H6" s="110">
        <f t="shared" si="2"/>
        <v>90.399999999999636</v>
      </c>
      <c r="I6" s="110">
        <f t="shared" ref="I6:J6" si="3">I4/I5*1000</f>
        <v>77.058823529411896</v>
      </c>
      <c r="J6" s="110">
        <f t="shared" si="3"/>
        <v>75.625000000000497</v>
      </c>
      <c r="K6" s="110">
        <f t="shared" ref="K6:L6" si="4">K4/K5*1000</f>
        <v>92.272727272727323</v>
      </c>
      <c r="L6" s="110">
        <f t="shared" si="4"/>
        <v>108.24561403508751</v>
      </c>
      <c r="M6" s="110">
        <f t="shared" ref="M6:N6" si="5">M4/M5*1000</f>
        <v>122.10256410256412</v>
      </c>
      <c r="N6" s="110">
        <f t="shared" si="5"/>
        <v>114.50381679389312</v>
      </c>
    </row>
    <row r="7" spans="1:14" ht="15" hidden="1" customHeight="1" x14ac:dyDescent="0.35">
      <c r="A7" s="85">
        <v>1851</v>
      </c>
      <c r="B7" s="85" t="s">
        <v>82</v>
      </c>
      <c r="C7" s="171">
        <f>('1851'!E27-'1851'!D27)</f>
        <v>44.160000000000011</v>
      </c>
      <c r="D7" s="171">
        <f>('1851'!F27-'1851'!E27)</f>
        <v>27.579999999999984</v>
      </c>
      <c r="E7" s="171">
        <f>('1851'!G27-'1851'!F27)</f>
        <v>22.990000000000009</v>
      </c>
      <c r="F7" s="171">
        <f>('1851'!H27-'1851'!G27)</f>
        <v>14.930000000000007</v>
      </c>
      <c r="G7" s="171">
        <f>('1851'!I27-'1851'!H27)</f>
        <v>9.8499999999999943</v>
      </c>
      <c r="H7" s="171">
        <f>('1851'!J27-'1851'!I27)</f>
        <v>7.8299999999999841</v>
      </c>
      <c r="I7" s="171">
        <f>('1851'!K27-'1851'!J27)</f>
        <v>6.9300000000000068</v>
      </c>
      <c r="J7" s="171">
        <f>('1851'!L27-'1851'!K27)</f>
        <v>5.960000000000008</v>
      </c>
      <c r="K7" s="171">
        <f>('1851'!M27-'1851'!L27)</f>
        <v>7.9799999999999898</v>
      </c>
      <c r="L7" s="171">
        <f>('1851'!N27-'1851'!M27)</f>
        <v>15.129999999999995</v>
      </c>
      <c r="M7" s="171">
        <f>('1851'!O27-'1851'!N27)</f>
        <v>34.160000000000025</v>
      </c>
      <c r="N7" s="171">
        <f>('1851'!P27-'1851'!O27)</f>
        <v>39.839999999999975</v>
      </c>
    </row>
    <row r="8" spans="1:14" ht="17.25" hidden="1" customHeight="1" x14ac:dyDescent="0.35">
      <c r="A8" s="85">
        <v>1851</v>
      </c>
      <c r="B8" s="108" t="s">
        <v>100</v>
      </c>
      <c r="C8" s="109">
        <f>'1851'!E28-'1851'!D28</f>
        <v>459</v>
      </c>
      <c r="D8" s="109">
        <f>'1851'!F28-'1851'!E28</f>
        <v>255</v>
      </c>
      <c r="E8" s="109">
        <f>'1851'!G28-'1851'!F28</f>
        <v>229</v>
      </c>
      <c r="F8" s="109">
        <f>'1851'!H28-'1851'!G28</f>
        <v>211</v>
      </c>
      <c r="G8" s="109">
        <f>'1851'!I28-'1851'!H28</f>
        <v>286</v>
      </c>
      <c r="H8" s="109">
        <f>'1851'!J28-'1851'!I28</f>
        <v>258</v>
      </c>
      <c r="I8" s="109">
        <f>'1851'!K28-'1851'!J28</f>
        <v>239</v>
      </c>
      <c r="J8" s="109">
        <f>'1851'!L28-'1851'!K28</f>
        <v>197</v>
      </c>
      <c r="K8" s="109">
        <f>'1851'!M28-'1851'!L28</f>
        <v>190</v>
      </c>
      <c r="L8" s="109">
        <f>'1851'!N28-'1851'!M28</f>
        <v>200</v>
      </c>
      <c r="M8" s="109">
        <f>'1851'!O28-'1851'!N28</f>
        <v>342</v>
      </c>
      <c r="N8" s="109">
        <f>'1851'!P28-'1851'!O28</f>
        <v>388</v>
      </c>
    </row>
    <row r="9" spans="1:14" ht="16.5" x14ac:dyDescent="0.35">
      <c r="A9" s="85">
        <v>1851</v>
      </c>
      <c r="B9" s="108" t="s">
        <v>101</v>
      </c>
      <c r="C9" s="110">
        <f t="shared" ref="C9:D9" si="6">C7/C8*1000</f>
        <v>96.209150326797413</v>
      </c>
      <c r="D9" s="110">
        <f t="shared" si="6"/>
        <v>108.15686274509798</v>
      </c>
      <c r="E9" s="110">
        <f t="shared" ref="E9:F9" si="7">E7/E8*1000</f>
        <v>100.39301310043672</v>
      </c>
      <c r="F9" s="110">
        <f t="shared" si="7"/>
        <v>70.758293838862585</v>
      </c>
      <c r="G9" s="110">
        <f t="shared" ref="G9:H9" si="8">G7/G8*1000</f>
        <v>34.440559440559419</v>
      </c>
      <c r="H9" s="110">
        <f t="shared" si="8"/>
        <v>30.348837209302264</v>
      </c>
      <c r="I9" s="110">
        <f t="shared" ref="I9:J9" si="9">I7/I8*1000</f>
        <v>28.995815899581618</v>
      </c>
      <c r="J9" s="110">
        <f t="shared" si="9"/>
        <v>30.253807106599027</v>
      </c>
      <c r="K9" s="110">
        <f t="shared" ref="K9:L9" si="10">K7/K8*1000</f>
        <v>41.99999999999995</v>
      </c>
      <c r="L9" s="110">
        <f t="shared" si="10"/>
        <v>75.649999999999977</v>
      </c>
      <c r="M9" s="110">
        <f t="shared" ref="M9:N9" si="11">M7/M8*1000</f>
        <v>99.883040935672582</v>
      </c>
      <c r="N9" s="110">
        <f t="shared" si="11"/>
        <v>102.68041237113395</v>
      </c>
    </row>
    <row r="10" spans="1:14" ht="15" hidden="1" customHeight="1" x14ac:dyDescent="0.35">
      <c r="A10" s="85">
        <v>1852</v>
      </c>
      <c r="B10" s="85" t="s">
        <v>82</v>
      </c>
      <c r="C10" s="171">
        <f>('1852'!D27-'1852'!C27)</f>
        <v>40.740000000000009</v>
      </c>
      <c r="D10" s="171">
        <f>('1852'!E27-'1852'!D27)</f>
        <v>24.579999999999984</v>
      </c>
      <c r="E10" s="171">
        <f>('1852'!F27-'1852'!E27)</f>
        <v>20.190000000000026</v>
      </c>
      <c r="F10" s="171">
        <f>('1852'!G27-'1852'!F27)</f>
        <v>11.309999999999974</v>
      </c>
      <c r="G10" s="171">
        <f>('1852'!H27-'1852'!G27)</f>
        <v>5.1100000000000136</v>
      </c>
      <c r="H10" s="171">
        <f>('1852'!I27-'1852'!H27)</f>
        <v>3.039999999999992</v>
      </c>
      <c r="I10" s="171">
        <f>('1852'!J27-'1852'!I27)</f>
        <v>1.960000000000008</v>
      </c>
      <c r="J10" s="171">
        <f>('1852'!K27-'1852'!J27)</f>
        <v>1.4699999999999989</v>
      </c>
      <c r="K10" s="171">
        <f>('1852'!L27-'1852'!K27)</f>
        <v>4.5600000000000023</v>
      </c>
      <c r="L10" s="171">
        <f>('1852'!M27-'1852'!L27)</f>
        <v>13.669999999999987</v>
      </c>
      <c r="M10" s="171">
        <f>('1852'!N27-'1852'!M27)</f>
        <v>27.980000000000018</v>
      </c>
      <c r="N10" s="171">
        <f>('1852'!O27-'1852'!N27)</f>
        <v>31.840000000000003</v>
      </c>
    </row>
    <row r="11" spans="1:14" ht="17.25" hidden="1" customHeight="1" x14ac:dyDescent="0.35">
      <c r="A11" s="85">
        <v>1852</v>
      </c>
      <c r="B11" s="108" t="s">
        <v>100</v>
      </c>
      <c r="C11" s="109">
        <f>'1852'!D28-'1852'!C28</f>
        <v>251</v>
      </c>
      <c r="D11" s="109">
        <f>'1852'!E28-'1852'!D28</f>
        <v>150</v>
      </c>
      <c r="E11" s="109">
        <f>'1852'!F28-'1852'!E28</f>
        <v>124</v>
      </c>
      <c r="F11" s="109">
        <f>'1852'!G28-'1852'!F28</f>
        <v>175</v>
      </c>
      <c r="G11" s="109">
        <f>'1852'!H28-'1852'!G28</f>
        <v>40</v>
      </c>
      <c r="H11" s="109">
        <f>'1852'!I28-'1852'!H28</f>
        <v>27</v>
      </c>
      <c r="I11" s="109">
        <f>'1852'!J28-'1852'!I28</f>
        <v>18</v>
      </c>
      <c r="J11" s="109">
        <f>'1852'!K28-'1852'!J28</f>
        <v>15</v>
      </c>
      <c r="K11" s="109">
        <f>'1852'!L28-'1852'!K28</f>
        <v>33</v>
      </c>
      <c r="L11" s="109">
        <f>'1852'!M28-'1852'!L28</f>
        <v>101</v>
      </c>
      <c r="M11" s="109">
        <f>'1852'!N28-'1852'!M28</f>
        <v>187</v>
      </c>
      <c r="N11" s="109">
        <f>'1852'!O28-'1852'!N28</f>
        <v>234</v>
      </c>
    </row>
    <row r="12" spans="1:14" ht="16.5" x14ac:dyDescent="0.35">
      <c r="A12" s="85">
        <v>1852</v>
      </c>
      <c r="B12" s="108" t="s">
        <v>101</v>
      </c>
      <c r="C12" s="110">
        <f t="shared" ref="C12:D12" si="12">C10/C11*1000</f>
        <v>162.31075697211159</v>
      </c>
      <c r="D12" s="110">
        <f t="shared" si="12"/>
        <v>163.86666666666656</v>
      </c>
      <c r="E12" s="110">
        <f t="shared" ref="E12:F12" si="13">E10/E11*1000</f>
        <v>162.82258064516151</v>
      </c>
      <c r="F12" s="110">
        <f t="shared" si="13"/>
        <v>64.628571428571291</v>
      </c>
      <c r="G12" s="110">
        <f t="shared" ref="G12:H12" si="14">G10/G11*1000</f>
        <v>127.75000000000034</v>
      </c>
      <c r="H12" s="110">
        <f t="shared" si="14"/>
        <v>112.5925925925923</v>
      </c>
      <c r="I12" s="110">
        <f t="shared" ref="I12:J12" si="15">I10/I11*1000</f>
        <v>108.88888888888933</v>
      </c>
      <c r="J12" s="110">
        <f t="shared" si="15"/>
        <v>97.999999999999915</v>
      </c>
      <c r="K12" s="110">
        <f t="shared" ref="K12:L12" si="16">K10/K11*1000</f>
        <v>138.18181818181824</v>
      </c>
      <c r="L12" s="110">
        <f t="shared" si="16"/>
        <v>135.34653465346523</v>
      </c>
      <c r="M12" s="110">
        <f t="shared" ref="M12:N12" si="17">M10/M11*1000</f>
        <v>149.62566844919795</v>
      </c>
      <c r="N12" s="110">
        <f t="shared" si="17"/>
        <v>136.06837606837607</v>
      </c>
    </row>
    <row r="13" spans="1:14" ht="15" hidden="1" customHeight="1" x14ac:dyDescent="0.35">
      <c r="A13" s="85">
        <v>1853</v>
      </c>
      <c r="B13" s="85" t="s">
        <v>82</v>
      </c>
      <c r="C13" s="171">
        <f>('1853'!D28-'1853'!C28)</f>
        <v>37.67</v>
      </c>
      <c r="D13" s="171">
        <f>('1853'!E28-'1853'!D28)</f>
        <v>22.009999999999991</v>
      </c>
      <c r="E13" s="171">
        <f>('1853'!F28-'1853'!E28)</f>
        <v>17.200000000000003</v>
      </c>
      <c r="F13" s="171">
        <f>('1853'!G28-'1853'!F28)</f>
        <v>8.2199999999999989</v>
      </c>
      <c r="G13" s="171">
        <f>('1853'!H28-'1853'!G28)</f>
        <v>4.0900000000000034</v>
      </c>
      <c r="H13" s="171">
        <f>('1853'!I28-'1853'!H28)</f>
        <v>3</v>
      </c>
      <c r="I13" s="171">
        <f>('1853'!J28-'1853'!I28)</f>
        <v>2.1599999999999966</v>
      </c>
      <c r="J13" s="171">
        <f>('1853'!K28-'1853'!J28)</f>
        <v>1.7199999999999989</v>
      </c>
      <c r="K13" s="171">
        <f>('1853'!L28-'1853'!K28)</f>
        <v>3.6700000000000159</v>
      </c>
      <c r="L13" s="171">
        <f>('1853'!M28-'1853'!L28)</f>
        <v>8.1899999999999977</v>
      </c>
      <c r="M13" s="171">
        <f>('1853'!N28-'1853'!M28)</f>
        <v>27.78</v>
      </c>
      <c r="N13" s="171">
        <f>('1853'!O28-'1853'!N28)</f>
        <v>33.099999999999994</v>
      </c>
    </row>
    <row r="14" spans="1:14" ht="17.25" hidden="1" customHeight="1" x14ac:dyDescent="0.35">
      <c r="A14" s="85">
        <v>1853</v>
      </c>
      <c r="B14" s="108" t="s">
        <v>100</v>
      </c>
      <c r="C14" s="109">
        <f>'1853'!D29-'1853'!C29</f>
        <v>262</v>
      </c>
      <c r="D14" s="109">
        <f>'1853'!E29-'1853'!D29</f>
        <v>146</v>
      </c>
      <c r="E14" s="109">
        <f>'1853'!F29-'1853'!E29</f>
        <v>122.79999999999995</v>
      </c>
      <c r="F14" s="109">
        <f>'1853'!G29-'1853'!F29</f>
        <v>61.200000000000045</v>
      </c>
      <c r="G14" s="109">
        <f>'1853'!H29-'1853'!G29</f>
        <v>33</v>
      </c>
      <c r="H14" s="109">
        <f>'1853'!I29-'1853'!H29</f>
        <v>27</v>
      </c>
      <c r="I14" s="109">
        <f>'1853'!J29-'1853'!I29</f>
        <v>20</v>
      </c>
      <c r="J14" s="109">
        <f>'1853'!K29-'1853'!J29</f>
        <v>18</v>
      </c>
      <c r="K14" s="109">
        <f>'1853'!L29-'1853'!K29</f>
        <v>30</v>
      </c>
      <c r="L14" s="109">
        <f>'1853'!M29-'1853'!L29</f>
        <v>63</v>
      </c>
      <c r="M14" s="109">
        <f>'1853'!N29-'1853'!M29</f>
        <v>198</v>
      </c>
      <c r="N14" s="109">
        <f>'1853'!O29-'1853'!N29</f>
        <v>226</v>
      </c>
    </row>
    <row r="15" spans="1:14" ht="16.5" x14ac:dyDescent="0.35">
      <c r="A15" s="85">
        <v>1853</v>
      </c>
      <c r="B15" s="108" t="s">
        <v>101</v>
      </c>
      <c r="C15" s="110">
        <f t="shared" ref="C15:D15" si="18">C13/C14*1000</f>
        <v>143.7786259541985</v>
      </c>
      <c r="D15" s="110">
        <f t="shared" si="18"/>
        <v>150.7534246575342</v>
      </c>
      <c r="E15" s="110">
        <f t="shared" ref="E15:F15" si="19">E13/E14*1000</f>
        <v>140.06514657980463</v>
      </c>
      <c r="F15" s="110">
        <f t="shared" si="19"/>
        <v>134.31372549019596</v>
      </c>
      <c r="G15" s="110">
        <f t="shared" ref="G15:H15" si="20">G13/G14*1000</f>
        <v>123.93939393939404</v>
      </c>
      <c r="H15" s="110">
        <f t="shared" si="20"/>
        <v>111.1111111111111</v>
      </c>
      <c r="I15" s="110">
        <f t="shared" ref="I15:J15" si="21">I13/I14*1000</f>
        <v>107.99999999999983</v>
      </c>
      <c r="J15" s="110">
        <f t="shared" si="21"/>
        <v>95.555555555555486</v>
      </c>
      <c r="K15" s="110">
        <f t="shared" ref="K15:L15" si="22">K13/K14*1000</f>
        <v>122.33333333333387</v>
      </c>
      <c r="L15" s="110">
        <f t="shared" si="22"/>
        <v>129.99999999999997</v>
      </c>
      <c r="M15" s="110">
        <f t="shared" ref="M15:N15" si="23">M13/M14*1000</f>
        <v>140.30303030303031</v>
      </c>
      <c r="N15" s="110">
        <f t="shared" si="23"/>
        <v>146.46017699115041</v>
      </c>
    </row>
    <row r="16" spans="1:14" ht="15" hidden="1" customHeight="1" x14ac:dyDescent="0.35">
      <c r="A16" s="85">
        <v>1854</v>
      </c>
      <c r="B16" s="85" t="s">
        <v>82</v>
      </c>
      <c r="C16" s="171">
        <f>'1854'!D27-'1854'!C27</f>
        <v>36.200000000000045</v>
      </c>
      <c r="D16" s="171">
        <f>'1854'!E27-'1854'!D27</f>
        <v>23.230000000000018</v>
      </c>
      <c r="E16" s="171">
        <f>'1854'!F27-'1854'!E27</f>
        <v>18.149999999999977</v>
      </c>
      <c r="F16" s="171">
        <f>'1854'!G27-'1854'!F27</f>
        <v>10.699999999999932</v>
      </c>
      <c r="G16" s="171">
        <f>'1854'!H27-'1854'!G27</f>
        <v>4.7900000000000773</v>
      </c>
      <c r="H16" s="171">
        <f>'1854'!I27-'1854'!H27</f>
        <v>3.8899999999999864</v>
      </c>
      <c r="I16" s="171">
        <f>'1854'!J27-'1854'!I27</f>
        <v>2.7099999999999227</v>
      </c>
      <c r="J16" s="171">
        <f>'1854'!K27-'1854'!J27</f>
        <v>2.4900000000000091</v>
      </c>
      <c r="K16" s="171">
        <f>'1854'!L27-'1854'!K27</f>
        <v>4.0099999999999909</v>
      </c>
      <c r="L16" s="171">
        <f>'1854'!M27-'1854'!L27</f>
        <v>11.940000000000055</v>
      </c>
      <c r="M16" s="171">
        <f>'1854'!N27-'1854'!M27</f>
        <v>28.360000000000014</v>
      </c>
      <c r="N16" s="171">
        <f>'1854'!O27-'1854'!N27</f>
        <v>34.269999999999982</v>
      </c>
    </row>
    <row r="17" spans="1:14" ht="17.25" hidden="1" customHeight="1" x14ac:dyDescent="0.35">
      <c r="A17" s="85">
        <v>1854</v>
      </c>
      <c r="B17" s="108" t="s">
        <v>100</v>
      </c>
      <c r="C17" s="109">
        <f>'1854'!D28-'1854'!C28</f>
        <v>263</v>
      </c>
      <c r="D17" s="109">
        <f>'1854'!E28-'1854'!D28</f>
        <v>153</v>
      </c>
      <c r="E17" s="109">
        <f>'1854'!F28-'1854'!E28</f>
        <v>127</v>
      </c>
      <c r="F17" s="109">
        <f>'1854'!G28-'1854'!F28</f>
        <v>85</v>
      </c>
      <c r="G17" s="109">
        <f>'1854'!H28-'1854'!G28</f>
        <v>61</v>
      </c>
      <c r="H17" s="109">
        <f>'1854'!I28-'1854'!H28</f>
        <v>55</v>
      </c>
      <c r="I17" s="109">
        <f>'1854'!J28-'1854'!I28</f>
        <v>40</v>
      </c>
      <c r="J17" s="109">
        <f>'1854'!K28-'1854'!J28</f>
        <v>34</v>
      </c>
      <c r="K17" s="109">
        <f>'1854'!L28-'1854'!K28</f>
        <v>44</v>
      </c>
      <c r="L17" s="109">
        <f>'1854'!M28-'1854'!L28</f>
        <v>88</v>
      </c>
      <c r="M17" s="109">
        <f>'1854'!N28-'1854'!M28</f>
        <v>187</v>
      </c>
      <c r="N17" s="109">
        <f>'1854'!O28-'1854'!N28</f>
        <v>228</v>
      </c>
    </row>
    <row r="18" spans="1:14" ht="16.5" x14ac:dyDescent="0.35">
      <c r="A18" s="85">
        <v>1854</v>
      </c>
      <c r="B18" s="108" t="s">
        <v>101</v>
      </c>
      <c r="C18" s="110">
        <f t="shared" ref="C18:D18" si="24">C16/C17*1000</f>
        <v>137.64258555133097</v>
      </c>
      <c r="D18" s="110">
        <f t="shared" si="24"/>
        <v>151.83006535947723</v>
      </c>
      <c r="E18" s="110">
        <f t="shared" ref="E18:F18" si="25">E16/E17*1000</f>
        <v>142.91338582677147</v>
      </c>
      <c r="F18" s="110">
        <f t="shared" si="25"/>
        <v>125.88235294117567</v>
      </c>
      <c r="G18" s="110">
        <f t="shared" ref="G18:H18" si="26">G16/G17*1000</f>
        <v>78.524590163935684</v>
      </c>
      <c r="H18" s="110">
        <f t="shared" si="26"/>
        <v>70.727272727272492</v>
      </c>
      <c r="I18" s="110">
        <f t="shared" ref="I18:J18" si="27">I16/I17*1000</f>
        <v>67.749999999998067</v>
      </c>
      <c r="J18" s="110">
        <f t="shared" si="27"/>
        <v>73.235294117647328</v>
      </c>
      <c r="K18" s="110">
        <f t="shared" ref="K18:L18" si="28">K16/K17*1000</f>
        <v>91.136363636363427</v>
      </c>
      <c r="L18" s="110">
        <f t="shared" si="28"/>
        <v>135.68181818181878</v>
      </c>
      <c r="M18" s="110">
        <f t="shared" ref="M18:N18" si="29">M16/M17*1000</f>
        <v>151.65775401069524</v>
      </c>
      <c r="N18" s="110">
        <f t="shared" si="29"/>
        <v>150.30701754385956</v>
      </c>
    </row>
    <row r="19" spans="1:14" ht="15" hidden="1" customHeight="1" x14ac:dyDescent="0.35">
      <c r="A19" s="85">
        <v>1855</v>
      </c>
      <c r="B19" s="85" t="s">
        <v>82</v>
      </c>
      <c r="C19" s="171">
        <f>'1855'!D27-'1855'!C27</f>
        <v>41.419999999999959</v>
      </c>
      <c r="D19" s="171">
        <f>'1855'!E27-'1855'!D27</f>
        <v>25.399999999999977</v>
      </c>
      <c r="E19" s="171">
        <f>'1855'!F27-'1855'!E27</f>
        <v>18.519999999999982</v>
      </c>
      <c r="F19" s="171">
        <f>'1855'!G27-'1855'!F27</f>
        <v>11.350000000000023</v>
      </c>
      <c r="G19" s="171">
        <f>'1855'!H27-'1855'!G27</f>
        <v>4.5399999999999636</v>
      </c>
      <c r="H19" s="171">
        <f>'1855'!I27-'1855'!H27</f>
        <v>2.9500000000000455</v>
      </c>
      <c r="I19" s="171">
        <f>'1855'!J27-'1855'!I27</f>
        <v>2.07000000000005</v>
      </c>
      <c r="J19" s="171">
        <f>'1855'!K27-'1855'!J27</f>
        <v>2.0899999999999181</v>
      </c>
      <c r="K19" s="171">
        <f>'1855'!L27-'1855'!K27</f>
        <v>3.6900000000000546</v>
      </c>
      <c r="L19" s="171">
        <f>'1855'!M27-'1855'!L27</f>
        <v>11.370000000000005</v>
      </c>
      <c r="M19" s="171">
        <f>'1855'!N27-'1855'!M27</f>
        <v>30.25</v>
      </c>
      <c r="N19" s="171">
        <f>'1855'!O27-'1855'!N27</f>
        <v>34.42999999999995</v>
      </c>
    </row>
    <row r="20" spans="1:14" ht="17.25" hidden="1" customHeight="1" x14ac:dyDescent="0.35">
      <c r="A20" s="85">
        <v>1855</v>
      </c>
      <c r="B20" s="108" t="s">
        <v>100</v>
      </c>
      <c r="C20" s="109">
        <f>'1855'!D28-'1855'!C28</f>
        <v>282</v>
      </c>
      <c r="D20" s="109">
        <f>'1855'!E28-'1855'!D28</f>
        <v>165</v>
      </c>
      <c r="E20" s="109">
        <f>'1855'!F28-'1855'!E28</f>
        <v>115.39999999999964</v>
      </c>
      <c r="F20" s="109">
        <f>'1855'!G28-'1855'!F28</f>
        <v>88.600000000000364</v>
      </c>
      <c r="G20" s="109">
        <f>'1855'!H28-'1855'!G28</f>
        <v>34</v>
      </c>
      <c r="H20" s="109">
        <f>'1855'!I28-'1855'!H28</f>
        <v>22</v>
      </c>
      <c r="I20" s="109">
        <f>'1855'!J28-'1855'!I28</f>
        <v>15</v>
      </c>
      <c r="J20" s="109">
        <f>'1855'!K28-'1855'!J28</f>
        <v>16</v>
      </c>
      <c r="K20" s="109">
        <f>'1855'!L28-'1855'!K28</f>
        <v>28</v>
      </c>
      <c r="L20" s="109">
        <f>'1855'!M28-'1855'!L28</f>
        <v>97</v>
      </c>
      <c r="M20" s="109">
        <f>'1855'!N28-'1855'!M28</f>
        <v>205</v>
      </c>
      <c r="N20" s="109">
        <f>'1855'!O28-'1855'!N28</f>
        <v>230</v>
      </c>
    </row>
    <row r="21" spans="1:14" ht="16.5" x14ac:dyDescent="0.35">
      <c r="A21" s="85">
        <v>1855</v>
      </c>
      <c r="B21" s="108" t="s">
        <v>101</v>
      </c>
      <c r="C21" s="110">
        <f t="shared" ref="C21:D21" si="30">C19/C20*1000</f>
        <v>146.87943262411332</v>
      </c>
      <c r="D21" s="110">
        <f t="shared" si="30"/>
        <v>153.9393939393938</v>
      </c>
      <c r="E21" s="110">
        <f t="shared" ref="E21:F21" si="31">E19/E20*1000</f>
        <v>160.48526863084959</v>
      </c>
      <c r="F21" s="110">
        <f t="shared" si="31"/>
        <v>128.10383747178304</v>
      </c>
      <c r="G21" s="110">
        <f t="shared" ref="G21:H21" si="32">G19/G20*1000</f>
        <v>133.5294117647048</v>
      </c>
      <c r="H21" s="110">
        <f t="shared" si="32"/>
        <v>134.09090909091114</v>
      </c>
      <c r="I21" s="110">
        <f t="shared" ref="I21:J21" si="33">I19/I20*1000</f>
        <v>138.00000000000335</v>
      </c>
      <c r="J21" s="110">
        <f t="shared" si="33"/>
        <v>130.62499999999488</v>
      </c>
      <c r="K21" s="110">
        <f t="shared" ref="K21:L21" si="34">K19/K20*1000</f>
        <v>131.78571428571624</v>
      </c>
      <c r="L21" s="110">
        <f t="shared" si="34"/>
        <v>117.21649484536087</v>
      </c>
      <c r="M21" s="110">
        <f t="shared" ref="M21:N21" si="35">M19/M20*1000</f>
        <v>147.5609756097561</v>
      </c>
      <c r="N21" s="110">
        <f t="shared" si="35"/>
        <v>149.6956521739128</v>
      </c>
    </row>
    <row r="22" spans="1:14" ht="15" hidden="1" customHeight="1" x14ac:dyDescent="0.35">
      <c r="A22" s="85">
        <v>1856</v>
      </c>
      <c r="B22" s="85" t="s">
        <v>82</v>
      </c>
      <c r="C22" s="171">
        <f>'1856'!D27-'1856'!C27</f>
        <v>38.309999999999945</v>
      </c>
      <c r="D22" s="171">
        <f>'1856'!E27-'1856'!D27</f>
        <v>21.350000000000023</v>
      </c>
      <c r="E22" s="171">
        <f>'1856'!F27-'1856'!E27</f>
        <v>16.699999999999932</v>
      </c>
      <c r="F22" s="171">
        <f>'1856'!G27-'1856'!F27</f>
        <v>9.1400000000001</v>
      </c>
      <c r="G22" s="171">
        <f>'1856'!H27-'1856'!G27</f>
        <v>4.3299999999999272</v>
      </c>
      <c r="H22" s="171">
        <f>'1856'!I27-'1856'!H27</f>
        <v>3.0900000000000318</v>
      </c>
      <c r="I22" s="171">
        <f>'1856'!J27-'1856'!I27</f>
        <v>2.2300000000000182</v>
      </c>
      <c r="J22" s="171">
        <f>'1856'!K27-'1856'!J27</f>
        <v>2.17999999999995</v>
      </c>
      <c r="K22" s="171">
        <f>'1856'!L27-'1856'!K27</f>
        <v>3.3799999999999955</v>
      </c>
      <c r="L22" s="171">
        <f>'1856'!M27-'1856'!L27</f>
        <v>8.6100000000000136</v>
      </c>
      <c r="M22" s="171">
        <f>'1856'!N27-'1856'!M27</f>
        <v>29.149999999999977</v>
      </c>
      <c r="N22" s="171">
        <f>'1856'!O27-'1856'!N27</f>
        <v>34.379999999999995</v>
      </c>
    </row>
    <row r="23" spans="1:14" ht="17.25" hidden="1" customHeight="1" x14ac:dyDescent="0.35">
      <c r="A23" s="85">
        <v>1856</v>
      </c>
      <c r="B23" s="108" t="s">
        <v>100</v>
      </c>
      <c r="C23" s="109">
        <f>'1856'!D28-'1856'!C28</f>
        <v>254</v>
      </c>
      <c r="D23" s="109">
        <f>'1856'!E28-'1856'!D28</f>
        <v>125</v>
      </c>
      <c r="E23" s="109">
        <f>'1856'!F28-'1856'!E28</f>
        <v>99</v>
      </c>
      <c r="F23" s="109">
        <f>'1856'!G28-'1856'!F28</f>
        <v>55</v>
      </c>
      <c r="G23" s="109">
        <f>'1856'!H28-'1856'!G28</f>
        <v>29</v>
      </c>
      <c r="H23" s="109">
        <f>'1856'!I28-'1856'!H28</f>
        <v>21</v>
      </c>
      <c r="I23" s="109">
        <f>'1856'!J28-'1856'!I28</f>
        <v>17</v>
      </c>
      <c r="J23" s="109">
        <f>'1856'!K28-'1856'!J28</f>
        <v>15</v>
      </c>
      <c r="K23" s="109">
        <f>'1856'!L28-'1856'!K28</f>
        <v>23</v>
      </c>
      <c r="L23" s="109">
        <f>'1856'!M28-'1856'!L28</f>
        <v>53</v>
      </c>
      <c r="M23" s="109">
        <f>'1856'!N28-'1856'!M28</f>
        <v>198</v>
      </c>
      <c r="N23" s="109">
        <f>'1856'!O28-'1856'!N28</f>
        <v>229</v>
      </c>
    </row>
    <row r="24" spans="1:14" ht="16.5" x14ac:dyDescent="0.35">
      <c r="A24" s="85">
        <v>1856</v>
      </c>
      <c r="B24" s="108" t="s">
        <v>101</v>
      </c>
      <c r="C24" s="110">
        <f t="shared" ref="C24:D24" si="36">C22/C23*1000</f>
        <v>150.82677165354309</v>
      </c>
      <c r="D24" s="110">
        <f t="shared" si="36"/>
        <v>170.80000000000018</v>
      </c>
      <c r="E24" s="110">
        <f t="shared" ref="E24:F24" si="37">E22/E23*1000</f>
        <v>168.686868686868</v>
      </c>
      <c r="F24" s="110">
        <f t="shared" si="37"/>
        <v>166.18181818182001</v>
      </c>
      <c r="G24" s="110">
        <f t="shared" ref="G24:H24" si="38">G22/G23*1000</f>
        <v>149.31034482758372</v>
      </c>
      <c r="H24" s="110">
        <f t="shared" si="38"/>
        <v>147.14285714285865</v>
      </c>
      <c r="I24" s="110">
        <f t="shared" ref="I24:J24" si="39">I22/I23*1000</f>
        <v>131.17647058823636</v>
      </c>
      <c r="J24" s="110">
        <f t="shared" si="39"/>
        <v>145.33333333333002</v>
      </c>
      <c r="K24" s="110">
        <f t="shared" ref="K24:L24" si="40">K22/K23*1000</f>
        <v>146.95652173913024</v>
      </c>
      <c r="L24" s="110">
        <f t="shared" si="40"/>
        <v>162.45283018867951</v>
      </c>
      <c r="M24" s="110">
        <f t="shared" ref="M24:N24" si="41">M22/M23*1000</f>
        <v>147.22222222222211</v>
      </c>
      <c r="N24" s="110">
        <f t="shared" si="41"/>
        <v>150.13100436681219</v>
      </c>
    </row>
    <row r="25" spans="1:14" ht="15" hidden="1" customHeight="1" x14ac:dyDescent="0.35">
      <c r="A25" s="85">
        <v>1857</v>
      </c>
      <c r="B25" s="85" t="s">
        <v>82</v>
      </c>
      <c r="C25" s="171">
        <f>'1857'!D27-'1857'!C27</f>
        <v>40.289999999999964</v>
      </c>
      <c r="D25" s="171">
        <f>'1857'!E27-'1857'!D27</f>
        <v>25.019999999999982</v>
      </c>
      <c r="E25" s="171">
        <f>'1857'!F27-'1857'!E27</f>
        <v>17.730000000000018</v>
      </c>
      <c r="F25" s="171">
        <f>'1857'!G27-'1857'!F27</f>
        <v>8.5099999999999909</v>
      </c>
      <c r="G25" s="171">
        <f>'1857'!H27-'1857'!G27</f>
        <v>4.0800000000000409</v>
      </c>
      <c r="H25" s="171">
        <f>'1857'!I27-'1857'!H27</f>
        <v>3.5</v>
      </c>
      <c r="I25" s="171">
        <f>'1857'!J27-'1857'!I27</f>
        <v>2.32000000000005</v>
      </c>
      <c r="J25" s="171">
        <f>'1857'!K27-'1857'!J27</f>
        <v>2.1399999999999864</v>
      </c>
      <c r="K25" s="171">
        <f>'1857'!L27-'1857'!K27</f>
        <v>3.4599999999999227</v>
      </c>
      <c r="L25" s="171">
        <f>'1857'!M27-'1857'!L27</f>
        <v>10.480000000000018</v>
      </c>
      <c r="M25" s="171">
        <f>'1857'!N27-'1857'!M27</f>
        <v>32.07000000000005</v>
      </c>
      <c r="N25" s="171">
        <f>'1857'!O27-'1857'!N27</f>
        <v>37.059999999999945</v>
      </c>
    </row>
    <row r="26" spans="1:14" ht="17.25" hidden="1" customHeight="1" x14ac:dyDescent="0.35">
      <c r="A26" s="85">
        <v>1857</v>
      </c>
      <c r="B26" s="108" t="s">
        <v>100</v>
      </c>
      <c r="C26" s="109">
        <f>'1857'!D28-'1857'!C28</f>
        <v>298</v>
      </c>
      <c r="D26" s="109">
        <f>'1857'!E28-'1857'!D28</f>
        <v>175</v>
      </c>
      <c r="E26" s="109">
        <f>'1857'!F28-'1857'!E28</f>
        <v>116</v>
      </c>
      <c r="F26" s="109">
        <f>'1857'!G28-'1857'!F28</f>
        <v>58</v>
      </c>
      <c r="G26" s="109">
        <f>'1857'!H28-'1857'!G28</f>
        <v>38</v>
      </c>
      <c r="H26" s="109">
        <f>'1857'!I28-'1857'!H28</f>
        <v>33</v>
      </c>
      <c r="I26" s="109">
        <f>'1857'!J28-'1857'!I28</f>
        <v>24</v>
      </c>
      <c r="J26" s="109">
        <f>'1857'!K28-'1857'!J28</f>
        <v>22</v>
      </c>
      <c r="K26" s="109">
        <f>'1857'!L28-'1857'!K28</f>
        <v>31</v>
      </c>
      <c r="L26" s="109">
        <f>'1857'!M28-'1857'!L28</f>
        <v>82</v>
      </c>
      <c r="M26" s="109">
        <f>'1857'!N28-'1857'!M28</f>
        <v>230</v>
      </c>
      <c r="N26" s="109">
        <f>'1857'!O28-'1857'!N28</f>
        <v>269</v>
      </c>
    </row>
    <row r="27" spans="1:14" ht="16.5" x14ac:dyDescent="0.35">
      <c r="A27" s="85">
        <v>1857</v>
      </c>
      <c r="B27" s="108" t="s">
        <v>101</v>
      </c>
      <c r="C27" s="110">
        <f t="shared" ref="C27:I27" si="42">C25/C26*1000</f>
        <v>135.20134228187908</v>
      </c>
      <c r="D27" s="110">
        <f t="shared" si="42"/>
        <v>142.97142857142848</v>
      </c>
      <c r="E27" s="110">
        <f t="shared" si="42"/>
        <v>152.84482758620703</v>
      </c>
      <c r="F27" s="110">
        <f t="shared" si="42"/>
        <v>146.72413793103433</v>
      </c>
      <c r="G27" s="110">
        <f t="shared" si="42"/>
        <v>107.36842105263266</v>
      </c>
      <c r="H27" s="110">
        <f t="shared" si="42"/>
        <v>106.06060606060606</v>
      </c>
      <c r="I27" s="110">
        <f t="shared" si="42"/>
        <v>96.666666666668746</v>
      </c>
      <c r="J27" s="110">
        <f t="shared" ref="J27:K27" si="43">J25/J26*1000</f>
        <v>97.272727272726655</v>
      </c>
      <c r="K27" s="110">
        <f t="shared" si="43"/>
        <v>111.61290322580396</v>
      </c>
      <c r="L27" s="110">
        <f t="shared" ref="L27:M27" si="44">L25/L26*1000</f>
        <v>127.80487804878071</v>
      </c>
      <c r="M27" s="110">
        <f t="shared" si="44"/>
        <v>139.43478260869588</v>
      </c>
      <c r="N27" s="110">
        <f t="shared" ref="N27" si="45">N25/N26*1000</f>
        <v>137.76951672862432</v>
      </c>
    </row>
  </sheetData>
  <conditionalFormatting sqref="D4:N5">
    <cfRule type="cellIs" dxfId="6" priority="4" stopIfTrue="1" operator="equal">
      <formula>0</formula>
    </cfRule>
    <cfRule type="cellIs" dxfId="5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4"/>
  <sheetViews>
    <sheetView workbookViewId="0">
      <selection activeCell="T31" sqref="T31"/>
    </sheetView>
  </sheetViews>
  <sheetFormatPr defaultRowHeight="14.5" x14ac:dyDescent="0.35"/>
  <cols>
    <col min="1" max="1" width="9" customWidth="1"/>
    <col min="2" max="2" width="8.81640625" customWidth="1"/>
  </cols>
  <sheetData>
    <row r="1" spans="1:17" x14ac:dyDescent="0.35">
      <c r="A1" s="24" t="s">
        <v>217</v>
      </c>
      <c r="E1" s="24" t="s">
        <v>216</v>
      </c>
      <c r="H1" s="24" t="s">
        <v>218</v>
      </c>
      <c r="O1" s="179">
        <f>'S1'!B1</f>
        <v>2024</v>
      </c>
    </row>
    <row r="2" spans="1:17" ht="2.25" customHeight="1" x14ac:dyDescent="0.35">
      <c r="A2" s="24"/>
      <c r="O2" s="180"/>
    </row>
    <row r="3" spans="1:17" ht="13.5" customHeight="1" x14ac:dyDescent="0.35">
      <c r="A3" s="107"/>
      <c r="B3" s="107"/>
      <c r="C3" s="85" t="s">
        <v>4</v>
      </c>
      <c r="D3" s="85" t="s">
        <v>5</v>
      </c>
      <c r="E3" s="85" t="s">
        <v>6</v>
      </c>
      <c r="F3" s="85" t="s">
        <v>7</v>
      </c>
      <c r="G3" s="85" t="s">
        <v>8</v>
      </c>
      <c r="H3" s="85" t="s">
        <v>9</v>
      </c>
      <c r="I3" s="85" t="s">
        <v>10</v>
      </c>
      <c r="J3" s="85" t="s">
        <v>11</v>
      </c>
      <c r="K3" s="85" t="s">
        <v>12</v>
      </c>
      <c r="L3" s="85" t="s">
        <v>13</v>
      </c>
      <c r="M3" s="85" t="s">
        <v>14</v>
      </c>
      <c r="N3" s="85" t="s">
        <v>3</v>
      </c>
      <c r="O3" s="179" t="s">
        <v>232</v>
      </c>
      <c r="Q3" s="163" t="s">
        <v>215</v>
      </c>
    </row>
    <row r="4" spans="1:17" ht="13.5" customHeight="1" x14ac:dyDescent="0.35">
      <c r="A4" s="85">
        <v>1850</v>
      </c>
      <c r="B4" s="85" t="s">
        <v>83</v>
      </c>
      <c r="C4" s="182">
        <f>'1850'!D26-'1850'!C26</f>
        <v>60.599999999999909</v>
      </c>
      <c r="D4" s="182">
        <f>'1850'!E26-'1850'!D26</f>
        <v>62.200000000000273</v>
      </c>
      <c r="E4" s="182">
        <f>'1850'!F26-'1850'!E26</f>
        <v>71.199999999999818</v>
      </c>
      <c r="F4" s="182">
        <f>'1850'!G26-'1850'!F26</f>
        <v>64</v>
      </c>
      <c r="G4" s="182">
        <f>'1850'!H26-'1850'!G26</f>
        <v>63.900000000000091</v>
      </c>
      <c r="H4" s="182">
        <f>'1850'!I26-'1850'!H26</f>
        <v>65</v>
      </c>
      <c r="I4" s="182">
        <f>'1850'!J26-'1850'!I26</f>
        <v>52.799999999999727</v>
      </c>
      <c r="J4" s="182">
        <f>'1850'!K26-'1850'!J26</f>
        <v>59.900000000000091</v>
      </c>
      <c r="K4" s="182">
        <f>'1850'!L26-'1850'!K26</f>
        <v>62.200000000000273</v>
      </c>
      <c r="L4" s="182">
        <f>'1850'!M26-'1850'!L26</f>
        <v>67.5</v>
      </c>
      <c r="M4" s="182">
        <f>'1850'!N26-'1850'!M26</f>
        <v>61</v>
      </c>
      <c r="N4" s="182">
        <f>'1850'!O26</f>
        <v>79.099999999999994</v>
      </c>
      <c r="O4" s="183">
        <f>SUM(C4:N4)</f>
        <v>769.4000000000002</v>
      </c>
    </row>
    <row r="5" spans="1:17" ht="13.5" customHeight="1" x14ac:dyDescent="0.35">
      <c r="A5" s="85">
        <v>1851</v>
      </c>
      <c r="B5" s="85" t="s">
        <v>83</v>
      </c>
      <c r="C5" s="182">
        <f>'1851'!E26-'1851'!D26</f>
        <v>90</v>
      </c>
      <c r="D5" s="182">
        <f>'1851'!F26-'1851'!E26</f>
        <v>82.5</v>
      </c>
      <c r="E5" s="182">
        <f>'1851'!G26-'1851'!F26</f>
        <v>86</v>
      </c>
      <c r="F5" s="182">
        <f>'1851'!H26-'1851'!G26</f>
        <v>88.599999999999454</v>
      </c>
      <c r="G5" s="182">
        <f>'1851'!I26-'1851'!H26</f>
        <v>87.800000000000182</v>
      </c>
      <c r="H5" s="182">
        <f>'1851'!J26-'1851'!I26</f>
        <v>77.300000000000182</v>
      </c>
      <c r="I5" s="182">
        <f>'1851'!K26-'1851'!J26</f>
        <v>72.699999999999818</v>
      </c>
      <c r="J5" s="182">
        <f>'1851'!L26-'1851'!K26</f>
        <v>78.800000000000182</v>
      </c>
      <c r="K5" s="182">
        <f>'1851'!M26-'1851'!L26</f>
        <v>85.099999999999454</v>
      </c>
      <c r="L5" s="182">
        <f>'1851'!N26-'1851'!M26</f>
        <v>90.600000000000364</v>
      </c>
      <c r="M5" s="182">
        <f>'1851'!O26-'1851'!N26</f>
        <v>79.899999999999636</v>
      </c>
      <c r="N5" s="182">
        <f>'1851'!P26</f>
        <v>101.3</v>
      </c>
      <c r="O5" s="183">
        <f t="shared" ref="O5:O14" si="0">SUM(C5:N5)</f>
        <v>1020.5999999999992</v>
      </c>
    </row>
    <row r="6" spans="1:17" ht="13.5" customHeight="1" x14ac:dyDescent="0.35">
      <c r="A6" s="85">
        <v>1852</v>
      </c>
      <c r="B6" s="85" t="s">
        <v>83</v>
      </c>
      <c r="C6" s="182">
        <f>'1852'!D26-'1852'!C26</f>
        <v>98</v>
      </c>
      <c r="D6" s="182">
        <f>'1852'!E26-'1852'!D26</f>
        <v>81.800000000000182</v>
      </c>
      <c r="E6" s="182">
        <f>'1852'!F26-'1852'!E26</f>
        <v>80.299999999999272</v>
      </c>
      <c r="F6" s="182">
        <f>'1852'!G26-'1852'!F26</f>
        <v>84.600000000000364</v>
      </c>
      <c r="G6" s="182">
        <f>'1852'!H26-'1852'!G26</f>
        <v>84.199999999999818</v>
      </c>
      <c r="H6" s="182">
        <f>'1852'!I26-'1852'!H26</f>
        <v>79.300000000000182</v>
      </c>
      <c r="I6" s="182">
        <f>'1852'!J26-'1852'!I26</f>
        <v>69.899999999999636</v>
      </c>
      <c r="J6" s="182">
        <f>'1852'!K26-'1852'!J26</f>
        <v>62.900000000000546</v>
      </c>
      <c r="K6" s="182">
        <f>'1852'!L26-'1852'!K26</f>
        <v>79.199999999999818</v>
      </c>
      <c r="L6" s="182">
        <f>'1852'!M26-'1852'!L26</f>
        <v>81.5</v>
      </c>
      <c r="M6" s="182">
        <f>'1852'!N26-'1852'!M26</f>
        <v>83.100000000000364</v>
      </c>
      <c r="N6" s="182">
        <f>'1852'!O26</f>
        <v>85.5</v>
      </c>
      <c r="O6" s="183">
        <f t="shared" si="0"/>
        <v>970.30000000000018</v>
      </c>
    </row>
    <row r="7" spans="1:17" ht="13.5" customHeight="1" x14ac:dyDescent="0.35">
      <c r="A7" s="85">
        <v>1853</v>
      </c>
      <c r="B7" s="85" t="s">
        <v>83</v>
      </c>
      <c r="C7" s="182">
        <f>'1853'!D27-'1853'!C27+'1853'!C26-'1853'!D26</f>
        <v>79.5</v>
      </c>
      <c r="D7" s="182">
        <f>'1853'!E27-'1853'!D27+'1853'!D26-'1853'!E26</f>
        <v>67.699999999999818</v>
      </c>
      <c r="E7" s="182">
        <f>'1853'!F27-'1853'!E27+'1853'!E26-'1853'!F26</f>
        <v>78.199999999999818</v>
      </c>
      <c r="F7" s="182">
        <f>'1853'!G27-'1853'!F27+'1853'!F26-'1853'!G26</f>
        <v>75.692999999999756</v>
      </c>
      <c r="G7" s="182">
        <f>'1853'!H27-'1853'!G27+'1853'!G26-'1853'!H26</f>
        <v>82.986000000000445</v>
      </c>
      <c r="H7" s="182">
        <f>'1853'!I27-'1853'!H27+'1853'!H26-'1853'!I26</f>
        <v>74.086999999999989</v>
      </c>
      <c r="I7" s="182">
        <f>'1853'!J27-'1853'!I27+'1853'!I26-'1853'!J26</f>
        <v>66.570999999999572</v>
      </c>
      <c r="J7" s="182">
        <f>'1853'!K27-'1853'!J27+'1853'!J26-'1853'!K26</f>
        <v>64.088000000000534</v>
      </c>
      <c r="K7" s="182">
        <f>'1853'!L27-'1853'!K27+'1853'!K26-'1853'!L26</f>
        <v>68.823000000000093</v>
      </c>
      <c r="L7" s="182">
        <f>'1853'!M27-'1853'!L27+'1853'!L26-'1853'!M26</f>
        <v>73.304999999999609</v>
      </c>
      <c r="M7" s="182">
        <f>'1853'!N27-'1853'!M27+'1853'!M26-'1853'!N26</f>
        <v>66.399999999999636</v>
      </c>
      <c r="N7" s="182">
        <f>'1853'!O27</f>
        <v>90.7</v>
      </c>
      <c r="O7" s="183">
        <f t="shared" si="0"/>
        <v>888.05299999999932</v>
      </c>
    </row>
    <row r="8" spans="1:17" ht="13.5" customHeight="1" x14ac:dyDescent="0.35">
      <c r="A8" s="85">
        <v>1854</v>
      </c>
      <c r="B8" s="85" t="s">
        <v>83</v>
      </c>
      <c r="C8" s="182">
        <f>'1854'!D26-'1854'!C26</f>
        <v>55.199999999999818</v>
      </c>
      <c r="D8" s="182">
        <f>'1854'!E26-'1854'!D26</f>
        <v>47.700000000000273</v>
      </c>
      <c r="E8" s="182">
        <f>'1854'!F26-'1854'!E26</f>
        <v>58.399999999999636</v>
      </c>
      <c r="F8" s="182">
        <f>'1854'!G26-'1854'!F26</f>
        <v>51.100000000000364</v>
      </c>
      <c r="G8" s="182">
        <f>'1854'!H26-'1854'!G26</f>
        <v>60.399999999999636</v>
      </c>
      <c r="H8" s="182">
        <f>'1854'!I26-'1854'!H26</f>
        <v>59</v>
      </c>
      <c r="I8" s="182">
        <f>'1854'!J26-'1854'!I26</f>
        <v>49</v>
      </c>
      <c r="J8" s="182">
        <f>'1854'!K26-'1854'!J26</f>
        <v>57.900000000000091</v>
      </c>
      <c r="K8" s="182">
        <f>'1854'!L26-'1854'!K26</f>
        <v>66.099999999999909</v>
      </c>
      <c r="L8" s="182">
        <f>'1854'!M26-'1854'!L26</f>
        <v>60.900000000000091</v>
      </c>
      <c r="M8" s="182">
        <f>'1854'!N26-'1854'!M26</f>
        <v>58.900000000000091</v>
      </c>
      <c r="N8" s="182">
        <f>'1854'!O26</f>
        <v>66.3</v>
      </c>
      <c r="O8" s="183">
        <f t="shared" si="0"/>
        <v>690.89999999999986</v>
      </c>
    </row>
    <row r="9" spans="1:17" ht="13.5" customHeight="1" x14ac:dyDescent="0.35">
      <c r="A9" s="85">
        <v>1855</v>
      </c>
      <c r="B9" s="85" t="s">
        <v>83</v>
      </c>
      <c r="C9" s="182">
        <f>'1855'!D26-'1855'!C26</f>
        <v>78.800000000000182</v>
      </c>
      <c r="D9" s="182">
        <f>'1855'!E26-'1855'!D26</f>
        <v>72.199999999999818</v>
      </c>
      <c r="E9" s="182">
        <f>'1855'!F26-'1855'!E26</f>
        <v>78.300000000000182</v>
      </c>
      <c r="F9" s="182">
        <f>'1855'!G26-'1855'!F26</f>
        <v>77.699999999999818</v>
      </c>
      <c r="G9" s="182">
        <f>'1855'!H26-'1855'!G26</f>
        <v>76.199999999999818</v>
      </c>
      <c r="H9" s="182">
        <f>'1855'!I26-'1855'!H26</f>
        <v>65.5</v>
      </c>
      <c r="I9" s="182">
        <f>'1855'!J26-'1855'!I26</f>
        <v>61.100000000000364</v>
      </c>
      <c r="J9" s="182">
        <f>'1855'!K26-'1855'!J26</f>
        <v>70.199999999999818</v>
      </c>
      <c r="K9" s="182">
        <f>'1855'!L26-'1855'!K26</f>
        <v>67.5</v>
      </c>
      <c r="L9" s="182">
        <f>'1855'!M26-'1855'!L26</f>
        <v>65.699999999999818</v>
      </c>
      <c r="M9" s="182">
        <f>'1855'!N26-'1855'!M26</f>
        <v>72</v>
      </c>
      <c r="N9" s="182">
        <f>'1855'!O26</f>
        <v>71.8</v>
      </c>
      <c r="O9" s="183">
        <f t="shared" si="0"/>
        <v>856.99999999999977</v>
      </c>
    </row>
    <row r="10" spans="1:17" ht="13.5" customHeight="1" x14ac:dyDescent="0.35">
      <c r="A10" s="85">
        <v>1856</v>
      </c>
      <c r="B10" s="85" t="s">
        <v>83</v>
      </c>
      <c r="C10" s="182">
        <f>'1856'!D26-'1856'!C26</f>
        <v>85.799999999999727</v>
      </c>
      <c r="D10" s="182">
        <f>'1856'!E26-'1856'!D26</f>
        <v>79.099999999999909</v>
      </c>
      <c r="E10" s="182">
        <f>'1856'!F26-'1856'!E26</f>
        <v>86.5</v>
      </c>
      <c r="F10" s="182">
        <f>'1856'!G26-'1856'!F26</f>
        <v>82.100000000000364</v>
      </c>
      <c r="G10" s="182">
        <f>'1856'!H26-'1856'!G26</f>
        <v>82</v>
      </c>
      <c r="H10" s="182">
        <f>'1856'!I26-'1856'!H26</f>
        <v>73.099999999999454</v>
      </c>
      <c r="I10" s="182">
        <f>'1856'!J26-'1856'!I26</f>
        <v>64</v>
      </c>
      <c r="J10" s="182">
        <f>'1856'!K26-'1856'!J26</f>
        <v>77</v>
      </c>
      <c r="K10" s="182">
        <f>'1856'!L26-'1856'!K26</f>
        <v>81.400000000000546</v>
      </c>
      <c r="L10" s="182">
        <f>'1856'!M26-'1856'!L26</f>
        <v>79.5</v>
      </c>
      <c r="M10" s="182">
        <f>'1856'!N26-'1856'!M26</f>
        <v>68.599999999999454</v>
      </c>
      <c r="N10" s="182">
        <f>'1856'!O26</f>
        <v>88.7</v>
      </c>
      <c r="O10" s="183">
        <f t="shared" si="0"/>
        <v>947.7999999999995</v>
      </c>
    </row>
    <row r="11" spans="1:17" ht="13.5" customHeight="1" x14ac:dyDescent="0.35">
      <c r="A11" s="85">
        <v>1857</v>
      </c>
      <c r="B11" s="85" t="s">
        <v>83</v>
      </c>
      <c r="C11" s="182">
        <f>'1857'!D26-'1857'!C26</f>
        <v>90.900000000000091</v>
      </c>
      <c r="D11" s="182">
        <f>'1857'!E26-'1857'!D26</f>
        <v>78.5</v>
      </c>
      <c r="E11" s="182">
        <f>'1857'!F26-'1857'!E26</f>
        <v>80.800000000000182</v>
      </c>
      <c r="F11" s="182">
        <f>'1857'!G26-'1857'!F26</f>
        <v>84.199999999999818</v>
      </c>
      <c r="G11" s="182">
        <f>'1857'!H26-'1857'!G26</f>
        <v>87.800000000000182</v>
      </c>
      <c r="H11" s="182">
        <f>'1857'!I26-'1857'!H26</f>
        <v>89.799999999999272</v>
      </c>
      <c r="I11" s="182">
        <f>'1857'!J26-'1857'!I26</f>
        <v>75.100000000000364</v>
      </c>
      <c r="J11" s="182">
        <f>'1857'!K26-'1857'!J26</f>
        <v>80.300000000000182</v>
      </c>
      <c r="K11" s="182">
        <f>'1857'!L26-'1857'!K26</f>
        <v>83.800000000000182</v>
      </c>
      <c r="L11" s="182">
        <f>'1857'!M26-'1857'!L26</f>
        <v>81.199999999999818</v>
      </c>
      <c r="M11" s="182">
        <f>'1857'!N26-'1857'!M26</f>
        <v>85.599999999999454</v>
      </c>
      <c r="N11" s="182">
        <f>'1857'!O26</f>
        <v>98.9</v>
      </c>
      <c r="O11" s="183">
        <f t="shared" si="0"/>
        <v>1016.8999999999995</v>
      </c>
    </row>
    <row r="12" spans="1:17" ht="13.5" customHeight="1" x14ac:dyDescent="0.35">
      <c r="A12" s="85" t="s">
        <v>230</v>
      </c>
      <c r="B12" s="85" t="s">
        <v>83</v>
      </c>
      <c r="C12" s="182">
        <f>'1850'!D29-'1850'!C29</f>
        <v>340.70000000000073</v>
      </c>
      <c r="D12" s="182">
        <f>'1850'!E29-'1850'!D29</f>
        <v>305</v>
      </c>
      <c r="E12" s="182">
        <f>'1850'!F29-'1850'!E29</f>
        <v>329.59999999999854</v>
      </c>
      <c r="F12" s="182">
        <f>'1850'!G29-'1850'!F29</f>
        <v>338.20000000000073</v>
      </c>
      <c r="G12" s="182">
        <f>'1850'!H29-'1850'!G29</f>
        <v>339.5</v>
      </c>
      <c r="H12" s="182">
        <f>'1850'!I29-'1850'!H29</f>
        <v>323.70000000000073</v>
      </c>
      <c r="I12" s="182">
        <f>'1850'!J29-'1850'!I29</f>
        <v>293.70000000000073</v>
      </c>
      <c r="J12" s="182">
        <f>'1850'!K29-'1850'!J29</f>
        <v>309</v>
      </c>
      <c r="K12" s="182">
        <f>'1850'!L29-'1850'!K29</f>
        <v>315.59999999999854</v>
      </c>
      <c r="L12" s="182">
        <f>'1850'!M29-'1850'!L29</f>
        <v>327.09999999999854</v>
      </c>
      <c r="M12" s="182">
        <f>'1850'!N29-'1850'!M29</f>
        <v>298.40000000000146</v>
      </c>
      <c r="N12" s="182">
        <f>'1850'!O29-'1850'!N29</f>
        <v>368.5</v>
      </c>
      <c r="O12" s="183">
        <f t="shared" si="0"/>
        <v>3889</v>
      </c>
    </row>
    <row r="13" spans="1:17" ht="13.5" customHeight="1" x14ac:dyDescent="0.35">
      <c r="A13" s="85" t="s">
        <v>231</v>
      </c>
      <c r="B13" s="85" t="s">
        <v>83</v>
      </c>
      <c r="C13" s="182">
        <f>'1854'!D29-'1854'!C29</f>
        <v>295.79999999999927</v>
      </c>
      <c r="D13" s="182">
        <f>'1854'!E29-'1854'!D29</f>
        <v>264.10000000000036</v>
      </c>
      <c r="E13" s="182">
        <f>'1854'!F29-'1854'!E29</f>
        <v>289.39999999999964</v>
      </c>
      <c r="F13" s="182">
        <f>'1854'!G29-'1854'!F29</f>
        <v>280.70000000000073</v>
      </c>
      <c r="G13" s="182">
        <f>'1854'!H29-'1854'!G29</f>
        <v>291</v>
      </c>
      <c r="H13" s="182">
        <f>'1854'!I29-'1854'!H29</f>
        <v>273.89999999999964</v>
      </c>
      <c r="I13" s="182">
        <f>'1854'!J29-'1854'!I29</f>
        <v>237.80000000000109</v>
      </c>
      <c r="J13" s="182">
        <f>'1854'!K29-'1854'!J29</f>
        <v>270.39999999999964</v>
      </c>
      <c r="K13" s="182">
        <f>'1854'!L29-'1854'!K29</f>
        <v>283.29999999999927</v>
      </c>
      <c r="L13" s="182">
        <f>'1854'!M29-'1854'!L29</f>
        <v>272.80000000000109</v>
      </c>
      <c r="M13" s="182">
        <f>'1854'!N29-'1854'!M29</f>
        <v>268.10000000000036</v>
      </c>
      <c r="N13" s="182">
        <f>'1854'!O29-'1854'!N29</f>
        <v>316.69999999999891</v>
      </c>
      <c r="O13" s="183">
        <f t="shared" si="0"/>
        <v>3344</v>
      </c>
    </row>
    <row r="14" spans="1:17" ht="13.5" customHeight="1" x14ac:dyDescent="0.35">
      <c r="A14" s="107" t="s">
        <v>214</v>
      </c>
      <c r="B14" s="85" t="s">
        <v>83</v>
      </c>
      <c r="C14" s="184">
        <f>'1853'!D26-'1853'!C26</f>
        <v>0</v>
      </c>
      <c r="D14" s="184">
        <f>'1853'!E26-'1853'!D26</f>
        <v>0</v>
      </c>
      <c r="E14" s="184">
        <f>'1853'!F26-'1853'!E26</f>
        <v>0</v>
      </c>
      <c r="F14" s="184">
        <f>'1853'!G26-'1853'!F26</f>
        <v>13.007000000000062</v>
      </c>
      <c r="G14" s="184">
        <f>'1853'!H26-'1853'!G26</f>
        <v>7.1139999999999191</v>
      </c>
      <c r="H14" s="184">
        <f>'1853'!I26-'1853'!H26</f>
        <v>15.413000000000011</v>
      </c>
      <c r="I14" s="184">
        <f>'1853'!J26-'1853'!I26</f>
        <v>17.829000000000065</v>
      </c>
      <c r="J14" s="184">
        <f>'1853'!K26-'1853'!J26</f>
        <v>28.312000000000012</v>
      </c>
      <c r="K14" s="184">
        <f>'1853'!L26-'1853'!K26</f>
        <v>9.1769999999999072</v>
      </c>
      <c r="L14" s="184">
        <f>'1853'!M26-'1853'!L26</f>
        <v>2.0950000000000273</v>
      </c>
      <c r="M14" s="184">
        <f>'1853'!N26-'1853'!M26</f>
        <v>0</v>
      </c>
      <c r="N14" s="184">
        <f>'1853'!O26-'1853'!N26</f>
        <v>0</v>
      </c>
      <c r="O14" s="185">
        <f t="shared" si="0"/>
        <v>92.947000000000003</v>
      </c>
    </row>
  </sheetData>
  <conditionalFormatting sqref="O4:O14">
    <cfRule type="cellIs" dxfId="4" priority="1" stopIfTrue="1" operator="equal">
      <formula>0</formula>
    </cfRule>
    <cfRule type="cellIs" dxfId="3" priority="2" stopIfTrue="1" operator="lessThan">
      <formula>0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26</vt:i4>
      </vt:variant>
      <vt:variant>
        <vt:lpstr>Pojmenované oblasti</vt:lpstr>
      </vt:variant>
      <vt:variant>
        <vt:i4>9</vt:i4>
      </vt:variant>
    </vt:vector>
  </HeadingPairs>
  <TitlesOfParts>
    <vt:vector size="35" baseType="lpstr"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Rozdíly</vt:lpstr>
      <vt:lpstr>Rozdíly (2)</vt:lpstr>
      <vt:lpstr>S 2022</vt:lpstr>
      <vt:lpstr>S 2022 %</vt:lpstr>
      <vt:lpstr>Teplo-Paty</vt:lpstr>
      <vt:lpstr>Voda-Paty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  <vt:lpstr>'S 2022'!Oblast_tisku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Mraz</cp:lastModifiedBy>
  <cp:lastPrinted>2024-02-01T09:34:21Z</cp:lastPrinted>
  <dcterms:created xsi:type="dcterms:W3CDTF">2013-05-06T13:45:20Z</dcterms:created>
  <dcterms:modified xsi:type="dcterms:W3CDTF">2025-01-02T17:41:22Z</dcterms:modified>
</cp:coreProperties>
</file>