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23.xml.rels" ContentType="application/vnd.openxmlformats-package.relationships+xml"/>
  <Override PartName="/xl/worksheets/_rels/sheet10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2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5.xml" ContentType="application/vnd.openxmlformats-officedocument.drawingml.chartshape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_rels/chart3.xml.rels" ContentType="application/vnd.openxmlformats-package.relationships+xml"/>
  <Override PartName="/xl/charts/_rels/chart7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50" sheetId="1" state="visible" r:id="rId2"/>
    <sheet name="1851" sheetId="2" state="visible" r:id="rId3"/>
    <sheet name="1852" sheetId="3" state="visible" r:id="rId4"/>
    <sheet name="1853" sheetId="4" state="visible" r:id="rId5"/>
    <sheet name="1854" sheetId="5" state="visible" r:id="rId6"/>
    <sheet name="1855" sheetId="6" state="visible" r:id="rId7"/>
    <sheet name="1856" sheetId="7" state="visible" r:id="rId8"/>
    <sheet name="1857" sheetId="8" state="visible" r:id="rId9"/>
    <sheet name="S1" sheetId="9" state="visible" r:id="rId10"/>
    <sheet name="S2" sheetId="10" state="visible" r:id="rId11"/>
    <sheet name="S3" sheetId="11" state="visible" r:id="rId12"/>
    <sheet name="S4" sheetId="12" state="visible" r:id="rId13"/>
    <sheet name="S5" sheetId="13" state="visible" r:id="rId14"/>
    <sheet name="S6" sheetId="14" state="visible" r:id="rId15"/>
    <sheet name="S7" sheetId="15" state="visible" r:id="rId16"/>
    <sheet name="S8" sheetId="16" state="visible" r:id="rId17"/>
    <sheet name="S9" sheetId="17" state="visible" r:id="rId18"/>
    <sheet name="S10" sheetId="18" state="visible" r:id="rId19"/>
    <sheet name="S11" sheetId="19" state="visible" r:id="rId20"/>
    <sheet name="S12" sheetId="20" state="visible" r:id="rId21"/>
    <sheet name="Rozdíly" sheetId="21" state="visible" r:id="rId22"/>
    <sheet name="Rozdíly (2)" sheetId="22" state="hidden" r:id="rId23"/>
    <sheet name="S 2022 %" sheetId="23" state="visible" r:id="rId24"/>
    <sheet name="S 2022" sheetId="24" state="visible" r:id="rId25"/>
    <sheet name="Teplo-Paty" sheetId="25" state="visible" r:id="rId26"/>
    <sheet name="Voda-Paty" sheetId="26" state="visible" r:id="rId27"/>
  </sheets>
  <definedNames>
    <definedName function="false" hidden="false" localSheetId="0" name="_xlnm.Print_Area" vbProcedure="false">'1850'!$A$1:$O$29</definedName>
    <definedName function="false" hidden="false" localSheetId="1" name="_xlnm.Print_Area" vbProcedure="false">'1851'!$A$1:$P$49</definedName>
    <definedName function="false" hidden="false" localSheetId="2" name="_xlnm.Print_Area" vbProcedure="false">'1852'!$A$1:$O$30</definedName>
    <definedName function="false" hidden="false" localSheetId="3" name="_xlnm.Print_Area" vbProcedure="false">'1853'!$A$1:$O$33</definedName>
    <definedName function="false" hidden="false" localSheetId="4" name="_xlnm.Print_Area" vbProcedure="false">'1854'!$A$1:$O$30</definedName>
    <definedName function="false" hidden="false" localSheetId="5" name="_xlnm.Print_Area" vbProcedure="false">'1855'!$A$1:$O$31</definedName>
    <definedName function="false" hidden="false" localSheetId="6" name="_xlnm.Print_Area" vbProcedure="false">'1856'!$A$1:$O$31</definedName>
    <definedName function="false" hidden="false" localSheetId="7" name="_xlnm.Print_Area" vbProcedure="false">'1857'!$A$1:$O$30</definedName>
    <definedName function="false" hidden="false" localSheetId="23" name="_xlnm.Print_Area" vbProcedure="false">'S 2022'!$A$1:$P$31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H2" authorId="0">
      <text>
        <r>
          <rPr>
            <sz val="11"/>
            <color rgb="FF000000"/>
            <rFont val="Calibri"/>
            <family val="2"/>
            <charset val="238"/>
          </rPr>
          <t xml:space="preserve">Je nutné brát s rezervou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b val="true"/>
            <sz val="11"/>
            <color rgb="FFFF0000"/>
            <rFont val="Tahoma"/>
            <family val="2"/>
            <charset val="238"/>
          </rPr>
          <t xml:space="preserve">Kalorimetr neměří
</t>
        </r>
        <r>
          <rPr>
            <b val="true"/>
            <sz val="11"/>
            <color rgb="FF000000"/>
            <rFont val="Tahoma"/>
            <family val="2"/>
            <charset val="238"/>
          </rPr>
          <t xml:space="preserve">UMŘEL 
</t>
        </r>
        <r>
          <rPr>
            <sz val="9"/>
            <color rgb="FF000000"/>
            <rFont val="Tahoma"/>
            <family val="2"/>
            <charset val="238"/>
          </rPr>
          <t xml:space="preserve">dopočet odhadem</t>
        </r>
      </text>
    </comment>
    <comment ref="E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F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Kalorimetr neměří
UMŘEL 
dopočet odhadem</t>
        </r>
      </text>
    </comment>
    <comment ref="G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Kalorimetr neměří
UMŘEL 
dopočet odhadem</t>
        </r>
      </text>
    </comment>
    <comment ref="H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I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J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K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L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M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N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  <comment ref="O1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Kalorimetr neměří
UMŘEL 
dopočet odhadem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" authorId="0">
      <text>
        <r>
          <rPr>
            <sz val="11"/>
            <color rgb="FF000000"/>
            <rFont val="Calibri"/>
            <family val="2"/>
            <charset val="238"/>
          </rPr>
          <t xml:space="preserve">14.2.2019 výměna faktur.vodoměru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9" authorId="0">
      <text>
        <r>
          <rPr>
            <sz val="11"/>
            <color rgb="FF000000"/>
            <rFont val="Calibri"/>
            <family val="2"/>
            <charset val="238"/>
          </rPr>
          <t xml:space="preserve">navíc zápočet nový vodoměr:
</t>
        </r>
        <r>
          <rPr>
            <sz val="9"/>
            <color rgb="FF000000"/>
            <rFont val="Tahoma"/>
            <family val="2"/>
            <charset val="238"/>
          </rPr>
          <t xml:space="preserve">-'1854'!G40+'1854'!G39</t>
        </r>
      </text>
    </comment>
    <comment ref="C4" authorId="0">
      <text>
        <r>
          <rPr>
            <sz val="11"/>
            <color rgb="FF000000"/>
            <rFont val="Calibri"/>
            <family val="2"/>
            <charset val="238"/>
          </rPr>
          <t xml:space="preserve">navíc zápočet nový vodoměr:
</t>
        </r>
        <r>
          <rPr>
            <sz val="9"/>
            <color rgb="FF000000"/>
            <rFont val="Tahoma"/>
            <family val="2"/>
            <charset val="238"/>
          </rPr>
          <t xml:space="preserve">-'1851'!I54+'1851'!I53</t>
        </r>
      </text>
    </comment>
    <comment ref="D4" authorId="0">
      <text>
        <r>
          <rPr>
            <sz val="11"/>
            <color rgb="FF000000"/>
            <rFont val="Calibri"/>
            <family val="2"/>
            <charset val="238"/>
          </rPr>
          <t xml:space="preserve">navíc zápočet nový vodoměr:
</t>
        </r>
        <r>
          <rPr>
            <sz val="9"/>
            <color rgb="FF000000"/>
            <rFont val="Tahoma"/>
            <family val="2"/>
            <charset val="238"/>
          </rPr>
          <t xml:space="preserve">+'1852'!G32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5" authorId="0">
      <text>
        <r>
          <rPr>
            <sz val="11"/>
            <color rgb="FF000000"/>
            <rFont val="Calibri"/>
            <family val="2"/>
            <charset val="238"/>
          </rPr>
          <t xml:space="preserve">upravená spotřeba blíže k vodoměrům</t>
        </r>
      </text>
    </comment>
    <comment ref="E5" authorId="0">
      <text>
        <r>
          <rPr>
            <sz val="11"/>
            <color rgb="FF000000"/>
            <rFont val="Calibri"/>
            <family val="2"/>
            <charset val="238"/>
          </rPr>
          <t xml:space="preserve">Včetně zahrady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5" authorId="0">
      <text>
        <r>
          <rPr>
            <sz val="11"/>
            <color rgb="FF000000"/>
            <rFont val="Calibri"/>
            <family val="2"/>
            <charset val="238"/>
          </rPr>
          <t xml:space="preserve">bez korekce</t>
        </r>
      </text>
    </comment>
    <comment ref="C15" authorId="0">
      <text>
        <r>
          <rPr>
            <sz val="11"/>
            <color rgb="FF000000"/>
            <rFont val="Calibri"/>
            <family val="2"/>
            <charset val="238"/>
          </rPr>
          <t xml:space="preserve">po zaokrouhlení rozpis pro vyúčtování vedle</t>
        </r>
      </text>
    </comment>
    <comment ref="E5" authorId="0">
      <text>
        <r>
          <rPr>
            <sz val="11"/>
            <color rgb="FF000000"/>
            <rFont val="Calibri"/>
            <family val="2"/>
            <charset val="238"/>
          </rPr>
          <t xml:space="preserve">Včetně zahrady</t>
        </r>
      </text>
    </comment>
    <comment ref="R31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spotřeba starý vodoměr poškození 6.9.2022
počátek 78,6 m3
konec 80 m3</t>
        </r>
      </text>
    </comment>
    <comment ref="R32" authorId="0">
      <text>
        <r>
          <rPr>
            <sz val="11"/>
            <color rgb="FF000000"/>
            <rFont val="Calibri"/>
            <family val="2"/>
            <charset val="238"/>
          </rPr>
          <t xml:space="preserve">Ivo Mráz:
</t>
        </r>
        <r>
          <rPr>
            <sz val="9"/>
            <color rgb="FF000000"/>
            <rFont val="Tahoma"/>
            <family val="2"/>
            <charset val="238"/>
          </rPr>
          <t xml:space="preserve">nový vodoměr počátek 4,9 m3
konec 6,88 m3</t>
        </r>
      </text>
    </comment>
  </commentList>
</comments>
</file>

<file path=xl/sharedStrings.xml><?xml version="1.0" encoding="utf-8"?>
<sst xmlns="http://schemas.openxmlformats.org/spreadsheetml/2006/main" count="1351" uniqueCount="404">
  <si>
    <t xml:space="preserve">voda</t>
  </si>
  <si>
    <t xml:space="preserve">teplo</t>
  </si>
  <si>
    <t xml:space="preserve">spotřeby po měsících</t>
  </si>
  <si>
    <t xml:space="preserve">byt č. </t>
  </si>
  <si>
    <t xml:space="preserve">prosinec</t>
  </si>
  <si>
    <t xml:space="preserve">leden</t>
  </si>
  <si>
    <t xml:space="preserve">únor</t>
  </si>
  <si>
    <t xml:space="preserve">březen</t>
  </si>
  <si>
    <t xml:space="preserve">duben</t>
  </si>
  <si>
    <t xml:space="preserve">květen</t>
  </si>
  <si>
    <t xml:space="preserve">červen</t>
  </si>
  <si>
    <t xml:space="preserve">červenec</t>
  </si>
  <si>
    <t xml:space="preserve">srpen</t>
  </si>
  <si>
    <t xml:space="preserve">září</t>
  </si>
  <si>
    <t xml:space="preserve">říjen</t>
  </si>
  <si>
    <t xml:space="preserve">listopad</t>
  </si>
  <si>
    <t xml:space="preserve">m3</t>
  </si>
  <si>
    <t xml:space="preserve">GJ</t>
  </si>
  <si>
    <t xml:space="preserve">byt</t>
  </si>
  <si>
    <t xml:space="preserve">vodoměr č.          190834092</t>
  </si>
  <si>
    <t xml:space="preserve">kalorimetr č.    SN 34582391</t>
  </si>
  <si>
    <t xml:space="preserve">vodoměr č.          190834090</t>
  </si>
  <si>
    <t xml:space="preserve">kalorimetr č.    SN 34582401</t>
  </si>
  <si>
    <t xml:space="preserve">vodoměr č.          190834097</t>
  </si>
  <si>
    <t xml:space="preserve">kalorimetr č.    SN 34582385</t>
  </si>
  <si>
    <t xml:space="preserve">vodoměr č.          190834098</t>
  </si>
  <si>
    <t xml:space="preserve">kalorimetr č.    SN 34582414</t>
  </si>
  <si>
    <t xml:space="preserve">vodoměr č.          190834095</t>
  </si>
  <si>
    <t xml:space="preserve">kalorimetr č.    SN 34582396</t>
  </si>
  <si>
    <t xml:space="preserve">vodoměr č.          190834099</t>
  </si>
  <si>
    <t xml:space="preserve">kalorimetr č.    SN 34582416</t>
  </si>
  <si>
    <t xml:space="preserve">vodoměr č.          190834102</t>
  </si>
  <si>
    <t xml:space="preserve">kalorimetr č.    SN 34582423</t>
  </si>
  <si>
    <t xml:space="preserve">vodoměr č.          200015742</t>
  </si>
  <si>
    <t xml:space="preserve">kalorimetr č.    SN 34582408</t>
  </si>
  <si>
    <t xml:space="preserve">vodoměr č.          190834109</t>
  </si>
  <si>
    <t xml:space="preserve">kalorimetr č.    SN 34582410</t>
  </si>
  <si>
    <t xml:space="preserve">vodoměr č.          191519263</t>
  </si>
  <si>
    <t xml:space="preserve">kalorimetr č.    SN 34582413</t>
  </si>
  <si>
    <t xml:space="preserve">spol.spotř.</t>
  </si>
  <si>
    <t xml:space="preserve">elektroměr č.        18972503</t>
  </si>
  <si>
    <t xml:space="preserve">patní vodoměr č. 190976787</t>
  </si>
  <si>
    <t xml:space="preserve">patní kalorimetr č./MWh</t>
  </si>
  <si>
    <t xml:space="preserve">patní kalorimetr č./kub.m</t>
  </si>
  <si>
    <t xml:space="preserve">fakturační vodoměr č.         63796</t>
  </si>
  <si>
    <t xml:space="preserve">číslo</t>
  </si>
  <si>
    <t xml:space="preserve">stav</t>
  </si>
  <si>
    <t xml:space="preserve">Výměna fakturač. vodoměru</t>
  </si>
  <si>
    <t xml:space="preserve">starý</t>
  </si>
  <si>
    <t xml:space="preserve">Dne 17.6.2019 odpojen kalor. (cejchování), </t>
  </si>
  <si>
    <t xml:space="preserve">stav: </t>
  </si>
  <si>
    <t xml:space="preserve">MWh</t>
  </si>
  <si>
    <t xml:space="preserve">dne 14.2.2019</t>
  </si>
  <si>
    <t xml:space="preserve">nový</t>
  </si>
  <si>
    <t xml:space="preserve">Dne 20.6.2019 zapojen znovuzapojení,</t>
  </si>
  <si>
    <t xml:space="preserve">Výměna elekroměru</t>
  </si>
  <si>
    <t xml:space="preserve">dne 13.2.2022</t>
  </si>
  <si>
    <t xml:space="preserve">Změna vlastnictví Taufer-Slavíkovi</t>
  </si>
  <si>
    <t xml:space="preserve">Odečet vodárny 30.11.2021</t>
  </si>
  <si>
    <t xml:space="preserve">do 31.5. a od 1.6.2022</t>
  </si>
  <si>
    <t xml:space="preserve">Dohad 1.12.-31.12.2021</t>
  </si>
  <si>
    <t xml:space="preserve">Taufer 1.1.-31.5.2022</t>
  </si>
  <si>
    <t xml:space="preserve">spotřeba</t>
  </si>
  <si>
    <t xml:space="preserve">Odečet vodárny 31.12.2022</t>
  </si>
  <si>
    <t xml:space="preserve">Slavíkovi 1.6.-31.12.2022</t>
  </si>
  <si>
    <t xml:space="preserve">Vytipování vadných vodoměrů</t>
  </si>
  <si>
    <t xml:space="preserve">Nové</t>
  </si>
  <si>
    <t xml:space="preserve">předloňský</t>
  </si>
  <si>
    <t xml:space="preserve">číslování</t>
  </si>
  <si>
    <t xml:space="preserve">průměr</t>
  </si>
  <si>
    <t xml:space="preserve">vodoměr č.          190834116</t>
  </si>
  <si>
    <t xml:space="preserve">kalorimetr č.    SN 34582402</t>
  </si>
  <si>
    <t xml:space="preserve">xx</t>
  </si>
  <si>
    <t xml:space="preserve">vodoměr  SV č.   190834120</t>
  </si>
  <si>
    <t xml:space="preserve">2 a 3</t>
  </si>
  <si>
    <t xml:space="preserve">kalorimetr č.    SN 34582400</t>
  </si>
  <si>
    <t xml:space="preserve">TV</t>
  </si>
  <si>
    <t xml:space="preserve">vodoměr  SV č.   190834093</t>
  </si>
  <si>
    <t xml:space="preserve">5 a 6</t>
  </si>
  <si>
    <t xml:space="preserve">kalorimetr č.    SN 34582398</t>
  </si>
  <si>
    <t xml:space="preserve">vodoměr č.          190834126</t>
  </si>
  <si>
    <t xml:space="preserve">kalorimetr č.    SN 34582419</t>
  </si>
  <si>
    <t xml:space="preserve">vodoměr  SV č.   190834122</t>
  </si>
  <si>
    <t xml:space="preserve">8 a 9</t>
  </si>
  <si>
    <t xml:space="preserve">kalorimetr č.    SN 34582384</t>
  </si>
  <si>
    <t xml:space="preserve">vodoměr  SV č.  200015757</t>
  </si>
  <si>
    <t xml:space="preserve">11 a 15</t>
  </si>
  <si>
    <t xml:space="preserve">kalorimetr č.    SN 34582397</t>
  </si>
  <si>
    <t xml:space="preserve">vodoměr č.          190834119</t>
  </si>
  <si>
    <t xml:space="preserve">kalorimetr č.    SN 34582417</t>
  </si>
  <si>
    <t xml:space="preserve">vodoměr  SV č.   190834112</t>
  </si>
  <si>
    <t xml:space="preserve">12 a 13</t>
  </si>
  <si>
    <t xml:space="preserve">kalorimetr č.    SN 34582392</t>
  </si>
  <si>
    <t xml:space="preserve">vodoměr č.          190834124</t>
  </si>
  <si>
    <t xml:space="preserve">kalorimetr č.    SN 34582418</t>
  </si>
  <si>
    <t xml:space="preserve">vodoměr č.          190834091</t>
  </si>
  <si>
    <t xml:space="preserve">kalorimetr č.    SN 34582411</t>
  </si>
  <si>
    <t xml:space="preserve">elektroměr č.    2080200096</t>
  </si>
  <si>
    <t xml:space="preserve">kWh</t>
  </si>
  <si>
    <t xml:space="preserve">patní vodoměr č. 190976791</t>
  </si>
  <si>
    <t xml:space="preserve">patní kalorimetr č. /MWh</t>
  </si>
  <si>
    <t xml:space="preserve">studená voda</t>
  </si>
  <si>
    <t xml:space="preserve">2B</t>
  </si>
  <si>
    <t xml:space="preserve">vodoměr  SV č.     200015745</t>
  </si>
  <si>
    <t xml:space="preserve">3B</t>
  </si>
  <si>
    <t xml:space="preserve">vodoměr  SV č.     190834107</t>
  </si>
  <si>
    <t xml:space="preserve">5B</t>
  </si>
  <si>
    <t xml:space="preserve">vodoměr  SV č.     190834094</t>
  </si>
  <si>
    <t xml:space="preserve">6B</t>
  </si>
  <si>
    <t xml:space="preserve">vodoměr  SV č.     200015744 </t>
  </si>
  <si>
    <t xml:space="preserve">8B</t>
  </si>
  <si>
    <t xml:space="preserve">vodoměr  SV č.     190834128</t>
  </si>
  <si>
    <t xml:space="preserve">VODOMĚRY TEPLÁ VODA</t>
  </si>
  <si>
    <t xml:space="preserve">teplá voda</t>
  </si>
  <si>
    <t xml:space="preserve">vodoměr  TUV č.  200105142</t>
  </si>
  <si>
    <t xml:space="preserve">vodoměr  TUV č.  200105133</t>
  </si>
  <si>
    <t xml:space="preserve">vodoměr  TUV č.  190049448</t>
  </si>
  <si>
    <t xml:space="preserve">vodoměr  TUV č.  190049255</t>
  </si>
  <si>
    <t xml:space="preserve">vodoměr  TUV č.  200105131</t>
  </si>
  <si>
    <t xml:space="preserve">vodoměr  TUV č.  200105152</t>
  </si>
  <si>
    <t xml:space="preserve">vodoměr  TUV č.  190049234</t>
  </si>
  <si>
    <t xml:space="preserve">vodoměr  TUV č.  190049258</t>
  </si>
  <si>
    <t xml:space="preserve">vodoměr  TUV č.  190049444</t>
  </si>
  <si>
    <t xml:space="preserve">vodoměr  TUV č.  190049253</t>
  </si>
  <si>
    <t xml:space="preserve">Reklamace - výměna vodoměru</t>
  </si>
  <si>
    <t xml:space="preserve">SROVNÁVACÍ TABULKA ZBYTKU DĚLENÝCH BYTŮ - spotřeby SV a TV</t>
  </si>
  <si>
    <t xml:space="preserve">3A - SV</t>
  </si>
  <si>
    <t xml:space="preserve">Vodom.</t>
  </si>
  <si>
    <t xml:space="preserve">SV</t>
  </si>
  <si>
    <t xml:space="preserve">Výměna elektroměru</t>
  </si>
  <si>
    <t xml:space="preserve">vodoměr č.          190834115</t>
  </si>
  <si>
    <t xml:space="preserve">kalorimetr č.    SN 34582388</t>
  </si>
  <si>
    <t xml:space="preserve">vodoměr č.          190834121</t>
  </si>
  <si>
    <t xml:space="preserve">kalorimetr č.    SN 34582394</t>
  </si>
  <si>
    <t xml:space="preserve">vodoměr č.          200015760</t>
  </si>
  <si>
    <t xml:space="preserve">kalorimetr č.    SN 34582389</t>
  </si>
  <si>
    <t xml:space="preserve">vodoměr č.          190834096</t>
  </si>
  <si>
    <t xml:space="preserve">kalorimetr č.    SN 34582395</t>
  </si>
  <si>
    <t xml:space="preserve">vodoměr č.          190834110</t>
  </si>
  <si>
    <t xml:space="preserve">kalorimetr č.    SN 34582393</t>
  </si>
  <si>
    <t xml:space="preserve">vodoměr č.          190834127</t>
  </si>
  <si>
    <t xml:space="preserve">kalorimetr č.    SN 34582399</t>
  </si>
  <si>
    <t xml:space="preserve">vodoměr č.          190834123</t>
  </si>
  <si>
    <t xml:space="preserve">kalorimetr č.    SN 34582404</t>
  </si>
  <si>
    <t xml:space="preserve">vodoměr č.          190834118</t>
  </si>
  <si>
    <t xml:space="preserve">kalorimetr č.    SN 34582406</t>
  </si>
  <si>
    <t xml:space="preserve">vodoměr č.          190834113</t>
  </si>
  <si>
    <t xml:space="preserve">kalorimetr č.    SN 34582405</t>
  </si>
  <si>
    <t xml:space="preserve">vodoměr č.          190834129</t>
  </si>
  <si>
    <t xml:space="preserve">kalorimetr č.    SN 34582407</t>
  </si>
  <si>
    <t xml:space="preserve">elektroměr č.      2080200097</t>
  </si>
  <si>
    <t xml:space="preserve">patní vodoměr č. 190976792</t>
  </si>
  <si>
    <t xml:space="preserve">Reklamace - výměna</t>
  </si>
  <si>
    <t xml:space="preserve">Voda</t>
  </si>
  <si>
    <t xml:space="preserve">Teplo</t>
  </si>
  <si>
    <t xml:space="preserve">Elektr</t>
  </si>
  <si>
    <t xml:space="preserve">KWh</t>
  </si>
  <si>
    <t xml:space="preserve">vodoměr č.          190834100</t>
  </si>
  <si>
    <t xml:space="preserve">kalorimetr č.    SN 34582390</t>
  </si>
  <si>
    <t xml:space="preserve">vodoměr č.          190906789</t>
  </si>
  <si>
    <t xml:space="preserve">kalorimetr č.    SN 34582422</t>
  </si>
  <si>
    <t xml:space="preserve">vodoměr č.          190906786</t>
  </si>
  <si>
    <t xml:space="preserve">kalorimetr č.    SN 34582386</t>
  </si>
  <si>
    <t xml:space="preserve">vodoměr č.          190834105</t>
  </si>
  <si>
    <t xml:space="preserve">kalorimetr č.    SN 34582421</t>
  </si>
  <si>
    <t xml:space="preserve">vodoměr č.          190906792</t>
  </si>
  <si>
    <t xml:space="preserve">kalorimetr č.    SN 34582387</t>
  </si>
  <si>
    <t xml:space="preserve">vodoměr č.          190906795</t>
  </si>
  <si>
    <t xml:space="preserve">kalorimetr č.    SN 34582420</t>
  </si>
  <si>
    <t xml:space="preserve">vodoměr č.          190834103</t>
  </si>
  <si>
    <t xml:space="preserve">kalorimetr č.    SN 34582412</t>
  </si>
  <si>
    <t xml:space="preserve">vodoměr č.          190834101</t>
  </si>
  <si>
    <t xml:space="preserve">kalorimetr č.    SN 34582403</t>
  </si>
  <si>
    <t xml:space="preserve">vodoměr č.          190834108</t>
  </si>
  <si>
    <t xml:space="preserve">kalorimetr č.    SN 34582409</t>
  </si>
  <si>
    <t xml:space="preserve">vodoměr č.          190906953</t>
  </si>
  <si>
    <t xml:space="preserve">kalorimetr č.    SN 34582415</t>
  </si>
  <si>
    <t xml:space="preserve">elektroměr č.2080200105 dům</t>
  </si>
  <si>
    <t xml:space="preserve">elektroměr č. 2080200100 VO</t>
  </si>
  <si>
    <t xml:space="preserve">Zahrada</t>
  </si>
  <si>
    <t xml:space="preserve">vodoměr areál  č.200076532</t>
  </si>
  <si>
    <t xml:space="preserve">zahrada</t>
  </si>
  <si>
    <t xml:space="preserve">patní vodoměr č. 190976789</t>
  </si>
  <si>
    <t xml:space="preserve">byty</t>
  </si>
  <si>
    <t xml:space="preserve">patní kalorimetr č./ MWh</t>
  </si>
  <si>
    <t xml:space="preserve">patní kalorimetr č. /kub.m</t>
  </si>
  <si>
    <t xml:space="preserve">vodoměr SV  č.      11717149</t>
  </si>
  <si>
    <t xml:space="preserve">vodoměr TV  č.      11683196</t>
  </si>
  <si>
    <t xml:space="preserve">Výměna elektroměru DŮM</t>
  </si>
  <si>
    <t xml:space="preserve">Výměna elektroměru AREÁL</t>
  </si>
  <si>
    <t xml:space="preserve">vodoměr č.          190906992</t>
  </si>
  <si>
    <t xml:space="preserve">kalorimetr č.    SN 34672835</t>
  </si>
  <si>
    <t xml:space="preserve">vodoměr č.          190906991</t>
  </si>
  <si>
    <t xml:space="preserve">kalorimetr č.    SN 34672801</t>
  </si>
  <si>
    <t xml:space="preserve">vodoměr č.          190906988</t>
  </si>
  <si>
    <t xml:space="preserve">kalorimetr č.    SN 34672802</t>
  </si>
  <si>
    <t xml:space="preserve">vodoměr č.          190906987   </t>
  </si>
  <si>
    <t xml:space="preserve">kalorimetr č.    SN 69067316</t>
  </si>
  <si>
    <t xml:space="preserve">vodoměr č.          190907002</t>
  </si>
  <si>
    <t xml:space="preserve">kalorimetr č.    SN 34672814</t>
  </si>
  <si>
    <t xml:space="preserve">vodoměr č.          190906994</t>
  </si>
  <si>
    <t xml:space="preserve">kalorimetr č.    SN 34672815</t>
  </si>
  <si>
    <t xml:space="preserve">vodoměr č.          190906986</t>
  </si>
  <si>
    <t xml:space="preserve">kalorimetr č.    SN 34672806</t>
  </si>
  <si>
    <t xml:space="preserve">vodoměr č.          191519281</t>
  </si>
  <si>
    <t xml:space="preserve">kalorimetr č.    SN 34672809</t>
  </si>
  <si>
    <t xml:space="preserve">vodoměr č.          190906990</t>
  </si>
  <si>
    <t xml:space="preserve">kalorimetr č.    SN 34672804</t>
  </si>
  <si>
    <t xml:space="preserve">vodoměr č.          190906995</t>
  </si>
  <si>
    <t xml:space="preserve">kalorimetr č.    SN 34672829</t>
  </si>
  <si>
    <t xml:space="preserve">elektroměr č.        72370871</t>
  </si>
  <si>
    <t xml:space="preserve">patní vodoměr č. 190976793</t>
  </si>
  <si>
    <t xml:space="preserve">patní kalorimetr č. 70465263/ GJ</t>
  </si>
  <si>
    <t xml:space="preserve">patní kalorimetr č.  / kub.m</t>
  </si>
  <si>
    <t xml:space="preserve">Fakturační vodoměr:      42012114941</t>
  </si>
  <si>
    <t xml:space="preserve">Výměna kalorimetru pata</t>
  </si>
  <si>
    <t xml:space="preserve">Výměna faktur.vodoměru    výr.č.</t>
  </si>
  <si>
    <t xml:space="preserve">demontáž</t>
  </si>
  <si>
    <t xml:space="preserve">výr.č.</t>
  </si>
  <si>
    <t xml:space="preserve">montáž</t>
  </si>
  <si>
    <t xml:space="preserve">elektr</t>
  </si>
  <si>
    <t xml:space="preserve">vodoměr č.          191519259</t>
  </si>
  <si>
    <t xml:space="preserve">kalorimetr č.    SN 34672816</t>
  </si>
  <si>
    <t xml:space="preserve">vodoměr č.          191519283</t>
  </si>
  <si>
    <t xml:space="preserve">kalorimetr č.    SN 34672822</t>
  </si>
  <si>
    <t xml:space="preserve">vodoměr č.          190907001</t>
  </si>
  <si>
    <t xml:space="preserve">kalorimetr č.    SN 34672827</t>
  </si>
  <si>
    <t xml:space="preserve">vodoměr č.          190907005</t>
  </si>
  <si>
    <t xml:space="preserve">kalorimetr č.    SN 34672837</t>
  </si>
  <si>
    <t xml:space="preserve">vodoměr č.          190907004</t>
  </si>
  <si>
    <t xml:space="preserve">kalorimetr č.    SN 34672834</t>
  </si>
  <si>
    <t xml:space="preserve">vodoměr č.          190045692</t>
  </si>
  <si>
    <t xml:space="preserve">kalorimetr č.    SN 34672819</t>
  </si>
  <si>
    <t xml:space="preserve">vodoměr č.          190906998</t>
  </si>
  <si>
    <t xml:space="preserve">kalorimetr č.    SN 34672826</t>
  </si>
  <si>
    <t xml:space="preserve">vodoměr č.          191519269</t>
  </si>
  <si>
    <t xml:space="preserve">kalorimetr č.    SN 34672818</t>
  </si>
  <si>
    <t xml:space="preserve">vodoměr č.          191519268</t>
  </si>
  <si>
    <t xml:space="preserve">kalorimetr č.    SN 34672812</t>
  </si>
  <si>
    <t xml:space="preserve">vodoměr č.          190906996</t>
  </si>
  <si>
    <t xml:space="preserve">kalorimetr č.    SN 34672823</t>
  </si>
  <si>
    <t xml:space="preserve">elektroměr č.        72370870</t>
  </si>
  <si>
    <t xml:space="preserve">patní vodoměr č.  190544822</t>
  </si>
  <si>
    <t xml:space="preserve">patní kalorimetr č.70465264/GJ</t>
  </si>
  <si>
    <t xml:space="preserve">vodoměr č.          190907008</t>
  </si>
  <si>
    <t xml:space="preserve">kalorimetr č.    SN 34672813</t>
  </si>
  <si>
    <t xml:space="preserve">vodoměr č.          191519260</t>
  </si>
  <si>
    <t xml:space="preserve">kalorimetr č.    SN 34672830</t>
  </si>
  <si>
    <t xml:space="preserve">vodoměr č.          190907023</t>
  </si>
  <si>
    <t xml:space="preserve">kalorimetr č.    SN 34672808</t>
  </si>
  <si>
    <t xml:space="preserve">vodoměr č.         190907015</t>
  </si>
  <si>
    <t xml:space="preserve">kalorimetr č.    SN 34672836</t>
  </si>
  <si>
    <t xml:space="preserve">vodoměr č.          190907020</t>
  </si>
  <si>
    <t xml:space="preserve">kalorimetr č.    SN 34672800</t>
  </si>
  <si>
    <t xml:space="preserve">vodoměr č.          190907016</t>
  </si>
  <si>
    <t xml:space="preserve">kalorimetr č.    SN 34672833</t>
  </si>
  <si>
    <t xml:space="preserve">vodoměr č.          191519256</t>
  </si>
  <si>
    <t xml:space="preserve">kalorimetr č.    SN 34672817</t>
  </si>
  <si>
    <t xml:space="preserve">vodoměr č.          190907024</t>
  </si>
  <si>
    <t xml:space="preserve">kalorimetr č.    SN 34672810</t>
  </si>
  <si>
    <t xml:space="preserve">vodoměr č.          191519266</t>
  </si>
  <si>
    <t xml:space="preserve">kalorimetr č.    SN 34672824</t>
  </si>
  <si>
    <t xml:space="preserve">vodoměr č.          190907019</t>
  </si>
  <si>
    <t xml:space="preserve">kalorimetr č.    SN 34672832</t>
  </si>
  <si>
    <t xml:space="preserve">elektroměr č.         72371793</t>
  </si>
  <si>
    <t xml:space="preserve">patní vodoměr č. 190976786</t>
  </si>
  <si>
    <t xml:space="preserve">patní kalorimetr č.70465265/GJ</t>
  </si>
  <si>
    <t xml:space="preserve">vodoměr č.          190907022</t>
  </si>
  <si>
    <t xml:space="preserve">kalorimetr č.    SN 34672828</t>
  </si>
  <si>
    <t xml:space="preserve">vodoměr č.          191519284</t>
  </si>
  <si>
    <t xml:space="preserve">kalorimetr č.    SN 34672811</t>
  </si>
  <si>
    <t xml:space="preserve">vodoměr č.          191519282</t>
  </si>
  <si>
    <t xml:space="preserve">kalorimetr č.    SN 34672803</t>
  </si>
  <si>
    <t xml:space="preserve">vodoměr č.          200015758</t>
  </si>
  <si>
    <t xml:space="preserve">kalorimetr č.    SN 34672807</t>
  </si>
  <si>
    <t xml:space="preserve">vodoměr č.          191519276</t>
  </si>
  <si>
    <t xml:space="preserve">kalorimetr č.    SN 34672838</t>
  </si>
  <si>
    <t xml:space="preserve">vodoměr č.          191519285</t>
  </si>
  <si>
    <t xml:space="preserve">kalorimetr č.    SN 34672805</t>
  </si>
  <si>
    <t xml:space="preserve">vodoměr č.          191519267</t>
  </si>
  <si>
    <t xml:space="preserve">kalorimetr č.    SN 34672821</t>
  </si>
  <si>
    <t xml:space="preserve">vodoměr č.          190907014</t>
  </si>
  <si>
    <t xml:space="preserve">kalorimetr č.    SN 34672820</t>
  </si>
  <si>
    <t xml:space="preserve">vodoměr č.          190907021</t>
  </si>
  <si>
    <t xml:space="preserve">kalorimetr č.    SN 34672831</t>
  </si>
  <si>
    <t xml:space="preserve">vodoměr č.          190907025</t>
  </si>
  <si>
    <t xml:space="preserve">kalorimetr č.    SN 34672825</t>
  </si>
  <si>
    <t xml:space="preserve">elektroměr č.        72370868</t>
  </si>
  <si>
    <t xml:space="preserve">patní vodoměr č. 190976785</t>
  </si>
  <si>
    <t xml:space="preserve">patní kalorimetr č. 70465266/ GJ</t>
  </si>
  <si>
    <t xml:space="preserve">Sumář - spotřeba leden</t>
  </si>
  <si>
    <t xml:space="preserve">Voda - m3</t>
  </si>
  <si>
    <t xml:space="preserve">Náměry bytových vodoměrů</t>
  </si>
  <si>
    <t xml:space="preserve">Patní vodoměry</t>
  </si>
  <si>
    <t xml:space="preserve">Součet patních vodoměrů</t>
  </si>
  <si>
    <t xml:space="preserve">fakturační vodoměr</t>
  </si>
  <si>
    <t xml:space="preserve">Teplo - GJ</t>
  </si>
  <si>
    <t xml:space="preserve">Náměry bytových kalorimetrů</t>
  </si>
  <si>
    <t xml:space="preserve">Fakturační kalorimetry</t>
  </si>
  <si>
    <t xml:space="preserve">Elektřina - kWh</t>
  </si>
  <si>
    <t xml:space="preserve">Elektroměr dům</t>
  </si>
  <si>
    <t xml:space="preserve">Elektroměr areál</t>
  </si>
  <si>
    <t xml:space="preserve">Vodoměr areál</t>
  </si>
  <si>
    <t xml:space="preserve">Sumář - spotřeba únor</t>
  </si>
  <si>
    <t xml:space="preserve">Elektřina - </t>
  </si>
  <si>
    <t xml:space="preserve">Sumář - spotřeba březen</t>
  </si>
  <si>
    <t xml:space="preserve">Sumář - spotřeba duben</t>
  </si>
  <si>
    <t xml:space="preserve">Sumář - spotřeba květen</t>
  </si>
  <si>
    <t xml:space="preserve">Sumář - spotřeba červen</t>
  </si>
  <si>
    <t xml:space="preserve">Sumář - spotřeba červenec</t>
  </si>
  <si>
    <t xml:space="preserve">Sumář - spotřeba srpen</t>
  </si>
  <si>
    <t xml:space="preserve">Sumář - spotřeba září</t>
  </si>
  <si>
    <t xml:space="preserve">Sumář - spotřeba říjen</t>
  </si>
  <si>
    <t xml:space="preserve">Sumář - spotřeba listopad</t>
  </si>
  <si>
    <t xml:space="preserve">Sumář - spotřeba prosinec</t>
  </si>
  <si>
    <t xml:space="preserve">Přehled rozdílů a ztrát za teplo v GJ</t>
  </si>
  <si>
    <t xml:space="preserve">odečet</t>
  </si>
  <si>
    <t xml:space="preserve">rozdíl [GJ]</t>
  </si>
  <si>
    <t xml:space="preserve">rozdíl [%]</t>
  </si>
  <si>
    <t xml:space="preserve">součty kal.</t>
  </si>
  <si>
    <t xml:space="preserve">faktur.kal.</t>
  </si>
  <si>
    <t xml:space="preserve">Poznámka:</t>
  </si>
  <si>
    <t xml:space="preserve">CELKEM ROZDÍL v GJ</t>
  </si>
  <si>
    <t xml:space="preserve">CELKEM ROZDÍL v %</t>
  </si>
  <si>
    <t xml:space="preserve">Sumář - spotřeba rok</t>
  </si>
  <si>
    <t xml:space="preserve">byty 1853 bez zahrady</t>
  </si>
  <si>
    <t xml:space="preserve">z toho do</t>
  </si>
  <si>
    <t xml:space="preserve">pro byty 1853</t>
  </si>
  <si>
    <t xml:space="preserve">se solí</t>
  </si>
  <si>
    <t xml:space="preserve">vodné + stočné</t>
  </si>
  <si>
    <t xml:space="preserve">Kontrola</t>
  </si>
  <si>
    <t xml:space="preserve">vyúčtování</t>
  </si>
  <si>
    <t xml:space="preserve">pro zahradu</t>
  </si>
  <si>
    <t xml:space="preserve">bez soli</t>
  </si>
  <si>
    <t xml:space="preserve">vodné</t>
  </si>
  <si>
    <t xml:space="preserve">součet pat bez zahrady</t>
  </si>
  <si>
    <t xml:space="preserve">pro domy 1850 - 1853</t>
  </si>
  <si>
    <t xml:space="preserve">Bez stočného</t>
  </si>
  <si>
    <t xml:space="preserve">Spotřeby dle zahradních poměr.vodoměrů</t>
  </si>
  <si>
    <t xml:space="preserve">Pro fakturaci</t>
  </si>
  <si>
    <t xml:space="preserve">Kontrola:</t>
  </si>
  <si>
    <t xml:space="preserve">Odběrné místo</t>
  </si>
  <si>
    <t xml:space="preserve">počátek</t>
  </si>
  <si>
    <t xml:space="preserve">konec</t>
  </si>
  <si>
    <t xml:space="preserve">rozdíl</t>
  </si>
  <si>
    <t xml:space="preserve">Přepočet spotřeb</t>
  </si>
  <si>
    <t xml:space="preserve">Zahrada hlavní vod. 1851</t>
  </si>
  <si>
    <t xml:space="preserve">zahrádka</t>
  </si>
  <si>
    <t xml:space="preserve">poč.</t>
  </si>
  <si>
    <t xml:space="preserve">koef.</t>
  </si>
  <si>
    <t xml:space="preserve">přepočet</t>
  </si>
  <si>
    <t xml:space="preserve">1851/1</t>
  </si>
  <si>
    <t xml:space="preserve">Šmejcká</t>
  </si>
  <si>
    <t xml:space="preserve">Haladová</t>
  </si>
  <si>
    <t xml:space="preserve">1851/2</t>
  </si>
  <si>
    <t xml:space="preserve">Kulhánek</t>
  </si>
  <si>
    <t xml:space="preserve">1852/1</t>
  </si>
  <si>
    <t xml:space="preserve">Zýmová</t>
  </si>
  <si>
    <t xml:space="preserve">z toho do vyúčtování</t>
  </si>
  <si>
    <t xml:space="preserve">1853/1</t>
  </si>
  <si>
    <t xml:space="preserve">Vuová</t>
  </si>
  <si>
    <t xml:space="preserve">zaokrouhlení voda areál</t>
  </si>
  <si>
    <t xml:space="preserve">1853/2</t>
  </si>
  <si>
    <t xml:space="preserve">Bodnarovi</t>
  </si>
  <si>
    <t xml:space="preserve">1853/3</t>
  </si>
  <si>
    <t xml:space="preserve">Němec</t>
  </si>
  <si>
    <t xml:space="preserve">1854/1</t>
  </si>
  <si>
    <t xml:space="preserve">Smola</t>
  </si>
  <si>
    <t xml:space="preserve">1854/2</t>
  </si>
  <si>
    <t xml:space="preserve">Bendlová</t>
  </si>
  <si>
    <t xml:space="preserve">1855/1</t>
  </si>
  <si>
    <t xml:space="preserve">Chvapil</t>
  </si>
  <si>
    <t xml:space="preserve">1855/2</t>
  </si>
  <si>
    <t xml:space="preserve">Hřebečkovi </t>
  </si>
  <si>
    <t xml:space="preserve">1856/1</t>
  </si>
  <si>
    <t xml:space="preserve">Písaříkovi</t>
  </si>
  <si>
    <t xml:space="preserve">1856/2</t>
  </si>
  <si>
    <t xml:space="preserve">Morongovi</t>
  </si>
  <si>
    <t xml:space="preserve">1856/3</t>
  </si>
  <si>
    <t xml:space="preserve">Baťkovi</t>
  </si>
  <si>
    <t xml:space="preserve">1857/1</t>
  </si>
  <si>
    <t xml:space="preserve">Hiršalová</t>
  </si>
  <si>
    <t xml:space="preserve">Zahrada hlavní vod. 1857</t>
  </si>
  <si>
    <t xml:space="preserve">1857/2</t>
  </si>
  <si>
    <t xml:space="preserve">Lazarová</t>
  </si>
  <si>
    <t xml:space="preserve">1857/3</t>
  </si>
  <si>
    <t xml:space="preserve">Brantovi</t>
  </si>
  <si>
    <t xml:space="preserve">SVJ 1850 - 1857</t>
  </si>
  <si>
    <t xml:space="preserve">Celkem zahrada dle poměr.vodoměrů</t>
  </si>
  <si>
    <t xml:space="preserve">Celkem zahradní fakturační vodoměr</t>
  </si>
  <si>
    <t xml:space="preserve">Spotřeby SPRÁVCE zahrada 1850-57</t>
  </si>
  <si>
    <t xml:space="preserve">Rozdíl </t>
  </si>
  <si>
    <t xml:space="preserve">1.1.2022 - 6.9.2022</t>
  </si>
  <si>
    <t xml:space="preserve">7.9.2022 - 31.12.2022</t>
  </si>
  <si>
    <t xml:space="preserve">Rozdíly v předávání tepla na patním měřidle v jednotlivých domech po měsících v MJ/m3 (GJ*1000/m3)</t>
  </si>
  <si>
    <r>
      <rPr>
        <sz val="11"/>
        <color rgb="FF000000"/>
        <rFont val="Calibri"/>
        <family val="2"/>
        <charset val="238"/>
      </rPr>
      <t xml:space="preserve">m</t>
    </r>
    <r>
      <rPr>
        <vertAlign val="superscript"/>
        <sz val="11"/>
        <color rgb="FF000000"/>
        <rFont val="Calibri"/>
        <family val="2"/>
        <charset val="238"/>
      </rPr>
      <t xml:space="preserve">3</t>
    </r>
  </si>
  <si>
    <r>
      <rPr>
        <sz val="11"/>
        <color rgb="FF000000"/>
        <rFont val="Calibri"/>
        <family val="2"/>
        <charset val="238"/>
      </rPr>
      <t xml:space="preserve">MJ/m</t>
    </r>
    <r>
      <rPr>
        <vertAlign val="superscript"/>
        <sz val="11"/>
        <color rgb="FF000000"/>
        <rFont val="Calibri"/>
        <family val="2"/>
        <charset val="238"/>
      </rPr>
      <t xml:space="preserve">3</t>
    </r>
  </si>
  <si>
    <t xml:space="preserve">Porovnání spotřeb vody na patách domů,</t>
  </si>
  <si>
    <t xml:space="preserve">  fakturačních vodoměrů 1 a 2</t>
  </si>
  <si>
    <t xml:space="preserve">a    zahrady</t>
  </si>
  <si>
    <t xml:space="preserve">Celkem</t>
  </si>
  <si>
    <t xml:space="preserve">Spotřeby fakturčních vodoměrů 1 a 2</t>
  </si>
  <si>
    <t xml:space="preserve">Faktur.1</t>
  </si>
  <si>
    <t xml:space="preserve">Faktur.2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</si>
</sst>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/m/yyyy"/>
    <numFmt numFmtId="166" formatCode="0.000"/>
    <numFmt numFmtId="167" formatCode="0"/>
    <numFmt numFmtId="168" formatCode="0.0"/>
    <numFmt numFmtId="169" formatCode="0.00"/>
    <numFmt numFmtId="170" formatCode="General"/>
    <numFmt numFmtId="171" formatCode="#,##0"/>
    <numFmt numFmtId="172" formatCode="0.0%"/>
    <numFmt numFmtId="173" formatCode="0.00\ %"/>
    <numFmt numFmtId="174" formatCode="#,##0.0"/>
    <numFmt numFmtId="175" formatCode="#,##0.000"/>
  </numFmts>
  <fonts count="3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6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3366FF"/>
      <name val="Calibri"/>
      <family val="2"/>
      <charset val="238"/>
    </font>
    <font>
      <b val="true"/>
      <sz val="11"/>
      <color rgb="FFFF0000"/>
      <name val="Calibri"/>
      <family val="2"/>
      <charset val="238"/>
    </font>
    <font>
      <sz val="10"/>
      <name val="Arial"/>
      <family val="2"/>
    </font>
    <font>
      <sz val="11"/>
      <color rgb="FFBFBFBF"/>
      <name val="Calibri"/>
      <family val="2"/>
      <charset val="238"/>
    </font>
    <font>
      <sz val="11"/>
      <name val="Calibri"/>
      <family val="2"/>
      <charset val="238"/>
    </font>
    <font>
      <b val="true"/>
      <sz val="11"/>
      <color rgb="FF00B050"/>
      <name val="Calibri"/>
      <family val="2"/>
      <charset val="238"/>
    </font>
    <font>
      <sz val="11"/>
      <color rgb="FF00B050"/>
      <name val="Calibri"/>
      <family val="2"/>
      <charset val="238"/>
    </font>
    <font>
      <sz val="11"/>
      <color rgb="FFA6A6A6"/>
      <name val="Calibri"/>
      <family val="2"/>
      <charset val="238"/>
    </font>
    <font>
      <b val="true"/>
      <sz val="11"/>
      <color rgb="FFFF0000"/>
      <name val="Tahoma"/>
      <family val="2"/>
      <charset val="238"/>
    </font>
    <font>
      <b val="true"/>
      <sz val="11"/>
      <color rgb="FF000000"/>
      <name val="Tahoma"/>
      <family val="2"/>
      <charset val="238"/>
    </font>
    <font>
      <sz val="9"/>
      <color rgb="FF000000"/>
      <name val="Tahoma"/>
      <family val="2"/>
      <charset val="238"/>
    </font>
    <font>
      <sz val="14"/>
      <color rgb="FF000000"/>
      <name val="Arial"/>
      <family val="2"/>
      <charset val="238"/>
    </font>
    <font>
      <b val="true"/>
      <sz val="14"/>
      <color rgb="FF000000"/>
      <name val="Arial"/>
      <family val="2"/>
      <charset val="238"/>
    </font>
    <font>
      <b val="true"/>
      <sz val="14"/>
      <color rgb="FF000000"/>
      <name val="Calibri"/>
      <family val="2"/>
      <charset val="238"/>
    </font>
    <font>
      <sz val="14"/>
      <color rgb="FF000000"/>
      <name val="Calibri"/>
      <family val="2"/>
      <charset val="238"/>
    </font>
    <font>
      <b val="true"/>
      <sz val="12"/>
      <color rgb="FF000000"/>
      <name val="Calibri"/>
      <family val="2"/>
      <charset val="238"/>
    </font>
    <font>
      <sz val="11"/>
      <color rgb="FF0070C0"/>
      <name val="Calibri"/>
      <family val="2"/>
      <charset val="238"/>
    </font>
    <font>
      <sz val="11"/>
      <color rgb="FFFF6600"/>
      <name val="Calibri"/>
      <family val="2"/>
      <charset val="238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2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rgb="FF00B050"/>
      <name val="Arial"/>
      <family val="2"/>
      <charset val="238"/>
    </font>
    <font>
      <u val="single"/>
      <sz val="11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  <font>
      <vertAlign val="superscript"/>
      <sz val="11"/>
      <color rgb="FF000000"/>
      <name val="Calibri"/>
      <family val="2"/>
      <charset val="238"/>
    </font>
    <font>
      <sz val="9.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E6E0EC"/>
        <bgColor rgb="FFDCE6F2"/>
      </patternFill>
    </fill>
    <fill>
      <patternFill patternType="solid">
        <fgColor rgb="FF92D050"/>
        <bgColor rgb="FFB8CD97"/>
      </patternFill>
    </fill>
    <fill>
      <patternFill patternType="solid">
        <fgColor rgb="FFF2F2F2"/>
        <bgColor rgb="FFDBEEF4"/>
      </patternFill>
    </fill>
    <fill>
      <patternFill patternType="solid">
        <fgColor rgb="FFCCFFFF"/>
        <bgColor rgb="FFDBEEF4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C000"/>
      </patternFill>
    </fill>
    <fill>
      <patternFill patternType="solid">
        <fgColor rgb="FFDDD9C3"/>
        <bgColor rgb="FFD9D9D9"/>
      </patternFill>
    </fill>
    <fill>
      <patternFill patternType="solid">
        <fgColor rgb="FFFFC000"/>
        <bgColor rgb="FFFFCC00"/>
      </patternFill>
    </fill>
    <fill>
      <patternFill patternType="solid">
        <fgColor rgb="FFDBEEF4"/>
        <bgColor rgb="FFDCE6F2"/>
      </patternFill>
    </fill>
    <fill>
      <patternFill patternType="solid">
        <fgColor rgb="FFDCE6F2"/>
        <bgColor rgb="FFDBEEF4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7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9" borderId="1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9" fillId="9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2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2" borderId="3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2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2" borderId="34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5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4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í 2" xfId="20"/>
  </cellStyles>
  <dxfs count="4910"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FFFFFF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color rgb="FF0070C0"/>
      </font>
    </dxf>
    <dxf>
      <font>
        <b val="1"/>
        <i val="0"/>
        <color rgb="FFFF0000"/>
      </font>
    </dxf>
    <dxf>
      <font>
        <color rgb="FF0070C0"/>
      </font>
    </dxf>
    <dxf>
      <font>
        <b val="1"/>
        <i val="0"/>
        <color rgb="FFFF0000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FFFFFF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  <fill>
        <patternFill>
          <bgColor rgb="00FFFFFF"/>
        </patternFill>
      </fill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FFFFFF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FFFFFF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FFFFFF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FFFFFF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i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  <fill>
        <patternFill>
          <bgColor rgb="00FFFFFF"/>
        </patternFill>
      </fill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0066CC"/>
        <sz val="11"/>
      </font>
    </dxf>
    <dxf>
      <font>
        <b val="1"/>
        <i val="0"/>
        <color rgb="FFFF000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b val="0"/>
        <color rgb="FFC0C0C0"/>
        <sz val="11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  <colors>
    <indexedColors>
      <rgbColor rgb="FF000000"/>
      <rgbColor rgb="FFFFFFFF"/>
      <rgbColor rgb="FFFF0000"/>
      <rgbColor rgb="FF00FF00"/>
      <rgbColor rgb="FFD9D9D9"/>
      <rgbColor rgb="FFFFFF00"/>
      <rgbColor rgb="FF99C6D7"/>
      <rgbColor rgb="FF69B4CB"/>
      <rgbColor rgb="FFADD0DD"/>
      <rgbColor rgb="FF00B050"/>
      <rgbColor rgb="FFE6E0EC"/>
      <rgbColor rgb="FF8AA64F"/>
      <rgbColor rgb="FFB3B3B3"/>
      <rgbColor rgb="FF0070C0"/>
      <rgbColor rgb="FFC0C0C0"/>
      <rgbColor rgb="FF808080"/>
      <rgbColor rgb="FF93A9CE"/>
      <rgbColor rgb="FFAB4744"/>
      <rgbColor rgb="FFF2F2F2"/>
      <rgbColor rgb="FFCCFFFF"/>
      <rgbColor rgb="FF92C3D5"/>
      <rgbColor rgb="FFDC853E"/>
      <rgbColor rgb="FF0066CC"/>
      <rgbColor rgb="FFBFD9E3"/>
      <rgbColor rgb="FFDCE6F2"/>
      <rgbColor rgb="FF9FC9D9"/>
      <rgbColor rgb="FFB8CD97"/>
      <rgbColor rgb="FF81BCD0"/>
      <rgbColor rgb="FFBFBFBF"/>
      <rgbColor rgb="FFB1D2DF"/>
      <rgbColor rgb="FF327485"/>
      <rgbColor rgb="FFCEE1E9"/>
      <rgbColor rgb="FF449CB4"/>
      <rgbColor rgb="FFDBEEF4"/>
      <rgbColor rgb="FFCFE2EA"/>
      <rgbColor rgb="FFDDD9C3"/>
      <rgbColor rgb="FF99CCFF"/>
      <rgbColor rgb="FFD09493"/>
      <rgbColor rgb="FFA99BBD"/>
      <rgbColor rgb="FFF8B590"/>
      <rgbColor rgb="FF3366FF"/>
      <rgbColor rgb="FF49A8C3"/>
      <rgbColor rgb="FF92D050"/>
      <rgbColor rgb="FFFFCC00"/>
      <rgbColor rgb="FFFFC000"/>
      <rgbColor rgb="FFFF6600"/>
      <rgbColor rgb="FF725990"/>
      <rgbColor rgb="FF878787"/>
      <rgbColor rgb="FF004586"/>
      <rgbColor rgb="FF3C8BA0"/>
      <rgbColor rgb="FF8BC0D3"/>
      <rgbColor rgb="FF4195AB"/>
      <rgbColor rgb="FFFF420E"/>
      <rgbColor rgb="FFA6A6A6"/>
      <rgbColor rgb="FF1F497D"/>
      <rgbColor rgb="FF4D7DB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859163229228"/>
          <c:y val="0.0392952423299244"/>
          <c:w val="0.660381064623846"/>
          <c:h val="0.865829257447755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>
                <a:alpha val="50000"/>
              </a:srgbClr>
            </a:solidFill>
            <a:ln w="28800">
              <a:solidFill>
                <a:srgbClr val="004586">
                  <a:alpha val="50000"/>
                </a:srgbClr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'1850'!$C$6:$O$6</c:f>
              <c:numCache>
                <c:formatCode>General</c:formatCode>
                <c:ptCount val="13"/>
                <c:pt idx="0">
                  <c:v>419.04</c:v>
                </c:pt>
                <c:pt idx="1">
                  <c:v>432.829</c:v>
                </c:pt>
                <c:pt idx="2">
                  <c:v>447.37</c:v>
                </c:pt>
                <c:pt idx="3">
                  <c:v>462.529</c:v>
                </c:pt>
                <c:pt idx="4">
                  <c:v>477.847</c:v>
                </c:pt>
                <c:pt idx="5">
                  <c:v>492.391</c:v>
                </c:pt>
                <c:pt idx="6">
                  <c:v>503.618</c:v>
                </c:pt>
                <c:pt idx="7">
                  <c:v>511.411</c:v>
                </c:pt>
                <c:pt idx="8">
                  <c:v>522.863</c:v>
                </c:pt>
                <c:pt idx="9">
                  <c:v>534.27</c:v>
                </c:pt>
                <c:pt idx="10">
                  <c:v>547.746</c:v>
                </c:pt>
                <c:pt idx="11">
                  <c:v>562.797</c:v>
                </c:pt>
                <c:pt idx="12">
                  <c:v>578.873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411826"/>
        <c:axId val="36781011"/>
      </c:lineChart>
      <c:lineChart>
        <c:grouping val="standard"/>
        <c:varyColors val="0"/>
        <c:ser>
          <c:idx val="1"/>
          <c:order val="1"/>
          <c:spPr>
            <a:solidFill>
              <a:srgbClr val="99ccff"/>
            </a:solidFill>
            <a:ln w="28800">
              <a:solidFill>
                <a:srgbClr val="99ccff"/>
              </a:solidFill>
              <a:round/>
            </a:ln>
          </c:spPr>
          <c:marker>
            <c:symbol val="diamond"/>
            <c:size val="8"/>
            <c:spPr>
              <a:solidFill>
                <a:srgbClr val="99cc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'1850'!$C$7:$O$7</c:f>
              <c:numCache>
                <c:formatCode>General</c:formatCode>
                <c:ptCount val="13"/>
                <c:pt idx="0">
                  <c:v>9.432</c:v>
                </c:pt>
                <c:pt idx="1">
                  <c:v>14.973</c:v>
                </c:pt>
                <c:pt idx="2">
                  <c:v>19.083</c:v>
                </c:pt>
                <c:pt idx="3">
                  <c:v>23.377</c:v>
                </c:pt>
                <c:pt idx="4">
                  <c:v>26.625</c:v>
                </c:pt>
                <c:pt idx="5">
                  <c:v>27.468</c:v>
                </c:pt>
                <c:pt idx="6">
                  <c:v>27.978</c:v>
                </c:pt>
                <c:pt idx="7">
                  <c:v>28.269</c:v>
                </c:pt>
                <c:pt idx="8">
                  <c:v>28.683</c:v>
                </c:pt>
                <c:pt idx="9">
                  <c:v>29.225</c:v>
                </c:pt>
                <c:pt idx="10">
                  <c:v>29.989</c:v>
                </c:pt>
                <c:pt idx="11">
                  <c:v>32.323</c:v>
                </c:pt>
                <c:pt idx="12">
                  <c:v>36.202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416149"/>
        <c:axId val="42474240"/>
      </c:lineChart>
      <c:catAx>
        <c:axId val="404118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781011"/>
        <c:crosses val="autoZero"/>
        <c:auto val="1"/>
        <c:lblAlgn val="ctr"/>
        <c:lblOffset val="100"/>
        <c:noMultiLvlLbl val="0"/>
      </c:catAx>
      <c:valAx>
        <c:axId val="367810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411826"/>
        <c:crosses val="autoZero"/>
        <c:crossBetween val="midCat"/>
      </c:valAx>
      <c:catAx>
        <c:axId val="3241614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474240"/>
        <c:auto val="1"/>
        <c:lblAlgn val="ctr"/>
        <c:lblOffset val="100"/>
        <c:noMultiLvlLbl val="0"/>
      </c:catAx>
      <c:valAx>
        <c:axId val="42474240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416149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voda</c:f>
              <c:strCache>
                <c:ptCount val="1"/>
                <c:pt idx="0">
                  <c:v>voda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'1850'!$B$42:$N$42</c:f>
              <c:numCache>
                <c:formatCode>General</c:formatCode>
                <c:ptCount val="13"/>
                <c:pt idx="1">
                  <c:v>1654.68</c:v>
                </c:pt>
                <c:pt idx="2">
                  <c:v>1744.92</c:v>
                </c:pt>
                <c:pt idx="3">
                  <c:v>1819.08</c:v>
                </c:pt>
                <c:pt idx="4">
                  <c:v>1838.16</c:v>
                </c:pt>
                <c:pt idx="5">
                  <c:v>1745.28</c:v>
                </c:pt>
                <c:pt idx="6">
                  <c:v>1347.24</c:v>
                </c:pt>
                <c:pt idx="7">
                  <c:v>935.160000000001</c:v>
                </c:pt>
                <c:pt idx="8">
                  <c:v>1374.24000000001</c:v>
                </c:pt>
                <c:pt idx="9">
                  <c:v>1368.83999999999</c:v>
                </c:pt>
                <c:pt idx="10">
                  <c:v>1617.12</c:v>
                </c:pt>
                <c:pt idx="11">
                  <c:v>1806.12000000001</c:v>
                </c:pt>
                <c:pt idx="12">
                  <c:v>1929.12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teplo</c:f>
              <c:strCache>
                <c:ptCount val="1"/>
                <c:pt idx="0">
                  <c:v>teplo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'1850'!$B$43:$N$43</c:f>
              <c:numCache>
                <c:formatCode>General</c:formatCode>
                <c:ptCount val="13"/>
                <c:pt idx="1">
                  <c:v>9419.7</c:v>
                </c:pt>
                <c:pt idx="2">
                  <c:v>6987</c:v>
                </c:pt>
                <c:pt idx="3">
                  <c:v>7299.8</c:v>
                </c:pt>
                <c:pt idx="4">
                  <c:v>5521.6</c:v>
                </c:pt>
                <c:pt idx="5">
                  <c:v>1433.1</c:v>
                </c:pt>
                <c:pt idx="6">
                  <c:v>867.000000000003</c:v>
                </c:pt>
                <c:pt idx="7">
                  <c:v>494.699999999995</c:v>
                </c:pt>
                <c:pt idx="8">
                  <c:v>703.800000000003</c:v>
                </c:pt>
                <c:pt idx="9">
                  <c:v>921.400000000003</c:v>
                </c:pt>
                <c:pt idx="10">
                  <c:v>1298.8</c:v>
                </c:pt>
                <c:pt idx="11">
                  <c:v>3967.8</c:v>
                </c:pt>
                <c:pt idx="12">
                  <c:v>6594.3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570557"/>
        <c:axId val="6634215"/>
      </c:lineChart>
      <c:catAx>
        <c:axId val="585705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34215"/>
        <c:crosses val="autoZero"/>
        <c:auto val="1"/>
        <c:lblAlgn val="ctr"/>
        <c:lblOffset val="100"/>
        <c:noMultiLvlLbl val="0"/>
      </c:catAx>
      <c:valAx>
        <c:axId val="66342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5705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cs-CZ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cs-CZ" sz="1800" spc="-1" strike="noStrike">
                <a:solidFill>
                  <a:srgbClr val="000000"/>
                </a:solidFill>
                <a:latin typeface="Calibri"/>
                <a:ea typeface="Calibri"/>
              </a:rPr>
              <a:t>ROZDÍLY CELKEM = ZTRÁTY v GJ</a:t>
            </a:r>
          </a:p>
        </c:rich>
      </c:tx>
      <c:layout>
        <c:manualLayout>
          <c:xMode val="edge"/>
          <c:yMode val="edge"/>
          <c:x val="0.198039621729827"/>
          <c:y val="0.0383503779457537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31000207082212"/>
          <c:y val="0.288239217429969"/>
          <c:w val="0.896113757161593"/>
          <c:h val="0.60871498443752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5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Rozdíly!$D$34,Rozdíly!$G$34,Rozdíly!$J$34,Rozdíly!$M$34,Rozdíly!$P$34,Rozdíly!$S$34,Rozdíly!$V$34,Rozdíly!$Y$34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Rozdíly!$D$31:$D$31,Rozdíly!$G$31:$G$31,Rozdíly!$J$31:$J$31,Rozdíly!$M$31:$M$31,Rozdíly!$P$31:$P$31,Rozdíly!$S$31:$S$31,Rozdíly!$V$31:$V$31,Rozdíly!$Y$31:$Y$31</c:f>
              <c:numCache>
                <c:formatCode>General</c:formatCode>
                <c:ptCount val="8"/>
                <c:pt idx="0">
                  <c:v>2.55200000000002</c:v>
                </c:pt>
                <c:pt idx="1">
                  <c:v>43.999</c:v>
                </c:pt>
                <c:pt idx="2">
                  <c:v>-4.39199999999998</c:v>
                </c:pt>
                <c:pt idx="3">
                  <c:v>17.5309999999999</c:v>
                </c:pt>
                <c:pt idx="4">
                  <c:v>9.483</c:v>
                </c:pt>
                <c:pt idx="5">
                  <c:v>10.101</c:v>
                </c:pt>
                <c:pt idx="6">
                  <c:v>-6.26300000000003</c:v>
                </c:pt>
                <c:pt idx="7">
                  <c:v>3.11500000000002</c:v>
                </c:pt>
              </c:numCache>
            </c:numRef>
          </c:val>
        </c:ser>
        <c:gapWidth val="75"/>
        <c:overlap val="100"/>
        <c:axId val="29656162"/>
        <c:axId val="62200584"/>
      </c:barChart>
      <c:catAx>
        <c:axId val="29656162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200584"/>
        <c:crossesAt val="0"/>
        <c:auto val="1"/>
        <c:lblAlgn val="ctr"/>
        <c:lblOffset val="100"/>
        <c:noMultiLvlLbl val="0"/>
      </c:catAx>
      <c:valAx>
        <c:axId val="62200584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none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656162"/>
        <c:crossesAt val="1"/>
        <c:crossBetween val="between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cs-CZ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cs-CZ" sz="1800" spc="-1" strike="noStrike">
                <a:solidFill>
                  <a:srgbClr val="000000"/>
                </a:solidFill>
                <a:latin typeface="Calibri"/>
                <a:ea typeface="Calibri"/>
              </a:rPr>
              <a:t>ROZDÍLY CELKEM = ZTRÁTY v %</a:t>
            </a:r>
          </a:p>
        </c:rich>
      </c:tx>
      <c:layout>
        <c:manualLayout>
          <c:xMode val="edge"/>
          <c:yMode val="edge"/>
          <c:x val="0.20160446459714"/>
          <c:y val="0.038461538461538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382281130101"/>
          <c:y val="0.28907469342252"/>
          <c:w val="0.85845831880014"/>
          <c:h val="0.60758082497212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56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Rozdíly!$D$34,Rozdíly!$G$34,Rozdíly!$J$34,Rozdíly!$M$34,Rozdíly!$P$34,Rozdíly!$S$34,Rozdíly!$V$34,Rozdíly!$Y$34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Rozdíly!$D$33:$D$33,Rozdíly!$G$33:$G$33,Rozdíly!$J$33:$J$33,Rozdíly!$M$33:$M$33,Rozdíly!$P$33:$P$33,Rozdíly!$S$33:$S$33,Rozdíly!$V$33:$V$33,Rozdíly!$Y$33:$Y$33</c:f>
              <c:numCache>
                <c:formatCode>General</c:formatCode>
                <c:ptCount val="8"/>
                <c:pt idx="0">
                  <c:v>0.0146525194065501</c:v>
                </c:pt>
                <c:pt idx="1">
                  <c:v>0.16354803217509</c:v>
                </c:pt>
                <c:pt idx="2">
                  <c:v>-0.0210236084783731</c:v>
                </c:pt>
                <c:pt idx="3">
                  <c:v>0.0944476769244026</c:v>
                </c:pt>
                <c:pt idx="4">
                  <c:v>0.0517687520471667</c:v>
                </c:pt>
                <c:pt idx="5">
                  <c:v>0.0485671699201847</c:v>
                </c:pt>
                <c:pt idx="6">
                  <c:v>-0.0344007470064816</c:v>
                </c:pt>
                <c:pt idx="7">
                  <c:v>0.0170404814004377</c:v>
                </c:pt>
              </c:numCache>
            </c:numRef>
          </c:val>
        </c:ser>
        <c:gapWidth val="75"/>
        <c:overlap val="100"/>
        <c:axId val="29030155"/>
        <c:axId val="33636810"/>
      </c:barChart>
      <c:catAx>
        <c:axId val="29030155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636810"/>
        <c:crossesAt val="0"/>
        <c:auto val="1"/>
        <c:lblAlgn val="ctr"/>
        <c:lblOffset val="100"/>
        <c:noMultiLvlLbl val="0"/>
      </c:catAx>
      <c:valAx>
        <c:axId val="33636810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0.0%" sourceLinked="0"/>
        <c:majorTickMark val="none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030155"/>
        <c:crossesAt val="1"/>
        <c:crossBetween val="between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cs-CZ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cs-CZ" sz="1800" spc="-1" strike="noStrike">
                <a:solidFill>
                  <a:srgbClr val="000000"/>
                </a:solidFill>
                <a:latin typeface="Calibri"/>
                <a:ea typeface="Calibri"/>
              </a:rPr>
              <a:t>ROZDÍLY CELKEM = ZTRÁTY v GJ</a:t>
            </a:r>
          </a:p>
        </c:rich>
      </c:tx>
      <c:layout>
        <c:manualLayout>
          <c:xMode val="edge"/>
          <c:yMode val="edge"/>
          <c:x val="0.198039621729827"/>
          <c:y val="0.038461538461538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42224062952992"/>
          <c:y val="0.28907469342252"/>
          <c:w val="0.874922344170636"/>
          <c:h val="0.60758082497212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5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'Rozdíly (2)'!$D$31:$D$31,'Rozdíly (2)'!$G$31:$G$31,'Rozdíly (2)'!$J$31:$J$31,'Rozdíly (2)'!$M$31:$M$31,'Rozdíly (2)'!$P$31:$P$31,'Rozdíly (2)'!$S$31:$S$31,'Rozdíly (2)'!$V$31:$V$31,'Rozdíly (2)'!$Y$31:$Y$31</c:f>
              <c:numCache>
                <c:formatCode>General</c:formatCode>
                <c:ptCount val="8"/>
                <c:pt idx="0">
                  <c:v>2.55200000000002</c:v>
                </c:pt>
                <c:pt idx="1">
                  <c:v>43.999</c:v>
                </c:pt>
                <c:pt idx="2">
                  <c:v>-4.39199999999998</c:v>
                </c:pt>
                <c:pt idx="3">
                  <c:v>17.5309999999999</c:v>
                </c:pt>
                <c:pt idx="4">
                  <c:v>9.483</c:v>
                </c:pt>
                <c:pt idx="5">
                  <c:v>10.101</c:v>
                </c:pt>
                <c:pt idx="6">
                  <c:v>-6.26300000000003</c:v>
                </c:pt>
                <c:pt idx="7">
                  <c:v>3.11500000000002</c:v>
                </c:pt>
              </c:numCache>
            </c:numRef>
          </c:val>
        </c:ser>
        <c:gapWidth val="75"/>
        <c:overlap val="100"/>
        <c:axId val="72771416"/>
        <c:axId val="64888388"/>
      </c:barChart>
      <c:catAx>
        <c:axId val="72771416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888388"/>
        <c:crossesAt val="0"/>
        <c:auto val="1"/>
        <c:lblAlgn val="ctr"/>
        <c:lblOffset val="100"/>
        <c:noMultiLvlLbl val="0"/>
      </c:catAx>
      <c:valAx>
        <c:axId val="64888388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none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771416"/>
        <c:crossesAt val="1"/>
        <c:crossBetween val="between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cs-CZ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cs-CZ" sz="1800" spc="-1" strike="noStrike">
                <a:solidFill>
                  <a:srgbClr val="000000"/>
                </a:solidFill>
                <a:latin typeface="Calibri"/>
                <a:ea typeface="Calibri"/>
              </a:rPr>
              <a:t>ROZDÍLY CELKEM = ZTRÁTY v %</a:t>
            </a:r>
          </a:p>
        </c:rich>
      </c:tx>
      <c:layout>
        <c:manualLayout>
          <c:xMode val="edge"/>
          <c:yMode val="edge"/>
          <c:x val="0.20160287411911"/>
          <c:y val="0.038461538461538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8456542766"/>
          <c:y val="0.28907469342252"/>
          <c:w val="0.858435815945834"/>
          <c:h val="0.60758082497212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56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'Rozdíly (2)'!$D$33:$D$33,'Rozdíly (2)'!$G$33:$G$33,'Rozdíly (2)'!$J$33:$J$33,'Rozdíly (2)'!$M$33:$M$33,'Rozdíly (2)'!$P$33:$P$33,'Rozdíly (2)'!$S$33:$S$33,'Rozdíly (2)'!$V$33:$V$33,'Rozdíly (2)'!$Y$33:$Y$33</c:f>
              <c:numCache>
                <c:formatCode>General</c:formatCode>
                <c:ptCount val="8"/>
                <c:pt idx="0">
                  <c:v>0.0146525194065501</c:v>
                </c:pt>
                <c:pt idx="1">
                  <c:v>0.16354803217509</c:v>
                </c:pt>
                <c:pt idx="2">
                  <c:v>-0.0210236084783731</c:v>
                </c:pt>
                <c:pt idx="3">
                  <c:v>0.0944476769244026</c:v>
                </c:pt>
                <c:pt idx="4">
                  <c:v>0.0517687520471667</c:v>
                </c:pt>
                <c:pt idx="5">
                  <c:v>0.0485671699201847</c:v>
                </c:pt>
                <c:pt idx="6">
                  <c:v>-0.0344007470064816</c:v>
                </c:pt>
                <c:pt idx="7">
                  <c:v>0.0170404814004377</c:v>
                </c:pt>
              </c:numCache>
            </c:numRef>
          </c:val>
        </c:ser>
        <c:gapWidth val="75"/>
        <c:overlap val="100"/>
        <c:axId val="45354945"/>
        <c:axId val="76890299"/>
      </c:barChart>
      <c:catAx>
        <c:axId val="45354945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890299"/>
        <c:crossesAt val="0"/>
        <c:auto val="1"/>
        <c:lblAlgn val="ctr"/>
        <c:lblOffset val="100"/>
        <c:noMultiLvlLbl val="0"/>
      </c:catAx>
      <c:valAx>
        <c:axId val="76890299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0.0%" sourceLinked="0"/>
        <c:majorTickMark val="none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354945"/>
        <c:crossesAt val="1"/>
        <c:crossBetween val="between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cs-CZ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cs-CZ" sz="1800" spc="-1" strike="noStrike">
                <a:solidFill>
                  <a:srgbClr val="000000"/>
                </a:solidFill>
                <a:latin typeface="Calibri"/>
                <a:ea typeface="Calibri"/>
              </a:rPr>
              <a:t>ROZDÍLY CELKEM = ZTRÁTY v GJ</a:t>
            </a:r>
          </a:p>
        </c:rich>
      </c:tx>
      <c:layout>
        <c:manualLayout>
          <c:xMode val="edge"/>
          <c:yMode val="edge"/>
          <c:x val="0.198039621729827"/>
          <c:y val="0.0383503779457537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19086077172638"/>
          <c:y val="0.288239217429969"/>
          <c:w val="0.923034444674536"/>
          <c:h val="0.60871498443752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5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Rozdíly!$D$34,Rozdíly!$G$34,Rozdíly!$J$34,Rozdíly!$M$34,Rozdíly!$P$34,Rozdíly!$S$34,Rozdíly!$V$34,Rozdíly!$Y$34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Rozdíly!$D$31,Rozdíly!$G$31,Rozdíly!$J$31,Rozdíly!$M$31,Rozdíly!$P$31,Rozdíly!$S$31,Rozdíly!$V$31,Rozdíly!$Y$31</c:f>
              <c:numCache>
                <c:formatCode>General</c:formatCode>
                <c:ptCount val="8"/>
                <c:pt idx="0">
                  <c:v>2.55200000000002</c:v>
                </c:pt>
                <c:pt idx="1">
                  <c:v>43.999</c:v>
                </c:pt>
                <c:pt idx="2">
                  <c:v>-4.39199999999998</c:v>
                </c:pt>
                <c:pt idx="3">
                  <c:v>17.5309999999999</c:v>
                </c:pt>
                <c:pt idx="4">
                  <c:v>9.483</c:v>
                </c:pt>
                <c:pt idx="5">
                  <c:v>10.101</c:v>
                </c:pt>
                <c:pt idx="6">
                  <c:v>-6.26300000000003</c:v>
                </c:pt>
                <c:pt idx="7">
                  <c:v>3.11500000000002</c:v>
                </c:pt>
              </c:numCache>
            </c:numRef>
          </c:val>
        </c:ser>
        <c:gapWidth val="75"/>
        <c:overlap val="100"/>
        <c:axId val="96599630"/>
        <c:axId val="4484467"/>
      </c:barChart>
      <c:catAx>
        <c:axId val="96599630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84467"/>
        <c:crossesAt val="0"/>
        <c:auto val="1"/>
        <c:lblAlgn val="ctr"/>
        <c:lblOffset val="100"/>
        <c:noMultiLvlLbl val="0"/>
      </c:catAx>
      <c:valAx>
        <c:axId val="4484467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none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599630"/>
        <c:crossesAt val="1"/>
        <c:crossBetween val="between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cs-CZ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cs-CZ" sz="1800" spc="-1" strike="noStrike">
                <a:solidFill>
                  <a:srgbClr val="000000"/>
                </a:solidFill>
                <a:latin typeface="Calibri"/>
                <a:ea typeface="Calibri"/>
              </a:rPr>
              <a:t>ROZDÍLY CELKEM = ZTRÁTY v %</a:t>
            </a:r>
          </a:p>
        </c:rich>
      </c:tx>
      <c:layout>
        <c:manualLayout>
          <c:xMode val="edge"/>
          <c:yMode val="edge"/>
          <c:x val="0.20160287411911"/>
          <c:y val="0.0384615384615385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10598314218599"/>
          <c:y val="0.28907469342252"/>
          <c:w val="0.893325963797154"/>
          <c:h val="0.60758082497212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56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in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Rozdíly!$D$34,Rozdíly!$G$34,Rozdíly!$J$34,Rozdíly!$M$34,Rozdíly!$P$34,Rozdíly!$S$34,Rozdíly!$V$34,Rozdíly!$Y$34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Rozdíly!$D$33,Rozdíly!$G$33,Rozdíly!$J$33,Rozdíly!$M$33,Rozdíly!$P$33,Rozdíly!$S$33,Rozdíly!$V$33,Rozdíly!$Y$33</c:f>
              <c:numCache>
                <c:formatCode>General</c:formatCode>
                <c:ptCount val="8"/>
                <c:pt idx="0">
                  <c:v>0.0146525194065501</c:v>
                </c:pt>
                <c:pt idx="1">
                  <c:v>0.16354803217509</c:v>
                </c:pt>
                <c:pt idx="2">
                  <c:v>-0.0210236084783731</c:v>
                </c:pt>
                <c:pt idx="3">
                  <c:v>0.0944476769244026</c:v>
                </c:pt>
                <c:pt idx="4">
                  <c:v>0.0517687520471667</c:v>
                </c:pt>
                <c:pt idx="5">
                  <c:v>0.0485671699201847</c:v>
                </c:pt>
                <c:pt idx="6">
                  <c:v>-0.0344007470064816</c:v>
                </c:pt>
                <c:pt idx="7">
                  <c:v>0.0170404814004377</c:v>
                </c:pt>
              </c:numCache>
            </c:numRef>
          </c:val>
        </c:ser>
        <c:gapWidth val="75"/>
        <c:overlap val="100"/>
        <c:axId val="9508388"/>
        <c:axId val="51712378"/>
      </c:barChart>
      <c:catAx>
        <c:axId val="95083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712378"/>
        <c:crossesAt val="0"/>
        <c:auto val="1"/>
        <c:lblAlgn val="ctr"/>
        <c:lblOffset val="100"/>
        <c:noMultiLvlLbl val="0"/>
      </c:catAx>
      <c:valAx>
        <c:axId val="51712378"/>
        <c:scaling>
          <c:orientation val="minMax"/>
        </c:scaling>
        <c:delete val="0"/>
        <c:axPos val="l"/>
        <c:majorGridlines>
          <c:spPr>
            <a:ln w="3240">
              <a:solidFill>
                <a:srgbClr val="808080"/>
              </a:solidFill>
              <a:round/>
            </a:ln>
          </c:spPr>
        </c:majorGridlines>
        <c:numFmt formatCode="0.0%" sourceLinked="0"/>
        <c:majorTickMark val="none"/>
        <c:minorTickMark val="cross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08388"/>
        <c:crossesAt val="1"/>
        <c:crossBetween val="between"/>
      </c:valAx>
      <c:spPr>
        <a:solidFill>
          <a:srgbClr val="ffffff"/>
        </a:solidFill>
        <a:ln w="25560">
          <a:noFill/>
        </a:ln>
      </c:spPr>
    </c:plotArea>
    <c:plotVisOnly val="1"/>
    <c:dispBlanksAs val="gap"/>
  </c:chart>
  <c:spPr>
    <a:solidFill>
      <a:srgbClr val="ffffff"/>
    </a:solidFill>
    <a:ln w="3240">
      <a:solidFill>
        <a:srgbClr val="808080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"Leden"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rgbClr val="1f497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'Teplo-Paty'!$C$6:$C$27</c:f>
              <c:numCache>
                <c:formatCode>General</c:formatCode>
                <c:ptCount val="8"/>
                <c:pt idx="0">
                  <c:v>125.25</c:v>
                </c:pt>
                <c:pt idx="1">
                  <c:v>80.952714535902</c:v>
                </c:pt>
                <c:pt idx="2">
                  <c:v>132.31475409836</c:v>
                </c:pt>
                <c:pt idx="3">
                  <c:v>117.592105263158</c:v>
                </c:pt>
                <c:pt idx="4">
                  <c:v>134.486692015209</c:v>
                </c:pt>
                <c:pt idx="5">
                  <c:v>155.128205128205</c:v>
                </c:pt>
                <c:pt idx="6">
                  <c:v>148.622047244095</c:v>
                </c:pt>
                <c:pt idx="7">
                  <c:v>141.721611721612</c:v>
                </c:pt>
              </c:numCache>
            </c:numRef>
          </c:val>
        </c:ser>
        <c:ser>
          <c:idx val="1"/>
          <c:order val="1"/>
          <c:tx>
            <c:strRef>
              <c:f>"Únor"</c:f>
              <c:strCache>
                <c:ptCount val="1"/>
                <c:pt idx="0">
                  <c:v>Únor</c:v>
                </c:pt>
              </c:strCache>
            </c:strRef>
          </c:tx>
          <c:spPr>
            <a:solidFill>
              <a:srgbClr val="3274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'Teplo-Paty'!$D$6:$D$27</c:f>
              <c:numCache>
                <c:formatCode>General</c:formatCode>
                <c:ptCount val="8"/>
                <c:pt idx="0">
                  <c:v>123.813084112149</c:v>
                </c:pt>
                <c:pt idx="1">
                  <c:v>81.6564705882352</c:v>
                </c:pt>
                <c:pt idx="2">
                  <c:v>138.461538461538</c:v>
                </c:pt>
                <c:pt idx="3">
                  <c:v>116.769230769231</c:v>
                </c:pt>
                <c:pt idx="4">
                  <c:v>138.333333333333</c:v>
                </c:pt>
                <c:pt idx="5">
                  <c:v>151.176470588235</c:v>
                </c:pt>
                <c:pt idx="6">
                  <c:v>148.07486631016</c:v>
                </c:pt>
                <c:pt idx="7">
                  <c:v>149.378531073446</c:v>
                </c:pt>
              </c:numCache>
            </c:numRef>
          </c:val>
        </c:ser>
        <c:ser>
          <c:idx val="2"/>
          <c:order val="2"/>
          <c:tx>
            <c:strRef>
              <c:f>"Březen"</c:f>
              <c:strCache>
                <c:ptCount val="1"/>
                <c:pt idx="0">
                  <c:v>Březen</c:v>
                </c:pt>
              </c:strCache>
            </c:strRef>
          </c:tx>
          <c:spPr>
            <a:solidFill>
              <a:srgbClr val="3d8ca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'Teplo-Paty'!$E$6:$E$27</c:f>
              <c:numCache>
                <c:formatCode>General</c:formatCode>
                <c:ptCount val="8"/>
                <c:pt idx="0">
                  <c:v>134.701986754967</c:v>
                </c:pt>
                <c:pt idx="1">
                  <c:v>80.3743315508024</c:v>
                </c:pt>
                <c:pt idx="2">
                  <c:v>126.18556701031</c:v>
                </c:pt>
                <c:pt idx="3">
                  <c:v>108</c:v>
                </c:pt>
                <c:pt idx="4">
                  <c:v>146.516129032258</c:v>
                </c:pt>
                <c:pt idx="5">
                  <c:v>159.753086419753</c:v>
                </c:pt>
                <c:pt idx="6">
                  <c:v>149.802631578947</c:v>
                </c:pt>
                <c:pt idx="7">
                  <c:v>151.386861313869</c:v>
                </c:pt>
              </c:numCache>
            </c:numRef>
          </c:val>
        </c:ser>
        <c:ser>
          <c:idx val="3"/>
          <c:order val="3"/>
          <c:tx>
            <c:strRef>
              <c:f>"Duben"</c:f>
              <c:strCache>
                <c:ptCount val="1"/>
                <c:pt idx="0">
                  <c:v>Duben</c:v>
                </c:pt>
              </c:strCache>
            </c:strRef>
          </c:tx>
          <c:spPr>
            <a:solidFill>
              <a:srgbClr val="4196a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'Teplo-Paty'!$F$6:$F$27</c:f>
              <c:numCache>
                <c:formatCode>General</c:formatCode>
                <c:ptCount val="8"/>
                <c:pt idx="0">
                  <c:v>120.672</c:v>
                </c:pt>
                <c:pt idx="1">
                  <c:v>64.064516129032</c:v>
                </c:pt>
                <c:pt idx="2">
                  <c:v>135.558620689655</c:v>
                </c:pt>
                <c:pt idx="3">
                  <c:v>94.1860465116279</c:v>
                </c:pt>
                <c:pt idx="4">
                  <c:v>136.4</c:v>
                </c:pt>
                <c:pt idx="5">
                  <c:v>159.512195121952</c:v>
                </c:pt>
                <c:pt idx="6">
                  <c:v>154.811320754717</c:v>
                </c:pt>
                <c:pt idx="7">
                  <c:v>151.388888888889</c:v>
                </c:pt>
              </c:numCache>
            </c:numRef>
          </c:val>
        </c:ser>
        <c:ser>
          <c:idx val="4"/>
          <c:order val="4"/>
          <c:tx>
            <c:strRef>
              <c:f>"Květen"</c:f>
              <c:strCache>
                <c:ptCount val="1"/>
                <c:pt idx="0">
                  <c:v>Květen</c:v>
                </c:pt>
              </c:strCache>
            </c:strRef>
          </c:tx>
          <c:spPr>
            <a:solidFill>
              <a:srgbClr val="459fb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'Teplo-Paty'!$G$6:$G$27</c:f>
              <c:numCache>
                <c:formatCode>General</c:formatCode>
                <c:ptCount val="8"/>
                <c:pt idx="0">
                  <c:v>104.625000000001</c:v>
                </c:pt>
                <c:pt idx="1">
                  <c:v>46.6329113924054</c:v>
                </c:pt>
                <c:pt idx="2">
                  <c:v>138.315789473682</c:v>
                </c:pt>
                <c:pt idx="3">
                  <c:v>58.2056074766352</c:v>
                </c:pt>
                <c:pt idx="4">
                  <c:v>104</c:v>
                </c:pt>
                <c:pt idx="5">
                  <c:v>152.258064516126</c:v>
                </c:pt>
                <c:pt idx="6">
                  <c:v>142.916666666665</c:v>
                </c:pt>
                <c:pt idx="7">
                  <c:v>110.384615384616</c:v>
                </c:pt>
              </c:numCache>
            </c:numRef>
          </c:val>
        </c:ser>
        <c:ser>
          <c:idx val="5"/>
          <c:order val="5"/>
          <c:tx>
            <c:strRef>
              <c:f>"Červen"</c:f>
              <c:strCache>
                <c:ptCount val="1"/>
                <c:pt idx="0">
                  <c:v>Červen</c:v>
                </c:pt>
              </c:strCache>
            </c:strRef>
          </c:tx>
          <c:spPr>
            <a:solidFill>
              <a:srgbClr val="49a7c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'Teplo-Paty'!$H$6:$H$27</c:f>
              <c:numCache>
                <c:formatCode>General</c:formatCode>
                <c:ptCount val="8"/>
                <c:pt idx="0">
                  <c:v>93.0000000000007</c:v>
                </c:pt>
                <c:pt idx="1">
                  <c:v>35.7220077220076</c:v>
                </c:pt>
                <c:pt idx="2">
                  <c:v>122.625</c:v>
                </c:pt>
                <c:pt idx="3">
                  <c:v>47.0999999999998</c:v>
                </c:pt>
                <c:pt idx="4">
                  <c:v>86.2962962962978</c:v>
                </c:pt>
                <c:pt idx="5">
                  <c:v>143.636363636367</c:v>
                </c:pt>
                <c:pt idx="6">
                  <c:v>128.947368421055</c:v>
                </c:pt>
                <c:pt idx="7">
                  <c:v>105.238095238094</c:v>
                </c:pt>
              </c:numCache>
            </c:numRef>
          </c:val>
        </c:ser>
        <c:ser>
          <c:idx val="6"/>
          <c:order val="6"/>
          <c:tx>
            <c:strRef>
              <c:f>"Červenec"</c:f>
              <c:strCache>
                <c:ptCount val="1"/>
                <c:pt idx="0">
                  <c:v>Červenec</c:v>
                </c:pt>
              </c:strCache>
            </c:strRef>
          </c:tx>
          <c:spPr>
            <a:solidFill>
              <a:srgbClr val="61b1c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'Teplo-Paty'!$I$6:$I$27</c:f>
              <c:numCache>
                <c:formatCode>General</c:formatCode>
                <c:ptCount val="8"/>
                <c:pt idx="0">
                  <c:v>86.3999999999982</c:v>
                </c:pt>
                <c:pt idx="1">
                  <c:v>30.0000000000001</c:v>
                </c:pt>
                <c:pt idx="2">
                  <c:v>109.384615384614</c:v>
                </c:pt>
                <c:pt idx="3">
                  <c:v>52.5000000000006</c:v>
                </c:pt>
                <c:pt idx="4">
                  <c:v>72.8571428571416</c:v>
                </c:pt>
                <c:pt idx="5">
                  <c:v>132.105263157894</c:v>
                </c:pt>
                <c:pt idx="6">
                  <c:v>120.526315789472</c:v>
                </c:pt>
                <c:pt idx="7">
                  <c:v>90.0000000000006</c:v>
                </c:pt>
              </c:numCache>
            </c:numRef>
          </c:val>
        </c:ser>
        <c:ser>
          <c:idx val="7"/>
          <c:order val="7"/>
          <c:tx>
            <c:strRef>
              <c:f>"Srpen"</c:f>
              <c:strCache>
                <c:ptCount val="1"/>
                <c:pt idx="0">
                  <c:v>Srpen</c:v>
                </c:pt>
              </c:strCache>
            </c:strRef>
          </c:tx>
          <c:spPr>
            <a:solidFill>
              <a:srgbClr val="81bcd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'Teplo-Paty'!$J$6:$J$27</c:f>
              <c:numCache>
                <c:formatCode>General</c:formatCode>
                <c:ptCount val="8"/>
                <c:pt idx="0">
                  <c:v>80.5714285714284</c:v>
                </c:pt>
                <c:pt idx="1">
                  <c:v>28.2939297124598</c:v>
                </c:pt>
                <c:pt idx="2">
                  <c:v>106.434782608697</c:v>
                </c:pt>
                <c:pt idx="3">
                  <c:v>116.470588235297</c:v>
                </c:pt>
                <c:pt idx="4">
                  <c:v>67.3913043478266</c:v>
                </c:pt>
                <c:pt idx="5">
                  <c:v>125.78947368421</c:v>
                </c:pt>
                <c:pt idx="6">
                  <c:v>123.333333333335</c:v>
                </c:pt>
                <c:pt idx="7">
                  <c:v>87.6190476190464</c:v>
                </c:pt>
              </c:numCache>
            </c:numRef>
          </c:val>
        </c:ser>
        <c:ser>
          <c:idx val="8"/>
          <c:order val="8"/>
          <c:tx>
            <c:strRef>
              <c:f>"Září"</c:f>
              <c:strCache>
                <c:ptCount val="1"/>
                <c:pt idx="0">
                  <c:v>Září</c:v>
                </c:pt>
              </c:strCache>
            </c:strRef>
          </c:tx>
          <c:spPr>
            <a:solidFill>
              <a:srgbClr val="99c6d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'Teplo-Paty'!$K$6:$K$27</c:f>
              <c:numCache>
                <c:formatCode>General</c:formatCode>
                <c:ptCount val="8"/>
                <c:pt idx="0">
                  <c:v>90.5454545454559</c:v>
                </c:pt>
                <c:pt idx="1">
                  <c:v>37.6059479553904</c:v>
                </c:pt>
                <c:pt idx="2">
                  <c:v>129.23076923077</c:v>
                </c:pt>
                <c:pt idx="3">
                  <c:v>121.846153846153</c:v>
                </c:pt>
                <c:pt idx="4">
                  <c:v>85.2083333333328</c:v>
                </c:pt>
                <c:pt idx="5">
                  <c:v>136.666666666664</c:v>
                </c:pt>
                <c:pt idx="6">
                  <c:v>132.272727272726</c:v>
                </c:pt>
                <c:pt idx="7">
                  <c:v>110.000000000001</c:v>
                </c:pt>
              </c:numCache>
            </c:numRef>
          </c:val>
        </c:ser>
        <c:ser>
          <c:idx val="9"/>
          <c:order val="9"/>
          <c:tx>
            <c:strRef>
              <c:f>"Říjen"</c:f>
              <c:strCache>
                <c:ptCount val="1"/>
                <c:pt idx="0">
                  <c:v>Říjen</c:v>
                </c:pt>
              </c:strCache>
            </c:strRef>
          </c:tx>
          <c:spPr>
            <a:solidFill>
              <a:srgbClr val="add0d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'Teplo-Paty'!$L$6:$L$27</c:f>
              <c:numCache>
                <c:formatCode>General</c:formatCode>
                <c:ptCount val="8"/>
                <c:pt idx="0">
                  <c:v>90.6506024096387</c:v>
                </c:pt>
                <c:pt idx="1">
                  <c:v>41.4897360703813</c:v>
                </c:pt>
                <c:pt idx="2">
                  <c:v>130.441558441558</c:v>
                </c:pt>
                <c:pt idx="3">
                  <c:v>138.638297872341</c:v>
                </c:pt>
                <c:pt idx="4">
                  <c:v>107.10843373494</c:v>
                </c:pt>
                <c:pt idx="5">
                  <c:v>147.464788732395</c:v>
                </c:pt>
                <c:pt idx="6">
                  <c:v>140.8</c:v>
                </c:pt>
                <c:pt idx="7">
                  <c:v>115.362318840579</c:v>
                </c:pt>
              </c:numCache>
            </c:numRef>
          </c:val>
        </c:ser>
        <c:ser>
          <c:idx val="10"/>
          <c:order val="10"/>
          <c:tx>
            <c:strRef>
              <c:f>"Listopad"</c:f>
              <c:strCache>
                <c:ptCount val="1"/>
                <c:pt idx="0">
                  <c:v>Listopad</c:v>
                </c:pt>
              </c:strCache>
            </c:strRef>
          </c:tx>
          <c:spPr>
            <a:solidFill>
              <a:srgbClr val="bfd9e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'Teplo-Paty'!$M$6:$M$27</c:f>
              <c:numCache>
                <c:formatCode>General</c:formatCode>
                <c:ptCount val="8"/>
                <c:pt idx="0">
                  <c:v>125.172413793103</c:v>
                </c:pt>
                <c:pt idx="1">
                  <c:v>75.3488372093025</c:v>
                </c:pt>
                <c:pt idx="2">
                  <c:v>145.945945945946</c:v>
                </c:pt>
                <c:pt idx="3">
                  <c:v>147.576158940397</c:v>
                </c:pt>
                <c:pt idx="4">
                  <c:v>143.223684210526</c:v>
                </c:pt>
                <c:pt idx="5">
                  <c:v>149.022988505748</c:v>
                </c:pt>
                <c:pt idx="6">
                  <c:v>159.503546099291</c:v>
                </c:pt>
                <c:pt idx="7">
                  <c:v>145.963855421687</c:v>
                </c:pt>
              </c:numCache>
            </c:numRef>
          </c:val>
        </c:ser>
        <c:ser>
          <c:idx val="11"/>
          <c:order val="11"/>
          <c:tx>
            <c:strRef>
              <c:f>"Prosinec"</c:f>
              <c:strCache>
                <c:ptCount val="1"/>
                <c:pt idx="0">
                  <c:v>Prosinec</c:v>
                </c:pt>
              </c:strCache>
            </c:strRef>
          </c:tx>
          <c:spPr>
            <a:solidFill>
              <a:srgbClr val="cee1e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'Teplo-Paty'!$A$6:$A$27</c:f>
              <c:strCach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strCache>
            </c:strRef>
          </c:cat>
          <c:val>
            <c:numRef>
              <c:f>'Teplo-Paty'!$N$6:$N$27</c:f>
              <c:numCache>
                <c:formatCode>General</c:formatCode>
                <c:ptCount val="8"/>
                <c:pt idx="0">
                  <c:v>116.28</c:v>
                </c:pt>
                <c:pt idx="1">
                  <c:v>75.7928571428569</c:v>
                </c:pt>
                <c:pt idx="2">
                  <c:v>151.39534883721</c:v>
                </c:pt>
                <c:pt idx="3">
                  <c:v>147.6</c:v>
                </c:pt>
                <c:pt idx="4">
                  <c:v>147.801724137931</c:v>
                </c:pt>
                <c:pt idx="5">
                  <c:v>139.007633587786</c:v>
                </c:pt>
                <c:pt idx="6">
                  <c:v>149.181034482759</c:v>
                </c:pt>
                <c:pt idx="7">
                  <c:v>143.452380952381</c:v>
                </c:pt>
              </c:numCache>
            </c:numRef>
          </c:val>
        </c:ser>
        <c:gapWidth val="150"/>
        <c:overlap val="0"/>
        <c:axId val="54211803"/>
        <c:axId val="34084757"/>
      </c:barChart>
      <c:catAx>
        <c:axId val="54211803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084757"/>
        <c:crosses val="autoZero"/>
        <c:auto val="1"/>
        <c:lblAlgn val="ctr"/>
        <c:lblOffset val="100"/>
        <c:noMultiLvlLbl val="0"/>
      </c:catAx>
      <c:valAx>
        <c:axId val="34084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211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916487062122832"/>
          <c:y val="0.0521927589933612"/>
          <c:w val="0.077368545379181"/>
          <c:h val="0.81545429983016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2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58318580589323"/>
          <c:y val="0.0344330557335042"/>
          <c:w val="0.847673000511429"/>
          <c:h val="0.804452274183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rgbClr val="1f497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'Voda-Paty'!$C$4:$C$11,'Voda-Paty'!$C$14</c:f>
              <c:numCache>
                <c:formatCode>General</c:formatCode>
                <c:ptCount val="9"/>
                <c:pt idx="0">
                  <c:v>71</c:v>
                </c:pt>
                <c:pt idx="1">
                  <c:v>93.5999999999999</c:v>
                </c:pt>
                <c:pt idx="2">
                  <c:v>91.3000000000002</c:v>
                </c:pt>
                <c:pt idx="3">
                  <c:v>78.5</c:v>
                </c:pt>
                <c:pt idx="4">
                  <c:v>69.0999999999999</c:v>
                </c:pt>
                <c:pt idx="5">
                  <c:v>84.5</c:v>
                </c:pt>
                <c:pt idx="6">
                  <c:v>76.0999999999999</c:v>
                </c:pt>
                <c:pt idx="7">
                  <c:v>82.6999999999998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spPr>
            <a:solidFill>
              <a:srgbClr val="3273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'Voda-Paty'!$D$4:$D$11,'Voda-Paty'!$D$14</c:f>
              <c:numCache>
                <c:formatCode>General</c:formatCode>
                <c:ptCount val="9"/>
                <c:pt idx="0">
                  <c:v>67.8</c:v>
                </c:pt>
                <c:pt idx="1">
                  <c:v>81.8000000000002</c:v>
                </c:pt>
                <c:pt idx="2">
                  <c:v>84.1999999999998</c:v>
                </c:pt>
                <c:pt idx="3">
                  <c:v>76.8000000000002</c:v>
                </c:pt>
                <c:pt idx="4">
                  <c:v>62.5</c:v>
                </c:pt>
                <c:pt idx="5">
                  <c:v>70.6999999999998</c:v>
                </c:pt>
                <c:pt idx="6">
                  <c:v>70</c:v>
                </c:pt>
                <c:pt idx="7">
                  <c:v>71.4000000000001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spPr>
            <a:solidFill>
              <a:srgbClr val="3c899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'Voda-Paty'!$E$4:$E$11,'Voda-Paty'!$E$14</c:f>
              <c:numCache>
                <c:formatCode>General</c:formatCode>
                <c:ptCount val="9"/>
                <c:pt idx="0">
                  <c:v>74.1000000000001</c:v>
                </c:pt>
                <c:pt idx="1">
                  <c:v>83.3000000000002</c:v>
                </c:pt>
                <c:pt idx="2">
                  <c:v>96.0999999999999</c:v>
                </c:pt>
                <c:pt idx="3">
                  <c:v>77.8000000000002</c:v>
                </c:pt>
                <c:pt idx="4">
                  <c:v>64.5</c:v>
                </c:pt>
                <c:pt idx="5">
                  <c:v>78.9000000000001</c:v>
                </c:pt>
                <c:pt idx="6">
                  <c:v>76.0999999999999</c:v>
                </c:pt>
                <c:pt idx="7">
                  <c:v>76.1999999999998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spPr>
            <a:solidFill>
              <a:srgbClr val="4093a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'Voda-Paty'!$F$4:$F$11,'Voda-Paty'!$F$14</c:f>
              <c:numCache>
                <c:formatCode>General</c:formatCode>
                <c:ptCount val="9"/>
                <c:pt idx="0">
                  <c:v>69.3999999999999</c:v>
                </c:pt>
                <c:pt idx="1">
                  <c:v>91.8999999999996</c:v>
                </c:pt>
                <c:pt idx="2">
                  <c:v>101.5</c:v>
                </c:pt>
                <c:pt idx="3">
                  <c:v>80.6999999999998</c:v>
                </c:pt>
                <c:pt idx="4">
                  <c:v>59.5</c:v>
                </c:pt>
                <c:pt idx="5">
                  <c:v>76.4000000000001</c:v>
                </c:pt>
                <c:pt idx="6">
                  <c:v>85.4000000000001</c:v>
                </c:pt>
                <c:pt idx="7">
                  <c:v>77.1000000000004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spPr>
            <a:solidFill>
              <a:srgbClr val="449cb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'Voda-Paty'!$G$4:$G$11,'Voda-Paty'!$G$14</c:f>
              <c:numCache>
                <c:formatCode>General</c:formatCode>
                <c:ptCount val="9"/>
                <c:pt idx="0">
                  <c:v>68.5</c:v>
                </c:pt>
                <c:pt idx="1">
                  <c:v>87.1000000000004</c:v>
                </c:pt>
                <c:pt idx="2">
                  <c:v>96</c:v>
                </c:pt>
                <c:pt idx="3">
                  <c:v>70.0649999999999</c:v>
                </c:pt>
                <c:pt idx="4">
                  <c:v>62.7</c:v>
                </c:pt>
                <c:pt idx="5">
                  <c:v>73.5999999999999</c:v>
                </c:pt>
                <c:pt idx="6">
                  <c:v>69</c:v>
                </c:pt>
                <c:pt idx="7">
                  <c:v>67.5999999999999</c:v>
                </c:pt>
                <c:pt idx="8">
                  <c:v>20.535</c:v>
                </c:pt>
              </c:numCache>
            </c:numRef>
          </c:val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spPr>
            <a:solidFill>
              <a:srgbClr val="47a4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'Voda-Paty'!$H$4:$H$11,'Voda-Paty'!$H$14</c:f>
              <c:numCache>
                <c:formatCode>General</c:formatCode>
                <c:ptCount val="9"/>
                <c:pt idx="0">
                  <c:v>59.4000000000001</c:v>
                </c:pt>
                <c:pt idx="1">
                  <c:v>77.2999999999997</c:v>
                </c:pt>
                <c:pt idx="2">
                  <c:v>86.4000000000001</c:v>
                </c:pt>
                <c:pt idx="3">
                  <c:v>63.4570000000001</c:v>
                </c:pt>
                <c:pt idx="4">
                  <c:v>61.5</c:v>
                </c:pt>
                <c:pt idx="5">
                  <c:v>68</c:v>
                </c:pt>
                <c:pt idx="6">
                  <c:v>65.2000000000003</c:v>
                </c:pt>
                <c:pt idx="7">
                  <c:v>71.6999999999998</c:v>
                </c:pt>
                <c:pt idx="8">
                  <c:v>18.043</c:v>
                </c:pt>
              </c:numCache>
            </c:numRef>
          </c:val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spPr>
            <a:solidFill>
              <a:srgbClr val="b1d2d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'Voda-Paty'!$I$4:$I$11,'Voda-Paty'!$I$14</c:f>
              <c:numCache>
                <c:formatCode>General</c:formatCode>
                <c:ptCount val="9"/>
                <c:pt idx="0">
                  <c:v>51.6999999999998</c:v>
                </c:pt>
                <c:pt idx="1">
                  <c:v>76.5</c:v>
                </c:pt>
                <c:pt idx="2">
                  <c:v>83</c:v>
                </c:pt>
                <c:pt idx="3">
                  <c:v>62.0170000000002</c:v>
                </c:pt>
                <c:pt idx="4">
                  <c:v>57.8</c:v>
                </c:pt>
                <c:pt idx="5">
                  <c:v>64</c:v>
                </c:pt>
                <c:pt idx="6">
                  <c:v>66.1999999999998</c:v>
                </c:pt>
                <c:pt idx="7">
                  <c:v>63.5999999999999</c:v>
                </c:pt>
                <c:pt idx="8">
                  <c:v>26.6830000000001</c:v>
                </c:pt>
              </c:numCache>
            </c:numRef>
          </c:val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spPr>
            <a:solidFill>
              <a:srgbClr val="cfe2e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'Voda-Paty'!$J$4:$J$11,'Voda-Paty'!$J$14</c:f>
              <c:numCache>
                <c:formatCode>General</c:formatCode>
                <c:ptCount val="9"/>
                <c:pt idx="0">
                  <c:v>57.1000000000004</c:v>
                </c:pt>
                <c:pt idx="1">
                  <c:v>79.4000000000001</c:v>
                </c:pt>
                <c:pt idx="2">
                  <c:v>76.0999999999999</c:v>
                </c:pt>
                <c:pt idx="3">
                  <c:v>60.9479999999999</c:v>
                </c:pt>
                <c:pt idx="4">
                  <c:v>65.5</c:v>
                </c:pt>
                <c:pt idx="5">
                  <c:v>64.9000000000001</c:v>
                </c:pt>
                <c:pt idx="6">
                  <c:v>71.1999999999998</c:v>
                </c:pt>
                <c:pt idx="7">
                  <c:v>66.9000000000001</c:v>
                </c:pt>
                <c:pt idx="8">
                  <c:v>17.652</c:v>
                </c:pt>
              </c:numCache>
            </c:numRef>
          </c:val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spPr>
            <a:solidFill>
              <a:srgbClr val="8bc0d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'Voda-Paty'!$K$4:$K$11,'Voda-Paty'!$K$14</c:f>
              <c:numCache>
                <c:formatCode>General</c:formatCode>
                <c:ptCount val="9"/>
                <c:pt idx="0">
                  <c:v>55.5999999999999</c:v>
                </c:pt>
                <c:pt idx="1">
                  <c:v>75.8000000000002</c:v>
                </c:pt>
                <c:pt idx="2">
                  <c:v>84.4000000000001</c:v>
                </c:pt>
                <c:pt idx="3">
                  <c:v>61.8880000000001</c:v>
                </c:pt>
                <c:pt idx="4">
                  <c:v>59.5999999999999</c:v>
                </c:pt>
                <c:pt idx="5">
                  <c:v>64.4000000000001</c:v>
                </c:pt>
                <c:pt idx="6">
                  <c:v>69.3000000000002</c:v>
                </c:pt>
                <c:pt idx="7">
                  <c:v>71.5</c:v>
                </c:pt>
                <c:pt idx="8">
                  <c:v>10.012</c:v>
                </c:pt>
              </c:numCache>
            </c:numRef>
          </c:val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'Voda-Paty'!$L$4:$L$11,'Voda-Paty'!$L$14</c:f>
              <c:numCache>
                <c:formatCode>General</c:formatCode>
                <c:ptCount val="9"/>
                <c:pt idx="0">
                  <c:v>65.5</c:v>
                </c:pt>
                <c:pt idx="1">
                  <c:v>82.7999999999997</c:v>
                </c:pt>
                <c:pt idx="2">
                  <c:v>99.5</c:v>
                </c:pt>
                <c:pt idx="3">
                  <c:v>77.4479999999999</c:v>
                </c:pt>
                <c:pt idx="4">
                  <c:v>61.5999999999999</c:v>
                </c:pt>
                <c:pt idx="5">
                  <c:v>75.2999999999997</c:v>
                </c:pt>
                <c:pt idx="6">
                  <c:v>86</c:v>
                </c:pt>
                <c:pt idx="7">
                  <c:v>72.5</c:v>
                </c:pt>
                <c:pt idx="8">
                  <c:v>3.65199999999999</c:v>
                </c:pt>
              </c:numCache>
            </c:numRef>
          </c:val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spPr>
            <a:solidFill>
              <a:srgbClr val="71b6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'Voda-Paty'!$M$4:$M$11,'Voda-Paty'!$M$14</c:f>
              <c:numCache>
                <c:formatCode>General</c:formatCode>
                <c:ptCount val="9"/>
                <c:pt idx="0">
                  <c:v>60.5999999999999</c:v>
                </c:pt>
                <c:pt idx="1">
                  <c:v>78.4000000000001</c:v>
                </c:pt>
                <c:pt idx="2">
                  <c:v>89.6999999999998</c:v>
                </c:pt>
                <c:pt idx="3">
                  <c:v>69.6410000000001</c:v>
                </c:pt>
                <c:pt idx="4">
                  <c:v>55.8000000000002</c:v>
                </c:pt>
                <c:pt idx="5">
                  <c:v>74.3000000000002</c:v>
                </c:pt>
                <c:pt idx="6">
                  <c:v>77.0999999999999</c:v>
                </c:pt>
                <c:pt idx="7">
                  <c:v>75.0999999999999</c:v>
                </c:pt>
                <c:pt idx="8">
                  <c:v>1.25900000000001</c:v>
                </c:pt>
              </c:numCache>
            </c:numRef>
          </c:val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spPr>
            <a:solidFill>
              <a:srgbClr val="9fc9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'Voda-Paty'!$A$4:$A$11,'Voda-Paty'!$A$14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'Voda-Paty'!$N$4:$N$11,'Voda-Paty'!$N$14</c:f>
              <c:numCache>
                <c:formatCode>General</c:formatCode>
                <c:ptCount val="9"/>
                <c:pt idx="0">
                  <c:v>61.4000000000001</c:v>
                </c:pt>
                <c:pt idx="1">
                  <c:v>90.8000000000002</c:v>
                </c:pt>
                <c:pt idx="2">
                  <c:v>97</c:v>
                </c:pt>
                <c:pt idx="3">
                  <c:v>75.2999999999997</c:v>
                </c:pt>
                <c:pt idx="4">
                  <c:v>63.0999999999999</c:v>
                </c:pt>
                <c:pt idx="5">
                  <c:v>74.2999999999997</c:v>
                </c:pt>
                <c:pt idx="6">
                  <c:v>82.8000000000002</c:v>
                </c:pt>
                <c:pt idx="7">
                  <c:v>76.4000000000001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6507017"/>
        <c:axId val="40003705"/>
      </c:barChart>
      <c:catAx>
        <c:axId val="66507017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003705"/>
        <c:crosses val="autoZero"/>
        <c:auto val="1"/>
        <c:lblAlgn val="ctr"/>
        <c:lblOffset val="100"/>
        <c:noMultiLvlLbl val="0"/>
      </c:catAx>
      <c:valAx>
        <c:axId val="40003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507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916487032997833"/>
          <c:y val="0.01829440811424"/>
          <c:w val="0.0765314323776344"/>
          <c:h val="0.9478072410066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2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51672503320855"/>
          <c:y val="0.0445617935890309"/>
          <c:w val="0.546431590387634"/>
          <c:h val="0.879377431906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General</c:formatCode>
                <c:ptCount val="2"/>
                <c:pt idx="0">
                  <c:v>349.400000000001</c:v>
                </c:pt>
                <c:pt idx="1">
                  <c:v>300.6</c:v>
                </c:pt>
              </c:numCache>
            </c:numRef>
          </c:val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General</c:formatCode>
                <c:ptCount val="2"/>
                <c:pt idx="0">
                  <c:v>324.099999999999</c:v>
                </c:pt>
                <c:pt idx="1">
                  <c:v>264.2</c:v>
                </c:pt>
              </c:numCache>
            </c:numRef>
          </c:val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General</c:formatCode>
                <c:ptCount val="2"/>
                <c:pt idx="0">
                  <c:v>345.200000000001</c:v>
                </c:pt>
                <c:pt idx="1">
                  <c:v>283.7</c:v>
                </c:pt>
              </c:numCache>
            </c:numRef>
          </c:val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General</c:formatCode>
                <c:ptCount val="2"/>
                <c:pt idx="0">
                  <c:v>357.399999999998</c:v>
                </c:pt>
                <c:pt idx="1">
                  <c:v>286.6</c:v>
                </c:pt>
              </c:numCache>
            </c:numRef>
          </c:val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General</c:formatCode>
                <c:ptCount val="2"/>
                <c:pt idx="0">
                  <c:v>356.5</c:v>
                </c:pt>
                <c:pt idx="1">
                  <c:v>262.2</c:v>
                </c:pt>
              </c:numCache>
            </c:numRef>
          </c:val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General</c:formatCode>
                <c:ptCount val="2"/>
                <c:pt idx="0">
                  <c:v>319.300000000003</c:v>
                </c:pt>
                <c:pt idx="1">
                  <c:v>255.2</c:v>
                </c:pt>
              </c:numCache>
            </c:numRef>
          </c:val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General</c:formatCode>
                <c:ptCount val="2"/>
                <c:pt idx="0">
                  <c:v>316.099999999999</c:v>
                </c:pt>
                <c:pt idx="1">
                  <c:v>241.4</c:v>
                </c:pt>
              </c:numCache>
            </c:numRef>
          </c:val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General</c:formatCode>
                <c:ptCount val="2"/>
                <c:pt idx="0">
                  <c:v>307.400000000001</c:v>
                </c:pt>
                <c:pt idx="1">
                  <c:v>256.400000000001</c:v>
                </c:pt>
              </c:numCache>
            </c:numRef>
          </c:val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General</c:formatCode>
                <c:ptCount val="2"/>
                <c:pt idx="0">
                  <c:v>303.699999999997</c:v>
                </c:pt>
                <c:pt idx="1">
                  <c:v>253.7</c:v>
                </c:pt>
              </c:numCache>
            </c:numRef>
          </c:val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General</c:formatCode>
                <c:ptCount val="2"/>
                <c:pt idx="0">
                  <c:v>344.900000000001</c:v>
                </c:pt>
                <c:pt idx="1">
                  <c:v>281.8</c:v>
                </c:pt>
              </c:numCache>
            </c:numRef>
          </c:val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spPr>
            <a:solidFill>
              <a:srgbClr val="92c3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General</c:formatCode>
                <c:ptCount val="2"/>
                <c:pt idx="0">
                  <c:v>314.599999999999</c:v>
                </c:pt>
                <c:pt idx="1">
                  <c:v>268.8</c:v>
                </c:pt>
              </c:numCache>
            </c:numRef>
          </c:val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spPr>
            <a:solidFill>
              <a:srgbClr val="f8b5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General</c:formatCode>
                <c:ptCount val="2"/>
                <c:pt idx="0">
                  <c:v>338.5</c:v>
                </c:pt>
                <c:pt idx="1">
                  <c:v>285</c:v>
                </c:pt>
              </c:numCache>
            </c:numRef>
          </c:val>
        </c:ser>
        <c:gapWidth val="150"/>
        <c:overlap val="0"/>
        <c:axId val="8723852"/>
        <c:axId val="76844369"/>
      </c:barChart>
      <c:catAx>
        <c:axId val="872385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44369"/>
        <c:crosses val="autoZero"/>
        <c:auto val="1"/>
        <c:lblAlgn val="ctr"/>
        <c:lblOffset val="100"/>
        <c:noMultiLvlLbl val="0"/>
      </c:catAx>
      <c:valAx>
        <c:axId val="76844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3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217440</xdr:colOff>
      <xdr:row>46</xdr:row>
      <xdr:rowOff>21240</xdr:rowOff>
    </xdr:from>
    <xdr:to>
      <xdr:col>9</xdr:col>
      <xdr:colOff>36360</xdr:colOff>
      <xdr:row>63</xdr:row>
      <xdr:rowOff>21600</xdr:rowOff>
    </xdr:to>
    <xdr:graphicFrame>
      <xdr:nvGraphicFramePr>
        <xdr:cNvPr id="0" name=""/>
        <xdr:cNvGraphicFramePr/>
      </xdr:nvGraphicFramePr>
      <xdr:xfrm>
        <a:off x="217440" y="8496720"/>
        <a:ext cx="733104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362880</xdr:colOff>
      <xdr:row>46</xdr:row>
      <xdr:rowOff>59040</xdr:rowOff>
    </xdr:from>
    <xdr:to>
      <xdr:col>17</xdr:col>
      <xdr:colOff>259920</xdr:colOff>
      <xdr:row>63</xdr:row>
      <xdr:rowOff>59400</xdr:rowOff>
    </xdr:to>
    <xdr:graphicFrame>
      <xdr:nvGraphicFramePr>
        <xdr:cNvPr id="1" name=""/>
        <xdr:cNvGraphicFramePr/>
      </xdr:nvGraphicFramePr>
      <xdr:xfrm>
        <a:off x="7875000" y="8534520"/>
        <a:ext cx="57582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200160</xdr:colOff>
      <xdr:row>35</xdr:row>
      <xdr:rowOff>38160</xdr:rowOff>
    </xdr:from>
    <xdr:to>
      <xdr:col>10</xdr:col>
      <xdr:colOff>561600</xdr:colOff>
      <xdr:row>52</xdr:row>
      <xdr:rowOff>37800</xdr:rowOff>
    </xdr:to>
    <xdr:graphicFrame>
      <xdr:nvGraphicFramePr>
        <xdr:cNvPr id="2" name="Chart 1"/>
        <xdr:cNvGraphicFramePr/>
      </xdr:nvGraphicFramePr>
      <xdr:xfrm>
        <a:off x="844560" y="6676920"/>
        <a:ext cx="52149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438120</xdr:colOff>
      <xdr:row>35</xdr:row>
      <xdr:rowOff>28440</xdr:rowOff>
    </xdr:from>
    <xdr:to>
      <xdr:col>22</xdr:col>
      <xdr:colOff>171000</xdr:colOff>
      <xdr:row>52</xdr:row>
      <xdr:rowOff>18720</xdr:rowOff>
    </xdr:to>
    <xdr:graphicFrame>
      <xdr:nvGraphicFramePr>
        <xdr:cNvPr id="4" name="Chart 2"/>
        <xdr:cNvGraphicFramePr/>
      </xdr:nvGraphicFramePr>
      <xdr:xfrm>
        <a:off x="6570360" y="6667200"/>
        <a:ext cx="516024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0.0728239110927038</cdr:x>
      <cdr:y>0.894286349488662</cdr:y>
    </cdr:from>
    <cdr:to>
      <cdr:x>0.0728929384965831</cdr:x>
      <cdr:y>0.894397510004446</cdr:y>
    </cdr:to>
    <cdr:sp>
      <cdr:nvSpPr>
        <cdr:cNvPr id="3" name="Text Box 1"/>
        <cdr:cNvSpPr/>
      </cdr:nvSpPr>
      <cdr:spPr>
        <a:xfrm>
          <a:off x="379800" y="2896200"/>
          <a:ext cx="360" cy="360"/>
        </a:xfrm>
        <a:prstGeom prst="rect">
          <a:avLst/>
        </a:prstGeom>
        <a:solidFill>
          <a:srgbClr val="ffffff"/>
        </a:solidFill>
        <a:ln w="1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200160</xdr:colOff>
      <xdr:row>35</xdr:row>
      <xdr:rowOff>9360</xdr:rowOff>
    </xdr:from>
    <xdr:to>
      <xdr:col>10</xdr:col>
      <xdr:colOff>561600</xdr:colOff>
      <xdr:row>51</xdr:row>
      <xdr:rowOff>190080</xdr:rowOff>
    </xdr:to>
    <xdr:graphicFrame>
      <xdr:nvGraphicFramePr>
        <xdr:cNvPr id="5" name="Chart 1"/>
        <xdr:cNvGraphicFramePr/>
      </xdr:nvGraphicFramePr>
      <xdr:xfrm>
        <a:off x="844560" y="6648120"/>
        <a:ext cx="521496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438120</xdr:colOff>
      <xdr:row>35</xdr:row>
      <xdr:rowOff>0</xdr:rowOff>
    </xdr:from>
    <xdr:to>
      <xdr:col>22</xdr:col>
      <xdr:colOff>171000</xdr:colOff>
      <xdr:row>51</xdr:row>
      <xdr:rowOff>180720</xdr:rowOff>
    </xdr:to>
    <xdr:graphicFrame>
      <xdr:nvGraphicFramePr>
        <xdr:cNvPr id="6" name="Chart 2"/>
        <xdr:cNvGraphicFramePr/>
      </xdr:nvGraphicFramePr>
      <xdr:xfrm>
        <a:off x="6570360" y="6638760"/>
        <a:ext cx="521028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200160</xdr:colOff>
      <xdr:row>35</xdr:row>
      <xdr:rowOff>38160</xdr:rowOff>
    </xdr:from>
    <xdr:to>
      <xdr:col>10</xdr:col>
      <xdr:colOff>561600</xdr:colOff>
      <xdr:row>52</xdr:row>
      <xdr:rowOff>37800</xdr:rowOff>
    </xdr:to>
    <xdr:graphicFrame>
      <xdr:nvGraphicFramePr>
        <xdr:cNvPr id="7" name="Chart 1"/>
        <xdr:cNvGraphicFramePr/>
      </xdr:nvGraphicFramePr>
      <xdr:xfrm>
        <a:off x="844560" y="6676920"/>
        <a:ext cx="52149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438120</xdr:colOff>
      <xdr:row>35</xdr:row>
      <xdr:rowOff>28440</xdr:rowOff>
    </xdr:from>
    <xdr:to>
      <xdr:col>22</xdr:col>
      <xdr:colOff>171000</xdr:colOff>
      <xdr:row>52</xdr:row>
      <xdr:rowOff>18720</xdr:rowOff>
    </xdr:to>
    <xdr:graphicFrame>
      <xdr:nvGraphicFramePr>
        <xdr:cNvPr id="9" name="Chart 2"/>
        <xdr:cNvGraphicFramePr/>
      </xdr:nvGraphicFramePr>
      <xdr:xfrm>
        <a:off x="6570360" y="6667200"/>
        <a:ext cx="521028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0.0728239110927038</cdr:x>
      <cdr:y>0.894286349488662</cdr:y>
    </cdr:from>
    <cdr:to>
      <cdr:x>0.0728929384965831</cdr:x>
      <cdr:y>0.894397510004446</cdr:y>
    </cdr:to>
    <cdr:sp>
      <cdr:nvSpPr>
        <cdr:cNvPr id="8" name="Text Box 1"/>
        <cdr:cNvSpPr/>
      </cdr:nvSpPr>
      <cdr:spPr>
        <a:xfrm>
          <a:off x="379800" y="2896200"/>
          <a:ext cx="360" cy="360"/>
        </a:xfrm>
        <a:prstGeom prst="rect">
          <a:avLst/>
        </a:prstGeom>
        <a:solidFill>
          <a:srgbClr val="ffffff"/>
        </a:solidFill>
        <a:ln w="1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56880</xdr:colOff>
      <xdr:row>14</xdr:row>
      <xdr:rowOff>133200</xdr:rowOff>
    </xdr:from>
    <xdr:to>
      <xdr:col>3</xdr:col>
      <xdr:colOff>828360</xdr:colOff>
      <xdr:row>14</xdr:row>
      <xdr:rowOff>134640</xdr:rowOff>
    </xdr:to>
    <xdr:cxnSp>
      <xdr:nvCxnSpPr>
        <xdr:cNvPr id="10" name="Přímá spojovací šipka 2"/>
        <xdr:cNvCxnSpPr/>
      </xdr:nvCxnSpPr>
      <xdr:spPr>
        <a:xfrm>
          <a:off x="4467600" y="3342960"/>
          <a:ext cx="771840" cy="1800"/>
        </a:xfrm>
        <a:prstGeom prst="straightConnector1">
          <a:avLst/>
        </a:prstGeom>
        <a:ln w="25400">
          <a:solidFill>
            <a:srgbClr val="000000"/>
          </a:solidFill>
          <a:round/>
          <a:tailEnd len="med" type="arrow" w="med"/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27</xdr:row>
      <xdr:rowOff>114480</xdr:rowOff>
    </xdr:from>
    <xdr:to>
      <xdr:col>14</xdr:col>
      <xdr:colOff>18720</xdr:colOff>
      <xdr:row>41</xdr:row>
      <xdr:rowOff>37800</xdr:rowOff>
    </xdr:to>
    <xdr:graphicFrame>
      <xdr:nvGraphicFramePr>
        <xdr:cNvPr id="11" name="Graf 1"/>
        <xdr:cNvGraphicFramePr/>
      </xdr:nvGraphicFramePr>
      <xdr:xfrm>
        <a:off x="76320" y="2295720"/>
        <a:ext cx="8348040" cy="259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14</xdr:row>
      <xdr:rowOff>95400</xdr:rowOff>
    </xdr:from>
    <xdr:to>
      <xdr:col>15</xdr:col>
      <xdr:colOff>18720</xdr:colOff>
      <xdr:row>26</xdr:row>
      <xdr:rowOff>56880</xdr:rowOff>
    </xdr:to>
    <xdr:graphicFrame>
      <xdr:nvGraphicFramePr>
        <xdr:cNvPr id="12" name="Graf 1"/>
        <xdr:cNvGraphicFramePr/>
      </xdr:nvGraphicFramePr>
      <xdr:xfrm>
        <a:off x="76320" y="2372040"/>
        <a:ext cx="9150480" cy="224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228600</xdr:colOff>
      <xdr:row>3</xdr:row>
      <xdr:rowOff>104760</xdr:rowOff>
    </xdr:from>
    <xdr:to>
      <xdr:col>20</xdr:col>
      <xdr:colOff>151920</xdr:colOff>
      <xdr:row>25</xdr:row>
      <xdr:rowOff>9000</xdr:rowOff>
    </xdr:to>
    <xdr:graphicFrame>
      <xdr:nvGraphicFramePr>
        <xdr:cNvPr id="13" name="Graf 2"/>
        <xdr:cNvGraphicFramePr/>
      </xdr:nvGraphicFramePr>
      <xdr:xfrm>
        <a:off x="9436680" y="495360"/>
        <a:ext cx="2980800" cy="388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4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5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Q43" activeCellId="0" sqref="Q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0" width="26.15"/>
    <col collapsed="false" customWidth="true" hidden="false" outlineLevel="0" max="3" min="3" style="0" width="11"/>
    <col collapsed="false" customWidth="true" hidden="false" outlineLevel="0" max="15" min="4" style="0" width="10.14"/>
    <col collapsed="false" customWidth="true" hidden="false" outlineLevel="0" max="16" min="16" style="0" width="12.29"/>
    <col collapsed="false" customWidth="true" hidden="false" outlineLevel="0" max="17" min="17" style="0" width="10"/>
    <col collapsed="false" customWidth="true" hidden="false" outlineLevel="0" max="18" min="18" style="0" width="9.42"/>
    <col collapsed="false" customWidth="true" hidden="false" outlineLevel="0" max="19" min="19" style="0" width="3.29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1850</v>
      </c>
      <c r="B2" s="3"/>
      <c r="C2" s="4" t="n">
        <v>44562</v>
      </c>
      <c r="D2" s="5" t="n">
        <v>44593</v>
      </c>
      <c r="E2" s="5" t="n">
        <v>44622</v>
      </c>
      <c r="F2" s="5" t="n">
        <v>44652</v>
      </c>
      <c r="G2" s="5" t="n">
        <v>44683</v>
      </c>
      <c r="H2" s="5" t="n">
        <v>44713</v>
      </c>
      <c r="I2" s="5" t="n">
        <v>44743</v>
      </c>
      <c r="J2" s="5" t="n">
        <v>44774</v>
      </c>
      <c r="K2" s="5" t="n">
        <v>44805</v>
      </c>
      <c r="L2" s="5" t="n">
        <v>44834</v>
      </c>
      <c r="M2" s="5" t="n">
        <v>44866</v>
      </c>
      <c r="N2" s="5" t="n">
        <v>44896</v>
      </c>
      <c r="O2" s="5" t="n">
        <v>44927</v>
      </c>
      <c r="P2" s="6" t="s">
        <v>0</v>
      </c>
      <c r="Q2" s="6" t="s">
        <v>1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19</v>
      </c>
      <c r="C4" s="16" t="n">
        <v>29.98</v>
      </c>
      <c r="D4" s="16" t="n">
        <v>30.566</v>
      </c>
      <c r="E4" s="16" t="n">
        <v>31.354</v>
      </c>
      <c r="F4" s="16" t="n">
        <v>32.377</v>
      </c>
      <c r="G4" s="16" t="n">
        <v>33.192</v>
      </c>
      <c r="H4" s="16" t="n">
        <v>33.391</v>
      </c>
      <c r="I4" s="16" t="n">
        <v>34.526</v>
      </c>
      <c r="J4" s="16" t="n">
        <v>35.627</v>
      </c>
      <c r="K4" s="16" t="n">
        <v>36.484</v>
      </c>
      <c r="L4" s="17" t="n">
        <v>37.126</v>
      </c>
      <c r="M4" s="16" t="n">
        <v>37.937</v>
      </c>
      <c r="N4" s="16" t="n">
        <v>38.634</v>
      </c>
      <c r="O4" s="16" t="n">
        <v>39.227</v>
      </c>
      <c r="P4" s="18" t="n">
        <f aca="false">O4-C4</f>
        <v>9.247</v>
      </c>
      <c r="T4" s="6" t="n">
        <v>1</v>
      </c>
      <c r="U4" s="19" t="n">
        <f aca="false">D4-C4</f>
        <v>0.585999999999999</v>
      </c>
      <c r="V4" s="19" t="n">
        <f aca="false">E4-D4</f>
        <v>0.788</v>
      </c>
      <c r="W4" s="19" t="n">
        <f aca="false">F4-E4</f>
        <v>1.023</v>
      </c>
      <c r="X4" s="19" t="n">
        <f aca="false">G4-F4</f>
        <v>0.814999999999998</v>
      </c>
      <c r="Y4" s="19" t="n">
        <f aca="false">H4-G4</f>
        <v>0.198999999999998</v>
      </c>
      <c r="Z4" s="19" t="n">
        <f aca="false">I4-H4</f>
        <v>1.13500000000001</v>
      </c>
      <c r="AA4" s="19" t="n">
        <f aca="false">J4-I4</f>
        <v>1.101</v>
      </c>
      <c r="AB4" s="19" t="n">
        <f aca="false">K4-J4</f>
        <v>0.856999999999999</v>
      </c>
      <c r="AC4" s="19" t="n">
        <f aca="false">L4-K4</f>
        <v>0.641999999999996</v>
      </c>
      <c r="AD4" s="19" t="n">
        <f aca="false">M4-L4</f>
        <v>0.811</v>
      </c>
      <c r="AE4" s="19" t="n">
        <f aca="false">N4-M4</f>
        <v>0.697000000000003</v>
      </c>
      <c r="AF4" s="19" t="n">
        <f aca="false">O4-N4</f>
        <v>0.592999999999996</v>
      </c>
    </row>
    <row r="5" customFormat="false" ht="15" hidden="false" customHeight="false" outlineLevel="0" collapsed="false">
      <c r="A5" s="14"/>
      <c r="B5" s="20" t="s">
        <v>20</v>
      </c>
      <c r="C5" s="21" t="n">
        <v>4.385</v>
      </c>
      <c r="D5" s="21" t="n">
        <v>7.535</v>
      </c>
      <c r="E5" s="21" t="n">
        <v>10.846</v>
      </c>
      <c r="F5" s="21" t="n">
        <v>13.857</v>
      </c>
      <c r="G5" s="21" t="n">
        <v>15.401</v>
      </c>
      <c r="H5" s="21" t="n">
        <v>15.61</v>
      </c>
      <c r="I5" s="21" t="n">
        <v>15.827</v>
      </c>
      <c r="J5" s="21" t="n">
        <v>16.063</v>
      </c>
      <c r="K5" s="21" t="n">
        <v>16.269</v>
      </c>
      <c r="L5" s="22" t="n">
        <v>16.472</v>
      </c>
      <c r="M5" s="21" t="n">
        <v>16.72</v>
      </c>
      <c r="N5" s="21" t="n">
        <v>18.654</v>
      </c>
      <c r="O5" s="21" t="n">
        <v>22.65</v>
      </c>
      <c r="P5" s="18"/>
      <c r="Q5" s="18" t="n">
        <f aca="false">O5-C5</f>
        <v>18.265</v>
      </c>
      <c r="T5" s="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false" outlineLevel="0" collapsed="false">
      <c r="A6" s="24" t="n">
        <v>2</v>
      </c>
      <c r="B6" s="20" t="s">
        <v>21</v>
      </c>
      <c r="C6" s="21" t="n">
        <v>419.04</v>
      </c>
      <c r="D6" s="21" t="n">
        <v>432.829</v>
      </c>
      <c r="E6" s="21" t="n">
        <v>447.37</v>
      </c>
      <c r="F6" s="21" t="n">
        <v>462.529</v>
      </c>
      <c r="G6" s="21" t="n">
        <v>477.847</v>
      </c>
      <c r="H6" s="21" t="n">
        <v>492.391</v>
      </c>
      <c r="I6" s="21" t="n">
        <v>503.618</v>
      </c>
      <c r="J6" s="21" t="n">
        <v>511.411</v>
      </c>
      <c r="K6" s="21" t="n">
        <v>522.863</v>
      </c>
      <c r="L6" s="21" t="n">
        <v>534.27</v>
      </c>
      <c r="M6" s="21" t="n">
        <v>547.746</v>
      </c>
      <c r="N6" s="21" t="n">
        <v>562.797</v>
      </c>
      <c r="O6" s="21" t="n">
        <v>578.873</v>
      </c>
      <c r="P6" s="18" t="n">
        <f aca="false">O6-C6</f>
        <v>159.833</v>
      </c>
      <c r="R6" s="0" t="n">
        <f aca="false">P6*120</f>
        <v>19179.96</v>
      </c>
      <c r="T6" s="6" t="n">
        <v>2</v>
      </c>
      <c r="U6" s="25" t="n">
        <f aca="false">D6-C6</f>
        <v>13.789</v>
      </c>
      <c r="V6" s="25" t="n">
        <f aca="false">E6-D6</f>
        <v>14.541</v>
      </c>
      <c r="W6" s="25" t="n">
        <f aca="false">F6-E6</f>
        <v>15.159</v>
      </c>
      <c r="X6" s="25" t="n">
        <f aca="false">G6-F6</f>
        <v>15.318</v>
      </c>
      <c r="Y6" s="25" t="n">
        <f aca="false">H6-G6</f>
        <v>14.544</v>
      </c>
      <c r="Z6" s="25" t="n">
        <f aca="false">I6-H6</f>
        <v>11.227</v>
      </c>
      <c r="AA6" s="25" t="n">
        <f aca="false">J6-I6</f>
        <v>7.79300000000001</v>
      </c>
      <c r="AB6" s="25" t="n">
        <f aca="false">K6-J6</f>
        <v>11.4520000000001</v>
      </c>
      <c r="AC6" s="25" t="n">
        <f aca="false">L6-K6</f>
        <v>11.4069999999999</v>
      </c>
      <c r="AD6" s="25" t="n">
        <f aca="false">M6-L6</f>
        <v>13.476</v>
      </c>
      <c r="AE6" s="25" t="n">
        <f aca="false">N6-M6</f>
        <v>15.051</v>
      </c>
      <c r="AF6" s="25" t="n">
        <f aca="false">O6-N6</f>
        <v>16.076</v>
      </c>
    </row>
    <row r="7" customFormat="false" ht="15" hidden="false" customHeight="false" outlineLevel="0" collapsed="false">
      <c r="A7" s="24"/>
      <c r="B7" s="20" t="s">
        <v>22</v>
      </c>
      <c r="C7" s="21" t="n">
        <v>9.432</v>
      </c>
      <c r="D7" s="21" t="n">
        <v>14.973</v>
      </c>
      <c r="E7" s="21" t="n">
        <v>19.083</v>
      </c>
      <c r="F7" s="21" t="n">
        <v>23.377</v>
      </c>
      <c r="G7" s="21" t="n">
        <v>26.625</v>
      </c>
      <c r="H7" s="21" t="n">
        <v>27.468</v>
      </c>
      <c r="I7" s="21" t="n">
        <v>27.978</v>
      </c>
      <c r="J7" s="21" t="n">
        <v>28.269</v>
      </c>
      <c r="K7" s="21" t="n">
        <v>28.683</v>
      </c>
      <c r="L7" s="21" t="n">
        <v>29.225</v>
      </c>
      <c r="M7" s="21" t="n">
        <v>29.989</v>
      </c>
      <c r="N7" s="21" t="n">
        <v>32.323</v>
      </c>
      <c r="O7" s="21" t="n">
        <v>36.202</v>
      </c>
      <c r="P7" s="18"/>
      <c r="Q7" s="18" t="n">
        <f aca="false">O7-C7</f>
        <v>26.77</v>
      </c>
      <c r="R7" s="0" t="n">
        <f aca="false">Q7*1720</f>
        <v>46044.4</v>
      </c>
      <c r="T7" s="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customFormat="false" ht="15" hidden="false" customHeight="false" outlineLevel="0" collapsed="false">
      <c r="A8" s="24" t="n">
        <v>3</v>
      </c>
      <c r="B8" s="20" t="s">
        <v>23</v>
      </c>
      <c r="C8" s="21" t="n">
        <v>159.808</v>
      </c>
      <c r="D8" s="21" t="n">
        <v>165.652</v>
      </c>
      <c r="E8" s="21" t="n">
        <v>170.928</v>
      </c>
      <c r="F8" s="21" t="n">
        <v>176.257</v>
      </c>
      <c r="G8" s="21" t="n">
        <v>182.291</v>
      </c>
      <c r="H8" s="21" t="n">
        <v>188.251</v>
      </c>
      <c r="I8" s="21" t="n">
        <v>193.211</v>
      </c>
      <c r="J8" s="21" t="n">
        <v>198.745</v>
      </c>
      <c r="K8" s="21" t="n">
        <v>204.187</v>
      </c>
      <c r="L8" s="21" t="n">
        <v>210.099</v>
      </c>
      <c r="M8" s="21" t="n">
        <v>216.283</v>
      </c>
      <c r="N8" s="21" t="n">
        <v>222.231</v>
      </c>
      <c r="O8" s="21" t="n">
        <v>228.181</v>
      </c>
      <c r="P8" s="18" t="n">
        <f aca="false">O8-C8</f>
        <v>68.373</v>
      </c>
      <c r="R8" s="0" t="n">
        <f aca="false">R7+R6</f>
        <v>65224.36</v>
      </c>
      <c r="T8" s="6" t="n">
        <v>3</v>
      </c>
      <c r="U8" s="25" t="n">
        <f aca="false">D8-C8</f>
        <v>5.84399999999999</v>
      </c>
      <c r="V8" s="25" t="n">
        <f aca="false">E8-D8</f>
        <v>5.27600000000001</v>
      </c>
      <c r="W8" s="25" t="n">
        <f aca="false">F8-E8</f>
        <v>5.32900000000001</v>
      </c>
      <c r="X8" s="25" t="n">
        <f aca="false">G8-F8</f>
        <v>6.03399999999999</v>
      </c>
      <c r="Y8" s="25" t="n">
        <f aca="false">H8-G8</f>
        <v>5.96000000000001</v>
      </c>
      <c r="Z8" s="25" t="n">
        <f aca="false">I8-H8</f>
        <v>4.96000000000001</v>
      </c>
      <c r="AA8" s="25" t="n">
        <f aca="false">J8-I8</f>
        <v>5.53399999999999</v>
      </c>
      <c r="AB8" s="25" t="n">
        <f aca="false">K8-J8</f>
        <v>5.44200000000001</v>
      </c>
      <c r="AC8" s="25" t="n">
        <f aca="false">L8-K8</f>
        <v>5.91199999999998</v>
      </c>
      <c r="AD8" s="25" t="n">
        <f aca="false">M8-L8</f>
        <v>6.184</v>
      </c>
      <c r="AE8" s="25" t="n">
        <f aca="false">N8-M8</f>
        <v>5.94800000000001</v>
      </c>
      <c r="AF8" s="25" t="n">
        <f aca="false">O8-N8</f>
        <v>5.95000000000002</v>
      </c>
    </row>
    <row r="9" customFormat="false" ht="15" hidden="false" customHeight="false" outlineLevel="0" collapsed="false">
      <c r="A9" s="24"/>
      <c r="B9" s="20" t="s">
        <v>24</v>
      </c>
      <c r="C9" s="21" t="n">
        <v>5.553</v>
      </c>
      <c r="D9" s="21" t="n">
        <v>9.326</v>
      </c>
      <c r="E9" s="21" t="n">
        <v>11.679</v>
      </c>
      <c r="F9" s="21" t="n">
        <v>13.423</v>
      </c>
      <c r="G9" s="21" t="n">
        <v>15.288</v>
      </c>
      <c r="H9" s="21" t="n">
        <v>15.797</v>
      </c>
      <c r="I9" s="21" t="n">
        <v>16.188</v>
      </c>
      <c r="J9" s="21" t="n">
        <v>16.569</v>
      </c>
      <c r="K9" s="21" t="n">
        <v>16.919</v>
      </c>
      <c r="L9" s="21" t="n">
        <v>17.363</v>
      </c>
      <c r="M9" s="21" t="n">
        <v>18.452</v>
      </c>
      <c r="N9" s="21" t="n">
        <v>21.255</v>
      </c>
      <c r="O9" s="21" t="n">
        <v>24.945</v>
      </c>
      <c r="P9" s="18"/>
      <c r="Q9" s="18" t="n">
        <f aca="false">O9-C9</f>
        <v>19.392</v>
      </c>
      <c r="T9" s="6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customFormat="false" ht="15" hidden="false" customHeight="false" outlineLevel="0" collapsed="false">
      <c r="A10" s="24" t="n">
        <v>4</v>
      </c>
      <c r="B10" s="20" t="s">
        <v>25</v>
      </c>
      <c r="C10" s="21" t="n">
        <v>227.481</v>
      </c>
      <c r="D10" s="21" t="n">
        <v>238.851</v>
      </c>
      <c r="E10" s="21" t="n">
        <v>249.246</v>
      </c>
      <c r="F10" s="21" t="n">
        <v>260.35</v>
      </c>
      <c r="G10" s="21" t="n">
        <v>272.403</v>
      </c>
      <c r="H10" s="21" t="n">
        <v>281.797</v>
      </c>
      <c r="I10" s="21" t="n">
        <v>290.922</v>
      </c>
      <c r="J10" s="21" t="n">
        <v>298.762</v>
      </c>
      <c r="K10" s="21" t="n">
        <v>307.852</v>
      </c>
      <c r="L10" s="21" t="n">
        <v>316.389</v>
      </c>
      <c r="M10" s="21" t="n">
        <v>326.558</v>
      </c>
      <c r="N10" s="21" t="n">
        <v>336.366</v>
      </c>
      <c r="O10" s="21" t="n">
        <v>346.182</v>
      </c>
      <c r="P10" s="18" t="n">
        <f aca="false">O10-C10</f>
        <v>118.701</v>
      </c>
      <c r="T10" s="6" t="n">
        <v>4</v>
      </c>
      <c r="U10" s="25" t="n">
        <f aca="false">D10-C10</f>
        <v>11.37</v>
      </c>
      <c r="V10" s="25" t="n">
        <f aca="false">E10-D10</f>
        <v>10.395</v>
      </c>
      <c r="W10" s="25" t="n">
        <f aca="false">F10-E10</f>
        <v>11.104</v>
      </c>
      <c r="X10" s="25" t="n">
        <f aca="false">G10-F10</f>
        <v>12.053</v>
      </c>
      <c r="Y10" s="25" t="n">
        <f aca="false">H10-G10</f>
        <v>9.39400000000001</v>
      </c>
      <c r="Z10" s="25" t="n">
        <f aca="false">I10-H10</f>
        <v>9.125</v>
      </c>
      <c r="AA10" s="25" t="n">
        <f aca="false">J10-I10</f>
        <v>7.83999999999998</v>
      </c>
      <c r="AB10" s="25" t="n">
        <f aca="false">K10-J10</f>
        <v>9.08999999999998</v>
      </c>
      <c r="AC10" s="25" t="n">
        <f aca="false">L10-K10</f>
        <v>8.53700000000004</v>
      </c>
      <c r="AD10" s="25" t="n">
        <f aca="false">M10-L10</f>
        <v>10.169</v>
      </c>
      <c r="AE10" s="25" t="n">
        <f aca="false">N10-M10</f>
        <v>9.80799999999999</v>
      </c>
      <c r="AF10" s="25" t="n">
        <f aca="false">O10-N10</f>
        <v>9.81600000000003</v>
      </c>
    </row>
    <row r="11" customFormat="false" ht="15" hidden="false" customHeight="false" outlineLevel="0" collapsed="false">
      <c r="A11" s="24"/>
      <c r="B11" s="20" t="s">
        <v>26</v>
      </c>
      <c r="C11" s="21" t="n">
        <v>4.205</v>
      </c>
      <c r="D11" s="21" t="n">
        <v>6.299</v>
      </c>
      <c r="E11" s="21" t="n">
        <v>7.811</v>
      </c>
      <c r="F11" s="21" t="n">
        <v>9.178</v>
      </c>
      <c r="G11" s="21" t="n">
        <v>10.429</v>
      </c>
      <c r="H11" s="21" t="n">
        <v>11.262</v>
      </c>
      <c r="I11" s="21" t="n">
        <v>11.962</v>
      </c>
      <c r="J11" s="21" t="n">
        <v>12.509</v>
      </c>
      <c r="K11" s="21" t="n">
        <v>13.133</v>
      </c>
      <c r="L11" s="21" t="n">
        <v>13.825</v>
      </c>
      <c r="M11" s="21" t="n">
        <v>14.796</v>
      </c>
      <c r="N11" s="21" t="n">
        <v>16.476</v>
      </c>
      <c r="O11" s="21" t="n">
        <v>18.402</v>
      </c>
      <c r="P11" s="18"/>
      <c r="Q11" s="18" t="n">
        <f aca="false">O11-C11</f>
        <v>14.197</v>
      </c>
      <c r="T11" s="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customFormat="false" ht="15" hidden="false" customHeight="false" outlineLevel="0" collapsed="false">
      <c r="A12" s="24" t="n">
        <v>5</v>
      </c>
      <c r="B12" s="20" t="s">
        <v>27</v>
      </c>
      <c r="C12" s="21" t="n">
        <v>170.846</v>
      </c>
      <c r="D12" s="21" t="n">
        <v>178.037</v>
      </c>
      <c r="E12" s="21" t="n">
        <v>185.448</v>
      </c>
      <c r="F12" s="21" t="n">
        <v>192.596</v>
      </c>
      <c r="G12" s="21" t="n">
        <v>200.595</v>
      </c>
      <c r="H12" s="21" t="n">
        <v>210.914</v>
      </c>
      <c r="I12" s="21" t="n">
        <v>220.496</v>
      </c>
      <c r="J12" s="21" t="n">
        <v>228.036</v>
      </c>
      <c r="K12" s="21" t="n">
        <v>237.156</v>
      </c>
      <c r="L12" s="21" t="n">
        <v>242.343</v>
      </c>
      <c r="M12" s="21" t="n">
        <v>249.471</v>
      </c>
      <c r="N12" s="21" t="n">
        <v>257.172</v>
      </c>
      <c r="O12" s="21" t="n">
        <v>262.861</v>
      </c>
      <c r="P12" s="18" t="n">
        <f aca="false">O12-C12</f>
        <v>92.015</v>
      </c>
      <c r="T12" s="6" t="n">
        <v>5</v>
      </c>
      <c r="U12" s="25" t="n">
        <f aca="false">D12-C12</f>
        <v>7.191</v>
      </c>
      <c r="V12" s="25" t="n">
        <f aca="false">E12-D12</f>
        <v>7.411</v>
      </c>
      <c r="W12" s="25" t="n">
        <f aca="false">F12-E12</f>
        <v>7.148</v>
      </c>
      <c r="X12" s="25" t="n">
        <f aca="false">G12-F12</f>
        <v>7.999</v>
      </c>
      <c r="Y12" s="25" t="n">
        <f aca="false">H12-G12</f>
        <v>10.319</v>
      </c>
      <c r="Z12" s="25" t="n">
        <f aca="false">I12-H12</f>
        <v>9.58200000000002</v>
      </c>
      <c r="AA12" s="25" t="n">
        <f aca="false">J12-I12</f>
        <v>7.53999999999999</v>
      </c>
      <c r="AB12" s="25" t="n">
        <f aca="false">K12-J12</f>
        <v>9.12000000000001</v>
      </c>
      <c r="AC12" s="25" t="n">
        <f aca="false">L12-K12</f>
        <v>5.18699999999998</v>
      </c>
      <c r="AD12" s="25" t="n">
        <f aca="false">M12-L12</f>
        <v>7.12800000000001</v>
      </c>
      <c r="AE12" s="25" t="n">
        <f aca="false">N12-M12</f>
        <v>7.70100000000002</v>
      </c>
      <c r="AF12" s="25" t="n">
        <f aca="false">O12-N12</f>
        <v>5.68899999999996</v>
      </c>
    </row>
    <row r="13" customFormat="false" ht="15" hidden="false" customHeight="false" outlineLevel="0" collapsed="false">
      <c r="A13" s="24"/>
      <c r="B13" s="20" t="s">
        <v>28</v>
      </c>
      <c r="C13" s="21" t="n">
        <v>5.129</v>
      </c>
      <c r="D13" s="21" t="n">
        <v>7.488</v>
      </c>
      <c r="E13" s="21" t="n">
        <v>9.425</v>
      </c>
      <c r="F13" s="21" t="n">
        <v>11.01</v>
      </c>
      <c r="G13" s="21" t="n">
        <v>12.231</v>
      </c>
      <c r="H13" s="21" t="n">
        <v>12.844</v>
      </c>
      <c r="I13" s="21" t="n">
        <v>13.366</v>
      </c>
      <c r="J13" s="21" t="n">
        <v>13.812</v>
      </c>
      <c r="K13" s="21" t="n">
        <v>14.198</v>
      </c>
      <c r="L13" s="21" t="n">
        <v>14.64</v>
      </c>
      <c r="M13" s="21" t="n">
        <v>15.298</v>
      </c>
      <c r="N13" s="21" t="n">
        <v>17.753</v>
      </c>
      <c r="O13" s="21" t="n">
        <v>20.438</v>
      </c>
      <c r="P13" s="18"/>
      <c r="Q13" s="18" t="n">
        <f aca="false">O13-C13</f>
        <v>15.309</v>
      </c>
      <c r="T13" s="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customFormat="false" ht="15" hidden="false" customHeight="false" outlineLevel="0" collapsed="false">
      <c r="A14" s="24" t="n">
        <v>6</v>
      </c>
      <c r="B14" s="20" t="s">
        <v>29</v>
      </c>
      <c r="C14" s="21" t="n">
        <v>196.918</v>
      </c>
      <c r="D14" s="21" t="n">
        <v>208.418</v>
      </c>
      <c r="E14" s="21" t="n">
        <v>218.461</v>
      </c>
      <c r="F14" s="21" t="n">
        <v>231.365</v>
      </c>
      <c r="G14" s="21" t="n">
        <v>243.044</v>
      </c>
      <c r="H14" s="21" t="n">
        <v>253.485</v>
      </c>
      <c r="I14" s="21" t="n">
        <v>261.521</v>
      </c>
      <c r="J14" s="21" t="n">
        <v>268.178</v>
      </c>
      <c r="K14" s="21" t="n">
        <v>273.236</v>
      </c>
      <c r="L14" s="21" t="n">
        <v>281.276</v>
      </c>
      <c r="M14" s="21" t="n">
        <v>290.012</v>
      </c>
      <c r="N14" s="21" t="n">
        <v>296.348</v>
      </c>
      <c r="O14" s="21" t="n">
        <v>304.032</v>
      </c>
      <c r="P14" s="18" t="n">
        <f aca="false">O14-C14</f>
        <v>107.114</v>
      </c>
      <c r="T14" s="6" t="n">
        <v>6</v>
      </c>
      <c r="U14" s="25" t="n">
        <f aca="false">D14-C14</f>
        <v>11.5</v>
      </c>
      <c r="V14" s="25" t="n">
        <f aca="false">E14-D14</f>
        <v>10.043</v>
      </c>
      <c r="W14" s="25" t="n">
        <f aca="false">F14-E14</f>
        <v>12.904</v>
      </c>
      <c r="X14" s="25" t="n">
        <f aca="false">G14-F14</f>
        <v>11.679</v>
      </c>
      <c r="Y14" s="25" t="n">
        <f aca="false">H14-G14</f>
        <v>10.441</v>
      </c>
      <c r="Z14" s="25" t="n">
        <f aca="false">I14-H14</f>
        <v>8.036</v>
      </c>
      <c r="AA14" s="25" t="n">
        <f aca="false">J14-I14</f>
        <v>6.65699999999998</v>
      </c>
      <c r="AB14" s="25" t="n">
        <f aca="false">K14-J14</f>
        <v>5.05799999999999</v>
      </c>
      <c r="AC14" s="25" t="n">
        <f aca="false">L14-K14</f>
        <v>8.04000000000002</v>
      </c>
      <c r="AD14" s="25" t="n">
        <f aca="false">M14-L14</f>
        <v>8.73599999999999</v>
      </c>
      <c r="AE14" s="25" t="n">
        <f aca="false">N14-M14</f>
        <v>6.33600000000001</v>
      </c>
      <c r="AF14" s="25" t="n">
        <f aca="false">O14-N14</f>
        <v>7.68399999999997</v>
      </c>
    </row>
    <row r="15" customFormat="false" ht="15" hidden="false" customHeight="false" outlineLevel="0" collapsed="false">
      <c r="A15" s="24"/>
      <c r="B15" s="20" t="s">
        <v>30</v>
      </c>
      <c r="C15" s="21" t="n">
        <v>9.852</v>
      </c>
      <c r="D15" s="21" t="n">
        <v>16.478</v>
      </c>
      <c r="E15" s="21" t="n">
        <v>20.712</v>
      </c>
      <c r="F15" s="21" t="n">
        <v>23.067</v>
      </c>
      <c r="G15" s="21" t="n">
        <v>24.956</v>
      </c>
      <c r="H15" s="21" t="n">
        <v>25.886</v>
      </c>
      <c r="I15" s="21" t="n">
        <v>26.461</v>
      </c>
      <c r="J15" s="21" t="n">
        <v>26.995</v>
      </c>
      <c r="K15" s="21" t="n">
        <v>27.409</v>
      </c>
      <c r="L15" s="21" t="n">
        <v>27.975</v>
      </c>
      <c r="M15" s="21" t="n">
        <v>28.691</v>
      </c>
      <c r="N15" s="21" t="n">
        <v>30.949</v>
      </c>
      <c r="O15" s="21" t="n">
        <v>36.339</v>
      </c>
      <c r="P15" s="18"/>
      <c r="Q15" s="18" t="n">
        <f aca="false">O15-C15</f>
        <v>26.487</v>
      </c>
      <c r="T15" s="6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customFormat="false" ht="15" hidden="false" customHeight="false" outlineLevel="0" collapsed="false">
      <c r="A16" s="24" t="n">
        <v>7</v>
      </c>
      <c r="B16" s="20" t="s">
        <v>31</v>
      </c>
      <c r="C16" s="21" t="n">
        <v>39.303</v>
      </c>
      <c r="D16" s="21" t="n">
        <v>40.51</v>
      </c>
      <c r="E16" s="21" t="n">
        <v>41.984</v>
      </c>
      <c r="F16" s="21" t="n">
        <v>43.545</v>
      </c>
      <c r="G16" s="21" t="n">
        <v>44.863</v>
      </c>
      <c r="H16" s="21" t="n">
        <v>46.056</v>
      </c>
      <c r="I16" s="21" t="n">
        <v>47.163</v>
      </c>
      <c r="J16" s="21" t="n">
        <v>48.036</v>
      </c>
      <c r="K16" s="21" t="n">
        <v>48.938</v>
      </c>
      <c r="L16" s="21" t="n">
        <v>49.754</v>
      </c>
      <c r="M16" s="21" t="n">
        <v>50.614</v>
      </c>
      <c r="N16" s="21" t="n">
        <v>51.478</v>
      </c>
      <c r="O16" s="21" t="n">
        <v>52.604</v>
      </c>
      <c r="P16" s="18" t="n">
        <f aca="false">O16-C16</f>
        <v>13.301</v>
      </c>
      <c r="T16" s="6" t="n">
        <v>7</v>
      </c>
      <c r="U16" s="25" t="n">
        <f aca="false">D16-C16</f>
        <v>1.207</v>
      </c>
      <c r="V16" s="25" t="n">
        <f aca="false">E16-D16</f>
        <v>1.474</v>
      </c>
      <c r="W16" s="25" t="n">
        <f aca="false">F16-E16</f>
        <v>1.561</v>
      </c>
      <c r="X16" s="25" t="n">
        <f aca="false">G16-F16</f>
        <v>1.318</v>
      </c>
      <c r="Y16" s="25" t="n">
        <f aca="false">H16-G16</f>
        <v>1.193</v>
      </c>
      <c r="Z16" s="25" t="n">
        <f aca="false">I16-H16</f>
        <v>1.107</v>
      </c>
      <c r="AA16" s="25" t="n">
        <f aca="false">J16-I16</f>
        <v>0.873000000000005</v>
      </c>
      <c r="AB16" s="25" t="n">
        <f aca="false">K16-J16</f>
        <v>0.902000000000001</v>
      </c>
      <c r="AC16" s="25" t="n">
        <f aca="false">L16-K16</f>
        <v>0.815999999999995</v>
      </c>
      <c r="AD16" s="25" t="n">
        <f aca="false">M16-L16</f>
        <v>0.859999999999999</v>
      </c>
      <c r="AE16" s="25" t="n">
        <f aca="false">N16-M16</f>
        <v>0.864000000000004</v>
      </c>
      <c r="AF16" s="25" t="n">
        <f aca="false">O16-N16</f>
        <v>1.126</v>
      </c>
    </row>
    <row r="17" customFormat="false" ht="15" hidden="false" customHeight="false" outlineLevel="0" collapsed="false">
      <c r="A17" s="24"/>
      <c r="B17" s="20" t="s">
        <v>32</v>
      </c>
      <c r="C17" s="21" t="n">
        <v>2.484</v>
      </c>
      <c r="D17" s="21" t="n">
        <v>4.169</v>
      </c>
      <c r="E17" s="21" t="n">
        <v>5.264</v>
      </c>
      <c r="F17" s="21" t="n">
        <v>5.717</v>
      </c>
      <c r="G17" s="21" t="n">
        <v>6.227</v>
      </c>
      <c r="H17" s="21" t="n">
        <v>6.368</v>
      </c>
      <c r="I17" s="21" t="n">
        <v>6.493</v>
      </c>
      <c r="J17" s="21" t="n">
        <v>6.578</v>
      </c>
      <c r="K17" s="21" t="n">
        <v>6.675</v>
      </c>
      <c r="L17" s="21" t="n">
        <v>6.753</v>
      </c>
      <c r="M17" s="21" t="n">
        <v>6.879</v>
      </c>
      <c r="N17" s="21" t="n">
        <v>7.626</v>
      </c>
      <c r="O17" s="21" t="n">
        <v>9.35</v>
      </c>
      <c r="P17" s="18"/>
      <c r="Q17" s="18" t="n">
        <f aca="false">O17-C17</f>
        <v>6.866</v>
      </c>
      <c r="T17" s="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customFormat="false" ht="15" hidden="false" customHeight="false" outlineLevel="0" collapsed="false">
      <c r="A18" s="24" t="n">
        <v>8</v>
      </c>
      <c r="B18" s="20" t="s">
        <v>33</v>
      </c>
      <c r="C18" s="21" t="n">
        <v>32.864</v>
      </c>
      <c r="D18" s="21" t="n">
        <v>36.446</v>
      </c>
      <c r="E18" s="21" t="n">
        <v>39.173</v>
      </c>
      <c r="F18" s="21" t="n">
        <v>42.819</v>
      </c>
      <c r="G18" s="21" t="n">
        <v>45.486</v>
      </c>
      <c r="H18" s="21" t="n">
        <v>47.349</v>
      </c>
      <c r="I18" s="21" t="n">
        <v>48.873</v>
      </c>
      <c r="J18" s="21" t="n">
        <v>50.936</v>
      </c>
      <c r="K18" s="21" t="n">
        <v>51.501</v>
      </c>
      <c r="L18" s="21" t="n">
        <v>53.732</v>
      </c>
      <c r="M18" s="21" t="n">
        <v>56.972</v>
      </c>
      <c r="N18" s="21" t="n">
        <v>57.637</v>
      </c>
      <c r="O18" s="21" t="n">
        <v>58.755</v>
      </c>
      <c r="P18" s="18" t="n">
        <f aca="false">O18-C18</f>
        <v>25.891</v>
      </c>
      <c r="T18" s="6" t="n">
        <v>8</v>
      </c>
      <c r="U18" s="26" t="n">
        <f aca="false">D18-C18</f>
        <v>3.582</v>
      </c>
      <c r="V18" s="26" t="n">
        <f aca="false">E18-D18</f>
        <v>2.727</v>
      </c>
      <c r="W18" s="26" t="n">
        <f aca="false">F18-E18</f>
        <v>3.646</v>
      </c>
      <c r="X18" s="26" t="n">
        <f aca="false">G18-F18</f>
        <v>2.66699999999999</v>
      </c>
      <c r="Y18" s="26" t="n">
        <f aca="false">H18-G18</f>
        <v>1.863</v>
      </c>
      <c r="Z18" s="26" t="n">
        <f aca="false">I18-H18</f>
        <v>1.524</v>
      </c>
      <c r="AA18" s="26" t="n">
        <f aca="false">J18-I18</f>
        <v>2.063</v>
      </c>
      <c r="AB18" s="26" t="n">
        <f aca="false">K18-J18</f>
        <v>0.564999999999998</v>
      </c>
      <c r="AC18" s="26" t="n">
        <f aca="false">L18-K18</f>
        <v>2.231</v>
      </c>
      <c r="AD18" s="26" t="n">
        <f aca="false">M18-L18</f>
        <v>3.24</v>
      </c>
      <c r="AE18" s="26" t="n">
        <f aca="false">N18-M18</f>
        <v>0.664999999999999</v>
      </c>
      <c r="AF18" s="26" t="n">
        <f aca="false">O18-N18</f>
        <v>1.118</v>
      </c>
    </row>
    <row r="19" customFormat="false" ht="15" hidden="false" customHeight="false" outlineLevel="0" collapsed="false">
      <c r="A19" s="24"/>
      <c r="B19" s="20" t="s">
        <v>34</v>
      </c>
      <c r="C19" s="21" t="n">
        <v>6.075</v>
      </c>
      <c r="D19" s="21" t="n">
        <v>10.405</v>
      </c>
      <c r="E19" s="21" t="n">
        <v>13.59</v>
      </c>
      <c r="F19" s="21" t="n">
        <v>16.141</v>
      </c>
      <c r="G19" s="21" t="n">
        <v>17.827</v>
      </c>
      <c r="H19" s="21" t="n">
        <v>18.058</v>
      </c>
      <c r="I19" s="21" t="n">
        <v>18.243</v>
      </c>
      <c r="J19" s="21" t="n">
        <v>18.456</v>
      </c>
      <c r="K19" s="21" t="n">
        <v>18.599</v>
      </c>
      <c r="L19" s="21" t="n">
        <v>19.311</v>
      </c>
      <c r="M19" s="21" t="n">
        <v>21.843</v>
      </c>
      <c r="N19" s="21" t="n">
        <v>24.805</v>
      </c>
      <c r="O19" s="21" t="n">
        <v>29.061</v>
      </c>
      <c r="P19" s="18"/>
      <c r="Q19" s="18" t="n">
        <f aca="false">O19-C19</f>
        <v>22.986</v>
      </c>
      <c r="T19" s="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customFormat="false" ht="15" hidden="false" customHeight="false" outlineLevel="0" collapsed="false">
      <c r="A20" s="24" t="n">
        <v>9</v>
      </c>
      <c r="B20" s="20" t="s">
        <v>35</v>
      </c>
      <c r="C20" s="21" t="n">
        <v>2.223</v>
      </c>
      <c r="D20" s="21" t="n">
        <v>2.255</v>
      </c>
      <c r="E20" s="21" t="n">
        <v>2.268</v>
      </c>
      <c r="F20" s="21" t="n">
        <v>2.286</v>
      </c>
      <c r="G20" s="21" t="n">
        <v>2.3</v>
      </c>
      <c r="H20" s="21" t="n">
        <v>2.321</v>
      </c>
      <c r="I20" s="21" t="n">
        <v>2.339</v>
      </c>
      <c r="J20" s="21" t="n">
        <v>2.363</v>
      </c>
      <c r="K20" s="21" t="n">
        <v>2.386</v>
      </c>
      <c r="L20" s="21" t="n">
        <v>2.407</v>
      </c>
      <c r="M20" s="21" t="n">
        <v>2.453</v>
      </c>
      <c r="N20" s="21" t="n">
        <v>2.468</v>
      </c>
      <c r="O20" s="21" t="n">
        <v>2.493</v>
      </c>
      <c r="P20" s="18" t="n">
        <f aca="false">O20-C20</f>
        <v>0.27</v>
      </c>
      <c r="T20" s="6" t="n">
        <v>9</v>
      </c>
      <c r="U20" s="25" t="n">
        <f aca="false">D20-C20</f>
        <v>0.032</v>
      </c>
      <c r="V20" s="25" t="n">
        <f aca="false">E20-D20</f>
        <v>0.0129999999999999</v>
      </c>
      <c r="W20" s="25" t="n">
        <f aca="false">F20-E20</f>
        <v>0.0180000000000002</v>
      </c>
      <c r="X20" s="25" t="n">
        <f aca="false">G20-F20</f>
        <v>0.0139999999999998</v>
      </c>
      <c r="Y20" s="25" t="n">
        <f aca="false">H20-G20</f>
        <v>0.0210000000000004</v>
      </c>
      <c r="Z20" s="25" t="n">
        <f aca="false">I20-H20</f>
        <v>0.0179999999999998</v>
      </c>
      <c r="AA20" s="25" t="n">
        <f aca="false">J20-I20</f>
        <v>0.024</v>
      </c>
      <c r="AB20" s="25" t="n">
        <f aca="false">K20-J20</f>
        <v>0.0230000000000001</v>
      </c>
      <c r="AC20" s="25" t="n">
        <f aca="false">L20-K20</f>
        <v>0.0209999999999999</v>
      </c>
      <c r="AD20" s="25" t="n">
        <f aca="false">M20-L20</f>
        <v>0.0459999999999998</v>
      </c>
      <c r="AE20" s="25" t="n">
        <f aca="false">N20-M20</f>
        <v>0.0150000000000001</v>
      </c>
      <c r="AF20" s="25" t="n">
        <f aca="false">O20-N20</f>
        <v>0.0249999999999999</v>
      </c>
    </row>
    <row r="21" customFormat="false" ht="15" hidden="false" customHeight="false" outlineLevel="0" collapsed="false">
      <c r="A21" s="24"/>
      <c r="B21" s="20" t="s">
        <v>36</v>
      </c>
      <c r="C21" s="21" t="n">
        <v>0.387</v>
      </c>
      <c r="D21" s="21" t="n">
        <v>0.563</v>
      </c>
      <c r="E21" s="21" t="n">
        <v>0.725</v>
      </c>
      <c r="F21" s="21" t="n">
        <v>0.897</v>
      </c>
      <c r="G21" s="21" t="n">
        <v>1.075</v>
      </c>
      <c r="H21" s="21" t="n">
        <v>1.233</v>
      </c>
      <c r="I21" s="21" t="n">
        <v>1.378</v>
      </c>
      <c r="J21" s="21" t="n">
        <v>1.535</v>
      </c>
      <c r="K21" s="21" t="n">
        <v>1.691</v>
      </c>
      <c r="L21" s="21" t="n">
        <v>1.858</v>
      </c>
      <c r="M21" s="21" t="n">
        <v>2.053</v>
      </c>
      <c r="N21" s="21" t="n">
        <v>2.22</v>
      </c>
      <c r="O21" s="21" t="n">
        <v>2.389</v>
      </c>
      <c r="P21" s="18"/>
      <c r="Q21" s="18" t="n">
        <f aca="false">O21-C21</f>
        <v>2.002</v>
      </c>
      <c r="T21" s="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customFormat="false" ht="15" hidden="false" customHeight="false" outlineLevel="0" collapsed="false">
      <c r="A22" s="24" t="n">
        <v>10</v>
      </c>
      <c r="B22" s="20" t="s">
        <v>37</v>
      </c>
      <c r="C22" s="21" t="n">
        <v>186.401</v>
      </c>
      <c r="D22" s="21" t="n">
        <v>194.649</v>
      </c>
      <c r="E22" s="21" t="n">
        <v>202.192</v>
      </c>
      <c r="F22" s="21" t="n">
        <v>209.862</v>
      </c>
      <c r="G22" s="21" t="n">
        <v>213.986</v>
      </c>
      <c r="H22" s="21" t="n">
        <v>220.99</v>
      </c>
      <c r="I22" s="21" t="n">
        <v>226.914</v>
      </c>
      <c r="J22" s="21" t="n">
        <v>232.67</v>
      </c>
      <c r="K22" s="21" t="n">
        <v>240.401</v>
      </c>
      <c r="L22" s="21" t="n">
        <v>247.057</v>
      </c>
      <c r="M22" s="21" t="n">
        <v>254.66</v>
      </c>
      <c r="N22" s="21" t="n">
        <v>261.563</v>
      </c>
      <c r="O22" s="21" t="n">
        <v>268.31</v>
      </c>
      <c r="P22" s="18" t="n">
        <f aca="false">O22-C22</f>
        <v>81.909</v>
      </c>
      <c r="T22" s="6" t="n">
        <v>10</v>
      </c>
      <c r="U22" s="25" t="n">
        <f aca="false">D22-C22</f>
        <v>8.24799999999999</v>
      </c>
      <c r="V22" s="25" t="n">
        <f aca="false">E22-D22</f>
        <v>7.54300000000001</v>
      </c>
      <c r="W22" s="25" t="n">
        <f aca="false">F22-E22</f>
        <v>7.66999999999999</v>
      </c>
      <c r="X22" s="25" t="n">
        <f aca="false">G22-F22</f>
        <v>4.124</v>
      </c>
      <c r="Y22" s="25" t="n">
        <f aca="false">H22-G22</f>
        <v>7.00400000000002</v>
      </c>
      <c r="Z22" s="25" t="n">
        <f aca="false">I22-H22</f>
        <v>5.92399999999998</v>
      </c>
      <c r="AA22" s="25" t="n">
        <f aca="false">J22-I22</f>
        <v>5.756</v>
      </c>
      <c r="AB22" s="25" t="n">
        <f aca="false">K22-J22</f>
        <v>7.73100000000002</v>
      </c>
      <c r="AC22" s="25" t="n">
        <f aca="false">L22-K22</f>
        <v>6.65599999999998</v>
      </c>
      <c r="AD22" s="25" t="n">
        <f aca="false">M22-L22</f>
        <v>7.60300000000001</v>
      </c>
      <c r="AE22" s="25" t="n">
        <f aca="false">N22-M22</f>
        <v>6.90299999999999</v>
      </c>
      <c r="AF22" s="25" t="n">
        <f aca="false">O22-N22</f>
        <v>6.74700000000001</v>
      </c>
    </row>
    <row r="23" customFormat="false" ht="15" hidden="false" customHeight="false" outlineLevel="0" collapsed="false">
      <c r="A23" s="24"/>
      <c r="B23" s="20" t="s">
        <v>38</v>
      </c>
      <c r="C23" s="21" t="n">
        <v>7.061</v>
      </c>
      <c r="D23" s="21" t="n">
        <v>10.775</v>
      </c>
      <c r="E23" s="21" t="n">
        <v>13.738</v>
      </c>
      <c r="F23" s="21" t="n">
        <v>15.848</v>
      </c>
      <c r="G23" s="21" t="n">
        <v>17.241</v>
      </c>
      <c r="H23" s="21" t="n">
        <v>17.665</v>
      </c>
      <c r="I23" s="21" t="n">
        <v>17.972</v>
      </c>
      <c r="J23" s="21" t="n">
        <v>18.265</v>
      </c>
      <c r="K23" s="21" t="n">
        <v>18.583</v>
      </c>
      <c r="L23" s="21" t="n">
        <v>18.947</v>
      </c>
      <c r="M23" s="21" t="n">
        <v>19.443</v>
      </c>
      <c r="N23" s="21" t="n">
        <v>22.411</v>
      </c>
      <c r="O23" s="21" t="n">
        <v>26.403</v>
      </c>
      <c r="P23" s="27"/>
      <c r="Q23" s="28" t="n">
        <f aca="false">O23-C23</f>
        <v>19.342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customFormat="false" ht="15" hidden="false" customHeight="false" outlineLevel="0" collapsed="false">
      <c r="A24" s="29"/>
      <c r="B24" s="2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8" t="n">
        <f aca="false">SUM(P4:P23)</f>
        <v>676.654</v>
      </c>
      <c r="Q24" s="18" t="n">
        <f aca="false">SUM(Q4:Q23)</f>
        <v>171.616</v>
      </c>
    </row>
    <row r="25" customFormat="false" ht="15" hidden="false" customHeight="false" outlineLevel="0" collapsed="false">
      <c r="A25" s="29" t="s">
        <v>39</v>
      </c>
      <c r="B25" s="31" t="s">
        <v>40</v>
      </c>
      <c r="C25" s="30" t="n">
        <v>76098</v>
      </c>
      <c r="D25" s="30" t="n">
        <v>76304</v>
      </c>
      <c r="E25" s="30" t="n">
        <v>145</v>
      </c>
      <c r="F25" s="32" t="n">
        <v>375</v>
      </c>
      <c r="G25" s="30" t="n">
        <v>594</v>
      </c>
      <c r="H25" s="30" t="n">
        <v>837</v>
      </c>
      <c r="I25" s="30" t="n">
        <v>1069</v>
      </c>
      <c r="J25" s="30" t="n">
        <v>1298</v>
      </c>
      <c r="K25" s="30" t="n">
        <v>1514</v>
      </c>
      <c r="L25" s="30" t="n">
        <v>1730</v>
      </c>
      <c r="M25" s="30" t="n">
        <v>1970</v>
      </c>
      <c r="N25" s="30" t="n">
        <v>2219</v>
      </c>
      <c r="O25" s="30" t="n">
        <v>2438</v>
      </c>
      <c r="P25" s="18"/>
      <c r="R25" s="33" t="n">
        <f aca="false">O25+E34-C25</f>
        <v>2725</v>
      </c>
    </row>
    <row r="26" customFormat="false" ht="15" hidden="false" customHeight="false" outlineLevel="0" collapsed="false">
      <c r="A26" s="29"/>
      <c r="B26" s="34" t="s">
        <v>41</v>
      </c>
      <c r="C26" s="35" t="n">
        <v>1705.8</v>
      </c>
      <c r="D26" s="35" t="n">
        <v>1776.8</v>
      </c>
      <c r="E26" s="35" t="n">
        <v>1844.6</v>
      </c>
      <c r="F26" s="35" t="n">
        <v>1918.7</v>
      </c>
      <c r="G26" s="35" t="n">
        <v>1988.1</v>
      </c>
      <c r="H26" s="35" t="n">
        <v>2056.6</v>
      </c>
      <c r="I26" s="35" t="n">
        <v>2116</v>
      </c>
      <c r="J26" s="35" t="n">
        <v>2167.7</v>
      </c>
      <c r="K26" s="35" t="n">
        <v>2224.8</v>
      </c>
      <c r="L26" s="35" t="n">
        <v>2280.4</v>
      </c>
      <c r="M26" s="35" t="n">
        <v>2345.9</v>
      </c>
      <c r="N26" s="35" t="n">
        <v>2406.5</v>
      </c>
      <c r="O26" s="35" t="n">
        <v>2467.9</v>
      </c>
      <c r="P26" s="18" t="n">
        <f aca="false">O26-C26</f>
        <v>762.1</v>
      </c>
    </row>
    <row r="27" customFormat="false" ht="15" hidden="false" customHeight="false" outlineLevel="0" collapsed="false">
      <c r="A27" s="29"/>
      <c r="B27" s="34" t="s">
        <v>42</v>
      </c>
      <c r="C27" s="36" t="n">
        <v>132.72</v>
      </c>
      <c r="D27" s="36" t="n">
        <v>142.74</v>
      </c>
      <c r="E27" s="36" t="n">
        <v>150.1</v>
      </c>
      <c r="F27" s="36" t="n">
        <v>155.75</v>
      </c>
      <c r="G27" s="36" t="n">
        <v>159.94</v>
      </c>
      <c r="H27" s="36" t="n">
        <v>160.87</v>
      </c>
      <c r="I27" s="36" t="n">
        <v>161.49</v>
      </c>
      <c r="J27" s="37" t="n">
        <v>161.97</v>
      </c>
      <c r="K27" s="37" t="n">
        <v>162.44</v>
      </c>
      <c r="L27" s="36" t="n">
        <v>163.27</v>
      </c>
      <c r="M27" s="36" t="n">
        <v>165.36</v>
      </c>
      <c r="N27" s="36" t="n">
        <v>171.41</v>
      </c>
      <c r="O27" s="36" t="n">
        <v>181.1</v>
      </c>
      <c r="P27" s="18"/>
      <c r="Q27" s="18" t="n">
        <f aca="false">(O27-C27)*3.6</f>
        <v>174.168</v>
      </c>
      <c r="R27" s="0" t="s">
        <v>17</v>
      </c>
    </row>
    <row r="28" customFormat="false" ht="15.75" hidden="false" customHeight="false" outlineLevel="0" collapsed="false">
      <c r="A28" s="11"/>
      <c r="B28" s="38" t="s">
        <v>43</v>
      </c>
      <c r="C28" s="39" t="n">
        <v>5092</v>
      </c>
      <c r="D28" s="39" t="n">
        <v>5380</v>
      </c>
      <c r="E28" s="39" t="n">
        <v>5594</v>
      </c>
      <c r="F28" s="39" t="n">
        <v>5745</v>
      </c>
      <c r="G28" s="39" t="n">
        <v>5870</v>
      </c>
      <c r="H28" s="39" t="n">
        <v>5902</v>
      </c>
      <c r="I28" s="39" t="n">
        <v>5926</v>
      </c>
      <c r="J28" s="39" t="n">
        <v>5946</v>
      </c>
      <c r="K28" s="39" t="n">
        <v>5967</v>
      </c>
      <c r="L28" s="39" t="n">
        <v>6000</v>
      </c>
      <c r="M28" s="39" t="n">
        <v>6083</v>
      </c>
      <c r="N28" s="39" t="n">
        <v>6257</v>
      </c>
      <c r="O28" s="39" t="n">
        <v>6557</v>
      </c>
      <c r="P28" s="18"/>
      <c r="Q28" s="33" t="n">
        <f aca="false">O28-C28</f>
        <v>1465</v>
      </c>
      <c r="R28" s="0" t="s">
        <v>16</v>
      </c>
    </row>
    <row r="29" customFormat="false" ht="15.75" hidden="false" customHeight="false" outlineLevel="0" collapsed="false">
      <c r="A29" s="40" t="s">
        <v>44</v>
      </c>
      <c r="B29" s="41"/>
      <c r="C29" s="42" t="n">
        <v>16304</v>
      </c>
      <c r="D29" s="42" t="n">
        <v>16653.4</v>
      </c>
      <c r="E29" s="42" t="n">
        <v>16977.5</v>
      </c>
      <c r="F29" s="42" t="n">
        <v>17322.7</v>
      </c>
      <c r="G29" s="42" t="n">
        <v>17680.1</v>
      </c>
      <c r="H29" s="42" t="n">
        <v>18036.6</v>
      </c>
      <c r="I29" s="42" t="n">
        <v>18355.9</v>
      </c>
      <c r="J29" s="42" t="n">
        <v>18672</v>
      </c>
      <c r="K29" s="42" t="n">
        <v>18979.4</v>
      </c>
      <c r="L29" s="42" t="n">
        <v>19283.1</v>
      </c>
      <c r="M29" s="42" t="n">
        <v>19628</v>
      </c>
      <c r="N29" s="43" t="n">
        <v>19942.6</v>
      </c>
      <c r="O29" s="42" t="n">
        <v>20281.1</v>
      </c>
      <c r="P29" s="18" t="n">
        <f aca="false">O29-C29</f>
        <v>3977.1</v>
      </c>
    </row>
    <row r="31" customFormat="false" ht="15" hidden="false" customHeight="false" outlineLevel="0" collapsed="false">
      <c r="C31" s="6" t="s">
        <v>45</v>
      </c>
      <c r="D31" s="6"/>
      <c r="E31" s="6" t="s">
        <v>46</v>
      </c>
    </row>
    <row r="32" customFormat="false" ht="15" hidden="true" customHeight="false" outlineLevel="0" collapsed="false">
      <c r="B32" s="0" t="s">
        <v>47</v>
      </c>
      <c r="C32" s="0" t="n">
        <v>110109308</v>
      </c>
      <c r="D32" s="1" t="s">
        <v>48</v>
      </c>
      <c r="E32" s="0" t="n">
        <v>12875</v>
      </c>
      <c r="G32" s="44"/>
      <c r="H32" s="45" t="s">
        <v>49</v>
      </c>
      <c r="I32" s="45"/>
      <c r="J32" s="45"/>
      <c r="K32" s="45"/>
      <c r="L32" s="46" t="s">
        <v>50</v>
      </c>
      <c r="M32" s="47" t="n">
        <v>236.93</v>
      </c>
      <c r="N32" s="45" t="s">
        <v>51</v>
      </c>
      <c r="O32" s="48"/>
      <c r="P32" s="48"/>
      <c r="Q32" s="48"/>
    </row>
    <row r="33" customFormat="false" ht="15" hidden="true" customHeight="false" outlineLevel="0" collapsed="false">
      <c r="A33" s="49"/>
      <c r="B33" s="50" t="s">
        <v>52</v>
      </c>
      <c r="C33" s="50" t="n">
        <v>63796</v>
      </c>
      <c r="D33" s="51" t="s">
        <v>53</v>
      </c>
      <c r="E33" s="50" t="n">
        <v>4174</v>
      </c>
      <c r="F33" s="50"/>
      <c r="G33" s="52"/>
      <c r="H33" s="45" t="s">
        <v>54</v>
      </c>
      <c r="I33" s="45"/>
      <c r="J33" s="45"/>
      <c r="K33" s="45"/>
      <c r="L33" s="46" t="s">
        <v>50</v>
      </c>
      <c r="M33" s="47" t="n">
        <v>0</v>
      </c>
      <c r="N33" s="45" t="s">
        <v>51</v>
      </c>
      <c r="O33" s="48"/>
      <c r="P33" s="48"/>
      <c r="Q33" s="48"/>
    </row>
    <row r="34" customFormat="false" ht="15" hidden="false" customHeight="false" outlineLevel="0" collapsed="false">
      <c r="A34" s="49"/>
      <c r="B34" s="50" t="s">
        <v>55</v>
      </c>
      <c r="C34" s="52" t="n">
        <v>18972503</v>
      </c>
      <c r="D34" s="1" t="s">
        <v>48</v>
      </c>
      <c r="E34" s="52" t="n">
        <v>76385</v>
      </c>
      <c r="F34" s="53"/>
      <c r="G34" s="50"/>
      <c r="I34" s="50"/>
      <c r="J34" s="54"/>
      <c r="K34" s="50"/>
      <c r="L34" s="55"/>
    </row>
    <row r="35" customFormat="false" ht="15" hidden="false" customHeight="false" outlineLevel="0" collapsed="false">
      <c r="B35" s="52" t="s">
        <v>56</v>
      </c>
      <c r="C35" s="53" t="n">
        <v>1025291034</v>
      </c>
      <c r="D35" s="51" t="s">
        <v>53</v>
      </c>
      <c r="E35" s="0" t="n">
        <v>0</v>
      </c>
    </row>
    <row r="36" s="44" customFormat="true" ht="15" hidden="false" customHeight="false" outlineLevel="0" collapsed="false">
      <c r="A36" s="56"/>
      <c r="B36" s="57"/>
      <c r="C36" s="52"/>
      <c r="D36" s="58"/>
      <c r="E36" s="52"/>
      <c r="F36" s="59"/>
      <c r="G36" s="52"/>
      <c r="I36" s="48"/>
      <c r="J36" s="48"/>
      <c r="K36" s="48"/>
      <c r="L36" s="48"/>
      <c r="M36" s="60"/>
      <c r="N36" s="61"/>
      <c r="O36" s="48"/>
    </row>
    <row r="37" s="44" customFormat="true" ht="15" hidden="false" customHeight="false" outlineLevel="0" collapsed="false">
      <c r="A37" s="1"/>
      <c r="B37" s="52" t="s">
        <v>57</v>
      </c>
      <c r="C37" s="62"/>
      <c r="D37" s="63" t="s">
        <v>0</v>
      </c>
      <c r="E37" s="49" t="s">
        <v>1</v>
      </c>
      <c r="F37" s="52"/>
      <c r="G37" s="52"/>
      <c r="H37" s="48"/>
      <c r="I37" s="48"/>
      <c r="J37" s="48"/>
      <c r="K37" s="48"/>
      <c r="L37" s="60"/>
      <c r="M37" s="61"/>
      <c r="N37" s="60" t="s">
        <v>58</v>
      </c>
      <c r="O37" s="48" t="n">
        <v>15951</v>
      </c>
    </row>
    <row r="38" s="44" customFormat="true" ht="15" hidden="false" customHeight="false" outlineLevel="0" collapsed="false">
      <c r="A38" s="49"/>
      <c r="B38" s="52" t="s">
        <v>59</v>
      </c>
      <c r="C38" s="62" t="s">
        <v>46</v>
      </c>
      <c r="D38" s="64" t="n">
        <v>274.519</v>
      </c>
      <c r="E38" s="65" t="n">
        <v>10.65</v>
      </c>
      <c r="F38" s="52"/>
      <c r="G38" s="52"/>
      <c r="H38" s="48"/>
      <c r="I38" s="48"/>
      <c r="J38" s="48"/>
      <c r="K38" s="48"/>
      <c r="L38" s="60"/>
      <c r="M38" s="61"/>
      <c r="N38" s="60" t="s">
        <v>60</v>
      </c>
      <c r="O38" s="48" t="n">
        <v>353</v>
      </c>
    </row>
    <row r="39" s="44" customFormat="true" ht="15" hidden="false" customHeight="false" outlineLevel="0" collapsed="false">
      <c r="A39" s="49"/>
      <c r="B39" s="52" t="s">
        <v>61</v>
      </c>
      <c r="C39" s="52" t="s">
        <v>62</v>
      </c>
      <c r="D39" s="65" t="n">
        <f aca="false">D38-C10</f>
        <v>47.038</v>
      </c>
      <c r="E39" s="65" t="n">
        <f aca="false">E38-C11</f>
        <v>6.445</v>
      </c>
      <c r="F39" s="52"/>
      <c r="G39" s="52"/>
      <c r="H39" s="55"/>
      <c r="I39" s="55"/>
      <c r="J39" s="66"/>
      <c r="K39" s="55"/>
      <c r="L39" s="55"/>
      <c r="M39" s="60"/>
      <c r="N39" s="60" t="s">
        <v>63</v>
      </c>
      <c r="O39" s="48" t="n">
        <v>20281</v>
      </c>
    </row>
    <row r="40" customFormat="false" ht="15" hidden="false" customHeight="false" outlineLevel="0" collapsed="false">
      <c r="A40" s="49"/>
      <c r="B40" s="52" t="s">
        <v>64</v>
      </c>
      <c r="C40" s="52" t="s">
        <v>62</v>
      </c>
      <c r="D40" s="67" t="n">
        <f aca="false">O10-D38</f>
        <v>71.663</v>
      </c>
      <c r="E40" s="67" t="n">
        <f aca="false">O11-E39</f>
        <v>11.957</v>
      </c>
      <c r="F40" s="50"/>
      <c r="G40" s="50"/>
      <c r="H40" s="50"/>
      <c r="I40" s="50"/>
      <c r="J40" s="54"/>
      <c r="K40" s="50"/>
      <c r="L40" s="55"/>
      <c r="N40" s="60"/>
    </row>
    <row r="41" customFormat="false" ht="15" hidden="false" customHeight="false" outlineLevel="0" collapsed="false">
      <c r="N41" s="60" t="s">
        <v>62</v>
      </c>
      <c r="O41" s="0" t="n">
        <f aca="false">O39-O37-O38</f>
        <v>3977</v>
      </c>
    </row>
    <row r="42" customFormat="false" ht="13.8" hidden="false" customHeight="false" outlineLevel="0" collapsed="false">
      <c r="C42" s="0" t="n">
        <f aca="false">(D6-C6)*120</f>
        <v>1654.68</v>
      </c>
      <c r="D42" s="0" t="n">
        <f aca="false">(E6-D6)*120</f>
        <v>1744.92</v>
      </c>
      <c r="E42" s="0" t="n">
        <f aca="false">(F6-E6)*120</f>
        <v>1819.08</v>
      </c>
      <c r="F42" s="0" t="n">
        <f aca="false">(G6-F6)*120</f>
        <v>1838.16</v>
      </c>
      <c r="G42" s="0" t="n">
        <f aca="false">(H6-G6)*120</f>
        <v>1745.28</v>
      </c>
      <c r="H42" s="0" t="n">
        <f aca="false">(I6-H6)*120</f>
        <v>1347.24</v>
      </c>
      <c r="I42" s="0" t="n">
        <f aca="false">(J6-I6)*120</f>
        <v>935.160000000001</v>
      </c>
      <c r="J42" s="0" t="n">
        <f aca="false">(K6-J6)*120</f>
        <v>1374.24000000001</v>
      </c>
      <c r="K42" s="0" t="n">
        <f aca="false">(L6-K6)*120</f>
        <v>1368.83999999999</v>
      </c>
      <c r="L42" s="0" t="n">
        <f aca="false">(M6-L6)*120</f>
        <v>1617.12</v>
      </c>
      <c r="M42" s="0" t="n">
        <f aca="false">(N6-M6)*120</f>
        <v>1806.12000000001</v>
      </c>
      <c r="N42" s="0" t="n">
        <f aca="false">(O6-N6)*120</f>
        <v>1929.12</v>
      </c>
    </row>
    <row r="43" customFormat="false" ht="13.8" hidden="false" customHeight="false" outlineLevel="0" collapsed="false">
      <c r="C43" s="0" t="n">
        <f aca="false">(D7-C7)*1700</f>
        <v>9419.7</v>
      </c>
      <c r="D43" s="0" t="n">
        <f aca="false">(E7-D7)*1700</f>
        <v>6987</v>
      </c>
      <c r="E43" s="0" t="n">
        <f aca="false">(F7-E7)*1700</f>
        <v>7299.8</v>
      </c>
      <c r="F43" s="0" t="n">
        <f aca="false">(G7-F7)*1700</f>
        <v>5521.6</v>
      </c>
      <c r="G43" s="0" t="n">
        <f aca="false">(H7-G7)*1700</f>
        <v>1433.1</v>
      </c>
      <c r="H43" s="0" t="n">
        <f aca="false">(I7-H7)*1700</f>
        <v>867.000000000003</v>
      </c>
      <c r="I43" s="0" t="n">
        <f aca="false">(J7-I7)*1700</f>
        <v>494.699999999995</v>
      </c>
      <c r="J43" s="0" t="n">
        <f aca="false">(K7-J7)*1700</f>
        <v>703.800000000003</v>
      </c>
      <c r="K43" s="0" t="n">
        <f aca="false">(L7-K7)*1700</f>
        <v>921.400000000003</v>
      </c>
      <c r="L43" s="0" t="n">
        <f aca="false">(M7-L7)*1700</f>
        <v>1298.8</v>
      </c>
      <c r="M43" s="0" t="n">
        <f aca="false">(N7-M7)*1700</f>
        <v>3967.8</v>
      </c>
      <c r="N43" s="0" t="n">
        <f aca="false">(O7-N7)*1700</f>
        <v>6594.3</v>
      </c>
    </row>
  </sheetData>
  <mergeCells count="1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conditionalFormatting sqref="H4">
    <cfRule type="cellIs" priority="2" operator="lessThan" aboveAverage="0" equalAverage="0" bottom="0" percent="0" rank="0" text="" dxfId="0">
      <formula>'1850'!$G$4</formula>
    </cfRule>
    <cfRule type="cellIs" priority="3" operator="equal" aboveAverage="0" equalAverage="0" bottom="0" percent="0" rank="0" text="" dxfId="1">
      <formula>'1850'!$G$4</formula>
    </cfRule>
  </conditionalFormatting>
  <conditionalFormatting sqref="G7">
    <cfRule type="cellIs" priority="4" operator="equal" aboveAverage="0" equalAverage="0" bottom="0" percent="0" rank="0" text="" dxfId="2">
      <formula>'1850'!$F$7</formula>
    </cfRule>
    <cfRule type="cellIs" priority="5" operator="lessThan" aboveAverage="0" equalAverage="0" bottom="0" percent="0" rank="0" text="" dxfId="3">
      <formula>'1850'!$F$7</formula>
    </cfRule>
  </conditionalFormatting>
  <conditionalFormatting sqref="H5">
    <cfRule type="cellIs" priority="6" operator="equal" aboveAverage="0" equalAverage="0" bottom="0" percent="0" rank="0" text="" dxfId="4">
      <formula>'1850'!$G$5</formula>
    </cfRule>
    <cfRule type="cellIs" priority="7" operator="lessThan" aboveAverage="0" equalAverage="0" bottom="0" percent="0" rank="0" text="" dxfId="5">
      <formula>'1850'!$G$5</formula>
    </cfRule>
  </conditionalFormatting>
  <conditionalFormatting sqref="I5">
    <cfRule type="cellIs" priority="8" operator="equal" aboveAverage="0" equalAverage="0" bottom="0" percent="0" rank="0" text="" dxfId="6">
      <formula>'1850'!$H$5</formula>
    </cfRule>
    <cfRule type="cellIs" priority="9" operator="lessThan" aboveAverage="0" equalAverage="0" bottom="0" percent="0" rank="0" text="" dxfId="7">
      <formula>'1850'!$H$5</formula>
    </cfRule>
  </conditionalFormatting>
  <conditionalFormatting sqref="J5">
    <cfRule type="cellIs" priority="10" operator="equal" aboveAverage="0" equalAverage="0" bottom="0" percent="0" rank="0" text="" dxfId="8">
      <formula>'1850'!$I$5</formula>
    </cfRule>
    <cfRule type="cellIs" priority="11" operator="lessThan" aboveAverage="0" equalAverage="0" bottom="0" percent="0" rank="0" text="" dxfId="9">
      <formula>'1850'!$I$5</formula>
    </cfRule>
  </conditionalFormatting>
  <conditionalFormatting sqref="F4">
    <cfRule type="cellIs" priority="12" operator="equal" aboveAverage="0" equalAverage="0" bottom="0" percent="0" rank="0" text="" dxfId="10">
      <formula>'1850'!$E$4</formula>
    </cfRule>
    <cfRule type="cellIs" priority="13" operator="lessThan" aboveAverage="0" equalAverage="0" bottom="0" percent="0" rank="0" text="" dxfId="11">
      <formula>'1850'!$E$4</formula>
    </cfRule>
  </conditionalFormatting>
  <conditionalFormatting sqref="D4">
    <cfRule type="cellIs" priority="14" operator="lessThan" aboveAverage="0" equalAverage="0" bottom="0" percent="0" rank="0" text="" dxfId="12">
      <formula>'1850'!$C$4</formula>
    </cfRule>
    <cfRule type="cellIs" priority="15" operator="equal" aboveAverage="0" equalAverage="0" bottom="0" percent="0" rank="0" text="" dxfId="13">
      <formula>'1850'!$C$4</formula>
    </cfRule>
  </conditionalFormatting>
  <conditionalFormatting sqref="E4">
    <cfRule type="cellIs" priority="16" operator="equal" aboveAverage="0" equalAverage="0" bottom="0" percent="0" rank="0" text="" dxfId="14">
      <formula>'1850'!$D$4</formula>
    </cfRule>
    <cfRule type="cellIs" priority="17" operator="lessThan" aboveAverage="0" equalAverage="0" bottom="0" percent="0" rank="0" text="" dxfId="15">
      <formula>'1850'!$D$4</formula>
    </cfRule>
  </conditionalFormatting>
  <conditionalFormatting sqref="D5">
    <cfRule type="cellIs" priority="18" operator="equal" aboveAverage="0" equalAverage="0" bottom="0" percent="0" rank="0" text="" dxfId="16">
      <formula>'1850'!$C$5</formula>
    </cfRule>
    <cfRule type="cellIs" priority="19" operator="lessThan" aboveAverage="0" equalAverage="0" bottom="0" percent="0" rank="0" text="" dxfId="17">
      <formula>'1850'!$C$5</formula>
    </cfRule>
  </conditionalFormatting>
  <conditionalFormatting sqref="F5">
    <cfRule type="cellIs" priority="20" operator="equal" aboveAverage="0" equalAverage="0" bottom="0" percent="0" rank="0" text="" dxfId="18">
      <formula>'1850'!$E$5</formula>
    </cfRule>
    <cfRule type="cellIs" priority="21" operator="lessThan" aboveAverage="0" equalAverage="0" bottom="0" percent="0" rank="0" text="" dxfId="19">
      <formula>'1850'!$E$5</formula>
    </cfRule>
  </conditionalFormatting>
  <conditionalFormatting sqref="I4">
    <cfRule type="cellIs" priority="22" operator="equal" aboveAverage="0" equalAverage="0" bottom="0" percent="0" rank="0" text="" dxfId="20">
      <formula>'1850'!$H$4</formula>
    </cfRule>
  </conditionalFormatting>
  <conditionalFormatting sqref="J4">
    <cfRule type="cellIs" priority="23" operator="lessThan" aboveAverage="0" equalAverage="0" bottom="0" percent="0" rank="0" text="" dxfId="21">
      <formula>'1850'!$I$4</formula>
    </cfRule>
    <cfRule type="cellIs" priority="24" operator="equal" aboveAverage="0" equalAverage="0" bottom="0" percent="0" rank="0" text="" dxfId="22">
      <formula>'1850'!$I$4</formula>
    </cfRule>
  </conditionalFormatting>
  <conditionalFormatting sqref="D6">
    <cfRule type="cellIs" priority="25" operator="equal" aboveAverage="0" equalAverage="0" bottom="0" percent="0" rank="0" text="" dxfId="23">
      <formula>'1850'!$C$6</formula>
    </cfRule>
    <cfRule type="cellIs" priority="26" operator="lessThan" aboveAverage="0" equalAverage="0" bottom="0" percent="0" rank="0" text="" dxfId="24">
      <formula>'1850'!$C$6</formula>
    </cfRule>
  </conditionalFormatting>
  <conditionalFormatting sqref="E6">
    <cfRule type="cellIs" priority="27" operator="equal" aboveAverage="0" equalAverage="0" bottom="0" percent="0" rank="0" text="" dxfId="25">
      <formula>'1850'!$D$6</formula>
    </cfRule>
    <cfRule type="cellIs" priority="28" operator="lessThan" aboveAverage="0" equalAverage="0" bottom="0" percent="0" rank="0" text="" dxfId="26">
      <formula>'1850'!$D$6</formula>
    </cfRule>
  </conditionalFormatting>
  <conditionalFormatting sqref="F6">
    <cfRule type="cellIs" priority="29" operator="equal" aboveAverage="0" equalAverage="0" bottom="0" percent="0" rank="0" text="" dxfId="27">
      <formula>'1850'!$E$6</formula>
    </cfRule>
    <cfRule type="cellIs" priority="30" operator="lessThan" aboveAverage="0" equalAverage="0" bottom="0" percent="0" rank="0" text="" dxfId="28">
      <formula>'1850'!$E$6</formula>
    </cfRule>
  </conditionalFormatting>
  <conditionalFormatting sqref="G6">
    <cfRule type="cellIs" priority="31" operator="equal" aboveAverage="0" equalAverage="0" bottom="0" percent="0" rank="0" text="" dxfId="29">
      <formula>'1850'!$F$6</formula>
    </cfRule>
    <cfRule type="cellIs" priority="32" operator="lessThan" aboveAverage="0" equalAverage="0" bottom="0" percent="0" rank="0" text="" dxfId="30">
      <formula>'1850'!$F$6</formula>
    </cfRule>
  </conditionalFormatting>
  <conditionalFormatting sqref="H6">
    <cfRule type="cellIs" priority="33" operator="equal" aboveAverage="0" equalAverage="0" bottom="0" percent="0" rank="0" text="" dxfId="31">
      <formula>'1850'!$G$6</formula>
    </cfRule>
    <cfRule type="cellIs" priority="34" operator="lessThan" aboveAverage="0" equalAverage="0" bottom="0" percent="0" rank="0" text="" dxfId="32">
      <formula>'1850'!$G$6</formula>
    </cfRule>
  </conditionalFormatting>
  <conditionalFormatting sqref="I6">
    <cfRule type="cellIs" priority="35" operator="equal" aboveAverage="0" equalAverage="0" bottom="0" percent="0" rank="0" text="" dxfId="33">
      <formula>'1850'!$H$6</formula>
    </cfRule>
    <cfRule type="cellIs" priority="36" operator="lessThan" aboveAverage="0" equalAverage="0" bottom="0" percent="0" rank="0" text="" dxfId="34">
      <formula>'1850'!$H$6</formula>
    </cfRule>
  </conditionalFormatting>
  <conditionalFormatting sqref="J6">
    <cfRule type="cellIs" priority="37" operator="equal" aboveAverage="0" equalAverage="0" bottom="0" percent="0" rank="0" text="" dxfId="35">
      <formula>'1850'!$I$6</formula>
    </cfRule>
    <cfRule type="cellIs" priority="38" operator="lessThan" aboveAverage="0" equalAverage="0" bottom="0" percent="0" rank="0" text="" dxfId="36">
      <formula>'1850'!$I$6</formula>
    </cfRule>
  </conditionalFormatting>
  <conditionalFormatting sqref="D7">
    <cfRule type="cellIs" priority="39" operator="equal" aboveAverage="0" equalAverage="0" bottom="0" percent="0" rank="0" text="" dxfId="37">
      <formula>'1850'!$C$7</formula>
    </cfRule>
    <cfRule type="cellIs" priority="40" operator="lessThan" aboveAverage="0" equalAverage="0" bottom="0" percent="0" rank="0" text="" dxfId="38">
      <formula>'1850'!$C$7</formula>
    </cfRule>
  </conditionalFormatting>
  <conditionalFormatting sqref="E7">
    <cfRule type="cellIs" priority="41" operator="equal" aboveAverage="0" equalAverage="0" bottom="0" percent="0" rank="0" text="" dxfId="39">
      <formula>'1850'!$D$7</formula>
    </cfRule>
    <cfRule type="cellIs" priority="42" operator="lessThan" aboveAverage="0" equalAverage="0" bottom="0" percent="0" rank="0" text="" dxfId="40">
      <formula>'1850'!$D$7</formula>
    </cfRule>
  </conditionalFormatting>
  <conditionalFormatting sqref="F7">
    <cfRule type="cellIs" priority="43" operator="equal" aboveAverage="0" equalAverage="0" bottom="0" percent="0" rank="0" text="" dxfId="41">
      <formula>'1850'!$E$7</formula>
    </cfRule>
    <cfRule type="cellIs" priority="44" operator="lessThan" aboveAverage="0" equalAverage="0" bottom="0" percent="0" rank="0" text="" dxfId="42">
      <formula>'1850'!$E$7</formula>
    </cfRule>
  </conditionalFormatting>
  <conditionalFormatting sqref="H7">
    <cfRule type="cellIs" priority="45" operator="equal" aboveAverage="0" equalAverage="0" bottom="0" percent="0" rank="0" text="" dxfId="43">
      <formula>'1850'!$G$7</formula>
    </cfRule>
    <cfRule type="cellIs" priority="46" operator="lessThan" aboveAverage="0" equalAverage="0" bottom="0" percent="0" rank="0" text="" dxfId="44">
      <formula>'1850'!$G$7</formula>
    </cfRule>
  </conditionalFormatting>
  <conditionalFormatting sqref="I7">
    <cfRule type="cellIs" priority="47" operator="equal" aboveAverage="0" equalAverage="0" bottom="0" percent="0" rank="0" text="" dxfId="45">
      <formula>'1850'!$H$7</formula>
    </cfRule>
    <cfRule type="cellIs" priority="48" operator="lessThan" aboveAverage="0" equalAverage="0" bottom="0" percent="0" rank="0" text="" dxfId="46">
      <formula>'1850'!$H$7</formula>
    </cfRule>
  </conditionalFormatting>
  <conditionalFormatting sqref="J7">
    <cfRule type="cellIs" priority="49" operator="equal" aboveAverage="0" equalAverage="0" bottom="0" percent="0" rank="0" text="" dxfId="47">
      <formula>'1850'!$I$7</formula>
    </cfRule>
    <cfRule type="cellIs" priority="50" operator="lessThan" aboveAverage="0" equalAverage="0" bottom="0" percent="0" rank="0" text="" dxfId="48">
      <formula>'1850'!$I$7</formula>
    </cfRule>
  </conditionalFormatting>
  <conditionalFormatting sqref="D8">
    <cfRule type="cellIs" priority="51" operator="equal" aboveAverage="0" equalAverage="0" bottom="0" percent="0" rank="0" text="" dxfId="49">
      <formula>'1850'!$C$8</formula>
    </cfRule>
    <cfRule type="cellIs" priority="52" operator="lessThan" aboveAverage="0" equalAverage="0" bottom="0" percent="0" rank="0" text="" dxfId="50">
      <formula>'1850'!$C$8</formula>
    </cfRule>
  </conditionalFormatting>
  <conditionalFormatting sqref="E8">
    <cfRule type="cellIs" priority="53" operator="equal" aboveAverage="0" equalAverage="0" bottom="0" percent="0" rank="0" text="" dxfId="51">
      <formula>'1850'!$D$8</formula>
    </cfRule>
    <cfRule type="cellIs" priority="54" operator="lessThan" aboveAverage="0" equalAverage="0" bottom="0" percent="0" rank="0" text="" dxfId="52">
      <formula>'1850'!$D$8</formula>
    </cfRule>
  </conditionalFormatting>
  <conditionalFormatting sqref="F8">
    <cfRule type="cellIs" priority="55" operator="equal" aboveAverage="0" equalAverage="0" bottom="0" percent="0" rank="0" text="" dxfId="53">
      <formula>'1850'!$E$8</formula>
    </cfRule>
    <cfRule type="cellIs" priority="56" operator="lessThan" aboveAverage="0" equalAverage="0" bottom="0" percent="0" rank="0" text="" dxfId="54">
      <formula>'1850'!$E$8</formula>
    </cfRule>
  </conditionalFormatting>
  <conditionalFormatting sqref="G8">
    <cfRule type="cellIs" priority="57" operator="equal" aboveAverage="0" equalAverage="0" bottom="0" percent="0" rank="0" text="" dxfId="55">
      <formula>'1850'!$F$8</formula>
    </cfRule>
    <cfRule type="cellIs" priority="58" operator="lessThan" aboveAverage="0" equalAverage="0" bottom="0" percent="0" rank="0" text="" dxfId="56">
      <formula>'1850'!$F$8</formula>
    </cfRule>
  </conditionalFormatting>
  <conditionalFormatting sqref="H8">
    <cfRule type="cellIs" priority="59" operator="equal" aboveAverage="0" equalAverage="0" bottom="0" percent="0" rank="0" text="" dxfId="57">
      <formula>'1850'!$G$8</formula>
    </cfRule>
    <cfRule type="cellIs" priority="60" operator="lessThan" aboveAverage="0" equalAverage="0" bottom="0" percent="0" rank="0" text="" dxfId="58">
      <formula>'1850'!$G$8</formula>
    </cfRule>
  </conditionalFormatting>
  <conditionalFormatting sqref="I8">
    <cfRule type="cellIs" priority="61" operator="equal" aboveAverage="0" equalAverage="0" bottom="0" percent="0" rank="0" text="" dxfId="59">
      <formula>'1850'!$H$8</formula>
    </cfRule>
    <cfRule type="cellIs" priority="62" operator="lessThan" aboveAverage="0" equalAverage="0" bottom="0" percent="0" rank="0" text="" dxfId="60">
      <formula>'1850'!$H$8</formula>
    </cfRule>
  </conditionalFormatting>
  <conditionalFormatting sqref="J8">
    <cfRule type="cellIs" priority="63" operator="equal" aboveAverage="0" equalAverage="0" bottom="0" percent="0" rank="0" text="" dxfId="61">
      <formula>'1850'!$I$8</formula>
    </cfRule>
    <cfRule type="cellIs" priority="64" operator="lessThan" aboveAverage="0" equalAverage="0" bottom="0" percent="0" rank="0" text="" dxfId="62">
      <formula>'1850'!$I$8</formula>
    </cfRule>
  </conditionalFormatting>
  <conditionalFormatting sqref="D9">
    <cfRule type="cellIs" priority="65" operator="equal" aboveAverage="0" equalAverage="0" bottom="0" percent="0" rank="0" text="" dxfId="63">
      <formula>'1850'!$C$9</formula>
    </cfRule>
    <cfRule type="cellIs" priority="66" operator="lessThan" aboveAverage="0" equalAverage="0" bottom="0" percent="0" rank="0" text="" dxfId="64">
      <formula>'1850'!$C$9</formula>
    </cfRule>
  </conditionalFormatting>
  <conditionalFormatting sqref="E9">
    <cfRule type="cellIs" priority="67" operator="equal" aboveAverage="0" equalAverage="0" bottom="0" percent="0" rank="0" text="" dxfId="65">
      <formula>'1850'!$D$9</formula>
    </cfRule>
    <cfRule type="cellIs" priority="68" operator="lessThan" aboveAverage="0" equalAverage="0" bottom="0" percent="0" rank="0" text="" dxfId="66">
      <formula>'1850'!$D$9</formula>
    </cfRule>
  </conditionalFormatting>
  <conditionalFormatting sqref="F9">
    <cfRule type="cellIs" priority="69" operator="equal" aboveAverage="0" equalAverage="0" bottom="0" percent="0" rank="0" text="" dxfId="67">
      <formula>'1850'!$E$9</formula>
    </cfRule>
    <cfRule type="cellIs" priority="70" operator="lessThan" aboveAverage="0" equalAverage="0" bottom="0" percent="0" rank="0" text="" dxfId="68">
      <formula>'1850'!$E$9</formula>
    </cfRule>
  </conditionalFormatting>
  <conditionalFormatting sqref="G9">
    <cfRule type="cellIs" priority="71" operator="equal" aboveAverage="0" equalAverage="0" bottom="0" percent="0" rank="0" text="" dxfId="69">
      <formula>'1850'!$F$9</formula>
    </cfRule>
    <cfRule type="cellIs" priority="72" operator="lessThan" aboveAverage="0" equalAverage="0" bottom="0" percent="0" rank="0" text="" dxfId="70">
      <formula>'1850'!$F$9</formula>
    </cfRule>
  </conditionalFormatting>
  <conditionalFormatting sqref="H9">
    <cfRule type="cellIs" priority="73" operator="equal" aboveAverage="0" equalAverage="0" bottom="0" percent="0" rank="0" text="" dxfId="71">
      <formula>'1850'!$G$9</formula>
    </cfRule>
    <cfRule type="cellIs" priority="74" operator="lessThan" aboveAverage="0" equalAverage="0" bottom="0" percent="0" rank="0" text="" dxfId="72">
      <formula>'1850'!$G$9</formula>
    </cfRule>
  </conditionalFormatting>
  <conditionalFormatting sqref="I9">
    <cfRule type="cellIs" priority="75" operator="equal" aboveAverage="0" equalAverage="0" bottom="0" percent="0" rank="0" text="" dxfId="73">
      <formula>'1850'!$H$9</formula>
    </cfRule>
    <cfRule type="cellIs" priority="76" operator="lessThan" aboveAverage="0" equalAverage="0" bottom="0" percent="0" rank="0" text="" dxfId="74">
      <formula>'1850'!$H$9</formula>
    </cfRule>
  </conditionalFormatting>
  <conditionalFormatting sqref="J9">
    <cfRule type="cellIs" priority="77" operator="equal" aboveAverage="0" equalAverage="0" bottom="0" percent="0" rank="0" text="" dxfId="75">
      <formula>'1850'!$I$9</formula>
    </cfRule>
    <cfRule type="cellIs" priority="78" operator="lessThan" aboveAverage="0" equalAverage="0" bottom="0" percent="0" rank="0" text="" dxfId="76">
      <formula>'1850'!$I$9</formula>
    </cfRule>
  </conditionalFormatting>
  <conditionalFormatting sqref="D10">
    <cfRule type="cellIs" priority="79" operator="equal" aboveAverage="0" equalAverage="0" bottom="0" percent="0" rank="0" text="" dxfId="77">
      <formula>'1850'!$C$10</formula>
    </cfRule>
    <cfRule type="cellIs" priority="80" operator="lessThan" aboveAverage="0" equalAverage="0" bottom="0" percent="0" rank="0" text="" dxfId="78">
      <formula>'1850'!$C$10</formula>
    </cfRule>
  </conditionalFormatting>
  <conditionalFormatting sqref="E10">
    <cfRule type="cellIs" priority="81" operator="equal" aboveAverage="0" equalAverage="0" bottom="0" percent="0" rank="0" text="" dxfId="79">
      <formula>'1850'!$D$10</formula>
    </cfRule>
    <cfRule type="cellIs" priority="82" operator="lessThan" aboveAverage="0" equalAverage="0" bottom="0" percent="0" rank="0" text="" dxfId="80">
      <formula>'1850'!$D$10</formula>
    </cfRule>
  </conditionalFormatting>
  <conditionalFormatting sqref="F10">
    <cfRule type="cellIs" priority="83" operator="equal" aboveAverage="0" equalAverage="0" bottom="0" percent="0" rank="0" text="" dxfId="81">
      <formula>'1850'!$E$10</formula>
    </cfRule>
    <cfRule type="cellIs" priority="84" operator="lessThan" aboveAverage="0" equalAverage="0" bottom="0" percent="0" rank="0" text="" dxfId="82">
      <formula>'1850'!$E$10</formula>
    </cfRule>
  </conditionalFormatting>
  <conditionalFormatting sqref="G10">
    <cfRule type="cellIs" priority="85" operator="equal" aboveAverage="0" equalAverage="0" bottom="0" percent="0" rank="0" text="" dxfId="83">
      <formula>'1850'!$F$10</formula>
    </cfRule>
    <cfRule type="cellIs" priority="86" operator="lessThan" aboveAverage="0" equalAverage="0" bottom="0" percent="0" rank="0" text="" dxfId="84">
      <formula>'1850'!$F$10</formula>
    </cfRule>
  </conditionalFormatting>
  <conditionalFormatting sqref="H10">
    <cfRule type="cellIs" priority="87" operator="equal" aboveAverage="0" equalAverage="0" bottom="0" percent="0" rank="0" text="" dxfId="85">
      <formula>'1850'!$G$10</formula>
    </cfRule>
    <cfRule type="cellIs" priority="88" operator="lessThan" aboveAverage="0" equalAverage="0" bottom="0" percent="0" rank="0" text="" dxfId="86">
      <formula>'1850'!$G$10</formula>
    </cfRule>
  </conditionalFormatting>
  <conditionalFormatting sqref="I10">
    <cfRule type="cellIs" priority="89" operator="equal" aboveAverage="0" equalAverage="0" bottom="0" percent="0" rank="0" text="" dxfId="87">
      <formula>'1850'!$H$10</formula>
    </cfRule>
    <cfRule type="cellIs" priority="90" operator="lessThan" aboveAverage="0" equalAverage="0" bottom="0" percent="0" rank="0" text="" dxfId="88">
      <formula>'1850'!$H$10</formula>
    </cfRule>
  </conditionalFormatting>
  <conditionalFormatting sqref="J10">
    <cfRule type="cellIs" priority="91" operator="equal" aboveAverage="0" equalAverage="0" bottom="0" percent="0" rank="0" text="" dxfId="89">
      <formula>'1850'!$I$10</formula>
    </cfRule>
    <cfRule type="cellIs" priority="92" operator="lessThan" aboveAverage="0" equalAverage="0" bottom="0" percent="0" rank="0" text="" dxfId="90">
      <formula>'1850'!$I$10</formula>
    </cfRule>
  </conditionalFormatting>
  <conditionalFormatting sqref="D11">
    <cfRule type="cellIs" priority="93" operator="equal" aboveAverage="0" equalAverage="0" bottom="0" percent="0" rank="0" text="" dxfId="91">
      <formula>'1850'!$C$11</formula>
    </cfRule>
    <cfRule type="cellIs" priority="94" operator="lessThan" aboveAverage="0" equalAverage="0" bottom="0" percent="0" rank="0" text="" dxfId="92">
      <formula>'1850'!$C$11</formula>
    </cfRule>
  </conditionalFormatting>
  <conditionalFormatting sqref="E11">
    <cfRule type="cellIs" priority="95" operator="equal" aboveAverage="0" equalAverage="0" bottom="0" percent="0" rank="0" text="" dxfId="93">
      <formula>'1850'!$D$11</formula>
    </cfRule>
    <cfRule type="cellIs" priority="96" operator="lessThan" aboveAverage="0" equalAverage="0" bottom="0" percent="0" rank="0" text="" dxfId="94">
      <formula>'1850'!$D$11</formula>
    </cfRule>
  </conditionalFormatting>
  <conditionalFormatting sqref="F11">
    <cfRule type="cellIs" priority="97" operator="equal" aboveAverage="0" equalAverage="0" bottom="0" percent="0" rank="0" text="" dxfId="95">
      <formula>'1850'!$E$11</formula>
    </cfRule>
    <cfRule type="cellIs" priority="98" operator="lessThan" aboveAverage="0" equalAverage="0" bottom="0" percent="0" rank="0" text="" dxfId="96">
      <formula>'1850'!$E$11</formula>
    </cfRule>
  </conditionalFormatting>
  <conditionalFormatting sqref="G11">
    <cfRule type="cellIs" priority="99" operator="equal" aboveAverage="0" equalAverage="0" bottom="0" percent="0" rank="0" text="" dxfId="97">
      <formula>'1850'!$F$11</formula>
    </cfRule>
    <cfRule type="cellIs" priority="100" operator="lessThan" aboveAverage="0" equalAverage="0" bottom="0" percent="0" rank="0" text="" dxfId="98">
      <formula>'1850'!$F$11</formula>
    </cfRule>
  </conditionalFormatting>
  <conditionalFormatting sqref="H11">
    <cfRule type="cellIs" priority="101" operator="equal" aboveAverage="0" equalAverage="0" bottom="0" percent="0" rank="0" text="" dxfId="99">
      <formula>'1850'!$G$11</formula>
    </cfRule>
    <cfRule type="cellIs" priority="102" operator="lessThan" aboveAverage="0" equalAverage="0" bottom="0" percent="0" rank="0" text="" dxfId="100">
      <formula>'1850'!$G$11</formula>
    </cfRule>
  </conditionalFormatting>
  <conditionalFormatting sqref="I11">
    <cfRule type="cellIs" priority="103" operator="equal" aboveAverage="0" equalAverage="0" bottom="0" percent="0" rank="0" text="" dxfId="101">
      <formula>'1850'!$H$11</formula>
    </cfRule>
    <cfRule type="cellIs" priority="104" operator="lessThan" aboveAverage="0" equalAverage="0" bottom="0" percent="0" rank="0" text="" dxfId="102">
      <formula>'1850'!$H$11</formula>
    </cfRule>
  </conditionalFormatting>
  <conditionalFormatting sqref="J11">
    <cfRule type="cellIs" priority="105" operator="equal" aboveAverage="0" equalAverage="0" bottom="0" percent="0" rank="0" text="" dxfId="103">
      <formula>'1850'!$I$11</formula>
    </cfRule>
    <cfRule type="cellIs" priority="106" operator="lessThan" aboveAverage="0" equalAverage="0" bottom="0" percent="0" rank="0" text="" dxfId="104">
      <formula>'1850'!$I$11</formula>
    </cfRule>
  </conditionalFormatting>
  <conditionalFormatting sqref="D12">
    <cfRule type="cellIs" priority="107" operator="equal" aboveAverage="0" equalAverage="0" bottom="0" percent="0" rank="0" text="" dxfId="105">
      <formula>'1850'!$C$12</formula>
    </cfRule>
    <cfRule type="cellIs" priority="108" operator="lessThan" aboveAverage="0" equalAverage="0" bottom="0" percent="0" rank="0" text="" dxfId="106">
      <formula>'1850'!$C$12</formula>
    </cfRule>
  </conditionalFormatting>
  <conditionalFormatting sqref="E12">
    <cfRule type="cellIs" priority="109" operator="equal" aboveAverage="0" equalAverage="0" bottom="0" percent="0" rank="0" text="" dxfId="107">
      <formula>'1850'!$D$12</formula>
    </cfRule>
    <cfRule type="cellIs" priority="110" operator="lessThan" aboveAverage="0" equalAverage="0" bottom="0" percent="0" rank="0" text="" dxfId="108">
      <formula>'1850'!$D$12</formula>
    </cfRule>
  </conditionalFormatting>
  <conditionalFormatting sqref="F12">
    <cfRule type="cellIs" priority="111" operator="equal" aboveAverage="0" equalAverage="0" bottom="0" percent="0" rank="0" text="" dxfId="109">
      <formula>'1850'!$E$12</formula>
    </cfRule>
    <cfRule type="cellIs" priority="112" operator="lessThan" aboveAverage="0" equalAverage="0" bottom="0" percent="0" rank="0" text="" dxfId="110">
      <formula>'1850'!$E$12</formula>
    </cfRule>
  </conditionalFormatting>
  <conditionalFormatting sqref="G12">
    <cfRule type="cellIs" priority="113" operator="equal" aboveAverage="0" equalAverage="0" bottom="0" percent="0" rank="0" text="" dxfId="111">
      <formula>'1850'!$F$12</formula>
    </cfRule>
    <cfRule type="cellIs" priority="114" operator="lessThan" aboveAverage="0" equalAverage="0" bottom="0" percent="0" rank="0" text="" dxfId="112">
      <formula>'1850'!$F$12</formula>
    </cfRule>
  </conditionalFormatting>
  <conditionalFormatting sqref="H12">
    <cfRule type="cellIs" priority="115" operator="equal" aboveAverage="0" equalAverage="0" bottom="0" percent="0" rank="0" text="" dxfId="113">
      <formula>'1850'!$G$12</formula>
    </cfRule>
    <cfRule type="cellIs" priority="116" operator="lessThan" aboveAverage="0" equalAverage="0" bottom="0" percent="0" rank="0" text="" dxfId="114">
      <formula>'1850'!$G$12</formula>
    </cfRule>
  </conditionalFormatting>
  <conditionalFormatting sqref="I12">
    <cfRule type="cellIs" priority="117" operator="equal" aboveAverage="0" equalAverage="0" bottom="0" percent="0" rank="0" text="" dxfId="115">
      <formula>'1850'!$H$12</formula>
    </cfRule>
    <cfRule type="cellIs" priority="118" operator="lessThan" aboveAverage="0" equalAverage="0" bottom="0" percent="0" rank="0" text="" dxfId="116">
      <formula>'1850'!$H$12</formula>
    </cfRule>
  </conditionalFormatting>
  <conditionalFormatting sqref="J12">
    <cfRule type="cellIs" priority="119" operator="equal" aboveAverage="0" equalAverage="0" bottom="0" percent="0" rank="0" text="" dxfId="117">
      <formula>'1850'!$I$12</formula>
    </cfRule>
    <cfRule type="cellIs" priority="120" operator="lessThan" aboveAverage="0" equalAverage="0" bottom="0" percent="0" rank="0" text="" dxfId="118">
      <formula>'1850'!$I$12</formula>
    </cfRule>
  </conditionalFormatting>
  <conditionalFormatting sqref="D14">
    <cfRule type="cellIs" priority="121" operator="equal" aboveAverage="0" equalAverage="0" bottom="0" percent="0" rank="0" text="" dxfId="119">
      <formula>'1850'!$C$14</formula>
    </cfRule>
    <cfRule type="cellIs" priority="122" operator="lessThan" aboveAverage="0" equalAverage="0" bottom="0" percent="0" rank="0" text="" dxfId="120">
      <formula>'1850'!$C$14</formula>
    </cfRule>
  </conditionalFormatting>
  <conditionalFormatting sqref="D15">
    <cfRule type="cellIs" priority="123" operator="equal" aboveAverage="0" equalAverage="0" bottom="0" percent="0" rank="0" text="" dxfId="121">
      <formula>'1850'!$C$15</formula>
    </cfRule>
    <cfRule type="cellIs" priority="124" operator="lessThan" aboveAverage="0" equalAverage="0" bottom="0" percent="0" rank="0" text="" dxfId="122">
      <formula>'1850'!$C$15</formula>
    </cfRule>
  </conditionalFormatting>
  <conditionalFormatting sqref="D16">
    <cfRule type="cellIs" priority="125" operator="equal" aboveAverage="0" equalAverage="0" bottom="0" percent="0" rank="0" text="" dxfId="123">
      <formula>'1850'!$C$16</formula>
    </cfRule>
    <cfRule type="cellIs" priority="126" operator="lessThan" aboveAverage="0" equalAverage="0" bottom="0" percent="0" rank="0" text="" dxfId="124">
      <formula>'1850'!$C$16</formula>
    </cfRule>
  </conditionalFormatting>
  <conditionalFormatting sqref="D17">
    <cfRule type="cellIs" priority="127" operator="equal" aboveAverage="0" equalAverage="0" bottom="0" percent="0" rank="0" text="" dxfId="125">
      <formula>'1850'!$C$17</formula>
    </cfRule>
    <cfRule type="cellIs" priority="128" operator="lessThan" aboveAverage="0" equalAverage="0" bottom="0" percent="0" rank="0" text="" dxfId="126">
      <formula>'1850'!$C$17</formula>
    </cfRule>
  </conditionalFormatting>
  <conditionalFormatting sqref="D18">
    <cfRule type="cellIs" priority="129" operator="equal" aboveAverage="0" equalAverage="0" bottom="0" percent="0" rank="0" text="" dxfId="127">
      <formula>'1850'!$C$18</formula>
    </cfRule>
    <cfRule type="cellIs" priority="130" operator="lessThan" aboveAverage="0" equalAverage="0" bottom="0" percent="0" rank="0" text="" dxfId="128">
      <formula>'1850'!$C$18</formula>
    </cfRule>
  </conditionalFormatting>
  <conditionalFormatting sqref="D19">
    <cfRule type="cellIs" priority="131" operator="equal" aboveAverage="0" equalAverage="0" bottom="0" percent="0" rank="0" text="" dxfId="129">
      <formula>'1850'!$C$19</formula>
    </cfRule>
    <cfRule type="cellIs" priority="132" operator="lessThan" aboveAverage="0" equalAverage="0" bottom="0" percent="0" rank="0" text="" dxfId="130">
      <formula>'1850'!$C$19</formula>
    </cfRule>
  </conditionalFormatting>
  <conditionalFormatting sqref="D20">
    <cfRule type="cellIs" priority="133" operator="equal" aboveAverage="0" equalAverage="0" bottom="0" percent="0" rank="0" text="" dxfId="131">
      <formula>'1850'!$C$20</formula>
    </cfRule>
    <cfRule type="cellIs" priority="134" operator="lessThan" aboveAverage="0" equalAverage="0" bottom="0" percent="0" rank="0" text="" dxfId="132">
      <formula>'1850'!$C$20</formula>
    </cfRule>
  </conditionalFormatting>
  <conditionalFormatting sqref="D21">
    <cfRule type="cellIs" priority="135" operator="equal" aboveAverage="0" equalAverage="0" bottom="0" percent="0" rank="0" text="" dxfId="133">
      <formula>'1850'!$C$21</formula>
    </cfRule>
    <cfRule type="cellIs" priority="136" operator="lessThan" aboveAverage="0" equalAverage="0" bottom="0" percent="0" rank="0" text="" dxfId="134">
      <formula>'1850'!$C$21</formula>
    </cfRule>
  </conditionalFormatting>
  <conditionalFormatting sqref="D22">
    <cfRule type="cellIs" priority="137" operator="equal" aboveAverage="0" equalAverage="0" bottom="0" percent="0" rank="0" text="" dxfId="135">
      <formula>'1850'!$C$22</formula>
    </cfRule>
    <cfRule type="cellIs" priority="138" operator="lessThan" aboveAverage="0" equalAverage="0" bottom="0" percent="0" rank="0" text="" dxfId="136">
      <formula>'1850'!$C$22</formula>
    </cfRule>
  </conditionalFormatting>
  <conditionalFormatting sqref="D23">
    <cfRule type="cellIs" priority="139" operator="equal" aboveAverage="0" equalAverage="0" bottom="0" percent="0" rank="0" text="" dxfId="137">
      <formula>'1850'!$C$23</formula>
    </cfRule>
    <cfRule type="cellIs" priority="140" operator="lessThan" aboveAverage="0" equalAverage="0" bottom="0" percent="0" rank="0" text="" dxfId="138">
      <formula>'1850'!$C$23</formula>
    </cfRule>
  </conditionalFormatting>
  <conditionalFormatting sqref="D25">
    <cfRule type="cellIs" priority="141" operator="equal" aboveAverage="0" equalAverage="0" bottom="0" percent="0" rank="0" text="" dxfId="139">
      <formula>'1850'!$C$25</formula>
    </cfRule>
    <cfRule type="cellIs" priority="142" operator="lessThan" aboveAverage="0" equalAverage="0" bottom="0" percent="0" rank="0" text="" dxfId="140">
      <formula>'1850'!$C$25</formula>
    </cfRule>
  </conditionalFormatting>
  <conditionalFormatting sqref="D26">
    <cfRule type="cellIs" priority="143" operator="equal" aboveAverage="0" equalAverage="0" bottom="0" percent="0" rank="0" text="" dxfId="141">
      <formula>'1850'!$C$26</formula>
    </cfRule>
    <cfRule type="cellIs" priority="144" operator="lessThan" aboveAverage="0" equalAverage="0" bottom="0" percent="0" rank="0" text="" dxfId="142">
      <formula>'1850'!$C$26</formula>
    </cfRule>
  </conditionalFormatting>
  <conditionalFormatting sqref="D27">
    <cfRule type="cellIs" priority="145" operator="equal" aboveAverage="0" equalAverage="0" bottom="0" percent="0" rank="0" text="" dxfId="143">
      <formula>'1850'!$C$27</formula>
    </cfRule>
    <cfRule type="cellIs" priority="146" operator="lessThan" aboveAverage="0" equalAverage="0" bottom="0" percent="0" rank="0" text="" dxfId="144">
      <formula>'1850'!$C$27</formula>
    </cfRule>
  </conditionalFormatting>
  <conditionalFormatting sqref="D28">
    <cfRule type="cellIs" priority="147" operator="equal" aboveAverage="0" equalAverage="0" bottom="0" percent="0" rank="0" text="" dxfId="145">
      <formula>'1850'!$C$28</formula>
    </cfRule>
    <cfRule type="cellIs" priority="148" operator="lessThan" aboveAverage="0" equalAverage="0" bottom="0" percent="0" rank="0" text="" dxfId="146">
      <formula>'1850'!$C$28</formula>
    </cfRule>
  </conditionalFormatting>
  <conditionalFormatting sqref="E13">
    <cfRule type="cellIs" priority="149" operator="equal" aboveAverage="0" equalAverage="0" bottom="0" percent="0" rank="0" text="" dxfId="147">
      <formula>'1850'!$D$13</formula>
    </cfRule>
    <cfRule type="cellIs" priority="150" operator="lessThan" aboveAverage="0" equalAverage="0" bottom="0" percent="0" rank="0" text="" dxfId="148">
      <formula>'1850'!$D$13</formula>
    </cfRule>
  </conditionalFormatting>
  <conditionalFormatting sqref="E14">
    <cfRule type="cellIs" priority="151" operator="equal" aboveAverage="0" equalAverage="0" bottom="0" percent="0" rank="0" text="" dxfId="149">
      <formula>'1850'!$D$14</formula>
    </cfRule>
    <cfRule type="cellIs" priority="152" operator="lessThan" aboveAverage="0" equalAverage="0" bottom="0" percent="0" rank="0" text="" dxfId="150">
      <formula>'1850'!$D$14</formula>
    </cfRule>
  </conditionalFormatting>
  <conditionalFormatting sqref="E15">
    <cfRule type="cellIs" priority="153" operator="equal" aboveAverage="0" equalAverage="0" bottom="0" percent="0" rank="0" text="" dxfId="151">
      <formula>'1850'!$D$15</formula>
    </cfRule>
    <cfRule type="cellIs" priority="154" operator="lessThan" aboveAverage="0" equalAverage="0" bottom="0" percent="0" rank="0" text="" dxfId="152">
      <formula>'1850'!$D$15</formula>
    </cfRule>
  </conditionalFormatting>
  <conditionalFormatting sqref="E16">
    <cfRule type="cellIs" priority="155" operator="equal" aboveAverage="0" equalAverage="0" bottom="0" percent="0" rank="0" text="" dxfId="153">
      <formula>'1850'!$D$16</formula>
    </cfRule>
    <cfRule type="cellIs" priority="156" operator="lessThan" aboveAverage="0" equalAverage="0" bottom="0" percent="0" rank="0" text="" dxfId="154">
      <formula>'1850'!$D$16</formula>
    </cfRule>
  </conditionalFormatting>
  <conditionalFormatting sqref="E17">
    <cfRule type="cellIs" priority="157" operator="equal" aboveAverage="0" equalAverage="0" bottom="0" percent="0" rank="0" text="" dxfId="155">
      <formula>'1850'!$D$17</formula>
    </cfRule>
    <cfRule type="cellIs" priority="158" operator="lessThan" aboveAverage="0" equalAverage="0" bottom="0" percent="0" rank="0" text="" dxfId="156">
      <formula>'1850'!$D$17</formula>
    </cfRule>
  </conditionalFormatting>
  <conditionalFormatting sqref="E18">
    <cfRule type="cellIs" priority="159" operator="equal" aboveAverage="0" equalAverage="0" bottom="0" percent="0" rank="0" text="" dxfId="157">
      <formula>'1850'!$D$18</formula>
    </cfRule>
    <cfRule type="cellIs" priority="160" operator="lessThan" aboveAverage="0" equalAverage="0" bottom="0" percent="0" rank="0" text="" dxfId="158">
      <formula>'1850'!$D$18</formula>
    </cfRule>
  </conditionalFormatting>
  <conditionalFormatting sqref="E19">
    <cfRule type="cellIs" priority="161" operator="equal" aboveAverage="0" equalAverage="0" bottom="0" percent="0" rank="0" text="" dxfId="159">
      <formula>'1850'!$D$19</formula>
    </cfRule>
    <cfRule type="cellIs" priority="162" operator="lessThan" aboveAverage="0" equalAverage="0" bottom="0" percent="0" rank="0" text="" dxfId="160">
      <formula>'1850'!$D$19</formula>
    </cfRule>
  </conditionalFormatting>
  <conditionalFormatting sqref="E20">
    <cfRule type="cellIs" priority="163" operator="equal" aboveAverage="0" equalAverage="0" bottom="0" percent="0" rank="0" text="" dxfId="161">
      <formula>'1850'!$D$20</formula>
    </cfRule>
    <cfRule type="cellIs" priority="164" operator="lessThan" aboveAverage="0" equalAverage="0" bottom="0" percent="0" rank="0" text="" dxfId="162">
      <formula>'1850'!$D$20</formula>
    </cfRule>
  </conditionalFormatting>
  <conditionalFormatting sqref="E21">
    <cfRule type="cellIs" priority="165" operator="equal" aboveAverage="0" equalAverage="0" bottom="0" percent="0" rank="0" text="" dxfId="163">
      <formula>'1850'!$D$21</formula>
    </cfRule>
    <cfRule type="cellIs" priority="166" operator="lessThan" aboveAverage="0" equalAverage="0" bottom="0" percent="0" rank="0" text="" dxfId="164">
      <formula>'1850'!$D$21</formula>
    </cfRule>
  </conditionalFormatting>
  <conditionalFormatting sqref="E22">
    <cfRule type="cellIs" priority="167" operator="equal" aboveAverage="0" equalAverage="0" bottom="0" percent="0" rank="0" text="" dxfId="165">
      <formula>'1850'!$D$22</formula>
    </cfRule>
    <cfRule type="cellIs" priority="168" operator="lessThan" aboveAverage="0" equalAverage="0" bottom="0" percent="0" rank="0" text="" dxfId="166">
      <formula>'1850'!$D$22</formula>
    </cfRule>
  </conditionalFormatting>
  <conditionalFormatting sqref="E23">
    <cfRule type="cellIs" priority="169" operator="equal" aboveAverage="0" equalAverage="0" bottom="0" percent="0" rank="0" text="" dxfId="167">
      <formula>'1850'!$D$23</formula>
    </cfRule>
    <cfRule type="cellIs" priority="170" operator="lessThan" aboveAverage="0" equalAverage="0" bottom="0" percent="0" rank="0" text="" dxfId="168">
      <formula>'1850'!$D$23</formula>
    </cfRule>
  </conditionalFormatting>
  <conditionalFormatting sqref="E25">
    <cfRule type="cellIs" priority="171" operator="equal" aboveAverage="0" equalAverage="0" bottom="0" percent="0" rank="0" text="" dxfId="169">
      <formula>'1850'!$D$25</formula>
    </cfRule>
    <cfRule type="cellIs" priority="172" operator="lessThan" aboveAverage="0" equalAverage="0" bottom="0" percent="0" rank="0" text="" dxfId="170">
      <formula>'1850'!$D$25</formula>
    </cfRule>
  </conditionalFormatting>
  <conditionalFormatting sqref="E26">
    <cfRule type="cellIs" priority="173" operator="equal" aboveAverage="0" equalAverage="0" bottom="0" percent="0" rank="0" text="" dxfId="171">
      <formula>'1850'!$D$26</formula>
    </cfRule>
    <cfRule type="cellIs" priority="174" operator="lessThan" aboveAverage="0" equalAverage="0" bottom="0" percent="0" rank="0" text="" dxfId="172">
      <formula>'1850'!$D$26</formula>
    </cfRule>
  </conditionalFormatting>
  <conditionalFormatting sqref="E27">
    <cfRule type="cellIs" priority="175" operator="equal" aboveAverage="0" equalAverage="0" bottom="0" percent="0" rank="0" text="" dxfId="173">
      <formula>'1850'!$D$27</formula>
    </cfRule>
    <cfRule type="cellIs" priority="176" operator="lessThan" aboveAverage="0" equalAverage="0" bottom="0" percent="0" rank="0" text="" dxfId="174">
      <formula>'1850'!$D$27</formula>
    </cfRule>
  </conditionalFormatting>
  <conditionalFormatting sqref="E28">
    <cfRule type="cellIs" priority="177" operator="equal" aboveAverage="0" equalAverage="0" bottom="0" percent="0" rank="0" text="" dxfId="175">
      <formula>'1850'!$D$28</formula>
    </cfRule>
    <cfRule type="cellIs" priority="178" operator="lessThan" aboveAverage="0" equalAverage="0" bottom="0" percent="0" rank="0" text="" dxfId="176">
      <formula>'1850'!$D$28</formula>
    </cfRule>
  </conditionalFormatting>
  <conditionalFormatting sqref="F13">
    <cfRule type="cellIs" priority="179" operator="equal" aboveAverage="0" equalAverage="0" bottom="0" percent="0" rank="0" text="" dxfId="177">
      <formula>'1850'!$E$13</formula>
    </cfRule>
    <cfRule type="cellIs" priority="180" operator="lessThan" aboveAverage="0" equalAverage="0" bottom="0" percent="0" rank="0" text="" dxfId="178">
      <formula>'1850'!$E$13</formula>
    </cfRule>
  </conditionalFormatting>
  <conditionalFormatting sqref="F14">
    <cfRule type="cellIs" priority="181" operator="equal" aboveAverage="0" equalAverage="0" bottom="0" percent="0" rank="0" text="" dxfId="179">
      <formula>'1850'!$E$14</formula>
    </cfRule>
    <cfRule type="cellIs" priority="182" operator="lessThan" aboveAverage="0" equalAverage="0" bottom="0" percent="0" rank="0" text="" dxfId="180">
      <formula>'1850'!$E$14</formula>
    </cfRule>
  </conditionalFormatting>
  <conditionalFormatting sqref="F15">
    <cfRule type="cellIs" priority="183" operator="equal" aboveAverage="0" equalAverage="0" bottom="0" percent="0" rank="0" text="" dxfId="181">
      <formula>'1850'!$E$15</formula>
    </cfRule>
    <cfRule type="cellIs" priority="184" operator="lessThan" aboveAverage="0" equalAverage="0" bottom="0" percent="0" rank="0" text="" dxfId="182">
      <formula>'1850'!$E$15</formula>
    </cfRule>
  </conditionalFormatting>
  <conditionalFormatting sqref="F16">
    <cfRule type="cellIs" priority="185" operator="equal" aboveAverage="0" equalAverage="0" bottom="0" percent="0" rank="0" text="" dxfId="183">
      <formula>'1850'!$E$16</formula>
    </cfRule>
    <cfRule type="cellIs" priority="186" operator="lessThan" aboveAverage="0" equalAverage="0" bottom="0" percent="0" rank="0" text="" dxfId="184">
      <formula>'1850'!$E$16</formula>
    </cfRule>
  </conditionalFormatting>
  <conditionalFormatting sqref="F17">
    <cfRule type="cellIs" priority="187" operator="equal" aboveAverage="0" equalAverage="0" bottom="0" percent="0" rank="0" text="" dxfId="185">
      <formula>'1850'!$E$17</formula>
    </cfRule>
    <cfRule type="cellIs" priority="188" operator="lessThan" aboveAverage="0" equalAverage="0" bottom="0" percent="0" rank="0" text="" dxfId="186">
      <formula>'1850'!$E$17</formula>
    </cfRule>
  </conditionalFormatting>
  <conditionalFormatting sqref="F18">
    <cfRule type="cellIs" priority="189" operator="equal" aboveAverage="0" equalAverage="0" bottom="0" percent="0" rank="0" text="" dxfId="187">
      <formula>'1850'!$E$18</formula>
    </cfRule>
    <cfRule type="cellIs" priority="190" operator="lessThan" aboveAverage="0" equalAverage="0" bottom="0" percent="0" rank="0" text="" dxfId="188">
      <formula>'1850'!$E$18</formula>
    </cfRule>
  </conditionalFormatting>
  <conditionalFormatting sqref="F19">
    <cfRule type="cellIs" priority="191" operator="equal" aboveAverage="0" equalAverage="0" bottom="0" percent="0" rank="0" text="" dxfId="189">
      <formula>'1850'!$E$19</formula>
    </cfRule>
    <cfRule type="cellIs" priority="192" operator="lessThan" aboveAverage="0" equalAverage="0" bottom="0" percent="0" rank="0" text="" dxfId="190">
      <formula>'1850'!$E$19</formula>
    </cfRule>
  </conditionalFormatting>
  <conditionalFormatting sqref="F20">
    <cfRule type="cellIs" priority="193" operator="equal" aboveAverage="0" equalAverage="0" bottom="0" percent="0" rank="0" text="" dxfId="191">
      <formula>'1850'!$E$20</formula>
    </cfRule>
    <cfRule type="cellIs" priority="194" operator="lessThan" aboveAverage="0" equalAverage="0" bottom="0" percent="0" rank="0" text="" dxfId="192">
      <formula>'1850'!$E$20</formula>
    </cfRule>
  </conditionalFormatting>
  <conditionalFormatting sqref="F21">
    <cfRule type="cellIs" priority="195" operator="equal" aboveAverage="0" equalAverage="0" bottom="0" percent="0" rank="0" text="" dxfId="193">
      <formula>'1850'!$E$21</formula>
    </cfRule>
    <cfRule type="cellIs" priority="196" operator="lessThan" aboveAverage="0" equalAverage="0" bottom="0" percent="0" rank="0" text="" dxfId="194">
      <formula>'1850'!$E$21</formula>
    </cfRule>
  </conditionalFormatting>
  <conditionalFormatting sqref="F22">
    <cfRule type="cellIs" priority="197" operator="equal" aboveAverage="0" equalAverage="0" bottom="0" percent="0" rank="0" text="" dxfId="195">
      <formula>'1850'!$E$22</formula>
    </cfRule>
    <cfRule type="cellIs" priority="198" operator="lessThan" aboveAverage="0" equalAverage="0" bottom="0" percent="0" rank="0" text="" dxfId="196">
      <formula>'1850'!$E$22</formula>
    </cfRule>
  </conditionalFormatting>
  <conditionalFormatting sqref="F23">
    <cfRule type="cellIs" priority="199" operator="equal" aboveAverage="0" equalAverage="0" bottom="0" percent="0" rank="0" text="" dxfId="197">
      <formula>'1850'!$E$23</formula>
    </cfRule>
    <cfRule type="cellIs" priority="200" operator="lessThan" aboveAverage="0" equalAverage="0" bottom="0" percent="0" rank="0" text="" dxfId="198">
      <formula>'1850'!$E$23</formula>
    </cfRule>
  </conditionalFormatting>
  <conditionalFormatting sqref="F25">
    <cfRule type="cellIs" priority="201" operator="equal" aboveAverage="0" equalAverage="0" bottom="0" percent="0" rank="0" text="" dxfId="199">
      <formula>'1850'!$E$25</formula>
    </cfRule>
    <cfRule type="cellIs" priority="202" operator="lessThan" aboveAverage="0" equalAverage="0" bottom="0" percent="0" rank="0" text="" dxfId="200">
      <formula>'1850'!$E$25</formula>
    </cfRule>
  </conditionalFormatting>
  <conditionalFormatting sqref="F26">
    <cfRule type="cellIs" priority="203" operator="equal" aboveAverage="0" equalAverage="0" bottom="0" percent="0" rank="0" text="" dxfId="201">
      <formula>'1850'!$E$26</formula>
    </cfRule>
    <cfRule type="cellIs" priority="204" operator="lessThan" aboveAverage="0" equalAverage="0" bottom="0" percent="0" rank="0" text="" dxfId="202">
      <formula>'1850'!$E$26</formula>
    </cfRule>
  </conditionalFormatting>
  <conditionalFormatting sqref="F27">
    <cfRule type="cellIs" priority="205" operator="equal" aboveAverage="0" equalAverage="0" bottom="0" percent="0" rank="0" text="" dxfId="203">
      <formula>'1850'!$E$27</formula>
    </cfRule>
    <cfRule type="cellIs" priority="206" operator="lessThan" aboveAverage="0" equalAverage="0" bottom="0" percent="0" rank="0" text="" dxfId="204">
      <formula>'1850'!$E$27</formula>
    </cfRule>
  </conditionalFormatting>
  <conditionalFormatting sqref="F28">
    <cfRule type="cellIs" priority="207" operator="equal" aboveAverage="0" equalAverage="0" bottom="0" percent="0" rank="0" text="" dxfId="205">
      <formula>'1850'!$E$28</formula>
    </cfRule>
    <cfRule type="cellIs" priority="208" operator="lessThan" aboveAverage="0" equalAverage="0" bottom="0" percent="0" rank="0" text="" dxfId="206">
      <formula>'1850'!$E$28</formula>
    </cfRule>
  </conditionalFormatting>
  <conditionalFormatting sqref="G13">
    <cfRule type="cellIs" priority="209" operator="equal" aboveAverage="0" equalAverage="0" bottom="0" percent="0" rank="0" text="" dxfId="207">
      <formula>'1850'!$F$13</formula>
    </cfRule>
    <cfRule type="cellIs" priority="210" operator="lessThan" aboveAverage="0" equalAverage="0" bottom="0" percent="0" rank="0" text="" dxfId="208">
      <formula>'1850'!$F$13</formula>
    </cfRule>
  </conditionalFormatting>
  <conditionalFormatting sqref="G14">
    <cfRule type="cellIs" priority="211" operator="equal" aboveAverage="0" equalAverage="0" bottom="0" percent="0" rank="0" text="" dxfId="209">
      <formula>'1850'!$F$14</formula>
    </cfRule>
    <cfRule type="cellIs" priority="212" operator="lessThan" aboveAverage="0" equalAverage="0" bottom="0" percent="0" rank="0" text="" dxfId="210">
      <formula>'1850'!$F$14</formula>
    </cfRule>
  </conditionalFormatting>
  <conditionalFormatting sqref="G15">
    <cfRule type="cellIs" priority="213" operator="equal" aboveAverage="0" equalAverage="0" bottom="0" percent="0" rank="0" text="" dxfId="211">
      <formula>'1850'!$F$15</formula>
    </cfRule>
    <cfRule type="cellIs" priority="214" operator="lessThan" aboveAverage="0" equalAverage="0" bottom="0" percent="0" rank="0" text="" dxfId="212">
      <formula>'1850'!$F$15</formula>
    </cfRule>
  </conditionalFormatting>
  <conditionalFormatting sqref="G16">
    <cfRule type="cellIs" priority="215" operator="equal" aboveAverage="0" equalAverage="0" bottom="0" percent="0" rank="0" text="" dxfId="213">
      <formula>'1850'!$F$16</formula>
    </cfRule>
    <cfRule type="cellIs" priority="216" operator="lessThan" aboveAverage="0" equalAverage="0" bottom="0" percent="0" rank="0" text="" dxfId="214">
      <formula>'1850'!$F$16</formula>
    </cfRule>
  </conditionalFormatting>
  <conditionalFormatting sqref="G17">
    <cfRule type="cellIs" priority="217" operator="equal" aboveAverage="0" equalAverage="0" bottom="0" percent="0" rank="0" text="" dxfId="215">
      <formula>'1850'!$F$17</formula>
    </cfRule>
    <cfRule type="cellIs" priority="218" operator="lessThan" aboveAverage="0" equalAverage="0" bottom="0" percent="0" rank="0" text="" dxfId="216">
      <formula>'1850'!$F$17</formula>
    </cfRule>
  </conditionalFormatting>
  <conditionalFormatting sqref="G18">
    <cfRule type="cellIs" priority="219" operator="equal" aboveAverage="0" equalAverage="0" bottom="0" percent="0" rank="0" text="" dxfId="217">
      <formula>'1850'!$F$18</formula>
    </cfRule>
    <cfRule type="cellIs" priority="220" operator="lessThan" aboveAverage="0" equalAverage="0" bottom="0" percent="0" rank="0" text="" dxfId="218">
      <formula>'1850'!$F$18</formula>
    </cfRule>
  </conditionalFormatting>
  <conditionalFormatting sqref="G19">
    <cfRule type="cellIs" priority="221" operator="equal" aboveAverage="0" equalAverage="0" bottom="0" percent="0" rank="0" text="" dxfId="219">
      <formula>'1850'!$F$19</formula>
    </cfRule>
    <cfRule type="cellIs" priority="222" operator="lessThan" aboveAverage="0" equalAverage="0" bottom="0" percent="0" rank="0" text="" dxfId="220">
      <formula>'1850'!$F$19</formula>
    </cfRule>
  </conditionalFormatting>
  <conditionalFormatting sqref="G20">
    <cfRule type="cellIs" priority="223" operator="equal" aboveAverage="0" equalAverage="0" bottom="0" percent="0" rank="0" text="" dxfId="221">
      <formula>'1850'!$F$20</formula>
    </cfRule>
    <cfRule type="cellIs" priority="224" operator="lessThan" aboveAverage="0" equalAverage="0" bottom="0" percent="0" rank="0" text="" dxfId="222">
      <formula>'1850'!$F$20</formula>
    </cfRule>
  </conditionalFormatting>
  <conditionalFormatting sqref="G21">
    <cfRule type="cellIs" priority="225" operator="equal" aboveAverage="0" equalAverage="0" bottom="0" percent="0" rank="0" text="" dxfId="223">
      <formula>'1850'!$F$21</formula>
    </cfRule>
    <cfRule type="cellIs" priority="226" operator="lessThan" aboveAverage="0" equalAverage="0" bottom="0" percent="0" rank="0" text="" dxfId="224">
      <formula>'1850'!$F$21</formula>
    </cfRule>
  </conditionalFormatting>
  <conditionalFormatting sqref="G22">
    <cfRule type="cellIs" priority="227" operator="equal" aboveAverage="0" equalAverage="0" bottom="0" percent="0" rank="0" text="" dxfId="225">
      <formula>'1850'!$F$22</formula>
    </cfRule>
    <cfRule type="cellIs" priority="228" operator="lessThan" aboveAverage="0" equalAverage="0" bottom="0" percent="0" rank="0" text="" dxfId="226">
      <formula>'1850'!$F$22</formula>
    </cfRule>
  </conditionalFormatting>
  <conditionalFormatting sqref="G23">
    <cfRule type="cellIs" priority="229" operator="equal" aboveAverage="0" equalAverage="0" bottom="0" percent="0" rank="0" text="" dxfId="227">
      <formula>'1850'!$F$23</formula>
    </cfRule>
    <cfRule type="cellIs" priority="230" operator="lessThan" aboveAverage="0" equalAverage="0" bottom="0" percent="0" rank="0" text="" dxfId="228">
      <formula>'1850'!$F$23</formula>
    </cfRule>
  </conditionalFormatting>
  <conditionalFormatting sqref="G25">
    <cfRule type="cellIs" priority="231" operator="equal" aboveAverage="0" equalAverage="0" bottom="0" percent="0" rank="0" text="" dxfId="229">
      <formula>'1850'!$F$25</formula>
    </cfRule>
    <cfRule type="cellIs" priority="232" operator="lessThan" aboveAverage="0" equalAverage="0" bottom="0" percent="0" rank="0" text="" dxfId="230">
      <formula>'1850'!$F$25</formula>
    </cfRule>
  </conditionalFormatting>
  <conditionalFormatting sqref="G26">
    <cfRule type="cellIs" priority="233" operator="equal" aboveAverage="0" equalAverage="0" bottom="0" percent="0" rank="0" text="" dxfId="231">
      <formula>'1850'!$F$26</formula>
    </cfRule>
    <cfRule type="cellIs" priority="234" operator="lessThan" aboveAverage="0" equalAverage="0" bottom="0" percent="0" rank="0" text="" dxfId="232">
      <formula>'1850'!$F$26</formula>
    </cfRule>
  </conditionalFormatting>
  <conditionalFormatting sqref="G27">
    <cfRule type="cellIs" priority="235" operator="equal" aboveAverage="0" equalAverage="0" bottom="0" percent="0" rank="0" text="" dxfId="233">
      <formula>'1850'!$F$27</formula>
    </cfRule>
    <cfRule type="cellIs" priority="236" operator="lessThan" aboveAverage="0" equalAverage="0" bottom="0" percent="0" rank="0" text="" dxfId="234">
      <formula>'1850'!$F$27</formula>
    </cfRule>
  </conditionalFormatting>
  <conditionalFormatting sqref="G28">
    <cfRule type="cellIs" priority="237" operator="equal" aboveAverage="0" equalAverage="0" bottom="0" percent="0" rank="0" text="" dxfId="235">
      <formula>'1850'!$F$28</formula>
    </cfRule>
    <cfRule type="cellIs" priority="238" operator="lessThan" aboveAverage="0" equalAverage="0" bottom="0" percent="0" rank="0" text="" dxfId="236">
      <formula>'1850'!$F$28</formula>
    </cfRule>
  </conditionalFormatting>
  <conditionalFormatting sqref="D13">
    <cfRule type="cellIs" priority="239" operator="equal" aboveAverage="0" equalAverage="0" bottom="0" percent="0" rank="0" text="" dxfId="237">
      <formula>'1850'!$C$13</formula>
    </cfRule>
    <cfRule type="cellIs" priority="240" operator="lessThan" aboveAverage="0" equalAverage="0" bottom="0" percent="0" rank="0" text="" dxfId="238">
      <formula>'1850'!$C$13</formula>
    </cfRule>
  </conditionalFormatting>
  <conditionalFormatting sqref="H13">
    <cfRule type="cellIs" priority="241" operator="equal" aboveAverage="0" equalAverage="0" bottom="0" percent="0" rank="0" text="" dxfId="239">
      <formula>'1850'!$G$13</formula>
    </cfRule>
    <cfRule type="cellIs" priority="242" operator="lessThan" aboveAverage="0" equalAverage="0" bottom="0" percent="0" rank="0" text="" dxfId="240">
      <formula>'1850'!$G$13</formula>
    </cfRule>
  </conditionalFormatting>
  <conditionalFormatting sqref="H14">
    <cfRule type="cellIs" priority="243" operator="equal" aboveAverage="0" equalAverage="0" bottom="0" percent="0" rank="0" text="" dxfId="241">
      <formula>'1850'!$G$14</formula>
    </cfRule>
    <cfRule type="cellIs" priority="244" operator="lessThan" aboveAverage="0" equalAverage="0" bottom="0" percent="0" rank="0" text="" dxfId="242">
      <formula>'1850'!$G$14</formula>
    </cfRule>
  </conditionalFormatting>
  <conditionalFormatting sqref="H15">
    <cfRule type="cellIs" priority="245" operator="equal" aboveAverage="0" equalAverage="0" bottom="0" percent="0" rank="0" text="" dxfId="243">
      <formula>'1850'!$G$15</formula>
    </cfRule>
    <cfRule type="cellIs" priority="246" operator="lessThan" aboveAverage="0" equalAverage="0" bottom="0" percent="0" rank="0" text="" dxfId="244">
      <formula>'1850'!$G$15</formula>
    </cfRule>
  </conditionalFormatting>
  <conditionalFormatting sqref="H16">
    <cfRule type="cellIs" priority="247" operator="equal" aboveAverage="0" equalAverage="0" bottom="0" percent="0" rank="0" text="" dxfId="245">
      <formula>'1850'!$G$16</formula>
    </cfRule>
    <cfRule type="cellIs" priority="248" operator="lessThan" aboveAverage="0" equalAverage="0" bottom="0" percent="0" rank="0" text="" dxfId="246">
      <formula>'1850'!$G$16</formula>
    </cfRule>
  </conditionalFormatting>
  <conditionalFormatting sqref="H17">
    <cfRule type="cellIs" priority="249" operator="equal" aboveAverage="0" equalAverage="0" bottom="0" percent="0" rank="0" text="" dxfId="247">
      <formula>'1850'!$G$17</formula>
    </cfRule>
    <cfRule type="cellIs" priority="250" operator="lessThan" aboveAverage="0" equalAverage="0" bottom="0" percent="0" rank="0" text="" dxfId="248">
      <formula>'1850'!$G$17</formula>
    </cfRule>
  </conditionalFormatting>
  <conditionalFormatting sqref="H18">
    <cfRule type="cellIs" priority="251" operator="equal" aboveAverage="0" equalAverage="0" bottom="0" percent="0" rank="0" text="" dxfId="249">
      <formula>'1850'!$G$18</formula>
    </cfRule>
    <cfRule type="cellIs" priority="252" operator="lessThan" aboveAverage="0" equalAverage="0" bottom="0" percent="0" rank="0" text="" dxfId="250">
      <formula>'1850'!$G$18</formula>
    </cfRule>
  </conditionalFormatting>
  <conditionalFormatting sqref="H19">
    <cfRule type="cellIs" priority="253" operator="equal" aboveAverage="0" equalAverage="0" bottom="0" percent="0" rank="0" text="" dxfId="251">
      <formula>'1850'!$G$19</formula>
    </cfRule>
    <cfRule type="cellIs" priority="254" operator="lessThan" aboveAverage="0" equalAverage="0" bottom="0" percent="0" rank="0" text="" dxfId="252">
      <formula>'1850'!$G$19</formula>
    </cfRule>
  </conditionalFormatting>
  <conditionalFormatting sqref="H20">
    <cfRule type="cellIs" priority="255" operator="equal" aboveAverage="0" equalAverage="0" bottom="0" percent="0" rank="0" text="" dxfId="253">
      <formula>'1850'!$G$20</formula>
    </cfRule>
    <cfRule type="cellIs" priority="256" operator="lessThan" aboveAverage="0" equalAverage="0" bottom="0" percent="0" rank="0" text="" dxfId="254">
      <formula>'1850'!$G$20</formula>
    </cfRule>
  </conditionalFormatting>
  <conditionalFormatting sqref="H21">
    <cfRule type="cellIs" priority="257" operator="equal" aboveAverage="0" equalAverage="0" bottom="0" percent="0" rank="0" text="" dxfId="255">
      <formula>'1850'!$G$21</formula>
    </cfRule>
    <cfRule type="cellIs" priority="258" operator="lessThan" aboveAverage="0" equalAverage="0" bottom="0" percent="0" rank="0" text="" dxfId="256">
      <formula>'1850'!$G$21</formula>
    </cfRule>
  </conditionalFormatting>
  <conditionalFormatting sqref="H22">
    <cfRule type="cellIs" priority="259" operator="equal" aboveAverage="0" equalAverage="0" bottom="0" percent="0" rank="0" text="" dxfId="257">
      <formula>'1850'!$G$22</formula>
    </cfRule>
    <cfRule type="cellIs" priority="260" operator="lessThan" aboveAverage="0" equalAverage="0" bottom="0" percent="0" rank="0" text="" dxfId="258">
      <formula>'1850'!$G$22</formula>
    </cfRule>
  </conditionalFormatting>
  <conditionalFormatting sqref="H23">
    <cfRule type="cellIs" priority="261" operator="equal" aboveAverage="0" equalAverage="0" bottom="0" percent="0" rank="0" text="" dxfId="259">
      <formula>'1850'!$G$23</formula>
    </cfRule>
    <cfRule type="cellIs" priority="262" operator="lessThan" aboveAverage="0" equalAverage="0" bottom="0" percent="0" rank="0" text="" dxfId="260">
      <formula>'1850'!$G$23</formula>
    </cfRule>
  </conditionalFormatting>
  <conditionalFormatting sqref="H25">
    <cfRule type="cellIs" priority="263" operator="equal" aboveAverage="0" equalAverage="0" bottom="0" percent="0" rank="0" text="" dxfId="261">
      <formula>'1850'!$G$25</formula>
    </cfRule>
    <cfRule type="cellIs" priority="264" operator="lessThan" aboveAverage="0" equalAverage="0" bottom="0" percent="0" rank="0" text="" dxfId="262">
      <formula>'1850'!$G$25</formula>
    </cfRule>
  </conditionalFormatting>
  <conditionalFormatting sqref="H26">
    <cfRule type="cellIs" priority="265" operator="equal" aboveAverage="0" equalAverage="0" bottom="0" percent="0" rank="0" text="" dxfId="263">
      <formula>'1850'!$G$26</formula>
    </cfRule>
    <cfRule type="cellIs" priority="266" operator="lessThan" aboveAverage="0" equalAverage="0" bottom="0" percent="0" rank="0" text="" dxfId="264">
      <formula>'1850'!$G$26</formula>
    </cfRule>
  </conditionalFormatting>
  <conditionalFormatting sqref="H27">
    <cfRule type="cellIs" priority="267" operator="equal" aboveAverage="0" equalAverage="0" bottom="0" percent="0" rank="0" text="" dxfId="265">
      <formula>'1850'!$G$27</formula>
    </cfRule>
    <cfRule type="cellIs" priority="268" operator="lessThan" aboveAverage="0" equalAverage="0" bottom="0" percent="0" rank="0" text="" dxfId="266">
      <formula>'1850'!$G$27</formula>
    </cfRule>
  </conditionalFormatting>
  <conditionalFormatting sqref="H28">
    <cfRule type="cellIs" priority="269" operator="equal" aboveAverage="0" equalAverage="0" bottom="0" percent="0" rank="0" text="" dxfId="267">
      <formula>'1850'!$G$28</formula>
    </cfRule>
    <cfRule type="cellIs" priority="270" operator="lessThan" aboveAverage="0" equalAverage="0" bottom="0" percent="0" rank="0" text="" dxfId="268">
      <formula>'1850'!$G$28</formula>
    </cfRule>
  </conditionalFormatting>
  <conditionalFormatting sqref="D24">
    <cfRule type="cellIs" priority="271" operator="equal" aboveAverage="0" equalAverage="0" bottom="0" percent="0" rank="0" text="" dxfId="269">
      <formula>'1850'!$C$24</formula>
    </cfRule>
    <cfRule type="cellIs" priority="272" operator="lessThan" aboveAverage="0" equalAverage="0" bottom="0" percent="0" rank="0" text="" dxfId="270">
      <formula>'1850'!$C$24</formula>
    </cfRule>
  </conditionalFormatting>
  <conditionalFormatting sqref="E24">
    <cfRule type="cellIs" priority="273" operator="equal" aboveAverage="0" equalAverage="0" bottom="0" percent="0" rank="0" text="" dxfId="271">
      <formula>'1850'!$D$24</formula>
    </cfRule>
    <cfRule type="cellIs" priority="274" operator="lessThan" aboveAverage="0" equalAverage="0" bottom="0" percent="0" rank="0" text="" dxfId="272">
      <formula>'1850'!$D$24</formula>
    </cfRule>
  </conditionalFormatting>
  <conditionalFormatting sqref="F24">
    <cfRule type="cellIs" priority="275" operator="equal" aboveAverage="0" equalAverage="0" bottom="0" percent="0" rank="0" text="" dxfId="273">
      <formula>'1850'!$E$24</formula>
    </cfRule>
    <cfRule type="cellIs" priority="276" operator="lessThan" aboveAverage="0" equalAverage="0" bottom="0" percent="0" rank="0" text="" dxfId="274">
      <formula>'1850'!$E$24</formula>
    </cfRule>
  </conditionalFormatting>
  <conditionalFormatting sqref="G24">
    <cfRule type="cellIs" priority="277" operator="equal" aboveAverage="0" equalAverage="0" bottom="0" percent="0" rank="0" text="" dxfId="275">
      <formula>'1850'!$F$24</formula>
    </cfRule>
    <cfRule type="cellIs" priority="278" operator="lessThan" aboveAverage="0" equalAverage="0" bottom="0" percent="0" rank="0" text="" dxfId="276">
      <formula>'1850'!$F$24</formula>
    </cfRule>
  </conditionalFormatting>
  <conditionalFormatting sqref="H24">
    <cfRule type="cellIs" priority="279" operator="equal" aboveAverage="0" equalAverage="0" bottom="0" percent="0" rank="0" text="" dxfId="277">
      <formula>'1850'!$G$24</formula>
    </cfRule>
    <cfRule type="cellIs" priority="280" operator="lessThan" aboveAverage="0" equalAverage="0" bottom="0" percent="0" rank="0" text="" dxfId="278">
      <formula>'1850'!$G$24</formula>
    </cfRule>
  </conditionalFormatting>
  <conditionalFormatting sqref="E5">
    <cfRule type="cellIs" priority="281" operator="equal" aboveAverage="0" equalAverage="0" bottom="0" percent="0" rank="0" text="" dxfId="279">
      <formula>'1850'!$D$5</formula>
    </cfRule>
    <cfRule type="cellIs" priority="282" operator="lessThan" aboveAverage="0" equalAverage="0" bottom="0" percent="0" rank="0" text="" dxfId="280">
      <formula>'1850'!$D$5</formula>
    </cfRule>
  </conditionalFormatting>
  <conditionalFormatting sqref="G5">
    <cfRule type="cellIs" priority="283" operator="equal" aboveAverage="0" equalAverage="0" bottom="0" percent="0" rank="0" text="" dxfId="281">
      <formula>'1850'!$F$5</formula>
    </cfRule>
    <cfRule type="cellIs" priority="284" operator="lessThan" aboveAverage="0" equalAverage="0" bottom="0" percent="0" rank="0" text="" dxfId="282">
      <formula>'1850'!$F$5</formula>
    </cfRule>
  </conditionalFormatting>
  <conditionalFormatting sqref="G4">
    <cfRule type="cellIs" priority="285" operator="equal" aboveAverage="0" equalAverage="0" bottom="0" percent="0" rank="0" text="" dxfId="283">
      <formula>'1850'!$F$4</formula>
    </cfRule>
  </conditionalFormatting>
  <conditionalFormatting sqref="D29:H29 J29">
    <cfRule type="cellIs" priority="286" operator="equal" aboveAverage="0" equalAverage="0" bottom="0" percent="0" rank="0" text="" dxfId="284">
      <formula>0</formula>
    </cfRule>
  </conditionalFormatting>
  <conditionalFormatting sqref="I13">
    <cfRule type="cellIs" priority="287" operator="equal" aboveAverage="0" equalAverage="0" bottom="0" percent="0" rank="0" text="" dxfId="285">
      <formula>'1850'!$H$13</formula>
    </cfRule>
    <cfRule type="cellIs" priority="288" operator="lessThan" aboveAverage="0" equalAverage="0" bottom="0" percent="0" rank="0" text="" dxfId="286">
      <formula>'1850'!$H$13</formula>
    </cfRule>
  </conditionalFormatting>
  <conditionalFormatting sqref="I14">
    <cfRule type="cellIs" priority="289" operator="equal" aboveAverage="0" equalAverage="0" bottom="0" percent="0" rank="0" text="" dxfId="287">
      <formula>'1850'!$H$14</formula>
    </cfRule>
    <cfRule type="cellIs" priority="290" operator="lessThan" aboveAverage="0" equalAverage="0" bottom="0" percent="0" rank="0" text="" dxfId="288">
      <formula>'1850'!$H$14</formula>
    </cfRule>
  </conditionalFormatting>
  <conditionalFormatting sqref="I15">
    <cfRule type="cellIs" priority="291" operator="equal" aboveAverage="0" equalAverage="0" bottom="0" percent="0" rank="0" text="" dxfId="289">
      <formula>'1850'!$H$15</formula>
    </cfRule>
    <cfRule type="cellIs" priority="292" operator="lessThan" aboveAverage="0" equalAverage="0" bottom="0" percent="0" rank="0" text="" dxfId="290">
      <formula>'1850'!$H$15</formula>
    </cfRule>
  </conditionalFormatting>
  <conditionalFormatting sqref="I16">
    <cfRule type="cellIs" priority="293" operator="equal" aboveAverage="0" equalAverage="0" bottom="0" percent="0" rank="0" text="" dxfId="291">
      <formula>'1850'!$H$16</formula>
    </cfRule>
    <cfRule type="cellIs" priority="294" operator="lessThan" aboveAverage="0" equalAverage="0" bottom="0" percent="0" rank="0" text="" dxfId="292">
      <formula>'1850'!$H$16</formula>
    </cfRule>
  </conditionalFormatting>
  <conditionalFormatting sqref="I17">
    <cfRule type="cellIs" priority="295" operator="equal" aboveAverage="0" equalAverage="0" bottom="0" percent="0" rank="0" text="" dxfId="293">
      <formula>'1850'!$H$17</formula>
    </cfRule>
    <cfRule type="cellIs" priority="296" operator="lessThan" aboveAverage="0" equalAverage="0" bottom="0" percent="0" rank="0" text="" dxfId="294">
      <formula>'1850'!$H$17</formula>
    </cfRule>
  </conditionalFormatting>
  <conditionalFormatting sqref="I18">
    <cfRule type="cellIs" priority="297" operator="equal" aboveAverage="0" equalAverage="0" bottom="0" percent="0" rank="0" text="" dxfId="295">
      <formula>'1850'!$H$18</formula>
    </cfRule>
    <cfRule type="cellIs" priority="298" operator="lessThan" aboveAverage="0" equalAverage="0" bottom="0" percent="0" rank="0" text="" dxfId="296">
      <formula>'1850'!$H$18</formula>
    </cfRule>
  </conditionalFormatting>
  <conditionalFormatting sqref="I19">
    <cfRule type="cellIs" priority="299" operator="equal" aboveAverage="0" equalAverage="0" bottom="0" percent="0" rank="0" text="" dxfId="297">
      <formula>'1850'!$H$19</formula>
    </cfRule>
    <cfRule type="cellIs" priority="300" operator="lessThan" aboveAverage="0" equalAverage="0" bottom="0" percent="0" rank="0" text="" dxfId="298">
      <formula>'1850'!$H$19</formula>
    </cfRule>
  </conditionalFormatting>
  <conditionalFormatting sqref="I20">
    <cfRule type="cellIs" priority="301" operator="equal" aboveAverage="0" equalAverage="0" bottom="0" percent="0" rank="0" text="" dxfId="299">
      <formula>'1850'!$H$20</formula>
    </cfRule>
    <cfRule type="cellIs" priority="302" operator="lessThan" aboveAverage="0" equalAverage="0" bottom="0" percent="0" rank="0" text="" dxfId="300">
      <formula>'1850'!$H$20</formula>
    </cfRule>
  </conditionalFormatting>
  <conditionalFormatting sqref="I21">
    <cfRule type="cellIs" priority="303" operator="equal" aboveAverage="0" equalAverage="0" bottom="0" percent="0" rank="0" text="" dxfId="301">
      <formula>'1850'!$H$21</formula>
    </cfRule>
    <cfRule type="cellIs" priority="304" operator="lessThan" aboveAverage="0" equalAverage="0" bottom="0" percent="0" rank="0" text="" dxfId="302">
      <formula>'1850'!$H$21</formula>
    </cfRule>
  </conditionalFormatting>
  <conditionalFormatting sqref="I22">
    <cfRule type="cellIs" priority="305" operator="equal" aboveAverage="0" equalAverage="0" bottom="0" percent="0" rank="0" text="" dxfId="303">
      <formula>'1850'!$H$22</formula>
    </cfRule>
    <cfRule type="cellIs" priority="306" operator="lessThan" aboveAverage="0" equalAverage="0" bottom="0" percent="0" rank="0" text="" dxfId="304">
      <formula>'1850'!$H$22</formula>
    </cfRule>
  </conditionalFormatting>
  <conditionalFormatting sqref="I23">
    <cfRule type="cellIs" priority="307" operator="equal" aboveAverage="0" equalAverage="0" bottom="0" percent="0" rank="0" text="" dxfId="305">
      <formula>'1850'!$H$23</formula>
    </cfRule>
    <cfRule type="cellIs" priority="308" operator="lessThan" aboveAverage="0" equalAverage="0" bottom="0" percent="0" rank="0" text="" dxfId="306">
      <formula>'1850'!$H$23</formula>
    </cfRule>
  </conditionalFormatting>
  <conditionalFormatting sqref="I24">
    <cfRule type="cellIs" priority="309" operator="equal" aboveAverage="0" equalAverage="0" bottom="0" percent="0" rank="0" text="" dxfId="307">
      <formula>'1850'!$H$24</formula>
    </cfRule>
    <cfRule type="cellIs" priority="310" operator="lessThan" aboveAverage="0" equalAverage="0" bottom="0" percent="0" rank="0" text="" dxfId="308">
      <formula>'1850'!$H$24</formula>
    </cfRule>
  </conditionalFormatting>
  <conditionalFormatting sqref="I25">
    <cfRule type="cellIs" priority="311" operator="equal" aboveAverage="0" equalAverage="0" bottom="0" percent="0" rank="0" text="" dxfId="309">
      <formula>'1850'!$H$25</formula>
    </cfRule>
    <cfRule type="cellIs" priority="312" operator="lessThan" aboveAverage="0" equalAverage="0" bottom="0" percent="0" rank="0" text="" dxfId="310">
      <formula>'1850'!$H$25</formula>
    </cfRule>
  </conditionalFormatting>
  <conditionalFormatting sqref="I26">
    <cfRule type="cellIs" priority="313" operator="equal" aboveAverage="0" equalAverage="0" bottom="0" percent="0" rank="0" text="" dxfId="311">
      <formula>'1850'!$H$26</formula>
    </cfRule>
    <cfRule type="cellIs" priority="314" operator="lessThan" aboveAverage="0" equalAverage="0" bottom="0" percent="0" rank="0" text="" dxfId="312">
      <formula>'1850'!$H$26</formula>
    </cfRule>
  </conditionalFormatting>
  <conditionalFormatting sqref="I27">
    <cfRule type="cellIs" priority="315" operator="equal" aboveAverage="0" equalAverage="0" bottom="0" percent="0" rank="0" text="" dxfId="313">
      <formula>'1850'!$H$27</formula>
    </cfRule>
    <cfRule type="cellIs" priority="316" operator="lessThan" aboveAverage="0" equalAverage="0" bottom="0" percent="0" rank="0" text="" dxfId="314">
      <formula>'1850'!$H$27</formula>
    </cfRule>
    <cfRule type="cellIs" priority="317" operator="lessThan" aboveAverage="0" equalAverage="0" bottom="0" percent="0" rank="0" text="" dxfId="315">
      <formula>'1850'!$H$27</formula>
    </cfRule>
  </conditionalFormatting>
  <conditionalFormatting sqref="I28">
    <cfRule type="cellIs" priority="318" operator="equal" aboveAverage="0" equalAverage="0" bottom="0" percent="0" rank="0" text="" dxfId="316">
      <formula>'1850'!$H$28</formula>
    </cfRule>
    <cfRule type="cellIs" priority="319" operator="lessThan" aboveAverage="0" equalAverage="0" bottom="0" percent="0" rank="0" text="" dxfId="317">
      <formula>'1850'!$H$28</formula>
    </cfRule>
  </conditionalFormatting>
  <conditionalFormatting sqref="I29">
    <cfRule type="cellIs" priority="320" operator="equal" aboveAverage="0" equalAverage="0" bottom="0" percent="0" rank="0" text="" dxfId="318">
      <formula>'1850'!$H$29</formula>
    </cfRule>
    <cfRule type="cellIs" priority="321" operator="lessThan" aboveAverage="0" equalAverage="0" bottom="0" percent="0" rank="0" text="" dxfId="319">
      <formula>'1850'!$H$29</formula>
    </cfRule>
  </conditionalFormatting>
  <conditionalFormatting sqref="J13">
    <cfRule type="cellIs" priority="322" operator="equal" aboveAverage="0" equalAverage="0" bottom="0" percent="0" rank="0" text="" dxfId="320">
      <formula>'1850'!$I$13</formula>
    </cfRule>
    <cfRule type="cellIs" priority="323" operator="lessThan" aboveAverage="0" equalAverage="0" bottom="0" percent="0" rank="0" text="" dxfId="321">
      <formula>'1850'!$I$13</formula>
    </cfRule>
  </conditionalFormatting>
  <conditionalFormatting sqref="J14">
    <cfRule type="cellIs" priority="324" operator="equal" aboveAverage="0" equalAverage="0" bottom="0" percent="0" rank="0" text="" dxfId="322">
      <formula>'1850'!$I$14</formula>
    </cfRule>
    <cfRule type="cellIs" priority="325" operator="lessThan" aboveAverage="0" equalAverage="0" bottom="0" percent="0" rank="0" text="" dxfId="323">
      <formula>'1850'!$I$14</formula>
    </cfRule>
  </conditionalFormatting>
  <conditionalFormatting sqref="J15">
    <cfRule type="cellIs" priority="326" operator="equal" aboveAverage="0" equalAverage="0" bottom="0" percent="0" rank="0" text="" dxfId="324">
      <formula>'1850'!$I$15</formula>
    </cfRule>
    <cfRule type="cellIs" priority="327" operator="lessThan" aboveAverage="0" equalAverage="0" bottom="0" percent="0" rank="0" text="" dxfId="325">
      <formula>'1850'!$I$15</formula>
    </cfRule>
  </conditionalFormatting>
  <conditionalFormatting sqref="J16">
    <cfRule type="cellIs" priority="328" operator="equal" aboveAverage="0" equalAverage="0" bottom="0" percent="0" rank="0" text="" dxfId="326">
      <formula>'1850'!$I$16</formula>
    </cfRule>
    <cfRule type="cellIs" priority="329" operator="lessThan" aboveAverage="0" equalAverage="0" bottom="0" percent="0" rank="0" text="" dxfId="327">
      <formula>'1850'!$I$16</formula>
    </cfRule>
  </conditionalFormatting>
  <conditionalFormatting sqref="J17">
    <cfRule type="cellIs" priority="330" operator="equal" aboveAverage="0" equalAverage="0" bottom="0" percent="0" rank="0" text="" dxfId="328">
      <formula>'1850'!$I$17</formula>
    </cfRule>
    <cfRule type="cellIs" priority="331" operator="lessThan" aboveAverage="0" equalAverage="0" bottom="0" percent="0" rank="0" text="" dxfId="329">
      <formula>'1850'!$I$17</formula>
    </cfRule>
  </conditionalFormatting>
  <conditionalFormatting sqref="J18">
    <cfRule type="cellIs" priority="332" operator="equal" aboveAverage="0" equalAverage="0" bottom="0" percent="0" rank="0" text="" dxfId="330">
      <formula>'1850'!$I$18</formula>
    </cfRule>
    <cfRule type="cellIs" priority="333" operator="lessThan" aboveAverage="0" equalAverage="0" bottom="0" percent="0" rank="0" text="" dxfId="331">
      <formula>'1850'!$I$18</formula>
    </cfRule>
  </conditionalFormatting>
  <conditionalFormatting sqref="J19">
    <cfRule type="cellIs" priority="334" operator="equal" aboveAverage="0" equalAverage="0" bottom="0" percent="0" rank="0" text="" dxfId="332">
      <formula>'1850'!$I$19</formula>
    </cfRule>
    <cfRule type="cellIs" priority="335" operator="lessThan" aboveAverage="0" equalAverage="0" bottom="0" percent="0" rank="0" text="" dxfId="333">
      <formula>'1850'!$I$19</formula>
    </cfRule>
  </conditionalFormatting>
  <conditionalFormatting sqref="J20">
    <cfRule type="cellIs" priority="336" operator="equal" aboveAverage="0" equalAverage="0" bottom="0" percent="0" rank="0" text="" dxfId="334">
      <formula>'1850'!$I$20</formula>
    </cfRule>
    <cfRule type="cellIs" priority="337" operator="lessThan" aboveAverage="0" equalAverage="0" bottom="0" percent="0" rank="0" text="" dxfId="335">
      <formula>'1850'!$I$20</formula>
    </cfRule>
  </conditionalFormatting>
  <conditionalFormatting sqref="J21">
    <cfRule type="cellIs" priority="338" operator="equal" aboveAverage="0" equalAverage="0" bottom="0" percent="0" rank="0" text="" dxfId="336">
      <formula>'1850'!$I$21</formula>
    </cfRule>
    <cfRule type="cellIs" priority="339" operator="lessThan" aboveAverage="0" equalAverage="0" bottom="0" percent="0" rank="0" text="" dxfId="337">
      <formula>'1850'!$I$21</formula>
    </cfRule>
  </conditionalFormatting>
  <conditionalFormatting sqref="J22">
    <cfRule type="cellIs" priority="340" operator="equal" aboveAverage="0" equalAverage="0" bottom="0" percent="0" rank="0" text="" dxfId="338">
      <formula>'1850'!$I$22</formula>
    </cfRule>
    <cfRule type="cellIs" priority="341" operator="lessThan" aboveAverage="0" equalAverage="0" bottom="0" percent="0" rank="0" text="" dxfId="339">
      <formula>'1850'!$I$22</formula>
    </cfRule>
  </conditionalFormatting>
  <conditionalFormatting sqref="J23">
    <cfRule type="cellIs" priority="342" operator="equal" aboveAverage="0" equalAverage="0" bottom="0" percent="0" rank="0" text="" dxfId="340">
      <formula>'1850'!$I$23</formula>
    </cfRule>
    <cfRule type="cellIs" priority="343" operator="lessThan" aboveAverage="0" equalAverage="0" bottom="0" percent="0" rank="0" text="" dxfId="341">
      <formula>'1850'!$I$23</formula>
    </cfRule>
  </conditionalFormatting>
  <conditionalFormatting sqref="J24">
    <cfRule type="cellIs" priority="344" operator="equal" aboveAverage="0" equalAverage="0" bottom="0" percent="0" rank="0" text="" dxfId="342">
      <formula>'1850'!$I$24</formula>
    </cfRule>
    <cfRule type="cellIs" priority="345" operator="lessThan" aboveAverage="0" equalAverage="0" bottom="0" percent="0" rank="0" text="" dxfId="343">
      <formula>'1850'!$I$24</formula>
    </cfRule>
  </conditionalFormatting>
  <conditionalFormatting sqref="J25">
    <cfRule type="cellIs" priority="346" operator="equal" aboveAverage="0" equalAverage="0" bottom="0" percent="0" rank="0" text="" dxfId="344">
      <formula>'1850'!$I$25</formula>
    </cfRule>
    <cfRule type="cellIs" priority="347" operator="lessThan" aboveAverage="0" equalAverage="0" bottom="0" percent="0" rank="0" text="" dxfId="345">
      <formula>'1850'!$I$25</formula>
    </cfRule>
  </conditionalFormatting>
  <conditionalFormatting sqref="J26">
    <cfRule type="cellIs" priority="348" operator="equal" aboveAverage="0" equalAverage="0" bottom="0" percent="0" rank="0" text="" dxfId="346">
      <formula>'1850'!$I$26</formula>
    </cfRule>
    <cfRule type="cellIs" priority="349" operator="lessThan" aboveAverage="0" equalAverage="0" bottom="0" percent="0" rank="0" text="" dxfId="347">
      <formula>'1850'!$I$26</formula>
    </cfRule>
  </conditionalFormatting>
  <conditionalFormatting sqref="J27">
    <cfRule type="cellIs" priority="350" operator="equal" aboveAverage="0" equalAverage="0" bottom="0" percent="0" rank="0" text="" dxfId="348">
      <formula>'1850'!$I$27</formula>
    </cfRule>
    <cfRule type="cellIs" priority="351" operator="lessThan" aboveAverage="0" equalAverage="0" bottom="0" percent="0" rank="0" text="" dxfId="349">
      <formula>'1850'!$I$27</formula>
    </cfRule>
  </conditionalFormatting>
  <conditionalFormatting sqref="J28">
    <cfRule type="cellIs" priority="352" operator="equal" aboveAverage="0" equalAverage="0" bottom="0" percent="0" rank="0" text="" dxfId="350">
      <formula>'1850'!$I$28</formula>
    </cfRule>
    <cfRule type="cellIs" priority="353" operator="lessThan" aboveAverage="0" equalAverage="0" bottom="0" percent="0" rank="0" text="" dxfId="351">
      <formula>'1850'!$I$28</formula>
    </cfRule>
  </conditionalFormatting>
  <conditionalFormatting sqref="K4">
    <cfRule type="cellIs" priority="354" operator="equal" aboveAverage="0" equalAverage="0" bottom="0" percent="0" rank="0" text="" dxfId="352">
      <formula>'1850'!$J$4</formula>
    </cfRule>
    <cfRule type="cellIs" priority="355" operator="lessThan" aboveAverage="0" equalAverage="0" bottom="0" percent="0" rank="0" text="" dxfId="353">
      <formula>'1850'!$J$4</formula>
    </cfRule>
  </conditionalFormatting>
  <conditionalFormatting sqref="K5">
    <cfRule type="cellIs" priority="356" operator="equal" aboveAverage="0" equalAverage="0" bottom="0" percent="0" rank="0" text="" dxfId="354">
      <formula>'1850'!$J$5</formula>
    </cfRule>
    <cfRule type="cellIs" priority="357" operator="lessThan" aboveAverage="0" equalAverage="0" bottom="0" percent="0" rank="0" text="" dxfId="355">
      <formula>'1850'!$J$5</formula>
    </cfRule>
  </conditionalFormatting>
  <conditionalFormatting sqref="K6">
    <cfRule type="cellIs" priority="358" operator="equal" aboveAverage="0" equalAverage="0" bottom="0" percent="0" rank="0" text="" dxfId="356">
      <formula>'1850'!$J$6</formula>
    </cfRule>
    <cfRule type="cellIs" priority="359" operator="lessThan" aboveAverage="0" equalAverage="0" bottom="0" percent="0" rank="0" text="" dxfId="357">
      <formula>'1850'!$J$6</formula>
    </cfRule>
  </conditionalFormatting>
  <conditionalFormatting sqref="K7">
    <cfRule type="cellIs" priority="360" operator="equal" aboveAverage="0" equalAverage="0" bottom="0" percent="0" rank="0" text="" dxfId="358">
      <formula>'1850'!$J$7</formula>
    </cfRule>
    <cfRule type="cellIs" priority="361" operator="lessThan" aboveAverage="0" equalAverage="0" bottom="0" percent="0" rank="0" text="" dxfId="359">
      <formula>'1850'!$J$7</formula>
    </cfRule>
  </conditionalFormatting>
  <conditionalFormatting sqref="K8">
    <cfRule type="cellIs" priority="362" operator="equal" aboveAverage="0" equalAverage="0" bottom="0" percent="0" rank="0" text="" dxfId="360">
      <formula>'1850'!$J$8</formula>
    </cfRule>
    <cfRule type="cellIs" priority="363" operator="lessThan" aboveAverage="0" equalAverage="0" bottom="0" percent="0" rank="0" text="" dxfId="361">
      <formula>'1850'!$J$8</formula>
    </cfRule>
  </conditionalFormatting>
  <conditionalFormatting sqref="K9">
    <cfRule type="cellIs" priority="364" operator="equal" aboveAverage="0" equalAverage="0" bottom="0" percent="0" rank="0" text="" dxfId="362">
      <formula>'1850'!$J$9</formula>
    </cfRule>
    <cfRule type="cellIs" priority="365" operator="lessThan" aboveAverage="0" equalAverage="0" bottom="0" percent="0" rank="0" text="" dxfId="363">
      <formula>'1850'!$J$9</formula>
    </cfRule>
  </conditionalFormatting>
  <conditionalFormatting sqref="K10">
    <cfRule type="cellIs" priority="366" operator="equal" aboveAverage="0" equalAverage="0" bottom="0" percent="0" rank="0" text="" dxfId="364">
      <formula>'1850'!$J$10</formula>
    </cfRule>
    <cfRule type="cellIs" priority="367" operator="lessThan" aboveAverage="0" equalAverage="0" bottom="0" percent="0" rank="0" text="" dxfId="365">
      <formula>'1850'!$J$10</formula>
    </cfRule>
  </conditionalFormatting>
  <conditionalFormatting sqref="K11">
    <cfRule type="cellIs" priority="368" operator="equal" aboveAverage="0" equalAverage="0" bottom="0" percent="0" rank="0" text="" dxfId="366">
      <formula>'1850'!$J$11</formula>
    </cfRule>
    <cfRule type="cellIs" priority="369" operator="lessThan" aboveAverage="0" equalAverage="0" bottom="0" percent="0" rank="0" text="" dxfId="367">
      <formula>'1850'!$J$11</formula>
    </cfRule>
  </conditionalFormatting>
  <conditionalFormatting sqref="K12">
    <cfRule type="cellIs" priority="370" operator="equal" aboveAverage="0" equalAverage="0" bottom="0" percent="0" rank="0" text="" dxfId="368">
      <formula>'1850'!$J$12</formula>
    </cfRule>
    <cfRule type="cellIs" priority="371" operator="lessThan" aboveAverage="0" equalAverage="0" bottom="0" percent="0" rank="0" text="" dxfId="369">
      <formula>'1850'!$J$12</formula>
    </cfRule>
  </conditionalFormatting>
  <conditionalFormatting sqref="K13">
    <cfRule type="cellIs" priority="372" operator="equal" aboveAverage="0" equalAverage="0" bottom="0" percent="0" rank="0" text="" dxfId="370">
      <formula>'1850'!$J$13</formula>
    </cfRule>
    <cfRule type="cellIs" priority="373" operator="lessThan" aboveAverage="0" equalAverage="0" bottom="0" percent="0" rank="0" text="" dxfId="371">
      <formula>'1850'!$J$13</formula>
    </cfRule>
  </conditionalFormatting>
  <conditionalFormatting sqref="K14">
    <cfRule type="cellIs" priority="374" operator="equal" aboveAverage="0" equalAverage="0" bottom="0" percent="0" rank="0" text="" dxfId="372">
      <formula>'1850'!$J$14</formula>
    </cfRule>
    <cfRule type="cellIs" priority="375" operator="lessThan" aboveAverage="0" equalAverage="0" bottom="0" percent="0" rank="0" text="" dxfId="373">
      <formula>'1850'!$J$14</formula>
    </cfRule>
  </conditionalFormatting>
  <conditionalFormatting sqref="K15">
    <cfRule type="cellIs" priority="376" operator="equal" aboveAverage="0" equalAverage="0" bottom="0" percent="0" rank="0" text="" dxfId="374">
      <formula>'1850'!$J$15</formula>
    </cfRule>
    <cfRule type="cellIs" priority="377" operator="lessThan" aboveAverage="0" equalAverage="0" bottom="0" percent="0" rank="0" text="" dxfId="375">
      <formula>'1850'!$J$15</formula>
    </cfRule>
  </conditionalFormatting>
  <conditionalFormatting sqref="K16">
    <cfRule type="cellIs" priority="378" operator="equal" aboveAverage="0" equalAverage="0" bottom="0" percent="0" rank="0" text="" dxfId="376">
      <formula>'1850'!$J$16</formula>
    </cfRule>
    <cfRule type="cellIs" priority="379" operator="lessThan" aboveAverage="0" equalAverage="0" bottom="0" percent="0" rank="0" text="" dxfId="377">
      <formula>'1850'!$J$16</formula>
    </cfRule>
  </conditionalFormatting>
  <conditionalFormatting sqref="K17">
    <cfRule type="cellIs" priority="380" operator="equal" aboveAverage="0" equalAverage="0" bottom="0" percent="0" rank="0" text="" dxfId="378">
      <formula>'1850'!$J$17</formula>
    </cfRule>
    <cfRule type="cellIs" priority="381" operator="lessThan" aboveAverage="0" equalAverage="0" bottom="0" percent="0" rank="0" text="" dxfId="379">
      <formula>'1850'!$J$17</formula>
    </cfRule>
  </conditionalFormatting>
  <conditionalFormatting sqref="K18">
    <cfRule type="cellIs" priority="382" operator="equal" aboveAverage="0" equalAverage="0" bottom="0" percent="0" rank="0" text="" dxfId="380">
      <formula>'1850'!$J$18</formula>
    </cfRule>
    <cfRule type="cellIs" priority="383" operator="lessThan" aboveAverage="0" equalAverage="0" bottom="0" percent="0" rank="0" text="" dxfId="381">
      <formula>'1850'!$J$18</formula>
    </cfRule>
  </conditionalFormatting>
  <conditionalFormatting sqref="K19">
    <cfRule type="cellIs" priority="384" operator="equal" aboveAverage="0" equalAverage="0" bottom="0" percent="0" rank="0" text="" dxfId="382">
      <formula>'1850'!$J$19</formula>
    </cfRule>
    <cfRule type="cellIs" priority="385" operator="lessThan" aboveAverage="0" equalAverage="0" bottom="0" percent="0" rank="0" text="" dxfId="383">
      <formula>'1850'!$J$19</formula>
    </cfRule>
  </conditionalFormatting>
  <conditionalFormatting sqref="K20">
    <cfRule type="cellIs" priority="386" operator="equal" aboveAverage="0" equalAverage="0" bottom="0" percent="0" rank="0" text="" dxfId="384">
      <formula>'1850'!$J$20</formula>
    </cfRule>
    <cfRule type="cellIs" priority="387" operator="lessThan" aboveAverage="0" equalAverage="0" bottom="0" percent="0" rank="0" text="" dxfId="385">
      <formula>'1850'!$J$20</formula>
    </cfRule>
  </conditionalFormatting>
  <conditionalFormatting sqref="K21">
    <cfRule type="cellIs" priority="388" operator="equal" aboveAverage="0" equalAverage="0" bottom="0" percent="0" rank="0" text="" dxfId="386">
      <formula>'1850'!$J$21</formula>
    </cfRule>
    <cfRule type="cellIs" priority="389" operator="lessThan" aboveAverage="0" equalAverage="0" bottom="0" percent="0" rank="0" text="" dxfId="387">
      <formula>'1850'!$J$21</formula>
    </cfRule>
  </conditionalFormatting>
  <conditionalFormatting sqref="K22">
    <cfRule type="cellIs" priority="390" operator="equal" aboveAverage="0" equalAverage="0" bottom="0" percent="0" rank="0" text="" dxfId="388">
      <formula>'1850'!$J$22</formula>
    </cfRule>
    <cfRule type="cellIs" priority="391" operator="lessThan" aboveAverage="0" equalAverage="0" bottom="0" percent="0" rank="0" text="" dxfId="389">
      <formula>'1850'!$J$22</formula>
    </cfRule>
  </conditionalFormatting>
  <conditionalFormatting sqref="K23">
    <cfRule type="cellIs" priority="392" operator="equal" aboveAverage="0" equalAverage="0" bottom="0" percent="0" rank="0" text="" dxfId="390">
      <formula>'1850'!$J$23</formula>
    </cfRule>
    <cfRule type="cellIs" priority="393" operator="lessThan" aboveAverage="0" equalAverage="0" bottom="0" percent="0" rank="0" text="" dxfId="391">
      <formula>'1850'!$J$23</formula>
    </cfRule>
  </conditionalFormatting>
  <conditionalFormatting sqref="K24">
    <cfRule type="cellIs" priority="394" operator="equal" aboveAverage="0" equalAverage="0" bottom="0" percent="0" rank="0" text="" dxfId="392">
      <formula>'1850'!$J$24</formula>
    </cfRule>
    <cfRule type="cellIs" priority="395" operator="lessThan" aboveAverage="0" equalAverage="0" bottom="0" percent="0" rank="0" text="" dxfId="393">
      <formula>'1850'!$J$24</formula>
    </cfRule>
  </conditionalFormatting>
  <conditionalFormatting sqref="K25">
    <cfRule type="cellIs" priority="396" operator="equal" aboveAverage="0" equalAverage="0" bottom="0" percent="0" rank="0" text="" dxfId="394">
      <formula>'1850'!$J$25</formula>
    </cfRule>
    <cfRule type="cellIs" priority="397" operator="lessThan" aboveAverage="0" equalAverage="0" bottom="0" percent="0" rank="0" text="" dxfId="395">
      <formula>'1850'!$J$25</formula>
    </cfRule>
  </conditionalFormatting>
  <conditionalFormatting sqref="K26">
    <cfRule type="cellIs" priority="398" operator="equal" aboveAverage="0" equalAverage="0" bottom="0" percent="0" rank="0" text="" dxfId="396">
      <formula>'1850'!$J$26</formula>
    </cfRule>
    <cfRule type="cellIs" priority="399" operator="lessThan" aboveAverage="0" equalAverage="0" bottom="0" percent="0" rank="0" text="" dxfId="397">
      <formula>'1850'!$J$26</formula>
    </cfRule>
  </conditionalFormatting>
  <conditionalFormatting sqref="K27">
    <cfRule type="cellIs" priority="400" operator="equal" aboveAverage="0" equalAverage="0" bottom="0" percent="0" rank="0" text="" dxfId="398">
      <formula>'1850'!$J$27</formula>
    </cfRule>
    <cfRule type="cellIs" priority="401" operator="lessThan" aboveAverage="0" equalAverage="0" bottom="0" percent="0" rank="0" text="" dxfId="399">
      <formula>'1850'!$J$27</formula>
    </cfRule>
  </conditionalFormatting>
  <conditionalFormatting sqref="K28">
    <cfRule type="cellIs" priority="402" operator="lessThan" aboveAverage="0" equalAverage="0" bottom="0" percent="0" rank="0" text="" dxfId="400">
      <formula>'1850'!$J$28</formula>
    </cfRule>
    <cfRule type="cellIs" priority="403" operator="equal" aboveAverage="0" equalAverage="0" bottom="0" percent="0" rank="0" text="" dxfId="401">
      <formula>'1850'!$J$28</formula>
    </cfRule>
  </conditionalFormatting>
  <conditionalFormatting sqref="K29">
    <cfRule type="cellIs" priority="404" operator="equal" aboveAverage="0" equalAverage="0" bottom="0" percent="0" rank="0" text="" dxfId="402">
      <formula>'1850'!$J$29</formula>
    </cfRule>
    <cfRule type="cellIs" priority="405" operator="lessThan" aboveAverage="0" equalAverage="0" bottom="0" percent="0" rank="0" text="" dxfId="403">
      <formula>'1850'!$J$29</formula>
    </cfRule>
  </conditionalFormatting>
  <conditionalFormatting sqref="L4">
    <cfRule type="cellIs" priority="406" operator="equal" aboveAverage="0" equalAverage="0" bottom="0" percent="0" rank="0" text="" dxfId="404">
      <formula>'1850'!$K$4</formula>
    </cfRule>
    <cfRule type="cellIs" priority="407" operator="lessThan" aboveAverage="0" equalAverage="0" bottom="0" percent="0" rank="0" text="" dxfId="405">
      <formula>'1850'!$K$4</formula>
    </cfRule>
  </conditionalFormatting>
  <conditionalFormatting sqref="L5">
    <cfRule type="cellIs" priority="408" operator="equal" aboveAverage="0" equalAverage="0" bottom="0" percent="0" rank="0" text="" dxfId="406">
      <formula>'1850'!$K$5</formula>
    </cfRule>
    <cfRule type="cellIs" priority="409" operator="lessThan" aboveAverage="0" equalAverage="0" bottom="0" percent="0" rank="0" text="" dxfId="407">
      <formula>'1850'!$K$5</formula>
    </cfRule>
  </conditionalFormatting>
  <conditionalFormatting sqref="L6">
    <cfRule type="cellIs" priority="410" operator="equal" aboveAverage="0" equalAverage="0" bottom="0" percent="0" rank="0" text="" dxfId="408">
      <formula>'1850'!$K$6</formula>
    </cfRule>
    <cfRule type="cellIs" priority="411" operator="lessThan" aboveAverage="0" equalAverage="0" bottom="0" percent="0" rank="0" text="" dxfId="409">
      <formula>'1850'!$K$6</formula>
    </cfRule>
  </conditionalFormatting>
  <conditionalFormatting sqref="L7">
    <cfRule type="cellIs" priority="412" operator="equal" aboveAverage="0" equalAverage="0" bottom="0" percent="0" rank="0" text="" dxfId="410">
      <formula>'1850'!$K$7</formula>
    </cfRule>
    <cfRule type="cellIs" priority="413" operator="lessThan" aboveAverage="0" equalAverage="0" bottom="0" percent="0" rank="0" text="" dxfId="411">
      <formula>'1850'!$K$7</formula>
    </cfRule>
  </conditionalFormatting>
  <conditionalFormatting sqref="L8">
    <cfRule type="cellIs" priority="414" operator="equal" aboveAverage="0" equalAverage="0" bottom="0" percent="0" rank="0" text="" dxfId="412">
      <formula>'1850'!$K$8</formula>
    </cfRule>
    <cfRule type="cellIs" priority="415" operator="lessThan" aboveAverage="0" equalAverage="0" bottom="0" percent="0" rank="0" text="" dxfId="413">
      <formula>'1850'!$K$8</formula>
    </cfRule>
  </conditionalFormatting>
  <conditionalFormatting sqref="L9">
    <cfRule type="cellIs" priority="416" operator="equal" aboveAverage="0" equalAverage="0" bottom="0" percent="0" rank="0" text="" dxfId="414">
      <formula>'1850'!$K$9</formula>
    </cfRule>
    <cfRule type="cellIs" priority="417" operator="lessThan" aboveAverage="0" equalAverage="0" bottom="0" percent="0" rank="0" text="" dxfId="415">
      <formula>'1850'!$K$9</formula>
    </cfRule>
  </conditionalFormatting>
  <conditionalFormatting sqref="L10">
    <cfRule type="cellIs" priority="418" operator="equal" aboveAverage="0" equalAverage="0" bottom="0" percent="0" rank="0" text="" dxfId="416">
      <formula>'1850'!$K$10</formula>
    </cfRule>
    <cfRule type="cellIs" priority="419" operator="lessThan" aboveAverage="0" equalAverage="0" bottom="0" percent="0" rank="0" text="" dxfId="417">
      <formula>'1850'!$K$10</formula>
    </cfRule>
  </conditionalFormatting>
  <conditionalFormatting sqref="L12">
    <cfRule type="cellIs" priority="420" operator="equal" aboveAverage="0" equalAverage="0" bottom="0" percent="0" rank="0" text="" dxfId="418">
      <formula>'1850'!$K$12</formula>
    </cfRule>
    <cfRule type="cellIs" priority="421" operator="lessThan" aboveAverage="0" equalAverage="0" bottom="0" percent="0" rank="0" text="" dxfId="419">
      <formula>'1850'!$K$12</formula>
    </cfRule>
  </conditionalFormatting>
  <conditionalFormatting sqref="L13">
    <cfRule type="cellIs" priority="422" operator="equal" aboveAverage="0" equalAverage="0" bottom="0" percent="0" rank="0" text="" dxfId="420">
      <formula>'1850'!$K$13</formula>
    </cfRule>
    <cfRule type="cellIs" priority="423" operator="lessThan" aboveAverage="0" equalAverage="0" bottom="0" percent="0" rank="0" text="" dxfId="421">
      <formula>'1850'!$K$13</formula>
    </cfRule>
  </conditionalFormatting>
  <conditionalFormatting sqref="L14">
    <cfRule type="cellIs" priority="424" operator="equal" aboveAverage="0" equalAverage="0" bottom="0" percent="0" rank="0" text="" dxfId="422">
      <formula>'1850'!$K$14</formula>
    </cfRule>
    <cfRule type="cellIs" priority="425" operator="lessThan" aboveAverage="0" equalAverage="0" bottom="0" percent="0" rank="0" text="" dxfId="423">
      <formula>'1850'!$K$14</formula>
    </cfRule>
  </conditionalFormatting>
  <conditionalFormatting sqref="L15">
    <cfRule type="cellIs" priority="426" operator="equal" aboveAverage="0" equalAverage="0" bottom="0" percent="0" rank="0" text="" dxfId="424">
      <formula>'1850'!$K$15</formula>
    </cfRule>
    <cfRule type="cellIs" priority="427" operator="lessThan" aboveAverage="0" equalAverage="0" bottom="0" percent="0" rank="0" text="" dxfId="425">
      <formula>'1850'!$K$15</formula>
    </cfRule>
  </conditionalFormatting>
  <conditionalFormatting sqref="L16">
    <cfRule type="cellIs" priority="428" operator="equal" aboveAverage="0" equalAverage="0" bottom="0" percent="0" rank="0" text="" dxfId="426">
      <formula>'1850'!$K$16</formula>
    </cfRule>
    <cfRule type="cellIs" priority="429" operator="lessThan" aboveAverage="0" equalAverage="0" bottom="0" percent="0" rank="0" text="" dxfId="427">
      <formula>'1850'!$K$16</formula>
    </cfRule>
  </conditionalFormatting>
  <conditionalFormatting sqref="L17">
    <cfRule type="cellIs" priority="430" operator="equal" aboveAverage="0" equalAverage="0" bottom="0" percent="0" rank="0" text="" dxfId="428">
      <formula>'1850'!$K$17</formula>
    </cfRule>
    <cfRule type="cellIs" priority="431" operator="lessThan" aboveAverage="0" equalAverage="0" bottom="0" percent="0" rank="0" text="" dxfId="429">
      <formula>'1850'!$K$17</formula>
    </cfRule>
  </conditionalFormatting>
  <conditionalFormatting sqref="L18">
    <cfRule type="cellIs" priority="432" operator="equal" aboveAverage="0" equalAverage="0" bottom="0" percent="0" rank="0" text="" dxfId="430">
      <formula>'1850'!$K$18</formula>
    </cfRule>
    <cfRule type="cellIs" priority="433" operator="lessThan" aboveAverage="0" equalAverage="0" bottom="0" percent="0" rank="0" text="" dxfId="431">
      <formula>'1850'!$K$18</formula>
    </cfRule>
  </conditionalFormatting>
  <conditionalFormatting sqref="L19">
    <cfRule type="cellIs" priority="434" operator="equal" aboveAverage="0" equalAverage="0" bottom="0" percent="0" rank="0" text="" dxfId="432">
      <formula>'1850'!$K$19</formula>
    </cfRule>
    <cfRule type="cellIs" priority="435" operator="lessThan" aboveAverage="0" equalAverage="0" bottom="0" percent="0" rank="0" text="" dxfId="433">
      <formula>'1850'!$K$19</formula>
    </cfRule>
  </conditionalFormatting>
  <conditionalFormatting sqref="L20">
    <cfRule type="cellIs" priority="436" operator="equal" aboveAverage="0" equalAverage="0" bottom="0" percent="0" rank="0" text="" dxfId="434">
      <formula>'1850'!$K$20</formula>
    </cfRule>
    <cfRule type="cellIs" priority="437" operator="lessThan" aboveAverage="0" equalAverage="0" bottom="0" percent="0" rank="0" text="" dxfId="435">
      <formula>'1850'!$K$20</formula>
    </cfRule>
  </conditionalFormatting>
  <conditionalFormatting sqref="L21">
    <cfRule type="cellIs" priority="438" operator="equal" aboveAverage="0" equalAverage="0" bottom="0" percent="0" rank="0" text="" dxfId="436">
      <formula>'1850'!$K$21</formula>
    </cfRule>
    <cfRule type="cellIs" priority="439" operator="lessThan" aboveAverage="0" equalAverage="0" bottom="0" percent="0" rank="0" text="" dxfId="437">
      <formula>'1850'!$K$21</formula>
    </cfRule>
  </conditionalFormatting>
  <conditionalFormatting sqref="L11">
    <cfRule type="cellIs" priority="440" operator="equal" aboveAverage="0" equalAverage="0" bottom="0" percent="0" rank="0" text="" dxfId="438">
      <formula>'1850'!$K$11</formula>
    </cfRule>
    <cfRule type="cellIs" priority="441" operator="lessThan" aboveAverage="0" equalAverage="0" bottom="0" percent="0" rank="0" text="" dxfId="439">
      <formula>'1850'!$K$11</formula>
    </cfRule>
  </conditionalFormatting>
  <conditionalFormatting sqref="L22">
    <cfRule type="cellIs" priority="442" operator="equal" aboveAverage="0" equalAverage="0" bottom="0" percent="0" rank="0" text="" dxfId="440">
      <formula>'1850'!$K$22</formula>
    </cfRule>
    <cfRule type="cellIs" priority="443" operator="lessThan" aboveAverage="0" equalAverage="0" bottom="0" percent="0" rank="0" text="" dxfId="441">
      <formula>'1850'!$K$22</formula>
    </cfRule>
  </conditionalFormatting>
  <conditionalFormatting sqref="L23">
    <cfRule type="cellIs" priority="444" operator="equal" aboveAverage="0" equalAverage="0" bottom="0" percent="0" rank="0" text="" dxfId="442">
      <formula>'1850'!$K$23</formula>
    </cfRule>
    <cfRule type="cellIs" priority="445" operator="lessThan" aboveAverage="0" equalAverage="0" bottom="0" percent="0" rank="0" text="" dxfId="443">
      <formula>'1850'!$K$23</formula>
    </cfRule>
  </conditionalFormatting>
  <conditionalFormatting sqref="L24">
    <cfRule type="cellIs" priority="446" operator="equal" aboveAverage="0" equalAverage="0" bottom="0" percent="0" rank="0" text="" dxfId="444">
      <formula>'1850'!$K$24</formula>
    </cfRule>
    <cfRule type="cellIs" priority="447" operator="lessThan" aboveAverage="0" equalAverage="0" bottom="0" percent="0" rank="0" text="" dxfId="445">
      <formula>'1850'!$K$24</formula>
    </cfRule>
  </conditionalFormatting>
  <conditionalFormatting sqref="L25">
    <cfRule type="cellIs" priority="448" operator="equal" aboveAverage="0" equalAverage="0" bottom="0" percent="0" rank="0" text="" dxfId="446">
      <formula>'1850'!$K$25</formula>
    </cfRule>
    <cfRule type="cellIs" priority="449" operator="lessThan" aboveAverage="0" equalAverage="0" bottom="0" percent="0" rank="0" text="" dxfId="447">
      <formula>'1850'!$K$25</formula>
    </cfRule>
  </conditionalFormatting>
  <conditionalFormatting sqref="L26">
    <cfRule type="cellIs" priority="450" operator="equal" aboveAverage="0" equalAverage="0" bottom="0" percent="0" rank="0" text="" dxfId="448">
      <formula>'1850'!$K$26</formula>
    </cfRule>
    <cfRule type="cellIs" priority="451" operator="lessThan" aboveAverage="0" equalAverage="0" bottom="0" percent="0" rank="0" text="" dxfId="449">
      <formula>'1850'!$K$26</formula>
    </cfRule>
  </conditionalFormatting>
  <conditionalFormatting sqref="L27">
    <cfRule type="cellIs" priority="452" operator="equal" aboveAverage="0" equalAverage="0" bottom="0" percent="0" rank="0" text="" dxfId="450">
      <formula>'1850'!$K$27</formula>
    </cfRule>
    <cfRule type="cellIs" priority="453" operator="lessThan" aboveAverage="0" equalAverage="0" bottom="0" percent="0" rank="0" text="" dxfId="451">
      <formula>'1850'!$K$27</formula>
    </cfRule>
  </conditionalFormatting>
  <conditionalFormatting sqref="L28">
    <cfRule type="cellIs" priority="454" operator="equal" aboveAverage="0" equalAverage="0" bottom="0" percent="0" rank="0" text="" dxfId="452">
      <formula>'1850'!$K$28</formula>
    </cfRule>
    <cfRule type="cellIs" priority="455" operator="lessThan" aboveAverage="0" equalAverage="0" bottom="0" percent="0" rank="0" text="" dxfId="453">
      <formula>'1850'!$K$28</formula>
    </cfRule>
  </conditionalFormatting>
  <conditionalFormatting sqref="L29">
    <cfRule type="cellIs" priority="456" operator="equal" aboveAverage="0" equalAverage="0" bottom="0" percent="0" rank="0" text="" dxfId="454">
      <formula>'1850'!$K$29</formula>
    </cfRule>
    <cfRule type="cellIs" priority="457" operator="lessThan" aboveAverage="0" equalAverage="0" bottom="0" percent="0" rank="0" text="" dxfId="455">
      <formula>'1850'!$K$29</formula>
    </cfRule>
  </conditionalFormatting>
  <conditionalFormatting sqref="M4">
    <cfRule type="cellIs" priority="458" operator="lessThan" aboveAverage="0" equalAverage="0" bottom="0" percent="0" rank="0" text="" dxfId="456">
      <formula>'1850'!$L$4</formula>
    </cfRule>
    <cfRule type="cellIs" priority="459" operator="equal" aboveAverage="0" equalAverage="0" bottom="0" percent="0" rank="0" text="" dxfId="457">
      <formula>'1850'!$L$4</formula>
    </cfRule>
  </conditionalFormatting>
  <conditionalFormatting sqref="M5">
    <cfRule type="cellIs" priority="460" operator="equal" aboveAverage="0" equalAverage="0" bottom="0" percent="0" rank="0" text="" dxfId="458">
      <formula>'1850'!$L$5</formula>
    </cfRule>
    <cfRule type="cellIs" priority="461" operator="lessThan" aboveAverage="0" equalAverage="0" bottom="0" percent="0" rank="0" text="" dxfId="459">
      <formula>'1850'!$L$5</formula>
    </cfRule>
  </conditionalFormatting>
  <conditionalFormatting sqref="M6">
    <cfRule type="cellIs" priority="462" operator="equal" aboveAverage="0" equalAverage="0" bottom="0" percent="0" rank="0" text="" dxfId="460">
      <formula>'1850'!$L$6</formula>
    </cfRule>
    <cfRule type="cellIs" priority="463" operator="lessThan" aboveAverage="0" equalAverage="0" bottom="0" percent="0" rank="0" text="" dxfId="461">
      <formula>'1850'!$L$6</formula>
    </cfRule>
  </conditionalFormatting>
  <conditionalFormatting sqref="M7">
    <cfRule type="cellIs" priority="464" operator="equal" aboveAverage="0" equalAverage="0" bottom="0" percent="0" rank="0" text="" dxfId="462">
      <formula>'1850'!$L$7</formula>
    </cfRule>
    <cfRule type="cellIs" priority="465" operator="lessThan" aboveAverage="0" equalAverage="0" bottom="0" percent="0" rank="0" text="" dxfId="463">
      <formula>'1850'!$L$7</formula>
    </cfRule>
  </conditionalFormatting>
  <conditionalFormatting sqref="M8">
    <cfRule type="cellIs" priority="466" operator="equal" aboveAverage="0" equalAverage="0" bottom="0" percent="0" rank="0" text="" dxfId="464">
      <formula>'1850'!$L$8</formula>
    </cfRule>
    <cfRule type="cellIs" priority="467" operator="lessThan" aboveAverage="0" equalAverage="0" bottom="0" percent="0" rank="0" text="" dxfId="465">
      <formula>'1850'!$L$8</formula>
    </cfRule>
  </conditionalFormatting>
  <conditionalFormatting sqref="M9">
    <cfRule type="cellIs" priority="468" operator="equal" aboveAverage="0" equalAverage="0" bottom="0" percent="0" rank="0" text="" dxfId="466">
      <formula>'1850'!$L$9</formula>
    </cfRule>
    <cfRule type="cellIs" priority="469" operator="lessThan" aboveAverage="0" equalAverage="0" bottom="0" percent="0" rank="0" text="" dxfId="467">
      <formula>'1850'!$L$9</formula>
    </cfRule>
  </conditionalFormatting>
  <conditionalFormatting sqref="M10">
    <cfRule type="cellIs" priority="470" operator="equal" aboveAverage="0" equalAverage="0" bottom="0" percent="0" rank="0" text="" dxfId="468">
      <formula>'1850'!$L$10</formula>
    </cfRule>
    <cfRule type="cellIs" priority="471" operator="lessThan" aboveAverage="0" equalAverage="0" bottom="0" percent="0" rank="0" text="" dxfId="469">
      <formula>'1850'!$L$10</formula>
    </cfRule>
  </conditionalFormatting>
  <conditionalFormatting sqref="M11">
    <cfRule type="cellIs" priority="472" operator="equal" aboveAverage="0" equalAverage="0" bottom="0" percent="0" rank="0" text="" dxfId="470">
      <formula>'1850'!$L$11</formula>
    </cfRule>
    <cfRule type="cellIs" priority="473" operator="lessThan" aboveAverage="0" equalAverage="0" bottom="0" percent="0" rank="0" text="" dxfId="471">
      <formula>'1850'!$L$11</formula>
    </cfRule>
  </conditionalFormatting>
  <conditionalFormatting sqref="M12">
    <cfRule type="cellIs" priority="474" operator="equal" aboveAverage="0" equalAverage="0" bottom="0" percent="0" rank="0" text="" dxfId="472">
      <formula>'1850'!$L$12</formula>
    </cfRule>
    <cfRule type="cellIs" priority="475" operator="lessThan" aboveAverage="0" equalAverage="0" bottom="0" percent="0" rank="0" text="" dxfId="473">
      <formula>'1850'!$L$12</formula>
    </cfRule>
  </conditionalFormatting>
  <conditionalFormatting sqref="M13">
    <cfRule type="cellIs" priority="476" operator="equal" aboveAverage="0" equalAverage="0" bottom="0" percent="0" rank="0" text="" dxfId="474">
      <formula>'1850'!$L$13</formula>
    </cfRule>
    <cfRule type="cellIs" priority="477" operator="lessThan" aboveAverage="0" equalAverage="0" bottom="0" percent="0" rank="0" text="" dxfId="475">
      <formula>'1850'!$L$13</formula>
    </cfRule>
  </conditionalFormatting>
  <conditionalFormatting sqref="M14">
    <cfRule type="cellIs" priority="478" operator="equal" aboveAverage="0" equalAverage="0" bottom="0" percent="0" rank="0" text="" dxfId="476">
      <formula>'1850'!$L$14</formula>
    </cfRule>
    <cfRule type="cellIs" priority="479" operator="lessThan" aboveAverage="0" equalAverage="0" bottom="0" percent="0" rank="0" text="" dxfId="477">
      <formula>'1850'!$L$14</formula>
    </cfRule>
  </conditionalFormatting>
  <conditionalFormatting sqref="M15">
    <cfRule type="cellIs" priority="480" operator="equal" aboveAverage="0" equalAverage="0" bottom="0" percent="0" rank="0" text="" dxfId="478">
      <formula>'1850'!$L$15</formula>
    </cfRule>
    <cfRule type="cellIs" priority="481" operator="lessThan" aboveAverage="0" equalAverage="0" bottom="0" percent="0" rank="0" text="" dxfId="479">
      <formula>'1850'!$L$15</formula>
    </cfRule>
  </conditionalFormatting>
  <conditionalFormatting sqref="M16">
    <cfRule type="cellIs" priority="482" operator="equal" aboveAverage="0" equalAverage="0" bottom="0" percent="0" rank="0" text="" dxfId="480">
      <formula>'1850'!$L$16</formula>
    </cfRule>
    <cfRule type="cellIs" priority="483" operator="lessThan" aboveAverage="0" equalAverage="0" bottom="0" percent="0" rank="0" text="" dxfId="481">
      <formula>'1850'!$L$16</formula>
    </cfRule>
  </conditionalFormatting>
  <conditionalFormatting sqref="M17">
    <cfRule type="cellIs" priority="484" operator="equal" aboveAverage="0" equalAverage="0" bottom="0" percent="0" rank="0" text="" dxfId="482">
      <formula>'1850'!$L$17</formula>
    </cfRule>
    <cfRule type="cellIs" priority="485" operator="lessThan" aboveAverage="0" equalAverage="0" bottom="0" percent="0" rank="0" text="" dxfId="483">
      <formula>'1850'!$L$17</formula>
    </cfRule>
  </conditionalFormatting>
  <conditionalFormatting sqref="M18">
    <cfRule type="cellIs" priority="486" operator="equal" aboveAverage="0" equalAverage="0" bottom="0" percent="0" rank="0" text="" dxfId="484">
      <formula>'1850'!$L$18</formula>
    </cfRule>
    <cfRule type="cellIs" priority="487" operator="lessThan" aboveAverage="0" equalAverage="0" bottom="0" percent="0" rank="0" text="" dxfId="485">
      <formula>'1850'!$L$18</formula>
    </cfRule>
  </conditionalFormatting>
  <conditionalFormatting sqref="M19">
    <cfRule type="cellIs" priority="488" operator="equal" aboveAverage="0" equalAverage="0" bottom="0" percent="0" rank="0" text="" dxfId="486">
      <formula>'1850'!$L$19</formula>
    </cfRule>
    <cfRule type="cellIs" priority="489" operator="lessThan" aboveAverage="0" equalAverage="0" bottom="0" percent="0" rank="0" text="" dxfId="487">
      <formula>'1850'!$L$19</formula>
    </cfRule>
  </conditionalFormatting>
  <conditionalFormatting sqref="M20">
    <cfRule type="cellIs" priority="490" operator="equal" aboveAverage="0" equalAverage="0" bottom="0" percent="0" rank="0" text="" dxfId="488">
      <formula>'1850'!$L$20</formula>
    </cfRule>
    <cfRule type="cellIs" priority="491" operator="lessThan" aboveAverage="0" equalAverage="0" bottom="0" percent="0" rank="0" text="" dxfId="489">
      <formula>'1850'!$L$20</formula>
    </cfRule>
  </conditionalFormatting>
  <conditionalFormatting sqref="M21">
    <cfRule type="cellIs" priority="492" operator="equal" aboveAverage="0" equalAverage="0" bottom="0" percent="0" rank="0" text="" dxfId="490">
      <formula>'1850'!$L$21</formula>
    </cfRule>
    <cfRule type="cellIs" priority="493" operator="lessThan" aboveAverage="0" equalAverage="0" bottom="0" percent="0" rank="0" text="" dxfId="491">
      <formula>'1850'!$L$21</formula>
    </cfRule>
  </conditionalFormatting>
  <conditionalFormatting sqref="M22">
    <cfRule type="cellIs" priority="494" operator="equal" aboveAverage="0" equalAverage="0" bottom="0" percent="0" rank="0" text="" dxfId="492">
      <formula>'1850'!$L$22</formula>
    </cfRule>
    <cfRule type="cellIs" priority="495" operator="lessThan" aboveAverage="0" equalAverage="0" bottom="0" percent="0" rank="0" text="" dxfId="493">
      <formula>'1850'!$L$22</formula>
    </cfRule>
  </conditionalFormatting>
  <conditionalFormatting sqref="M23">
    <cfRule type="cellIs" priority="496" operator="equal" aboveAverage="0" equalAverage="0" bottom="0" percent="0" rank="0" text="" dxfId="494">
      <formula>'1850'!$L$23</formula>
    </cfRule>
    <cfRule type="cellIs" priority="497" operator="lessThan" aboveAverage="0" equalAverage="0" bottom="0" percent="0" rank="0" text="" dxfId="495">
      <formula>'1850'!$L$23</formula>
    </cfRule>
  </conditionalFormatting>
  <conditionalFormatting sqref="M24">
    <cfRule type="cellIs" priority="498" operator="equal" aboveAverage="0" equalAverage="0" bottom="0" percent="0" rank="0" text="" dxfId="496">
      <formula>'1850'!$L$24</formula>
    </cfRule>
    <cfRule type="cellIs" priority="499" operator="lessThan" aboveAverage="0" equalAverage="0" bottom="0" percent="0" rank="0" text="" dxfId="497">
      <formula>'1850'!$L$24</formula>
    </cfRule>
  </conditionalFormatting>
  <conditionalFormatting sqref="M25">
    <cfRule type="cellIs" priority="500" operator="equal" aboveAverage="0" equalAverage="0" bottom="0" percent="0" rank="0" text="" dxfId="498">
      <formula>'1850'!$L$25</formula>
    </cfRule>
    <cfRule type="cellIs" priority="501" operator="lessThan" aboveAverage="0" equalAverage="0" bottom="0" percent="0" rank="0" text="" dxfId="499">
      <formula>'1850'!$L$25</formula>
    </cfRule>
  </conditionalFormatting>
  <conditionalFormatting sqref="M26">
    <cfRule type="cellIs" priority="502" operator="equal" aboveAverage="0" equalAverage="0" bottom="0" percent="0" rank="0" text="" dxfId="500">
      <formula>'1850'!$L$26</formula>
    </cfRule>
    <cfRule type="cellIs" priority="503" operator="lessThan" aboveAverage="0" equalAverage="0" bottom="0" percent="0" rank="0" text="" dxfId="501">
      <formula>'1850'!$L$26</formula>
    </cfRule>
  </conditionalFormatting>
  <conditionalFormatting sqref="M27">
    <cfRule type="cellIs" priority="504" operator="equal" aboveAverage="0" equalAverage="0" bottom="0" percent="0" rank="0" text="" dxfId="502">
      <formula>'1850'!$L$27</formula>
    </cfRule>
    <cfRule type="cellIs" priority="505" operator="lessThan" aboveAverage="0" equalAverage="0" bottom="0" percent="0" rank="0" text="" dxfId="503">
      <formula>'1850'!$L$27</formula>
    </cfRule>
  </conditionalFormatting>
  <conditionalFormatting sqref="M28">
    <cfRule type="cellIs" priority="506" operator="equal" aboveAverage="0" equalAverage="0" bottom="0" percent="0" rank="0" text="" dxfId="504">
      <formula>'1850'!$L$28</formula>
    </cfRule>
    <cfRule type="cellIs" priority="507" operator="lessThan" aboveAverage="0" equalAverage="0" bottom="0" percent="0" rank="0" text="" dxfId="505">
      <formula>'1850'!$L$28</formula>
    </cfRule>
  </conditionalFormatting>
  <conditionalFormatting sqref="M29">
    <cfRule type="cellIs" priority="508" operator="equal" aboveAverage="0" equalAverage="0" bottom="0" percent="0" rank="0" text="" dxfId="506">
      <formula>'1850'!$L$29</formula>
    </cfRule>
    <cfRule type="cellIs" priority="509" operator="lessThan" aboveAverage="0" equalAverage="0" bottom="0" percent="0" rank="0" text="" dxfId="507">
      <formula>'1850'!$L$29</formula>
    </cfRule>
  </conditionalFormatting>
  <conditionalFormatting sqref="N4">
    <cfRule type="cellIs" priority="510" operator="equal" aboveAverage="0" equalAverage="0" bottom="0" percent="0" rank="0" text="" dxfId="508">
      <formula>'1850'!$M$4</formula>
    </cfRule>
    <cfRule type="cellIs" priority="511" operator="lessThan" aboveAverage="0" equalAverage="0" bottom="0" percent="0" rank="0" text="" dxfId="509">
      <formula>'1850'!$M$4</formula>
    </cfRule>
  </conditionalFormatting>
  <conditionalFormatting sqref="N5">
    <cfRule type="cellIs" priority="512" operator="equal" aboveAverage="0" equalAverage="0" bottom="0" percent="0" rank="0" text="" dxfId="510">
      <formula>'1850'!$M$5</formula>
    </cfRule>
    <cfRule type="cellIs" priority="513" operator="lessThan" aboveAverage="0" equalAverage="0" bottom="0" percent="0" rank="0" text="" dxfId="511">
      <formula>'1850'!$M$5</formula>
    </cfRule>
  </conditionalFormatting>
  <conditionalFormatting sqref="N6">
    <cfRule type="cellIs" priority="514" operator="equal" aboveAverage="0" equalAverage="0" bottom="0" percent="0" rank="0" text="" dxfId="512">
      <formula>'1850'!$M$6</formula>
    </cfRule>
    <cfRule type="cellIs" priority="515" operator="lessThan" aboveAverage="0" equalAverage="0" bottom="0" percent="0" rank="0" text="" dxfId="513">
      <formula>'1850'!$M$6</formula>
    </cfRule>
  </conditionalFormatting>
  <conditionalFormatting sqref="N7">
    <cfRule type="cellIs" priority="516" operator="equal" aboveAverage="0" equalAverage="0" bottom="0" percent="0" rank="0" text="" dxfId="514">
      <formula>'1850'!$M$7</formula>
    </cfRule>
    <cfRule type="cellIs" priority="517" operator="lessThan" aboveAverage="0" equalAverage="0" bottom="0" percent="0" rank="0" text="" dxfId="515">
      <formula>'1850'!$M$7</formula>
    </cfRule>
  </conditionalFormatting>
  <conditionalFormatting sqref="N8">
    <cfRule type="cellIs" priority="518" operator="equal" aboveAverage="0" equalAverage="0" bottom="0" percent="0" rank="0" text="" dxfId="516">
      <formula>'1850'!$M$8</formula>
    </cfRule>
    <cfRule type="cellIs" priority="519" operator="lessThan" aboveAverage="0" equalAverage="0" bottom="0" percent="0" rank="0" text="" dxfId="517">
      <formula>'1850'!$M$8</formula>
    </cfRule>
  </conditionalFormatting>
  <conditionalFormatting sqref="N9">
    <cfRule type="cellIs" priority="520" operator="equal" aboveAverage="0" equalAverage="0" bottom="0" percent="0" rank="0" text="" dxfId="518">
      <formula>'1850'!$M$9</formula>
    </cfRule>
    <cfRule type="cellIs" priority="521" operator="lessThan" aboveAverage="0" equalAverage="0" bottom="0" percent="0" rank="0" text="" dxfId="519">
      <formula>'1850'!$M$9</formula>
    </cfRule>
  </conditionalFormatting>
  <conditionalFormatting sqref="N10">
    <cfRule type="cellIs" priority="522" operator="equal" aboveAverage="0" equalAverage="0" bottom="0" percent="0" rank="0" text="" dxfId="520">
      <formula>'1850'!$M$10</formula>
    </cfRule>
    <cfRule type="cellIs" priority="523" operator="lessThan" aboveAverage="0" equalAverage="0" bottom="0" percent="0" rank="0" text="" dxfId="521">
      <formula>'1850'!$M$10</formula>
    </cfRule>
  </conditionalFormatting>
  <conditionalFormatting sqref="N11">
    <cfRule type="cellIs" priority="524" operator="equal" aboveAverage="0" equalAverage="0" bottom="0" percent="0" rank="0" text="" dxfId="522">
      <formula>'1850'!$M$11</formula>
    </cfRule>
    <cfRule type="cellIs" priority="525" operator="lessThan" aboveAverage="0" equalAverage="0" bottom="0" percent="0" rank="0" text="" dxfId="523">
      <formula>'1850'!$M$11</formula>
    </cfRule>
  </conditionalFormatting>
  <conditionalFormatting sqref="N12">
    <cfRule type="cellIs" priority="526" operator="equal" aboveAverage="0" equalAverage="0" bottom="0" percent="0" rank="0" text="" dxfId="524">
      <formula>'1850'!$M$12</formula>
    </cfRule>
    <cfRule type="cellIs" priority="527" operator="lessThan" aboveAverage="0" equalAverage="0" bottom="0" percent="0" rank="0" text="" dxfId="525">
      <formula>'1850'!$M$12</formula>
    </cfRule>
  </conditionalFormatting>
  <conditionalFormatting sqref="N13">
    <cfRule type="cellIs" priority="528" operator="equal" aboveAverage="0" equalAverage="0" bottom="0" percent="0" rank="0" text="" dxfId="526">
      <formula>'1850'!$M$13</formula>
    </cfRule>
    <cfRule type="cellIs" priority="529" operator="lessThan" aboveAverage="0" equalAverage="0" bottom="0" percent="0" rank="0" text="" dxfId="527">
      <formula>'1850'!$M$13</formula>
    </cfRule>
  </conditionalFormatting>
  <conditionalFormatting sqref="N14">
    <cfRule type="cellIs" priority="530" operator="equal" aboveAverage="0" equalAverage="0" bottom="0" percent="0" rank="0" text="" dxfId="528">
      <formula>'1850'!$M$14</formula>
    </cfRule>
    <cfRule type="cellIs" priority="531" operator="lessThan" aboveAverage="0" equalAverage="0" bottom="0" percent="0" rank="0" text="" dxfId="529">
      <formula>'1850'!$M$14</formula>
    </cfRule>
  </conditionalFormatting>
  <conditionalFormatting sqref="N15">
    <cfRule type="cellIs" priority="532" operator="equal" aboveAverage="0" equalAverage="0" bottom="0" percent="0" rank="0" text="" dxfId="530">
      <formula>'1850'!$M$15</formula>
    </cfRule>
    <cfRule type="cellIs" priority="533" operator="lessThan" aboveAverage="0" equalAverage="0" bottom="0" percent="0" rank="0" text="" dxfId="531">
      <formula>'1850'!$M$15</formula>
    </cfRule>
  </conditionalFormatting>
  <conditionalFormatting sqref="N16">
    <cfRule type="cellIs" priority="534" operator="equal" aboveAverage="0" equalAverage="0" bottom="0" percent="0" rank="0" text="" dxfId="532">
      <formula>'1850'!$M$16</formula>
    </cfRule>
    <cfRule type="cellIs" priority="535" operator="lessThan" aboveAverage="0" equalAverage="0" bottom="0" percent="0" rank="0" text="" dxfId="533">
      <formula>'1850'!$M$16</formula>
    </cfRule>
  </conditionalFormatting>
  <conditionalFormatting sqref="N17">
    <cfRule type="cellIs" priority="536" operator="equal" aboveAverage="0" equalAverage="0" bottom="0" percent="0" rank="0" text="" dxfId="534">
      <formula>'1850'!$M$17</formula>
    </cfRule>
    <cfRule type="cellIs" priority="537" operator="lessThan" aboveAverage="0" equalAverage="0" bottom="0" percent="0" rank="0" text="" dxfId="535">
      <formula>'1850'!$M$17</formula>
    </cfRule>
  </conditionalFormatting>
  <conditionalFormatting sqref="N18">
    <cfRule type="cellIs" priority="538" operator="equal" aboveAverage="0" equalAverage="0" bottom="0" percent="0" rank="0" text="" dxfId="536">
      <formula>'1850'!$M$18</formula>
    </cfRule>
    <cfRule type="cellIs" priority="539" operator="lessThan" aboveAverage="0" equalAverage="0" bottom="0" percent="0" rank="0" text="" dxfId="537">
      <formula>'1850'!$M$18</formula>
    </cfRule>
  </conditionalFormatting>
  <conditionalFormatting sqref="N19">
    <cfRule type="cellIs" priority="540" operator="equal" aboveAverage="0" equalAverage="0" bottom="0" percent="0" rank="0" text="" dxfId="538">
      <formula>'1850'!$M$19</formula>
    </cfRule>
    <cfRule type="cellIs" priority="541" operator="lessThan" aboveAverage="0" equalAverage="0" bottom="0" percent="0" rank="0" text="" dxfId="539">
      <formula>'1850'!$M$19</formula>
    </cfRule>
  </conditionalFormatting>
  <conditionalFormatting sqref="N20">
    <cfRule type="cellIs" priority="542" operator="equal" aboveAverage="0" equalAverage="0" bottom="0" percent="0" rank="0" text="" dxfId="540">
      <formula>'1850'!$M$20</formula>
    </cfRule>
    <cfRule type="cellIs" priority="543" operator="lessThan" aboveAverage="0" equalAverage="0" bottom="0" percent="0" rank="0" text="" dxfId="541">
      <formula>'1850'!$M$20</formula>
    </cfRule>
  </conditionalFormatting>
  <conditionalFormatting sqref="N21">
    <cfRule type="cellIs" priority="544" operator="equal" aboveAverage="0" equalAverage="0" bottom="0" percent="0" rank="0" text="" dxfId="542">
      <formula>'1850'!$M$21</formula>
    </cfRule>
    <cfRule type="cellIs" priority="545" operator="lessThan" aboveAverage="0" equalAverage="0" bottom="0" percent="0" rank="0" text="" dxfId="543">
      <formula>'1850'!$M$21</formula>
    </cfRule>
  </conditionalFormatting>
  <conditionalFormatting sqref="N22">
    <cfRule type="cellIs" priority="546" operator="equal" aboveAverage="0" equalAverage="0" bottom="0" percent="0" rank="0" text="" dxfId="544">
      <formula>'1850'!$M$22</formula>
    </cfRule>
    <cfRule type="cellIs" priority="547" operator="lessThan" aboveAverage="0" equalAverage="0" bottom="0" percent="0" rank="0" text="" dxfId="545">
      <formula>'1850'!$M$22</formula>
    </cfRule>
  </conditionalFormatting>
  <conditionalFormatting sqref="N23">
    <cfRule type="cellIs" priority="548" operator="equal" aboveAverage="0" equalAverage="0" bottom="0" percent="0" rank="0" text="" dxfId="546">
      <formula>'1850'!$M$23</formula>
    </cfRule>
    <cfRule type="cellIs" priority="549" operator="lessThan" aboveAverage="0" equalAverage="0" bottom="0" percent="0" rank="0" text="" dxfId="547">
      <formula>'1850'!$M$23</formula>
    </cfRule>
  </conditionalFormatting>
  <conditionalFormatting sqref="N24">
    <cfRule type="cellIs" priority="550" operator="equal" aboveAverage="0" equalAverage="0" bottom="0" percent="0" rank="0" text="" dxfId="548">
      <formula>'1850'!$M$24</formula>
    </cfRule>
    <cfRule type="cellIs" priority="551" operator="lessThan" aboveAverage="0" equalAverage="0" bottom="0" percent="0" rank="0" text="" dxfId="549">
      <formula>'1850'!$M$24</formula>
    </cfRule>
  </conditionalFormatting>
  <conditionalFormatting sqref="N25">
    <cfRule type="cellIs" priority="552" operator="equal" aboveAverage="0" equalAverage="0" bottom="0" percent="0" rank="0" text="" dxfId="550">
      <formula>'1850'!$M$25</formula>
    </cfRule>
    <cfRule type="cellIs" priority="553" operator="lessThan" aboveAverage="0" equalAverage="0" bottom="0" percent="0" rank="0" text="" dxfId="551">
      <formula>'1850'!$M$25</formula>
    </cfRule>
  </conditionalFormatting>
  <conditionalFormatting sqref="N26">
    <cfRule type="cellIs" priority="554" operator="equal" aboveAverage="0" equalAverage="0" bottom="0" percent="0" rank="0" text="" dxfId="552">
      <formula>'1850'!$M$26</formula>
    </cfRule>
    <cfRule type="cellIs" priority="555" operator="lessThan" aboveAverage="0" equalAverage="0" bottom="0" percent="0" rank="0" text="" dxfId="553">
      <formula>'1850'!$M$26</formula>
    </cfRule>
  </conditionalFormatting>
  <conditionalFormatting sqref="N27">
    <cfRule type="cellIs" priority="556" operator="equal" aboveAverage="0" equalAverage="0" bottom="0" percent="0" rank="0" text="" dxfId="554">
      <formula>'1850'!$M$27</formula>
    </cfRule>
    <cfRule type="cellIs" priority="557" operator="lessThan" aboveAverage="0" equalAverage="0" bottom="0" percent="0" rank="0" text="" dxfId="555">
      <formula>'1850'!$M$27</formula>
    </cfRule>
  </conditionalFormatting>
  <conditionalFormatting sqref="N28">
    <cfRule type="cellIs" priority="558" operator="equal" aboveAverage="0" equalAverage="0" bottom="0" percent="0" rank="0" text="" dxfId="556">
      <formula>'1850'!$M$28</formula>
    </cfRule>
    <cfRule type="cellIs" priority="559" operator="lessThan" aboveAverage="0" equalAverage="0" bottom="0" percent="0" rank="0" text="" dxfId="557">
      <formula>'1850'!$M$28</formula>
    </cfRule>
  </conditionalFormatting>
  <conditionalFormatting sqref="N29">
    <cfRule type="cellIs" priority="560" operator="equal" aboveAverage="0" equalAverage="0" bottom="0" percent="0" rank="0" text="" dxfId="558">
      <formula>'1850'!$M$29</formula>
    </cfRule>
    <cfRule type="cellIs" priority="561" operator="lessThan" aboveAverage="0" equalAverage="0" bottom="0" percent="0" rank="0" text="" dxfId="559">
      <formula>'1850'!$M$29</formula>
    </cfRule>
  </conditionalFormatting>
  <conditionalFormatting sqref="O4">
    <cfRule type="cellIs" priority="562" operator="equal" aboveAverage="0" equalAverage="0" bottom="0" percent="0" rank="0" text="" dxfId="560">
      <formula>'1850'!$N$4</formula>
    </cfRule>
    <cfRule type="cellIs" priority="563" operator="lessThan" aboveAverage="0" equalAverage="0" bottom="0" percent="0" rank="0" text="" dxfId="561">
      <formula>'1850'!$N$4</formula>
    </cfRule>
  </conditionalFormatting>
  <conditionalFormatting sqref="O5">
    <cfRule type="cellIs" priority="564" operator="equal" aboveAverage="0" equalAverage="0" bottom="0" percent="0" rank="0" text="" dxfId="562">
      <formula>'1850'!$N$5</formula>
    </cfRule>
    <cfRule type="cellIs" priority="565" operator="lessThan" aboveAverage="0" equalAverage="0" bottom="0" percent="0" rank="0" text="" dxfId="563">
      <formula>'1850'!$N$5</formula>
    </cfRule>
  </conditionalFormatting>
  <conditionalFormatting sqref="O6">
    <cfRule type="cellIs" priority="566" operator="equal" aboveAverage="0" equalAverage="0" bottom="0" percent="0" rank="0" text="" dxfId="564">
      <formula>'1850'!$N$6</formula>
    </cfRule>
    <cfRule type="cellIs" priority="567" operator="lessThan" aboveAverage="0" equalAverage="0" bottom="0" percent="0" rank="0" text="" dxfId="565">
      <formula>'1850'!$N$6</formula>
    </cfRule>
  </conditionalFormatting>
  <conditionalFormatting sqref="O7">
    <cfRule type="cellIs" priority="568" operator="equal" aboveAverage="0" equalAverage="0" bottom="0" percent="0" rank="0" text="" dxfId="566">
      <formula>'1850'!$N$7</formula>
    </cfRule>
    <cfRule type="cellIs" priority="569" operator="lessThan" aboveAverage="0" equalAverage="0" bottom="0" percent="0" rank="0" text="" dxfId="567">
      <formula>'1850'!$N$7</formula>
    </cfRule>
  </conditionalFormatting>
  <conditionalFormatting sqref="O8">
    <cfRule type="cellIs" priority="570" operator="equal" aboveAverage="0" equalAverage="0" bottom="0" percent="0" rank="0" text="" dxfId="568">
      <formula>'1850'!$N$8</formula>
    </cfRule>
    <cfRule type="cellIs" priority="571" operator="lessThan" aboveAverage="0" equalAverage="0" bottom="0" percent="0" rank="0" text="" dxfId="569">
      <formula>'1850'!$N$8</formula>
    </cfRule>
  </conditionalFormatting>
  <conditionalFormatting sqref="O9">
    <cfRule type="cellIs" priority="572" operator="equal" aboveAverage="0" equalAverage="0" bottom="0" percent="0" rank="0" text="" dxfId="570">
      <formula>'1850'!$N$9</formula>
    </cfRule>
    <cfRule type="cellIs" priority="573" operator="lessThan" aboveAverage="0" equalAverage="0" bottom="0" percent="0" rank="0" text="" dxfId="571">
      <formula>'1850'!$N$9</formula>
    </cfRule>
  </conditionalFormatting>
  <conditionalFormatting sqref="O10">
    <cfRule type="cellIs" priority="574" operator="equal" aboveAverage="0" equalAverage="0" bottom="0" percent="0" rank="0" text="" dxfId="572">
      <formula>'1850'!$N$10</formula>
    </cfRule>
    <cfRule type="cellIs" priority="575" operator="lessThan" aboveAverage="0" equalAverage="0" bottom="0" percent="0" rank="0" text="" dxfId="573">
      <formula>'1850'!$N$10</formula>
    </cfRule>
  </conditionalFormatting>
  <conditionalFormatting sqref="O11">
    <cfRule type="cellIs" priority="576" operator="equal" aboveAverage="0" equalAverage="0" bottom="0" percent="0" rank="0" text="" dxfId="574">
      <formula>'1850'!$N$11</formula>
    </cfRule>
    <cfRule type="cellIs" priority="577" operator="lessThan" aboveAverage="0" equalAverage="0" bottom="0" percent="0" rank="0" text="" dxfId="575">
      <formula>'1850'!$N$11</formula>
    </cfRule>
  </conditionalFormatting>
  <conditionalFormatting sqref="O12">
    <cfRule type="cellIs" priority="578" operator="equal" aboveAverage="0" equalAverage="0" bottom="0" percent="0" rank="0" text="" dxfId="576">
      <formula>'1850'!$N$12</formula>
    </cfRule>
    <cfRule type="cellIs" priority="579" operator="lessThan" aboveAverage="0" equalAverage="0" bottom="0" percent="0" rank="0" text="" dxfId="577">
      <formula>'1850'!$N$12</formula>
    </cfRule>
  </conditionalFormatting>
  <conditionalFormatting sqref="O13">
    <cfRule type="cellIs" priority="580" operator="equal" aboveAverage="0" equalAverage="0" bottom="0" percent="0" rank="0" text="" dxfId="578">
      <formula>'1850'!$N$13</formula>
    </cfRule>
    <cfRule type="cellIs" priority="581" operator="lessThan" aboveAverage="0" equalAverage="0" bottom="0" percent="0" rank="0" text="" dxfId="579">
      <formula>'1850'!$N$13</formula>
    </cfRule>
  </conditionalFormatting>
  <conditionalFormatting sqref="O14">
    <cfRule type="cellIs" priority="582" operator="equal" aboveAverage="0" equalAverage="0" bottom="0" percent="0" rank="0" text="" dxfId="580">
      <formula>'1850'!$N$14</formula>
    </cfRule>
    <cfRule type="cellIs" priority="583" operator="lessThan" aboveAverage="0" equalAverage="0" bottom="0" percent="0" rank="0" text="" dxfId="581">
      <formula>'1850'!$N$14</formula>
    </cfRule>
  </conditionalFormatting>
  <conditionalFormatting sqref="O15">
    <cfRule type="cellIs" priority="584" operator="equal" aboveAverage="0" equalAverage="0" bottom="0" percent="0" rank="0" text="" dxfId="582">
      <formula>'1850'!$N$15</formula>
    </cfRule>
    <cfRule type="cellIs" priority="585" operator="lessThan" aboveAverage="0" equalAverage="0" bottom="0" percent="0" rank="0" text="" dxfId="583">
      <formula>'1850'!$N$15</formula>
    </cfRule>
  </conditionalFormatting>
  <conditionalFormatting sqref="O16">
    <cfRule type="cellIs" priority="586" operator="equal" aboveAverage="0" equalAverage="0" bottom="0" percent="0" rank="0" text="" dxfId="584">
      <formula>'1850'!$N$16</formula>
    </cfRule>
    <cfRule type="cellIs" priority="587" operator="lessThan" aboveAverage="0" equalAverage="0" bottom="0" percent="0" rank="0" text="" dxfId="585">
      <formula>'1850'!$N$16</formula>
    </cfRule>
  </conditionalFormatting>
  <conditionalFormatting sqref="O17">
    <cfRule type="cellIs" priority="588" operator="equal" aboveAverage="0" equalAverage="0" bottom="0" percent="0" rank="0" text="" dxfId="586">
      <formula>'1850'!$N$17</formula>
    </cfRule>
    <cfRule type="cellIs" priority="589" operator="lessThan" aboveAverage="0" equalAverage="0" bottom="0" percent="0" rank="0" text="" dxfId="587">
      <formula>'1850'!$N$17</formula>
    </cfRule>
  </conditionalFormatting>
  <conditionalFormatting sqref="O18">
    <cfRule type="cellIs" priority="590" operator="equal" aboveAverage="0" equalAverage="0" bottom="0" percent="0" rank="0" text="" dxfId="588">
      <formula>'1850'!$N$18</formula>
    </cfRule>
    <cfRule type="cellIs" priority="591" operator="lessThan" aboveAverage="0" equalAverage="0" bottom="0" percent="0" rank="0" text="" dxfId="589">
      <formula>'1850'!$N$18</formula>
    </cfRule>
  </conditionalFormatting>
  <conditionalFormatting sqref="O19">
    <cfRule type="cellIs" priority="592" operator="equal" aboveAverage="0" equalAverage="0" bottom="0" percent="0" rank="0" text="" dxfId="590">
      <formula>'1850'!$N$19</formula>
    </cfRule>
    <cfRule type="cellIs" priority="593" operator="lessThan" aboveAverage="0" equalAverage="0" bottom="0" percent="0" rank="0" text="" dxfId="591">
      <formula>'1850'!$N$19</formula>
    </cfRule>
  </conditionalFormatting>
  <conditionalFormatting sqref="O20">
    <cfRule type="cellIs" priority="594" operator="equal" aboveAverage="0" equalAverage="0" bottom="0" percent="0" rank="0" text="" dxfId="592">
      <formula>'1850'!$N$20</formula>
    </cfRule>
    <cfRule type="cellIs" priority="595" operator="lessThan" aboveAverage="0" equalAverage="0" bottom="0" percent="0" rank="0" text="" dxfId="593">
      <formula>'1850'!$N$20</formula>
    </cfRule>
  </conditionalFormatting>
  <conditionalFormatting sqref="O21">
    <cfRule type="cellIs" priority="596" operator="equal" aboveAverage="0" equalAverage="0" bottom="0" percent="0" rank="0" text="" dxfId="594">
      <formula>'1850'!$N$21</formula>
    </cfRule>
    <cfRule type="cellIs" priority="597" operator="lessThan" aboveAverage="0" equalAverage="0" bottom="0" percent="0" rank="0" text="" dxfId="595">
      <formula>'1850'!$N$21</formula>
    </cfRule>
  </conditionalFormatting>
  <conditionalFormatting sqref="O22">
    <cfRule type="cellIs" priority="598" operator="equal" aboveAverage="0" equalAverage="0" bottom="0" percent="0" rank="0" text="" dxfId="596">
      <formula>'1850'!$N$22</formula>
    </cfRule>
    <cfRule type="cellIs" priority="599" operator="lessThan" aboveAverage="0" equalAverage="0" bottom="0" percent="0" rank="0" text="" dxfId="597">
      <formula>'1850'!$N$22</formula>
    </cfRule>
  </conditionalFormatting>
  <conditionalFormatting sqref="O23">
    <cfRule type="cellIs" priority="600" operator="equal" aboveAverage="0" equalAverage="0" bottom="0" percent="0" rank="0" text="" dxfId="598">
      <formula>'1850'!$N$23</formula>
    </cfRule>
    <cfRule type="cellIs" priority="601" operator="lessThan" aboveAverage="0" equalAverage="0" bottom="0" percent="0" rank="0" text="" dxfId="599">
      <formula>'1850'!$N$23</formula>
    </cfRule>
  </conditionalFormatting>
  <conditionalFormatting sqref="O24">
    <cfRule type="cellIs" priority="602" operator="equal" aboveAverage="0" equalAverage="0" bottom="0" percent="0" rank="0" text="" dxfId="600">
      <formula>'1850'!$N$24</formula>
    </cfRule>
    <cfRule type="cellIs" priority="603" operator="lessThan" aboveAverage="0" equalAverage="0" bottom="0" percent="0" rank="0" text="" dxfId="601">
      <formula>'1850'!$N$24</formula>
    </cfRule>
  </conditionalFormatting>
  <conditionalFormatting sqref="O25">
    <cfRule type="cellIs" priority="604" operator="equal" aboveAverage="0" equalAverage="0" bottom="0" percent="0" rank="0" text="" dxfId="602">
      <formula>'1850'!$N$25</formula>
    </cfRule>
    <cfRule type="cellIs" priority="605" operator="lessThan" aboveAverage="0" equalAverage="0" bottom="0" percent="0" rank="0" text="" dxfId="603">
      <formula>'1850'!$N$25</formula>
    </cfRule>
  </conditionalFormatting>
  <conditionalFormatting sqref="O26">
    <cfRule type="cellIs" priority="606" operator="equal" aboveAverage="0" equalAverage="0" bottom="0" percent="0" rank="0" text="" dxfId="604">
      <formula>'1850'!$N$26</formula>
    </cfRule>
    <cfRule type="cellIs" priority="607" operator="lessThan" aboveAverage="0" equalAverage="0" bottom="0" percent="0" rank="0" text="" dxfId="605">
      <formula>'1850'!$N$26</formula>
    </cfRule>
  </conditionalFormatting>
  <conditionalFormatting sqref="O27">
    <cfRule type="cellIs" priority="608" operator="equal" aboveAverage="0" equalAverage="0" bottom="0" percent="0" rank="0" text="" dxfId="606">
      <formula>'1850'!$N$27</formula>
    </cfRule>
    <cfRule type="cellIs" priority="609" operator="lessThan" aboveAverage="0" equalAverage="0" bottom="0" percent="0" rank="0" text="" dxfId="607">
      <formula>'1850'!$N$27</formula>
    </cfRule>
  </conditionalFormatting>
  <conditionalFormatting sqref="O28">
    <cfRule type="cellIs" priority="610" operator="equal" aboveAverage="0" equalAverage="0" bottom="0" percent="0" rank="0" text="" dxfId="608">
      <formula>'1850'!$N$28</formula>
    </cfRule>
    <cfRule type="cellIs" priority="611" operator="lessThan" aboveAverage="0" equalAverage="0" bottom="0" percent="0" rank="0" text="" dxfId="609">
      <formula>'1850'!$N$28</formula>
    </cfRule>
  </conditionalFormatting>
  <conditionalFormatting sqref="O29">
    <cfRule type="cellIs" priority="612" operator="equal" aboveAverage="0" equalAverage="0" bottom="0" percent="0" rank="0" text="" dxfId="610">
      <formula>'1850'!$N$29</formula>
    </cfRule>
    <cfRule type="cellIs" priority="613" operator="lessThan" aboveAverage="0" equalAverage="0" bottom="0" percent="0" rank="0" text="" dxfId="611">
      <formula>'1850'!$N$29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" activeCellId="0" sqref="P3"/>
    </sheetView>
  </sheetViews>
  <sheetFormatPr defaultColWidth="8.6796875" defaultRowHeight="15" zeroHeight="false" outlineLevelRow="0" outlineLevelCol="0"/>
  <cols>
    <col collapsed="false" customWidth="true" hidden="false" outlineLevel="0" max="1" min="1" style="68" width="8.29"/>
    <col collapsed="false" customWidth="true" hidden="false" outlineLevel="0" max="2" min="2" style="1" width="8.57"/>
    <col collapsed="false" customWidth="true" hidden="false" outlineLevel="0" max="3" min="3" style="0" width="26.15"/>
    <col collapsed="false" customWidth="true" hidden="false" outlineLevel="0" max="16" min="4" style="0" width="10.14"/>
    <col collapsed="false" customWidth="true" hidden="false" outlineLevel="0" max="17" min="17" style="0" width="11.85"/>
    <col collapsed="false" customWidth="true" hidden="false" outlineLevel="0" max="20" min="20" style="0" width="5.57"/>
  </cols>
  <sheetData>
    <row r="1" customFormat="false" ht="15.75" hidden="false" customHeight="false" outlineLevel="0" collapsed="false">
      <c r="A1" s="44"/>
      <c r="B1" s="44"/>
      <c r="AE1" s="69" t="s">
        <v>65</v>
      </c>
      <c r="AF1" s="69"/>
      <c r="AG1" s="69"/>
    </row>
    <row r="2" s="6" customFormat="true" ht="21" hidden="false" customHeight="true" outlineLevel="0" collapsed="false">
      <c r="A2" s="70" t="s">
        <v>66</v>
      </c>
      <c r="B2" s="2" t="n">
        <v>1851</v>
      </c>
      <c r="C2" s="3"/>
      <c r="D2" s="4" t="n">
        <f aca="false">'1850'!C2</f>
        <v>44562</v>
      </c>
      <c r="E2" s="4" t="n">
        <f aca="false">'1850'!D2</f>
        <v>44593</v>
      </c>
      <c r="F2" s="4" t="n">
        <f aca="false">'1850'!E2</f>
        <v>44622</v>
      </c>
      <c r="G2" s="4" t="n">
        <f aca="false">'1850'!F2</f>
        <v>44652</v>
      </c>
      <c r="H2" s="4" t="n">
        <f aca="false">'1850'!G2</f>
        <v>44683</v>
      </c>
      <c r="I2" s="4" t="n">
        <f aca="false">'1850'!H2</f>
        <v>44713</v>
      </c>
      <c r="J2" s="4" t="n">
        <f aca="false">'1850'!I2</f>
        <v>44743</v>
      </c>
      <c r="K2" s="4" t="n">
        <f aca="false">'1850'!J2</f>
        <v>44774</v>
      </c>
      <c r="L2" s="4" t="n">
        <f aca="false">'1850'!K2</f>
        <v>44805</v>
      </c>
      <c r="M2" s="4" t="n">
        <f aca="false">'1850'!L2</f>
        <v>44834</v>
      </c>
      <c r="N2" s="4" t="n">
        <f aca="false">'1850'!M2</f>
        <v>44866</v>
      </c>
      <c r="O2" s="4" t="n">
        <f aca="false">'1850'!N2</f>
        <v>44896</v>
      </c>
      <c r="P2" s="4" t="n">
        <f aca="false">'1850'!O2</f>
        <v>44927</v>
      </c>
      <c r="Q2" s="6" t="s">
        <v>0</v>
      </c>
      <c r="R2" s="6" t="s">
        <v>1</v>
      </c>
      <c r="V2" s="7"/>
      <c r="W2" s="8"/>
      <c r="X2" s="8"/>
      <c r="Y2" s="8"/>
      <c r="Z2" s="8" t="s">
        <v>2</v>
      </c>
      <c r="AA2" s="8"/>
      <c r="AB2" s="8"/>
      <c r="AC2" s="8"/>
      <c r="AD2" s="8"/>
      <c r="AE2" s="9"/>
      <c r="AF2" s="9"/>
      <c r="AG2" s="10"/>
      <c r="AH2" s="71" t="s">
        <v>67</v>
      </c>
    </row>
    <row r="3" s="6" customFormat="true" ht="15.75" hidden="false" customHeight="false" outlineLevel="0" collapsed="false">
      <c r="A3" s="72" t="s">
        <v>68</v>
      </c>
      <c r="B3" s="11" t="s">
        <v>3</v>
      </c>
      <c r="C3" s="12"/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4</v>
      </c>
      <c r="Q3" s="6" t="s">
        <v>16</v>
      </c>
      <c r="R3" s="6" t="s">
        <v>17</v>
      </c>
      <c r="U3" s="6" t="s">
        <v>18</v>
      </c>
      <c r="V3" s="13" t="s">
        <v>5</v>
      </c>
      <c r="W3" s="13" t="s">
        <v>6</v>
      </c>
      <c r="X3" s="13" t="s">
        <v>7</v>
      </c>
      <c r="Y3" s="13" t="s">
        <v>8</v>
      </c>
      <c r="Z3" s="13" t="s">
        <v>9</v>
      </c>
      <c r="AA3" s="13" t="s">
        <v>10</v>
      </c>
      <c r="AB3" s="13" t="s">
        <v>11</v>
      </c>
      <c r="AC3" s="13" t="s">
        <v>12</v>
      </c>
      <c r="AD3" s="13" t="s">
        <v>13</v>
      </c>
      <c r="AE3" s="11" t="s">
        <v>14</v>
      </c>
      <c r="AF3" s="11" t="s">
        <v>15</v>
      </c>
      <c r="AG3" s="11" t="s">
        <v>4</v>
      </c>
      <c r="AH3" s="71" t="s">
        <v>69</v>
      </c>
    </row>
    <row r="4" customFormat="false" ht="15.75" hidden="false" customHeight="false" outlineLevel="0" collapsed="false">
      <c r="A4" s="73" t="n">
        <v>1</v>
      </c>
      <c r="B4" s="14" t="n">
        <v>1</v>
      </c>
      <c r="C4" s="15" t="s">
        <v>70</v>
      </c>
      <c r="D4" s="16" t="n">
        <v>391.196</v>
      </c>
      <c r="E4" s="16" t="n">
        <v>403.323</v>
      </c>
      <c r="F4" s="16" t="n">
        <v>414.092</v>
      </c>
      <c r="G4" s="16" t="n">
        <v>426.447</v>
      </c>
      <c r="H4" s="16" t="n">
        <v>439.704</v>
      </c>
      <c r="I4" s="16" t="n">
        <v>452.943</v>
      </c>
      <c r="J4" s="16" t="n">
        <v>463.367</v>
      </c>
      <c r="K4" s="16" t="n">
        <v>474.888</v>
      </c>
      <c r="L4" s="16" t="n">
        <v>486.236</v>
      </c>
      <c r="M4" s="17" t="n">
        <v>497.23</v>
      </c>
      <c r="N4" s="16" t="n">
        <v>509.794</v>
      </c>
      <c r="O4" s="16" t="n">
        <v>522.243</v>
      </c>
      <c r="P4" s="16" t="n">
        <v>536.77</v>
      </c>
      <c r="Q4" s="18" t="n">
        <f aca="false">P4-D4</f>
        <v>145.574</v>
      </c>
      <c r="U4" s="6" t="n">
        <v>1</v>
      </c>
      <c r="V4" s="19" t="n">
        <f aca="false">E4-D4</f>
        <v>12.127</v>
      </c>
      <c r="W4" s="19" t="n">
        <f aca="false">F4-E4</f>
        <v>10.769</v>
      </c>
      <c r="X4" s="19" t="n">
        <f aca="false">G4-F4</f>
        <v>12.355</v>
      </c>
      <c r="Y4" s="19" t="n">
        <f aca="false">H4-G4</f>
        <v>13.257</v>
      </c>
      <c r="Z4" s="19" t="n">
        <f aca="false">I4-H4</f>
        <v>13.239</v>
      </c>
      <c r="AA4" s="19" t="n">
        <f aca="false">J4-I4</f>
        <v>10.424</v>
      </c>
      <c r="AB4" s="19" t="n">
        <f aca="false">K4-J4</f>
        <v>11.521</v>
      </c>
      <c r="AC4" s="19" t="n">
        <f aca="false">L4-K4</f>
        <v>11.348</v>
      </c>
      <c r="AD4" s="19" t="n">
        <f aca="false">M4-L4</f>
        <v>10.994</v>
      </c>
      <c r="AE4" s="19" t="n">
        <f aca="false">N4-M4</f>
        <v>12.564</v>
      </c>
      <c r="AF4" s="19" t="n">
        <f aca="false">O4-N4</f>
        <v>12.4490000000001</v>
      </c>
      <c r="AG4" s="19" t="n">
        <f aca="false">P4-O4</f>
        <v>14.5269999999999</v>
      </c>
      <c r="AH4" s="74" t="n">
        <v>11.9052222222222</v>
      </c>
    </row>
    <row r="5" customFormat="false" ht="15" hidden="false" customHeight="false" outlineLevel="0" collapsed="false">
      <c r="A5" s="73"/>
      <c r="B5" s="14"/>
      <c r="C5" s="20" t="s">
        <v>71</v>
      </c>
      <c r="D5" s="21" t="n">
        <v>9.87</v>
      </c>
      <c r="E5" s="21" t="n">
        <v>15.187</v>
      </c>
      <c r="F5" s="21" t="n">
        <v>19.111</v>
      </c>
      <c r="G5" s="21" t="n">
        <v>22.76</v>
      </c>
      <c r="H5" s="21" t="n">
        <v>25.929</v>
      </c>
      <c r="I5" s="21" t="n">
        <v>26.947</v>
      </c>
      <c r="J5" s="21" t="n">
        <v>27.664</v>
      </c>
      <c r="K5" s="21" t="n">
        <v>28.419</v>
      </c>
      <c r="L5" s="21" t="n">
        <v>29.048</v>
      </c>
      <c r="M5" s="22" t="n">
        <v>29.809</v>
      </c>
      <c r="N5" s="21" t="n">
        <v>31.18</v>
      </c>
      <c r="O5" s="21" t="n">
        <v>34.425</v>
      </c>
      <c r="P5" s="21" t="n">
        <v>39.364</v>
      </c>
      <c r="Q5" s="18"/>
      <c r="R5" s="18" t="n">
        <f aca="false">P5-D5</f>
        <v>29.494</v>
      </c>
      <c r="U5" s="75" t="s">
        <v>72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74"/>
    </row>
    <row r="6" customFormat="false" ht="15" hidden="false" customHeight="false" outlineLevel="0" collapsed="false">
      <c r="A6" s="76" t="n">
        <v>2</v>
      </c>
      <c r="B6" s="24" t="n">
        <v>2</v>
      </c>
      <c r="C6" s="20" t="s">
        <v>73</v>
      </c>
      <c r="D6" s="21" t="n">
        <v>143.997</v>
      </c>
      <c r="E6" s="21" t="n">
        <v>148.281</v>
      </c>
      <c r="F6" s="21" t="n">
        <v>152.157</v>
      </c>
      <c r="G6" s="21" t="n">
        <v>156.049</v>
      </c>
      <c r="H6" s="21" t="n">
        <v>161.178</v>
      </c>
      <c r="I6" s="21" t="n">
        <v>165.519</v>
      </c>
      <c r="J6" s="21" t="n">
        <v>169.707</v>
      </c>
      <c r="K6" s="21" t="n">
        <v>175.45</v>
      </c>
      <c r="L6" s="21" t="n">
        <v>180.946</v>
      </c>
      <c r="M6" s="21" t="n">
        <v>185.833</v>
      </c>
      <c r="N6" s="21" t="n">
        <v>191.258</v>
      </c>
      <c r="O6" s="21" t="n">
        <v>196.183</v>
      </c>
      <c r="P6" s="21" t="n">
        <v>201.144</v>
      </c>
      <c r="Q6" s="18" t="n">
        <f aca="false">P6-D6</f>
        <v>57.147</v>
      </c>
      <c r="U6" s="6" t="n">
        <v>2</v>
      </c>
      <c r="V6" s="25" t="n">
        <f aca="false">E6-D6</f>
        <v>4.28399999999999</v>
      </c>
      <c r="W6" s="25" t="n">
        <f aca="false">F6-E6</f>
        <v>3.876</v>
      </c>
      <c r="X6" s="25" t="n">
        <f aca="false">G6-F6</f>
        <v>3.892</v>
      </c>
      <c r="Y6" s="25" t="n">
        <f aca="false">H6-G6</f>
        <v>5.12899999999999</v>
      </c>
      <c r="Z6" s="25" t="n">
        <f aca="false">I6-H6</f>
        <v>4.34100000000001</v>
      </c>
      <c r="AA6" s="25" t="n">
        <f aca="false">J6-I6</f>
        <v>4.18799999999999</v>
      </c>
      <c r="AB6" s="25" t="n">
        <f aca="false">K6-J6</f>
        <v>5.743</v>
      </c>
      <c r="AC6" s="25" t="n">
        <f aca="false">L6-K6</f>
        <v>5.49600000000001</v>
      </c>
      <c r="AD6" s="25" t="n">
        <f aca="false">M6-L6</f>
        <v>4.887</v>
      </c>
      <c r="AE6" s="25" t="n">
        <f aca="false">N6-M6</f>
        <v>5.42500000000001</v>
      </c>
      <c r="AF6" s="25" t="n">
        <f aca="false">O6-N6</f>
        <v>4.92499999999998</v>
      </c>
      <c r="AG6" s="25" t="n">
        <f aca="false">P6-O6</f>
        <v>4.96100000000001</v>
      </c>
      <c r="AH6" s="74" t="n">
        <v>4.98288888888889</v>
      </c>
    </row>
    <row r="7" customFormat="false" ht="15" hidden="false" customHeight="false" outlineLevel="0" collapsed="false">
      <c r="A7" s="76" t="s">
        <v>74</v>
      </c>
      <c r="B7" s="24"/>
      <c r="C7" s="20" t="s">
        <v>75</v>
      </c>
      <c r="D7" s="21" t="n">
        <v>11.013</v>
      </c>
      <c r="E7" s="21" t="n">
        <v>18.272</v>
      </c>
      <c r="F7" s="21" t="n">
        <v>23.089</v>
      </c>
      <c r="G7" s="21" t="n">
        <v>27.412</v>
      </c>
      <c r="H7" s="21" t="n">
        <v>30.255</v>
      </c>
      <c r="I7" s="21" t="n">
        <v>31.571</v>
      </c>
      <c r="J7" s="21" t="n">
        <v>32.548</v>
      </c>
      <c r="K7" s="21" t="n">
        <v>33.416</v>
      </c>
      <c r="L7" s="21" t="n">
        <v>34.196</v>
      </c>
      <c r="M7" s="21" t="n">
        <v>35.541</v>
      </c>
      <c r="N7" s="21" t="n">
        <v>37.416</v>
      </c>
      <c r="O7" s="21" t="n">
        <v>41.15</v>
      </c>
      <c r="P7" s="21" t="n">
        <v>46.893</v>
      </c>
      <c r="Q7" s="18"/>
      <c r="R7" s="18" t="n">
        <f aca="false">P7-D7</f>
        <v>35.88</v>
      </c>
      <c r="U7" s="75" t="s">
        <v>76</v>
      </c>
      <c r="V7" s="77" t="n">
        <f aca="false">V40</f>
        <v>2.904</v>
      </c>
      <c r="W7" s="77" t="n">
        <f aca="false">W40</f>
        <v>2.42</v>
      </c>
      <c r="X7" s="77" t="n">
        <f aca="false">X40</f>
        <v>2.092</v>
      </c>
      <c r="Y7" s="77" t="n">
        <f aca="false">Y40</f>
        <v>2.542</v>
      </c>
      <c r="Z7" s="77" t="n">
        <f aca="false">Z40</f>
        <v>2.327</v>
      </c>
      <c r="AA7" s="77" t="n">
        <f aca="false">AA40</f>
        <v>1.687</v>
      </c>
      <c r="AB7" s="77" t="n">
        <f aca="false">AB40</f>
        <v>1.78500000000001</v>
      </c>
      <c r="AC7" s="77" t="n">
        <f aca="false">AC40</f>
        <v>1.836</v>
      </c>
      <c r="AD7" s="77" t="n">
        <f aca="false">AD40</f>
        <v>2.22399999999999</v>
      </c>
      <c r="AE7" s="77" t="n">
        <f aca="false">AE40</f>
        <v>2.962</v>
      </c>
      <c r="AF7" s="77" t="n">
        <f aca="false">AF40</f>
        <v>2.80800000000001</v>
      </c>
      <c r="AG7" s="77" t="n">
        <f aca="false">AG40</f>
        <v>2.82899999999999</v>
      </c>
      <c r="AH7" s="78" t="n">
        <v>4.43</v>
      </c>
    </row>
    <row r="8" customFormat="false" ht="15" hidden="false" customHeight="false" outlineLevel="0" collapsed="false">
      <c r="A8" s="76" t="n">
        <v>5</v>
      </c>
      <c r="B8" s="79" t="n">
        <v>3</v>
      </c>
      <c r="C8" s="20" t="s">
        <v>77</v>
      </c>
      <c r="D8" s="21" t="n">
        <v>17.464</v>
      </c>
      <c r="E8" s="21" t="n">
        <v>18.224</v>
      </c>
      <c r="F8" s="21" t="n">
        <v>18.798</v>
      </c>
      <c r="G8" s="21" t="n">
        <v>19.414</v>
      </c>
      <c r="H8" s="21" t="n">
        <v>20.043</v>
      </c>
      <c r="I8" s="21" t="n">
        <v>20.614</v>
      </c>
      <c r="J8" s="21" t="n">
        <v>21.154</v>
      </c>
      <c r="K8" s="21" t="n">
        <v>21.551</v>
      </c>
      <c r="L8" s="21" t="n">
        <v>21.956</v>
      </c>
      <c r="M8" s="21" t="n">
        <v>22.323</v>
      </c>
      <c r="N8" s="21" t="n">
        <v>22.799</v>
      </c>
      <c r="O8" s="21" t="n">
        <v>0.044</v>
      </c>
      <c r="P8" s="21" t="n">
        <v>1.058</v>
      </c>
      <c r="Q8" s="80" t="n">
        <f aca="false">P8-I54+I53-D8</f>
        <v>6.804</v>
      </c>
      <c r="U8" s="6" t="n">
        <v>5</v>
      </c>
      <c r="V8" s="25" t="n">
        <f aca="false">E8-D8</f>
        <v>0.760000000000002</v>
      </c>
      <c r="W8" s="25" t="n">
        <f aca="false">F8-E8</f>
        <v>0.573999999999998</v>
      </c>
      <c r="X8" s="25" t="n">
        <f aca="false">G8-F8</f>
        <v>0.616000000000003</v>
      </c>
      <c r="Y8" s="25" t="n">
        <f aca="false">H8-G8</f>
        <v>0.628999999999998</v>
      </c>
      <c r="Z8" s="25" t="n">
        <f aca="false">I8-H8</f>
        <v>0.571000000000002</v>
      </c>
      <c r="AA8" s="25" t="n">
        <f aca="false">J8-I8</f>
        <v>0.539999999999999</v>
      </c>
      <c r="AB8" s="25" t="n">
        <f aca="false">K8-J8</f>
        <v>0.396999999999998</v>
      </c>
      <c r="AC8" s="25" t="n">
        <f aca="false">L8-K8</f>
        <v>0.405000000000001</v>
      </c>
      <c r="AD8" s="25" t="n">
        <f aca="false">M8-L8</f>
        <v>0.367000000000001</v>
      </c>
      <c r="AE8" s="25" t="n">
        <f aca="false">N8-M8</f>
        <v>0.475999999999999</v>
      </c>
      <c r="AF8" s="25" t="n">
        <f aca="false">O8-I54+I53-N8</f>
        <v>0.455000000000002</v>
      </c>
      <c r="AG8" s="25" t="n">
        <f aca="false">P8-J54+J53-O8</f>
        <v>1.014</v>
      </c>
      <c r="AH8" s="74" t="n">
        <v>0.940222222222222</v>
      </c>
    </row>
    <row r="9" customFormat="false" ht="15" hidden="false" customHeight="false" outlineLevel="0" collapsed="false">
      <c r="A9" s="76" t="s">
        <v>78</v>
      </c>
      <c r="B9" s="79"/>
      <c r="C9" s="20" t="s">
        <v>79</v>
      </c>
      <c r="D9" s="21" t="n">
        <v>11.368</v>
      </c>
      <c r="E9" s="21" t="n">
        <v>18.67</v>
      </c>
      <c r="F9" s="21" t="n">
        <v>24.342</v>
      </c>
      <c r="G9" s="21" t="n">
        <v>28.771</v>
      </c>
      <c r="H9" s="21" t="n">
        <v>32.099</v>
      </c>
      <c r="I9" s="21" t="n">
        <v>33.69</v>
      </c>
      <c r="J9" s="21" t="n">
        <v>35.155</v>
      </c>
      <c r="K9" s="21" t="n">
        <v>36.744</v>
      </c>
      <c r="L9" s="21" t="n">
        <v>38.27</v>
      </c>
      <c r="M9" s="21" t="n">
        <v>39.955</v>
      </c>
      <c r="N9" s="21" t="n">
        <v>41.98</v>
      </c>
      <c r="O9" s="21" t="n">
        <v>45.741</v>
      </c>
      <c r="P9" s="21" t="n">
        <v>51.338</v>
      </c>
      <c r="Q9" s="18"/>
      <c r="R9" s="18" t="n">
        <f aca="false">P9-D9</f>
        <v>39.97</v>
      </c>
      <c r="U9" s="75" t="s">
        <v>76</v>
      </c>
      <c r="V9" s="81" t="n">
        <f aca="false">V42</f>
        <v>0.66</v>
      </c>
      <c r="W9" s="81" t="n">
        <f aca="false">W42</f>
        <v>0.42</v>
      </c>
      <c r="X9" s="81" t="n">
        <f aca="false">X42</f>
        <v>0.428000000000001</v>
      </c>
      <c r="Y9" s="81" t="n">
        <f aca="false">Y42</f>
        <v>0.399999999999999</v>
      </c>
      <c r="Z9" s="81" t="n">
        <f aca="false">Z42</f>
        <v>0.337</v>
      </c>
      <c r="AA9" s="81" t="n">
        <f aca="false">AA42</f>
        <v>0.324000000000002</v>
      </c>
      <c r="AB9" s="81" t="n">
        <f aca="false">AB42</f>
        <v>0.334999999999999</v>
      </c>
      <c r="AC9" s="81" t="n">
        <f aca="false">AC42</f>
        <v>0.291</v>
      </c>
      <c r="AD9" s="81" t="n">
        <f aca="false">AD42</f>
        <v>0.319999999999999</v>
      </c>
      <c r="AE9" s="81" t="n">
        <f aca="false">AE42</f>
        <v>0.365000000000002</v>
      </c>
      <c r="AF9" s="81" t="n">
        <f aca="false">AF42</f>
        <v>0.41</v>
      </c>
      <c r="AG9" s="81" t="n">
        <f aca="false">AG42</f>
        <v>0.340999999999998</v>
      </c>
      <c r="AH9" s="78" t="n">
        <v>0.371222222222222</v>
      </c>
    </row>
    <row r="10" customFormat="false" ht="15" hidden="false" customHeight="false" outlineLevel="0" collapsed="false">
      <c r="A10" s="73" t="n">
        <v>4</v>
      </c>
      <c r="B10" s="24" t="n">
        <v>4</v>
      </c>
      <c r="C10" s="20" t="s">
        <v>80</v>
      </c>
      <c r="D10" s="21" t="n">
        <v>109.346</v>
      </c>
      <c r="E10" s="21" t="n">
        <v>109.346</v>
      </c>
      <c r="F10" s="21" t="n">
        <v>109.353</v>
      </c>
      <c r="G10" s="21" t="n">
        <v>109.359</v>
      </c>
      <c r="H10" s="21" t="n">
        <v>109.367</v>
      </c>
      <c r="I10" s="21" t="n">
        <v>109.805</v>
      </c>
      <c r="J10" s="21" t="n">
        <v>109.838</v>
      </c>
      <c r="K10" s="21" t="n">
        <v>109.84</v>
      </c>
      <c r="L10" s="21" t="n">
        <v>110.825</v>
      </c>
      <c r="M10" s="21" t="n">
        <v>110.948</v>
      </c>
      <c r="N10" s="21" t="n">
        <v>111.139</v>
      </c>
      <c r="O10" s="21" t="n">
        <v>112.878</v>
      </c>
      <c r="P10" s="21" t="n">
        <v>116.497</v>
      </c>
      <c r="Q10" s="18" t="n">
        <f aca="false">P10-D10</f>
        <v>7.151</v>
      </c>
      <c r="U10" s="6" t="n">
        <v>4</v>
      </c>
      <c r="V10" s="25" t="n">
        <f aca="false">E10-D10</f>
        <v>0</v>
      </c>
      <c r="W10" s="25" t="n">
        <f aca="false">F10-E10</f>
        <v>0.00699999999999079</v>
      </c>
      <c r="X10" s="25" t="n">
        <f aca="false">G10-F10</f>
        <v>0.00600000000000023</v>
      </c>
      <c r="Y10" s="25" t="n">
        <f aca="false">H10-G10</f>
        <v>0.00800000000000978</v>
      </c>
      <c r="Z10" s="25" t="n">
        <f aca="false">I10-H10</f>
        <v>0.438000000000002</v>
      </c>
      <c r="AA10" s="25" t="n">
        <f aca="false">J10-I10</f>
        <v>0.032999999999987</v>
      </c>
      <c r="AB10" s="25" t="n">
        <f aca="false">K10-J10</f>
        <v>0.00200000000000955</v>
      </c>
      <c r="AC10" s="25" t="n">
        <f aca="false">L10-K10</f>
        <v>0.984999999999999</v>
      </c>
      <c r="AD10" s="25" t="n">
        <f aca="false">M10-L10</f>
        <v>0.12299999999999</v>
      </c>
      <c r="AE10" s="25" t="n">
        <f aca="false">N10-M10</f>
        <v>0.191000000000003</v>
      </c>
      <c r="AF10" s="25" t="n">
        <f aca="false">O10-N10</f>
        <v>1.739</v>
      </c>
      <c r="AG10" s="25" t="n">
        <f aca="false">P10-O10</f>
        <v>3.619</v>
      </c>
      <c r="AH10" s="74" t="n">
        <v>5.93733333333333</v>
      </c>
    </row>
    <row r="11" customFormat="false" ht="15" hidden="false" customHeight="false" outlineLevel="0" collapsed="false">
      <c r="A11" s="73"/>
      <c r="B11" s="24"/>
      <c r="C11" s="20" t="s">
        <v>81</v>
      </c>
      <c r="D11" s="21" t="n">
        <v>0</v>
      </c>
      <c r="E11" s="21" t="n">
        <v>0</v>
      </c>
      <c r="F11" s="21" t="n">
        <v>0</v>
      </c>
      <c r="G11" s="21" t="n">
        <v>0.001</v>
      </c>
      <c r="H11" s="21" t="n">
        <v>0.002</v>
      </c>
      <c r="I11" s="21" t="n">
        <v>0.021</v>
      </c>
      <c r="J11" s="21" t="n">
        <v>0.022</v>
      </c>
      <c r="K11" s="21" t="n">
        <v>0.022</v>
      </c>
      <c r="L11" s="21" t="n">
        <v>0.07</v>
      </c>
      <c r="M11" s="21" t="n">
        <v>0.073</v>
      </c>
      <c r="N11" s="21" t="n">
        <v>0.079</v>
      </c>
      <c r="O11" s="21" t="n">
        <v>0.467</v>
      </c>
      <c r="P11" s="21" t="n">
        <v>1.298</v>
      </c>
      <c r="Q11" s="18"/>
      <c r="R11" s="18" t="n">
        <f aca="false">P11-D11</f>
        <v>1.298</v>
      </c>
      <c r="U11" s="75" t="s">
        <v>72</v>
      </c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74"/>
    </row>
    <row r="12" customFormat="false" ht="15" hidden="false" customHeight="false" outlineLevel="0" collapsed="false">
      <c r="A12" s="76" t="n">
        <v>9</v>
      </c>
      <c r="B12" s="24" t="n">
        <v>5</v>
      </c>
      <c r="C12" s="20" t="s">
        <v>82</v>
      </c>
      <c r="D12" s="21" t="n">
        <v>115.676</v>
      </c>
      <c r="E12" s="21" t="n">
        <v>119.51</v>
      </c>
      <c r="F12" s="21" t="n">
        <v>123.178</v>
      </c>
      <c r="G12" s="21" t="n">
        <v>127.577</v>
      </c>
      <c r="H12" s="21" t="n">
        <v>132.369</v>
      </c>
      <c r="I12" s="21" t="n">
        <v>137.336</v>
      </c>
      <c r="J12" s="21" t="n">
        <v>142.762</v>
      </c>
      <c r="K12" s="21" t="n">
        <v>147.657</v>
      </c>
      <c r="L12" s="21" t="n">
        <v>152.683</v>
      </c>
      <c r="M12" s="21" t="n">
        <v>157.159</v>
      </c>
      <c r="N12" s="21" t="n">
        <v>162.357</v>
      </c>
      <c r="O12" s="21" t="n">
        <v>167.375</v>
      </c>
      <c r="P12" s="21" t="n">
        <v>172.088</v>
      </c>
      <c r="Q12" s="18" t="n">
        <f aca="false">P12-D12</f>
        <v>56.412</v>
      </c>
      <c r="U12" s="6" t="n">
        <v>9</v>
      </c>
      <c r="V12" s="25" t="n">
        <f aca="false">E12-D12</f>
        <v>3.834</v>
      </c>
      <c r="W12" s="25" t="n">
        <f aca="false">F12-E12</f>
        <v>3.66799999999999</v>
      </c>
      <c r="X12" s="25" t="n">
        <f aca="false">G12-F12</f>
        <v>4.399</v>
      </c>
      <c r="Y12" s="25" t="n">
        <f aca="false">H12-G12</f>
        <v>4.792</v>
      </c>
      <c r="Z12" s="25" t="n">
        <f aca="false">I12-H12</f>
        <v>4.96700000000001</v>
      </c>
      <c r="AA12" s="25" t="n">
        <f aca="false">J12-I12</f>
        <v>5.42599999999999</v>
      </c>
      <c r="AB12" s="25" t="n">
        <f aca="false">K12-J12</f>
        <v>4.89500000000001</v>
      </c>
      <c r="AC12" s="25" t="n">
        <f aca="false">L12-K12</f>
        <v>5.02599999999998</v>
      </c>
      <c r="AD12" s="25" t="n">
        <f aca="false">M12-L12</f>
        <v>4.476</v>
      </c>
      <c r="AE12" s="25" t="n">
        <f aca="false">N12-M12</f>
        <v>5.19800000000001</v>
      </c>
      <c r="AF12" s="25" t="n">
        <f aca="false">O12-N12</f>
        <v>5.018</v>
      </c>
      <c r="AG12" s="25" t="n">
        <f aca="false">P12-O12</f>
        <v>4.71299999999999</v>
      </c>
      <c r="AH12" s="74" t="n">
        <v>4.73233333333333</v>
      </c>
    </row>
    <row r="13" customFormat="false" ht="15" hidden="false" customHeight="false" outlineLevel="0" collapsed="false">
      <c r="A13" s="76" t="s">
        <v>83</v>
      </c>
      <c r="B13" s="24"/>
      <c r="C13" s="20" t="s">
        <v>84</v>
      </c>
      <c r="D13" s="21" t="n">
        <v>8.304</v>
      </c>
      <c r="E13" s="21" t="n">
        <v>12.942</v>
      </c>
      <c r="F13" s="21" t="n">
        <v>16.757</v>
      </c>
      <c r="G13" s="21" t="n">
        <v>20.907</v>
      </c>
      <c r="H13" s="21" t="n">
        <v>24.983</v>
      </c>
      <c r="I13" s="21" t="n">
        <v>26.177</v>
      </c>
      <c r="J13" s="21" t="n">
        <v>26.964</v>
      </c>
      <c r="K13" s="21" t="n">
        <v>27.696</v>
      </c>
      <c r="L13" s="21" t="n">
        <v>28.353</v>
      </c>
      <c r="M13" s="21" t="n">
        <v>29.054</v>
      </c>
      <c r="N13" s="21" t="n">
        <v>30.507</v>
      </c>
      <c r="O13" s="21" t="n">
        <v>34.036</v>
      </c>
      <c r="P13" s="21" t="n">
        <v>38.609</v>
      </c>
      <c r="Q13" s="18"/>
      <c r="R13" s="18" t="n">
        <f aca="false">P13-D13</f>
        <v>30.305</v>
      </c>
      <c r="U13" s="75" t="s">
        <v>76</v>
      </c>
      <c r="V13" s="77" t="n">
        <f aca="false">V44</f>
        <v>2.28299999999999</v>
      </c>
      <c r="W13" s="77" t="n">
        <f aca="false">W44</f>
        <v>2.059</v>
      </c>
      <c r="X13" s="77" t="n">
        <f aca="false">X44</f>
        <v>2.067</v>
      </c>
      <c r="Y13" s="77" t="n">
        <f aca="false">Y44</f>
        <v>2.073</v>
      </c>
      <c r="Z13" s="77" t="n">
        <f aca="false">Z44</f>
        <v>1.652</v>
      </c>
      <c r="AA13" s="77" t="n">
        <f aca="false">AA44</f>
        <v>1.438</v>
      </c>
      <c r="AB13" s="77" t="n">
        <f aca="false">AB44</f>
        <v>1.226</v>
      </c>
      <c r="AC13" s="77" t="n">
        <f aca="false">AC44</f>
        <v>1.334</v>
      </c>
      <c r="AD13" s="77" t="n">
        <f aca="false">AD44</f>
        <v>1.262</v>
      </c>
      <c r="AE13" s="77" t="n">
        <f aca="false">AE44</f>
        <v>1.549</v>
      </c>
      <c r="AF13" s="77" t="n">
        <f aca="false">AF44</f>
        <v>1.912</v>
      </c>
      <c r="AG13" s="77" t="n">
        <f aca="false">AG44</f>
        <v>1.996</v>
      </c>
      <c r="AH13" s="78" t="n">
        <v>4.71822222222222</v>
      </c>
    </row>
    <row r="14" customFormat="false" ht="15" hidden="false" customHeight="false" outlineLevel="0" collapsed="false">
      <c r="A14" s="76" t="n">
        <v>15</v>
      </c>
      <c r="B14" s="24" t="n">
        <v>6</v>
      </c>
      <c r="C14" s="20" t="s">
        <v>85</v>
      </c>
      <c r="D14" s="21" t="n">
        <v>95.075</v>
      </c>
      <c r="E14" s="21" t="n">
        <v>100.796</v>
      </c>
      <c r="F14" s="21" t="n">
        <v>105.002</v>
      </c>
      <c r="G14" s="21" t="n">
        <v>109.469</v>
      </c>
      <c r="H14" s="21" t="n">
        <v>114.161</v>
      </c>
      <c r="I14" s="21" t="n">
        <v>118.939</v>
      </c>
      <c r="J14" s="21" t="n">
        <v>123.899</v>
      </c>
      <c r="K14" s="21" t="n">
        <v>129.483</v>
      </c>
      <c r="L14" s="21" t="n">
        <v>136.078</v>
      </c>
      <c r="M14" s="21" t="n">
        <v>141.583</v>
      </c>
      <c r="N14" s="21" t="n">
        <v>145.597</v>
      </c>
      <c r="O14" s="21" t="n">
        <v>149.19</v>
      </c>
      <c r="P14" s="21" t="n">
        <v>153.431</v>
      </c>
      <c r="Q14" s="18" t="n">
        <f aca="false">P14-D14</f>
        <v>58.356</v>
      </c>
      <c r="U14" s="6" t="n">
        <v>15</v>
      </c>
      <c r="V14" s="26" t="n">
        <f aca="false">E14-D14</f>
        <v>5.721</v>
      </c>
      <c r="W14" s="26" t="n">
        <f aca="false">F14-E14</f>
        <v>4.20599999999999</v>
      </c>
      <c r="X14" s="26" t="n">
        <f aca="false">G14-F14</f>
        <v>4.467</v>
      </c>
      <c r="Y14" s="26" t="n">
        <f aca="false">H14-G14</f>
        <v>4.69200000000001</v>
      </c>
      <c r="Z14" s="26" t="n">
        <f aca="false">I14-H14</f>
        <v>4.77799999999999</v>
      </c>
      <c r="AA14" s="26" t="n">
        <f aca="false">J14-I14</f>
        <v>4.96000000000001</v>
      </c>
      <c r="AB14" s="26" t="n">
        <f aca="false">K14-J14</f>
        <v>5.584</v>
      </c>
      <c r="AC14" s="26" t="n">
        <f aca="false">L14-K14</f>
        <v>6.595</v>
      </c>
      <c r="AD14" s="26" t="n">
        <f aca="false">M14-L14</f>
        <v>5.505</v>
      </c>
      <c r="AE14" s="26" t="n">
        <f aca="false">N14-M14</f>
        <v>4.01400000000001</v>
      </c>
      <c r="AF14" s="26" t="n">
        <f aca="false">O14-N14</f>
        <v>3.59299999999999</v>
      </c>
      <c r="AG14" s="26" t="n">
        <f aca="false">P14-O14</f>
        <v>4.24100000000001</v>
      </c>
      <c r="AH14" s="74" t="n">
        <v>1.68211111111111</v>
      </c>
    </row>
    <row r="15" customFormat="false" ht="15" hidden="false" customHeight="false" outlineLevel="0" collapsed="false">
      <c r="A15" s="76" t="s">
        <v>86</v>
      </c>
      <c r="B15" s="24"/>
      <c r="C15" s="20" t="s">
        <v>87</v>
      </c>
      <c r="D15" s="21" t="n">
        <v>5.474</v>
      </c>
      <c r="E15" s="21" t="n">
        <v>8.381</v>
      </c>
      <c r="F15" s="21" t="n">
        <v>10.515</v>
      </c>
      <c r="G15" s="21" t="n">
        <v>12.321</v>
      </c>
      <c r="H15" s="21" t="n">
        <v>13.944</v>
      </c>
      <c r="I15" s="21" t="n">
        <v>14.728</v>
      </c>
      <c r="J15" s="21" t="n">
        <v>15.328</v>
      </c>
      <c r="K15" s="21" t="n">
        <v>15.878</v>
      </c>
      <c r="L15" s="21" t="n">
        <v>16.394</v>
      </c>
      <c r="M15" s="21" t="n">
        <v>17.219</v>
      </c>
      <c r="N15" s="21" t="n">
        <v>17.953</v>
      </c>
      <c r="O15" s="21" t="n">
        <v>19.908</v>
      </c>
      <c r="P15" s="21" t="n">
        <v>22.332</v>
      </c>
      <c r="Q15" s="18"/>
      <c r="R15" s="18" t="n">
        <f aca="false">P15-D15</f>
        <v>16.858</v>
      </c>
      <c r="U15" s="75" t="s">
        <v>76</v>
      </c>
      <c r="V15" s="77" t="n">
        <f aca="false">V46</f>
        <v>4.197</v>
      </c>
      <c r="W15" s="77" t="n">
        <f aca="false">W46</f>
        <v>4.18300000000001</v>
      </c>
      <c r="X15" s="77" t="n">
        <f aca="false">X46</f>
        <v>3.95899999999999</v>
      </c>
      <c r="Y15" s="77" t="n">
        <f aca="false">Y46</f>
        <v>3.88200000000001</v>
      </c>
      <c r="Z15" s="77" t="n">
        <f aca="false">Z46</f>
        <v>3.125</v>
      </c>
      <c r="AA15" s="77" t="n">
        <f aca="false">AA46</f>
        <v>3.021</v>
      </c>
      <c r="AB15" s="77" t="n">
        <f aca="false">AB46</f>
        <v>2.633</v>
      </c>
      <c r="AC15" s="77" t="n">
        <f aca="false">AC46</f>
        <v>2.26000000000001</v>
      </c>
      <c r="AD15" s="77" t="n">
        <f aca="false">AD46</f>
        <v>2.636</v>
      </c>
      <c r="AE15" s="77" t="n">
        <f aca="false">AE46</f>
        <v>2.64700000000001</v>
      </c>
      <c r="AF15" s="77" t="n">
        <f aca="false">AF46</f>
        <v>2.44</v>
      </c>
      <c r="AG15" s="77" t="n">
        <f aca="false">AG46</f>
        <v>3.44200000000001</v>
      </c>
      <c r="AH15" s="78" t="n">
        <v>0.733444444444444</v>
      </c>
    </row>
    <row r="16" customFormat="false" ht="15" hidden="false" customHeight="false" outlineLevel="0" collapsed="false">
      <c r="A16" s="73" t="n">
        <v>7</v>
      </c>
      <c r="B16" s="24" t="n">
        <v>7</v>
      </c>
      <c r="C16" s="20" t="s">
        <v>88</v>
      </c>
      <c r="D16" s="21" t="n">
        <v>167.571</v>
      </c>
      <c r="E16" s="21" t="n">
        <v>174.584</v>
      </c>
      <c r="F16" s="21" t="n">
        <v>180.401</v>
      </c>
      <c r="G16" s="21" t="n">
        <v>185.5</v>
      </c>
      <c r="H16" s="21" t="n">
        <v>192.116</v>
      </c>
      <c r="I16" s="21" t="n">
        <v>198.385</v>
      </c>
      <c r="J16" s="21" t="n">
        <v>203.608</v>
      </c>
      <c r="K16" s="21" t="n">
        <v>208.063</v>
      </c>
      <c r="L16" s="21" t="n">
        <v>210.311</v>
      </c>
      <c r="M16" s="21" t="n">
        <v>215.292</v>
      </c>
      <c r="N16" s="21" t="n">
        <v>220.473</v>
      </c>
      <c r="O16" s="21" t="n">
        <v>224.838</v>
      </c>
      <c r="P16" s="21" t="n">
        <v>230.537</v>
      </c>
      <c r="Q16" s="18" t="n">
        <f aca="false">P16-D16</f>
        <v>62.966</v>
      </c>
      <c r="U16" s="6" t="n">
        <v>7</v>
      </c>
      <c r="V16" s="25" t="n">
        <f aca="false">E16-D16</f>
        <v>7.01300000000001</v>
      </c>
      <c r="W16" s="25" t="n">
        <f aca="false">F16-E16</f>
        <v>5.81700000000001</v>
      </c>
      <c r="X16" s="25" t="n">
        <f aca="false">G16-F16</f>
        <v>5.09899999999999</v>
      </c>
      <c r="Y16" s="25" t="n">
        <f aca="false">H16-G16</f>
        <v>6.61600000000001</v>
      </c>
      <c r="Z16" s="25" t="n">
        <f aca="false">I16-H16</f>
        <v>6.26899999999998</v>
      </c>
      <c r="AA16" s="25" t="n">
        <f aca="false">J16-I16</f>
        <v>5.22300000000001</v>
      </c>
      <c r="AB16" s="25" t="n">
        <f aca="false">K16-J16</f>
        <v>4.45499999999998</v>
      </c>
      <c r="AC16" s="25" t="n">
        <f aca="false">L16-K16</f>
        <v>2.24800000000002</v>
      </c>
      <c r="AD16" s="25" t="n">
        <f aca="false">M16-L16</f>
        <v>4.98099999999999</v>
      </c>
      <c r="AE16" s="25" t="n">
        <f aca="false">N16-M16</f>
        <v>5.18100000000001</v>
      </c>
      <c r="AF16" s="25" t="n">
        <f aca="false">O16-N16</f>
        <v>4.36499999999998</v>
      </c>
      <c r="AG16" s="25" t="n">
        <f aca="false">P16-O16</f>
        <v>5.69900000000001</v>
      </c>
      <c r="AH16" s="74" t="n">
        <v>6.27355555555555</v>
      </c>
    </row>
    <row r="17" customFormat="false" ht="15" hidden="false" customHeight="false" outlineLevel="0" collapsed="false">
      <c r="A17" s="73"/>
      <c r="B17" s="24"/>
      <c r="C17" s="20" t="s">
        <v>89</v>
      </c>
      <c r="D17" s="21" t="n">
        <v>1.141</v>
      </c>
      <c r="E17" s="21" t="n">
        <v>1.77</v>
      </c>
      <c r="F17" s="21" t="n">
        <v>2.262</v>
      </c>
      <c r="G17" s="21" t="n">
        <v>2.828</v>
      </c>
      <c r="H17" s="21" t="n">
        <v>3.344</v>
      </c>
      <c r="I17" s="21" t="n">
        <v>3.787</v>
      </c>
      <c r="J17" s="21" t="n">
        <v>4.072</v>
      </c>
      <c r="K17" s="21" t="n">
        <v>4.303</v>
      </c>
      <c r="L17" s="21" t="n">
        <v>4.416</v>
      </c>
      <c r="M17" s="21" t="n">
        <v>4.684</v>
      </c>
      <c r="N17" s="21" t="n">
        <v>5.016</v>
      </c>
      <c r="O17" s="21" t="n">
        <v>5.323</v>
      </c>
      <c r="P17" s="21" t="n">
        <v>5.776</v>
      </c>
      <c r="Q17" s="18"/>
      <c r="R17" s="18" t="n">
        <f aca="false">P17-D17</f>
        <v>4.635</v>
      </c>
      <c r="U17" s="75" t="s">
        <v>72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74"/>
    </row>
    <row r="18" customFormat="false" ht="15" hidden="false" customHeight="false" outlineLevel="0" collapsed="false">
      <c r="A18" s="76" t="n">
        <v>13</v>
      </c>
      <c r="B18" s="24" t="n">
        <v>8</v>
      </c>
      <c r="C18" s="20" t="s">
        <v>90</v>
      </c>
      <c r="D18" s="21" t="n">
        <v>81.12</v>
      </c>
      <c r="E18" s="21" t="n">
        <v>81.936</v>
      </c>
      <c r="F18" s="21" t="n">
        <v>84.352</v>
      </c>
      <c r="G18" s="21" t="n">
        <v>86.72</v>
      </c>
      <c r="H18" s="21" t="n">
        <v>89.263</v>
      </c>
      <c r="I18" s="21" t="n">
        <v>91.925</v>
      </c>
      <c r="J18" s="21" t="n">
        <v>94.869</v>
      </c>
      <c r="K18" s="21" t="n">
        <v>97.014</v>
      </c>
      <c r="L18" s="21" t="n">
        <v>99.636</v>
      </c>
      <c r="M18" s="21" t="n">
        <v>101.882</v>
      </c>
      <c r="N18" s="21" t="n">
        <v>104.479</v>
      </c>
      <c r="O18" s="21" t="n">
        <v>106.569</v>
      </c>
      <c r="P18" s="21" t="n">
        <v>108.811</v>
      </c>
      <c r="Q18" s="18" t="n">
        <f aca="false">P18-D18</f>
        <v>27.691</v>
      </c>
      <c r="U18" s="6" t="n">
        <v>13</v>
      </c>
      <c r="V18" s="25" t="n">
        <f aca="false">E18-D18</f>
        <v>0.816000000000003</v>
      </c>
      <c r="W18" s="25" t="n">
        <f aca="false">F18-E18</f>
        <v>2.416</v>
      </c>
      <c r="X18" s="25" t="n">
        <f aca="false">G18-F18</f>
        <v>2.368</v>
      </c>
      <c r="Y18" s="25" t="n">
        <f aca="false">H18-G18</f>
        <v>2.54300000000001</v>
      </c>
      <c r="Z18" s="25" t="n">
        <f aca="false">I18-H18</f>
        <v>2.66199999999999</v>
      </c>
      <c r="AA18" s="25" t="n">
        <f aca="false">J18-I18</f>
        <v>2.944</v>
      </c>
      <c r="AB18" s="25" t="n">
        <f aca="false">K18-J18</f>
        <v>2.145</v>
      </c>
      <c r="AC18" s="25" t="n">
        <f aca="false">L18-K18</f>
        <v>2.622</v>
      </c>
      <c r="AD18" s="25" t="n">
        <f aca="false">M18-L18</f>
        <v>2.24600000000001</v>
      </c>
      <c r="AE18" s="25" t="n">
        <f aca="false">N18-M18</f>
        <v>2.59699999999999</v>
      </c>
      <c r="AF18" s="25" t="n">
        <f aca="false">O18-N18</f>
        <v>2.09</v>
      </c>
      <c r="AG18" s="25" t="n">
        <f aca="false">P18-O18</f>
        <v>2.242</v>
      </c>
      <c r="AH18" s="74" t="n">
        <v>2.52077777777778</v>
      </c>
    </row>
    <row r="19" customFormat="false" ht="15" hidden="false" customHeight="false" outlineLevel="0" collapsed="false">
      <c r="A19" s="76" t="s">
        <v>91</v>
      </c>
      <c r="B19" s="24"/>
      <c r="C19" s="20" t="s">
        <v>92</v>
      </c>
      <c r="D19" s="21" t="n">
        <v>10.751</v>
      </c>
      <c r="E19" s="21" t="n">
        <v>15.615</v>
      </c>
      <c r="F19" s="21" t="n">
        <v>20.187</v>
      </c>
      <c r="G19" s="21" t="n">
        <v>23.4</v>
      </c>
      <c r="H19" s="21" t="n">
        <v>24.965</v>
      </c>
      <c r="I19" s="21" t="n">
        <v>25.593</v>
      </c>
      <c r="J19" s="21" t="n">
        <v>26.169</v>
      </c>
      <c r="K19" s="21" t="n">
        <v>26.487</v>
      </c>
      <c r="L19" s="21" t="n">
        <v>26.929</v>
      </c>
      <c r="M19" s="21" t="n">
        <v>27.445</v>
      </c>
      <c r="N19" s="21" t="n">
        <v>28.324</v>
      </c>
      <c r="O19" s="21" t="n">
        <v>31.245</v>
      </c>
      <c r="P19" s="21" t="n">
        <v>36.685</v>
      </c>
      <c r="Q19" s="18"/>
      <c r="R19" s="18" t="n">
        <f aca="false">P19-D19</f>
        <v>25.934</v>
      </c>
      <c r="U19" s="75" t="s">
        <v>76</v>
      </c>
      <c r="V19" s="81" t="n">
        <f aca="false">V48</f>
        <v>0.552</v>
      </c>
      <c r="W19" s="81" t="n">
        <f aca="false">W48</f>
        <v>2.41699999999999</v>
      </c>
      <c r="X19" s="81" t="n">
        <f aca="false">X48</f>
        <v>2.612</v>
      </c>
      <c r="Y19" s="81" t="n">
        <f aca="false">Y48</f>
        <v>2.504</v>
      </c>
      <c r="Z19" s="81" t="n">
        <f aca="false">Z48</f>
        <v>2.279</v>
      </c>
      <c r="AA19" s="81" t="n">
        <f aca="false">AA48</f>
        <v>2.291</v>
      </c>
      <c r="AB19" s="81" t="n">
        <f aca="false">AB48</f>
        <v>1.353</v>
      </c>
      <c r="AC19" s="81" t="n">
        <f aca="false">AC48</f>
        <v>1.811</v>
      </c>
      <c r="AD19" s="81" t="n">
        <f aca="false">AD48</f>
        <v>1.835</v>
      </c>
      <c r="AE19" s="81" t="n">
        <f aca="false">AE48</f>
        <v>2.327</v>
      </c>
      <c r="AF19" s="81" t="n">
        <f aca="false">AF48</f>
        <v>2.059</v>
      </c>
      <c r="AG19" s="81" t="n">
        <f aca="false">AG48</f>
        <v>1.958</v>
      </c>
      <c r="AH19" s="78" t="n">
        <v>1.26233333333333</v>
      </c>
    </row>
    <row r="20" customFormat="false" ht="15" hidden="false" customHeight="false" outlineLevel="0" collapsed="false">
      <c r="A20" s="73" t="n">
        <v>14</v>
      </c>
      <c r="B20" s="24" t="n">
        <v>9</v>
      </c>
      <c r="C20" s="20" t="s">
        <v>93</v>
      </c>
      <c r="D20" s="21" t="n">
        <v>254.696</v>
      </c>
      <c r="E20" s="21" t="n">
        <v>265.573</v>
      </c>
      <c r="F20" s="21" t="n">
        <v>274.426</v>
      </c>
      <c r="G20" s="21" t="n">
        <v>284.748</v>
      </c>
      <c r="H20" s="21" t="n">
        <v>295.017</v>
      </c>
      <c r="I20" s="21" t="n">
        <v>305.917</v>
      </c>
      <c r="J20" s="21" t="n">
        <v>312.99</v>
      </c>
      <c r="K20" s="21" t="n">
        <v>320.698</v>
      </c>
      <c r="L20" s="21" t="n">
        <v>329.244</v>
      </c>
      <c r="M20" s="21" t="n">
        <v>339.04</v>
      </c>
      <c r="N20" s="21" t="n">
        <v>348.198</v>
      </c>
      <c r="O20" s="21" t="n">
        <v>357.055</v>
      </c>
      <c r="P20" s="21" t="n">
        <v>366.117</v>
      </c>
      <c r="Q20" s="18" t="n">
        <f aca="false">P20-D20</f>
        <v>111.421</v>
      </c>
      <c r="U20" s="6" t="n">
        <v>14</v>
      </c>
      <c r="V20" s="25" t="n">
        <f aca="false">E20-D20</f>
        <v>10.877</v>
      </c>
      <c r="W20" s="25" t="n">
        <f aca="false">F20-E20</f>
        <v>8.85300000000001</v>
      </c>
      <c r="X20" s="25" t="n">
        <f aca="false">G20-F20</f>
        <v>10.322</v>
      </c>
      <c r="Y20" s="25" t="n">
        <f aca="false">H20-G20</f>
        <v>10.269</v>
      </c>
      <c r="Z20" s="25" t="n">
        <f aca="false">I20-H20</f>
        <v>10.9</v>
      </c>
      <c r="AA20" s="25" t="n">
        <f aca="false">J20-I20</f>
        <v>7.07300000000004</v>
      </c>
      <c r="AB20" s="25" t="n">
        <f aca="false">K20-J20</f>
        <v>7.70799999999997</v>
      </c>
      <c r="AC20" s="25" t="n">
        <f aca="false">L20-K20</f>
        <v>8.54600000000005</v>
      </c>
      <c r="AD20" s="25" t="n">
        <f aca="false">M20-L20</f>
        <v>9.79599999999999</v>
      </c>
      <c r="AE20" s="25" t="n">
        <f aca="false">N20-M20</f>
        <v>9.15799999999996</v>
      </c>
      <c r="AF20" s="25" t="n">
        <f aca="false">O20-N20</f>
        <v>8.85700000000003</v>
      </c>
      <c r="AG20" s="25" t="n">
        <f aca="false">P20-O20</f>
        <v>9.06200000000001</v>
      </c>
      <c r="AH20" s="74" t="n">
        <v>6.99833333333334</v>
      </c>
    </row>
    <row r="21" customFormat="false" ht="15" hidden="false" customHeight="false" outlineLevel="0" collapsed="false">
      <c r="A21" s="73"/>
      <c r="B21" s="24"/>
      <c r="C21" s="20" t="s">
        <v>94</v>
      </c>
      <c r="D21" s="21" t="n">
        <v>9.502</v>
      </c>
      <c r="E21" s="21" t="n">
        <v>14.708</v>
      </c>
      <c r="F21" s="21" t="n">
        <v>18.176</v>
      </c>
      <c r="G21" s="21" t="n">
        <v>20.689</v>
      </c>
      <c r="H21" s="21" t="n">
        <v>22.973</v>
      </c>
      <c r="I21" s="21" t="n">
        <v>23.424</v>
      </c>
      <c r="J21" s="21" t="n">
        <v>23.795</v>
      </c>
      <c r="K21" s="21" t="n">
        <v>24.147</v>
      </c>
      <c r="L21" s="21" t="n">
        <v>24.508</v>
      </c>
      <c r="M21" s="21" t="n">
        <v>25.067</v>
      </c>
      <c r="N21" s="21" t="n">
        <v>26.386</v>
      </c>
      <c r="O21" s="21" t="n">
        <v>29.984</v>
      </c>
      <c r="P21" s="21" t="n">
        <v>35.137</v>
      </c>
      <c r="Q21" s="18"/>
      <c r="R21" s="18" t="n">
        <f aca="false">P21-D21</f>
        <v>25.635</v>
      </c>
      <c r="U21" s="75" t="s">
        <v>72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74"/>
    </row>
    <row r="22" customFormat="false" ht="15" hidden="false" customHeight="false" outlineLevel="0" collapsed="false">
      <c r="A22" s="73" t="n">
        <v>10</v>
      </c>
      <c r="B22" s="24" t="n">
        <v>10</v>
      </c>
      <c r="C22" s="20" t="s">
        <v>95</v>
      </c>
      <c r="D22" s="21" t="n">
        <v>50.705</v>
      </c>
      <c r="E22" s="21" t="n">
        <v>52.598</v>
      </c>
      <c r="F22" s="21" t="n">
        <v>54.307</v>
      </c>
      <c r="G22" s="21" t="n">
        <v>56.003</v>
      </c>
      <c r="H22" s="21" t="n">
        <v>58.034</v>
      </c>
      <c r="I22" s="21" t="n">
        <v>59.718</v>
      </c>
      <c r="J22" s="21" t="n">
        <v>61.219</v>
      </c>
      <c r="K22" s="21" t="n">
        <v>63.021</v>
      </c>
      <c r="L22" s="21" t="n">
        <v>64.369</v>
      </c>
      <c r="M22" s="21" t="n">
        <v>65.91</v>
      </c>
      <c r="N22" s="21" t="n">
        <v>68.882</v>
      </c>
      <c r="O22" s="21" t="n">
        <v>69.54</v>
      </c>
      <c r="P22" s="21" t="n">
        <v>72.127</v>
      </c>
      <c r="Q22" s="18" t="n">
        <f aca="false">P22-D22</f>
        <v>21.422</v>
      </c>
      <c r="U22" s="6" t="n">
        <v>10</v>
      </c>
      <c r="V22" s="25" t="n">
        <f aca="false">E22-D22</f>
        <v>1.893</v>
      </c>
      <c r="W22" s="25" t="n">
        <f aca="false">F22-E22</f>
        <v>1.709</v>
      </c>
      <c r="X22" s="25" t="n">
        <f aca="false">G22-F22</f>
        <v>1.696</v>
      </c>
      <c r="Y22" s="25" t="n">
        <f aca="false">H22-G22</f>
        <v>2.031</v>
      </c>
      <c r="Z22" s="25" t="n">
        <f aca="false">I22-H22</f>
        <v>1.684</v>
      </c>
      <c r="AA22" s="25" t="n">
        <f aca="false">J22-I22</f>
        <v>1.501</v>
      </c>
      <c r="AB22" s="25" t="n">
        <f aca="false">K22-J22</f>
        <v>1.802</v>
      </c>
      <c r="AC22" s="25" t="n">
        <f aca="false">L22-K22</f>
        <v>1.348</v>
      </c>
      <c r="AD22" s="25" t="n">
        <f aca="false">M22-L22</f>
        <v>1.541</v>
      </c>
      <c r="AE22" s="25" t="n">
        <f aca="false">N22-M22</f>
        <v>2.97200000000001</v>
      </c>
      <c r="AF22" s="25" t="n">
        <f aca="false">O22-N22</f>
        <v>0.658000000000001</v>
      </c>
      <c r="AG22" s="25" t="n">
        <f aca="false">P22-O22</f>
        <v>2.58699999999999</v>
      </c>
      <c r="AH22" s="74" t="n">
        <v>2.90077777777778</v>
      </c>
    </row>
    <row r="23" customFormat="false" ht="15" hidden="false" customHeight="false" outlineLevel="0" collapsed="false">
      <c r="A23" s="73"/>
      <c r="B23" s="24"/>
      <c r="C23" s="20" t="s">
        <v>96</v>
      </c>
      <c r="D23" s="21" t="n">
        <v>6.162</v>
      </c>
      <c r="E23" s="21" t="n">
        <v>9.764</v>
      </c>
      <c r="F23" s="21" t="n">
        <v>11.912</v>
      </c>
      <c r="G23" s="21" t="n">
        <v>13.668</v>
      </c>
      <c r="H23" s="21" t="n">
        <v>14.576</v>
      </c>
      <c r="I23" s="21" t="n">
        <v>14.801</v>
      </c>
      <c r="J23" s="21" t="n">
        <v>15.001</v>
      </c>
      <c r="K23" s="21" t="n">
        <v>15.209</v>
      </c>
      <c r="L23" s="21" t="n">
        <v>15.407</v>
      </c>
      <c r="M23" s="21" t="n">
        <v>15.623</v>
      </c>
      <c r="N23" s="21" t="n">
        <v>16.164</v>
      </c>
      <c r="O23" s="21" t="n">
        <v>18.21</v>
      </c>
      <c r="P23" s="21" t="n">
        <v>21.182</v>
      </c>
      <c r="Q23" s="27"/>
      <c r="R23" s="28" t="n">
        <f aca="false">P23-D23</f>
        <v>15.02</v>
      </c>
      <c r="U23" s="75" t="s">
        <v>72</v>
      </c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74"/>
    </row>
    <row r="24" customFormat="false" ht="15" hidden="false" customHeight="false" outlineLevel="0" collapsed="false">
      <c r="A24" s="44"/>
      <c r="B24" s="82" t="s">
        <v>39</v>
      </c>
      <c r="C24" s="20" t="s">
        <v>97</v>
      </c>
      <c r="D24" s="30" t="n">
        <v>5432</v>
      </c>
      <c r="E24" s="30" t="n">
        <v>5790</v>
      </c>
      <c r="F24" s="30" t="n">
        <v>6035</v>
      </c>
      <c r="G24" s="30" t="n">
        <v>6284</v>
      </c>
      <c r="H24" s="30" t="n">
        <v>6537</v>
      </c>
      <c r="I24" s="30" t="n">
        <v>6795</v>
      </c>
      <c r="J24" s="30" t="n">
        <v>7029</v>
      </c>
      <c r="K24" s="30" t="n">
        <v>7288</v>
      </c>
      <c r="L24" s="30" t="n">
        <v>7553</v>
      </c>
      <c r="M24" s="30" t="n">
        <v>7882</v>
      </c>
      <c r="N24" s="30" t="n">
        <v>8301</v>
      </c>
      <c r="O24" s="30" t="n">
        <v>8847</v>
      </c>
      <c r="P24" s="30" t="n">
        <v>9091</v>
      </c>
      <c r="Q24" s="18" t="n">
        <f aca="false">SUM(Q4:Q23)+SUM(Q33:Q49)</f>
        <v>928.197</v>
      </c>
      <c r="R24" s="18" t="n">
        <f aca="false">SUM(R4:R23)</f>
        <v>225.029</v>
      </c>
      <c r="S24" s="33" t="n">
        <f aca="false">P24-D24</f>
        <v>3659</v>
      </c>
      <c r="U24" s="0" t="s">
        <v>98</v>
      </c>
    </row>
    <row r="25" customFormat="false" ht="15" hidden="false" customHeight="false" outlineLevel="0" collapsed="false">
      <c r="A25" s="44"/>
      <c r="B25" s="82"/>
      <c r="C25" s="2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18"/>
      <c r="S25" s="33"/>
    </row>
    <row r="26" customFormat="false" ht="15" hidden="false" customHeight="false" outlineLevel="0" collapsed="false">
      <c r="A26" s="44"/>
      <c r="B26" s="29"/>
      <c r="C26" s="20" t="s">
        <v>99</v>
      </c>
      <c r="D26" s="35" t="n">
        <v>2853.6</v>
      </c>
      <c r="E26" s="35" t="n">
        <v>2947.2</v>
      </c>
      <c r="F26" s="35" t="n">
        <v>3029</v>
      </c>
      <c r="G26" s="35" t="n">
        <v>3112.3</v>
      </c>
      <c r="H26" s="35" t="n">
        <v>3204.2</v>
      </c>
      <c r="I26" s="35" t="n">
        <v>3291.3</v>
      </c>
      <c r="J26" s="35" t="n">
        <v>3368.6</v>
      </c>
      <c r="K26" s="35" t="n">
        <v>3445.1</v>
      </c>
      <c r="L26" s="35" t="n">
        <v>3524.5</v>
      </c>
      <c r="M26" s="35" t="n">
        <v>3600.3</v>
      </c>
      <c r="N26" s="35" t="n">
        <v>3683.1</v>
      </c>
      <c r="O26" s="35" t="n">
        <v>3761.5</v>
      </c>
      <c r="P26" s="35" t="n">
        <v>3852.3</v>
      </c>
      <c r="Q26" s="18" t="n">
        <f aca="false">P26-D26</f>
        <v>998.7</v>
      </c>
    </row>
    <row r="27" customFormat="false" ht="15" hidden="false" customHeight="false" outlineLevel="0" collapsed="false">
      <c r="A27" s="44"/>
      <c r="B27" s="83"/>
      <c r="C27" s="20" t="s">
        <v>100</v>
      </c>
      <c r="D27" s="36" t="n">
        <v>217.78</v>
      </c>
      <c r="E27" s="36" t="n">
        <v>230.62</v>
      </c>
      <c r="F27" s="36" t="n">
        <v>240.26</v>
      </c>
      <c r="G27" s="36" t="n">
        <v>248.61</v>
      </c>
      <c r="H27" s="36" t="n">
        <v>255.23</v>
      </c>
      <c r="I27" s="36" t="n">
        <v>258.3</v>
      </c>
      <c r="J27" s="36" t="n">
        <v>260.87</v>
      </c>
      <c r="K27" s="37" t="n">
        <v>263.42</v>
      </c>
      <c r="L27" s="37" t="n">
        <v>265.88</v>
      </c>
      <c r="M27" s="36" t="n">
        <v>268.69</v>
      </c>
      <c r="N27" s="36" t="n">
        <v>272.62</v>
      </c>
      <c r="O27" s="36" t="n">
        <v>280.72</v>
      </c>
      <c r="P27" s="36" t="n">
        <v>292.51</v>
      </c>
      <c r="Q27" s="18"/>
      <c r="R27" s="18" t="n">
        <f aca="false">(P27-D27)*3.6</f>
        <v>269.028</v>
      </c>
      <c r="S27" s="0" t="s">
        <v>17</v>
      </c>
    </row>
    <row r="28" customFormat="false" ht="15.75" hidden="false" customHeight="false" outlineLevel="0" collapsed="false">
      <c r="A28" s="44"/>
      <c r="B28" s="11"/>
      <c r="C28" s="84" t="s">
        <v>43</v>
      </c>
      <c r="D28" s="39" t="n">
        <v>23652</v>
      </c>
      <c r="E28" s="39" t="n">
        <v>24223</v>
      </c>
      <c r="F28" s="39" t="n">
        <v>24648</v>
      </c>
      <c r="G28" s="39" t="n">
        <v>25022</v>
      </c>
      <c r="H28" s="39" t="n">
        <v>25394</v>
      </c>
      <c r="I28" s="39" t="n">
        <v>25631</v>
      </c>
      <c r="J28" s="39" t="n">
        <v>25890</v>
      </c>
      <c r="K28" s="39" t="n">
        <v>26196</v>
      </c>
      <c r="L28" s="39" t="n">
        <v>26509</v>
      </c>
      <c r="M28" s="39" t="n">
        <v>26778</v>
      </c>
      <c r="N28" s="39" t="n">
        <v>27119</v>
      </c>
      <c r="O28" s="39" t="n">
        <v>27506</v>
      </c>
      <c r="P28" s="39" t="n">
        <v>28066</v>
      </c>
      <c r="Q28" s="18"/>
      <c r="R28" s="33" t="n">
        <f aca="false">P28-D28</f>
        <v>4414</v>
      </c>
      <c r="S28" s="0" t="s">
        <v>16</v>
      </c>
    </row>
    <row r="29" customFormat="false" ht="15.75" hidden="false" customHeight="false" outlineLevel="0" collapsed="false">
      <c r="A29" s="44"/>
      <c r="B29" s="40" t="str">
        <f aca="false">'1850'!A29</f>
        <v>fakturační vodoměr č.         63796</v>
      </c>
      <c r="C29" s="41"/>
      <c r="D29" s="85" t="n">
        <f aca="false">'1850'!C29</f>
        <v>16304</v>
      </c>
      <c r="E29" s="85" t="n">
        <f aca="false">'1850'!D29</f>
        <v>16653.4</v>
      </c>
      <c r="F29" s="85" t="n">
        <f aca="false">'1850'!E29</f>
        <v>16977.5</v>
      </c>
      <c r="G29" s="85" t="n">
        <f aca="false">'1850'!F29</f>
        <v>17322.7</v>
      </c>
      <c r="H29" s="85" t="n">
        <f aca="false">'1850'!G29</f>
        <v>17680.1</v>
      </c>
      <c r="I29" s="85" t="n">
        <f aca="false">'1850'!H29</f>
        <v>18036.6</v>
      </c>
      <c r="J29" s="85" t="n">
        <f aca="false">'1850'!I29</f>
        <v>18355.9</v>
      </c>
      <c r="K29" s="85" t="n">
        <f aca="false">'1850'!J29</f>
        <v>18672</v>
      </c>
      <c r="L29" s="85" t="n">
        <f aca="false">'1850'!K29</f>
        <v>18979.4</v>
      </c>
      <c r="M29" s="85" t="n">
        <f aca="false">'1850'!L29</f>
        <v>19283.1</v>
      </c>
      <c r="N29" s="85" t="n">
        <f aca="false">'1850'!M29</f>
        <v>19628</v>
      </c>
      <c r="O29" s="85" t="n">
        <f aca="false">'1850'!N29</f>
        <v>19942.6</v>
      </c>
      <c r="P29" s="85" t="n">
        <f aca="false">'1850'!O29</f>
        <v>20281.1</v>
      </c>
      <c r="Q29" s="18" t="n">
        <f aca="false">P29-D29</f>
        <v>3977.1</v>
      </c>
      <c r="V29" s="0" t="s">
        <v>101</v>
      </c>
    </row>
    <row r="30" customFormat="false" ht="3.75" hidden="false" customHeight="true" outlineLevel="0" collapsed="false">
      <c r="A30" s="44"/>
      <c r="B30" s="44"/>
    </row>
    <row r="31" customFormat="false" ht="15.75" hidden="false" customHeight="false" outlineLevel="0" collapsed="false">
      <c r="A31" s="44"/>
      <c r="B31" s="56"/>
      <c r="E31" s="86"/>
      <c r="U31" s="6" t="s">
        <v>18</v>
      </c>
      <c r="V31" s="13" t="s">
        <v>5</v>
      </c>
      <c r="W31" s="13" t="s">
        <v>6</v>
      </c>
      <c r="X31" s="13" t="s">
        <v>7</v>
      </c>
      <c r="Y31" s="13" t="s">
        <v>8</v>
      </c>
      <c r="Z31" s="13" t="s">
        <v>9</v>
      </c>
      <c r="AA31" s="13" t="s">
        <v>10</v>
      </c>
      <c r="AB31" s="13" t="s">
        <v>11</v>
      </c>
      <c r="AC31" s="13" t="s">
        <v>12</v>
      </c>
      <c r="AD31" s="13" t="s">
        <v>13</v>
      </c>
      <c r="AE31" s="11" t="s">
        <v>14</v>
      </c>
      <c r="AF31" s="11" t="s">
        <v>15</v>
      </c>
      <c r="AG31" s="11" t="s">
        <v>4</v>
      </c>
    </row>
    <row r="32" customFormat="false" ht="3.75" hidden="false" customHeight="true" outlineLevel="0" collapsed="false">
      <c r="A32" s="44"/>
      <c r="B32" s="44"/>
    </row>
    <row r="33" customFormat="false" ht="15.75" hidden="false" customHeight="false" outlineLevel="0" collapsed="false">
      <c r="A33" s="87" t="n">
        <v>3</v>
      </c>
      <c r="B33" s="88" t="s">
        <v>102</v>
      </c>
      <c r="C33" s="15" t="s">
        <v>103</v>
      </c>
      <c r="D33" s="16" t="n">
        <v>174.759</v>
      </c>
      <c r="E33" s="16" t="n">
        <v>181.916</v>
      </c>
      <c r="F33" s="16" t="n">
        <v>186.357</v>
      </c>
      <c r="G33" s="16" t="n">
        <v>190.222</v>
      </c>
      <c r="H33" s="16" t="n">
        <v>194.138</v>
      </c>
      <c r="I33" s="16" t="n">
        <v>197.488</v>
      </c>
      <c r="J33" s="16" t="n">
        <v>200.813</v>
      </c>
      <c r="K33" s="16" t="n">
        <v>204.5</v>
      </c>
      <c r="L33" s="16" t="n">
        <v>207.887</v>
      </c>
      <c r="M33" s="17" t="n">
        <v>210.828</v>
      </c>
      <c r="N33" s="16" t="n">
        <v>213.831</v>
      </c>
      <c r="O33" s="16" t="n">
        <v>216.348</v>
      </c>
      <c r="P33" s="16" t="n">
        <v>218.777</v>
      </c>
      <c r="Q33" s="18" t="n">
        <f aca="false">P33-D33</f>
        <v>44.018</v>
      </c>
      <c r="U33" s="89" t="n">
        <v>3</v>
      </c>
      <c r="V33" s="90" t="n">
        <f aca="false">E33-D33</f>
        <v>7.15700000000001</v>
      </c>
      <c r="W33" s="90" t="n">
        <f aca="false">F33-E33</f>
        <v>4.441</v>
      </c>
      <c r="X33" s="90" t="n">
        <f aca="false">G33-F33</f>
        <v>3.86500000000001</v>
      </c>
      <c r="Y33" s="90" t="n">
        <f aca="false">H33-G33</f>
        <v>3.916</v>
      </c>
      <c r="Z33" s="90" t="n">
        <f aca="false">I33-H33</f>
        <v>3.34999999999999</v>
      </c>
      <c r="AA33" s="90" t="n">
        <f aca="false">J33-I33</f>
        <v>3.32499999999999</v>
      </c>
      <c r="AB33" s="90" t="n">
        <f aca="false">K33-J33</f>
        <v>3.68700000000001</v>
      </c>
      <c r="AC33" s="90" t="n">
        <f aca="false">L33-K33</f>
        <v>3.387</v>
      </c>
      <c r="AD33" s="90" t="n">
        <f aca="false">M33-L33</f>
        <v>2.941</v>
      </c>
      <c r="AE33" s="90" t="n">
        <f aca="false">N33-M33</f>
        <v>3.00299999999999</v>
      </c>
      <c r="AF33" s="90" t="n">
        <f aca="false">O33-N33</f>
        <v>2.51700000000002</v>
      </c>
      <c r="AG33" s="90" t="n">
        <f aca="false">P33-O33</f>
        <v>2.42899999999997</v>
      </c>
      <c r="AH33" s="74" t="n">
        <v>7.9723</v>
      </c>
    </row>
    <row r="34" customFormat="false" ht="15.75" hidden="false" customHeight="false" outlineLevel="0" collapsed="false">
      <c r="A34" s="87" t="n">
        <v>6</v>
      </c>
      <c r="B34" s="88" t="s">
        <v>104</v>
      </c>
      <c r="C34" s="15" t="s">
        <v>105</v>
      </c>
      <c r="D34" s="21" t="n">
        <v>104.722</v>
      </c>
      <c r="E34" s="21" t="n">
        <v>106.229</v>
      </c>
      <c r="F34" s="21" t="n">
        <v>107.501</v>
      </c>
      <c r="G34" s="21" t="n">
        <v>108.727</v>
      </c>
      <c r="H34" s="21" t="n">
        <v>110.007</v>
      </c>
      <c r="I34" s="21" t="n">
        <v>111.161</v>
      </c>
      <c r="J34" s="21" t="n">
        <v>112.276</v>
      </c>
      <c r="K34" s="21" t="n">
        <v>113.605</v>
      </c>
      <c r="L34" s="21" t="n">
        <v>115.298</v>
      </c>
      <c r="M34" s="21" t="n">
        <v>116.749</v>
      </c>
      <c r="N34" s="21" t="n">
        <v>118.781</v>
      </c>
      <c r="O34" s="21" t="n">
        <v>120.651</v>
      </c>
      <c r="P34" s="21" t="n">
        <v>122.338</v>
      </c>
      <c r="Q34" s="18" t="n">
        <f aca="false">P34-D34</f>
        <v>17.616</v>
      </c>
      <c r="U34" s="89" t="n">
        <v>6</v>
      </c>
      <c r="V34" s="90" t="n">
        <f aca="false">E34-D34</f>
        <v>1.50700000000001</v>
      </c>
      <c r="W34" s="90" t="n">
        <f aca="false">F34-E34</f>
        <v>1.27200000000001</v>
      </c>
      <c r="X34" s="90" t="n">
        <f aca="false">G34-F34</f>
        <v>1.226</v>
      </c>
      <c r="Y34" s="90" t="n">
        <f aca="false">H34-G34</f>
        <v>1.28</v>
      </c>
      <c r="Z34" s="90" t="n">
        <f aca="false">I34-H34</f>
        <v>1.154</v>
      </c>
      <c r="AA34" s="90" t="n">
        <f aca="false">J34-I34</f>
        <v>1.11499999999999</v>
      </c>
      <c r="AB34" s="90" t="n">
        <f aca="false">K34-J34</f>
        <v>1.32900000000001</v>
      </c>
      <c r="AC34" s="90" t="n">
        <f aca="false">L34-K34</f>
        <v>1.693</v>
      </c>
      <c r="AD34" s="90" t="n">
        <f aca="false">M34-L34</f>
        <v>1.45099999999999</v>
      </c>
      <c r="AE34" s="90" t="n">
        <f aca="false">N34-M34</f>
        <v>2.03200000000001</v>
      </c>
      <c r="AF34" s="90" t="n">
        <f aca="false">O34-N34</f>
        <v>1.86999999999999</v>
      </c>
      <c r="AG34" s="90" t="n">
        <f aca="false">P34-O34</f>
        <v>1.687</v>
      </c>
      <c r="AH34" s="74" t="n">
        <v>2.9773</v>
      </c>
    </row>
    <row r="35" customFormat="false" ht="15.75" hidden="false" customHeight="false" outlineLevel="0" collapsed="false">
      <c r="A35" s="87" t="n">
        <v>8</v>
      </c>
      <c r="B35" s="88" t="s">
        <v>106</v>
      </c>
      <c r="C35" s="15" t="s">
        <v>107</v>
      </c>
      <c r="D35" s="21" t="n">
        <v>177.033</v>
      </c>
      <c r="E35" s="21" t="n">
        <v>183.651</v>
      </c>
      <c r="F35" s="21" t="n">
        <v>189.533</v>
      </c>
      <c r="G35" s="21" t="n">
        <v>195.366</v>
      </c>
      <c r="H35" s="21" t="n">
        <v>201.476</v>
      </c>
      <c r="I35" s="21" t="n">
        <v>207.228</v>
      </c>
      <c r="J35" s="21" t="n">
        <v>213.119</v>
      </c>
      <c r="K35" s="21" t="n">
        <v>219.274</v>
      </c>
      <c r="L35" s="21" t="n">
        <v>224.61</v>
      </c>
      <c r="M35" s="21" t="n">
        <v>228.122</v>
      </c>
      <c r="N35" s="21" t="n">
        <v>232.643</v>
      </c>
      <c r="O35" s="21" t="n">
        <v>236.458</v>
      </c>
      <c r="P35" s="21" t="n">
        <v>241.591</v>
      </c>
      <c r="Q35" s="18" t="n">
        <f aca="false">P35-D35</f>
        <v>64.558</v>
      </c>
      <c r="U35" s="89" t="n">
        <v>8</v>
      </c>
      <c r="V35" s="90" t="n">
        <f aca="false">E35-D35</f>
        <v>6.61800000000002</v>
      </c>
      <c r="W35" s="90" t="n">
        <f aca="false">F35-E35</f>
        <v>5.88199999999998</v>
      </c>
      <c r="X35" s="90" t="n">
        <f aca="false">G35-F35</f>
        <v>5.83300000000003</v>
      </c>
      <c r="Y35" s="90" t="n">
        <f aca="false">H35-G35</f>
        <v>6.10999999999999</v>
      </c>
      <c r="Z35" s="90" t="n">
        <f aca="false">I35-H35</f>
        <v>5.75200000000001</v>
      </c>
      <c r="AA35" s="90" t="n">
        <f aca="false">J35-I35</f>
        <v>5.89099999999999</v>
      </c>
      <c r="AB35" s="90" t="n">
        <f aca="false">K35-J35</f>
        <v>6.155</v>
      </c>
      <c r="AC35" s="90" t="n">
        <f aca="false">L35-K35</f>
        <v>5.33600000000001</v>
      </c>
      <c r="AD35" s="90" t="n">
        <f aca="false">M35-L35</f>
        <v>3.512</v>
      </c>
      <c r="AE35" s="90" t="n">
        <f aca="false">N35-M35</f>
        <v>4.52099999999999</v>
      </c>
      <c r="AF35" s="90" t="n">
        <f aca="false">O35-N35</f>
        <v>3.815</v>
      </c>
      <c r="AG35" s="90" t="n">
        <f aca="false">P35-O35</f>
        <v>5.13300000000001</v>
      </c>
      <c r="AH35" s="74" t="n">
        <v>5.4084</v>
      </c>
    </row>
    <row r="36" customFormat="false" ht="15.75" hidden="false" customHeight="false" outlineLevel="0" collapsed="false">
      <c r="A36" s="87" t="n">
        <v>11</v>
      </c>
      <c r="B36" s="88" t="s">
        <v>108</v>
      </c>
      <c r="C36" s="15" t="s">
        <v>109</v>
      </c>
      <c r="D36" s="21" t="n">
        <v>13.701</v>
      </c>
      <c r="E36" s="21" t="n">
        <v>13.982</v>
      </c>
      <c r="F36" s="21" t="n">
        <v>14.204</v>
      </c>
      <c r="G36" s="21" t="n">
        <v>14.504</v>
      </c>
      <c r="H36" s="21" t="n">
        <v>14.885</v>
      </c>
      <c r="I36" s="21" t="n">
        <v>15.59</v>
      </c>
      <c r="J36" s="21" t="n">
        <v>15.692</v>
      </c>
      <c r="K36" s="21" t="n">
        <v>16.224</v>
      </c>
      <c r="L36" s="21" t="n">
        <v>17.457</v>
      </c>
      <c r="M36" s="21" t="n">
        <v>17.882</v>
      </c>
      <c r="N36" s="21" t="n">
        <v>18.053</v>
      </c>
      <c r="O36" s="21" t="n">
        <v>18.432</v>
      </c>
      <c r="P36" s="21" t="n">
        <v>19.042</v>
      </c>
      <c r="Q36" s="18" t="n">
        <f aca="false">P36-D36</f>
        <v>5.341</v>
      </c>
      <c r="U36" s="89" t="n">
        <v>11</v>
      </c>
      <c r="V36" s="90" t="n">
        <f aca="false">E36-D36</f>
        <v>0.280999999999999</v>
      </c>
      <c r="W36" s="90" t="n">
        <f aca="false">F36-E36</f>
        <v>0.222000000000001</v>
      </c>
      <c r="X36" s="90" t="n">
        <f aca="false">G36-F36</f>
        <v>0.299999999999999</v>
      </c>
      <c r="Y36" s="90" t="n">
        <f aca="false">H36-G36</f>
        <v>0.381</v>
      </c>
      <c r="Z36" s="90" t="n">
        <f aca="false">I36-H36</f>
        <v>0.705</v>
      </c>
      <c r="AA36" s="90" t="n">
        <f aca="false">J36-I36</f>
        <v>0.102</v>
      </c>
      <c r="AB36" s="90" t="n">
        <f aca="false">K36-J36</f>
        <v>0.532</v>
      </c>
      <c r="AC36" s="90" t="n">
        <f aca="false">L36-K36</f>
        <v>1.233</v>
      </c>
      <c r="AD36" s="90" t="n">
        <f aca="false">M36-L36</f>
        <v>0.425000000000001</v>
      </c>
      <c r="AE36" s="90" t="n">
        <f aca="false">N36-M36</f>
        <v>0.170999999999999</v>
      </c>
      <c r="AF36" s="90" t="n">
        <f aca="false">O36-N36</f>
        <v>0.378999999999998</v>
      </c>
      <c r="AG36" s="90" t="n">
        <f aca="false">P36-O36</f>
        <v>0.610000000000003</v>
      </c>
      <c r="AH36" s="74" t="n">
        <v>0.4723</v>
      </c>
    </row>
    <row r="37" customFormat="false" ht="15" hidden="false" customHeight="false" outlineLevel="0" collapsed="false">
      <c r="A37" s="87" t="n">
        <v>12</v>
      </c>
      <c r="B37" s="88" t="s">
        <v>110</v>
      </c>
      <c r="C37" s="15" t="s">
        <v>111</v>
      </c>
      <c r="D37" s="21" t="n">
        <v>49.424</v>
      </c>
      <c r="E37" s="21" t="n">
        <v>50.922</v>
      </c>
      <c r="F37" s="21" t="n">
        <v>52.37</v>
      </c>
      <c r="G37" s="21" t="n">
        <v>53.793</v>
      </c>
      <c r="H37" s="21" t="n">
        <v>57.812</v>
      </c>
      <c r="I37" s="21" t="n">
        <v>60.969</v>
      </c>
      <c r="J37" s="21" t="n">
        <v>64.435</v>
      </c>
      <c r="K37" s="21" t="n">
        <v>66.421</v>
      </c>
      <c r="L37" s="21" t="n">
        <v>70.892</v>
      </c>
      <c r="M37" s="21" t="n">
        <v>74.039</v>
      </c>
      <c r="N37" s="21" t="n">
        <v>77.964</v>
      </c>
      <c r="O37" s="21" t="n">
        <v>81.041</v>
      </c>
      <c r="P37" s="21" t="n">
        <v>84.883</v>
      </c>
      <c r="Q37" s="18" t="n">
        <f aca="false">P37-D37</f>
        <v>35.459</v>
      </c>
      <c r="U37" s="89" t="n">
        <v>12</v>
      </c>
      <c r="V37" s="90" t="n">
        <f aca="false">E37-D37</f>
        <v>1.498</v>
      </c>
      <c r="W37" s="90" t="n">
        <f aca="false">F37-E37</f>
        <v>1.448</v>
      </c>
      <c r="X37" s="90" t="n">
        <f aca="false">G37-F37</f>
        <v>1.423</v>
      </c>
      <c r="Y37" s="90" t="n">
        <f aca="false">H37-G37</f>
        <v>4.019</v>
      </c>
      <c r="Z37" s="90" t="n">
        <f aca="false">I37-H37</f>
        <v>3.157</v>
      </c>
      <c r="AA37" s="90" t="n">
        <f aca="false">J37-I37</f>
        <v>3.466</v>
      </c>
      <c r="AB37" s="90" t="n">
        <f aca="false">K37-J37</f>
        <v>1.986</v>
      </c>
      <c r="AC37" s="90" t="n">
        <f aca="false">L37-K37</f>
        <v>4.47099999999999</v>
      </c>
      <c r="AD37" s="90" t="n">
        <f aca="false">M37-L37</f>
        <v>3.14700000000001</v>
      </c>
      <c r="AE37" s="90" t="n">
        <f aca="false">N37-M37</f>
        <v>3.925</v>
      </c>
      <c r="AF37" s="90" t="n">
        <f aca="false">O37-N37</f>
        <v>3.077</v>
      </c>
      <c r="AG37" s="90" t="n">
        <f aca="false">P37-O37</f>
        <v>3.842</v>
      </c>
      <c r="AH37" s="74" t="n">
        <v>2.1434</v>
      </c>
    </row>
    <row r="38" customFormat="false" ht="15" hidden="false" customHeight="false" outlineLevel="0" collapsed="false">
      <c r="A38" s="44"/>
      <c r="B38" s="44"/>
      <c r="U38" s="52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customFormat="false" ht="15.75" hidden="false" customHeight="false" outlineLevel="0" collapsed="false">
      <c r="A39" s="44"/>
      <c r="B39" s="44"/>
      <c r="C39" s="0" t="s">
        <v>112</v>
      </c>
      <c r="U39" s="52"/>
      <c r="V39" s="44" t="s">
        <v>113</v>
      </c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customFormat="false" ht="15.75" hidden="false" customHeight="false" outlineLevel="0" collapsed="false">
      <c r="A40" s="76" t="n">
        <v>2</v>
      </c>
      <c r="B40" s="88" t="n">
        <v>2</v>
      </c>
      <c r="C40" s="91" t="s">
        <v>114</v>
      </c>
      <c r="D40" s="17" t="n">
        <v>56.786</v>
      </c>
      <c r="E40" s="17" t="n">
        <v>59.69</v>
      </c>
      <c r="F40" s="17" t="n">
        <v>62.11</v>
      </c>
      <c r="G40" s="17" t="n">
        <v>64.202</v>
      </c>
      <c r="H40" s="17" t="n">
        <v>66.744</v>
      </c>
      <c r="I40" s="17" t="n">
        <v>69.071</v>
      </c>
      <c r="J40" s="17" t="n">
        <v>70.758</v>
      </c>
      <c r="K40" s="17" t="n">
        <v>72.543</v>
      </c>
      <c r="L40" s="17" t="n">
        <v>74.379</v>
      </c>
      <c r="M40" s="17" t="n">
        <v>76.603</v>
      </c>
      <c r="N40" s="17" t="n">
        <v>79.565</v>
      </c>
      <c r="O40" s="17" t="n">
        <v>82.373</v>
      </c>
      <c r="P40" s="17" t="n">
        <v>85.202</v>
      </c>
      <c r="Q40" s="18" t="n">
        <f aca="false">P40-D40</f>
        <v>28.416</v>
      </c>
      <c r="U40" s="89" t="n">
        <v>2</v>
      </c>
      <c r="V40" s="90" t="n">
        <f aca="false">E40-D40</f>
        <v>2.904</v>
      </c>
      <c r="W40" s="90" t="n">
        <f aca="false">F40-E40</f>
        <v>2.42</v>
      </c>
      <c r="X40" s="90" t="n">
        <f aca="false">G40-F40</f>
        <v>2.092</v>
      </c>
      <c r="Y40" s="90" t="n">
        <f aca="false">H40-G40</f>
        <v>2.542</v>
      </c>
      <c r="Z40" s="90" t="n">
        <f aca="false">I40-H40</f>
        <v>2.327</v>
      </c>
      <c r="AA40" s="90" t="n">
        <f aca="false">J40-I40</f>
        <v>1.687</v>
      </c>
      <c r="AB40" s="90" t="n">
        <f aca="false">K40-J40</f>
        <v>1.78500000000001</v>
      </c>
      <c r="AC40" s="90" t="n">
        <f aca="false">L40-K40</f>
        <v>1.836</v>
      </c>
      <c r="AD40" s="90" t="n">
        <f aca="false">M40-L40</f>
        <v>2.22399999999999</v>
      </c>
      <c r="AE40" s="90" t="n">
        <f aca="false">N40-M40</f>
        <v>2.962</v>
      </c>
      <c r="AF40" s="90" t="n">
        <f aca="false">O40-N40</f>
        <v>2.80800000000001</v>
      </c>
      <c r="AG40" s="90" t="n">
        <f aca="false">P40-O40</f>
        <v>2.82899999999999</v>
      </c>
      <c r="AH40" s="74" t="n">
        <v>4.0477</v>
      </c>
    </row>
    <row r="41" customFormat="false" ht="15.75" hidden="false" customHeight="false" outlineLevel="0" collapsed="false">
      <c r="A41" s="76" t="n">
        <v>3</v>
      </c>
      <c r="B41" s="88" t="s">
        <v>102</v>
      </c>
      <c r="C41" s="91" t="s">
        <v>115</v>
      </c>
      <c r="D41" s="21" t="n">
        <v>111.664</v>
      </c>
      <c r="E41" s="21" t="n">
        <v>117.156</v>
      </c>
      <c r="F41" s="21" t="n">
        <v>120.549</v>
      </c>
      <c r="G41" s="21" t="n">
        <v>123.2</v>
      </c>
      <c r="H41" s="21" t="n">
        <v>125.604</v>
      </c>
      <c r="I41" s="21" t="n">
        <v>127.612</v>
      </c>
      <c r="J41" s="21" t="n">
        <v>129.559</v>
      </c>
      <c r="K41" s="21" t="n">
        <v>131.356</v>
      </c>
      <c r="L41" s="21" t="n">
        <v>132.882</v>
      </c>
      <c r="M41" s="21" t="n">
        <v>134.61</v>
      </c>
      <c r="N41" s="21" t="n">
        <v>136.297</v>
      </c>
      <c r="O41" s="21" t="n">
        <v>137.83</v>
      </c>
      <c r="P41" s="21" t="n">
        <v>139.535</v>
      </c>
      <c r="Q41" s="18" t="n">
        <f aca="false">P41-D41</f>
        <v>27.871</v>
      </c>
      <c r="U41" s="89" t="n">
        <v>3</v>
      </c>
      <c r="V41" s="90" t="n">
        <f aca="false">E41-D41</f>
        <v>5.492</v>
      </c>
      <c r="W41" s="90" t="n">
        <f aca="false">F41-E41</f>
        <v>3.393</v>
      </c>
      <c r="X41" s="90" t="n">
        <f aca="false">G41-F41</f>
        <v>2.651</v>
      </c>
      <c r="Y41" s="90" t="n">
        <f aca="false">H41-G41</f>
        <v>2.404</v>
      </c>
      <c r="Z41" s="90" t="n">
        <f aca="false">I41-H41</f>
        <v>2.008</v>
      </c>
      <c r="AA41" s="90" t="n">
        <f aca="false">J41-I41</f>
        <v>1.947</v>
      </c>
      <c r="AB41" s="90" t="n">
        <f aca="false">K41-J41</f>
        <v>1.797</v>
      </c>
      <c r="AC41" s="90" t="n">
        <f aca="false">L41-K41</f>
        <v>1.52600000000001</v>
      </c>
      <c r="AD41" s="90" t="n">
        <f aca="false">M41-L41</f>
        <v>1.72800000000001</v>
      </c>
      <c r="AE41" s="90" t="n">
        <f aca="false">N41-M41</f>
        <v>1.68699999999998</v>
      </c>
      <c r="AF41" s="90" t="n">
        <f aca="false">O41-N41</f>
        <v>1.53300000000002</v>
      </c>
      <c r="AG41" s="90" t="n">
        <f aca="false">P41-O41</f>
        <v>1.70499999999998</v>
      </c>
      <c r="AH41" s="74" t="n">
        <v>4.1811</v>
      </c>
    </row>
    <row r="42" customFormat="false" ht="15.75" hidden="false" customHeight="false" outlineLevel="0" collapsed="false">
      <c r="A42" s="76" t="n">
        <v>5</v>
      </c>
      <c r="B42" s="88" t="n">
        <v>3</v>
      </c>
      <c r="C42" s="91" t="s">
        <v>116</v>
      </c>
      <c r="D42" s="21" t="n">
        <v>12.609</v>
      </c>
      <c r="E42" s="21" t="n">
        <v>13.269</v>
      </c>
      <c r="F42" s="21" t="n">
        <v>13.689</v>
      </c>
      <c r="G42" s="21" t="n">
        <v>14.117</v>
      </c>
      <c r="H42" s="21" t="n">
        <v>14.517</v>
      </c>
      <c r="I42" s="21" t="n">
        <v>14.854</v>
      </c>
      <c r="J42" s="21" t="n">
        <v>15.178</v>
      </c>
      <c r="K42" s="21" t="n">
        <v>15.513</v>
      </c>
      <c r="L42" s="21" t="n">
        <v>15.804</v>
      </c>
      <c r="M42" s="21" t="n">
        <v>16.124</v>
      </c>
      <c r="N42" s="21" t="n">
        <v>16.489</v>
      </c>
      <c r="O42" s="21" t="n">
        <v>16.899</v>
      </c>
      <c r="P42" s="21" t="n">
        <v>17.24</v>
      </c>
      <c r="Q42" s="18" t="n">
        <f aca="false">P42-D42</f>
        <v>4.631</v>
      </c>
      <c r="U42" s="89" t="n">
        <v>5</v>
      </c>
      <c r="V42" s="90" t="n">
        <f aca="false">E42-D42</f>
        <v>0.66</v>
      </c>
      <c r="W42" s="90" t="n">
        <f aca="false">F42-E42</f>
        <v>0.42</v>
      </c>
      <c r="X42" s="90" t="n">
        <f aca="false">G42-F42</f>
        <v>0.428000000000001</v>
      </c>
      <c r="Y42" s="90" t="n">
        <f aca="false">H42-G42</f>
        <v>0.399999999999999</v>
      </c>
      <c r="Z42" s="90" t="n">
        <f aca="false">I42-H42</f>
        <v>0.337</v>
      </c>
      <c r="AA42" s="90" t="n">
        <f aca="false">J42-I42</f>
        <v>0.324000000000002</v>
      </c>
      <c r="AB42" s="90" t="n">
        <f aca="false">K42-J42</f>
        <v>0.334999999999999</v>
      </c>
      <c r="AC42" s="90" t="n">
        <f aca="false">L42-K42</f>
        <v>0.291</v>
      </c>
      <c r="AD42" s="90" t="n">
        <f aca="false">M42-L42</f>
        <v>0.319999999999999</v>
      </c>
      <c r="AE42" s="90" t="n">
        <f aca="false">N42-M42</f>
        <v>0.365000000000002</v>
      </c>
      <c r="AF42" s="90" t="n">
        <f aca="false">O42-N42</f>
        <v>0.41</v>
      </c>
      <c r="AG42" s="90" t="n">
        <f aca="false">P42-O42</f>
        <v>0.340999999999998</v>
      </c>
      <c r="AH42" s="74" t="n">
        <v>0.3771</v>
      </c>
    </row>
    <row r="43" customFormat="false" ht="15.75" hidden="false" customHeight="false" outlineLevel="0" collapsed="false">
      <c r="A43" s="76" t="n">
        <v>6</v>
      </c>
      <c r="B43" s="88" t="s">
        <v>104</v>
      </c>
      <c r="C43" s="91" t="s">
        <v>117</v>
      </c>
      <c r="D43" s="21" t="n">
        <v>82.099</v>
      </c>
      <c r="E43" s="21" t="n">
        <v>84.301</v>
      </c>
      <c r="F43" s="21" t="n">
        <v>86.059</v>
      </c>
      <c r="G43" s="21" t="n">
        <v>86.921</v>
      </c>
      <c r="H43" s="21" t="n">
        <v>88.092</v>
      </c>
      <c r="I43" s="21" t="n">
        <v>88.965</v>
      </c>
      <c r="J43" s="21" t="n">
        <v>89.585</v>
      </c>
      <c r="K43" s="21" t="n">
        <v>90.361</v>
      </c>
      <c r="L43" s="21" t="n">
        <v>90.98</v>
      </c>
      <c r="M43" s="21" t="n">
        <v>91.8</v>
      </c>
      <c r="N43" s="21" t="n">
        <v>93.07</v>
      </c>
      <c r="O43" s="21" t="n">
        <v>94.663</v>
      </c>
      <c r="P43" s="21" t="n">
        <v>96.178</v>
      </c>
      <c r="Q43" s="18" t="n">
        <f aca="false">P43-D43</f>
        <v>14.079</v>
      </c>
      <c r="U43" s="89" t="n">
        <v>6</v>
      </c>
      <c r="V43" s="90" t="n">
        <f aca="false">E43-D43</f>
        <v>2.202</v>
      </c>
      <c r="W43" s="90" t="n">
        <f aca="false">F43-E43</f>
        <v>1.758</v>
      </c>
      <c r="X43" s="90" t="n">
        <f aca="false">G43-F43</f>
        <v>0.862000000000009</v>
      </c>
      <c r="Y43" s="90" t="n">
        <f aca="false">H43-G43</f>
        <v>1.17099999999999</v>
      </c>
      <c r="Z43" s="90" t="n">
        <f aca="false">I43-H43</f>
        <v>0.873000000000005</v>
      </c>
      <c r="AA43" s="90" t="n">
        <f aca="false">J43-I43</f>
        <v>0.61999999999999</v>
      </c>
      <c r="AB43" s="90" t="n">
        <f aca="false">K43-J43</f>
        <v>0.776000000000011</v>
      </c>
      <c r="AC43" s="90" t="n">
        <f aca="false">L43-K43</f>
        <v>0.619</v>
      </c>
      <c r="AD43" s="90" t="n">
        <f aca="false">M43-L43</f>
        <v>0.819999999999993</v>
      </c>
      <c r="AE43" s="90" t="n">
        <f aca="false">N43-M43</f>
        <v>1.27</v>
      </c>
      <c r="AF43" s="90" t="n">
        <f aca="false">O43-N43</f>
        <v>1.593</v>
      </c>
      <c r="AG43" s="90" t="n">
        <f aca="false">P43-O43</f>
        <v>1.515</v>
      </c>
      <c r="AH43" s="74" t="n">
        <v>1.5876</v>
      </c>
    </row>
    <row r="44" customFormat="false" ht="15.75" hidden="false" customHeight="false" outlineLevel="0" collapsed="false">
      <c r="A44" s="76" t="n">
        <v>9</v>
      </c>
      <c r="B44" s="88" t="n">
        <v>5</v>
      </c>
      <c r="C44" s="91" t="s">
        <v>118</v>
      </c>
      <c r="D44" s="21" t="n">
        <v>37.255</v>
      </c>
      <c r="E44" s="21" t="n">
        <v>39.538</v>
      </c>
      <c r="F44" s="21" t="n">
        <v>41.597</v>
      </c>
      <c r="G44" s="21" t="n">
        <v>43.664</v>
      </c>
      <c r="H44" s="21" t="n">
        <v>45.737</v>
      </c>
      <c r="I44" s="21" t="n">
        <v>47.389</v>
      </c>
      <c r="J44" s="21" t="n">
        <v>48.827</v>
      </c>
      <c r="K44" s="21" t="n">
        <v>50.053</v>
      </c>
      <c r="L44" s="21" t="n">
        <v>51.387</v>
      </c>
      <c r="M44" s="21" t="n">
        <v>52.649</v>
      </c>
      <c r="N44" s="21" t="n">
        <v>54.198</v>
      </c>
      <c r="O44" s="21" t="n">
        <v>56.11</v>
      </c>
      <c r="P44" s="21" t="n">
        <v>58.106</v>
      </c>
      <c r="Q44" s="18" t="n">
        <f aca="false">P44-D44</f>
        <v>20.851</v>
      </c>
      <c r="U44" s="89" t="n">
        <v>9</v>
      </c>
      <c r="V44" s="90" t="n">
        <f aca="false">E44-D44</f>
        <v>2.28299999999999</v>
      </c>
      <c r="W44" s="90" t="n">
        <f aca="false">F44-E44</f>
        <v>2.059</v>
      </c>
      <c r="X44" s="90" t="n">
        <f aca="false">G44-F44</f>
        <v>2.067</v>
      </c>
      <c r="Y44" s="90" t="n">
        <f aca="false">H44-G44</f>
        <v>2.073</v>
      </c>
      <c r="Z44" s="90" t="n">
        <f aca="false">I44-H44</f>
        <v>1.652</v>
      </c>
      <c r="AA44" s="90" t="n">
        <f aca="false">J44-I44</f>
        <v>1.438</v>
      </c>
      <c r="AB44" s="90" t="n">
        <f aca="false">K44-J44</f>
        <v>1.226</v>
      </c>
      <c r="AC44" s="90" t="n">
        <f aca="false">L44-K44</f>
        <v>1.334</v>
      </c>
      <c r="AD44" s="90" t="n">
        <f aca="false">M44-L44</f>
        <v>1.262</v>
      </c>
      <c r="AE44" s="90" t="n">
        <f aca="false">N44-M44</f>
        <v>1.549</v>
      </c>
      <c r="AF44" s="90" t="n">
        <f aca="false">O44-N44</f>
        <v>1.912</v>
      </c>
      <c r="AG44" s="90" t="n">
        <f aca="false">P44-O44</f>
        <v>1.996</v>
      </c>
      <c r="AH44" s="74" t="n">
        <v>4.4403</v>
      </c>
    </row>
    <row r="45" customFormat="false" ht="15.75" hidden="false" customHeight="false" outlineLevel="0" collapsed="false">
      <c r="A45" s="76" t="n">
        <v>8</v>
      </c>
      <c r="B45" s="88" t="s">
        <v>106</v>
      </c>
      <c r="C45" s="91" t="s">
        <v>119</v>
      </c>
      <c r="D45" s="21" t="n">
        <v>69.031</v>
      </c>
      <c r="E45" s="21" t="n">
        <v>72.718</v>
      </c>
      <c r="F45" s="21" t="n">
        <v>75.62</v>
      </c>
      <c r="G45" s="21" t="n">
        <v>78.704</v>
      </c>
      <c r="H45" s="21" t="n">
        <v>81.25</v>
      </c>
      <c r="I45" s="21" t="n">
        <v>83.722</v>
      </c>
      <c r="J45" s="21" t="n">
        <v>85.791</v>
      </c>
      <c r="K45" s="21" t="n">
        <v>87.877</v>
      </c>
      <c r="L45" s="21" t="n">
        <v>89.482</v>
      </c>
      <c r="M45" s="21" t="n">
        <v>90.652</v>
      </c>
      <c r="N45" s="21" t="n">
        <v>92.391</v>
      </c>
      <c r="O45" s="21" t="n">
        <v>94.09</v>
      </c>
      <c r="P45" s="21" t="n">
        <v>96.476</v>
      </c>
      <c r="Q45" s="18" t="n">
        <f aca="false">P45-D45</f>
        <v>27.445</v>
      </c>
      <c r="U45" s="89" t="n">
        <v>8</v>
      </c>
      <c r="V45" s="90" t="n">
        <f aca="false">E45-D45</f>
        <v>3.687</v>
      </c>
      <c r="W45" s="90" t="n">
        <f aca="false">F45-E45</f>
        <v>2.902</v>
      </c>
      <c r="X45" s="90" t="n">
        <f aca="false">G45-F45</f>
        <v>3.08399999999999</v>
      </c>
      <c r="Y45" s="90" t="n">
        <f aca="false">H45-G45</f>
        <v>2.54600000000001</v>
      </c>
      <c r="Z45" s="90" t="n">
        <f aca="false">I45-H45</f>
        <v>2.47199999999999</v>
      </c>
      <c r="AA45" s="90" t="n">
        <f aca="false">J45-I45</f>
        <v>2.069</v>
      </c>
      <c r="AB45" s="90" t="n">
        <f aca="false">K45-J45</f>
        <v>2.086</v>
      </c>
      <c r="AC45" s="90" t="n">
        <f aca="false">L45-K45</f>
        <v>1.605</v>
      </c>
      <c r="AD45" s="90" t="n">
        <f aca="false">M45-L45</f>
        <v>1.17</v>
      </c>
      <c r="AE45" s="90" t="n">
        <f aca="false">N45-M45</f>
        <v>1.739</v>
      </c>
      <c r="AF45" s="90" t="n">
        <f aca="false">O45-N45</f>
        <v>1.699</v>
      </c>
      <c r="AG45" s="90" t="n">
        <f aca="false">P45-O45</f>
        <v>2.386</v>
      </c>
      <c r="AH45" s="74" t="n">
        <v>2.5713</v>
      </c>
    </row>
    <row r="46" customFormat="false" ht="15.75" hidden="false" customHeight="false" outlineLevel="0" collapsed="false">
      <c r="A46" s="76" t="n">
        <v>15</v>
      </c>
      <c r="B46" s="88" t="n">
        <v>6</v>
      </c>
      <c r="C46" s="91" t="s">
        <v>120</v>
      </c>
      <c r="D46" s="21" t="n">
        <v>62.118</v>
      </c>
      <c r="E46" s="21" t="n">
        <v>66.315</v>
      </c>
      <c r="F46" s="21" t="n">
        <v>70.498</v>
      </c>
      <c r="G46" s="21" t="n">
        <v>74.457</v>
      </c>
      <c r="H46" s="21" t="n">
        <v>78.339</v>
      </c>
      <c r="I46" s="21" t="n">
        <v>81.464</v>
      </c>
      <c r="J46" s="21" t="n">
        <v>84.485</v>
      </c>
      <c r="K46" s="21" t="n">
        <v>87.118</v>
      </c>
      <c r="L46" s="21" t="n">
        <v>89.378</v>
      </c>
      <c r="M46" s="21" t="n">
        <v>92.014</v>
      </c>
      <c r="N46" s="21" t="n">
        <v>94.661</v>
      </c>
      <c r="O46" s="21" t="n">
        <v>97.101</v>
      </c>
      <c r="P46" s="21" t="n">
        <v>100.543</v>
      </c>
      <c r="Q46" s="18" t="n">
        <f aca="false">P46-D46</f>
        <v>38.425</v>
      </c>
      <c r="U46" s="89" t="n">
        <v>15</v>
      </c>
      <c r="V46" s="92" t="n">
        <f aca="false">E46-D46</f>
        <v>4.197</v>
      </c>
      <c r="W46" s="92" t="n">
        <f aca="false">F46-E46</f>
        <v>4.18300000000001</v>
      </c>
      <c r="X46" s="92" t="n">
        <f aca="false">G46-F46</f>
        <v>3.95899999999999</v>
      </c>
      <c r="Y46" s="92" t="n">
        <f aca="false">H46-G46</f>
        <v>3.88200000000001</v>
      </c>
      <c r="Z46" s="92" t="n">
        <f aca="false">I46-H46</f>
        <v>3.125</v>
      </c>
      <c r="AA46" s="92" t="n">
        <f aca="false">J46-I46</f>
        <v>3.021</v>
      </c>
      <c r="AB46" s="92" t="n">
        <f aca="false">K46-J46</f>
        <v>2.633</v>
      </c>
      <c r="AC46" s="92" t="n">
        <f aca="false">L46-K46</f>
        <v>2.26000000000001</v>
      </c>
      <c r="AD46" s="92" t="n">
        <f aca="false">M46-L46</f>
        <v>2.636</v>
      </c>
      <c r="AE46" s="92" t="n">
        <f aca="false">N46-M46</f>
        <v>2.64700000000001</v>
      </c>
      <c r="AF46" s="92" t="n">
        <f aca="false">O46-N46</f>
        <v>2.44</v>
      </c>
      <c r="AG46" s="92" t="n">
        <f aca="false">P46-O46</f>
        <v>3.44200000000001</v>
      </c>
      <c r="AH46" s="74" t="n">
        <v>0.9661</v>
      </c>
    </row>
    <row r="47" customFormat="false" ht="15.75" hidden="false" customHeight="false" outlineLevel="0" collapsed="false">
      <c r="A47" s="76" t="n">
        <v>11</v>
      </c>
      <c r="B47" s="88" t="s">
        <v>108</v>
      </c>
      <c r="C47" s="91" t="s">
        <v>121</v>
      </c>
      <c r="D47" s="21" t="n">
        <v>10.546</v>
      </c>
      <c r="E47" s="21" t="n">
        <v>10.662</v>
      </c>
      <c r="F47" s="21" t="n">
        <v>10.818</v>
      </c>
      <c r="G47" s="21" t="n">
        <v>11.018</v>
      </c>
      <c r="H47" s="21" t="n">
        <v>11.221</v>
      </c>
      <c r="I47" s="21" t="n">
        <v>11.455</v>
      </c>
      <c r="J47" s="21" t="n">
        <v>11.502</v>
      </c>
      <c r="K47" s="21" t="n">
        <v>11.68</v>
      </c>
      <c r="L47" s="21" t="n">
        <v>12.139</v>
      </c>
      <c r="M47" s="21" t="n">
        <v>12.316</v>
      </c>
      <c r="N47" s="21" t="n">
        <v>12.411</v>
      </c>
      <c r="O47" s="21" t="n">
        <v>12.621</v>
      </c>
      <c r="P47" s="21" t="n">
        <v>12.953</v>
      </c>
      <c r="Q47" s="18" t="n">
        <f aca="false">P47-D47</f>
        <v>2.407</v>
      </c>
      <c r="U47" s="89" t="n">
        <v>11</v>
      </c>
      <c r="V47" s="92" t="n">
        <f aca="false">E47-D47</f>
        <v>0.116000000000001</v>
      </c>
      <c r="W47" s="92" t="n">
        <f aca="false">F47-E47</f>
        <v>0.155999999999999</v>
      </c>
      <c r="X47" s="92" t="n">
        <f aca="false">G47-F47</f>
        <v>0.200000000000001</v>
      </c>
      <c r="Y47" s="92" t="n">
        <f aca="false">H47-G47</f>
        <v>0.202999999999999</v>
      </c>
      <c r="Z47" s="92" t="n">
        <f aca="false">I47-H47</f>
        <v>0.234</v>
      </c>
      <c r="AA47" s="92" t="n">
        <f aca="false">J47-I47</f>
        <v>0.0470000000000006</v>
      </c>
      <c r="AB47" s="92" t="n">
        <f aca="false">K47-J47</f>
        <v>0.177999999999999</v>
      </c>
      <c r="AC47" s="92" t="n">
        <f aca="false">L47-K47</f>
        <v>0.459</v>
      </c>
      <c r="AD47" s="92" t="n">
        <f aca="false">M47-L47</f>
        <v>0.177000000000001</v>
      </c>
      <c r="AE47" s="92" t="n">
        <f aca="false">N47-M47</f>
        <v>0.0949999999999989</v>
      </c>
      <c r="AF47" s="92" t="n">
        <f aca="false">O47-N47</f>
        <v>0.210000000000001</v>
      </c>
      <c r="AG47" s="92" t="n">
        <f aca="false">P47-O47</f>
        <v>0.331999999999999</v>
      </c>
      <c r="AH47" s="74" t="n">
        <v>0.2794</v>
      </c>
    </row>
    <row r="48" customFormat="false" ht="15.75" hidden="false" customHeight="false" outlineLevel="0" collapsed="false">
      <c r="A48" s="76" t="n">
        <v>13</v>
      </c>
      <c r="B48" s="88" t="n">
        <v>8</v>
      </c>
      <c r="C48" s="91" t="s">
        <v>122</v>
      </c>
      <c r="D48" s="21" t="n">
        <v>43.02</v>
      </c>
      <c r="E48" s="21" t="n">
        <v>43.572</v>
      </c>
      <c r="F48" s="21" t="n">
        <v>45.989</v>
      </c>
      <c r="G48" s="21" t="n">
        <v>48.601</v>
      </c>
      <c r="H48" s="21" t="n">
        <v>51.105</v>
      </c>
      <c r="I48" s="21" t="n">
        <v>53.384</v>
      </c>
      <c r="J48" s="21" t="n">
        <v>55.675</v>
      </c>
      <c r="K48" s="21" t="n">
        <v>57.028</v>
      </c>
      <c r="L48" s="21" t="n">
        <v>58.839</v>
      </c>
      <c r="M48" s="21" t="n">
        <v>60.674</v>
      </c>
      <c r="N48" s="21" t="n">
        <v>63.001</v>
      </c>
      <c r="O48" s="21" t="n">
        <v>65.06</v>
      </c>
      <c r="P48" s="21" t="n">
        <v>67.018</v>
      </c>
      <c r="Q48" s="18" t="n">
        <f aca="false">P48-D48</f>
        <v>23.998</v>
      </c>
      <c r="U48" s="89" t="n">
        <v>13</v>
      </c>
      <c r="V48" s="92" t="n">
        <f aca="false">E48-D48</f>
        <v>0.552</v>
      </c>
      <c r="W48" s="92" t="n">
        <f aca="false">F48-E48</f>
        <v>2.41699999999999</v>
      </c>
      <c r="X48" s="92" t="n">
        <f aca="false">G48-F48</f>
        <v>2.612</v>
      </c>
      <c r="Y48" s="92" t="n">
        <f aca="false">H48-G48</f>
        <v>2.504</v>
      </c>
      <c r="Z48" s="92" t="n">
        <f aca="false">I48-H48</f>
        <v>2.279</v>
      </c>
      <c r="AA48" s="92" t="n">
        <f aca="false">J48-I48</f>
        <v>2.291</v>
      </c>
      <c r="AB48" s="92" t="n">
        <f aca="false">K48-J48</f>
        <v>1.353</v>
      </c>
      <c r="AC48" s="92" t="n">
        <f aca="false">L48-K48</f>
        <v>1.811</v>
      </c>
      <c r="AD48" s="92" t="n">
        <f aca="false">M48-L48</f>
        <v>1.835</v>
      </c>
      <c r="AE48" s="92" t="n">
        <f aca="false">N48-M48</f>
        <v>2.327</v>
      </c>
      <c r="AF48" s="92" t="n">
        <f aca="false">O48-N48</f>
        <v>2.059</v>
      </c>
      <c r="AG48" s="92" t="n">
        <f aca="false">P48-O48</f>
        <v>1.958</v>
      </c>
      <c r="AH48" s="74" t="n">
        <v>1.3253</v>
      </c>
    </row>
    <row r="49" customFormat="false" ht="15" hidden="false" customHeight="false" outlineLevel="0" collapsed="false">
      <c r="A49" s="76" t="n">
        <v>12</v>
      </c>
      <c r="B49" s="88" t="s">
        <v>110</v>
      </c>
      <c r="C49" s="91" t="s">
        <v>123</v>
      </c>
      <c r="D49" s="21" t="n">
        <v>38.506</v>
      </c>
      <c r="E49" s="21" t="n">
        <v>39.698</v>
      </c>
      <c r="F49" s="21" t="n">
        <v>40.777</v>
      </c>
      <c r="G49" s="21" t="n">
        <v>42.178</v>
      </c>
      <c r="H49" s="21" t="n">
        <v>44.585</v>
      </c>
      <c r="I49" s="21" t="n">
        <v>46.21</v>
      </c>
      <c r="J49" s="21" t="n">
        <v>47.795</v>
      </c>
      <c r="K49" s="21" t="n">
        <v>48.585</v>
      </c>
      <c r="L49" s="21" t="n">
        <v>50.006</v>
      </c>
      <c r="M49" s="21" t="n">
        <v>51.546</v>
      </c>
      <c r="N49" s="21" t="n">
        <v>53.537</v>
      </c>
      <c r="O49" s="21" t="n">
        <v>54.906</v>
      </c>
      <c r="P49" s="21" t="n">
        <v>56.644</v>
      </c>
      <c r="Q49" s="18" t="n">
        <f aca="false">P49-D49</f>
        <v>18.138</v>
      </c>
      <c r="U49" s="89" t="n">
        <v>12</v>
      </c>
      <c r="V49" s="92" t="n">
        <f aca="false">E49-D49</f>
        <v>1.192</v>
      </c>
      <c r="W49" s="92" t="n">
        <f aca="false">F49-E49</f>
        <v>1.079</v>
      </c>
      <c r="X49" s="92" t="n">
        <f aca="false">G49-F49</f>
        <v>1.401</v>
      </c>
      <c r="Y49" s="92" t="n">
        <f aca="false">H49-G49</f>
        <v>2.407</v>
      </c>
      <c r="Z49" s="92" t="n">
        <f aca="false">I49-H49</f>
        <v>1.625</v>
      </c>
      <c r="AA49" s="92" t="n">
        <f aca="false">J49-I49</f>
        <v>1.585</v>
      </c>
      <c r="AB49" s="92" t="n">
        <f aca="false">K49-J49</f>
        <v>0.789999999999999</v>
      </c>
      <c r="AC49" s="92" t="n">
        <f aca="false">L49-K49</f>
        <v>1.421</v>
      </c>
      <c r="AD49" s="92" t="n">
        <f aca="false">M49-L49</f>
        <v>1.54</v>
      </c>
      <c r="AE49" s="92" t="n">
        <f aca="false">N49-M49</f>
        <v>1.991</v>
      </c>
      <c r="AF49" s="92" t="n">
        <f aca="false">O49-N49</f>
        <v>1.369</v>
      </c>
      <c r="AG49" s="92" t="n">
        <f aca="false">P49-O49</f>
        <v>1.738</v>
      </c>
      <c r="AH49" s="74" t="n">
        <v>1.6965</v>
      </c>
    </row>
    <row r="50" customFormat="false" ht="15" hidden="false" customHeight="false" outlineLevel="0" collapsed="false">
      <c r="A50" s="44"/>
      <c r="B50" s="44"/>
      <c r="L50" s="18"/>
      <c r="M50" s="18"/>
      <c r="N50" s="18"/>
    </row>
    <row r="52" customFormat="false" ht="15" hidden="false" customHeight="false" outlineLevel="0" collapsed="false">
      <c r="D52" s="44"/>
      <c r="E52" s="93" t="s">
        <v>124</v>
      </c>
      <c r="F52" s="44"/>
      <c r="G52" s="94"/>
      <c r="H52" s="1" t="s">
        <v>45</v>
      </c>
      <c r="I52" s="6" t="s">
        <v>46</v>
      </c>
      <c r="V52" s="0" t="s">
        <v>125</v>
      </c>
    </row>
    <row r="53" customFormat="false" ht="15.75" hidden="false" customHeight="false" outlineLevel="0" collapsed="false">
      <c r="C53" s="95" t="n">
        <v>5</v>
      </c>
      <c r="D53" s="96" t="s">
        <v>126</v>
      </c>
      <c r="E53" s="97" t="n">
        <v>44895</v>
      </c>
      <c r="F53" s="88" t="s">
        <v>48</v>
      </c>
      <c r="G53" s="98" t="n">
        <v>190834093</v>
      </c>
      <c r="H53" s="98"/>
      <c r="I53" s="92" t="n">
        <v>23.23</v>
      </c>
      <c r="T53" s="6" t="s">
        <v>18</v>
      </c>
      <c r="U53" s="6" t="s">
        <v>127</v>
      </c>
      <c r="V53" s="13" t="s">
        <v>5</v>
      </c>
      <c r="W53" s="13" t="s">
        <v>6</v>
      </c>
      <c r="X53" s="13" t="s">
        <v>7</v>
      </c>
      <c r="Y53" s="13" t="s">
        <v>8</v>
      </c>
      <c r="Z53" s="13" t="s">
        <v>9</v>
      </c>
      <c r="AA53" s="13" t="s">
        <v>10</v>
      </c>
      <c r="AB53" s="13" t="s">
        <v>11</v>
      </c>
      <c r="AC53" s="13" t="s">
        <v>12</v>
      </c>
      <c r="AD53" s="13" t="s">
        <v>13</v>
      </c>
      <c r="AE53" s="11" t="s">
        <v>14</v>
      </c>
      <c r="AF53" s="11" t="s">
        <v>15</v>
      </c>
      <c r="AG53" s="11" t="s">
        <v>4</v>
      </c>
    </row>
    <row r="54" customFormat="false" ht="15" hidden="false" customHeight="false" outlineLevel="0" collapsed="false">
      <c r="C54" s="95"/>
      <c r="D54" s="96"/>
      <c r="E54" s="97"/>
      <c r="F54" s="88" t="s">
        <v>53</v>
      </c>
      <c r="G54" s="98" t="n">
        <v>221525378</v>
      </c>
      <c r="H54" s="98"/>
      <c r="I54" s="92" t="n">
        <v>0.02</v>
      </c>
      <c r="T54" s="76" t="n">
        <v>3</v>
      </c>
      <c r="U54" s="99" t="s">
        <v>128</v>
      </c>
      <c r="V54" s="90" t="n">
        <f aca="false">V33</f>
        <v>7.15700000000001</v>
      </c>
      <c r="W54" s="90" t="n">
        <f aca="false">W33</f>
        <v>4.441</v>
      </c>
      <c r="X54" s="90" t="n">
        <f aca="false">X33</f>
        <v>3.86500000000001</v>
      </c>
      <c r="Y54" s="90" t="n">
        <f aca="false">Y33</f>
        <v>3.916</v>
      </c>
      <c r="Z54" s="90" t="n">
        <f aca="false">Z33</f>
        <v>3.34999999999999</v>
      </c>
      <c r="AA54" s="90" t="n">
        <f aca="false">AA33</f>
        <v>3.32499999999999</v>
      </c>
      <c r="AB54" s="90" t="n">
        <f aca="false">AB33</f>
        <v>3.68700000000001</v>
      </c>
      <c r="AC54" s="90" t="n">
        <f aca="false">AC33</f>
        <v>3.387</v>
      </c>
      <c r="AD54" s="90" t="n">
        <f aca="false">AD33</f>
        <v>2.941</v>
      </c>
      <c r="AE54" s="90" t="n">
        <f aca="false">AE33</f>
        <v>3.00299999999999</v>
      </c>
      <c r="AF54" s="90" t="n">
        <f aca="false">AF33</f>
        <v>2.51700000000002</v>
      </c>
      <c r="AG54" s="90" t="n">
        <f aca="false">AG33</f>
        <v>2.42899999999997</v>
      </c>
      <c r="AH54" s="74" t="n">
        <v>7.9723</v>
      </c>
    </row>
    <row r="55" customFormat="false" ht="15" hidden="false" customHeight="false" outlineLevel="0" collapsed="false">
      <c r="T55" s="76"/>
      <c r="U55" s="100" t="s">
        <v>76</v>
      </c>
      <c r="V55" s="101" t="n">
        <f aca="false">V41</f>
        <v>5.492</v>
      </c>
      <c r="W55" s="101" t="n">
        <f aca="false">W41</f>
        <v>3.393</v>
      </c>
      <c r="X55" s="101" t="n">
        <f aca="false">X41</f>
        <v>2.651</v>
      </c>
      <c r="Y55" s="101" t="n">
        <f aca="false">Y41</f>
        <v>2.404</v>
      </c>
      <c r="Z55" s="101" t="n">
        <f aca="false">Z41</f>
        <v>2.008</v>
      </c>
      <c r="AA55" s="101" t="n">
        <f aca="false">AA41</f>
        <v>1.947</v>
      </c>
      <c r="AB55" s="101" t="n">
        <f aca="false">AB41</f>
        <v>1.797</v>
      </c>
      <c r="AC55" s="101" t="n">
        <f aca="false">AC41</f>
        <v>1.52600000000001</v>
      </c>
      <c r="AD55" s="101" t="n">
        <f aca="false">AD41</f>
        <v>1.72800000000001</v>
      </c>
      <c r="AE55" s="101" t="n">
        <f aca="false">AE41</f>
        <v>1.68699999999998</v>
      </c>
      <c r="AF55" s="101" t="n">
        <f aca="false">AF41</f>
        <v>1.53300000000002</v>
      </c>
      <c r="AG55" s="101" t="n">
        <f aca="false">AG41</f>
        <v>1.70499999999998</v>
      </c>
      <c r="AH55" s="74" t="n">
        <v>4.1811</v>
      </c>
    </row>
    <row r="56" customFormat="false" ht="15" hidden="false" customHeight="false" outlineLevel="0" collapsed="false">
      <c r="E56" s="0" t="s">
        <v>129</v>
      </c>
      <c r="T56" s="76" t="n">
        <v>6</v>
      </c>
      <c r="U56" s="99" t="s">
        <v>128</v>
      </c>
      <c r="V56" s="90" t="n">
        <f aca="false">V34</f>
        <v>1.50700000000001</v>
      </c>
      <c r="W56" s="90" t="n">
        <f aca="false">W34</f>
        <v>1.27200000000001</v>
      </c>
      <c r="X56" s="90" t="n">
        <f aca="false">X34</f>
        <v>1.226</v>
      </c>
      <c r="Y56" s="90" t="n">
        <f aca="false">Y34</f>
        <v>1.28</v>
      </c>
      <c r="Z56" s="90" t="n">
        <f aca="false">Z34</f>
        <v>1.154</v>
      </c>
      <c r="AA56" s="90" t="n">
        <f aca="false">AA34</f>
        <v>1.11499999999999</v>
      </c>
      <c r="AB56" s="90" t="n">
        <f aca="false">AB34</f>
        <v>1.32900000000001</v>
      </c>
      <c r="AC56" s="90" t="n">
        <f aca="false">AC34</f>
        <v>1.693</v>
      </c>
      <c r="AD56" s="90" t="n">
        <f aca="false">AD34</f>
        <v>1.45099999999999</v>
      </c>
      <c r="AE56" s="90" t="n">
        <f aca="false">AE34</f>
        <v>2.03200000000001</v>
      </c>
      <c r="AF56" s="90" t="n">
        <f aca="false">AF34</f>
        <v>1.86999999999999</v>
      </c>
      <c r="AG56" s="90" t="n">
        <f aca="false">AG34</f>
        <v>1.687</v>
      </c>
      <c r="AH56" s="74" t="n">
        <v>2.9773</v>
      </c>
    </row>
    <row r="57" customFormat="false" ht="15" hidden="false" customHeight="false" outlineLevel="0" collapsed="false">
      <c r="E57" s="97" t="n">
        <v>43956</v>
      </c>
      <c r="F57" s="88" t="s">
        <v>48</v>
      </c>
      <c r="G57" s="98"/>
      <c r="H57" s="98"/>
      <c r="I57" s="102"/>
      <c r="T57" s="76"/>
      <c r="U57" s="100" t="s">
        <v>76</v>
      </c>
      <c r="V57" s="101" t="n">
        <f aca="false">V43</f>
        <v>2.202</v>
      </c>
      <c r="W57" s="101" t="n">
        <f aca="false">W43</f>
        <v>1.758</v>
      </c>
      <c r="X57" s="101" t="n">
        <f aca="false">X43</f>
        <v>0.862000000000009</v>
      </c>
      <c r="Y57" s="101" t="n">
        <f aca="false">Y43</f>
        <v>1.17099999999999</v>
      </c>
      <c r="Z57" s="101" t="n">
        <f aca="false">Z43</f>
        <v>0.873000000000005</v>
      </c>
      <c r="AA57" s="101" t="n">
        <f aca="false">AA43</f>
        <v>0.61999999999999</v>
      </c>
      <c r="AB57" s="101" t="n">
        <f aca="false">AB43</f>
        <v>0.776000000000011</v>
      </c>
      <c r="AC57" s="101" t="n">
        <f aca="false">AC43</f>
        <v>0.619</v>
      </c>
      <c r="AD57" s="101" t="n">
        <f aca="false">AD43</f>
        <v>0.819999999999993</v>
      </c>
      <c r="AE57" s="101" t="n">
        <f aca="false">AE43</f>
        <v>1.27</v>
      </c>
      <c r="AF57" s="101" t="n">
        <f aca="false">AF43</f>
        <v>1.593</v>
      </c>
      <c r="AG57" s="101" t="n">
        <f aca="false">AG43</f>
        <v>1.515</v>
      </c>
      <c r="AH57" s="74" t="n">
        <v>1.5876</v>
      </c>
    </row>
    <row r="58" customFormat="false" ht="15" hidden="false" customHeight="false" outlineLevel="0" collapsed="false">
      <c r="E58" s="97"/>
      <c r="F58" s="88" t="s">
        <v>53</v>
      </c>
      <c r="G58" s="98"/>
      <c r="H58" s="98"/>
      <c r="I58" s="102"/>
      <c r="T58" s="76" t="n">
        <v>8</v>
      </c>
      <c r="U58" s="99" t="s">
        <v>128</v>
      </c>
      <c r="V58" s="90" t="n">
        <f aca="false">V35</f>
        <v>6.61800000000002</v>
      </c>
      <c r="W58" s="90" t="n">
        <f aca="false">W35</f>
        <v>5.88199999999998</v>
      </c>
      <c r="X58" s="90" t="n">
        <f aca="false">X35</f>
        <v>5.83300000000003</v>
      </c>
      <c r="Y58" s="90" t="n">
        <f aca="false">Y35</f>
        <v>6.10999999999999</v>
      </c>
      <c r="Z58" s="90" t="n">
        <f aca="false">Z35</f>
        <v>5.75200000000001</v>
      </c>
      <c r="AA58" s="90" t="n">
        <f aca="false">AA35</f>
        <v>5.89099999999999</v>
      </c>
      <c r="AB58" s="90" t="n">
        <f aca="false">AB35</f>
        <v>6.155</v>
      </c>
      <c r="AC58" s="90" t="n">
        <f aca="false">AC35</f>
        <v>5.33600000000001</v>
      </c>
      <c r="AD58" s="90" t="n">
        <f aca="false">AD35</f>
        <v>3.512</v>
      </c>
      <c r="AE58" s="90" t="n">
        <f aca="false">AE35</f>
        <v>4.52099999999999</v>
      </c>
      <c r="AF58" s="90" t="n">
        <f aca="false">AF35</f>
        <v>3.815</v>
      </c>
      <c r="AG58" s="90" t="n">
        <f aca="false">AG35</f>
        <v>5.13300000000001</v>
      </c>
      <c r="AH58" s="74" t="n">
        <v>5.4084</v>
      </c>
    </row>
    <row r="59" customFormat="false" ht="15" hidden="false" customHeight="false" outlineLevel="0" collapsed="false">
      <c r="T59" s="76"/>
      <c r="U59" s="100" t="s">
        <v>76</v>
      </c>
      <c r="V59" s="101" t="n">
        <f aca="false">V45</f>
        <v>3.687</v>
      </c>
      <c r="W59" s="101" t="n">
        <f aca="false">W45</f>
        <v>2.902</v>
      </c>
      <c r="X59" s="101" t="n">
        <f aca="false">X45</f>
        <v>3.08399999999999</v>
      </c>
      <c r="Y59" s="101" t="n">
        <f aca="false">Y45</f>
        <v>2.54600000000001</v>
      </c>
      <c r="Z59" s="101" t="n">
        <f aca="false">Z45</f>
        <v>2.47199999999999</v>
      </c>
      <c r="AA59" s="101" t="n">
        <f aca="false">AA45</f>
        <v>2.069</v>
      </c>
      <c r="AB59" s="101" t="n">
        <f aca="false">AB45</f>
        <v>2.086</v>
      </c>
      <c r="AC59" s="101" t="n">
        <f aca="false">AC45</f>
        <v>1.605</v>
      </c>
      <c r="AD59" s="101" t="n">
        <f aca="false">AD45</f>
        <v>1.17</v>
      </c>
      <c r="AE59" s="101" t="n">
        <f aca="false">AE45</f>
        <v>1.739</v>
      </c>
      <c r="AF59" s="101" t="n">
        <f aca="false">AF45</f>
        <v>1.699</v>
      </c>
      <c r="AG59" s="101" t="n">
        <f aca="false">AG45</f>
        <v>2.386</v>
      </c>
      <c r="AH59" s="74" t="n">
        <v>2.5713</v>
      </c>
    </row>
    <row r="60" customFormat="false" ht="15" hidden="false" customHeight="false" outlineLevel="0" collapsed="false">
      <c r="T60" s="76" t="n">
        <v>11</v>
      </c>
      <c r="U60" s="99" t="s">
        <v>128</v>
      </c>
      <c r="V60" s="90" t="n">
        <f aca="false">V36</f>
        <v>0.280999999999999</v>
      </c>
      <c r="W60" s="90" t="n">
        <f aca="false">W36</f>
        <v>0.222000000000001</v>
      </c>
      <c r="X60" s="90" t="n">
        <f aca="false">X36</f>
        <v>0.299999999999999</v>
      </c>
      <c r="Y60" s="90" t="n">
        <f aca="false">Y36</f>
        <v>0.381</v>
      </c>
      <c r="Z60" s="90" t="n">
        <f aca="false">Z36</f>
        <v>0.705</v>
      </c>
      <c r="AA60" s="90" t="n">
        <f aca="false">AA36</f>
        <v>0.102</v>
      </c>
      <c r="AB60" s="90" t="n">
        <f aca="false">AB36</f>
        <v>0.532</v>
      </c>
      <c r="AC60" s="90" t="n">
        <f aca="false">AC36</f>
        <v>1.233</v>
      </c>
      <c r="AD60" s="90" t="n">
        <f aca="false">AD36</f>
        <v>0.425000000000001</v>
      </c>
      <c r="AE60" s="90" t="n">
        <f aca="false">AE36</f>
        <v>0.170999999999999</v>
      </c>
      <c r="AF60" s="90" t="n">
        <f aca="false">AF36</f>
        <v>0.378999999999998</v>
      </c>
      <c r="AG60" s="90" t="n">
        <f aca="false">AG36</f>
        <v>0.610000000000003</v>
      </c>
      <c r="AH60" s="74" t="n">
        <v>0.4723</v>
      </c>
    </row>
    <row r="61" customFormat="false" ht="15" hidden="false" customHeight="false" outlineLevel="0" collapsed="false">
      <c r="T61" s="76"/>
      <c r="U61" s="100" t="s">
        <v>76</v>
      </c>
      <c r="V61" s="103" t="n">
        <f aca="false">V47</f>
        <v>0.116000000000001</v>
      </c>
      <c r="W61" s="103" t="n">
        <f aca="false">W47</f>
        <v>0.155999999999999</v>
      </c>
      <c r="X61" s="103" t="n">
        <f aca="false">X47</f>
        <v>0.200000000000001</v>
      </c>
      <c r="Y61" s="103" t="n">
        <f aca="false">Y47</f>
        <v>0.202999999999999</v>
      </c>
      <c r="Z61" s="103" t="n">
        <f aca="false">Z47</f>
        <v>0.234</v>
      </c>
      <c r="AA61" s="103" t="n">
        <f aca="false">AA47</f>
        <v>0.0470000000000006</v>
      </c>
      <c r="AB61" s="103" t="n">
        <f aca="false">AB47</f>
        <v>0.177999999999999</v>
      </c>
      <c r="AC61" s="103" t="n">
        <f aca="false">AC47</f>
        <v>0.459</v>
      </c>
      <c r="AD61" s="103" t="n">
        <f aca="false">AD47</f>
        <v>0.177000000000001</v>
      </c>
      <c r="AE61" s="103" t="n">
        <f aca="false">AE47</f>
        <v>0.0949999999999989</v>
      </c>
      <c r="AF61" s="103" t="n">
        <f aca="false">AF47</f>
        <v>0.210000000000001</v>
      </c>
      <c r="AG61" s="103" t="n">
        <f aca="false">AG47</f>
        <v>0.331999999999999</v>
      </c>
      <c r="AH61" s="74" t="n">
        <v>0.2794</v>
      </c>
    </row>
    <row r="62" customFormat="false" ht="15" hidden="false" customHeight="false" outlineLevel="0" collapsed="false">
      <c r="T62" s="76" t="n">
        <v>12</v>
      </c>
      <c r="U62" s="99" t="s">
        <v>128</v>
      </c>
      <c r="V62" s="92" t="n">
        <f aca="false">V37</f>
        <v>1.498</v>
      </c>
      <c r="W62" s="92" t="n">
        <f aca="false">W37</f>
        <v>1.448</v>
      </c>
      <c r="X62" s="92" t="n">
        <f aca="false">X37</f>
        <v>1.423</v>
      </c>
      <c r="Y62" s="92" t="n">
        <f aca="false">Y37</f>
        <v>4.019</v>
      </c>
      <c r="Z62" s="92" t="n">
        <f aca="false">Z37</f>
        <v>3.157</v>
      </c>
      <c r="AA62" s="92" t="n">
        <f aca="false">AA37</f>
        <v>3.466</v>
      </c>
      <c r="AB62" s="92" t="n">
        <f aca="false">AB37</f>
        <v>1.986</v>
      </c>
      <c r="AC62" s="92" t="n">
        <f aca="false">AC37</f>
        <v>4.47099999999999</v>
      </c>
      <c r="AD62" s="92" t="n">
        <f aca="false">AD37</f>
        <v>3.14700000000001</v>
      </c>
      <c r="AE62" s="92" t="n">
        <f aca="false">AE37</f>
        <v>3.925</v>
      </c>
      <c r="AF62" s="92" t="n">
        <f aca="false">AF37</f>
        <v>3.077</v>
      </c>
      <c r="AG62" s="92" t="n">
        <f aca="false">AG37</f>
        <v>3.842</v>
      </c>
      <c r="AH62" s="74" t="n">
        <v>2.1434</v>
      </c>
    </row>
    <row r="63" customFormat="false" ht="15" hidden="false" customHeight="false" outlineLevel="0" collapsed="false">
      <c r="T63" s="76"/>
      <c r="U63" s="100" t="s">
        <v>76</v>
      </c>
      <c r="V63" s="103" t="n">
        <f aca="false">V49</f>
        <v>1.192</v>
      </c>
      <c r="W63" s="103" t="n">
        <f aca="false">W49</f>
        <v>1.079</v>
      </c>
      <c r="X63" s="103" t="n">
        <f aca="false">X49</f>
        <v>1.401</v>
      </c>
      <c r="Y63" s="103" t="n">
        <f aca="false">Y49</f>
        <v>2.407</v>
      </c>
      <c r="Z63" s="103" t="n">
        <f aca="false">Z49</f>
        <v>1.625</v>
      </c>
      <c r="AA63" s="103" t="n">
        <f aca="false">AA49</f>
        <v>1.585</v>
      </c>
      <c r="AB63" s="103" t="n">
        <f aca="false">AB49</f>
        <v>0.789999999999999</v>
      </c>
      <c r="AC63" s="103" t="n">
        <f aca="false">AC49</f>
        <v>1.421</v>
      </c>
      <c r="AD63" s="103" t="n">
        <f aca="false">AD49</f>
        <v>1.54</v>
      </c>
      <c r="AE63" s="103" t="n">
        <f aca="false">AE49</f>
        <v>1.991</v>
      </c>
      <c r="AF63" s="103" t="n">
        <f aca="false">AF49</f>
        <v>1.369</v>
      </c>
      <c r="AG63" s="103" t="n">
        <f aca="false">AG49</f>
        <v>1.738</v>
      </c>
      <c r="AH63" s="74" t="n">
        <v>1.6965</v>
      </c>
    </row>
  </sheetData>
  <mergeCells count="28">
    <mergeCell ref="A4:A5"/>
    <mergeCell ref="B4:B5"/>
    <mergeCell ref="B6:B7"/>
    <mergeCell ref="B8:B9"/>
    <mergeCell ref="A10:A11"/>
    <mergeCell ref="B10:B11"/>
    <mergeCell ref="B12:B13"/>
    <mergeCell ref="B14:B15"/>
    <mergeCell ref="A16:A17"/>
    <mergeCell ref="B16:B17"/>
    <mergeCell ref="B18:B19"/>
    <mergeCell ref="A20:A21"/>
    <mergeCell ref="B20:B21"/>
    <mergeCell ref="A22:A23"/>
    <mergeCell ref="B22:B23"/>
    <mergeCell ref="C53:C54"/>
    <mergeCell ref="D53:D54"/>
    <mergeCell ref="E53:E54"/>
    <mergeCell ref="G53:H53"/>
    <mergeCell ref="G54:H54"/>
    <mergeCell ref="T54:T55"/>
    <mergeCell ref="T56:T57"/>
    <mergeCell ref="E57:E58"/>
    <mergeCell ref="G57:H57"/>
    <mergeCell ref="G58:H58"/>
    <mergeCell ref="T58:T59"/>
    <mergeCell ref="T60:T61"/>
    <mergeCell ref="T62:T63"/>
  </mergeCells>
  <conditionalFormatting sqref="E33:P37">
    <cfRule type="expression" priority="2" aboveAverage="0" equalAverage="0" bottom="0" percent="0" rank="0" text="" dxfId="612">
      <formula>E33=D33</formula>
    </cfRule>
    <cfRule type="expression" priority="3" aboveAverage="0" equalAverage="0" bottom="0" percent="0" rank="0" text="" dxfId="613">
      <formula>E33&lt;D33</formula>
    </cfRule>
  </conditionalFormatting>
  <conditionalFormatting sqref="E40:P49">
    <cfRule type="expression" priority="4" aboveAverage="0" equalAverage="0" bottom="0" percent="0" rank="0" text="" dxfId="614">
      <formula>E40=D40</formula>
    </cfRule>
    <cfRule type="expression" priority="5" aboveAverage="0" equalAverage="0" bottom="0" percent="0" rank="0" text="" dxfId="615">
      <formula>E40&lt;D40</formula>
    </cfRule>
  </conditionalFormatting>
  <conditionalFormatting sqref="I4">
    <cfRule type="cellIs" priority="6" operator="lessThan" aboveAverage="0" equalAverage="0" bottom="0" percent="0" rank="0" text="" dxfId="616">
      <formula>'1851'!$H$4</formula>
    </cfRule>
    <cfRule type="cellIs" priority="7" operator="equal" aboveAverage="0" equalAverage="0" bottom="0" percent="0" rank="0" text="" dxfId="617">
      <formula>'1851'!$H$4</formula>
    </cfRule>
  </conditionalFormatting>
  <conditionalFormatting sqref="H7">
    <cfRule type="cellIs" priority="8" operator="equal" aboveAverage="0" equalAverage="0" bottom="0" percent="0" rank="0" text="" dxfId="618">
      <formula>'1851'!$G$7</formula>
    </cfRule>
    <cfRule type="cellIs" priority="9" operator="lessThan" aboveAverage="0" equalAverage="0" bottom="0" percent="0" rank="0" text="" dxfId="619">
      <formula>'1851'!$G$7</formula>
    </cfRule>
  </conditionalFormatting>
  <conditionalFormatting sqref="I5">
    <cfRule type="cellIs" priority="10" operator="equal" aboveAverage="0" equalAverage="0" bottom="0" percent="0" rank="0" text="" dxfId="620">
      <formula>'1851'!$H$5</formula>
    </cfRule>
    <cfRule type="cellIs" priority="11" operator="lessThan" aboveAverage="0" equalAverage="0" bottom="0" percent="0" rank="0" text="" dxfId="621">
      <formula>'1851'!$H$5</formula>
    </cfRule>
  </conditionalFormatting>
  <conditionalFormatting sqref="J5">
    <cfRule type="cellIs" priority="12" operator="equal" aboveAverage="0" equalAverage="0" bottom="0" percent="0" rank="0" text="" dxfId="622">
      <formula>'1851'!$I$5</formula>
    </cfRule>
    <cfRule type="cellIs" priority="13" operator="lessThan" aboveAverage="0" equalAverage="0" bottom="0" percent="0" rank="0" text="" dxfId="623">
      <formula>'1851'!$I$5</formula>
    </cfRule>
  </conditionalFormatting>
  <conditionalFormatting sqref="K5">
    <cfRule type="cellIs" priority="14" operator="equal" aboveAverage="0" equalAverage="0" bottom="0" percent="0" rank="0" text="" dxfId="624">
      <formula>'1851'!$J$5</formula>
    </cfRule>
    <cfRule type="cellIs" priority="15" operator="lessThan" aboveAverage="0" equalAverage="0" bottom="0" percent="0" rank="0" text="" dxfId="625">
      <formula>'1851'!$J$5</formula>
    </cfRule>
  </conditionalFormatting>
  <conditionalFormatting sqref="G4">
    <cfRule type="cellIs" priority="16" operator="equal" aboveAverage="0" equalAverage="0" bottom="0" percent="0" rank="0" text="" dxfId="626">
      <formula>'1851'!$F$4</formula>
    </cfRule>
    <cfRule type="cellIs" priority="17" operator="lessThan" aboveAverage="0" equalAverage="0" bottom="0" percent="0" rank="0" text="" dxfId="627">
      <formula>'1851'!$F$4</formula>
    </cfRule>
  </conditionalFormatting>
  <conditionalFormatting sqref="E4">
    <cfRule type="cellIs" priority="18" operator="lessThan" aboveAverage="0" equalAverage="0" bottom="0" percent="0" rank="0" text="" dxfId="628">
      <formula>'1851'!$D$4</formula>
    </cfRule>
    <cfRule type="cellIs" priority="19" operator="equal" aboveAverage="0" equalAverage="0" bottom="0" percent="0" rank="0" text="" dxfId="629">
      <formula>'1851'!$D$4</formula>
    </cfRule>
  </conditionalFormatting>
  <conditionalFormatting sqref="F4">
    <cfRule type="cellIs" priority="20" operator="equal" aboveAverage="0" equalAverage="0" bottom="0" percent="0" rank="0" text="" dxfId="630">
      <formula>'1851'!$E$4</formula>
    </cfRule>
    <cfRule type="cellIs" priority="21" operator="lessThan" aboveAverage="0" equalAverage="0" bottom="0" percent="0" rank="0" text="" dxfId="631">
      <formula>'1851'!$E$4</formula>
    </cfRule>
  </conditionalFormatting>
  <conditionalFormatting sqref="E5">
    <cfRule type="cellIs" priority="22" operator="equal" aboveAverage="0" equalAverage="0" bottom="0" percent="0" rank="0" text="" dxfId="632">
      <formula>'1851'!$D$5</formula>
    </cfRule>
    <cfRule type="cellIs" priority="23" operator="lessThan" aboveAverage="0" equalAverage="0" bottom="0" percent="0" rank="0" text="" dxfId="633">
      <formula>'1851'!$D$5</formula>
    </cfRule>
  </conditionalFormatting>
  <conditionalFormatting sqref="G5">
    <cfRule type="cellIs" priority="24" operator="equal" aboveAverage="0" equalAverage="0" bottom="0" percent="0" rank="0" text="" dxfId="634">
      <formula>'1851'!$F$5</formula>
    </cfRule>
    <cfRule type="cellIs" priority="25" operator="lessThan" aboveAverage="0" equalAverage="0" bottom="0" percent="0" rank="0" text="" dxfId="635">
      <formula>'1851'!$F$5</formula>
    </cfRule>
  </conditionalFormatting>
  <conditionalFormatting sqref="J4">
    <cfRule type="cellIs" priority="26" operator="equal" aboveAverage="0" equalAverage="0" bottom="0" percent="0" rank="0" text="" dxfId="636">
      <formula>'1851'!$I$4</formula>
    </cfRule>
  </conditionalFormatting>
  <conditionalFormatting sqref="K4">
    <cfRule type="cellIs" priority="27" operator="lessThan" aboveAverage="0" equalAverage="0" bottom="0" percent="0" rank="0" text="" dxfId="637">
      <formula>'1851'!$J$4</formula>
    </cfRule>
    <cfRule type="cellIs" priority="28" operator="equal" aboveAverage="0" equalAverage="0" bottom="0" percent="0" rank="0" text="" dxfId="638">
      <formula>'1851'!$J$4</formula>
    </cfRule>
  </conditionalFormatting>
  <conditionalFormatting sqref="E6">
    <cfRule type="cellIs" priority="29" operator="equal" aboveAverage="0" equalAverage="0" bottom="0" percent="0" rank="0" text="" dxfId="639">
      <formula>'1851'!$D$6</formula>
    </cfRule>
    <cfRule type="cellIs" priority="30" operator="lessThan" aboveAverage="0" equalAverage="0" bottom="0" percent="0" rank="0" text="" dxfId="640">
      <formula>'1851'!$D$6</formula>
    </cfRule>
  </conditionalFormatting>
  <conditionalFormatting sqref="F6">
    <cfRule type="cellIs" priority="31" operator="equal" aboveAverage="0" equalAverage="0" bottom="0" percent="0" rank="0" text="" dxfId="641">
      <formula>'1851'!$E$6</formula>
    </cfRule>
    <cfRule type="cellIs" priority="32" operator="lessThan" aboveAverage="0" equalAverage="0" bottom="0" percent="0" rank="0" text="" dxfId="642">
      <formula>'1851'!$E$6</formula>
    </cfRule>
  </conditionalFormatting>
  <conditionalFormatting sqref="G6">
    <cfRule type="cellIs" priority="33" operator="equal" aboveAverage="0" equalAverage="0" bottom="0" percent="0" rank="0" text="" dxfId="643">
      <formula>'1851'!$F$6</formula>
    </cfRule>
    <cfRule type="cellIs" priority="34" operator="lessThan" aboveAverage="0" equalAverage="0" bottom="0" percent="0" rank="0" text="" dxfId="644">
      <formula>'1851'!$F$6</formula>
    </cfRule>
  </conditionalFormatting>
  <conditionalFormatting sqref="H6">
    <cfRule type="cellIs" priority="35" operator="equal" aboveAverage="0" equalAverage="0" bottom="0" percent="0" rank="0" text="" dxfId="645">
      <formula>'1851'!$G$6</formula>
    </cfRule>
    <cfRule type="cellIs" priority="36" operator="lessThan" aboveAverage="0" equalAverage="0" bottom="0" percent="0" rank="0" text="" dxfId="646">
      <formula>'1851'!$G$6</formula>
    </cfRule>
  </conditionalFormatting>
  <conditionalFormatting sqref="I6">
    <cfRule type="cellIs" priority="37" operator="equal" aboveAverage="0" equalAverage="0" bottom="0" percent="0" rank="0" text="" dxfId="647">
      <formula>'1851'!$H$6</formula>
    </cfRule>
    <cfRule type="cellIs" priority="38" operator="lessThan" aboveAverage="0" equalAverage="0" bottom="0" percent="0" rank="0" text="" dxfId="648">
      <formula>'1851'!$H$6</formula>
    </cfRule>
  </conditionalFormatting>
  <conditionalFormatting sqref="J6">
    <cfRule type="cellIs" priority="39" operator="equal" aboveAverage="0" equalAverage="0" bottom="0" percent="0" rank="0" text="" dxfId="649">
      <formula>'1851'!$I$6</formula>
    </cfRule>
    <cfRule type="cellIs" priority="40" operator="lessThan" aboveAverage="0" equalAverage="0" bottom="0" percent="0" rank="0" text="" dxfId="650">
      <formula>'1851'!$I$6</formula>
    </cfRule>
  </conditionalFormatting>
  <conditionalFormatting sqref="K6">
    <cfRule type="cellIs" priority="41" operator="equal" aboveAverage="0" equalAverage="0" bottom="0" percent="0" rank="0" text="" dxfId="651">
      <formula>'1851'!$J$6</formula>
    </cfRule>
    <cfRule type="cellIs" priority="42" operator="lessThan" aboveAverage="0" equalAverage="0" bottom="0" percent="0" rank="0" text="" dxfId="652">
      <formula>'1851'!$J$6</formula>
    </cfRule>
  </conditionalFormatting>
  <conditionalFormatting sqref="E7">
    <cfRule type="cellIs" priority="43" operator="equal" aboveAverage="0" equalAverage="0" bottom="0" percent="0" rank="0" text="" dxfId="653">
      <formula>'1851'!$D$7</formula>
    </cfRule>
    <cfRule type="cellIs" priority="44" operator="lessThan" aboveAverage="0" equalAverage="0" bottom="0" percent="0" rank="0" text="" dxfId="654">
      <formula>'1851'!$D$7</formula>
    </cfRule>
  </conditionalFormatting>
  <conditionalFormatting sqref="F7">
    <cfRule type="cellIs" priority="45" operator="equal" aboveAverage="0" equalAverage="0" bottom="0" percent="0" rank="0" text="" dxfId="655">
      <formula>'1851'!$E$7</formula>
    </cfRule>
    <cfRule type="cellIs" priority="46" operator="lessThan" aboveAverage="0" equalAverage="0" bottom="0" percent="0" rank="0" text="" dxfId="656">
      <formula>'1851'!$E$7</formula>
    </cfRule>
  </conditionalFormatting>
  <conditionalFormatting sqref="G7">
    <cfRule type="cellIs" priority="47" operator="equal" aboveAverage="0" equalAverage="0" bottom="0" percent="0" rank="0" text="" dxfId="657">
      <formula>'1851'!$F$7</formula>
    </cfRule>
    <cfRule type="cellIs" priority="48" operator="lessThan" aboveAverage="0" equalAverage="0" bottom="0" percent="0" rank="0" text="" dxfId="658">
      <formula>'1851'!$F$7</formula>
    </cfRule>
  </conditionalFormatting>
  <conditionalFormatting sqref="I7">
    <cfRule type="cellIs" priority="49" operator="equal" aboveAverage="0" equalAverage="0" bottom="0" percent="0" rank="0" text="" dxfId="659">
      <formula>'1851'!$H$7</formula>
    </cfRule>
    <cfRule type="cellIs" priority="50" operator="lessThan" aboveAverage="0" equalAverage="0" bottom="0" percent="0" rank="0" text="" dxfId="660">
      <formula>'1851'!$H$7</formula>
    </cfRule>
  </conditionalFormatting>
  <conditionalFormatting sqref="J7">
    <cfRule type="cellIs" priority="51" operator="equal" aboveAverage="0" equalAverage="0" bottom="0" percent="0" rank="0" text="" dxfId="661">
      <formula>'1851'!$I$7</formula>
    </cfRule>
    <cfRule type="cellIs" priority="52" operator="lessThan" aboveAverage="0" equalAverage="0" bottom="0" percent="0" rank="0" text="" dxfId="662">
      <formula>'1851'!$I$7</formula>
    </cfRule>
  </conditionalFormatting>
  <conditionalFormatting sqref="K7">
    <cfRule type="cellIs" priority="53" operator="equal" aboveAverage="0" equalAverage="0" bottom="0" percent="0" rank="0" text="" dxfId="663">
      <formula>'1851'!$J$7</formula>
    </cfRule>
    <cfRule type="cellIs" priority="54" operator="lessThan" aboveAverage="0" equalAverage="0" bottom="0" percent="0" rank="0" text="" dxfId="664">
      <formula>'1851'!$J$7</formula>
    </cfRule>
  </conditionalFormatting>
  <conditionalFormatting sqref="E8">
    <cfRule type="cellIs" priority="55" operator="equal" aboveAverage="0" equalAverage="0" bottom="0" percent="0" rank="0" text="" dxfId="665">
      <formula>'1851'!$D$8</formula>
    </cfRule>
    <cfRule type="cellIs" priority="56" operator="lessThan" aboveAverage="0" equalAverage="0" bottom="0" percent="0" rank="0" text="" dxfId="666">
      <formula>'1851'!$D$8</formula>
    </cfRule>
  </conditionalFormatting>
  <conditionalFormatting sqref="F8">
    <cfRule type="cellIs" priority="57" operator="equal" aboveAverage="0" equalAverage="0" bottom="0" percent="0" rank="0" text="" dxfId="667">
      <formula>'1851'!$E$8</formula>
    </cfRule>
    <cfRule type="cellIs" priority="58" operator="lessThan" aboveAverage="0" equalAverage="0" bottom="0" percent="0" rank="0" text="" dxfId="668">
      <formula>'1851'!$E$8</formula>
    </cfRule>
  </conditionalFormatting>
  <conditionalFormatting sqref="G8">
    <cfRule type="cellIs" priority="59" operator="equal" aboveAverage="0" equalAverage="0" bottom="0" percent="0" rank="0" text="" dxfId="669">
      <formula>'1851'!$F$8</formula>
    </cfRule>
    <cfRule type="cellIs" priority="60" operator="lessThan" aboveAverage="0" equalAverage="0" bottom="0" percent="0" rank="0" text="" dxfId="670">
      <formula>'1851'!$F$8</formula>
    </cfRule>
  </conditionalFormatting>
  <conditionalFormatting sqref="H8">
    <cfRule type="cellIs" priority="61" operator="equal" aboveAverage="0" equalAverage="0" bottom="0" percent="0" rank="0" text="" dxfId="671">
      <formula>'1851'!$G$8</formula>
    </cfRule>
    <cfRule type="cellIs" priority="62" operator="lessThan" aboveAverage="0" equalAverage="0" bottom="0" percent="0" rank="0" text="" dxfId="672">
      <formula>'1851'!$G$8</formula>
    </cfRule>
  </conditionalFormatting>
  <conditionalFormatting sqref="I8">
    <cfRule type="cellIs" priority="63" operator="equal" aboveAverage="0" equalAverage="0" bottom="0" percent="0" rank="0" text="" dxfId="673">
      <formula>'1851'!$H$8</formula>
    </cfRule>
    <cfRule type="cellIs" priority="64" operator="lessThan" aboveAverage="0" equalAverage="0" bottom="0" percent="0" rank="0" text="" dxfId="674">
      <formula>'1851'!$H$8</formula>
    </cfRule>
  </conditionalFormatting>
  <conditionalFormatting sqref="J8">
    <cfRule type="cellIs" priority="65" operator="equal" aboveAverage="0" equalAverage="0" bottom="0" percent="0" rank="0" text="" dxfId="675">
      <formula>'1851'!$I$8</formula>
    </cfRule>
    <cfRule type="cellIs" priority="66" operator="lessThan" aboveAverage="0" equalAverage="0" bottom="0" percent="0" rank="0" text="" dxfId="676">
      <formula>'1851'!$I$8</formula>
    </cfRule>
  </conditionalFormatting>
  <conditionalFormatting sqref="K8">
    <cfRule type="cellIs" priority="67" operator="equal" aboveAverage="0" equalAverage="0" bottom="0" percent="0" rank="0" text="" dxfId="677">
      <formula>'1851'!$J$8</formula>
    </cfRule>
    <cfRule type="cellIs" priority="68" operator="lessThan" aboveAverage="0" equalAverage="0" bottom="0" percent="0" rank="0" text="" dxfId="678">
      <formula>'1851'!$J$8</formula>
    </cfRule>
  </conditionalFormatting>
  <conditionalFormatting sqref="E9">
    <cfRule type="cellIs" priority="69" operator="equal" aboveAverage="0" equalAverage="0" bottom="0" percent="0" rank="0" text="" dxfId="679">
      <formula>'1851'!$D$9</formula>
    </cfRule>
    <cfRule type="cellIs" priority="70" operator="lessThan" aboveAverage="0" equalAverage="0" bottom="0" percent="0" rank="0" text="" dxfId="680">
      <formula>'1851'!$D$9</formula>
    </cfRule>
  </conditionalFormatting>
  <conditionalFormatting sqref="F9">
    <cfRule type="cellIs" priority="71" operator="equal" aboveAverage="0" equalAverage="0" bottom="0" percent="0" rank="0" text="" dxfId="681">
      <formula>'1851'!$E$9</formula>
    </cfRule>
    <cfRule type="cellIs" priority="72" operator="lessThan" aboveAverage="0" equalAverage="0" bottom="0" percent="0" rank="0" text="" dxfId="682">
      <formula>'1851'!$E$9</formula>
    </cfRule>
  </conditionalFormatting>
  <conditionalFormatting sqref="G9">
    <cfRule type="cellIs" priority="73" operator="equal" aboveAverage="0" equalAverage="0" bottom="0" percent="0" rank="0" text="" dxfId="683">
      <formula>'1851'!$F$9</formula>
    </cfRule>
    <cfRule type="cellIs" priority="74" operator="lessThan" aboveAverage="0" equalAverage="0" bottom="0" percent="0" rank="0" text="" dxfId="684">
      <formula>'1851'!$F$9</formula>
    </cfRule>
  </conditionalFormatting>
  <conditionalFormatting sqref="H9">
    <cfRule type="cellIs" priority="75" operator="equal" aboveAverage="0" equalAverage="0" bottom="0" percent="0" rank="0" text="" dxfId="685">
      <formula>'1851'!$G$9</formula>
    </cfRule>
    <cfRule type="cellIs" priority="76" operator="lessThan" aboveAverage="0" equalAverage="0" bottom="0" percent="0" rank="0" text="" dxfId="686">
      <formula>'1851'!$G$9</formula>
    </cfRule>
  </conditionalFormatting>
  <conditionalFormatting sqref="I9">
    <cfRule type="cellIs" priority="77" operator="equal" aboveAverage="0" equalAverage="0" bottom="0" percent="0" rank="0" text="" dxfId="687">
      <formula>'1851'!$H$9</formula>
    </cfRule>
    <cfRule type="cellIs" priority="78" operator="lessThan" aboveAverage="0" equalAverage="0" bottom="0" percent="0" rank="0" text="" dxfId="688">
      <formula>'1851'!$H$9</formula>
    </cfRule>
  </conditionalFormatting>
  <conditionalFormatting sqref="J9">
    <cfRule type="cellIs" priority="79" operator="equal" aboveAverage="0" equalAverage="0" bottom="0" percent="0" rank="0" text="" dxfId="689">
      <formula>'1851'!$I$9</formula>
    </cfRule>
    <cfRule type="cellIs" priority="80" operator="lessThan" aboveAverage="0" equalAverage="0" bottom="0" percent="0" rank="0" text="" dxfId="690">
      <formula>'1851'!$I$9</formula>
    </cfRule>
  </conditionalFormatting>
  <conditionalFormatting sqref="K9">
    <cfRule type="cellIs" priority="81" operator="equal" aboveAverage="0" equalAverage="0" bottom="0" percent="0" rank="0" text="" dxfId="691">
      <formula>'1851'!$J$9</formula>
    </cfRule>
    <cfRule type="cellIs" priority="82" operator="lessThan" aboveAverage="0" equalAverage="0" bottom="0" percent="0" rank="0" text="" dxfId="692">
      <formula>'1851'!$J$9</formula>
    </cfRule>
  </conditionalFormatting>
  <conditionalFormatting sqref="E10">
    <cfRule type="cellIs" priority="83" operator="equal" aboveAverage="0" equalAverage="0" bottom="0" percent="0" rank="0" text="" dxfId="693">
      <formula>'1851'!$D$10</formula>
    </cfRule>
    <cfRule type="cellIs" priority="84" operator="lessThan" aboveAverage="0" equalAverage="0" bottom="0" percent="0" rank="0" text="" dxfId="694">
      <formula>'1851'!$D$10</formula>
    </cfRule>
  </conditionalFormatting>
  <conditionalFormatting sqref="F10">
    <cfRule type="cellIs" priority="85" operator="equal" aboveAverage="0" equalAverage="0" bottom="0" percent="0" rank="0" text="" dxfId="695">
      <formula>'1851'!$E$10</formula>
    </cfRule>
    <cfRule type="cellIs" priority="86" operator="lessThan" aboveAverage="0" equalAverage="0" bottom="0" percent="0" rank="0" text="" dxfId="696">
      <formula>'1851'!$E$10</formula>
    </cfRule>
  </conditionalFormatting>
  <conditionalFormatting sqref="G10">
    <cfRule type="cellIs" priority="87" operator="equal" aboveAverage="0" equalAverage="0" bottom="0" percent="0" rank="0" text="" dxfId="697">
      <formula>'1851'!$F$10</formula>
    </cfRule>
    <cfRule type="cellIs" priority="88" operator="lessThan" aboveAverage="0" equalAverage="0" bottom="0" percent="0" rank="0" text="" dxfId="698">
      <formula>'1851'!$F$10</formula>
    </cfRule>
  </conditionalFormatting>
  <conditionalFormatting sqref="H10">
    <cfRule type="cellIs" priority="89" operator="equal" aboveAverage="0" equalAverage="0" bottom="0" percent="0" rank="0" text="" dxfId="699">
      <formula>'1851'!$G$10</formula>
    </cfRule>
    <cfRule type="cellIs" priority="90" operator="lessThan" aboveAverage="0" equalAverage="0" bottom="0" percent="0" rank="0" text="" dxfId="700">
      <formula>'1851'!$G$10</formula>
    </cfRule>
  </conditionalFormatting>
  <conditionalFormatting sqref="I10">
    <cfRule type="cellIs" priority="91" operator="equal" aboveAverage="0" equalAverage="0" bottom="0" percent="0" rank="0" text="" dxfId="701">
      <formula>'1851'!$H$10</formula>
    </cfRule>
    <cfRule type="cellIs" priority="92" operator="lessThan" aboveAverage="0" equalAverage="0" bottom="0" percent="0" rank="0" text="" dxfId="702">
      <formula>'1851'!$H$10</formula>
    </cfRule>
  </conditionalFormatting>
  <conditionalFormatting sqref="J10">
    <cfRule type="cellIs" priority="93" operator="equal" aboveAverage="0" equalAverage="0" bottom="0" percent="0" rank="0" text="" dxfId="703">
      <formula>'1851'!$I$10</formula>
    </cfRule>
    <cfRule type="cellIs" priority="94" operator="lessThan" aboveAverage="0" equalAverage="0" bottom="0" percent="0" rank="0" text="" dxfId="704">
      <formula>'1851'!$I$10</formula>
    </cfRule>
  </conditionalFormatting>
  <conditionalFormatting sqref="K10">
    <cfRule type="cellIs" priority="95" operator="equal" aboveAverage="0" equalAverage="0" bottom="0" percent="0" rank="0" text="" dxfId="705">
      <formula>'1851'!$J$10</formula>
    </cfRule>
    <cfRule type="cellIs" priority="96" operator="lessThan" aboveAverage="0" equalAverage="0" bottom="0" percent="0" rank="0" text="" dxfId="706">
      <formula>'1851'!$J$10</formula>
    </cfRule>
  </conditionalFormatting>
  <conditionalFormatting sqref="E11">
    <cfRule type="cellIs" priority="97" operator="equal" aboveAverage="0" equalAverage="0" bottom="0" percent="0" rank="0" text="" dxfId="707">
      <formula>'1851'!$D$11</formula>
    </cfRule>
    <cfRule type="cellIs" priority="98" operator="lessThan" aboveAverage="0" equalAverage="0" bottom="0" percent="0" rank="0" text="" dxfId="708">
      <formula>'1851'!$D$11</formula>
    </cfRule>
  </conditionalFormatting>
  <conditionalFormatting sqref="F11">
    <cfRule type="cellIs" priority="99" operator="equal" aboveAverage="0" equalAverage="0" bottom="0" percent="0" rank="0" text="" dxfId="709">
      <formula>'1851'!$E$11</formula>
    </cfRule>
    <cfRule type="cellIs" priority="100" operator="lessThan" aboveAverage="0" equalAverage="0" bottom="0" percent="0" rank="0" text="" dxfId="710">
      <formula>'1851'!$E$11</formula>
    </cfRule>
  </conditionalFormatting>
  <conditionalFormatting sqref="G11">
    <cfRule type="cellIs" priority="101" operator="equal" aboveAverage="0" equalAverage="0" bottom="0" percent="0" rank="0" text="" dxfId="711">
      <formula>'1851'!$F$11</formula>
    </cfRule>
    <cfRule type="cellIs" priority="102" operator="lessThan" aboveAverage="0" equalAverage="0" bottom="0" percent="0" rank="0" text="" dxfId="712">
      <formula>'1851'!$F$11</formula>
    </cfRule>
  </conditionalFormatting>
  <conditionalFormatting sqref="H11">
    <cfRule type="cellIs" priority="103" operator="equal" aboveAverage="0" equalAverage="0" bottom="0" percent="0" rank="0" text="" dxfId="713">
      <formula>'1851'!$G$11</formula>
    </cfRule>
    <cfRule type="cellIs" priority="104" operator="lessThan" aboveAverage="0" equalAverage="0" bottom="0" percent="0" rank="0" text="" dxfId="714">
      <formula>'1851'!$G$11</formula>
    </cfRule>
  </conditionalFormatting>
  <conditionalFormatting sqref="I11">
    <cfRule type="cellIs" priority="105" operator="equal" aboveAverage="0" equalAverage="0" bottom="0" percent="0" rank="0" text="" dxfId="715">
      <formula>'1851'!$H$11</formula>
    </cfRule>
    <cfRule type="cellIs" priority="106" operator="lessThan" aboveAverage="0" equalAverage="0" bottom="0" percent="0" rank="0" text="" dxfId="716">
      <formula>'1851'!$H$11</formula>
    </cfRule>
  </conditionalFormatting>
  <conditionalFormatting sqref="J11">
    <cfRule type="cellIs" priority="107" operator="equal" aboveAverage="0" equalAverage="0" bottom="0" percent="0" rank="0" text="" dxfId="717">
      <formula>'1851'!$I$11</formula>
    </cfRule>
    <cfRule type="cellIs" priority="108" operator="lessThan" aboveAverage="0" equalAverage="0" bottom="0" percent="0" rank="0" text="" dxfId="718">
      <formula>'1851'!$I$11</formula>
    </cfRule>
  </conditionalFormatting>
  <conditionalFormatting sqref="K11">
    <cfRule type="cellIs" priority="109" operator="equal" aboveAverage="0" equalAverage="0" bottom="0" percent="0" rank="0" text="" dxfId="719">
      <formula>'1851'!$J$11</formula>
    </cfRule>
    <cfRule type="cellIs" priority="110" operator="lessThan" aboveAverage="0" equalAverage="0" bottom="0" percent="0" rank="0" text="" dxfId="720">
      <formula>'1851'!$J$11</formula>
    </cfRule>
  </conditionalFormatting>
  <conditionalFormatting sqref="E12">
    <cfRule type="cellIs" priority="111" operator="equal" aboveAverage="0" equalAverage="0" bottom="0" percent="0" rank="0" text="" dxfId="721">
      <formula>'1851'!$D$12</formula>
    </cfRule>
    <cfRule type="cellIs" priority="112" operator="lessThan" aboveAverage="0" equalAverage="0" bottom="0" percent="0" rank="0" text="" dxfId="722">
      <formula>'1851'!$D$12</formula>
    </cfRule>
  </conditionalFormatting>
  <conditionalFormatting sqref="F12">
    <cfRule type="cellIs" priority="113" operator="equal" aboveAverage="0" equalAverage="0" bottom="0" percent="0" rank="0" text="" dxfId="723">
      <formula>'1851'!$E$12</formula>
    </cfRule>
    <cfRule type="cellIs" priority="114" operator="lessThan" aboveAverage="0" equalAverage="0" bottom="0" percent="0" rank="0" text="" dxfId="724">
      <formula>'1851'!$E$12</formula>
    </cfRule>
  </conditionalFormatting>
  <conditionalFormatting sqref="G12">
    <cfRule type="cellIs" priority="115" operator="equal" aboveAverage="0" equalAverage="0" bottom="0" percent="0" rank="0" text="" dxfId="725">
      <formula>'1851'!$F$12</formula>
    </cfRule>
    <cfRule type="cellIs" priority="116" operator="lessThan" aboveAverage="0" equalAverage="0" bottom="0" percent="0" rank="0" text="" dxfId="726">
      <formula>'1851'!$F$12</formula>
    </cfRule>
  </conditionalFormatting>
  <conditionalFormatting sqref="H12">
    <cfRule type="cellIs" priority="117" operator="equal" aboveAverage="0" equalAverage="0" bottom="0" percent="0" rank="0" text="" dxfId="727">
      <formula>'1851'!$G$12</formula>
    </cfRule>
    <cfRule type="cellIs" priority="118" operator="lessThan" aboveAverage="0" equalAverage="0" bottom="0" percent="0" rank="0" text="" dxfId="728">
      <formula>'1851'!$G$12</formula>
    </cfRule>
  </conditionalFormatting>
  <conditionalFormatting sqref="I12">
    <cfRule type="cellIs" priority="119" operator="equal" aboveAverage="0" equalAverage="0" bottom="0" percent="0" rank="0" text="" dxfId="729">
      <formula>'1851'!$H$12</formula>
    </cfRule>
    <cfRule type="cellIs" priority="120" operator="lessThan" aboveAverage="0" equalAverage="0" bottom="0" percent="0" rank="0" text="" dxfId="730">
      <formula>'1851'!$H$12</formula>
    </cfRule>
  </conditionalFormatting>
  <conditionalFormatting sqref="J12">
    <cfRule type="cellIs" priority="121" operator="equal" aboveAverage="0" equalAverage="0" bottom="0" percent="0" rank="0" text="" dxfId="731">
      <formula>'1851'!$I$12</formula>
    </cfRule>
    <cfRule type="cellIs" priority="122" operator="lessThan" aboveAverage="0" equalAverage="0" bottom="0" percent="0" rank="0" text="" dxfId="732">
      <formula>'1851'!$I$12</formula>
    </cfRule>
  </conditionalFormatting>
  <conditionalFormatting sqref="K12">
    <cfRule type="cellIs" priority="123" operator="equal" aboveAverage="0" equalAverage="0" bottom="0" percent="0" rank="0" text="" dxfId="733">
      <formula>'1851'!$J$12</formula>
    </cfRule>
    <cfRule type="cellIs" priority="124" operator="lessThan" aboveAverage="0" equalAverage="0" bottom="0" percent="0" rank="0" text="" dxfId="734">
      <formula>'1851'!$J$12</formula>
    </cfRule>
  </conditionalFormatting>
  <conditionalFormatting sqref="E14">
    <cfRule type="cellIs" priority="125" operator="equal" aboveAverage="0" equalAverage="0" bottom="0" percent="0" rank="0" text="" dxfId="735">
      <formula>'1851'!$D$14</formula>
    </cfRule>
    <cfRule type="cellIs" priority="126" operator="lessThan" aboveAverage="0" equalAverage="0" bottom="0" percent="0" rank="0" text="" dxfId="736">
      <formula>'1851'!$D$14</formula>
    </cfRule>
  </conditionalFormatting>
  <conditionalFormatting sqref="E15">
    <cfRule type="cellIs" priority="127" operator="equal" aboveAverage="0" equalAverage="0" bottom="0" percent="0" rank="0" text="" dxfId="737">
      <formula>'1851'!$D$15</formula>
    </cfRule>
    <cfRule type="cellIs" priority="128" operator="lessThan" aboveAverage="0" equalAverage="0" bottom="0" percent="0" rank="0" text="" dxfId="738">
      <formula>'1851'!$D$15</formula>
    </cfRule>
  </conditionalFormatting>
  <conditionalFormatting sqref="E16">
    <cfRule type="cellIs" priority="129" operator="equal" aboveAverage="0" equalAverage="0" bottom="0" percent="0" rank="0" text="" dxfId="739">
      <formula>'1851'!$D$16</formula>
    </cfRule>
    <cfRule type="cellIs" priority="130" operator="lessThan" aboveAverage="0" equalAverage="0" bottom="0" percent="0" rank="0" text="" dxfId="740">
      <formula>'1851'!$D$16</formula>
    </cfRule>
  </conditionalFormatting>
  <conditionalFormatting sqref="E17">
    <cfRule type="cellIs" priority="131" operator="equal" aboveAverage="0" equalAverage="0" bottom="0" percent="0" rank="0" text="" dxfId="741">
      <formula>'1851'!$D$17</formula>
    </cfRule>
    <cfRule type="cellIs" priority="132" operator="lessThan" aboveAverage="0" equalAverage="0" bottom="0" percent="0" rank="0" text="" dxfId="742">
      <formula>'1851'!$D$17</formula>
    </cfRule>
  </conditionalFormatting>
  <conditionalFormatting sqref="E18">
    <cfRule type="cellIs" priority="133" operator="equal" aboveAverage="0" equalAverage="0" bottom="0" percent="0" rank="0" text="" dxfId="743">
      <formula>'1851'!$D$18</formula>
    </cfRule>
    <cfRule type="cellIs" priority="134" operator="lessThan" aboveAverage="0" equalAverage="0" bottom="0" percent="0" rank="0" text="" dxfId="744">
      <formula>'1851'!$D$18</formula>
    </cfRule>
  </conditionalFormatting>
  <conditionalFormatting sqref="E19">
    <cfRule type="cellIs" priority="135" operator="equal" aboveAverage="0" equalAverage="0" bottom="0" percent="0" rank="0" text="" dxfId="745">
      <formula>'1851'!$D$19</formula>
    </cfRule>
    <cfRule type="cellIs" priority="136" operator="lessThan" aboveAverage="0" equalAverage="0" bottom="0" percent="0" rank="0" text="" dxfId="746">
      <formula>'1851'!$D$19</formula>
    </cfRule>
  </conditionalFormatting>
  <conditionalFormatting sqref="E20">
    <cfRule type="cellIs" priority="137" operator="equal" aboveAverage="0" equalAverage="0" bottom="0" percent="0" rank="0" text="" dxfId="747">
      <formula>'1851'!$D$20</formula>
    </cfRule>
    <cfRule type="cellIs" priority="138" operator="lessThan" aboveAverage="0" equalAverage="0" bottom="0" percent="0" rank="0" text="" dxfId="748">
      <formula>'1851'!$D$20</formula>
    </cfRule>
  </conditionalFormatting>
  <conditionalFormatting sqref="E21">
    <cfRule type="cellIs" priority="139" operator="equal" aboveAverage="0" equalAverage="0" bottom="0" percent="0" rank="0" text="" dxfId="749">
      <formula>'1851'!$D$21</formula>
    </cfRule>
    <cfRule type="cellIs" priority="140" operator="lessThan" aboveAverage="0" equalAverage="0" bottom="0" percent="0" rank="0" text="" dxfId="750">
      <formula>'1851'!$D$21</formula>
    </cfRule>
  </conditionalFormatting>
  <conditionalFormatting sqref="E22">
    <cfRule type="cellIs" priority="141" operator="equal" aboveAverage="0" equalAverage="0" bottom="0" percent="0" rank="0" text="" dxfId="751">
      <formula>'1851'!$D$22</formula>
    </cfRule>
    <cfRule type="cellIs" priority="142" operator="lessThan" aboveAverage="0" equalAverage="0" bottom="0" percent="0" rank="0" text="" dxfId="752">
      <formula>'1851'!$D$22</formula>
    </cfRule>
  </conditionalFormatting>
  <conditionalFormatting sqref="E23">
    <cfRule type="cellIs" priority="143" operator="equal" aboveAverage="0" equalAverage="0" bottom="0" percent="0" rank="0" text="" dxfId="753">
      <formula>'1851'!$D$23</formula>
    </cfRule>
    <cfRule type="cellIs" priority="144" operator="lessThan" aboveAverage="0" equalAverage="0" bottom="0" percent="0" rank="0" text="" dxfId="754">
      <formula>'1851'!$D$23</formula>
    </cfRule>
  </conditionalFormatting>
  <conditionalFormatting sqref="E25">
    <cfRule type="cellIs" priority="145" operator="equal" aboveAverage="0" equalAverage="0" bottom="0" percent="0" rank="0" text="" dxfId="755">
      <formula>'1851'!$D$25</formula>
    </cfRule>
    <cfRule type="cellIs" priority="146" operator="lessThan" aboveAverage="0" equalAverage="0" bottom="0" percent="0" rank="0" text="" dxfId="756">
      <formula>'1851'!$D$25</formula>
    </cfRule>
  </conditionalFormatting>
  <conditionalFormatting sqref="E26">
    <cfRule type="cellIs" priority="147" operator="equal" aboveAverage="0" equalAverage="0" bottom="0" percent="0" rank="0" text="" dxfId="757">
      <formula>'1851'!$D$26</formula>
    </cfRule>
    <cfRule type="cellIs" priority="148" operator="lessThan" aboveAverage="0" equalAverage="0" bottom="0" percent="0" rank="0" text="" dxfId="758">
      <formula>'1851'!$D$26</formula>
    </cfRule>
  </conditionalFormatting>
  <conditionalFormatting sqref="E27">
    <cfRule type="cellIs" priority="149" operator="equal" aboveAverage="0" equalAverage="0" bottom="0" percent="0" rank="0" text="" dxfId="759">
      <formula>'1851'!$D$27</formula>
    </cfRule>
    <cfRule type="cellIs" priority="150" operator="lessThan" aboveAverage="0" equalAverage="0" bottom="0" percent="0" rank="0" text="" dxfId="760">
      <formula>'1851'!$D$27</formula>
    </cfRule>
  </conditionalFormatting>
  <conditionalFormatting sqref="E28">
    <cfRule type="cellIs" priority="151" operator="equal" aboveAverage="0" equalAverage="0" bottom="0" percent="0" rank="0" text="" dxfId="761">
      <formula>'1851'!$D$28</formula>
    </cfRule>
    <cfRule type="cellIs" priority="152" operator="lessThan" aboveAverage="0" equalAverage="0" bottom="0" percent="0" rank="0" text="" dxfId="762">
      <formula>'1851'!$D$28</formula>
    </cfRule>
  </conditionalFormatting>
  <conditionalFormatting sqref="F13">
    <cfRule type="cellIs" priority="153" operator="equal" aboveAverage="0" equalAverage="0" bottom="0" percent="0" rank="0" text="" dxfId="763">
      <formula>'1851'!$E$13</formula>
    </cfRule>
    <cfRule type="cellIs" priority="154" operator="lessThan" aboveAverage="0" equalAverage="0" bottom="0" percent="0" rank="0" text="" dxfId="764">
      <formula>'1851'!$E$13</formula>
    </cfRule>
  </conditionalFormatting>
  <conditionalFormatting sqref="F14">
    <cfRule type="cellIs" priority="155" operator="equal" aboveAverage="0" equalAverage="0" bottom="0" percent="0" rank="0" text="" dxfId="765">
      <formula>'1851'!$E$14</formula>
    </cfRule>
    <cfRule type="cellIs" priority="156" operator="lessThan" aboveAverage="0" equalAverage="0" bottom="0" percent="0" rank="0" text="" dxfId="766">
      <formula>'1851'!$E$14</formula>
    </cfRule>
  </conditionalFormatting>
  <conditionalFormatting sqref="F15">
    <cfRule type="cellIs" priority="157" operator="equal" aboveAverage="0" equalAverage="0" bottom="0" percent="0" rank="0" text="" dxfId="767">
      <formula>'1851'!$E$15</formula>
    </cfRule>
    <cfRule type="cellIs" priority="158" operator="lessThan" aboveAverage="0" equalAverage="0" bottom="0" percent="0" rank="0" text="" dxfId="768">
      <formula>'1851'!$E$15</formula>
    </cfRule>
  </conditionalFormatting>
  <conditionalFormatting sqref="F16">
    <cfRule type="cellIs" priority="159" operator="equal" aboveAverage="0" equalAverage="0" bottom="0" percent="0" rank="0" text="" dxfId="769">
      <formula>'1851'!$E$16</formula>
    </cfRule>
    <cfRule type="cellIs" priority="160" operator="lessThan" aboveAverage="0" equalAverage="0" bottom="0" percent="0" rank="0" text="" dxfId="770">
      <formula>'1851'!$E$16</formula>
    </cfRule>
  </conditionalFormatting>
  <conditionalFormatting sqref="F17">
    <cfRule type="cellIs" priority="161" operator="equal" aboveAverage="0" equalAverage="0" bottom="0" percent="0" rank="0" text="" dxfId="771">
      <formula>'1851'!$E$17</formula>
    </cfRule>
    <cfRule type="cellIs" priority="162" operator="lessThan" aboveAverage="0" equalAverage="0" bottom="0" percent="0" rank="0" text="" dxfId="772">
      <formula>'1851'!$E$17</formula>
    </cfRule>
  </conditionalFormatting>
  <conditionalFormatting sqref="F18">
    <cfRule type="cellIs" priority="163" operator="equal" aboveAverage="0" equalAverage="0" bottom="0" percent="0" rank="0" text="" dxfId="773">
      <formula>'1851'!$E$18</formula>
    </cfRule>
    <cfRule type="cellIs" priority="164" operator="lessThan" aboveAverage="0" equalAverage="0" bottom="0" percent="0" rank="0" text="" dxfId="774">
      <formula>'1851'!$E$18</formula>
    </cfRule>
  </conditionalFormatting>
  <conditionalFormatting sqref="F19">
    <cfRule type="cellIs" priority="165" operator="equal" aboveAverage="0" equalAverage="0" bottom="0" percent="0" rank="0" text="" dxfId="775">
      <formula>'1851'!$E$19</formula>
    </cfRule>
    <cfRule type="cellIs" priority="166" operator="lessThan" aboveAverage="0" equalAverage="0" bottom="0" percent="0" rank="0" text="" dxfId="776">
      <formula>'1851'!$E$19</formula>
    </cfRule>
  </conditionalFormatting>
  <conditionalFormatting sqref="F20">
    <cfRule type="cellIs" priority="167" operator="equal" aboveAverage="0" equalAverage="0" bottom="0" percent="0" rank="0" text="" dxfId="777">
      <formula>'1851'!$E$20</formula>
    </cfRule>
    <cfRule type="cellIs" priority="168" operator="lessThan" aboveAverage="0" equalAverage="0" bottom="0" percent="0" rank="0" text="" dxfId="778">
      <formula>'1851'!$E$20</formula>
    </cfRule>
  </conditionalFormatting>
  <conditionalFormatting sqref="F21">
    <cfRule type="cellIs" priority="169" operator="equal" aboveAverage="0" equalAverage="0" bottom="0" percent="0" rank="0" text="" dxfId="779">
      <formula>'1851'!$E$21</formula>
    </cfRule>
    <cfRule type="cellIs" priority="170" operator="lessThan" aboveAverage="0" equalAverage="0" bottom="0" percent="0" rank="0" text="" dxfId="780">
      <formula>'1851'!$E$21</formula>
    </cfRule>
  </conditionalFormatting>
  <conditionalFormatting sqref="F22">
    <cfRule type="cellIs" priority="171" operator="equal" aboveAverage="0" equalAverage="0" bottom="0" percent="0" rank="0" text="" dxfId="781">
      <formula>'1851'!$E$22</formula>
    </cfRule>
    <cfRule type="cellIs" priority="172" operator="lessThan" aboveAverage="0" equalAverage="0" bottom="0" percent="0" rank="0" text="" dxfId="782">
      <formula>'1851'!$E$22</formula>
    </cfRule>
  </conditionalFormatting>
  <conditionalFormatting sqref="F23">
    <cfRule type="cellIs" priority="173" operator="equal" aboveAverage="0" equalAverage="0" bottom="0" percent="0" rank="0" text="" dxfId="783">
      <formula>'1851'!$E$23</formula>
    </cfRule>
    <cfRule type="cellIs" priority="174" operator="lessThan" aboveAverage="0" equalAverage="0" bottom="0" percent="0" rank="0" text="" dxfId="784">
      <formula>'1851'!$E$23</formula>
    </cfRule>
  </conditionalFormatting>
  <conditionalFormatting sqref="F25">
    <cfRule type="cellIs" priority="175" operator="equal" aboveAverage="0" equalAverage="0" bottom="0" percent="0" rank="0" text="" dxfId="785">
      <formula>'1851'!$E$25</formula>
    </cfRule>
    <cfRule type="cellIs" priority="176" operator="lessThan" aboveAverage="0" equalAverage="0" bottom="0" percent="0" rank="0" text="" dxfId="786">
      <formula>'1851'!$E$25</formula>
    </cfRule>
  </conditionalFormatting>
  <conditionalFormatting sqref="F26">
    <cfRule type="cellIs" priority="177" operator="equal" aboveAverage="0" equalAverage="0" bottom="0" percent="0" rank="0" text="" dxfId="787">
      <formula>'1851'!$E$26</formula>
    </cfRule>
    <cfRule type="cellIs" priority="178" operator="lessThan" aboveAverage="0" equalAverage="0" bottom="0" percent="0" rank="0" text="" dxfId="788">
      <formula>'1851'!$E$26</formula>
    </cfRule>
  </conditionalFormatting>
  <conditionalFormatting sqref="F27">
    <cfRule type="cellIs" priority="179" operator="equal" aboveAverage="0" equalAverage="0" bottom="0" percent="0" rank="0" text="" dxfId="789">
      <formula>'1851'!$E$27</formula>
    </cfRule>
    <cfRule type="cellIs" priority="180" operator="lessThan" aboveAverage="0" equalAverage="0" bottom="0" percent="0" rank="0" text="" dxfId="790">
      <formula>'1851'!$E$27</formula>
    </cfRule>
  </conditionalFormatting>
  <conditionalFormatting sqref="F28">
    <cfRule type="cellIs" priority="181" operator="equal" aboveAverage="0" equalAverage="0" bottom="0" percent="0" rank="0" text="" dxfId="791">
      <formula>'1851'!$E$28</formula>
    </cfRule>
    <cfRule type="cellIs" priority="182" operator="lessThan" aboveAverage="0" equalAverage="0" bottom="0" percent="0" rank="0" text="" dxfId="792">
      <formula>'1851'!$E$28</formula>
    </cfRule>
  </conditionalFormatting>
  <conditionalFormatting sqref="G13">
    <cfRule type="cellIs" priority="183" operator="equal" aboveAverage="0" equalAverage="0" bottom="0" percent="0" rank="0" text="" dxfId="793">
      <formula>'1851'!$F$13</formula>
    </cfRule>
    <cfRule type="cellIs" priority="184" operator="lessThan" aboveAverage="0" equalAverage="0" bottom="0" percent="0" rank="0" text="" dxfId="794">
      <formula>'1851'!$F$13</formula>
    </cfRule>
  </conditionalFormatting>
  <conditionalFormatting sqref="G14">
    <cfRule type="cellIs" priority="185" operator="equal" aboveAverage="0" equalAverage="0" bottom="0" percent="0" rank="0" text="" dxfId="795">
      <formula>'1851'!$F$14</formula>
    </cfRule>
    <cfRule type="cellIs" priority="186" operator="lessThan" aboveAverage="0" equalAverage="0" bottom="0" percent="0" rank="0" text="" dxfId="796">
      <formula>'1851'!$F$14</formula>
    </cfRule>
  </conditionalFormatting>
  <conditionalFormatting sqref="G15">
    <cfRule type="cellIs" priority="187" operator="equal" aboveAverage="0" equalAverage="0" bottom="0" percent="0" rank="0" text="" dxfId="797">
      <formula>'1851'!$F$15</formula>
    </cfRule>
    <cfRule type="cellIs" priority="188" operator="lessThan" aboveAverage="0" equalAverage="0" bottom="0" percent="0" rank="0" text="" dxfId="798">
      <formula>'1851'!$F$15</formula>
    </cfRule>
  </conditionalFormatting>
  <conditionalFormatting sqref="G16">
    <cfRule type="cellIs" priority="189" operator="equal" aboveAverage="0" equalAverage="0" bottom="0" percent="0" rank="0" text="" dxfId="799">
      <formula>'1851'!$F$16</formula>
    </cfRule>
    <cfRule type="cellIs" priority="190" operator="lessThan" aboveAverage="0" equalAverage="0" bottom="0" percent="0" rank="0" text="" dxfId="800">
      <formula>'1851'!$F$16</formula>
    </cfRule>
  </conditionalFormatting>
  <conditionalFormatting sqref="G17">
    <cfRule type="cellIs" priority="191" operator="equal" aboveAverage="0" equalAverage="0" bottom="0" percent="0" rank="0" text="" dxfId="801">
      <formula>'1851'!$F$17</formula>
    </cfRule>
    <cfRule type="cellIs" priority="192" operator="lessThan" aboveAverage="0" equalAverage="0" bottom="0" percent="0" rank="0" text="" dxfId="802">
      <formula>'1851'!$F$17</formula>
    </cfRule>
  </conditionalFormatting>
  <conditionalFormatting sqref="G18">
    <cfRule type="cellIs" priority="193" operator="equal" aboveAverage="0" equalAverage="0" bottom="0" percent="0" rank="0" text="" dxfId="803">
      <formula>'1851'!$F$18</formula>
    </cfRule>
    <cfRule type="cellIs" priority="194" operator="lessThan" aboveAverage="0" equalAverage="0" bottom="0" percent="0" rank="0" text="" dxfId="804">
      <formula>'1851'!$F$18</formula>
    </cfRule>
  </conditionalFormatting>
  <conditionalFormatting sqref="G19">
    <cfRule type="cellIs" priority="195" operator="equal" aboveAverage="0" equalAverage="0" bottom="0" percent="0" rank="0" text="" dxfId="805">
      <formula>'1851'!$F$19</formula>
    </cfRule>
    <cfRule type="cellIs" priority="196" operator="lessThan" aboveAverage="0" equalAverage="0" bottom="0" percent="0" rank="0" text="" dxfId="806">
      <formula>'1851'!$F$19</formula>
    </cfRule>
  </conditionalFormatting>
  <conditionalFormatting sqref="G20">
    <cfRule type="cellIs" priority="197" operator="equal" aboveAverage="0" equalAverage="0" bottom="0" percent="0" rank="0" text="" dxfId="807">
      <formula>'1851'!$F$20</formula>
    </cfRule>
    <cfRule type="cellIs" priority="198" operator="lessThan" aboveAverage="0" equalAverage="0" bottom="0" percent="0" rank="0" text="" dxfId="808">
      <formula>'1851'!$F$20</formula>
    </cfRule>
  </conditionalFormatting>
  <conditionalFormatting sqref="G21">
    <cfRule type="cellIs" priority="199" operator="equal" aboveAverage="0" equalAverage="0" bottom="0" percent="0" rank="0" text="" dxfId="809">
      <formula>'1851'!$F$21</formula>
    </cfRule>
    <cfRule type="cellIs" priority="200" operator="lessThan" aboveAverage="0" equalAverage="0" bottom="0" percent="0" rank="0" text="" dxfId="810">
      <formula>'1851'!$F$21</formula>
    </cfRule>
  </conditionalFormatting>
  <conditionalFormatting sqref="G22">
    <cfRule type="cellIs" priority="201" operator="equal" aboveAverage="0" equalAverage="0" bottom="0" percent="0" rank="0" text="" dxfId="811">
      <formula>'1851'!$F$22</formula>
    </cfRule>
    <cfRule type="cellIs" priority="202" operator="lessThan" aboveAverage="0" equalAverage="0" bottom="0" percent="0" rank="0" text="" dxfId="812">
      <formula>'1851'!$F$22</formula>
    </cfRule>
  </conditionalFormatting>
  <conditionalFormatting sqref="G23">
    <cfRule type="cellIs" priority="203" operator="equal" aboveAverage="0" equalAverage="0" bottom="0" percent="0" rank="0" text="" dxfId="813">
      <formula>'1851'!$F$23</formula>
    </cfRule>
    <cfRule type="cellIs" priority="204" operator="lessThan" aboveAverage="0" equalAverage="0" bottom="0" percent="0" rank="0" text="" dxfId="814">
      <formula>'1851'!$F$23</formula>
    </cfRule>
  </conditionalFormatting>
  <conditionalFormatting sqref="G25">
    <cfRule type="cellIs" priority="205" operator="equal" aboveAverage="0" equalAverage="0" bottom="0" percent="0" rank="0" text="" dxfId="815">
      <formula>'1851'!$F$25</formula>
    </cfRule>
    <cfRule type="cellIs" priority="206" operator="lessThan" aboveAverage="0" equalAverage="0" bottom="0" percent="0" rank="0" text="" dxfId="816">
      <formula>'1851'!$F$25</formula>
    </cfRule>
  </conditionalFormatting>
  <conditionalFormatting sqref="G26">
    <cfRule type="cellIs" priority="207" operator="equal" aboveAverage="0" equalAverage="0" bottom="0" percent="0" rank="0" text="" dxfId="817">
      <formula>'1851'!$F$26</formula>
    </cfRule>
    <cfRule type="cellIs" priority="208" operator="lessThan" aboveAverage="0" equalAverage="0" bottom="0" percent="0" rank="0" text="" dxfId="818">
      <formula>'1851'!$F$26</formula>
    </cfRule>
  </conditionalFormatting>
  <conditionalFormatting sqref="G27">
    <cfRule type="cellIs" priority="209" operator="equal" aboveAverage="0" equalAverage="0" bottom="0" percent="0" rank="0" text="" dxfId="819">
      <formula>'1851'!$F$27</formula>
    </cfRule>
    <cfRule type="cellIs" priority="210" operator="lessThan" aboveAverage="0" equalAverage="0" bottom="0" percent="0" rank="0" text="" dxfId="820">
      <formula>'1851'!$F$27</formula>
    </cfRule>
  </conditionalFormatting>
  <conditionalFormatting sqref="G28">
    <cfRule type="cellIs" priority="211" operator="equal" aboveAverage="0" equalAverage="0" bottom="0" percent="0" rank="0" text="" dxfId="821">
      <formula>'1851'!$F$28</formula>
    </cfRule>
    <cfRule type="cellIs" priority="212" operator="lessThan" aboveAverage="0" equalAverage="0" bottom="0" percent="0" rank="0" text="" dxfId="822">
      <formula>'1851'!$F$28</formula>
    </cfRule>
  </conditionalFormatting>
  <conditionalFormatting sqref="H13">
    <cfRule type="cellIs" priority="213" operator="equal" aboveAverage="0" equalAverage="0" bottom="0" percent="0" rank="0" text="" dxfId="823">
      <formula>'1851'!$G$13</formula>
    </cfRule>
    <cfRule type="cellIs" priority="214" operator="lessThan" aboveAverage="0" equalAverage="0" bottom="0" percent="0" rank="0" text="" dxfId="824">
      <formula>'1851'!$G$13</formula>
    </cfRule>
  </conditionalFormatting>
  <conditionalFormatting sqref="H14">
    <cfRule type="cellIs" priority="215" operator="equal" aboveAverage="0" equalAverage="0" bottom="0" percent="0" rank="0" text="" dxfId="825">
      <formula>'1851'!$G$14</formula>
    </cfRule>
    <cfRule type="cellIs" priority="216" operator="lessThan" aboveAverage="0" equalAverage="0" bottom="0" percent="0" rank="0" text="" dxfId="826">
      <formula>'1851'!$G$14</formula>
    </cfRule>
  </conditionalFormatting>
  <conditionalFormatting sqref="H15">
    <cfRule type="cellIs" priority="217" operator="equal" aboveAverage="0" equalAverage="0" bottom="0" percent="0" rank="0" text="" dxfId="827">
      <formula>'1851'!$G$15</formula>
    </cfRule>
    <cfRule type="cellIs" priority="218" operator="lessThan" aboveAverage="0" equalAverage="0" bottom="0" percent="0" rank="0" text="" dxfId="828">
      <formula>'1851'!$G$15</formula>
    </cfRule>
  </conditionalFormatting>
  <conditionalFormatting sqref="H16">
    <cfRule type="cellIs" priority="219" operator="equal" aboveAverage="0" equalAverage="0" bottom="0" percent="0" rank="0" text="" dxfId="829">
      <formula>'1851'!$G$16</formula>
    </cfRule>
    <cfRule type="cellIs" priority="220" operator="lessThan" aboveAverage="0" equalAverage="0" bottom="0" percent="0" rank="0" text="" dxfId="830">
      <formula>'1851'!$G$16</formula>
    </cfRule>
  </conditionalFormatting>
  <conditionalFormatting sqref="H17">
    <cfRule type="cellIs" priority="221" operator="equal" aboveAverage="0" equalAverage="0" bottom="0" percent="0" rank="0" text="" dxfId="831">
      <formula>'1851'!$G$17</formula>
    </cfRule>
    <cfRule type="cellIs" priority="222" operator="lessThan" aboveAverage="0" equalAverage="0" bottom="0" percent="0" rank="0" text="" dxfId="832">
      <formula>'1851'!$G$17</formula>
    </cfRule>
  </conditionalFormatting>
  <conditionalFormatting sqref="H18">
    <cfRule type="cellIs" priority="223" operator="equal" aboveAverage="0" equalAverage="0" bottom="0" percent="0" rank="0" text="" dxfId="833">
      <formula>'1851'!$G$18</formula>
    </cfRule>
    <cfRule type="cellIs" priority="224" operator="lessThan" aboveAverage="0" equalAverage="0" bottom="0" percent="0" rank="0" text="" dxfId="834">
      <formula>'1851'!$G$18</formula>
    </cfRule>
  </conditionalFormatting>
  <conditionalFormatting sqref="H19">
    <cfRule type="cellIs" priority="225" operator="equal" aboveAverage="0" equalAverage="0" bottom="0" percent="0" rank="0" text="" dxfId="835">
      <formula>'1851'!$G$19</formula>
    </cfRule>
    <cfRule type="cellIs" priority="226" operator="lessThan" aboveAverage="0" equalAverage="0" bottom="0" percent="0" rank="0" text="" dxfId="836">
      <formula>'1851'!$G$19</formula>
    </cfRule>
  </conditionalFormatting>
  <conditionalFormatting sqref="H20">
    <cfRule type="cellIs" priority="227" operator="equal" aboveAverage="0" equalAverage="0" bottom="0" percent="0" rank="0" text="" dxfId="837">
      <formula>'1851'!$G$20</formula>
    </cfRule>
    <cfRule type="cellIs" priority="228" operator="lessThan" aboveAverage="0" equalAverage="0" bottom="0" percent="0" rank="0" text="" dxfId="838">
      <formula>'1851'!$G$20</formula>
    </cfRule>
  </conditionalFormatting>
  <conditionalFormatting sqref="H21">
    <cfRule type="cellIs" priority="229" operator="equal" aboveAverage="0" equalAverage="0" bottom="0" percent="0" rank="0" text="" dxfId="839">
      <formula>'1851'!$G$21</formula>
    </cfRule>
    <cfRule type="cellIs" priority="230" operator="lessThan" aboveAverage="0" equalAverage="0" bottom="0" percent="0" rank="0" text="" dxfId="840">
      <formula>'1851'!$G$21</formula>
    </cfRule>
  </conditionalFormatting>
  <conditionalFormatting sqref="H22">
    <cfRule type="cellIs" priority="231" operator="equal" aboveAverage="0" equalAverage="0" bottom="0" percent="0" rank="0" text="" dxfId="841">
      <formula>'1851'!$G$22</formula>
    </cfRule>
    <cfRule type="cellIs" priority="232" operator="lessThan" aboveAverage="0" equalAverage="0" bottom="0" percent="0" rank="0" text="" dxfId="842">
      <formula>'1851'!$G$22</formula>
    </cfRule>
  </conditionalFormatting>
  <conditionalFormatting sqref="H23">
    <cfRule type="cellIs" priority="233" operator="equal" aboveAverage="0" equalAverage="0" bottom="0" percent="0" rank="0" text="" dxfId="843">
      <formula>'1851'!$G$23</formula>
    </cfRule>
    <cfRule type="cellIs" priority="234" operator="lessThan" aboveAverage="0" equalAverage="0" bottom="0" percent="0" rank="0" text="" dxfId="844">
      <formula>'1851'!$G$23</formula>
    </cfRule>
  </conditionalFormatting>
  <conditionalFormatting sqref="H25">
    <cfRule type="cellIs" priority="235" operator="equal" aboveAverage="0" equalAverage="0" bottom="0" percent="0" rank="0" text="" dxfId="845">
      <formula>'1851'!$G$25</formula>
    </cfRule>
    <cfRule type="cellIs" priority="236" operator="lessThan" aboveAverage="0" equalAverage="0" bottom="0" percent="0" rank="0" text="" dxfId="846">
      <formula>'1851'!$G$25</formula>
    </cfRule>
  </conditionalFormatting>
  <conditionalFormatting sqref="H26">
    <cfRule type="cellIs" priority="237" operator="equal" aboveAverage="0" equalAverage="0" bottom="0" percent="0" rank="0" text="" dxfId="847">
      <formula>'1851'!$G$26</formula>
    </cfRule>
    <cfRule type="cellIs" priority="238" operator="lessThan" aboveAverage="0" equalAverage="0" bottom="0" percent="0" rank="0" text="" dxfId="848">
      <formula>'1851'!$G$26</formula>
    </cfRule>
  </conditionalFormatting>
  <conditionalFormatting sqref="H27">
    <cfRule type="cellIs" priority="239" operator="equal" aboveAverage="0" equalAverage="0" bottom="0" percent="0" rank="0" text="" dxfId="849">
      <formula>'1851'!$G$27</formula>
    </cfRule>
    <cfRule type="cellIs" priority="240" operator="lessThan" aboveAverage="0" equalAverage="0" bottom="0" percent="0" rank="0" text="" dxfId="850">
      <formula>'1851'!$G$27</formula>
    </cfRule>
  </conditionalFormatting>
  <conditionalFormatting sqref="H28">
    <cfRule type="cellIs" priority="241" operator="equal" aboveAverage="0" equalAverage="0" bottom="0" percent="0" rank="0" text="" dxfId="851">
      <formula>'1851'!$G$28</formula>
    </cfRule>
    <cfRule type="cellIs" priority="242" operator="lessThan" aboveAverage="0" equalAverage="0" bottom="0" percent="0" rank="0" text="" dxfId="852">
      <formula>'1851'!$G$28</formula>
    </cfRule>
  </conditionalFormatting>
  <conditionalFormatting sqref="E13">
    <cfRule type="cellIs" priority="243" operator="equal" aboveAverage="0" equalAverage="0" bottom="0" percent="0" rank="0" text="" dxfId="853">
      <formula>'1851'!$D$13</formula>
    </cfRule>
    <cfRule type="cellIs" priority="244" operator="lessThan" aboveAverage="0" equalAverage="0" bottom="0" percent="0" rank="0" text="" dxfId="854">
      <formula>'1851'!$D$13</formula>
    </cfRule>
  </conditionalFormatting>
  <conditionalFormatting sqref="I13">
    <cfRule type="cellIs" priority="245" operator="equal" aboveAverage="0" equalAverage="0" bottom="0" percent="0" rank="0" text="" dxfId="855">
      <formula>'1851'!$H$13</formula>
    </cfRule>
    <cfRule type="cellIs" priority="246" operator="lessThan" aboveAverage="0" equalAverage="0" bottom="0" percent="0" rank="0" text="" dxfId="856">
      <formula>'1851'!$H$13</formula>
    </cfRule>
  </conditionalFormatting>
  <conditionalFormatting sqref="I14">
    <cfRule type="cellIs" priority="247" operator="equal" aboveAverage="0" equalAverage="0" bottom="0" percent="0" rank="0" text="" dxfId="857">
      <formula>'1851'!$H$14</formula>
    </cfRule>
    <cfRule type="cellIs" priority="248" operator="lessThan" aboveAverage="0" equalAverage="0" bottom="0" percent="0" rank="0" text="" dxfId="858">
      <formula>'1851'!$H$14</formula>
    </cfRule>
  </conditionalFormatting>
  <conditionalFormatting sqref="I15">
    <cfRule type="cellIs" priority="249" operator="equal" aboveAverage="0" equalAverage="0" bottom="0" percent="0" rank="0" text="" dxfId="859">
      <formula>'1851'!$H$15</formula>
    </cfRule>
    <cfRule type="cellIs" priority="250" operator="lessThan" aboveAverage="0" equalAverage="0" bottom="0" percent="0" rank="0" text="" dxfId="860">
      <formula>'1851'!$H$15</formula>
    </cfRule>
  </conditionalFormatting>
  <conditionalFormatting sqref="I16">
    <cfRule type="cellIs" priority="251" operator="equal" aboveAverage="0" equalAverage="0" bottom="0" percent="0" rank="0" text="" dxfId="861">
      <formula>'1851'!$H$16</formula>
    </cfRule>
    <cfRule type="cellIs" priority="252" operator="lessThan" aboveAverage="0" equalAverage="0" bottom="0" percent="0" rank="0" text="" dxfId="862">
      <formula>'1851'!$H$16</formula>
    </cfRule>
  </conditionalFormatting>
  <conditionalFormatting sqref="I17">
    <cfRule type="cellIs" priority="253" operator="equal" aboveAverage="0" equalAverage="0" bottom="0" percent="0" rank="0" text="" dxfId="863">
      <formula>'1851'!$H$17</formula>
    </cfRule>
    <cfRule type="cellIs" priority="254" operator="lessThan" aboveAverage="0" equalAverage="0" bottom="0" percent="0" rank="0" text="" dxfId="864">
      <formula>'1851'!$H$17</formula>
    </cfRule>
  </conditionalFormatting>
  <conditionalFormatting sqref="I18">
    <cfRule type="cellIs" priority="255" operator="equal" aboveAverage="0" equalAverage="0" bottom="0" percent="0" rank="0" text="" dxfId="865">
      <formula>'1851'!$H$18</formula>
    </cfRule>
    <cfRule type="cellIs" priority="256" operator="lessThan" aboveAverage="0" equalAverage="0" bottom="0" percent="0" rank="0" text="" dxfId="866">
      <formula>'1851'!$H$18</formula>
    </cfRule>
  </conditionalFormatting>
  <conditionalFormatting sqref="I19">
    <cfRule type="cellIs" priority="257" operator="equal" aboveAverage="0" equalAverage="0" bottom="0" percent="0" rank="0" text="" dxfId="867">
      <formula>'1851'!$H$19</formula>
    </cfRule>
    <cfRule type="cellIs" priority="258" operator="lessThan" aboveAverage="0" equalAverage="0" bottom="0" percent="0" rank="0" text="" dxfId="868">
      <formula>'1851'!$H$19</formula>
    </cfRule>
  </conditionalFormatting>
  <conditionalFormatting sqref="I20">
    <cfRule type="cellIs" priority="259" operator="equal" aboveAverage="0" equalAverage="0" bottom="0" percent="0" rank="0" text="" dxfId="869">
      <formula>'1851'!$H$20</formula>
    </cfRule>
    <cfRule type="cellIs" priority="260" operator="lessThan" aboveAverage="0" equalAverage="0" bottom="0" percent="0" rank="0" text="" dxfId="870">
      <formula>'1851'!$H$20</formula>
    </cfRule>
  </conditionalFormatting>
  <conditionalFormatting sqref="I21">
    <cfRule type="cellIs" priority="261" operator="equal" aboveAverage="0" equalAverage="0" bottom="0" percent="0" rank="0" text="" dxfId="871">
      <formula>'1851'!$H$21</formula>
    </cfRule>
    <cfRule type="cellIs" priority="262" operator="lessThan" aboveAverage="0" equalAverage="0" bottom="0" percent="0" rank="0" text="" dxfId="872">
      <formula>'1851'!$H$21</formula>
    </cfRule>
  </conditionalFormatting>
  <conditionalFormatting sqref="I22">
    <cfRule type="cellIs" priority="263" operator="equal" aboveAverage="0" equalAverage="0" bottom="0" percent="0" rank="0" text="" dxfId="873">
      <formula>'1851'!$H$22</formula>
    </cfRule>
    <cfRule type="cellIs" priority="264" operator="lessThan" aboveAverage="0" equalAverage="0" bottom="0" percent="0" rank="0" text="" dxfId="874">
      <formula>'1851'!$H$22</formula>
    </cfRule>
  </conditionalFormatting>
  <conditionalFormatting sqref="I23">
    <cfRule type="cellIs" priority="265" operator="equal" aboveAverage="0" equalAverage="0" bottom="0" percent="0" rank="0" text="" dxfId="875">
      <formula>'1851'!$H$23</formula>
    </cfRule>
    <cfRule type="cellIs" priority="266" operator="lessThan" aboveAverage="0" equalAverage="0" bottom="0" percent="0" rank="0" text="" dxfId="876">
      <formula>'1851'!$H$23</formula>
    </cfRule>
  </conditionalFormatting>
  <conditionalFormatting sqref="I25">
    <cfRule type="cellIs" priority="267" operator="equal" aboveAverage="0" equalAverage="0" bottom="0" percent="0" rank="0" text="" dxfId="877">
      <formula>'1851'!$H$25</formula>
    </cfRule>
    <cfRule type="cellIs" priority="268" operator="lessThan" aboveAverage="0" equalAverage="0" bottom="0" percent="0" rank="0" text="" dxfId="878">
      <formula>'1851'!$H$25</formula>
    </cfRule>
  </conditionalFormatting>
  <conditionalFormatting sqref="I26">
    <cfRule type="cellIs" priority="269" operator="equal" aboveAverage="0" equalAverage="0" bottom="0" percent="0" rank="0" text="" dxfId="879">
      <formula>'1851'!$H$26</formula>
    </cfRule>
    <cfRule type="cellIs" priority="270" operator="lessThan" aboveAverage="0" equalAverage="0" bottom="0" percent="0" rank="0" text="" dxfId="880">
      <formula>'1851'!$H$26</formula>
    </cfRule>
  </conditionalFormatting>
  <conditionalFormatting sqref="I27">
    <cfRule type="cellIs" priority="271" operator="equal" aboveAverage="0" equalAverage="0" bottom="0" percent="0" rank="0" text="" dxfId="881">
      <formula>'1851'!$H$27</formula>
    </cfRule>
    <cfRule type="cellIs" priority="272" operator="lessThan" aboveAverage="0" equalAverage="0" bottom="0" percent="0" rank="0" text="" dxfId="882">
      <formula>'1851'!$H$27</formula>
    </cfRule>
  </conditionalFormatting>
  <conditionalFormatting sqref="I28">
    <cfRule type="cellIs" priority="273" operator="equal" aboveAverage="0" equalAverage="0" bottom="0" percent="0" rank="0" text="" dxfId="883">
      <formula>'1851'!$H$28</formula>
    </cfRule>
    <cfRule type="cellIs" priority="274" operator="lessThan" aboveAverage="0" equalAverage="0" bottom="0" percent="0" rank="0" text="" dxfId="884">
      <formula>'1851'!$H$28</formula>
    </cfRule>
  </conditionalFormatting>
  <conditionalFormatting sqref="E24">
    <cfRule type="cellIs" priority="275" operator="equal" aboveAverage="0" equalAverage="0" bottom="0" percent="0" rank="0" text="" dxfId="885">
      <formula>'1851'!$D$24</formula>
    </cfRule>
    <cfRule type="cellIs" priority="276" operator="lessThan" aboveAverage="0" equalAverage="0" bottom="0" percent="0" rank="0" text="" dxfId="886">
      <formula>'1851'!$D$24</formula>
    </cfRule>
  </conditionalFormatting>
  <conditionalFormatting sqref="F24">
    <cfRule type="cellIs" priority="277" operator="equal" aboveAverage="0" equalAverage="0" bottom="0" percent="0" rank="0" text="" dxfId="887">
      <formula>'1851'!$E$24</formula>
    </cfRule>
    <cfRule type="cellIs" priority="278" operator="lessThan" aboveAverage="0" equalAverage="0" bottom="0" percent="0" rank="0" text="" dxfId="888">
      <formula>'1851'!$E$24</formula>
    </cfRule>
  </conditionalFormatting>
  <conditionalFormatting sqref="G24">
    <cfRule type="cellIs" priority="279" operator="equal" aboveAverage="0" equalAverage="0" bottom="0" percent="0" rank="0" text="" dxfId="889">
      <formula>'1851'!$F$24</formula>
    </cfRule>
    <cfRule type="cellIs" priority="280" operator="lessThan" aboveAverage="0" equalAverage="0" bottom="0" percent="0" rank="0" text="" dxfId="890">
      <formula>'1851'!$F$24</formula>
    </cfRule>
  </conditionalFormatting>
  <conditionalFormatting sqref="H24">
    <cfRule type="cellIs" priority="281" operator="equal" aboveAverage="0" equalAverage="0" bottom="0" percent="0" rank="0" text="" dxfId="891">
      <formula>'1851'!$G$24</formula>
    </cfRule>
    <cfRule type="cellIs" priority="282" operator="lessThan" aboveAverage="0" equalAverage="0" bottom="0" percent="0" rank="0" text="" dxfId="892">
      <formula>'1851'!$G$24</formula>
    </cfRule>
  </conditionalFormatting>
  <conditionalFormatting sqref="I24">
    <cfRule type="cellIs" priority="283" operator="equal" aboveAverage="0" equalAverage="0" bottom="0" percent="0" rank="0" text="" dxfId="893">
      <formula>'1851'!$H$24</formula>
    </cfRule>
    <cfRule type="cellIs" priority="284" operator="lessThan" aboveAverage="0" equalAverage="0" bottom="0" percent="0" rank="0" text="" dxfId="894">
      <formula>'1851'!$H$24</formula>
    </cfRule>
  </conditionalFormatting>
  <conditionalFormatting sqref="F5">
    <cfRule type="cellIs" priority="285" operator="equal" aboveAverage="0" equalAverage="0" bottom="0" percent="0" rank="0" text="" dxfId="895">
      <formula>'1851'!$E$5</formula>
    </cfRule>
    <cfRule type="cellIs" priority="286" operator="lessThan" aboveAverage="0" equalAverage="0" bottom="0" percent="0" rank="0" text="" dxfId="896">
      <formula>'1851'!$E$5</formula>
    </cfRule>
  </conditionalFormatting>
  <conditionalFormatting sqref="H5">
    <cfRule type="cellIs" priority="287" operator="equal" aboveAverage="0" equalAverage="0" bottom="0" percent="0" rank="0" text="" dxfId="897">
      <formula>'1851'!$G$5</formula>
    </cfRule>
    <cfRule type="cellIs" priority="288" operator="lessThan" aboveAverage="0" equalAverage="0" bottom="0" percent="0" rank="0" text="" dxfId="898">
      <formula>'1851'!$G$5</formula>
    </cfRule>
  </conditionalFormatting>
  <conditionalFormatting sqref="H4">
    <cfRule type="cellIs" priority="289" operator="equal" aboveAverage="0" equalAverage="0" bottom="0" percent="0" rank="0" text="" dxfId="899">
      <formula>'1851'!$G$4</formula>
    </cfRule>
  </conditionalFormatting>
  <conditionalFormatting sqref="J13">
    <cfRule type="cellIs" priority="290" operator="equal" aboveAverage="0" equalAverage="0" bottom="0" percent="0" rank="0" text="" dxfId="900">
      <formula>'1851'!$I$13</formula>
    </cfRule>
    <cfRule type="cellIs" priority="291" operator="lessThan" aboveAverage="0" equalAverage="0" bottom="0" percent="0" rank="0" text="" dxfId="901">
      <formula>'1851'!$I$13</formula>
    </cfRule>
  </conditionalFormatting>
  <conditionalFormatting sqref="J14">
    <cfRule type="cellIs" priority="292" operator="equal" aboveAverage="0" equalAverage="0" bottom="0" percent="0" rank="0" text="" dxfId="902">
      <formula>'1851'!$I$14</formula>
    </cfRule>
    <cfRule type="cellIs" priority="293" operator="lessThan" aboveAverage="0" equalAverage="0" bottom="0" percent="0" rank="0" text="" dxfId="903">
      <formula>'1851'!$I$14</formula>
    </cfRule>
  </conditionalFormatting>
  <conditionalFormatting sqref="J15">
    <cfRule type="cellIs" priority="294" operator="equal" aboveAverage="0" equalAverage="0" bottom="0" percent="0" rank="0" text="" dxfId="904">
      <formula>'1851'!$I$15</formula>
    </cfRule>
    <cfRule type="cellIs" priority="295" operator="lessThan" aboveAverage="0" equalAverage="0" bottom="0" percent="0" rank="0" text="" dxfId="905">
      <formula>'1851'!$I$15</formula>
    </cfRule>
  </conditionalFormatting>
  <conditionalFormatting sqref="J16">
    <cfRule type="cellIs" priority="296" operator="equal" aboveAverage="0" equalAverage="0" bottom="0" percent="0" rank="0" text="" dxfId="906">
      <formula>'1851'!$I$16</formula>
    </cfRule>
    <cfRule type="cellIs" priority="297" operator="lessThan" aboveAverage="0" equalAverage="0" bottom="0" percent="0" rank="0" text="" dxfId="907">
      <formula>'1851'!$I$16</formula>
    </cfRule>
  </conditionalFormatting>
  <conditionalFormatting sqref="J17">
    <cfRule type="cellIs" priority="298" operator="equal" aboveAverage="0" equalAverage="0" bottom="0" percent="0" rank="0" text="" dxfId="908">
      <formula>'1851'!$I$17</formula>
    </cfRule>
    <cfRule type="cellIs" priority="299" operator="lessThan" aboveAverage="0" equalAverage="0" bottom="0" percent="0" rank="0" text="" dxfId="909">
      <formula>'1851'!$I$17</formula>
    </cfRule>
  </conditionalFormatting>
  <conditionalFormatting sqref="J18">
    <cfRule type="cellIs" priority="300" operator="equal" aboveAverage="0" equalAverage="0" bottom="0" percent="0" rank="0" text="" dxfId="910">
      <formula>'1851'!$I$18</formula>
    </cfRule>
    <cfRule type="cellIs" priority="301" operator="lessThan" aboveAverage="0" equalAverage="0" bottom="0" percent="0" rank="0" text="" dxfId="911">
      <formula>'1851'!$I$18</formula>
    </cfRule>
  </conditionalFormatting>
  <conditionalFormatting sqref="J19">
    <cfRule type="cellIs" priority="302" operator="equal" aboveAverage="0" equalAverage="0" bottom="0" percent="0" rank="0" text="" dxfId="912">
      <formula>'1851'!$I$19</formula>
    </cfRule>
    <cfRule type="cellIs" priority="303" operator="lessThan" aboveAverage="0" equalAverage="0" bottom="0" percent="0" rank="0" text="" dxfId="913">
      <formula>'1851'!$I$19</formula>
    </cfRule>
  </conditionalFormatting>
  <conditionalFormatting sqref="J20">
    <cfRule type="cellIs" priority="304" operator="equal" aboveAverage="0" equalAverage="0" bottom="0" percent="0" rank="0" text="" dxfId="914">
      <formula>'1851'!$I$20</formula>
    </cfRule>
    <cfRule type="cellIs" priority="305" operator="lessThan" aboveAverage="0" equalAverage="0" bottom="0" percent="0" rank="0" text="" dxfId="915">
      <formula>'1851'!$I$20</formula>
    </cfRule>
  </conditionalFormatting>
  <conditionalFormatting sqref="J21">
    <cfRule type="cellIs" priority="306" operator="equal" aboveAverage="0" equalAverage="0" bottom="0" percent="0" rank="0" text="" dxfId="916">
      <formula>'1851'!$I$21</formula>
    </cfRule>
    <cfRule type="cellIs" priority="307" operator="lessThan" aboveAverage="0" equalAverage="0" bottom="0" percent="0" rank="0" text="" dxfId="917">
      <formula>'1851'!$I$21</formula>
    </cfRule>
  </conditionalFormatting>
  <conditionalFormatting sqref="J22">
    <cfRule type="cellIs" priority="308" operator="equal" aboveAverage="0" equalAverage="0" bottom="0" percent="0" rank="0" text="" dxfId="918">
      <formula>'1851'!$I$22</formula>
    </cfRule>
    <cfRule type="cellIs" priority="309" operator="lessThan" aboveAverage="0" equalAverage="0" bottom="0" percent="0" rank="0" text="" dxfId="919">
      <formula>'1851'!$I$22</formula>
    </cfRule>
  </conditionalFormatting>
  <conditionalFormatting sqref="J23">
    <cfRule type="cellIs" priority="310" operator="equal" aboveAverage="0" equalAverage="0" bottom="0" percent="0" rank="0" text="" dxfId="920">
      <formula>'1851'!$I$23</formula>
    </cfRule>
    <cfRule type="cellIs" priority="311" operator="lessThan" aboveAverage="0" equalAverage="0" bottom="0" percent="0" rank="0" text="" dxfId="921">
      <formula>'1851'!$I$23</formula>
    </cfRule>
  </conditionalFormatting>
  <conditionalFormatting sqref="J24">
    <cfRule type="cellIs" priority="312" operator="equal" aboveAverage="0" equalAverage="0" bottom="0" percent="0" rank="0" text="" dxfId="922">
      <formula>'1851'!$I$24</formula>
    </cfRule>
    <cfRule type="cellIs" priority="313" operator="lessThan" aboveAverage="0" equalAverage="0" bottom="0" percent="0" rank="0" text="" dxfId="923">
      <formula>'1851'!$I$24</formula>
    </cfRule>
  </conditionalFormatting>
  <conditionalFormatting sqref="J25">
    <cfRule type="cellIs" priority="314" operator="equal" aboveAverage="0" equalAverage="0" bottom="0" percent="0" rank="0" text="" dxfId="924">
      <formula>'1851'!$I$25</formula>
    </cfRule>
    <cfRule type="cellIs" priority="315" operator="lessThan" aboveAverage="0" equalAverage="0" bottom="0" percent="0" rank="0" text="" dxfId="925">
      <formula>'1851'!$I$25</formula>
    </cfRule>
  </conditionalFormatting>
  <conditionalFormatting sqref="J26">
    <cfRule type="cellIs" priority="316" operator="equal" aboveAverage="0" equalAverage="0" bottom="0" percent="0" rank="0" text="" dxfId="926">
      <formula>'1851'!$I$26</formula>
    </cfRule>
    <cfRule type="cellIs" priority="317" operator="lessThan" aboveAverage="0" equalAverage="0" bottom="0" percent="0" rank="0" text="" dxfId="927">
      <formula>'1851'!$I$26</formula>
    </cfRule>
  </conditionalFormatting>
  <conditionalFormatting sqref="J27">
    <cfRule type="cellIs" priority="318" operator="equal" aboveAverage="0" equalAverage="0" bottom="0" percent="0" rank="0" text="" dxfId="928">
      <formula>'1851'!$I$27</formula>
    </cfRule>
    <cfRule type="cellIs" priority="319" operator="lessThan" aboveAverage="0" equalAverage="0" bottom="0" percent="0" rank="0" text="" dxfId="929">
      <formula>'1851'!$I$27</formula>
    </cfRule>
    <cfRule type="cellIs" priority="320" operator="lessThan" aboveAverage="0" equalAverage="0" bottom="0" percent="0" rank="0" text="" dxfId="930">
      <formula>'1851'!$I$27</formula>
    </cfRule>
  </conditionalFormatting>
  <conditionalFormatting sqref="J28">
    <cfRule type="cellIs" priority="321" operator="equal" aboveAverage="0" equalAverage="0" bottom="0" percent="0" rank="0" text="" dxfId="931">
      <formula>'1851'!$I$28</formula>
    </cfRule>
    <cfRule type="cellIs" priority="322" operator="lessThan" aboveAverage="0" equalAverage="0" bottom="0" percent="0" rank="0" text="" dxfId="932">
      <formula>'1851'!$I$28</formula>
    </cfRule>
  </conditionalFormatting>
  <conditionalFormatting sqref="K13">
    <cfRule type="cellIs" priority="323" operator="equal" aboveAverage="0" equalAverage="0" bottom="0" percent="0" rank="0" text="" dxfId="933">
      <formula>'1851'!$J$13</formula>
    </cfRule>
    <cfRule type="cellIs" priority="324" operator="lessThan" aboveAverage="0" equalAverage="0" bottom="0" percent="0" rank="0" text="" dxfId="934">
      <formula>'1851'!$J$13</formula>
    </cfRule>
  </conditionalFormatting>
  <conditionalFormatting sqref="K14">
    <cfRule type="cellIs" priority="325" operator="equal" aboveAverage="0" equalAverage="0" bottom="0" percent="0" rank="0" text="" dxfId="935">
      <formula>'1851'!$J$14</formula>
    </cfRule>
    <cfRule type="cellIs" priority="326" operator="lessThan" aboveAverage="0" equalAverage="0" bottom="0" percent="0" rank="0" text="" dxfId="936">
      <formula>'1851'!$J$14</formula>
    </cfRule>
  </conditionalFormatting>
  <conditionalFormatting sqref="K15">
    <cfRule type="cellIs" priority="327" operator="equal" aboveAverage="0" equalAverage="0" bottom="0" percent="0" rank="0" text="" dxfId="937">
      <formula>'1851'!$J$15</formula>
    </cfRule>
    <cfRule type="cellIs" priority="328" operator="lessThan" aboveAverage="0" equalAverage="0" bottom="0" percent="0" rank="0" text="" dxfId="938">
      <formula>'1851'!$J$15</formula>
    </cfRule>
  </conditionalFormatting>
  <conditionalFormatting sqref="K16">
    <cfRule type="cellIs" priority="329" operator="equal" aboveAverage="0" equalAverage="0" bottom="0" percent="0" rank="0" text="" dxfId="939">
      <formula>'1851'!$J$16</formula>
    </cfRule>
    <cfRule type="cellIs" priority="330" operator="lessThan" aboveAverage="0" equalAverage="0" bottom="0" percent="0" rank="0" text="" dxfId="940">
      <formula>'1851'!$J$16</formula>
    </cfRule>
  </conditionalFormatting>
  <conditionalFormatting sqref="K17">
    <cfRule type="cellIs" priority="331" operator="equal" aboveAverage="0" equalAverage="0" bottom="0" percent="0" rank="0" text="" dxfId="941">
      <formula>'1851'!$J$17</formula>
    </cfRule>
    <cfRule type="cellIs" priority="332" operator="lessThan" aboveAverage="0" equalAverage="0" bottom="0" percent="0" rank="0" text="" dxfId="942">
      <formula>'1851'!$J$17</formula>
    </cfRule>
  </conditionalFormatting>
  <conditionalFormatting sqref="K18">
    <cfRule type="cellIs" priority="333" operator="equal" aboveAverage="0" equalAverage="0" bottom="0" percent="0" rank="0" text="" dxfId="943">
      <formula>'1851'!$J$18</formula>
    </cfRule>
    <cfRule type="cellIs" priority="334" operator="lessThan" aboveAverage="0" equalAverage="0" bottom="0" percent="0" rank="0" text="" dxfId="944">
      <formula>'1851'!$J$18</formula>
    </cfRule>
  </conditionalFormatting>
  <conditionalFormatting sqref="K19">
    <cfRule type="cellIs" priority="335" operator="equal" aboveAverage="0" equalAverage="0" bottom="0" percent="0" rank="0" text="" dxfId="945">
      <formula>'1851'!$J$19</formula>
    </cfRule>
    <cfRule type="cellIs" priority="336" operator="lessThan" aboveAverage="0" equalAverage="0" bottom="0" percent="0" rank="0" text="" dxfId="946">
      <formula>'1851'!$J$19</formula>
    </cfRule>
  </conditionalFormatting>
  <conditionalFormatting sqref="K20">
    <cfRule type="cellIs" priority="337" operator="equal" aboveAverage="0" equalAverage="0" bottom="0" percent="0" rank="0" text="" dxfId="947">
      <formula>'1851'!$J$20</formula>
    </cfRule>
    <cfRule type="cellIs" priority="338" operator="lessThan" aboveAverage="0" equalAverage="0" bottom="0" percent="0" rank="0" text="" dxfId="948">
      <formula>'1851'!$J$20</formula>
    </cfRule>
  </conditionalFormatting>
  <conditionalFormatting sqref="K21">
    <cfRule type="cellIs" priority="339" operator="equal" aboveAverage="0" equalAverage="0" bottom="0" percent="0" rank="0" text="" dxfId="949">
      <formula>'1851'!$J$21</formula>
    </cfRule>
    <cfRule type="cellIs" priority="340" operator="lessThan" aboveAverage="0" equalAverage="0" bottom="0" percent="0" rank="0" text="" dxfId="950">
      <formula>'1851'!$J$21</formula>
    </cfRule>
  </conditionalFormatting>
  <conditionalFormatting sqref="K22">
    <cfRule type="cellIs" priority="341" operator="equal" aboveAverage="0" equalAverage="0" bottom="0" percent="0" rank="0" text="" dxfId="951">
      <formula>'1851'!$J$22</formula>
    </cfRule>
    <cfRule type="cellIs" priority="342" operator="lessThan" aboveAverage="0" equalAverage="0" bottom="0" percent="0" rank="0" text="" dxfId="952">
      <formula>'1851'!$J$22</formula>
    </cfRule>
  </conditionalFormatting>
  <conditionalFormatting sqref="K23">
    <cfRule type="cellIs" priority="343" operator="equal" aboveAverage="0" equalAverage="0" bottom="0" percent="0" rank="0" text="" dxfId="953">
      <formula>'1851'!$J$23</formula>
    </cfRule>
    <cfRule type="cellIs" priority="344" operator="lessThan" aboveAverage="0" equalAverage="0" bottom="0" percent="0" rank="0" text="" dxfId="954">
      <formula>'1851'!$J$23</formula>
    </cfRule>
  </conditionalFormatting>
  <conditionalFormatting sqref="K24">
    <cfRule type="cellIs" priority="345" operator="equal" aboveAverage="0" equalAverage="0" bottom="0" percent="0" rank="0" text="" dxfId="955">
      <formula>'1851'!$J$24</formula>
    </cfRule>
    <cfRule type="cellIs" priority="346" operator="lessThan" aboveAverage="0" equalAverage="0" bottom="0" percent="0" rank="0" text="" dxfId="956">
      <formula>'1851'!$J$24</formula>
    </cfRule>
  </conditionalFormatting>
  <conditionalFormatting sqref="K25">
    <cfRule type="cellIs" priority="347" operator="equal" aboveAverage="0" equalAverage="0" bottom="0" percent="0" rank="0" text="" dxfId="957">
      <formula>'1851'!$J$25</formula>
    </cfRule>
    <cfRule type="cellIs" priority="348" operator="lessThan" aboveAverage="0" equalAverage="0" bottom="0" percent="0" rank="0" text="" dxfId="958">
      <formula>'1851'!$J$25</formula>
    </cfRule>
  </conditionalFormatting>
  <conditionalFormatting sqref="K26">
    <cfRule type="cellIs" priority="349" operator="equal" aboveAverage="0" equalAverage="0" bottom="0" percent="0" rank="0" text="" dxfId="959">
      <formula>'1851'!$J$26</formula>
    </cfRule>
    <cfRule type="cellIs" priority="350" operator="lessThan" aboveAverage="0" equalAverage="0" bottom="0" percent="0" rank="0" text="" dxfId="960">
      <formula>'1851'!$J$26</formula>
    </cfRule>
  </conditionalFormatting>
  <conditionalFormatting sqref="K27">
    <cfRule type="cellIs" priority="351" operator="equal" aboveAverage="0" equalAverage="0" bottom="0" percent="0" rank="0" text="" dxfId="961">
      <formula>'1851'!$J$27</formula>
    </cfRule>
    <cfRule type="cellIs" priority="352" operator="lessThan" aboveAverage="0" equalAverage="0" bottom="0" percent="0" rank="0" text="" dxfId="962">
      <formula>'1851'!$J$27</formula>
    </cfRule>
  </conditionalFormatting>
  <conditionalFormatting sqref="K28">
    <cfRule type="cellIs" priority="353" operator="equal" aboveAverage="0" equalAverage="0" bottom="0" percent="0" rank="0" text="" dxfId="963">
      <formula>'1851'!$J$28</formula>
    </cfRule>
    <cfRule type="cellIs" priority="354" operator="lessThan" aboveAverage="0" equalAverage="0" bottom="0" percent="0" rank="0" text="" dxfId="964">
      <formula>'1851'!$J$28</formula>
    </cfRule>
  </conditionalFormatting>
  <conditionalFormatting sqref="L4">
    <cfRule type="cellIs" priority="355" operator="equal" aboveAverage="0" equalAverage="0" bottom="0" percent="0" rank="0" text="" dxfId="965">
      <formula>'1851'!$K$4</formula>
    </cfRule>
    <cfRule type="cellIs" priority="356" operator="lessThan" aboveAverage="0" equalAverage="0" bottom="0" percent="0" rank="0" text="" dxfId="966">
      <formula>'1851'!$K$4</formula>
    </cfRule>
  </conditionalFormatting>
  <conditionalFormatting sqref="L5">
    <cfRule type="cellIs" priority="357" operator="equal" aboveAverage="0" equalAverage="0" bottom="0" percent="0" rank="0" text="" dxfId="967">
      <formula>'1851'!$K$5</formula>
    </cfRule>
    <cfRule type="cellIs" priority="358" operator="lessThan" aboveAverage="0" equalAverage="0" bottom="0" percent="0" rank="0" text="" dxfId="968">
      <formula>'1851'!$K$5</formula>
    </cfRule>
  </conditionalFormatting>
  <conditionalFormatting sqref="L6">
    <cfRule type="cellIs" priority="359" operator="equal" aboveAverage="0" equalAverage="0" bottom="0" percent="0" rank="0" text="" dxfId="969">
      <formula>'1851'!$K$6</formula>
    </cfRule>
    <cfRule type="cellIs" priority="360" operator="lessThan" aboveAverage="0" equalAverage="0" bottom="0" percent="0" rank="0" text="" dxfId="970">
      <formula>'1851'!$K$6</formula>
    </cfRule>
  </conditionalFormatting>
  <conditionalFormatting sqref="L7">
    <cfRule type="cellIs" priority="361" operator="equal" aboveAverage="0" equalAverage="0" bottom="0" percent="0" rank="0" text="" dxfId="971">
      <formula>'1851'!$K$7</formula>
    </cfRule>
    <cfRule type="cellIs" priority="362" operator="lessThan" aboveAverage="0" equalAverage="0" bottom="0" percent="0" rank="0" text="" dxfId="972">
      <formula>'1851'!$K$7</formula>
    </cfRule>
  </conditionalFormatting>
  <conditionalFormatting sqref="L8">
    <cfRule type="cellIs" priority="363" operator="equal" aboveAverage="0" equalAverage="0" bottom="0" percent="0" rank="0" text="" dxfId="973">
      <formula>'1851'!$K$8</formula>
    </cfRule>
    <cfRule type="cellIs" priority="364" operator="lessThan" aboveAverage="0" equalAverage="0" bottom="0" percent="0" rank="0" text="" dxfId="974">
      <formula>'1851'!$K$8</formula>
    </cfRule>
  </conditionalFormatting>
  <conditionalFormatting sqref="L9">
    <cfRule type="cellIs" priority="365" operator="equal" aboveAverage="0" equalAverage="0" bottom="0" percent="0" rank="0" text="" dxfId="975">
      <formula>'1851'!$K$9</formula>
    </cfRule>
    <cfRule type="cellIs" priority="366" operator="lessThan" aboveAverage="0" equalAverage="0" bottom="0" percent="0" rank="0" text="" dxfId="976">
      <formula>'1851'!$K$9</formula>
    </cfRule>
  </conditionalFormatting>
  <conditionalFormatting sqref="L10">
    <cfRule type="cellIs" priority="367" operator="equal" aboveAverage="0" equalAverage="0" bottom="0" percent="0" rank="0" text="" dxfId="977">
      <formula>'1851'!$K$10</formula>
    </cfRule>
    <cfRule type="cellIs" priority="368" operator="lessThan" aboveAverage="0" equalAverage="0" bottom="0" percent="0" rank="0" text="" dxfId="978">
      <formula>'1851'!$K$10</formula>
    </cfRule>
  </conditionalFormatting>
  <conditionalFormatting sqref="L11">
    <cfRule type="cellIs" priority="369" operator="equal" aboveAverage="0" equalAverage="0" bottom="0" percent="0" rank="0" text="" dxfId="979">
      <formula>'1851'!$K$11</formula>
    </cfRule>
    <cfRule type="cellIs" priority="370" operator="lessThan" aboveAverage="0" equalAverage="0" bottom="0" percent="0" rank="0" text="" dxfId="980">
      <formula>'1851'!$K$11</formula>
    </cfRule>
  </conditionalFormatting>
  <conditionalFormatting sqref="L12">
    <cfRule type="cellIs" priority="371" operator="equal" aboveAverage="0" equalAverage="0" bottom="0" percent="0" rank="0" text="" dxfId="981">
      <formula>'1851'!$K$12</formula>
    </cfRule>
    <cfRule type="cellIs" priority="372" operator="lessThan" aboveAverage="0" equalAverage="0" bottom="0" percent="0" rank="0" text="" dxfId="982">
      <formula>'1851'!$K$12</formula>
    </cfRule>
  </conditionalFormatting>
  <conditionalFormatting sqref="L13">
    <cfRule type="cellIs" priority="373" operator="equal" aboveAverage="0" equalAverage="0" bottom="0" percent="0" rank="0" text="" dxfId="983">
      <formula>'1851'!$K$13</formula>
    </cfRule>
    <cfRule type="cellIs" priority="374" operator="lessThan" aboveAverage="0" equalAverage="0" bottom="0" percent="0" rank="0" text="" dxfId="984">
      <formula>'1851'!$K$13</formula>
    </cfRule>
  </conditionalFormatting>
  <conditionalFormatting sqref="L14">
    <cfRule type="cellIs" priority="375" operator="equal" aboveAverage="0" equalAverage="0" bottom="0" percent="0" rank="0" text="" dxfId="985">
      <formula>'1851'!$K$14</formula>
    </cfRule>
    <cfRule type="cellIs" priority="376" operator="lessThan" aboveAverage="0" equalAverage="0" bottom="0" percent="0" rank="0" text="" dxfId="986">
      <formula>'1851'!$K$14</formula>
    </cfRule>
  </conditionalFormatting>
  <conditionalFormatting sqref="L15">
    <cfRule type="cellIs" priority="377" operator="equal" aboveAverage="0" equalAverage="0" bottom="0" percent="0" rank="0" text="" dxfId="987">
      <formula>'1851'!$K$15</formula>
    </cfRule>
    <cfRule type="cellIs" priority="378" operator="lessThan" aboveAverage="0" equalAverage="0" bottom="0" percent="0" rank="0" text="" dxfId="988">
      <formula>'1851'!$K$15</formula>
    </cfRule>
  </conditionalFormatting>
  <conditionalFormatting sqref="L16">
    <cfRule type="cellIs" priority="379" operator="equal" aboveAverage="0" equalAverage="0" bottom="0" percent="0" rank="0" text="" dxfId="989">
      <formula>'1851'!$K$16</formula>
    </cfRule>
    <cfRule type="cellIs" priority="380" operator="lessThan" aboveAverage="0" equalAverage="0" bottom="0" percent="0" rank="0" text="" dxfId="990">
      <formula>'1851'!$K$16</formula>
    </cfRule>
  </conditionalFormatting>
  <conditionalFormatting sqref="L17">
    <cfRule type="cellIs" priority="381" operator="equal" aboveAverage="0" equalAverage="0" bottom="0" percent="0" rank="0" text="" dxfId="991">
      <formula>'1851'!$K$17</formula>
    </cfRule>
    <cfRule type="cellIs" priority="382" operator="lessThan" aboveAverage="0" equalAverage="0" bottom="0" percent="0" rank="0" text="" dxfId="992">
      <formula>'1851'!$K$17</formula>
    </cfRule>
  </conditionalFormatting>
  <conditionalFormatting sqref="L18">
    <cfRule type="cellIs" priority="383" operator="equal" aboveAverage="0" equalAverage="0" bottom="0" percent="0" rank="0" text="" dxfId="993">
      <formula>'1851'!$K$18</formula>
    </cfRule>
    <cfRule type="cellIs" priority="384" operator="lessThan" aboveAverage="0" equalAverage="0" bottom="0" percent="0" rank="0" text="" dxfId="994">
      <formula>'1851'!$K$18</formula>
    </cfRule>
  </conditionalFormatting>
  <conditionalFormatting sqref="L19">
    <cfRule type="cellIs" priority="385" operator="equal" aboveAverage="0" equalAverage="0" bottom="0" percent="0" rank="0" text="" dxfId="995">
      <formula>'1851'!$K$19</formula>
    </cfRule>
    <cfRule type="cellIs" priority="386" operator="lessThan" aboveAverage="0" equalAverage="0" bottom="0" percent="0" rank="0" text="" dxfId="996">
      <formula>'1851'!$K$19</formula>
    </cfRule>
  </conditionalFormatting>
  <conditionalFormatting sqref="L20">
    <cfRule type="cellIs" priority="387" operator="equal" aboveAverage="0" equalAverage="0" bottom="0" percent="0" rank="0" text="" dxfId="997">
      <formula>'1851'!$K$20</formula>
    </cfRule>
    <cfRule type="cellIs" priority="388" operator="lessThan" aboveAverage="0" equalAverage="0" bottom="0" percent="0" rank="0" text="" dxfId="998">
      <formula>'1851'!$K$20</formula>
    </cfRule>
  </conditionalFormatting>
  <conditionalFormatting sqref="L21">
    <cfRule type="cellIs" priority="389" operator="equal" aboveAverage="0" equalAverage="0" bottom="0" percent="0" rank="0" text="" dxfId="999">
      <formula>'1851'!$K$21</formula>
    </cfRule>
    <cfRule type="cellIs" priority="390" operator="lessThan" aboveAverage="0" equalAverage="0" bottom="0" percent="0" rank="0" text="" dxfId="1000">
      <formula>'1851'!$K$21</formula>
    </cfRule>
  </conditionalFormatting>
  <conditionalFormatting sqref="L22">
    <cfRule type="cellIs" priority="391" operator="equal" aboveAverage="0" equalAverage="0" bottom="0" percent="0" rank="0" text="" dxfId="1001">
      <formula>'1851'!$K$22</formula>
    </cfRule>
    <cfRule type="cellIs" priority="392" operator="lessThan" aboveAverage="0" equalAverage="0" bottom="0" percent="0" rank="0" text="" dxfId="1002">
      <formula>'1851'!$K$22</formula>
    </cfRule>
  </conditionalFormatting>
  <conditionalFormatting sqref="L23">
    <cfRule type="cellIs" priority="393" operator="equal" aboveAverage="0" equalAverage="0" bottom="0" percent="0" rank="0" text="" dxfId="1003">
      <formula>'1851'!$K$23</formula>
    </cfRule>
    <cfRule type="cellIs" priority="394" operator="lessThan" aboveAverage="0" equalAverage="0" bottom="0" percent="0" rank="0" text="" dxfId="1004">
      <formula>'1851'!$K$23</formula>
    </cfRule>
  </conditionalFormatting>
  <conditionalFormatting sqref="L24">
    <cfRule type="cellIs" priority="395" operator="equal" aboveAverage="0" equalAverage="0" bottom="0" percent="0" rank="0" text="" dxfId="1005">
      <formula>'1851'!$K$24</formula>
    </cfRule>
    <cfRule type="cellIs" priority="396" operator="lessThan" aboveAverage="0" equalAverage="0" bottom="0" percent="0" rank="0" text="" dxfId="1006">
      <formula>'1851'!$K$24</formula>
    </cfRule>
  </conditionalFormatting>
  <conditionalFormatting sqref="L25">
    <cfRule type="cellIs" priority="397" operator="equal" aboveAverage="0" equalAverage="0" bottom="0" percent="0" rank="0" text="" dxfId="1007">
      <formula>'1851'!$K$25</formula>
    </cfRule>
    <cfRule type="cellIs" priority="398" operator="lessThan" aboveAverage="0" equalAverage="0" bottom="0" percent="0" rank="0" text="" dxfId="1008">
      <formula>'1851'!$K$25</formula>
    </cfRule>
  </conditionalFormatting>
  <conditionalFormatting sqref="L26">
    <cfRule type="cellIs" priority="399" operator="equal" aboveAverage="0" equalAverage="0" bottom="0" percent="0" rank="0" text="" dxfId="1009">
      <formula>'1851'!$K$26</formula>
    </cfRule>
    <cfRule type="cellIs" priority="400" operator="lessThan" aboveAverage="0" equalAverage="0" bottom="0" percent="0" rank="0" text="" dxfId="1010">
      <formula>'1851'!$K$26</formula>
    </cfRule>
  </conditionalFormatting>
  <conditionalFormatting sqref="L27">
    <cfRule type="cellIs" priority="401" operator="equal" aboveAverage="0" equalAverage="0" bottom="0" percent="0" rank="0" text="" dxfId="1011">
      <formula>'1851'!$K$27</formula>
    </cfRule>
    <cfRule type="cellIs" priority="402" operator="lessThan" aboveAverage="0" equalAverage="0" bottom="0" percent="0" rank="0" text="" dxfId="1012">
      <formula>'1851'!$K$27</formula>
    </cfRule>
  </conditionalFormatting>
  <conditionalFormatting sqref="L28">
    <cfRule type="cellIs" priority="403" operator="lessThan" aboveAverage="0" equalAverage="0" bottom="0" percent="0" rank="0" text="" dxfId="1013">
      <formula>'1851'!$K$28</formula>
    </cfRule>
    <cfRule type="cellIs" priority="404" operator="equal" aboveAverage="0" equalAverage="0" bottom="0" percent="0" rank="0" text="" dxfId="1014">
      <formula>'1851'!$K$28</formula>
    </cfRule>
  </conditionalFormatting>
  <conditionalFormatting sqref="M4">
    <cfRule type="cellIs" priority="405" operator="equal" aboveAverage="0" equalAverage="0" bottom="0" percent="0" rank="0" text="" dxfId="1015">
      <formula>'1851'!$L$4</formula>
    </cfRule>
    <cfRule type="cellIs" priority="406" operator="lessThan" aboveAverage="0" equalAverage="0" bottom="0" percent="0" rank="0" text="" dxfId="1016">
      <formula>'1851'!$L$4</formula>
    </cfRule>
  </conditionalFormatting>
  <conditionalFormatting sqref="M5">
    <cfRule type="cellIs" priority="407" operator="equal" aboveAverage="0" equalAverage="0" bottom="0" percent="0" rank="0" text="" dxfId="1017">
      <formula>'1851'!$L$5</formula>
    </cfRule>
    <cfRule type="cellIs" priority="408" operator="lessThan" aboveAverage="0" equalAverage="0" bottom="0" percent="0" rank="0" text="" dxfId="1018">
      <formula>'1851'!$L$5</formula>
    </cfRule>
  </conditionalFormatting>
  <conditionalFormatting sqref="M6">
    <cfRule type="cellIs" priority="409" operator="equal" aboveAverage="0" equalAverage="0" bottom="0" percent="0" rank="0" text="" dxfId="1019">
      <formula>'1851'!$L$6</formula>
    </cfRule>
    <cfRule type="cellIs" priority="410" operator="lessThan" aboveAverage="0" equalAverage="0" bottom="0" percent="0" rank="0" text="" dxfId="1020">
      <formula>'1851'!$L$6</formula>
    </cfRule>
  </conditionalFormatting>
  <conditionalFormatting sqref="M7">
    <cfRule type="cellIs" priority="411" operator="equal" aboveAverage="0" equalAverage="0" bottom="0" percent="0" rank="0" text="" dxfId="1021">
      <formula>'1851'!$L$7</formula>
    </cfRule>
    <cfRule type="cellIs" priority="412" operator="lessThan" aboveAverage="0" equalAverage="0" bottom="0" percent="0" rank="0" text="" dxfId="1022">
      <formula>'1851'!$L$7</formula>
    </cfRule>
  </conditionalFormatting>
  <conditionalFormatting sqref="M8">
    <cfRule type="cellIs" priority="413" operator="equal" aboveAverage="0" equalAverage="0" bottom="0" percent="0" rank="0" text="" dxfId="1023">
      <formula>'1851'!$L$8</formula>
    </cfRule>
    <cfRule type="cellIs" priority="414" operator="lessThan" aboveAverage="0" equalAverage="0" bottom="0" percent="0" rank="0" text="" dxfId="1024">
      <formula>'1851'!$L$8</formula>
    </cfRule>
  </conditionalFormatting>
  <conditionalFormatting sqref="M9">
    <cfRule type="cellIs" priority="415" operator="equal" aboveAverage="0" equalAverage="0" bottom="0" percent="0" rank="0" text="" dxfId="1025">
      <formula>'1851'!$L$9</formula>
    </cfRule>
    <cfRule type="cellIs" priority="416" operator="lessThan" aboveAverage="0" equalAverage="0" bottom="0" percent="0" rank="0" text="" dxfId="1026">
      <formula>'1851'!$L$9</formula>
    </cfRule>
  </conditionalFormatting>
  <conditionalFormatting sqref="M10">
    <cfRule type="cellIs" priority="417" operator="equal" aboveAverage="0" equalAverage="0" bottom="0" percent="0" rank="0" text="" dxfId="1027">
      <formula>'1851'!$L$10</formula>
    </cfRule>
    <cfRule type="cellIs" priority="418" operator="lessThan" aboveAverage="0" equalAverage="0" bottom="0" percent="0" rank="0" text="" dxfId="1028">
      <formula>'1851'!$L$10</formula>
    </cfRule>
  </conditionalFormatting>
  <conditionalFormatting sqref="M12">
    <cfRule type="cellIs" priority="419" operator="equal" aboveAverage="0" equalAverage="0" bottom="0" percent="0" rank="0" text="" dxfId="1029">
      <formula>'1851'!$L$12</formula>
    </cfRule>
    <cfRule type="cellIs" priority="420" operator="lessThan" aboveAverage="0" equalAverage="0" bottom="0" percent="0" rank="0" text="" dxfId="1030">
      <formula>'1851'!$L$12</formula>
    </cfRule>
  </conditionalFormatting>
  <conditionalFormatting sqref="M13">
    <cfRule type="cellIs" priority="421" operator="equal" aboveAverage="0" equalAverage="0" bottom="0" percent="0" rank="0" text="" dxfId="1031">
      <formula>'1851'!$L$13</formula>
    </cfRule>
    <cfRule type="cellIs" priority="422" operator="lessThan" aboveAverage="0" equalAverage="0" bottom="0" percent="0" rank="0" text="" dxfId="1032">
      <formula>'1851'!$L$13</formula>
    </cfRule>
  </conditionalFormatting>
  <conditionalFormatting sqref="M14">
    <cfRule type="cellIs" priority="423" operator="equal" aboveAverage="0" equalAverage="0" bottom="0" percent="0" rank="0" text="" dxfId="1033">
      <formula>'1851'!$L$14</formula>
    </cfRule>
    <cfRule type="cellIs" priority="424" operator="lessThan" aboveAverage="0" equalAverage="0" bottom="0" percent="0" rank="0" text="" dxfId="1034">
      <formula>'1851'!$L$14</formula>
    </cfRule>
  </conditionalFormatting>
  <conditionalFormatting sqref="M15">
    <cfRule type="cellIs" priority="425" operator="equal" aboveAverage="0" equalAverage="0" bottom="0" percent="0" rank="0" text="" dxfId="1035">
      <formula>'1851'!$L$15</formula>
    </cfRule>
    <cfRule type="cellIs" priority="426" operator="lessThan" aboveAverage="0" equalAverage="0" bottom="0" percent="0" rank="0" text="" dxfId="1036">
      <formula>'1851'!$L$15</formula>
    </cfRule>
  </conditionalFormatting>
  <conditionalFormatting sqref="M16">
    <cfRule type="cellIs" priority="427" operator="equal" aboveAverage="0" equalAverage="0" bottom="0" percent="0" rank="0" text="" dxfId="1037">
      <formula>'1851'!$L$16</formula>
    </cfRule>
    <cfRule type="cellIs" priority="428" operator="lessThan" aboveAverage="0" equalAverage="0" bottom="0" percent="0" rank="0" text="" dxfId="1038">
      <formula>'1851'!$L$16</formula>
    </cfRule>
  </conditionalFormatting>
  <conditionalFormatting sqref="M17">
    <cfRule type="cellIs" priority="429" operator="equal" aboveAverage="0" equalAverage="0" bottom="0" percent="0" rank="0" text="" dxfId="1039">
      <formula>'1851'!$L$17</formula>
    </cfRule>
    <cfRule type="cellIs" priority="430" operator="lessThan" aboveAverage="0" equalAverage="0" bottom="0" percent="0" rank="0" text="" dxfId="1040">
      <formula>'1851'!$L$17</formula>
    </cfRule>
  </conditionalFormatting>
  <conditionalFormatting sqref="M18">
    <cfRule type="cellIs" priority="431" operator="equal" aboveAverage="0" equalAverage="0" bottom="0" percent="0" rank="0" text="" dxfId="1041">
      <formula>'1851'!$L$18</formula>
    </cfRule>
    <cfRule type="cellIs" priority="432" operator="lessThan" aboveAverage="0" equalAverage="0" bottom="0" percent="0" rank="0" text="" dxfId="1042">
      <formula>'1851'!$L$18</formula>
    </cfRule>
  </conditionalFormatting>
  <conditionalFormatting sqref="M19">
    <cfRule type="cellIs" priority="433" operator="equal" aboveAverage="0" equalAverage="0" bottom="0" percent="0" rank="0" text="" dxfId="1043">
      <formula>'1851'!$L$19</formula>
    </cfRule>
    <cfRule type="cellIs" priority="434" operator="lessThan" aboveAverage="0" equalAverage="0" bottom="0" percent="0" rank="0" text="" dxfId="1044">
      <formula>'1851'!$L$19</formula>
    </cfRule>
  </conditionalFormatting>
  <conditionalFormatting sqref="M20">
    <cfRule type="cellIs" priority="435" operator="equal" aboveAverage="0" equalAverage="0" bottom="0" percent="0" rank="0" text="" dxfId="1045">
      <formula>'1851'!$L$20</formula>
    </cfRule>
    <cfRule type="cellIs" priority="436" operator="lessThan" aboveAverage="0" equalAverage="0" bottom="0" percent="0" rank="0" text="" dxfId="1046">
      <formula>'1851'!$L$20</formula>
    </cfRule>
  </conditionalFormatting>
  <conditionalFormatting sqref="M21">
    <cfRule type="cellIs" priority="437" operator="equal" aboveAverage="0" equalAverage="0" bottom="0" percent="0" rank="0" text="" dxfId="1047">
      <formula>'1851'!$L$21</formula>
    </cfRule>
    <cfRule type="cellIs" priority="438" operator="lessThan" aboveAverage="0" equalAverage="0" bottom="0" percent="0" rank="0" text="" dxfId="1048">
      <formula>'1851'!$L$21</formula>
    </cfRule>
  </conditionalFormatting>
  <conditionalFormatting sqref="M11">
    <cfRule type="cellIs" priority="439" operator="equal" aboveAverage="0" equalAverage="0" bottom="0" percent="0" rank="0" text="" dxfId="1049">
      <formula>'1851'!$L$11</formula>
    </cfRule>
    <cfRule type="cellIs" priority="440" operator="lessThan" aboveAverage="0" equalAverage="0" bottom="0" percent="0" rank="0" text="" dxfId="1050">
      <formula>'1851'!$L$11</formula>
    </cfRule>
  </conditionalFormatting>
  <conditionalFormatting sqref="M22">
    <cfRule type="cellIs" priority="441" operator="equal" aboveAverage="0" equalAverage="0" bottom="0" percent="0" rank="0" text="" dxfId="1051">
      <formula>'1851'!$L$22</formula>
    </cfRule>
    <cfRule type="cellIs" priority="442" operator="lessThan" aboveAverage="0" equalAverage="0" bottom="0" percent="0" rank="0" text="" dxfId="1052">
      <formula>'1851'!$L$22</formula>
    </cfRule>
  </conditionalFormatting>
  <conditionalFormatting sqref="M23">
    <cfRule type="cellIs" priority="443" operator="equal" aboveAverage="0" equalAverage="0" bottom="0" percent="0" rank="0" text="" dxfId="1053">
      <formula>'1851'!$L$23</formula>
    </cfRule>
    <cfRule type="cellIs" priority="444" operator="lessThan" aboveAverage="0" equalAverage="0" bottom="0" percent="0" rank="0" text="" dxfId="1054">
      <formula>'1851'!$L$23</formula>
    </cfRule>
  </conditionalFormatting>
  <conditionalFormatting sqref="M24">
    <cfRule type="cellIs" priority="445" operator="equal" aboveAverage="0" equalAverage="0" bottom="0" percent="0" rank="0" text="" dxfId="1055">
      <formula>'1851'!$L$24</formula>
    </cfRule>
    <cfRule type="cellIs" priority="446" operator="lessThan" aboveAverage="0" equalAverage="0" bottom="0" percent="0" rank="0" text="" dxfId="1056">
      <formula>'1851'!$L$24</formula>
    </cfRule>
  </conditionalFormatting>
  <conditionalFormatting sqref="M25">
    <cfRule type="cellIs" priority="447" operator="equal" aboveAverage="0" equalAverage="0" bottom="0" percent="0" rank="0" text="" dxfId="1057">
      <formula>'1851'!$L$25</formula>
    </cfRule>
    <cfRule type="cellIs" priority="448" operator="lessThan" aboveAverage="0" equalAverage="0" bottom="0" percent="0" rank="0" text="" dxfId="1058">
      <formula>'1851'!$L$25</formula>
    </cfRule>
  </conditionalFormatting>
  <conditionalFormatting sqref="M26">
    <cfRule type="cellIs" priority="449" operator="equal" aboveAverage="0" equalAverage="0" bottom="0" percent="0" rank="0" text="" dxfId="1059">
      <formula>'1851'!$L$26</formula>
    </cfRule>
    <cfRule type="cellIs" priority="450" operator="lessThan" aboveAverage="0" equalAverage="0" bottom="0" percent="0" rank="0" text="" dxfId="1060">
      <formula>'1851'!$L$26</formula>
    </cfRule>
  </conditionalFormatting>
  <conditionalFormatting sqref="M27">
    <cfRule type="cellIs" priority="451" operator="equal" aboveAverage="0" equalAverage="0" bottom="0" percent="0" rank="0" text="" dxfId="1061">
      <formula>'1851'!$L$27</formula>
    </cfRule>
    <cfRule type="cellIs" priority="452" operator="lessThan" aboveAverage="0" equalAverage="0" bottom="0" percent="0" rank="0" text="" dxfId="1062">
      <formula>'1851'!$L$27</formula>
    </cfRule>
  </conditionalFormatting>
  <conditionalFormatting sqref="M28">
    <cfRule type="cellIs" priority="453" operator="equal" aboveAverage="0" equalAverage="0" bottom="0" percent="0" rank="0" text="" dxfId="1063">
      <formula>'1851'!$L$28</formula>
    </cfRule>
    <cfRule type="cellIs" priority="454" operator="lessThan" aboveAverage="0" equalAverage="0" bottom="0" percent="0" rank="0" text="" dxfId="1064">
      <formula>'1851'!$L$28</formula>
    </cfRule>
  </conditionalFormatting>
  <conditionalFormatting sqref="N4">
    <cfRule type="cellIs" priority="455" operator="lessThan" aboveAverage="0" equalAverage="0" bottom="0" percent="0" rank="0" text="" dxfId="1065">
      <formula>'1851'!$M$4</formula>
    </cfRule>
    <cfRule type="cellIs" priority="456" operator="equal" aboveAverage="0" equalAverage="0" bottom="0" percent="0" rank="0" text="" dxfId="1066">
      <formula>'1851'!$M$4</formula>
    </cfRule>
  </conditionalFormatting>
  <conditionalFormatting sqref="N5">
    <cfRule type="cellIs" priority="457" operator="equal" aboveAverage="0" equalAverage="0" bottom="0" percent="0" rank="0" text="" dxfId="1067">
      <formula>'1851'!$M$5</formula>
    </cfRule>
    <cfRule type="cellIs" priority="458" operator="lessThan" aboveAverage="0" equalAverage="0" bottom="0" percent="0" rank="0" text="" dxfId="1068">
      <formula>'1851'!$M$5</formula>
    </cfRule>
  </conditionalFormatting>
  <conditionalFormatting sqref="N6">
    <cfRule type="cellIs" priority="459" operator="equal" aboveAverage="0" equalAverage="0" bottom="0" percent="0" rank="0" text="" dxfId="1069">
      <formula>'1851'!$M$6</formula>
    </cfRule>
    <cfRule type="cellIs" priority="460" operator="lessThan" aboveAverage="0" equalAverage="0" bottom="0" percent="0" rank="0" text="" dxfId="1070">
      <formula>'1851'!$M$6</formula>
    </cfRule>
  </conditionalFormatting>
  <conditionalFormatting sqref="N7">
    <cfRule type="cellIs" priority="461" operator="equal" aboveAverage="0" equalAverage="0" bottom="0" percent="0" rank="0" text="" dxfId="1071">
      <formula>'1851'!$M$7</formula>
    </cfRule>
    <cfRule type="cellIs" priority="462" operator="lessThan" aboveAverage="0" equalAverage="0" bottom="0" percent="0" rank="0" text="" dxfId="1072">
      <formula>'1851'!$M$7</formula>
    </cfRule>
  </conditionalFormatting>
  <conditionalFormatting sqref="N8">
    <cfRule type="cellIs" priority="463" operator="equal" aboveAverage="0" equalAverage="0" bottom="0" percent="0" rank="0" text="" dxfId="1073">
      <formula>'1851'!$M$8</formula>
    </cfRule>
    <cfRule type="cellIs" priority="464" operator="lessThan" aboveAverage="0" equalAverage="0" bottom="0" percent="0" rank="0" text="" dxfId="1074">
      <formula>'1851'!$M$8</formula>
    </cfRule>
  </conditionalFormatting>
  <conditionalFormatting sqref="N9">
    <cfRule type="cellIs" priority="465" operator="equal" aboveAverage="0" equalAverage="0" bottom="0" percent="0" rank="0" text="" dxfId="1075">
      <formula>'1851'!$M$9</formula>
    </cfRule>
    <cfRule type="cellIs" priority="466" operator="lessThan" aboveAverage="0" equalAverage="0" bottom="0" percent="0" rank="0" text="" dxfId="1076">
      <formula>'1851'!$M$9</formula>
    </cfRule>
  </conditionalFormatting>
  <conditionalFormatting sqref="N10">
    <cfRule type="cellIs" priority="467" operator="equal" aboveAverage="0" equalAverage="0" bottom="0" percent="0" rank="0" text="" dxfId="1077">
      <formula>'1851'!$M$10</formula>
    </cfRule>
    <cfRule type="cellIs" priority="468" operator="lessThan" aboveAverage="0" equalAverage="0" bottom="0" percent="0" rank="0" text="" dxfId="1078">
      <formula>'1851'!$M$10</formula>
    </cfRule>
  </conditionalFormatting>
  <conditionalFormatting sqref="N11">
    <cfRule type="cellIs" priority="469" operator="equal" aboveAverage="0" equalAverage="0" bottom="0" percent="0" rank="0" text="" dxfId="1079">
      <formula>'1851'!$M$11</formula>
    </cfRule>
    <cfRule type="cellIs" priority="470" operator="lessThan" aboveAverage="0" equalAverage="0" bottom="0" percent="0" rank="0" text="" dxfId="1080">
      <formula>'1851'!$M$11</formula>
    </cfRule>
  </conditionalFormatting>
  <conditionalFormatting sqref="N12">
    <cfRule type="cellIs" priority="471" operator="equal" aboveAverage="0" equalAverage="0" bottom="0" percent="0" rank="0" text="" dxfId="1081">
      <formula>'1851'!$M$12</formula>
    </cfRule>
    <cfRule type="cellIs" priority="472" operator="lessThan" aboveAverage="0" equalAverage="0" bottom="0" percent="0" rank="0" text="" dxfId="1082">
      <formula>'1851'!$M$12</formula>
    </cfRule>
  </conditionalFormatting>
  <conditionalFormatting sqref="N13">
    <cfRule type="cellIs" priority="473" operator="equal" aboveAverage="0" equalAverage="0" bottom="0" percent="0" rank="0" text="" dxfId="1083">
      <formula>'1851'!$M$13</formula>
    </cfRule>
    <cfRule type="cellIs" priority="474" operator="lessThan" aboveAverage="0" equalAverage="0" bottom="0" percent="0" rank="0" text="" dxfId="1084">
      <formula>'1851'!$M$13</formula>
    </cfRule>
  </conditionalFormatting>
  <conditionalFormatting sqref="N14">
    <cfRule type="cellIs" priority="475" operator="equal" aboveAverage="0" equalAverage="0" bottom="0" percent="0" rank="0" text="" dxfId="1085">
      <formula>'1851'!$M$14</formula>
    </cfRule>
    <cfRule type="cellIs" priority="476" operator="lessThan" aboveAverage="0" equalAverage="0" bottom="0" percent="0" rank="0" text="" dxfId="1086">
      <formula>'1851'!$M$14</formula>
    </cfRule>
  </conditionalFormatting>
  <conditionalFormatting sqref="N15">
    <cfRule type="cellIs" priority="477" operator="equal" aboveAverage="0" equalAverage="0" bottom="0" percent="0" rank="0" text="" dxfId="1087">
      <formula>'1851'!$M$15</formula>
    </cfRule>
    <cfRule type="cellIs" priority="478" operator="lessThan" aboveAverage="0" equalAverage="0" bottom="0" percent="0" rank="0" text="" dxfId="1088">
      <formula>'1851'!$M$15</formula>
    </cfRule>
  </conditionalFormatting>
  <conditionalFormatting sqref="N16">
    <cfRule type="cellIs" priority="479" operator="equal" aboveAverage="0" equalAverage="0" bottom="0" percent="0" rank="0" text="" dxfId="1089">
      <formula>'1851'!$M$16</formula>
    </cfRule>
    <cfRule type="cellIs" priority="480" operator="lessThan" aboveAverage="0" equalAverage="0" bottom="0" percent="0" rank="0" text="" dxfId="1090">
      <formula>'1851'!$M$16</formula>
    </cfRule>
  </conditionalFormatting>
  <conditionalFormatting sqref="N17">
    <cfRule type="cellIs" priority="481" operator="equal" aboveAverage="0" equalAverage="0" bottom="0" percent="0" rank="0" text="" dxfId="1091">
      <formula>'1851'!$M$17</formula>
    </cfRule>
    <cfRule type="cellIs" priority="482" operator="lessThan" aboveAverage="0" equalAverage="0" bottom="0" percent="0" rank="0" text="" dxfId="1092">
      <formula>'1851'!$M$17</formula>
    </cfRule>
  </conditionalFormatting>
  <conditionalFormatting sqref="N18">
    <cfRule type="cellIs" priority="483" operator="equal" aboveAverage="0" equalAverage="0" bottom="0" percent="0" rank="0" text="" dxfId="1093">
      <formula>'1851'!$M$18</formula>
    </cfRule>
    <cfRule type="cellIs" priority="484" operator="lessThan" aboveAverage="0" equalAverage="0" bottom="0" percent="0" rank="0" text="" dxfId="1094">
      <formula>'1851'!$M$18</formula>
    </cfRule>
  </conditionalFormatting>
  <conditionalFormatting sqref="N19">
    <cfRule type="cellIs" priority="485" operator="equal" aboveAverage="0" equalAverage="0" bottom="0" percent="0" rank="0" text="" dxfId="1095">
      <formula>'1851'!$M$19</formula>
    </cfRule>
    <cfRule type="cellIs" priority="486" operator="lessThan" aboveAverage="0" equalAverage="0" bottom="0" percent="0" rank="0" text="" dxfId="1096">
      <formula>'1851'!$M$19</formula>
    </cfRule>
  </conditionalFormatting>
  <conditionalFormatting sqref="N20">
    <cfRule type="cellIs" priority="487" operator="equal" aboveAverage="0" equalAverage="0" bottom="0" percent="0" rank="0" text="" dxfId="1097">
      <formula>'1851'!$M$20</formula>
    </cfRule>
    <cfRule type="cellIs" priority="488" operator="lessThan" aboveAverage="0" equalAverage="0" bottom="0" percent="0" rank="0" text="" dxfId="1098">
      <formula>'1851'!$M$20</formula>
    </cfRule>
  </conditionalFormatting>
  <conditionalFormatting sqref="N21">
    <cfRule type="cellIs" priority="489" operator="equal" aboveAverage="0" equalAverage="0" bottom="0" percent="0" rank="0" text="" dxfId="1099">
      <formula>'1851'!$M$21</formula>
    </cfRule>
    <cfRule type="cellIs" priority="490" operator="lessThan" aboveAverage="0" equalAverage="0" bottom="0" percent="0" rank="0" text="" dxfId="1100">
      <formula>'1851'!$M$21</formula>
    </cfRule>
  </conditionalFormatting>
  <conditionalFormatting sqref="N22">
    <cfRule type="cellIs" priority="491" operator="equal" aboveAverage="0" equalAverage="0" bottom="0" percent="0" rank="0" text="" dxfId="1101">
      <formula>'1851'!$M$22</formula>
    </cfRule>
    <cfRule type="cellIs" priority="492" operator="lessThan" aboveAverage="0" equalAverage="0" bottom="0" percent="0" rank="0" text="" dxfId="1102">
      <formula>'1851'!$M$22</formula>
    </cfRule>
  </conditionalFormatting>
  <conditionalFormatting sqref="N23">
    <cfRule type="cellIs" priority="493" operator="equal" aboveAverage="0" equalAverage="0" bottom="0" percent="0" rank="0" text="" dxfId="1103">
      <formula>'1851'!$M$23</formula>
    </cfRule>
    <cfRule type="cellIs" priority="494" operator="lessThan" aboveAverage="0" equalAverage="0" bottom="0" percent="0" rank="0" text="" dxfId="1104">
      <formula>'1851'!$M$23</formula>
    </cfRule>
  </conditionalFormatting>
  <conditionalFormatting sqref="N24">
    <cfRule type="cellIs" priority="495" operator="equal" aboveAverage="0" equalAverage="0" bottom="0" percent="0" rank="0" text="" dxfId="1105">
      <formula>'1851'!$M$24</formula>
    </cfRule>
    <cfRule type="cellIs" priority="496" operator="lessThan" aboveAverage="0" equalAverage="0" bottom="0" percent="0" rank="0" text="" dxfId="1106">
      <formula>'1851'!$M$24</formula>
    </cfRule>
  </conditionalFormatting>
  <conditionalFormatting sqref="N25">
    <cfRule type="cellIs" priority="497" operator="equal" aboveAverage="0" equalAverage="0" bottom="0" percent="0" rank="0" text="" dxfId="1107">
      <formula>'1851'!$M$25</formula>
    </cfRule>
    <cfRule type="cellIs" priority="498" operator="lessThan" aboveAverage="0" equalAverage="0" bottom="0" percent="0" rank="0" text="" dxfId="1108">
      <formula>'1851'!$M$25</formula>
    </cfRule>
  </conditionalFormatting>
  <conditionalFormatting sqref="N26">
    <cfRule type="cellIs" priority="499" operator="equal" aboveAverage="0" equalAverage="0" bottom="0" percent="0" rank="0" text="" dxfId="1109">
      <formula>'1851'!$M$26</formula>
    </cfRule>
    <cfRule type="cellIs" priority="500" operator="lessThan" aboveAverage="0" equalAverage="0" bottom="0" percent="0" rank="0" text="" dxfId="1110">
      <formula>'1851'!$M$26</formula>
    </cfRule>
  </conditionalFormatting>
  <conditionalFormatting sqref="N27">
    <cfRule type="cellIs" priority="501" operator="equal" aboveAverage="0" equalAverage="0" bottom="0" percent="0" rank="0" text="" dxfId="1111">
      <formula>'1851'!$M$27</formula>
    </cfRule>
    <cfRule type="cellIs" priority="502" operator="lessThan" aboveAverage="0" equalAverage="0" bottom="0" percent="0" rank="0" text="" dxfId="1112">
      <formula>'1851'!$M$27</formula>
    </cfRule>
  </conditionalFormatting>
  <conditionalFormatting sqref="N28">
    <cfRule type="cellIs" priority="503" operator="equal" aboveAverage="0" equalAverage="0" bottom="0" percent="0" rank="0" text="" dxfId="1113">
      <formula>'1851'!$M$28</formula>
    </cfRule>
    <cfRule type="cellIs" priority="504" operator="lessThan" aboveAverage="0" equalAverage="0" bottom="0" percent="0" rank="0" text="" dxfId="1114">
      <formula>'1851'!$M$28</formula>
    </cfRule>
  </conditionalFormatting>
  <conditionalFormatting sqref="O4">
    <cfRule type="cellIs" priority="505" operator="equal" aboveAverage="0" equalAverage="0" bottom="0" percent="0" rank="0" text="" dxfId="1115">
      <formula>'1851'!$N$4</formula>
    </cfRule>
    <cfRule type="cellIs" priority="506" operator="lessThan" aboveAverage="0" equalAverage="0" bottom="0" percent="0" rank="0" text="" dxfId="1116">
      <formula>'1851'!$N$4</formula>
    </cfRule>
  </conditionalFormatting>
  <conditionalFormatting sqref="O5">
    <cfRule type="cellIs" priority="507" operator="equal" aboveAverage="0" equalAverage="0" bottom="0" percent="0" rank="0" text="" dxfId="1117">
      <formula>'1851'!$N$5</formula>
    </cfRule>
    <cfRule type="cellIs" priority="508" operator="lessThan" aboveAverage="0" equalAverage="0" bottom="0" percent="0" rank="0" text="" dxfId="1118">
      <formula>'1851'!$N$5</formula>
    </cfRule>
  </conditionalFormatting>
  <conditionalFormatting sqref="O6">
    <cfRule type="cellIs" priority="509" operator="equal" aboveAverage="0" equalAverage="0" bottom="0" percent="0" rank="0" text="" dxfId="1119">
      <formula>'1851'!$N$6</formula>
    </cfRule>
    <cfRule type="cellIs" priority="510" operator="lessThan" aboveAverage="0" equalAverage="0" bottom="0" percent="0" rank="0" text="" dxfId="1120">
      <formula>'1851'!$N$6</formula>
    </cfRule>
  </conditionalFormatting>
  <conditionalFormatting sqref="O7">
    <cfRule type="cellIs" priority="511" operator="equal" aboveAverage="0" equalAverage="0" bottom="0" percent="0" rank="0" text="" dxfId="1121">
      <formula>'1851'!$N$7</formula>
    </cfRule>
    <cfRule type="cellIs" priority="512" operator="lessThan" aboveAverage="0" equalAverage="0" bottom="0" percent="0" rank="0" text="" dxfId="1122">
      <formula>'1851'!$N$7</formula>
    </cfRule>
  </conditionalFormatting>
  <conditionalFormatting sqref="O8">
    <cfRule type="cellIs" priority="513" operator="equal" aboveAverage="0" equalAverage="0" bottom="0" percent="0" rank="0" text="" dxfId="1123">
      <formula>'1851'!$N$8</formula>
    </cfRule>
    <cfRule type="cellIs" priority="514" operator="lessThan" aboveAverage="0" equalAverage="0" bottom="0" percent="0" rank="0" text="" dxfId="1124">
      <formula>'1851'!$N$8</formula>
    </cfRule>
  </conditionalFormatting>
  <conditionalFormatting sqref="O9">
    <cfRule type="cellIs" priority="515" operator="equal" aboveAverage="0" equalAverage="0" bottom="0" percent="0" rank="0" text="" dxfId="1125">
      <formula>'1851'!$N$9</formula>
    </cfRule>
    <cfRule type="cellIs" priority="516" operator="lessThan" aboveAverage="0" equalAverage="0" bottom="0" percent="0" rank="0" text="" dxfId="1126">
      <formula>'1851'!$N$9</formula>
    </cfRule>
  </conditionalFormatting>
  <conditionalFormatting sqref="O10">
    <cfRule type="cellIs" priority="517" operator="equal" aboveAverage="0" equalAverage="0" bottom="0" percent="0" rank="0" text="" dxfId="1127">
      <formula>'1851'!$N$10</formula>
    </cfRule>
    <cfRule type="cellIs" priority="518" operator="lessThan" aboveAverage="0" equalAverage="0" bottom="0" percent="0" rank="0" text="" dxfId="1128">
      <formula>'1851'!$N$10</formula>
    </cfRule>
  </conditionalFormatting>
  <conditionalFormatting sqref="O11">
    <cfRule type="cellIs" priority="519" operator="equal" aboveAverage="0" equalAverage="0" bottom="0" percent="0" rank="0" text="" dxfId="1129">
      <formula>'1851'!$N$11</formula>
    </cfRule>
    <cfRule type="cellIs" priority="520" operator="lessThan" aboveAverage="0" equalAverage="0" bottom="0" percent="0" rank="0" text="" dxfId="1130">
      <formula>'1851'!$N$11</formula>
    </cfRule>
  </conditionalFormatting>
  <conditionalFormatting sqref="O12">
    <cfRule type="cellIs" priority="521" operator="equal" aboveAverage="0" equalAverage="0" bottom="0" percent="0" rank="0" text="" dxfId="1131">
      <formula>'1851'!$N$12</formula>
    </cfRule>
    <cfRule type="cellIs" priority="522" operator="lessThan" aboveAverage="0" equalAverage="0" bottom="0" percent="0" rank="0" text="" dxfId="1132">
      <formula>'1851'!$N$12</formula>
    </cfRule>
  </conditionalFormatting>
  <conditionalFormatting sqref="O13">
    <cfRule type="cellIs" priority="523" operator="equal" aboveAverage="0" equalAverage="0" bottom="0" percent="0" rank="0" text="" dxfId="1133">
      <formula>'1851'!$N$13</formula>
    </cfRule>
    <cfRule type="cellIs" priority="524" operator="lessThan" aboveAverage="0" equalAverage="0" bottom="0" percent="0" rank="0" text="" dxfId="1134">
      <formula>'1851'!$N$13</formula>
    </cfRule>
  </conditionalFormatting>
  <conditionalFormatting sqref="O14">
    <cfRule type="cellIs" priority="525" operator="equal" aboveAverage="0" equalAverage="0" bottom="0" percent="0" rank="0" text="" dxfId="1135">
      <formula>'1851'!$N$14</formula>
    </cfRule>
    <cfRule type="cellIs" priority="526" operator="lessThan" aboveAverage="0" equalAverage="0" bottom="0" percent="0" rank="0" text="" dxfId="1136">
      <formula>'1851'!$N$14</formula>
    </cfRule>
  </conditionalFormatting>
  <conditionalFormatting sqref="O15">
    <cfRule type="cellIs" priority="527" operator="equal" aboveAverage="0" equalAverage="0" bottom="0" percent="0" rank="0" text="" dxfId="1137">
      <formula>'1851'!$N$15</formula>
    </cfRule>
    <cfRule type="cellIs" priority="528" operator="lessThan" aboveAverage="0" equalAverage="0" bottom="0" percent="0" rank="0" text="" dxfId="1138">
      <formula>'1851'!$N$15</formula>
    </cfRule>
  </conditionalFormatting>
  <conditionalFormatting sqref="O16">
    <cfRule type="cellIs" priority="529" operator="equal" aboveAverage="0" equalAverage="0" bottom="0" percent="0" rank="0" text="" dxfId="1139">
      <formula>'1851'!$N$16</formula>
    </cfRule>
    <cfRule type="cellIs" priority="530" operator="lessThan" aboveAverage="0" equalAverage="0" bottom="0" percent="0" rank="0" text="" dxfId="1140">
      <formula>'1851'!$N$16</formula>
    </cfRule>
  </conditionalFormatting>
  <conditionalFormatting sqref="O17">
    <cfRule type="cellIs" priority="531" operator="equal" aboveAverage="0" equalAverage="0" bottom="0" percent="0" rank="0" text="" dxfId="1141">
      <formula>'1851'!$N$17</formula>
    </cfRule>
    <cfRule type="cellIs" priority="532" operator="lessThan" aboveAverage="0" equalAverage="0" bottom="0" percent="0" rank="0" text="" dxfId="1142">
      <formula>'1851'!$N$17</formula>
    </cfRule>
  </conditionalFormatting>
  <conditionalFormatting sqref="O18">
    <cfRule type="cellIs" priority="533" operator="equal" aboveAverage="0" equalAverage="0" bottom="0" percent="0" rank="0" text="" dxfId="1143">
      <formula>'1851'!$N$18</formula>
    </cfRule>
    <cfRule type="cellIs" priority="534" operator="lessThan" aboveAverage="0" equalAverage="0" bottom="0" percent="0" rank="0" text="" dxfId="1144">
      <formula>'1851'!$N$18</formula>
    </cfRule>
  </conditionalFormatting>
  <conditionalFormatting sqref="O19">
    <cfRule type="cellIs" priority="535" operator="equal" aboveAverage="0" equalAverage="0" bottom="0" percent="0" rank="0" text="" dxfId="1145">
      <formula>'1851'!$N$19</formula>
    </cfRule>
    <cfRule type="cellIs" priority="536" operator="lessThan" aboveAverage="0" equalAverage="0" bottom="0" percent="0" rank="0" text="" dxfId="1146">
      <formula>'1851'!$N$19</formula>
    </cfRule>
  </conditionalFormatting>
  <conditionalFormatting sqref="O20">
    <cfRule type="cellIs" priority="537" operator="equal" aboveAverage="0" equalAverage="0" bottom="0" percent="0" rank="0" text="" dxfId="1147">
      <formula>'1851'!$N$20</formula>
    </cfRule>
    <cfRule type="cellIs" priority="538" operator="lessThan" aboveAverage="0" equalAverage="0" bottom="0" percent="0" rank="0" text="" dxfId="1148">
      <formula>'1851'!$N$20</formula>
    </cfRule>
  </conditionalFormatting>
  <conditionalFormatting sqref="O21">
    <cfRule type="cellIs" priority="539" operator="equal" aboveAverage="0" equalAverage="0" bottom="0" percent="0" rank="0" text="" dxfId="1149">
      <formula>'1851'!$N$21</formula>
    </cfRule>
    <cfRule type="cellIs" priority="540" operator="lessThan" aboveAverage="0" equalAverage="0" bottom="0" percent="0" rank="0" text="" dxfId="1150">
      <formula>'1851'!$N$21</formula>
    </cfRule>
  </conditionalFormatting>
  <conditionalFormatting sqref="O22">
    <cfRule type="cellIs" priority="541" operator="equal" aboveAverage="0" equalAverage="0" bottom="0" percent="0" rank="0" text="" dxfId="1151">
      <formula>'1851'!$N$22</formula>
    </cfRule>
    <cfRule type="cellIs" priority="542" operator="lessThan" aboveAverage="0" equalAverage="0" bottom="0" percent="0" rank="0" text="" dxfId="1152">
      <formula>'1851'!$N$22</formula>
    </cfRule>
  </conditionalFormatting>
  <conditionalFormatting sqref="O23">
    <cfRule type="cellIs" priority="543" operator="equal" aboveAverage="0" equalAverage="0" bottom="0" percent="0" rank="0" text="" dxfId="1153">
      <formula>'1851'!$N$23</formula>
    </cfRule>
    <cfRule type="cellIs" priority="544" operator="lessThan" aboveAverage="0" equalAverage="0" bottom="0" percent="0" rank="0" text="" dxfId="1154">
      <formula>'1851'!$N$23</formula>
    </cfRule>
  </conditionalFormatting>
  <conditionalFormatting sqref="O24">
    <cfRule type="cellIs" priority="545" operator="equal" aboveAverage="0" equalAverage="0" bottom="0" percent="0" rank="0" text="" dxfId="1155">
      <formula>'1851'!$N$24</formula>
    </cfRule>
    <cfRule type="cellIs" priority="546" operator="lessThan" aboveAverage="0" equalAverage="0" bottom="0" percent="0" rank="0" text="" dxfId="1156">
      <formula>'1851'!$N$24</formula>
    </cfRule>
  </conditionalFormatting>
  <conditionalFormatting sqref="O25">
    <cfRule type="cellIs" priority="547" operator="equal" aboveAverage="0" equalAverage="0" bottom="0" percent="0" rank="0" text="" dxfId="1157">
      <formula>'1851'!$N$25</formula>
    </cfRule>
    <cfRule type="cellIs" priority="548" operator="lessThan" aboveAverage="0" equalAverage="0" bottom="0" percent="0" rank="0" text="" dxfId="1158">
      <formula>'1851'!$N$25</formula>
    </cfRule>
  </conditionalFormatting>
  <conditionalFormatting sqref="O26">
    <cfRule type="cellIs" priority="549" operator="equal" aboveAverage="0" equalAverage="0" bottom="0" percent="0" rank="0" text="" dxfId="1159">
      <formula>'1851'!$N$26</formula>
    </cfRule>
    <cfRule type="cellIs" priority="550" operator="lessThan" aboveAverage="0" equalAverage="0" bottom="0" percent="0" rank="0" text="" dxfId="1160">
      <formula>'1851'!$N$26</formula>
    </cfRule>
  </conditionalFormatting>
  <conditionalFormatting sqref="O27">
    <cfRule type="cellIs" priority="551" operator="equal" aboveAverage="0" equalAverage="0" bottom="0" percent="0" rank="0" text="" dxfId="1161">
      <formula>'1851'!$N$27</formula>
    </cfRule>
    <cfRule type="cellIs" priority="552" operator="lessThan" aboveAverage="0" equalAverage="0" bottom="0" percent="0" rank="0" text="" dxfId="1162">
      <formula>'1851'!$N$27</formula>
    </cfRule>
  </conditionalFormatting>
  <conditionalFormatting sqref="O28">
    <cfRule type="cellIs" priority="553" operator="equal" aboveAverage="0" equalAverage="0" bottom="0" percent="0" rank="0" text="" dxfId="1163">
      <formula>'1851'!$N$28</formula>
    </cfRule>
    <cfRule type="cellIs" priority="554" operator="lessThan" aboveAverage="0" equalAverage="0" bottom="0" percent="0" rank="0" text="" dxfId="1164">
      <formula>'1851'!$N$28</formula>
    </cfRule>
  </conditionalFormatting>
  <conditionalFormatting sqref="P4">
    <cfRule type="cellIs" priority="555" operator="equal" aboveAverage="0" equalAverage="0" bottom="0" percent="0" rank="0" text="" dxfId="1165">
      <formula>'1851'!$O$4</formula>
    </cfRule>
    <cfRule type="cellIs" priority="556" operator="lessThan" aboveAverage="0" equalAverage="0" bottom="0" percent="0" rank="0" text="" dxfId="1166">
      <formula>'1851'!$O$4</formula>
    </cfRule>
  </conditionalFormatting>
  <conditionalFormatting sqref="P5">
    <cfRule type="cellIs" priority="557" operator="equal" aboveAverage="0" equalAverage="0" bottom="0" percent="0" rank="0" text="" dxfId="1167">
      <formula>'1851'!$O$5</formula>
    </cfRule>
    <cfRule type="cellIs" priority="558" operator="lessThan" aboveAverage="0" equalAverage="0" bottom="0" percent="0" rank="0" text="" dxfId="1168">
      <formula>'1851'!$O$5</formula>
    </cfRule>
  </conditionalFormatting>
  <conditionalFormatting sqref="P6">
    <cfRule type="cellIs" priority="559" operator="equal" aboveAverage="0" equalAverage="0" bottom="0" percent="0" rank="0" text="" dxfId="1169">
      <formula>'1851'!$O$6</formula>
    </cfRule>
    <cfRule type="cellIs" priority="560" operator="lessThan" aboveAverage="0" equalAverage="0" bottom="0" percent="0" rank="0" text="" dxfId="1170">
      <formula>'1851'!$O$6</formula>
    </cfRule>
  </conditionalFormatting>
  <conditionalFormatting sqref="P7">
    <cfRule type="cellIs" priority="561" operator="equal" aboveAverage="0" equalAverage="0" bottom="0" percent="0" rank="0" text="" dxfId="1171">
      <formula>'1851'!$O$7</formula>
    </cfRule>
    <cfRule type="cellIs" priority="562" operator="lessThan" aboveAverage="0" equalAverage="0" bottom="0" percent="0" rank="0" text="" dxfId="1172">
      <formula>'1851'!$O$7</formula>
    </cfRule>
  </conditionalFormatting>
  <conditionalFormatting sqref="P8">
    <cfRule type="cellIs" priority="563" operator="equal" aboveAverage="0" equalAverage="0" bottom="0" percent="0" rank="0" text="" dxfId="1173">
      <formula>'1851'!$O$8</formula>
    </cfRule>
    <cfRule type="cellIs" priority="564" operator="lessThan" aboveAverage="0" equalAverage="0" bottom="0" percent="0" rank="0" text="" dxfId="1174">
      <formula>'1851'!$O$8</formula>
    </cfRule>
  </conditionalFormatting>
  <conditionalFormatting sqref="P9">
    <cfRule type="cellIs" priority="565" operator="equal" aboveAverage="0" equalAverage="0" bottom="0" percent="0" rank="0" text="" dxfId="1175">
      <formula>'1851'!$O$9</formula>
    </cfRule>
    <cfRule type="cellIs" priority="566" operator="lessThan" aboveAverage="0" equalAverage="0" bottom="0" percent="0" rank="0" text="" dxfId="1176">
      <formula>'1851'!$O$9</formula>
    </cfRule>
  </conditionalFormatting>
  <conditionalFormatting sqref="P10">
    <cfRule type="cellIs" priority="567" operator="equal" aboveAverage="0" equalAverage="0" bottom="0" percent="0" rank="0" text="" dxfId="1177">
      <formula>'1851'!$O$10</formula>
    </cfRule>
    <cfRule type="cellIs" priority="568" operator="lessThan" aboveAverage="0" equalAverage="0" bottom="0" percent="0" rank="0" text="" dxfId="1178">
      <formula>'1851'!$O$10</formula>
    </cfRule>
  </conditionalFormatting>
  <conditionalFormatting sqref="P11">
    <cfRule type="cellIs" priority="569" operator="equal" aboveAverage="0" equalAverage="0" bottom="0" percent="0" rank="0" text="" dxfId="1179">
      <formula>'1851'!$O$11</formula>
    </cfRule>
    <cfRule type="cellIs" priority="570" operator="lessThan" aboveAverage="0" equalAverage="0" bottom="0" percent="0" rank="0" text="" dxfId="1180">
      <formula>'1851'!$O$11</formula>
    </cfRule>
  </conditionalFormatting>
  <conditionalFormatting sqref="P12">
    <cfRule type="cellIs" priority="571" operator="equal" aboveAverage="0" equalAverage="0" bottom="0" percent="0" rank="0" text="" dxfId="1181">
      <formula>'1851'!$O$12</formula>
    </cfRule>
    <cfRule type="cellIs" priority="572" operator="lessThan" aboveAverage="0" equalAverage="0" bottom="0" percent="0" rank="0" text="" dxfId="1182">
      <formula>'1851'!$O$12</formula>
    </cfRule>
  </conditionalFormatting>
  <conditionalFormatting sqref="P13">
    <cfRule type="cellIs" priority="573" operator="equal" aboveAverage="0" equalAverage="0" bottom="0" percent="0" rank="0" text="" dxfId="1183">
      <formula>'1851'!$O$13</formula>
    </cfRule>
    <cfRule type="cellIs" priority="574" operator="lessThan" aboveAverage="0" equalAverage="0" bottom="0" percent="0" rank="0" text="" dxfId="1184">
      <formula>'1851'!$O$13</formula>
    </cfRule>
  </conditionalFormatting>
  <conditionalFormatting sqref="P14">
    <cfRule type="cellIs" priority="575" operator="equal" aboveAverage="0" equalAverage="0" bottom="0" percent="0" rank="0" text="" dxfId="1185">
      <formula>'1851'!$O$14</formula>
    </cfRule>
    <cfRule type="cellIs" priority="576" operator="lessThan" aboveAverage="0" equalAverage="0" bottom="0" percent="0" rank="0" text="" dxfId="1186">
      <formula>'1851'!$O$14</formula>
    </cfRule>
  </conditionalFormatting>
  <conditionalFormatting sqref="P15">
    <cfRule type="cellIs" priority="577" operator="equal" aboveAverage="0" equalAverage="0" bottom="0" percent="0" rank="0" text="" dxfId="1187">
      <formula>'1851'!$O$15</formula>
    </cfRule>
    <cfRule type="cellIs" priority="578" operator="lessThan" aboveAverage="0" equalAverage="0" bottom="0" percent="0" rank="0" text="" dxfId="1188">
      <formula>'1851'!$O$15</formula>
    </cfRule>
  </conditionalFormatting>
  <conditionalFormatting sqref="P16">
    <cfRule type="cellIs" priority="579" operator="equal" aboveAverage="0" equalAverage="0" bottom="0" percent="0" rank="0" text="" dxfId="1189">
      <formula>'1851'!$O$16</formula>
    </cfRule>
    <cfRule type="cellIs" priority="580" operator="lessThan" aboveAverage="0" equalAverage="0" bottom="0" percent="0" rank="0" text="" dxfId="1190">
      <formula>'1851'!$O$16</formula>
    </cfRule>
  </conditionalFormatting>
  <conditionalFormatting sqref="P17">
    <cfRule type="cellIs" priority="581" operator="equal" aboveAverage="0" equalAverage="0" bottom="0" percent="0" rank="0" text="" dxfId="1191">
      <formula>'1851'!$O$17</formula>
    </cfRule>
    <cfRule type="cellIs" priority="582" operator="lessThan" aboveAverage="0" equalAverage="0" bottom="0" percent="0" rank="0" text="" dxfId="1192">
      <formula>'1851'!$O$17</formula>
    </cfRule>
  </conditionalFormatting>
  <conditionalFormatting sqref="P18">
    <cfRule type="cellIs" priority="583" operator="equal" aboveAverage="0" equalAverage="0" bottom="0" percent="0" rank="0" text="" dxfId="1193">
      <formula>'1851'!$O$18</formula>
    </cfRule>
    <cfRule type="cellIs" priority="584" operator="lessThan" aboveAverage="0" equalAverage="0" bottom="0" percent="0" rank="0" text="" dxfId="1194">
      <formula>'1851'!$O$18</formula>
    </cfRule>
  </conditionalFormatting>
  <conditionalFormatting sqref="P19">
    <cfRule type="cellIs" priority="585" operator="equal" aboveAverage="0" equalAverage="0" bottom="0" percent="0" rank="0" text="" dxfId="1195">
      <formula>'1851'!$O$19</formula>
    </cfRule>
    <cfRule type="cellIs" priority="586" operator="lessThan" aboveAverage="0" equalAverage="0" bottom="0" percent="0" rank="0" text="" dxfId="1196">
      <formula>'1851'!$O$19</formula>
    </cfRule>
  </conditionalFormatting>
  <conditionalFormatting sqref="P20">
    <cfRule type="cellIs" priority="587" operator="equal" aboveAverage="0" equalAverage="0" bottom="0" percent="0" rank="0" text="" dxfId="1197">
      <formula>'1851'!$O$20</formula>
    </cfRule>
    <cfRule type="cellIs" priority="588" operator="lessThan" aboveAverage="0" equalAverage="0" bottom="0" percent="0" rank="0" text="" dxfId="1198">
      <formula>'1851'!$O$20</formula>
    </cfRule>
  </conditionalFormatting>
  <conditionalFormatting sqref="P21">
    <cfRule type="cellIs" priority="589" operator="equal" aboveAverage="0" equalAverage="0" bottom="0" percent="0" rank="0" text="" dxfId="1199">
      <formula>'1851'!$O$21</formula>
    </cfRule>
    <cfRule type="cellIs" priority="590" operator="lessThan" aboveAverage="0" equalAverage="0" bottom="0" percent="0" rank="0" text="" dxfId="1200">
      <formula>'1851'!$O$21</formula>
    </cfRule>
  </conditionalFormatting>
  <conditionalFormatting sqref="P22">
    <cfRule type="cellIs" priority="591" operator="equal" aboveAverage="0" equalAverage="0" bottom="0" percent="0" rank="0" text="" dxfId="1201">
      <formula>'1851'!$O$22</formula>
    </cfRule>
    <cfRule type="cellIs" priority="592" operator="lessThan" aboveAverage="0" equalAverage="0" bottom="0" percent="0" rank="0" text="" dxfId="1202">
      <formula>'1851'!$O$22</formula>
    </cfRule>
  </conditionalFormatting>
  <conditionalFormatting sqref="P23">
    <cfRule type="cellIs" priority="593" operator="equal" aboveAverage="0" equalAverage="0" bottom="0" percent="0" rank="0" text="" dxfId="1203">
      <formula>'1851'!$O$23</formula>
    </cfRule>
    <cfRule type="cellIs" priority="594" operator="lessThan" aboveAverage="0" equalAverage="0" bottom="0" percent="0" rank="0" text="" dxfId="1204">
      <formula>'1851'!$O$23</formula>
    </cfRule>
  </conditionalFormatting>
  <conditionalFormatting sqref="P24">
    <cfRule type="cellIs" priority="595" operator="equal" aboveAverage="0" equalAverage="0" bottom="0" percent="0" rank="0" text="" dxfId="1205">
      <formula>'1851'!$O$24</formula>
    </cfRule>
    <cfRule type="cellIs" priority="596" operator="lessThan" aboveAverage="0" equalAverage="0" bottom="0" percent="0" rank="0" text="" dxfId="1206">
      <formula>'1851'!$O$24</formula>
    </cfRule>
  </conditionalFormatting>
  <conditionalFormatting sqref="P25">
    <cfRule type="cellIs" priority="597" operator="equal" aboveAverage="0" equalAverage="0" bottom="0" percent="0" rank="0" text="" dxfId="1207">
      <formula>'1851'!$O$25</formula>
    </cfRule>
    <cfRule type="cellIs" priority="598" operator="lessThan" aboveAverage="0" equalAverage="0" bottom="0" percent="0" rank="0" text="" dxfId="1208">
      <formula>'1851'!$O$25</formula>
    </cfRule>
  </conditionalFormatting>
  <conditionalFormatting sqref="P26">
    <cfRule type="cellIs" priority="599" operator="equal" aboveAverage="0" equalAverage="0" bottom="0" percent="0" rank="0" text="" dxfId="1209">
      <formula>'1851'!$O$26</formula>
    </cfRule>
    <cfRule type="cellIs" priority="600" operator="lessThan" aboveAverage="0" equalAverage="0" bottom="0" percent="0" rank="0" text="" dxfId="1210">
      <formula>'1851'!$O$26</formula>
    </cfRule>
  </conditionalFormatting>
  <conditionalFormatting sqref="P27">
    <cfRule type="cellIs" priority="601" operator="equal" aboveAverage="0" equalAverage="0" bottom="0" percent="0" rank="0" text="" dxfId="1211">
      <formula>'1851'!$O$27</formula>
    </cfRule>
    <cfRule type="cellIs" priority="602" operator="lessThan" aboveAverage="0" equalAverage="0" bottom="0" percent="0" rank="0" text="" dxfId="1212">
      <formula>'1851'!$O$27</formula>
    </cfRule>
  </conditionalFormatting>
  <conditionalFormatting sqref="P28">
    <cfRule type="cellIs" priority="603" operator="equal" aboveAverage="0" equalAverage="0" bottom="0" percent="0" rank="0" text="" dxfId="1213">
      <formula>'1851'!$O$28</formula>
    </cfRule>
    <cfRule type="cellIs" priority="604" operator="lessThan" aboveAverage="0" equalAverage="0" bottom="0" percent="0" rank="0" text="" dxfId="1214">
      <formula>'1851'!$O$28</formula>
    </cfRule>
  </conditionalFormatting>
  <printOptions headings="false" gridLines="false" gridLinesSet="true" horizontalCentered="false" verticalCentered="false"/>
  <pageMargins left="0.433333333333333" right="0.275694444444444" top="0.275694444444444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2" man="true" max="65535" min="0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0" width="26.15"/>
    <col collapsed="false" customWidth="true" hidden="false" outlineLevel="0" max="15" min="3" style="0" width="10.14"/>
    <col collapsed="false" customWidth="true" hidden="false" outlineLevel="0" max="16" min="16" style="0" width="9.29"/>
    <col collapsed="false" customWidth="true" hidden="false" outlineLevel="0" max="19" min="19" style="0" width="3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1852</v>
      </c>
      <c r="B2" s="3"/>
      <c r="C2" s="4" t="n">
        <f aca="false">'1850'!C2</f>
        <v>44562</v>
      </c>
      <c r="D2" s="4" t="n">
        <f aca="false">'1850'!D2</f>
        <v>44593</v>
      </c>
      <c r="E2" s="4" t="n">
        <f aca="false">'1850'!E2</f>
        <v>44622</v>
      </c>
      <c r="F2" s="4" t="n">
        <f aca="false">'1850'!F2</f>
        <v>44652</v>
      </c>
      <c r="G2" s="4" t="n">
        <f aca="false">'1850'!G2</f>
        <v>44683</v>
      </c>
      <c r="H2" s="4" t="n">
        <f aca="false">'1850'!H2</f>
        <v>44713</v>
      </c>
      <c r="I2" s="4" t="n">
        <f aca="false">'1850'!I2</f>
        <v>44743</v>
      </c>
      <c r="J2" s="4" t="n">
        <f aca="false">'1850'!J2</f>
        <v>44774</v>
      </c>
      <c r="K2" s="4" t="n">
        <f aca="false">'1850'!K2</f>
        <v>44805</v>
      </c>
      <c r="L2" s="4" t="n">
        <f aca="false">'1850'!L2</f>
        <v>44834</v>
      </c>
      <c r="M2" s="4" t="n">
        <f aca="false">'1850'!M2</f>
        <v>44866</v>
      </c>
      <c r="N2" s="4" t="n">
        <f aca="false">'1850'!N2</f>
        <v>44896</v>
      </c>
      <c r="O2" s="4" t="n">
        <f aca="false">'1850'!O2</f>
        <v>44927</v>
      </c>
      <c r="P2" s="6" t="s">
        <v>0</v>
      </c>
      <c r="Q2" s="6" t="s">
        <v>1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130</v>
      </c>
      <c r="C4" s="104" t="n">
        <v>317.269</v>
      </c>
      <c r="D4" s="16" t="n">
        <v>326.505</v>
      </c>
      <c r="E4" s="16" t="n">
        <v>337.162</v>
      </c>
      <c r="F4" s="16" t="n">
        <v>348.559</v>
      </c>
      <c r="G4" s="16" t="n">
        <v>361.034</v>
      </c>
      <c r="H4" s="16" t="n">
        <v>371.339</v>
      </c>
      <c r="I4" s="16" t="n">
        <v>381.692</v>
      </c>
      <c r="J4" s="16" t="n">
        <v>393.421</v>
      </c>
      <c r="K4" s="16" t="n">
        <v>403.431</v>
      </c>
      <c r="L4" s="17" t="n">
        <v>414.272</v>
      </c>
      <c r="M4" s="16" t="n">
        <v>425.64</v>
      </c>
      <c r="N4" s="16" t="n">
        <v>435.605</v>
      </c>
      <c r="O4" s="16" t="n">
        <v>445.719</v>
      </c>
      <c r="P4" s="18" t="n">
        <f aca="false">O4-C4</f>
        <v>128.45</v>
      </c>
      <c r="T4" s="6" t="n">
        <v>1</v>
      </c>
      <c r="U4" s="19" t="n">
        <f aca="false">D4-C4</f>
        <v>9.23599999999999</v>
      </c>
      <c r="V4" s="19" t="n">
        <f aca="false">E4-D4</f>
        <v>10.657</v>
      </c>
      <c r="W4" s="19" t="n">
        <f aca="false">F4-E4</f>
        <v>11.397</v>
      </c>
      <c r="X4" s="19" t="n">
        <f aca="false">G4-F4</f>
        <v>12.475</v>
      </c>
      <c r="Y4" s="19" t="n">
        <f aca="false">H4-G4</f>
        <v>10.305</v>
      </c>
      <c r="Z4" s="19" t="n">
        <f aca="false">I4-H4</f>
        <v>10.353</v>
      </c>
      <c r="AA4" s="19" t="n">
        <f aca="false">J4-I4</f>
        <v>11.729</v>
      </c>
      <c r="AB4" s="19" t="n">
        <f aca="false">K4-J4</f>
        <v>10.01</v>
      </c>
      <c r="AC4" s="19" t="n">
        <f aca="false">L4-K4</f>
        <v>10.841</v>
      </c>
      <c r="AD4" s="19" t="n">
        <f aca="false">M4-L4</f>
        <v>11.368</v>
      </c>
      <c r="AE4" s="19" t="n">
        <f aca="false">N4-M4</f>
        <v>9.96500000000003</v>
      </c>
      <c r="AF4" s="19" t="n">
        <f aca="false">O4-N4</f>
        <v>10.114</v>
      </c>
    </row>
    <row r="5" customFormat="false" ht="15" hidden="false" customHeight="false" outlineLevel="0" collapsed="false">
      <c r="A5" s="14"/>
      <c r="B5" s="20" t="s">
        <v>131</v>
      </c>
      <c r="C5" s="105" t="n">
        <v>7.696</v>
      </c>
      <c r="D5" s="21" t="n">
        <v>11.985</v>
      </c>
      <c r="E5" s="21" t="n">
        <v>15.113</v>
      </c>
      <c r="F5" s="21" t="n">
        <v>18.093</v>
      </c>
      <c r="G5" s="21" t="n">
        <v>20.569</v>
      </c>
      <c r="H5" s="21" t="n">
        <v>21.192</v>
      </c>
      <c r="I5" s="21" t="n">
        <v>21.83</v>
      </c>
      <c r="J5" s="21" t="n">
        <v>22.405</v>
      </c>
      <c r="K5" s="21" t="n">
        <v>22.94</v>
      </c>
      <c r="L5" s="22" t="n">
        <v>23.516</v>
      </c>
      <c r="M5" s="21" t="n">
        <v>24.224</v>
      </c>
      <c r="N5" s="21" t="n">
        <v>27.03</v>
      </c>
      <c r="O5" s="21" t="n">
        <v>30.733</v>
      </c>
      <c r="P5" s="18"/>
      <c r="Q5" s="18" t="n">
        <f aca="false">O5-C5</f>
        <v>23.037</v>
      </c>
      <c r="T5" s="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false" outlineLevel="0" collapsed="false">
      <c r="A6" s="24" t="n">
        <v>2</v>
      </c>
      <c r="B6" s="20" t="s">
        <v>132</v>
      </c>
      <c r="C6" s="105" t="n">
        <v>149.209</v>
      </c>
      <c r="D6" s="21" t="n">
        <v>155.582</v>
      </c>
      <c r="E6" s="21" t="n">
        <v>162.014</v>
      </c>
      <c r="F6" s="21" t="n">
        <v>169.727</v>
      </c>
      <c r="G6" s="21" t="n">
        <v>179.151</v>
      </c>
      <c r="H6" s="21" t="n">
        <v>186.984</v>
      </c>
      <c r="I6" s="21" t="n">
        <v>194.158</v>
      </c>
      <c r="J6" s="21" t="n">
        <v>200.217</v>
      </c>
      <c r="K6" s="21" t="n">
        <v>206.45</v>
      </c>
      <c r="L6" s="21" t="n">
        <v>213.676</v>
      </c>
      <c r="M6" s="21" t="n">
        <v>221.521</v>
      </c>
      <c r="N6" s="21" t="n">
        <v>228.753</v>
      </c>
      <c r="O6" s="21" t="n">
        <v>235.605</v>
      </c>
      <c r="P6" s="18" t="n">
        <f aca="false">O6-C6</f>
        <v>86.396</v>
      </c>
      <c r="T6" s="6" t="n">
        <v>2</v>
      </c>
      <c r="U6" s="26" t="n">
        <f aca="false">D6-C6</f>
        <v>6.37299999999999</v>
      </c>
      <c r="V6" s="26" t="n">
        <f aca="false">E6-D6</f>
        <v>6.43200000000002</v>
      </c>
      <c r="W6" s="26" t="n">
        <f aca="false">F6-E6</f>
        <v>7.71299999999999</v>
      </c>
      <c r="X6" s="26" t="n">
        <f aca="false">G6-F6</f>
        <v>9.42400000000001</v>
      </c>
      <c r="Y6" s="26" t="n">
        <f aca="false">H6-G6</f>
        <v>7.833</v>
      </c>
      <c r="Z6" s="26" t="n">
        <f aca="false">I6-H6</f>
        <v>7.17399999999998</v>
      </c>
      <c r="AA6" s="26" t="n">
        <f aca="false">J6-I6</f>
        <v>6.05900000000003</v>
      </c>
      <c r="AB6" s="26" t="n">
        <f aca="false">K6-J6</f>
        <v>6.23299999999998</v>
      </c>
      <c r="AC6" s="26" t="n">
        <f aca="false">L6-K6</f>
        <v>7.226</v>
      </c>
      <c r="AD6" s="26" t="n">
        <f aca="false">M6-L6</f>
        <v>7.845</v>
      </c>
      <c r="AE6" s="26" t="n">
        <f aca="false">N6-M6</f>
        <v>7.232</v>
      </c>
      <c r="AF6" s="26" t="n">
        <f aca="false">O6-N6</f>
        <v>6.852</v>
      </c>
    </row>
    <row r="7" customFormat="false" ht="15" hidden="false" customHeight="false" outlineLevel="0" collapsed="false">
      <c r="A7" s="24"/>
      <c r="B7" s="20" t="s">
        <v>133</v>
      </c>
      <c r="C7" s="105" t="n">
        <v>4.266</v>
      </c>
      <c r="D7" s="21" t="n">
        <v>6.632</v>
      </c>
      <c r="E7" s="21" t="n">
        <v>8.705</v>
      </c>
      <c r="F7" s="21" t="n">
        <v>10.198</v>
      </c>
      <c r="G7" s="21" t="n">
        <v>11.295</v>
      </c>
      <c r="H7" s="21" t="n">
        <v>11.996</v>
      </c>
      <c r="I7" s="21" t="n">
        <v>12.527</v>
      </c>
      <c r="J7" s="21" t="n">
        <v>12.977</v>
      </c>
      <c r="K7" s="21" t="n">
        <v>13.404</v>
      </c>
      <c r="L7" s="21" t="n">
        <v>13.858</v>
      </c>
      <c r="M7" s="21" t="n">
        <v>14.427</v>
      </c>
      <c r="N7" s="21" t="n">
        <v>15.169</v>
      </c>
      <c r="O7" s="21" t="n">
        <v>16.116</v>
      </c>
      <c r="P7" s="18"/>
      <c r="Q7" s="18" t="n">
        <f aca="false">O7-C7</f>
        <v>11.85</v>
      </c>
      <c r="T7" s="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</row>
    <row r="8" customFormat="false" ht="15" hidden="false" customHeight="false" outlineLevel="0" collapsed="false">
      <c r="A8" s="79" t="n">
        <v>3</v>
      </c>
      <c r="B8" s="20" t="s">
        <v>134</v>
      </c>
      <c r="C8" s="105" t="n">
        <v>203.867</v>
      </c>
      <c r="D8" s="21" t="n">
        <v>215.073</v>
      </c>
      <c r="E8" s="21" t="n">
        <v>225.261</v>
      </c>
      <c r="F8" s="21" t="n">
        <v>236.637</v>
      </c>
      <c r="G8" s="21" t="n">
        <v>249.917</v>
      </c>
      <c r="H8" s="21" t="n">
        <v>260.146</v>
      </c>
      <c r="I8" s="21" t="n">
        <v>268.121</v>
      </c>
      <c r="J8" s="21" t="n">
        <v>281.695</v>
      </c>
      <c r="K8" s="21" t="n">
        <v>290.071</v>
      </c>
      <c r="L8" s="21" t="n">
        <v>301.016</v>
      </c>
      <c r="M8" s="21" t="n">
        <v>311.822</v>
      </c>
      <c r="N8" s="21" t="n">
        <v>324.507</v>
      </c>
      <c r="O8" s="21" t="n">
        <v>338.053</v>
      </c>
      <c r="P8" s="18" t="n">
        <f aca="false">O8-C8</f>
        <v>134.186</v>
      </c>
      <c r="T8" s="6" t="n">
        <v>3</v>
      </c>
      <c r="U8" s="26" t="n">
        <f aca="false">D8-C8</f>
        <v>11.206</v>
      </c>
      <c r="V8" s="26" t="n">
        <f aca="false">E8-D8</f>
        <v>10.188</v>
      </c>
      <c r="W8" s="26" t="n">
        <f aca="false">F8-E8</f>
        <v>11.376</v>
      </c>
      <c r="X8" s="26" t="n">
        <f aca="false">G8-F8</f>
        <v>13.28</v>
      </c>
      <c r="Y8" s="26" t="n">
        <f aca="false">H8-G8</f>
        <v>10.229</v>
      </c>
      <c r="Z8" s="26" t="n">
        <f aca="false">I8-H8</f>
        <v>7.97499999999997</v>
      </c>
      <c r="AA8" s="26" t="n">
        <f aca="false">J8-I8</f>
        <v>13.574</v>
      </c>
      <c r="AB8" s="26" t="n">
        <f aca="false">K8-J8</f>
        <v>8.37600000000003</v>
      </c>
      <c r="AC8" s="26" t="n">
        <f aca="false">L8-K8</f>
        <v>10.945</v>
      </c>
      <c r="AD8" s="26" t="n">
        <f aca="false">M8-L8</f>
        <v>10.806</v>
      </c>
      <c r="AE8" s="26" t="n">
        <f aca="false">N8-M8</f>
        <v>12.685</v>
      </c>
      <c r="AF8" s="26" t="n">
        <f aca="false">O8-N8</f>
        <v>13.546</v>
      </c>
    </row>
    <row r="9" customFormat="false" ht="15" hidden="false" customHeight="false" outlineLevel="0" collapsed="false">
      <c r="A9" s="79"/>
      <c r="B9" s="20" t="s">
        <v>135</v>
      </c>
      <c r="C9" s="105" t="n">
        <v>10.111</v>
      </c>
      <c r="D9" s="21" t="n">
        <v>15.425</v>
      </c>
      <c r="E9" s="21" t="n">
        <v>19.536</v>
      </c>
      <c r="F9" s="21" t="n">
        <v>23.513</v>
      </c>
      <c r="G9" s="21" t="n">
        <v>27.119</v>
      </c>
      <c r="H9" s="21" t="n">
        <v>27.83</v>
      </c>
      <c r="I9" s="21" t="n">
        <v>28.302</v>
      </c>
      <c r="J9" s="21" t="n">
        <v>28.932</v>
      </c>
      <c r="K9" s="21" t="n">
        <v>29.318</v>
      </c>
      <c r="L9" s="21" t="n">
        <v>30.692</v>
      </c>
      <c r="M9" s="21" t="n">
        <v>33.116</v>
      </c>
      <c r="N9" s="21" t="n">
        <v>37.454</v>
      </c>
      <c r="O9" s="21" t="n">
        <v>43.311</v>
      </c>
      <c r="P9" s="18"/>
      <c r="Q9" s="18" t="n">
        <f aca="false">O9-C9</f>
        <v>33.2</v>
      </c>
      <c r="T9" s="6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customFormat="false" ht="15" hidden="false" customHeight="false" outlineLevel="0" collapsed="false">
      <c r="A10" s="79" t="n">
        <v>4</v>
      </c>
      <c r="B10" s="20" t="s">
        <v>136</v>
      </c>
      <c r="C10" s="105" t="n">
        <v>310.612</v>
      </c>
      <c r="D10" s="21" t="n">
        <v>318.96</v>
      </c>
      <c r="E10" s="21" t="n">
        <v>325.61</v>
      </c>
      <c r="F10" s="21" t="n">
        <v>333.657</v>
      </c>
      <c r="G10" s="21" t="n">
        <v>341.595</v>
      </c>
      <c r="H10" s="21" t="n">
        <v>349.681</v>
      </c>
      <c r="I10" s="21" t="n">
        <v>356.103</v>
      </c>
      <c r="J10" s="21" t="n">
        <v>364.443</v>
      </c>
      <c r="K10" s="21" t="n">
        <v>371.62</v>
      </c>
      <c r="L10" s="21" t="n">
        <v>380.33</v>
      </c>
      <c r="M10" s="21" t="n">
        <v>389.31</v>
      </c>
      <c r="N10" s="21" t="n">
        <v>398.562</v>
      </c>
      <c r="O10" s="21" t="n">
        <v>407.947</v>
      </c>
      <c r="P10" s="18" t="n">
        <f aca="false">O10-C10</f>
        <v>97.335</v>
      </c>
      <c r="T10" s="6" t="n">
        <v>4</v>
      </c>
      <c r="U10" s="25" t="n">
        <f aca="false">D10-C10</f>
        <v>8.34799999999996</v>
      </c>
      <c r="V10" s="25" t="n">
        <f aca="false">E10-D10</f>
        <v>6.65000000000003</v>
      </c>
      <c r="W10" s="25" t="n">
        <f aca="false">F10-E10</f>
        <v>8.04699999999997</v>
      </c>
      <c r="X10" s="25" t="n">
        <f aca="false">G10-F10</f>
        <v>7.93800000000005</v>
      </c>
      <c r="Y10" s="25" t="n">
        <f aca="false">H10-G10</f>
        <v>8.08599999999996</v>
      </c>
      <c r="Z10" s="25" t="n">
        <f aca="false">I10-H10</f>
        <v>6.42200000000003</v>
      </c>
      <c r="AA10" s="25" t="n">
        <f aca="false">J10-I10</f>
        <v>8.33999999999998</v>
      </c>
      <c r="AB10" s="25" t="n">
        <f aca="false">K10-J10</f>
        <v>7.17700000000002</v>
      </c>
      <c r="AC10" s="25" t="n">
        <f aca="false">L10-K10</f>
        <v>8.70999999999998</v>
      </c>
      <c r="AD10" s="25" t="n">
        <f aca="false">M10-L10</f>
        <v>8.98000000000002</v>
      </c>
      <c r="AE10" s="25" t="n">
        <f aca="false">N10-M10</f>
        <v>9.25200000000001</v>
      </c>
      <c r="AF10" s="25" t="n">
        <f aca="false">O10-N10</f>
        <v>9.38499999999999</v>
      </c>
    </row>
    <row r="11" customFormat="false" ht="15" hidden="false" customHeight="false" outlineLevel="0" collapsed="false">
      <c r="A11" s="79"/>
      <c r="B11" s="20" t="s">
        <v>137</v>
      </c>
      <c r="C11" s="105" t="n">
        <v>9.533</v>
      </c>
      <c r="D11" s="21" t="n">
        <v>14.474</v>
      </c>
      <c r="E11" s="21" t="n">
        <v>18.338</v>
      </c>
      <c r="F11" s="21" t="n">
        <v>21.601</v>
      </c>
      <c r="G11" s="21" t="n">
        <v>23.974</v>
      </c>
      <c r="H11" s="21" t="n">
        <v>24.706</v>
      </c>
      <c r="I11" s="21" t="n">
        <v>25.247</v>
      </c>
      <c r="J11" s="21" t="n">
        <v>25.86</v>
      </c>
      <c r="K11" s="21" t="n">
        <v>26.367</v>
      </c>
      <c r="L11" s="21" t="n">
        <v>27.336</v>
      </c>
      <c r="M11" s="21" t="n">
        <v>29.128</v>
      </c>
      <c r="N11" s="21" t="n">
        <v>32.72</v>
      </c>
      <c r="O11" s="21" t="n">
        <v>37.265</v>
      </c>
      <c r="P11" s="18"/>
      <c r="Q11" s="18" t="n">
        <f aca="false">O11-C11</f>
        <v>27.732</v>
      </c>
      <c r="T11" s="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customFormat="false" ht="15" hidden="false" customHeight="false" outlineLevel="0" collapsed="false">
      <c r="A12" s="24" t="n">
        <v>5</v>
      </c>
      <c r="B12" s="20" t="s">
        <v>138</v>
      </c>
      <c r="C12" s="105" t="n">
        <v>133.155</v>
      </c>
      <c r="D12" s="21" t="n">
        <v>144.367</v>
      </c>
      <c r="E12" s="21" t="n">
        <v>153.875</v>
      </c>
      <c r="F12" s="21" t="n">
        <v>164.915</v>
      </c>
      <c r="G12" s="21" t="n">
        <v>175.966</v>
      </c>
      <c r="H12" s="21" t="n">
        <v>188.222</v>
      </c>
      <c r="I12" s="21" t="n">
        <v>198.363</v>
      </c>
      <c r="J12" s="21" t="n">
        <v>203.37</v>
      </c>
      <c r="K12" s="21" t="n">
        <v>210.77</v>
      </c>
      <c r="L12" s="21" t="n">
        <v>216.303</v>
      </c>
      <c r="M12" s="21" t="n">
        <v>224.132</v>
      </c>
      <c r="N12" s="21" t="n">
        <v>230.225</v>
      </c>
      <c r="O12" s="21" t="n">
        <v>236.272</v>
      </c>
      <c r="P12" s="18" t="n">
        <f aca="false">O12-C12</f>
        <v>103.117</v>
      </c>
      <c r="T12" s="6" t="n">
        <v>5</v>
      </c>
      <c r="U12" s="25" t="n">
        <f aca="false">D12-C12</f>
        <v>11.212</v>
      </c>
      <c r="V12" s="25" t="n">
        <f aca="false">E12-D12</f>
        <v>9.50800000000001</v>
      </c>
      <c r="W12" s="25" t="n">
        <f aca="false">F12-E12</f>
        <v>11.04</v>
      </c>
      <c r="X12" s="25" t="n">
        <f aca="false">G12-F12</f>
        <v>11.051</v>
      </c>
      <c r="Y12" s="25" t="n">
        <f aca="false">H12-G12</f>
        <v>12.256</v>
      </c>
      <c r="Z12" s="25" t="n">
        <f aca="false">I12-H12</f>
        <v>10.141</v>
      </c>
      <c r="AA12" s="25" t="n">
        <f aca="false">J12-I12</f>
        <v>5.00700000000001</v>
      </c>
      <c r="AB12" s="25" t="n">
        <f aca="false">K12-J12</f>
        <v>7.40000000000001</v>
      </c>
      <c r="AC12" s="25" t="n">
        <f aca="false">L12-K12</f>
        <v>5.53299999999999</v>
      </c>
      <c r="AD12" s="25" t="n">
        <f aca="false">M12-L12</f>
        <v>7.82900000000001</v>
      </c>
      <c r="AE12" s="25" t="n">
        <f aca="false">N12-M12</f>
        <v>6.09299999999999</v>
      </c>
      <c r="AF12" s="25" t="n">
        <f aca="false">O12-N12</f>
        <v>6.047</v>
      </c>
    </row>
    <row r="13" customFormat="false" ht="15" hidden="false" customHeight="false" outlineLevel="0" collapsed="false">
      <c r="A13" s="24"/>
      <c r="B13" s="20" t="s">
        <v>139</v>
      </c>
      <c r="C13" s="105" t="n">
        <v>4.064</v>
      </c>
      <c r="D13" s="21" t="n">
        <v>6.13</v>
      </c>
      <c r="E13" s="21" t="n">
        <v>7.957</v>
      </c>
      <c r="F13" s="21" t="n">
        <v>9.796</v>
      </c>
      <c r="G13" s="21" t="n">
        <v>11.348</v>
      </c>
      <c r="H13" s="21" t="n">
        <v>12.451</v>
      </c>
      <c r="I13" s="21" t="n">
        <v>13.309</v>
      </c>
      <c r="J13" s="21" t="n">
        <v>13.786</v>
      </c>
      <c r="K13" s="21" t="n">
        <v>14.335</v>
      </c>
      <c r="L13" s="21" t="n">
        <v>14.93</v>
      </c>
      <c r="M13" s="21" t="n">
        <v>15.974</v>
      </c>
      <c r="N13" s="21" t="n">
        <v>17.789</v>
      </c>
      <c r="O13" s="21" t="n">
        <v>20.024</v>
      </c>
      <c r="P13" s="18"/>
      <c r="Q13" s="18" t="n">
        <f aca="false">O13-C13</f>
        <v>15.96</v>
      </c>
      <c r="T13" s="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customFormat="false" ht="15" hidden="false" customHeight="false" outlineLevel="0" collapsed="false">
      <c r="A14" s="24" t="n">
        <v>6</v>
      </c>
      <c r="B14" s="20" t="s">
        <v>140</v>
      </c>
      <c r="C14" s="105" t="n">
        <v>215.901</v>
      </c>
      <c r="D14" s="21" t="n">
        <v>222.927</v>
      </c>
      <c r="E14" s="21" t="n">
        <v>230.856</v>
      </c>
      <c r="F14" s="21" t="n">
        <v>238.795</v>
      </c>
      <c r="G14" s="21" t="n">
        <v>245.888</v>
      </c>
      <c r="H14" s="21" t="n">
        <v>255.529</v>
      </c>
      <c r="I14" s="21" t="n">
        <v>264.629</v>
      </c>
      <c r="J14" s="21" t="n">
        <v>272.248</v>
      </c>
      <c r="K14" s="21" t="n">
        <v>276.836</v>
      </c>
      <c r="L14" s="21" t="n">
        <v>284.46</v>
      </c>
      <c r="M14" s="21" t="n">
        <v>295.428</v>
      </c>
      <c r="N14" s="21" t="n">
        <v>305.71</v>
      </c>
      <c r="O14" s="21" t="n">
        <v>317.583</v>
      </c>
      <c r="P14" s="18" t="n">
        <f aca="false">O14-C14</f>
        <v>101.682</v>
      </c>
      <c r="T14" s="6" t="n">
        <v>6</v>
      </c>
      <c r="U14" s="25" t="n">
        <f aca="false">D14-C14</f>
        <v>7.02599999999998</v>
      </c>
      <c r="V14" s="25" t="n">
        <f aca="false">E14-D14</f>
        <v>7.929</v>
      </c>
      <c r="W14" s="25" t="n">
        <f aca="false">F14-E14</f>
        <v>7.93899999999999</v>
      </c>
      <c r="X14" s="25" t="n">
        <f aca="false">G14-F14</f>
        <v>7.09300000000002</v>
      </c>
      <c r="Y14" s="25" t="n">
        <f aca="false">H14-G14</f>
        <v>9.64099999999999</v>
      </c>
      <c r="Z14" s="25" t="n">
        <f aca="false">I14-H14</f>
        <v>9.10000000000002</v>
      </c>
      <c r="AA14" s="25" t="n">
        <f aca="false">J14-I14</f>
        <v>7.61899999999997</v>
      </c>
      <c r="AB14" s="25" t="n">
        <f aca="false">K14-J14</f>
        <v>4.58800000000002</v>
      </c>
      <c r="AC14" s="25" t="n">
        <f aca="false">L14-K14</f>
        <v>7.62399999999997</v>
      </c>
      <c r="AD14" s="25" t="n">
        <f aca="false">M14-L14</f>
        <v>10.968</v>
      </c>
      <c r="AE14" s="25" t="n">
        <f aca="false">N14-M14</f>
        <v>10.282</v>
      </c>
      <c r="AF14" s="25" t="n">
        <f aca="false">O14-N14</f>
        <v>11.873</v>
      </c>
    </row>
    <row r="15" customFormat="false" ht="15" hidden="false" customHeight="false" outlineLevel="0" collapsed="false">
      <c r="A15" s="24"/>
      <c r="B15" s="20" t="s">
        <v>141</v>
      </c>
      <c r="C15" s="105" t="n">
        <v>6.688</v>
      </c>
      <c r="D15" s="107" t="n">
        <v>10.92</v>
      </c>
      <c r="E15" s="21" t="n">
        <v>14.606</v>
      </c>
      <c r="F15" s="21" t="n">
        <v>17.682</v>
      </c>
      <c r="G15" s="21" t="n">
        <v>19.364</v>
      </c>
      <c r="H15" s="21" t="n">
        <v>20.205</v>
      </c>
      <c r="I15" s="21" t="n">
        <v>20.868</v>
      </c>
      <c r="J15" s="21" t="n">
        <v>21.353</v>
      </c>
      <c r="K15" s="21" t="n">
        <v>21.694</v>
      </c>
      <c r="L15" s="21" t="n">
        <v>22.211</v>
      </c>
      <c r="M15" s="21" t="n">
        <v>23.476</v>
      </c>
      <c r="N15" s="21" t="n">
        <v>26.119</v>
      </c>
      <c r="O15" s="107" t="n">
        <v>30.804</v>
      </c>
      <c r="P15" s="18"/>
      <c r="Q15" s="18" t="n">
        <f aca="false">O15-C15</f>
        <v>24.116</v>
      </c>
      <c r="T15" s="6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customFormat="false" ht="15" hidden="false" customHeight="false" outlineLevel="0" collapsed="false">
      <c r="A16" s="24" t="n">
        <v>7</v>
      </c>
      <c r="B16" s="20" t="s">
        <v>142</v>
      </c>
      <c r="C16" s="105" t="n">
        <v>29.521</v>
      </c>
      <c r="D16" s="21" t="n">
        <v>30.205</v>
      </c>
      <c r="E16" s="21" t="n">
        <v>30.828</v>
      </c>
      <c r="F16" s="21" t="n">
        <v>31.389</v>
      </c>
      <c r="G16" s="21" t="n">
        <v>31.924</v>
      </c>
      <c r="H16" s="21" t="n">
        <v>32.615</v>
      </c>
      <c r="I16" s="21" t="n">
        <v>33.54</v>
      </c>
      <c r="J16" s="21" t="n">
        <v>34.752</v>
      </c>
      <c r="K16" s="21" t="n">
        <v>35.637</v>
      </c>
      <c r="L16" s="21" t="n">
        <v>36.349</v>
      </c>
      <c r="M16" s="21" t="n">
        <v>37.148</v>
      </c>
      <c r="N16" s="21" t="n">
        <v>37.65</v>
      </c>
      <c r="O16" s="21" t="n">
        <v>38.227</v>
      </c>
      <c r="P16" s="18" t="n">
        <f aca="false">O16-C16</f>
        <v>8.706</v>
      </c>
      <c r="T16" s="6" t="n">
        <v>7</v>
      </c>
      <c r="U16" s="25" t="n">
        <f aca="false">D16-C16</f>
        <v>0.683999999999998</v>
      </c>
      <c r="V16" s="25" t="n">
        <f aca="false">E16-D16</f>
        <v>0.623000000000001</v>
      </c>
      <c r="W16" s="25" t="n">
        <f aca="false">F16-E16</f>
        <v>0.561</v>
      </c>
      <c r="X16" s="25" t="n">
        <f aca="false">G16-F16</f>
        <v>0.535</v>
      </c>
      <c r="Y16" s="25" t="n">
        <f aca="false">H16-G16</f>
        <v>0.691000000000003</v>
      </c>
      <c r="Z16" s="25" t="n">
        <f aca="false">I16-H16</f>
        <v>0.924999999999997</v>
      </c>
      <c r="AA16" s="25" t="n">
        <f aca="false">J16-I16</f>
        <v>1.212</v>
      </c>
      <c r="AB16" s="25" t="n">
        <f aca="false">K16-J16</f>
        <v>0.884999999999998</v>
      </c>
      <c r="AC16" s="25" t="n">
        <f aca="false">L16-K16</f>
        <v>0.711999999999996</v>
      </c>
      <c r="AD16" s="25" t="n">
        <f aca="false">M16-L16</f>
        <v>0.799000000000007</v>
      </c>
      <c r="AE16" s="25" t="n">
        <f aca="false">N16-M16</f>
        <v>0.501999999999995</v>
      </c>
      <c r="AF16" s="25" t="n">
        <f aca="false">O16-N16</f>
        <v>0.576999999999998</v>
      </c>
    </row>
    <row r="17" customFormat="false" ht="15" hidden="false" customHeight="false" outlineLevel="0" collapsed="false">
      <c r="A17" s="24"/>
      <c r="B17" s="20" t="s">
        <v>143</v>
      </c>
      <c r="C17" s="105" t="n">
        <v>3.464</v>
      </c>
      <c r="D17" s="21" t="n">
        <v>5.717</v>
      </c>
      <c r="E17" s="21" t="n">
        <v>6.836</v>
      </c>
      <c r="F17" s="21" t="n">
        <v>7.177</v>
      </c>
      <c r="G17" s="21" t="n">
        <v>7.703</v>
      </c>
      <c r="H17" s="21" t="n">
        <v>7.723</v>
      </c>
      <c r="I17" s="21" t="n">
        <v>7.75</v>
      </c>
      <c r="J17" s="21" t="n">
        <v>7.778</v>
      </c>
      <c r="K17" s="21" t="n">
        <v>7.795</v>
      </c>
      <c r="L17" s="21" t="n">
        <v>7.904</v>
      </c>
      <c r="M17" s="21" t="n">
        <v>8.126</v>
      </c>
      <c r="N17" s="21" t="n">
        <v>9.889</v>
      </c>
      <c r="O17" s="21" t="n">
        <v>12.76</v>
      </c>
      <c r="P17" s="18"/>
      <c r="Q17" s="18" t="n">
        <f aca="false">O17-C17</f>
        <v>9.296</v>
      </c>
      <c r="T17" s="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customFormat="false" ht="15" hidden="false" customHeight="false" outlineLevel="0" collapsed="false">
      <c r="A18" s="24" t="n">
        <v>8</v>
      </c>
      <c r="B18" s="20" t="s">
        <v>144</v>
      </c>
      <c r="C18" s="105" t="n">
        <v>249.053</v>
      </c>
      <c r="D18" s="21" t="n">
        <v>259.341</v>
      </c>
      <c r="E18" s="21" t="n">
        <v>267.363</v>
      </c>
      <c r="F18" s="21" t="n">
        <v>277.845</v>
      </c>
      <c r="G18" s="21" t="n">
        <v>287.833</v>
      </c>
      <c r="H18" s="21" t="n">
        <v>298.144</v>
      </c>
      <c r="I18" s="21" t="n">
        <v>306.303</v>
      </c>
      <c r="J18" s="21" t="n">
        <v>314.792</v>
      </c>
      <c r="K18" s="21" t="n">
        <v>320.637</v>
      </c>
      <c r="L18" s="21" t="n">
        <v>327.084</v>
      </c>
      <c r="M18" s="21" t="n">
        <v>336.817</v>
      </c>
      <c r="N18" s="21" t="n">
        <v>345.823</v>
      </c>
      <c r="O18" s="21" t="n">
        <v>355.342</v>
      </c>
      <c r="P18" s="18" t="n">
        <f aca="false">O18-C18</f>
        <v>106.289</v>
      </c>
      <c r="T18" s="6" t="n">
        <v>8</v>
      </c>
      <c r="U18" s="25" t="n">
        <f aca="false">D18-C18</f>
        <v>10.288</v>
      </c>
      <c r="V18" s="25" t="n">
        <f aca="false">E18-D18</f>
        <v>8.02199999999999</v>
      </c>
      <c r="W18" s="25" t="n">
        <f aca="false">F18-E18</f>
        <v>10.482</v>
      </c>
      <c r="X18" s="25" t="n">
        <f aca="false">G18-F18</f>
        <v>9.988</v>
      </c>
      <c r="Y18" s="25" t="n">
        <f aca="false">H18-G18</f>
        <v>10.311</v>
      </c>
      <c r="Z18" s="25" t="n">
        <f aca="false">I18-H18</f>
        <v>8.15899999999999</v>
      </c>
      <c r="AA18" s="25" t="n">
        <f aca="false">J18-I18</f>
        <v>8.48899999999998</v>
      </c>
      <c r="AB18" s="25" t="n">
        <f aca="false">K18-J18</f>
        <v>5.84500000000003</v>
      </c>
      <c r="AC18" s="25" t="n">
        <f aca="false">L18-K18</f>
        <v>6.447</v>
      </c>
      <c r="AD18" s="25" t="n">
        <f aca="false">M18-L18</f>
        <v>9.733</v>
      </c>
      <c r="AE18" s="25" t="n">
        <f aca="false">N18-M18</f>
        <v>9.00599999999997</v>
      </c>
      <c r="AF18" s="25" t="n">
        <f aca="false">O18-N18</f>
        <v>9.51900000000001</v>
      </c>
    </row>
    <row r="19" customFormat="false" ht="15" hidden="false" customHeight="false" outlineLevel="0" collapsed="false">
      <c r="A19" s="24"/>
      <c r="B19" s="20" t="s">
        <v>145</v>
      </c>
      <c r="C19" s="105" t="n">
        <v>5.175</v>
      </c>
      <c r="D19" s="21" t="n">
        <v>8.488</v>
      </c>
      <c r="E19" s="21" t="n">
        <v>10.284</v>
      </c>
      <c r="F19" s="21" t="n">
        <v>11.678</v>
      </c>
      <c r="G19" s="21" t="n">
        <v>12.896</v>
      </c>
      <c r="H19" s="21" t="n">
        <v>13.53</v>
      </c>
      <c r="I19" s="21" t="n">
        <v>14.013</v>
      </c>
      <c r="J19" s="21" t="n">
        <v>14.516</v>
      </c>
      <c r="K19" s="21" t="n">
        <v>14.888</v>
      </c>
      <c r="L19" s="21" t="n">
        <v>15.302</v>
      </c>
      <c r="M19" s="21" t="n">
        <v>15.938</v>
      </c>
      <c r="N19" s="21" t="n">
        <v>17.306</v>
      </c>
      <c r="O19" s="21" t="n">
        <v>19.528</v>
      </c>
      <c r="P19" s="18"/>
      <c r="Q19" s="18" t="n">
        <f aca="false">O19-C19</f>
        <v>14.353</v>
      </c>
      <c r="T19" s="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customFormat="false" ht="15" hidden="false" customHeight="false" outlineLevel="0" collapsed="false">
      <c r="A20" s="24" t="n">
        <v>9</v>
      </c>
      <c r="B20" s="20" t="s">
        <v>146</v>
      </c>
      <c r="C20" s="105" t="n">
        <v>143.658</v>
      </c>
      <c r="D20" s="21" t="n">
        <f aca="false">C20+11.3</f>
        <v>154.958</v>
      </c>
      <c r="E20" s="21" t="n">
        <f aca="false">D20+10.9</f>
        <v>165.858</v>
      </c>
      <c r="F20" s="21" t="n">
        <f aca="false">E20+11.3</f>
        <v>177.158</v>
      </c>
      <c r="G20" s="21" t="n">
        <f aca="false">F20+11.5</f>
        <v>188.658</v>
      </c>
      <c r="H20" s="21" t="n">
        <f aca="false">G20+11</f>
        <v>199.658</v>
      </c>
      <c r="I20" s="21" t="n">
        <f aca="false">H20+9.8</f>
        <v>209.458</v>
      </c>
      <c r="J20" s="21" t="n">
        <f aca="false">I20+8</f>
        <v>217.458</v>
      </c>
      <c r="K20" s="21" t="n">
        <f aca="false">J20+10.1</f>
        <v>227.558</v>
      </c>
      <c r="L20" s="21" t="n">
        <f aca="false">K20+10.7</f>
        <v>238.258</v>
      </c>
      <c r="M20" s="21" t="n">
        <f aca="false">L20+12.6</f>
        <v>250.858</v>
      </c>
      <c r="N20" s="21" t="n">
        <v>0.434</v>
      </c>
      <c r="O20" s="21" t="n">
        <v>11.177</v>
      </c>
      <c r="P20" s="80" t="n">
        <f aca="false">O20-G33+G32-C20</f>
        <v>126.077</v>
      </c>
      <c r="T20" s="6" t="n">
        <v>9</v>
      </c>
      <c r="U20" s="25" t="n">
        <f aca="false">D20-C20</f>
        <v>11.3</v>
      </c>
      <c r="V20" s="25" t="n">
        <f aca="false">E20-D20</f>
        <v>10.9</v>
      </c>
      <c r="W20" s="25" t="n">
        <f aca="false">F20-E20</f>
        <v>11.3</v>
      </c>
      <c r="X20" s="25" t="n">
        <f aca="false">G20-F20</f>
        <v>11.5</v>
      </c>
      <c r="Y20" s="25" t="n">
        <f aca="false">H20-G20</f>
        <v>11</v>
      </c>
      <c r="Z20" s="25" t="n">
        <f aca="false">I20-H20</f>
        <v>9.80000000000001</v>
      </c>
      <c r="AA20" s="25" t="n">
        <f aca="false">J20-I20</f>
        <v>8</v>
      </c>
      <c r="AB20" s="25" t="n">
        <f aca="false">K20-J20</f>
        <v>10.1</v>
      </c>
      <c r="AC20" s="25" t="n">
        <f aca="false">L20-K20</f>
        <v>10.7</v>
      </c>
      <c r="AD20" s="25" t="n">
        <f aca="false">M20-L20</f>
        <v>12.6</v>
      </c>
      <c r="AE20" s="25" t="n">
        <f aca="false">N20+G32-M20</f>
        <v>8.13400000000002</v>
      </c>
      <c r="AF20" s="25" t="n">
        <f aca="false">O20+H32-N20</f>
        <v>10.743</v>
      </c>
    </row>
    <row r="21" customFormat="false" ht="15" hidden="false" customHeight="false" outlineLevel="0" collapsed="false">
      <c r="A21" s="24"/>
      <c r="B21" s="20" t="s">
        <v>147</v>
      </c>
      <c r="C21" s="105" t="n">
        <v>11.394</v>
      </c>
      <c r="D21" s="21" t="n">
        <v>16.907</v>
      </c>
      <c r="E21" s="21" t="n">
        <v>21.452</v>
      </c>
      <c r="F21" s="21" t="n">
        <v>25.368</v>
      </c>
      <c r="G21" s="21" t="n">
        <v>29.279</v>
      </c>
      <c r="H21" s="21" t="n">
        <v>30.314</v>
      </c>
      <c r="I21" s="21" t="n">
        <v>31.04</v>
      </c>
      <c r="J21" s="21" t="n">
        <v>31.604</v>
      </c>
      <c r="K21" s="21" t="n">
        <v>32.292</v>
      </c>
      <c r="L21" s="21" t="n">
        <v>33.1</v>
      </c>
      <c r="M21" s="21" t="n">
        <v>34.177</v>
      </c>
      <c r="N21" s="21" t="n">
        <v>37.715</v>
      </c>
      <c r="O21" s="21" t="n">
        <v>43.025</v>
      </c>
      <c r="P21" s="18"/>
      <c r="Q21" s="18" t="n">
        <f aca="false">O21-C21</f>
        <v>31.631</v>
      </c>
      <c r="T21" s="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customFormat="false" ht="15" hidden="false" customHeight="false" outlineLevel="0" collapsed="false">
      <c r="A22" s="24" t="n">
        <v>10</v>
      </c>
      <c r="B22" s="20" t="s">
        <v>148</v>
      </c>
      <c r="C22" s="105" t="n">
        <v>199.254</v>
      </c>
      <c r="D22" s="21" t="n">
        <v>205.614</v>
      </c>
      <c r="E22" s="21" t="n">
        <v>210.528</v>
      </c>
      <c r="F22" s="21" t="n">
        <v>217.336</v>
      </c>
      <c r="G22" s="21" t="n">
        <v>225.373</v>
      </c>
      <c r="H22" s="21" t="n">
        <v>231.403</v>
      </c>
      <c r="I22" s="21" t="n">
        <v>239.138</v>
      </c>
      <c r="J22" s="21" t="n">
        <v>243.989</v>
      </c>
      <c r="K22" s="21" t="n">
        <v>251.802</v>
      </c>
      <c r="L22" s="21" t="n">
        <v>259.086</v>
      </c>
      <c r="M22" s="21" t="n">
        <v>267.636</v>
      </c>
      <c r="N22" s="21" t="n">
        <v>275.302</v>
      </c>
      <c r="O22" s="21" t="n">
        <v>283.974</v>
      </c>
      <c r="P22" s="18" t="n">
        <f aca="false">O22-C22</f>
        <v>84.72</v>
      </c>
      <c r="T22" s="6" t="n">
        <v>10</v>
      </c>
      <c r="U22" s="25" t="n">
        <f aca="false">D22-C22</f>
        <v>6.36000000000001</v>
      </c>
      <c r="V22" s="25" t="n">
        <f aca="false">E22-D22</f>
        <v>4.91399999999999</v>
      </c>
      <c r="W22" s="25" t="n">
        <f aca="false">F22-E22</f>
        <v>6.80800000000002</v>
      </c>
      <c r="X22" s="25" t="n">
        <f aca="false">G22-F22</f>
        <v>8.03699999999998</v>
      </c>
      <c r="Y22" s="25" t="n">
        <f aca="false">H22-G22</f>
        <v>6.03</v>
      </c>
      <c r="Z22" s="25" t="n">
        <f aca="false">I22-H22</f>
        <v>7.73500000000001</v>
      </c>
      <c r="AA22" s="25" t="n">
        <f aca="false">J22-I22</f>
        <v>4.851</v>
      </c>
      <c r="AB22" s="25" t="n">
        <f aca="false">K22-J22</f>
        <v>7.81299999999999</v>
      </c>
      <c r="AC22" s="25" t="n">
        <f aca="false">L22-K22</f>
        <v>7.28400000000002</v>
      </c>
      <c r="AD22" s="25" t="n">
        <f aca="false">M22-L22</f>
        <v>8.55000000000001</v>
      </c>
      <c r="AE22" s="25" t="n">
        <f aca="false">N22-M22</f>
        <v>7.666</v>
      </c>
      <c r="AF22" s="25" t="n">
        <f aca="false">O22-N22</f>
        <v>8.67199999999997</v>
      </c>
    </row>
    <row r="23" customFormat="false" ht="15" hidden="false" customHeight="false" outlineLevel="0" collapsed="false">
      <c r="A23" s="24"/>
      <c r="B23" s="20" t="s">
        <v>149</v>
      </c>
      <c r="C23" s="105" t="n">
        <v>6.284</v>
      </c>
      <c r="D23" s="21" t="n">
        <v>10.164</v>
      </c>
      <c r="E23" s="21" t="n">
        <v>12.529</v>
      </c>
      <c r="F23" s="21" t="n">
        <v>14.884</v>
      </c>
      <c r="G23" s="21" t="n">
        <v>16.61</v>
      </c>
      <c r="H23" s="21" t="n">
        <v>17.163</v>
      </c>
      <c r="I23" s="21" t="n">
        <v>17.741</v>
      </c>
      <c r="J23" s="21" t="n">
        <v>18.13</v>
      </c>
      <c r="K23" s="21" t="n">
        <v>18.663</v>
      </c>
      <c r="L23" s="21" t="n">
        <v>19.361</v>
      </c>
      <c r="M23" s="21" t="n">
        <v>20.903</v>
      </c>
      <c r="N23" s="21" t="n">
        <v>24.081</v>
      </c>
      <c r="O23" s="21" t="n">
        <v>28.409</v>
      </c>
      <c r="P23" s="27"/>
      <c r="Q23" s="28" t="n">
        <f aca="false">O23-C23</f>
        <v>22.125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customFormat="false" ht="15" hidden="false" customHeight="false" outlineLevel="0" collapsed="false">
      <c r="A24" s="29"/>
      <c r="B24" s="20"/>
      <c r="C24" s="10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8" t="n">
        <f aca="false">SUM(P4:P23)</f>
        <v>976.958</v>
      </c>
      <c r="Q24" s="18" t="n">
        <f aca="false">SUM(Q4:Q23)</f>
        <v>213.3</v>
      </c>
    </row>
    <row r="25" customFormat="false" ht="15" hidden="false" customHeight="false" outlineLevel="0" collapsed="false">
      <c r="A25" s="29" t="s">
        <v>39</v>
      </c>
      <c r="B25" s="20" t="s">
        <v>150</v>
      </c>
      <c r="C25" s="108" t="n">
        <v>5389</v>
      </c>
      <c r="D25" s="30" t="n">
        <v>5570</v>
      </c>
      <c r="E25" s="30" t="n">
        <v>5745</v>
      </c>
      <c r="F25" s="30" t="n">
        <v>5933</v>
      </c>
      <c r="G25" s="30" t="n">
        <v>6154</v>
      </c>
      <c r="H25" s="30" t="n">
        <v>6344</v>
      </c>
      <c r="I25" s="30" t="n">
        <v>6534</v>
      </c>
      <c r="J25" s="30" t="n">
        <v>6715</v>
      </c>
      <c r="K25" s="30" t="n">
        <v>6930</v>
      </c>
      <c r="L25" s="30" t="n">
        <v>7119</v>
      </c>
      <c r="M25" s="30" t="n">
        <v>7337</v>
      </c>
      <c r="N25" s="30" t="n">
        <v>7544</v>
      </c>
      <c r="O25" s="30" t="n">
        <v>7868</v>
      </c>
      <c r="P25" s="18"/>
      <c r="R25" s="33" t="n">
        <f aca="false">O25-C25</f>
        <v>2479</v>
      </c>
    </row>
    <row r="26" customFormat="false" ht="15" hidden="false" customHeight="false" outlineLevel="0" collapsed="false">
      <c r="A26" s="29"/>
      <c r="B26" s="20" t="s">
        <v>151</v>
      </c>
      <c r="C26" s="109" t="n">
        <v>2353</v>
      </c>
      <c r="D26" s="35" t="n">
        <v>2444.3</v>
      </c>
      <c r="E26" s="35" t="n">
        <v>2528.5</v>
      </c>
      <c r="F26" s="35" t="n">
        <v>2624.6</v>
      </c>
      <c r="G26" s="35" t="n">
        <v>2726.1</v>
      </c>
      <c r="H26" s="35" t="n">
        <v>2822.1</v>
      </c>
      <c r="I26" s="35" t="n">
        <v>2908.5</v>
      </c>
      <c r="J26" s="35" t="n">
        <v>2991.5</v>
      </c>
      <c r="K26" s="35" t="n">
        <v>3067.6</v>
      </c>
      <c r="L26" s="35" t="n">
        <v>3152</v>
      </c>
      <c r="M26" s="35" t="n">
        <v>3251.5</v>
      </c>
      <c r="N26" s="35" t="n">
        <v>3341.2</v>
      </c>
      <c r="O26" s="35" t="n">
        <v>3438.2</v>
      </c>
      <c r="P26" s="18" t="n">
        <f aca="false">O26-C26</f>
        <v>1085.2</v>
      </c>
    </row>
    <row r="27" customFormat="false" ht="15" hidden="false" customHeight="false" outlineLevel="0" collapsed="false">
      <c r="A27" s="29"/>
      <c r="B27" s="20" t="s">
        <v>42</v>
      </c>
      <c r="C27" s="110" t="n">
        <v>165.58</v>
      </c>
      <c r="D27" s="36" t="n">
        <v>176.79</v>
      </c>
      <c r="E27" s="36" t="n">
        <v>184.79</v>
      </c>
      <c r="F27" s="36" t="n">
        <v>191.59</v>
      </c>
      <c r="G27" s="36" t="n">
        <v>197.05</v>
      </c>
      <c r="H27" s="36" t="n">
        <v>198.51</v>
      </c>
      <c r="I27" s="36" t="n">
        <v>199.6</v>
      </c>
      <c r="J27" s="37" t="n">
        <v>200.39</v>
      </c>
      <c r="K27" s="37" t="n">
        <v>201.07</v>
      </c>
      <c r="L27" s="36" t="n">
        <v>202.47</v>
      </c>
      <c r="M27" s="36" t="n">
        <v>205.26</v>
      </c>
      <c r="N27" s="36" t="n">
        <v>212.76</v>
      </c>
      <c r="O27" s="36" t="n">
        <v>223.61</v>
      </c>
      <c r="P27" s="18"/>
      <c r="Q27" s="18" t="n">
        <f aca="false">(O27-C27)*3.6</f>
        <v>208.908</v>
      </c>
      <c r="R27" s="0" t="s">
        <v>17</v>
      </c>
    </row>
    <row r="28" customFormat="false" ht="15.75" hidden="false" customHeight="false" outlineLevel="0" collapsed="false">
      <c r="A28" s="11"/>
      <c r="B28" s="84" t="s">
        <v>43</v>
      </c>
      <c r="C28" s="111" t="n">
        <v>7312</v>
      </c>
      <c r="D28" s="39" t="n">
        <v>7617</v>
      </c>
      <c r="E28" s="39" t="n">
        <v>7825</v>
      </c>
      <c r="F28" s="39" t="n">
        <v>8019</v>
      </c>
      <c r="G28" s="39" t="n">
        <v>8164</v>
      </c>
      <c r="H28" s="39" t="n">
        <v>8202</v>
      </c>
      <c r="I28" s="39" t="n">
        <v>8234</v>
      </c>
      <c r="J28" s="39" t="n">
        <v>8260</v>
      </c>
      <c r="K28" s="39" t="n">
        <v>8283</v>
      </c>
      <c r="L28" s="39" t="n">
        <v>8322</v>
      </c>
      <c r="M28" s="39" t="n">
        <v>8399</v>
      </c>
      <c r="N28" s="39" t="n">
        <v>8584</v>
      </c>
      <c r="O28" s="39" t="n">
        <v>8842</v>
      </c>
      <c r="P28" s="18"/>
      <c r="Q28" s="33" t="n">
        <f aca="false">O28-C28</f>
        <v>1530</v>
      </c>
      <c r="R28" s="0" t="s">
        <v>16</v>
      </c>
    </row>
    <row r="29" customFormat="false" ht="15.75" hidden="false" customHeight="false" outlineLevel="0" collapsed="false">
      <c r="A29" s="40" t="str">
        <f aca="false">'1850'!A29</f>
        <v>fakturační vodoměr č.         63796</v>
      </c>
      <c r="B29" s="41"/>
      <c r="C29" s="112" t="n">
        <f aca="false">'1850'!C29</f>
        <v>16304</v>
      </c>
      <c r="D29" s="112" t="n">
        <f aca="false">'1850'!D29</f>
        <v>16653.4</v>
      </c>
      <c r="E29" s="112" t="n">
        <f aca="false">'1850'!E29</f>
        <v>16977.5</v>
      </c>
      <c r="F29" s="112" t="n">
        <f aca="false">'1850'!F29</f>
        <v>17322.7</v>
      </c>
      <c r="G29" s="112" t="n">
        <f aca="false">'1850'!G29</f>
        <v>17680.1</v>
      </c>
      <c r="H29" s="112" t="n">
        <f aca="false">'1850'!H29</f>
        <v>18036.6</v>
      </c>
      <c r="I29" s="112" t="n">
        <f aca="false">'1850'!I29</f>
        <v>18355.9</v>
      </c>
      <c r="J29" s="112" t="n">
        <f aca="false">'1850'!J29</f>
        <v>18672</v>
      </c>
      <c r="K29" s="112" t="n">
        <f aca="false">'1850'!K29</f>
        <v>18979.4</v>
      </c>
      <c r="L29" s="112" t="n">
        <f aca="false">'1850'!L29</f>
        <v>19283.1</v>
      </c>
      <c r="M29" s="112" t="n">
        <f aca="false">'1850'!M29</f>
        <v>19628</v>
      </c>
      <c r="N29" s="112" t="n">
        <f aca="false">'1850'!N29</f>
        <v>19942.6</v>
      </c>
      <c r="O29" s="112" t="n">
        <f aca="false">'1850'!O29</f>
        <v>20281.1</v>
      </c>
      <c r="P29" s="18" t="n">
        <f aca="false">O29-C29</f>
        <v>3977.1</v>
      </c>
    </row>
    <row r="31" customFormat="false" ht="15" hidden="false" customHeight="false" outlineLevel="0" collapsed="false">
      <c r="C31" s="113" t="s">
        <v>18</v>
      </c>
      <c r="D31" s="93" t="s">
        <v>152</v>
      </c>
      <c r="E31" s="44"/>
      <c r="F31" s="113" t="s">
        <v>45</v>
      </c>
      <c r="G31" s="113" t="s">
        <v>46</v>
      </c>
    </row>
    <row r="32" customFormat="false" ht="15" hidden="false" customHeight="false" outlineLevel="0" collapsed="false">
      <c r="C32" s="96" t="n">
        <v>9</v>
      </c>
      <c r="D32" s="97" t="n">
        <v>43950</v>
      </c>
      <c r="E32" s="88" t="s">
        <v>48</v>
      </c>
      <c r="F32" s="114" t="n">
        <v>190834113</v>
      </c>
      <c r="G32" s="90" t="n">
        <f aca="false">M20+7.7</f>
        <v>258.558</v>
      </c>
    </row>
    <row r="33" customFormat="false" ht="15" hidden="false" customHeight="false" outlineLevel="0" collapsed="false">
      <c r="C33" s="96"/>
      <c r="D33" s="97"/>
      <c r="E33" s="88" t="s">
        <v>53</v>
      </c>
      <c r="F33" s="114" t="n">
        <v>221525380</v>
      </c>
      <c r="G33" s="90" t="n">
        <v>0</v>
      </c>
    </row>
    <row r="35" customFormat="false" ht="15" hidden="false" customHeight="false" outlineLevel="0" collapsed="false">
      <c r="D35" s="0" t="s">
        <v>129</v>
      </c>
    </row>
    <row r="36" customFormat="false" ht="15" hidden="false" customHeight="false" outlineLevel="0" collapsed="false">
      <c r="D36" s="97" t="n">
        <v>43956</v>
      </c>
      <c r="E36" s="88" t="s">
        <v>48</v>
      </c>
      <c r="F36" s="115"/>
      <c r="G36" s="115"/>
      <c r="H36" s="102"/>
    </row>
    <row r="37" customFormat="false" ht="15" hidden="false" customHeight="false" outlineLevel="0" collapsed="false">
      <c r="D37" s="97"/>
      <c r="E37" s="88" t="s">
        <v>53</v>
      </c>
      <c r="F37" s="98"/>
      <c r="G37" s="98"/>
      <c r="H37" s="102"/>
    </row>
    <row r="41" customFormat="false" ht="15" hidden="false" customHeight="false" outlineLevel="0" collapsed="false">
      <c r="B41" s="116" t="s">
        <v>146</v>
      </c>
      <c r="C41" s="117" t="n">
        <v>143.658</v>
      </c>
      <c r="D41" s="118" t="n">
        <v>145.286</v>
      </c>
      <c r="E41" s="118" t="n">
        <v>146.443</v>
      </c>
      <c r="F41" s="118" t="n">
        <v>147.384</v>
      </c>
      <c r="G41" s="118" t="n">
        <v>148.159</v>
      </c>
      <c r="H41" s="118" t="n">
        <v>148.938</v>
      </c>
      <c r="I41" s="118" t="n">
        <v>149.689</v>
      </c>
      <c r="J41" s="118" t="n">
        <v>150.164</v>
      </c>
      <c r="K41" s="118" t="n">
        <v>150.705</v>
      </c>
      <c r="L41" s="118" t="n">
        <v>151.354</v>
      </c>
      <c r="M41" s="118" t="n">
        <v>152.571</v>
      </c>
      <c r="N41" s="118" t="n">
        <v>0.434</v>
      </c>
      <c r="O41" s="118" t="n">
        <v>11.177</v>
      </c>
      <c r="P41" s="119" t="n">
        <f aca="false">O41+N43-C41</f>
        <v>20.979</v>
      </c>
      <c r="Q41" s="120"/>
      <c r="R41" s="120"/>
      <c r="S41" s="120"/>
      <c r="T41" s="121" t="n">
        <v>9</v>
      </c>
      <c r="U41" s="122" t="n">
        <f aca="false">D41-C41</f>
        <v>1.62800000000001</v>
      </c>
      <c r="V41" s="122" t="n">
        <f aca="false">E41-D41</f>
        <v>1.15700000000001</v>
      </c>
      <c r="W41" s="122" t="n">
        <f aca="false">F41-E41</f>
        <v>0.940999999999974</v>
      </c>
      <c r="X41" s="122" t="n">
        <f aca="false">G41-F41</f>
        <v>0.775000000000006</v>
      </c>
      <c r="Y41" s="122" t="n">
        <f aca="false">H41-G41</f>
        <v>0.778999999999996</v>
      </c>
      <c r="Z41" s="122" t="n">
        <f aca="false">I41-H41</f>
        <v>0.751000000000005</v>
      </c>
      <c r="AA41" s="122" t="n">
        <f aca="false">J41-I41</f>
        <v>0.474999999999994</v>
      </c>
      <c r="AB41" s="122" t="n">
        <f aca="false">K41-J41</f>
        <v>0.541000000000025</v>
      </c>
      <c r="AC41" s="122" t="n">
        <f aca="false">L41-K41</f>
        <v>0.649000000000001</v>
      </c>
      <c r="AD41" s="122" t="n">
        <f aca="false">M41-L41</f>
        <v>1.21699999999998</v>
      </c>
      <c r="AE41" s="122" t="n">
        <f aca="false">N41+N43-M41</f>
        <v>1.32300000000001</v>
      </c>
      <c r="AF41" s="122" t="n">
        <f aca="false">O41+H53-N41</f>
        <v>10.743</v>
      </c>
    </row>
    <row r="43" customFormat="false" ht="15" hidden="false" customHeight="false" outlineLevel="0" collapsed="false">
      <c r="L43" s="123"/>
      <c r="M43" s="123" t="n">
        <v>44681</v>
      </c>
      <c r="N43" s="120" t="n">
        <v>153.46</v>
      </c>
    </row>
  </sheetData>
  <mergeCells count="15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C32:C33"/>
    <mergeCell ref="D32:D33"/>
    <mergeCell ref="D36:D37"/>
    <mergeCell ref="F36:G36"/>
    <mergeCell ref="F37:G37"/>
  </mergeCells>
  <conditionalFormatting sqref="H4">
    <cfRule type="cellIs" priority="2" operator="lessThan" aboveAverage="0" equalAverage="0" bottom="0" percent="0" rank="0" text="" dxfId="1215">
      <formula>'1852'!$G$4</formula>
    </cfRule>
    <cfRule type="cellIs" priority="3" operator="equal" aboveAverage="0" equalAverage="0" bottom="0" percent="0" rank="0" text="" dxfId="1216">
      <formula>'1852'!$G$4</formula>
    </cfRule>
  </conditionalFormatting>
  <conditionalFormatting sqref="G7">
    <cfRule type="cellIs" priority="4" operator="equal" aboveAverage="0" equalAverage="0" bottom="0" percent="0" rank="0" text="" dxfId="1217">
      <formula>'1852'!$F$7</formula>
    </cfRule>
    <cfRule type="cellIs" priority="5" operator="lessThan" aboveAverage="0" equalAverage="0" bottom="0" percent="0" rank="0" text="" dxfId="1218">
      <formula>'1852'!$F$7</formula>
    </cfRule>
  </conditionalFormatting>
  <conditionalFormatting sqref="H5">
    <cfRule type="cellIs" priority="6" operator="equal" aboveAverage="0" equalAverage="0" bottom="0" percent="0" rank="0" text="" dxfId="1219">
      <formula>'1852'!$G$5</formula>
    </cfRule>
    <cfRule type="cellIs" priority="7" operator="lessThan" aboveAverage="0" equalAverage="0" bottom="0" percent="0" rank="0" text="" dxfId="1220">
      <formula>'1852'!$G$5</formula>
    </cfRule>
  </conditionalFormatting>
  <conditionalFormatting sqref="I5">
    <cfRule type="cellIs" priority="8" operator="equal" aboveAverage="0" equalAverage="0" bottom="0" percent="0" rank="0" text="" dxfId="1221">
      <formula>'1852'!$H$5</formula>
    </cfRule>
    <cfRule type="cellIs" priority="9" operator="lessThan" aboveAverage="0" equalAverage="0" bottom="0" percent="0" rank="0" text="" dxfId="1222">
      <formula>'1852'!$H$5</formula>
    </cfRule>
  </conditionalFormatting>
  <conditionalFormatting sqref="J5">
    <cfRule type="cellIs" priority="10" operator="equal" aboveAverage="0" equalAverage="0" bottom="0" percent="0" rank="0" text="" dxfId="1223">
      <formula>'1852'!$I$5</formula>
    </cfRule>
    <cfRule type="cellIs" priority="11" operator="lessThan" aboveAverage="0" equalAverage="0" bottom="0" percent="0" rank="0" text="" dxfId="1224">
      <formula>'1852'!$I$5</formula>
    </cfRule>
  </conditionalFormatting>
  <conditionalFormatting sqref="F4">
    <cfRule type="cellIs" priority="12" operator="equal" aboveAverage="0" equalAverage="0" bottom="0" percent="0" rank="0" text="" dxfId="1225">
      <formula>'1852'!$E$4</formula>
    </cfRule>
    <cfRule type="cellIs" priority="13" operator="lessThan" aboveAverage="0" equalAverage="0" bottom="0" percent="0" rank="0" text="" dxfId="1226">
      <formula>'1852'!$E$4</formula>
    </cfRule>
  </conditionalFormatting>
  <conditionalFormatting sqref="D4">
    <cfRule type="cellIs" priority="14" operator="lessThan" aboveAverage="0" equalAverage="0" bottom="0" percent="0" rank="0" text="" dxfId="1227">
      <formula>'1852'!$C$4</formula>
    </cfRule>
    <cfRule type="cellIs" priority="15" operator="equal" aboveAverage="0" equalAverage="0" bottom="0" percent="0" rank="0" text="" dxfId="1228">
      <formula>'1852'!$C$4</formula>
    </cfRule>
  </conditionalFormatting>
  <conditionalFormatting sqref="E4">
    <cfRule type="cellIs" priority="16" operator="equal" aboveAverage="0" equalAverage="0" bottom="0" percent="0" rank="0" text="" dxfId="1229">
      <formula>'1852'!$D$4</formula>
    </cfRule>
    <cfRule type="cellIs" priority="17" operator="lessThan" aboveAverage="0" equalAverage="0" bottom="0" percent="0" rank="0" text="" dxfId="1230">
      <formula>'1852'!$D$4</formula>
    </cfRule>
  </conditionalFormatting>
  <conditionalFormatting sqref="D5">
    <cfRule type="cellIs" priority="18" operator="equal" aboveAverage="0" equalAverage="0" bottom="0" percent="0" rank="0" text="" dxfId="1231">
      <formula>'1852'!$C$5</formula>
    </cfRule>
    <cfRule type="cellIs" priority="19" operator="lessThan" aboveAverage="0" equalAverage="0" bottom="0" percent="0" rank="0" text="" dxfId="1232">
      <formula>'1852'!$C$5</formula>
    </cfRule>
  </conditionalFormatting>
  <conditionalFormatting sqref="F5">
    <cfRule type="cellIs" priority="20" operator="equal" aboveAverage="0" equalAverage="0" bottom="0" percent="0" rank="0" text="" dxfId="1233">
      <formula>'1852'!$E$5</formula>
    </cfRule>
    <cfRule type="cellIs" priority="21" operator="lessThan" aboveAverage="0" equalAverage="0" bottom="0" percent="0" rank="0" text="" dxfId="1234">
      <formula>'1852'!$E$5</formula>
    </cfRule>
  </conditionalFormatting>
  <conditionalFormatting sqref="I4">
    <cfRule type="cellIs" priority="22" operator="equal" aboveAverage="0" equalAverage="0" bottom="0" percent="0" rank="0" text="" dxfId="1235">
      <formula>'1852'!$H$4</formula>
    </cfRule>
  </conditionalFormatting>
  <conditionalFormatting sqref="J4">
    <cfRule type="cellIs" priority="23" operator="lessThan" aboveAverage="0" equalAverage="0" bottom="0" percent="0" rank="0" text="" dxfId="1236">
      <formula>'1852'!$I$4</formula>
    </cfRule>
    <cfRule type="cellIs" priority="24" operator="equal" aboveAverage="0" equalAverage="0" bottom="0" percent="0" rank="0" text="" dxfId="1237">
      <formula>'1852'!$I$4</formula>
    </cfRule>
  </conditionalFormatting>
  <conditionalFormatting sqref="D6">
    <cfRule type="cellIs" priority="25" operator="equal" aboveAverage="0" equalAverage="0" bottom="0" percent="0" rank="0" text="" dxfId="1238">
      <formula>'1852'!$C$6</formula>
    </cfRule>
    <cfRule type="cellIs" priority="26" operator="lessThan" aboveAverage="0" equalAverage="0" bottom="0" percent="0" rank="0" text="" dxfId="1239">
      <formula>'1852'!$C$6</formula>
    </cfRule>
  </conditionalFormatting>
  <conditionalFormatting sqref="E6">
    <cfRule type="cellIs" priority="27" operator="equal" aboveAverage="0" equalAverage="0" bottom="0" percent="0" rank="0" text="" dxfId="1240">
      <formula>'1852'!$D$6</formula>
    </cfRule>
    <cfRule type="cellIs" priority="28" operator="lessThan" aboveAverage="0" equalAverage="0" bottom="0" percent="0" rank="0" text="" dxfId="1241">
      <formula>'1852'!$D$6</formula>
    </cfRule>
  </conditionalFormatting>
  <conditionalFormatting sqref="F6">
    <cfRule type="cellIs" priority="29" operator="equal" aboveAverage="0" equalAverage="0" bottom="0" percent="0" rank="0" text="" dxfId="1242">
      <formula>'1852'!$E$6</formula>
    </cfRule>
    <cfRule type="cellIs" priority="30" operator="lessThan" aboveAverage="0" equalAverage="0" bottom="0" percent="0" rank="0" text="" dxfId="1243">
      <formula>'1852'!$E$6</formula>
    </cfRule>
  </conditionalFormatting>
  <conditionalFormatting sqref="G6">
    <cfRule type="cellIs" priority="31" operator="equal" aboveAverage="0" equalAverage="0" bottom="0" percent="0" rank="0" text="" dxfId="1244">
      <formula>'1852'!$F$6</formula>
    </cfRule>
    <cfRule type="cellIs" priority="32" operator="lessThan" aboveAverage="0" equalAverage="0" bottom="0" percent="0" rank="0" text="" dxfId="1245">
      <formula>'1852'!$F$6</formula>
    </cfRule>
  </conditionalFormatting>
  <conditionalFormatting sqref="H6">
    <cfRule type="cellIs" priority="33" operator="equal" aboveAverage="0" equalAverage="0" bottom="0" percent="0" rank="0" text="" dxfId="1246">
      <formula>'1852'!$G$6</formula>
    </cfRule>
    <cfRule type="cellIs" priority="34" operator="lessThan" aboveAverage="0" equalAverage="0" bottom="0" percent="0" rank="0" text="" dxfId="1247">
      <formula>'1852'!$G$6</formula>
    </cfRule>
  </conditionalFormatting>
  <conditionalFormatting sqref="I6">
    <cfRule type="cellIs" priority="35" operator="equal" aboveAverage="0" equalAverage="0" bottom="0" percent="0" rank="0" text="" dxfId="1248">
      <formula>'1852'!$H$6</formula>
    </cfRule>
    <cfRule type="cellIs" priority="36" operator="lessThan" aboveAverage="0" equalAverage="0" bottom="0" percent="0" rank="0" text="" dxfId="1249">
      <formula>'1852'!$H$6</formula>
    </cfRule>
  </conditionalFormatting>
  <conditionalFormatting sqref="J6">
    <cfRule type="cellIs" priority="37" operator="equal" aboveAverage="0" equalAverage="0" bottom="0" percent="0" rank="0" text="" dxfId="1250">
      <formula>'1852'!$I$6</formula>
    </cfRule>
    <cfRule type="cellIs" priority="38" operator="lessThan" aboveAverage="0" equalAverage="0" bottom="0" percent="0" rank="0" text="" dxfId="1251">
      <formula>'1852'!$I$6</formula>
    </cfRule>
  </conditionalFormatting>
  <conditionalFormatting sqref="D7">
    <cfRule type="cellIs" priority="39" operator="equal" aboveAverage="0" equalAverage="0" bottom="0" percent="0" rank="0" text="" dxfId="1252">
      <formula>'1852'!$C$7</formula>
    </cfRule>
    <cfRule type="cellIs" priority="40" operator="lessThan" aboveAverage="0" equalAverage="0" bottom="0" percent="0" rank="0" text="" dxfId="1253">
      <formula>'1852'!$C$7</formula>
    </cfRule>
  </conditionalFormatting>
  <conditionalFormatting sqref="E7">
    <cfRule type="cellIs" priority="41" operator="equal" aboveAverage="0" equalAverage="0" bottom="0" percent="0" rank="0" text="" dxfId="1254">
      <formula>'1852'!$D$7</formula>
    </cfRule>
    <cfRule type="cellIs" priority="42" operator="lessThan" aboveAverage="0" equalAverage="0" bottom="0" percent="0" rank="0" text="" dxfId="1255">
      <formula>'1852'!$D$7</formula>
    </cfRule>
  </conditionalFormatting>
  <conditionalFormatting sqref="F7">
    <cfRule type="cellIs" priority="43" operator="equal" aboveAverage="0" equalAverage="0" bottom="0" percent="0" rank="0" text="" dxfId="1256">
      <formula>'1852'!$E$7</formula>
    </cfRule>
    <cfRule type="cellIs" priority="44" operator="lessThan" aboveAverage="0" equalAverage="0" bottom="0" percent="0" rank="0" text="" dxfId="1257">
      <formula>'1852'!$E$7</formula>
    </cfRule>
  </conditionalFormatting>
  <conditionalFormatting sqref="H7">
    <cfRule type="cellIs" priority="45" operator="equal" aboveAverage="0" equalAverage="0" bottom="0" percent="0" rank="0" text="" dxfId="1258">
      <formula>'1852'!$G$7</formula>
    </cfRule>
    <cfRule type="cellIs" priority="46" operator="lessThan" aboveAverage="0" equalAverage="0" bottom="0" percent="0" rank="0" text="" dxfId="1259">
      <formula>'1852'!$G$7</formula>
    </cfRule>
  </conditionalFormatting>
  <conditionalFormatting sqref="I7">
    <cfRule type="cellIs" priority="47" operator="equal" aboveAverage="0" equalAverage="0" bottom="0" percent="0" rank="0" text="" dxfId="1260">
      <formula>'1852'!$H$7</formula>
    </cfRule>
    <cfRule type="cellIs" priority="48" operator="lessThan" aboveAverage="0" equalAverage="0" bottom="0" percent="0" rank="0" text="" dxfId="1261">
      <formula>'1852'!$H$7</formula>
    </cfRule>
  </conditionalFormatting>
  <conditionalFormatting sqref="J7">
    <cfRule type="cellIs" priority="49" operator="equal" aboveAverage="0" equalAverage="0" bottom="0" percent="0" rank="0" text="" dxfId="1262">
      <formula>'1852'!$I$7</formula>
    </cfRule>
    <cfRule type="cellIs" priority="50" operator="lessThan" aboveAverage="0" equalAverage="0" bottom="0" percent="0" rank="0" text="" dxfId="1263">
      <formula>'1852'!$I$7</formula>
    </cfRule>
  </conditionalFormatting>
  <conditionalFormatting sqref="D8">
    <cfRule type="cellIs" priority="51" operator="equal" aboveAverage="0" equalAverage="0" bottom="0" percent="0" rank="0" text="" dxfId="1264">
      <formula>'1852'!$C$8</formula>
    </cfRule>
    <cfRule type="cellIs" priority="52" operator="lessThan" aboveAverage="0" equalAverage="0" bottom="0" percent="0" rank="0" text="" dxfId="1265">
      <formula>'1852'!$C$8</formula>
    </cfRule>
  </conditionalFormatting>
  <conditionalFormatting sqref="E8">
    <cfRule type="cellIs" priority="53" operator="equal" aboveAverage="0" equalAverage="0" bottom="0" percent="0" rank="0" text="" dxfId="1266">
      <formula>'1852'!$D$8</formula>
    </cfRule>
    <cfRule type="cellIs" priority="54" operator="lessThan" aboveAverage="0" equalAverage="0" bottom="0" percent="0" rank="0" text="" dxfId="1267">
      <formula>'1852'!$D$8</formula>
    </cfRule>
  </conditionalFormatting>
  <conditionalFormatting sqref="F8">
    <cfRule type="cellIs" priority="55" operator="equal" aboveAverage="0" equalAverage="0" bottom="0" percent="0" rank="0" text="" dxfId="1268">
      <formula>'1852'!$E$8</formula>
    </cfRule>
    <cfRule type="cellIs" priority="56" operator="lessThan" aboveAverage="0" equalAverage="0" bottom="0" percent="0" rank="0" text="" dxfId="1269">
      <formula>'1852'!$E$8</formula>
    </cfRule>
  </conditionalFormatting>
  <conditionalFormatting sqref="G8">
    <cfRule type="cellIs" priority="57" operator="equal" aboveAverage="0" equalAverage="0" bottom="0" percent="0" rank="0" text="" dxfId="1270">
      <formula>'1852'!$F$8</formula>
    </cfRule>
    <cfRule type="cellIs" priority="58" operator="lessThan" aboveAverage="0" equalAverage="0" bottom="0" percent="0" rank="0" text="" dxfId="1271">
      <formula>'1852'!$F$8</formula>
    </cfRule>
  </conditionalFormatting>
  <conditionalFormatting sqref="H8">
    <cfRule type="cellIs" priority="59" operator="equal" aboveAverage="0" equalAverage="0" bottom="0" percent="0" rank="0" text="" dxfId="1272">
      <formula>'1852'!$G$8</formula>
    </cfRule>
    <cfRule type="cellIs" priority="60" operator="lessThan" aboveAverage="0" equalAverage="0" bottom="0" percent="0" rank="0" text="" dxfId="1273">
      <formula>'1852'!$G$8</formula>
    </cfRule>
  </conditionalFormatting>
  <conditionalFormatting sqref="I8">
    <cfRule type="cellIs" priority="61" operator="equal" aboveAverage="0" equalAverage="0" bottom="0" percent="0" rank="0" text="" dxfId="1274">
      <formula>'1852'!$H$8</formula>
    </cfRule>
    <cfRule type="cellIs" priority="62" operator="lessThan" aboveAverage="0" equalAverage="0" bottom="0" percent="0" rank="0" text="" dxfId="1275">
      <formula>'1852'!$H$8</formula>
    </cfRule>
  </conditionalFormatting>
  <conditionalFormatting sqref="J8">
    <cfRule type="cellIs" priority="63" operator="equal" aboveAverage="0" equalAverage="0" bottom="0" percent="0" rank="0" text="" dxfId="1276">
      <formula>'1852'!$I$8</formula>
    </cfRule>
    <cfRule type="cellIs" priority="64" operator="lessThan" aboveAverage="0" equalAverage="0" bottom="0" percent="0" rank="0" text="" dxfId="1277">
      <formula>'1852'!$I$8</formula>
    </cfRule>
  </conditionalFormatting>
  <conditionalFormatting sqref="D9">
    <cfRule type="cellIs" priority="65" operator="equal" aboveAverage="0" equalAverage="0" bottom="0" percent="0" rank="0" text="" dxfId="1278">
      <formula>'1852'!$C$9</formula>
    </cfRule>
    <cfRule type="cellIs" priority="66" operator="lessThan" aboveAverage="0" equalAverage="0" bottom="0" percent="0" rank="0" text="" dxfId="1279">
      <formula>'1852'!$C$9</formula>
    </cfRule>
  </conditionalFormatting>
  <conditionalFormatting sqref="E9">
    <cfRule type="cellIs" priority="67" operator="equal" aboveAverage="0" equalAverage="0" bottom="0" percent="0" rank="0" text="" dxfId="1280">
      <formula>'1852'!$D$9</formula>
    </cfRule>
    <cfRule type="cellIs" priority="68" operator="lessThan" aboveAverage="0" equalAverage="0" bottom="0" percent="0" rank="0" text="" dxfId="1281">
      <formula>'1852'!$D$9</formula>
    </cfRule>
  </conditionalFormatting>
  <conditionalFormatting sqref="F9">
    <cfRule type="cellIs" priority="69" operator="equal" aboveAverage="0" equalAverage="0" bottom="0" percent="0" rank="0" text="" dxfId="1282">
      <formula>'1852'!$E$9</formula>
    </cfRule>
    <cfRule type="cellIs" priority="70" operator="lessThan" aboveAverage="0" equalAverage="0" bottom="0" percent="0" rank="0" text="" dxfId="1283">
      <formula>'1852'!$E$9</formula>
    </cfRule>
  </conditionalFormatting>
  <conditionalFormatting sqref="G9">
    <cfRule type="cellIs" priority="71" operator="equal" aboveAverage="0" equalAverage="0" bottom="0" percent="0" rank="0" text="" dxfId="1284">
      <formula>'1852'!$F$9</formula>
    </cfRule>
    <cfRule type="cellIs" priority="72" operator="lessThan" aboveAverage="0" equalAverage="0" bottom="0" percent="0" rank="0" text="" dxfId="1285">
      <formula>'1852'!$F$9</formula>
    </cfRule>
  </conditionalFormatting>
  <conditionalFormatting sqref="H9">
    <cfRule type="cellIs" priority="73" operator="equal" aboveAverage="0" equalAverage="0" bottom="0" percent="0" rank="0" text="" dxfId="1286">
      <formula>'1852'!$G$9</formula>
    </cfRule>
    <cfRule type="cellIs" priority="74" operator="lessThan" aboveAverage="0" equalAverage="0" bottom="0" percent="0" rank="0" text="" dxfId="1287">
      <formula>'1852'!$G$9</formula>
    </cfRule>
  </conditionalFormatting>
  <conditionalFormatting sqref="I9">
    <cfRule type="cellIs" priority="75" operator="equal" aboveAverage="0" equalAverage="0" bottom="0" percent="0" rank="0" text="" dxfId="1288">
      <formula>'1852'!$H$9</formula>
    </cfRule>
    <cfRule type="cellIs" priority="76" operator="lessThan" aboveAverage="0" equalAverage="0" bottom="0" percent="0" rank="0" text="" dxfId="1289">
      <formula>'1852'!$H$9</formula>
    </cfRule>
  </conditionalFormatting>
  <conditionalFormatting sqref="J9">
    <cfRule type="cellIs" priority="77" operator="equal" aboveAverage="0" equalAverage="0" bottom="0" percent="0" rank="0" text="" dxfId="1290">
      <formula>'1852'!$I$9</formula>
    </cfRule>
    <cfRule type="cellIs" priority="78" operator="lessThan" aboveAverage="0" equalAverage="0" bottom="0" percent="0" rank="0" text="" dxfId="1291">
      <formula>'1852'!$I$9</formula>
    </cfRule>
  </conditionalFormatting>
  <conditionalFormatting sqref="D10">
    <cfRule type="cellIs" priority="79" operator="equal" aboveAverage="0" equalAverage="0" bottom="0" percent="0" rank="0" text="" dxfId="1292">
      <formula>'1852'!$C$10</formula>
    </cfRule>
    <cfRule type="cellIs" priority="80" operator="lessThan" aboveAverage="0" equalAverage="0" bottom="0" percent="0" rank="0" text="" dxfId="1293">
      <formula>'1852'!$C$10</formula>
    </cfRule>
  </conditionalFormatting>
  <conditionalFormatting sqref="E10">
    <cfRule type="cellIs" priority="81" operator="equal" aboveAverage="0" equalAverage="0" bottom="0" percent="0" rank="0" text="" dxfId="1294">
      <formula>'1852'!$D$10</formula>
    </cfRule>
    <cfRule type="cellIs" priority="82" operator="lessThan" aboveAverage="0" equalAverage="0" bottom="0" percent="0" rank="0" text="" dxfId="1295">
      <formula>'1852'!$D$10</formula>
    </cfRule>
  </conditionalFormatting>
  <conditionalFormatting sqref="F10">
    <cfRule type="cellIs" priority="83" operator="equal" aboveAverage="0" equalAverage="0" bottom="0" percent="0" rank="0" text="" dxfId="1296">
      <formula>'1852'!$E$10</formula>
    </cfRule>
    <cfRule type="cellIs" priority="84" operator="lessThan" aboveAverage="0" equalAverage="0" bottom="0" percent="0" rank="0" text="" dxfId="1297">
      <formula>'1852'!$E$10</formula>
    </cfRule>
  </conditionalFormatting>
  <conditionalFormatting sqref="G10">
    <cfRule type="cellIs" priority="85" operator="equal" aboveAverage="0" equalAverage="0" bottom="0" percent="0" rank="0" text="" dxfId="1298">
      <formula>'1852'!$F$10</formula>
    </cfRule>
    <cfRule type="cellIs" priority="86" operator="lessThan" aboveAverage="0" equalAverage="0" bottom="0" percent="0" rank="0" text="" dxfId="1299">
      <formula>'1852'!$F$10</formula>
    </cfRule>
  </conditionalFormatting>
  <conditionalFormatting sqref="H10">
    <cfRule type="cellIs" priority="87" operator="equal" aboveAverage="0" equalAverage="0" bottom="0" percent="0" rank="0" text="" dxfId="1300">
      <formula>'1852'!$G$10</formula>
    </cfRule>
    <cfRule type="cellIs" priority="88" operator="lessThan" aboveAverage="0" equalAverage="0" bottom="0" percent="0" rank="0" text="" dxfId="1301">
      <formula>'1852'!$G$10</formula>
    </cfRule>
  </conditionalFormatting>
  <conditionalFormatting sqref="I10">
    <cfRule type="cellIs" priority="89" operator="equal" aboveAverage="0" equalAverage="0" bottom="0" percent="0" rank="0" text="" dxfId="1302">
      <formula>'1852'!$H$10</formula>
    </cfRule>
    <cfRule type="cellIs" priority="90" operator="lessThan" aboveAverage="0" equalAverage="0" bottom="0" percent="0" rank="0" text="" dxfId="1303">
      <formula>'1852'!$H$10</formula>
    </cfRule>
  </conditionalFormatting>
  <conditionalFormatting sqref="J10">
    <cfRule type="cellIs" priority="91" operator="equal" aboveAverage="0" equalAverage="0" bottom="0" percent="0" rank="0" text="" dxfId="1304">
      <formula>'1852'!$I$10</formula>
    </cfRule>
    <cfRule type="cellIs" priority="92" operator="lessThan" aboveAverage="0" equalAverage="0" bottom="0" percent="0" rank="0" text="" dxfId="1305">
      <formula>'1852'!$I$10</formula>
    </cfRule>
  </conditionalFormatting>
  <conditionalFormatting sqref="D11">
    <cfRule type="cellIs" priority="93" operator="equal" aboveAverage="0" equalAverage="0" bottom="0" percent="0" rank="0" text="" dxfId="1306">
      <formula>'1852'!$C$11</formula>
    </cfRule>
    <cfRule type="cellIs" priority="94" operator="lessThan" aboveAverage="0" equalAverage="0" bottom="0" percent="0" rank="0" text="" dxfId="1307">
      <formula>'1852'!$C$11</formula>
    </cfRule>
  </conditionalFormatting>
  <conditionalFormatting sqref="E11">
    <cfRule type="cellIs" priority="95" operator="equal" aboveAverage="0" equalAverage="0" bottom="0" percent="0" rank="0" text="" dxfId="1308">
      <formula>'1852'!$D$11</formula>
    </cfRule>
    <cfRule type="cellIs" priority="96" operator="lessThan" aboveAverage="0" equalAverage="0" bottom="0" percent="0" rank="0" text="" dxfId="1309">
      <formula>'1852'!$D$11</formula>
    </cfRule>
  </conditionalFormatting>
  <conditionalFormatting sqref="F11">
    <cfRule type="cellIs" priority="97" operator="equal" aboveAverage="0" equalAverage="0" bottom="0" percent="0" rank="0" text="" dxfId="1310">
      <formula>'1852'!$E$11</formula>
    </cfRule>
    <cfRule type="cellIs" priority="98" operator="lessThan" aboveAverage="0" equalAverage="0" bottom="0" percent="0" rank="0" text="" dxfId="1311">
      <formula>'1852'!$E$11</formula>
    </cfRule>
  </conditionalFormatting>
  <conditionalFormatting sqref="G11">
    <cfRule type="cellIs" priority="99" operator="equal" aboveAverage="0" equalAverage="0" bottom="0" percent="0" rank="0" text="" dxfId="1312">
      <formula>'1852'!$F$11</formula>
    </cfRule>
    <cfRule type="cellIs" priority="100" operator="lessThan" aboveAverage="0" equalAverage="0" bottom="0" percent="0" rank="0" text="" dxfId="1313">
      <formula>'1852'!$F$11</formula>
    </cfRule>
  </conditionalFormatting>
  <conditionalFormatting sqref="H11">
    <cfRule type="cellIs" priority="101" operator="equal" aboveAverage="0" equalAverage="0" bottom="0" percent="0" rank="0" text="" dxfId="1314">
      <formula>'1852'!$G$11</formula>
    </cfRule>
    <cfRule type="cellIs" priority="102" operator="lessThan" aboveAverage="0" equalAverage="0" bottom="0" percent="0" rank="0" text="" dxfId="1315">
      <formula>'1852'!$G$11</formula>
    </cfRule>
  </conditionalFormatting>
  <conditionalFormatting sqref="I11">
    <cfRule type="cellIs" priority="103" operator="equal" aboveAverage="0" equalAverage="0" bottom="0" percent="0" rank="0" text="" dxfId="1316">
      <formula>'1852'!$H$11</formula>
    </cfRule>
    <cfRule type="cellIs" priority="104" operator="lessThan" aboveAverage="0" equalAverage="0" bottom="0" percent="0" rank="0" text="" dxfId="1317">
      <formula>'1852'!$H$11</formula>
    </cfRule>
  </conditionalFormatting>
  <conditionalFormatting sqref="J11">
    <cfRule type="cellIs" priority="105" operator="equal" aboveAverage="0" equalAverage="0" bottom="0" percent="0" rank="0" text="" dxfId="1318">
      <formula>'1852'!$I$11</formula>
    </cfRule>
    <cfRule type="cellIs" priority="106" operator="lessThan" aboveAverage="0" equalAverage="0" bottom="0" percent="0" rank="0" text="" dxfId="1319">
      <formula>'1852'!$I$11</formula>
    </cfRule>
  </conditionalFormatting>
  <conditionalFormatting sqref="D12">
    <cfRule type="cellIs" priority="107" operator="equal" aboveAverage="0" equalAverage="0" bottom="0" percent="0" rank="0" text="" dxfId="1320">
      <formula>'1852'!$C$12</formula>
    </cfRule>
    <cfRule type="cellIs" priority="108" operator="lessThan" aboveAverage="0" equalAverage="0" bottom="0" percent="0" rank="0" text="" dxfId="1321">
      <formula>'1852'!$C$12</formula>
    </cfRule>
  </conditionalFormatting>
  <conditionalFormatting sqref="E12">
    <cfRule type="cellIs" priority="109" operator="equal" aboveAverage="0" equalAverage="0" bottom="0" percent="0" rank="0" text="" dxfId="1322">
      <formula>'1852'!$D$12</formula>
    </cfRule>
    <cfRule type="cellIs" priority="110" operator="lessThan" aboveAverage="0" equalAverage="0" bottom="0" percent="0" rank="0" text="" dxfId="1323">
      <formula>'1852'!$D$12</formula>
    </cfRule>
  </conditionalFormatting>
  <conditionalFormatting sqref="F12">
    <cfRule type="cellIs" priority="111" operator="equal" aboveAverage="0" equalAverage="0" bottom="0" percent="0" rank="0" text="" dxfId="1324">
      <formula>'1852'!$E$12</formula>
    </cfRule>
    <cfRule type="cellIs" priority="112" operator="lessThan" aboveAverage="0" equalAverage="0" bottom="0" percent="0" rank="0" text="" dxfId="1325">
      <formula>'1852'!$E$12</formula>
    </cfRule>
  </conditionalFormatting>
  <conditionalFormatting sqref="G12">
    <cfRule type="cellIs" priority="113" operator="equal" aboveAverage="0" equalAverage="0" bottom="0" percent="0" rank="0" text="" dxfId="1326">
      <formula>'1852'!$F$12</formula>
    </cfRule>
    <cfRule type="cellIs" priority="114" operator="lessThan" aboveAverage="0" equalAverage="0" bottom="0" percent="0" rank="0" text="" dxfId="1327">
      <formula>'1852'!$F$12</formula>
    </cfRule>
  </conditionalFormatting>
  <conditionalFormatting sqref="H12">
    <cfRule type="cellIs" priority="115" operator="equal" aboveAverage="0" equalAverage="0" bottom="0" percent="0" rank="0" text="" dxfId="1328">
      <formula>'1852'!$G$12</formula>
    </cfRule>
    <cfRule type="cellIs" priority="116" operator="lessThan" aboveAverage="0" equalAverage="0" bottom="0" percent="0" rank="0" text="" dxfId="1329">
      <formula>'1852'!$G$12</formula>
    </cfRule>
  </conditionalFormatting>
  <conditionalFormatting sqref="I12">
    <cfRule type="cellIs" priority="117" operator="equal" aboveAverage="0" equalAverage="0" bottom="0" percent="0" rank="0" text="" dxfId="1330">
      <formula>'1852'!$H$12</formula>
    </cfRule>
    <cfRule type="cellIs" priority="118" operator="lessThan" aboveAverage="0" equalAverage="0" bottom="0" percent="0" rank="0" text="" dxfId="1331">
      <formula>'1852'!$H$12</formula>
    </cfRule>
  </conditionalFormatting>
  <conditionalFormatting sqref="J12">
    <cfRule type="cellIs" priority="119" operator="equal" aboveAverage="0" equalAverage="0" bottom="0" percent="0" rank="0" text="" dxfId="1332">
      <formula>'1852'!$I$12</formula>
    </cfRule>
    <cfRule type="cellIs" priority="120" operator="lessThan" aboveAverage="0" equalAverage="0" bottom="0" percent="0" rank="0" text="" dxfId="1333">
      <formula>'1852'!$I$12</formula>
    </cfRule>
  </conditionalFormatting>
  <conditionalFormatting sqref="D14">
    <cfRule type="cellIs" priority="121" operator="equal" aboveAverage="0" equalAverage="0" bottom="0" percent="0" rank="0" text="" dxfId="1334">
      <formula>'1852'!$C$14</formula>
    </cfRule>
    <cfRule type="cellIs" priority="122" operator="lessThan" aboveAverage="0" equalAverage="0" bottom="0" percent="0" rank="0" text="" dxfId="1335">
      <formula>'1852'!$C$14</formula>
    </cfRule>
  </conditionalFormatting>
  <conditionalFormatting sqref="D15">
    <cfRule type="cellIs" priority="123" operator="equal" aboveAverage="0" equalAverage="0" bottom="0" percent="0" rank="0" text="" dxfId="1336">
      <formula>'1852'!$C$15</formula>
    </cfRule>
    <cfRule type="cellIs" priority="124" operator="lessThan" aboveAverage="0" equalAverage="0" bottom="0" percent="0" rank="0" text="" dxfId="1337">
      <formula>'1852'!$C$15</formula>
    </cfRule>
  </conditionalFormatting>
  <conditionalFormatting sqref="D16">
    <cfRule type="cellIs" priority="125" operator="equal" aboveAverage="0" equalAverage="0" bottom="0" percent="0" rank="0" text="" dxfId="1338">
      <formula>'1852'!$C$16</formula>
    </cfRule>
    <cfRule type="cellIs" priority="126" operator="lessThan" aboveAverage="0" equalAverage="0" bottom="0" percent="0" rank="0" text="" dxfId="1339">
      <formula>'1852'!$C$16</formula>
    </cfRule>
  </conditionalFormatting>
  <conditionalFormatting sqref="D17">
    <cfRule type="cellIs" priority="127" operator="equal" aboveAverage="0" equalAverage="0" bottom="0" percent="0" rank="0" text="" dxfId="1340">
      <formula>'1852'!$C$17</formula>
    </cfRule>
    <cfRule type="cellIs" priority="128" operator="lessThan" aboveAverage="0" equalAverage="0" bottom="0" percent="0" rank="0" text="" dxfId="1341">
      <formula>'1852'!$C$17</formula>
    </cfRule>
  </conditionalFormatting>
  <conditionalFormatting sqref="D18">
    <cfRule type="cellIs" priority="129" operator="equal" aboveAverage="0" equalAverage="0" bottom="0" percent="0" rank="0" text="" dxfId="1342">
      <formula>'1852'!$C$18</formula>
    </cfRule>
    <cfRule type="cellIs" priority="130" operator="lessThan" aboveAverage="0" equalAverage="0" bottom="0" percent="0" rank="0" text="" dxfId="1343">
      <formula>'1852'!$C$18</formula>
    </cfRule>
  </conditionalFormatting>
  <conditionalFormatting sqref="D19">
    <cfRule type="cellIs" priority="131" operator="equal" aboveAverage="0" equalAverage="0" bottom="0" percent="0" rank="0" text="" dxfId="1344">
      <formula>'1852'!$C$19</formula>
    </cfRule>
    <cfRule type="cellIs" priority="132" operator="lessThan" aboveAverage="0" equalAverage="0" bottom="0" percent="0" rank="0" text="" dxfId="1345">
      <formula>'1852'!$C$19</formula>
    </cfRule>
  </conditionalFormatting>
  <conditionalFormatting sqref="D20">
    <cfRule type="cellIs" priority="133" operator="equal" aboveAverage="0" equalAverage="0" bottom="0" percent="0" rank="0" text="" dxfId="1346">
      <formula>'1852'!$C$20</formula>
    </cfRule>
    <cfRule type="cellIs" priority="134" operator="lessThan" aboveAverage="0" equalAverage="0" bottom="0" percent="0" rank="0" text="" dxfId="1347">
      <formula>'1852'!$C$20</formula>
    </cfRule>
  </conditionalFormatting>
  <conditionalFormatting sqref="D21">
    <cfRule type="cellIs" priority="135" operator="equal" aboveAverage="0" equalAverage="0" bottom="0" percent="0" rank="0" text="" dxfId="1348">
      <formula>'1852'!$C$21</formula>
    </cfRule>
    <cfRule type="cellIs" priority="136" operator="lessThan" aboveAverage="0" equalAverage="0" bottom="0" percent="0" rank="0" text="" dxfId="1349">
      <formula>'1852'!$C$21</formula>
    </cfRule>
  </conditionalFormatting>
  <conditionalFormatting sqref="D22">
    <cfRule type="cellIs" priority="137" operator="equal" aboveAverage="0" equalAverage="0" bottom="0" percent="0" rank="0" text="" dxfId="1350">
      <formula>'1852'!$C$22</formula>
    </cfRule>
    <cfRule type="cellIs" priority="138" operator="lessThan" aboveAverage="0" equalAverage="0" bottom="0" percent="0" rank="0" text="" dxfId="1351">
      <formula>'1852'!$C$22</formula>
    </cfRule>
  </conditionalFormatting>
  <conditionalFormatting sqref="D23">
    <cfRule type="cellIs" priority="139" operator="equal" aboveAverage="0" equalAverage="0" bottom="0" percent="0" rank="0" text="" dxfId="1352">
      <formula>'1852'!$C$23</formula>
    </cfRule>
    <cfRule type="cellIs" priority="140" operator="lessThan" aboveAverage="0" equalAverage="0" bottom="0" percent="0" rank="0" text="" dxfId="1353">
      <formula>'1852'!$C$23</formula>
    </cfRule>
  </conditionalFormatting>
  <conditionalFormatting sqref="D25">
    <cfRule type="cellIs" priority="141" operator="equal" aboveAverage="0" equalAverage="0" bottom="0" percent="0" rank="0" text="" dxfId="1354">
      <formula>'1852'!$C$25</formula>
    </cfRule>
    <cfRule type="cellIs" priority="142" operator="lessThan" aboveAverage="0" equalAverage="0" bottom="0" percent="0" rank="0" text="" dxfId="1355">
      <formula>'1852'!$C$25</formula>
    </cfRule>
  </conditionalFormatting>
  <conditionalFormatting sqref="D26">
    <cfRule type="cellIs" priority="143" operator="equal" aboveAverage="0" equalAverage="0" bottom="0" percent="0" rank="0" text="" dxfId="1356">
      <formula>'1852'!$C$26</formula>
    </cfRule>
    <cfRule type="cellIs" priority="144" operator="lessThan" aboveAverage="0" equalAverage="0" bottom="0" percent="0" rank="0" text="" dxfId="1357">
      <formula>'1852'!$C$26</formula>
    </cfRule>
  </conditionalFormatting>
  <conditionalFormatting sqref="D27">
    <cfRule type="cellIs" priority="145" operator="equal" aboveAverage="0" equalAverage="0" bottom="0" percent="0" rank="0" text="" dxfId="1358">
      <formula>'1852'!$C$27</formula>
    </cfRule>
    <cfRule type="cellIs" priority="146" operator="lessThan" aboveAverage="0" equalAverage="0" bottom="0" percent="0" rank="0" text="" dxfId="1359">
      <formula>'1852'!$C$27</formula>
    </cfRule>
  </conditionalFormatting>
  <conditionalFormatting sqref="D28">
    <cfRule type="cellIs" priority="147" operator="equal" aboveAverage="0" equalAverage="0" bottom="0" percent="0" rank="0" text="" dxfId="1360">
      <formula>'1852'!$C$28</formula>
    </cfRule>
    <cfRule type="cellIs" priority="148" operator="lessThan" aboveAverage="0" equalAverage="0" bottom="0" percent="0" rank="0" text="" dxfId="1361">
      <formula>'1852'!$C$28</formula>
    </cfRule>
  </conditionalFormatting>
  <conditionalFormatting sqref="E13">
    <cfRule type="cellIs" priority="149" operator="equal" aboveAverage="0" equalAverage="0" bottom="0" percent="0" rank="0" text="" dxfId="1362">
      <formula>'1852'!$D$13</formula>
    </cfRule>
    <cfRule type="cellIs" priority="150" operator="lessThan" aboveAverage="0" equalAverage="0" bottom="0" percent="0" rank="0" text="" dxfId="1363">
      <formula>'1852'!$D$13</formula>
    </cfRule>
  </conditionalFormatting>
  <conditionalFormatting sqref="E14">
    <cfRule type="cellIs" priority="151" operator="equal" aboveAverage="0" equalAverage="0" bottom="0" percent="0" rank="0" text="" dxfId="1364">
      <formula>'1852'!$D$14</formula>
    </cfRule>
    <cfRule type="cellIs" priority="152" operator="lessThan" aboveAverage="0" equalAverage="0" bottom="0" percent="0" rank="0" text="" dxfId="1365">
      <formula>'1852'!$D$14</formula>
    </cfRule>
  </conditionalFormatting>
  <conditionalFormatting sqref="E15">
    <cfRule type="cellIs" priority="153" operator="equal" aboveAverage="0" equalAverage="0" bottom="0" percent="0" rank="0" text="" dxfId="1366">
      <formula>'1852'!$D$15</formula>
    </cfRule>
    <cfRule type="cellIs" priority="154" operator="lessThan" aboveAverage="0" equalAverage="0" bottom="0" percent="0" rank="0" text="" dxfId="1367">
      <formula>'1852'!$D$15</formula>
    </cfRule>
  </conditionalFormatting>
  <conditionalFormatting sqref="E16">
    <cfRule type="cellIs" priority="155" operator="equal" aboveAverage="0" equalAverage="0" bottom="0" percent="0" rank="0" text="" dxfId="1368">
      <formula>'1852'!$D$16</formula>
    </cfRule>
    <cfRule type="cellIs" priority="156" operator="lessThan" aboveAverage="0" equalAverage="0" bottom="0" percent="0" rank="0" text="" dxfId="1369">
      <formula>'1852'!$D$16</formula>
    </cfRule>
  </conditionalFormatting>
  <conditionalFormatting sqref="E17">
    <cfRule type="cellIs" priority="157" operator="equal" aboveAverage="0" equalAverage="0" bottom="0" percent="0" rank="0" text="" dxfId="1370">
      <formula>'1852'!$D$17</formula>
    </cfRule>
    <cfRule type="cellIs" priority="158" operator="lessThan" aboveAverage="0" equalAverage="0" bottom="0" percent="0" rank="0" text="" dxfId="1371">
      <formula>'1852'!$D$17</formula>
    </cfRule>
  </conditionalFormatting>
  <conditionalFormatting sqref="E18">
    <cfRule type="cellIs" priority="159" operator="equal" aboveAverage="0" equalAverage="0" bottom="0" percent="0" rank="0" text="" dxfId="1372">
      <formula>'1852'!$D$18</formula>
    </cfRule>
    <cfRule type="cellIs" priority="160" operator="lessThan" aboveAverage="0" equalAverage="0" bottom="0" percent="0" rank="0" text="" dxfId="1373">
      <formula>'1852'!$D$18</formula>
    </cfRule>
  </conditionalFormatting>
  <conditionalFormatting sqref="E19">
    <cfRule type="cellIs" priority="161" operator="equal" aboveAverage="0" equalAverage="0" bottom="0" percent="0" rank="0" text="" dxfId="1374">
      <formula>'1852'!$D$19</formula>
    </cfRule>
    <cfRule type="cellIs" priority="162" operator="lessThan" aboveAverage="0" equalAverage="0" bottom="0" percent="0" rank="0" text="" dxfId="1375">
      <formula>'1852'!$D$19</formula>
    </cfRule>
  </conditionalFormatting>
  <conditionalFormatting sqref="E20">
    <cfRule type="cellIs" priority="163" operator="equal" aboveAverage="0" equalAverage="0" bottom="0" percent="0" rank="0" text="" dxfId="1376">
      <formula>'1852'!$D$20</formula>
    </cfRule>
    <cfRule type="cellIs" priority="164" operator="lessThan" aboveAverage="0" equalAverage="0" bottom="0" percent="0" rank="0" text="" dxfId="1377">
      <formula>'1852'!$D$20</formula>
    </cfRule>
  </conditionalFormatting>
  <conditionalFormatting sqref="E21">
    <cfRule type="cellIs" priority="165" operator="equal" aboveAverage="0" equalAverage="0" bottom="0" percent="0" rank="0" text="" dxfId="1378">
      <formula>'1852'!$D$21</formula>
    </cfRule>
    <cfRule type="cellIs" priority="166" operator="lessThan" aboveAverage="0" equalAverage="0" bottom="0" percent="0" rank="0" text="" dxfId="1379">
      <formula>'1852'!$D$21</formula>
    </cfRule>
  </conditionalFormatting>
  <conditionalFormatting sqref="E22">
    <cfRule type="cellIs" priority="167" operator="equal" aboveAverage="0" equalAverage="0" bottom="0" percent="0" rank="0" text="" dxfId="1380">
      <formula>'1852'!$D$22</formula>
    </cfRule>
    <cfRule type="cellIs" priority="168" operator="lessThan" aboveAverage="0" equalAverage="0" bottom="0" percent="0" rank="0" text="" dxfId="1381">
      <formula>'1852'!$D$22</formula>
    </cfRule>
  </conditionalFormatting>
  <conditionalFormatting sqref="E23">
    <cfRule type="cellIs" priority="169" operator="equal" aboveAverage="0" equalAverage="0" bottom="0" percent="0" rank="0" text="" dxfId="1382">
      <formula>'1852'!$D$23</formula>
    </cfRule>
    <cfRule type="cellIs" priority="170" operator="lessThan" aboveAverage="0" equalAverage="0" bottom="0" percent="0" rank="0" text="" dxfId="1383">
      <formula>'1852'!$D$23</formula>
    </cfRule>
  </conditionalFormatting>
  <conditionalFormatting sqref="E25">
    <cfRule type="cellIs" priority="171" operator="equal" aboveAverage="0" equalAverage="0" bottom="0" percent="0" rank="0" text="" dxfId="1384">
      <formula>'1852'!$D$25</formula>
    </cfRule>
    <cfRule type="cellIs" priority="172" operator="lessThan" aboveAverage="0" equalAverage="0" bottom="0" percent="0" rank="0" text="" dxfId="1385">
      <formula>'1852'!$D$25</formula>
    </cfRule>
  </conditionalFormatting>
  <conditionalFormatting sqref="E26">
    <cfRule type="cellIs" priority="173" operator="equal" aboveAverage="0" equalAverage="0" bottom="0" percent="0" rank="0" text="" dxfId="1386">
      <formula>'1852'!$D$26</formula>
    </cfRule>
    <cfRule type="cellIs" priority="174" operator="lessThan" aboveAverage="0" equalAverage="0" bottom="0" percent="0" rank="0" text="" dxfId="1387">
      <formula>'1852'!$D$26</formula>
    </cfRule>
  </conditionalFormatting>
  <conditionalFormatting sqref="E27">
    <cfRule type="cellIs" priority="175" operator="equal" aboveAverage="0" equalAverage="0" bottom="0" percent="0" rank="0" text="" dxfId="1388">
      <formula>'1852'!$D$27</formula>
    </cfRule>
    <cfRule type="cellIs" priority="176" operator="lessThan" aboveAverage="0" equalAverage="0" bottom="0" percent="0" rank="0" text="" dxfId="1389">
      <formula>'1852'!$D$27</formula>
    </cfRule>
  </conditionalFormatting>
  <conditionalFormatting sqref="E28">
    <cfRule type="cellIs" priority="177" operator="equal" aboveAverage="0" equalAverage="0" bottom="0" percent="0" rank="0" text="" dxfId="1390">
      <formula>'1852'!$D$28</formula>
    </cfRule>
    <cfRule type="cellIs" priority="178" operator="lessThan" aboveAverage="0" equalAverage="0" bottom="0" percent="0" rank="0" text="" dxfId="1391">
      <formula>'1852'!$D$28</formula>
    </cfRule>
  </conditionalFormatting>
  <conditionalFormatting sqref="F13">
    <cfRule type="cellIs" priority="179" operator="equal" aboveAverage="0" equalAverage="0" bottom="0" percent="0" rank="0" text="" dxfId="1392">
      <formula>'1852'!$E$13</formula>
    </cfRule>
    <cfRule type="cellIs" priority="180" operator="lessThan" aboveAverage="0" equalAverage="0" bottom="0" percent="0" rank="0" text="" dxfId="1393">
      <formula>'1852'!$E$13</formula>
    </cfRule>
  </conditionalFormatting>
  <conditionalFormatting sqref="F14">
    <cfRule type="cellIs" priority="181" operator="equal" aboveAverage="0" equalAverage="0" bottom="0" percent="0" rank="0" text="" dxfId="1394">
      <formula>'1852'!$E$14</formula>
    </cfRule>
    <cfRule type="cellIs" priority="182" operator="lessThan" aboveAverage="0" equalAverage="0" bottom="0" percent="0" rank="0" text="" dxfId="1395">
      <formula>'1852'!$E$14</formula>
    </cfRule>
  </conditionalFormatting>
  <conditionalFormatting sqref="F15">
    <cfRule type="cellIs" priority="183" operator="equal" aboveAverage="0" equalAverage="0" bottom="0" percent="0" rank="0" text="" dxfId="1396">
      <formula>'1852'!$E$15</formula>
    </cfRule>
    <cfRule type="cellIs" priority="184" operator="lessThan" aboveAverage="0" equalAverage="0" bottom="0" percent="0" rank="0" text="" dxfId="1397">
      <formula>'1852'!$E$15</formula>
    </cfRule>
  </conditionalFormatting>
  <conditionalFormatting sqref="F16">
    <cfRule type="cellIs" priority="185" operator="equal" aboveAverage="0" equalAverage="0" bottom="0" percent="0" rank="0" text="" dxfId="1398">
      <formula>'1852'!$E$16</formula>
    </cfRule>
    <cfRule type="cellIs" priority="186" operator="lessThan" aboveAverage="0" equalAverage="0" bottom="0" percent="0" rank="0" text="" dxfId="1399">
      <formula>'1852'!$E$16</formula>
    </cfRule>
  </conditionalFormatting>
  <conditionalFormatting sqref="F17">
    <cfRule type="cellIs" priority="187" operator="equal" aboveAverage="0" equalAverage="0" bottom="0" percent="0" rank="0" text="" dxfId="1400">
      <formula>'1852'!$E$17</formula>
    </cfRule>
    <cfRule type="cellIs" priority="188" operator="lessThan" aboveAverage="0" equalAverage="0" bottom="0" percent="0" rank="0" text="" dxfId="1401">
      <formula>'1852'!$E$17</formula>
    </cfRule>
  </conditionalFormatting>
  <conditionalFormatting sqref="F18">
    <cfRule type="cellIs" priority="189" operator="equal" aboveAverage="0" equalAverage="0" bottom="0" percent="0" rank="0" text="" dxfId="1402">
      <formula>'1852'!$E$18</formula>
    </cfRule>
    <cfRule type="cellIs" priority="190" operator="lessThan" aboveAverage="0" equalAverage="0" bottom="0" percent="0" rank="0" text="" dxfId="1403">
      <formula>'1852'!$E$18</formula>
    </cfRule>
  </conditionalFormatting>
  <conditionalFormatting sqref="F19">
    <cfRule type="cellIs" priority="191" operator="equal" aboveAverage="0" equalAverage="0" bottom="0" percent="0" rank="0" text="" dxfId="1404">
      <formula>'1852'!$E$19</formula>
    </cfRule>
    <cfRule type="cellIs" priority="192" operator="lessThan" aboveAverage="0" equalAverage="0" bottom="0" percent="0" rank="0" text="" dxfId="1405">
      <formula>'1852'!$E$19</formula>
    </cfRule>
  </conditionalFormatting>
  <conditionalFormatting sqref="F20">
    <cfRule type="cellIs" priority="193" operator="equal" aboveAverage="0" equalAverage="0" bottom="0" percent="0" rank="0" text="" dxfId="1406">
      <formula>'1852'!$E$20</formula>
    </cfRule>
    <cfRule type="cellIs" priority="194" operator="lessThan" aboveAverage="0" equalAverage="0" bottom="0" percent="0" rank="0" text="" dxfId="1407">
      <formula>'1852'!$E$20</formula>
    </cfRule>
  </conditionalFormatting>
  <conditionalFormatting sqref="F21">
    <cfRule type="cellIs" priority="195" operator="equal" aboveAverage="0" equalAverage="0" bottom="0" percent="0" rank="0" text="" dxfId="1408">
      <formula>'1852'!$E$21</formula>
    </cfRule>
    <cfRule type="cellIs" priority="196" operator="lessThan" aboveAverage="0" equalAverage="0" bottom="0" percent="0" rank="0" text="" dxfId="1409">
      <formula>'1852'!$E$21</formula>
    </cfRule>
  </conditionalFormatting>
  <conditionalFormatting sqref="F22">
    <cfRule type="cellIs" priority="197" operator="equal" aboveAverage="0" equalAverage="0" bottom="0" percent="0" rank="0" text="" dxfId="1410">
      <formula>'1852'!$E$22</formula>
    </cfRule>
    <cfRule type="cellIs" priority="198" operator="lessThan" aboveAverage="0" equalAverage="0" bottom="0" percent="0" rank="0" text="" dxfId="1411">
      <formula>'1852'!$E$22</formula>
    </cfRule>
  </conditionalFormatting>
  <conditionalFormatting sqref="F23">
    <cfRule type="cellIs" priority="199" operator="equal" aboveAverage="0" equalAverage="0" bottom="0" percent="0" rank="0" text="" dxfId="1412">
      <formula>'1852'!$E$23</formula>
    </cfRule>
    <cfRule type="cellIs" priority="200" operator="lessThan" aboveAverage="0" equalAverage="0" bottom="0" percent="0" rank="0" text="" dxfId="1413">
      <formula>'1852'!$E$23</formula>
    </cfRule>
  </conditionalFormatting>
  <conditionalFormatting sqref="F25">
    <cfRule type="cellIs" priority="201" operator="equal" aboveAverage="0" equalAverage="0" bottom="0" percent="0" rank="0" text="" dxfId="1414">
      <formula>'1852'!$E$25</formula>
    </cfRule>
    <cfRule type="cellIs" priority="202" operator="lessThan" aboveAverage="0" equalAverage="0" bottom="0" percent="0" rank="0" text="" dxfId="1415">
      <formula>'1852'!$E$25</formula>
    </cfRule>
  </conditionalFormatting>
  <conditionalFormatting sqref="F26">
    <cfRule type="cellIs" priority="203" operator="equal" aboveAverage="0" equalAverage="0" bottom="0" percent="0" rank="0" text="" dxfId="1416">
      <formula>'1852'!$E$26</formula>
    </cfRule>
    <cfRule type="cellIs" priority="204" operator="lessThan" aboveAverage="0" equalAverage="0" bottom="0" percent="0" rank="0" text="" dxfId="1417">
      <formula>'1852'!$E$26</formula>
    </cfRule>
  </conditionalFormatting>
  <conditionalFormatting sqref="F27">
    <cfRule type="cellIs" priority="205" operator="equal" aboveAverage="0" equalAverage="0" bottom="0" percent="0" rank="0" text="" dxfId="1418">
      <formula>'1852'!$E$27</formula>
    </cfRule>
    <cfRule type="cellIs" priority="206" operator="lessThan" aboveAverage="0" equalAverage="0" bottom="0" percent="0" rank="0" text="" dxfId="1419">
      <formula>'1852'!$E$27</formula>
    </cfRule>
  </conditionalFormatting>
  <conditionalFormatting sqref="F28">
    <cfRule type="cellIs" priority="207" operator="equal" aboveAverage="0" equalAverage="0" bottom="0" percent="0" rank="0" text="" dxfId="1420">
      <formula>'1852'!$E$28</formula>
    </cfRule>
    <cfRule type="cellIs" priority="208" operator="lessThan" aboveAverage="0" equalAverage="0" bottom="0" percent="0" rank="0" text="" dxfId="1421">
      <formula>'1852'!$E$28</formula>
    </cfRule>
  </conditionalFormatting>
  <conditionalFormatting sqref="G13">
    <cfRule type="cellIs" priority="209" operator="equal" aboveAverage="0" equalAverage="0" bottom="0" percent="0" rank="0" text="" dxfId="1422">
      <formula>'1852'!$F$13</formula>
    </cfRule>
    <cfRule type="cellIs" priority="210" operator="lessThan" aboveAverage="0" equalAverage="0" bottom="0" percent="0" rank="0" text="" dxfId="1423">
      <formula>'1852'!$F$13</formula>
    </cfRule>
  </conditionalFormatting>
  <conditionalFormatting sqref="G14">
    <cfRule type="cellIs" priority="211" operator="equal" aboveAverage="0" equalAverage="0" bottom="0" percent="0" rank="0" text="" dxfId="1424">
      <formula>'1852'!$F$14</formula>
    </cfRule>
    <cfRule type="cellIs" priority="212" operator="lessThan" aboveAverage="0" equalAverage="0" bottom="0" percent="0" rank="0" text="" dxfId="1425">
      <formula>'1852'!$F$14</formula>
    </cfRule>
  </conditionalFormatting>
  <conditionalFormatting sqref="G15">
    <cfRule type="cellIs" priority="213" operator="equal" aboveAverage="0" equalAverage="0" bottom="0" percent="0" rank="0" text="" dxfId="1426">
      <formula>'1852'!$F$15</formula>
    </cfRule>
    <cfRule type="cellIs" priority="214" operator="lessThan" aboveAverage="0" equalAverage="0" bottom="0" percent="0" rank="0" text="" dxfId="1427">
      <formula>'1852'!$F$15</formula>
    </cfRule>
  </conditionalFormatting>
  <conditionalFormatting sqref="G16">
    <cfRule type="cellIs" priority="215" operator="equal" aboveAverage="0" equalAverage="0" bottom="0" percent="0" rank="0" text="" dxfId="1428">
      <formula>'1852'!$F$16</formula>
    </cfRule>
    <cfRule type="cellIs" priority="216" operator="lessThan" aboveAverage="0" equalAverage="0" bottom="0" percent="0" rank="0" text="" dxfId="1429">
      <formula>'1852'!$F$16</formula>
    </cfRule>
  </conditionalFormatting>
  <conditionalFormatting sqref="G17">
    <cfRule type="cellIs" priority="217" operator="equal" aboveAverage="0" equalAverage="0" bottom="0" percent="0" rank="0" text="" dxfId="1430">
      <formula>'1852'!$F$17</formula>
    </cfRule>
    <cfRule type="cellIs" priority="218" operator="lessThan" aboveAverage="0" equalAverage="0" bottom="0" percent="0" rank="0" text="" dxfId="1431">
      <formula>'1852'!$F$17</formula>
    </cfRule>
  </conditionalFormatting>
  <conditionalFormatting sqref="G18">
    <cfRule type="cellIs" priority="219" operator="equal" aboveAverage="0" equalAverage="0" bottom="0" percent="0" rank="0" text="" dxfId="1432">
      <formula>'1852'!$F$18</formula>
    </cfRule>
    <cfRule type="cellIs" priority="220" operator="lessThan" aboveAverage="0" equalAverage="0" bottom="0" percent="0" rank="0" text="" dxfId="1433">
      <formula>'1852'!$F$18</formula>
    </cfRule>
  </conditionalFormatting>
  <conditionalFormatting sqref="G19">
    <cfRule type="cellIs" priority="221" operator="equal" aboveAverage="0" equalAverage="0" bottom="0" percent="0" rank="0" text="" dxfId="1434">
      <formula>'1852'!$F$19</formula>
    </cfRule>
    <cfRule type="cellIs" priority="222" operator="lessThan" aboveAverage="0" equalAverage="0" bottom="0" percent="0" rank="0" text="" dxfId="1435">
      <formula>'1852'!$F$19</formula>
    </cfRule>
  </conditionalFormatting>
  <conditionalFormatting sqref="G20">
    <cfRule type="cellIs" priority="223" operator="equal" aboveAverage="0" equalAverage="0" bottom="0" percent="0" rank="0" text="" dxfId="1436">
      <formula>'1852'!$F$20</formula>
    </cfRule>
    <cfRule type="cellIs" priority="224" operator="lessThan" aboveAverage="0" equalAverage="0" bottom="0" percent="0" rank="0" text="" dxfId="1437">
      <formula>'1852'!$F$20</formula>
    </cfRule>
  </conditionalFormatting>
  <conditionalFormatting sqref="G21">
    <cfRule type="cellIs" priority="225" operator="equal" aboveAverage="0" equalAverage="0" bottom="0" percent="0" rank="0" text="" dxfId="1438">
      <formula>'1852'!$F$21</formula>
    </cfRule>
    <cfRule type="cellIs" priority="226" operator="lessThan" aboveAverage="0" equalAverage="0" bottom="0" percent="0" rank="0" text="" dxfId="1439">
      <formula>'1852'!$F$21</formula>
    </cfRule>
  </conditionalFormatting>
  <conditionalFormatting sqref="G22">
    <cfRule type="cellIs" priority="227" operator="equal" aboveAverage="0" equalAverage="0" bottom="0" percent="0" rank="0" text="" dxfId="1440">
      <formula>'1852'!$F$22</formula>
    </cfRule>
    <cfRule type="cellIs" priority="228" operator="lessThan" aboveAverage="0" equalAverage="0" bottom="0" percent="0" rank="0" text="" dxfId="1441">
      <formula>'1852'!$F$22</formula>
    </cfRule>
  </conditionalFormatting>
  <conditionalFormatting sqref="G23">
    <cfRule type="cellIs" priority="229" operator="equal" aboveAverage="0" equalAverage="0" bottom="0" percent="0" rank="0" text="" dxfId="1442">
      <formula>'1852'!$F$23</formula>
    </cfRule>
    <cfRule type="cellIs" priority="230" operator="lessThan" aboveAverage="0" equalAverage="0" bottom="0" percent="0" rank="0" text="" dxfId="1443">
      <formula>'1852'!$F$23</formula>
    </cfRule>
  </conditionalFormatting>
  <conditionalFormatting sqref="G25">
    <cfRule type="cellIs" priority="231" operator="equal" aboveAverage="0" equalAverage="0" bottom="0" percent="0" rank="0" text="" dxfId="1444">
      <formula>'1852'!$F$25</formula>
    </cfRule>
    <cfRule type="cellIs" priority="232" operator="lessThan" aboveAverage="0" equalAverage="0" bottom="0" percent="0" rank="0" text="" dxfId="1445">
      <formula>'1852'!$F$25</formula>
    </cfRule>
  </conditionalFormatting>
  <conditionalFormatting sqref="G26">
    <cfRule type="cellIs" priority="233" operator="equal" aboveAverage="0" equalAverage="0" bottom="0" percent="0" rank="0" text="" dxfId="1446">
      <formula>'1852'!$F$26</formula>
    </cfRule>
    <cfRule type="cellIs" priority="234" operator="lessThan" aboveAverage="0" equalAverage="0" bottom="0" percent="0" rank="0" text="" dxfId="1447">
      <formula>'1852'!$F$26</formula>
    </cfRule>
  </conditionalFormatting>
  <conditionalFormatting sqref="G27">
    <cfRule type="cellIs" priority="235" operator="equal" aboveAverage="0" equalAverage="0" bottom="0" percent="0" rank="0" text="" dxfId="1448">
      <formula>'1852'!$F$27</formula>
    </cfRule>
    <cfRule type="cellIs" priority="236" operator="lessThan" aboveAverage="0" equalAverage="0" bottom="0" percent="0" rank="0" text="" dxfId="1449">
      <formula>'1852'!$F$27</formula>
    </cfRule>
  </conditionalFormatting>
  <conditionalFormatting sqref="G28">
    <cfRule type="cellIs" priority="237" operator="equal" aboveAverage="0" equalAverage="0" bottom="0" percent="0" rank="0" text="" dxfId="1450">
      <formula>'1852'!$F$28</formula>
    </cfRule>
    <cfRule type="cellIs" priority="238" operator="lessThan" aboveAverage="0" equalAverage="0" bottom="0" percent="0" rank="0" text="" dxfId="1451">
      <formula>'1852'!$F$28</formula>
    </cfRule>
  </conditionalFormatting>
  <conditionalFormatting sqref="D13">
    <cfRule type="cellIs" priority="239" operator="equal" aboveAverage="0" equalAverage="0" bottom="0" percent="0" rank="0" text="" dxfId="1452">
      <formula>'1852'!$C$13</formula>
    </cfRule>
    <cfRule type="cellIs" priority="240" operator="lessThan" aboveAverage="0" equalAverage="0" bottom="0" percent="0" rank="0" text="" dxfId="1453">
      <formula>'1852'!$C$13</formula>
    </cfRule>
  </conditionalFormatting>
  <conditionalFormatting sqref="H13">
    <cfRule type="cellIs" priority="241" operator="equal" aboveAverage="0" equalAverage="0" bottom="0" percent="0" rank="0" text="" dxfId="1454">
      <formula>'1852'!$G$13</formula>
    </cfRule>
    <cfRule type="cellIs" priority="242" operator="lessThan" aboveAverage="0" equalAverage="0" bottom="0" percent="0" rank="0" text="" dxfId="1455">
      <formula>'1852'!$G$13</formula>
    </cfRule>
  </conditionalFormatting>
  <conditionalFormatting sqref="H14">
    <cfRule type="cellIs" priority="243" operator="equal" aboveAverage="0" equalAverage="0" bottom="0" percent="0" rank="0" text="" dxfId="1456">
      <formula>'1852'!$G$14</formula>
    </cfRule>
    <cfRule type="cellIs" priority="244" operator="lessThan" aboveAverage="0" equalAverage="0" bottom="0" percent="0" rank="0" text="" dxfId="1457">
      <formula>'1852'!$G$14</formula>
    </cfRule>
  </conditionalFormatting>
  <conditionalFormatting sqref="H15">
    <cfRule type="cellIs" priority="245" operator="equal" aboveAverage="0" equalAverage="0" bottom="0" percent="0" rank="0" text="" dxfId="1458">
      <formula>'1852'!$G$15</formula>
    </cfRule>
    <cfRule type="cellIs" priority="246" operator="lessThan" aboveAverage="0" equalAverage="0" bottom="0" percent="0" rank="0" text="" dxfId="1459">
      <formula>'1852'!$G$15</formula>
    </cfRule>
  </conditionalFormatting>
  <conditionalFormatting sqref="H16">
    <cfRule type="cellIs" priority="247" operator="equal" aboveAverage="0" equalAverage="0" bottom="0" percent="0" rank="0" text="" dxfId="1460">
      <formula>'1852'!$G$16</formula>
    </cfRule>
    <cfRule type="cellIs" priority="248" operator="lessThan" aboveAverage="0" equalAverage="0" bottom="0" percent="0" rank="0" text="" dxfId="1461">
      <formula>'1852'!$G$16</formula>
    </cfRule>
  </conditionalFormatting>
  <conditionalFormatting sqref="H17">
    <cfRule type="cellIs" priority="249" operator="equal" aboveAverage="0" equalAverage="0" bottom="0" percent="0" rank="0" text="" dxfId="1462">
      <formula>'1852'!$G$17</formula>
    </cfRule>
    <cfRule type="cellIs" priority="250" operator="lessThan" aboveAverage="0" equalAverage="0" bottom="0" percent="0" rank="0" text="" dxfId="1463">
      <formula>'1852'!$G$17</formula>
    </cfRule>
  </conditionalFormatting>
  <conditionalFormatting sqref="H18">
    <cfRule type="cellIs" priority="251" operator="equal" aboveAverage="0" equalAverage="0" bottom="0" percent="0" rank="0" text="" dxfId="1464">
      <formula>'1852'!$G$18</formula>
    </cfRule>
    <cfRule type="cellIs" priority="252" operator="lessThan" aboveAverage="0" equalAverage="0" bottom="0" percent="0" rank="0" text="" dxfId="1465">
      <formula>'1852'!$G$18</formula>
    </cfRule>
  </conditionalFormatting>
  <conditionalFormatting sqref="H19">
    <cfRule type="cellIs" priority="253" operator="equal" aboveAverage="0" equalAverage="0" bottom="0" percent="0" rank="0" text="" dxfId="1466">
      <formula>'1852'!$G$19</formula>
    </cfRule>
    <cfRule type="cellIs" priority="254" operator="lessThan" aboveAverage="0" equalAverage="0" bottom="0" percent="0" rank="0" text="" dxfId="1467">
      <formula>'1852'!$G$19</formula>
    </cfRule>
  </conditionalFormatting>
  <conditionalFormatting sqref="H20">
    <cfRule type="cellIs" priority="255" operator="equal" aboveAverage="0" equalAverage="0" bottom="0" percent="0" rank="0" text="" dxfId="1468">
      <formula>'1852'!$G$20</formula>
    </cfRule>
    <cfRule type="cellIs" priority="256" operator="lessThan" aboveAverage="0" equalAverage="0" bottom="0" percent="0" rank="0" text="" dxfId="1469">
      <formula>'1852'!$G$20</formula>
    </cfRule>
  </conditionalFormatting>
  <conditionalFormatting sqref="H21">
    <cfRule type="cellIs" priority="257" operator="equal" aboveAverage="0" equalAverage="0" bottom="0" percent="0" rank="0" text="" dxfId="1470">
      <formula>'1852'!$G$21</formula>
    </cfRule>
    <cfRule type="cellIs" priority="258" operator="lessThan" aboveAverage="0" equalAverage="0" bottom="0" percent="0" rank="0" text="" dxfId="1471">
      <formula>'1852'!$G$21</formula>
    </cfRule>
  </conditionalFormatting>
  <conditionalFormatting sqref="H22">
    <cfRule type="cellIs" priority="259" operator="equal" aboveAverage="0" equalAverage="0" bottom="0" percent="0" rank="0" text="" dxfId="1472">
      <formula>'1852'!$G$22</formula>
    </cfRule>
    <cfRule type="cellIs" priority="260" operator="lessThan" aboveAverage="0" equalAverage="0" bottom="0" percent="0" rank="0" text="" dxfId="1473">
      <formula>'1852'!$G$22</formula>
    </cfRule>
  </conditionalFormatting>
  <conditionalFormatting sqref="H23">
    <cfRule type="cellIs" priority="261" operator="equal" aboveAverage="0" equalAverage="0" bottom="0" percent="0" rank="0" text="" dxfId="1474">
      <formula>'1852'!$G$23</formula>
    </cfRule>
    <cfRule type="cellIs" priority="262" operator="lessThan" aboveAverage="0" equalAverage="0" bottom="0" percent="0" rank="0" text="" dxfId="1475">
      <formula>'1852'!$G$23</formula>
    </cfRule>
  </conditionalFormatting>
  <conditionalFormatting sqref="H25">
    <cfRule type="cellIs" priority="263" operator="equal" aboveAverage="0" equalAverage="0" bottom="0" percent="0" rank="0" text="" dxfId="1476">
      <formula>'1852'!$G$25</formula>
    </cfRule>
    <cfRule type="cellIs" priority="264" operator="lessThan" aboveAverage="0" equalAverage="0" bottom="0" percent="0" rank="0" text="" dxfId="1477">
      <formula>'1852'!$G$25</formula>
    </cfRule>
  </conditionalFormatting>
  <conditionalFormatting sqref="H26">
    <cfRule type="cellIs" priority="265" operator="equal" aboveAverage="0" equalAverage="0" bottom="0" percent="0" rank="0" text="" dxfId="1478">
      <formula>'1852'!$G$26</formula>
    </cfRule>
    <cfRule type="cellIs" priority="266" operator="lessThan" aboveAverage="0" equalAverage="0" bottom="0" percent="0" rank="0" text="" dxfId="1479">
      <formula>'1852'!$G$26</formula>
    </cfRule>
  </conditionalFormatting>
  <conditionalFormatting sqref="H27">
    <cfRule type="cellIs" priority="267" operator="equal" aboveAverage="0" equalAverage="0" bottom="0" percent="0" rank="0" text="" dxfId="1480">
      <formula>'1852'!$G$27</formula>
    </cfRule>
    <cfRule type="cellIs" priority="268" operator="lessThan" aboveAverage="0" equalAverage="0" bottom="0" percent="0" rank="0" text="" dxfId="1481">
      <formula>'1852'!$G$27</formula>
    </cfRule>
  </conditionalFormatting>
  <conditionalFormatting sqref="H28">
    <cfRule type="cellIs" priority="269" operator="equal" aboveAverage="0" equalAverage="0" bottom="0" percent="0" rank="0" text="" dxfId="1482">
      <formula>'1852'!$G$28</formula>
    </cfRule>
    <cfRule type="cellIs" priority="270" operator="lessThan" aboveAverage="0" equalAverage="0" bottom="0" percent="0" rank="0" text="" dxfId="1483">
      <formula>'1852'!$G$28</formula>
    </cfRule>
  </conditionalFormatting>
  <conditionalFormatting sqref="D24">
    <cfRule type="cellIs" priority="271" operator="equal" aboveAverage="0" equalAverage="0" bottom="0" percent="0" rank="0" text="" dxfId="1484">
      <formula>'1852'!$C$24</formula>
    </cfRule>
    <cfRule type="cellIs" priority="272" operator="lessThan" aboveAverage="0" equalAverage="0" bottom="0" percent="0" rank="0" text="" dxfId="1485">
      <formula>'1852'!$C$24</formula>
    </cfRule>
  </conditionalFormatting>
  <conditionalFormatting sqref="E24">
    <cfRule type="cellIs" priority="273" operator="equal" aboveAverage="0" equalAverage="0" bottom="0" percent="0" rank="0" text="" dxfId="1486">
      <formula>'1852'!$D$24</formula>
    </cfRule>
    <cfRule type="cellIs" priority="274" operator="lessThan" aboveAverage="0" equalAverage="0" bottom="0" percent="0" rank="0" text="" dxfId="1487">
      <formula>'1852'!$D$24</formula>
    </cfRule>
  </conditionalFormatting>
  <conditionalFormatting sqref="F24">
    <cfRule type="cellIs" priority="275" operator="equal" aboveAverage="0" equalAverage="0" bottom="0" percent="0" rank="0" text="" dxfId="1488">
      <formula>'1852'!$E$24</formula>
    </cfRule>
    <cfRule type="cellIs" priority="276" operator="lessThan" aboveAverage="0" equalAverage="0" bottom="0" percent="0" rank="0" text="" dxfId="1489">
      <formula>'1852'!$E$24</formula>
    </cfRule>
  </conditionalFormatting>
  <conditionalFormatting sqref="G24">
    <cfRule type="cellIs" priority="277" operator="equal" aboveAverage="0" equalAverage="0" bottom="0" percent="0" rank="0" text="" dxfId="1490">
      <formula>'1852'!$F$24</formula>
    </cfRule>
    <cfRule type="cellIs" priority="278" operator="lessThan" aboveAverage="0" equalAverage="0" bottom="0" percent="0" rank="0" text="" dxfId="1491">
      <formula>'1852'!$F$24</formula>
    </cfRule>
  </conditionalFormatting>
  <conditionalFormatting sqref="H24">
    <cfRule type="cellIs" priority="279" operator="equal" aboveAverage="0" equalAverage="0" bottom="0" percent="0" rank="0" text="" dxfId="1492">
      <formula>'1852'!$G$24</formula>
    </cfRule>
    <cfRule type="cellIs" priority="280" operator="lessThan" aboveAverage="0" equalAverage="0" bottom="0" percent="0" rank="0" text="" dxfId="1493">
      <formula>'1852'!$G$24</formula>
    </cfRule>
  </conditionalFormatting>
  <conditionalFormatting sqref="E5">
    <cfRule type="cellIs" priority="281" operator="equal" aboveAverage="0" equalAverage="0" bottom="0" percent="0" rank="0" text="" dxfId="1494">
      <formula>'1852'!$D$5</formula>
    </cfRule>
    <cfRule type="cellIs" priority="282" operator="lessThan" aboveAverage="0" equalAverage="0" bottom="0" percent="0" rank="0" text="" dxfId="1495">
      <formula>'1852'!$D$5</formula>
    </cfRule>
  </conditionalFormatting>
  <conditionalFormatting sqref="G5">
    <cfRule type="cellIs" priority="283" operator="equal" aboveAverage="0" equalAverage="0" bottom="0" percent="0" rank="0" text="" dxfId="1496">
      <formula>'1852'!$F$5</formula>
    </cfRule>
    <cfRule type="cellIs" priority="284" operator="lessThan" aboveAverage="0" equalAverage="0" bottom="0" percent="0" rank="0" text="" dxfId="1497">
      <formula>'1852'!$F$5</formula>
    </cfRule>
  </conditionalFormatting>
  <conditionalFormatting sqref="G4">
    <cfRule type="cellIs" priority="285" operator="equal" aboveAverage="0" equalAverage="0" bottom="0" percent="0" rank="0" text="" dxfId="1498">
      <formula>'1852'!$F$4</formula>
    </cfRule>
  </conditionalFormatting>
  <conditionalFormatting sqref="C29:O29">
    <cfRule type="cellIs" priority="286" operator="equal" aboveAverage="0" equalAverage="0" bottom="0" percent="0" rank="0" text="" dxfId="1499">
      <formula>0</formula>
    </cfRule>
  </conditionalFormatting>
  <conditionalFormatting sqref="I13">
    <cfRule type="cellIs" priority="287" operator="equal" aboveAverage="0" equalAverage="0" bottom="0" percent="0" rank="0" text="" dxfId="1500">
      <formula>'1852'!$H$13</formula>
    </cfRule>
    <cfRule type="cellIs" priority="288" operator="lessThan" aboveAverage="0" equalAverage="0" bottom="0" percent="0" rank="0" text="" dxfId="1501">
      <formula>'1852'!$H$13</formula>
    </cfRule>
  </conditionalFormatting>
  <conditionalFormatting sqref="I14">
    <cfRule type="cellIs" priority="289" operator="equal" aboveAverage="0" equalAverage="0" bottom="0" percent="0" rank="0" text="" dxfId="1502">
      <formula>'1852'!$H$14</formula>
    </cfRule>
    <cfRule type="cellIs" priority="290" operator="lessThan" aboveAverage="0" equalAverage="0" bottom="0" percent="0" rank="0" text="" dxfId="1503">
      <formula>'1852'!$H$14</formula>
    </cfRule>
  </conditionalFormatting>
  <conditionalFormatting sqref="I15">
    <cfRule type="cellIs" priority="291" operator="equal" aboveAverage="0" equalAverage="0" bottom="0" percent="0" rank="0" text="" dxfId="1504">
      <formula>'1852'!$H$15</formula>
    </cfRule>
    <cfRule type="cellIs" priority="292" operator="lessThan" aboveAverage="0" equalAverage="0" bottom="0" percent="0" rank="0" text="" dxfId="1505">
      <formula>'1852'!$H$15</formula>
    </cfRule>
  </conditionalFormatting>
  <conditionalFormatting sqref="I16">
    <cfRule type="cellIs" priority="293" operator="equal" aboveAverage="0" equalAverage="0" bottom="0" percent="0" rank="0" text="" dxfId="1506">
      <formula>'1852'!$H$16</formula>
    </cfRule>
    <cfRule type="cellIs" priority="294" operator="lessThan" aboveAverage="0" equalAverage="0" bottom="0" percent="0" rank="0" text="" dxfId="1507">
      <formula>'1852'!$H$16</formula>
    </cfRule>
  </conditionalFormatting>
  <conditionalFormatting sqref="I17">
    <cfRule type="cellIs" priority="295" operator="equal" aboveAverage="0" equalAverage="0" bottom="0" percent="0" rank="0" text="" dxfId="1508">
      <formula>'1852'!$H$17</formula>
    </cfRule>
    <cfRule type="cellIs" priority="296" operator="lessThan" aboveAverage="0" equalAverage="0" bottom="0" percent="0" rank="0" text="" dxfId="1509">
      <formula>'1852'!$H$17</formula>
    </cfRule>
  </conditionalFormatting>
  <conditionalFormatting sqref="I18">
    <cfRule type="cellIs" priority="297" operator="equal" aboveAverage="0" equalAverage="0" bottom="0" percent="0" rank="0" text="" dxfId="1510">
      <formula>'1852'!$H$18</formula>
    </cfRule>
    <cfRule type="cellIs" priority="298" operator="lessThan" aboveAverage="0" equalAverage="0" bottom="0" percent="0" rank="0" text="" dxfId="1511">
      <formula>'1852'!$H$18</formula>
    </cfRule>
  </conditionalFormatting>
  <conditionalFormatting sqref="I19">
    <cfRule type="cellIs" priority="299" operator="equal" aboveAverage="0" equalAverage="0" bottom="0" percent="0" rank="0" text="" dxfId="1512">
      <formula>'1852'!$H$19</formula>
    </cfRule>
    <cfRule type="cellIs" priority="300" operator="lessThan" aboveAverage="0" equalAverage="0" bottom="0" percent="0" rank="0" text="" dxfId="1513">
      <formula>'1852'!$H$19</formula>
    </cfRule>
  </conditionalFormatting>
  <conditionalFormatting sqref="I20">
    <cfRule type="cellIs" priority="301" operator="equal" aboveAverage="0" equalAverage="0" bottom="0" percent="0" rank="0" text="" dxfId="1514">
      <formula>'1852'!$H$20</formula>
    </cfRule>
    <cfRule type="cellIs" priority="302" operator="lessThan" aboveAverage="0" equalAverage="0" bottom="0" percent="0" rank="0" text="" dxfId="1515">
      <formula>'1852'!$H$20</formula>
    </cfRule>
  </conditionalFormatting>
  <conditionalFormatting sqref="I21">
    <cfRule type="cellIs" priority="303" operator="equal" aboveAverage="0" equalAverage="0" bottom="0" percent="0" rank="0" text="" dxfId="1516">
      <formula>'1852'!$H$21</formula>
    </cfRule>
    <cfRule type="cellIs" priority="304" operator="lessThan" aboveAverage="0" equalAverage="0" bottom="0" percent="0" rank="0" text="" dxfId="1517">
      <formula>'1852'!$H$21</formula>
    </cfRule>
  </conditionalFormatting>
  <conditionalFormatting sqref="I22">
    <cfRule type="cellIs" priority="305" operator="equal" aboveAverage="0" equalAverage="0" bottom="0" percent="0" rank="0" text="" dxfId="1518">
      <formula>'1852'!$H$22</formula>
    </cfRule>
    <cfRule type="cellIs" priority="306" operator="lessThan" aboveAverage="0" equalAverage="0" bottom="0" percent="0" rank="0" text="" dxfId="1519">
      <formula>'1852'!$H$22</formula>
    </cfRule>
  </conditionalFormatting>
  <conditionalFormatting sqref="I23">
    <cfRule type="cellIs" priority="307" operator="equal" aboveAverage="0" equalAverage="0" bottom="0" percent="0" rank="0" text="" dxfId="1520">
      <formula>'1852'!$H$23</formula>
    </cfRule>
    <cfRule type="cellIs" priority="308" operator="lessThan" aboveAverage="0" equalAverage="0" bottom="0" percent="0" rank="0" text="" dxfId="1521">
      <formula>'1852'!$H$23</formula>
    </cfRule>
  </conditionalFormatting>
  <conditionalFormatting sqref="I24">
    <cfRule type="cellIs" priority="309" operator="equal" aboveAverage="0" equalAverage="0" bottom="0" percent="0" rank="0" text="" dxfId="1522">
      <formula>'1852'!$H$24</formula>
    </cfRule>
    <cfRule type="cellIs" priority="310" operator="lessThan" aboveAverage="0" equalAverage="0" bottom="0" percent="0" rank="0" text="" dxfId="1523">
      <formula>'1852'!$H$24</formula>
    </cfRule>
  </conditionalFormatting>
  <conditionalFormatting sqref="I25">
    <cfRule type="cellIs" priority="311" operator="equal" aboveAverage="0" equalAverage="0" bottom="0" percent="0" rank="0" text="" dxfId="1524">
      <formula>'1852'!$H$25</formula>
    </cfRule>
    <cfRule type="cellIs" priority="312" operator="lessThan" aboveAverage="0" equalAverage="0" bottom="0" percent="0" rank="0" text="" dxfId="1525">
      <formula>'1852'!$H$25</formula>
    </cfRule>
  </conditionalFormatting>
  <conditionalFormatting sqref="I26">
    <cfRule type="cellIs" priority="313" operator="equal" aboveAverage="0" equalAverage="0" bottom="0" percent="0" rank="0" text="" dxfId="1526">
      <formula>'1852'!$H$26</formula>
    </cfRule>
    <cfRule type="cellIs" priority="314" operator="lessThan" aboveAverage="0" equalAverage="0" bottom="0" percent="0" rank="0" text="" dxfId="1527">
      <formula>'1852'!$H$26</formula>
    </cfRule>
  </conditionalFormatting>
  <conditionalFormatting sqref="I27">
    <cfRule type="cellIs" priority="315" operator="equal" aboveAverage="0" equalAverage="0" bottom="0" percent="0" rank="0" text="" dxfId="1528">
      <formula>'1852'!$H$27</formula>
    </cfRule>
    <cfRule type="cellIs" priority="316" operator="lessThan" aboveAverage="0" equalAverage="0" bottom="0" percent="0" rank="0" text="" dxfId="1529">
      <formula>'1852'!$H$27</formula>
    </cfRule>
    <cfRule type="cellIs" priority="317" operator="lessThan" aboveAverage="0" equalAverage="0" bottom="0" percent="0" rank="0" text="" dxfId="1530">
      <formula>'1852'!$H$27</formula>
    </cfRule>
  </conditionalFormatting>
  <conditionalFormatting sqref="I28">
    <cfRule type="cellIs" priority="318" operator="equal" aboveAverage="0" equalAverage="0" bottom="0" percent="0" rank="0" text="" dxfId="1531">
      <formula>'1852'!$H$28</formula>
    </cfRule>
    <cfRule type="cellIs" priority="319" operator="lessThan" aboveAverage="0" equalAverage="0" bottom="0" percent="0" rank="0" text="" dxfId="1532">
      <formula>'1852'!$H$28</formula>
    </cfRule>
  </conditionalFormatting>
  <conditionalFormatting sqref="I29">
    <cfRule type="cellIs" priority="320" operator="equal" aboveAverage="0" equalAverage="0" bottom="0" percent="0" rank="0" text="" dxfId="1533">
      <formula>'1852'!$H$29</formula>
    </cfRule>
    <cfRule type="cellIs" priority="321" operator="lessThan" aboveAverage="0" equalAverage="0" bottom="0" percent="0" rank="0" text="" dxfId="1534">
      <formula>'1852'!$H$29</formula>
    </cfRule>
  </conditionalFormatting>
  <conditionalFormatting sqref="J13">
    <cfRule type="cellIs" priority="322" operator="equal" aboveAverage="0" equalAverage="0" bottom="0" percent="0" rank="0" text="" dxfId="1535">
      <formula>'1852'!$I$13</formula>
    </cfRule>
    <cfRule type="cellIs" priority="323" operator="lessThan" aboveAverage="0" equalAverage="0" bottom="0" percent="0" rank="0" text="" dxfId="1536">
      <formula>'1852'!$I$13</formula>
    </cfRule>
  </conditionalFormatting>
  <conditionalFormatting sqref="J14">
    <cfRule type="cellIs" priority="324" operator="equal" aboveAverage="0" equalAverage="0" bottom="0" percent="0" rank="0" text="" dxfId="1537">
      <formula>'1852'!$I$14</formula>
    </cfRule>
    <cfRule type="cellIs" priority="325" operator="lessThan" aboveAverage="0" equalAverage="0" bottom="0" percent="0" rank="0" text="" dxfId="1538">
      <formula>'1852'!$I$14</formula>
    </cfRule>
  </conditionalFormatting>
  <conditionalFormatting sqref="J15">
    <cfRule type="cellIs" priority="326" operator="equal" aboveAverage="0" equalAverage="0" bottom="0" percent="0" rank="0" text="" dxfId="1539">
      <formula>'1852'!$I$15</formula>
    </cfRule>
    <cfRule type="cellIs" priority="327" operator="lessThan" aboveAverage="0" equalAverage="0" bottom="0" percent="0" rank="0" text="" dxfId="1540">
      <formula>'1852'!$I$15</formula>
    </cfRule>
  </conditionalFormatting>
  <conditionalFormatting sqref="J16">
    <cfRule type="cellIs" priority="328" operator="equal" aboveAverage="0" equalAverage="0" bottom="0" percent="0" rank="0" text="" dxfId="1541">
      <formula>'1852'!$I$16</formula>
    </cfRule>
    <cfRule type="cellIs" priority="329" operator="lessThan" aboveAverage="0" equalAverage="0" bottom="0" percent="0" rank="0" text="" dxfId="1542">
      <formula>'1852'!$I$16</formula>
    </cfRule>
  </conditionalFormatting>
  <conditionalFormatting sqref="J17">
    <cfRule type="cellIs" priority="330" operator="equal" aboveAverage="0" equalAverage="0" bottom="0" percent="0" rank="0" text="" dxfId="1543">
      <formula>'1852'!$I$17</formula>
    </cfRule>
    <cfRule type="cellIs" priority="331" operator="lessThan" aboveAverage="0" equalAverage="0" bottom="0" percent="0" rank="0" text="" dxfId="1544">
      <formula>'1852'!$I$17</formula>
    </cfRule>
  </conditionalFormatting>
  <conditionalFormatting sqref="J18">
    <cfRule type="cellIs" priority="332" operator="equal" aboveAverage="0" equalAverage="0" bottom="0" percent="0" rank="0" text="" dxfId="1545">
      <formula>'1852'!$I$18</formula>
    </cfRule>
    <cfRule type="cellIs" priority="333" operator="lessThan" aboveAverage="0" equalAverage="0" bottom="0" percent="0" rank="0" text="" dxfId="1546">
      <formula>'1852'!$I$18</formula>
    </cfRule>
  </conditionalFormatting>
  <conditionalFormatting sqref="J19">
    <cfRule type="cellIs" priority="334" operator="equal" aboveAverage="0" equalAverage="0" bottom="0" percent="0" rank="0" text="" dxfId="1547">
      <formula>'1852'!$I$19</formula>
    </cfRule>
    <cfRule type="cellIs" priority="335" operator="lessThan" aboveAverage="0" equalAverage="0" bottom="0" percent="0" rank="0" text="" dxfId="1548">
      <formula>'1852'!$I$19</formula>
    </cfRule>
  </conditionalFormatting>
  <conditionalFormatting sqref="J20">
    <cfRule type="cellIs" priority="336" operator="equal" aboveAverage="0" equalAverage="0" bottom="0" percent="0" rank="0" text="" dxfId="1549">
      <formula>'1852'!$I$20</formula>
    </cfRule>
    <cfRule type="cellIs" priority="337" operator="lessThan" aboveAverage="0" equalAverage="0" bottom="0" percent="0" rank="0" text="" dxfId="1550">
      <formula>'1852'!$I$20</formula>
    </cfRule>
  </conditionalFormatting>
  <conditionalFormatting sqref="J21">
    <cfRule type="cellIs" priority="338" operator="equal" aboveAverage="0" equalAverage="0" bottom="0" percent="0" rank="0" text="" dxfId="1551">
      <formula>'1852'!$I$21</formula>
    </cfRule>
    <cfRule type="cellIs" priority="339" operator="lessThan" aboveAverage="0" equalAverage="0" bottom="0" percent="0" rank="0" text="" dxfId="1552">
      <formula>'1852'!$I$21</formula>
    </cfRule>
  </conditionalFormatting>
  <conditionalFormatting sqref="J22">
    <cfRule type="cellIs" priority="340" operator="equal" aboveAverage="0" equalAverage="0" bottom="0" percent="0" rank="0" text="" dxfId="1553">
      <formula>'1852'!$I$22</formula>
    </cfRule>
    <cfRule type="cellIs" priority="341" operator="lessThan" aboveAverage="0" equalAverage="0" bottom="0" percent="0" rank="0" text="" dxfId="1554">
      <formula>'1852'!$I$22</formula>
    </cfRule>
  </conditionalFormatting>
  <conditionalFormatting sqref="J23">
    <cfRule type="cellIs" priority="342" operator="equal" aboveAverage="0" equalAverage="0" bottom="0" percent="0" rank="0" text="" dxfId="1555">
      <formula>'1852'!$I$23</formula>
    </cfRule>
    <cfRule type="cellIs" priority="343" operator="lessThan" aboveAverage="0" equalAverage="0" bottom="0" percent="0" rank="0" text="" dxfId="1556">
      <formula>'1852'!$I$23</formula>
    </cfRule>
  </conditionalFormatting>
  <conditionalFormatting sqref="J24">
    <cfRule type="cellIs" priority="344" operator="equal" aboveAverage="0" equalAverage="0" bottom="0" percent="0" rank="0" text="" dxfId="1557">
      <formula>'1852'!$I$24</formula>
    </cfRule>
    <cfRule type="cellIs" priority="345" operator="lessThan" aboveAverage="0" equalAverage="0" bottom="0" percent="0" rank="0" text="" dxfId="1558">
      <formula>'1852'!$I$24</formula>
    </cfRule>
  </conditionalFormatting>
  <conditionalFormatting sqref="J25">
    <cfRule type="cellIs" priority="346" operator="equal" aboveAverage="0" equalAverage="0" bottom="0" percent="0" rank="0" text="" dxfId="1559">
      <formula>'1852'!$I$25</formula>
    </cfRule>
    <cfRule type="cellIs" priority="347" operator="lessThan" aboveAverage="0" equalAverage="0" bottom="0" percent="0" rank="0" text="" dxfId="1560">
      <formula>'1852'!$I$25</formula>
    </cfRule>
  </conditionalFormatting>
  <conditionalFormatting sqref="J26">
    <cfRule type="cellIs" priority="348" operator="equal" aboveAverage="0" equalAverage="0" bottom="0" percent="0" rank="0" text="" dxfId="1561">
      <formula>'1852'!$I$26</formula>
    </cfRule>
    <cfRule type="cellIs" priority="349" operator="lessThan" aboveAverage="0" equalAverage="0" bottom="0" percent="0" rank="0" text="" dxfId="1562">
      <formula>'1852'!$I$26</formula>
    </cfRule>
  </conditionalFormatting>
  <conditionalFormatting sqref="J27">
    <cfRule type="cellIs" priority="350" operator="equal" aboveAverage="0" equalAverage="0" bottom="0" percent="0" rank="0" text="" dxfId="1563">
      <formula>'1852'!$I$27</formula>
    </cfRule>
    <cfRule type="cellIs" priority="351" operator="lessThan" aboveAverage="0" equalAverage="0" bottom="0" percent="0" rank="0" text="" dxfId="1564">
      <formula>'1852'!$I$27</formula>
    </cfRule>
  </conditionalFormatting>
  <conditionalFormatting sqref="J28">
    <cfRule type="cellIs" priority="352" operator="equal" aboveAverage="0" equalAverage="0" bottom="0" percent="0" rank="0" text="" dxfId="1565">
      <formula>'1852'!$I$28</formula>
    </cfRule>
    <cfRule type="cellIs" priority="353" operator="lessThan" aboveAverage="0" equalAverage="0" bottom="0" percent="0" rank="0" text="" dxfId="1566">
      <formula>'1852'!$I$28</formula>
    </cfRule>
  </conditionalFormatting>
  <conditionalFormatting sqref="K4">
    <cfRule type="cellIs" priority="354" operator="equal" aboveAverage="0" equalAverage="0" bottom="0" percent="0" rank="0" text="" dxfId="1567">
      <formula>'1852'!$J$4</formula>
    </cfRule>
    <cfRule type="cellIs" priority="355" operator="lessThan" aboveAverage="0" equalAverage="0" bottom="0" percent="0" rank="0" text="" dxfId="1568">
      <formula>'1852'!$J$4</formula>
    </cfRule>
  </conditionalFormatting>
  <conditionalFormatting sqref="K5">
    <cfRule type="cellIs" priority="356" operator="equal" aboveAverage="0" equalAverage="0" bottom="0" percent="0" rank="0" text="" dxfId="1569">
      <formula>'1852'!$J$5</formula>
    </cfRule>
    <cfRule type="cellIs" priority="357" operator="lessThan" aboveAverage="0" equalAverage="0" bottom="0" percent="0" rank="0" text="" dxfId="1570">
      <formula>'1852'!$J$5</formula>
    </cfRule>
  </conditionalFormatting>
  <conditionalFormatting sqref="K6">
    <cfRule type="cellIs" priority="358" operator="equal" aboveAverage="0" equalAverage="0" bottom="0" percent="0" rank="0" text="" dxfId="1571">
      <formula>'1852'!$J$6</formula>
    </cfRule>
    <cfRule type="cellIs" priority="359" operator="lessThan" aboveAverage="0" equalAverage="0" bottom="0" percent="0" rank="0" text="" dxfId="1572">
      <formula>'1852'!$J$6</formula>
    </cfRule>
  </conditionalFormatting>
  <conditionalFormatting sqref="K7">
    <cfRule type="cellIs" priority="360" operator="equal" aboveAverage="0" equalAverage="0" bottom="0" percent="0" rank="0" text="" dxfId="1573">
      <formula>'1852'!$J$7</formula>
    </cfRule>
    <cfRule type="cellIs" priority="361" operator="lessThan" aboveAverage="0" equalAverage="0" bottom="0" percent="0" rank="0" text="" dxfId="1574">
      <formula>'1852'!$J$7</formula>
    </cfRule>
  </conditionalFormatting>
  <conditionalFormatting sqref="K8">
    <cfRule type="cellIs" priority="362" operator="equal" aboveAverage="0" equalAverage="0" bottom="0" percent="0" rank="0" text="" dxfId="1575">
      <formula>'1852'!$J$8</formula>
    </cfRule>
    <cfRule type="cellIs" priority="363" operator="lessThan" aboveAverage="0" equalAverage="0" bottom="0" percent="0" rank="0" text="" dxfId="1576">
      <formula>'1852'!$J$8</formula>
    </cfRule>
  </conditionalFormatting>
  <conditionalFormatting sqref="K9">
    <cfRule type="cellIs" priority="364" operator="equal" aboveAverage="0" equalAverage="0" bottom="0" percent="0" rank="0" text="" dxfId="1577">
      <formula>'1852'!$J$9</formula>
    </cfRule>
    <cfRule type="cellIs" priority="365" operator="lessThan" aboveAverage="0" equalAverage="0" bottom="0" percent="0" rank="0" text="" dxfId="1578">
      <formula>'1852'!$J$9</formula>
    </cfRule>
  </conditionalFormatting>
  <conditionalFormatting sqref="K10">
    <cfRule type="cellIs" priority="366" operator="equal" aboveAverage="0" equalAverage="0" bottom="0" percent="0" rank="0" text="" dxfId="1579">
      <formula>'1852'!$J$10</formula>
    </cfRule>
    <cfRule type="cellIs" priority="367" operator="lessThan" aboveAverage="0" equalAverage="0" bottom="0" percent="0" rank="0" text="" dxfId="1580">
      <formula>'1852'!$J$10</formula>
    </cfRule>
  </conditionalFormatting>
  <conditionalFormatting sqref="K11">
    <cfRule type="cellIs" priority="368" operator="equal" aboveAverage="0" equalAverage="0" bottom="0" percent="0" rank="0" text="" dxfId="1581">
      <formula>'1852'!$J$11</formula>
    </cfRule>
    <cfRule type="cellIs" priority="369" operator="lessThan" aboveAverage="0" equalAverage="0" bottom="0" percent="0" rank="0" text="" dxfId="1582">
      <formula>'1852'!$J$11</formula>
    </cfRule>
  </conditionalFormatting>
  <conditionalFormatting sqref="K12">
    <cfRule type="cellIs" priority="370" operator="equal" aboveAverage="0" equalAverage="0" bottom="0" percent="0" rank="0" text="" dxfId="1583">
      <formula>'1852'!$J$12</formula>
    </cfRule>
    <cfRule type="cellIs" priority="371" operator="lessThan" aboveAverage="0" equalAverage="0" bottom="0" percent="0" rank="0" text="" dxfId="1584">
      <formula>'1852'!$J$12</formula>
    </cfRule>
  </conditionalFormatting>
  <conditionalFormatting sqref="K13">
    <cfRule type="cellIs" priority="372" operator="equal" aboveAverage="0" equalAverage="0" bottom="0" percent="0" rank="0" text="" dxfId="1585">
      <formula>'1852'!$J$13</formula>
    </cfRule>
    <cfRule type="cellIs" priority="373" operator="lessThan" aboveAverage="0" equalAverage="0" bottom="0" percent="0" rank="0" text="" dxfId="1586">
      <formula>'1852'!$J$13</formula>
    </cfRule>
  </conditionalFormatting>
  <conditionalFormatting sqref="K14">
    <cfRule type="cellIs" priority="374" operator="equal" aboveAverage="0" equalAverage="0" bottom="0" percent="0" rank="0" text="" dxfId="1587">
      <formula>'1852'!$J$14</formula>
    </cfRule>
    <cfRule type="cellIs" priority="375" operator="lessThan" aboveAverage="0" equalAverage="0" bottom="0" percent="0" rank="0" text="" dxfId="1588">
      <formula>'1852'!$J$14</formula>
    </cfRule>
  </conditionalFormatting>
  <conditionalFormatting sqref="K15">
    <cfRule type="cellIs" priority="376" operator="equal" aboveAverage="0" equalAverage="0" bottom="0" percent="0" rank="0" text="" dxfId="1589">
      <formula>'1852'!$J$15</formula>
    </cfRule>
    <cfRule type="cellIs" priority="377" operator="lessThan" aboveAverage="0" equalAverage="0" bottom="0" percent="0" rank="0" text="" dxfId="1590">
      <formula>'1852'!$J$15</formula>
    </cfRule>
  </conditionalFormatting>
  <conditionalFormatting sqref="K16">
    <cfRule type="cellIs" priority="378" operator="equal" aboveAverage="0" equalAverage="0" bottom="0" percent="0" rank="0" text="" dxfId="1591">
      <formula>'1852'!$J$16</formula>
    </cfRule>
    <cfRule type="cellIs" priority="379" operator="lessThan" aboveAverage="0" equalAverage="0" bottom="0" percent="0" rank="0" text="" dxfId="1592">
      <formula>'1852'!$J$16</formula>
    </cfRule>
  </conditionalFormatting>
  <conditionalFormatting sqref="K17">
    <cfRule type="cellIs" priority="380" operator="equal" aboveAverage="0" equalAverage="0" bottom="0" percent="0" rank="0" text="" dxfId="1593">
      <formula>'1852'!$J$17</formula>
    </cfRule>
    <cfRule type="cellIs" priority="381" operator="lessThan" aboveAverage="0" equalAverage="0" bottom="0" percent="0" rank="0" text="" dxfId="1594">
      <formula>'1852'!$J$17</formula>
    </cfRule>
  </conditionalFormatting>
  <conditionalFormatting sqref="K18">
    <cfRule type="cellIs" priority="382" operator="equal" aboveAverage="0" equalAverage="0" bottom="0" percent="0" rank="0" text="" dxfId="1595">
      <formula>'1852'!$J$18</formula>
    </cfRule>
    <cfRule type="cellIs" priority="383" operator="lessThan" aboveAverage="0" equalAverage="0" bottom="0" percent="0" rank="0" text="" dxfId="1596">
      <formula>'1852'!$J$18</formula>
    </cfRule>
  </conditionalFormatting>
  <conditionalFormatting sqref="K19">
    <cfRule type="cellIs" priority="384" operator="equal" aboveAverage="0" equalAverage="0" bottom="0" percent="0" rank="0" text="" dxfId="1597">
      <formula>'1852'!$J$19</formula>
    </cfRule>
    <cfRule type="cellIs" priority="385" operator="lessThan" aboveAverage="0" equalAverage="0" bottom="0" percent="0" rank="0" text="" dxfId="1598">
      <formula>'1852'!$J$19</formula>
    </cfRule>
  </conditionalFormatting>
  <conditionalFormatting sqref="K20">
    <cfRule type="cellIs" priority="386" operator="equal" aboveAverage="0" equalAverage="0" bottom="0" percent="0" rank="0" text="" dxfId="1599">
      <formula>'1852'!$J$20</formula>
    </cfRule>
    <cfRule type="cellIs" priority="387" operator="lessThan" aboveAverage="0" equalAverage="0" bottom="0" percent="0" rank="0" text="" dxfId="1600">
      <formula>'1852'!$J$20</formula>
    </cfRule>
  </conditionalFormatting>
  <conditionalFormatting sqref="K21">
    <cfRule type="cellIs" priority="388" operator="equal" aboveAverage="0" equalAverage="0" bottom="0" percent="0" rank="0" text="" dxfId="1601">
      <formula>'1852'!$J$21</formula>
    </cfRule>
    <cfRule type="cellIs" priority="389" operator="lessThan" aboveAverage="0" equalAverage="0" bottom="0" percent="0" rank="0" text="" dxfId="1602">
      <formula>'1852'!$J$21</formula>
    </cfRule>
  </conditionalFormatting>
  <conditionalFormatting sqref="K22">
    <cfRule type="cellIs" priority="390" operator="equal" aboveAverage="0" equalAverage="0" bottom="0" percent="0" rank="0" text="" dxfId="1603">
      <formula>'1852'!$J$22</formula>
    </cfRule>
    <cfRule type="cellIs" priority="391" operator="lessThan" aboveAverage="0" equalAverage="0" bottom="0" percent="0" rank="0" text="" dxfId="1604">
      <formula>'1852'!$J$22</formula>
    </cfRule>
  </conditionalFormatting>
  <conditionalFormatting sqref="K23">
    <cfRule type="cellIs" priority="392" operator="equal" aboveAverage="0" equalAverage="0" bottom="0" percent="0" rank="0" text="" dxfId="1605">
      <formula>'1852'!$J$23</formula>
    </cfRule>
    <cfRule type="cellIs" priority="393" operator="lessThan" aboveAverage="0" equalAverage="0" bottom="0" percent="0" rank="0" text="" dxfId="1606">
      <formula>'1852'!$J$23</formula>
    </cfRule>
  </conditionalFormatting>
  <conditionalFormatting sqref="K24">
    <cfRule type="cellIs" priority="394" operator="equal" aboveAverage="0" equalAverage="0" bottom="0" percent="0" rank="0" text="" dxfId="1607">
      <formula>'1852'!$J$24</formula>
    </cfRule>
    <cfRule type="cellIs" priority="395" operator="lessThan" aboveAverage="0" equalAverage="0" bottom="0" percent="0" rank="0" text="" dxfId="1608">
      <formula>'1852'!$J$24</formula>
    </cfRule>
  </conditionalFormatting>
  <conditionalFormatting sqref="K25">
    <cfRule type="cellIs" priority="396" operator="equal" aboveAverage="0" equalAverage="0" bottom="0" percent="0" rank="0" text="" dxfId="1609">
      <formula>'1852'!$J$25</formula>
    </cfRule>
    <cfRule type="cellIs" priority="397" operator="lessThan" aboveAverage="0" equalAverage="0" bottom="0" percent="0" rank="0" text="" dxfId="1610">
      <formula>'1852'!$J$25</formula>
    </cfRule>
  </conditionalFormatting>
  <conditionalFormatting sqref="K26">
    <cfRule type="cellIs" priority="398" operator="equal" aboveAverage="0" equalAverage="0" bottom="0" percent="0" rank="0" text="" dxfId="1611">
      <formula>'1852'!$J$26</formula>
    </cfRule>
    <cfRule type="cellIs" priority="399" operator="lessThan" aboveAverage="0" equalAverage="0" bottom="0" percent="0" rank="0" text="" dxfId="1612">
      <formula>'1852'!$J$26</formula>
    </cfRule>
  </conditionalFormatting>
  <conditionalFormatting sqref="K27">
    <cfRule type="cellIs" priority="400" operator="equal" aboveAverage="0" equalAverage="0" bottom="0" percent="0" rank="0" text="" dxfId="1613">
      <formula>'1852'!$J$27</formula>
    </cfRule>
    <cfRule type="cellIs" priority="401" operator="lessThan" aboveAverage="0" equalAverage="0" bottom="0" percent="0" rank="0" text="" dxfId="1614">
      <formula>'1852'!$J$27</formula>
    </cfRule>
  </conditionalFormatting>
  <conditionalFormatting sqref="K28">
    <cfRule type="cellIs" priority="402" operator="lessThan" aboveAverage="0" equalAverage="0" bottom="0" percent="0" rank="0" text="" dxfId="1615">
      <formula>'1852'!$J$28</formula>
    </cfRule>
    <cfRule type="cellIs" priority="403" operator="equal" aboveAverage="0" equalAverage="0" bottom="0" percent="0" rank="0" text="" dxfId="1616">
      <formula>'1852'!$J$28</formula>
    </cfRule>
  </conditionalFormatting>
  <conditionalFormatting sqref="L4">
    <cfRule type="cellIs" priority="404" operator="equal" aboveAverage="0" equalAverage="0" bottom="0" percent="0" rank="0" text="" dxfId="1617">
      <formula>'1852'!$K$4</formula>
    </cfRule>
    <cfRule type="cellIs" priority="405" operator="lessThan" aboveAverage="0" equalAverage="0" bottom="0" percent="0" rank="0" text="" dxfId="1618">
      <formula>'1852'!$K$4</formula>
    </cfRule>
  </conditionalFormatting>
  <conditionalFormatting sqref="L5">
    <cfRule type="cellIs" priority="406" operator="equal" aboveAverage="0" equalAverage="0" bottom="0" percent="0" rank="0" text="" dxfId="1619">
      <formula>'1852'!$K$5</formula>
    </cfRule>
    <cfRule type="cellIs" priority="407" operator="lessThan" aboveAverage="0" equalAverage="0" bottom="0" percent="0" rank="0" text="" dxfId="1620">
      <formula>'1852'!$K$5</formula>
    </cfRule>
  </conditionalFormatting>
  <conditionalFormatting sqref="L6">
    <cfRule type="cellIs" priority="408" operator="equal" aboveAverage="0" equalAverage="0" bottom="0" percent="0" rank="0" text="" dxfId="1621">
      <formula>'1852'!$K$6</formula>
    </cfRule>
    <cfRule type="cellIs" priority="409" operator="lessThan" aboveAverage="0" equalAverage="0" bottom="0" percent="0" rank="0" text="" dxfId="1622">
      <formula>'1852'!$K$6</formula>
    </cfRule>
  </conditionalFormatting>
  <conditionalFormatting sqref="L7">
    <cfRule type="cellIs" priority="410" operator="equal" aboveAverage="0" equalAverage="0" bottom="0" percent="0" rank="0" text="" dxfId="1623">
      <formula>'1852'!$K$7</formula>
    </cfRule>
    <cfRule type="cellIs" priority="411" operator="lessThan" aboveAverage="0" equalAverage="0" bottom="0" percent="0" rank="0" text="" dxfId="1624">
      <formula>'1852'!$K$7</formula>
    </cfRule>
  </conditionalFormatting>
  <conditionalFormatting sqref="L8">
    <cfRule type="cellIs" priority="412" operator="equal" aboveAverage="0" equalAverage="0" bottom="0" percent="0" rank="0" text="" dxfId="1625">
      <formula>'1852'!$K$8</formula>
    </cfRule>
    <cfRule type="cellIs" priority="413" operator="lessThan" aboveAverage="0" equalAverage="0" bottom="0" percent="0" rank="0" text="" dxfId="1626">
      <formula>'1852'!$K$8</formula>
    </cfRule>
  </conditionalFormatting>
  <conditionalFormatting sqref="L9">
    <cfRule type="cellIs" priority="414" operator="equal" aboveAverage="0" equalAverage="0" bottom="0" percent="0" rank="0" text="" dxfId="1627">
      <formula>'1852'!$K$9</formula>
    </cfRule>
    <cfRule type="cellIs" priority="415" operator="lessThan" aboveAverage="0" equalAverage="0" bottom="0" percent="0" rank="0" text="" dxfId="1628">
      <formula>'1852'!$K$9</formula>
    </cfRule>
  </conditionalFormatting>
  <conditionalFormatting sqref="L10">
    <cfRule type="cellIs" priority="416" operator="equal" aboveAverage="0" equalAverage="0" bottom="0" percent="0" rank="0" text="" dxfId="1629">
      <formula>'1852'!$K$10</formula>
    </cfRule>
    <cfRule type="cellIs" priority="417" operator="lessThan" aboveAverage="0" equalAverage="0" bottom="0" percent="0" rank="0" text="" dxfId="1630">
      <formula>'1852'!$K$10</formula>
    </cfRule>
  </conditionalFormatting>
  <conditionalFormatting sqref="L12">
    <cfRule type="cellIs" priority="418" operator="equal" aboveAverage="0" equalAverage="0" bottom="0" percent="0" rank="0" text="" dxfId="1631">
      <formula>'1852'!$K$12</formula>
    </cfRule>
    <cfRule type="cellIs" priority="419" operator="lessThan" aboveAverage="0" equalAverage="0" bottom="0" percent="0" rank="0" text="" dxfId="1632">
      <formula>'1852'!$K$12</formula>
    </cfRule>
  </conditionalFormatting>
  <conditionalFormatting sqref="L13">
    <cfRule type="cellIs" priority="420" operator="equal" aboveAverage="0" equalAverage="0" bottom="0" percent="0" rank="0" text="" dxfId="1633">
      <formula>'1852'!$K$13</formula>
    </cfRule>
    <cfRule type="cellIs" priority="421" operator="lessThan" aboveAverage="0" equalAverage="0" bottom="0" percent="0" rank="0" text="" dxfId="1634">
      <formula>'1852'!$K$13</formula>
    </cfRule>
  </conditionalFormatting>
  <conditionalFormatting sqref="L14">
    <cfRule type="cellIs" priority="422" operator="equal" aboveAverage="0" equalAverage="0" bottom="0" percent="0" rank="0" text="" dxfId="1635">
      <formula>'1852'!$K$14</formula>
    </cfRule>
    <cfRule type="cellIs" priority="423" operator="lessThan" aboveAverage="0" equalAverage="0" bottom="0" percent="0" rank="0" text="" dxfId="1636">
      <formula>'1852'!$K$14</formula>
    </cfRule>
  </conditionalFormatting>
  <conditionalFormatting sqref="L15">
    <cfRule type="cellIs" priority="424" operator="equal" aboveAverage="0" equalAverage="0" bottom="0" percent="0" rank="0" text="" dxfId="1637">
      <formula>'1852'!$K$15</formula>
    </cfRule>
    <cfRule type="cellIs" priority="425" operator="lessThan" aboveAverage="0" equalAverage="0" bottom="0" percent="0" rank="0" text="" dxfId="1638">
      <formula>'1852'!$K$15</formula>
    </cfRule>
  </conditionalFormatting>
  <conditionalFormatting sqref="L16">
    <cfRule type="cellIs" priority="426" operator="equal" aboveAverage="0" equalAverage="0" bottom="0" percent="0" rank="0" text="" dxfId="1639">
      <formula>'1852'!$K$16</formula>
    </cfRule>
    <cfRule type="cellIs" priority="427" operator="lessThan" aboveAverage="0" equalAverage="0" bottom="0" percent="0" rank="0" text="" dxfId="1640">
      <formula>'1852'!$K$16</formula>
    </cfRule>
  </conditionalFormatting>
  <conditionalFormatting sqref="L17">
    <cfRule type="cellIs" priority="428" operator="equal" aboveAverage="0" equalAverage="0" bottom="0" percent="0" rank="0" text="" dxfId="1641">
      <formula>'1852'!$K$17</formula>
    </cfRule>
    <cfRule type="cellIs" priority="429" operator="lessThan" aboveAverage="0" equalAverage="0" bottom="0" percent="0" rank="0" text="" dxfId="1642">
      <formula>'1852'!$K$17</formula>
    </cfRule>
  </conditionalFormatting>
  <conditionalFormatting sqref="L18">
    <cfRule type="cellIs" priority="430" operator="equal" aboveAverage="0" equalAverage="0" bottom="0" percent="0" rank="0" text="" dxfId="1643">
      <formula>'1852'!$K$18</formula>
    </cfRule>
    <cfRule type="cellIs" priority="431" operator="lessThan" aboveAverage="0" equalAverage="0" bottom="0" percent="0" rank="0" text="" dxfId="1644">
      <formula>'1852'!$K$18</formula>
    </cfRule>
  </conditionalFormatting>
  <conditionalFormatting sqref="L19">
    <cfRule type="cellIs" priority="432" operator="equal" aboveAverage="0" equalAverage="0" bottom="0" percent="0" rank="0" text="" dxfId="1645">
      <formula>'1852'!$K$19</formula>
    </cfRule>
    <cfRule type="cellIs" priority="433" operator="lessThan" aboveAverage="0" equalAverage="0" bottom="0" percent="0" rank="0" text="" dxfId="1646">
      <formula>'1852'!$K$19</formula>
    </cfRule>
  </conditionalFormatting>
  <conditionalFormatting sqref="L20">
    <cfRule type="cellIs" priority="434" operator="equal" aboveAverage="0" equalAverage="0" bottom="0" percent="0" rank="0" text="" dxfId="1647">
      <formula>'1852'!$K$20</formula>
    </cfRule>
    <cfRule type="cellIs" priority="435" operator="lessThan" aboveAverage="0" equalAverage="0" bottom="0" percent="0" rank="0" text="" dxfId="1648">
      <formula>'1852'!$K$20</formula>
    </cfRule>
  </conditionalFormatting>
  <conditionalFormatting sqref="L21">
    <cfRule type="cellIs" priority="436" operator="equal" aboveAverage="0" equalAverage="0" bottom="0" percent="0" rank="0" text="" dxfId="1649">
      <formula>'1852'!$K$21</formula>
    </cfRule>
    <cfRule type="cellIs" priority="437" operator="lessThan" aboveAverage="0" equalAverage="0" bottom="0" percent="0" rank="0" text="" dxfId="1650">
      <formula>'1852'!$K$21</formula>
    </cfRule>
  </conditionalFormatting>
  <conditionalFormatting sqref="L11">
    <cfRule type="cellIs" priority="438" operator="equal" aboveAverage="0" equalAverage="0" bottom="0" percent="0" rank="0" text="" dxfId="1651">
      <formula>'1852'!$K$11</formula>
    </cfRule>
    <cfRule type="cellIs" priority="439" operator="lessThan" aboveAverage="0" equalAverage="0" bottom="0" percent="0" rank="0" text="" dxfId="1652">
      <formula>'1852'!$K$11</formula>
    </cfRule>
  </conditionalFormatting>
  <conditionalFormatting sqref="L22">
    <cfRule type="cellIs" priority="440" operator="equal" aboveAverage="0" equalAverage="0" bottom="0" percent="0" rank="0" text="" dxfId="1653">
      <formula>'1852'!$K$22</formula>
    </cfRule>
    <cfRule type="cellIs" priority="441" operator="lessThan" aboveAverage="0" equalAverage="0" bottom="0" percent="0" rank="0" text="" dxfId="1654">
      <formula>'1852'!$K$22</formula>
    </cfRule>
  </conditionalFormatting>
  <conditionalFormatting sqref="L23">
    <cfRule type="cellIs" priority="442" operator="equal" aboveAverage="0" equalAverage="0" bottom="0" percent="0" rank="0" text="" dxfId="1655">
      <formula>'1852'!$K$23</formula>
    </cfRule>
    <cfRule type="cellIs" priority="443" operator="lessThan" aboveAverage="0" equalAverage="0" bottom="0" percent="0" rank="0" text="" dxfId="1656">
      <formula>'1852'!$K$23</formula>
    </cfRule>
  </conditionalFormatting>
  <conditionalFormatting sqref="L24">
    <cfRule type="cellIs" priority="444" operator="equal" aboveAverage="0" equalAverage="0" bottom="0" percent="0" rank="0" text="" dxfId="1657">
      <formula>'1852'!$K$24</formula>
    </cfRule>
    <cfRule type="cellIs" priority="445" operator="lessThan" aboveAverage="0" equalAverage="0" bottom="0" percent="0" rank="0" text="" dxfId="1658">
      <formula>'1852'!$K$24</formula>
    </cfRule>
  </conditionalFormatting>
  <conditionalFormatting sqref="L25">
    <cfRule type="cellIs" priority="446" operator="equal" aboveAverage="0" equalAverage="0" bottom="0" percent="0" rank="0" text="" dxfId="1659">
      <formula>'1852'!$K$25</formula>
    </cfRule>
    <cfRule type="cellIs" priority="447" operator="lessThan" aboveAverage="0" equalAverage="0" bottom="0" percent="0" rank="0" text="" dxfId="1660">
      <formula>'1852'!$K$25</formula>
    </cfRule>
  </conditionalFormatting>
  <conditionalFormatting sqref="L26">
    <cfRule type="cellIs" priority="448" operator="equal" aboveAverage="0" equalAverage="0" bottom="0" percent="0" rank="0" text="" dxfId="1661">
      <formula>'1852'!$K$26</formula>
    </cfRule>
    <cfRule type="cellIs" priority="449" operator="lessThan" aboveAverage="0" equalAverage="0" bottom="0" percent="0" rank="0" text="" dxfId="1662">
      <formula>'1852'!$K$26</formula>
    </cfRule>
  </conditionalFormatting>
  <conditionalFormatting sqref="L27">
    <cfRule type="cellIs" priority="450" operator="equal" aboveAverage="0" equalAverage="0" bottom="0" percent="0" rank="0" text="" dxfId="1663">
      <formula>'1852'!$K$27</formula>
    </cfRule>
    <cfRule type="cellIs" priority="451" operator="lessThan" aboveAverage="0" equalAverage="0" bottom="0" percent="0" rank="0" text="" dxfId="1664">
      <formula>'1852'!$K$27</formula>
    </cfRule>
  </conditionalFormatting>
  <conditionalFormatting sqref="L28">
    <cfRule type="cellIs" priority="452" operator="equal" aboveAverage="0" equalAverage="0" bottom="0" percent="0" rank="0" text="" dxfId="1665">
      <formula>'1852'!$K$28</formula>
    </cfRule>
    <cfRule type="cellIs" priority="453" operator="lessThan" aboveAverage="0" equalAverage="0" bottom="0" percent="0" rank="0" text="" dxfId="1666">
      <formula>'1852'!$K$28</formula>
    </cfRule>
  </conditionalFormatting>
  <conditionalFormatting sqref="M4">
    <cfRule type="cellIs" priority="454" operator="lessThan" aboveAverage="0" equalAverage="0" bottom="0" percent="0" rank="0" text="" dxfId="1667">
      <formula>'1852'!$L$4</formula>
    </cfRule>
    <cfRule type="cellIs" priority="455" operator="equal" aboveAverage="0" equalAverage="0" bottom="0" percent="0" rank="0" text="" dxfId="1668">
      <formula>'1852'!$L$4</formula>
    </cfRule>
  </conditionalFormatting>
  <conditionalFormatting sqref="M5">
    <cfRule type="cellIs" priority="456" operator="equal" aboveAverage="0" equalAverage="0" bottom="0" percent="0" rank="0" text="" dxfId="1669">
      <formula>'1852'!$L$5</formula>
    </cfRule>
    <cfRule type="cellIs" priority="457" operator="lessThan" aboveAverage="0" equalAverage="0" bottom="0" percent="0" rank="0" text="" dxfId="1670">
      <formula>'1852'!$L$5</formula>
    </cfRule>
  </conditionalFormatting>
  <conditionalFormatting sqref="M6">
    <cfRule type="cellIs" priority="458" operator="equal" aboveAverage="0" equalAverage="0" bottom="0" percent="0" rank="0" text="" dxfId="1671">
      <formula>'1852'!$L$6</formula>
    </cfRule>
    <cfRule type="cellIs" priority="459" operator="lessThan" aboveAverage="0" equalAverage="0" bottom="0" percent="0" rank="0" text="" dxfId="1672">
      <formula>'1852'!$L$6</formula>
    </cfRule>
  </conditionalFormatting>
  <conditionalFormatting sqref="M7">
    <cfRule type="cellIs" priority="460" operator="equal" aboveAverage="0" equalAverage="0" bottom="0" percent="0" rank="0" text="" dxfId="1673">
      <formula>'1852'!$L$7</formula>
    </cfRule>
    <cfRule type="cellIs" priority="461" operator="lessThan" aboveAverage="0" equalAverage="0" bottom="0" percent="0" rank="0" text="" dxfId="1674">
      <formula>'1852'!$L$7</formula>
    </cfRule>
  </conditionalFormatting>
  <conditionalFormatting sqref="M8">
    <cfRule type="cellIs" priority="462" operator="equal" aboveAverage="0" equalAverage="0" bottom="0" percent="0" rank="0" text="" dxfId="1675">
      <formula>'1852'!$L$8</formula>
    </cfRule>
    <cfRule type="cellIs" priority="463" operator="lessThan" aboveAverage="0" equalAverage="0" bottom="0" percent="0" rank="0" text="" dxfId="1676">
      <formula>'1852'!$L$8</formula>
    </cfRule>
  </conditionalFormatting>
  <conditionalFormatting sqref="M9">
    <cfRule type="cellIs" priority="464" operator="equal" aboveAverage="0" equalAverage="0" bottom="0" percent="0" rank="0" text="" dxfId="1677">
      <formula>'1852'!$L$9</formula>
    </cfRule>
    <cfRule type="cellIs" priority="465" operator="lessThan" aboveAverage="0" equalAverage="0" bottom="0" percent="0" rank="0" text="" dxfId="1678">
      <formula>'1852'!$L$9</formula>
    </cfRule>
  </conditionalFormatting>
  <conditionalFormatting sqref="M10">
    <cfRule type="cellIs" priority="466" operator="equal" aboveAverage="0" equalAverage="0" bottom="0" percent="0" rank="0" text="" dxfId="1679">
      <formula>'1852'!$L$10</formula>
    </cfRule>
    <cfRule type="cellIs" priority="467" operator="lessThan" aboveAverage="0" equalAverage="0" bottom="0" percent="0" rank="0" text="" dxfId="1680">
      <formula>'1852'!$L$10</formula>
    </cfRule>
  </conditionalFormatting>
  <conditionalFormatting sqref="M11">
    <cfRule type="cellIs" priority="468" operator="equal" aboveAverage="0" equalAverage="0" bottom="0" percent="0" rank="0" text="" dxfId="1681">
      <formula>'1852'!$L$11</formula>
    </cfRule>
    <cfRule type="cellIs" priority="469" operator="lessThan" aboveAverage="0" equalAverage="0" bottom="0" percent="0" rank="0" text="" dxfId="1682">
      <formula>'1852'!$L$11</formula>
    </cfRule>
  </conditionalFormatting>
  <conditionalFormatting sqref="M12">
    <cfRule type="cellIs" priority="470" operator="equal" aboveAverage="0" equalAverage="0" bottom="0" percent="0" rank="0" text="" dxfId="1683">
      <formula>'1852'!$L$12</formula>
    </cfRule>
    <cfRule type="cellIs" priority="471" operator="lessThan" aboveAverage="0" equalAverage="0" bottom="0" percent="0" rank="0" text="" dxfId="1684">
      <formula>'1852'!$L$12</formula>
    </cfRule>
  </conditionalFormatting>
  <conditionalFormatting sqref="M13">
    <cfRule type="cellIs" priority="472" operator="equal" aboveAverage="0" equalAverage="0" bottom="0" percent="0" rank="0" text="" dxfId="1685">
      <formula>'1852'!$L$13</formula>
    </cfRule>
    <cfRule type="cellIs" priority="473" operator="lessThan" aboveAverage="0" equalAverage="0" bottom="0" percent="0" rank="0" text="" dxfId="1686">
      <formula>'1852'!$L$13</formula>
    </cfRule>
  </conditionalFormatting>
  <conditionalFormatting sqref="M14">
    <cfRule type="cellIs" priority="474" operator="equal" aboveAverage="0" equalAverage="0" bottom="0" percent="0" rank="0" text="" dxfId="1687">
      <formula>'1852'!$L$14</formula>
    </cfRule>
    <cfRule type="cellIs" priority="475" operator="lessThan" aboveAverage="0" equalAverage="0" bottom="0" percent="0" rank="0" text="" dxfId="1688">
      <formula>'1852'!$L$14</formula>
    </cfRule>
  </conditionalFormatting>
  <conditionalFormatting sqref="M15">
    <cfRule type="cellIs" priority="476" operator="equal" aboveAverage="0" equalAverage="0" bottom="0" percent="0" rank="0" text="" dxfId="1689">
      <formula>'1852'!$L$15</formula>
    </cfRule>
    <cfRule type="cellIs" priority="477" operator="lessThan" aboveAverage="0" equalAverage="0" bottom="0" percent="0" rank="0" text="" dxfId="1690">
      <formula>'1852'!$L$15</formula>
    </cfRule>
  </conditionalFormatting>
  <conditionalFormatting sqref="M16">
    <cfRule type="cellIs" priority="478" operator="equal" aboveAverage="0" equalAverage="0" bottom="0" percent="0" rank="0" text="" dxfId="1691">
      <formula>'1852'!$L$16</formula>
    </cfRule>
    <cfRule type="cellIs" priority="479" operator="lessThan" aboveAverage="0" equalAverage="0" bottom="0" percent="0" rank="0" text="" dxfId="1692">
      <formula>'1852'!$L$16</formula>
    </cfRule>
  </conditionalFormatting>
  <conditionalFormatting sqref="M17">
    <cfRule type="cellIs" priority="480" operator="equal" aboveAverage="0" equalAverage="0" bottom="0" percent="0" rank="0" text="" dxfId="1693">
      <formula>'1852'!$L$17</formula>
    </cfRule>
    <cfRule type="cellIs" priority="481" operator="lessThan" aboveAverage="0" equalAverage="0" bottom="0" percent="0" rank="0" text="" dxfId="1694">
      <formula>'1852'!$L$17</formula>
    </cfRule>
  </conditionalFormatting>
  <conditionalFormatting sqref="M18">
    <cfRule type="cellIs" priority="482" operator="equal" aboveAverage="0" equalAverage="0" bottom="0" percent="0" rank="0" text="" dxfId="1695">
      <formula>'1852'!$L$18</formula>
    </cfRule>
    <cfRule type="cellIs" priority="483" operator="lessThan" aboveAverage="0" equalAverage="0" bottom="0" percent="0" rank="0" text="" dxfId="1696">
      <formula>'1852'!$L$18</formula>
    </cfRule>
  </conditionalFormatting>
  <conditionalFormatting sqref="M19">
    <cfRule type="cellIs" priority="484" operator="equal" aboveAverage="0" equalAverage="0" bottom="0" percent="0" rank="0" text="" dxfId="1697">
      <formula>'1852'!$L$19</formula>
    </cfRule>
    <cfRule type="cellIs" priority="485" operator="lessThan" aboveAverage="0" equalAverage="0" bottom="0" percent="0" rank="0" text="" dxfId="1698">
      <formula>'1852'!$L$19</formula>
    </cfRule>
  </conditionalFormatting>
  <conditionalFormatting sqref="M20">
    <cfRule type="cellIs" priority="486" operator="equal" aboveAverage="0" equalAverage="0" bottom="0" percent="0" rank="0" text="" dxfId="1699">
      <formula>'1852'!$L$20</formula>
    </cfRule>
    <cfRule type="cellIs" priority="487" operator="lessThan" aboveAverage="0" equalAverage="0" bottom="0" percent="0" rank="0" text="" dxfId="1700">
      <formula>'1852'!$L$20</formula>
    </cfRule>
  </conditionalFormatting>
  <conditionalFormatting sqref="M21">
    <cfRule type="cellIs" priority="488" operator="equal" aboveAverage="0" equalAverage="0" bottom="0" percent="0" rank="0" text="" dxfId="1701">
      <formula>'1852'!$L$21</formula>
    </cfRule>
    <cfRule type="cellIs" priority="489" operator="lessThan" aboveAverage="0" equalAverage="0" bottom="0" percent="0" rank="0" text="" dxfId="1702">
      <formula>'1852'!$L$21</formula>
    </cfRule>
  </conditionalFormatting>
  <conditionalFormatting sqref="M22">
    <cfRule type="cellIs" priority="490" operator="equal" aboveAverage="0" equalAverage="0" bottom="0" percent="0" rank="0" text="" dxfId="1703">
      <formula>'1852'!$L$22</formula>
    </cfRule>
    <cfRule type="cellIs" priority="491" operator="lessThan" aboveAverage="0" equalAverage="0" bottom="0" percent="0" rank="0" text="" dxfId="1704">
      <formula>'1852'!$L$22</formula>
    </cfRule>
  </conditionalFormatting>
  <conditionalFormatting sqref="M23">
    <cfRule type="cellIs" priority="492" operator="equal" aboveAverage="0" equalAverage="0" bottom="0" percent="0" rank="0" text="" dxfId="1705">
      <formula>'1852'!$L$23</formula>
    </cfRule>
    <cfRule type="cellIs" priority="493" operator="lessThan" aboveAverage="0" equalAverage="0" bottom="0" percent="0" rank="0" text="" dxfId="1706">
      <formula>'1852'!$L$23</formula>
    </cfRule>
  </conditionalFormatting>
  <conditionalFormatting sqref="M24">
    <cfRule type="cellIs" priority="494" operator="equal" aboveAverage="0" equalAverage="0" bottom="0" percent="0" rank="0" text="" dxfId="1707">
      <formula>'1852'!$L$24</formula>
    </cfRule>
    <cfRule type="cellIs" priority="495" operator="lessThan" aboveAverage="0" equalAverage="0" bottom="0" percent="0" rank="0" text="" dxfId="1708">
      <formula>'1852'!$L$24</formula>
    </cfRule>
  </conditionalFormatting>
  <conditionalFormatting sqref="M25">
    <cfRule type="cellIs" priority="496" operator="equal" aboveAverage="0" equalAverage="0" bottom="0" percent="0" rank="0" text="" dxfId="1709">
      <formula>'1852'!$L$25</formula>
    </cfRule>
    <cfRule type="cellIs" priority="497" operator="lessThan" aboveAverage="0" equalAverage="0" bottom="0" percent="0" rank="0" text="" dxfId="1710">
      <formula>'1852'!$L$25</formula>
    </cfRule>
  </conditionalFormatting>
  <conditionalFormatting sqref="M26">
    <cfRule type="cellIs" priority="498" operator="equal" aboveAverage="0" equalAverage="0" bottom="0" percent="0" rank="0" text="" dxfId="1711">
      <formula>'1852'!$L$26</formula>
    </cfRule>
    <cfRule type="cellIs" priority="499" operator="lessThan" aboveAverage="0" equalAverage="0" bottom="0" percent="0" rank="0" text="" dxfId="1712">
      <formula>'1852'!$L$26</formula>
    </cfRule>
  </conditionalFormatting>
  <conditionalFormatting sqref="M27">
    <cfRule type="cellIs" priority="500" operator="equal" aboveAverage="0" equalAverage="0" bottom="0" percent="0" rank="0" text="" dxfId="1713">
      <formula>'1852'!$L$27</formula>
    </cfRule>
    <cfRule type="cellIs" priority="501" operator="lessThan" aboveAverage="0" equalAverage="0" bottom="0" percent="0" rank="0" text="" dxfId="1714">
      <formula>'1852'!$L$27</formula>
    </cfRule>
  </conditionalFormatting>
  <conditionalFormatting sqref="M28">
    <cfRule type="cellIs" priority="502" operator="equal" aboveAverage="0" equalAverage="0" bottom="0" percent="0" rank="0" text="" dxfId="1715">
      <formula>'1852'!$L$28</formula>
    </cfRule>
    <cfRule type="cellIs" priority="503" operator="lessThan" aboveAverage="0" equalAverage="0" bottom="0" percent="0" rank="0" text="" dxfId="1716">
      <formula>'1852'!$L$28</formula>
    </cfRule>
  </conditionalFormatting>
  <conditionalFormatting sqref="N4">
    <cfRule type="cellIs" priority="504" operator="equal" aboveAverage="0" equalAverage="0" bottom="0" percent="0" rank="0" text="" dxfId="1717">
      <formula>'1852'!$M$4</formula>
    </cfRule>
    <cfRule type="cellIs" priority="505" operator="lessThan" aboveAverage="0" equalAverage="0" bottom="0" percent="0" rank="0" text="" dxfId="1718">
      <formula>'1852'!$M$4</formula>
    </cfRule>
  </conditionalFormatting>
  <conditionalFormatting sqref="N5">
    <cfRule type="cellIs" priority="506" operator="equal" aboveAverage="0" equalAverage="0" bottom="0" percent="0" rank="0" text="" dxfId="1719">
      <formula>'1852'!$M$5</formula>
    </cfRule>
    <cfRule type="cellIs" priority="507" operator="lessThan" aboveAverage="0" equalAverage="0" bottom="0" percent="0" rank="0" text="" dxfId="1720">
      <formula>'1852'!$M$5</formula>
    </cfRule>
  </conditionalFormatting>
  <conditionalFormatting sqref="N6">
    <cfRule type="cellIs" priority="508" operator="equal" aboveAverage="0" equalAverage="0" bottom="0" percent="0" rank="0" text="" dxfId="1721">
      <formula>'1852'!$M$6</formula>
    </cfRule>
    <cfRule type="cellIs" priority="509" operator="lessThan" aboveAverage="0" equalAverage="0" bottom="0" percent="0" rank="0" text="" dxfId="1722">
      <formula>'1852'!$M$6</formula>
    </cfRule>
  </conditionalFormatting>
  <conditionalFormatting sqref="N7">
    <cfRule type="cellIs" priority="510" operator="equal" aboveAverage="0" equalAverage="0" bottom="0" percent="0" rank="0" text="" dxfId="1723">
      <formula>'1852'!$M$7</formula>
    </cfRule>
    <cfRule type="cellIs" priority="511" operator="lessThan" aboveAverage="0" equalAverage="0" bottom="0" percent="0" rank="0" text="" dxfId="1724">
      <formula>'1852'!$M$7</formula>
    </cfRule>
  </conditionalFormatting>
  <conditionalFormatting sqref="N8">
    <cfRule type="cellIs" priority="512" operator="equal" aboveAverage="0" equalAverage="0" bottom="0" percent="0" rank="0" text="" dxfId="1725">
      <formula>'1852'!$M$8</formula>
    </cfRule>
    <cfRule type="cellIs" priority="513" operator="lessThan" aboveAverage="0" equalAverage="0" bottom="0" percent="0" rank="0" text="" dxfId="1726">
      <formula>'1852'!$M$8</formula>
    </cfRule>
  </conditionalFormatting>
  <conditionalFormatting sqref="N9">
    <cfRule type="cellIs" priority="514" operator="equal" aboveAverage="0" equalAverage="0" bottom="0" percent="0" rank="0" text="" dxfId="1727">
      <formula>'1852'!$M$9</formula>
    </cfRule>
    <cfRule type="cellIs" priority="515" operator="lessThan" aboveAverage="0" equalAverage="0" bottom="0" percent="0" rank="0" text="" dxfId="1728">
      <formula>'1852'!$M$9</formula>
    </cfRule>
  </conditionalFormatting>
  <conditionalFormatting sqref="N10">
    <cfRule type="cellIs" priority="516" operator="equal" aboveAverage="0" equalAverage="0" bottom="0" percent="0" rank="0" text="" dxfId="1729">
      <formula>'1852'!$M$10</formula>
    </cfRule>
    <cfRule type="cellIs" priority="517" operator="lessThan" aboveAverage="0" equalAverage="0" bottom="0" percent="0" rank="0" text="" dxfId="1730">
      <formula>'1852'!$M$10</formula>
    </cfRule>
  </conditionalFormatting>
  <conditionalFormatting sqref="N11">
    <cfRule type="cellIs" priority="518" operator="equal" aboveAverage="0" equalAverage="0" bottom="0" percent="0" rank="0" text="" dxfId="1731">
      <formula>'1852'!$M$11</formula>
    </cfRule>
    <cfRule type="cellIs" priority="519" operator="lessThan" aboveAverage="0" equalAverage="0" bottom="0" percent="0" rank="0" text="" dxfId="1732">
      <formula>'1852'!$M$11</formula>
    </cfRule>
  </conditionalFormatting>
  <conditionalFormatting sqref="N12">
    <cfRule type="cellIs" priority="520" operator="equal" aboveAverage="0" equalAverage="0" bottom="0" percent="0" rank="0" text="" dxfId="1733">
      <formula>'1852'!$M$12</formula>
    </cfRule>
    <cfRule type="cellIs" priority="521" operator="lessThan" aboveAverage="0" equalAverage="0" bottom="0" percent="0" rank="0" text="" dxfId="1734">
      <formula>'1852'!$M$12</formula>
    </cfRule>
  </conditionalFormatting>
  <conditionalFormatting sqref="N13">
    <cfRule type="cellIs" priority="522" operator="equal" aboveAverage="0" equalAverage="0" bottom="0" percent="0" rank="0" text="" dxfId="1735">
      <formula>'1852'!$M$13</formula>
    </cfRule>
    <cfRule type="cellIs" priority="523" operator="lessThan" aboveAverage="0" equalAverage="0" bottom="0" percent="0" rank="0" text="" dxfId="1736">
      <formula>'1852'!$M$13</formula>
    </cfRule>
  </conditionalFormatting>
  <conditionalFormatting sqref="N14">
    <cfRule type="cellIs" priority="524" operator="equal" aboveAverage="0" equalAverage="0" bottom="0" percent="0" rank="0" text="" dxfId="1737">
      <formula>'1852'!$M$14</formula>
    </cfRule>
    <cfRule type="cellIs" priority="525" operator="lessThan" aboveAverage="0" equalAverage="0" bottom="0" percent="0" rank="0" text="" dxfId="1738">
      <formula>'1852'!$M$14</formula>
    </cfRule>
  </conditionalFormatting>
  <conditionalFormatting sqref="N15">
    <cfRule type="cellIs" priority="526" operator="equal" aboveAverage="0" equalAverage="0" bottom="0" percent="0" rank="0" text="" dxfId="1739">
      <formula>'1852'!$M$15</formula>
    </cfRule>
    <cfRule type="cellIs" priority="527" operator="lessThan" aboveAverage="0" equalAverage="0" bottom="0" percent="0" rank="0" text="" dxfId="1740">
      <formula>'1852'!$M$15</formula>
    </cfRule>
  </conditionalFormatting>
  <conditionalFormatting sqref="N16">
    <cfRule type="cellIs" priority="528" operator="equal" aboveAverage="0" equalAverage="0" bottom="0" percent="0" rank="0" text="" dxfId="1741">
      <formula>'1852'!$M$16</formula>
    </cfRule>
    <cfRule type="cellIs" priority="529" operator="lessThan" aboveAverage="0" equalAverage="0" bottom="0" percent="0" rank="0" text="" dxfId="1742">
      <formula>'1852'!$M$16</formula>
    </cfRule>
  </conditionalFormatting>
  <conditionalFormatting sqref="N17">
    <cfRule type="cellIs" priority="530" operator="equal" aboveAverage="0" equalAverage="0" bottom="0" percent="0" rank="0" text="" dxfId="1743">
      <formula>'1852'!$M$17</formula>
    </cfRule>
    <cfRule type="cellIs" priority="531" operator="lessThan" aboveAverage="0" equalAverage="0" bottom="0" percent="0" rank="0" text="" dxfId="1744">
      <formula>'1852'!$M$17</formula>
    </cfRule>
  </conditionalFormatting>
  <conditionalFormatting sqref="N18">
    <cfRule type="cellIs" priority="532" operator="equal" aboveAverage="0" equalAverage="0" bottom="0" percent="0" rank="0" text="" dxfId="1745">
      <formula>'1852'!$M$18</formula>
    </cfRule>
    <cfRule type="cellIs" priority="533" operator="lessThan" aboveAverage="0" equalAverage="0" bottom="0" percent="0" rank="0" text="" dxfId="1746">
      <formula>'1852'!$M$18</formula>
    </cfRule>
  </conditionalFormatting>
  <conditionalFormatting sqref="N19">
    <cfRule type="cellIs" priority="534" operator="equal" aboveAverage="0" equalAverage="0" bottom="0" percent="0" rank="0" text="" dxfId="1747">
      <formula>'1852'!$M$19</formula>
    </cfRule>
    <cfRule type="cellIs" priority="535" operator="lessThan" aboveAverage="0" equalAverage="0" bottom="0" percent="0" rank="0" text="" dxfId="1748">
      <formula>'1852'!$M$19</formula>
    </cfRule>
  </conditionalFormatting>
  <conditionalFormatting sqref="N20">
    <cfRule type="cellIs" priority="536" operator="equal" aboveAverage="0" equalAverage="0" bottom="0" percent="0" rank="0" text="" dxfId="1749">
      <formula>'1852'!$M$20</formula>
    </cfRule>
    <cfRule type="cellIs" priority="537" operator="lessThan" aboveAverage="0" equalAverage="0" bottom="0" percent="0" rank="0" text="" dxfId="1750">
      <formula>'1852'!$M$20</formula>
    </cfRule>
  </conditionalFormatting>
  <conditionalFormatting sqref="N21">
    <cfRule type="cellIs" priority="538" operator="equal" aboveAverage="0" equalAverage="0" bottom="0" percent="0" rank="0" text="" dxfId="1751">
      <formula>'1852'!$M$21</formula>
    </cfRule>
    <cfRule type="cellIs" priority="539" operator="lessThan" aboveAverage="0" equalAverage="0" bottom="0" percent="0" rank="0" text="" dxfId="1752">
      <formula>'1852'!$M$21</formula>
    </cfRule>
  </conditionalFormatting>
  <conditionalFormatting sqref="N22">
    <cfRule type="cellIs" priority="540" operator="equal" aboveAverage="0" equalAverage="0" bottom="0" percent="0" rank="0" text="" dxfId="1753">
      <formula>'1852'!$M$22</formula>
    </cfRule>
    <cfRule type="cellIs" priority="541" operator="lessThan" aboveAverage="0" equalAverage="0" bottom="0" percent="0" rank="0" text="" dxfId="1754">
      <formula>'1852'!$M$22</formula>
    </cfRule>
  </conditionalFormatting>
  <conditionalFormatting sqref="N23">
    <cfRule type="cellIs" priority="542" operator="equal" aboveAverage="0" equalAverage="0" bottom="0" percent="0" rank="0" text="" dxfId="1755">
      <formula>'1852'!$M$23</formula>
    </cfRule>
    <cfRule type="cellIs" priority="543" operator="lessThan" aboveAverage="0" equalAverage="0" bottom="0" percent="0" rank="0" text="" dxfId="1756">
      <formula>'1852'!$M$23</formula>
    </cfRule>
  </conditionalFormatting>
  <conditionalFormatting sqref="N24">
    <cfRule type="cellIs" priority="544" operator="equal" aboveAverage="0" equalAverage="0" bottom="0" percent="0" rank="0" text="" dxfId="1757">
      <formula>'1852'!$M$24</formula>
    </cfRule>
    <cfRule type="cellIs" priority="545" operator="lessThan" aboveAverage="0" equalAverage="0" bottom="0" percent="0" rank="0" text="" dxfId="1758">
      <formula>'1852'!$M$24</formula>
    </cfRule>
  </conditionalFormatting>
  <conditionalFormatting sqref="N25">
    <cfRule type="cellIs" priority="546" operator="equal" aboveAverage="0" equalAverage="0" bottom="0" percent="0" rank="0" text="" dxfId="1759">
      <formula>'1852'!$M$25</formula>
    </cfRule>
    <cfRule type="cellIs" priority="547" operator="lessThan" aboveAverage="0" equalAverage="0" bottom="0" percent="0" rank="0" text="" dxfId="1760">
      <formula>'1852'!$M$25</formula>
    </cfRule>
  </conditionalFormatting>
  <conditionalFormatting sqref="N26">
    <cfRule type="cellIs" priority="548" operator="equal" aboveAverage="0" equalAverage="0" bottom="0" percent="0" rank="0" text="" dxfId="1761">
      <formula>'1852'!$M$26</formula>
    </cfRule>
    <cfRule type="cellIs" priority="549" operator="lessThan" aboveAverage="0" equalAverage="0" bottom="0" percent="0" rank="0" text="" dxfId="1762">
      <formula>'1852'!$M$26</formula>
    </cfRule>
  </conditionalFormatting>
  <conditionalFormatting sqref="N27">
    <cfRule type="cellIs" priority="550" operator="equal" aboveAverage="0" equalAverage="0" bottom="0" percent="0" rank="0" text="" dxfId="1763">
      <formula>'1852'!$M$27</formula>
    </cfRule>
    <cfRule type="cellIs" priority="551" operator="lessThan" aboveAverage="0" equalAverage="0" bottom="0" percent="0" rank="0" text="" dxfId="1764">
      <formula>'1852'!$M$27</formula>
    </cfRule>
  </conditionalFormatting>
  <conditionalFormatting sqref="N28">
    <cfRule type="cellIs" priority="552" operator="equal" aboveAverage="0" equalAverage="0" bottom="0" percent="0" rank="0" text="" dxfId="1765">
      <formula>'1852'!$M$28</formula>
    </cfRule>
    <cfRule type="cellIs" priority="553" operator="lessThan" aboveAverage="0" equalAverage="0" bottom="0" percent="0" rank="0" text="" dxfId="1766">
      <formula>'1852'!$M$28</formula>
    </cfRule>
  </conditionalFormatting>
  <conditionalFormatting sqref="O4">
    <cfRule type="cellIs" priority="554" operator="equal" aboveAverage="0" equalAverage="0" bottom="0" percent="0" rank="0" text="" dxfId="1767">
      <formula>'1852'!$N$4</formula>
    </cfRule>
    <cfRule type="cellIs" priority="555" operator="lessThan" aboveAverage="0" equalAverage="0" bottom="0" percent="0" rank="0" text="" dxfId="1768">
      <formula>'1852'!$N$4</formula>
    </cfRule>
  </conditionalFormatting>
  <conditionalFormatting sqref="O5">
    <cfRule type="cellIs" priority="556" operator="equal" aboveAverage="0" equalAverage="0" bottom="0" percent="0" rank="0" text="" dxfId="1769">
      <formula>'1852'!$N$5</formula>
    </cfRule>
    <cfRule type="cellIs" priority="557" operator="lessThan" aboveAverage="0" equalAverage="0" bottom="0" percent="0" rank="0" text="" dxfId="1770">
      <formula>'1852'!$N$5</formula>
    </cfRule>
  </conditionalFormatting>
  <conditionalFormatting sqref="O6">
    <cfRule type="cellIs" priority="558" operator="equal" aboveAverage="0" equalAverage="0" bottom="0" percent="0" rank="0" text="" dxfId="1771">
      <formula>'1852'!$N$6</formula>
    </cfRule>
    <cfRule type="cellIs" priority="559" operator="lessThan" aboveAverage="0" equalAverage="0" bottom="0" percent="0" rank="0" text="" dxfId="1772">
      <formula>'1852'!$N$6</formula>
    </cfRule>
  </conditionalFormatting>
  <conditionalFormatting sqref="O7">
    <cfRule type="cellIs" priority="560" operator="equal" aboveAverage="0" equalAverage="0" bottom="0" percent="0" rank="0" text="" dxfId="1773">
      <formula>'1852'!$N$7</formula>
    </cfRule>
    <cfRule type="cellIs" priority="561" operator="lessThan" aboveAverage="0" equalAverage="0" bottom="0" percent="0" rank="0" text="" dxfId="1774">
      <formula>'1852'!$N$7</formula>
    </cfRule>
  </conditionalFormatting>
  <conditionalFormatting sqref="O8">
    <cfRule type="cellIs" priority="562" operator="equal" aboveAverage="0" equalAverage="0" bottom="0" percent="0" rank="0" text="" dxfId="1775">
      <formula>'1852'!$N$8</formula>
    </cfRule>
    <cfRule type="cellIs" priority="563" operator="lessThan" aboveAverage="0" equalAverage="0" bottom="0" percent="0" rank="0" text="" dxfId="1776">
      <formula>'1852'!$N$8</formula>
    </cfRule>
  </conditionalFormatting>
  <conditionalFormatting sqref="O9">
    <cfRule type="cellIs" priority="564" operator="equal" aboveAverage="0" equalAverage="0" bottom="0" percent="0" rank="0" text="" dxfId="1777">
      <formula>'1852'!$N$9</formula>
    </cfRule>
    <cfRule type="cellIs" priority="565" operator="lessThan" aboveAverage="0" equalAverage="0" bottom="0" percent="0" rank="0" text="" dxfId="1778">
      <formula>'1852'!$N$9</formula>
    </cfRule>
  </conditionalFormatting>
  <conditionalFormatting sqref="O10">
    <cfRule type="cellIs" priority="566" operator="equal" aboveAverage="0" equalAverage="0" bottom="0" percent="0" rank="0" text="" dxfId="1779">
      <formula>'1852'!$N$10</formula>
    </cfRule>
    <cfRule type="cellIs" priority="567" operator="lessThan" aboveAverage="0" equalAverage="0" bottom="0" percent="0" rank="0" text="" dxfId="1780">
      <formula>'1852'!$N$10</formula>
    </cfRule>
  </conditionalFormatting>
  <conditionalFormatting sqref="O11">
    <cfRule type="cellIs" priority="568" operator="equal" aboveAverage="0" equalAverage="0" bottom="0" percent="0" rank="0" text="" dxfId="1781">
      <formula>'1852'!$N$11</formula>
    </cfRule>
    <cfRule type="cellIs" priority="569" operator="lessThan" aboveAverage="0" equalAverage="0" bottom="0" percent="0" rank="0" text="" dxfId="1782">
      <formula>'1852'!$N$11</formula>
    </cfRule>
  </conditionalFormatting>
  <conditionalFormatting sqref="O12">
    <cfRule type="cellIs" priority="570" operator="equal" aboveAverage="0" equalAverage="0" bottom="0" percent="0" rank="0" text="" dxfId="1783">
      <formula>'1852'!$N$12</formula>
    </cfRule>
    <cfRule type="cellIs" priority="571" operator="lessThan" aboveAverage="0" equalAverage="0" bottom="0" percent="0" rank="0" text="" dxfId="1784">
      <formula>'1852'!$N$12</formula>
    </cfRule>
  </conditionalFormatting>
  <conditionalFormatting sqref="O13">
    <cfRule type="cellIs" priority="572" operator="equal" aboveAverage="0" equalAverage="0" bottom="0" percent="0" rank="0" text="" dxfId="1785">
      <formula>'1852'!$N$13</formula>
    </cfRule>
    <cfRule type="cellIs" priority="573" operator="lessThan" aboveAverage="0" equalAverage="0" bottom="0" percent="0" rank="0" text="" dxfId="1786">
      <formula>'1852'!$N$13</formula>
    </cfRule>
  </conditionalFormatting>
  <conditionalFormatting sqref="O14">
    <cfRule type="cellIs" priority="574" operator="equal" aboveAverage="0" equalAverage="0" bottom="0" percent="0" rank="0" text="" dxfId="1787">
      <formula>'1852'!$N$14</formula>
    </cfRule>
    <cfRule type="cellIs" priority="575" operator="lessThan" aboveAverage="0" equalAverage="0" bottom="0" percent="0" rank="0" text="" dxfId="1788">
      <formula>'1852'!$N$14</formula>
    </cfRule>
  </conditionalFormatting>
  <conditionalFormatting sqref="O15">
    <cfRule type="cellIs" priority="576" operator="equal" aboveAverage="0" equalAverage="0" bottom="0" percent="0" rank="0" text="" dxfId="1789">
      <formula>'1852'!$N$15</formula>
    </cfRule>
    <cfRule type="cellIs" priority="577" operator="lessThan" aboveAverage="0" equalAverage="0" bottom="0" percent="0" rank="0" text="" dxfId="1790">
      <formula>'1852'!$N$15</formula>
    </cfRule>
  </conditionalFormatting>
  <conditionalFormatting sqref="O16">
    <cfRule type="cellIs" priority="578" operator="equal" aboveAverage="0" equalAverage="0" bottom="0" percent="0" rank="0" text="" dxfId="1791">
      <formula>'1852'!$N$16</formula>
    </cfRule>
    <cfRule type="cellIs" priority="579" operator="lessThan" aboveAverage="0" equalAverage="0" bottom="0" percent="0" rank="0" text="" dxfId="1792">
      <formula>'1852'!$N$16</formula>
    </cfRule>
  </conditionalFormatting>
  <conditionalFormatting sqref="O17">
    <cfRule type="cellIs" priority="580" operator="equal" aboveAverage="0" equalAverage="0" bottom="0" percent="0" rank="0" text="" dxfId="1793">
      <formula>'1852'!$N$17</formula>
    </cfRule>
    <cfRule type="cellIs" priority="581" operator="lessThan" aboveAverage="0" equalAverage="0" bottom="0" percent="0" rank="0" text="" dxfId="1794">
      <formula>'1852'!$N$17</formula>
    </cfRule>
  </conditionalFormatting>
  <conditionalFormatting sqref="O18">
    <cfRule type="cellIs" priority="582" operator="equal" aboveAverage="0" equalAverage="0" bottom="0" percent="0" rank="0" text="" dxfId="1795">
      <formula>'1852'!$N$18</formula>
    </cfRule>
    <cfRule type="cellIs" priority="583" operator="lessThan" aboveAverage="0" equalAverage="0" bottom="0" percent="0" rank="0" text="" dxfId="1796">
      <formula>'1852'!$N$18</formula>
    </cfRule>
  </conditionalFormatting>
  <conditionalFormatting sqref="O19">
    <cfRule type="cellIs" priority="584" operator="equal" aboveAverage="0" equalAverage="0" bottom="0" percent="0" rank="0" text="" dxfId="1797">
      <formula>'1852'!$N$19</formula>
    </cfRule>
    <cfRule type="cellIs" priority="585" operator="lessThan" aboveAverage="0" equalAverage="0" bottom="0" percent="0" rank="0" text="" dxfId="1798">
      <formula>'1852'!$N$19</formula>
    </cfRule>
  </conditionalFormatting>
  <conditionalFormatting sqref="O20">
    <cfRule type="cellIs" priority="586" operator="equal" aboveAverage="0" equalAverage="0" bottom="0" percent="0" rank="0" text="" dxfId="1799">
      <formula>'1852'!$N$20</formula>
    </cfRule>
    <cfRule type="cellIs" priority="587" operator="lessThan" aboveAverage="0" equalAverage="0" bottom="0" percent="0" rank="0" text="" dxfId="1800">
      <formula>'1852'!$N$20</formula>
    </cfRule>
  </conditionalFormatting>
  <conditionalFormatting sqref="O21">
    <cfRule type="cellIs" priority="588" operator="equal" aboveAverage="0" equalAverage="0" bottom="0" percent="0" rank="0" text="" dxfId="1801">
      <formula>'1852'!$N$21</formula>
    </cfRule>
    <cfRule type="cellIs" priority="589" operator="lessThan" aboveAverage="0" equalAverage="0" bottom="0" percent="0" rank="0" text="" dxfId="1802">
      <formula>'1852'!$N$21</formula>
    </cfRule>
  </conditionalFormatting>
  <conditionalFormatting sqref="O22">
    <cfRule type="cellIs" priority="590" operator="equal" aboveAverage="0" equalAverage="0" bottom="0" percent="0" rank="0" text="" dxfId="1803">
      <formula>'1852'!$N$22</formula>
    </cfRule>
    <cfRule type="cellIs" priority="591" operator="lessThan" aboveAverage="0" equalAverage="0" bottom="0" percent="0" rank="0" text="" dxfId="1804">
      <formula>'1852'!$N$22</formula>
    </cfRule>
  </conditionalFormatting>
  <conditionalFormatting sqref="O23">
    <cfRule type="cellIs" priority="592" operator="equal" aboveAverage="0" equalAverage="0" bottom="0" percent="0" rank="0" text="" dxfId="1805">
      <formula>'1852'!$N$23</formula>
    </cfRule>
    <cfRule type="cellIs" priority="593" operator="lessThan" aboveAverage="0" equalAverage="0" bottom="0" percent="0" rank="0" text="" dxfId="1806">
      <formula>'1852'!$N$23</formula>
    </cfRule>
  </conditionalFormatting>
  <conditionalFormatting sqref="O24">
    <cfRule type="cellIs" priority="594" operator="equal" aboveAverage="0" equalAverage="0" bottom="0" percent="0" rank="0" text="" dxfId="1807">
      <formula>'1852'!$N$24</formula>
    </cfRule>
    <cfRule type="cellIs" priority="595" operator="lessThan" aboveAverage="0" equalAverage="0" bottom="0" percent="0" rank="0" text="" dxfId="1808">
      <formula>'1852'!$N$24</formula>
    </cfRule>
  </conditionalFormatting>
  <conditionalFormatting sqref="O25">
    <cfRule type="cellIs" priority="596" operator="equal" aboveAverage="0" equalAverage="0" bottom="0" percent="0" rank="0" text="" dxfId="1809">
      <formula>'1852'!$N$25</formula>
    </cfRule>
    <cfRule type="cellIs" priority="597" operator="lessThan" aboveAverage="0" equalAverage="0" bottom="0" percent="0" rank="0" text="" dxfId="1810">
      <formula>'1852'!$N$25</formula>
    </cfRule>
  </conditionalFormatting>
  <conditionalFormatting sqref="O26">
    <cfRule type="cellIs" priority="598" operator="equal" aboveAverage="0" equalAverage="0" bottom="0" percent="0" rank="0" text="" dxfId="1811">
      <formula>'1852'!$N$26</formula>
    </cfRule>
    <cfRule type="cellIs" priority="599" operator="lessThan" aboveAverage="0" equalAverage="0" bottom="0" percent="0" rank="0" text="" dxfId="1812">
      <formula>'1852'!$N$26</formula>
    </cfRule>
  </conditionalFormatting>
  <conditionalFormatting sqref="O27">
    <cfRule type="cellIs" priority="600" operator="equal" aboveAverage="0" equalAverage="0" bottom="0" percent="0" rank="0" text="" dxfId="1813">
      <formula>'1852'!$N$27</formula>
    </cfRule>
    <cfRule type="cellIs" priority="601" operator="lessThan" aboveAverage="0" equalAverage="0" bottom="0" percent="0" rank="0" text="" dxfId="1814">
      <formula>'1852'!$N$27</formula>
    </cfRule>
  </conditionalFormatting>
  <conditionalFormatting sqref="O28">
    <cfRule type="cellIs" priority="602" operator="equal" aboveAverage="0" equalAverage="0" bottom="0" percent="0" rank="0" text="" dxfId="1815">
      <formula>'1852'!$N$28</formula>
    </cfRule>
    <cfRule type="cellIs" priority="603" operator="lessThan" aboveAverage="0" equalAverage="0" bottom="0" percent="0" rank="0" text="" dxfId="1816">
      <formula>'1852'!$N$28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8.57"/>
    <col collapsed="false" customWidth="true" hidden="false" outlineLevel="0" max="2" min="2" style="0" width="26.57"/>
    <col collapsed="false" customWidth="true" hidden="false" outlineLevel="0" max="15" min="3" style="0" width="10.14"/>
    <col collapsed="false" customWidth="true" hidden="false" outlineLevel="0" max="16" min="16" style="0" width="9.29"/>
    <col collapsed="false" customWidth="true" hidden="false" outlineLevel="0" max="19" min="19" style="0" width="3.57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1853</v>
      </c>
      <c r="B2" s="3"/>
      <c r="C2" s="4" t="n">
        <f aca="false">'1850'!C2</f>
        <v>44562</v>
      </c>
      <c r="D2" s="4" t="n">
        <f aca="false">'1850'!D2</f>
        <v>44593</v>
      </c>
      <c r="E2" s="4" t="n">
        <f aca="false">'1850'!E2</f>
        <v>44622</v>
      </c>
      <c r="F2" s="4" t="n">
        <f aca="false">'1850'!F2</f>
        <v>44652</v>
      </c>
      <c r="G2" s="4" t="n">
        <f aca="false">'1850'!G2</f>
        <v>44683</v>
      </c>
      <c r="H2" s="4" t="n">
        <f aca="false">'1850'!H2</f>
        <v>44713</v>
      </c>
      <c r="I2" s="4" t="n">
        <f aca="false">'1850'!I2</f>
        <v>44743</v>
      </c>
      <c r="J2" s="4" t="n">
        <f aca="false">'1850'!J2</f>
        <v>44774</v>
      </c>
      <c r="K2" s="4" t="n">
        <f aca="false">'1850'!K2</f>
        <v>44805</v>
      </c>
      <c r="L2" s="4" t="n">
        <f aca="false">'1850'!L2</f>
        <v>44834</v>
      </c>
      <c r="M2" s="4" t="n">
        <f aca="false">'1850'!M2</f>
        <v>44866</v>
      </c>
      <c r="N2" s="4" t="n">
        <f aca="false">'1850'!N2</f>
        <v>44896</v>
      </c>
      <c r="O2" s="4" t="n">
        <f aca="false">'1850'!O2</f>
        <v>44927</v>
      </c>
      <c r="P2" s="6" t="s">
        <v>153</v>
      </c>
      <c r="Q2" s="6" t="s">
        <v>154</v>
      </c>
      <c r="R2" s="6" t="s">
        <v>155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R3" s="6" t="s">
        <v>156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157</v>
      </c>
      <c r="C4" s="16" t="n">
        <v>380.509</v>
      </c>
      <c r="D4" s="16" t="n">
        <v>394.372</v>
      </c>
      <c r="E4" s="16" t="n">
        <v>407.693</v>
      </c>
      <c r="F4" s="16" t="n">
        <v>421.132</v>
      </c>
      <c r="G4" s="16" t="n">
        <v>435.601</v>
      </c>
      <c r="H4" s="16" t="n">
        <v>446.898</v>
      </c>
      <c r="I4" s="16" t="n">
        <v>458.172</v>
      </c>
      <c r="J4" s="16" t="n">
        <v>469.845</v>
      </c>
      <c r="K4" s="16" t="n">
        <v>481.991</v>
      </c>
      <c r="L4" s="17" t="n">
        <v>492.673</v>
      </c>
      <c r="M4" s="16" t="n">
        <v>505.612</v>
      </c>
      <c r="N4" s="16" t="n">
        <v>517.252</v>
      </c>
      <c r="O4" s="16" t="n">
        <v>530.581</v>
      </c>
      <c r="P4" s="18" t="n">
        <f aca="false">O4-C4</f>
        <v>150.072</v>
      </c>
      <c r="T4" s="6" t="n">
        <v>1</v>
      </c>
      <c r="U4" s="19" t="n">
        <f aca="false">D4-C4</f>
        <v>13.863</v>
      </c>
      <c r="V4" s="19" t="n">
        <f aca="false">E4-D4</f>
        <v>13.321</v>
      </c>
      <c r="W4" s="19" t="n">
        <f aca="false">F4-E4</f>
        <v>13.439</v>
      </c>
      <c r="X4" s="19" t="n">
        <f aca="false">G4-F4</f>
        <v>14.469</v>
      </c>
      <c r="Y4" s="19" t="n">
        <f aca="false">H4-G4</f>
        <v>11.297</v>
      </c>
      <c r="Z4" s="19" t="n">
        <f aca="false">I4-H4</f>
        <v>11.274</v>
      </c>
      <c r="AA4" s="19" t="n">
        <f aca="false">J4-I4</f>
        <v>11.673</v>
      </c>
      <c r="AB4" s="19" t="n">
        <f aca="false">K4-J4</f>
        <v>12.146</v>
      </c>
      <c r="AC4" s="19" t="n">
        <f aca="false">L4-K4</f>
        <v>10.682</v>
      </c>
      <c r="AD4" s="19" t="n">
        <f aca="false">M4-L4</f>
        <v>12.939</v>
      </c>
      <c r="AE4" s="19" t="n">
        <f aca="false">N4-M4</f>
        <v>11.6399999999999</v>
      </c>
      <c r="AF4" s="19" t="n">
        <f aca="false">O4-N4</f>
        <v>13.3290000000001</v>
      </c>
    </row>
    <row r="5" customFormat="false" ht="15" hidden="false" customHeight="false" outlineLevel="0" collapsed="false">
      <c r="A5" s="14"/>
      <c r="B5" s="20" t="s">
        <v>158</v>
      </c>
      <c r="C5" s="21" t="n">
        <v>9.528</v>
      </c>
      <c r="D5" s="21" t="n">
        <v>15.184</v>
      </c>
      <c r="E5" s="21" t="n">
        <v>20.138</v>
      </c>
      <c r="F5" s="21" t="n">
        <v>24.396</v>
      </c>
      <c r="G5" s="21" t="n">
        <v>27.007</v>
      </c>
      <c r="H5" s="21" t="n">
        <v>27.72</v>
      </c>
      <c r="I5" s="21" t="n">
        <v>28.355</v>
      </c>
      <c r="J5" s="21" t="n">
        <v>28.912</v>
      </c>
      <c r="K5" s="21" t="n">
        <v>29.455</v>
      </c>
      <c r="L5" s="22" t="n">
        <v>30.131</v>
      </c>
      <c r="M5" s="21" t="n">
        <v>30.977</v>
      </c>
      <c r="N5" s="21" t="n">
        <v>33.285</v>
      </c>
      <c r="O5" s="21" t="n">
        <v>37.232</v>
      </c>
      <c r="P5" s="18"/>
      <c r="Q5" s="18" t="n">
        <f aca="false">O5-C5</f>
        <v>27.704</v>
      </c>
      <c r="T5" s="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false" outlineLevel="0" collapsed="false">
      <c r="A6" s="24" t="n">
        <v>2</v>
      </c>
      <c r="B6" s="20" t="s">
        <v>159</v>
      </c>
      <c r="C6" s="21" t="n">
        <v>212.804</v>
      </c>
      <c r="D6" s="21" t="n">
        <v>219.523</v>
      </c>
      <c r="E6" s="21" t="n">
        <v>226.242</v>
      </c>
      <c r="F6" s="21" t="n">
        <v>231.717</v>
      </c>
      <c r="G6" s="21" t="n">
        <v>240.123</v>
      </c>
      <c r="H6" s="21" t="n">
        <v>246.037</v>
      </c>
      <c r="I6" s="21" t="n">
        <v>253.288</v>
      </c>
      <c r="J6" s="21" t="n">
        <v>261.277</v>
      </c>
      <c r="K6" s="21" t="n">
        <v>268.711</v>
      </c>
      <c r="L6" s="21" t="n">
        <v>275.619</v>
      </c>
      <c r="M6" s="21" t="n">
        <v>283.158</v>
      </c>
      <c r="N6" s="21" t="n">
        <v>289.962</v>
      </c>
      <c r="O6" s="21" t="n">
        <v>294.937</v>
      </c>
      <c r="P6" s="18" t="n">
        <f aca="false">O6-C6</f>
        <v>82.133</v>
      </c>
      <c r="T6" s="6" t="n">
        <v>2</v>
      </c>
      <c r="U6" s="25" t="n">
        <f aca="false">D6-C6</f>
        <v>6.71899999999999</v>
      </c>
      <c r="V6" s="25" t="n">
        <f aca="false">E6-D6</f>
        <v>6.71899999999999</v>
      </c>
      <c r="W6" s="25" t="n">
        <f aca="false">F6-E6</f>
        <v>5.47500000000002</v>
      </c>
      <c r="X6" s="25" t="n">
        <f aca="false">G6-F6</f>
        <v>8.40599999999998</v>
      </c>
      <c r="Y6" s="25" t="n">
        <f aca="false">H6-G6</f>
        <v>5.91400000000002</v>
      </c>
      <c r="Z6" s="25" t="n">
        <f aca="false">I6-H6</f>
        <v>7.25100000000001</v>
      </c>
      <c r="AA6" s="25" t="n">
        <f aca="false">J6-I6</f>
        <v>7.98899999999998</v>
      </c>
      <c r="AB6" s="25" t="n">
        <f aca="false">K6-J6</f>
        <v>7.43400000000003</v>
      </c>
      <c r="AC6" s="25" t="n">
        <f aca="false">L6-K6</f>
        <v>6.90800000000002</v>
      </c>
      <c r="AD6" s="25" t="n">
        <f aca="false">M6-L6</f>
        <v>7.53899999999999</v>
      </c>
      <c r="AE6" s="25" t="n">
        <f aca="false">N6-M6</f>
        <v>6.80399999999997</v>
      </c>
      <c r="AF6" s="25" t="n">
        <f aca="false">O6-N6</f>
        <v>4.97500000000002</v>
      </c>
    </row>
    <row r="7" customFormat="false" ht="15" hidden="false" customHeight="false" outlineLevel="0" collapsed="false">
      <c r="A7" s="24"/>
      <c r="B7" s="20" t="s">
        <v>160</v>
      </c>
      <c r="C7" s="21" t="n">
        <v>2.426</v>
      </c>
      <c r="D7" s="21" t="n">
        <v>3.62</v>
      </c>
      <c r="E7" s="21" t="n">
        <v>4.768</v>
      </c>
      <c r="F7" s="21" t="n">
        <v>5.584</v>
      </c>
      <c r="G7" s="21" t="n">
        <v>6.281</v>
      </c>
      <c r="H7" s="21" t="n">
        <v>6.52</v>
      </c>
      <c r="I7" s="21" t="n">
        <v>6.855</v>
      </c>
      <c r="J7" s="21" t="n">
        <v>7.207</v>
      </c>
      <c r="K7" s="21" t="n">
        <v>7.5</v>
      </c>
      <c r="L7" s="21" t="n">
        <v>7.834</v>
      </c>
      <c r="M7" s="21" t="n">
        <v>8.256</v>
      </c>
      <c r="N7" s="21" t="n">
        <v>9.047</v>
      </c>
      <c r="O7" s="21" t="n">
        <v>10.275</v>
      </c>
      <c r="P7" s="18"/>
      <c r="Q7" s="18" t="n">
        <f aca="false">O7-C7</f>
        <v>7.849</v>
      </c>
      <c r="T7" s="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customFormat="false" ht="15" hidden="false" customHeight="false" outlineLevel="0" collapsed="false">
      <c r="A8" s="79" t="n">
        <v>3</v>
      </c>
      <c r="B8" s="20" t="s">
        <v>161</v>
      </c>
      <c r="C8" s="21" t="n">
        <v>93.933</v>
      </c>
      <c r="D8" s="21" t="n">
        <v>100.429</v>
      </c>
      <c r="E8" s="21" t="n">
        <v>107.476</v>
      </c>
      <c r="F8" s="21" t="n">
        <v>115.911</v>
      </c>
      <c r="G8" s="21" t="n">
        <v>124.674</v>
      </c>
      <c r="H8" s="21" t="n">
        <v>132.17</v>
      </c>
      <c r="I8" s="21" t="n">
        <v>137.849</v>
      </c>
      <c r="J8" s="21" t="n">
        <v>142.352</v>
      </c>
      <c r="K8" s="21" t="n">
        <v>146.94</v>
      </c>
      <c r="L8" s="21" t="n">
        <v>152.019</v>
      </c>
      <c r="M8" s="21" t="n">
        <v>158.267</v>
      </c>
      <c r="N8" s="21" t="n">
        <v>165.252</v>
      </c>
      <c r="O8" s="21" t="n">
        <v>173.735</v>
      </c>
      <c r="P8" s="18" t="n">
        <f aca="false">O8-C8</f>
        <v>79.802</v>
      </c>
      <c r="T8" s="6" t="n">
        <v>3</v>
      </c>
      <c r="U8" s="25" t="n">
        <f aca="false">D8-C8</f>
        <v>6.496</v>
      </c>
      <c r="V8" s="25" t="n">
        <f aca="false">E8-D8</f>
        <v>7.047</v>
      </c>
      <c r="W8" s="25" t="n">
        <f aca="false">F8-E8</f>
        <v>8.435</v>
      </c>
      <c r="X8" s="25" t="n">
        <f aca="false">G8-F8</f>
        <v>8.76300000000001</v>
      </c>
      <c r="Y8" s="25" t="n">
        <f aca="false">H8-G8</f>
        <v>7.49599999999998</v>
      </c>
      <c r="Z8" s="25" t="n">
        <f aca="false">I8-H8</f>
        <v>5.679</v>
      </c>
      <c r="AA8" s="25" t="n">
        <f aca="false">J8-I8</f>
        <v>4.50300000000001</v>
      </c>
      <c r="AB8" s="25" t="n">
        <f aca="false">K8-J8</f>
        <v>4.58799999999999</v>
      </c>
      <c r="AC8" s="25" t="n">
        <f aca="false">L8-K8</f>
        <v>5.07900000000001</v>
      </c>
      <c r="AD8" s="25" t="n">
        <f aca="false">M8-L8</f>
        <v>6.24799999999999</v>
      </c>
      <c r="AE8" s="25" t="n">
        <f aca="false">N8-M8</f>
        <v>6.98500000000001</v>
      </c>
      <c r="AF8" s="25" t="n">
        <f aca="false">O8-N8</f>
        <v>8.483</v>
      </c>
    </row>
    <row r="9" customFormat="false" ht="15" hidden="false" customHeight="false" outlineLevel="0" collapsed="false">
      <c r="A9" s="79"/>
      <c r="B9" s="20" t="s">
        <v>162</v>
      </c>
      <c r="C9" s="21" t="n">
        <v>6.53</v>
      </c>
      <c r="D9" s="21" t="n">
        <v>10.82</v>
      </c>
      <c r="E9" s="21" t="n">
        <v>14.235</v>
      </c>
      <c r="F9" s="21" t="n">
        <v>18.086</v>
      </c>
      <c r="G9" s="21" t="n">
        <v>20.495</v>
      </c>
      <c r="H9" s="21" t="n">
        <v>20.857</v>
      </c>
      <c r="I9" s="21" t="n">
        <v>21.125</v>
      </c>
      <c r="J9" s="21" t="n">
        <v>21.337</v>
      </c>
      <c r="K9" s="21" t="n">
        <v>21.54</v>
      </c>
      <c r="L9" s="21" t="n">
        <v>21.999</v>
      </c>
      <c r="M9" s="21" t="n">
        <v>22.938</v>
      </c>
      <c r="N9" s="21" t="n">
        <v>25.409</v>
      </c>
      <c r="O9" s="21" t="n">
        <v>29.607</v>
      </c>
      <c r="P9" s="18"/>
      <c r="Q9" s="18" t="n">
        <f aca="false">O9-C9</f>
        <v>23.077</v>
      </c>
      <c r="T9" s="6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customFormat="false" ht="15" hidden="false" customHeight="false" outlineLevel="0" collapsed="false">
      <c r="A10" s="24" t="n">
        <v>4</v>
      </c>
      <c r="B10" s="20" t="s">
        <v>163</v>
      </c>
      <c r="C10" s="21" t="n">
        <v>146.769</v>
      </c>
      <c r="D10" s="21" t="n">
        <v>152.192</v>
      </c>
      <c r="E10" s="21" t="n">
        <v>156.441</v>
      </c>
      <c r="F10" s="21" t="n">
        <v>161.376</v>
      </c>
      <c r="G10" s="21" t="n">
        <v>165.999</v>
      </c>
      <c r="H10" s="21" t="n">
        <v>169.322</v>
      </c>
      <c r="I10" s="21" t="n">
        <v>173.204</v>
      </c>
      <c r="J10" s="21" t="n">
        <v>174.966</v>
      </c>
      <c r="K10" s="21" t="n">
        <v>177.5</v>
      </c>
      <c r="L10" s="21" t="n">
        <v>181.871</v>
      </c>
      <c r="M10" s="21" t="n">
        <v>186.895</v>
      </c>
      <c r="N10" s="21" t="n">
        <v>190.746</v>
      </c>
      <c r="O10" s="21" t="n">
        <v>194.525</v>
      </c>
      <c r="P10" s="18" t="n">
        <f aca="false">O10-C10</f>
        <v>47.756</v>
      </c>
      <c r="T10" s="6" t="n">
        <v>4</v>
      </c>
      <c r="U10" s="25" t="n">
        <f aca="false">D10-C10</f>
        <v>5.423</v>
      </c>
      <c r="V10" s="25" t="n">
        <f aca="false">E10-D10</f>
        <v>4.249</v>
      </c>
      <c r="W10" s="25" t="n">
        <f aca="false">F10-E10</f>
        <v>4.935</v>
      </c>
      <c r="X10" s="25" t="n">
        <f aca="false">G10-F10</f>
        <v>4.62299999999999</v>
      </c>
      <c r="Y10" s="25" t="n">
        <f aca="false">H10-G10</f>
        <v>3.32300000000001</v>
      </c>
      <c r="Z10" s="25" t="n">
        <f aca="false">I10-H10</f>
        <v>3.88200000000001</v>
      </c>
      <c r="AA10" s="25" t="n">
        <f aca="false">J10-I10</f>
        <v>1.762</v>
      </c>
      <c r="AB10" s="25" t="n">
        <f aca="false">K10-J10</f>
        <v>2.53399999999999</v>
      </c>
      <c r="AC10" s="25" t="n">
        <f aca="false">L10-K10</f>
        <v>4.37100000000001</v>
      </c>
      <c r="AD10" s="25" t="n">
        <f aca="false">M10-L10</f>
        <v>5.024</v>
      </c>
      <c r="AE10" s="25" t="n">
        <f aca="false">N10-M10</f>
        <v>3.851</v>
      </c>
      <c r="AF10" s="25" t="n">
        <f aca="false">O10-N10</f>
        <v>3.779</v>
      </c>
    </row>
    <row r="11" customFormat="false" ht="15" hidden="false" customHeight="false" outlineLevel="0" collapsed="false">
      <c r="A11" s="24"/>
      <c r="B11" s="20" t="s">
        <v>164</v>
      </c>
      <c r="C11" s="21" t="n">
        <v>3.388</v>
      </c>
      <c r="D11" s="21" t="n">
        <v>5.46</v>
      </c>
      <c r="E11" s="21" t="n">
        <v>6.43</v>
      </c>
      <c r="F11" s="21" t="n">
        <v>7.096</v>
      </c>
      <c r="G11" s="21" t="n">
        <v>7.634</v>
      </c>
      <c r="H11" s="21" t="n">
        <v>8.007</v>
      </c>
      <c r="I11" s="21" t="n">
        <v>8.36</v>
      </c>
      <c r="J11" s="21" t="n">
        <v>8.478</v>
      </c>
      <c r="K11" s="21" t="n">
        <v>8.501</v>
      </c>
      <c r="L11" s="21" t="n">
        <v>8.718</v>
      </c>
      <c r="M11" s="21" t="n">
        <v>9.007</v>
      </c>
      <c r="N11" s="21" t="n">
        <v>10.153</v>
      </c>
      <c r="O11" s="21" t="n">
        <v>12.095</v>
      </c>
      <c r="P11" s="18"/>
      <c r="Q11" s="18" t="n">
        <f aca="false">O11-C11</f>
        <v>8.707</v>
      </c>
      <c r="T11" s="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customFormat="false" ht="15" hidden="false" customHeight="false" outlineLevel="0" collapsed="false">
      <c r="A12" s="24" t="n">
        <v>5</v>
      </c>
      <c r="B12" s="20" t="s">
        <v>165</v>
      </c>
      <c r="C12" s="21" t="n">
        <v>226.914</v>
      </c>
      <c r="D12" s="21" t="n">
        <v>235.952</v>
      </c>
      <c r="E12" s="21" t="n">
        <v>244.675</v>
      </c>
      <c r="F12" s="21" t="n">
        <v>252.571</v>
      </c>
      <c r="G12" s="21" t="n">
        <v>260.595</v>
      </c>
      <c r="H12" s="21" t="n">
        <v>266.943</v>
      </c>
      <c r="I12" s="21" t="n">
        <v>272.875</v>
      </c>
      <c r="J12" s="21" t="n">
        <v>279.208</v>
      </c>
      <c r="K12" s="21" t="n">
        <v>284.736</v>
      </c>
      <c r="L12" s="21" t="n">
        <v>290.574</v>
      </c>
      <c r="M12" s="21" t="n">
        <v>296.953</v>
      </c>
      <c r="N12" s="21" t="n">
        <v>303.79</v>
      </c>
      <c r="O12" s="21" t="n">
        <v>312.23</v>
      </c>
      <c r="P12" s="18" t="n">
        <f aca="false">O12-C12</f>
        <v>85.316</v>
      </c>
      <c r="T12" s="6" t="n">
        <v>5</v>
      </c>
      <c r="U12" s="25" t="n">
        <f aca="false">D12-C12</f>
        <v>9.03800000000001</v>
      </c>
      <c r="V12" s="25" t="n">
        <f aca="false">E12-D12</f>
        <v>8.72300000000001</v>
      </c>
      <c r="W12" s="25" t="n">
        <f aca="false">F12-E12</f>
        <v>7.89599999999999</v>
      </c>
      <c r="X12" s="25" t="n">
        <f aca="false">G12-F12</f>
        <v>8.02400000000003</v>
      </c>
      <c r="Y12" s="25" t="n">
        <f aca="false">H12-G12</f>
        <v>6.34799999999996</v>
      </c>
      <c r="Z12" s="25" t="n">
        <f aca="false">I12-H12</f>
        <v>5.93200000000002</v>
      </c>
      <c r="AA12" s="25" t="n">
        <f aca="false">J12-I12</f>
        <v>6.33300000000003</v>
      </c>
      <c r="AB12" s="25" t="n">
        <f aca="false">K12-J12</f>
        <v>5.52799999999996</v>
      </c>
      <c r="AC12" s="25" t="n">
        <f aca="false">L12-K12</f>
        <v>5.83800000000002</v>
      </c>
      <c r="AD12" s="25" t="n">
        <f aca="false">M12-L12</f>
        <v>6.37899999999996</v>
      </c>
      <c r="AE12" s="25" t="n">
        <f aca="false">N12-M12</f>
        <v>6.83700000000005</v>
      </c>
      <c r="AF12" s="25" t="n">
        <f aca="false">O12-N12</f>
        <v>8.44</v>
      </c>
    </row>
    <row r="13" customFormat="false" ht="15" hidden="false" customHeight="false" outlineLevel="0" collapsed="false">
      <c r="A13" s="24"/>
      <c r="B13" s="20" t="s">
        <v>166</v>
      </c>
      <c r="C13" s="21" t="n">
        <v>3.187</v>
      </c>
      <c r="D13" s="21" t="n">
        <v>4.59</v>
      </c>
      <c r="E13" s="21" t="n">
        <v>5.892</v>
      </c>
      <c r="F13" s="21" t="n">
        <v>6.398</v>
      </c>
      <c r="G13" s="21" t="n">
        <v>7.091</v>
      </c>
      <c r="H13" s="21" t="n">
        <v>7.399</v>
      </c>
      <c r="I13" s="21" t="n">
        <v>7.654</v>
      </c>
      <c r="J13" s="21" t="n">
        <v>7.936</v>
      </c>
      <c r="K13" s="21" t="n">
        <v>8.158</v>
      </c>
      <c r="L13" s="21" t="n">
        <v>8.441</v>
      </c>
      <c r="M13" s="21" t="n">
        <v>8.873</v>
      </c>
      <c r="N13" s="21" t="n">
        <v>10.013</v>
      </c>
      <c r="O13" s="21" t="n">
        <v>11.632</v>
      </c>
      <c r="P13" s="18"/>
      <c r="Q13" s="18" t="n">
        <f aca="false">O13-C13</f>
        <v>8.445</v>
      </c>
      <c r="T13" s="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customFormat="false" ht="15" hidden="false" customHeight="false" outlineLevel="0" collapsed="false">
      <c r="A14" s="24" t="n">
        <v>6</v>
      </c>
      <c r="B14" s="20" t="s">
        <v>167</v>
      </c>
      <c r="C14" s="21" t="n">
        <v>126.237</v>
      </c>
      <c r="D14" s="21" t="n">
        <v>130.696</v>
      </c>
      <c r="E14" s="21" t="n">
        <v>135.298</v>
      </c>
      <c r="F14" s="21" t="n">
        <v>139.259</v>
      </c>
      <c r="G14" s="21" t="n">
        <v>143.641</v>
      </c>
      <c r="H14" s="21" t="n">
        <v>148.204</v>
      </c>
      <c r="I14" s="21" t="n">
        <v>152.458</v>
      </c>
      <c r="J14" s="21" t="n">
        <v>156.486</v>
      </c>
      <c r="K14" s="21" t="n">
        <v>159.134</v>
      </c>
      <c r="L14" s="21" t="n">
        <v>161.545</v>
      </c>
      <c r="M14" s="21" t="n">
        <v>165.743</v>
      </c>
      <c r="N14" s="21" t="n">
        <v>169.883</v>
      </c>
      <c r="O14" s="21" t="n">
        <v>173.968</v>
      </c>
      <c r="P14" s="18" t="n">
        <f aca="false">O14-C14</f>
        <v>47.731</v>
      </c>
      <c r="T14" s="6" t="n">
        <v>6</v>
      </c>
      <c r="U14" s="25" t="n">
        <f aca="false">D14-C14</f>
        <v>4.459</v>
      </c>
      <c r="V14" s="25" t="n">
        <f aca="false">E14-D14</f>
        <v>4.602</v>
      </c>
      <c r="W14" s="25" t="n">
        <f aca="false">F14-E14</f>
        <v>3.96099999999998</v>
      </c>
      <c r="X14" s="25" t="n">
        <f aca="false">G14-F14</f>
        <v>4.38200000000001</v>
      </c>
      <c r="Y14" s="25" t="n">
        <f aca="false">H14-G14</f>
        <v>4.56300000000002</v>
      </c>
      <c r="Z14" s="25" t="n">
        <f aca="false">I14-H14</f>
        <v>4.25399999999999</v>
      </c>
      <c r="AA14" s="25" t="n">
        <f aca="false">J14-I14</f>
        <v>4.02799999999999</v>
      </c>
      <c r="AB14" s="25" t="n">
        <f aca="false">K14-J14</f>
        <v>2.648</v>
      </c>
      <c r="AC14" s="25" t="n">
        <f aca="false">L14-K14</f>
        <v>2.411</v>
      </c>
      <c r="AD14" s="25" t="n">
        <f aca="false">M14-L14</f>
        <v>4.19800000000001</v>
      </c>
      <c r="AE14" s="25" t="n">
        <f aca="false">N14-M14</f>
        <v>4.14000000000002</v>
      </c>
      <c r="AF14" s="25" t="n">
        <f aca="false">O14-N14</f>
        <v>4.08499999999998</v>
      </c>
    </row>
    <row r="15" customFormat="false" ht="15" hidden="false" customHeight="false" outlineLevel="0" collapsed="false">
      <c r="A15" s="24"/>
      <c r="B15" s="20" t="s">
        <v>168</v>
      </c>
      <c r="C15" s="21" t="n">
        <v>5.642</v>
      </c>
      <c r="D15" s="21" t="n">
        <v>7.981</v>
      </c>
      <c r="E15" s="21" t="n">
        <v>9.463</v>
      </c>
      <c r="F15" s="21" t="n">
        <v>10.738</v>
      </c>
      <c r="G15" s="21" t="n">
        <v>11.547</v>
      </c>
      <c r="H15" s="21" t="n">
        <v>11.774</v>
      </c>
      <c r="I15" s="21" t="n">
        <v>11.942</v>
      </c>
      <c r="J15" s="21" t="n">
        <v>12.123</v>
      </c>
      <c r="K15" s="21" t="n">
        <v>12.256</v>
      </c>
      <c r="L15" s="21" t="n">
        <v>12.365</v>
      </c>
      <c r="M15" s="21" t="n">
        <v>12.535</v>
      </c>
      <c r="N15" s="21" t="n">
        <v>14.506</v>
      </c>
      <c r="O15" s="21" t="n">
        <v>17.234</v>
      </c>
      <c r="P15" s="18"/>
      <c r="Q15" s="18" t="n">
        <f aca="false">O15-C15</f>
        <v>11.592</v>
      </c>
      <c r="T15" s="6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customFormat="false" ht="15" hidden="false" customHeight="false" outlineLevel="0" collapsed="false">
      <c r="A16" s="24" t="n">
        <v>7</v>
      </c>
      <c r="B16" s="20" t="s">
        <v>169</v>
      </c>
      <c r="C16" s="21" t="n">
        <v>287.97</v>
      </c>
      <c r="D16" s="21" t="n">
        <v>299.51</v>
      </c>
      <c r="E16" s="21" t="n">
        <v>311.64</v>
      </c>
      <c r="F16" s="21" t="n">
        <v>325.426</v>
      </c>
      <c r="G16" s="21" t="n">
        <v>335.817</v>
      </c>
      <c r="H16" s="21" t="n">
        <v>347.682</v>
      </c>
      <c r="I16" s="21" t="n">
        <v>355.078</v>
      </c>
      <c r="J16" s="21" t="n">
        <v>363.852</v>
      </c>
      <c r="K16" s="21" t="n">
        <v>372.927</v>
      </c>
      <c r="L16" s="21" t="n">
        <v>383.84</v>
      </c>
      <c r="M16" s="21" t="n">
        <v>396.382</v>
      </c>
      <c r="N16" s="21" t="n">
        <v>407.592</v>
      </c>
      <c r="O16" s="21" t="n">
        <v>419.101</v>
      </c>
      <c r="P16" s="18" t="n">
        <f aca="false">O16-C16</f>
        <v>131.131</v>
      </c>
      <c r="T16" s="6" t="n">
        <v>7</v>
      </c>
      <c r="U16" s="25" t="n">
        <f aca="false">D16-C16</f>
        <v>11.54</v>
      </c>
      <c r="V16" s="25" t="n">
        <f aca="false">E16-D16</f>
        <v>12.13</v>
      </c>
      <c r="W16" s="25" t="n">
        <f aca="false">F16-E16</f>
        <v>13.786</v>
      </c>
      <c r="X16" s="25" t="n">
        <f aca="false">G16-F16</f>
        <v>10.391</v>
      </c>
      <c r="Y16" s="25" t="n">
        <f aca="false">H16-G16</f>
        <v>11.865</v>
      </c>
      <c r="Z16" s="25" t="n">
        <f aca="false">I16-H16</f>
        <v>7.39599999999996</v>
      </c>
      <c r="AA16" s="25" t="n">
        <f aca="false">J16-I16</f>
        <v>8.774</v>
      </c>
      <c r="AB16" s="25" t="n">
        <f aca="false">K16-J16</f>
        <v>9.07500000000005</v>
      </c>
      <c r="AC16" s="25" t="n">
        <f aca="false">L16-K16</f>
        <v>10.913</v>
      </c>
      <c r="AD16" s="25" t="n">
        <f aca="false">M16-L16</f>
        <v>12.542</v>
      </c>
      <c r="AE16" s="25" t="n">
        <f aca="false">N16-M16</f>
        <v>11.21</v>
      </c>
      <c r="AF16" s="25" t="n">
        <f aca="false">O16-N16</f>
        <v>11.509</v>
      </c>
    </row>
    <row r="17" customFormat="false" ht="15" hidden="false" customHeight="false" outlineLevel="0" collapsed="false">
      <c r="A17" s="24"/>
      <c r="B17" s="20" t="s">
        <v>170</v>
      </c>
      <c r="C17" s="21" t="n">
        <v>8.727</v>
      </c>
      <c r="D17" s="21" t="n">
        <v>13.206</v>
      </c>
      <c r="E17" s="21" t="n">
        <v>16.898</v>
      </c>
      <c r="F17" s="21" t="n">
        <v>19.994</v>
      </c>
      <c r="G17" s="21" t="n">
        <v>22.146</v>
      </c>
      <c r="H17" s="21" t="n">
        <v>23.056</v>
      </c>
      <c r="I17" s="21" t="n">
        <v>23.577</v>
      </c>
      <c r="J17" s="21" t="n">
        <v>24.165</v>
      </c>
      <c r="K17" s="21" t="n">
        <v>24.72</v>
      </c>
      <c r="L17" s="21" t="n">
        <v>25.446</v>
      </c>
      <c r="M17" s="21" t="n">
        <v>26.613</v>
      </c>
      <c r="N17" s="21" t="n">
        <v>29.53</v>
      </c>
      <c r="O17" s="21" t="n">
        <v>33.724</v>
      </c>
      <c r="P17" s="18"/>
      <c r="Q17" s="18" t="n">
        <f aca="false">O17-C17</f>
        <v>24.997</v>
      </c>
      <c r="T17" s="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customFormat="false" ht="15" hidden="false" customHeight="false" outlineLevel="0" collapsed="false">
      <c r="A18" s="24" t="n">
        <v>8</v>
      </c>
      <c r="B18" s="20" t="s">
        <v>171</v>
      </c>
      <c r="C18" s="21" t="n">
        <v>184.437</v>
      </c>
      <c r="D18" s="21" t="n">
        <v>191.794</v>
      </c>
      <c r="E18" s="21" t="n">
        <v>198.198</v>
      </c>
      <c r="F18" s="21" t="n">
        <v>205.242</v>
      </c>
      <c r="G18" s="21" t="n">
        <v>213.098</v>
      </c>
      <c r="H18" s="21" t="n">
        <v>218.506</v>
      </c>
      <c r="I18" s="21" t="n">
        <v>224.14</v>
      </c>
      <c r="J18" s="21" t="n">
        <v>228.888</v>
      </c>
      <c r="K18" s="21" t="n">
        <v>233.397</v>
      </c>
      <c r="L18" s="21" t="n">
        <v>238.436</v>
      </c>
      <c r="M18" s="21" t="n">
        <v>246.487</v>
      </c>
      <c r="N18" s="21" t="n">
        <v>252.834</v>
      </c>
      <c r="O18" s="21" t="n">
        <v>260.688</v>
      </c>
      <c r="P18" s="18" t="n">
        <f aca="false">O18-C18</f>
        <v>76.251</v>
      </c>
      <c r="T18" s="6" t="n">
        <v>8</v>
      </c>
      <c r="U18" s="25" t="n">
        <f aca="false">D18-C18</f>
        <v>7.357</v>
      </c>
      <c r="V18" s="25" t="n">
        <f aca="false">E18-D18</f>
        <v>6.404</v>
      </c>
      <c r="W18" s="25" t="n">
        <f aca="false">F18-E18</f>
        <v>7.04399999999998</v>
      </c>
      <c r="X18" s="25" t="n">
        <f aca="false">G18-F18</f>
        <v>7.85600000000002</v>
      </c>
      <c r="Y18" s="25" t="n">
        <f aca="false">H18-G18</f>
        <v>5.40799999999999</v>
      </c>
      <c r="Z18" s="25" t="n">
        <f aca="false">I18-H18</f>
        <v>5.63399999999999</v>
      </c>
      <c r="AA18" s="25" t="n">
        <f aca="false">J18-I18</f>
        <v>4.74800000000002</v>
      </c>
      <c r="AB18" s="25" t="n">
        <f aca="false">K18-J18</f>
        <v>4.50899999999999</v>
      </c>
      <c r="AC18" s="25" t="n">
        <f aca="false">L18-K18</f>
        <v>5.03900000000002</v>
      </c>
      <c r="AD18" s="25" t="n">
        <f aca="false">M18-L18</f>
        <v>8.05099999999999</v>
      </c>
      <c r="AE18" s="25" t="n">
        <f aca="false">N18-M18</f>
        <v>6.34700000000001</v>
      </c>
      <c r="AF18" s="25" t="n">
        <f aca="false">O18-N18</f>
        <v>7.85399999999999</v>
      </c>
    </row>
    <row r="19" customFormat="false" ht="15" hidden="false" customHeight="false" outlineLevel="0" collapsed="false">
      <c r="A19" s="24"/>
      <c r="B19" s="20" t="s">
        <v>172</v>
      </c>
      <c r="C19" s="21" t="n">
        <v>6.768</v>
      </c>
      <c r="D19" s="21" t="n">
        <v>10.201</v>
      </c>
      <c r="E19" s="21" t="n">
        <v>12.462</v>
      </c>
      <c r="F19" s="21" t="n">
        <v>13.939</v>
      </c>
      <c r="G19" s="21" t="n">
        <v>14.935</v>
      </c>
      <c r="H19" s="21" t="n">
        <v>15.201</v>
      </c>
      <c r="I19" s="21" t="n">
        <v>15.424</v>
      </c>
      <c r="J19" s="21" t="n">
        <v>15.638</v>
      </c>
      <c r="K19" s="21" t="n">
        <v>15.837</v>
      </c>
      <c r="L19" s="21" t="n">
        <v>16.144</v>
      </c>
      <c r="M19" s="21" t="n">
        <v>16.728</v>
      </c>
      <c r="N19" s="21" t="n">
        <v>19.354</v>
      </c>
      <c r="O19" s="21" t="n">
        <v>23.2</v>
      </c>
      <c r="P19" s="18"/>
      <c r="Q19" s="18" t="n">
        <f aca="false">O19-C19</f>
        <v>16.432</v>
      </c>
      <c r="T19" s="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customFormat="false" ht="15" hidden="false" customHeight="false" outlineLevel="0" collapsed="false">
      <c r="A20" s="24" t="n">
        <v>9</v>
      </c>
      <c r="B20" s="20" t="s">
        <v>173</v>
      </c>
      <c r="C20" s="21" t="n">
        <v>103.436</v>
      </c>
      <c r="D20" s="21" t="n">
        <v>107.644</v>
      </c>
      <c r="E20" s="21" t="n">
        <v>111.421</v>
      </c>
      <c r="F20" s="21" t="n">
        <v>115.406</v>
      </c>
      <c r="G20" s="21" t="n">
        <v>119.642</v>
      </c>
      <c r="H20" s="21" t="n">
        <v>123.256</v>
      </c>
      <c r="I20" s="21" t="n">
        <v>127.333</v>
      </c>
      <c r="J20" s="21" t="n">
        <v>131.153</v>
      </c>
      <c r="K20" s="21" t="n">
        <v>134.71</v>
      </c>
      <c r="L20" s="21" t="n">
        <v>137.912</v>
      </c>
      <c r="M20" s="21" t="n">
        <v>141.122</v>
      </c>
      <c r="N20" s="21" t="n">
        <v>144.279</v>
      </c>
      <c r="O20" s="21" t="n">
        <v>147.58</v>
      </c>
      <c r="P20" s="18" t="n">
        <f aca="false">O20-C20</f>
        <v>44.144</v>
      </c>
      <c r="T20" s="6" t="n">
        <v>9</v>
      </c>
      <c r="U20" s="25" t="n">
        <f aca="false">D20-C20</f>
        <v>4.208</v>
      </c>
      <c r="V20" s="25" t="n">
        <f aca="false">E20-D20</f>
        <v>3.777</v>
      </c>
      <c r="W20" s="25" t="n">
        <f aca="false">F20-E20</f>
        <v>3.985</v>
      </c>
      <c r="X20" s="25" t="n">
        <f aca="false">G20-F20</f>
        <v>4.23599999999999</v>
      </c>
      <c r="Y20" s="25" t="n">
        <f aca="false">H20-G20</f>
        <v>3.614</v>
      </c>
      <c r="Z20" s="25" t="n">
        <f aca="false">I20-H20</f>
        <v>4.077</v>
      </c>
      <c r="AA20" s="25" t="n">
        <f aca="false">J20-I20</f>
        <v>3.81999999999999</v>
      </c>
      <c r="AB20" s="25" t="n">
        <f aca="false">K20-J20</f>
        <v>3.55700000000002</v>
      </c>
      <c r="AC20" s="25" t="n">
        <f aca="false">L20-K20</f>
        <v>3.202</v>
      </c>
      <c r="AD20" s="25" t="n">
        <f aca="false">M20-L20</f>
        <v>3.21000000000001</v>
      </c>
      <c r="AE20" s="25" t="n">
        <f aca="false">N20-M20</f>
        <v>3.15699999999998</v>
      </c>
      <c r="AF20" s="25" t="n">
        <f aca="false">O20-N20</f>
        <v>3.30100000000002</v>
      </c>
    </row>
    <row r="21" customFormat="false" ht="15" hidden="false" customHeight="false" outlineLevel="0" collapsed="false">
      <c r="A21" s="24"/>
      <c r="B21" s="20" t="s">
        <v>174</v>
      </c>
      <c r="C21" s="21" t="n">
        <v>6.771</v>
      </c>
      <c r="D21" s="21" t="n">
        <v>11.017</v>
      </c>
      <c r="E21" s="21" t="n">
        <v>13.907</v>
      </c>
      <c r="F21" s="21" t="n">
        <v>15.729</v>
      </c>
      <c r="G21" s="21" t="n">
        <v>17.121</v>
      </c>
      <c r="H21" s="21" t="n">
        <v>17.418</v>
      </c>
      <c r="I21" s="21" t="n">
        <v>17.682</v>
      </c>
      <c r="J21" s="21" t="n">
        <v>17.937</v>
      </c>
      <c r="K21" s="21" t="n">
        <v>18.195</v>
      </c>
      <c r="L21" s="21" t="n">
        <v>18.477</v>
      </c>
      <c r="M21" s="21" t="n">
        <v>19.178</v>
      </c>
      <c r="N21" s="21" t="n">
        <v>21.865</v>
      </c>
      <c r="O21" s="21" t="n">
        <v>26.124</v>
      </c>
      <c r="P21" s="18"/>
      <c r="Q21" s="18" t="n">
        <f aca="false">O21-C21</f>
        <v>19.353</v>
      </c>
      <c r="T21" s="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customFormat="false" ht="15" hidden="false" customHeight="false" outlineLevel="0" collapsed="false">
      <c r="A22" s="24" t="n">
        <v>10</v>
      </c>
      <c r="B22" s="20" t="s">
        <v>175</v>
      </c>
      <c r="C22" s="21" t="n">
        <v>129.324</v>
      </c>
      <c r="D22" s="21" t="n">
        <v>132.334</v>
      </c>
      <c r="E22" s="21" t="n">
        <v>134.89</v>
      </c>
      <c r="F22" s="21" t="n">
        <v>137.456</v>
      </c>
      <c r="G22" s="21" t="n">
        <v>140.283</v>
      </c>
      <c r="H22" s="21" t="n">
        <v>143.23</v>
      </c>
      <c r="I22" s="21" t="n">
        <v>146.032</v>
      </c>
      <c r="J22" s="21" t="n">
        <v>148.345</v>
      </c>
      <c r="K22" s="21" t="n">
        <v>151.514</v>
      </c>
      <c r="L22" s="21" t="n">
        <v>153.553</v>
      </c>
      <c r="M22" s="21" t="n">
        <v>157.095</v>
      </c>
      <c r="N22" s="21" t="n">
        <v>159.52</v>
      </c>
      <c r="O22" s="21" t="n">
        <v>162.723</v>
      </c>
      <c r="P22" s="18" t="n">
        <f aca="false">O22-C22</f>
        <v>33.399</v>
      </c>
      <c r="T22" s="6" t="n">
        <v>10</v>
      </c>
      <c r="U22" s="25" t="n">
        <f aca="false">D22-C22</f>
        <v>3.00999999999999</v>
      </c>
      <c r="V22" s="25" t="n">
        <f aca="false">E22-D22</f>
        <v>2.55599999999998</v>
      </c>
      <c r="W22" s="25" t="n">
        <f aca="false">F22-E22</f>
        <v>2.566</v>
      </c>
      <c r="X22" s="25" t="n">
        <f aca="false">G22-F22</f>
        <v>2.827</v>
      </c>
      <c r="Y22" s="25" t="n">
        <f aca="false">H22-G22</f>
        <v>2.947</v>
      </c>
      <c r="Z22" s="25" t="n">
        <f aca="false">I22-H22</f>
        <v>2.80200000000002</v>
      </c>
      <c r="AA22" s="25" t="n">
        <f aca="false">J22-I22</f>
        <v>2.31299999999999</v>
      </c>
      <c r="AB22" s="25" t="n">
        <f aca="false">K22-J22</f>
        <v>3.16900000000001</v>
      </c>
      <c r="AC22" s="25" t="n">
        <f aca="false">L22-K22</f>
        <v>2.03899999999999</v>
      </c>
      <c r="AD22" s="25" t="n">
        <f aca="false">M22-L22</f>
        <v>3.542</v>
      </c>
      <c r="AE22" s="25" t="n">
        <f aca="false">N22-M22</f>
        <v>2.42500000000001</v>
      </c>
      <c r="AF22" s="25" t="n">
        <f aca="false">O22-N22</f>
        <v>3.203</v>
      </c>
    </row>
    <row r="23" customFormat="false" ht="15" hidden="false" customHeight="false" outlineLevel="0" collapsed="false">
      <c r="A23" s="24"/>
      <c r="B23" s="20" t="s">
        <v>176</v>
      </c>
      <c r="C23" s="21" t="n">
        <v>7.357</v>
      </c>
      <c r="D23" s="21" t="n">
        <v>11.217</v>
      </c>
      <c r="E23" s="21" t="n">
        <v>14.301</v>
      </c>
      <c r="F23" s="21" t="n">
        <v>16.754</v>
      </c>
      <c r="G23" s="21" t="n">
        <v>18.267</v>
      </c>
      <c r="H23" s="21" t="n">
        <v>18.417</v>
      </c>
      <c r="I23" s="21" t="n">
        <v>18.536</v>
      </c>
      <c r="J23" s="21" t="n">
        <v>18.621</v>
      </c>
      <c r="K23" s="21" t="n">
        <v>18.779</v>
      </c>
      <c r="L23" s="21" t="n">
        <v>19.064</v>
      </c>
      <c r="M23" s="21" t="n">
        <v>20.334</v>
      </c>
      <c r="N23" s="21" t="n">
        <v>23.168</v>
      </c>
      <c r="O23" s="21" t="n">
        <v>27.286</v>
      </c>
      <c r="P23" s="28"/>
      <c r="Q23" s="28" t="n">
        <f aca="false">O23-C23</f>
        <v>19.929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customFormat="false" ht="15" hidden="false" customHeight="false" outlineLevel="0" collapsed="false">
      <c r="A24" s="29"/>
      <c r="B24" s="20" t="s">
        <v>177</v>
      </c>
      <c r="C24" s="30" t="n">
        <v>4181</v>
      </c>
      <c r="D24" s="30" t="n">
        <v>4360</v>
      </c>
      <c r="E24" s="30" t="n">
        <v>4523</v>
      </c>
      <c r="F24" s="30" t="n">
        <v>4709</v>
      </c>
      <c r="G24" s="30" t="n">
        <v>4891</v>
      </c>
      <c r="H24" s="30" t="n">
        <v>5078</v>
      </c>
      <c r="I24" s="30" t="n">
        <v>5251</v>
      </c>
      <c r="J24" s="30" t="n">
        <v>5431</v>
      </c>
      <c r="K24" s="30" t="n">
        <v>5609</v>
      </c>
      <c r="L24" s="30" t="n">
        <v>5788</v>
      </c>
      <c r="M24" s="30" t="n">
        <v>5974</v>
      </c>
      <c r="N24" s="30" t="n">
        <v>6153</v>
      </c>
      <c r="O24" s="30" t="n">
        <v>6338</v>
      </c>
      <c r="P24" s="18" t="n">
        <f aca="false">SUM(P4:P23)</f>
        <v>777.735</v>
      </c>
      <c r="Q24" s="18" t="n">
        <f aca="false">SUM(Q4:Q23)</f>
        <v>168.085</v>
      </c>
      <c r="R24" s="124" t="n">
        <f aca="false">O24-C24</f>
        <v>2157</v>
      </c>
    </row>
    <row r="25" customFormat="false" ht="15" hidden="false" customHeight="false" outlineLevel="0" collapsed="false">
      <c r="A25" s="29" t="s">
        <v>39</v>
      </c>
      <c r="B25" s="20" t="s">
        <v>178</v>
      </c>
      <c r="C25" s="30" t="n">
        <v>6580</v>
      </c>
      <c r="D25" s="30" t="n">
        <v>7082</v>
      </c>
      <c r="E25" s="30" t="n">
        <v>7522</v>
      </c>
      <c r="F25" s="30" t="n">
        <v>7895</v>
      </c>
      <c r="G25" s="30" t="n">
        <v>8220</v>
      </c>
      <c r="H25" s="30" t="n">
        <v>8492</v>
      </c>
      <c r="I25" s="30" t="n">
        <v>8737</v>
      </c>
      <c r="J25" s="30" t="n">
        <v>8985</v>
      </c>
      <c r="K25" s="30" t="n">
        <v>9270</v>
      </c>
      <c r="L25" s="30" t="n">
        <v>9585</v>
      </c>
      <c r="M25" s="30" t="n">
        <v>9977</v>
      </c>
      <c r="N25" s="30" t="n">
        <v>10392</v>
      </c>
      <c r="O25" s="30" t="n">
        <v>10842</v>
      </c>
      <c r="R25" s="124" t="n">
        <f aca="false">O25-C25</f>
        <v>4262</v>
      </c>
      <c r="T25" s="6" t="s">
        <v>179</v>
      </c>
      <c r="U25" s="92" t="n">
        <f aca="false">D26-C26</f>
        <v>0</v>
      </c>
      <c r="V25" s="92" t="n">
        <f aca="false">E26-D26</f>
        <v>0</v>
      </c>
      <c r="W25" s="92" t="n">
        <f aca="false">F26-E26</f>
        <v>0</v>
      </c>
      <c r="X25" s="92" t="n">
        <f aca="false">G26-F26</f>
        <v>0</v>
      </c>
      <c r="Y25" s="92" t="n">
        <f aca="false">H26-G26</f>
        <v>20.535</v>
      </c>
      <c r="Z25" s="92" t="n">
        <f aca="false">I26-H26</f>
        <v>18.043</v>
      </c>
      <c r="AA25" s="92" t="n">
        <f aca="false">J26-I26</f>
        <v>26.6830000000001</v>
      </c>
      <c r="AB25" s="92" t="n">
        <f aca="false">K26-J26</f>
        <v>17.652</v>
      </c>
      <c r="AC25" s="92" t="n">
        <f aca="false">L26-K26</f>
        <v>10.012</v>
      </c>
      <c r="AD25" s="92" t="n">
        <f aca="false">M26-L26</f>
        <v>3.65199999999999</v>
      </c>
      <c r="AE25" s="92" t="n">
        <f aca="false">N26-M26</f>
        <v>1.25900000000001</v>
      </c>
      <c r="AF25" s="92" t="n">
        <f aca="false">O26-N26</f>
        <v>0</v>
      </c>
    </row>
    <row r="26" customFormat="false" ht="15" hidden="false" customHeight="false" outlineLevel="0" collapsed="false">
      <c r="A26" s="29"/>
      <c r="B26" s="125" t="s">
        <v>180</v>
      </c>
      <c r="C26" s="21" t="n">
        <v>318.911</v>
      </c>
      <c r="D26" s="107" t="n">
        <v>318.911</v>
      </c>
      <c r="E26" s="21" t="n">
        <v>318.911</v>
      </c>
      <c r="F26" s="21" t="n">
        <v>318.911</v>
      </c>
      <c r="G26" s="21" t="n">
        <v>318.911</v>
      </c>
      <c r="H26" s="21" t="n">
        <v>339.446</v>
      </c>
      <c r="I26" s="21" t="n">
        <v>357.489</v>
      </c>
      <c r="J26" s="21" t="n">
        <v>384.172</v>
      </c>
      <c r="K26" s="21" t="n">
        <v>401.824</v>
      </c>
      <c r="L26" s="21" t="n">
        <v>411.836</v>
      </c>
      <c r="M26" s="21" t="n">
        <v>415.488</v>
      </c>
      <c r="N26" s="21" t="n">
        <v>416.747</v>
      </c>
      <c r="O26" s="21" t="n">
        <v>416.747</v>
      </c>
      <c r="P26" s="18" t="n">
        <f aca="false">O26-C26</f>
        <v>97.836</v>
      </c>
      <c r="Q26" s="126" t="n">
        <f aca="false">ROUND(P26,0)</f>
        <v>98</v>
      </c>
      <c r="R26" s="120" t="s">
        <v>181</v>
      </c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</row>
    <row r="27" customFormat="false" ht="15" hidden="false" customHeight="false" outlineLevel="0" collapsed="false">
      <c r="A27" s="29"/>
      <c r="B27" s="20" t="s">
        <v>182</v>
      </c>
      <c r="C27" s="35" t="n">
        <v>2345.2</v>
      </c>
      <c r="D27" s="35" t="n">
        <v>2423.7</v>
      </c>
      <c r="E27" s="35" t="n">
        <v>2500.5</v>
      </c>
      <c r="F27" s="35" t="n">
        <v>2578.3</v>
      </c>
      <c r="G27" s="35" t="n">
        <v>2659</v>
      </c>
      <c r="H27" s="35" t="n">
        <v>2749.6</v>
      </c>
      <c r="I27" s="35" t="n">
        <v>2831.1</v>
      </c>
      <c r="J27" s="35" t="n">
        <v>2919.8</v>
      </c>
      <c r="K27" s="35" t="n">
        <v>2998.4</v>
      </c>
      <c r="L27" s="35" t="n">
        <v>3070.3</v>
      </c>
      <c r="M27" s="35" t="n">
        <v>3151.4</v>
      </c>
      <c r="N27" s="35" t="n">
        <v>3222.3</v>
      </c>
      <c r="O27" s="35" t="n">
        <v>3297.6</v>
      </c>
      <c r="P27" s="18" t="n">
        <f aca="false">O27-C27</f>
        <v>952.4</v>
      </c>
      <c r="Q27" s="126" t="n">
        <f aca="false">P27-Q26</f>
        <v>854.4</v>
      </c>
      <c r="R27" s="120" t="s">
        <v>183</v>
      </c>
    </row>
    <row r="28" customFormat="false" ht="15" hidden="false" customHeight="false" outlineLevel="0" collapsed="false">
      <c r="A28" s="29"/>
      <c r="B28" s="20" t="s">
        <v>184</v>
      </c>
      <c r="C28" s="36" t="n">
        <v>155.36</v>
      </c>
      <c r="D28" s="36" t="n">
        <v>165.29</v>
      </c>
      <c r="E28" s="36" t="n">
        <v>172.88</v>
      </c>
      <c r="F28" s="36" t="n">
        <v>179.21</v>
      </c>
      <c r="G28" s="36" t="n">
        <v>183.71</v>
      </c>
      <c r="H28" s="36" t="n">
        <v>185.44</v>
      </c>
      <c r="I28" s="36" t="n">
        <v>187.01</v>
      </c>
      <c r="J28" s="37" t="n">
        <v>188.06</v>
      </c>
      <c r="K28" s="37" t="n">
        <v>188.61</v>
      </c>
      <c r="L28" s="36" t="n">
        <v>189.49</v>
      </c>
      <c r="M28" s="36" t="n">
        <v>191.3</v>
      </c>
      <c r="N28" s="36" t="n">
        <v>197.49</v>
      </c>
      <c r="O28" s="36" t="n">
        <v>206.92</v>
      </c>
      <c r="P28" s="128"/>
      <c r="Q28" s="18" t="n">
        <f aca="false">(O28-C28)*3.6</f>
        <v>185.616</v>
      </c>
      <c r="R28" s="0" t="s">
        <v>17</v>
      </c>
    </row>
    <row r="29" customFormat="false" ht="15.75" hidden="false" customHeight="false" outlineLevel="0" collapsed="false">
      <c r="A29" s="11"/>
      <c r="B29" s="84" t="s">
        <v>185</v>
      </c>
      <c r="C29" s="129" t="n">
        <v>11759</v>
      </c>
      <c r="D29" s="129" t="n">
        <v>12063</v>
      </c>
      <c r="E29" s="129" t="n">
        <v>12297</v>
      </c>
      <c r="F29" s="129" t="n">
        <v>12508</v>
      </c>
      <c r="G29" s="129" t="n">
        <v>12680</v>
      </c>
      <c r="H29" s="129" t="n">
        <v>12787</v>
      </c>
      <c r="I29" s="129" t="n">
        <v>12907</v>
      </c>
      <c r="J29" s="129" t="n">
        <v>12979</v>
      </c>
      <c r="K29" s="129" t="n">
        <v>12996</v>
      </c>
      <c r="L29" s="129" t="n">
        <v>13022</v>
      </c>
      <c r="M29" s="129" t="n">
        <v>13069</v>
      </c>
      <c r="N29" s="129" t="n">
        <v>13220</v>
      </c>
      <c r="O29" s="129" t="n">
        <v>13450</v>
      </c>
      <c r="Q29" s="33" t="n">
        <f aca="false">O29-C29</f>
        <v>1691</v>
      </c>
      <c r="R29" s="0" t="s">
        <v>16</v>
      </c>
    </row>
    <row r="30" customFormat="false" ht="15.75" hidden="false" customHeight="false" outlineLevel="0" collapsed="false">
      <c r="A30" s="40" t="str">
        <f aca="false">'1850'!A29</f>
        <v>fakturační vodoměr č.         63796</v>
      </c>
      <c r="B30" s="41"/>
      <c r="C30" s="42" t="n">
        <f aca="false">'1850'!C29</f>
        <v>16304</v>
      </c>
      <c r="D30" s="42" t="n">
        <f aca="false">'1850'!D29</f>
        <v>16653.4</v>
      </c>
      <c r="E30" s="42" t="n">
        <f aca="false">'1850'!E29</f>
        <v>16977.5</v>
      </c>
      <c r="F30" s="42" t="n">
        <f aca="false">'1850'!F29</f>
        <v>17322.7</v>
      </c>
      <c r="G30" s="42" t="n">
        <f aca="false">'1850'!G29</f>
        <v>17680.1</v>
      </c>
      <c r="H30" s="42" t="n">
        <f aca="false">'1850'!H29</f>
        <v>18036.6</v>
      </c>
      <c r="I30" s="42" t="n">
        <f aca="false">'1850'!I29</f>
        <v>18355.9</v>
      </c>
      <c r="J30" s="42" t="n">
        <f aca="false">'1850'!J29</f>
        <v>18672</v>
      </c>
      <c r="K30" s="42" t="n">
        <f aca="false">'1850'!K29</f>
        <v>18979.4</v>
      </c>
      <c r="L30" s="42" t="n">
        <f aca="false">'1850'!L29</f>
        <v>19283.1</v>
      </c>
      <c r="M30" s="42" t="n">
        <f aca="false">'1850'!M29</f>
        <v>19628</v>
      </c>
      <c r="N30" s="42" t="n">
        <f aca="false">'1850'!N29</f>
        <v>19942.6</v>
      </c>
      <c r="O30" s="42" t="n">
        <f aca="false">'1850'!O29</f>
        <v>20281.1</v>
      </c>
      <c r="P30" s="18" t="n">
        <f aca="false">O30-C30</f>
        <v>3977.1</v>
      </c>
    </row>
    <row r="31" customFormat="false" ht="15.75" hidden="false" customHeight="false" outlineLevel="0" collapsed="false">
      <c r="B31" s="130"/>
    </row>
    <row r="32" customFormat="false" ht="15" hidden="false" customHeight="false" outlineLevel="0" collapsed="false">
      <c r="A32" s="131" t="n">
        <v>11</v>
      </c>
      <c r="B32" s="15" t="s">
        <v>186</v>
      </c>
      <c r="C32" s="17" t="n">
        <v>9.369</v>
      </c>
      <c r="D32" s="17" t="n">
        <v>9.644</v>
      </c>
      <c r="E32" s="17" t="n">
        <v>9.908</v>
      </c>
      <c r="F32" s="17" t="n">
        <v>10.296</v>
      </c>
      <c r="G32" s="17" t="n">
        <v>10.618</v>
      </c>
      <c r="H32" s="17" t="n">
        <v>11.084</v>
      </c>
      <c r="I32" s="17" t="n">
        <v>11.542</v>
      </c>
      <c r="J32" s="17" t="n">
        <v>11.908</v>
      </c>
      <c r="K32" s="17" t="n">
        <v>12.288</v>
      </c>
      <c r="L32" s="17" t="n">
        <v>12.796</v>
      </c>
      <c r="M32" s="17" t="n">
        <v>13.195</v>
      </c>
      <c r="N32" s="17" t="n">
        <v>13.667</v>
      </c>
      <c r="O32" s="17" t="n">
        <v>13.972</v>
      </c>
      <c r="P32" s="18" t="n">
        <f aca="false">O32-C32</f>
        <v>4.603</v>
      </c>
      <c r="S32" s="0" t="s">
        <v>128</v>
      </c>
      <c r="T32" s="132" t="n">
        <v>11</v>
      </c>
      <c r="U32" s="92" t="n">
        <f aca="false">D32-C32</f>
        <v>0.275</v>
      </c>
      <c r="V32" s="92" t="n">
        <f aca="false">E32-D32</f>
        <v>0.263999999999999</v>
      </c>
      <c r="W32" s="92" t="n">
        <f aca="false">F32-E32</f>
        <v>0.388</v>
      </c>
      <c r="X32" s="92" t="n">
        <f aca="false">G32-F32</f>
        <v>0.322000000000001</v>
      </c>
      <c r="Y32" s="92" t="n">
        <f aca="false">H32-G32</f>
        <v>0.465999999999999</v>
      </c>
      <c r="Z32" s="92" t="n">
        <f aca="false">I32-H32</f>
        <v>0.458</v>
      </c>
      <c r="AA32" s="92" t="n">
        <f aca="false">J32-I32</f>
        <v>0.366</v>
      </c>
      <c r="AB32" s="92" t="n">
        <f aca="false">K32-J32</f>
        <v>0.380000000000001</v>
      </c>
      <c r="AC32" s="92" t="n">
        <f aca="false">L32-K32</f>
        <v>0.507999999999999</v>
      </c>
      <c r="AD32" s="92" t="n">
        <f aca="false">M32-L32</f>
        <v>0.399000000000001</v>
      </c>
      <c r="AE32" s="92" t="n">
        <f aca="false">N32-M32</f>
        <v>0.472</v>
      </c>
      <c r="AF32" s="92" t="n">
        <f aca="false">O32-N32</f>
        <v>0.305</v>
      </c>
    </row>
    <row r="33" customFormat="false" ht="15.75" hidden="false" customHeight="false" outlineLevel="0" collapsed="false">
      <c r="A33" s="131"/>
      <c r="B33" s="133" t="s">
        <v>187</v>
      </c>
      <c r="C33" s="134" t="n">
        <v>0.594</v>
      </c>
      <c r="D33" s="134" t="n">
        <v>0.613</v>
      </c>
      <c r="E33" s="134" t="n">
        <v>0.622</v>
      </c>
      <c r="F33" s="134" t="n">
        <v>0.627</v>
      </c>
      <c r="G33" s="134" t="n">
        <v>0.633</v>
      </c>
      <c r="H33" s="134" t="n">
        <v>0.662</v>
      </c>
      <c r="I33" s="134" t="n">
        <v>0.675</v>
      </c>
      <c r="J33" s="134" t="n">
        <v>0.699</v>
      </c>
      <c r="K33" s="134" t="n">
        <v>0.701</v>
      </c>
      <c r="L33" s="134" t="n">
        <v>0.715</v>
      </c>
      <c r="M33" s="134" t="n">
        <v>0.735</v>
      </c>
      <c r="N33" s="134" t="n">
        <v>0.751</v>
      </c>
      <c r="O33" s="134" t="n">
        <v>0.76</v>
      </c>
      <c r="P33" s="18" t="n">
        <f aca="false">O33-C33</f>
        <v>0.166</v>
      </c>
      <c r="S33" s="0" t="s">
        <v>76</v>
      </c>
      <c r="T33" s="132"/>
      <c r="U33" s="92" t="n">
        <f aca="false">D33-C33</f>
        <v>0.019</v>
      </c>
      <c r="V33" s="92" t="n">
        <f aca="false">E33-D33</f>
        <v>0.00900000000000001</v>
      </c>
      <c r="W33" s="92" t="n">
        <f aca="false">F33-E33</f>
        <v>0.005</v>
      </c>
      <c r="X33" s="92" t="n">
        <f aca="false">G33-F33</f>
        <v>0.00600000000000001</v>
      </c>
      <c r="Y33" s="92" t="n">
        <f aca="false">H33-G33</f>
        <v>0.029</v>
      </c>
      <c r="Z33" s="92" t="n">
        <f aca="false">I33-H33</f>
        <v>0.013</v>
      </c>
      <c r="AA33" s="92" t="n">
        <f aca="false">J33-I33</f>
        <v>0.0239999999999999</v>
      </c>
      <c r="AB33" s="92" t="n">
        <f aca="false">K33-J33</f>
        <v>0.002</v>
      </c>
      <c r="AC33" s="92" t="n">
        <f aca="false">L33-K33</f>
        <v>0.014</v>
      </c>
      <c r="AD33" s="92" t="n">
        <f aca="false">M33-L33</f>
        <v>0.02</v>
      </c>
      <c r="AE33" s="92" t="n">
        <f aca="false">N33-M33</f>
        <v>0.016</v>
      </c>
      <c r="AF33" s="92" t="n">
        <f aca="false">O33-N33</f>
        <v>0.00900000000000001</v>
      </c>
    </row>
    <row r="34" customFormat="false" ht="15" hidden="false" customHeight="false" outlineLevel="0" collapsed="false">
      <c r="K34" s="123"/>
    </row>
    <row r="35" customFormat="false" ht="15" hidden="false" customHeight="false" outlineLevel="0" collapsed="false">
      <c r="A35" s="1"/>
      <c r="D35" s="0" t="s">
        <v>188</v>
      </c>
      <c r="K35" s="123"/>
    </row>
    <row r="36" customFormat="false" ht="15" hidden="false" customHeight="false" outlineLevel="0" collapsed="false">
      <c r="A36" s="1"/>
      <c r="D36" s="97" t="n">
        <v>43956</v>
      </c>
      <c r="E36" s="88" t="s">
        <v>48</v>
      </c>
      <c r="F36" s="98"/>
      <c r="G36" s="98"/>
      <c r="H36" s="102"/>
    </row>
    <row r="37" customFormat="false" ht="15" hidden="false" customHeight="false" outlineLevel="0" collapsed="false">
      <c r="A37" s="1"/>
      <c r="D37" s="97"/>
      <c r="E37" s="88" t="s">
        <v>53</v>
      </c>
      <c r="F37" s="98"/>
      <c r="G37" s="98"/>
      <c r="H37" s="102"/>
    </row>
    <row r="38" customFormat="false" ht="15" hidden="false" customHeight="false" outlineLevel="0" collapsed="false">
      <c r="A38" s="1"/>
      <c r="D38" s="0" t="s">
        <v>189</v>
      </c>
    </row>
    <row r="39" customFormat="false" ht="15" hidden="false" customHeight="false" outlineLevel="0" collapsed="false">
      <c r="A39" s="1"/>
      <c r="D39" s="97" t="n">
        <v>43956</v>
      </c>
      <c r="E39" s="88" t="s">
        <v>48</v>
      </c>
      <c r="F39" s="98"/>
      <c r="G39" s="98"/>
      <c r="H39" s="102"/>
    </row>
    <row r="40" customFormat="false" ht="15" hidden="false" customHeight="false" outlineLevel="0" collapsed="false">
      <c r="A40" s="1"/>
      <c r="D40" s="97"/>
      <c r="E40" s="88" t="s">
        <v>53</v>
      </c>
      <c r="F40" s="98"/>
      <c r="G40" s="98"/>
      <c r="H40" s="102"/>
    </row>
  </sheetData>
  <mergeCells count="18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32:A33"/>
    <mergeCell ref="T32:T33"/>
    <mergeCell ref="D36:D37"/>
    <mergeCell ref="F36:G36"/>
    <mergeCell ref="F37:G37"/>
    <mergeCell ref="D39:D40"/>
    <mergeCell ref="F39:G39"/>
    <mergeCell ref="F40:G40"/>
  </mergeCells>
  <conditionalFormatting sqref="E29">
    <cfRule type="cellIs" priority="2" operator="lessThan" aboveAverage="0" equalAverage="0" bottom="0" percent="0" rank="0" text="" dxfId="1817">
      <formula>'1853'!$D$29</formula>
    </cfRule>
    <cfRule type="cellIs" priority="3" operator="equal" aboveAverage="0" equalAverage="0" bottom="0" percent="0" rank="0" text="" dxfId="1818">
      <formula>'1853'!$D$29</formula>
    </cfRule>
  </conditionalFormatting>
  <conditionalFormatting sqref="D29">
    <cfRule type="cellIs" priority="4" operator="lessThan" aboveAverage="0" equalAverage="0" bottom="0" percent="0" rank="0" text="" dxfId="1819">
      <formula>'1853'!$C$29</formula>
    </cfRule>
    <cfRule type="cellIs" priority="5" operator="equal" aboveAverage="0" equalAverage="0" bottom="0" percent="0" rank="0" text="" dxfId="1820">
      <formula>'1853'!$C$29</formula>
    </cfRule>
  </conditionalFormatting>
  <conditionalFormatting sqref="I29">
    <cfRule type="cellIs" priority="6" operator="equal" aboveAverage="0" equalAverage="0" bottom="0" percent="0" rank="0" text="" dxfId="1821">
      <formula>'1853'!$H$29</formula>
    </cfRule>
    <cfRule type="cellIs" priority="7" operator="lessThan" aboveAverage="0" equalAverage="0" bottom="0" percent="0" rank="0" text="" dxfId="1822">
      <formula>'1853'!$H$29</formula>
    </cfRule>
  </conditionalFormatting>
  <conditionalFormatting sqref="J29">
    <cfRule type="cellIs" priority="8" operator="equal" aboveAverage="0" equalAverage="0" bottom="0" percent="0" rank="0" text="" dxfId="1823">
      <formula>'1853'!$I$29</formula>
    </cfRule>
    <cfRule type="cellIs" priority="9" operator="lessThan" aboveAverage="0" equalAverage="0" bottom="0" percent="0" rank="0" text="" dxfId="1824">
      <formula>'1853'!$I$29</formula>
    </cfRule>
  </conditionalFormatting>
  <conditionalFormatting sqref="H4">
    <cfRule type="cellIs" priority="10" operator="lessThan" aboveAverage="0" equalAverage="0" bottom="0" percent="0" rank="0" text="" dxfId="1825">
      <formula>'1853'!$G$4</formula>
    </cfRule>
    <cfRule type="cellIs" priority="11" operator="equal" aboveAverage="0" equalAverage="0" bottom="0" percent="0" rank="0" text="" dxfId="1826">
      <formula>'1853'!$G$4</formula>
    </cfRule>
  </conditionalFormatting>
  <conditionalFormatting sqref="G7">
    <cfRule type="cellIs" priority="12" operator="equal" aboveAverage="0" equalAverage="0" bottom="0" percent="0" rank="0" text="" dxfId="1827">
      <formula>'1853'!$F$7</formula>
    </cfRule>
    <cfRule type="cellIs" priority="13" operator="lessThan" aboveAverage="0" equalAverage="0" bottom="0" percent="0" rank="0" text="" dxfId="1828">
      <formula>'1853'!$F$7</formula>
    </cfRule>
  </conditionalFormatting>
  <conditionalFormatting sqref="H5">
    <cfRule type="cellIs" priority="14" operator="equal" aboveAverage="0" equalAverage="0" bottom="0" percent="0" rank="0" text="" dxfId="1829">
      <formula>'1853'!$G$5</formula>
    </cfRule>
    <cfRule type="cellIs" priority="15" operator="lessThan" aboveAverage="0" equalAverage="0" bottom="0" percent="0" rank="0" text="" dxfId="1830">
      <formula>'1853'!$G$5</formula>
    </cfRule>
  </conditionalFormatting>
  <conditionalFormatting sqref="I5">
    <cfRule type="cellIs" priority="16" operator="equal" aboveAverage="0" equalAverage="0" bottom="0" percent="0" rank="0" text="" dxfId="1831">
      <formula>'1853'!$H$5</formula>
    </cfRule>
    <cfRule type="cellIs" priority="17" operator="lessThan" aboveAverage="0" equalAverage="0" bottom="0" percent="0" rank="0" text="" dxfId="1832">
      <formula>'1853'!$H$5</formula>
    </cfRule>
  </conditionalFormatting>
  <conditionalFormatting sqref="J5">
    <cfRule type="cellIs" priority="18" operator="equal" aboveAverage="0" equalAverage="0" bottom="0" percent="0" rank="0" text="" dxfId="1833">
      <formula>'1853'!$I$5</formula>
    </cfRule>
    <cfRule type="cellIs" priority="19" operator="lessThan" aboveAverage="0" equalAverage="0" bottom="0" percent="0" rank="0" text="" dxfId="1834">
      <formula>'1853'!$I$5</formula>
    </cfRule>
  </conditionalFormatting>
  <conditionalFormatting sqref="F4">
    <cfRule type="cellIs" priority="20" operator="equal" aboveAverage="0" equalAverage="0" bottom="0" percent="0" rank="0" text="" dxfId="1835">
      <formula>'1853'!$E$4</formula>
    </cfRule>
    <cfRule type="cellIs" priority="21" operator="lessThan" aboveAverage="0" equalAverage="0" bottom="0" percent="0" rank="0" text="" dxfId="1836">
      <formula>'1853'!$E$4</formula>
    </cfRule>
  </conditionalFormatting>
  <conditionalFormatting sqref="D4">
    <cfRule type="cellIs" priority="22" operator="lessThan" aboveAverage="0" equalAverage="0" bottom="0" percent="0" rank="0" text="" dxfId="1837">
      <formula>'1853'!$C$4</formula>
    </cfRule>
    <cfRule type="cellIs" priority="23" operator="equal" aboveAverage="0" equalAverage="0" bottom="0" percent="0" rank="0" text="" dxfId="1838">
      <formula>'1853'!$C$4</formula>
    </cfRule>
  </conditionalFormatting>
  <conditionalFormatting sqref="E4">
    <cfRule type="cellIs" priority="24" operator="equal" aboveAverage="0" equalAverage="0" bottom="0" percent="0" rank="0" text="" dxfId="1839">
      <formula>'1853'!$D$4</formula>
    </cfRule>
    <cfRule type="cellIs" priority="25" operator="lessThan" aboveAverage="0" equalAverage="0" bottom="0" percent="0" rank="0" text="" dxfId="1840">
      <formula>'1853'!$D$4</formula>
    </cfRule>
  </conditionalFormatting>
  <conditionalFormatting sqref="D5">
    <cfRule type="cellIs" priority="26" operator="equal" aboveAverage="0" equalAverage="0" bottom="0" percent="0" rank="0" text="" dxfId="1841">
      <formula>'1853'!$C$5</formula>
    </cfRule>
    <cfRule type="cellIs" priority="27" operator="lessThan" aboveAverage="0" equalAverage="0" bottom="0" percent="0" rank="0" text="" dxfId="1842">
      <formula>'1853'!$C$5</formula>
    </cfRule>
  </conditionalFormatting>
  <conditionalFormatting sqref="F5">
    <cfRule type="cellIs" priority="28" operator="equal" aboveAverage="0" equalAverage="0" bottom="0" percent="0" rank="0" text="" dxfId="1843">
      <formula>'1853'!$E$5</formula>
    </cfRule>
    <cfRule type="cellIs" priority="29" operator="lessThan" aboveAverage="0" equalAverage="0" bottom="0" percent="0" rank="0" text="" dxfId="1844">
      <formula>'1853'!$E$5</formula>
    </cfRule>
  </conditionalFormatting>
  <conditionalFormatting sqref="I4">
    <cfRule type="cellIs" priority="30" operator="equal" aboveAverage="0" equalAverage="0" bottom="0" percent="0" rank="0" text="" dxfId="1845">
      <formula>'1853'!$H$4</formula>
    </cfRule>
  </conditionalFormatting>
  <conditionalFormatting sqref="J4">
    <cfRule type="cellIs" priority="31" operator="lessThan" aboveAverage="0" equalAverage="0" bottom="0" percent="0" rank="0" text="" dxfId="1846">
      <formula>'1853'!$I$4</formula>
    </cfRule>
    <cfRule type="cellIs" priority="32" operator="equal" aboveAverage="0" equalAverage="0" bottom="0" percent="0" rank="0" text="" dxfId="1847">
      <formula>'1853'!$I$4</formula>
    </cfRule>
  </conditionalFormatting>
  <conditionalFormatting sqref="D6">
    <cfRule type="cellIs" priority="33" operator="equal" aboveAverage="0" equalAverage="0" bottom="0" percent="0" rank="0" text="" dxfId="1848">
      <formula>'1853'!$C$6</formula>
    </cfRule>
    <cfRule type="cellIs" priority="34" operator="lessThan" aboveAverage="0" equalAverage="0" bottom="0" percent="0" rank="0" text="" dxfId="1849">
      <formula>'1853'!$C$6</formula>
    </cfRule>
  </conditionalFormatting>
  <conditionalFormatting sqref="E6">
    <cfRule type="cellIs" priority="35" operator="equal" aboveAverage="0" equalAverage="0" bottom="0" percent="0" rank="0" text="" dxfId="1850">
      <formula>'1853'!$D$6</formula>
    </cfRule>
    <cfRule type="cellIs" priority="36" operator="lessThan" aboveAverage="0" equalAverage="0" bottom="0" percent="0" rank="0" text="" dxfId="1851">
      <formula>'1853'!$D$6</formula>
    </cfRule>
  </conditionalFormatting>
  <conditionalFormatting sqref="F6">
    <cfRule type="cellIs" priority="37" operator="equal" aboveAverage="0" equalAverage="0" bottom="0" percent="0" rank="0" text="" dxfId="1852">
      <formula>'1853'!$E$6</formula>
    </cfRule>
    <cfRule type="cellIs" priority="38" operator="lessThan" aboveAverage="0" equalAverage="0" bottom="0" percent="0" rank="0" text="" dxfId="1853">
      <formula>'1853'!$E$6</formula>
    </cfRule>
  </conditionalFormatting>
  <conditionalFormatting sqref="G6">
    <cfRule type="cellIs" priority="39" operator="equal" aboveAverage="0" equalAverage="0" bottom="0" percent="0" rank="0" text="" dxfId="1854">
      <formula>'1853'!$F$6</formula>
    </cfRule>
    <cfRule type="cellIs" priority="40" operator="lessThan" aboveAverage="0" equalAverage="0" bottom="0" percent="0" rank="0" text="" dxfId="1855">
      <formula>'1853'!$F$6</formula>
    </cfRule>
  </conditionalFormatting>
  <conditionalFormatting sqref="H6">
    <cfRule type="cellIs" priority="41" operator="equal" aboveAverage="0" equalAverage="0" bottom="0" percent="0" rank="0" text="" dxfId="1856">
      <formula>'1853'!$G$6</formula>
    </cfRule>
    <cfRule type="cellIs" priority="42" operator="lessThan" aboveAverage="0" equalAverage="0" bottom="0" percent="0" rank="0" text="" dxfId="1857">
      <formula>'1853'!$G$6</formula>
    </cfRule>
  </conditionalFormatting>
  <conditionalFormatting sqref="I6">
    <cfRule type="cellIs" priority="43" operator="equal" aboveAverage="0" equalAverage="0" bottom="0" percent="0" rank="0" text="" dxfId="1858">
      <formula>'1853'!$H$6</formula>
    </cfRule>
    <cfRule type="cellIs" priority="44" operator="lessThan" aboveAverage="0" equalAverage="0" bottom="0" percent="0" rank="0" text="" dxfId="1859">
      <formula>'1853'!$H$6</formula>
    </cfRule>
  </conditionalFormatting>
  <conditionalFormatting sqref="J6">
    <cfRule type="cellIs" priority="45" operator="equal" aboveAverage="0" equalAverage="0" bottom="0" percent="0" rank="0" text="" dxfId="1860">
      <formula>'1853'!$I$6</formula>
    </cfRule>
    <cfRule type="cellIs" priority="46" operator="lessThan" aboveAverage="0" equalAverage="0" bottom="0" percent="0" rank="0" text="" dxfId="1861">
      <formula>'1853'!$I$6</formula>
    </cfRule>
  </conditionalFormatting>
  <conditionalFormatting sqref="D7">
    <cfRule type="cellIs" priority="47" operator="equal" aboveAverage="0" equalAverage="0" bottom="0" percent="0" rank="0" text="" dxfId="1862">
      <formula>'1853'!$C$7</formula>
    </cfRule>
    <cfRule type="cellIs" priority="48" operator="lessThan" aboveAverage="0" equalAverage="0" bottom="0" percent="0" rank="0" text="" dxfId="1863">
      <formula>'1853'!$C$7</formula>
    </cfRule>
  </conditionalFormatting>
  <conditionalFormatting sqref="E7">
    <cfRule type="cellIs" priority="49" operator="equal" aboveAverage="0" equalAverage="0" bottom="0" percent="0" rank="0" text="" dxfId="1864">
      <formula>'1853'!$D$7</formula>
    </cfRule>
    <cfRule type="cellIs" priority="50" operator="lessThan" aboveAverage="0" equalAverage="0" bottom="0" percent="0" rank="0" text="" dxfId="1865">
      <formula>'1853'!$D$7</formula>
    </cfRule>
  </conditionalFormatting>
  <conditionalFormatting sqref="F7">
    <cfRule type="cellIs" priority="51" operator="equal" aboveAverage="0" equalAverage="0" bottom="0" percent="0" rank="0" text="" dxfId="1866">
      <formula>'1853'!$E$7</formula>
    </cfRule>
    <cfRule type="cellIs" priority="52" operator="lessThan" aboveAverage="0" equalAverage="0" bottom="0" percent="0" rank="0" text="" dxfId="1867">
      <formula>'1853'!$E$7</formula>
    </cfRule>
  </conditionalFormatting>
  <conditionalFormatting sqref="H7">
    <cfRule type="cellIs" priority="53" operator="equal" aboveAverage="0" equalAverage="0" bottom="0" percent="0" rank="0" text="" dxfId="1868">
      <formula>'1853'!$G$7</formula>
    </cfRule>
    <cfRule type="cellIs" priority="54" operator="lessThan" aboveAverage="0" equalAverage="0" bottom="0" percent="0" rank="0" text="" dxfId="1869">
      <formula>'1853'!$G$7</formula>
    </cfRule>
  </conditionalFormatting>
  <conditionalFormatting sqref="I7">
    <cfRule type="cellIs" priority="55" operator="equal" aboveAverage="0" equalAverage="0" bottom="0" percent="0" rank="0" text="" dxfId="1870">
      <formula>'1853'!$H$7</formula>
    </cfRule>
    <cfRule type="cellIs" priority="56" operator="lessThan" aboveAverage="0" equalAverage="0" bottom="0" percent="0" rank="0" text="" dxfId="1871">
      <formula>'1853'!$H$7</formula>
    </cfRule>
  </conditionalFormatting>
  <conditionalFormatting sqref="J7">
    <cfRule type="cellIs" priority="57" operator="equal" aboveAverage="0" equalAverage="0" bottom="0" percent="0" rank="0" text="" dxfId="1872">
      <formula>'1853'!$I$7</formula>
    </cfRule>
    <cfRule type="cellIs" priority="58" operator="lessThan" aboveAverage="0" equalAverage="0" bottom="0" percent="0" rank="0" text="" dxfId="1873">
      <formula>'1853'!$I$7</formula>
    </cfRule>
  </conditionalFormatting>
  <conditionalFormatting sqref="D8">
    <cfRule type="cellIs" priority="59" operator="equal" aboveAverage="0" equalAverage="0" bottom="0" percent="0" rank="0" text="" dxfId="1874">
      <formula>'1853'!$C$8</formula>
    </cfRule>
    <cfRule type="cellIs" priority="60" operator="lessThan" aboveAverage="0" equalAverage="0" bottom="0" percent="0" rank="0" text="" dxfId="1875">
      <formula>'1853'!$C$8</formula>
    </cfRule>
  </conditionalFormatting>
  <conditionalFormatting sqref="E8">
    <cfRule type="cellIs" priority="61" operator="equal" aboveAverage="0" equalAverage="0" bottom="0" percent="0" rank="0" text="" dxfId="1876">
      <formula>'1853'!$D$8</formula>
    </cfRule>
    <cfRule type="cellIs" priority="62" operator="lessThan" aboveAverage="0" equalAverage="0" bottom="0" percent="0" rank="0" text="" dxfId="1877">
      <formula>'1853'!$D$8</formula>
    </cfRule>
  </conditionalFormatting>
  <conditionalFormatting sqref="F8">
    <cfRule type="cellIs" priority="63" operator="equal" aboveAverage="0" equalAverage="0" bottom="0" percent="0" rank="0" text="" dxfId="1878">
      <formula>'1853'!$E$8</formula>
    </cfRule>
    <cfRule type="cellIs" priority="64" operator="lessThan" aboveAverage="0" equalAverage="0" bottom="0" percent="0" rank="0" text="" dxfId="1879">
      <formula>'1853'!$E$8</formula>
    </cfRule>
  </conditionalFormatting>
  <conditionalFormatting sqref="G8">
    <cfRule type="cellIs" priority="65" operator="equal" aboveAverage="0" equalAverage="0" bottom="0" percent="0" rank="0" text="" dxfId="1880">
      <formula>'1853'!$F$8</formula>
    </cfRule>
    <cfRule type="cellIs" priority="66" operator="lessThan" aboveAverage="0" equalAverage="0" bottom="0" percent="0" rank="0" text="" dxfId="1881">
      <formula>'1853'!$F$8</formula>
    </cfRule>
  </conditionalFormatting>
  <conditionalFormatting sqref="H8">
    <cfRule type="cellIs" priority="67" operator="equal" aboveAverage="0" equalAverage="0" bottom="0" percent="0" rank="0" text="" dxfId="1882">
      <formula>'1853'!$G$8</formula>
    </cfRule>
    <cfRule type="cellIs" priority="68" operator="lessThan" aboveAverage="0" equalAverage="0" bottom="0" percent="0" rank="0" text="" dxfId="1883">
      <formula>'1853'!$G$8</formula>
    </cfRule>
  </conditionalFormatting>
  <conditionalFormatting sqref="I8">
    <cfRule type="cellIs" priority="69" operator="equal" aboveAverage="0" equalAverage="0" bottom="0" percent="0" rank="0" text="" dxfId="1884">
      <formula>'1853'!$H$8</formula>
    </cfRule>
    <cfRule type="cellIs" priority="70" operator="lessThan" aboveAverage="0" equalAverage="0" bottom="0" percent="0" rank="0" text="" dxfId="1885">
      <formula>'1853'!$H$8</formula>
    </cfRule>
  </conditionalFormatting>
  <conditionalFormatting sqref="J8">
    <cfRule type="cellIs" priority="71" operator="equal" aboveAverage="0" equalAverage="0" bottom="0" percent="0" rank="0" text="" dxfId="1886">
      <formula>'1853'!$I$8</formula>
    </cfRule>
    <cfRule type="cellIs" priority="72" operator="lessThan" aboveAverage="0" equalAverage="0" bottom="0" percent="0" rank="0" text="" dxfId="1887">
      <formula>'1853'!$I$8</formula>
    </cfRule>
  </conditionalFormatting>
  <conditionalFormatting sqref="D9">
    <cfRule type="cellIs" priority="73" operator="equal" aboveAverage="0" equalAverage="0" bottom="0" percent="0" rank="0" text="" dxfId="1888">
      <formula>'1853'!$C$9</formula>
    </cfRule>
    <cfRule type="cellIs" priority="74" operator="lessThan" aboveAverage="0" equalAverage="0" bottom="0" percent="0" rank="0" text="" dxfId="1889">
      <formula>'1853'!$C$9</formula>
    </cfRule>
  </conditionalFormatting>
  <conditionalFormatting sqref="E9">
    <cfRule type="cellIs" priority="75" operator="equal" aboveAverage="0" equalAverage="0" bottom="0" percent="0" rank="0" text="" dxfId="1890">
      <formula>'1853'!$D$9</formula>
    </cfRule>
    <cfRule type="cellIs" priority="76" operator="lessThan" aboveAverage="0" equalAverage="0" bottom="0" percent="0" rank="0" text="" dxfId="1891">
      <formula>'1853'!$D$9</formula>
    </cfRule>
  </conditionalFormatting>
  <conditionalFormatting sqref="F9">
    <cfRule type="cellIs" priority="77" operator="equal" aboveAverage="0" equalAverage="0" bottom="0" percent="0" rank="0" text="" dxfId="1892">
      <formula>'1853'!$E$9</formula>
    </cfRule>
    <cfRule type="cellIs" priority="78" operator="lessThan" aboveAverage="0" equalAverage="0" bottom="0" percent="0" rank="0" text="" dxfId="1893">
      <formula>'1853'!$E$9</formula>
    </cfRule>
  </conditionalFormatting>
  <conditionalFormatting sqref="G9">
    <cfRule type="cellIs" priority="79" operator="equal" aboveAverage="0" equalAverage="0" bottom="0" percent="0" rank="0" text="" dxfId="1894">
      <formula>'1853'!$F$9</formula>
    </cfRule>
    <cfRule type="cellIs" priority="80" operator="lessThan" aboveAverage="0" equalAverage="0" bottom="0" percent="0" rank="0" text="" dxfId="1895">
      <formula>'1853'!$F$9</formula>
    </cfRule>
  </conditionalFormatting>
  <conditionalFormatting sqref="H9">
    <cfRule type="cellIs" priority="81" operator="equal" aboveAverage="0" equalAverage="0" bottom="0" percent="0" rank="0" text="" dxfId="1896">
      <formula>'1853'!$G$9</formula>
    </cfRule>
    <cfRule type="cellIs" priority="82" operator="lessThan" aboveAverage="0" equalAverage="0" bottom="0" percent="0" rank="0" text="" dxfId="1897">
      <formula>'1853'!$G$9</formula>
    </cfRule>
  </conditionalFormatting>
  <conditionalFormatting sqref="I9">
    <cfRule type="cellIs" priority="83" operator="equal" aboveAverage="0" equalAverage="0" bottom="0" percent="0" rank="0" text="" dxfId="1898">
      <formula>'1853'!$H$9</formula>
    </cfRule>
    <cfRule type="cellIs" priority="84" operator="lessThan" aboveAverage="0" equalAverage="0" bottom="0" percent="0" rank="0" text="" dxfId="1899">
      <formula>'1853'!$H$9</formula>
    </cfRule>
  </conditionalFormatting>
  <conditionalFormatting sqref="J9">
    <cfRule type="cellIs" priority="85" operator="equal" aboveAverage="0" equalAverage="0" bottom="0" percent="0" rank="0" text="" dxfId="1900">
      <formula>'1853'!$I$9</formula>
    </cfRule>
    <cfRule type="cellIs" priority="86" operator="lessThan" aboveAverage="0" equalAverage="0" bottom="0" percent="0" rank="0" text="" dxfId="1901">
      <formula>'1853'!$I$9</formula>
    </cfRule>
  </conditionalFormatting>
  <conditionalFormatting sqref="D10">
    <cfRule type="cellIs" priority="87" operator="equal" aboveAverage="0" equalAverage="0" bottom="0" percent="0" rank="0" text="" dxfId="1902">
      <formula>'1853'!$C$10</formula>
    </cfRule>
    <cfRule type="cellIs" priority="88" operator="lessThan" aboveAverage="0" equalAverage="0" bottom="0" percent="0" rank="0" text="" dxfId="1903">
      <formula>'1853'!$C$10</formula>
    </cfRule>
  </conditionalFormatting>
  <conditionalFormatting sqref="E10">
    <cfRule type="cellIs" priority="89" operator="equal" aboveAverage="0" equalAverage="0" bottom="0" percent="0" rank="0" text="" dxfId="1904">
      <formula>'1853'!$D$10</formula>
    </cfRule>
    <cfRule type="cellIs" priority="90" operator="lessThan" aboveAverage="0" equalAverage="0" bottom="0" percent="0" rank="0" text="" dxfId="1905">
      <formula>'1853'!$D$10</formula>
    </cfRule>
  </conditionalFormatting>
  <conditionalFormatting sqref="F10">
    <cfRule type="cellIs" priority="91" operator="equal" aboveAverage="0" equalAverage="0" bottom="0" percent="0" rank="0" text="" dxfId="1906">
      <formula>'1853'!$E$10</formula>
    </cfRule>
    <cfRule type="cellIs" priority="92" operator="lessThan" aboveAverage="0" equalAverage="0" bottom="0" percent="0" rank="0" text="" dxfId="1907">
      <formula>'1853'!$E$10</formula>
    </cfRule>
  </conditionalFormatting>
  <conditionalFormatting sqref="G10">
    <cfRule type="cellIs" priority="93" operator="equal" aboveAverage="0" equalAverage="0" bottom="0" percent="0" rank="0" text="" dxfId="1908">
      <formula>'1853'!$F$10</formula>
    </cfRule>
    <cfRule type="cellIs" priority="94" operator="lessThan" aboveAverage="0" equalAverage="0" bottom="0" percent="0" rank="0" text="" dxfId="1909">
      <formula>'1853'!$F$10</formula>
    </cfRule>
  </conditionalFormatting>
  <conditionalFormatting sqref="H10">
    <cfRule type="cellIs" priority="95" operator="equal" aboveAverage="0" equalAverage="0" bottom="0" percent="0" rank="0" text="" dxfId="1910">
      <formula>'1853'!$G$10</formula>
    </cfRule>
    <cfRule type="cellIs" priority="96" operator="lessThan" aboveAverage="0" equalAverage="0" bottom="0" percent="0" rank="0" text="" dxfId="1911">
      <formula>'1853'!$G$10</formula>
    </cfRule>
  </conditionalFormatting>
  <conditionalFormatting sqref="I10">
    <cfRule type="cellIs" priority="97" operator="equal" aboveAverage="0" equalAverage="0" bottom="0" percent="0" rank="0" text="" dxfId="1912">
      <formula>'1853'!$H$10</formula>
    </cfRule>
    <cfRule type="cellIs" priority="98" operator="lessThan" aboveAverage="0" equalAverage="0" bottom="0" percent="0" rank="0" text="" dxfId="1913">
      <formula>'1853'!$H$10</formula>
    </cfRule>
  </conditionalFormatting>
  <conditionalFormatting sqref="J10">
    <cfRule type="cellIs" priority="99" operator="equal" aboveAverage="0" equalAverage="0" bottom="0" percent="0" rank="0" text="" dxfId="1914">
      <formula>'1853'!$I$10</formula>
    </cfRule>
    <cfRule type="cellIs" priority="100" operator="lessThan" aboveAverage="0" equalAverage="0" bottom="0" percent="0" rank="0" text="" dxfId="1915">
      <formula>'1853'!$I$10</formula>
    </cfRule>
  </conditionalFormatting>
  <conditionalFormatting sqref="D11">
    <cfRule type="cellIs" priority="101" operator="equal" aboveAverage="0" equalAverage="0" bottom="0" percent="0" rank="0" text="" dxfId="1916">
      <formula>'1853'!$C$11</formula>
    </cfRule>
    <cfRule type="cellIs" priority="102" operator="lessThan" aboveAverage="0" equalAverage="0" bottom="0" percent="0" rank="0" text="" dxfId="1917">
      <formula>'1853'!$C$11</formula>
    </cfRule>
  </conditionalFormatting>
  <conditionalFormatting sqref="E11">
    <cfRule type="cellIs" priority="103" operator="equal" aboveAverage="0" equalAverage="0" bottom="0" percent="0" rank="0" text="" dxfId="1918">
      <formula>'1853'!$D$11</formula>
    </cfRule>
    <cfRule type="cellIs" priority="104" operator="lessThan" aboveAverage="0" equalAverage="0" bottom="0" percent="0" rank="0" text="" dxfId="1919">
      <formula>'1853'!$D$11</formula>
    </cfRule>
  </conditionalFormatting>
  <conditionalFormatting sqref="F11">
    <cfRule type="cellIs" priority="105" operator="equal" aboveAverage="0" equalAverage="0" bottom="0" percent="0" rank="0" text="" dxfId="1920">
      <formula>'1853'!$E$11</formula>
    </cfRule>
    <cfRule type="cellIs" priority="106" operator="lessThan" aboveAverage="0" equalAverage="0" bottom="0" percent="0" rank="0" text="" dxfId="1921">
      <formula>'1853'!$E$11</formula>
    </cfRule>
  </conditionalFormatting>
  <conditionalFormatting sqref="G11">
    <cfRule type="cellIs" priority="107" operator="equal" aboveAverage="0" equalAverage="0" bottom="0" percent="0" rank="0" text="" dxfId="1922">
      <formula>'1853'!$F$11</formula>
    </cfRule>
    <cfRule type="cellIs" priority="108" operator="lessThan" aboveAverage="0" equalAverage="0" bottom="0" percent="0" rank="0" text="" dxfId="1923">
      <formula>'1853'!$F$11</formula>
    </cfRule>
  </conditionalFormatting>
  <conditionalFormatting sqref="H11">
    <cfRule type="cellIs" priority="109" operator="equal" aboveAverage="0" equalAverage="0" bottom="0" percent="0" rank="0" text="" dxfId="1924">
      <formula>'1853'!$G$11</formula>
    </cfRule>
    <cfRule type="cellIs" priority="110" operator="lessThan" aboveAverage="0" equalAverage="0" bottom="0" percent="0" rank="0" text="" dxfId="1925">
      <formula>'1853'!$G$11</formula>
    </cfRule>
  </conditionalFormatting>
  <conditionalFormatting sqref="I11">
    <cfRule type="cellIs" priority="111" operator="equal" aboveAverage="0" equalAverage="0" bottom="0" percent="0" rank="0" text="" dxfId="1926">
      <formula>'1853'!$H$11</formula>
    </cfRule>
    <cfRule type="cellIs" priority="112" operator="lessThan" aboveAverage="0" equalAverage="0" bottom="0" percent="0" rank="0" text="" dxfId="1927">
      <formula>'1853'!$H$11</formula>
    </cfRule>
  </conditionalFormatting>
  <conditionalFormatting sqref="J11">
    <cfRule type="cellIs" priority="113" operator="equal" aboveAverage="0" equalAverage="0" bottom="0" percent="0" rank="0" text="" dxfId="1928">
      <formula>'1853'!$I$11</formula>
    </cfRule>
    <cfRule type="cellIs" priority="114" operator="lessThan" aboveAverage="0" equalAverage="0" bottom="0" percent="0" rank="0" text="" dxfId="1929">
      <formula>'1853'!$I$11</formula>
    </cfRule>
  </conditionalFormatting>
  <conditionalFormatting sqref="D12">
    <cfRule type="cellIs" priority="115" operator="equal" aboveAverage="0" equalAverage="0" bottom="0" percent="0" rank="0" text="" dxfId="1930">
      <formula>'1853'!$C$12</formula>
    </cfRule>
    <cfRule type="cellIs" priority="116" operator="lessThan" aboveAverage="0" equalAverage="0" bottom="0" percent="0" rank="0" text="" dxfId="1931">
      <formula>'1853'!$C$12</formula>
    </cfRule>
  </conditionalFormatting>
  <conditionalFormatting sqref="E12">
    <cfRule type="cellIs" priority="117" operator="equal" aboveAverage="0" equalAverage="0" bottom="0" percent="0" rank="0" text="" dxfId="1932">
      <formula>'1853'!$D$12</formula>
    </cfRule>
    <cfRule type="cellIs" priority="118" operator="lessThan" aboveAverage="0" equalAverage="0" bottom="0" percent="0" rank="0" text="" dxfId="1933">
      <formula>'1853'!$D$12</formula>
    </cfRule>
  </conditionalFormatting>
  <conditionalFormatting sqref="F12">
    <cfRule type="cellIs" priority="119" operator="equal" aboveAverage="0" equalAverage="0" bottom="0" percent="0" rank="0" text="" dxfId="1934">
      <formula>'1853'!$E$12</formula>
    </cfRule>
    <cfRule type="cellIs" priority="120" operator="lessThan" aboveAverage="0" equalAverage="0" bottom="0" percent="0" rank="0" text="" dxfId="1935">
      <formula>'1853'!$E$12</formula>
    </cfRule>
  </conditionalFormatting>
  <conditionalFormatting sqref="G12">
    <cfRule type="cellIs" priority="121" operator="equal" aboveAverage="0" equalAverage="0" bottom="0" percent="0" rank="0" text="" dxfId="1936">
      <formula>'1853'!$F$12</formula>
    </cfRule>
    <cfRule type="cellIs" priority="122" operator="lessThan" aboveAverage="0" equalAverage="0" bottom="0" percent="0" rank="0" text="" dxfId="1937">
      <formula>'1853'!$F$12</formula>
    </cfRule>
  </conditionalFormatting>
  <conditionalFormatting sqref="H12">
    <cfRule type="cellIs" priority="123" operator="equal" aboveAverage="0" equalAverage="0" bottom="0" percent="0" rank="0" text="" dxfId="1938">
      <formula>'1853'!$G$12</formula>
    </cfRule>
    <cfRule type="cellIs" priority="124" operator="lessThan" aboveAverage="0" equalAverage="0" bottom="0" percent="0" rank="0" text="" dxfId="1939">
      <formula>'1853'!$G$12</formula>
    </cfRule>
  </conditionalFormatting>
  <conditionalFormatting sqref="I12">
    <cfRule type="cellIs" priority="125" operator="equal" aboveAverage="0" equalAverage="0" bottom="0" percent="0" rank="0" text="" dxfId="1940">
      <formula>'1853'!$H$12</formula>
    </cfRule>
    <cfRule type="cellIs" priority="126" operator="lessThan" aboveAverage="0" equalAverage="0" bottom="0" percent="0" rank="0" text="" dxfId="1941">
      <formula>'1853'!$H$12</formula>
    </cfRule>
  </conditionalFormatting>
  <conditionalFormatting sqref="J12">
    <cfRule type="cellIs" priority="127" operator="equal" aboveAverage="0" equalAverage="0" bottom="0" percent="0" rank="0" text="" dxfId="1942">
      <formula>'1853'!$I$12</formula>
    </cfRule>
    <cfRule type="cellIs" priority="128" operator="lessThan" aboveAverage="0" equalAverage="0" bottom="0" percent="0" rank="0" text="" dxfId="1943">
      <formula>'1853'!$I$12</formula>
    </cfRule>
  </conditionalFormatting>
  <conditionalFormatting sqref="D14">
    <cfRule type="cellIs" priority="129" operator="equal" aboveAverage="0" equalAverage="0" bottom="0" percent="0" rank="0" text="" dxfId="1944">
      <formula>'1853'!$C$14</formula>
    </cfRule>
    <cfRule type="cellIs" priority="130" operator="lessThan" aboveAverage="0" equalAverage="0" bottom="0" percent="0" rank="0" text="" dxfId="1945">
      <formula>'1853'!$C$14</formula>
    </cfRule>
  </conditionalFormatting>
  <conditionalFormatting sqref="D15">
    <cfRule type="cellIs" priority="131" operator="equal" aboveAverage="0" equalAverage="0" bottom="0" percent="0" rank="0" text="" dxfId="1946">
      <formula>'1853'!$C$15</formula>
    </cfRule>
    <cfRule type="cellIs" priority="132" operator="lessThan" aboveAverage="0" equalAverage="0" bottom="0" percent="0" rank="0" text="" dxfId="1947">
      <formula>'1853'!$C$15</formula>
    </cfRule>
  </conditionalFormatting>
  <conditionalFormatting sqref="D16">
    <cfRule type="cellIs" priority="133" operator="equal" aboveAverage="0" equalAverage="0" bottom="0" percent="0" rank="0" text="" dxfId="1948">
      <formula>'1853'!$C$16</formula>
    </cfRule>
    <cfRule type="cellIs" priority="134" operator="lessThan" aboveAverage="0" equalAverage="0" bottom="0" percent="0" rank="0" text="" dxfId="1949">
      <formula>'1853'!$C$16</formula>
    </cfRule>
  </conditionalFormatting>
  <conditionalFormatting sqref="D17">
    <cfRule type="cellIs" priority="135" operator="equal" aboveAverage="0" equalAverage="0" bottom="0" percent="0" rank="0" text="" dxfId="1950">
      <formula>'1853'!$C$17</formula>
    </cfRule>
    <cfRule type="cellIs" priority="136" operator="lessThan" aboveAverage="0" equalAverage="0" bottom="0" percent="0" rank="0" text="" dxfId="1951">
      <formula>'1853'!$C$17</formula>
    </cfRule>
  </conditionalFormatting>
  <conditionalFormatting sqref="D18">
    <cfRule type="cellIs" priority="137" operator="equal" aboveAverage="0" equalAverage="0" bottom="0" percent="0" rank="0" text="" dxfId="1952">
      <formula>'1853'!$C$18</formula>
    </cfRule>
    <cfRule type="cellIs" priority="138" operator="lessThan" aboveAverage="0" equalAverage="0" bottom="0" percent="0" rank="0" text="" dxfId="1953">
      <formula>'1853'!$C$18</formula>
    </cfRule>
  </conditionalFormatting>
  <conditionalFormatting sqref="D19">
    <cfRule type="cellIs" priority="139" operator="equal" aboveAverage="0" equalAverage="0" bottom="0" percent="0" rank="0" text="" dxfId="1954">
      <formula>'1853'!$C$19</formula>
    </cfRule>
    <cfRule type="cellIs" priority="140" operator="lessThan" aboveAverage="0" equalAverage="0" bottom="0" percent="0" rank="0" text="" dxfId="1955">
      <formula>'1853'!$C$19</formula>
    </cfRule>
  </conditionalFormatting>
  <conditionalFormatting sqref="D20">
    <cfRule type="cellIs" priority="141" operator="equal" aboveAverage="0" equalAverage="0" bottom="0" percent="0" rank="0" text="" dxfId="1956">
      <formula>'1853'!$C$20</formula>
    </cfRule>
    <cfRule type="cellIs" priority="142" operator="lessThan" aboveAverage="0" equalAverage="0" bottom="0" percent="0" rank="0" text="" dxfId="1957">
      <formula>'1853'!$C$20</formula>
    </cfRule>
  </conditionalFormatting>
  <conditionalFormatting sqref="D21">
    <cfRule type="cellIs" priority="143" operator="equal" aboveAverage="0" equalAverage="0" bottom="0" percent="0" rank="0" text="" dxfId="1958">
      <formula>'1853'!$C$21</formula>
    </cfRule>
    <cfRule type="cellIs" priority="144" operator="lessThan" aboveAverage="0" equalAverage="0" bottom="0" percent="0" rank="0" text="" dxfId="1959">
      <formula>'1853'!$C$21</formula>
    </cfRule>
  </conditionalFormatting>
  <conditionalFormatting sqref="D22">
    <cfRule type="cellIs" priority="145" operator="equal" aboveAverage="0" equalAverage="0" bottom="0" percent="0" rank="0" text="" dxfId="1960">
      <formula>'1853'!$C$22</formula>
    </cfRule>
    <cfRule type="cellIs" priority="146" operator="lessThan" aboveAverage="0" equalAverage="0" bottom="0" percent="0" rank="0" text="" dxfId="1961">
      <formula>'1853'!$C$22</formula>
    </cfRule>
  </conditionalFormatting>
  <conditionalFormatting sqref="D23">
    <cfRule type="cellIs" priority="147" operator="equal" aboveAverage="0" equalAverage="0" bottom="0" percent="0" rank="0" text="" dxfId="1962">
      <formula>'1853'!$C$23</formula>
    </cfRule>
    <cfRule type="cellIs" priority="148" operator="lessThan" aboveAverage="0" equalAverage="0" bottom="0" percent="0" rank="0" text="" dxfId="1963">
      <formula>'1853'!$C$23</formula>
    </cfRule>
  </conditionalFormatting>
  <conditionalFormatting sqref="D25">
    <cfRule type="cellIs" priority="149" operator="equal" aboveAverage="0" equalAverage="0" bottom="0" percent="0" rank="0" text="" dxfId="1964">
      <formula>'1853'!$C$25</formula>
    </cfRule>
    <cfRule type="cellIs" priority="150" operator="lessThan" aboveAverage="0" equalAverage="0" bottom="0" percent="0" rank="0" text="" dxfId="1965">
      <formula>'1853'!$C$25</formula>
    </cfRule>
  </conditionalFormatting>
  <conditionalFormatting sqref="D26">
    <cfRule type="cellIs" priority="151" operator="equal" aboveAverage="0" equalAverage="0" bottom="0" percent="0" rank="0" text="" dxfId="1966">
      <formula>'1853'!$C$26</formula>
    </cfRule>
    <cfRule type="cellIs" priority="152" operator="lessThan" aboveAverage="0" equalAverage="0" bottom="0" percent="0" rank="0" text="" dxfId="1967">
      <formula>'1853'!$C$26</formula>
    </cfRule>
  </conditionalFormatting>
  <conditionalFormatting sqref="D27">
    <cfRule type="cellIs" priority="153" operator="equal" aboveAverage="0" equalAverage="0" bottom="0" percent="0" rank="0" text="" dxfId="1968">
      <formula>'1853'!$C$27</formula>
    </cfRule>
    <cfRule type="cellIs" priority="154" operator="lessThan" aboveAverage="0" equalAverage="0" bottom="0" percent="0" rank="0" text="" dxfId="1969">
      <formula>'1853'!$C$27</formula>
    </cfRule>
  </conditionalFormatting>
  <conditionalFormatting sqref="D28">
    <cfRule type="cellIs" priority="155" operator="equal" aboveAverage="0" equalAverage="0" bottom="0" percent="0" rank="0" text="" dxfId="1970">
      <formula>'1853'!$C$28</formula>
    </cfRule>
    <cfRule type="cellIs" priority="156" operator="lessThan" aboveAverage="0" equalAverage="0" bottom="0" percent="0" rank="0" text="" dxfId="1971">
      <formula>'1853'!$C$28</formula>
    </cfRule>
  </conditionalFormatting>
  <conditionalFormatting sqref="E13">
    <cfRule type="cellIs" priority="157" operator="equal" aboveAverage="0" equalAverage="0" bottom="0" percent="0" rank="0" text="" dxfId="1972">
      <formula>'1853'!$D$13</formula>
    </cfRule>
    <cfRule type="cellIs" priority="158" operator="lessThan" aboveAverage="0" equalAverage="0" bottom="0" percent="0" rank="0" text="" dxfId="1973">
      <formula>'1853'!$D$13</formula>
    </cfRule>
  </conditionalFormatting>
  <conditionalFormatting sqref="E14">
    <cfRule type="cellIs" priority="159" operator="equal" aboveAverage="0" equalAverage="0" bottom="0" percent="0" rank="0" text="" dxfId="1974">
      <formula>'1853'!$D$14</formula>
    </cfRule>
    <cfRule type="cellIs" priority="160" operator="lessThan" aboveAverage="0" equalAverage="0" bottom="0" percent="0" rank="0" text="" dxfId="1975">
      <formula>'1853'!$D$14</formula>
    </cfRule>
  </conditionalFormatting>
  <conditionalFormatting sqref="E15">
    <cfRule type="cellIs" priority="161" operator="equal" aboveAverage="0" equalAverage="0" bottom="0" percent="0" rank="0" text="" dxfId="1976">
      <formula>'1853'!$D$15</formula>
    </cfRule>
    <cfRule type="cellIs" priority="162" operator="lessThan" aboveAverage="0" equalAverage="0" bottom="0" percent="0" rank="0" text="" dxfId="1977">
      <formula>'1853'!$D$15</formula>
    </cfRule>
  </conditionalFormatting>
  <conditionalFormatting sqref="E16">
    <cfRule type="cellIs" priority="163" operator="equal" aboveAverage="0" equalAverage="0" bottom="0" percent="0" rank="0" text="" dxfId="1978">
      <formula>'1853'!$D$16</formula>
    </cfRule>
    <cfRule type="cellIs" priority="164" operator="lessThan" aboveAverage="0" equalAverage="0" bottom="0" percent="0" rank="0" text="" dxfId="1979">
      <formula>'1853'!$D$16</formula>
    </cfRule>
  </conditionalFormatting>
  <conditionalFormatting sqref="E17">
    <cfRule type="cellIs" priority="165" operator="equal" aboveAverage="0" equalAverage="0" bottom="0" percent="0" rank="0" text="" dxfId="1980">
      <formula>'1853'!$D$17</formula>
    </cfRule>
    <cfRule type="cellIs" priority="166" operator="lessThan" aboveAverage="0" equalAverage="0" bottom="0" percent="0" rank="0" text="" dxfId="1981">
      <formula>'1853'!$D$17</formula>
    </cfRule>
  </conditionalFormatting>
  <conditionalFormatting sqref="E18">
    <cfRule type="cellIs" priority="167" operator="equal" aboveAverage="0" equalAverage="0" bottom="0" percent="0" rank="0" text="" dxfId="1982">
      <formula>'1853'!$D$18</formula>
    </cfRule>
    <cfRule type="cellIs" priority="168" operator="lessThan" aboveAverage="0" equalAverage="0" bottom="0" percent="0" rank="0" text="" dxfId="1983">
      <formula>'1853'!$D$18</formula>
    </cfRule>
  </conditionalFormatting>
  <conditionalFormatting sqref="E19">
    <cfRule type="cellIs" priority="169" operator="equal" aboveAverage="0" equalAverage="0" bottom="0" percent="0" rank="0" text="" dxfId="1984">
      <formula>'1853'!$D$19</formula>
    </cfRule>
    <cfRule type="cellIs" priority="170" operator="lessThan" aboveAverage="0" equalAverage="0" bottom="0" percent="0" rank="0" text="" dxfId="1985">
      <formula>'1853'!$D$19</formula>
    </cfRule>
  </conditionalFormatting>
  <conditionalFormatting sqref="E20">
    <cfRule type="cellIs" priority="171" operator="equal" aboveAverage="0" equalAverage="0" bottom="0" percent="0" rank="0" text="" dxfId="1986">
      <formula>'1853'!$D$20</formula>
    </cfRule>
    <cfRule type="cellIs" priority="172" operator="lessThan" aboveAverage="0" equalAverage="0" bottom="0" percent="0" rank="0" text="" dxfId="1987">
      <formula>'1853'!$D$20</formula>
    </cfRule>
  </conditionalFormatting>
  <conditionalFormatting sqref="E21">
    <cfRule type="cellIs" priority="173" operator="equal" aboveAverage="0" equalAverage="0" bottom="0" percent="0" rank="0" text="" dxfId="1988">
      <formula>'1853'!$D$21</formula>
    </cfRule>
    <cfRule type="cellIs" priority="174" operator="lessThan" aboveAverage="0" equalAverage="0" bottom="0" percent="0" rank="0" text="" dxfId="1989">
      <formula>'1853'!$D$21</formula>
    </cfRule>
  </conditionalFormatting>
  <conditionalFormatting sqref="E22">
    <cfRule type="cellIs" priority="175" operator="equal" aboveAverage="0" equalAverage="0" bottom="0" percent="0" rank="0" text="" dxfId="1990">
      <formula>'1853'!$D$22</formula>
    </cfRule>
    <cfRule type="cellIs" priority="176" operator="lessThan" aboveAverage="0" equalAverage="0" bottom="0" percent="0" rank="0" text="" dxfId="1991">
      <formula>'1853'!$D$22</formula>
    </cfRule>
  </conditionalFormatting>
  <conditionalFormatting sqref="E23">
    <cfRule type="cellIs" priority="177" operator="equal" aboveAverage="0" equalAverage="0" bottom="0" percent="0" rank="0" text="" dxfId="1992">
      <formula>'1853'!$D$23</formula>
    </cfRule>
    <cfRule type="cellIs" priority="178" operator="lessThan" aboveAverage="0" equalAverage="0" bottom="0" percent="0" rank="0" text="" dxfId="1993">
      <formula>'1853'!$D$23</formula>
    </cfRule>
  </conditionalFormatting>
  <conditionalFormatting sqref="E25">
    <cfRule type="cellIs" priority="179" operator="equal" aboveAverage="0" equalAverage="0" bottom="0" percent="0" rank="0" text="" dxfId="1994">
      <formula>'1853'!$D$25</formula>
    </cfRule>
    <cfRule type="cellIs" priority="180" operator="lessThan" aboveAverage="0" equalAverage="0" bottom="0" percent="0" rank="0" text="" dxfId="1995">
      <formula>'1853'!$D$25</formula>
    </cfRule>
  </conditionalFormatting>
  <conditionalFormatting sqref="E26">
    <cfRule type="cellIs" priority="181" operator="equal" aboveAverage="0" equalAverage="0" bottom="0" percent="0" rank="0" text="" dxfId="1996">
      <formula>'1853'!$D$26</formula>
    </cfRule>
    <cfRule type="cellIs" priority="182" operator="lessThan" aboveAverage="0" equalAverage="0" bottom="0" percent="0" rank="0" text="" dxfId="1997">
      <formula>'1853'!$D$26</formula>
    </cfRule>
  </conditionalFormatting>
  <conditionalFormatting sqref="E27">
    <cfRule type="cellIs" priority="183" operator="equal" aboveAverage="0" equalAverage="0" bottom="0" percent="0" rank="0" text="" dxfId="1998">
      <formula>'1853'!$D$27</formula>
    </cfRule>
    <cfRule type="cellIs" priority="184" operator="lessThan" aboveAverage="0" equalAverage="0" bottom="0" percent="0" rank="0" text="" dxfId="1999">
      <formula>'1853'!$D$27</formula>
    </cfRule>
  </conditionalFormatting>
  <conditionalFormatting sqref="E28">
    <cfRule type="cellIs" priority="185" operator="equal" aboveAverage="0" equalAverage="0" bottom="0" percent="0" rank="0" text="" dxfId="2000">
      <formula>'1853'!$D$28</formula>
    </cfRule>
    <cfRule type="cellIs" priority="186" operator="lessThan" aboveAverage="0" equalAverage="0" bottom="0" percent="0" rank="0" text="" dxfId="2001">
      <formula>'1853'!$D$28</formula>
    </cfRule>
  </conditionalFormatting>
  <conditionalFormatting sqref="F13">
    <cfRule type="cellIs" priority="187" operator="equal" aboveAverage="0" equalAverage="0" bottom="0" percent="0" rank="0" text="" dxfId="2002">
      <formula>'1853'!$E$13</formula>
    </cfRule>
    <cfRule type="cellIs" priority="188" operator="lessThan" aboveAverage="0" equalAverage="0" bottom="0" percent="0" rank="0" text="" dxfId="2003">
      <formula>'1853'!$E$13</formula>
    </cfRule>
  </conditionalFormatting>
  <conditionalFormatting sqref="F14">
    <cfRule type="cellIs" priority="189" operator="equal" aboveAverage="0" equalAverage="0" bottom="0" percent="0" rank="0" text="" dxfId="2004">
      <formula>'1853'!$E$14</formula>
    </cfRule>
    <cfRule type="cellIs" priority="190" operator="lessThan" aboveAverage="0" equalAverage="0" bottom="0" percent="0" rank="0" text="" dxfId="2005">
      <formula>'1853'!$E$14</formula>
    </cfRule>
  </conditionalFormatting>
  <conditionalFormatting sqref="F15">
    <cfRule type="cellIs" priority="191" operator="equal" aboveAverage="0" equalAverage="0" bottom="0" percent="0" rank="0" text="" dxfId="2006">
      <formula>'1853'!$E$15</formula>
    </cfRule>
    <cfRule type="cellIs" priority="192" operator="lessThan" aboveAverage="0" equalAverage="0" bottom="0" percent="0" rank="0" text="" dxfId="2007">
      <formula>'1853'!$E$15</formula>
    </cfRule>
  </conditionalFormatting>
  <conditionalFormatting sqref="F16">
    <cfRule type="cellIs" priority="193" operator="equal" aboveAverage="0" equalAverage="0" bottom="0" percent="0" rank="0" text="" dxfId="2008">
      <formula>'1853'!$E$16</formula>
    </cfRule>
    <cfRule type="cellIs" priority="194" operator="lessThan" aboveAverage="0" equalAverage="0" bottom="0" percent="0" rank="0" text="" dxfId="2009">
      <formula>'1853'!$E$16</formula>
    </cfRule>
  </conditionalFormatting>
  <conditionalFormatting sqref="F17">
    <cfRule type="cellIs" priority="195" operator="equal" aboveAverage="0" equalAverage="0" bottom="0" percent="0" rank="0" text="" dxfId="2010">
      <formula>'1853'!$E$17</formula>
    </cfRule>
    <cfRule type="cellIs" priority="196" operator="lessThan" aboveAverage="0" equalAverage="0" bottom="0" percent="0" rank="0" text="" dxfId="2011">
      <formula>'1853'!$E$17</formula>
    </cfRule>
  </conditionalFormatting>
  <conditionalFormatting sqref="F18">
    <cfRule type="cellIs" priority="197" operator="equal" aboveAverage="0" equalAverage="0" bottom="0" percent="0" rank="0" text="" dxfId="2012">
      <formula>'1853'!$E$18</formula>
    </cfRule>
    <cfRule type="cellIs" priority="198" operator="lessThan" aboveAverage="0" equalAverage="0" bottom="0" percent="0" rank="0" text="" dxfId="2013">
      <formula>'1853'!$E$18</formula>
    </cfRule>
  </conditionalFormatting>
  <conditionalFormatting sqref="F19">
    <cfRule type="cellIs" priority="199" operator="equal" aboveAverage="0" equalAverage="0" bottom="0" percent="0" rank="0" text="" dxfId="2014">
      <formula>'1853'!$E$19</formula>
    </cfRule>
    <cfRule type="cellIs" priority="200" operator="lessThan" aboveAverage="0" equalAverage="0" bottom="0" percent="0" rank="0" text="" dxfId="2015">
      <formula>'1853'!$E$19</formula>
    </cfRule>
  </conditionalFormatting>
  <conditionalFormatting sqref="F20">
    <cfRule type="cellIs" priority="201" operator="equal" aboveAverage="0" equalAverage="0" bottom="0" percent="0" rank="0" text="" dxfId="2016">
      <formula>'1853'!$E$20</formula>
    </cfRule>
    <cfRule type="cellIs" priority="202" operator="lessThan" aboveAverage="0" equalAverage="0" bottom="0" percent="0" rank="0" text="" dxfId="2017">
      <formula>'1853'!$E$20</formula>
    </cfRule>
  </conditionalFormatting>
  <conditionalFormatting sqref="F21">
    <cfRule type="cellIs" priority="203" operator="equal" aboveAverage="0" equalAverage="0" bottom="0" percent="0" rank="0" text="" dxfId="2018">
      <formula>'1853'!$E$21</formula>
    </cfRule>
    <cfRule type="cellIs" priority="204" operator="lessThan" aboveAverage="0" equalAverage="0" bottom="0" percent="0" rank="0" text="" dxfId="2019">
      <formula>'1853'!$E$21</formula>
    </cfRule>
  </conditionalFormatting>
  <conditionalFormatting sqref="F22">
    <cfRule type="cellIs" priority="205" operator="equal" aboveAverage="0" equalAverage="0" bottom="0" percent="0" rank="0" text="" dxfId="2020">
      <formula>'1853'!$E$22</formula>
    </cfRule>
    <cfRule type="cellIs" priority="206" operator="lessThan" aboveAverage="0" equalAverage="0" bottom="0" percent="0" rank="0" text="" dxfId="2021">
      <formula>'1853'!$E$22</formula>
    </cfRule>
  </conditionalFormatting>
  <conditionalFormatting sqref="F23">
    <cfRule type="cellIs" priority="207" operator="equal" aboveAverage="0" equalAverage="0" bottom="0" percent="0" rank="0" text="" dxfId="2022">
      <formula>'1853'!$E$23</formula>
    </cfRule>
    <cfRule type="cellIs" priority="208" operator="lessThan" aboveAverage="0" equalAverage="0" bottom="0" percent="0" rank="0" text="" dxfId="2023">
      <formula>'1853'!$E$23</formula>
    </cfRule>
  </conditionalFormatting>
  <conditionalFormatting sqref="F25">
    <cfRule type="cellIs" priority="209" operator="equal" aboveAverage="0" equalAverage="0" bottom="0" percent="0" rank="0" text="" dxfId="2024">
      <formula>'1853'!$E$25</formula>
    </cfRule>
    <cfRule type="cellIs" priority="210" operator="lessThan" aboveAverage="0" equalAverage="0" bottom="0" percent="0" rank="0" text="" dxfId="2025">
      <formula>'1853'!$E$25</formula>
    </cfRule>
  </conditionalFormatting>
  <conditionalFormatting sqref="F26">
    <cfRule type="cellIs" priority="211" operator="equal" aboveAverage="0" equalAverage="0" bottom="0" percent="0" rank="0" text="" dxfId="2026">
      <formula>'1853'!$E$26</formula>
    </cfRule>
    <cfRule type="cellIs" priority="212" operator="lessThan" aboveAverage="0" equalAverage="0" bottom="0" percent="0" rank="0" text="" dxfId="2027">
      <formula>'1853'!$E$26</formula>
    </cfRule>
  </conditionalFormatting>
  <conditionalFormatting sqref="F27">
    <cfRule type="cellIs" priority="213" operator="equal" aboveAverage="0" equalAverage="0" bottom="0" percent="0" rank="0" text="" dxfId="2028">
      <formula>'1853'!$E$27</formula>
    </cfRule>
    <cfRule type="cellIs" priority="214" operator="lessThan" aboveAverage="0" equalAverage="0" bottom="0" percent="0" rank="0" text="" dxfId="2029">
      <formula>'1853'!$E$27</formula>
    </cfRule>
  </conditionalFormatting>
  <conditionalFormatting sqref="F28">
    <cfRule type="cellIs" priority="215" operator="equal" aboveAverage="0" equalAverage="0" bottom="0" percent="0" rank="0" text="" dxfId="2030">
      <formula>'1853'!$E$28</formula>
    </cfRule>
    <cfRule type="cellIs" priority="216" operator="lessThan" aboveAverage="0" equalAverage="0" bottom="0" percent="0" rank="0" text="" dxfId="2031">
      <formula>'1853'!$E$28</formula>
    </cfRule>
  </conditionalFormatting>
  <conditionalFormatting sqref="G13">
    <cfRule type="cellIs" priority="217" operator="equal" aboveAverage="0" equalAverage="0" bottom="0" percent="0" rank="0" text="" dxfId="2032">
      <formula>'1853'!$F$13</formula>
    </cfRule>
    <cfRule type="cellIs" priority="218" operator="lessThan" aboveAverage="0" equalAverage="0" bottom="0" percent="0" rank="0" text="" dxfId="2033">
      <formula>'1853'!$F$13</formula>
    </cfRule>
  </conditionalFormatting>
  <conditionalFormatting sqref="G14">
    <cfRule type="cellIs" priority="219" operator="equal" aboveAverage="0" equalAverage="0" bottom="0" percent="0" rank="0" text="" dxfId="2034">
      <formula>'1853'!$F$14</formula>
    </cfRule>
    <cfRule type="cellIs" priority="220" operator="lessThan" aboveAverage="0" equalAverage="0" bottom="0" percent="0" rank="0" text="" dxfId="2035">
      <formula>'1853'!$F$14</formula>
    </cfRule>
  </conditionalFormatting>
  <conditionalFormatting sqref="G15">
    <cfRule type="cellIs" priority="221" operator="equal" aboveAverage="0" equalAverage="0" bottom="0" percent="0" rank="0" text="" dxfId="2036">
      <formula>'1853'!$F$15</formula>
    </cfRule>
    <cfRule type="cellIs" priority="222" operator="lessThan" aboveAverage="0" equalAverage="0" bottom="0" percent="0" rank="0" text="" dxfId="2037">
      <formula>'1853'!$F$15</formula>
    </cfRule>
  </conditionalFormatting>
  <conditionalFormatting sqref="G16">
    <cfRule type="cellIs" priority="223" operator="equal" aboveAverage="0" equalAverage="0" bottom="0" percent="0" rank="0" text="" dxfId="2038">
      <formula>'1853'!$F$16</formula>
    </cfRule>
    <cfRule type="cellIs" priority="224" operator="lessThan" aboveAverage="0" equalAverage="0" bottom="0" percent="0" rank="0" text="" dxfId="2039">
      <formula>'1853'!$F$16</formula>
    </cfRule>
  </conditionalFormatting>
  <conditionalFormatting sqref="G17">
    <cfRule type="cellIs" priority="225" operator="equal" aboveAverage="0" equalAverage="0" bottom="0" percent="0" rank="0" text="" dxfId="2040">
      <formula>'1853'!$F$17</formula>
    </cfRule>
    <cfRule type="cellIs" priority="226" operator="lessThan" aboveAverage="0" equalAverage="0" bottom="0" percent="0" rank="0" text="" dxfId="2041">
      <formula>'1853'!$F$17</formula>
    </cfRule>
  </conditionalFormatting>
  <conditionalFormatting sqref="G18">
    <cfRule type="cellIs" priority="227" operator="equal" aboveAverage="0" equalAverage="0" bottom="0" percent="0" rank="0" text="" dxfId="2042">
      <formula>'1853'!$F$18</formula>
    </cfRule>
    <cfRule type="cellIs" priority="228" operator="lessThan" aboveAverage="0" equalAverage="0" bottom="0" percent="0" rank="0" text="" dxfId="2043">
      <formula>'1853'!$F$18</formula>
    </cfRule>
  </conditionalFormatting>
  <conditionalFormatting sqref="G19">
    <cfRule type="cellIs" priority="229" operator="equal" aboveAverage="0" equalAverage="0" bottom="0" percent="0" rank="0" text="" dxfId="2044">
      <formula>'1853'!$F$19</formula>
    </cfRule>
    <cfRule type="cellIs" priority="230" operator="lessThan" aboveAverage="0" equalAverage="0" bottom="0" percent="0" rank="0" text="" dxfId="2045">
      <formula>'1853'!$F$19</formula>
    </cfRule>
  </conditionalFormatting>
  <conditionalFormatting sqref="G20">
    <cfRule type="cellIs" priority="231" operator="equal" aboveAverage="0" equalAverage="0" bottom="0" percent="0" rank="0" text="" dxfId="2046">
      <formula>'1853'!$F$20</formula>
    </cfRule>
    <cfRule type="cellIs" priority="232" operator="lessThan" aboveAverage="0" equalAverage="0" bottom="0" percent="0" rank="0" text="" dxfId="2047">
      <formula>'1853'!$F$20</formula>
    </cfRule>
  </conditionalFormatting>
  <conditionalFormatting sqref="G21">
    <cfRule type="cellIs" priority="233" operator="equal" aboveAverage="0" equalAverage="0" bottom="0" percent="0" rank="0" text="" dxfId="2048">
      <formula>'1853'!$F$21</formula>
    </cfRule>
    <cfRule type="cellIs" priority="234" operator="lessThan" aboveAverage="0" equalAverage="0" bottom="0" percent="0" rank="0" text="" dxfId="2049">
      <formula>'1853'!$F$21</formula>
    </cfRule>
  </conditionalFormatting>
  <conditionalFormatting sqref="G22">
    <cfRule type="cellIs" priority="235" operator="equal" aboveAverage="0" equalAverage="0" bottom="0" percent="0" rank="0" text="" dxfId="2050">
      <formula>'1853'!$F$22</formula>
    </cfRule>
    <cfRule type="cellIs" priority="236" operator="lessThan" aboveAverage="0" equalAverage="0" bottom="0" percent="0" rank="0" text="" dxfId="2051">
      <formula>'1853'!$F$22</formula>
    </cfRule>
  </conditionalFormatting>
  <conditionalFormatting sqref="G23">
    <cfRule type="cellIs" priority="237" operator="equal" aboveAverage="0" equalAverage="0" bottom="0" percent="0" rank="0" text="" dxfId="2052">
      <formula>'1853'!$F$23</formula>
    </cfRule>
    <cfRule type="cellIs" priority="238" operator="lessThan" aboveAverage="0" equalAverage="0" bottom="0" percent="0" rank="0" text="" dxfId="2053">
      <formula>'1853'!$F$23</formula>
    </cfRule>
  </conditionalFormatting>
  <conditionalFormatting sqref="G25">
    <cfRule type="cellIs" priority="239" operator="equal" aboveAverage="0" equalAverage="0" bottom="0" percent="0" rank="0" text="" dxfId="2054">
      <formula>'1853'!$F$25</formula>
    </cfRule>
    <cfRule type="cellIs" priority="240" operator="lessThan" aboveAverage="0" equalAverage="0" bottom="0" percent="0" rank="0" text="" dxfId="2055">
      <formula>'1853'!$F$25</formula>
    </cfRule>
  </conditionalFormatting>
  <conditionalFormatting sqref="G26">
    <cfRule type="cellIs" priority="241" operator="equal" aboveAverage="0" equalAverage="0" bottom="0" percent="0" rank="0" text="" dxfId="2056">
      <formula>'1853'!$F$26</formula>
    </cfRule>
    <cfRule type="cellIs" priority="242" operator="lessThan" aboveAverage="0" equalAverage="0" bottom="0" percent="0" rank="0" text="" dxfId="2057">
      <formula>'1853'!$F$26</formula>
    </cfRule>
  </conditionalFormatting>
  <conditionalFormatting sqref="G27">
    <cfRule type="cellIs" priority="243" operator="equal" aboveAverage="0" equalAverage="0" bottom="0" percent="0" rank="0" text="" dxfId="2058">
      <formula>'1853'!$F$27</formula>
    </cfRule>
    <cfRule type="cellIs" priority="244" operator="lessThan" aboveAverage="0" equalAverage="0" bottom="0" percent="0" rank="0" text="" dxfId="2059">
      <formula>'1853'!$F$27</formula>
    </cfRule>
  </conditionalFormatting>
  <conditionalFormatting sqref="G28">
    <cfRule type="cellIs" priority="245" operator="equal" aboveAverage="0" equalAverage="0" bottom="0" percent="0" rank="0" text="" dxfId="2060">
      <formula>'1853'!$F$28</formula>
    </cfRule>
    <cfRule type="cellIs" priority="246" operator="lessThan" aboveAverage="0" equalAverage="0" bottom="0" percent="0" rank="0" text="" dxfId="2061">
      <formula>'1853'!$F$28</formula>
    </cfRule>
  </conditionalFormatting>
  <conditionalFormatting sqref="D13">
    <cfRule type="cellIs" priority="247" operator="equal" aboveAverage="0" equalAverage="0" bottom="0" percent="0" rank="0" text="" dxfId="2062">
      <formula>'1853'!$C$13</formula>
    </cfRule>
    <cfRule type="cellIs" priority="248" operator="lessThan" aboveAverage="0" equalAverage="0" bottom="0" percent="0" rank="0" text="" dxfId="2063">
      <formula>'1853'!$C$13</formula>
    </cfRule>
  </conditionalFormatting>
  <conditionalFormatting sqref="H13">
    <cfRule type="cellIs" priority="249" operator="equal" aboveAverage="0" equalAverage="0" bottom="0" percent="0" rank="0" text="" dxfId="2064">
      <formula>'1853'!$G$13</formula>
    </cfRule>
    <cfRule type="cellIs" priority="250" operator="lessThan" aboveAverage="0" equalAverage="0" bottom="0" percent="0" rank="0" text="" dxfId="2065">
      <formula>'1853'!$G$13</formula>
    </cfRule>
  </conditionalFormatting>
  <conditionalFormatting sqref="H14">
    <cfRule type="cellIs" priority="251" operator="equal" aboveAverage="0" equalAverage="0" bottom="0" percent="0" rank="0" text="" dxfId="2066">
      <formula>'1853'!$G$14</formula>
    </cfRule>
    <cfRule type="cellIs" priority="252" operator="lessThan" aboveAverage="0" equalAverage="0" bottom="0" percent="0" rank="0" text="" dxfId="2067">
      <formula>'1853'!$G$14</formula>
    </cfRule>
  </conditionalFormatting>
  <conditionalFormatting sqref="H15">
    <cfRule type="cellIs" priority="253" operator="equal" aboveAverage="0" equalAverage="0" bottom="0" percent="0" rank="0" text="" dxfId="2068">
      <formula>'1853'!$G$15</formula>
    </cfRule>
    <cfRule type="cellIs" priority="254" operator="lessThan" aboveAverage="0" equalAverage="0" bottom="0" percent="0" rank="0" text="" dxfId="2069">
      <formula>'1853'!$G$15</formula>
    </cfRule>
  </conditionalFormatting>
  <conditionalFormatting sqref="H16">
    <cfRule type="cellIs" priority="255" operator="equal" aboveAverage="0" equalAverage="0" bottom="0" percent="0" rank="0" text="" dxfId="2070">
      <formula>'1853'!$G$16</formula>
    </cfRule>
    <cfRule type="cellIs" priority="256" operator="lessThan" aboveAverage="0" equalAverage="0" bottom="0" percent="0" rank="0" text="" dxfId="2071">
      <formula>'1853'!$G$16</formula>
    </cfRule>
  </conditionalFormatting>
  <conditionalFormatting sqref="H17">
    <cfRule type="cellIs" priority="257" operator="equal" aboveAverage="0" equalAverage="0" bottom="0" percent="0" rank="0" text="" dxfId="2072">
      <formula>'1853'!$G$17</formula>
    </cfRule>
    <cfRule type="cellIs" priority="258" operator="lessThan" aboveAverage="0" equalAverage="0" bottom="0" percent="0" rank="0" text="" dxfId="2073">
      <formula>'1853'!$G$17</formula>
    </cfRule>
  </conditionalFormatting>
  <conditionalFormatting sqref="H18">
    <cfRule type="cellIs" priority="259" operator="equal" aboveAverage="0" equalAverage="0" bottom="0" percent="0" rank="0" text="" dxfId="2074">
      <formula>'1853'!$G$18</formula>
    </cfRule>
    <cfRule type="cellIs" priority="260" operator="lessThan" aboveAverage="0" equalAverage="0" bottom="0" percent="0" rank="0" text="" dxfId="2075">
      <formula>'1853'!$G$18</formula>
    </cfRule>
  </conditionalFormatting>
  <conditionalFormatting sqref="H19">
    <cfRule type="cellIs" priority="261" operator="equal" aboveAverage="0" equalAverage="0" bottom="0" percent="0" rank="0" text="" dxfId="2076">
      <formula>'1853'!$G$19</formula>
    </cfRule>
    <cfRule type="cellIs" priority="262" operator="lessThan" aboveAverage="0" equalAverage="0" bottom="0" percent="0" rank="0" text="" dxfId="2077">
      <formula>'1853'!$G$19</formula>
    </cfRule>
  </conditionalFormatting>
  <conditionalFormatting sqref="H20">
    <cfRule type="cellIs" priority="263" operator="equal" aboveAverage="0" equalAverage="0" bottom="0" percent="0" rank="0" text="" dxfId="2078">
      <formula>'1853'!$G$20</formula>
    </cfRule>
    <cfRule type="cellIs" priority="264" operator="lessThan" aboveAverage="0" equalAverage="0" bottom="0" percent="0" rank="0" text="" dxfId="2079">
      <formula>'1853'!$G$20</formula>
    </cfRule>
  </conditionalFormatting>
  <conditionalFormatting sqref="H21">
    <cfRule type="cellIs" priority="265" operator="equal" aboveAverage="0" equalAverage="0" bottom="0" percent="0" rank="0" text="" dxfId="2080">
      <formula>'1853'!$G$21</formula>
    </cfRule>
    <cfRule type="cellIs" priority="266" operator="lessThan" aboveAverage="0" equalAverage="0" bottom="0" percent="0" rank="0" text="" dxfId="2081">
      <formula>'1853'!$G$21</formula>
    </cfRule>
  </conditionalFormatting>
  <conditionalFormatting sqref="H22">
    <cfRule type="cellIs" priority="267" operator="equal" aboveAverage="0" equalAverage="0" bottom="0" percent="0" rank="0" text="" dxfId="2082">
      <formula>'1853'!$G$22</formula>
    </cfRule>
    <cfRule type="cellIs" priority="268" operator="lessThan" aboveAverage="0" equalAverage="0" bottom="0" percent="0" rank="0" text="" dxfId="2083">
      <formula>'1853'!$G$22</formula>
    </cfRule>
  </conditionalFormatting>
  <conditionalFormatting sqref="H23">
    <cfRule type="cellIs" priority="269" operator="equal" aboveAverage="0" equalAverage="0" bottom="0" percent="0" rank="0" text="" dxfId="2084">
      <formula>'1853'!$G$23</formula>
    </cfRule>
    <cfRule type="cellIs" priority="270" operator="lessThan" aboveAverage="0" equalAverage="0" bottom="0" percent="0" rank="0" text="" dxfId="2085">
      <formula>'1853'!$G$23</formula>
    </cfRule>
  </conditionalFormatting>
  <conditionalFormatting sqref="H25">
    <cfRule type="cellIs" priority="271" operator="equal" aboveAverage="0" equalAverage="0" bottom="0" percent="0" rank="0" text="" dxfId="2086">
      <formula>'1853'!$G$25</formula>
    </cfRule>
    <cfRule type="cellIs" priority="272" operator="lessThan" aboveAverage="0" equalAverage="0" bottom="0" percent="0" rank="0" text="" dxfId="2087">
      <formula>'1853'!$G$25</formula>
    </cfRule>
  </conditionalFormatting>
  <conditionalFormatting sqref="H26">
    <cfRule type="cellIs" priority="273" operator="equal" aboveAverage="0" equalAverage="0" bottom="0" percent="0" rank="0" text="" dxfId="2088">
      <formula>'1853'!$G$26</formula>
    </cfRule>
    <cfRule type="cellIs" priority="274" operator="lessThan" aboveAverage="0" equalAverage="0" bottom="0" percent="0" rank="0" text="" dxfId="2089">
      <formula>'1853'!$G$26</formula>
    </cfRule>
  </conditionalFormatting>
  <conditionalFormatting sqref="H27">
    <cfRule type="cellIs" priority="275" operator="equal" aboveAverage="0" equalAverage="0" bottom="0" percent="0" rank="0" text="" dxfId="2090">
      <formula>'1853'!$G$27</formula>
    </cfRule>
    <cfRule type="cellIs" priority="276" operator="lessThan" aboveAverage="0" equalAverage="0" bottom="0" percent="0" rank="0" text="" dxfId="2091">
      <formula>'1853'!$G$27</formula>
    </cfRule>
  </conditionalFormatting>
  <conditionalFormatting sqref="H28">
    <cfRule type="cellIs" priority="277" operator="equal" aboveAverage="0" equalAverage="0" bottom="0" percent="0" rank="0" text="" dxfId="2092">
      <formula>'1853'!$G$28</formula>
    </cfRule>
    <cfRule type="cellIs" priority="278" operator="lessThan" aboveAverage="0" equalAverage="0" bottom="0" percent="0" rank="0" text="" dxfId="2093">
      <formula>'1853'!$G$28</formula>
    </cfRule>
  </conditionalFormatting>
  <conditionalFormatting sqref="D24">
    <cfRule type="cellIs" priority="279" operator="equal" aboveAverage="0" equalAverage="0" bottom="0" percent="0" rank="0" text="" dxfId="2094">
      <formula>'1853'!$C$24</formula>
    </cfRule>
    <cfRule type="cellIs" priority="280" operator="lessThan" aboveAverage="0" equalAverage="0" bottom="0" percent="0" rank="0" text="" dxfId="2095">
      <formula>'1853'!$C$24</formula>
    </cfRule>
  </conditionalFormatting>
  <conditionalFormatting sqref="E24">
    <cfRule type="cellIs" priority="281" operator="equal" aboveAverage="0" equalAverage="0" bottom="0" percent="0" rank="0" text="" dxfId="2096">
      <formula>'1853'!$D$24</formula>
    </cfRule>
    <cfRule type="cellIs" priority="282" operator="lessThan" aboveAverage="0" equalAverage="0" bottom="0" percent="0" rank="0" text="" dxfId="2097">
      <formula>'1853'!$D$24</formula>
    </cfRule>
  </conditionalFormatting>
  <conditionalFormatting sqref="F24">
    <cfRule type="cellIs" priority="283" operator="equal" aboveAverage="0" equalAverage="0" bottom="0" percent="0" rank="0" text="" dxfId="2098">
      <formula>'1853'!$E$24</formula>
    </cfRule>
    <cfRule type="cellIs" priority="284" operator="lessThan" aboveAverage="0" equalAverage="0" bottom="0" percent="0" rank="0" text="" dxfId="2099">
      <formula>'1853'!$E$24</formula>
    </cfRule>
  </conditionalFormatting>
  <conditionalFormatting sqref="G24">
    <cfRule type="cellIs" priority="285" operator="equal" aboveAverage="0" equalAverage="0" bottom="0" percent="0" rank="0" text="" dxfId="2100">
      <formula>'1853'!$F$24</formula>
    </cfRule>
    <cfRule type="cellIs" priority="286" operator="lessThan" aboveAverage="0" equalAverage="0" bottom="0" percent="0" rank="0" text="" dxfId="2101">
      <formula>'1853'!$F$24</formula>
    </cfRule>
  </conditionalFormatting>
  <conditionalFormatting sqref="H24">
    <cfRule type="cellIs" priority="287" operator="equal" aboveAverage="0" equalAverage="0" bottom="0" percent="0" rank="0" text="" dxfId="2102">
      <formula>'1853'!$G$24</formula>
    </cfRule>
    <cfRule type="cellIs" priority="288" operator="lessThan" aboveAverage="0" equalAverage="0" bottom="0" percent="0" rank="0" text="" dxfId="2103">
      <formula>'1853'!$G$24</formula>
    </cfRule>
  </conditionalFormatting>
  <conditionalFormatting sqref="E5">
    <cfRule type="cellIs" priority="289" operator="equal" aboveAverage="0" equalAverage="0" bottom="0" percent="0" rank="0" text="" dxfId="2104">
      <formula>'1853'!$D$5</formula>
    </cfRule>
    <cfRule type="cellIs" priority="290" operator="lessThan" aboveAverage="0" equalAverage="0" bottom="0" percent="0" rank="0" text="" dxfId="2105">
      <formula>'1853'!$D$5</formula>
    </cfRule>
  </conditionalFormatting>
  <conditionalFormatting sqref="G5">
    <cfRule type="cellIs" priority="291" operator="equal" aboveAverage="0" equalAverage="0" bottom="0" percent="0" rank="0" text="" dxfId="2106">
      <formula>'1853'!$F$5</formula>
    </cfRule>
    <cfRule type="cellIs" priority="292" operator="lessThan" aboveAverage="0" equalAverage="0" bottom="0" percent="0" rank="0" text="" dxfId="2107">
      <formula>'1853'!$F$5</formula>
    </cfRule>
  </conditionalFormatting>
  <conditionalFormatting sqref="G4">
    <cfRule type="cellIs" priority="293" operator="equal" aboveAverage="0" equalAverage="0" bottom="0" percent="0" rank="0" text="" dxfId="2108">
      <formula>'1853'!$F$4</formula>
    </cfRule>
  </conditionalFormatting>
  <conditionalFormatting sqref="I13">
    <cfRule type="cellIs" priority="294" operator="equal" aboveAverage="0" equalAverage="0" bottom="0" percent="0" rank="0" text="" dxfId="2109">
      <formula>'1853'!$H$13</formula>
    </cfRule>
    <cfRule type="cellIs" priority="295" operator="lessThan" aboveAverage="0" equalAverage="0" bottom="0" percent="0" rank="0" text="" dxfId="2110">
      <formula>'1853'!$H$13</formula>
    </cfRule>
  </conditionalFormatting>
  <conditionalFormatting sqref="I14">
    <cfRule type="cellIs" priority="296" operator="equal" aboveAverage="0" equalAverage="0" bottom="0" percent="0" rank="0" text="" dxfId="2111">
      <formula>'1853'!$H$14</formula>
    </cfRule>
    <cfRule type="cellIs" priority="297" operator="lessThan" aboveAverage="0" equalAverage="0" bottom="0" percent="0" rank="0" text="" dxfId="2112">
      <formula>'1853'!$H$14</formula>
    </cfRule>
  </conditionalFormatting>
  <conditionalFormatting sqref="I15">
    <cfRule type="cellIs" priority="298" operator="equal" aboveAverage="0" equalAverage="0" bottom="0" percent="0" rank="0" text="" dxfId="2113">
      <formula>'1853'!$H$15</formula>
    </cfRule>
    <cfRule type="cellIs" priority="299" operator="lessThan" aboveAverage="0" equalAverage="0" bottom="0" percent="0" rank="0" text="" dxfId="2114">
      <formula>'1853'!$H$15</formula>
    </cfRule>
  </conditionalFormatting>
  <conditionalFormatting sqref="I16">
    <cfRule type="cellIs" priority="300" operator="equal" aboveAverage="0" equalAverage="0" bottom="0" percent="0" rank="0" text="" dxfId="2115">
      <formula>'1853'!$H$16</formula>
    </cfRule>
    <cfRule type="cellIs" priority="301" operator="lessThan" aboveAverage="0" equalAverage="0" bottom="0" percent="0" rank="0" text="" dxfId="2116">
      <formula>'1853'!$H$16</formula>
    </cfRule>
  </conditionalFormatting>
  <conditionalFormatting sqref="I17">
    <cfRule type="cellIs" priority="302" operator="equal" aboveAverage="0" equalAverage="0" bottom="0" percent="0" rank="0" text="" dxfId="2117">
      <formula>'1853'!$H$17</formula>
    </cfRule>
    <cfRule type="cellIs" priority="303" operator="lessThan" aboveAverage="0" equalAverage="0" bottom="0" percent="0" rank="0" text="" dxfId="2118">
      <formula>'1853'!$H$17</formula>
    </cfRule>
  </conditionalFormatting>
  <conditionalFormatting sqref="I18">
    <cfRule type="cellIs" priority="304" operator="equal" aboveAverage="0" equalAverage="0" bottom="0" percent="0" rank="0" text="" dxfId="2119">
      <formula>'1853'!$H$18</formula>
    </cfRule>
    <cfRule type="cellIs" priority="305" operator="lessThan" aboveAverage="0" equalAverage="0" bottom="0" percent="0" rank="0" text="" dxfId="2120">
      <formula>'1853'!$H$18</formula>
    </cfRule>
  </conditionalFormatting>
  <conditionalFormatting sqref="I19">
    <cfRule type="cellIs" priority="306" operator="equal" aboveAverage="0" equalAverage="0" bottom="0" percent="0" rank="0" text="" dxfId="2121">
      <formula>'1853'!$H$19</formula>
    </cfRule>
    <cfRule type="cellIs" priority="307" operator="lessThan" aboveAverage="0" equalAverage="0" bottom="0" percent="0" rank="0" text="" dxfId="2122">
      <formula>'1853'!$H$19</formula>
    </cfRule>
  </conditionalFormatting>
  <conditionalFormatting sqref="I20">
    <cfRule type="cellIs" priority="308" operator="equal" aboveAverage="0" equalAverage="0" bottom="0" percent="0" rank="0" text="" dxfId="2123">
      <formula>'1853'!$H$20</formula>
    </cfRule>
    <cfRule type="cellIs" priority="309" operator="lessThan" aboveAverage="0" equalAverage="0" bottom="0" percent="0" rank="0" text="" dxfId="2124">
      <formula>'1853'!$H$20</formula>
    </cfRule>
  </conditionalFormatting>
  <conditionalFormatting sqref="I21">
    <cfRule type="cellIs" priority="310" operator="equal" aboveAverage="0" equalAverage="0" bottom="0" percent="0" rank="0" text="" dxfId="2125">
      <formula>'1853'!$H$21</formula>
    </cfRule>
    <cfRule type="cellIs" priority="311" operator="lessThan" aboveAverage="0" equalAverage="0" bottom="0" percent="0" rank="0" text="" dxfId="2126">
      <formula>'1853'!$H$21</formula>
    </cfRule>
  </conditionalFormatting>
  <conditionalFormatting sqref="I22">
    <cfRule type="cellIs" priority="312" operator="equal" aboveAverage="0" equalAverage="0" bottom="0" percent="0" rank="0" text="" dxfId="2127">
      <formula>'1853'!$H$22</formula>
    </cfRule>
    <cfRule type="cellIs" priority="313" operator="lessThan" aboveAverage="0" equalAverage="0" bottom="0" percent="0" rank="0" text="" dxfId="2128">
      <formula>'1853'!$H$22</formula>
    </cfRule>
  </conditionalFormatting>
  <conditionalFormatting sqref="I23">
    <cfRule type="cellIs" priority="314" operator="equal" aboveAverage="0" equalAverage="0" bottom="0" percent="0" rank="0" text="" dxfId="2129">
      <formula>'1853'!$H$23</formula>
    </cfRule>
    <cfRule type="cellIs" priority="315" operator="lessThan" aboveAverage="0" equalAverage="0" bottom="0" percent="0" rank="0" text="" dxfId="2130">
      <formula>'1853'!$H$23</formula>
    </cfRule>
  </conditionalFormatting>
  <conditionalFormatting sqref="I24">
    <cfRule type="cellIs" priority="316" operator="equal" aboveAverage="0" equalAverage="0" bottom="0" percent="0" rank="0" text="" dxfId="2131">
      <formula>'1853'!$H$24</formula>
    </cfRule>
    <cfRule type="cellIs" priority="317" operator="lessThan" aboveAverage="0" equalAverage="0" bottom="0" percent="0" rank="0" text="" dxfId="2132">
      <formula>'1853'!$H$24</formula>
    </cfRule>
  </conditionalFormatting>
  <conditionalFormatting sqref="I25">
    <cfRule type="cellIs" priority="318" operator="equal" aboveAverage="0" equalAverage="0" bottom="0" percent="0" rank="0" text="" dxfId="2133">
      <formula>'1853'!$H$25</formula>
    </cfRule>
    <cfRule type="cellIs" priority="319" operator="lessThan" aboveAverage="0" equalAverage="0" bottom="0" percent="0" rank="0" text="" dxfId="2134">
      <formula>'1853'!$H$25</formula>
    </cfRule>
  </conditionalFormatting>
  <conditionalFormatting sqref="I26">
    <cfRule type="cellIs" priority="320" operator="equal" aboveAverage="0" equalAverage="0" bottom="0" percent="0" rank="0" text="" dxfId="2135">
      <formula>'1853'!$H$26</formula>
    </cfRule>
    <cfRule type="cellIs" priority="321" operator="lessThan" aboveAverage="0" equalAverage="0" bottom="0" percent="0" rank="0" text="" dxfId="2136">
      <formula>'1853'!$H$26</formula>
    </cfRule>
  </conditionalFormatting>
  <conditionalFormatting sqref="I27">
    <cfRule type="cellIs" priority="322" operator="equal" aboveAverage="0" equalAverage="0" bottom="0" percent="0" rank="0" text="" dxfId="2137">
      <formula>'1853'!$H$27</formula>
    </cfRule>
    <cfRule type="cellIs" priority="323" operator="lessThan" aboveAverage="0" equalAverage="0" bottom="0" percent="0" rank="0" text="" dxfId="2138">
      <formula>'1853'!$H$27</formula>
    </cfRule>
    <cfRule type="cellIs" priority="324" operator="lessThan" aboveAverage="0" equalAverage="0" bottom="0" percent="0" rank="0" text="" dxfId="2139">
      <formula>'1853'!$H$27</formula>
    </cfRule>
  </conditionalFormatting>
  <conditionalFormatting sqref="I28">
    <cfRule type="cellIs" priority="325" operator="equal" aboveAverage="0" equalAverage="0" bottom="0" percent="0" rank="0" text="" dxfId="2140">
      <formula>'1853'!$H$28</formula>
    </cfRule>
    <cfRule type="cellIs" priority="326" operator="lessThan" aboveAverage="0" equalAverage="0" bottom="0" percent="0" rank="0" text="" dxfId="2141">
      <formula>'1853'!$H$28</formula>
    </cfRule>
  </conditionalFormatting>
  <conditionalFormatting sqref="J13">
    <cfRule type="cellIs" priority="327" operator="equal" aboveAverage="0" equalAverage="0" bottom="0" percent="0" rank="0" text="" dxfId="2142">
      <formula>'1853'!$I$13</formula>
    </cfRule>
    <cfRule type="cellIs" priority="328" operator="lessThan" aboveAverage="0" equalAverage="0" bottom="0" percent="0" rank="0" text="" dxfId="2143">
      <formula>'1853'!$I$13</formula>
    </cfRule>
  </conditionalFormatting>
  <conditionalFormatting sqref="J14">
    <cfRule type="cellIs" priority="329" operator="equal" aboveAverage="0" equalAverage="0" bottom="0" percent="0" rank="0" text="" dxfId="2144">
      <formula>'1853'!$I$14</formula>
    </cfRule>
    <cfRule type="cellIs" priority="330" operator="lessThan" aboveAverage="0" equalAverage="0" bottom="0" percent="0" rank="0" text="" dxfId="2145">
      <formula>'1853'!$I$14</formula>
    </cfRule>
  </conditionalFormatting>
  <conditionalFormatting sqref="J15">
    <cfRule type="cellIs" priority="331" operator="equal" aboveAverage="0" equalAverage="0" bottom="0" percent="0" rank="0" text="" dxfId="2146">
      <formula>'1853'!$I$15</formula>
    </cfRule>
    <cfRule type="cellIs" priority="332" operator="lessThan" aboveAverage="0" equalAverage="0" bottom="0" percent="0" rank="0" text="" dxfId="2147">
      <formula>'1853'!$I$15</formula>
    </cfRule>
  </conditionalFormatting>
  <conditionalFormatting sqref="J16">
    <cfRule type="cellIs" priority="333" operator="equal" aboveAverage="0" equalAverage="0" bottom="0" percent="0" rank="0" text="" dxfId="2148">
      <formula>'1853'!$I$16</formula>
    </cfRule>
    <cfRule type="cellIs" priority="334" operator="lessThan" aboveAverage="0" equalAverage="0" bottom="0" percent="0" rank="0" text="" dxfId="2149">
      <formula>'1853'!$I$16</formula>
    </cfRule>
  </conditionalFormatting>
  <conditionalFormatting sqref="J17">
    <cfRule type="cellIs" priority="335" operator="equal" aboveAverage="0" equalAverage="0" bottom="0" percent="0" rank="0" text="" dxfId="2150">
      <formula>'1853'!$I$17</formula>
    </cfRule>
    <cfRule type="cellIs" priority="336" operator="lessThan" aboveAverage="0" equalAverage="0" bottom="0" percent="0" rank="0" text="" dxfId="2151">
      <formula>'1853'!$I$17</formula>
    </cfRule>
  </conditionalFormatting>
  <conditionalFormatting sqref="J18">
    <cfRule type="cellIs" priority="337" operator="equal" aboveAverage="0" equalAverage="0" bottom="0" percent="0" rank="0" text="" dxfId="2152">
      <formula>'1853'!$I$18</formula>
    </cfRule>
    <cfRule type="cellIs" priority="338" operator="lessThan" aboveAverage="0" equalAverage="0" bottom="0" percent="0" rank="0" text="" dxfId="2153">
      <formula>'1853'!$I$18</formula>
    </cfRule>
  </conditionalFormatting>
  <conditionalFormatting sqref="J19">
    <cfRule type="cellIs" priority="339" operator="equal" aboveAverage="0" equalAverage="0" bottom="0" percent="0" rank="0" text="" dxfId="2154">
      <formula>'1853'!$I$19</formula>
    </cfRule>
    <cfRule type="cellIs" priority="340" operator="lessThan" aboveAverage="0" equalAverage="0" bottom="0" percent="0" rank="0" text="" dxfId="2155">
      <formula>'1853'!$I$19</formula>
    </cfRule>
  </conditionalFormatting>
  <conditionalFormatting sqref="J20">
    <cfRule type="cellIs" priority="341" operator="equal" aboveAverage="0" equalAverage="0" bottom="0" percent="0" rank="0" text="" dxfId="2156">
      <formula>'1853'!$I$20</formula>
    </cfRule>
    <cfRule type="cellIs" priority="342" operator="lessThan" aboveAverage="0" equalAverage="0" bottom="0" percent="0" rank="0" text="" dxfId="2157">
      <formula>'1853'!$I$20</formula>
    </cfRule>
  </conditionalFormatting>
  <conditionalFormatting sqref="J21">
    <cfRule type="cellIs" priority="343" operator="equal" aboveAverage="0" equalAverage="0" bottom="0" percent="0" rank="0" text="" dxfId="2158">
      <formula>'1853'!$I$21</formula>
    </cfRule>
    <cfRule type="cellIs" priority="344" operator="lessThan" aboveAverage="0" equalAverage="0" bottom="0" percent="0" rank="0" text="" dxfId="2159">
      <formula>'1853'!$I$21</formula>
    </cfRule>
  </conditionalFormatting>
  <conditionalFormatting sqref="J22">
    <cfRule type="cellIs" priority="345" operator="equal" aboveAverage="0" equalAverage="0" bottom="0" percent="0" rank="0" text="" dxfId="2160">
      <formula>'1853'!$I$22</formula>
    </cfRule>
    <cfRule type="cellIs" priority="346" operator="lessThan" aboveAverage="0" equalAverage="0" bottom="0" percent="0" rank="0" text="" dxfId="2161">
      <formula>'1853'!$I$22</formula>
    </cfRule>
  </conditionalFormatting>
  <conditionalFormatting sqref="J23">
    <cfRule type="cellIs" priority="347" operator="equal" aboveAverage="0" equalAverage="0" bottom="0" percent="0" rank="0" text="" dxfId="2162">
      <formula>'1853'!$I$23</formula>
    </cfRule>
    <cfRule type="cellIs" priority="348" operator="lessThan" aboveAverage="0" equalAverage="0" bottom="0" percent="0" rank="0" text="" dxfId="2163">
      <formula>'1853'!$I$23</formula>
    </cfRule>
  </conditionalFormatting>
  <conditionalFormatting sqref="J24">
    <cfRule type="cellIs" priority="349" operator="equal" aboveAverage="0" equalAverage="0" bottom="0" percent="0" rank="0" text="" dxfId="2164">
      <formula>'1853'!$I$24</formula>
    </cfRule>
    <cfRule type="cellIs" priority="350" operator="lessThan" aboveAverage="0" equalAverage="0" bottom="0" percent="0" rank="0" text="" dxfId="2165">
      <formula>'1853'!$I$24</formula>
    </cfRule>
  </conditionalFormatting>
  <conditionalFormatting sqref="J25">
    <cfRule type="cellIs" priority="351" operator="equal" aboveAverage="0" equalAverage="0" bottom="0" percent="0" rank="0" text="" dxfId="2166">
      <formula>'1853'!$I$25</formula>
    </cfRule>
    <cfRule type="cellIs" priority="352" operator="lessThan" aboveAverage="0" equalAverage="0" bottom="0" percent="0" rank="0" text="" dxfId="2167">
      <formula>'1853'!$I$25</formula>
    </cfRule>
  </conditionalFormatting>
  <conditionalFormatting sqref="J26">
    <cfRule type="cellIs" priority="353" operator="equal" aboveAverage="0" equalAverage="0" bottom="0" percent="0" rank="0" text="" dxfId="2168">
      <formula>'1853'!$I$26</formula>
    </cfRule>
    <cfRule type="cellIs" priority="354" operator="lessThan" aboveAverage="0" equalAverage="0" bottom="0" percent="0" rank="0" text="" dxfId="2169">
      <formula>'1853'!$I$26</formula>
    </cfRule>
  </conditionalFormatting>
  <conditionalFormatting sqref="J27">
    <cfRule type="cellIs" priority="355" operator="equal" aboveAverage="0" equalAverage="0" bottom="0" percent="0" rank="0" text="" dxfId="2170">
      <formula>'1853'!$I$27</formula>
    </cfRule>
    <cfRule type="cellIs" priority="356" operator="lessThan" aboveAverage="0" equalAverage="0" bottom="0" percent="0" rank="0" text="" dxfId="2171">
      <formula>'1853'!$I$27</formula>
    </cfRule>
  </conditionalFormatting>
  <conditionalFormatting sqref="J28">
    <cfRule type="cellIs" priority="357" operator="equal" aboveAverage="0" equalAverage="0" bottom="0" percent="0" rank="0" text="" dxfId="2172">
      <formula>'1853'!$I$28</formula>
    </cfRule>
    <cfRule type="cellIs" priority="358" operator="lessThan" aboveAverage="0" equalAverage="0" bottom="0" percent="0" rank="0" text="" dxfId="2173">
      <formula>'1853'!$I$28</formula>
    </cfRule>
  </conditionalFormatting>
  <conditionalFormatting sqref="F29">
    <cfRule type="cellIs" priority="359" operator="equal" aboveAverage="0" equalAverage="0" bottom="0" percent="0" rank="0" text="" dxfId="2174">
      <formula>'1853'!$E$29</formula>
    </cfRule>
    <cfRule type="cellIs" priority="360" operator="lessThan" aboveAverage="0" equalAverage="0" bottom="0" percent="0" rank="0" text="" dxfId="2175">
      <formula>'1853'!$E$29</formula>
    </cfRule>
  </conditionalFormatting>
  <conditionalFormatting sqref="G29">
    <cfRule type="cellIs" priority="361" operator="equal" aboveAverage="0" equalAverage="0" bottom="0" percent="0" rank="0" text="" dxfId="2176">
      <formula>'1853'!$F$29</formula>
    </cfRule>
    <cfRule type="cellIs" priority="362" operator="lessThan" aboveAverage="0" equalAverage="0" bottom="0" percent="0" rank="0" text="" dxfId="2177">
      <formula>'1853'!$F$29</formula>
    </cfRule>
  </conditionalFormatting>
  <conditionalFormatting sqref="H29">
    <cfRule type="cellIs" priority="363" operator="equal" aboveAverage="0" equalAverage="0" bottom="0" percent="0" rank="0" text="" dxfId="2178">
      <formula>'1853'!$G$29</formula>
    </cfRule>
    <cfRule type="cellIs" priority="364" operator="lessThan" aboveAverage="0" equalAverage="0" bottom="0" percent="0" rank="0" text="" dxfId="2179">
      <formula>'1853'!$G$29</formula>
    </cfRule>
  </conditionalFormatting>
  <conditionalFormatting sqref="K4">
    <cfRule type="cellIs" priority="365" operator="equal" aboveAverage="0" equalAverage="0" bottom="0" percent="0" rank="0" text="" dxfId="2180">
      <formula>'1853'!$J$4</formula>
    </cfRule>
    <cfRule type="cellIs" priority="366" operator="lessThan" aboveAverage="0" equalAverage="0" bottom="0" percent="0" rank="0" text="" dxfId="2181">
      <formula>'1853'!$J$4</formula>
    </cfRule>
  </conditionalFormatting>
  <conditionalFormatting sqref="K5">
    <cfRule type="cellIs" priority="367" operator="equal" aboveAverage="0" equalAverage="0" bottom="0" percent="0" rank="0" text="" dxfId="2182">
      <formula>'1853'!$J$5</formula>
    </cfRule>
    <cfRule type="cellIs" priority="368" operator="lessThan" aboveAverage="0" equalAverage="0" bottom="0" percent="0" rank="0" text="" dxfId="2183">
      <formula>'1853'!$J$5</formula>
    </cfRule>
  </conditionalFormatting>
  <conditionalFormatting sqref="K6">
    <cfRule type="cellIs" priority="369" operator="equal" aboveAverage="0" equalAverage="0" bottom="0" percent="0" rank="0" text="" dxfId="2184">
      <formula>'1853'!$J$6</formula>
    </cfRule>
    <cfRule type="cellIs" priority="370" operator="lessThan" aboveAverage="0" equalAverage="0" bottom="0" percent="0" rank="0" text="" dxfId="2185">
      <formula>'1853'!$J$6</formula>
    </cfRule>
  </conditionalFormatting>
  <conditionalFormatting sqref="K7">
    <cfRule type="cellIs" priority="371" operator="equal" aboveAverage="0" equalAverage="0" bottom="0" percent="0" rank="0" text="" dxfId="2186">
      <formula>'1853'!$J$7</formula>
    </cfRule>
    <cfRule type="cellIs" priority="372" operator="lessThan" aboveAverage="0" equalAverage="0" bottom="0" percent="0" rank="0" text="" dxfId="2187">
      <formula>'1853'!$J$7</formula>
    </cfRule>
  </conditionalFormatting>
  <conditionalFormatting sqref="K8">
    <cfRule type="cellIs" priority="373" operator="equal" aboveAverage="0" equalAverage="0" bottom="0" percent="0" rank="0" text="" dxfId="2188">
      <formula>'1853'!$J$8</formula>
    </cfRule>
    <cfRule type="cellIs" priority="374" operator="lessThan" aboveAverage="0" equalAverage="0" bottom="0" percent="0" rank="0" text="" dxfId="2189">
      <formula>'1853'!$J$8</formula>
    </cfRule>
  </conditionalFormatting>
  <conditionalFormatting sqref="K9">
    <cfRule type="cellIs" priority="375" operator="equal" aboveAverage="0" equalAverage="0" bottom="0" percent="0" rank="0" text="" dxfId="2190">
      <formula>'1853'!$J$9</formula>
    </cfRule>
    <cfRule type="cellIs" priority="376" operator="lessThan" aboveAverage="0" equalAverage="0" bottom="0" percent="0" rank="0" text="" dxfId="2191">
      <formula>'1853'!$J$9</formula>
    </cfRule>
  </conditionalFormatting>
  <conditionalFormatting sqref="K10">
    <cfRule type="cellIs" priority="377" operator="equal" aboveAverage="0" equalAverage="0" bottom="0" percent="0" rank="0" text="" dxfId="2192">
      <formula>'1853'!$J$10</formula>
    </cfRule>
    <cfRule type="cellIs" priority="378" operator="lessThan" aboveAverage="0" equalAverage="0" bottom="0" percent="0" rank="0" text="" dxfId="2193">
      <formula>'1853'!$J$10</formula>
    </cfRule>
  </conditionalFormatting>
  <conditionalFormatting sqref="K11">
    <cfRule type="cellIs" priority="379" operator="equal" aboveAverage="0" equalAverage="0" bottom="0" percent="0" rank="0" text="" dxfId="2194">
      <formula>'1853'!$J$11</formula>
    </cfRule>
    <cfRule type="cellIs" priority="380" operator="lessThan" aboveAverage="0" equalAverage="0" bottom="0" percent="0" rank="0" text="" dxfId="2195">
      <formula>'1853'!$J$11</formula>
    </cfRule>
  </conditionalFormatting>
  <conditionalFormatting sqref="K12">
    <cfRule type="cellIs" priority="381" operator="equal" aboveAverage="0" equalAverage="0" bottom="0" percent="0" rank="0" text="" dxfId="2196">
      <formula>'1853'!$J$12</formula>
    </cfRule>
    <cfRule type="cellIs" priority="382" operator="lessThan" aboveAverage="0" equalAverage="0" bottom="0" percent="0" rank="0" text="" dxfId="2197">
      <formula>'1853'!$J$12</formula>
    </cfRule>
  </conditionalFormatting>
  <conditionalFormatting sqref="K13">
    <cfRule type="cellIs" priority="383" operator="equal" aboveAverage="0" equalAverage="0" bottom="0" percent="0" rank="0" text="" dxfId="2198">
      <formula>'1853'!$J$13</formula>
    </cfRule>
    <cfRule type="cellIs" priority="384" operator="lessThan" aboveAverage="0" equalAverage="0" bottom="0" percent="0" rank="0" text="" dxfId="2199">
      <formula>'1853'!$J$13</formula>
    </cfRule>
  </conditionalFormatting>
  <conditionalFormatting sqref="K14">
    <cfRule type="cellIs" priority="385" operator="equal" aboveAverage="0" equalAverage="0" bottom="0" percent="0" rank="0" text="" dxfId="2200">
      <formula>'1853'!$J$14</formula>
    </cfRule>
    <cfRule type="cellIs" priority="386" operator="lessThan" aboveAverage="0" equalAverage="0" bottom="0" percent="0" rank="0" text="" dxfId="2201">
      <formula>'1853'!$J$14</formula>
    </cfRule>
  </conditionalFormatting>
  <conditionalFormatting sqref="K15">
    <cfRule type="cellIs" priority="387" operator="equal" aboveAverage="0" equalAverage="0" bottom="0" percent="0" rank="0" text="" dxfId="2202">
      <formula>'1853'!$J$15</formula>
    </cfRule>
    <cfRule type="cellIs" priority="388" operator="lessThan" aboveAverage="0" equalAverage="0" bottom="0" percent="0" rank="0" text="" dxfId="2203">
      <formula>'1853'!$J$15</formula>
    </cfRule>
  </conditionalFormatting>
  <conditionalFormatting sqref="K16">
    <cfRule type="cellIs" priority="389" operator="equal" aboveAverage="0" equalAverage="0" bottom="0" percent="0" rank="0" text="" dxfId="2204">
      <formula>'1853'!$J$16</formula>
    </cfRule>
    <cfRule type="cellIs" priority="390" operator="lessThan" aboveAverage="0" equalAverage="0" bottom="0" percent="0" rank="0" text="" dxfId="2205">
      <formula>'1853'!$J$16</formula>
    </cfRule>
  </conditionalFormatting>
  <conditionalFormatting sqref="K17">
    <cfRule type="cellIs" priority="391" operator="equal" aboveAverage="0" equalAverage="0" bottom="0" percent="0" rank="0" text="" dxfId="2206">
      <formula>'1853'!$J$17</formula>
    </cfRule>
    <cfRule type="cellIs" priority="392" operator="lessThan" aboveAverage="0" equalAverage="0" bottom="0" percent="0" rank="0" text="" dxfId="2207">
      <formula>'1853'!$J$17</formula>
    </cfRule>
  </conditionalFormatting>
  <conditionalFormatting sqref="K18">
    <cfRule type="cellIs" priority="393" operator="equal" aboveAverage="0" equalAverage="0" bottom="0" percent="0" rank="0" text="" dxfId="2208">
      <formula>'1853'!$J$18</formula>
    </cfRule>
    <cfRule type="cellIs" priority="394" operator="lessThan" aboveAverage="0" equalAverage="0" bottom="0" percent="0" rank="0" text="" dxfId="2209">
      <formula>'1853'!$J$18</formula>
    </cfRule>
  </conditionalFormatting>
  <conditionalFormatting sqref="K19">
    <cfRule type="cellIs" priority="395" operator="equal" aboveAverage="0" equalAverage="0" bottom="0" percent="0" rank="0" text="" dxfId="2210">
      <formula>'1853'!$J$19</formula>
    </cfRule>
    <cfRule type="cellIs" priority="396" operator="lessThan" aboveAverage="0" equalAverage="0" bottom="0" percent="0" rank="0" text="" dxfId="2211">
      <formula>'1853'!$J$19</formula>
    </cfRule>
  </conditionalFormatting>
  <conditionalFormatting sqref="K20">
    <cfRule type="cellIs" priority="397" operator="equal" aboveAverage="0" equalAverage="0" bottom="0" percent="0" rank="0" text="" dxfId="2212">
      <formula>'1853'!$J$20</formula>
    </cfRule>
    <cfRule type="cellIs" priority="398" operator="lessThan" aboveAverage="0" equalAverage="0" bottom="0" percent="0" rank="0" text="" dxfId="2213">
      <formula>'1853'!$J$20</formula>
    </cfRule>
  </conditionalFormatting>
  <conditionalFormatting sqref="K21">
    <cfRule type="cellIs" priority="399" operator="equal" aboveAverage="0" equalAverage="0" bottom="0" percent="0" rank="0" text="" dxfId="2214">
      <formula>'1853'!$J$21</formula>
    </cfRule>
    <cfRule type="cellIs" priority="400" operator="lessThan" aboveAverage="0" equalAverage="0" bottom="0" percent="0" rank="0" text="" dxfId="2215">
      <formula>'1853'!$J$21</formula>
    </cfRule>
  </conditionalFormatting>
  <conditionalFormatting sqref="K22">
    <cfRule type="cellIs" priority="401" operator="equal" aboveAverage="0" equalAverage="0" bottom="0" percent="0" rank="0" text="" dxfId="2216">
      <formula>'1853'!$J$22</formula>
    </cfRule>
    <cfRule type="cellIs" priority="402" operator="lessThan" aboveAverage="0" equalAverage="0" bottom="0" percent="0" rank="0" text="" dxfId="2217">
      <formula>'1853'!$J$22</formula>
    </cfRule>
  </conditionalFormatting>
  <conditionalFormatting sqref="K23">
    <cfRule type="cellIs" priority="403" operator="equal" aboveAverage="0" equalAverage="0" bottom="0" percent="0" rank="0" text="" dxfId="2218">
      <formula>'1853'!$J$23</formula>
    </cfRule>
    <cfRule type="cellIs" priority="404" operator="lessThan" aboveAverage="0" equalAverage="0" bottom="0" percent="0" rank="0" text="" dxfId="2219">
      <formula>'1853'!$J$23</formula>
    </cfRule>
  </conditionalFormatting>
  <conditionalFormatting sqref="K24">
    <cfRule type="cellIs" priority="405" operator="equal" aboveAverage="0" equalAverage="0" bottom="0" percent="0" rank="0" text="" dxfId="2220">
      <formula>'1853'!$J$24</formula>
    </cfRule>
    <cfRule type="cellIs" priority="406" operator="lessThan" aboveAverage="0" equalAverage="0" bottom="0" percent="0" rank="0" text="" dxfId="2221">
      <formula>'1853'!$J$24</formula>
    </cfRule>
  </conditionalFormatting>
  <conditionalFormatting sqref="K25">
    <cfRule type="cellIs" priority="407" operator="equal" aboveAverage="0" equalAverage="0" bottom="0" percent="0" rank="0" text="" dxfId="2222">
      <formula>'1853'!$J$25</formula>
    </cfRule>
    <cfRule type="cellIs" priority="408" operator="lessThan" aboveAverage="0" equalAverage="0" bottom="0" percent="0" rank="0" text="" dxfId="2223">
      <formula>'1853'!$J$25</formula>
    </cfRule>
  </conditionalFormatting>
  <conditionalFormatting sqref="K26">
    <cfRule type="cellIs" priority="409" operator="equal" aboveAverage="0" equalAverage="0" bottom="0" percent="0" rank="0" text="" dxfId="2224">
      <formula>'1853'!$J$26</formula>
    </cfRule>
    <cfRule type="cellIs" priority="410" operator="lessThan" aboveAverage="0" equalAverage="0" bottom="0" percent="0" rank="0" text="" dxfId="2225">
      <formula>'1853'!$J$26</formula>
    </cfRule>
  </conditionalFormatting>
  <conditionalFormatting sqref="K27">
    <cfRule type="cellIs" priority="411" operator="equal" aboveAverage="0" equalAverage="0" bottom="0" percent="0" rank="0" text="" dxfId="2226">
      <formula>'1853'!$J$27</formula>
    </cfRule>
    <cfRule type="cellIs" priority="412" operator="lessThan" aboveAverage="0" equalAverage="0" bottom="0" percent="0" rank="0" text="" dxfId="2227">
      <formula>'1853'!$J$27</formula>
    </cfRule>
  </conditionalFormatting>
  <conditionalFormatting sqref="K28">
    <cfRule type="cellIs" priority="413" operator="lessThan" aboveAverage="0" equalAverage="0" bottom="0" percent="0" rank="0" text="" dxfId="2228">
      <formula>'1853'!$J$28</formula>
    </cfRule>
    <cfRule type="cellIs" priority="414" operator="equal" aboveAverage="0" equalAverage="0" bottom="0" percent="0" rank="0" text="" dxfId="2229">
      <formula>'1853'!$J$28</formula>
    </cfRule>
  </conditionalFormatting>
  <conditionalFormatting sqref="K29">
    <cfRule type="cellIs" priority="415" operator="equal" aboveAverage="0" equalAverage="0" bottom="0" percent="0" rank="0" text="" dxfId="2230">
      <formula>'1853'!$J$29</formula>
    </cfRule>
    <cfRule type="cellIs" priority="416" operator="lessThan" aboveAverage="0" equalAverage="0" bottom="0" percent="0" rank="0" text="" dxfId="2231">
      <formula>'1853'!$J$29</formula>
    </cfRule>
  </conditionalFormatting>
  <conditionalFormatting sqref="L4">
    <cfRule type="cellIs" priority="417" operator="equal" aboveAverage="0" equalAverage="0" bottom="0" percent="0" rank="0" text="" dxfId="2232">
      <formula>'1853'!$K$4</formula>
    </cfRule>
    <cfRule type="cellIs" priority="418" operator="lessThan" aboveAverage="0" equalAverage="0" bottom="0" percent="0" rank="0" text="" dxfId="2233">
      <formula>'1853'!$K$4</formula>
    </cfRule>
  </conditionalFormatting>
  <conditionalFormatting sqref="L5">
    <cfRule type="cellIs" priority="419" operator="equal" aboveAverage="0" equalAverage="0" bottom="0" percent="0" rank="0" text="" dxfId="2234">
      <formula>'1853'!$K$5</formula>
    </cfRule>
    <cfRule type="cellIs" priority="420" operator="lessThan" aboveAverage="0" equalAverage="0" bottom="0" percent="0" rank="0" text="" dxfId="2235">
      <formula>'1853'!$K$5</formula>
    </cfRule>
  </conditionalFormatting>
  <conditionalFormatting sqref="L6">
    <cfRule type="cellIs" priority="421" operator="equal" aboveAverage="0" equalAverage="0" bottom="0" percent="0" rank="0" text="" dxfId="2236">
      <formula>'1853'!$K$6</formula>
    </cfRule>
    <cfRule type="cellIs" priority="422" operator="lessThan" aboveAverage="0" equalAverage="0" bottom="0" percent="0" rank="0" text="" dxfId="2237">
      <formula>'1853'!$K$6</formula>
    </cfRule>
  </conditionalFormatting>
  <conditionalFormatting sqref="L7">
    <cfRule type="cellIs" priority="423" operator="equal" aboveAverage="0" equalAverage="0" bottom="0" percent="0" rank="0" text="" dxfId="2238">
      <formula>'1853'!$K$7</formula>
    </cfRule>
    <cfRule type="cellIs" priority="424" operator="lessThan" aboveAverage="0" equalAverage="0" bottom="0" percent="0" rank="0" text="" dxfId="2239">
      <formula>'1853'!$K$7</formula>
    </cfRule>
  </conditionalFormatting>
  <conditionalFormatting sqref="L8">
    <cfRule type="cellIs" priority="425" operator="equal" aboveAverage="0" equalAverage="0" bottom="0" percent="0" rank="0" text="" dxfId="2240">
      <formula>'1853'!$K$8</formula>
    </cfRule>
    <cfRule type="cellIs" priority="426" operator="lessThan" aboveAverage="0" equalAverage="0" bottom="0" percent="0" rank="0" text="" dxfId="2241">
      <formula>'1853'!$K$8</formula>
    </cfRule>
  </conditionalFormatting>
  <conditionalFormatting sqref="L9">
    <cfRule type="cellIs" priority="427" operator="equal" aboveAverage="0" equalAverage="0" bottom="0" percent="0" rank="0" text="" dxfId="2242">
      <formula>'1853'!$K$9</formula>
    </cfRule>
    <cfRule type="cellIs" priority="428" operator="lessThan" aboveAverage="0" equalAverage="0" bottom="0" percent="0" rank="0" text="" dxfId="2243">
      <formula>'1853'!$K$9</formula>
    </cfRule>
  </conditionalFormatting>
  <conditionalFormatting sqref="L10">
    <cfRule type="cellIs" priority="429" operator="equal" aboveAverage="0" equalAverage="0" bottom="0" percent="0" rank="0" text="" dxfId="2244">
      <formula>'1853'!$K$10</formula>
    </cfRule>
    <cfRule type="cellIs" priority="430" operator="lessThan" aboveAverage="0" equalAverage="0" bottom="0" percent="0" rank="0" text="" dxfId="2245">
      <formula>'1853'!$K$10</formula>
    </cfRule>
  </conditionalFormatting>
  <conditionalFormatting sqref="L12">
    <cfRule type="cellIs" priority="431" operator="equal" aboveAverage="0" equalAverage="0" bottom="0" percent="0" rank="0" text="" dxfId="2246">
      <formula>'1853'!$K$12</formula>
    </cfRule>
    <cfRule type="cellIs" priority="432" operator="lessThan" aboveAverage="0" equalAverage="0" bottom="0" percent="0" rank="0" text="" dxfId="2247">
      <formula>'1853'!$K$12</formula>
    </cfRule>
  </conditionalFormatting>
  <conditionalFormatting sqref="L13">
    <cfRule type="cellIs" priority="433" operator="equal" aboveAverage="0" equalAverage="0" bottom="0" percent="0" rank="0" text="" dxfId="2248">
      <formula>'1853'!$K$13</formula>
    </cfRule>
    <cfRule type="cellIs" priority="434" operator="lessThan" aboveAverage="0" equalAverage="0" bottom="0" percent="0" rank="0" text="" dxfId="2249">
      <formula>'1853'!$K$13</formula>
    </cfRule>
  </conditionalFormatting>
  <conditionalFormatting sqref="L14">
    <cfRule type="cellIs" priority="435" operator="equal" aboveAverage="0" equalAverage="0" bottom="0" percent="0" rank="0" text="" dxfId="2250">
      <formula>'1853'!$K$14</formula>
    </cfRule>
    <cfRule type="cellIs" priority="436" operator="lessThan" aboveAverage="0" equalAverage="0" bottom="0" percent="0" rank="0" text="" dxfId="2251">
      <formula>'1853'!$K$14</formula>
    </cfRule>
  </conditionalFormatting>
  <conditionalFormatting sqref="L15">
    <cfRule type="cellIs" priority="437" operator="equal" aboveAverage="0" equalAverage="0" bottom="0" percent="0" rank="0" text="" dxfId="2252">
      <formula>'1853'!$K$15</formula>
    </cfRule>
    <cfRule type="cellIs" priority="438" operator="lessThan" aboveAverage="0" equalAverage="0" bottom="0" percent="0" rank="0" text="" dxfId="2253">
      <formula>'1853'!$K$15</formula>
    </cfRule>
  </conditionalFormatting>
  <conditionalFormatting sqref="L16">
    <cfRule type="cellIs" priority="439" operator="equal" aboveAverage="0" equalAverage="0" bottom="0" percent="0" rank="0" text="" dxfId="2254">
      <formula>'1853'!$K$16</formula>
    </cfRule>
    <cfRule type="cellIs" priority="440" operator="lessThan" aboveAverage="0" equalAverage="0" bottom="0" percent="0" rank="0" text="" dxfId="2255">
      <formula>'1853'!$K$16</formula>
    </cfRule>
  </conditionalFormatting>
  <conditionalFormatting sqref="L17">
    <cfRule type="cellIs" priority="441" operator="equal" aboveAverage="0" equalAverage="0" bottom="0" percent="0" rank="0" text="" dxfId="2256">
      <formula>'1853'!$K$17</formula>
    </cfRule>
    <cfRule type="cellIs" priority="442" operator="lessThan" aboveAverage="0" equalAverage="0" bottom="0" percent="0" rank="0" text="" dxfId="2257">
      <formula>'1853'!$K$17</formula>
    </cfRule>
  </conditionalFormatting>
  <conditionalFormatting sqref="L18">
    <cfRule type="cellIs" priority="443" operator="equal" aboveAverage="0" equalAverage="0" bottom="0" percent="0" rank="0" text="" dxfId="2258">
      <formula>'1853'!$K$18</formula>
    </cfRule>
    <cfRule type="cellIs" priority="444" operator="lessThan" aboveAverage="0" equalAverage="0" bottom="0" percent="0" rank="0" text="" dxfId="2259">
      <formula>'1853'!$K$18</formula>
    </cfRule>
  </conditionalFormatting>
  <conditionalFormatting sqref="L19">
    <cfRule type="cellIs" priority="445" operator="equal" aboveAverage="0" equalAverage="0" bottom="0" percent="0" rank="0" text="" dxfId="2260">
      <formula>'1853'!$K$19</formula>
    </cfRule>
    <cfRule type="cellIs" priority="446" operator="lessThan" aboveAverage="0" equalAverage="0" bottom="0" percent="0" rank="0" text="" dxfId="2261">
      <formula>'1853'!$K$19</formula>
    </cfRule>
  </conditionalFormatting>
  <conditionalFormatting sqref="L20">
    <cfRule type="cellIs" priority="447" operator="equal" aboveAverage="0" equalAverage="0" bottom="0" percent="0" rank="0" text="" dxfId="2262">
      <formula>'1853'!$K$20</formula>
    </cfRule>
    <cfRule type="cellIs" priority="448" operator="lessThan" aboveAverage="0" equalAverage="0" bottom="0" percent="0" rank="0" text="" dxfId="2263">
      <formula>'1853'!$K$20</formula>
    </cfRule>
  </conditionalFormatting>
  <conditionalFormatting sqref="L21">
    <cfRule type="cellIs" priority="449" operator="equal" aboveAverage="0" equalAverage="0" bottom="0" percent="0" rank="0" text="" dxfId="2264">
      <formula>'1853'!$K$21</formula>
    </cfRule>
    <cfRule type="cellIs" priority="450" operator="lessThan" aboveAverage="0" equalAverage="0" bottom="0" percent="0" rank="0" text="" dxfId="2265">
      <formula>'1853'!$K$21</formula>
    </cfRule>
  </conditionalFormatting>
  <conditionalFormatting sqref="L11">
    <cfRule type="cellIs" priority="451" operator="equal" aboveAverage="0" equalAverage="0" bottom="0" percent="0" rank="0" text="" dxfId="2266">
      <formula>'1853'!$K$11</formula>
    </cfRule>
    <cfRule type="cellIs" priority="452" operator="lessThan" aboveAverage="0" equalAverage="0" bottom="0" percent="0" rank="0" text="" dxfId="2267">
      <formula>'1853'!$K$11</formula>
    </cfRule>
  </conditionalFormatting>
  <conditionalFormatting sqref="L22">
    <cfRule type="cellIs" priority="453" operator="equal" aboveAverage="0" equalAverage="0" bottom="0" percent="0" rank="0" text="" dxfId="2268">
      <formula>'1853'!$K$22</formula>
    </cfRule>
    <cfRule type="cellIs" priority="454" operator="lessThan" aboveAverage="0" equalAverage="0" bottom="0" percent="0" rank="0" text="" dxfId="2269">
      <formula>'1853'!$K$22</formula>
    </cfRule>
  </conditionalFormatting>
  <conditionalFormatting sqref="L23">
    <cfRule type="cellIs" priority="455" operator="equal" aboveAverage="0" equalAverage="0" bottom="0" percent="0" rank="0" text="" dxfId="2270">
      <formula>'1853'!$K$23</formula>
    </cfRule>
    <cfRule type="cellIs" priority="456" operator="lessThan" aboveAverage="0" equalAverage="0" bottom="0" percent="0" rank="0" text="" dxfId="2271">
      <formula>'1853'!$K$23</formula>
    </cfRule>
  </conditionalFormatting>
  <conditionalFormatting sqref="L24">
    <cfRule type="cellIs" priority="457" operator="equal" aboveAverage="0" equalAverage="0" bottom="0" percent="0" rank="0" text="" dxfId="2272">
      <formula>'1853'!$K$24</formula>
    </cfRule>
    <cfRule type="cellIs" priority="458" operator="lessThan" aboveAverage="0" equalAverage="0" bottom="0" percent="0" rank="0" text="" dxfId="2273">
      <formula>'1853'!$K$24</formula>
    </cfRule>
  </conditionalFormatting>
  <conditionalFormatting sqref="L25">
    <cfRule type="cellIs" priority="459" operator="equal" aboveAverage="0" equalAverage="0" bottom="0" percent="0" rank="0" text="" dxfId="2274">
      <formula>'1853'!$K$25</formula>
    </cfRule>
    <cfRule type="cellIs" priority="460" operator="lessThan" aboveAverage="0" equalAverage="0" bottom="0" percent="0" rank="0" text="" dxfId="2275">
      <formula>'1853'!$K$25</formula>
    </cfRule>
  </conditionalFormatting>
  <conditionalFormatting sqref="L26">
    <cfRule type="cellIs" priority="461" operator="equal" aboveAverage="0" equalAverage="0" bottom="0" percent="0" rank="0" text="" dxfId="2276">
      <formula>'1853'!$K$26</formula>
    </cfRule>
    <cfRule type="cellIs" priority="462" operator="lessThan" aboveAverage="0" equalAverage="0" bottom="0" percent="0" rank="0" text="" dxfId="2277">
      <formula>'1853'!$K$26</formula>
    </cfRule>
  </conditionalFormatting>
  <conditionalFormatting sqref="L27">
    <cfRule type="cellIs" priority="463" operator="equal" aboveAverage="0" equalAverage="0" bottom="0" percent="0" rank="0" text="" dxfId="2278">
      <formula>'1853'!$K$27</formula>
    </cfRule>
    <cfRule type="cellIs" priority="464" operator="lessThan" aboveAverage="0" equalAverage="0" bottom="0" percent="0" rank="0" text="" dxfId="2279">
      <formula>'1853'!$K$27</formula>
    </cfRule>
  </conditionalFormatting>
  <conditionalFormatting sqref="L28">
    <cfRule type="cellIs" priority="465" operator="equal" aboveAverage="0" equalAverage="0" bottom="0" percent="0" rank="0" text="" dxfId="2280">
      <formula>'1853'!$K$28</formula>
    </cfRule>
    <cfRule type="cellIs" priority="466" operator="lessThan" aboveAverage="0" equalAverage="0" bottom="0" percent="0" rank="0" text="" dxfId="2281">
      <formula>'1853'!$K$28</formula>
    </cfRule>
  </conditionalFormatting>
  <conditionalFormatting sqref="L29">
    <cfRule type="cellIs" priority="467" operator="equal" aboveAverage="0" equalAverage="0" bottom="0" percent="0" rank="0" text="" dxfId="2282">
      <formula>'1853'!$K$29</formula>
    </cfRule>
    <cfRule type="cellIs" priority="468" operator="lessThan" aboveAverage="0" equalAverage="0" bottom="0" percent="0" rank="0" text="" dxfId="2283">
      <formula>'1853'!$K$29</formula>
    </cfRule>
  </conditionalFormatting>
  <conditionalFormatting sqref="M4">
    <cfRule type="cellIs" priority="469" operator="lessThan" aboveAverage="0" equalAverage="0" bottom="0" percent="0" rank="0" text="" dxfId="2284">
      <formula>'1853'!$L$4</formula>
    </cfRule>
    <cfRule type="cellIs" priority="470" operator="equal" aboveAverage="0" equalAverage="0" bottom="0" percent="0" rank="0" text="" dxfId="2285">
      <formula>'1853'!$L$4</formula>
    </cfRule>
  </conditionalFormatting>
  <conditionalFormatting sqref="M5">
    <cfRule type="cellIs" priority="471" operator="equal" aboveAverage="0" equalAverage="0" bottom="0" percent="0" rank="0" text="" dxfId="2286">
      <formula>'1853'!$L$5</formula>
    </cfRule>
    <cfRule type="cellIs" priority="472" operator="lessThan" aboveAverage="0" equalAverage="0" bottom="0" percent="0" rank="0" text="" dxfId="2287">
      <formula>'1853'!$L$5</formula>
    </cfRule>
  </conditionalFormatting>
  <conditionalFormatting sqref="M6">
    <cfRule type="cellIs" priority="473" operator="equal" aboveAverage="0" equalAverage="0" bottom="0" percent="0" rank="0" text="" dxfId="2288">
      <formula>'1853'!$L$6</formula>
    </cfRule>
    <cfRule type="cellIs" priority="474" operator="lessThan" aboveAverage="0" equalAverage="0" bottom="0" percent="0" rank="0" text="" dxfId="2289">
      <formula>'1853'!$L$6</formula>
    </cfRule>
  </conditionalFormatting>
  <conditionalFormatting sqref="M7">
    <cfRule type="cellIs" priority="475" operator="equal" aboveAverage="0" equalAverage="0" bottom="0" percent="0" rank="0" text="" dxfId="2290">
      <formula>'1853'!$L$7</formula>
    </cfRule>
    <cfRule type="cellIs" priority="476" operator="lessThan" aboveAverage="0" equalAverage="0" bottom="0" percent="0" rank="0" text="" dxfId="2291">
      <formula>'1853'!$L$7</formula>
    </cfRule>
  </conditionalFormatting>
  <conditionalFormatting sqref="M8">
    <cfRule type="cellIs" priority="477" operator="equal" aboveAverage="0" equalAverage="0" bottom="0" percent="0" rank="0" text="" dxfId="2292">
      <formula>'1853'!$L$8</formula>
    </cfRule>
    <cfRule type="cellIs" priority="478" operator="lessThan" aboveAverage="0" equalAverage="0" bottom="0" percent="0" rank="0" text="" dxfId="2293">
      <formula>'1853'!$L$8</formula>
    </cfRule>
  </conditionalFormatting>
  <conditionalFormatting sqref="M9">
    <cfRule type="cellIs" priority="479" operator="equal" aboveAverage="0" equalAverage="0" bottom="0" percent="0" rank="0" text="" dxfId="2294">
      <formula>'1853'!$L$9</formula>
    </cfRule>
    <cfRule type="cellIs" priority="480" operator="lessThan" aboveAverage="0" equalAverage="0" bottom="0" percent="0" rank="0" text="" dxfId="2295">
      <formula>'1853'!$L$9</formula>
    </cfRule>
  </conditionalFormatting>
  <conditionalFormatting sqref="M10">
    <cfRule type="cellIs" priority="481" operator="equal" aboveAverage="0" equalAverage="0" bottom="0" percent="0" rank="0" text="" dxfId="2296">
      <formula>'1853'!$L$10</formula>
    </cfRule>
    <cfRule type="cellIs" priority="482" operator="lessThan" aboveAverage="0" equalAverage="0" bottom="0" percent="0" rank="0" text="" dxfId="2297">
      <formula>'1853'!$L$10</formula>
    </cfRule>
  </conditionalFormatting>
  <conditionalFormatting sqref="M11">
    <cfRule type="cellIs" priority="483" operator="equal" aboveAverage="0" equalAverage="0" bottom="0" percent="0" rank="0" text="" dxfId="2298">
      <formula>'1853'!$L$11</formula>
    </cfRule>
    <cfRule type="cellIs" priority="484" operator="lessThan" aboveAverage="0" equalAverage="0" bottom="0" percent="0" rank="0" text="" dxfId="2299">
      <formula>'1853'!$L$11</formula>
    </cfRule>
  </conditionalFormatting>
  <conditionalFormatting sqref="M12">
    <cfRule type="cellIs" priority="485" operator="equal" aboveAverage="0" equalAverage="0" bottom="0" percent="0" rank="0" text="" dxfId="2300">
      <formula>'1853'!$L$12</formula>
    </cfRule>
    <cfRule type="cellIs" priority="486" operator="lessThan" aboveAverage="0" equalAverage="0" bottom="0" percent="0" rank="0" text="" dxfId="2301">
      <formula>'1853'!$L$12</formula>
    </cfRule>
  </conditionalFormatting>
  <conditionalFormatting sqref="M13">
    <cfRule type="cellIs" priority="487" operator="equal" aboveAverage="0" equalAverage="0" bottom="0" percent="0" rank="0" text="" dxfId="2302">
      <formula>'1853'!$L$13</formula>
    </cfRule>
    <cfRule type="cellIs" priority="488" operator="lessThan" aboveAverage="0" equalAverage="0" bottom="0" percent="0" rank="0" text="" dxfId="2303">
      <formula>'1853'!$L$13</formula>
    </cfRule>
  </conditionalFormatting>
  <conditionalFormatting sqref="M14">
    <cfRule type="cellIs" priority="489" operator="equal" aboveAverage="0" equalAverage="0" bottom="0" percent="0" rank="0" text="" dxfId="2304">
      <formula>'1853'!$L$14</formula>
    </cfRule>
    <cfRule type="cellIs" priority="490" operator="lessThan" aboveAverage="0" equalAverage="0" bottom="0" percent="0" rank="0" text="" dxfId="2305">
      <formula>'1853'!$L$14</formula>
    </cfRule>
  </conditionalFormatting>
  <conditionalFormatting sqref="M15">
    <cfRule type="cellIs" priority="491" operator="equal" aboveAverage="0" equalAverage="0" bottom="0" percent="0" rank="0" text="" dxfId="2306">
      <formula>'1853'!$L$15</formula>
    </cfRule>
    <cfRule type="cellIs" priority="492" operator="lessThan" aboveAverage="0" equalAverage="0" bottom="0" percent="0" rank="0" text="" dxfId="2307">
      <formula>'1853'!$L$15</formula>
    </cfRule>
  </conditionalFormatting>
  <conditionalFormatting sqref="M16">
    <cfRule type="cellIs" priority="493" operator="equal" aboveAverage="0" equalAverage="0" bottom="0" percent="0" rank="0" text="" dxfId="2308">
      <formula>'1853'!$L$16</formula>
    </cfRule>
    <cfRule type="cellIs" priority="494" operator="lessThan" aboveAverage="0" equalAverage="0" bottom="0" percent="0" rank="0" text="" dxfId="2309">
      <formula>'1853'!$L$16</formula>
    </cfRule>
  </conditionalFormatting>
  <conditionalFormatting sqref="M17">
    <cfRule type="cellIs" priority="495" operator="equal" aboveAverage="0" equalAverage="0" bottom="0" percent="0" rank="0" text="" dxfId="2310">
      <formula>'1853'!$L$17</formula>
    </cfRule>
    <cfRule type="cellIs" priority="496" operator="lessThan" aboveAverage="0" equalAverage="0" bottom="0" percent="0" rank="0" text="" dxfId="2311">
      <formula>'1853'!$L$17</formula>
    </cfRule>
  </conditionalFormatting>
  <conditionalFormatting sqref="M18">
    <cfRule type="cellIs" priority="497" operator="equal" aboveAverage="0" equalAverage="0" bottom="0" percent="0" rank="0" text="" dxfId="2312">
      <formula>'1853'!$L$18</formula>
    </cfRule>
    <cfRule type="cellIs" priority="498" operator="lessThan" aboveAverage="0" equalAverage="0" bottom="0" percent="0" rank="0" text="" dxfId="2313">
      <formula>'1853'!$L$18</formula>
    </cfRule>
  </conditionalFormatting>
  <conditionalFormatting sqref="M19">
    <cfRule type="cellIs" priority="499" operator="equal" aboveAverage="0" equalAverage="0" bottom="0" percent="0" rank="0" text="" dxfId="2314">
      <formula>'1853'!$L$19</formula>
    </cfRule>
    <cfRule type="cellIs" priority="500" operator="lessThan" aboveAverage="0" equalAverage="0" bottom="0" percent="0" rank="0" text="" dxfId="2315">
      <formula>'1853'!$L$19</formula>
    </cfRule>
  </conditionalFormatting>
  <conditionalFormatting sqref="M20">
    <cfRule type="cellIs" priority="501" operator="equal" aboveAverage="0" equalAverage="0" bottom="0" percent="0" rank="0" text="" dxfId="2316">
      <formula>'1853'!$L$20</formula>
    </cfRule>
    <cfRule type="cellIs" priority="502" operator="lessThan" aboveAverage="0" equalAverage="0" bottom="0" percent="0" rank="0" text="" dxfId="2317">
      <formula>'1853'!$L$20</formula>
    </cfRule>
  </conditionalFormatting>
  <conditionalFormatting sqref="M21">
    <cfRule type="cellIs" priority="503" operator="equal" aboveAverage="0" equalAverage="0" bottom="0" percent="0" rank="0" text="" dxfId="2318">
      <formula>'1853'!$L$21</formula>
    </cfRule>
    <cfRule type="cellIs" priority="504" operator="lessThan" aboveAverage="0" equalAverage="0" bottom="0" percent="0" rank="0" text="" dxfId="2319">
      <formula>'1853'!$L$21</formula>
    </cfRule>
  </conditionalFormatting>
  <conditionalFormatting sqref="M22">
    <cfRule type="cellIs" priority="505" operator="equal" aboveAverage="0" equalAverage="0" bottom="0" percent="0" rank="0" text="" dxfId="2320">
      <formula>'1853'!$L$22</formula>
    </cfRule>
    <cfRule type="cellIs" priority="506" operator="lessThan" aboveAverage="0" equalAverage="0" bottom="0" percent="0" rank="0" text="" dxfId="2321">
      <formula>'1853'!$L$22</formula>
    </cfRule>
  </conditionalFormatting>
  <conditionalFormatting sqref="M23">
    <cfRule type="cellIs" priority="507" operator="equal" aboveAverage="0" equalAverage="0" bottom="0" percent="0" rank="0" text="" dxfId="2322">
      <formula>'1853'!$L$23</formula>
    </cfRule>
    <cfRule type="cellIs" priority="508" operator="lessThan" aboveAverage="0" equalAverage="0" bottom="0" percent="0" rank="0" text="" dxfId="2323">
      <formula>'1853'!$L$23</formula>
    </cfRule>
  </conditionalFormatting>
  <conditionalFormatting sqref="M24">
    <cfRule type="cellIs" priority="509" operator="equal" aboveAverage="0" equalAverage="0" bottom="0" percent="0" rank="0" text="" dxfId="2324">
      <formula>'1853'!$L$24</formula>
    </cfRule>
    <cfRule type="cellIs" priority="510" operator="lessThan" aboveAverage="0" equalAverage="0" bottom="0" percent="0" rank="0" text="" dxfId="2325">
      <formula>'1853'!$L$24</formula>
    </cfRule>
  </conditionalFormatting>
  <conditionalFormatting sqref="M25">
    <cfRule type="cellIs" priority="511" operator="equal" aboveAverage="0" equalAverage="0" bottom="0" percent="0" rank="0" text="" dxfId="2326">
      <formula>'1853'!$L$25</formula>
    </cfRule>
    <cfRule type="cellIs" priority="512" operator="lessThan" aboveAverage="0" equalAverage="0" bottom="0" percent="0" rank="0" text="" dxfId="2327">
      <formula>'1853'!$L$25</formula>
    </cfRule>
  </conditionalFormatting>
  <conditionalFormatting sqref="M26">
    <cfRule type="cellIs" priority="513" operator="equal" aboveAverage="0" equalAverage="0" bottom="0" percent="0" rank="0" text="" dxfId="2328">
      <formula>'1853'!$L$26</formula>
    </cfRule>
    <cfRule type="cellIs" priority="514" operator="lessThan" aboveAverage="0" equalAverage="0" bottom="0" percent="0" rank="0" text="" dxfId="2329">
      <formula>'1853'!$L$26</formula>
    </cfRule>
  </conditionalFormatting>
  <conditionalFormatting sqref="M27">
    <cfRule type="cellIs" priority="515" operator="equal" aboveAverage="0" equalAverage="0" bottom="0" percent="0" rank="0" text="" dxfId="2330">
      <formula>'1853'!$L$27</formula>
    </cfRule>
    <cfRule type="cellIs" priority="516" operator="lessThan" aboveAverage="0" equalAverage="0" bottom="0" percent="0" rank="0" text="" dxfId="2331">
      <formula>'1853'!$L$27</formula>
    </cfRule>
  </conditionalFormatting>
  <conditionalFormatting sqref="M28">
    <cfRule type="cellIs" priority="517" operator="equal" aboveAverage="0" equalAverage="0" bottom="0" percent="0" rank="0" text="" dxfId="2332">
      <formula>'1853'!$L$28</formula>
    </cfRule>
    <cfRule type="cellIs" priority="518" operator="lessThan" aboveAverage="0" equalAverage="0" bottom="0" percent="0" rank="0" text="" dxfId="2333">
      <formula>'1853'!$L$28</formula>
    </cfRule>
  </conditionalFormatting>
  <conditionalFormatting sqref="M29">
    <cfRule type="cellIs" priority="519" operator="equal" aboveAverage="0" equalAverage="0" bottom="0" percent="0" rank="0" text="" dxfId="2334">
      <formula>'1853'!$L$29</formula>
    </cfRule>
    <cfRule type="cellIs" priority="520" operator="lessThan" aboveAverage="0" equalAverage="0" bottom="0" percent="0" rank="0" text="" dxfId="2335">
      <formula>'1853'!$L$29</formula>
    </cfRule>
  </conditionalFormatting>
  <conditionalFormatting sqref="N4">
    <cfRule type="cellIs" priority="521" operator="equal" aboveAverage="0" equalAverage="0" bottom="0" percent="0" rank="0" text="" dxfId="2336">
      <formula>'1853'!$M$4</formula>
    </cfRule>
    <cfRule type="cellIs" priority="522" operator="lessThan" aboveAverage="0" equalAverage="0" bottom="0" percent="0" rank="0" text="" dxfId="2337">
      <formula>'1853'!$M$4</formula>
    </cfRule>
  </conditionalFormatting>
  <conditionalFormatting sqref="N5">
    <cfRule type="cellIs" priority="523" operator="equal" aboveAverage="0" equalAverage="0" bottom="0" percent="0" rank="0" text="" dxfId="2338">
      <formula>'1853'!$M$5</formula>
    </cfRule>
    <cfRule type="cellIs" priority="524" operator="lessThan" aboveAverage="0" equalAverage="0" bottom="0" percent="0" rank="0" text="" dxfId="2339">
      <formula>'1853'!$M$5</formula>
    </cfRule>
  </conditionalFormatting>
  <conditionalFormatting sqref="N6">
    <cfRule type="cellIs" priority="525" operator="equal" aboveAverage="0" equalAverage="0" bottom="0" percent="0" rank="0" text="" dxfId="2340">
      <formula>'1853'!$M$6</formula>
    </cfRule>
    <cfRule type="cellIs" priority="526" operator="lessThan" aboveAverage="0" equalAverage="0" bottom="0" percent="0" rank="0" text="" dxfId="2341">
      <formula>'1853'!$M$6</formula>
    </cfRule>
  </conditionalFormatting>
  <conditionalFormatting sqref="N7">
    <cfRule type="cellIs" priority="527" operator="equal" aboveAverage="0" equalAverage="0" bottom="0" percent="0" rank="0" text="" dxfId="2342">
      <formula>'1853'!$M$7</formula>
    </cfRule>
    <cfRule type="cellIs" priority="528" operator="lessThan" aboveAverage="0" equalAverage="0" bottom="0" percent="0" rank="0" text="" dxfId="2343">
      <formula>'1853'!$M$7</formula>
    </cfRule>
  </conditionalFormatting>
  <conditionalFormatting sqref="N8">
    <cfRule type="cellIs" priority="529" operator="equal" aboveAverage="0" equalAverage="0" bottom="0" percent="0" rank="0" text="" dxfId="2344">
      <formula>'1853'!$M$8</formula>
    </cfRule>
    <cfRule type="cellIs" priority="530" operator="lessThan" aboveAverage="0" equalAverage="0" bottom="0" percent="0" rank="0" text="" dxfId="2345">
      <formula>'1853'!$M$8</formula>
    </cfRule>
  </conditionalFormatting>
  <conditionalFormatting sqref="N9">
    <cfRule type="cellIs" priority="531" operator="equal" aboveAverage="0" equalAverage="0" bottom="0" percent="0" rank="0" text="" dxfId="2346">
      <formula>'1853'!$M$9</formula>
    </cfRule>
    <cfRule type="cellIs" priority="532" operator="lessThan" aboveAverage="0" equalAverage="0" bottom="0" percent="0" rank="0" text="" dxfId="2347">
      <formula>'1853'!$M$9</formula>
    </cfRule>
  </conditionalFormatting>
  <conditionalFormatting sqref="N10">
    <cfRule type="cellIs" priority="533" operator="equal" aboveAverage="0" equalAverage="0" bottom="0" percent="0" rank="0" text="" dxfId="2348">
      <formula>'1853'!$M$10</formula>
    </cfRule>
    <cfRule type="cellIs" priority="534" operator="lessThan" aboveAverage="0" equalAverage="0" bottom="0" percent="0" rank="0" text="" dxfId="2349">
      <formula>'1853'!$M$10</formula>
    </cfRule>
  </conditionalFormatting>
  <conditionalFormatting sqref="N11">
    <cfRule type="cellIs" priority="535" operator="equal" aboveAverage="0" equalAverage="0" bottom="0" percent="0" rank="0" text="" dxfId="2350">
      <formula>'1853'!$M$11</formula>
    </cfRule>
    <cfRule type="cellIs" priority="536" operator="lessThan" aboveAverage="0" equalAverage="0" bottom="0" percent="0" rank="0" text="" dxfId="2351">
      <formula>'1853'!$M$11</formula>
    </cfRule>
  </conditionalFormatting>
  <conditionalFormatting sqref="N12">
    <cfRule type="cellIs" priority="537" operator="equal" aboveAverage="0" equalAverage="0" bottom="0" percent="0" rank="0" text="" dxfId="2352">
      <formula>'1853'!$M$12</formula>
    </cfRule>
    <cfRule type="cellIs" priority="538" operator="lessThan" aboveAverage="0" equalAverage="0" bottom="0" percent="0" rank="0" text="" dxfId="2353">
      <formula>'1853'!$M$12</formula>
    </cfRule>
  </conditionalFormatting>
  <conditionalFormatting sqref="N13">
    <cfRule type="cellIs" priority="539" operator="equal" aboveAverage="0" equalAverage="0" bottom="0" percent="0" rank="0" text="" dxfId="2354">
      <formula>'1853'!$M$13</formula>
    </cfRule>
    <cfRule type="cellIs" priority="540" operator="lessThan" aboveAverage="0" equalAverage="0" bottom="0" percent="0" rank="0" text="" dxfId="2355">
      <formula>'1853'!$M$13</formula>
    </cfRule>
  </conditionalFormatting>
  <conditionalFormatting sqref="N14">
    <cfRule type="cellIs" priority="541" operator="equal" aboveAverage="0" equalAverage="0" bottom="0" percent="0" rank="0" text="" dxfId="2356">
      <formula>'1853'!$M$14</formula>
    </cfRule>
    <cfRule type="cellIs" priority="542" operator="lessThan" aboveAverage="0" equalAverage="0" bottom="0" percent="0" rank="0" text="" dxfId="2357">
      <formula>'1853'!$M$14</formula>
    </cfRule>
  </conditionalFormatting>
  <conditionalFormatting sqref="N15">
    <cfRule type="cellIs" priority="543" operator="equal" aboveAverage="0" equalAverage="0" bottom="0" percent="0" rank="0" text="" dxfId="2358">
      <formula>'1853'!$M$15</formula>
    </cfRule>
    <cfRule type="cellIs" priority="544" operator="lessThan" aboveAverage="0" equalAverage="0" bottom="0" percent="0" rank="0" text="" dxfId="2359">
      <formula>'1853'!$M$15</formula>
    </cfRule>
  </conditionalFormatting>
  <conditionalFormatting sqref="N16">
    <cfRule type="cellIs" priority="545" operator="equal" aboveAverage="0" equalAverage="0" bottom="0" percent="0" rank="0" text="" dxfId="2360">
      <formula>'1853'!$M$16</formula>
    </cfRule>
    <cfRule type="cellIs" priority="546" operator="lessThan" aboveAverage="0" equalAverage="0" bottom="0" percent="0" rank="0" text="" dxfId="2361">
      <formula>'1853'!$M$16</formula>
    </cfRule>
  </conditionalFormatting>
  <conditionalFormatting sqref="N17">
    <cfRule type="cellIs" priority="547" operator="equal" aboveAverage="0" equalAverage="0" bottom="0" percent="0" rank="0" text="" dxfId="2362">
      <formula>'1853'!$M$17</formula>
    </cfRule>
    <cfRule type="cellIs" priority="548" operator="lessThan" aboveAverage="0" equalAverage="0" bottom="0" percent="0" rank="0" text="" dxfId="2363">
      <formula>'1853'!$M$17</formula>
    </cfRule>
  </conditionalFormatting>
  <conditionalFormatting sqref="N18">
    <cfRule type="cellIs" priority="549" operator="equal" aboveAverage="0" equalAverage="0" bottom="0" percent="0" rank="0" text="" dxfId="2364">
      <formula>'1853'!$M$18</formula>
    </cfRule>
    <cfRule type="cellIs" priority="550" operator="lessThan" aboveAverage="0" equalAverage="0" bottom="0" percent="0" rank="0" text="" dxfId="2365">
      <formula>'1853'!$M$18</formula>
    </cfRule>
  </conditionalFormatting>
  <conditionalFormatting sqref="N19">
    <cfRule type="cellIs" priority="551" operator="equal" aboveAverage="0" equalAverage="0" bottom="0" percent="0" rank="0" text="" dxfId="2366">
      <formula>'1853'!$M$19</formula>
    </cfRule>
    <cfRule type="cellIs" priority="552" operator="lessThan" aboveAverage="0" equalAverage="0" bottom="0" percent="0" rank="0" text="" dxfId="2367">
      <formula>'1853'!$M$19</formula>
    </cfRule>
  </conditionalFormatting>
  <conditionalFormatting sqref="N20">
    <cfRule type="cellIs" priority="553" operator="equal" aboveAverage="0" equalAverage="0" bottom="0" percent="0" rank="0" text="" dxfId="2368">
      <formula>'1853'!$M$20</formula>
    </cfRule>
    <cfRule type="cellIs" priority="554" operator="lessThan" aboveAverage="0" equalAverage="0" bottom="0" percent="0" rank="0" text="" dxfId="2369">
      <formula>'1853'!$M$20</formula>
    </cfRule>
  </conditionalFormatting>
  <conditionalFormatting sqref="N21">
    <cfRule type="cellIs" priority="555" operator="equal" aboveAverage="0" equalAverage="0" bottom="0" percent="0" rank="0" text="" dxfId="2370">
      <formula>'1853'!$M$21</formula>
    </cfRule>
    <cfRule type="cellIs" priority="556" operator="lessThan" aboveAverage="0" equalAverage="0" bottom="0" percent="0" rank="0" text="" dxfId="2371">
      <formula>'1853'!$M$21</formula>
    </cfRule>
  </conditionalFormatting>
  <conditionalFormatting sqref="N22">
    <cfRule type="cellIs" priority="557" operator="equal" aboveAverage="0" equalAverage="0" bottom="0" percent="0" rank="0" text="" dxfId="2372">
      <formula>'1853'!$M$22</formula>
    </cfRule>
    <cfRule type="cellIs" priority="558" operator="lessThan" aboveAverage="0" equalAverage="0" bottom="0" percent="0" rank="0" text="" dxfId="2373">
      <formula>'1853'!$M$22</formula>
    </cfRule>
  </conditionalFormatting>
  <conditionalFormatting sqref="N23">
    <cfRule type="cellIs" priority="559" operator="equal" aboveAverage="0" equalAverage="0" bottom="0" percent="0" rank="0" text="" dxfId="2374">
      <formula>'1853'!$M$23</formula>
    </cfRule>
    <cfRule type="cellIs" priority="560" operator="lessThan" aboveAverage="0" equalAverage="0" bottom="0" percent="0" rank="0" text="" dxfId="2375">
      <formula>'1853'!$M$23</formula>
    </cfRule>
  </conditionalFormatting>
  <conditionalFormatting sqref="N24">
    <cfRule type="cellIs" priority="561" operator="equal" aboveAverage="0" equalAverage="0" bottom="0" percent="0" rank="0" text="" dxfId="2376">
      <formula>'1853'!$M$24</formula>
    </cfRule>
    <cfRule type="cellIs" priority="562" operator="lessThan" aboveAverage="0" equalAverage="0" bottom="0" percent="0" rank="0" text="" dxfId="2377">
      <formula>'1853'!$M$24</formula>
    </cfRule>
  </conditionalFormatting>
  <conditionalFormatting sqref="N25">
    <cfRule type="cellIs" priority="563" operator="equal" aboveAverage="0" equalAverage="0" bottom="0" percent="0" rank="0" text="" dxfId="2378">
      <formula>'1853'!$M$25</formula>
    </cfRule>
    <cfRule type="cellIs" priority="564" operator="lessThan" aboveAverage="0" equalAverage="0" bottom="0" percent="0" rank="0" text="" dxfId="2379">
      <formula>'1853'!$M$25</formula>
    </cfRule>
  </conditionalFormatting>
  <conditionalFormatting sqref="N26">
    <cfRule type="cellIs" priority="565" operator="equal" aboveAverage="0" equalAverage="0" bottom="0" percent="0" rank="0" text="" dxfId="2380">
      <formula>'1853'!$M$26</formula>
    </cfRule>
    <cfRule type="cellIs" priority="566" operator="lessThan" aboveAverage="0" equalAverage="0" bottom="0" percent="0" rank="0" text="" dxfId="2381">
      <formula>'1853'!$M$26</formula>
    </cfRule>
  </conditionalFormatting>
  <conditionalFormatting sqref="N27">
    <cfRule type="cellIs" priority="567" operator="equal" aboveAverage="0" equalAverage="0" bottom="0" percent="0" rank="0" text="" dxfId="2382">
      <formula>'1853'!$M$27</formula>
    </cfRule>
    <cfRule type="cellIs" priority="568" operator="lessThan" aboveAverage="0" equalAverage="0" bottom="0" percent="0" rank="0" text="" dxfId="2383">
      <formula>'1853'!$M$27</formula>
    </cfRule>
  </conditionalFormatting>
  <conditionalFormatting sqref="N28">
    <cfRule type="cellIs" priority="569" operator="equal" aboveAverage="0" equalAverage="0" bottom="0" percent="0" rank="0" text="" dxfId="2384">
      <formula>'1853'!$M$28</formula>
    </cfRule>
    <cfRule type="cellIs" priority="570" operator="lessThan" aboveAverage="0" equalAverage="0" bottom="0" percent="0" rank="0" text="" dxfId="2385">
      <formula>'1853'!$M$28</formula>
    </cfRule>
  </conditionalFormatting>
  <conditionalFormatting sqref="N29">
    <cfRule type="cellIs" priority="571" operator="equal" aboveAverage="0" equalAverage="0" bottom="0" percent="0" rank="0" text="" dxfId="2386">
      <formula>'1853'!$M$29</formula>
    </cfRule>
    <cfRule type="cellIs" priority="572" operator="lessThan" aboveAverage="0" equalAverage="0" bottom="0" percent="0" rank="0" text="" dxfId="2387">
      <formula>'1853'!$M$29</formula>
    </cfRule>
  </conditionalFormatting>
  <conditionalFormatting sqref="O4">
    <cfRule type="cellIs" priority="573" operator="lessThan" aboveAverage="0" equalAverage="0" bottom="0" percent="0" rank="0" text="" dxfId="2388">
      <formula>'1853'!$N$4</formula>
    </cfRule>
  </conditionalFormatting>
  <conditionalFormatting sqref="O5">
    <cfRule type="cellIs" priority="574" operator="equal" aboveAverage="0" equalAverage="0" bottom="0" percent="0" rank="0" text="" dxfId="2389">
      <formula>'1853'!$N$5</formula>
    </cfRule>
    <cfRule type="cellIs" priority="575" operator="lessThan" aboveAverage="0" equalAverage="0" bottom="0" percent="0" rank="0" text="" dxfId="2390">
      <formula>'1853'!$N$5</formula>
    </cfRule>
  </conditionalFormatting>
  <conditionalFormatting sqref="O6">
    <cfRule type="cellIs" priority="576" operator="equal" aboveAverage="0" equalAverage="0" bottom="0" percent="0" rank="0" text="" dxfId="2391">
      <formula>'1853'!$N$6</formula>
    </cfRule>
    <cfRule type="cellIs" priority="577" operator="lessThan" aboveAverage="0" equalAverage="0" bottom="0" percent="0" rank="0" text="" dxfId="2392">
      <formula>'1853'!$N$6</formula>
    </cfRule>
  </conditionalFormatting>
  <conditionalFormatting sqref="O7">
    <cfRule type="cellIs" priority="578" operator="equal" aboveAverage="0" equalAverage="0" bottom="0" percent="0" rank="0" text="" dxfId="2393">
      <formula>'1853'!$N$7</formula>
    </cfRule>
    <cfRule type="cellIs" priority="579" operator="lessThan" aboveAverage="0" equalAverage="0" bottom="0" percent="0" rank="0" text="" dxfId="2394">
      <formula>'1853'!$N$7</formula>
    </cfRule>
  </conditionalFormatting>
  <conditionalFormatting sqref="O8">
    <cfRule type="cellIs" priority="580" operator="equal" aboveAverage="0" equalAverage="0" bottom="0" percent="0" rank="0" text="" dxfId="2395">
      <formula>'1853'!$N$8</formula>
    </cfRule>
    <cfRule type="cellIs" priority="581" operator="lessThan" aboveAverage="0" equalAverage="0" bottom="0" percent="0" rank="0" text="" dxfId="2396">
      <formula>'1853'!$N$8</formula>
    </cfRule>
  </conditionalFormatting>
  <conditionalFormatting sqref="O9">
    <cfRule type="cellIs" priority="582" operator="equal" aboveAverage="0" equalAverage="0" bottom="0" percent="0" rank="0" text="" dxfId="2397">
      <formula>'1853'!$N$9</formula>
    </cfRule>
    <cfRule type="cellIs" priority="583" operator="lessThan" aboveAverage="0" equalAverage="0" bottom="0" percent="0" rank="0" text="" dxfId="2398">
      <formula>'1853'!$N$9</formula>
    </cfRule>
  </conditionalFormatting>
  <conditionalFormatting sqref="O10">
    <cfRule type="cellIs" priority="584" operator="equal" aboveAverage="0" equalAverage="0" bottom="0" percent="0" rank="0" text="" dxfId="2399">
      <formula>'1853'!$N$10</formula>
    </cfRule>
    <cfRule type="cellIs" priority="585" operator="lessThan" aboveAverage="0" equalAverage="0" bottom="0" percent="0" rank="0" text="" dxfId="2400">
      <formula>'1853'!$N$10</formula>
    </cfRule>
  </conditionalFormatting>
  <conditionalFormatting sqref="O11">
    <cfRule type="cellIs" priority="586" operator="equal" aboveAverage="0" equalAverage="0" bottom="0" percent="0" rank="0" text="" dxfId="2401">
      <formula>'1853'!$N$11</formula>
    </cfRule>
    <cfRule type="cellIs" priority="587" operator="lessThan" aboveAverage="0" equalAverage="0" bottom="0" percent="0" rank="0" text="" dxfId="2402">
      <formula>'1853'!$N$11</formula>
    </cfRule>
  </conditionalFormatting>
  <conditionalFormatting sqref="O12">
    <cfRule type="cellIs" priority="588" operator="equal" aboveAverage="0" equalAverage="0" bottom="0" percent="0" rank="0" text="" dxfId="2403">
      <formula>'1853'!$N$12</formula>
    </cfRule>
    <cfRule type="cellIs" priority="589" operator="lessThan" aboveAverage="0" equalAverage="0" bottom="0" percent="0" rank="0" text="" dxfId="2404">
      <formula>'1853'!$N$12</formula>
    </cfRule>
  </conditionalFormatting>
  <conditionalFormatting sqref="O13">
    <cfRule type="cellIs" priority="590" operator="equal" aboveAverage="0" equalAverage="0" bottom="0" percent="0" rank="0" text="" dxfId="2405">
      <formula>'1853'!$N$13</formula>
    </cfRule>
    <cfRule type="cellIs" priority="591" operator="lessThan" aboveAverage="0" equalAverage="0" bottom="0" percent="0" rank="0" text="" dxfId="2406">
      <formula>'1853'!$N$13</formula>
    </cfRule>
  </conditionalFormatting>
  <conditionalFormatting sqref="O14">
    <cfRule type="cellIs" priority="592" operator="equal" aboveAverage="0" equalAverage="0" bottom="0" percent="0" rank="0" text="" dxfId="2407">
      <formula>'1853'!$N$14</formula>
    </cfRule>
    <cfRule type="cellIs" priority="593" operator="lessThan" aboveAverage="0" equalAverage="0" bottom="0" percent="0" rank="0" text="" dxfId="2408">
      <formula>'1853'!$N$14</formula>
    </cfRule>
  </conditionalFormatting>
  <conditionalFormatting sqref="O15">
    <cfRule type="cellIs" priority="594" operator="equal" aboveAverage="0" equalAverage="0" bottom="0" percent="0" rank="0" text="" dxfId="2409">
      <formula>'1853'!$N$15</formula>
    </cfRule>
    <cfRule type="cellIs" priority="595" operator="lessThan" aboveAverage="0" equalAverage="0" bottom="0" percent="0" rank="0" text="" dxfId="2410">
      <formula>'1853'!$N$15</formula>
    </cfRule>
  </conditionalFormatting>
  <conditionalFormatting sqref="O16">
    <cfRule type="cellIs" priority="596" operator="equal" aboveAverage="0" equalAverage="0" bottom="0" percent="0" rank="0" text="" dxfId="2411">
      <formula>'1853'!$N$16</formula>
    </cfRule>
    <cfRule type="cellIs" priority="597" operator="lessThan" aboveAverage="0" equalAverage="0" bottom="0" percent="0" rank="0" text="" dxfId="2412">
      <formula>'1853'!$N$16</formula>
    </cfRule>
  </conditionalFormatting>
  <conditionalFormatting sqref="O17">
    <cfRule type="cellIs" priority="598" operator="equal" aboveAverage="0" equalAverage="0" bottom="0" percent="0" rank="0" text="" dxfId="2413">
      <formula>'1853'!$N$17</formula>
    </cfRule>
    <cfRule type="cellIs" priority="599" operator="lessThan" aboveAverage="0" equalAverage="0" bottom="0" percent="0" rank="0" text="" dxfId="2414">
      <formula>'1853'!$N$17</formula>
    </cfRule>
  </conditionalFormatting>
  <conditionalFormatting sqref="O18">
    <cfRule type="cellIs" priority="600" operator="equal" aboveAverage="0" equalAverage="0" bottom="0" percent="0" rank="0" text="" dxfId="2415">
      <formula>'1853'!$N$18</formula>
    </cfRule>
    <cfRule type="cellIs" priority="601" operator="lessThan" aboveAverage="0" equalAverage="0" bottom="0" percent="0" rank="0" text="" dxfId="2416">
      <formula>'1853'!$N$18</formula>
    </cfRule>
  </conditionalFormatting>
  <conditionalFormatting sqref="O19">
    <cfRule type="cellIs" priority="602" operator="equal" aboveAverage="0" equalAverage="0" bottom="0" percent="0" rank="0" text="" dxfId="2417">
      <formula>'1853'!$N$19</formula>
    </cfRule>
    <cfRule type="cellIs" priority="603" operator="lessThan" aboveAverage="0" equalAverage="0" bottom="0" percent="0" rank="0" text="" dxfId="2418">
      <formula>'1853'!$N$19</formula>
    </cfRule>
  </conditionalFormatting>
  <conditionalFormatting sqref="O20">
    <cfRule type="cellIs" priority="604" operator="equal" aboveAverage="0" equalAverage="0" bottom="0" percent="0" rank="0" text="" dxfId="2419">
      <formula>'1853'!$N$20</formula>
    </cfRule>
    <cfRule type="cellIs" priority="605" operator="lessThan" aboveAverage="0" equalAverage="0" bottom="0" percent="0" rank="0" text="" dxfId="2420">
      <formula>'1853'!$N$20</formula>
    </cfRule>
  </conditionalFormatting>
  <conditionalFormatting sqref="O21">
    <cfRule type="cellIs" priority="606" operator="equal" aboveAverage="0" equalAverage="0" bottom="0" percent="0" rank="0" text="" dxfId="2421">
      <formula>'1853'!$N$21</formula>
    </cfRule>
    <cfRule type="cellIs" priority="607" operator="lessThan" aboveAverage="0" equalAverage="0" bottom="0" percent="0" rank="0" text="" dxfId="2422">
      <formula>'1853'!$N$21</formula>
    </cfRule>
  </conditionalFormatting>
  <conditionalFormatting sqref="O22">
    <cfRule type="cellIs" priority="608" operator="equal" aboveAverage="0" equalAverage="0" bottom="0" percent="0" rank="0" text="" dxfId="2423">
      <formula>'1853'!$N$22</formula>
    </cfRule>
    <cfRule type="cellIs" priority="609" operator="lessThan" aboveAverage="0" equalAverage="0" bottom="0" percent="0" rank="0" text="" dxfId="2424">
      <formula>'1853'!$N$22</formula>
    </cfRule>
  </conditionalFormatting>
  <conditionalFormatting sqref="O23">
    <cfRule type="cellIs" priority="610" operator="equal" aboveAverage="0" equalAverage="0" bottom="0" percent="0" rank="0" text="" dxfId="2425">
      <formula>'1853'!$N$23</formula>
    </cfRule>
    <cfRule type="cellIs" priority="611" operator="lessThan" aboveAverage="0" equalAverage="0" bottom="0" percent="0" rank="0" text="" dxfId="2426">
      <formula>'1853'!$N$23</formula>
    </cfRule>
  </conditionalFormatting>
  <conditionalFormatting sqref="O24">
    <cfRule type="cellIs" priority="612" operator="equal" aboveAverage="0" equalAverage="0" bottom="0" percent="0" rank="0" text="" dxfId="2427">
      <formula>'1853'!$N$24</formula>
    </cfRule>
    <cfRule type="cellIs" priority="613" operator="lessThan" aboveAverage="0" equalAverage="0" bottom="0" percent="0" rank="0" text="" dxfId="2428">
      <formula>'1853'!$N$24</formula>
    </cfRule>
  </conditionalFormatting>
  <conditionalFormatting sqref="O25">
    <cfRule type="cellIs" priority="614" operator="equal" aboveAverage="0" equalAverage="0" bottom="0" percent="0" rank="0" text="" dxfId="2429">
      <formula>'1853'!$N$25</formula>
    </cfRule>
    <cfRule type="cellIs" priority="615" operator="lessThan" aboveAverage="0" equalAverage="0" bottom="0" percent="0" rank="0" text="" dxfId="2430">
      <formula>'1853'!$N$25</formula>
    </cfRule>
  </conditionalFormatting>
  <conditionalFormatting sqref="O26">
    <cfRule type="cellIs" priority="616" operator="equal" aboveAverage="0" equalAverage="0" bottom="0" percent="0" rank="0" text="" dxfId="2431">
      <formula>'1853'!$N$26</formula>
    </cfRule>
    <cfRule type="cellIs" priority="617" operator="lessThan" aboveAverage="0" equalAverage="0" bottom="0" percent="0" rank="0" text="" dxfId="2432">
      <formula>'1853'!$N$26</formula>
    </cfRule>
  </conditionalFormatting>
  <conditionalFormatting sqref="O27">
    <cfRule type="cellIs" priority="618" operator="equal" aboveAverage="0" equalAverage="0" bottom="0" percent="0" rank="0" text="" dxfId="2433">
      <formula>'1853'!$N$27</formula>
    </cfRule>
    <cfRule type="cellIs" priority="619" operator="lessThan" aboveAverage="0" equalAverage="0" bottom="0" percent="0" rank="0" text="" dxfId="2434">
      <formula>'1853'!$N$27</formula>
    </cfRule>
  </conditionalFormatting>
  <conditionalFormatting sqref="O28">
    <cfRule type="cellIs" priority="620" operator="equal" aboveAverage="0" equalAverage="0" bottom="0" percent="0" rank="0" text="" dxfId="2435">
      <formula>'1853'!$N$28</formula>
    </cfRule>
    <cfRule type="cellIs" priority="621" operator="lessThan" aboveAverage="0" equalAverage="0" bottom="0" percent="0" rank="0" text="" dxfId="2436">
      <formula>'1853'!$N$28</formula>
    </cfRule>
  </conditionalFormatting>
  <conditionalFormatting sqref="O29">
    <cfRule type="cellIs" priority="622" operator="equal" aboveAverage="0" equalAverage="0" bottom="0" percent="0" rank="0" text="" dxfId="2437">
      <formula>'1853'!$N$29</formula>
    </cfRule>
    <cfRule type="cellIs" priority="623" operator="lessThan" aboveAverage="0" equalAverage="0" bottom="0" percent="0" rank="0" text="" dxfId="2438">
      <formula>'1853'!$N$29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9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8.57"/>
    <col collapsed="false" customWidth="true" hidden="false" outlineLevel="0" max="2" min="2" style="0" width="26.15"/>
    <col collapsed="false" customWidth="true" hidden="false" outlineLevel="0" max="15" min="3" style="0" width="10.14"/>
    <col collapsed="false" customWidth="true" hidden="false" outlineLevel="0" max="16" min="16" style="0" width="9.57"/>
    <col collapsed="false" customWidth="true" hidden="false" outlineLevel="0" max="17" min="17" style="0" width="9.86"/>
    <col collapsed="false" customWidth="true" hidden="false" outlineLevel="0" max="18" min="18" style="0" width="9.29"/>
    <col collapsed="false" customWidth="true" hidden="false" outlineLevel="0" max="19" min="19" style="0" width="4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1854</v>
      </c>
      <c r="B2" s="3"/>
      <c r="C2" s="4" t="n">
        <f aca="false">'1850'!C2</f>
        <v>44562</v>
      </c>
      <c r="D2" s="4" t="n">
        <f aca="false">'1850'!D2</f>
        <v>44593</v>
      </c>
      <c r="E2" s="4" t="n">
        <f aca="false">'1850'!E2</f>
        <v>44622</v>
      </c>
      <c r="F2" s="4" t="n">
        <f aca="false">'1850'!F2</f>
        <v>44652</v>
      </c>
      <c r="G2" s="4" t="n">
        <f aca="false">'1850'!G2</f>
        <v>44683</v>
      </c>
      <c r="H2" s="4" t="n">
        <f aca="false">'1850'!H2</f>
        <v>44713</v>
      </c>
      <c r="I2" s="4" t="n">
        <f aca="false">'1850'!I2</f>
        <v>44743</v>
      </c>
      <c r="J2" s="4" t="n">
        <f aca="false">'1850'!J2</f>
        <v>44774</v>
      </c>
      <c r="K2" s="4" t="n">
        <f aca="false">'1850'!K2</f>
        <v>44805</v>
      </c>
      <c r="L2" s="4" t="n">
        <f aca="false">'1850'!L2</f>
        <v>44834</v>
      </c>
      <c r="M2" s="4" t="n">
        <f aca="false">'1850'!M2</f>
        <v>44866</v>
      </c>
      <c r="N2" s="4" t="n">
        <f aca="false">'1850'!N2</f>
        <v>44896</v>
      </c>
      <c r="O2" s="4" t="n">
        <f aca="false">'1850'!O2</f>
        <v>44927</v>
      </c>
      <c r="P2" s="6" t="s">
        <v>0</v>
      </c>
      <c r="Q2" s="6" t="s">
        <v>1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190</v>
      </c>
      <c r="C4" s="135" t="n">
        <v>190.77</v>
      </c>
      <c r="D4" s="135" t="n">
        <v>198.964</v>
      </c>
      <c r="E4" s="135" t="n">
        <v>205.613</v>
      </c>
      <c r="F4" s="135" t="n">
        <v>215.274</v>
      </c>
      <c r="G4" s="135" t="n">
        <v>222.737</v>
      </c>
      <c r="H4" s="135" t="n">
        <v>230.268</v>
      </c>
      <c r="I4" s="135" t="n">
        <v>235.797</v>
      </c>
      <c r="J4" s="135" t="n">
        <v>238.097</v>
      </c>
      <c r="K4" s="135" t="n">
        <v>243.088</v>
      </c>
      <c r="L4" s="136" t="n">
        <v>250.11</v>
      </c>
      <c r="M4" s="135" t="n">
        <v>257.155</v>
      </c>
      <c r="N4" s="135" t="n">
        <v>264.354</v>
      </c>
      <c r="O4" s="135" t="n">
        <v>270.752</v>
      </c>
      <c r="P4" s="18" t="n">
        <f aca="false">O4-C4</f>
        <v>79.982</v>
      </c>
      <c r="T4" s="6" t="n">
        <v>1</v>
      </c>
      <c r="U4" s="19" t="n">
        <f aca="false">D4-C4</f>
        <v>8.19399999999999</v>
      </c>
      <c r="V4" s="19" t="n">
        <f aca="false">E4-D4</f>
        <v>6.649</v>
      </c>
      <c r="W4" s="19" t="n">
        <f aca="false">F4-E4</f>
        <v>9.661</v>
      </c>
      <c r="X4" s="19" t="n">
        <f aca="false">G4-F4</f>
        <v>7.46299999999999</v>
      </c>
      <c r="Y4" s="19" t="n">
        <f aca="false">H4-G4</f>
        <v>7.53100000000001</v>
      </c>
      <c r="Z4" s="19" t="n">
        <f aca="false">I4-H4</f>
        <v>5.529</v>
      </c>
      <c r="AA4" s="19" t="n">
        <f aca="false">J4-I4</f>
        <v>2.30000000000001</v>
      </c>
      <c r="AB4" s="19" t="n">
        <f aca="false">K4-J4</f>
        <v>4.99099999999999</v>
      </c>
      <c r="AC4" s="19" t="n">
        <f aca="false">L4-K4</f>
        <v>7.02200000000002</v>
      </c>
      <c r="AD4" s="19" t="n">
        <f aca="false">M4-L4</f>
        <v>7.04499999999996</v>
      </c>
      <c r="AE4" s="19" t="n">
        <f aca="false">N4-M4</f>
        <v>7.19900000000001</v>
      </c>
      <c r="AF4" s="19" t="n">
        <f aca="false">O4-N4</f>
        <v>6.39800000000003</v>
      </c>
    </row>
    <row r="5" customFormat="false" ht="15" hidden="false" customHeight="false" outlineLevel="0" collapsed="false">
      <c r="A5" s="14"/>
      <c r="B5" s="20" t="s">
        <v>191</v>
      </c>
      <c r="C5" s="107" t="n">
        <v>6.792</v>
      </c>
      <c r="D5" s="107" t="n">
        <v>10.999</v>
      </c>
      <c r="E5" s="107" t="n">
        <v>14.319</v>
      </c>
      <c r="F5" s="107" t="n">
        <v>17.305</v>
      </c>
      <c r="G5" s="107" t="n">
        <v>19.445</v>
      </c>
      <c r="H5" s="107" t="n">
        <v>19.967</v>
      </c>
      <c r="I5" s="107" t="n">
        <v>20.251</v>
      </c>
      <c r="J5" s="107" t="n">
        <v>20.451</v>
      </c>
      <c r="K5" s="107" t="n">
        <v>20.726</v>
      </c>
      <c r="L5" s="137" t="n">
        <v>21.145</v>
      </c>
      <c r="M5" s="107" t="n">
        <v>22.543</v>
      </c>
      <c r="N5" s="107" t="n">
        <v>25.621</v>
      </c>
      <c r="O5" s="107" t="n">
        <v>29.809</v>
      </c>
      <c r="P5" s="18"/>
      <c r="Q5" s="18" t="n">
        <f aca="false">O5-C5</f>
        <v>23.017</v>
      </c>
      <c r="T5" s="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false" outlineLevel="0" collapsed="false">
      <c r="A6" s="24" t="n">
        <v>2</v>
      </c>
      <c r="B6" s="20" t="s">
        <v>192</v>
      </c>
      <c r="C6" s="107" t="n">
        <v>130.154</v>
      </c>
      <c r="D6" s="107" t="n">
        <v>135.875</v>
      </c>
      <c r="E6" s="107" t="n">
        <v>140.738</v>
      </c>
      <c r="F6" s="107" t="n">
        <v>147.232</v>
      </c>
      <c r="G6" s="107" t="n">
        <v>153.132</v>
      </c>
      <c r="H6" s="107" t="n">
        <v>158.748</v>
      </c>
      <c r="I6" s="107" t="n">
        <v>163.806</v>
      </c>
      <c r="J6" s="107" t="n">
        <v>169.224</v>
      </c>
      <c r="K6" s="107" t="n">
        <v>175.724</v>
      </c>
      <c r="L6" s="107" t="n">
        <v>181.555</v>
      </c>
      <c r="M6" s="107" t="n">
        <v>186.962</v>
      </c>
      <c r="N6" s="107" t="n">
        <v>192.432</v>
      </c>
      <c r="O6" s="107" t="n">
        <v>199.445</v>
      </c>
      <c r="P6" s="18" t="n">
        <f aca="false">O6-C6</f>
        <v>69.291</v>
      </c>
      <c r="T6" s="6" t="n">
        <v>2</v>
      </c>
      <c r="U6" s="25" t="n">
        <f aca="false">D6-C6</f>
        <v>5.721</v>
      </c>
      <c r="V6" s="25" t="n">
        <f aca="false">E6-D6</f>
        <v>4.863</v>
      </c>
      <c r="W6" s="25" t="n">
        <f aca="false">F6-E6</f>
        <v>6.494</v>
      </c>
      <c r="X6" s="25" t="n">
        <f aca="false">G6-F6</f>
        <v>5.90000000000001</v>
      </c>
      <c r="Y6" s="25" t="n">
        <f aca="false">H6-G6</f>
        <v>5.61599999999999</v>
      </c>
      <c r="Z6" s="25" t="n">
        <f aca="false">I6-H6</f>
        <v>5.05800000000002</v>
      </c>
      <c r="AA6" s="25" t="n">
        <f aca="false">J6-I6</f>
        <v>5.41799999999998</v>
      </c>
      <c r="AB6" s="25" t="n">
        <f aca="false">K6-J6</f>
        <v>6.5</v>
      </c>
      <c r="AC6" s="25" t="n">
        <f aca="false">L6-K6</f>
        <v>5.83100000000002</v>
      </c>
      <c r="AD6" s="25" t="n">
        <f aca="false">M6-L6</f>
        <v>5.40699999999998</v>
      </c>
      <c r="AE6" s="25" t="n">
        <f aca="false">N6-M6</f>
        <v>5.47</v>
      </c>
      <c r="AF6" s="25" t="n">
        <f aca="false">O6-N6</f>
        <v>7.01300000000001</v>
      </c>
    </row>
    <row r="7" customFormat="false" ht="15" hidden="false" customHeight="false" outlineLevel="0" collapsed="false">
      <c r="A7" s="24"/>
      <c r="B7" s="20" t="s">
        <v>193</v>
      </c>
      <c r="C7" s="107" t="n">
        <v>9.411</v>
      </c>
      <c r="D7" s="107" t="n">
        <v>14.899</v>
      </c>
      <c r="E7" s="107" t="n">
        <v>18.884</v>
      </c>
      <c r="F7" s="107" t="n">
        <v>22.264</v>
      </c>
      <c r="G7" s="107" t="n">
        <v>25.186</v>
      </c>
      <c r="H7" s="107" t="n">
        <v>25.813</v>
      </c>
      <c r="I7" s="107" t="n">
        <v>26.204</v>
      </c>
      <c r="J7" s="107" t="n">
        <v>26.563</v>
      </c>
      <c r="K7" s="107" t="n">
        <v>26.938</v>
      </c>
      <c r="L7" s="107" t="n">
        <v>27.906</v>
      </c>
      <c r="M7" s="107" t="n">
        <v>29.721</v>
      </c>
      <c r="N7" s="107" t="n">
        <v>34.365</v>
      </c>
      <c r="O7" s="107" t="n">
        <v>40.553</v>
      </c>
      <c r="P7" s="18"/>
      <c r="Q7" s="18" t="n">
        <f aca="false">O7-C7</f>
        <v>31.142</v>
      </c>
      <c r="T7" s="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customFormat="false" ht="15" hidden="false" customHeight="false" outlineLevel="0" collapsed="false">
      <c r="A8" s="24" t="n">
        <v>3</v>
      </c>
      <c r="B8" s="20" t="s">
        <v>194</v>
      </c>
      <c r="C8" s="107" t="n">
        <v>190.74</v>
      </c>
      <c r="D8" s="107" t="n">
        <v>198.066</v>
      </c>
      <c r="E8" s="107" t="n">
        <v>205.087</v>
      </c>
      <c r="F8" s="107" t="n">
        <v>212.007</v>
      </c>
      <c r="G8" s="107" t="n">
        <v>219.641</v>
      </c>
      <c r="H8" s="107" t="n">
        <v>227.219</v>
      </c>
      <c r="I8" s="107" t="n">
        <v>234.728</v>
      </c>
      <c r="J8" s="107" t="n">
        <v>242.841</v>
      </c>
      <c r="K8" s="107" t="n">
        <v>250.473</v>
      </c>
      <c r="L8" s="107" t="n">
        <v>256.939</v>
      </c>
      <c r="M8" s="107" t="n">
        <v>263.22</v>
      </c>
      <c r="N8" s="107" t="n">
        <v>269.182</v>
      </c>
      <c r="O8" s="107" t="n">
        <v>275.92</v>
      </c>
      <c r="P8" s="18" t="n">
        <f aca="false">O8-C8</f>
        <v>85.18</v>
      </c>
      <c r="T8" s="6" t="n">
        <v>3</v>
      </c>
      <c r="U8" s="25" t="n">
        <f aca="false">D8-C8</f>
        <v>7.32599999999999</v>
      </c>
      <c r="V8" s="25" t="n">
        <f aca="false">E8-D8</f>
        <v>7.02099999999999</v>
      </c>
      <c r="W8" s="25" t="n">
        <f aca="false">F8-E8</f>
        <v>6.92000000000002</v>
      </c>
      <c r="X8" s="25" t="n">
        <f aca="false">G8-F8</f>
        <v>7.63399999999999</v>
      </c>
      <c r="Y8" s="25" t="n">
        <f aca="false">H8-G8</f>
        <v>7.578</v>
      </c>
      <c r="Z8" s="25" t="n">
        <f aca="false">I8-H8</f>
        <v>7.50900000000001</v>
      </c>
      <c r="AA8" s="25" t="n">
        <f aca="false">J8-I8</f>
        <v>8.113</v>
      </c>
      <c r="AB8" s="25" t="n">
        <f aca="false">K8-J8</f>
        <v>7.63200000000001</v>
      </c>
      <c r="AC8" s="25" t="n">
        <f aca="false">L8-K8</f>
        <v>6.46600000000001</v>
      </c>
      <c r="AD8" s="25" t="n">
        <f aca="false">M8-L8</f>
        <v>6.28100000000001</v>
      </c>
      <c r="AE8" s="25" t="n">
        <f aca="false">N8-M8</f>
        <v>5.96199999999999</v>
      </c>
      <c r="AF8" s="25" t="n">
        <f aca="false">O8-N8</f>
        <v>6.738</v>
      </c>
    </row>
    <row r="9" customFormat="false" ht="15" hidden="false" customHeight="false" outlineLevel="0" collapsed="false">
      <c r="A9" s="24"/>
      <c r="B9" s="20" t="s">
        <v>195</v>
      </c>
      <c r="C9" s="107" t="n">
        <v>11.59</v>
      </c>
      <c r="D9" s="107" t="n">
        <v>17.634</v>
      </c>
      <c r="E9" s="107" t="n">
        <v>22.681</v>
      </c>
      <c r="F9" s="107" t="n">
        <v>26.76</v>
      </c>
      <c r="G9" s="107" t="n">
        <v>30.672</v>
      </c>
      <c r="H9" s="107" t="n">
        <v>31.287</v>
      </c>
      <c r="I9" s="107" t="n">
        <v>31.575</v>
      </c>
      <c r="J9" s="107" t="n">
        <v>31.881</v>
      </c>
      <c r="K9" s="107" t="n">
        <v>32.14</v>
      </c>
      <c r="L9" s="107" t="n">
        <v>32.682</v>
      </c>
      <c r="M9" s="107" t="n">
        <v>34.515</v>
      </c>
      <c r="N9" s="107" t="n">
        <v>38.298</v>
      </c>
      <c r="O9" s="107" t="n">
        <v>43.799</v>
      </c>
      <c r="P9" s="18"/>
      <c r="Q9" s="18" t="n">
        <f aca="false">O9-C9</f>
        <v>32.209</v>
      </c>
      <c r="T9" s="6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customFormat="false" ht="15" hidden="false" customHeight="false" outlineLevel="0" collapsed="false">
      <c r="A10" s="24" t="n">
        <v>4</v>
      </c>
      <c r="B10" s="20" t="s">
        <v>196</v>
      </c>
      <c r="C10" s="107" t="n">
        <v>125.285</v>
      </c>
      <c r="D10" s="107" t="n">
        <v>134.466</v>
      </c>
      <c r="E10" s="107" t="n">
        <v>142.333</v>
      </c>
      <c r="F10" s="107" t="n">
        <v>151.151</v>
      </c>
      <c r="G10" s="107" t="n">
        <v>161.107</v>
      </c>
      <c r="H10" s="107" t="n">
        <v>169.355</v>
      </c>
      <c r="I10" s="107" t="n">
        <v>176.913</v>
      </c>
      <c r="J10" s="107" t="n">
        <v>185.535</v>
      </c>
      <c r="K10" s="107" t="n">
        <v>194.771</v>
      </c>
      <c r="L10" s="107" t="n">
        <v>203.531</v>
      </c>
      <c r="M10" s="107" t="n">
        <v>213.631</v>
      </c>
      <c r="N10" s="107" t="n">
        <v>223.977</v>
      </c>
      <c r="O10" s="107" t="n">
        <v>233.497</v>
      </c>
      <c r="P10" s="18" t="n">
        <f aca="false">O10-C10</f>
        <v>108.212</v>
      </c>
      <c r="T10" s="6" t="n">
        <v>4</v>
      </c>
      <c r="U10" s="25" t="n">
        <f aca="false">D10-C10</f>
        <v>9.18100000000001</v>
      </c>
      <c r="V10" s="25" t="n">
        <f aca="false">E10-D10</f>
        <v>7.86699999999999</v>
      </c>
      <c r="W10" s="25" t="n">
        <f aca="false">F10-E10</f>
        <v>8.81800000000001</v>
      </c>
      <c r="X10" s="25" t="n">
        <f aca="false">G10-F10</f>
        <v>9.95599999999999</v>
      </c>
      <c r="Y10" s="25" t="n">
        <f aca="false">H10-G10</f>
        <v>8.24799999999999</v>
      </c>
      <c r="Z10" s="25" t="n">
        <f aca="false">I10-H10</f>
        <v>7.55800000000002</v>
      </c>
      <c r="AA10" s="25" t="n">
        <f aca="false">J10-I10</f>
        <v>8.62199999999999</v>
      </c>
      <c r="AB10" s="25" t="n">
        <f aca="false">K10-J10</f>
        <v>9.23599999999999</v>
      </c>
      <c r="AC10" s="25" t="n">
        <f aca="false">L10-K10</f>
        <v>8.76000000000002</v>
      </c>
      <c r="AD10" s="25" t="n">
        <f aca="false">M10-L10</f>
        <v>10.1</v>
      </c>
      <c r="AE10" s="25" t="n">
        <f aca="false">N10-M10</f>
        <v>10.346</v>
      </c>
      <c r="AF10" s="25" t="n">
        <f aca="false">O10-N10</f>
        <v>9.52000000000001</v>
      </c>
    </row>
    <row r="11" customFormat="false" ht="15" hidden="false" customHeight="false" outlineLevel="0" collapsed="false">
      <c r="A11" s="24"/>
      <c r="B11" s="20" t="s">
        <v>197</v>
      </c>
      <c r="C11" s="107" t="n">
        <v>3.734</v>
      </c>
      <c r="D11" s="107" t="n">
        <v>5.696</v>
      </c>
      <c r="E11" s="107" t="n">
        <v>7.204</v>
      </c>
      <c r="F11" s="107" t="n">
        <v>8.422</v>
      </c>
      <c r="G11" s="107" t="n">
        <v>9.858</v>
      </c>
      <c r="H11" s="107" t="n">
        <v>10.483</v>
      </c>
      <c r="I11" s="107" t="n">
        <v>10.881</v>
      </c>
      <c r="J11" s="107" t="n">
        <v>11.287</v>
      </c>
      <c r="K11" s="107" t="n">
        <v>11.713</v>
      </c>
      <c r="L11" s="107" t="n">
        <v>12.171</v>
      </c>
      <c r="M11" s="107" t="n">
        <v>12.775</v>
      </c>
      <c r="N11" s="107" t="n">
        <v>14.078</v>
      </c>
      <c r="O11" s="107" t="n">
        <v>15.755</v>
      </c>
      <c r="P11" s="18"/>
      <c r="Q11" s="18" t="n">
        <f aca="false">O11-C11</f>
        <v>12.021</v>
      </c>
      <c r="T11" s="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customFormat="false" ht="15" hidden="false" customHeight="false" outlineLevel="0" collapsed="false">
      <c r="A12" s="24" t="n">
        <v>5</v>
      </c>
      <c r="B12" s="20" t="s">
        <v>198</v>
      </c>
      <c r="C12" s="107" t="n">
        <v>0.5</v>
      </c>
      <c r="D12" s="107" t="n">
        <v>0.511</v>
      </c>
      <c r="E12" s="107" t="n">
        <v>0.535</v>
      </c>
      <c r="F12" s="107" t="n">
        <v>0.535</v>
      </c>
      <c r="G12" s="107" t="n">
        <v>0.535</v>
      </c>
      <c r="H12" s="107" t="n">
        <v>0.551</v>
      </c>
      <c r="I12" s="107" t="n">
        <v>0.551</v>
      </c>
      <c r="J12" s="107" t="n">
        <v>0.565</v>
      </c>
      <c r="K12" s="107" t="n">
        <v>0.581</v>
      </c>
      <c r="L12" s="107" t="n">
        <v>0.585</v>
      </c>
      <c r="M12" s="107" t="n">
        <v>0.602</v>
      </c>
      <c r="N12" s="107" t="n">
        <v>0.022</v>
      </c>
      <c r="O12" s="107" t="n">
        <v>0.111</v>
      </c>
      <c r="P12" s="80" t="n">
        <f aca="false">O12-G40+G39-C12</f>
        <v>0.193</v>
      </c>
      <c r="T12" s="6" t="n">
        <v>5</v>
      </c>
      <c r="U12" s="25" t="n">
        <f aca="false">D12-C12</f>
        <v>0.011</v>
      </c>
      <c r="V12" s="25" t="n">
        <f aca="false">E12-D12</f>
        <v>0.024</v>
      </c>
      <c r="W12" s="25" t="n">
        <f aca="false">F12-E12</f>
        <v>0</v>
      </c>
      <c r="X12" s="25" t="n">
        <f aca="false">G12-F12</f>
        <v>0</v>
      </c>
      <c r="Y12" s="25" t="n">
        <f aca="false">H12-G12</f>
        <v>0.016</v>
      </c>
      <c r="Z12" s="25" t="n">
        <f aca="false">I12-H12</f>
        <v>0</v>
      </c>
      <c r="AA12" s="25" t="n">
        <f aca="false">J12-I12</f>
        <v>0.0139999999999999</v>
      </c>
      <c r="AB12" s="25" t="n">
        <f aca="false">K12-J12</f>
        <v>0.016</v>
      </c>
      <c r="AC12" s="25" t="n">
        <f aca="false">L12-K12</f>
        <v>0.004</v>
      </c>
      <c r="AD12" s="25" t="n">
        <f aca="false">M12-L12</f>
        <v>0.017</v>
      </c>
      <c r="AE12" s="25" t="n">
        <f aca="false">N12-G40+G39-M12</f>
        <v>0.002</v>
      </c>
      <c r="AF12" s="25" t="n">
        <f aca="false">O12-H40+H39-N12</f>
        <v>0.089</v>
      </c>
    </row>
    <row r="13" customFormat="false" ht="15" hidden="false" customHeight="false" outlineLevel="0" collapsed="false">
      <c r="A13" s="24"/>
      <c r="B13" s="20" t="s">
        <v>199</v>
      </c>
      <c r="C13" s="107" t="n">
        <v>1.731</v>
      </c>
      <c r="D13" s="107" t="n">
        <v>1.847</v>
      </c>
      <c r="E13" s="107" t="n">
        <v>2.168</v>
      </c>
      <c r="F13" s="107" t="n">
        <v>4.169</v>
      </c>
      <c r="G13" s="107" t="n">
        <v>4.171</v>
      </c>
      <c r="H13" s="107" t="n">
        <v>4.173</v>
      </c>
      <c r="I13" s="107" t="n">
        <v>4.173</v>
      </c>
      <c r="J13" s="107" t="n">
        <v>4.175</v>
      </c>
      <c r="K13" s="107" t="n">
        <v>4.177</v>
      </c>
      <c r="L13" s="107" t="n">
        <v>4.178</v>
      </c>
      <c r="M13" s="107" t="n">
        <v>4.18</v>
      </c>
      <c r="N13" s="107" t="n">
        <v>4.204</v>
      </c>
      <c r="O13" s="107" t="n">
        <v>4.916</v>
      </c>
      <c r="P13" s="18"/>
      <c r="Q13" s="18" t="n">
        <f aca="false">O13-C13</f>
        <v>3.185</v>
      </c>
      <c r="T13" s="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customFormat="false" ht="15" hidden="false" customHeight="false" outlineLevel="0" collapsed="false">
      <c r="A14" s="24" t="n">
        <v>6</v>
      </c>
      <c r="B14" s="20" t="s">
        <v>200</v>
      </c>
      <c r="C14" s="107" t="n">
        <v>233.669</v>
      </c>
      <c r="D14" s="107" t="n">
        <v>242.713</v>
      </c>
      <c r="E14" s="107" t="n">
        <v>252.162</v>
      </c>
      <c r="F14" s="107" t="n">
        <v>259.675</v>
      </c>
      <c r="G14" s="107" t="n">
        <v>260.158</v>
      </c>
      <c r="H14" s="107" t="n">
        <v>268.151</v>
      </c>
      <c r="I14" s="107" t="n">
        <v>275.288</v>
      </c>
      <c r="J14" s="107" t="n">
        <v>282.247</v>
      </c>
      <c r="K14" s="107" t="n">
        <v>291.04</v>
      </c>
      <c r="L14" s="107" t="n">
        <v>299.289</v>
      </c>
      <c r="M14" s="107" t="n">
        <v>308.548</v>
      </c>
      <c r="N14" s="107" t="n">
        <v>313.523</v>
      </c>
      <c r="O14" s="107" t="n">
        <v>323.594</v>
      </c>
      <c r="P14" s="18" t="n">
        <f aca="false">O14-C14</f>
        <v>89.925</v>
      </c>
      <c r="T14" s="6" t="n">
        <v>6</v>
      </c>
      <c r="U14" s="25" t="n">
        <f aca="false">D14-C14</f>
        <v>9.04399999999998</v>
      </c>
      <c r="V14" s="25" t="n">
        <f aca="false">E14-D14</f>
        <v>9.44900000000001</v>
      </c>
      <c r="W14" s="25" t="n">
        <f aca="false">F14-E14</f>
        <v>7.51300000000001</v>
      </c>
      <c r="X14" s="25" t="n">
        <f aca="false">G14-F14</f>
        <v>0.483000000000004</v>
      </c>
      <c r="Y14" s="25" t="n">
        <f aca="false">H14-G14</f>
        <v>7.993</v>
      </c>
      <c r="Z14" s="25" t="n">
        <f aca="false">I14-H14</f>
        <v>7.137</v>
      </c>
      <c r="AA14" s="25" t="n">
        <f aca="false">J14-I14</f>
        <v>6.959</v>
      </c>
      <c r="AB14" s="25" t="n">
        <f aca="false">K14-J14</f>
        <v>8.79300000000001</v>
      </c>
      <c r="AC14" s="25" t="n">
        <f aca="false">L14-K14</f>
        <v>8.24899999999997</v>
      </c>
      <c r="AD14" s="25" t="n">
        <f aca="false">M14-L14</f>
        <v>9.25900000000002</v>
      </c>
      <c r="AE14" s="25" t="n">
        <f aca="false">N14-M14</f>
        <v>4.97500000000002</v>
      </c>
      <c r="AF14" s="25" t="n">
        <f aca="false">O14-N14</f>
        <v>10.071</v>
      </c>
    </row>
    <row r="15" customFormat="false" ht="15" hidden="false" customHeight="false" outlineLevel="0" collapsed="false">
      <c r="A15" s="24"/>
      <c r="B15" s="20" t="s">
        <v>201</v>
      </c>
      <c r="C15" s="107" t="n">
        <v>2.625</v>
      </c>
      <c r="D15" s="107" t="n">
        <v>4.85</v>
      </c>
      <c r="E15" s="107" t="n">
        <v>6.346</v>
      </c>
      <c r="F15" s="107" t="n">
        <v>7.037</v>
      </c>
      <c r="G15" s="107" t="n">
        <v>7.109</v>
      </c>
      <c r="H15" s="107" t="n">
        <v>7.562</v>
      </c>
      <c r="I15" s="107" t="n">
        <v>7.93</v>
      </c>
      <c r="J15" s="107" t="n">
        <v>8.273</v>
      </c>
      <c r="K15" s="107" t="n">
        <v>8.671</v>
      </c>
      <c r="L15" s="107" t="n">
        <v>9.103</v>
      </c>
      <c r="M15" s="107" t="n">
        <v>9.675</v>
      </c>
      <c r="N15" s="107" t="n">
        <v>10.306</v>
      </c>
      <c r="O15" s="107" t="n">
        <v>12.884</v>
      </c>
      <c r="P15" s="18"/>
      <c r="Q15" s="18" t="n">
        <f aca="false">O15-C15</f>
        <v>10.259</v>
      </c>
      <c r="T15" s="6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customFormat="false" ht="15" hidden="false" customHeight="false" outlineLevel="0" collapsed="false">
      <c r="A16" s="24" t="n">
        <v>7</v>
      </c>
      <c r="B16" s="20" t="s">
        <v>202</v>
      </c>
      <c r="C16" s="107" t="n">
        <v>101.134</v>
      </c>
      <c r="D16" s="107" t="n">
        <v>105.37</v>
      </c>
      <c r="E16" s="107" t="n">
        <v>107.915</v>
      </c>
      <c r="F16" s="107" t="n">
        <v>109.353</v>
      </c>
      <c r="G16" s="107" t="n">
        <v>111.611</v>
      </c>
      <c r="H16" s="107" t="n">
        <v>115.126</v>
      </c>
      <c r="I16" s="107" t="n">
        <v>118.34</v>
      </c>
      <c r="J16" s="107" t="n">
        <v>119.386</v>
      </c>
      <c r="K16" s="107" t="n">
        <v>120.843</v>
      </c>
      <c r="L16" s="107" t="n">
        <v>122.624</v>
      </c>
      <c r="M16" s="107" t="n">
        <v>123.061</v>
      </c>
      <c r="N16" s="107" t="n">
        <v>123.42</v>
      </c>
      <c r="O16" s="107" t="n">
        <v>124.062</v>
      </c>
      <c r="P16" s="18" t="n">
        <f aca="false">O16-C16</f>
        <v>22.928</v>
      </c>
      <c r="T16" s="6" t="n">
        <v>7</v>
      </c>
      <c r="U16" s="25" t="n">
        <f aca="false">D16-C16</f>
        <v>4.236</v>
      </c>
      <c r="V16" s="25" t="n">
        <f aca="false">E16-D16</f>
        <v>2.545</v>
      </c>
      <c r="W16" s="25" t="n">
        <f aca="false">F16-E16</f>
        <v>1.43799999999999</v>
      </c>
      <c r="X16" s="25" t="n">
        <f aca="false">G16-F16</f>
        <v>2.25800000000001</v>
      </c>
      <c r="Y16" s="25" t="n">
        <f aca="false">H16-G16</f>
        <v>3.515</v>
      </c>
      <c r="Z16" s="25" t="n">
        <f aca="false">I16-H16</f>
        <v>3.214</v>
      </c>
      <c r="AA16" s="25" t="n">
        <f aca="false">J16-I16</f>
        <v>1.04599999999999</v>
      </c>
      <c r="AB16" s="25" t="n">
        <f aca="false">K16-J16</f>
        <v>1.45700000000001</v>
      </c>
      <c r="AC16" s="25" t="n">
        <f aca="false">L16-K16</f>
        <v>1.78099999999999</v>
      </c>
      <c r="AD16" s="25" t="n">
        <f aca="false">M16-L16</f>
        <v>0.437000000000012</v>
      </c>
      <c r="AE16" s="25" t="n">
        <f aca="false">N16-M16</f>
        <v>0.358999999999995</v>
      </c>
      <c r="AF16" s="25" t="n">
        <f aca="false">O16-N16</f>
        <v>0.641999999999996</v>
      </c>
    </row>
    <row r="17" customFormat="false" ht="15" hidden="false" customHeight="false" outlineLevel="0" collapsed="false">
      <c r="A17" s="24"/>
      <c r="B17" s="20" t="s">
        <v>203</v>
      </c>
      <c r="C17" s="107" t="n">
        <v>2.488</v>
      </c>
      <c r="D17" s="107" t="n">
        <v>4.028</v>
      </c>
      <c r="E17" s="107" t="n">
        <v>4.973</v>
      </c>
      <c r="F17" s="107" t="n">
        <v>5.418</v>
      </c>
      <c r="G17" s="107" t="n">
        <v>5.943</v>
      </c>
      <c r="H17" s="107" t="n">
        <v>6.444</v>
      </c>
      <c r="I17" s="107" t="n">
        <v>6.871</v>
      </c>
      <c r="J17" s="107" t="n">
        <v>7.113</v>
      </c>
      <c r="K17" s="107" t="n">
        <v>7.39</v>
      </c>
      <c r="L17" s="107" t="n">
        <v>7.698</v>
      </c>
      <c r="M17" s="107" t="n">
        <v>7.933</v>
      </c>
      <c r="N17" s="107" t="n">
        <v>8.33</v>
      </c>
      <c r="O17" s="107" t="n">
        <v>9.096</v>
      </c>
      <c r="P17" s="18"/>
      <c r="Q17" s="18" t="n">
        <f aca="false">O17-C17</f>
        <v>6.608</v>
      </c>
      <c r="T17" s="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customFormat="false" ht="15" hidden="false" customHeight="false" outlineLevel="0" collapsed="false">
      <c r="A18" s="24" t="n">
        <v>8</v>
      </c>
      <c r="B18" s="20" t="s">
        <v>204</v>
      </c>
      <c r="C18" s="107" t="n">
        <v>175.044</v>
      </c>
      <c r="D18" s="107" t="n">
        <v>181.75</v>
      </c>
      <c r="E18" s="107" t="n">
        <v>187.756</v>
      </c>
      <c r="F18" s="107" t="n">
        <v>193.76</v>
      </c>
      <c r="G18" s="107" t="n">
        <v>200.808</v>
      </c>
      <c r="H18" s="107" t="n">
        <v>207.473</v>
      </c>
      <c r="I18" s="107" t="n">
        <v>213.543</v>
      </c>
      <c r="J18" s="107" t="n">
        <v>219.988</v>
      </c>
      <c r="K18" s="107" t="n">
        <v>225.963</v>
      </c>
      <c r="L18" s="107" t="n">
        <v>231.634</v>
      </c>
      <c r="M18" s="107" t="n">
        <v>237.715</v>
      </c>
      <c r="N18" s="107" t="n">
        <v>243.816</v>
      </c>
      <c r="O18" s="107" t="n">
        <v>249.7</v>
      </c>
      <c r="P18" s="18" t="n">
        <f aca="false">O18-C18</f>
        <v>74.656</v>
      </c>
      <c r="T18" s="6" t="n">
        <v>8</v>
      </c>
      <c r="U18" s="25" t="n">
        <f aca="false">D18-C18</f>
        <v>6.70599999999999</v>
      </c>
      <c r="V18" s="25" t="n">
        <f aca="false">E18-D18</f>
        <v>6.006</v>
      </c>
      <c r="W18" s="25" t="n">
        <f aca="false">F18-E18</f>
        <v>6.00399999999999</v>
      </c>
      <c r="X18" s="25" t="n">
        <f aca="false">G18-F18</f>
        <v>7.048</v>
      </c>
      <c r="Y18" s="25" t="n">
        <f aca="false">H18-G18</f>
        <v>6.66500000000002</v>
      </c>
      <c r="Z18" s="25" t="n">
        <f aca="false">I18-H18</f>
        <v>6.06999999999999</v>
      </c>
      <c r="AA18" s="25" t="n">
        <f aca="false">J18-I18</f>
        <v>6.44499999999999</v>
      </c>
      <c r="AB18" s="25" t="n">
        <f aca="false">K18-J18</f>
        <v>5.97499999999999</v>
      </c>
      <c r="AC18" s="25" t="n">
        <f aca="false">L18-K18</f>
        <v>5.67099999999999</v>
      </c>
      <c r="AD18" s="25" t="n">
        <f aca="false">M18-L18</f>
        <v>6.08100000000002</v>
      </c>
      <c r="AE18" s="25" t="n">
        <f aca="false">N18-M18</f>
        <v>6.101</v>
      </c>
      <c r="AF18" s="25" t="n">
        <f aca="false">O18-N18</f>
        <v>5.88399999999999</v>
      </c>
    </row>
    <row r="19" customFormat="false" ht="15" hidden="false" customHeight="false" outlineLevel="0" collapsed="false">
      <c r="A19" s="24"/>
      <c r="B19" s="20" t="s">
        <v>205</v>
      </c>
      <c r="C19" s="107" t="n">
        <v>9.78</v>
      </c>
      <c r="D19" s="107" t="n">
        <v>15.601</v>
      </c>
      <c r="E19" s="107" t="n">
        <v>19.777</v>
      </c>
      <c r="F19" s="107" t="n">
        <v>22.598</v>
      </c>
      <c r="G19" s="107" t="n">
        <v>24.929</v>
      </c>
      <c r="H19" s="107" t="n">
        <v>25.322</v>
      </c>
      <c r="I19" s="107" t="n">
        <v>25.624</v>
      </c>
      <c r="J19" s="107" t="n">
        <v>25.942</v>
      </c>
      <c r="K19" s="107" t="n">
        <v>26.227</v>
      </c>
      <c r="L19" s="107" t="n">
        <v>26.61</v>
      </c>
      <c r="M19" s="107" t="n">
        <v>27.805</v>
      </c>
      <c r="N19" s="107" t="n">
        <v>30.144</v>
      </c>
      <c r="O19" s="107" t="n">
        <v>34.484</v>
      </c>
      <c r="P19" s="18"/>
      <c r="Q19" s="18" t="n">
        <f aca="false">O19-C19</f>
        <v>24.704</v>
      </c>
      <c r="T19" s="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customFormat="false" ht="15" hidden="false" customHeight="false" outlineLevel="0" collapsed="false">
      <c r="A20" s="24" t="n">
        <v>9</v>
      </c>
      <c r="B20" s="20" t="s">
        <v>206</v>
      </c>
      <c r="C20" s="107" t="n">
        <v>327.76</v>
      </c>
      <c r="D20" s="107" t="n">
        <v>340.09</v>
      </c>
      <c r="E20" s="107" t="n">
        <v>352.8</v>
      </c>
      <c r="F20" s="107" t="n">
        <v>364.961</v>
      </c>
      <c r="G20" s="107" t="n">
        <v>378.434</v>
      </c>
      <c r="H20" s="107" t="n">
        <v>388.121</v>
      </c>
      <c r="I20" s="107" t="n">
        <v>401.867</v>
      </c>
      <c r="J20" s="107" t="n">
        <v>415.937</v>
      </c>
      <c r="K20" s="107" t="n">
        <v>430.278</v>
      </c>
      <c r="L20" s="107" t="n">
        <v>440.701</v>
      </c>
      <c r="M20" s="107" t="n">
        <v>451.906</v>
      </c>
      <c r="N20" s="107" t="n">
        <v>460.658</v>
      </c>
      <c r="O20" s="107" t="n">
        <v>473.534</v>
      </c>
      <c r="P20" s="18" t="n">
        <f aca="false">O20-C20</f>
        <v>145.774</v>
      </c>
      <c r="T20" s="6" t="n">
        <v>9</v>
      </c>
      <c r="U20" s="25" t="n">
        <f aca="false">D20-C20</f>
        <v>12.33</v>
      </c>
      <c r="V20" s="25" t="n">
        <f aca="false">E20-D20</f>
        <v>12.71</v>
      </c>
      <c r="W20" s="25" t="n">
        <f aca="false">F20-E20</f>
        <v>12.161</v>
      </c>
      <c r="X20" s="25" t="n">
        <f aca="false">G20-F20</f>
        <v>13.473</v>
      </c>
      <c r="Y20" s="25" t="n">
        <f aca="false">H20-G20</f>
        <v>9.68699999999996</v>
      </c>
      <c r="Z20" s="25" t="n">
        <f aca="false">I20-H20</f>
        <v>13.746</v>
      </c>
      <c r="AA20" s="25" t="n">
        <f aca="false">J20-I20</f>
        <v>14.07</v>
      </c>
      <c r="AB20" s="25" t="n">
        <f aca="false">K20-J20</f>
        <v>14.341</v>
      </c>
      <c r="AC20" s="25" t="n">
        <f aca="false">L20-K20</f>
        <v>10.423</v>
      </c>
      <c r="AD20" s="25" t="n">
        <f aca="false">M20-L20</f>
        <v>11.205</v>
      </c>
      <c r="AE20" s="25" t="n">
        <f aca="false">N20-M20</f>
        <v>8.75200000000001</v>
      </c>
      <c r="AF20" s="25" t="n">
        <f aca="false">O20-N20</f>
        <v>12.876</v>
      </c>
    </row>
    <row r="21" customFormat="false" ht="15" hidden="false" customHeight="false" outlineLevel="0" collapsed="false">
      <c r="A21" s="24"/>
      <c r="B21" s="20" t="s">
        <v>207</v>
      </c>
      <c r="C21" s="107" t="n">
        <v>9.923</v>
      </c>
      <c r="D21" s="107" t="n">
        <v>15.831</v>
      </c>
      <c r="E21" s="107" t="n">
        <v>20.555</v>
      </c>
      <c r="F21" s="107" t="n">
        <v>24.141</v>
      </c>
      <c r="G21" s="107" t="n">
        <v>26.881</v>
      </c>
      <c r="H21" s="107" t="n">
        <v>27.463</v>
      </c>
      <c r="I21" s="107" t="n">
        <v>28.062</v>
      </c>
      <c r="J21" s="107" t="n">
        <v>28.632</v>
      </c>
      <c r="K21" s="107" t="n">
        <v>29.177</v>
      </c>
      <c r="L21" s="107" t="n">
        <v>29.651</v>
      </c>
      <c r="M21" s="107" t="n">
        <v>30.413</v>
      </c>
      <c r="N21" s="107" t="n">
        <v>34.555</v>
      </c>
      <c r="O21" s="107" t="n">
        <v>40.387</v>
      </c>
      <c r="P21" s="18"/>
      <c r="Q21" s="18" t="n">
        <f aca="false">O21-C21</f>
        <v>30.464</v>
      </c>
      <c r="T21" s="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customFormat="false" ht="15" hidden="false" customHeight="false" outlineLevel="0" collapsed="false">
      <c r="A22" s="24" t="n">
        <v>10</v>
      </c>
      <c r="B22" s="20" t="s">
        <v>208</v>
      </c>
      <c r="C22" s="107" t="n">
        <v>0.325</v>
      </c>
      <c r="D22" s="107" t="n">
        <v>0.326</v>
      </c>
      <c r="E22" s="107" t="n">
        <v>0.326</v>
      </c>
      <c r="F22" s="107" t="n">
        <v>0.327</v>
      </c>
      <c r="G22" s="107" t="n">
        <v>0.327</v>
      </c>
      <c r="H22" s="107" t="n">
        <v>0.328</v>
      </c>
      <c r="I22" s="107" t="n">
        <v>0.332</v>
      </c>
      <c r="J22" s="107" t="n">
        <v>0.333</v>
      </c>
      <c r="K22" s="107" t="n">
        <v>0.335</v>
      </c>
      <c r="L22" s="107" t="n">
        <v>0.337</v>
      </c>
      <c r="M22" s="107" t="n">
        <v>0.337</v>
      </c>
      <c r="N22" s="107" t="n">
        <v>0.337</v>
      </c>
      <c r="O22" s="107" t="n">
        <v>0.337</v>
      </c>
      <c r="P22" s="18" t="n">
        <f aca="false">O22-C22</f>
        <v>0.012</v>
      </c>
      <c r="T22" s="6" t="n">
        <v>10</v>
      </c>
      <c r="U22" s="25" t="n">
        <f aca="false">D22-C22</f>
        <v>0.001</v>
      </c>
      <c r="V22" s="25" t="n">
        <f aca="false">E22-D22</f>
        <v>0</v>
      </c>
      <c r="W22" s="25" t="n">
        <f aca="false">F22-E22</f>
        <v>0.001</v>
      </c>
      <c r="X22" s="25" t="n">
        <f aca="false">G22-F22</f>
        <v>0</v>
      </c>
      <c r="Y22" s="25" t="n">
        <f aca="false">H22-G22</f>
        <v>0.001</v>
      </c>
      <c r="Z22" s="25" t="n">
        <f aca="false">I22-H22</f>
        <v>0.004</v>
      </c>
      <c r="AA22" s="25" t="n">
        <f aca="false">J22-I22</f>
        <v>0.001</v>
      </c>
      <c r="AB22" s="25" t="n">
        <f aca="false">K22-J22</f>
        <v>0.002</v>
      </c>
      <c r="AC22" s="25" t="n">
        <f aca="false">L22-K22</f>
        <v>0.002</v>
      </c>
      <c r="AD22" s="25" t="n">
        <f aca="false">M22-L22</f>
        <v>0</v>
      </c>
      <c r="AE22" s="25" t="n">
        <f aca="false">N22-M22</f>
        <v>0</v>
      </c>
      <c r="AF22" s="25" t="n">
        <f aca="false">O22-N22</f>
        <v>0</v>
      </c>
    </row>
    <row r="23" customFormat="false" ht="15" hidden="false" customHeight="false" outlineLevel="0" collapsed="false">
      <c r="A23" s="24"/>
      <c r="B23" s="20" t="s">
        <v>209</v>
      </c>
      <c r="C23" s="107" t="n">
        <v>0.004</v>
      </c>
      <c r="D23" s="107" t="n">
        <v>0.011</v>
      </c>
      <c r="E23" s="107" t="n">
        <v>0.02</v>
      </c>
      <c r="F23" s="107" t="n">
        <v>0.034</v>
      </c>
      <c r="G23" s="107" t="n">
        <v>0.046</v>
      </c>
      <c r="H23" s="107" t="n">
        <v>0.052</v>
      </c>
      <c r="I23" s="107" t="n">
        <v>0.054</v>
      </c>
      <c r="J23" s="107" t="n">
        <v>0.055</v>
      </c>
      <c r="K23" s="107" t="n">
        <v>0.055</v>
      </c>
      <c r="L23" s="107" t="n">
        <v>0.061</v>
      </c>
      <c r="M23" s="107" t="n">
        <v>0.076</v>
      </c>
      <c r="N23" s="107" t="n">
        <v>0.086</v>
      </c>
      <c r="O23" s="107" t="n">
        <v>0.092</v>
      </c>
      <c r="P23" s="27"/>
      <c r="Q23" s="28" t="n">
        <f aca="false">O23-C23</f>
        <v>0.088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customFormat="false" ht="15" hidden="false" customHeight="false" outlineLevel="0" collapsed="false">
      <c r="A24" s="29"/>
      <c r="B24" s="20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18" t="n">
        <f aca="false">SUM(P4:P23)</f>
        <v>676.153</v>
      </c>
      <c r="Q24" s="18" t="n">
        <f aca="false">SUM(Q4:Q23)</f>
        <v>173.697</v>
      </c>
    </row>
    <row r="25" customFormat="false" ht="15" hidden="false" customHeight="false" outlineLevel="0" collapsed="false">
      <c r="A25" s="29" t="s">
        <v>39</v>
      </c>
      <c r="B25" s="20" t="s">
        <v>210</v>
      </c>
      <c r="C25" s="32" t="n">
        <v>52736</v>
      </c>
      <c r="D25" s="32" t="n">
        <v>52933</v>
      </c>
      <c r="E25" s="32" t="n">
        <v>53109</v>
      </c>
      <c r="F25" s="32" t="n">
        <v>53294</v>
      </c>
      <c r="G25" s="32" t="n">
        <v>53503</v>
      </c>
      <c r="H25" s="32" t="n">
        <v>53700</v>
      </c>
      <c r="I25" s="32" t="n">
        <v>53890</v>
      </c>
      <c r="J25" s="32" t="n">
        <v>54083</v>
      </c>
      <c r="K25" s="32" t="n">
        <v>54279</v>
      </c>
      <c r="L25" s="32" t="n">
        <v>54465</v>
      </c>
      <c r="M25" s="32" t="n">
        <v>54656</v>
      </c>
      <c r="N25" s="32" t="n">
        <v>54831</v>
      </c>
      <c r="O25" s="32" t="n">
        <v>55126</v>
      </c>
      <c r="P25" s="18"/>
      <c r="R25" s="33" t="n">
        <f aca="false">O25-C25</f>
        <v>2390</v>
      </c>
    </row>
    <row r="26" customFormat="false" ht="15" hidden="false" customHeight="false" outlineLevel="0" collapsed="false">
      <c r="A26" s="29"/>
      <c r="B26" s="20" t="s">
        <v>211</v>
      </c>
      <c r="C26" s="138" t="n">
        <v>1618.4</v>
      </c>
      <c r="D26" s="138" t="n">
        <v>1687.5</v>
      </c>
      <c r="E26" s="138" t="n">
        <v>1750</v>
      </c>
      <c r="F26" s="138" t="n">
        <v>1814.5</v>
      </c>
      <c r="G26" s="138" t="n">
        <v>1874</v>
      </c>
      <c r="H26" s="138" t="n">
        <v>1936.7</v>
      </c>
      <c r="I26" s="138" t="n">
        <v>1998.2</v>
      </c>
      <c r="J26" s="138" t="n">
        <v>2056</v>
      </c>
      <c r="K26" s="138" t="n">
        <v>2121.5</v>
      </c>
      <c r="L26" s="138" t="n">
        <v>2181.1</v>
      </c>
      <c r="M26" s="138" t="n">
        <v>2242.7</v>
      </c>
      <c r="N26" s="138" t="n">
        <v>2298.5</v>
      </c>
      <c r="O26" s="138" t="n">
        <v>2361.6</v>
      </c>
      <c r="P26" s="18" t="n">
        <f aca="false">O26-C26</f>
        <v>743.2</v>
      </c>
    </row>
    <row r="27" customFormat="false" ht="15" hidden="false" customHeight="false" outlineLevel="0" collapsed="false">
      <c r="A27" s="83"/>
      <c r="B27" s="139" t="s">
        <v>212</v>
      </c>
      <c r="C27" s="37" t="n">
        <v>313.67</v>
      </c>
      <c r="D27" s="37" t="n">
        <v>349.04</v>
      </c>
      <c r="E27" s="37" t="n">
        <v>376.43</v>
      </c>
      <c r="F27" s="37" t="n">
        <v>399.14</v>
      </c>
      <c r="G27" s="37" t="n">
        <v>416.19</v>
      </c>
      <c r="H27" s="37" t="n">
        <v>419.83</v>
      </c>
      <c r="I27" s="37" t="n">
        <v>422.16</v>
      </c>
      <c r="J27" s="37" t="n">
        <v>424.71</v>
      </c>
      <c r="K27" s="37" t="n">
        <v>427.81</v>
      </c>
      <c r="L27" s="37" t="n">
        <v>431.9</v>
      </c>
      <c r="M27" s="37" t="n">
        <v>440.79</v>
      </c>
      <c r="N27" s="37" t="n">
        <v>462.56</v>
      </c>
      <c r="O27" s="37" t="n">
        <v>496.85</v>
      </c>
      <c r="P27" s="18"/>
      <c r="Q27" s="18" t="n">
        <f aca="false">O27-C27</f>
        <v>183.18</v>
      </c>
      <c r="R27" s="0" t="s">
        <v>17</v>
      </c>
    </row>
    <row r="28" customFormat="false" ht="15.75" hidden="false" customHeight="false" outlineLevel="0" collapsed="false">
      <c r="A28" s="11"/>
      <c r="B28" s="84" t="s">
        <v>213</v>
      </c>
      <c r="C28" s="140" t="n">
        <v>2751</v>
      </c>
      <c r="D28" s="140" t="n">
        <v>3014</v>
      </c>
      <c r="E28" s="140" t="n">
        <v>3212</v>
      </c>
      <c r="F28" s="140" t="n">
        <v>3367</v>
      </c>
      <c r="G28" s="140" t="n">
        <v>3492</v>
      </c>
      <c r="H28" s="140" t="n">
        <v>3527</v>
      </c>
      <c r="I28" s="140" t="n">
        <v>3554</v>
      </c>
      <c r="J28" s="140" t="n">
        <v>3589</v>
      </c>
      <c r="K28" s="140" t="n">
        <v>3635</v>
      </c>
      <c r="L28" s="140" t="n">
        <v>3683</v>
      </c>
      <c r="M28" s="140" t="n">
        <v>3766</v>
      </c>
      <c r="N28" s="140" t="n">
        <v>3918</v>
      </c>
      <c r="O28" s="140" t="n">
        <v>4150</v>
      </c>
      <c r="P28" s="18"/>
      <c r="Q28" s="33" t="n">
        <f aca="false">O28-C28</f>
        <v>1399</v>
      </c>
      <c r="R28" s="0" t="s">
        <v>16</v>
      </c>
    </row>
    <row r="29" customFormat="false" ht="15.75" hidden="false" customHeight="false" outlineLevel="0" collapsed="false">
      <c r="A29" s="141" t="s">
        <v>214</v>
      </c>
      <c r="B29" s="41"/>
      <c r="C29" s="42" t="n">
        <v>4605</v>
      </c>
      <c r="D29" s="42" t="n">
        <v>4905.6</v>
      </c>
      <c r="E29" s="42" t="n">
        <v>5169.8</v>
      </c>
      <c r="F29" s="42" t="n">
        <v>5453.5</v>
      </c>
      <c r="G29" s="42" t="n">
        <v>5740.1</v>
      </c>
      <c r="H29" s="42" t="n">
        <v>6002.3</v>
      </c>
      <c r="I29" s="42" t="n">
        <v>6257.5</v>
      </c>
      <c r="J29" s="42" t="n">
        <v>6498.9</v>
      </c>
      <c r="K29" s="42" t="n">
        <v>6755.3</v>
      </c>
      <c r="L29" s="42" t="n">
        <v>7009</v>
      </c>
      <c r="M29" s="42" t="n">
        <v>7290.8</v>
      </c>
      <c r="N29" s="42" t="n">
        <v>7559.6</v>
      </c>
      <c r="O29" s="42" t="n">
        <v>7844.6</v>
      </c>
      <c r="P29" s="18" t="n">
        <f aca="false">O29-C29</f>
        <v>3239.6</v>
      </c>
    </row>
    <row r="32" customFormat="false" ht="15" hidden="true" customHeight="false" outlineLevel="0" collapsed="false">
      <c r="E32" s="0" t="s">
        <v>215</v>
      </c>
      <c r="H32" s="142" t="s">
        <v>51</v>
      </c>
      <c r="I32" s="6" t="s">
        <v>16</v>
      </c>
      <c r="K32" s="0" t="s">
        <v>216</v>
      </c>
      <c r="N32" s="6" t="s">
        <v>16</v>
      </c>
    </row>
    <row r="33" customFormat="false" ht="15" hidden="true" customHeight="false" outlineLevel="0" collapsed="false">
      <c r="D33" s="0" t="s">
        <v>217</v>
      </c>
      <c r="E33" s="97" t="n">
        <v>43984</v>
      </c>
      <c r="F33" s="88" t="s">
        <v>48</v>
      </c>
      <c r="G33" s="98"/>
      <c r="H33" s="143"/>
      <c r="I33" s="144"/>
      <c r="K33" s="145" t="n">
        <v>44095</v>
      </c>
      <c r="L33" s="98" t="s">
        <v>48</v>
      </c>
      <c r="M33" s="98"/>
      <c r="N33" s="98"/>
    </row>
    <row r="34" customFormat="false" ht="15" hidden="true" customHeight="false" outlineLevel="0" collapsed="false">
      <c r="E34" s="146"/>
      <c r="F34" s="147"/>
      <c r="G34" s="148" t="s">
        <v>218</v>
      </c>
      <c r="H34" s="149" t="s">
        <v>17</v>
      </c>
      <c r="I34" s="150" t="s">
        <v>16</v>
      </c>
      <c r="L34" s="6"/>
      <c r="M34" s="148" t="s">
        <v>218</v>
      </c>
      <c r="N34" s="150" t="s">
        <v>16</v>
      </c>
    </row>
    <row r="35" customFormat="false" ht="15" hidden="true" customHeight="false" outlineLevel="0" collapsed="false">
      <c r="D35" s="0" t="s">
        <v>219</v>
      </c>
      <c r="E35" s="97" t="n">
        <v>43986</v>
      </c>
      <c r="F35" s="88" t="s">
        <v>53</v>
      </c>
      <c r="G35" s="98"/>
      <c r="H35" s="143"/>
      <c r="I35" s="144"/>
      <c r="K35" s="145" t="n">
        <v>44095</v>
      </c>
      <c r="L35" s="98" t="s">
        <v>53</v>
      </c>
      <c r="M35" s="98"/>
      <c r="N35" s="98"/>
    </row>
    <row r="36" customFormat="false" ht="15" hidden="true" customHeight="false" outlineLevel="0" collapsed="false"/>
    <row r="37" customFormat="false" ht="15" hidden="true" customHeight="false" outlineLevel="0" collapsed="false"/>
    <row r="38" customFormat="false" ht="15" hidden="false" customHeight="false" outlineLevel="0" collapsed="false">
      <c r="C38" s="113" t="s">
        <v>18</v>
      </c>
      <c r="D38" s="93" t="s">
        <v>152</v>
      </c>
      <c r="E38" s="44"/>
      <c r="F38" s="113" t="s">
        <v>45</v>
      </c>
      <c r="G38" s="113" t="s">
        <v>46</v>
      </c>
      <c r="N38" s="60" t="s">
        <v>58</v>
      </c>
      <c r="O38" s="48" t="n">
        <v>4300</v>
      </c>
    </row>
    <row r="39" customFormat="false" ht="15" hidden="false" customHeight="false" outlineLevel="0" collapsed="false">
      <c r="C39" s="96" t="n">
        <v>5</v>
      </c>
      <c r="D39" s="97" t="n">
        <v>43950</v>
      </c>
      <c r="E39" s="88" t="s">
        <v>48</v>
      </c>
      <c r="F39" s="114" t="n">
        <v>190907002</v>
      </c>
      <c r="G39" s="90" t="n">
        <v>0.602</v>
      </c>
      <c r="N39" s="60" t="s">
        <v>60</v>
      </c>
      <c r="O39" s="48" t="n">
        <v>305</v>
      </c>
    </row>
    <row r="40" customFormat="false" ht="15" hidden="false" customHeight="false" outlineLevel="0" collapsed="false">
      <c r="C40" s="96"/>
      <c r="D40" s="97"/>
      <c r="E40" s="88" t="s">
        <v>53</v>
      </c>
      <c r="F40" s="114" t="n">
        <v>221525395</v>
      </c>
      <c r="G40" s="90" t="n">
        <v>0.02</v>
      </c>
      <c r="N40" s="60" t="s">
        <v>63</v>
      </c>
      <c r="O40" s="0" t="n">
        <v>7844</v>
      </c>
    </row>
    <row r="41" customFormat="false" ht="15" hidden="false" customHeight="false" outlineLevel="0" collapsed="false">
      <c r="N41" s="60"/>
    </row>
  </sheetData>
  <mergeCells count="12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C39:C40"/>
    <mergeCell ref="D39:D40"/>
  </mergeCells>
  <conditionalFormatting sqref="H4">
    <cfRule type="cellIs" priority="2" operator="lessThan" aboveAverage="0" equalAverage="0" bottom="0" percent="0" rank="0" text="" dxfId="2439">
      <formula>'1854'!$G$4</formula>
    </cfRule>
    <cfRule type="cellIs" priority="3" operator="equal" aboveAverage="0" equalAverage="0" bottom="0" percent="0" rank="0" text="" dxfId="2440">
      <formula>'1854'!$G$4</formula>
    </cfRule>
  </conditionalFormatting>
  <conditionalFormatting sqref="G7">
    <cfRule type="cellIs" priority="4" operator="equal" aboveAverage="0" equalAverage="0" bottom="0" percent="0" rank="0" text="" dxfId="2441">
      <formula>'1854'!$F$7</formula>
    </cfRule>
    <cfRule type="cellIs" priority="5" operator="lessThan" aboveAverage="0" equalAverage="0" bottom="0" percent="0" rank="0" text="" dxfId="2442">
      <formula>'1854'!$F$7</formula>
    </cfRule>
  </conditionalFormatting>
  <conditionalFormatting sqref="H5">
    <cfRule type="cellIs" priority="6" operator="equal" aboveAverage="0" equalAverage="0" bottom="0" percent="0" rank="0" text="" dxfId="2443">
      <formula>'1854'!$G$5</formula>
    </cfRule>
    <cfRule type="cellIs" priority="7" operator="lessThan" aboveAverage="0" equalAverage="0" bottom="0" percent="0" rank="0" text="" dxfId="2444">
      <formula>'1854'!$G$5</formula>
    </cfRule>
  </conditionalFormatting>
  <conditionalFormatting sqref="I5">
    <cfRule type="cellIs" priority="8" operator="equal" aboveAverage="0" equalAverage="0" bottom="0" percent="0" rank="0" text="" dxfId="2445">
      <formula>'1854'!$H$5</formula>
    </cfRule>
    <cfRule type="cellIs" priority="9" operator="lessThan" aboveAverage="0" equalAverage="0" bottom="0" percent="0" rank="0" text="" dxfId="2446">
      <formula>'1854'!$H$5</formula>
    </cfRule>
  </conditionalFormatting>
  <conditionalFormatting sqref="J5">
    <cfRule type="cellIs" priority="10" operator="equal" aboveAverage="0" equalAverage="0" bottom="0" percent="0" rank="0" text="" dxfId="2447">
      <formula>'1854'!$I$5</formula>
    </cfRule>
    <cfRule type="cellIs" priority="11" operator="lessThan" aboveAverage="0" equalAverage="0" bottom="0" percent="0" rank="0" text="" dxfId="2448">
      <formula>'1854'!$I$5</formula>
    </cfRule>
  </conditionalFormatting>
  <conditionalFormatting sqref="F4">
    <cfRule type="cellIs" priority="12" operator="equal" aboveAverage="0" equalAverage="0" bottom="0" percent="0" rank="0" text="" dxfId="2449">
      <formula>'1854'!$E$4</formula>
    </cfRule>
    <cfRule type="cellIs" priority="13" operator="lessThan" aboveAverage="0" equalAverage="0" bottom="0" percent="0" rank="0" text="" dxfId="2450">
      <formula>'1854'!$E$4</formula>
    </cfRule>
  </conditionalFormatting>
  <conditionalFormatting sqref="D4">
    <cfRule type="cellIs" priority="14" operator="lessThan" aboveAverage="0" equalAverage="0" bottom="0" percent="0" rank="0" text="" dxfId="2451">
      <formula>'1854'!$C$4</formula>
    </cfRule>
    <cfRule type="cellIs" priority="15" operator="equal" aboveAverage="0" equalAverage="0" bottom="0" percent="0" rank="0" text="" dxfId="2452">
      <formula>'1854'!$C$4</formula>
    </cfRule>
  </conditionalFormatting>
  <conditionalFormatting sqref="E4">
    <cfRule type="cellIs" priority="16" operator="equal" aboveAverage="0" equalAverage="0" bottom="0" percent="0" rank="0" text="" dxfId="2453">
      <formula>'1854'!$D$4</formula>
    </cfRule>
    <cfRule type="cellIs" priority="17" operator="lessThan" aboveAverage="0" equalAverage="0" bottom="0" percent="0" rank="0" text="" dxfId="2454">
      <formula>'1854'!$D$4</formula>
    </cfRule>
  </conditionalFormatting>
  <conditionalFormatting sqref="D5">
    <cfRule type="cellIs" priority="18" operator="equal" aboveAverage="0" equalAverage="0" bottom="0" percent="0" rank="0" text="" dxfId="2455">
      <formula>'1854'!$C$5</formula>
    </cfRule>
    <cfRule type="cellIs" priority="19" operator="lessThan" aboveAverage="0" equalAverage="0" bottom="0" percent="0" rank="0" text="" dxfId="2456">
      <formula>'1854'!$C$5</formula>
    </cfRule>
  </conditionalFormatting>
  <conditionalFormatting sqref="F5">
    <cfRule type="cellIs" priority="20" operator="equal" aboveAverage="0" equalAverage="0" bottom="0" percent="0" rank="0" text="" dxfId="2457">
      <formula>'1854'!$E$5</formula>
    </cfRule>
    <cfRule type="cellIs" priority="21" operator="lessThan" aboveAverage="0" equalAverage="0" bottom="0" percent="0" rank="0" text="" dxfId="2458">
      <formula>'1854'!$E$5</formula>
    </cfRule>
  </conditionalFormatting>
  <conditionalFormatting sqref="I4">
    <cfRule type="cellIs" priority="22" operator="equal" aboveAverage="0" equalAverage="0" bottom="0" percent="0" rank="0" text="" dxfId="2459">
      <formula>'1854'!$H$4</formula>
    </cfRule>
  </conditionalFormatting>
  <conditionalFormatting sqref="J4">
    <cfRule type="cellIs" priority="23" operator="lessThan" aboveAverage="0" equalAverage="0" bottom="0" percent="0" rank="0" text="" dxfId="2460">
      <formula>'1854'!$I$4</formula>
    </cfRule>
    <cfRule type="cellIs" priority="24" operator="equal" aboveAverage="0" equalAverage="0" bottom="0" percent="0" rank="0" text="" dxfId="2461">
      <formula>'1854'!$I$4</formula>
    </cfRule>
  </conditionalFormatting>
  <conditionalFormatting sqref="D6">
    <cfRule type="cellIs" priority="25" operator="equal" aboveAverage="0" equalAverage="0" bottom="0" percent="0" rank="0" text="" dxfId="2462">
      <formula>'1854'!$C$6</formula>
    </cfRule>
    <cfRule type="cellIs" priority="26" operator="lessThan" aboveAverage="0" equalAverage="0" bottom="0" percent="0" rank="0" text="" dxfId="2463">
      <formula>'1854'!$C$6</formula>
    </cfRule>
  </conditionalFormatting>
  <conditionalFormatting sqref="E6">
    <cfRule type="cellIs" priority="27" operator="equal" aboveAverage="0" equalAverage="0" bottom="0" percent="0" rank="0" text="" dxfId="2464">
      <formula>'1854'!$D$6</formula>
    </cfRule>
    <cfRule type="cellIs" priority="28" operator="lessThan" aboveAverage="0" equalAverage="0" bottom="0" percent="0" rank="0" text="" dxfId="2465">
      <formula>'1854'!$D$6</formula>
    </cfRule>
  </conditionalFormatting>
  <conditionalFormatting sqref="F6">
    <cfRule type="cellIs" priority="29" operator="equal" aboveAverage="0" equalAverage="0" bottom="0" percent="0" rank="0" text="" dxfId="2466">
      <formula>'1854'!$E$6</formula>
    </cfRule>
    <cfRule type="cellIs" priority="30" operator="lessThan" aboveAverage="0" equalAverage="0" bottom="0" percent="0" rank="0" text="" dxfId="2467">
      <formula>'1854'!$E$6</formula>
    </cfRule>
  </conditionalFormatting>
  <conditionalFormatting sqref="G6">
    <cfRule type="cellIs" priority="31" operator="equal" aboveAverage="0" equalAverage="0" bottom="0" percent="0" rank="0" text="" dxfId="2468">
      <formula>'1854'!$F$6</formula>
    </cfRule>
    <cfRule type="cellIs" priority="32" operator="lessThan" aboveAverage="0" equalAverage="0" bottom="0" percent="0" rank="0" text="" dxfId="2469">
      <formula>'1854'!$F$6</formula>
    </cfRule>
  </conditionalFormatting>
  <conditionalFormatting sqref="H6">
    <cfRule type="cellIs" priority="33" operator="equal" aboveAverage="0" equalAverage="0" bottom="0" percent="0" rank="0" text="" dxfId="2470">
      <formula>'1854'!$G$6</formula>
    </cfRule>
    <cfRule type="cellIs" priority="34" operator="lessThan" aboveAverage="0" equalAverage="0" bottom="0" percent="0" rank="0" text="" dxfId="2471">
      <formula>'1854'!$G$6</formula>
    </cfRule>
  </conditionalFormatting>
  <conditionalFormatting sqref="I6">
    <cfRule type="cellIs" priority="35" operator="equal" aboveAverage="0" equalAverage="0" bottom="0" percent="0" rank="0" text="" dxfId="2472">
      <formula>'1854'!$H$6</formula>
    </cfRule>
    <cfRule type="cellIs" priority="36" operator="lessThan" aboveAverage="0" equalAverage="0" bottom="0" percent="0" rank="0" text="" dxfId="2473">
      <formula>'1854'!$H$6</formula>
    </cfRule>
  </conditionalFormatting>
  <conditionalFormatting sqref="J6">
    <cfRule type="cellIs" priority="37" operator="equal" aboveAverage="0" equalAverage="0" bottom="0" percent="0" rank="0" text="" dxfId="2474">
      <formula>'1854'!$I$6</formula>
    </cfRule>
    <cfRule type="cellIs" priority="38" operator="lessThan" aboveAverage="0" equalAverage="0" bottom="0" percent="0" rank="0" text="" dxfId="2475">
      <formula>'1854'!$I$6</formula>
    </cfRule>
  </conditionalFormatting>
  <conditionalFormatting sqref="D7">
    <cfRule type="cellIs" priority="39" operator="equal" aboveAverage="0" equalAverage="0" bottom="0" percent="0" rank="0" text="" dxfId="2476">
      <formula>'1854'!$C$7</formula>
    </cfRule>
    <cfRule type="cellIs" priority="40" operator="lessThan" aboveAverage="0" equalAverage="0" bottom="0" percent="0" rank="0" text="" dxfId="2477">
      <formula>'1854'!$C$7</formula>
    </cfRule>
  </conditionalFormatting>
  <conditionalFormatting sqref="E7">
    <cfRule type="cellIs" priority="41" operator="equal" aboveAverage="0" equalAverage="0" bottom="0" percent="0" rank="0" text="" dxfId="2478">
      <formula>'1854'!$D$7</formula>
    </cfRule>
    <cfRule type="cellIs" priority="42" operator="lessThan" aboveAverage="0" equalAverage="0" bottom="0" percent="0" rank="0" text="" dxfId="2479">
      <formula>'1854'!$D$7</formula>
    </cfRule>
  </conditionalFormatting>
  <conditionalFormatting sqref="F7">
    <cfRule type="cellIs" priority="43" operator="equal" aboveAverage="0" equalAverage="0" bottom="0" percent="0" rank="0" text="" dxfId="2480">
      <formula>'1854'!$E$7</formula>
    </cfRule>
    <cfRule type="cellIs" priority="44" operator="lessThan" aboveAverage="0" equalAverage="0" bottom="0" percent="0" rank="0" text="" dxfId="2481">
      <formula>'1854'!$E$7</formula>
    </cfRule>
  </conditionalFormatting>
  <conditionalFormatting sqref="H7">
    <cfRule type="cellIs" priority="45" operator="equal" aboveAverage="0" equalAverage="0" bottom="0" percent="0" rank="0" text="" dxfId="2482">
      <formula>'1854'!$G$7</formula>
    </cfRule>
    <cfRule type="cellIs" priority="46" operator="lessThan" aboveAverage="0" equalAverage="0" bottom="0" percent="0" rank="0" text="" dxfId="2483">
      <formula>'1854'!$G$7</formula>
    </cfRule>
  </conditionalFormatting>
  <conditionalFormatting sqref="I7">
    <cfRule type="cellIs" priority="47" operator="equal" aboveAverage="0" equalAverage="0" bottom="0" percent="0" rank="0" text="" dxfId="2484">
      <formula>'1854'!$H$7</formula>
    </cfRule>
    <cfRule type="cellIs" priority="48" operator="lessThan" aboveAverage="0" equalAverage="0" bottom="0" percent="0" rank="0" text="" dxfId="2485">
      <formula>'1854'!$H$7</formula>
    </cfRule>
  </conditionalFormatting>
  <conditionalFormatting sqref="J7">
    <cfRule type="cellIs" priority="49" operator="equal" aboveAverage="0" equalAverage="0" bottom="0" percent="0" rank="0" text="" dxfId="2486">
      <formula>'1854'!$I$7</formula>
    </cfRule>
    <cfRule type="cellIs" priority="50" operator="lessThan" aboveAverage="0" equalAverage="0" bottom="0" percent="0" rank="0" text="" dxfId="2487">
      <formula>'1854'!$I$7</formula>
    </cfRule>
  </conditionalFormatting>
  <conditionalFormatting sqref="D8">
    <cfRule type="cellIs" priority="51" operator="equal" aboveAverage="0" equalAverage="0" bottom="0" percent="0" rank="0" text="" dxfId="2488">
      <formula>'1854'!$C$8</formula>
    </cfRule>
    <cfRule type="cellIs" priority="52" operator="lessThan" aboveAverage="0" equalAverage="0" bottom="0" percent="0" rank="0" text="" dxfId="2489">
      <formula>'1854'!$C$8</formula>
    </cfRule>
  </conditionalFormatting>
  <conditionalFormatting sqref="E8">
    <cfRule type="cellIs" priority="53" operator="equal" aboveAverage="0" equalAverage="0" bottom="0" percent="0" rank="0" text="" dxfId="2490">
      <formula>'1854'!$D$8</formula>
    </cfRule>
    <cfRule type="cellIs" priority="54" operator="lessThan" aboveAverage="0" equalAverage="0" bottom="0" percent="0" rank="0" text="" dxfId="2491">
      <formula>'1854'!$D$8</formula>
    </cfRule>
  </conditionalFormatting>
  <conditionalFormatting sqref="F8">
    <cfRule type="cellIs" priority="55" operator="equal" aboveAverage="0" equalAverage="0" bottom="0" percent="0" rank="0" text="" dxfId="2492">
      <formula>'1854'!$E$8</formula>
    </cfRule>
    <cfRule type="cellIs" priority="56" operator="lessThan" aboveAverage="0" equalAverage="0" bottom="0" percent="0" rank="0" text="" dxfId="2493">
      <formula>'1854'!$E$8</formula>
    </cfRule>
  </conditionalFormatting>
  <conditionalFormatting sqref="G8">
    <cfRule type="cellIs" priority="57" operator="equal" aboveAverage="0" equalAverage="0" bottom="0" percent="0" rank="0" text="" dxfId="2494">
      <formula>'1854'!$F$8</formula>
    </cfRule>
    <cfRule type="cellIs" priority="58" operator="lessThan" aboveAverage="0" equalAverage="0" bottom="0" percent="0" rank="0" text="" dxfId="2495">
      <formula>'1854'!$F$8</formula>
    </cfRule>
  </conditionalFormatting>
  <conditionalFormatting sqref="H8">
    <cfRule type="cellIs" priority="59" operator="equal" aboveAverage="0" equalAverage="0" bottom="0" percent="0" rank="0" text="" dxfId="2496">
      <formula>'1854'!$G$8</formula>
    </cfRule>
    <cfRule type="cellIs" priority="60" operator="lessThan" aboveAverage="0" equalAverage="0" bottom="0" percent="0" rank="0" text="" dxfId="2497">
      <formula>'1854'!$G$8</formula>
    </cfRule>
  </conditionalFormatting>
  <conditionalFormatting sqref="I8">
    <cfRule type="cellIs" priority="61" operator="equal" aboveAverage="0" equalAverage="0" bottom="0" percent="0" rank="0" text="" dxfId="2498">
      <formula>'1854'!$H$8</formula>
    </cfRule>
    <cfRule type="cellIs" priority="62" operator="lessThan" aboveAverage="0" equalAverage="0" bottom="0" percent="0" rank="0" text="" dxfId="2499">
      <formula>'1854'!$H$8</formula>
    </cfRule>
  </conditionalFormatting>
  <conditionalFormatting sqref="J8">
    <cfRule type="cellIs" priority="63" operator="equal" aboveAverage="0" equalAverage="0" bottom="0" percent="0" rank="0" text="" dxfId="2500">
      <formula>'1854'!$I$8</formula>
    </cfRule>
    <cfRule type="cellIs" priority="64" operator="lessThan" aboveAverage="0" equalAverage="0" bottom="0" percent="0" rank="0" text="" dxfId="2501">
      <formula>'1854'!$I$8</formula>
    </cfRule>
  </conditionalFormatting>
  <conditionalFormatting sqref="D9">
    <cfRule type="cellIs" priority="65" operator="equal" aboveAverage="0" equalAverage="0" bottom="0" percent="0" rank="0" text="" dxfId="2502">
      <formula>'1854'!$C$9</formula>
    </cfRule>
    <cfRule type="cellIs" priority="66" operator="lessThan" aboveAverage="0" equalAverage="0" bottom="0" percent="0" rank="0" text="" dxfId="2503">
      <formula>'1854'!$C$9</formula>
    </cfRule>
  </conditionalFormatting>
  <conditionalFormatting sqref="E9">
    <cfRule type="cellIs" priority="67" operator="equal" aboveAverage="0" equalAverage="0" bottom="0" percent="0" rank="0" text="" dxfId="2504">
      <formula>'1854'!$D$9</formula>
    </cfRule>
    <cfRule type="cellIs" priority="68" operator="lessThan" aboveAverage="0" equalAverage="0" bottom="0" percent="0" rank="0" text="" dxfId="2505">
      <formula>'1854'!$D$9</formula>
    </cfRule>
  </conditionalFormatting>
  <conditionalFormatting sqref="F9">
    <cfRule type="cellIs" priority="69" operator="equal" aboveAverage="0" equalAverage="0" bottom="0" percent="0" rank="0" text="" dxfId="2506">
      <formula>'1854'!$E$9</formula>
    </cfRule>
    <cfRule type="cellIs" priority="70" operator="lessThan" aboveAverage="0" equalAverage="0" bottom="0" percent="0" rank="0" text="" dxfId="2507">
      <formula>'1854'!$E$9</formula>
    </cfRule>
  </conditionalFormatting>
  <conditionalFormatting sqref="G9">
    <cfRule type="cellIs" priority="71" operator="equal" aboveAverage="0" equalAverage="0" bottom="0" percent="0" rank="0" text="" dxfId="2508">
      <formula>'1854'!$F$9</formula>
    </cfRule>
    <cfRule type="cellIs" priority="72" operator="lessThan" aboveAverage="0" equalAverage="0" bottom="0" percent="0" rank="0" text="" dxfId="2509">
      <formula>'1854'!$F$9</formula>
    </cfRule>
  </conditionalFormatting>
  <conditionalFormatting sqref="H9">
    <cfRule type="cellIs" priority="73" operator="equal" aboveAverage="0" equalAverage="0" bottom="0" percent="0" rank="0" text="" dxfId="2510">
      <formula>'1854'!$G$9</formula>
    </cfRule>
    <cfRule type="cellIs" priority="74" operator="lessThan" aboveAverage="0" equalAverage="0" bottom="0" percent="0" rank="0" text="" dxfId="2511">
      <formula>'1854'!$G$9</formula>
    </cfRule>
  </conditionalFormatting>
  <conditionalFormatting sqref="I9">
    <cfRule type="cellIs" priority="75" operator="equal" aboveAverage="0" equalAverage="0" bottom="0" percent="0" rank="0" text="" dxfId="2512">
      <formula>'1854'!$H$9</formula>
    </cfRule>
    <cfRule type="cellIs" priority="76" operator="lessThan" aboveAverage="0" equalAverage="0" bottom="0" percent="0" rank="0" text="" dxfId="2513">
      <formula>'1854'!$H$9</formula>
    </cfRule>
  </conditionalFormatting>
  <conditionalFormatting sqref="J9">
    <cfRule type="cellIs" priority="77" operator="equal" aboveAverage="0" equalAverage="0" bottom="0" percent="0" rank="0" text="" dxfId="2514">
      <formula>'1854'!$I$9</formula>
    </cfRule>
    <cfRule type="cellIs" priority="78" operator="lessThan" aboveAverage="0" equalAverage="0" bottom="0" percent="0" rank="0" text="" dxfId="2515">
      <formula>'1854'!$I$9</formula>
    </cfRule>
  </conditionalFormatting>
  <conditionalFormatting sqref="D10">
    <cfRule type="cellIs" priority="79" operator="equal" aboveAverage="0" equalAverage="0" bottom="0" percent="0" rank="0" text="" dxfId="2516">
      <formula>'1854'!$C$10</formula>
    </cfRule>
    <cfRule type="cellIs" priority="80" operator="lessThan" aboveAverage="0" equalAverage="0" bottom="0" percent="0" rank="0" text="" dxfId="2517">
      <formula>'1854'!$C$10</formula>
    </cfRule>
  </conditionalFormatting>
  <conditionalFormatting sqref="E10">
    <cfRule type="cellIs" priority="81" operator="equal" aboveAverage="0" equalAverage="0" bottom="0" percent="0" rank="0" text="" dxfId="2518">
      <formula>'1854'!$D$10</formula>
    </cfRule>
    <cfRule type="cellIs" priority="82" operator="lessThan" aboveAverage="0" equalAverage="0" bottom="0" percent="0" rank="0" text="" dxfId="2519">
      <formula>'1854'!$D$10</formula>
    </cfRule>
  </conditionalFormatting>
  <conditionalFormatting sqref="F10">
    <cfRule type="cellIs" priority="83" operator="equal" aboveAverage="0" equalAverage="0" bottom="0" percent="0" rank="0" text="" dxfId="2520">
      <formula>'1854'!$E$10</formula>
    </cfRule>
    <cfRule type="cellIs" priority="84" operator="lessThan" aboveAverage="0" equalAverage="0" bottom="0" percent="0" rank="0" text="" dxfId="2521">
      <formula>'1854'!$E$10</formula>
    </cfRule>
  </conditionalFormatting>
  <conditionalFormatting sqref="G10">
    <cfRule type="cellIs" priority="85" operator="equal" aboveAverage="0" equalAverage="0" bottom="0" percent="0" rank="0" text="" dxfId="2522">
      <formula>'1854'!$F$10</formula>
    </cfRule>
    <cfRule type="cellIs" priority="86" operator="lessThan" aboveAverage="0" equalAverage="0" bottom="0" percent="0" rank="0" text="" dxfId="2523">
      <formula>'1854'!$F$10</formula>
    </cfRule>
  </conditionalFormatting>
  <conditionalFormatting sqref="H10">
    <cfRule type="cellIs" priority="87" operator="equal" aboveAverage="0" equalAverage="0" bottom="0" percent="0" rank="0" text="" dxfId="2524">
      <formula>'1854'!$G$10</formula>
    </cfRule>
    <cfRule type="cellIs" priority="88" operator="lessThan" aboveAverage="0" equalAverage="0" bottom="0" percent="0" rank="0" text="" dxfId="2525">
      <formula>'1854'!$G$10</formula>
    </cfRule>
  </conditionalFormatting>
  <conditionalFormatting sqref="I10">
    <cfRule type="cellIs" priority="89" operator="equal" aboveAverage="0" equalAverage="0" bottom="0" percent="0" rank="0" text="" dxfId="2526">
      <formula>'1854'!$H$10</formula>
    </cfRule>
    <cfRule type="cellIs" priority="90" operator="lessThan" aboveAverage="0" equalAverage="0" bottom="0" percent="0" rank="0" text="" dxfId="2527">
      <formula>'1854'!$H$10</formula>
    </cfRule>
  </conditionalFormatting>
  <conditionalFormatting sqref="J10">
    <cfRule type="cellIs" priority="91" operator="equal" aboveAverage="0" equalAverage="0" bottom="0" percent="0" rank="0" text="" dxfId="2528">
      <formula>'1854'!$I$10</formula>
    </cfRule>
    <cfRule type="cellIs" priority="92" operator="lessThan" aboveAverage="0" equalAverage="0" bottom="0" percent="0" rank="0" text="" dxfId="2529">
      <formula>'1854'!$I$10</formula>
    </cfRule>
  </conditionalFormatting>
  <conditionalFormatting sqref="D11">
    <cfRule type="cellIs" priority="93" operator="equal" aboveAverage="0" equalAverage="0" bottom="0" percent="0" rank="0" text="" dxfId="2530">
      <formula>'1854'!$C$11</formula>
    </cfRule>
    <cfRule type="cellIs" priority="94" operator="lessThan" aboveAverage="0" equalAverage="0" bottom="0" percent="0" rank="0" text="" dxfId="2531">
      <formula>'1854'!$C$11</formula>
    </cfRule>
  </conditionalFormatting>
  <conditionalFormatting sqref="E11">
    <cfRule type="cellIs" priority="95" operator="equal" aboveAverage="0" equalAverage="0" bottom="0" percent="0" rank="0" text="" dxfId="2532">
      <formula>'1854'!$D$11</formula>
    </cfRule>
    <cfRule type="cellIs" priority="96" operator="lessThan" aboveAverage="0" equalAverage="0" bottom="0" percent="0" rank="0" text="" dxfId="2533">
      <formula>'1854'!$D$11</formula>
    </cfRule>
  </conditionalFormatting>
  <conditionalFormatting sqref="F11">
    <cfRule type="cellIs" priority="97" operator="equal" aboveAverage="0" equalAverage="0" bottom="0" percent="0" rank="0" text="" dxfId="2534">
      <formula>'1854'!$E$11</formula>
    </cfRule>
    <cfRule type="cellIs" priority="98" operator="lessThan" aboveAverage="0" equalAverage="0" bottom="0" percent="0" rank="0" text="" dxfId="2535">
      <formula>'1854'!$E$11</formula>
    </cfRule>
  </conditionalFormatting>
  <conditionalFormatting sqref="G11">
    <cfRule type="cellIs" priority="99" operator="equal" aboveAverage="0" equalAverage="0" bottom="0" percent="0" rank="0" text="" dxfId="2536">
      <formula>'1854'!$F$11</formula>
    </cfRule>
    <cfRule type="cellIs" priority="100" operator="lessThan" aboveAverage="0" equalAverage="0" bottom="0" percent="0" rank="0" text="" dxfId="2537">
      <formula>'1854'!$F$11</formula>
    </cfRule>
  </conditionalFormatting>
  <conditionalFormatting sqref="H11">
    <cfRule type="cellIs" priority="101" operator="equal" aboveAverage="0" equalAverage="0" bottom="0" percent="0" rank="0" text="" dxfId="2538">
      <formula>'1854'!$G$11</formula>
    </cfRule>
    <cfRule type="cellIs" priority="102" operator="lessThan" aboveAverage="0" equalAverage="0" bottom="0" percent="0" rank="0" text="" dxfId="2539">
      <formula>'1854'!$G$11</formula>
    </cfRule>
  </conditionalFormatting>
  <conditionalFormatting sqref="I11">
    <cfRule type="cellIs" priority="103" operator="equal" aboveAverage="0" equalAverage="0" bottom="0" percent="0" rank="0" text="" dxfId="2540">
      <formula>'1854'!$H$11</formula>
    </cfRule>
    <cfRule type="cellIs" priority="104" operator="lessThan" aboveAverage="0" equalAverage="0" bottom="0" percent="0" rank="0" text="" dxfId="2541">
      <formula>'1854'!$H$11</formula>
    </cfRule>
  </conditionalFormatting>
  <conditionalFormatting sqref="J11">
    <cfRule type="cellIs" priority="105" operator="equal" aboveAverage="0" equalAverage="0" bottom="0" percent="0" rank="0" text="" dxfId="2542">
      <formula>'1854'!$I$11</formula>
    </cfRule>
    <cfRule type="cellIs" priority="106" operator="lessThan" aboveAverage="0" equalAverage="0" bottom="0" percent="0" rank="0" text="" dxfId="2543">
      <formula>'1854'!$I$11</formula>
    </cfRule>
  </conditionalFormatting>
  <conditionalFormatting sqref="D12">
    <cfRule type="cellIs" priority="107" operator="equal" aboveAverage="0" equalAverage="0" bottom="0" percent="0" rank="0" text="" dxfId="2544">
      <formula>'1854'!$C$12</formula>
    </cfRule>
    <cfRule type="cellIs" priority="108" operator="lessThan" aboveAverage="0" equalAverage="0" bottom="0" percent="0" rank="0" text="" dxfId="2545">
      <formula>'1854'!$C$12</formula>
    </cfRule>
  </conditionalFormatting>
  <conditionalFormatting sqref="E12">
    <cfRule type="cellIs" priority="109" operator="equal" aboveAverage="0" equalAverage="0" bottom="0" percent="0" rank="0" text="" dxfId="2546">
      <formula>'1854'!$D$12</formula>
    </cfRule>
    <cfRule type="cellIs" priority="110" operator="lessThan" aboveAverage="0" equalAverage="0" bottom="0" percent="0" rank="0" text="" dxfId="2547">
      <formula>'1854'!$D$12</formula>
    </cfRule>
  </conditionalFormatting>
  <conditionalFormatting sqref="F12">
    <cfRule type="cellIs" priority="111" operator="equal" aboveAverage="0" equalAverage="0" bottom="0" percent="0" rank="0" text="" dxfId="2548">
      <formula>'1854'!$E$12</formula>
    </cfRule>
    <cfRule type="cellIs" priority="112" operator="lessThan" aboveAverage="0" equalAverage="0" bottom="0" percent="0" rank="0" text="" dxfId="2549">
      <formula>'1854'!$E$12</formula>
    </cfRule>
  </conditionalFormatting>
  <conditionalFormatting sqref="G12">
    <cfRule type="cellIs" priority="113" operator="equal" aboveAverage="0" equalAverage="0" bottom="0" percent="0" rank="0" text="" dxfId="2550">
      <formula>'1854'!$F$12</formula>
    </cfRule>
    <cfRule type="cellIs" priority="114" operator="lessThan" aboveAverage="0" equalAverage="0" bottom="0" percent="0" rank="0" text="" dxfId="2551">
      <formula>'1854'!$F$12</formula>
    </cfRule>
  </conditionalFormatting>
  <conditionalFormatting sqref="H12">
    <cfRule type="cellIs" priority="115" operator="equal" aboveAverage="0" equalAverage="0" bottom="0" percent="0" rank="0" text="" dxfId="2552">
      <formula>'1854'!$G$12</formula>
    </cfRule>
    <cfRule type="cellIs" priority="116" operator="lessThan" aboveAverage="0" equalAverage="0" bottom="0" percent="0" rank="0" text="" dxfId="2553">
      <formula>'1854'!$G$12</formula>
    </cfRule>
  </conditionalFormatting>
  <conditionalFormatting sqref="I12">
    <cfRule type="cellIs" priority="117" operator="equal" aboveAverage="0" equalAverage="0" bottom="0" percent="0" rank="0" text="" dxfId="2554">
      <formula>'1854'!$H$12</formula>
    </cfRule>
    <cfRule type="cellIs" priority="118" operator="lessThan" aboveAverage="0" equalAverage="0" bottom="0" percent="0" rank="0" text="" dxfId="2555">
      <formula>'1854'!$H$12</formula>
    </cfRule>
  </conditionalFormatting>
  <conditionalFormatting sqref="J12">
    <cfRule type="cellIs" priority="119" operator="equal" aboveAverage="0" equalAverage="0" bottom="0" percent="0" rank="0" text="" dxfId="2556">
      <formula>'1854'!$I$12</formula>
    </cfRule>
    <cfRule type="cellIs" priority="120" operator="lessThan" aboveAverage="0" equalAverage="0" bottom="0" percent="0" rank="0" text="" dxfId="2557">
      <formula>'1854'!$I$12</formula>
    </cfRule>
  </conditionalFormatting>
  <conditionalFormatting sqref="D14">
    <cfRule type="cellIs" priority="121" operator="equal" aboveAverage="0" equalAverage="0" bottom="0" percent="0" rank="0" text="" dxfId="2558">
      <formula>'1854'!$C$14</formula>
    </cfRule>
    <cfRule type="cellIs" priority="122" operator="lessThan" aboveAverage="0" equalAverage="0" bottom="0" percent="0" rank="0" text="" dxfId="2559">
      <formula>'1854'!$C$14</formula>
    </cfRule>
  </conditionalFormatting>
  <conditionalFormatting sqref="D15">
    <cfRule type="cellIs" priority="123" operator="equal" aboveAverage="0" equalAverage="0" bottom="0" percent="0" rank="0" text="" dxfId="2560">
      <formula>'1854'!$C$15</formula>
    </cfRule>
    <cfRule type="cellIs" priority="124" operator="lessThan" aboveAverage="0" equalAverage="0" bottom="0" percent="0" rank="0" text="" dxfId="2561">
      <formula>'1854'!$C$15</formula>
    </cfRule>
  </conditionalFormatting>
  <conditionalFormatting sqref="D16">
    <cfRule type="cellIs" priority="125" operator="equal" aboveAverage="0" equalAverage="0" bottom="0" percent="0" rank="0" text="" dxfId="2562">
      <formula>'1854'!$C$16</formula>
    </cfRule>
    <cfRule type="cellIs" priority="126" operator="lessThan" aboveAverage="0" equalAverage="0" bottom="0" percent="0" rank="0" text="" dxfId="2563">
      <formula>'1854'!$C$16</formula>
    </cfRule>
  </conditionalFormatting>
  <conditionalFormatting sqref="D17">
    <cfRule type="cellIs" priority="127" operator="equal" aboveAverage="0" equalAverage="0" bottom="0" percent="0" rank="0" text="" dxfId="2564">
      <formula>'1854'!$C$17</formula>
    </cfRule>
    <cfRule type="cellIs" priority="128" operator="lessThan" aboveAverage="0" equalAverage="0" bottom="0" percent="0" rank="0" text="" dxfId="2565">
      <formula>'1854'!$C$17</formula>
    </cfRule>
  </conditionalFormatting>
  <conditionalFormatting sqref="D18">
    <cfRule type="cellIs" priority="129" operator="equal" aboveAverage="0" equalAverage="0" bottom="0" percent="0" rank="0" text="" dxfId="2566">
      <formula>'1854'!$C$18</formula>
    </cfRule>
    <cfRule type="cellIs" priority="130" operator="lessThan" aboveAverage="0" equalAverage="0" bottom="0" percent="0" rank="0" text="" dxfId="2567">
      <formula>'1854'!$C$18</formula>
    </cfRule>
  </conditionalFormatting>
  <conditionalFormatting sqref="D19">
    <cfRule type="cellIs" priority="131" operator="equal" aboveAverage="0" equalAverage="0" bottom="0" percent="0" rank="0" text="" dxfId="2568">
      <formula>'1854'!$C$19</formula>
    </cfRule>
    <cfRule type="cellIs" priority="132" operator="lessThan" aboveAverage="0" equalAverage="0" bottom="0" percent="0" rank="0" text="" dxfId="2569">
      <formula>'1854'!$C$19</formula>
    </cfRule>
  </conditionalFormatting>
  <conditionalFormatting sqref="D20">
    <cfRule type="cellIs" priority="133" operator="equal" aboveAverage="0" equalAverage="0" bottom="0" percent="0" rank="0" text="" dxfId="2570">
      <formula>'1854'!$C$20</formula>
    </cfRule>
    <cfRule type="cellIs" priority="134" operator="lessThan" aboveAverage="0" equalAverage="0" bottom="0" percent="0" rank="0" text="" dxfId="2571">
      <formula>'1854'!$C$20</formula>
    </cfRule>
  </conditionalFormatting>
  <conditionalFormatting sqref="D21">
    <cfRule type="cellIs" priority="135" operator="equal" aboveAverage="0" equalAverage="0" bottom="0" percent="0" rank="0" text="" dxfId="2572">
      <formula>'1854'!$C$21</formula>
    </cfRule>
    <cfRule type="cellIs" priority="136" operator="lessThan" aboveAverage="0" equalAverage="0" bottom="0" percent="0" rank="0" text="" dxfId="2573">
      <formula>'1854'!$C$21</formula>
    </cfRule>
  </conditionalFormatting>
  <conditionalFormatting sqref="D22">
    <cfRule type="cellIs" priority="137" operator="equal" aboveAverage="0" equalAverage="0" bottom="0" percent="0" rank="0" text="" dxfId="2574">
      <formula>'1854'!$C$22</formula>
    </cfRule>
    <cfRule type="cellIs" priority="138" operator="lessThan" aboveAverage="0" equalAverage="0" bottom="0" percent="0" rank="0" text="" dxfId="2575">
      <formula>'1854'!$C$22</formula>
    </cfRule>
  </conditionalFormatting>
  <conditionalFormatting sqref="D23">
    <cfRule type="cellIs" priority="139" operator="equal" aboveAverage="0" equalAverage="0" bottom="0" percent="0" rank="0" text="" dxfId="2576">
      <formula>'1854'!$C$23</formula>
    </cfRule>
    <cfRule type="cellIs" priority="140" operator="lessThan" aboveAverage="0" equalAverage="0" bottom="0" percent="0" rank="0" text="" dxfId="2577">
      <formula>'1854'!$C$23</formula>
    </cfRule>
  </conditionalFormatting>
  <conditionalFormatting sqref="D25">
    <cfRule type="cellIs" priority="141" operator="equal" aboveAverage="0" equalAverage="0" bottom="0" percent="0" rank="0" text="" dxfId="2578">
      <formula>'1854'!$C$25</formula>
    </cfRule>
    <cfRule type="cellIs" priority="142" operator="lessThan" aboveAverage="0" equalAverage="0" bottom="0" percent="0" rank="0" text="" dxfId="2579">
      <formula>'1854'!$C$25</formula>
    </cfRule>
  </conditionalFormatting>
  <conditionalFormatting sqref="D26">
    <cfRule type="cellIs" priority="143" operator="equal" aboveAverage="0" equalAverage="0" bottom="0" percent="0" rank="0" text="" dxfId="2580">
      <formula>'1854'!$C$26</formula>
    </cfRule>
    <cfRule type="cellIs" priority="144" operator="lessThan" aboveAverage="0" equalAverage="0" bottom="0" percent="0" rank="0" text="" dxfId="2581">
      <formula>'1854'!$C$26</formula>
    </cfRule>
  </conditionalFormatting>
  <conditionalFormatting sqref="D27">
    <cfRule type="cellIs" priority="145" operator="equal" aboveAverage="0" equalAverage="0" bottom="0" percent="0" rank="0" text="" dxfId="2582">
      <formula>'1854'!$C$27</formula>
    </cfRule>
    <cfRule type="cellIs" priority="146" operator="lessThan" aboveAverage="0" equalAverage="0" bottom="0" percent="0" rank="0" text="" dxfId="2583">
      <formula>'1854'!$C$27</formula>
    </cfRule>
  </conditionalFormatting>
  <conditionalFormatting sqref="D28">
    <cfRule type="cellIs" priority="147" operator="equal" aboveAverage="0" equalAverage="0" bottom="0" percent="0" rank="0" text="" dxfId="2584">
      <formula>'1854'!$C$28</formula>
    </cfRule>
    <cfRule type="cellIs" priority="148" operator="lessThan" aboveAverage="0" equalAverage="0" bottom="0" percent="0" rank="0" text="" dxfId="2585">
      <formula>'1854'!$C$28</formula>
    </cfRule>
  </conditionalFormatting>
  <conditionalFormatting sqref="E13">
    <cfRule type="cellIs" priority="149" operator="equal" aboveAverage="0" equalAverage="0" bottom="0" percent="0" rank="0" text="" dxfId="2586">
      <formula>'1854'!$D$13</formula>
    </cfRule>
    <cfRule type="cellIs" priority="150" operator="lessThan" aboveAverage="0" equalAverage="0" bottom="0" percent="0" rank="0" text="" dxfId="2587">
      <formula>'1854'!$D$13</formula>
    </cfRule>
  </conditionalFormatting>
  <conditionalFormatting sqref="E14">
    <cfRule type="cellIs" priority="151" operator="equal" aboveAverage="0" equalAverage="0" bottom="0" percent="0" rank="0" text="" dxfId="2588">
      <formula>'1854'!$D$14</formula>
    </cfRule>
    <cfRule type="cellIs" priority="152" operator="lessThan" aboveAverage="0" equalAverage="0" bottom="0" percent="0" rank="0" text="" dxfId="2589">
      <formula>'1854'!$D$14</formula>
    </cfRule>
  </conditionalFormatting>
  <conditionalFormatting sqref="E15">
    <cfRule type="cellIs" priority="153" operator="equal" aboveAverage="0" equalAverage="0" bottom="0" percent="0" rank="0" text="" dxfId="2590">
      <formula>'1854'!$D$15</formula>
    </cfRule>
    <cfRule type="cellIs" priority="154" operator="lessThan" aboveAverage="0" equalAverage="0" bottom="0" percent="0" rank="0" text="" dxfId="2591">
      <formula>'1854'!$D$15</formula>
    </cfRule>
  </conditionalFormatting>
  <conditionalFormatting sqref="E16">
    <cfRule type="cellIs" priority="155" operator="equal" aboveAverage="0" equalAverage="0" bottom="0" percent="0" rank="0" text="" dxfId="2592">
      <formula>'1854'!$D$16</formula>
    </cfRule>
    <cfRule type="cellIs" priority="156" operator="lessThan" aboveAverage="0" equalAverage="0" bottom="0" percent="0" rank="0" text="" dxfId="2593">
      <formula>'1854'!$D$16</formula>
    </cfRule>
  </conditionalFormatting>
  <conditionalFormatting sqref="E17">
    <cfRule type="cellIs" priority="157" operator="equal" aboveAverage="0" equalAverage="0" bottom="0" percent="0" rank="0" text="" dxfId="2594">
      <formula>'1854'!$D$17</formula>
    </cfRule>
    <cfRule type="cellIs" priority="158" operator="lessThan" aboveAverage="0" equalAverage="0" bottom="0" percent="0" rank="0" text="" dxfId="2595">
      <formula>'1854'!$D$17</formula>
    </cfRule>
  </conditionalFormatting>
  <conditionalFormatting sqref="E18">
    <cfRule type="cellIs" priority="159" operator="equal" aboveAverage="0" equalAverage="0" bottom="0" percent="0" rank="0" text="" dxfId="2596">
      <formula>'1854'!$D$18</formula>
    </cfRule>
    <cfRule type="cellIs" priority="160" operator="lessThan" aboveAverage="0" equalAverage="0" bottom="0" percent="0" rank="0" text="" dxfId="2597">
      <formula>'1854'!$D$18</formula>
    </cfRule>
  </conditionalFormatting>
  <conditionalFormatting sqref="E19">
    <cfRule type="cellIs" priority="161" operator="equal" aboveAverage="0" equalAverage="0" bottom="0" percent="0" rank="0" text="" dxfId="2598">
      <formula>'1854'!$D$19</formula>
    </cfRule>
    <cfRule type="cellIs" priority="162" operator="lessThan" aboveAverage="0" equalAverage="0" bottom="0" percent="0" rank="0" text="" dxfId="2599">
      <formula>'1854'!$D$19</formula>
    </cfRule>
  </conditionalFormatting>
  <conditionalFormatting sqref="E20">
    <cfRule type="cellIs" priority="163" operator="equal" aboveAverage="0" equalAverage="0" bottom="0" percent="0" rank="0" text="" dxfId="2600">
      <formula>'1854'!$D$20</formula>
    </cfRule>
    <cfRule type="cellIs" priority="164" operator="lessThan" aboveAverage="0" equalAverage="0" bottom="0" percent="0" rank="0" text="" dxfId="2601">
      <formula>'1854'!$D$20</formula>
    </cfRule>
  </conditionalFormatting>
  <conditionalFormatting sqref="E21">
    <cfRule type="cellIs" priority="165" operator="equal" aboveAverage="0" equalAverage="0" bottom="0" percent="0" rank="0" text="" dxfId="2602">
      <formula>'1854'!$D$21</formula>
    </cfRule>
    <cfRule type="cellIs" priority="166" operator="lessThan" aboveAverage="0" equalAverage="0" bottom="0" percent="0" rank="0" text="" dxfId="2603">
      <formula>'1854'!$D$21</formula>
    </cfRule>
  </conditionalFormatting>
  <conditionalFormatting sqref="E22">
    <cfRule type="cellIs" priority="167" operator="equal" aboveAverage="0" equalAverage="0" bottom="0" percent="0" rank="0" text="" dxfId="2604">
      <formula>'1854'!$D$22</formula>
    </cfRule>
    <cfRule type="cellIs" priority="168" operator="lessThan" aboveAverage="0" equalAverage="0" bottom="0" percent="0" rank="0" text="" dxfId="2605">
      <formula>'1854'!$D$22</formula>
    </cfRule>
  </conditionalFormatting>
  <conditionalFormatting sqref="E23">
    <cfRule type="cellIs" priority="169" operator="equal" aboveAverage="0" equalAverage="0" bottom="0" percent="0" rank="0" text="" dxfId="2606">
      <formula>'1854'!$D$23</formula>
    </cfRule>
    <cfRule type="cellIs" priority="170" operator="lessThan" aboveAverage="0" equalAverage="0" bottom="0" percent="0" rank="0" text="" dxfId="2607">
      <formula>'1854'!$D$23</formula>
    </cfRule>
  </conditionalFormatting>
  <conditionalFormatting sqref="E25">
    <cfRule type="cellIs" priority="171" operator="equal" aboveAverage="0" equalAverage="0" bottom="0" percent="0" rank="0" text="" dxfId="2608">
      <formula>'1854'!$D$25</formula>
    </cfRule>
    <cfRule type="cellIs" priority="172" operator="lessThan" aboveAverage="0" equalAverage="0" bottom="0" percent="0" rank="0" text="" dxfId="2609">
      <formula>'1854'!$D$25</formula>
    </cfRule>
  </conditionalFormatting>
  <conditionalFormatting sqref="E26">
    <cfRule type="cellIs" priority="173" operator="equal" aboveAverage="0" equalAverage="0" bottom="0" percent="0" rank="0" text="" dxfId="2610">
      <formula>'1854'!$D$26</formula>
    </cfRule>
    <cfRule type="cellIs" priority="174" operator="lessThan" aboveAverage="0" equalAverage="0" bottom="0" percent="0" rank="0" text="" dxfId="2611">
      <formula>'1854'!$D$26</formula>
    </cfRule>
  </conditionalFormatting>
  <conditionalFormatting sqref="E27">
    <cfRule type="cellIs" priority="175" operator="equal" aboveAverage="0" equalAverage="0" bottom="0" percent="0" rank="0" text="" dxfId="2612">
      <formula>'1854'!$D$27</formula>
    </cfRule>
    <cfRule type="cellIs" priority="176" operator="lessThan" aboveAverage="0" equalAverage="0" bottom="0" percent="0" rank="0" text="" dxfId="2613">
      <formula>'1854'!$D$27</formula>
    </cfRule>
  </conditionalFormatting>
  <conditionalFormatting sqref="E28">
    <cfRule type="cellIs" priority="177" operator="equal" aboveAverage="0" equalAverage="0" bottom="0" percent="0" rank="0" text="" dxfId="2614">
      <formula>'1854'!$D$28</formula>
    </cfRule>
    <cfRule type="cellIs" priority="178" operator="lessThan" aboveAverage="0" equalAverage="0" bottom="0" percent="0" rank="0" text="" dxfId="2615">
      <formula>'1854'!$D$28</formula>
    </cfRule>
  </conditionalFormatting>
  <conditionalFormatting sqref="F13">
    <cfRule type="cellIs" priority="179" operator="equal" aboveAverage="0" equalAverage="0" bottom="0" percent="0" rank="0" text="" dxfId="2616">
      <formula>'1854'!$E$13</formula>
    </cfRule>
    <cfRule type="cellIs" priority="180" operator="lessThan" aboveAverage="0" equalAverage="0" bottom="0" percent="0" rank="0" text="" dxfId="2617">
      <formula>'1854'!$E$13</formula>
    </cfRule>
  </conditionalFormatting>
  <conditionalFormatting sqref="F14">
    <cfRule type="cellIs" priority="181" operator="equal" aboveAverage="0" equalAverage="0" bottom="0" percent="0" rank="0" text="" dxfId="2618">
      <formula>'1854'!$E$14</formula>
    </cfRule>
    <cfRule type="cellIs" priority="182" operator="lessThan" aboveAverage="0" equalAverage="0" bottom="0" percent="0" rank="0" text="" dxfId="2619">
      <formula>'1854'!$E$14</formula>
    </cfRule>
  </conditionalFormatting>
  <conditionalFormatting sqref="F15">
    <cfRule type="cellIs" priority="183" operator="equal" aboveAverage="0" equalAverage="0" bottom="0" percent="0" rank="0" text="" dxfId="2620">
      <formula>'1854'!$E$15</formula>
    </cfRule>
    <cfRule type="cellIs" priority="184" operator="lessThan" aboveAverage="0" equalAverage="0" bottom="0" percent="0" rank="0" text="" dxfId="2621">
      <formula>'1854'!$E$15</formula>
    </cfRule>
  </conditionalFormatting>
  <conditionalFormatting sqref="F16">
    <cfRule type="cellIs" priority="185" operator="equal" aboveAverage="0" equalAverage="0" bottom="0" percent="0" rank="0" text="" dxfId="2622">
      <formula>'1854'!$E$16</formula>
    </cfRule>
    <cfRule type="cellIs" priority="186" operator="lessThan" aboveAverage="0" equalAverage="0" bottom="0" percent="0" rank="0" text="" dxfId="2623">
      <formula>'1854'!$E$16</formula>
    </cfRule>
  </conditionalFormatting>
  <conditionalFormatting sqref="F17">
    <cfRule type="cellIs" priority="187" operator="equal" aboveAverage="0" equalAverage="0" bottom="0" percent="0" rank="0" text="" dxfId="2624">
      <formula>'1854'!$E$17</formula>
    </cfRule>
    <cfRule type="cellIs" priority="188" operator="lessThan" aboveAverage="0" equalAverage="0" bottom="0" percent="0" rank="0" text="" dxfId="2625">
      <formula>'1854'!$E$17</formula>
    </cfRule>
  </conditionalFormatting>
  <conditionalFormatting sqref="F18">
    <cfRule type="cellIs" priority="189" operator="equal" aboveAverage="0" equalAverage="0" bottom="0" percent="0" rank="0" text="" dxfId="2626">
      <formula>'1854'!$E$18</formula>
    </cfRule>
    <cfRule type="cellIs" priority="190" operator="lessThan" aboveAverage="0" equalAverage="0" bottom="0" percent="0" rank="0" text="" dxfId="2627">
      <formula>'1854'!$E$18</formula>
    </cfRule>
  </conditionalFormatting>
  <conditionalFormatting sqref="F19">
    <cfRule type="cellIs" priority="191" operator="equal" aboveAverage="0" equalAverage="0" bottom="0" percent="0" rank="0" text="" dxfId="2628">
      <formula>'1854'!$E$19</formula>
    </cfRule>
    <cfRule type="cellIs" priority="192" operator="lessThan" aboveAverage="0" equalAverage="0" bottom="0" percent="0" rank="0" text="" dxfId="2629">
      <formula>'1854'!$E$19</formula>
    </cfRule>
  </conditionalFormatting>
  <conditionalFormatting sqref="F20">
    <cfRule type="cellIs" priority="193" operator="equal" aboveAverage="0" equalAverage="0" bottom="0" percent="0" rank="0" text="" dxfId="2630">
      <formula>'1854'!$E$20</formula>
    </cfRule>
    <cfRule type="cellIs" priority="194" operator="lessThan" aboveAverage="0" equalAverage="0" bottom="0" percent="0" rank="0" text="" dxfId="2631">
      <formula>'1854'!$E$20</formula>
    </cfRule>
  </conditionalFormatting>
  <conditionalFormatting sqref="F21">
    <cfRule type="cellIs" priority="195" operator="equal" aboveAverage="0" equalAverage="0" bottom="0" percent="0" rank="0" text="" dxfId="2632">
      <formula>'1854'!$E$21</formula>
    </cfRule>
    <cfRule type="cellIs" priority="196" operator="lessThan" aboveAverage="0" equalAverage="0" bottom="0" percent="0" rank="0" text="" dxfId="2633">
      <formula>'1854'!$E$21</formula>
    </cfRule>
  </conditionalFormatting>
  <conditionalFormatting sqref="F22">
    <cfRule type="cellIs" priority="197" operator="equal" aboveAverage="0" equalAverage="0" bottom="0" percent="0" rank="0" text="" dxfId="2634">
      <formula>'1854'!$E$22</formula>
    </cfRule>
    <cfRule type="cellIs" priority="198" operator="lessThan" aboveAverage="0" equalAverage="0" bottom="0" percent="0" rank="0" text="" dxfId="2635">
      <formula>'1854'!$E$22</formula>
    </cfRule>
  </conditionalFormatting>
  <conditionalFormatting sqref="F23">
    <cfRule type="cellIs" priority="199" operator="equal" aboveAverage="0" equalAverage="0" bottom="0" percent="0" rank="0" text="" dxfId="2636">
      <formula>'1854'!$E$23</formula>
    </cfRule>
    <cfRule type="cellIs" priority="200" operator="lessThan" aboveAverage="0" equalAverage="0" bottom="0" percent="0" rank="0" text="" dxfId="2637">
      <formula>'1854'!$E$23</formula>
    </cfRule>
  </conditionalFormatting>
  <conditionalFormatting sqref="F25">
    <cfRule type="cellIs" priority="201" operator="equal" aboveAverage="0" equalAverage="0" bottom="0" percent="0" rank="0" text="" dxfId="2638">
      <formula>'1854'!$E$25</formula>
    </cfRule>
    <cfRule type="cellIs" priority="202" operator="lessThan" aboveAverage="0" equalAverage="0" bottom="0" percent="0" rank="0" text="" dxfId="2639">
      <formula>'1854'!$E$25</formula>
    </cfRule>
  </conditionalFormatting>
  <conditionalFormatting sqref="F26">
    <cfRule type="cellIs" priority="203" operator="equal" aboveAverage="0" equalAverage="0" bottom="0" percent="0" rank="0" text="" dxfId="2640">
      <formula>'1854'!$E$26</formula>
    </cfRule>
    <cfRule type="cellIs" priority="204" operator="lessThan" aboveAverage="0" equalAverage="0" bottom="0" percent="0" rank="0" text="" dxfId="2641">
      <formula>'1854'!$E$26</formula>
    </cfRule>
  </conditionalFormatting>
  <conditionalFormatting sqref="F27">
    <cfRule type="cellIs" priority="205" operator="equal" aboveAverage="0" equalAverage="0" bottom="0" percent="0" rank="0" text="" dxfId="2642">
      <formula>'1854'!$E$27</formula>
    </cfRule>
    <cfRule type="cellIs" priority="206" operator="lessThan" aboveAverage="0" equalAverage="0" bottom="0" percent="0" rank="0" text="" dxfId="2643">
      <formula>'1854'!$E$27</formula>
    </cfRule>
  </conditionalFormatting>
  <conditionalFormatting sqref="F28">
    <cfRule type="cellIs" priority="207" operator="equal" aboveAverage="0" equalAverage="0" bottom="0" percent="0" rank="0" text="" dxfId="2644">
      <formula>'1854'!$E$28</formula>
    </cfRule>
    <cfRule type="cellIs" priority="208" operator="lessThan" aboveAverage="0" equalAverage="0" bottom="0" percent="0" rank="0" text="" dxfId="2645">
      <formula>'1854'!$E$28</formula>
    </cfRule>
  </conditionalFormatting>
  <conditionalFormatting sqref="G13">
    <cfRule type="cellIs" priority="209" operator="equal" aboveAverage="0" equalAverage="0" bottom="0" percent="0" rank="0" text="" dxfId="2646">
      <formula>'1854'!$F$13</formula>
    </cfRule>
    <cfRule type="cellIs" priority="210" operator="lessThan" aboveAverage="0" equalAverage="0" bottom="0" percent="0" rank="0" text="" dxfId="2647">
      <formula>'1854'!$F$13</formula>
    </cfRule>
  </conditionalFormatting>
  <conditionalFormatting sqref="G14">
    <cfRule type="cellIs" priority="211" operator="equal" aboveAverage="0" equalAverage="0" bottom="0" percent="0" rank="0" text="" dxfId="2648">
      <formula>'1854'!$F$14</formula>
    </cfRule>
    <cfRule type="cellIs" priority="212" operator="lessThan" aboveAverage="0" equalAverage="0" bottom="0" percent="0" rank="0" text="" dxfId="2649">
      <formula>'1854'!$F$14</formula>
    </cfRule>
  </conditionalFormatting>
  <conditionalFormatting sqref="G15">
    <cfRule type="cellIs" priority="213" operator="equal" aboveAverage="0" equalAverage="0" bottom="0" percent="0" rank="0" text="" dxfId="2650">
      <formula>'1854'!$F$15</formula>
    </cfRule>
    <cfRule type="cellIs" priority="214" operator="lessThan" aboveAverage="0" equalAverage="0" bottom="0" percent="0" rank="0" text="" dxfId="2651">
      <formula>'1854'!$F$15</formula>
    </cfRule>
  </conditionalFormatting>
  <conditionalFormatting sqref="G16">
    <cfRule type="cellIs" priority="215" operator="equal" aboveAverage="0" equalAverage="0" bottom="0" percent="0" rank="0" text="" dxfId="2652">
      <formula>'1854'!$F$16</formula>
    </cfRule>
    <cfRule type="cellIs" priority="216" operator="lessThan" aboveAverage="0" equalAverage="0" bottom="0" percent="0" rank="0" text="" dxfId="2653">
      <formula>'1854'!$F$16</formula>
    </cfRule>
  </conditionalFormatting>
  <conditionalFormatting sqref="G17">
    <cfRule type="cellIs" priority="217" operator="equal" aboveAverage="0" equalAverage="0" bottom="0" percent="0" rank="0" text="" dxfId="2654">
      <formula>'1854'!$F$17</formula>
    </cfRule>
    <cfRule type="cellIs" priority="218" operator="lessThan" aboveAverage="0" equalAverage="0" bottom="0" percent="0" rank="0" text="" dxfId="2655">
      <formula>'1854'!$F$17</formula>
    </cfRule>
  </conditionalFormatting>
  <conditionalFormatting sqref="G18">
    <cfRule type="cellIs" priority="219" operator="equal" aboveAverage="0" equalAverage="0" bottom="0" percent="0" rank="0" text="" dxfId="2656">
      <formula>'1854'!$F$18</formula>
    </cfRule>
    <cfRule type="cellIs" priority="220" operator="lessThan" aboveAverage="0" equalAverage="0" bottom="0" percent="0" rank="0" text="" dxfId="2657">
      <formula>'1854'!$F$18</formula>
    </cfRule>
  </conditionalFormatting>
  <conditionalFormatting sqref="G19">
    <cfRule type="cellIs" priority="221" operator="equal" aboveAverage="0" equalAverage="0" bottom="0" percent="0" rank="0" text="" dxfId="2658">
      <formula>'1854'!$F$19</formula>
    </cfRule>
    <cfRule type="cellIs" priority="222" operator="lessThan" aboveAverage="0" equalAverage="0" bottom="0" percent="0" rank="0" text="" dxfId="2659">
      <formula>'1854'!$F$19</formula>
    </cfRule>
  </conditionalFormatting>
  <conditionalFormatting sqref="G20">
    <cfRule type="cellIs" priority="223" operator="equal" aboveAverage="0" equalAverage="0" bottom="0" percent="0" rank="0" text="" dxfId="2660">
      <formula>'1854'!$F$20</formula>
    </cfRule>
    <cfRule type="cellIs" priority="224" operator="lessThan" aboveAverage="0" equalAverage="0" bottom="0" percent="0" rank="0" text="" dxfId="2661">
      <formula>'1854'!$F$20</formula>
    </cfRule>
  </conditionalFormatting>
  <conditionalFormatting sqref="G21">
    <cfRule type="cellIs" priority="225" operator="equal" aboveAverage="0" equalAverage="0" bottom="0" percent="0" rank="0" text="" dxfId="2662">
      <formula>'1854'!$F$21</formula>
    </cfRule>
    <cfRule type="cellIs" priority="226" operator="lessThan" aboveAverage="0" equalAverage="0" bottom="0" percent="0" rank="0" text="" dxfId="2663">
      <formula>'1854'!$F$21</formula>
    </cfRule>
  </conditionalFormatting>
  <conditionalFormatting sqref="G22">
    <cfRule type="cellIs" priority="227" operator="equal" aboveAverage="0" equalAverage="0" bottom="0" percent="0" rank="0" text="" dxfId="2664">
      <formula>'1854'!$F$22</formula>
    </cfRule>
    <cfRule type="cellIs" priority="228" operator="lessThan" aboveAverage="0" equalAverage="0" bottom="0" percent="0" rank="0" text="" dxfId="2665">
      <formula>'1854'!$F$22</formula>
    </cfRule>
  </conditionalFormatting>
  <conditionalFormatting sqref="G23">
    <cfRule type="cellIs" priority="229" operator="equal" aboveAverage="0" equalAverage="0" bottom="0" percent="0" rank="0" text="" dxfId="2666">
      <formula>'1854'!$F$23</formula>
    </cfRule>
    <cfRule type="cellIs" priority="230" operator="lessThan" aboveAverage="0" equalAverage="0" bottom="0" percent="0" rank="0" text="" dxfId="2667">
      <formula>'1854'!$F$23</formula>
    </cfRule>
  </conditionalFormatting>
  <conditionalFormatting sqref="G25">
    <cfRule type="cellIs" priority="231" operator="equal" aboveAverage="0" equalAverage="0" bottom="0" percent="0" rank="0" text="" dxfId="2668">
      <formula>'1854'!$F$25</formula>
    </cfRule>
    <cfRule type="cellIs" priority="232" operator="lessThan" aboveAverage="0" equalAverage="0" bottom="0" percent="0" rank="0" text="" dxfId="2669">
      <formula>'1854'!$F$25</formula>
    </cfRule>
  </conditionalFormatting>
  <conditionalFormatting sqref="G26">
    <cfRule type="cellIs" priority="233" operator="equal" aboveAverage="0" equalAverage="0" bottom="0" percent="0" rank="0" text="" dxfId="2670">
      <formula>'1854'!$F$26</formula>
    </cfRule>
    <cfRule type="cellIs" priority="234" operator="lessThan" aboveAverage="0" equalAverage="0" bottom="0" percent="0" rank="0" text="" dxfId="2671">
      <formula>'1854'!$F$26</formula>
    </cfRule>
  </conditionalFormatting>
  <conditionalFormatting sqref="G27">
    <cfRule type="cellIs" priority="235" operator="equal" aboveAverage="0" equalAverage="0" bottom="0" percent="0" rank="0" text="" dxfId="2672">
      <formula>'1854'!$F$27</formula>
    </cfRule>
    <cfRule type="cellIs" priority="236" operator="lessThan" aboveAverage="0" equalAverage="0" bottom="0" percent="0" rank="0" text="" dxfId="2673">
      <formula>'1854'!$F$27</formula>
    </cfRule>
  </conditionalFormatting>
  <conditionalFormatting sqref="G28">
    <cfRule type="cellIs" priority="237" operator="equal" aboveAverage="0" equalAverage="0" bottom="0" percent="0" rank="0" text="" dxfId="2674">
      <formula>'1854'!$F$28</formula>
    </cfRule>
    <cfRule type="cellIs" priority="238" operator="lessThan" aboveAverage="0" equalAverage="0" bottom="0" percent="0" rank="0" text="" dxfId="2675">
      <formula>'1854'!$F$28</formula>
    </cfRule>
  </conditionalFormatting>
  <conditionalFormatting sqref="D13">
    <cfRule type="cellIs" priority="239" operator="equal" aboveAverage="0" equalAverage="0" bottom="0" percent="0" rank="0" text="" dxfId="2676">
      <formula>'1854'!$C$13</formula>
    </cfRule>
    <cfRule type="cellIs" priority="240" operator="lessThan" aboveAverage="0" equalAverage="0" bottom="0" percent="0" rank="0" text="" dxfId="2677">
      <formula>'1854'!$C$13</formula>
    </cfRule>
  </conditionalFormatting>
  <conditionalFormatting sqref="H13">
    <cfRule type="cellIs" priority="241" operator="equal" aboveAverage="0" equalAverage="0" bottom="0" percent="0" rank="0" text="" dxfId="2678">
      <formula>'1854'!$G$13</formula>
    </cfRule>
    <cfRule type="cellIs" priority="242" operator="lessThan" aboveAverage="0" equalAverage="0" bottom="0" percent="0" rank="0" text="" dxfId="2679">
      <formula>'1854'!$G$13</formula>
    </cfRule>
  </conditionalFormatting>
  <conditionalFormatting sqref="H14">
    <cfRule type="cellIs" priority="243" operator="equal" aboveAverage="0" equalAverage="0" bottom="0" percent="0" rank="0" text="" dxfId="2680">
      <formula>'1854'!$G$14</formula>
    </cfRule>
    <cfRule type="cellIs" priority="244" operator="lessThan" aboveAverage="0" equalAverage="0" bottom="0" percent="0" rank="0" text="" dxfId="2681">
      <formula>'1854'!$G$14</formula>
    </cfRule>
  </conditionalFormatting>
  <conditionalFormatting sqref="H15">
    <cfRule type="cellIs" priority="245" operator="equal" aboveAverage="0" equalAverage="0" bottom="0" percent="0" rank="0" text="" dxfId="2682">
      <formula>'1854'!$G$15</formula>
    </cfRule>
    <cfRule type="cellIs" priority="246" operator="lessThan" aboveAverage="0" equalAverage="0" bottom="0" percent="0" rank="0" text="" dxfId="2683">
      <formula>'1854'!$G$15</formula>
    </cfRule>
  </conditionalFormatting>
  <conditionalFormatting sqref="H16">
    <cfRule type="cellIs" priority="247" operator="equal" aboveAverage="0" equalAverage="0" bottom="0" percent="0" rank="0" text="" dxfId="2684">
      <formula>'1854'!$G$16</formula>
    </cfRule>
    <cfRule type="cellIs" priority="248" operator="lessThan" aboveAverage="0" equalAverage="0" bottom="0" percent="0" rank="0" text="" dxfId="2685">
      <formula>'1854'!$G$16</formula>
    </cfRule>
  </conditionalFormatting>
  <conditionalFormatting sqref="H17">
    <cfRule type="cellIs" priority="249" operator="equal" aboveAverage="0" equalAverage="0" bottom="0" percent="0" rank="0" text="" dxfId="2686">
      <formula>'1854'!$G$17</formula>
    </cfRule>
    <cfRule type="cellIs" priority="250" operator="lessThan" aboveAverage="0" equalAverage="0" bottom="0" percent="0" rank="0" text="" dxfId="2687">
      <formula>'1854'!$G$17</formula>
    </cfRule>
  </conditionalFormatting>
  <conditionalFormatting sqref="H18">
    <cfRule type="cellIs" priority="251" operator="equal" aboveAverage="0" equalAverage="0" bottom="0" percent="0" rank="0" text="" dxfId="2688">
      <formula>'1854'!$G$18</formula>
    </cfRule>
    <cfRule type="cellIs" priority="252" operator="lessThan" aboveAverage="0" equalAverage="0" bottom="0" percent="0" rank="0" text="" dxfId="2689">
      <formula>'1854'!$G$18</formula>
    </cfRule>
  </conditionalFormatting>
  <conditionalFormatting sqref="H19">
    <cfRule type="cellIs" priority="253" operator="equal" aboveAverage="0" equalAverage="0" bottom="0" percent="0" rank="0" text="" dxfId="2690">
      <formula>'1854'!$G$19</formula>
    </cfRule>
    <cfRule type="cellIs" priority="254" operator="lessThan" aboveAverage="0" equalAverage="0" bottom="0" percent="0" rank="0" text="" dxfId="2691">
      <formula>'1854'!$G$19</formula>
    </cfRule>
  </conditionalFormatting>
  <conditionalFormatting sqref="H20">
    <cfRule type="cellIs" priority="255" operator="equal" aboveAverage="0" equalAverage="0" bottom="0" percent="0" rank="0" text="" dxfId="2692">
      <formula>'1854'!$G$20</formula>
    </cfRule>
    <cfRule type="cellIs" priority="256" operator="lessThan" aboveAverage="0" equalAverage="0" bottom="0" percent="0" rank="0" text="" dxfId="2693">
      <formula>'1854'!$G$20</formula>
    </cfRule>
  </conditionalFormatting>
  <conditionalFormatting sqref="H21">
    <cfRule type="cellIs" priority="257" operator="equal" aboveAverage="0" equalAverage="0" bottom="0" percent="0" rank="0" text="" dxfId="2694">
      <formula>'1854'!$G$21</formula>
    </cfRule>
    <cfRule type="cellIs" priority="258" operator="lessThan" aboveAverage="0" equalAverage="0" bottom="0" percent="0" rank="0" text="" dxfId="2695">
      <formula>'1854'!$G$21</formula>
    </cfRule>
  </conditionalFormatting>
  <conditionalFormatting sqref="H22">
    <cfRule type="cellIs" priority="259" operator="equal" aboveAverage="0" equalAverage="0" bottom="0" percent="0" rank="0" text="" dxfId="2696">
      <formula>'1854'!$G$22</formula>
    </cfRule>
    <cfRule type="cellIs" priority="260" operator="lessThan" aboveAverage="0" equalAverage="0" bottom="0" percent="0" rank="0" text="" dxfId="2697">
      <formula>'1854'!$G$22</formula>
    </cfRule>
  </conditionalFormatting>
  <conditionalFormatting sqref="H23">
    <cfRule type="cellIs" priority="261" operator="equal" aboveAverage="0" equalAverage="0" bottom="0" percent="0" rank="0" text="" dxfId="2698">
      <formula>'1854'!$G$23</formula>
    </cfRule>
    <cfRule type="cellIs" priority="262" operator="lessThan" aboveAverage="0" equalAverage="0" bottom="0" percent="0" rank="0" text="" dxfId="2699">
      <formula>'1854'!$G$23</formula>
    </cfRule>
  </conditionalFormatting>
  <conditionalFormatting sqref="H25">
    <cfRule type="cellIs" priority="263" operator="equal" aboveAverage="0" equalAverage="0" bottom="0" percent="0" rank="0" text="" dxfId="2700">
      <formula>'1854'!$G$25</formula>
    </cfRule>
    <cfRule type="cellIs" priority="264" operator="lessThan" aboveAverage="0" equalAverage="0" bottom="0" percent="0" rank="0" text="" dxfId="2701">
      <formula>'1854'!$G$25</formula>
    </cfRule>
  </conditionalFormatting>
  <conditionalFormatting sqref="H26">
    <cfRule type="cellIs" priority="265" operator="equal" aboveAverage="0" equalAverage="0" bottom="0" percent="0" rank="0" text="" dxfId="2702">
      <formula>'1854'!$G$26</formula>
    </cfRule>
    <cfRule type="cellIs" priority="266" operator="lessThan" aboveAverage="0" equalAverage="0" bottom="0" percent="0" rank="0" text="" dxfId="2703">
      <formula>'1854'!$G$26</formula>
    </cfRule>
  </conditionalFormatting>
  <conditionalFormatting sqref="H27">
    <cfRule type="cellIs" priority="267" operator="equal" aboveAverage="0" equalAverage="0" bottom="0" percent="0" rank="0" text="" dxfId="2704">
      <formula>'1854'!$G$27</formula>
    </cfRule>
    <cfRule type="cellIs" priority="268" operator="lessThan" aboveAverage="0" equalAverage="0" bottom="0" percent="0" rank="0" text="" dxfId="2705">
      <formula>'1854'!$G$27</formula>
    </cfRule>
  </conditionalFormatting>
  <conditionalFormatting sqref="H28">
    <cfRule type="cellIs" priority="269" operator="equal" aboveAverage="0" equalAverage="0" bottom="0" percent="0" rank="0" text="" dxfId="2706">
      <formula>'1854'!$G$28</formula>
    </cfRule>
    <cfRule type="cellIs" priority="270" operator="lessThan" aboveAverage="0" equalAverage="0" bottom="0" percent="0" rank="0" text="" dxfId="2707">
      <formula>'1854'!$G$28</formula>
    </cfRule>
  </conditionalFormatting>
  <conditionalFormatting sqref="D24">
    <cfRule type="cellIs" priority="271" operator="equal" aboveAverage="0" equalAverage="0" bottom="0" percent="0" rank="0" text="" dxfId="2708">
      <formula>'1854'!$C$24</formula>
    </cfRule>
    <cfRule type="cellIs" priority="272" operator="lessThan" aboveAverage="0" equalAverage="0" bottom="0" percent="0" rank="0" text="" dxfId="2709">
      <formula>'1854'!$C$24</formula>
    </cfRule>
  </conditionalFormatting>
  <conditionalFormatting sqref="E24">
    <cfRule type="cellIs" priority="273" operator="equal" aboveAverage="0" equalAverage="0" bottom="0" percent="0" rank="0" text="" dxfId="2710">
      <formula>'1854'!$D$24</formula>
    </cfRule>
    <cfRule type="cellIs" priority="274" operator="lessThan" aboveAverage="0" equalAverage="0" bottom="0" percent="0" rank="0" text="" dxfId="2711">
      <formula>'1854'!$D$24</formula>
    </cfRule>
  </conditionalFormatting>
  <conditionalFormatting sqref="F24">
    <cfRule type="cellIs" priority="275" operator="equal" aboveAverage="0" equalAverage="0" bottom="0" percent="0" rank="0" text="" dxfId="2712">
      <formula>'1854'!$E$24</formula>
    </cfRule>
    <cfRule type="cellIs" priority="276" operator="lessThan" aboveAverage="0" equalAverage="0" bottom="0" percent="0" rank="0" text="" dxfId="2713">
      <formula>'1854'!$E$24</formula>
    </cfRule>
  </conditionalFormatting>
  <conditionalFormatting sqref="G24">
    <cfRule type="cellIs" priority="277" operator="equal" aboveAverage="0" equalAverage="0" bottom="0" percent="0" rank="0" text="" dxfId="2714">
      <formula>'1854'!$F$24</formula>
    </cfRule>
    <cfRule type="cellIs" priority="278" operator="lessThan" aboveAverage="0" equalAverage="0" bottom="0" percent="0" rank="0" text="" dxfId="2715">
      <formula>'1854'!$F$24</formula>
    </cfRule>
  </conditionalFormatting>
  <conditionalFormatting sqref="H24">
    <cfRule type="cellIs" priority="279" operator="equal" aboveAverage="0" equalAverage="0" bottom="0" percent="0" rank="0" text="" dxfId="2716">
      <formula>'1854'!$G$24</formula>
    </cfRule>
    <cfRule type="cellIs" priority="280" operator="lessThan" aboveAverage="0" equalAverage="0" bottom="0" percent="0" rank="0" text="" dxfId="2717">
      <formula>'1854'!$G$24</formula>
    </cfRule>
  </conditionalFormatting>
  <conditionalFormatting sqref="E5">
    <cfRule type="cellIs" priority="281" operator="equal" aboveAverage="0" equalAverage="0" bottom="0" percent="0" rank="0" text="" dxfId="2718">
      <formula>'1854'!$D$5</formula>
    </cfRule>
    <cfRule type="cellIs" priority="282" operator="lessThan" aboveAverage="0" equalAverage="0" bottom="0" percent="0" rank="0" text="" dxfId="2719">
      <formula>'1854'!$D$5</formula>
    </cfRule>
  </conditionalFormatting>
  <conditionalFormatting sqref="G5">
    <cfRule type="cellIs" priority="283" operator="equal" aboveAverage="0" equalAverage="0" bottom="0" percent="0" rank="0" text="" dxfId="2720">
      <formula>'1854'!$F$5</formula>
    </cfRule>
    <cfRule type="cellIs" priority="284" operator="lessThan" aboveAverage="0" equalAverage="0" bottom="0" percent="0" rank="0" text="" dxfId="2721">
      <formula>'1854'!$F$5</formula>
    </cfRule>
  </conditionalFormatting>
  <conditionalFormatting sqref="G4">
    <cfRule type="cellIs" priority="285" operator="equal" aboveAverage="0" equalAverage="0" bottom="0" percent="0" rank="0" text="" dxfId="2722">
      <formula>'1854'!$F$4</formula>
    </cfRule>
  </conditionalFormatting>
  <conditionalFormatting sqref="L29:O29 J29 D29:H29">
    <cfRule type="cellIs" priority="286" operator="equal" aboveAverage="0" equalAverage="0" bottom="0" percent="0" rank="0" text="" dxfId="2723">
      <formula>0</formula>
    </cfRule>
  </conditionalFormatting>
  <conditionalFormatting sqref="I13">
    <cfRule type="cellIs" priority="287" operator="equal" aboveAverage="0" equalAverage="0" bottom="0" percent="0" rank="0" text="" dxfId="2724">
      <formula>'1854'!$H$13</formula>
    </cfRule>
    <cfRule type="cellIs" priority="288" operator="lessThan" aboveAverage="0" equalAverage="0" bottom="0" percent="0" rank="0" text="" dxfId="2725">
      <formula>'1854'!$H$13</formula>
    </cfRule>
  </conditionalFormatting>
  <conditionalFormatting sqref="I14">
    <cfRule type="cellIs" priority="289" operator="equal" aboveAverage="0" equalAverage="0" bottom="0" percent="0" rank="0" text="" dxfId="2726">
      <formula>'1854'!$H$14</formula>
    </cfRule>
    <cfRule type="cellIs" priority="290" operator="lessThan" aboveAverage="0" equalAverage="0" bottom="0" percent="0" rank="0" text="" dxfId="2727">
      <formula>'1854'!$H$14</formula>
    </cfRule>
  </conditionalFormatting>
  <conditionalFormatting sqref="I15">
    <cfRule type="cellIs" priority="291" operator="equal" aboveAverage="0" equalAverage="0" bottom="0" percent="0" rank="0" text="" dxfId="2728">
      <formula>'1854'!$H$15</formula>
    </cfRule>
    <cfRule type="cellIs" priority="292" operator="lessThan" aboveAverage="0" equalAverage="0" bottom="0" percent="0" rank="0" text="" dxfId="2729">
      <formula>'1854'!$H$15</formula>
    </cfRule>
  </conditionalFormatting>
  <conditionalFormatting sqref="I16">
    <cfRule type="cellIs" priority="293" operator="equal" aboveAverage="0" equalAverage="0" bottom="0" percent="0" rank="0" text="" dxfId="2730">
      <formula>'1854'!$H$16</formula>
    </cfRule>
    <cfRule type="cellIs" priority="294" operator="lessThan" aboveAverage="0" equalAverage="0" bottom="0" percent="0" rank="0" text="" dxfId="2731">
      <formula>'1854'!$H$16</formula>
    </cfRule>
  </conditionalFormatting>
  <conditionalFormatting sqref="I17">
    <cfRule type="cellIs" priority="295" operator="equal" aboveAverage="0" equalAverage="0" bottom="0" percent="0" rank="0" text="" dxfId="2732">
      <formula>'1854'!$H$17</formula>
    </cfRule>
    <cfRule type="cellIs" priority="296" operator="lessThan" aboveAverage="0" equalAverage="0" bottom="0" percent="0" rank="0" text="" dxfId="2733">
      <formula>'1854'!$H$17</formula>
    </cfRule>
  </conditionalFormatting>
  <conditionalFormatting sqref="I18">
    <cfRule type="cellIs" priority="297" operator="equal" aboveAverage="0" equalAverage="0" bottom="0" percent="0" rank="0" text="" dxfId="2734">
      <formula>'1854'!$H$18</formula>
    </cfRule>
    <cfRule type="cellIs" priority="298" operator="lessThan" aboveAverage="0" equalAverage="0" bottom="0" percent="0" rank="0" text="" dxfId="2735">
      <formula>'1854'!$H$18</formula>
    </cfRule>
  </conditionalFormatting>
  <conditionalFormatting sqref="I19">
    <cfRule type="cellIs" priority="299" operator="equal" aboveAverage="0" equalAverage="0" bottom="0" percent="0" rank="0" text="" dxfId="2736">
      <formula>'1854'!$H$19</formula>
    </cfRule>
    <cfRule type="cellIs" priority="300" operator="lessThan" aboveAverage="0" equalAverage="0" bottom="0" percent="0" rank="0" text="" dxfId="2737">
      <formula>'1854'!$H$19</formula>
    </cfRule>
  </conditionalFormatting>
  <conditionalFormatting sqref="I20">
    <cfRule type="cellIs" priority="301" operator="equal" aboveAverage="0" equalAverage="0" bottom="0" percent="0" rank="0" text="" dxfId="2738">
      <formula>'1854'!$H$20</formula>
    </cfRule>
    <cfRule type="cellIs" priority="302" operator="lessThan" aboveAverage="0" equalAverage="0" bottom="0" percent="0" rank="0" text="" dxfId="2739">
      <formula>'1854'!$H$20</formula>
    </cfRule>
  </conditionalFormatting>
  <conditionalFormatting sqref="I21">
    <cfRule type="cellIs" priority="303" operator="equal" aboveAverage="0" equalAverage="0" bottom="0" percent="0" rank="0" text="" dxfId="2740">
      <formula>'1854'!$H$21</formula>
    </cfRule>
    <cfRule type="cellIs" priority="304" operator="lessThan" aboveAverage="0" equalAverage="0" bottom="0" percent="0" rank="0" text="" dxfId="2741">
      <formula>'1854'!$H$21</formula>
    </cfRule>
  </conditionalFormatting>
  <conditionalFormatting sqref="I22">
    <cfRule type="cellIs" priority="305" operator="equal" aboveAverage="0" equalAverage="0" bottom="0" percent="0" rank="0" text="" dxfId="2742">
      <formula>'1854'!$H$22</formula>
    </cfRule>
    <cfRule type="cellIs" priority="306" operator="lessThan" aboveAverage="0" equalAverage="0" bottom="0" percent="0" rank="0" text="" dxfId="2743">
      <formula>'1854'!$H$22</formula>
    </cfRule>
  </conditionalFormatting>
  <conditionalFormatting sqref="I23">
    <cfRule type="cellIs" priority="307" operator="equal" aboveAverage="0" equalAverage="0" bottom="0" percent="0" rank="0" text="" dxfId="2744">
      <formula>'1854'!$H$23</formula>
    </cfRule>
    <cfRule type="cellIs" priority="308" operator="lessThan" aboveAverage="0" equalAverage="0" bottom="0" percent="0" rank="0" text="" dxfId="2745">
      <formula>'1854'!$H$23</formula>
    </cfRule>
  </conditionalFormatting>
  <conditionalFormatting sqref="I24">
    <cfRule type="cellIs" priority="309" operator="equal" aboveAverage="0" equalAverage="0" bottom="0" percent="0" rank="0" text="" dxfId="2746">
      <formula>'1854'!$H$24</formula>
    </cfRule>
    <cfRule type="cellIs" priority="310" operator="lessThan" aboveAverage="0" equalAverage="0" bottom="0" percent="0" rank="0" text="" dxfId="2747">
      <formula>'1854'!$H$24</formula>
    </cfRule>
  </conditionalFormatting>
  <conditionalFormatting sqref="I25">
    <cfRule type="cellIs" priority="311" operator="equal" aboveAverage="0" equalAverage="0" bottom="0" percent="0" rank="0" text="" dxfId="2748">
      <formula>'1854'!$H$25</formula>
    </cfRule>
    <cfRule type="cellIs" priority="312" operator="lessThan" aboveAverage="0" equalAverage="0" bottom="0" percent="0" rank="0" text="" dxfId="2749">
      <formula>'1854'!$H$25</formula>
    </cfRule>
  </conditionalFormatting>
  <conditionalFormatting sqref="I26">
    <cfRule type="cellIs" priority="313" operator="equal" aboveAverage="0" equalAverage="0" bottom="0" percent="0" rank="0" text="" dxfId="2750">
      <formula>'1854'!$H$26</formula>
    </cfRule>
    <cfRule type="cellIs" priority="314" operator="lessThan" aboveAverage="0" equalAverage="0" bottom="0" percent="0" rank="0" text="" dxfId="2751">
      <formula>'1854'!$H$26</formula>
    </cfRule>
  </conditionalFormatting>
  <conditionalFormatting sqref="I27">
    <cfRule type="cellIs" priority="315" operator="equal" aboveAverage="0" equalAverage="0" bottom="0" percent="0" rank="0" text="" dxfId="2752">
      <formula>'1854'!$H$27</formula>
    </cfRule>
    <cfRule type="cellIs" priority="316" operator="lessThan" aboveAverage="0" equalAverage="0" bottom="0" percent="0" rank="0" text="" dxfId="2753">
      <formula>'1854'!$H$27</formula>
    </cfRule>
    <cfRule type="cellIs" priority="317" operator="lessThan" aboveAverage="0" equalAverage="0" bottom="0" percent="0" rank="0" text="" dxfId="2754">
      <formula>'1854'!$H$27</formula>
    </cfRule>
  </conditionalFormatting>
  <conditionalFormatting sqref="I28">
    <cfRule type="cellIs" priority="318" operator="equal" aboveAverage="0" equalAverage="0" bottom="0" percent="0" rank="0" text="" dxfId="2755">
      <formula>'1854'!$H$28</formula>
    </cfRule>
    <cfRule type="cellIs" priority="319" operator="lessThan" aboveAverage="0" equalAverage="0" bottom="0" percent="0" rank="0" text="" dxfId="2756">
      <formula>'1854'!$H$28</formula>
    </cfRule>
  </conditionalFormatting>
  <conditionalFormatting sqref="I29">
    <cfRule type="cellIs" priority="320" operator="equal" aboveAverage="0" equalAverage="0" bottom="0" percent="0" rank="0" text="" dxfId="2757">
      <formula>'1854'!$H$29</formula>
    </cfRule>
    <cfRule type="cellIs" priority="321" operator="lessThan" aboveAverage="0" equalAverage="0" bottom="0" percent="0" rank="0" text="" dxfId="2758">
      <formula>'1854'!$H$29</formula>
    </cfRule>
  </conditionalFormatting>
  <conditionalFormatting sqref="J13">
    <cfRule type="cellIs" priority="322" operator="equal" aboveAverage="0" equalAverage="0" bottom="0" percent="0" rank="0" text="" dxfId="2759">
      <formula>'1854'!$I$13</formula>
    </cfRule>
    <cfRule type="cellIs" priority="323" operator="lessThan" aboveAverage="0" equalAverage="0" bottom="0" percent="0" rank="0" text="" dxfId="2760">
      <formula>'1854'!$I$13</formula>
    </cfRule>
  </conditionalFormatting>
  <conditionalFormatting sqref="J14">
    <cfRule type="cellIs" priority="324" operator="equal" aboveAverage="0" equalAverage="0" bottom="0" percent="0" rank="0" text="" dxfId="2761">
      <formula>'1854'!$I$14</formula>
    </cfRule>
    <cfRule type="cellIs" priority="325" operator="lessThan" aboveAverage="0" equalAverage="0" bottom="0" percent="0" rank="0" text="" dxfId="2762">
      <formula>'1854'!$I$14</formula>
    </cfRule>
  </conditionalFormatting>
  <conditionalFormatting sqref="J15">
    <cfRule type="cellIs" priority="326" operator="equal" aboveAverage="0" equalAverage="0" bottom="0" percent="0" rank="0" text="" dxfId="2763">
      <formula>'1854'!$I$15</formula>
    </cfRule>
    <cfRule type="cellIs" priority="327" operator="lessThan" aboveAverage="0" equalAverage="0" bottom="0" percent="0" rank="0" text="" dxfId="2764">
      <formula>'1854'!$I$15</formula>
    </cfRule>
  </conditionalFormatting>
  <conditionalFormatting sqref="J16">
    <cfRule type="cellIs" priority="328" operator="equal" aboveAverage="0" equalAverage="0" bottom="0" percent="0" rank="0" text="" dxfId="2765">
      <formula>'1854'!$I$16</formula>
    </cfRule>
    <cfRule type="cellIs" priority="329" operator="lessThan" aboveAverage="0" equalAverage="0" bottom="0" percent="0" rank="0" text="" dxfId="2766">
      <formula>'1854'!$I$16</formula>
    </cfRule>
  </conditionalFormatting>
  <conditionalFormatting sqref="J17">
    <cfRule type="cellIs" priority="330" operator="equal" aboveAverage="0" equalAverage="0" bottom="0" percent="0" rank="0" text="" dxfId="2767">
      <formula>'1854'!$I$17</formula>
    </cfRule>
    <cfRule type="cellIs" priority="331" operator="lessThan" aboveAverage="0" equalAverage="0" bottom="0" percent="0" rank="0" text="" dxfId="2768">
      <formula>'1854'!$I$17</formula>
    </cfRule>
  </conditionalFormatting>
  <conditionalFormatting sqref="J18">
    <cfRule type="cellIs" priority="332" operator="equal" aboveAverage="0" equalAverage="0" bottom="0" percent="0" rank="0" text="" dxfId="2769">
      <formula>'1854'!$I$18</formula>
    </cfRule>
    <cfRule type="cellIs" priority="333" operator="lessThan" aboveAverage="0" equalAverage="0" bottom="0" percent="0" rank="0" text="" dxfId="2770">
      <formula>'1854'!$I$18</formula>
    </cfRule>
  </conditionalFormatting>
  <conditionalFormatting sqref="J19">
    <cfRule type="cellIs" priority="334" operator="equal" aboveAverage="0" equalAverage="0" bottom="0" percent="0" rank="0" text="" dxfId="2771">
      <formula>'1854'!$I$19</formula>
    </cfRule>
    <cfRule type="cellIs" priority="335" operator="lessThan" aboveAverage="0" equalAverage="0" bottom="0" percent="0" rank="0" text="" dxfId="2772">
      <formula>'1854'!$I$19</formula>
    </cfRule>
  </conditionalFormatting>
  <conditionalFormatting sqref="J20">
    <cfRule type="cellIs" priority="336" operator="equal" aboveAverage="0" equalAverage="0" bottom="0" percent="0" rank="0" text="" dxfId="2773">
      <formula>'1854'!$I$20</formula>
    </cfRule>
    <cfRule type="cellIs" priority="337" operator="lessThan" aboveAverage="0" equalAverage="0" bottom="0" percent="0" rank="0" text="" dxfId="2774">
      <formula>'1854'!$I$20</formula>
    </cfRule>
  </conditionalFormatting>
  <conditionalFormatting sqref="J21">
    <cfRule type="cellIs" priority="338" operator="equal" aboveAverage="0" equalAverage="0" bottom="0" percent="0" rank="0" text="" dxfId="2775">
      <formula>'1854'!$I$21</formula>
    </cfRule>
    <cfRule type="cellIs" priority="339" operator="lessThan" aboveAverage="0" equalAverage="0" bottom="0" percent="0" rank="0" text="" dxfId="2776">
      <formula>'1854'!$I$21</formula>
    </cfRule>
  </conditionalFormatting>
  <conditionalFormatting sqref="J22">
    <cfRule type="cellIs" priority="340" operator="equal" aboveAverage="0" equalAverage="0" bottom="0" percent="0" rank="0" text="" dxfId="2777">
      <formula>'1854'!$I$22</formula>
    </cfRule>
    <cfRule type="cellIs" priority="341" operator="lessThan" aboveAverage="0" equalAverage="0" bottom="0" percent="0" rank="0" text="" dxfId="2778">
      <formula>'1854'!$I$22</formula>
    </cfRule>
  </conditionalFormatting>
  <conditionalFormatting sqref="J23">
    <cfRule type="cellIs" priority="342" operator="equal" aboveAverage="0" equalAverage="0" bottom="0" percent="0" rank="0" text="" dxfId="2779">
      <formula>'1854'!$I$23</formula>
    </cfRule>
    <cfRule type="cellIs" priority="343" operator="lessThan" aboveAverage="0" equalAverage="0" bottom="0" percent="0" rank="0" text="" dxfId="2780">
      <formula>'1854'!$I$23</formula>
    </cfRule>
  </conditionalFormatting>
  <conditionalFormatting sqref="J24">
    <cfRule type="cellIs" priority="344" operator="equal" aboveAverage="0" equalAverage="0" bottom="0" percent="0" rank="0" text="" dxfId="2781">
      <formula>'1854'!$I$24</formula>
    </cfRule>
    <cfRule type="cellIs" priority="345" operator="lessThan" aboveAverage="0" equalAverage="0" bottom="0" percent="0" rank="0" text="" dxfId="2782">
      <formula>'1854'!$I$24</formula>
    </cfRule>
  </conditionalFormatting>
  <conditionalFormatting sqref="J25">
    <cfRule type="cellIs" priority="346" operator="equal" aboveAverage="0" equalAverage="0" bottom="0" percent="0" rank="0" text="" dxfId="2783">
      <formula>'1854'!$I$25</formula>
    </cfRule>
    <cfRule type="cellIs" priority="347" operator="lessThan" aboveAverage="0" equalAverage="0" bottom="0" percent="0" rank="0" text="" dxfId="2784">
      <formula>'1854'!$I$25</formula>
    </cfRule>
  </conditionalFormatting>
  <conditionalFormatting sqref="J26">
    <cfRule type="cellIs" priority="348" operator="equal" aboveAverage="0" equalAverage="0" bottom="0" percent="0" rank="0" text="" dxfId="2785">
      <formula>'1854'!$I$26</formula>
    </cfRule>
    <cfRule type="cellIs" priority="349" operator="lessThan" aboveAverage="0" equalAverage="0" bottom="0" percent="0" rank="0" text="" dxfId="2786">
      <formula>'1854'!$I$26</formula>
    </cfRule>
  </conditionalFormatting>
  <conditionalFormatting sqref="J27">
    <cfRule type="cellIs" priority="350" operator="equal" aboveAverage="0" equalAverage="0" bottom="0" percent="0" rank="0" text="" dxfId="2787">
      <formula>'1854'!$I$27</formula>
    </cfRule>
    <cfRule type="cellIs" priority="351" operator="lessThan" aboveAverage="0" equalAverage="0" bottom="0" percent="0" rank="0" text="" dxfId="2788">
      <formula>'1854'!$I$27</formula>
    </cfRule>
  </conditionalFormatting>
  <conditionalFormatting sqref="J28">
    <cfRule type="cellIs" priority="352" operator="equal" aboveAverage="0" equalAverage="0" bottom="0" percent="0" rank="0" text="" dxfId="2789">
      <formula>'1854'!$I$28</formula>
    </cfRule>
    <cfRule type="cellIs" priority="353" operator="lessThan" aboveAverage="0" equalAverage="0" bottom="0" percent="0" rank="0" text="" dxfId="2790">
      <formula>'1854'!$I$28</formula>
    </cfRule>
  </conditionalFormatting>
  <conditionalFormatting sqref="K4">
    <cfRule type="cellIs" priority="354" operator="equal" aboveAverage="0" equalAverage="0" bottom="0" percent="0" rank="0" text="" dxfId="2791">
      <formula>'1854'!$J$4</formula>
    </cfRule>
    <cfRule type="cellIs" priority="355" operator="lessThan" aboveAverage="0" equalAverage="0" bottom="0" percent="0" rank="0" text="" dxfId="2792">
      <formula>'1854'!$J$4</formula>
    </cfRule>
  </conditionalFormatting>
  <conditionalFormatting sqref="K5">
    <cfRule type="cellIs" priority="356" operator="equal" aboveAverage="0" equalAverage="0" bottom="0" percent="0" rank="0" text="" dxfId="2793">
      <formula>'1854'!$J$5</formula>
    </cfRule>
    <cfRule type="cellIs" priority="357" operator="lessThan" aboveAverage="0" equalAverage="0" bottom="0" percent="0" rank="0" text="" dxfId="2794">
      <formula>'1854'!$J$5</formula>
    </cfRule>
  </conditionalFormatting>
  <conditionalFormatting sqref="K6">
    <cfRule type="cellIs" priority="358" operator="equal" aboveAverage="0" equalAverage="0" bottom="0" percent="0" rank="0" text="" dxfId="2795">
      <formula>'1854'!$J$6</formula>
    </cfRule>
    <cfRule type="cellIs" priority="359" operator="lessThan" aboveAverage="0" equalAverage="0" bottom="0" percent="0" rank="0" text="" dxfId="2796">
      <formula>'1854'!$J$6</formula>
    </cfRule>
  </conditionalFormatting>
  <conditionalFormatting sqref="K7">
    <cfRule type="cellIs" priority="360" operator="equal" aboveAverage="0" equalAverage="0" bottom="0" percent="0" rank="0" text="" dxfId="2797">
      <formula>'1854'!$J$7</formula>
    </cfRule>
    <cfRule type="cellIs" priority="361" operator="lessThan" aboveAverage="0" equalAverage="0" bottom="0" percent="0" rank="0" text="" dxfId="2798">
      <formula>'1854'!$J$7</formula>
    </cfRule>
  </conditionalFormatting>
  <conditionalFormatting sqref="K8">
    <cfRule type="cellIs" priority="362" operator="equal" aboveAverage="0" equalAverage="0" bottom="0" percent="0" rank="0" text="" dxfId="2799">
      <formula>'1854'!$J$8</formula>
    </cfRule>
    <cfRule type="cellIs" priority="363" operator="lessThan" aboveAverage="0" equalAverage="0" bottom="0" percent="0" rank="0" text="" dxfId="2800">
      <formula>'1854'!$J$8</formula>
    </cfRule>
  </conditionalFormatting>
  <conditionalFormatting sqref="K9">
    <cfRule type="cellIs" priority="364" operator="equal" aboveAverage="0" equalAverage="0" bottom="0" percent="0" rank="0" text="" dxfId="2801">
      <formula>'1854'!$J$9</formula>
    </cfRule>
    <cfRule type="cellIs" priority="365" operator="lessThan" aboveAverage="0" equalAverage="0" bottom="0" percent="0" rank="0" text="" dxfId="2802">
      <formula>'1854'!$J$9</formula>
    </cfRule>
  </conditionalFormatting>
  <conditionalFormatting sqref="K10">
    <cfRule type="cellIs" priority="366" operator="equal" aboveAverage="0" equalAverage="0" bottom="0" percent="0" rank="0" text="" dxfId="2803">
      <formula>'1854'!$J$10</formula>
    </cfRule>
    <cfRule type="cellIs" priority="367" operator="lessThan" aboveAverage="0" equalAverage="0" bottom="0" percent="0" rank="0" text="" dxfId="2804">
      <formula>'1854'!$J$10</formula>
    </cfRule>
  </conditionalFormatting>
  <conditionalFormatting sqref="K11">
    <cfRule type="cellIs" priority="368" operator="equal" aboveAverage="0" equalAverage="0" bottom="0" percent="0" rank="0" text="" dxfId="2805">
      <formula>'1854'!$J$11</formula>
    </cfRule>
    <cfRule type="cellIs" priority="369" operator="lessThan" aboveAverage="0" equalAverage="0" bottom="0" percent="0" rank="0" text="" dxfId="2806">
      <formula>'1854'!$J$11</formula>
    </cfRule>
  </conditionalFormatting>
  <conditionalFormatting sqref="K12">
    <cfRule type="cellIs" priority="370" operator="equal" aboveAverage="0" equalAverage="0" bottom="0" percent="0" rank="0" text="" dxfId="2807">
      <formula>'1854'!$J$12</formula>
    </cfRule>
    <cfRule type="cellIs" priority="371" operator="lessThan" aboveAverage="0" equalAverage="0" bottom="0" percent="0" rank="0" text="" dxfId="2808">
      <formula>'1854'!$J$12</formula>
    </cfRule>
  </conditionalFormatting>
  <conditionalFormatting sqref="K13">
    <cfRule type="cellIs" priority="372" operator="equal" aboveAverage="0" equalAverage="0" bottom="0" percent="0" rank="0" text="" dxfId="2809">
      <formula>'1854'!$J$13</formula>
    </cfRule>
    <cfRule type="cellIs" priority="373" operator="lessThan" aboveAverage="0" equalAverage="0" bottom="0" percent="0" rank="0" text="" dxfId="2810">
      <formula>'1854'!$J$13</formula>
    </cfRule>
  </conditionalFormatting>
  <conditionalFormatting sqref="K14">
    <cfRule type="cellIs" priority="374" operator="equal" aboveAverage="0" equalAverage="0" bottom="0" percent="0" rank="0" text="" dxfId="2811">
      <formula>'1854'!$J$14</formula>
    </cfRule>
    <cfRule type="cellIs" priority="375" operator="lessThan" aboveAverage="0" equalAverage="0" bottom="0" percent="0" rank="0" text="" dxfId="2812">
      <formula>'1854'!$J$14</formula>
    </cfRule>
  </conditionalFormatting>
  <conditionalFormatting sqref="K15">
    <cfRule type="cellIs" priority="376" operator="equal" aboveAverage="0" equalAverage="0" bottom="0" percent="0" rank="0" text="" dxfId="2813">
      <formula>'1854'!$J$15</formula>
    </cfRule>
    <cfRule type="cellIs" priority="377" operator="lessThan" aboveAverage="0" equalAverage="0" bottom="0" percent="0" rank="0" text="" dxfId="2814">
      <formula>'1854'!$J$15</formula>
    </cfRule>
  </conditionalFormatting>
  <conditionalFormatting sqref="K16">
    <cfRule type="cellIs" priority="378" operator="equal" aboveAverage="0" equalAverage="0" bottom="0" percent="0" rank="0" text="" dxfId="2815">
      <formula>'1854'!$J$16</formula>
    </cfRule>
    <cfRule type="cellIs" priority="379" operator="lessThan" aboveAverage="0" equalAverage="0" bottom="0" percent="0" rank="0" text="" dxfId="2816">
      <formula>'1854'!$J$16</formula>
    </cfRule>
  </conditionalFormatting>
  <conditionalFormatting sqref="K17">
    <cfRule type="cellIs" priority="380" operator="equal" aboveAverage="0" equalAverage="0" bottom="0" percent="0" rank="0" text="" dxfId="2817">
      <formula>'1854'!$J$17</formula>
    </cfRule>
    <cfRule type="cellIs" priority="381" operator="lessThan" aboveAverage="0" equalAverage="0" bottom="0" percent="0" rank="0" text="" dxfId="2818">
      <formula>'1854'!$J$17</formula>
    </cfRule>
  </conditionalFormatting>
  <conditionalFormatting sqref="K18">
    <cfRule type="cellIs" priority="382" operator="equal" aboveAverage="0" equalAverage="0" bottom="0" percent="0" rank="0" text="" dxfId="2819">
      <formula>'1854'!$J$18</formula>
    </cfRule>
    <cfRule type="cellIs" priority="383" operator="lessThan" aboveAverage="0" equalAverage="0" bottom="0" percent="0" rank="0" text="" dxfId="2820">
      <formula>'1854'!$J$18</formula>
    </cfRule>
  </conditionalFormatting>
  <conditionalFormatting sqref="K19">
    <cfRule type="cellIs" priority="384" operator="equal" aboveAverage="0" equalAverage="0" bottom="0" percent="0" rank="0" text="" dxfId="2821">
      <formula>'1854'!$J$19</formula>
    </cfRule>
    <cfRule type="cellIs" priority="385" operator="lessThan" aboveAverage="0" equalAverage="0" bottom="0" percent="0" rank="0" text="" dxfId="2822">
      <formula>'1854'!$J$19</formula>
    </cfRule>
  </conditionalFormatting>
  <conditionalFormatting sqref="K20">
    <cfRule type="cellIs" priority="386" operator="equal" aboveAverage="0" equalAverage="0" bottom="0" percent="0" rank="0" text="" dxfId="2823">
      <formula>'1854'!$J$20</formula>
    </cfRule>
    <cfRule type="cellIs" priority="387" operator="lessThan" aboveAverage="0" equalAverage="0" bottom="0" percent="0" rank="0" text="" dxfId="2824">
      <formula>'1854'!$J$20</formula>
    </cfRule>
  </conditionalFormatting>
  <conditionalFormatting sqref="K21">
    <cfRule type="cellIs" priority="388" operator="equal" aboveAverage="0" equalAverage="0" bottom="0" percent="0" rank="0" text="" dxfId="2825">
      <formula>'1854'!$J$21</formula>
    </cfRule>
    <cfRule type="cellIs" priority="389" operator="lessThan" aboveAverage="0" equalAverage="0" bottom="0" percent="0" rank="0" text="" dxfId="2826">
      <formula>'1854'!$J$21</formula>
    </cfRule>
  </conditionalFormatting>
  <conditionalFormatting sqref="K22">
    <cfRule type="cellIs" priority="390" operator="equal" aboveAverage="0" equalAverage="0" bottom="0" percent="0" rank="0" text="" dxfId="2827">
      <formula>'1854'!$J$22</formula>
    </cfRule>
    <cfRule type="cellIs" priority="391" operator="lessThan" aboveAverage="0" equalAverage="0" bottom="0" percent="0" rank="0" text="" dxfId="2828">
      <formula>'1854'!$J$22</formula>
    </cfRule>
  </conditionalFormatting>
  <conditionalFormatting sqref="K23">
    <cfRule type="cellIs" priority="392" operator="equal" aboveAverage="0" equalAverage="0" bottom="0" percent="0" rank="0" text="" dxfId="2829">
      <formula>'1854'!$J$23</formula>
    </cfRule>
    <cfRule type="cellIs" priority="393" operator="lessThan" aboveAverage="0" equalAverage="0" bottom="0" percent="0" rank="0" text="" dxfId="2830">
      <formula>'1854'!$J$23</formula>
    </cfRule>
  </conditionalFormatting>
  <conditionalFormatting sqref="K24">
    <cfRule type="cellIs" priority="394" operator="equal" aboveAverage="0" equalAverage="0" bottom="0" percent="0" rank="0" text="" dxfId="2831">
      <formula>'1854'!$J$24</formula>
    </cfRule>
    <cfRule type="cellIs" priority="395" operator="lessThan" aboveAverage="0" equalAverage="0" bottom="0" percent="0" rank="0" text="" dxfId="2832">
      <formula>'1854'!$J$24</formula>
    </cfRule>
  </conditionalFormatting>
  <conditionalFormatting sqref="K25">
    <cfRule type="cellIs" priority="396" operator="equal" aboveAverage="0" equalAverage="0" bottom="0" percent="0" rank="0" text="" dxfId="2833">
      <formula>'1854'!$J$25</formula>
    </cfRule>
    <cfRule type="cellIs" priority="397" operator="lessThan" aboveAverage="0" equalAverage="0" bottom="0" percent="0" rank="0" text="" dxfId="2834">
      <formula>'1854'!$J$25</formula>
    </cfRule>
  </conditionalFormatting>
  <conditionalFormatting sqref="K26">
    <cfRule type="cellIs" priority="398" operator="equal" aboveAverage="0" equalAverage="0" bottom="0" percent="0" rank="0" text="" dxfId="2835">
      <formula>'1854'!$J$26</formula>
    </cfRule>
    <cfRule type="cellIs" priority="399" operator="lessThan" aboveAverage="0" equalAverage="0" bottom="0" percent="0" rank="0" text="" dxfId="2836">
      <formula>'1854'!$J$26</formula>
    </cfRule>
  </conditionalFormatting>
  <conditionalFormatting sqref="K27">
    <cfRule type="cellIs" priority="400" operator="equal" aboveAverage="0" equalAverage="0" bottom="0" percent="0" rank="0" text="" dxfId="2837">
      <formula>'1854'!$J$27</formula>
    </cfRule>
    <cfRule type="cellIs" priority="401" operator="lessThan" aboveAverage="0" equalAverage="0" bottom="0" percent="0" rank="0" text="" dxfId="2838">
      <formula>'1854'!$J$27</formula>
    </cfRule>
  </conditionalFormatting>
  <conditionalFormatting sqref="K28">
    <cfRule type="cellIs" priority="402" operator="lessThan" aboveAverage="0" equalAverage="0" bottom="0" percent="0" rank="0" text="" dxfId="2839">
      <formula>'1854'!$J$28</formula>
    </cfRule>
    <cfRule type="cellIs" priority="403" operator="equal" aboveAverage="0" equalAverage="0" bottom="0" percent="0" rank="0" text="" dxfId="2840">
      <formula>'1854'!$J$28</formula>
    </cfRule>
  </conditionalFormatting>
  <conditionalFormatting sqref="K29">
    <cfRule type="cellIs" priority="404" operator="equal" aboveAverage="0" equalAverage="0" bottom="0" percent="0" rank="0" text="" dxfId="2841">
      <formula>'1854'!$J$29</formula>
    </cfRule>
    <cfRule type="cellIs" priority="405" operator="lessThan" aboveAverage="0" equalAverage="0" bottom="0" percent="0" rank="0" text="" dxfId="2842">
      <formula>'1854'!$J$29</formula>
    </cfRule>
  </conditionalFormatting>
  <conditionalFormatting sqref="L4">
    <cfRule type="cellIs" priority="406" operator="equal" aboveAverage="0" equalAverage="0" bottom="0" percent="0" rank="0" text="" dxfId="2843">
      <formula>'1854'!$K$4</formula>
    </cfRule>
    <cfRule type="cellIs" priority="407" operator="lessThan" aboveAverage="0" equalAverage="0" bottom="0" percent="0" rank="0" text="" dxfId="2844">
      <formula>'1854'!$K$4</formula>
    </cfRule>
  </conditionalFormatting>
  <conditionalFormatting sqref="L5">
    <cfRule type="cellIs" priority="408" operator="equal" aboveAverage="0" equalAverage="0" bottom="0" percent="0" rank="0" text="" dxfId="2845">
      <formula>'1854'!$K$5</formula>
    </cfRule>
    <cfRule type="cellIs" priority="409" operator="lessThan" aboveAverage="0" equalAverage="0" bottom="0" percent="0" rank="0" text="" dxfId="2846">
      <formula>'1854'!$K$5</formula>
    </cfRule>
  </conditionalFormatting>
  <conditionalFormatting sqref="L6">
    <cfRule type="cellIs" priority="410" operator="equal" aboveAverage="0" equalAverage="0" bottom="0" percent="0" rank="0" text="" dxfId="2847">
      <formula>'1854'!$K$6</formula>
    </cfRule>
    <cfRule type="cellIs" priority="411" operator="lessThan" aboveAverage="0" equalAverage="0" bottom="0" percent="0" rank="0" text="" dxfId="2848">
      <formula>'1854'!$K$6</formula>
    </cfRule>
  </conditionalFormatting>
  <conditionalFormatting sqref="L7">
    <cfRule type="cellIs" priority="412" operator="equal" aboveAverage="0" equalAverage="0" bottom="0" percent="0" rank="0" text="" dxfId="2849">
      <formula>'1854'!$K$7</formula>
    </cfRule>
    <cfRule type="cellIs" priority="413" operator="lessThan" aboveAverage="0" equalAverage="0" bottom="0" percent="0" rank="0" text="" dxfId="2850">
      <formula>'1854'!$K$7</formula>
    </cfRule>
  </conditionalFormatting>
  <conditionalFormatting sqref="L8">
    <cfRule type="cellIs" priority="414" operator="equal" aboveAverage="0" equalAverage="0" bottom="0" percent="0" rank="0" text="" dxfId="2851">
      <formula>'1854'!$K$8</formula>
    </cfRule>
    <cfRule type="cellIs" priority="415" operator="lessThan" aboveAverage="0" equalAverage="0" bottom="0" percent="0" rank="0" text="" dxfId="2852">
      <formula>'1854'!$K$8</formula>
    </cfRule>
  </conditionalFormatting>
  <conditionalFormatting sqref="L9">
    <cfRule type="cellIs" priority="416" operator="equal" aboveAverage="0" equalAverage="0" bottom="0" percent="0" rank="0" text="" dxfId="2853">
      <formula>'1854'!$K$9</formula>
    </cfRule>
    <cfRule type="cellIs" priority="417" operator="lessThan" aboveAverage="0" equalAverage="0" bottom="0" percent="0" rank="0" text="" dxfId="2854">
      <formula>'1854'!$K$9</formula>
    </cfRule>
  </conditionalFormatting>
  <conditionalFormatting sqref="L10">
    <cfRule type="cellIs" priority="418" operator="equal" aboveAverage="0" equalAverage="0" bottom="0" percent="0" rank="0" text="" dxfId="2855">
      <formula>'1854'!$K$10</formula>
    </cfRule>
    <cfRule type="cellIs" priority="419" operator="lessThan" aboveAverage="0" equalAverage="0" bottom="0" percent="0" rank="0" text="" dxfId="2856">
      <formula>'1854'!$K$10</formula>
    </cfRule>
  </conditionalFormatting>
  <conditionalFormatting sqref="L12">
    <cfRule type="cellIs" priority="420" operator="equal" aboveAverage="0" equalAverage="0" bottom="0" percent="0" rank="0" text="" dxfId="2857">
      <formula>'1854'!$K$12</formula>
    </cfRule>
    <cfRule type="cellIs" priority="421" operator="lessThan" aboveAverage="0" equalAverage="0" bottom="0" percent="0" rank="0" text="" dxfId="2858">
      <formula>'1854'!$K$12</formula>
    </cfRule>
  </conditionalFormatting>
  <conditionalFormatting sqref="L13">
    <cfRule type="cellIs" priority="422" operator="equal" aboveAverage="0" equalAverage="0" bottom="0" percent="0" rank="0" text="" dxfId="2859">
      <formula>'1854'!$K$13</formula>
    </cfRule>
    <cfRule type="cellIs" priority="423" operator="lessThan" aboveAverage="0" equalAverage="0" bottom="0" percent="0" rank="0" text="" dxfId="2860">
      <formula>'1854'!$K$13</formula>
    </cfRule>
  </conditionalFormatting>
  <conditionalFormatting sqref="L14">
    <cfRule type="cellIs" priority="424" operator="equal" aboveAverage="0" equalAverage="0" bottom="0" percent="0" rank="0" text="" dxfId="2861">
      <formula>'1854'!$K$14</formula>
    </cfRule>
    <cfRule type="cellIs" priority="425" operator="lessThan" aboveAverage="0" equalAverage="0" bottom="0" percent="0" rank="0" text="" dxfId="2862">
      <formula>'1854'!$K$14</formula>
    </cfRule>
  </conditionalFormatting>
  <conditionalFormatting sqref="L15">
    <cfRule type="cellIs" priority="426" operator="equal" aboveAverage="0" equalAverage="0" bottom="0" percent="0" rank="0" text="" dxfId="2863">
      <formula>'1854'!$K$15</formula>
    </cfRule>
    <cfRule type="cellIs" priority="427" operator="lessThan" aboveAverage="0" equalAverage="0" bottom="0" percent="0" rank="0" text="" dxfId="2864">
      <formula>'1854'!$K$15</formula>
    </cfRule>
  </conditionalFormatting>
  <conditionalFormatting sqref="L16">
    <cfRule type="cellIs" priority="428" operator="equal" aboveAverage="0" equalAverage="0" bottom="0" percent="0" rank="0" text="" dxfId="2865">
      <formula>'1854'!$K$16</formula>
    </cfRule>
    <cfRule type="cellIs" priority="429" operator="lessThan" aboveAverage="0" equalAverage="0" bottom="0" percent="0" rank="0" text="" dxfId="2866">
      <formula>'1854'!$K$16</formula>
    </cfRule>
  </conditionalFormatting>
  <conditionalFormatting sqref="L17">
    <cfRule type="cellIs" priority="430" operator="equal" aboveAverage="0" equalAverage="0" bottom="0" percent="0" rank="0" text="" dxfId="2867">
      <formula>'1854'!$K$17</formula>
    </cfRule>
    <cfRule type="cellIs" priority="431" operator="lessThan" aboveAverage="0" equalAverage="0" bottom="0" percent="0" rank="0" text="" dxfId="2868">
      <formula>'1854'!$K$17</formula>
    </cfRule>
  </conditionalFormatting>
  <conditionalFormatting sqref="L18">
    <cfRule type="cellIs" priority="432" operator="equal" aboveAverage="0" equalAverage="0" bottom="0" percent="0" rank="0" text="" dxfId="2869">
      <formula>'1854'!$K$18</formula>
    </cfRule>
    <cfRule type="cellIs" priority="433" operator="lessThan" aboveAverage="0" equalAverage="0" bottom="0" percent="0" rank="0" text="" dxfId="2870">
      <formula>'1854'!$K$18</formula>
    </cfRule>
  </conditionalFormatting>
  <conditionalFormatting sqref="L19">
    <cfRule type="cellIs" priority="434" operator="equal" aboveAverage="0" equalAverage="0" bottom="0" percent="0" rank="0" text="" dxfId="2871">
      <formula>'1854'!$K$19</formula>
    </cfRule>
    <cfRule type="cellIs" priority="435" operator="lessThan" aboveAverage="0" equalAverage="0" bottom="0" percent="0" rank="0" text="" dxfId="2872">
      <formula>'1854'!$K$19</formula>
    </cfRule>
  </conditionalFormatting>
  <conditionalFormatting sqref="L20">
    <cfRule type="cellIs" priority="436" operator="equal" aboveAverage="0" equalAverage="0" bottom="0" percent="0" rank="0" text="" dxfId="2873">
      <formula>'1854'!$K$20</formula>
    </cfRule>
    <cfRule type="cellIs" priority="437" operator="lessThan" aboveAverage="0" equalAverage="0" bottom="0" percent="0" rank="0" text="" dxfId="2874">
      <formula>'1854'!$K$20</formula>
    </cfRule>
  </conditionalFormatting>
  <conditionalFormatting sqref="L21">
    <cfRule type="cellIs" priority="438" operator="equal" aboveAverage="0" equalAverage="0" bottom="0" percent="0" rank="0" text="" dxfId="2875">
      <formula>'1854'!$K$21</formula>
    </cfRule>
    <cfRule type="cellIs" priority="439" operator="lessThan" aboveAverage="0" equalAverage="0" bottom="0" percent="0" rank="0" text="" dxfId="2876">
      <formula>'1854'!$K$21</formula>
    </cfRule>
  </conditionalFormatting>
  <conditionalFormatting sqref="L11">
    <cfRule type="cellIs" priority="440" operator="equal" aboveAverage="0" equalAverage="0" bottom="0" percent="0" rank="0" text="" dxfId="2877">
      <formula>'1854'!$K$11</formula>
    </cfRule>
    <cfRule type="cellIs" priority="441" operator="lessThan" aboveAverage="0" equalAverage="0" bottom="0" percent="0" rank="0" text="" dxfId="2878">
      <formula>'1854'!$K$11</formula>
    </cfRule>
  </conditionalFormatting>
  <conditionalFormatting sqref="L22">
    <cfRule type="cellIs" priority="442" operator="equal" aboveAverage="0" equalAverage="0" bottom="0" percent="0" rank="0" text="" dxfId="2879">
      <formula>'1854'!$K$22</formula>
    </cfRule>
    <cfRule type="cellIs" priority="443" operator="lessThan" aboveAverage="0" equalAverage="0" bottom="0" percent="0" rank="0" text="" dxfId="2880">
      <formula>'1854'!$K$22</formula>
    </cfRule>
  </conditionalFormatting>
  <conditionalFormatting sqref="L23">
    <cfRule type="cellIs" priority="444" operator="equal" aboveAverage="0" equalAverage="0" bottom="0" percent="0" rank="0" text="" dxfId="2881">
      <formula>'1854'!$K$23</formula>
    </cfRule>
    <cfRule type="cellIs" priority="445" operator="lessThan" aboveAverage="0" equalAverage="0" bottom="0" percent="0" rank="0" text="" dxfId="2882">
      <formula>'1854'!$K$23</formula>
    </cfRule>
  </conditionalFormatting>
  <conditionalFormatting sqref="L24">
    <cfRule type="cellIs" priority="446" operator="equal" aboveAverage="0" equalAverage="0" bottom="0" percent="0" rank="0" text="" dxfId="2883">
      <formula>'1854'!$K$24</formula>
    </cfRule>
    <cfRule type="cellIs" priority="447" operator="lessThan" aboveAverage="0" equalAverage="0" bottom="0" percent="0" rank="0" text="" dxfId="2884">
      <formula>'1854'!$K$24</formula>
    </cfRule>
  </conditionalFormatting>
  <conditionalFormatting sqref="L25">
    <cfRule type="cellIs" priority="448" operator="equal" aboveAverage="0" equalAverage="0" bottom="0" percent="0" rank="0" text="" dxfId="2885">
      <formula>'1854'!$K$25</formula>
    </cfRule>
    <cfRule type="cellIs" priority="449" operator="lessThan" aboveAverage="0" equalAverage="0" bottom="0" percent="0" rank="0" text="" dxfId="2886">
      <formula>'1854'!$K$25</formula>
    </cfRule>
  </conditionalFormatting>
  <conditionalFormatting sqref="L26">
    <cfRule type="cellIs" priority="450" operator="equal" aboveAverage="0" equalAverage="0" bottom="0" percent="0" rank="0" text="" dxfId="2887">
      <formula>'1854'!$K$26</formula>
    </cfRule>
    <cfRule type="cellIs" priority="451" operator="lessThan" aboveAverage="0" equalAverage="0" bottom="0" percent="0" rank="0" text="" dxfId="2888">
      <formula>'1854'!$K$26</formula>
    </cfRule>
  </conditionalFormatting>
  <conditionalFormatting sqref="L27">
    <cfRule type="cellIs" priority="452" operator="equal" aboveAverage="0" equalAverage="0" bottom="0" percent="0" rank="0" text="" dxfId="2889">
      <formula>'1854'!$K$27</formula>
    </cfRule>
    <cfRule type="cellIs" priority="453" operator="lessThan" aboveAverage="0" equalAverage="0" bottom="0" percent="0" rank="0" text="" dxfId="2890">
      <formula>'1854'!$K$27</formula>
    </cfRule>
  </conditionalFormatting>
  <conditionalFormatting sqref="L28">
    <cfRule type="cellIs" priority="454" operator="equal" aboveAverage="0" equalAverage="0" bottom="0" percent="0" rank="0" text="" dxfId="2891">
      <formula>'1854'!$K$28</formula>
    </cfRule>
    <cfRule type="cellIs" priority="455" operator="lessThan" aboveAverage="0" equalAverage="0" bottom="0" percent="0" rank="0" text="" dxfId="2892">
      <formula>'1854'!$K$28</formula>
    </cfRule>
  </conditionalFormatting>
  <conditionalFormatting sqref="M4">
    <cfRule type="cellIs" priority="456" operator="lessThan" aboveAverage="0" equalAverage="0" bottom="0" percent="0" rank="0" text="" dxfId="2893">
      <formula>'1854'!$L$4</formula>
    </cfRule>
    <cfRule type="cellIs" priority="457" operator="equal" aboveAverage="0" equalAverage="0" bottom="0" percent="0" rank="0" text="" dxfId="2894">
      <formula>'1854'!$L$4</formula>
    </cfRule>
  </conditionalFormatting>
  <conditionalFormatting sqref="M5">
    <cfRule type="cellIs" priority="458" operator="equal" aboveAverage="0" equalAverage="0" bottom="0" percent="0" rank="0" text="" dxfId="2895">
      <formula>'1854'!$L$5</formula>
    </cfRule>
    <cfRule type="cellIs" priority="459" operator="lessThan" aboveAverage="0" equalAverage="0" bottom="0" percent="0" rank="0" text="" dxfId="2896">
      <formula>'1854'!$L$5</formula>
    </cfRule>
  </conditionalFormatting>
  <conditionalFormatting sqref="M6">
    <cfRule type="cellIs" priority="460" operator="equal" aboveAverage="0" equalAverage="0" bottom="0" percent="0" rank="0" text="" dxfId="2897">
      <formula>'1854'!$L$6</formula>
    </cfRule>
    <cfRule type="cellIs" priority="461" operator="lessThan" aboveAverage="0" equalAverage="0" bottom="0" percent="0" rank="0" text="" dxfId="2898">
      <formula>'1854'!$L$6</formula>
    </cfRule>
  </conditionalFormatting>
  <conditionalFormatting sqref="M7">
    <cfRule type="cellIs" priority="462" operator="equal" aboveAverage="0" equalAverage="0" bottom="0" percent="0" rank="0" text="" dxfId="2899">
      <formula>'1854'!$L$7</formula>
    </cfRule>
    <cfRule type="cellIs" priority="463" operator="lessThan" aboveAverage="0" equalAverage="0" bottom="0" percent="0" rank="0" text="" dxfId="2900">
      <formula>'1854'!$L$7</formula>
    </cfRule>
  </conditionalFormatting>
  <conditionalFormatting sqref="M8">
    <cfRule type="cellIs" priority="464" operator="equal" aboveAverage="0" equalAverage="0" bottom="0" percent="0" rank="0" text="" dxfId="2901">
      <formula>'1854'!$L$8</formula>
    </cfRule>
    <cfRule type="cellIs" priority="465" operator="lessThan" aboveAverage="0" equalAverage="0" bottom="0" percent="0" rank="0" text="" dxfId="2902">
      <formula>'1854'!$L$8</formula>
    </cfRule>
  </conditionalFormatting>
  <conditionalFormatting sqref="M9">
    <cfRule type="cellIs" priority="466" operator="equal" aboveAverage="0" equalAverage="0" bottom="0" percent="0" rank="0" text="" dxfId="2903">
      <formula>'1854'!$L$9</formula>
    </cfRule>
    <cfRule type="cellIs" priority="467" operator="lessThan" aboveAverage="0" equalAverage="0" bottom="0" percent="0" rank="0" text="" dxfId="2904">
      <formula>'1854'!$L$9</formula>
    </cfRule>
  </conditionalFormatting>
  <conditionalFormatting sqref="M10">
    <cfRule type="cellIs" priority="468" operator="equal" aboveAverage="0" equalAverage="0" bottom="0" percent="0" rank="0" text="" dxfId="2905">
      <formula>'1854'!$L$10</formula>
    </cfRule>
    <cfRule type="cellIs" priority="469" operator="lessThan" aboveAverage="0" equalAverage="0" bottom="0" percent="0" rank="0" text="" dxfId="2906">
      <formula>'1854'!$L$10</formula>
    </cfRule>
  </conditionalFormatting>
  <conditionalFormatting sqref="M11">
    <cfRule type="cellIs" priority="470" operator="equal" aboveAverage="0" equalAverage="0" bottom="0" percent="0" rank="0" text="" dxfId="2907">
      <formula>'1854'!$L$11</formula>
    </cfRule>
    <cfRule type="cellIs" priority="471" operator="lessThan" aboveAverage="0" equalAverage="0" bottom="0" percent="0" rank="0" text="" dxfId="2908">
      <formula>'1854'!$L$11</formula>
    </cfRule>
  </conditionalFormatting>
  <conditionalFormatting sqref="M12">
    <cfRule type="cellIs" priority="472" operator="equal" aboveAverage="0" equalAverage="0" bottom="0" percent="0" rank="0" text="" dxfId="2909">
      <formula>'1854'!$L$12</formula>
    </cfRule>
    <cfRule type="cellIs" priority="473" operator="lessThan" aboveAverage="0" equalAverage="0" bottom="0" percent="0" rank="0" text="" dxfId="2910">
      <formula>'1854'!$L$12</formula>
    </cfRule>
  </conditionalFormatting>
  <conditionalFormatting sqref="M13">
    <cfRule type="cellIs" priority="474" operator="equal" aboveAverage="0" equalAverage="0" bottom="0" percent="0" rank="0" text="" dxfId="2911">
      <formula>'1854'!$L$13</formula>
    </cfRule>
    <cfRule type="cellIs" priority="475" operator="lessThan" aboveAverage="0" equalAverage="0" bottom="0" percent="0" rank="0" text="" dxfId="2912">
      <formula>'1854'!$L$13</formula>
    </cfRule>
  </conditionalFormatting>
  <conditionalFormatting sqref="M14">
    <cfRule type="cellIs" priority="476" operator="equal" aboveAverage="0" equalAverage="0" bottom="0" percent="0" rank="0" text="" dxfId="2913">
      <formula>'1854'!$L$14</formula>
    </cfRule>
    <cfRule type="cellIs" priority="477" operator="lessThan" aboveAverage="0" equalAverage="0" bottom="0" percent="0" rank="0" text="" dxfId="2914">
      <formula>'1854'!$L$14</formula>
    </cfRule>
  </conditionalFormatting>
  <conditionalFormatting sqref="M15">
    <cfRule type="cellIs" priority="478" operator="equal" aboveAverage="0" equalAverage="0" bottom="0" percent="0" rank="0" text="" dxfId="2915">
      <formula>'1854'!$L$15</formula>
    </cfRule>
    <cfRule type="cellIs" priority="479" operator="lessThan" aboveAverage="0" equalAverage="0" bottom="0" percent="0" rank="0" text="" dxfId="2916">
      <formula>'1854'!$L$15</formula>
    </cfRule>
  </conditionalFormatting>
  <conditionalFormatting sqref="M16">
    <cfRule type="cellIs" priority="480" operator="equal" aboveAverage="0" equalAverage="0" bottom="0" percent="0" rank="0" text="" dxfId="2917">
      <formula>'1854'!$L$16</formula>
    </cfRule>
    <cfRule type="cellIs" priority="481" operator="lessThan" aboveAverage="0" equalAverage="0" bottom="0" percent="0" rank="0" text="" dxfId="2918">
      <formula>'1854'!$L$16</formula>
    </cfRule>
  </conditionalFormatting>
  <conditionalFormatting sqref="M17">
    <cfRule type="cellIs" priority="482" operator="equal" aboveAverage="0" equalAverage="0" bottom="0" percent="0" rank="0" text="" dxfId="2919">
      <formula>'1854'!$L$17</formula>
    </cfRule>
    <cfRule type="cellIs" priority="483" operator="lessThan" aboveAverage="0" equalAverage="0" bottom="0" percent="0" rank="0" text="" dxfId="2920">
      <formula>'1854'!$L$17</formula>
    </cfRule>
  </conditionalFormatting>
  <conditionalFormatting sqref="M18">
    <cfRule type="cellIs" priority="484" operator="equal" aboveAverage="0" equalAverage="0" bottom="0" percent="0" rank="0" text="" dxfId="2921">
      <formula>'1854'!$L$18</formula>
    </cfRule>
    <cfRule type="cellIs" priority="485" operator="lessThan" aboveAverage="0" equalAverage="0" bottom="0" percent="0" rank="0" text="" dxfId="2922">
      <formula>'1854'!$L$18</formula>
    </cfRule>
  </conditionalFormatting>
  <conditionalFormatting sqref="M19">
    <cfRule type="cellIs" priority="486" operator="equal" aboveAverage="0" equalAverage="0" bottom="0" percent="0" rank="0" text="" dxfId="2923">
      <formula>'1854'!$L$19</formula>
    </cfRule>
    <cfRule type="cellIs" priority="487" operator="lessThan" aboveAverage="0" equalAverage="0" bottom="0" percent="0" rank="0" text="" dxfId="2924">
      <formula>'1854'!$L$19</formula>
    </cfRule>
  </conditionalFormatting>
  <conditionalFormatting sqref="M20">
    <cfRule type="cellIs" priority="488" operator="equal" aboveAverage="0" equalAverage="0" bottom="0" percent="0" rank="0" text="" dxfId="2925">
      <formula>'1854'!$L$20</formula>
    </cfRule>
    <cfRule type="cellIs" priority="489" operator="lessThan" aboveAverage="0" equalAverage="0" bottom="0" percent="0" rank="0" text="" dxfId="2926">
      <formula>'1854'!$L$20</formula>
    </cfRule>
  </conditionalFormatting>
  <conditionalFormatting sqref="M21">
    <cfRule type="cellIs" priority="490" operator="equal" aboveAverage="0" equalAverage="0" bottom="0" percent="0" rank="0" text="" dxfId="2927">
      <formula>'1854'!$L$21</formula>
    </cfRule>
    <cfRule type="cellIs" priority="491" operator="lessThan" aboveAverage="0" equalAverage="0" bottom="0" percent="0" rank="0" text="" dxfId="2928">
      <formula>'1854'!$L$21</formula>
    </cfRule>
  </conditionalFormatting>
  <conditionalFormatting sqref="M22">
    <cfRule type="cellIs" priority="492" operator="equal" aboveAverage="0" equalAverage="0" bottom="0" percent="0" rank="0" text="" dxfId="2929">
      <formula>'1854'!$L$22</formula>
    </cfRule>
    <cfRule type="cellIs" priority="493" operator="lessThan" aboveAverage="0" equalAverage="0" bottom="0" percent="0" rank="0" text="" dxfId="2930">
      <formula>'1854'!$L$22</formula>
    </cfRule>
  </conditionalFormatting>
  <conditionalFormatting sqref="M23">
    <cfRule type="cellIs" priority="494" operator="equal" aboveAverage="0" equalAverage="0" bottom="0" percent="0" rank="0" text="" dxfId="2931">
      <formula>'1854'!$L$23</formula>
    </cfRule>
    <cfRule type="cellIs" priority="495" operator="lessThan" aboveAverage="0" equalAverage="0" bottom="0" percent="0" rank="0" text="" dxfId="2932">
      <formula>'1854'!$L$23</formula>
    </cfRule>
  </conditionalFormatting>
  <conditionalFormatting sqref="M24">
    <cfRule type="cellIs" priority="496" operator="equal" aboveAverage="0" equalAverage="0" bottom="0" percent="0" rank="0" text="" dxfId="2933">
      <formula>'1854'!$L$24</formula>
    </cfRule>
    <cfRule type="cellIs" priority="497" operator="lessThan" aboveAverage="0" equalAverage="0" bottom="0" percent="0" rank="0" text="" dxfId="2934">
      <formula>'1854'!$L$24</formula>
    </cfRule>
  </conditionalFormatting>
  <conditionalFormatting sqref="M25">
    <cfRule type="cellIs" priority="498" operator="equal" aboveAverage="0" equalAverage="0" bottom="0" percent="0" rank="0" text="" dxfId="2935">
      <formula>'1854'!$L$25</formula>
    </cfRule>
    <cfRule type="cellIs" priority="499" operator="lessThan" aboveAverage="0" equalAverage="0" bottom="0" percent="0" rank="0" text="" dxfId="2936">
      <formula>'1854'!$L$25</formula>
    </cfRule>
  </conditionalFormatting>
  <conditionalFormatting sqref="M26">
    <cfRule type="cellIs" priority="500" operator="equal" aboveAverage="0" equalAverage="0" bottom="0" percent="0" rank="0" text="" dxfId="2937">
      <formula>'1854'!$L$26</formula>
    </cfRule>
    <cfRule type="cellIs" priority="501" operator="lessThan" aboveAverage="0" equalAverage="0" bottom="0" percent="0" rank="0" text="" dxfId="2938">
      <formula>'1854'!$L$26</formula>
    </cfRule>
  </conditionalFormatting>
  <conditionalFormatting sqref="M27">
    <cfRule type="cellIs" priority="502" operator="equal" aboveAverage="0" equalAverage="0" bottom="0" percent="0" rank="0" text="" dxfId="2939">
      <formula>'1854'!$L$27</formula>
    </cfRule>
    <cfRule type="cellIs" priority="503" operator="lessThan" aboveAverage="0" equalAverage="0" bottom="0" percent="0" rank="0" text="" dxfId="2940">
      <formula>'1854'!$L$27</formula>
    </cfRule>
  </conditionalFormatting>
  <conditionalFormatting sqref="M28">
    <cfRule type="cellIs" priority="504" operator="equal" aboveAverage="0" equalAverage="0" bottom="0" percent="0" rank="0" text="" dxfId="2941">
      <formula>'1854'!$L$28</formula>
    </cfRule>
    <cfRule type="cellIs" priority="505" operator="lessThan" aboveAverage="0" equalAverage="0" bottom="0" percent="0" rank="0" text="" dxfId="2942">
      <formula>'1854'!$L$28</formula>
    </cfRule>
  </conditionalFormatting>
  <conditionalFormatting sqref="N4">
    <cfRule type="cellIs" priority="506" operator="equal" aboveAverage="0" equalAverage="0" bottom="0" percent="0" rank="0" text="" dxfId="2943">
      <formula>'1854'!$M$4</formula>
    </cfRule>
    <cfRule type="cellIs" priority="507" operator="lessThan" aboveAverage="0" equalAverage="0" bottom="0" percent="0" rank="0" text="" dxfId="2944">
      <formula>'1854'!$M$4</formula>
    </cfRule>
  </conditionalFormatting>
  <conditionalFormatting sqref="N5">
    <cfRule type="cellIs" priority="508" operator="equal" aboveAverage="0" equalAverage="0" bottom="0" percent="0" rank="0" text="" dxfId="2945">
      <formula>'1854'!$M$5</formula>
    </cfRule>
    <cfRule type="cellIs" priority="509" operator="lessThan" aboveAverage="0" equalAverage="0" bottom="0" percent="0" rank="0" text="" dxfId="2946">
      <formula>'1854'!$M$5</formula>
    </cfRule>
  </conditionalFormatting>
  <conditionalFormatting sqref="N6">
    <cfRule type="cellIs" priority="510" operator="equal" aboveAverage="0" equalAverage="0" bottom="0" percent="0" rank="0" text="" dxfId="2947">
      <formula>'1854'!$M$6</formula>
    </cfRule>
    <cfRule type="cellIs" priority="511" operator="lessThan" aboveAverage="0" equalAverage="0" bottom="0" percent="0" rank="0" text="" dxfId="2948">
      <formula>'1854'!$M$6</formula>
    </cfRule>
  </conditionalFormatting>
  <conditionalFormatting sqref="N7">
    <cfRule type="cellIs" priority="512" operator="equal" aboveAverage="0" equalAverage="0" bottom="0" percent="0" rank="0" text="" dxfId="2949">
      <formula>'1854'!$M$7</formula>
    </cfRule>
    <cfRule type="cellIs" priority="513" operator="lessThan" aboveAverage="0" equalAverage="0" bottom="0" percent="0" rank="0" text="" dxfId="2950">
      <formula>'1854'!$M$7</formula>
    </cfRule>
  </conditionalFormatting>
  <conditionalFormatting sqref="N8">
    <cfRule type="cellIs" priority="514" operator="equal" aboveAverage="0" equalAverage="0" bottom="0" percent="0" rank="0" text="" dxfId="2951">
      <formula>'1854'!$M$8</formula>
    </cfRule>
    <cfRule type="cellIs" priority="515" operator="lessThan" aboveAverage="0" equalAverage="0" bottom="0" percent="0" rank="0" text="" dxfId="2952">
      <formula>'1854'!$M$8</formula>
    </cfRule>
  </conditionalFormatting>
  <conditionalFormatting sqref="N9">
    <cfRule type="cellIs" priority="516" operator="equal" aboveAverage="0" equalAverage="0" bottom="0" percent="0" rank="0" text="" dxfId="2953">
      <formula>'1854'!$M$9</formula>
    </cfRule>
    <cfRule type="cellIs" priority="517" operator="lessThan" aboveAverage="0" equalAverage="0" bottom="0" percent="0" rank="0" text="" dxfId="2954">
      <formula>'1854'!$M$9</formula>
    </cfRule>
  </conditionalFormatting>
  <conditionalFormatting sqref="N10">
    <cfRule type="cellIs" priority="518" operator="equal" aboveAverage="0" equalAverage="0" bottom="0" percent="0" rank="0" text="" dxfId="2955">
      <formula>'1854'!$M$10</formula>
    </cfRule>
    <cfRule type="cellIs" priority="519" operator="lessThan" aboveAverage="0" equalAverage="0" bottom="0" percent="0" rank="0" text="" dxfId="2956">
      <formula>'1854'!$M$10</formula>
    </cfRule>
  </conditionalFormatting>
  <conditionalFormatting sqref="N11">
    <cfRule type="cellIs" priority="520" operator="equal" aboveAverage="0" equalAverage="0" bottom="0" percent="0" rank="0" text="" dxfId="2957">
      <formula>'1854'!$M$11</formula>
    </cfRule>
    <cfRule type="cellIs" priority="521" operator="lessThan" aboveAverage="0" equalAverage="0" bottom="0" percent="0" rank="0" text="" dxfId="2958">
      <formula>'1854'!$M$11</formula>
    </cfRule>
  </conditionalFormatting>
  <conditionalFormatting sqref="N12">
    <cfRule type="cellIs" priority="522" operator="equal" aboveAverage="0" equalAverage="0" bottom="0" percent="0" rank="0" text="" dxfId="2959">
      <formula>'1854'!$M$12</formula>
    </cfRule>
    <cfRule type="cellIs" priority="523" operator="lessThan" aboveAverage="0" equalAverage="0" bottom="0" percent="0" rank="0" text="" dxfId="2960">
      <formula>'1854'!$M$12</formula>
    </cfRule>
  </conditionalFormatting>
  <conditionalFormatting sqref="N13">
    <cfRule type="cellIs" priority="524" operator="equal" aboveAverage="0" equalAverage="0" bottom="0" percent="0" rank="0" text="" dxfId="2961">
      <formula>'1854'!$M$13</formula>
    </cfRule>
    <cfRule type="cellIs" priority="525" operator="lessThan" aboveAverage="0" equalAverage="0" bottom="0" percent="0" rank="0" text="" dxfId="2962">
      <formula>'1854'!$M$13</formula>
    </cfRule>
  </conditionalFormatting>
  <conditionalFormatting sqref="N14">
    <cfRule type="cellIs" priority="526" operator="equal" aboveAverage="0" equalAverage="0" bottom="0" percent="0" rank="0" text="" dxfId="2963">
      <formula>'1854'!$M$14</formula>
    </cfRule>
    <cfRule type="cellIs" priority="527" operator="lessThan" aboveAverage="0" equalAverage="0" bottom="0" percent="0" rank="0" text="" dxfId="2964">
      <formula>'1854'!$M$14</formula>
    </cfRule>
  </conditionalFormatting>
  <conditionalFormatting sqref="N15">
    <cfRule type="cellIs" priority="528" operator="equal" aboveAverage="0" equalAverage="0" bottom="0" percent="0" rank="0" text="" dxfId="2965">
      <formula>'1854'!$M$15</formula>
    </cfRule>
    <cfRule type="cellIs" priority="529" operator="lessThan" aboveAverage="0" equalAverage="0" bottom="0" percent="0" rank="0" text="" dxfId="2966">
      <formula>'1854'!$M$15</formula>
    </cfRule>
  </conditionalFormatting>
  <conditionalFormatting sqref="N16">
    <cfRule type="cellIs" priority="530" operator="equal" aboveAverage="0" equalAverage="0" bottom="0" percent="0" rank="0" text="" dxfId="2967">
      <formula>'1854'!$M$16</formula>
    </cfRule>
    <cfRule type="cellIs" priority="531" operator="lessThan" aboveAverage="0" equalAverage="0" bottom="0" percent="0" rank="0" text="" dxfId="2968">
      <formula>'1854'!$M$16</formula>
    </cfRule>
  </conditionalFormatting>
  <conditionalFormatting sqref="N17">
    <cfRule type="cellIs" priority="532" operator="equal" aboveAverage="0" equalAverage="0" bottom="0" percent="0" rank="0" text="" dxfId="2969">
      <formula>'1854'!$M$17</formula>
    </cfRule>
    <cfRule type="cellIs" priority="533" operator="lessThan" aboveAverage="0" equalAverage="0" bottom="0" percent="0" rank="0" text="" dxfId="2970">
      <formula>'1854'!$M$17</formula>
    </cfRule>
  </conditionalFormatting>
  <conditionalFormatting sqref="N18">
    <cfRule type="cellIs" priority="534" operator="equal" aboveAverage="0" equalAverage="0" bottom="0" percent="0" rank="0" text="" dxfId="2971">
      <formula>'1854'!$M$18</formula>
    </cfRule>
    <cfRule type="cellIs" priority="535" operator="lessThan" aboveAverage="0" equalAverage="0" bottom="0" percent="0" rank="0" text="" dxfId="2972">
      <formula>'1854'!$M$18</formula>
    </cfRule>
  </conditionalFormatting>
  <conditionalFormatting sqref="N19">
    <cfRule type="cellIs" priority="536" operator="equal" aboveAverage="0" equalAverage="0" bottom="0" percent="0" rank="0" text="" dxfId="2973">
      <formula>'1854'!$M$19</formula>
    </cfRule>
    <cfRule type="cellIs" priority="537" operator="lessThan" aboveAverage="0" equalAverage="0" bottom="0" percent="0" rank="0" text="" dxfId="2974">
      <formula>'1854'!$M$19</formula>
    </cfRule>
  </conditionalFormatting>
  <conditionalFormatting sqref="N20">
    <cfRule type="cellIs" priority="538" operator="equal" aboveAverage="0" equalAverage="0" bottom="0" percent="0" rank="0" text="" dxfId="2975">
      <formula>'1854'!$M$20</formula>
    </cfRule>
    <cfRule type="cellIs" priority="539" operator="lessThan" aboveAverage="0" equalAverage="0" bottom="0" percent="0" rank="0" text="" dxfId="2976">
      <formula>'1854'!$M$20</formula>
    </cfRule>
  </conditionalFormatting>
  <conditionalFormatting sqref="N21">
    <cfRule type="cellIs" priority="540" operator="equal" aboveAverage="0" equalAverage="0" bottom="0" percent="0" rank="0" text="" dxfId="2977">
      <formula>'1854'!$M$21</formula>
    </cfRule>
    <cfRule type="cellIs" priority="541" operator="lessThan" aboveAverage="0" equalAverage="0" bottom="0" percent="0" rank="0" text="" dxfId="2978">
      <formula>'1854'!$M$21</formula>
    </cfRule>
  </conditionalFormatting>
  <conditionalFormatting sqref="N22">
    <cfRule type="cellIs" priority="542" operator="equal" aboveAverage="0" equalAverage="0" bottom="0" percent="0" rank="0" text="" dxfId="2979">
      <formula>'1854'!$M$22</formula>
    </cfRule>
    <cfRule type="cellIs" priority="543" operator="lessThan" aboveAverage="0" equalAverage="0" bottom="0" percent="0" rank="0" text="" dxfId="2980">
      <formula>'1854'!$M$22</formula>
    </cfRule>
  </conditionalFormatting>
  <conditionalFormatting sqref="N23">
    <cfRule type="cellIs" priority="544" operator="equal" aboveAverage="0" equalAverage="0" bottom="0" percent="0" rank="0" text="" dxfId="2981">
      <formula>'1854'!$M$23</formula>
    </cfRule>
    <cfRule type="cellIs" priority="545" operator="lessThan" aboveAverage="0" equalAverage="0" bottom="0" percent="0" rank="0" text="" dxfId="2982">
      <formula>'1854'!$M$23</formula>
    </cfRule>
  </conditionalFormatting>
  <conditionalFormatting sqref="N24">
    <cfRule type="cellIs" priority="546" operator="equal" aboveAverage="0" equalAverage="0" bottom="0" percent="0" rank="0" text="" dxfId="2983">
      <formula>'1854'!$M$24</formula>
    </cfRule>
    <cfRule type="cellIs" priority="547" operator="lessThan" aboveAverage="0" equalAverage="0" bottom="0" percent="0" rank="0" text="" dxfId="2984">
      <formula>'1854'!$M$24</formula>
    </cfRule>
  </conditionalFormatting>
  <conditionalFormatting sqref="N25">
    <cfRule type="cellIs" priority="548" operator="equal" aboveAverage="0" equalAverage="0" bottom="0" percent="0" rank="0" text="" dxfId="2985">
      <formula>'1854'!$M$25</formula>
    </cfRule>
    <cfRule type="cellIs" priority="549" operator="lessThan" aboveAverage="0" equalAverage="0" bottom="0" percent="0" rank="0" text="" dxfId="2986">
      <formula>'1854'!$M$25</formula>
    </cfRule>
  </conditionalFormatting>
  <conditionalFormatting sqref="N26">
    <cfRule type="cellIs" priority="550" operator="equal" aboveAverage="0" equalAverage="0" bottom="0" percent="0" rank="0" text="" dxfId="2987">
      <formula>'1854'!$M$26</formula>
    </cfRule>
    <cfRule type="cellIs" priority="551" operator="lessThan" aboveAverage="0" equalAverage="0" bottom="0" percent="0" rank="0" text="" dxfId="2988">
      <formula>'1854'!$M$26</formula>
    </cfRule>
  </conditionalFormatting>
  <conditionalFormatting sqref="N27">
    <cfRule type="cellIs" priority="552" operator="equal" aboveAverage="0" equalAverage="0" bottom="0" percent="0" rank="0" text="" dxfId="2989">
      <formula>'1854'!$M$27</formula>
    </cfRule>
    <cfRule type="cellIs" priority="553" operator="lessThan" aboveAverage="0" equalAverage="0" bottom="0" percent="0" rank="0" text="" dxfId="2990">
      <formula>'1854'!$M$27</formula>
    </cfRule>
  </conditionalFormatting>
  <conditionalFormatting sqref="N28">
    <cfRule type="cellIs" priority="554" operator="equal" aboveAverage="0" equalAverage="0" bottom="0" percent="0" rank="0" text="" dxfId="2991">
      <formula>'1854'!$M$28</formula>
    </cfRule>
    <cfRule type="cellIs" priority="555" operator="lessThan" aboveAverage="0" equalAverage="0" bottom="0" percent="0" rank="0" text="" dxfId="2992">
      <formula>'1854'!$M$28</formula>
    </cfRule>
  </conditionalFormatting>
  <conditionalFormatting sqref="O4">
    <cfRule type="cellIs" priority="556" operator="equal" aboveAverage="0" equalAverage="0" bottom="0" percent="0" rank="0" text="" dxfId="2993">
      <formula>'1854'!$N$4</formula>
    </cfRule>
    <cfRule type="cellIs" priority="557" operator="lessThan" aboveAverage="0" equalAverage="0" bottom="0" percent="0" rank="0" text="" dxfId="2994">
      <formula>'1854'!$N$4</formula>
    </cfRule>
  </conditionalFormatting>
  <conditionalFormatting sqref="O5">
    <cfRule type="cellIs" priority="558" operator="equal" aboveAverage="0" equalAverage="0" bottom="0" percent="0" rank="0" text="" dxfId="2995">
      <formula>'1854'!$N$5</formula>
    </cfRule>
    <cfRule type="cellIs" priority="559" operator="lessThan" aboveAverage="0" equalAverage="0" bottom="0" percent="0" rank="0" text="" dxfId="2996">
      <formula>'1854'!$N$5</formula>
    </cfRule>
  </conditionalFormatting>
  <conditionalFormatting sqref="O6">
    <cfRule type="cellIs" priority="560" operator="equal" aboveAverage="0" equalAverage="0" bottom="0" percent="0" rank="0" text="" dxfId="2997">
      <formula>'1854'!$N$6</formula>
    </cfRule>
    <cfRule type="cellIs" priority="561" operator="lessThan" aboveAverage="0" equalAverage="0" bottom="0" percent="0" rank="0" text="" dxfId="2998">
      <formula>'1854'!$N$6</formula>
    </cfRule>
  </conditionalFormatting>
  <conditionalFormatting sqref="O7">
    <cfRule type="cellIs" priority="562" operator="equal" aboveAverage="0" equalAverage="0" bottom="0" percent="0" rank="0" text="" dxfId="2999">
      <formula>'1854'!$N$7</formula>
    </cfRule>
    <cfRule type="cellIs" priority="563" operator="lessThan" aboveAverage="0" equalAverage="0" bottom="0" percent="0" rank="0" text="" dxfId="3000">
      <formula>'1854'!$N$7</formula>
    </cfRule>
  </conditionalFormatting>
  <conditionalFormatting sqref="O8">
    <cfRule type="cellIs" priority="564" operator="equal" aboveAverage="0" equalAverage="0" bottom="0" percent="0" rank="0" text="" dxfId="3001">
      <formula>'1854'!$N$8</formula>
    </cfRule>
    <cfRule type="cellIs" priority="565" operator="lessThan" aboveAverage="0" equalAverage="0" bottom="0" percent="0" rank="0" text="" dxfId="3002">
      <formula>'1854'!$N$8</formula>
    </cfRule>
  </conditionalFormatting>
  <conditionalFormatting sqref="O9">
    <cfRule type="cellIs" priority="566" operator="equal" aboveAverage="0" equalAverage="0" bottom="0" percent="0" rank="0" text="" dxfId="3003">
      <formula>'1854'!$N$9</formula>
    </cfRule>
    <cfRule type="cellIs" priority="567" operator="lessThan" aboveAverage="0" equalAverage="0" bottom="0" percent="0" rank="0" text="" dxfId="3004">
      <formula>'1854'!$N$9</formula>
    </cfRule>
  </conditionalFormatting>
  <conditionalFormatting sqref="O10">
    <cfRule type="cellIs" priority="568" operator="equal" aboveAverage="0" equalAverage="0" bottom="0" percent="0" rank="0" text="" dxfId="3005">
      <formula>'1854'!$N$10</formula>
    </cfRule>
    <cfRule type="cellIs" priority="569" operator="lessThan" aboveAverage="0" equalAverage="0" bottom="0" percent="0" rank="0" text="" dxfId="3006">
      <formula>'1854'!$N$10</formula>
    </cfRule>
  </conditionalFormatting>
  <conditionalFormatting sqref="O11">
    <cfRule type="cellIs" priority="570" operator="equal" aboveAverage="0" equalAverage="0" bottom="0" percent="0" rank="0" text="" dxfId="3007">
      <formula>'1854'!$N$11</formula>
    </cfRule>
    <cfRule type="cellIs" priority="571" operator="lessThan" aboveAverage="0" equalAverage="0" bottom="0" percent="0" rank="0" text="" dxfId="3008">
      <formula>'1854'!$N$11</formula>
    </cfRule>
  </conditionalFormatting>
  <conditionalFormatting sqref="O12">
    <cfRule type="cellIs" priority="572" operator="equal" aboveAverage="0" equalAverage="0" bottom="0" percent="0" rank="0" text="" dxfId="3009">
      <formula>'1854'!$N$12</formula>
    </cfRule>
    <cfRule type="cellIs" priority="573" operator="lessThan" aboveAverage="0" equalAverage="0" bottom="0" percent="0" rank="0" text="" dxfId="3010">
      <formula>'1854'!$N$12</formula>
    </cfRule>
  </conditionalFormatting>
  <conditionalFormatting sqref="O13">
    <cfRule type="cellIs" priority="574" operator="equal" aboveAverage="0" equalAverage="0" bottom="0" percent="0" rank="0" text="" dxfId="3011">
      <formula>'1854'!$N$13</formula>
    </cfRule>
    <cfRule type="cellIs" priority="575" operator="lessThan" aboveAverage="0" equalAverage="0" bottom="0" percent="0" rank="0" text="" dxfId="3012">
      <formula>'1854'!$N$13</formula>
    </cfRule>
  </conditionalFormatting>
  <conditionalFormatting sqref="O14">
    <cfRule type="cellIs" priority="576" operator="equal" aboveAverage="0" equalAverage="0" bottom="0" percent="0" rank="0" text="" dxfId="3013">
      <formula>'1854'!$N$14</formula>
    </cfRule>
    <cfRule type="cellIs" priority="577" operator="lessThan" aboveAverage="0" equalAverage="0" bottom="0" percent="0" rank="0" text="" dxfId="3014">
      <formula>'1854'!$N$14</formula>
    </cfRule>
  </conditionalFormatting>
  <conditionalFormatting sqref="O15">
    <cfRule type="cellIs" priority="578" operator="equal" aboveAverage="0" equalAverage="0" bottom="0" percent="0" rank="0" text="" dxfId="3015">
      <formula>'1854'!$N$15</formula>
    </cfRule>
    <cfRule type="cellIs" priority="579" operator="lessThan" aboveAverage="0" equalAverage="0" bottom="0" percent="0" rank="0" text="" dxfId="3016">
      <formula>'1854'!$N$15</formula>
    </cfRule>
  </conditionalFormatting>
  <conditionalFormatting sqref="O16">
    <cfRule type="cellIs" priority="580" operator="equal" aboveAverage="0" equalAverage="0" bottom="0" percent="0" rank="0" text="" dxfId="3017">
      <formula>'1854'!$N$16</formula>
    </cfRule>
    <cfRule type="cellIs" priority="581" operator="lessThan" aboveAverage="0" equalAverage="0" bottom="0" percent="0" rank="0" text="" dxfId="3018">
      <formula>'1854'!$N$16</formula>
    </cfRule>
  </conditionalFormatting>
  <conditionalFormatting sqref="O17">
    <cfRule type="cellIs" priority="582" operator="equal" aboveAverage="0" equalAverage="0" bottom="0" percent="0" rank="0" text="" dxfId="3019">
      <formula>'1854'!$N$17</formula>
    </cfRule>
    <cfRule type="cellIs" priority="583" operator="lessThan" aboveAverage="0" equalAverage="0" bottom="0" percent="0" rank="0" text="" dxfId="3020">
      <formula>'1854'!$N$17</formula>
    </cfRule>
  </conditionalFormatting>
  <conditionalFormatting sqref="O18">
    <cfRule type="cellIs" priority="584" operator="equal" aboveAverage="0" equalAverage="0" bottom="0" percent="0" rank="0" text="" dxfId="3021">
      <formula>'1854'!$N$18</formula>
    </cfRule>
    <cfRule type="cellIs" priority="585" operator="lessThan" aboveAverage="0" equalAverage="0" bottom="0" percent="0" rank="0" text="" dxfId="3022">
      <formula>'1854'!$N$18</formula>
    </cfRule>
  </conditionalFormatting>
  <conditionalFormatting sqref="O19">
    <cfRule type="cellIs" priority="586" operator="equal" aboveAverage="0" equalAverage="0" bottom="0" percent="0" rank="0" text="" dxfId="3023">
      <formula>'1854'!$N$19</formula>
    </cfRule>
    <cfRule type="cellIs" priority="587" operator="lessThan" aboveAverage="0" equalAverage="0" bottom="0" percent="0" rank="0" text="" dxfId="3024">
      <formula>'1854'!$N$19</formula>
    </cfRule>
  </conditionalFormatting>
  <conditionalFormatting sqref="O20">
    <cfRule type="cellIs" priority="588" operator="equal" aboveAverage="0" equalAverage="0" bottom="0" percent="0" rank="0" text="" dxfId="3025">
      <formula>'1854'!$N$20</formula>
    </cfRule>
    <cfRule type="cellIs" priority="589" operator="lessThan" aboveAverage="0" equalAverage="0" bottom="0" percent="0" rank="0" text="" dxfId="3026">
      <formula>'1854'!$N$20</formula>
    </cfRule>
  </conditionalFormatting>
  <conditionalFormatting sqref="O21">
    <cfRule type="cellIs" priority="590" operator="equal" aboveAverage="0" equalAverage="0" bottom="0" percent="0" rank="0" text="" dxfId="3027">
      <formula>'1854'!$N$21</formula>
    </cfRule>
    <cfRule type="cellIs" priority="591" operator="lessThan" aboveAverage="0" equalAverage="0" bottom="0" percent="0" rank="0" text="" dxfId="3028">
      <formula>'1854'!$N$21</formula>
    </cfRule>
  </conditionalFormatting>
  <conditionalFormatting sqref="O22">
    <cfRule type="cellIs" priority="592" operator="equal" aboveAverage="0" equalAverage="0" bottom="0" percent="0" rank="0" text="" dxfId="3029">
      <formula>'1854'!$N$22</formula>
    </cfRule>
    <cfRule type="cellIs" priority="593" operator="lessThan" aboveAverage="0" equalAverage="0" bottom="0" percent="0" rank="0" text="" dxfId="3030">
      <formula>'1854'!$N$22</formula>
    </cfRule>
  </conditionalFormatting>
  <conditionalFormatting sqref="O23">
    <cfRule type="cellIs" priority="594" operator="equal" aboveAverage="0" equalAverage="0" bottom="0" percent="0" rank="0" text="" dxfId="3031">
      <formula>'1854'!$N$23</formula>
    </cfRule>
    <cfRule type="cellIs" priority="595" operator="lessThan" aboveAverage="0" equalAverage="0" bottom="0" percent="0" rank="0" text="" dxfId="3032">
      <formula>'1854'!$N$23</formula>
    </cfRule>
  </conditionalFormatting>
  <conditionalFormatting sqref="O24">
    <cfRule type="cellIs" priority="596" operator="equal" aboveAverage="0" equalAverage="0" bottom="0" percent="0" rank="0" text="" dxfId="3033">
      <formula>'1854'!$N$24</formula>
    </cfRule>
    <cfRule type="cellIs" priority="597" operator="lessThan" aboveAverage="0" equalAverage="0" bottom="0" percent="0" rank="0" text="" dxfId="3034">
      <formula>'1854'!$N$24</formula>
    </cfRule>
  </conditionalFormatting>
  <conditionalFormatting sqref="O25">
    <cfRule type="cellIs" priority="598" operator="equal" aboveAverage="0" equalAverage="0" bottom="0" percent="0" rank="0" text="" dxfId="3035">
      <formula>'1854'!$N$25</formula>
    </cfRule>
    <cfRule type="cellIs" priority="599" operator="lessThan" aboveAverage="0" equalAverage="0" bottom="0" percent="0" rank="0" text="" dxfId="3036">
      <formula>'1854'!$N$25</formula>
    </cfRule>
  </conditionalFormatting>
  <conditionalFormatting sqref="O26">
    <cfRule type="cellIs" priority="600" operator="equal" aboveAverage="0" equalAverage="0" bottom="0" percent="0" rank="0" text="" dxfId="3037">
      <formula>'1854'!$N$26</formula>
    </cfRule>
    <cfRule type="cellIs" priority="601" operator="lessThan" aboveAverage="0" equalAverage="0" bottom="0" percent="0" rank="0" text="" dxfId="3038">
      <formula>'1854'!$N$26</formula>
    </cfRule>
  </conditionalFormatting>
  <conditionalFormatting sqref="O27">
    <cfRule type="cellIs" priority="602" operator="equal" aboveAverage="0" equalAverage="0" bottom="0" percent="0" rank="0" text="" dxfId="3039">
      <formula>'1854'!$N$27</formula>
    </cfRule>
    <cfRule type="cellIs" priority="603" operator="lessThan" aboveAverage="0" equalAverage="0" bottom="0" percent="0" rank="0" text="" dxfId="3040">
      <formula>'1854'!$N$27</formula>
    </cfRule>
  </conditionalFormatting>
  <conditionalFormatting sqref="O28">
    <cfRule type="cellIs" priority="604" operator="equal" aboveAverage="0" equalAverage="0" bottom="0" percent="0" rank="0" text="" dxfId="3041">
      <formula>'1854'!$N$28</formula>
    </cfRule>
    <cfRule type="cellIs" priority="605" operator="lessThan" aboveAverage="0" equalAverage="0" bottom="0" percent="0" rank="0" text="" dxfId="3042">
      <formula>'1854'!$N$28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8.57"/>
    <col collapsed="false" customWidth="true" hidden="false" outlineLevel="0" max="2" min="2" style="0" width="26.29"/>
    <col collapsed="false" customWidth="true" hidden="false" outlineLevel="0" max="15" min="3" style="0" width="10.14"/>
    <col collapsed="false" customWidth="true" hidden="false" outlineLevel="0" max="16" min="16" style="0" width="10"/>
    <col collapsed="false" customWidth="true" hidden="false" outlineLevel="0" max="17" min="17" style="0" width="11.14"/>
    <col collapsed="false" customWidth="true" hidden="false" outlineLevel="0" max="18" min="18" style="0" width="9.29"/>
    <col collapsed="false" customWidth="true" hidden="false" outlineLevel="0" max="19" min="19" style="0" width="3.42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1855</v>
      </c>
      <c r="B2" s="3"/>
      <c r="C2" s="4" t="n">
        <f aca="false">'1850'!C2</f>
        <v>44562</v>
      </c>
      <c r="D2" s="4" t="n">
        <f aca="false">'1850'!D2</f>
        <v>44593</v>
      </c>
      <c r="E2" s="4" t="n">
        <f aca="false">'1850'!E2</f>
        <v>44622</v>
      </c>
      <c r="F2" s="4" t="n">
        <f aca="false">'1850'!F2</f>
        <v>44652</v>
      </c>
      <c r="G2" s="4" t="n">
        <f aca="false">'1850'!G2</f>
        <v>44683</v>
      </c>
      <c r="H2" s="4" t="n">
        <f aca="false">'1850'!H2</f>
        <v>44713</v>
      </c>
      <c r="I2" s="4" t="n">
        <f aca="false">'1850'!I2</f>
        <v>44743</v>
      </c>
      <c r="J2" s="4" t="n">
        <f aca="false">'1850'!J2</f>
        <v>44774</v>
      </c>
      <c r="K2" s="4" t="n">
        <f aca="false">'1850'!K2</f>
        <v>44805</v>
      </c>
      <c r="L2" s="4" t="n">
        <f aca="false">'1850'!L2</f>
        <v>44834</v>
      </c>
      <c r="M2" s="4" t="n">
        <f aca="false">'1850'!M2</f>
        <v>44866</v>
      </c>
      <c r="N2" s="4" t="n">
        <f aca="false">'1850'!N2</f>
        <v>44896</v>
      </c>
      <c r="O2" s="4" t="n">
        <f aca="false">'1850'!O2</f>
        <v>44927</v>
      </c>
      <c r="P2" s="6" t="s">
        <v>0</v>
      </c>
      <c r="Q2" s="6" t="s">
        <v>1</v>
      </c>
      <c r="R2" s="6" t="s">
        <v>220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R3" s="6" t="s">
        <v>156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221</v>
      </c>
      <c r="C4" s="151" t="n">
        <v>363.842</v>
      </c>
      <c r="D4" s="16" t="n">
        <v>379.037</v>
      </c>
      <c r="E4" s="16" t="n">
        <v>391.154</v>
      </c>
      <c r="F4" s="16" t="n">
        <v>405.315</v>
      </c>
      <c r="G4" s="16" t="n">
        <v>420.059</v>
      </c>
      <c r="H4" s="16" t="n">
        <v>434.307</v>
      </c>
      <c r="I4" s="16" t="n">
        <v>447.536</v>
      </c>
      <c r="J4" s="16" t="n">
        <v>459.657</v>
      </c>
      <c r="K4" s="16" t="n">
        <v>469.844</v>
      </c>
      <c r="L4" s="17" t="n">
        <v>482.626</v>
      </c>
      <c r="M4" s="16" t="n">
        <v>495.495</v>
      </c>
      <c r="N4" s="16" t="n">
        <v>507.597</v>
      </c>
      <c r="O4" s="16" t="n">
        <v>520.504</v>
      </c>
      <c r="P4" s="18" t="n">
        <f aca="false">O4-C4</f>
        <v>156.662</v>
      </c>
      <c r="T4" s="6" t="n">
        <v>1</v>
      </c>
      <c r="U4" s="19" t="n">
        <f aca="false">D4-C4</f>
        <v>15.195</v>
      </c>
      <c r="V4" s="19" t="n">
        <f aca="false">E4-D4</f>
        <v>12.117</v>
      </c>
      <c r="W4" s="19" t="n">
        <f aca="false">F4-E4</f>
        <v>14.161</v>
      </c>
      <c r="X4" s="19" t="n">
        <f aca="false">G4-F4</f>
        <v>14.744</v>
      </c>
      <c r="Y4" s="19" t="n">
        <f aca="false">H4-G4</f>
        <v>14.248</v>
      </c>
      <c r="Z4" s="19" t="n">
        <f aca="false">I4-H4</f>
        <v>13.229</v>
      </c>
      <c r="AA4" s="19" t="n">
        <f aca="false">J4-I4</f>
        <v>12.121</v>
      </c>
      <c r="AB4" s="19" t="n">
        <f aca="false">K4-J4</f>
        <v>10.187</v>
      </c>
      <c r="AC4" s="19" t="n">
        <f aca="false">L4-K4</f>
        <v>12.782</v>
      </c>
      <c r="AD4" s="19" t="n">
        <f aca="false">M4-L4</f>
        <v>12.869</v>
      </c>
      <c r="AE4" s="19" t="n">
        <f aca="false">N4-M4</f>
        <v>12.102</v>
      </c>
      <c r="AF4" s="19" t="n">
        <f aca="false">O4-N4</f>
        <v>12.907</v>
      </c>
    </row>
    <row r="5" customFormat="false" ht="15" hidden="false" customHeight="false" outlineLevel="0" collapsed="false">
      <c r="A5" s="14"/>
      <c r="B5" s="20" t="s">
        <v>222</v>
      </c>
      <c r="C5" s="152" t="n">
        <v>14.103</v>
      </c>
      <c r="D5" s="21" t="n">
        <v>22.427</v>
      </c>
      <c r="E5" s="21" t="n">
        <v>29.05</v>
      </c>
      <c r="F5" s="21" t="n">
        <v>35.001</v>
      </c>
      <c r="G5" s="21" t="n">
        <v>39.989</v>
      </c>
      <c r="H5" s="21" t="n">
        <v>41.414</v>
      </c>
      <c r="I5" s="21" t="n">
        <v>42.397</v>
      </c>
      <c r="J5" s="21" t="n">
        <v>43.269</v>
      </c>
      <c r="K5" s="21" t="n">
        <v>43.919</v>
      </c>
      <c r="L5" s="22" t="n">
        <v>45.027</v>
      </c>
      <c r="M5" s="21" t="n">
        <v>46.981</v>
      </c>
      <c r="N5" s="21" t="n">
        <v>50.747</v>
      </c>
      <c r="O5" s="21" t="n">
        <v>56.527</v>
      </c>
      <c r="P5" s="18"/>
      <c r="Q5" s="18" t="n">
        <f aca="false">O5-C5</f>
        <v>42.424</v>
      </c>
      <c r="T5" s="153" t="s">
        <v>1</v>
      </c>
      <c r="U5" s="154" t="n">
        <f aca="false">D5-C5</f>
        <v>8.324</v>
      </c>
      <c r="V5" s="154" t="n">
        <f aca="false">E5-D5</f>
        <v>6.623</v>
      </c>
      <c r="W5" s="154" t="n">
        <f aca="false">F5-E5</f>
        <v>5.951</v>
      </c>
      <c r="X5" s="154" t="n">
        <f aca="false">G5-F5</f>
        <v>4.988</v>
      </c>
      <c r="Y5" s="154" t="n">
        <f aca="false">H5-G5</f>
        <v>1.425</v>
      </c>
      <c r="Z5" s="154" t="n">
        <f aca="false">I5-H5</f>
        <v>0.982999999999997</v>
      </c>
      <c r="AA5" s="154" t="n">
        <f aca="false">J5-I5</f>
        <v>0.872</v>
      </c>
      <c r="AB5" s="154" t="n">
        <f aca="false">K5-J5</f>
        <v>0.649999999999999</v>
      </c>
      <c r="AC5" s="154" t="n">
        <f aca="false">L5-K5</f>
        <v>1.108</v>
      </c>
      <c r="AD5" s="154" t="n">
        <f aca="false">M5-L5</f>
        <v>1.954</v>
      </c>
      <c r="AE5" s="154" t="n">
        <f aca="false">N5-M5</f>
        <v>3.766</v>
      </c>
      <c r="AF5" s="154" t="n">
        <f aca="false">O5-N5</f>
        <v>5.78</v>
      </c>
    </row>
    <row r="6" customFormat="false" ht="15" hidden="false" customHeight="false" outlineLevel="0" collapsed="false">
      <c r="A6" s="24" t="n">
        <v>2</v>
      </c>
      <c r="B6" s="20" t="s">
        <v>223</v>
      </c>
      <c r="C6" s="152" t="n">
        <v>442.615</v>
      </c>
      <c r="D6" s="21" t="n">
        <v>459.633</v>
      </c>
      <c r="E6" s="21" t="n">
        <v>470.743</v>
      </c>
      <c r="F6" s="21" t="n">
        <v>489.988</v>
      </c>
      <c r="G6" s="21" t="n">
        <v>505.762</v>
      </c>
      <c r="H6" s="21" t="n">
        <v>521.158</v>
      </c>
      <c r="I6" s="21" t="n">
        <v>534.78</v>
      </c>
      <c r="J6" s="21" t="n">
        <v>542.788</v>
      </c>
      <c r="K6" s="21" t="n">
        <v>554.273</v>
      </c>
      <c r="L6" s="21" t="n">
        <v>568.101</v>
      </c>
      <c r="M6" s="21" t="n">
        <v>583.64</v>
      </c>
      <c r="N6" s="21" t="n">
        <v>602.887</v>
      </c>
      <c r="O6" s="21" t="n">
        <v>619.368</v>
      </c>
      <c r="P6" s="18" t="n">
        <f aca="false">O6-C6</f>
        <v>176.753</v>
      </c>
      <c r="T6" s="6" t="n">
        <v>2</v>
      </c>
      <c r="U6" s="25" t="n">
        <f aca="false">D6-C6</f>
        <v>17.018</v>
      </c>
      <c r="V6" s="25" t="n">
        <f aca="false">E6-D6</f>
        <v>11.11</v>
      </c>
      <c r="W6" s="25" t="n">
        <f aca="false">F6-E6</f>
        <v>19.245</v>
      </c>
      <c r="X6" s="25" t="n">
        <f aca="false">G6-F6</f>
        <v>15.774</v>
      </c>
      <c r="Y6" s="25" t="n">
        <f aca="false">H6-G6</f>
        <v>15.396</v>
      </c>
      <c r="Z6" s="25" t="n">
        <f aca="false">I6-H6</f>
        <v>13.622</v>
      </c>
      <c r="AA6" s="25" t="n">
        <f aca="false">J6-I6</f>
        <v>8.00800000000004</v>
      </c>
      <c r="AB6" s="25" t="n">
        <f aca="false">K6-J6</f>
        <v>11.485</v>
      </c>
      <c r="AC6" s="25" t="n">
        <f aca="false">L6-K6</f>
        <v>13.828</v>
      </c>
      <c r="AD6" s="25" t="n">
        <f aca="false">M6-L6</f>
        <v>15.539</v>
      </c>
      <c r="AE6" s="25" t="n">
        <f aca="false">N6-M6</f>
        <v>19.247</v>
      </c>
      <c r="AF6" s="25" t="n">
        <f aca="false">O6-N6</f>
        <v>16.4810000000001</v>
      </c>
    </row>
    <row r="7" customFormat="false" ht="15" hidden="false" customHeight="false" outlineLevel="0" collapsed="false">
      <c r="A7" s="24"/>
      <c r="B7" s="20" t="s">
        <v>224</v>
      </c>
      <c r="C7" s="152" t="n">
        <v>9.68</v>
      </c>
      <c r="D7" s="21" t="n">
        <v>15.479</v>
      </c>
      <c r="E7" s="21" t="n">
        <v>20.291</v>
      </c>
      <c r="F7" s="21" t="n">
        <v>24.805</v>
      </c>
      <c r="G7" s="21" t="n">
        <v>28.324</v>
      </c>
      <c r="H7" s="21" t="n">
        <v>29.57</v>
      </c>
      <c r="I7" s="21" t="n">
        <v>30.461</v>
      </c>
      <c r="J7" s="21" t="n">
        <v>30.961</v>
      </c>
      <c r="K7" s="21" t="n">
        <v>31.626</v>
      </c>
      <c r="L7" s="21" t="n">
        <v>32.552</v>
      </c>
      <c r="M7" s="21" t="n">
        <v>34.249</v>
      </c>
      <c r="N7" s="21" t="n">
        <v>38.196</v>
      </c>
      <c r="O7" s="21" t="n">
        <v>43.285</v>
      </c>
      <c r="P7" s="18"/>
      <c r="Q7" s="18" t="n">
        <f aca="false">O7-C7</f>
        <v>33.605</v>
      </c>
      <c r="T7" s="153"/>
      <c r="U7" s="154" t="n">
        <f aca="false">D7-C7</f>
        <v>5.799</v>
      </c>
      <c r="V7" s="154" t="n">
        <f aca="false">E7-D7</f>
        <v>4.812</v>
      </c>
      <c r="W7" s="154" t="n">
        <f aca="false">F7-E7</f>
        <v>4.514</v>
      </c>
      <c r="X7" s="154" t="n">
        <f aca="false">G7-F7</f>
        <v>3.519</v>
      </c>
      <c r="Y7" s="154" t="n">
        <f aca="false">H7-G7</f>
        <v>1.246</v>
      </c>
      <c r="Z7" s="154" t="n">
        <f aca="false">I7-H7</f>
        <v>0.890999999999998</v>
      </c>
      <c r="AA7" s="154" t="n">
        <f aca="false">J7-I7</f>
        <v>0.5</v>
      </c>
      <c r="AB7" s="154" t="n">
        <f aca="false">K7-J7</f>
        <v>0.665000000000003</v>
      </c>
      <c r="AC7" s="154" t="n">
        <f aca="false">L7-K7</f>
        <v>0.925999999999998</v>
      </c>
      <c r="AD7" s="154" t="n">
        <f aca="false">M7-L7</f>
        <v>1.697</v>
      </c>
      <c r="AE7" s="154" t="n">
        <f aca="false">N7-M7</f>
        <v>3.947</v>
      </c>
      <c r="AF7" s="154" t="n">
        <f aca="false">O7-N7</f>
        <v>5.089</v>
      </c>
    </row>
    <row r="8" customFormat="false" ht="15" hidden="false" customHeight="false" outlineLevel="0" collapsed="false">
      <c r="A8" s="24" t="n">
        <v>3</v>
      </c>
      <c r="B8" s="20" t="s">
        <v>225</v>
      </c>
      <c r="C8" s="152" t="n">
        <v>110.651</v>
      </c>
      <c r="D8" s="21" t="n">
        <v>114.85</v>
      </c>
      <c r="E8" s="21" t="n">
        <v>118.613</v>
      </c>
      <c r="F8" s="21" t="n">
        <v>122.505</v>
      </c>
      <c r="G8" s="21" t="n">
        <v>126.676</v>
      </c>
      <c r="H8" s="21" t="n">
        <v>130.442</v>
      </c>
      <c r="I8" s="21" t="n">
        <v>134.061</v>
      </c>
      <c r="J8" s="21" t="n">
        <v>137.5</v>
      </c>
      <c r="K8" s="21" t="n">
        <v>141.089</v>
      </c>
      <c r="L8" s="21" t="n">
        <v>144.247</v>
      </c>
      <c r="M8" s="21" t="n">
        <v>147.938</v>
      </c>
      <c r="N8" s="21" t="n">
        <v>151.554</v>
      </c>
      <c r="O8" s="21" t="n">
        <v>153.218</v>
      </c>
      <c r="P8" s="18" t="n">
        <f aca="false">O8-C8</f>
        <v>42.567</v>
      </c>
      <c r="T8" s="6" t="n">
        <v>3</v>
      </c>
      <c r="U8" s="25" t="n">
        <f aca="false">D8-C8</f>
        <v>4.199</v>
      </c>
      <c r="V8" s="25" t="n">
        <f aca="false">E8-D8</f>
        <v>3.76300000000001</v>
      </c>
      <c r="W8" s="25" t="n">
        <f aca="false">F8-E8</f>
        <v>3.892</v>
      </c>
      <c r="X8" s="25" t="n">
        <f aca="false">G8-F8</f>
        <v>4.17100000000001</v>
      </c>
      <c r="Y8" s="25" t="n">
        <f aca="false">H8-G8</f>
        <v>3.76600000000001</v>
      </c>
      <c r="Z8" s="25" t="n">
        <f aca="false">I8-H8</f>
        <v>3.619</v>
      </c>
      <c r="AA8" s="25" t="n">
        <f aca="false">J8-I8</f>
        <v>3.43899999999999</v>
      </c>
      <c r="AB8" s="25" t="n">
        <f aca="false">K8-J8</f>
        <v>3.589</v>
      </c>
      <c r="AC8" s="25" t="n">
        <f aca="false">L8-K8</f>
        <v>3.15800000000002</v>
      </c>
      <c r="AD8" s="25" t="n">
        <f aca="false">M8-L8</f>
        <v>3.69099999999997</v>
      </c>
      <c r="AE8" s="25" t="n">
        <f aca="false">N8-M8</f>
        <v>3.61600000000001</v>
      </c>
      <c r="AF8" s="25" t="n">
        <f aca="false">O8-N8</f>
        <v>1.66399999999999</v>
      </c>
    </row>
    <row r="9" customFormat="false" ht="15" hidden="false" customHeight="false" outlineLevel="0" collapsed="false">
      <c r="A9" s="24"/>
      <c r="B9" s="20" t="s">
        <v>226</v>
      </c>
      <c r="C9" s="152" t="n">
        <v>4.502</v>
      </c>
      <c r="D9" s="21" t="n">
        <v>8.437</v>
      </c>
      <c r="E9" s="21" t="n">
        <v>11.346</v>
      </c>
      <c r="F9" s="21" t="n">
        <v>13.673</v>
      </c>
      <c r="G9" s="21" t="n">
        <v>15.437</v>
      </c>
      <c r="H9" s="21" t="n">
        <v>15.747</v>
      </c>
      <c r="I9" s="21" t="n">
        <v>15.991</v>
      </c>
      <c r="J9" s="21" t="n">
        <v>16.182</v>
      </c>
      <c r="K9" s="21" t="n">
        <v>16.383</v>
      </c>
      <c r="L9" s="21" t="n">
        <v>16.689</v>
      </c>
      <c r="M9" s="21" t="n">
        <v>17.644</v>
      </c>
      <c r="N9" s="21" t="n">
        <v>20.748</v>
      </c>
      <c r="O9" s="21" t="n">
        <v>22.779</v>
      </c>
      <c r="P9" s="18"/>
      <c r="Q9" s="18" t="n">
        <f aca="false">O9-C9</f>
        <v>18.277</v>
      </c>
      <c r="T9" s="153"/>
      <c r="U9" s="154" t="n">
        <f aca="false">D9-C9</f>
        <v>3.935</v>
      </c>
      <c r="V9" s="154" t="n">
        <f aca="false">E9-D9</f>
        <v>2.909</v>
      </c>
      <c r="W9" s="154" t="n">
        <f aca="false">F9-E9</f>
        <v>2.327</v>
      </c>
      <c r="X9" s="154" t="n">
        <f aca="false">G9-F9</f>
        <v>1.764</v>
      </c>
      <c r="Y9" s="154" t="n">
        <f aca="false">H9-G9</f>
        <v>0.310000000000001</v>
      </c>
      <c r="Z9" s="154" t="n">
        <f aca="false">I9-H9</f>
        <v>0.244</v>
      </c>
      <c r="AA9" s="154" t="n">
        <f aca="false">J9-I9</f>
        <v>0.190999999999999</v>
      </c>
      <c r="AB9" s="154" t="n">
        <f aca="false">K9-J9</f>
        <v>0.201000000000001</v>
      </c>
      <c r="AC9" s="154" t="n">
        <f aca="false">L9-K9</f>
        <v>0.306000000000001</v>
      </c>
      <c r="AD9" s="154" t="n">
        <f aca="false">M9-L9</f>
        <v>0.954999999999998</v>
      </c>
      <c r="AE9" s="154" t="n">
        <f aca="false">N9-M9</f>
        <v>3.104</v>
      </c>
      <c r="AF9" s="154" t="n">
        <f aca="false">O9-N9</f>
        <v>2.031</v>
      </c>
    </row>
    <row r="10" customFormat="false" ht="15" hidden="false" customHeight="false" outlineLevel="0" collapsed="false">
      <c r="A10" s="24" t="n">
        <v>4</v>
      </c>
      <c r="B10" s="20" t="s">
        <v>227</v>
      </c>
      <c r="C10" s="152" t="n">
        <v>25.942</v>
      </c>
      <c r="D10" s="21" t="n">
        <v>26.788</v>
      </c>
      <c r="E10" s="21" t="n">
        <v>27.521</v>
      </c>
      <c r="F10" s="21" t="n">
        <v>28.403</v>
      </c>
      <c r="G10" s="21" t="n">
        <v>29.336</v>
      </c>
      <c r="H10" s="21" t="n">
        <v>30.505</v>
      </c>
      <c r="I10" s="21" t="n">
        <v>31.963</v>
      </c>
      <c r="J10" s="21" t="n">
        <v>33.172</v>
      </c>
      <c r="K10" s="21" t="n">
        <v>34.681</v>
      </c>
      <c r="L10" s="21" t="n">
        <v>35.797</v>
      </c>
      <c r="M10" s="21" t="n">
        <v>37.265</v>
      </c>
      <c r="N10" s="21" t="n">
        <v>38.967</v>
      </c>
      <c r="O10" s="21" t="n">
        <v>40.3</v>
      </c>
      <c r="P10" s="18" t="n">
        <f aca="false">O10-C10</f>
        <v>14.358</v>
      </c>
      <c r="T10" s="6" t="n">
        <v>4</v>
      </c>
      <c r="U10" s="25" t="n">
        <f aca="false">D10-C10</f>
        <v>0.846</v>
      </c>
      <c r="V10" s="25" t="n">
        <f aca="false">E10-D10</f>
        <v>0.733000000000001</v>
      </c>
      <c r="W10" s="25" t="n">
        <f aca="false">F10-E10</f>
        <v>0.881999999999998</v>
      </c>
      <c r="X10" s="25" t="n">
        <f aca="false">G10-F10</f>
        <v>0.933</v>
      </c>
      <c r="Y10" s="25" t="n">
        <f aca="false">H10-G10</f>
        <v>1.169</v>
      </c>
      <c r="Z10" s="25" t="n">
        <f aca="false">I10-H10</f>
        <v>1.458</v>
      </c>
      <c r="AA10" s="25" t="n">
        <f aca="false">J10-I10</f>
        <v>1.209</v>
      </c>
      <c r="AB10" s="25" t="n">
        <f aca="false">K10-J10</f>
        <v>1.509</v>
      </c>
      <c r="AC10" s="25" t="n">
        <f aca="false">L10-K10</f>
        <v>1.116</v>
      </c>
      <c r="AD10" s="25" t="n">
        <f aca="false">M10-L10</f>
        <v>1.468</v>
      </c>
      <c r="AE10" s="25" t="n">
        <f aca="false">N10-M10</f>
        <v>1.702</v>
      </c>
      <c r="AF10" s="25" t="n">
        <f aca="false">O10-N10</f>
        <v>1.333</v>
      </c>
    </row>
    <row r="11" customFormat="false" ht="15" hidden="false" customHeight="false" outlineLevel="0" collapsed="false">
      <c r="A11" s="24"/>
      <c r="B11" s="20" t="s">
        <v>228</v>
      </c>
      <c r="C11" s="152" t="n">
        <v>0.493</v>
      </c>
      <c r="D11" s="21" t="n">
        <v>0.766</v>
      </c>
      <c r="E11" s="21" t="n">
        <v>0.801</v>
      </c>
      <c r="F11" s="21" t="n">
        <v>0.815</v>
      </c>
      <c r="G11" s="21" t="n">
        <v>0.853</v>
      </c>
      <c r="H11" s="21" t="n">
        <v>0.881</v>
      </c>
      <c r="I11" s="21" t="n">
        <v>0.912</v>
      </c>
      <c r="J11" s="21" t="n">
        <v>0.932</v>
      </c>
      <c r="K11" s="21" t="n">
        <v>0.949</v>
      </c>
      <c r="L11" s="21" t="n">
        <v>0.96</v>
      </c>
      <c r="M11" s="21" t="n">
        <v>1.039</v>
      </c>
      <c r="N11" s="21" t="n">
        <v>1.696</v>
      </c>
      <c r="O11" s="21" t="n">
        <v>2.965</v>
      </c>
      <c r="P11" s="18"/>
      <c r="Q11" s="18" t="n">
        <f aca="false">O11-C11</f>
        <v>2.472</v>
      </c>
      <c r="T11" s="6"/>
      <c r="U11" s="154" t="n">
        <f aca="false">D11-C11</f>
        <v>0.273</v>
      </c>
      <c r="V11" s="154" t="n">
        <f aca="false">E11-D11</f>
        <v>0.035</v>
      </c>
      <c r="W11" s="154" t="n">
        <f aca="false">F11-E11</f>
        <v>0.0139999999999999</v>
      </c>
      <c r="X11" s="154" t="n">
        <f aca="false">G11-F11</f>
        <v>0.038</v>
      </c>
      <c r="Y11" s="154" t="n">
        <f aca="false">H11-G11</f>
        <v>0.028</v>
      </c>
      <c r="Z11" s="154" t="n">
        <f aca="false">I11-H11</f>
        <v>0.031</v>
      </c>
      <c r="AA11" s="154" t="n">
        <f aca="false">J11-I11</f>
        <v>0.02</v>
      </c>
      <c r="AB11" s="154" t="n">
        <f aca="false">K11-J11</f>
        <v>0.0169999999999999</v>
      </c>
      <c r="AC11" s="154" t="n">
        <f aca="false">L11-K11</f>
        <v>0.011</v>
      </c>
      <c r="AD11" s="154" t="n">
        <f aca="false">M11-L11</f>
        <v>0.079</v>
      </c>
      <c r="AE11" s="154" t="n">
        <f aca="false">N11-M11</f>
        <v>0.657</v>
      </c>
      <c r="AF11" s="154" t="n">
        <f aca="false">O11-N11</f>
        <v>1.269</v>
      </c>
    </row>
    <row r="12" customFormat="false" ht="15" hidden="false" customHeight="false" outlineLevel="0" collapsed="false">
      <c r="A12" s="24" t="n">
        <v>5</v>
      </c>
      <c r="B12" s="20" t="s">
        <v>229</v>
      </c>
      <c r="C12" s="152" t="n">
        <v>165.31</v>
      </c>
      <c r="D12" s="21" t="n">
        <v>171.468</v>
      </c>
      <c r="E12" s="21" t="n">
        <v>177.24</v>
      </c>
      <c r="F12" s="21" t="n">
        <v>182.938</v>
      </c>
      <c r="G12" s="21" t="n">
        <v>189.051</v>
      </c>
      <c r="H12" s="21" t="n">
        <v>193.937</v>
      </c>
      <c r="I12" s="21" t="n">
        <v>199.038</v>
      </c>
      <c r="J12" s="21" t="n">
        <v>205.072</v>
      </c>
      <c r="K12" s="21" t="n">
        <v>209.913</v>
      </c>
      <c r="L12" s="21" t="n">
        <v>214.417</v>
      </c>
      <c r="M12" s="21" t="n">
        <v>220.281</v>
      </c>
      <c r="N12" s="21" t="n">
        <v>225.004</v>
      </c>
      <c r="O12" s="21" t="n">
        <v>230.908</v>
      </c>
      <c r="P12" s="18" t="n">
        <f aca="false">O12-C12</f>
        <v>65.598</v>
      </c>
      <c r="T12" s="6" t="n">
        <v>5</v>
      </c>
      <c r="U12" s="25" t="n">
        <f aca="false">D12-C12</f>
        <v>6.15799999999999</v>
      </c>
      <c r="V12" s="25" t="n">
        <f aca="false">E12-D12</f>
        <v>5.77200000000002</v>
      </c>
      <c r="W12" s="25" t="n">
        <f aca="false">F12-E12</f>
        <v>5.69799999999998</v>
      </c>
      <c r="X12" s="25" t="n">
        <f aca="false">G12-F12</f>
        <v>6.113</v>
      </c>
      <c r="Y12" s="25" t="n">
        <f aca="false">H12-G12</f>
        <v>4.88600000000002</v>
      </c>
      <c r="Z12" s="25" t="n">
        <f aca="false">I12-H12</f>
        <v>5.101</v>
      </c>
      <c r="AA12" s="25" t="n">
        <f aca="false">J12-I12</f>
        <v>6.03399999999999</v>
      </c>
      <c r="AB12" s="25" t="n">
        <f aca="false">K12-J12</f>
        <v>4.84100000000001</v>
      </c>
      <c r="AC12" s="25" t="n">
        <f aca="false">L12-K12</f>
        <v>4.50399999999999</v>
      </c>
      <c r="AD12" s="25" t="n">
        <f aca="false">M12-L12</f>
        <v>5.864</v>
      </c>
      <c r="AE12" s="25" t="n">
        <f aca="false">N12-M12</f>
        <v>4.72299999999999</v>
      </c>
      <c r="AF12" s="25" t="n">
        <f aca="false">O12-N12</f>
        <v>5.904</v>
      </c>
    </row>
    <row r="13" customFormat="false" ht="15" hidden="false" customHeight="false" outlineLevel="0" collapsed="false">
      <c r="A13" s="24"/>
      <c r="B13" s="20" t="s">
        <v>230</v>
      </c>
      <c r="C13" s="152" t="n">
        <v>6.474</v>
      </c>
      <c r="D13" s="21" t="n">
        <v>10.025</v>
      </c>
      <c r="E13" s="21" t="n">
        <v>12.636</v>
      </c>
      <c r="F13" s="21" t="n">
        <v>14.942</v>
      </c>
      <c r="G13" s="21" t="n">
        <v>16.491</v>
      </c>
      <c r="H13" s="21" t="n">
        <v>16.722</v>
      </c>
      <c r="I13" s="21" t="n">
        <v>16.893</v>
      </c>
      <c r="J13" s="21" t="n">
        <v>17.084</v>
      </c>
      <c r="K13" s="21" t="n">
        <v>17.216</v>
      </c>
      <c r="L13" s="21" t="n">
        <v>17.366</v>
      </c>
      <c r="M13" s="21" t="n">
        <v>18.423</v>
      </c>
      <c r="N13" s="21" t="n">
        <v>20.562</v>
      </c>
      <c r="O13" s="21" t="n">
        <v>23.759</v>
      </c>
      <c r="P13" s="18"/>
      <c r="Q13" s="18" t="n">
        <f aca="false">O13-C13</f>
        <v>17.285</v>
      </c>
      <c r="T13" s="6"/>
      <c r="U13" s="154" t="n">
        <f aca="false">D13-C13</f>
        <v>3.551</v>
      </c>
      <c r="V13" s="154" t="n">
        <f aca="false">E13-D13</f>
        <v>2.611</v>
      </c>
      <c r="W13" s="154" t="n">
        <f aca="false">F13-E13</f>
        <v>2.306</v>
      </c>
      <c r="X13" s="154" t="n">
        <f aca="false">G13-F13</f>
        <v>1.549</v>
      </c>
      <c r="Y13" s="154" t="n">
        <f aca="false">H13-G13</f>
        <v>0.231000000000002</v>
      </c>
      <c r="Z13" s="154" t="n">
        <f aca="false">I13-H13</f>
        <v>0.170999999999999</v>
      </c>
      <c r="AA13" s="154" t="n">
        <f aca="false">J13-I13</f>
        <v>0.190999999999999</v>
      </c>
      <c r="AB13" s="154" t="n">
        <f aca="false">K13-J13</f>
        <v>0.132000000000001</v>
      </c>
      <c r="AC13" s="154" t="n">
        <f aca="false">L13-K13</f>
        <v>0.149999999999999</v>
      </c>
      <c r="AD13" s="154" t="n">
        <f aca="false">M13-L13</f>
        <v>1.057</v>
      </c>
      <c r="AE13" s="154" t="n">
        <f aca="false">N13-M13</f>
        <v>2.139</v>
      </c>
      <c r="AF13" s="154" t="n">
        <f aca="false">O13-N13</f>
        <v>3.197</v>
      </c>
    </row>
    <row r="14" customFormat="false" ht="15" hidden="false" customHeight="false" outlineLevel="0" collapsed="false">
      <c r="A14" s="24" t="n">
        <v>6</v>
      </c>
      <c r="B14" s="20" t="s">
        <v>231</v>
      </c>
      <c r="C14" s="152" t="n">
        <v>79.34</v>
      </c>
      <c r="D14" s="21" t="n">
        <v>83.45</v>
      </c>
      <c r="E14" s="21" t="n">
        <v>86.321</v>
      </c>
      <c r="F14" s="21" t="n">
        <v>90.092</v>
      </c>
      <c r="G14" s="21" t="n">
        <v>93.511</v>
      </c>
      <c r="H14" s="21" t="n">
        <v>97.031</v>
      </c>
      <c r="I14" s="21" t="n">
        <v>99.552</v>
      </c>
      <c r="J14" s="21" t="n">
        <v>102.605</v>
      </c>
      <c r="K14" s="21" t="n">
        <v>106.283</v>
      </c>
      <c r="L14" s="21" t="n">
        <v>108.123</v>
      </c>
      <c r="M14" s="21" t="n">
        <v>111.925</v>
      </c>
      <c r="N14" s="21" t="n">
        <v>116.487</v>
      </c>
      <c r="O14" s="21" t="n">
        <v>121.339</v>
      </c>
      <c r="P14" s="18" t="n">
        <f aca="false">O14-C14</f>
        <v>41.999</v>
      </c>
      <c r="T14" s="6" t="n">
        <v>6</v>
      </c>
      <c r="U14" s="25" t="n">
        <f aca="false">D14-C14</f>
        <v>4.11</v>
      </c>
      <c r="V14" s="25" t="n">
        <f aca="false">E14-D14</f>
        <v>2.871</v>
      </c>
      <c r="W14" s="25" t="n">
        <f aca="false">F14-E14</f>
        <v>3.771</v>
      </c>
      <c r="X14" s="25" t="n">
        <f aca="false">G14-F14</f>
        <v>3.419</v>
      </c>
      <c r="Y14" s="25" t="n">
        <f aca="false">H14-G14</f>
        <v>3.52000000000001</v>
      </c>
      <c r="Z14" s="25" t="n">
        <f aca="false">I14-H14</f>
        <v>2.521</v>
      </c>
      <c r="AA14" s="25" t="n">
        <f aca="false">J14-I14</f>
        <v>3.053</v>
      </c>
      <c r="AB14" s="25" t="n">
        <f aca="false">K14-J14</f>
        <v>3.678</v>
      </c>
      <c r="AC14" s="25" t="n">
        <f aca="false">L14-K14</f>
        <v>1.84</v>
      </c>
      <c r="AD14" s="25" t="n">
        <f aca="false">M14-L14</f>
        <v>3.80199999999999</v>
      </c>
      <c r="AE14" s="25" t="n">
        <f aca="false">N14-M14</f>
        <v>4.562</v>
      </c>
      <c r="AF14" s="25" t="n">
        <f aca="false">O14-N14</f>
        <v>4.852</v>
      </c>
    </row>
    <row r="15" customFormat="false" ht="15" hidden="false" customHeight="false" outlineLevel="0" collapsed="false">
      <c r="A15" s="24"/>
      <c r="B15" s="20" t="s">
        <v>232</v>
      </c>
      <c r="C15" s="152" t="n">
        <v>9.928</v>
      </c>
      <c r="D15" s="21" t="n">
        <v>15.522</v>
      </c>
      <c r="E15" s="21" t="n">
        <v>19.185</v>
      </c>
      <c r="F15" s="21" t="n">
        <v>23.213</v>
      </c>
      <c r="G15" s="21" t="n">
        <v>26.092</v>
      </c>
      <c r="H15" s="21" t="n">
        <v>26.489</v>
      </c>
      <c r="I15" s="21" t="n">
        <v>26.677</v>
      </c>
      <c r="J15" s="21" t="n">
        <v>26.873</v>
      </c>
      <c r="K15" s="21" t="n">
        <v>27.088</v>
      </c>
      <c r="L15" s="21" t="n">
        <v>27.781</v>
      </c>
      <c r="M15" s="21" t="n">
        <v>30.392</v>
      </c>
      <c r="N15" s="21" t="n">
        <v>33.898</v>
      </c>
      <c r="O15" s="21" t="n">
        <v>39.653</v>
      </c>
      <c r="P15" s="18"/>
      <c r="Q15" s="18" t="n">
        <f aca="false">O15-C15</f>
        <v>29.725</v>
      </c>
      <c r="T15" s="6"/>
      <c r="U15" s="154" t="n">
        <f aca="false">D15-C15</f>
        <v>5.594</v>
      </c>
      <c r="V15" s="154" t="n">
        <f aca="false">E15-D15</f>
        <v>3.663</v>
      </c>
      <c r="W15" s="154" t="n">
        <f aca="false">F15-E15</f>
        <v>4.028</v>
      </c>
      <c r="X15" s="154" t="n">
        <f aca="false">G15-F15</f>
        <v>2.879</v>
      </c>
      <c r="Y15" s="154" t="n">
        <f aca="false">H15-G15</f>
        <v>0.397000000000002</v>
      </c>
      <c r="Z15" s="154" t="n">
        <f aca="false">I15-H15</f>
        <v>0.187999999999999</v>
      </c>
      <c r="AA15" s="154" t="n">
        <f aca="false">J15-I15</f>
        <v>0.196000000000002</v>
      </c>
      <c r="AB15" s="154" t="n">
        <f aca="false">K15-J15</f>
        <v>0.215</v>
      </c>
      <c r="AC15" s="154" t="n">
        <f aca="false">L15-K15</f>
        <v>0.692999999999998</v>
      </c>
      <c r="AD15" s="154" t="n">
        <f aca="false">M15-L15</f>
        <v>2.611</v>
      </c>
      <c r="AE15" s="154" t="n">
        <f aca="false">N15-M15</f>
        <v>3.506</v>
      </c>
      <c r="AF15" s="154" t="n">
        <f aca="false">O15-N15</f>
        <v>5.755</v>
      </c>
    </row>
    <row r="16" customFormat="false" ht="15" hidden="false" customHeight="false" outlineLevel="0" collapsed="false">
      <c r="A16" s="24" t="n">
        <v>7</v>
      </c>
      <c r="B16" s="20" t="s">
        <v>233</v>
      </c>
      <c r="C16" s="152" t="n">
        <v>51.723</v>
      </c>
      <c r="D16" s="21" t="n">
        <v>52.939</v>
      </c>
      <c r="E16" s="21" t="n">
        <v>54.338</v>
      </c>
      <c r="F16" s="21" t="n">
        <v>55.746</v>
      </c>
      <c r="G16" s="21" t="n">
        <v>57.037</v>
      </c>
      <c r="H16" s="21" t="n">
        <v>58.38</v>
      </c>
      <c r="I16" s="21" t="n">
        <v>59.149</v>
      </c>
      <c r="J16" s="21" t="n">
        <v>60.6</v>
      </c>
      <c r="K16" s="21" t="n">
        <v>61.842</v>
      </c>
      <c r="L16" s="21" t="n">
        <v>63.11</v>
      </c>
      <c r="M16" s="21" t="n">
        <v>64.733</v>
      </c>
      <c r="N16" s="21" t="n">
        <v>65.733</v>
      </c>
      <c r="O16" s="21" t="n">
        <v>65.784</v>
      </c>
      <c r="P16" s="18" t="n">
        <f aca="false">O16-C16</f>
        <v>14.061</v>
      </c>
      <c r="T16" s="6" t="n">
        <v>7</v>
      </c>
      <c r="U16" s="25" t="n">
        <f aca="false">D16-C16</f>
        <v>1.216</v>
      </c>
      <c r="V16" s="25" t="n">
        <f aca="false">E16-D16</f>
        <v>1.399</v>
      </c>
      <c r="W16" s="25" t="n">
        <f aca="false">F16-E16</f>
        <v>1.408</v>
      </c>
      <c r="X16" s="25" t="n">
        <f aca="false">G16-F16</f>
        <v>1.291</v>
      </c>
      <c r="Y16" s="25" t="n">
        <f aca="false">H16-G16</f>
        <v>1.343</v>
      </c>
      <c r="Z16" s="25" t="n">
        <f aca="false">I16-H16</f>
        <v>0.768999999999998</v>
      </c>
      <c r="AA16" s="25" t="n">
        <f aca="false">J16-I16</f>
        <v>1.451</v>
      </c>
      <c r="AB16" s="25" t="n">
        <f aca="false">K16-J16</f>
        <v>1.242</v>
      </c>
      <c r="AC16" s="25" t="n">
        <f aca="false">L16-K16</f>
        <v>1.268</v>
      </c>
      <c r="AD16" s="25" t="n">
        <f aca="false">M16-L16</f>
        <v>1.623</v>
      </c>
      <c r="AE16" s="25" t="n">
        <f aca="false">N16-M16</f>
        <v>1</v>
      </c>
      <c r="AF16" s="25" t="n">
        <f aca="false">O16-N16</f>
        <v>0.0510000000000019</v>
      </c>
    </row>
    <row r="17" customFormat="false" ht="15" hidden="false" customHeight="false" outlineLevel="0" collapsed="false">
      <c r="A17" s="24"/>
      <c r="B17" s="20" t="s">
        <v>234</v>
      </c>
      <c r="C17" s="152" t="n">
        <v>0.333</v>
      </c>
      <c r="D17" s="21" t="n">
        <v>0.438</v>
      </c>
      <c r="E17" s="21" t="n">
        <v>0.523</v>
      </c>
      <c r="F17" s="21" t="n">
        <v>0.622</v>
      </c>
      <c r="G17" s="21" t="n">
        <v>0.732</v>
      </c>
      <c r="H17" s="21" t="n">
        <v>0.894</v>
      </c>
      <c r="I17" s="107" t="n">
        <v>1.024</v>
      </c>
      <c r="J17" s="21" t="n">
        <v>1.18</v>
      </c>
      <c r="K17" s="21" t="n">
        <v>1.341</v>
      </c>
      <c r="L17" s="21" t="n">
        <v>1.475</v>
      </c>
      <c r="M17" s="21" t="n">
        <v>1.608</v>
      </c>
      <c r="N17" s="21" t="n">
        <v>1.748</v>
      </c>
      <c r="O17" s="21" t="n">
        <v>1.855</v>
      </c>
      <c r="P17" s="18"/>
      <c r="Q17" s="18" t="n">
        <f aca="false">O17-C17</f>
        <v>1.522</v>
      </c>
      <c r="T17" s="6"/>
      <c r="U17" s="154" t="n">
        <f aca="false">D17-C17</f>
        <v>0.105</v>
      </c>
      <c r="V17" s="154" t="n">
        <f aca="false">E17-D17</f>
        <v>0.085</v>
      </c>
      <c r="W17" s="154" t="n">
        <f aca="false">F17-E17</f>
        <v>0.099</v>
      </c>
      <c r="X17" s="154" t="n">
        <f aca="false">G17-F17</f>
        <v>0.11</v>
      </c>
      <c r="Y17" s="154" t="n">
        <f aca="false">H17-G17</f>
        <v>0.162</v>
      </c>
      <c r="Z17" s="154" t="n">
        <f aca="false">I17-H17</f>
        <v>0.13</v>
      </c>
      <c r="AA17" s="154" t="n">
        <f aca="false">J17-I17</f>
        <v>0.156</v>
      </c>
      <c r="AB17" s="154" t="n">
        <f aca="false">K17-J17</f>
        <v>0.161</v>
      </c>
      <c r="AC17" s="154" t="n">
        <f aca="false">L17-K17</f>
        <v>0.134</v>
      </c>
      <c r="AD17" s="154" t="n">
        <f aca="false">M17-L17</f>
        <v>0.133</v>
      </c>
      <c r="AE17" s="154" t="n">
        <f aca="false">N17-M17</f>
        <v>0.14</v>
      </c>
      <c r="AF17" s="154" t="n">
        <f aca="false">O17-N17</f>
        <v>0.107</v>
      </c>
    </row>
    <row r="18" customFormat="false" ht="15" hidden="false" customHeight="false" outlineLevel="0" collapsed="false">
      <c r="A18" s="24" t="n">
        <v>8</v>
      </c>
      <c r="B18" s="20" t="s">
        <v>235</v>
      </c>
      <c r="C18" s="152" t="n">
        <v>52.148</v>
      </c>
      <c r="D18" s="21" t="n">
        <v>54.538</v>
      </c>
      <c r="E18" s="21" t="n">
        <v>56.679</v>
      </c>
      <c r="F18" s="21" t="n">
        <v>58.69</v>
      </c>
      <c r="G18" s="21" t="n">
        <v>61.231</v>
      </c>
      <c r="H18" s="21" t="n">
        <v>63.496</v>
      </c>
      <c r="I18" s="21" t="n">
        <v>65.635</v>
      </c>
      <c r="J18" s="21" t="n">
        <v>67.91</v>
      </c>
      <c r="K18" s="21" t="n">
        <v>70.085</v>
      </c>
      <c r="L18" s="21" t="n">
        <v>72.008</v>
      </c>
      <c r="M18" s="21" t="n">
        <v>74.446</v>
      </c>
      <c r="N18" s="21" t="n">
        <v>76.507</v>
      </c>
      <c r="O18" s="21" t="n">
        <v>78.831</v>
      </c>
      <c r="P18" s="18" t="n">
        <f aca="false">O18-C18</f>
        <v>26.683</v>
      </c>
      <c r="T18" s="6" t="n">
        <v>8</v>
      </c>
      <c r="U18" s="25" t="n">
        <f aca="false">D18-C18</f>
        <v>2.38999999999999</v>
      </c>
      <c r="V18" s="25" t="n">
        <f aca="false">E18-D18</f>
        <v>2.14100000000001</v>
      </c>
      <c r="W18" s="25" t="n">
        <f aca="false">F18-E18</f>
        <v>2.011</v>
      </c>
      <c r="X18" s="25" t="n">
        <f aca="false">G18-F18</f>
        <v>2.541</v>
      </c>
      <c r="Y18" s="25" t="n">
        <f aca="false">H18-G18</f>
        <v>2.265</v>
      </c>
      <c r="Z18" s="25" t="n">
        <f aca="false">I18-H18</f>
        <v>2.139</v>
      </c>
      <c r="AA18" s="25" t="n">
        <f aca="false">J18-I18</f>
        <v>2.27499999999999</v>
      </c>
      <c r="AB18" s="25" t="n">
        <f aca="false">K18-J18</f>
        <v>2.175</v>
      </c>
      <c r="AC18" s="25" t="n">
        <f aca="false">L18-K18</f>
        <v>1.923</v>
      </c>
      <c r="AD18" s="25" t="n">
        <f aca="false">M18-L18</f>
        <v>2.438</v>
      </c>
      <c r="AE18" s="25" t="n">
        <f aca="false">N18-M18</f>
        <v>2.06100000000001</v>
      </c>
      <c r="AF18" s="25" t="n">
        <f aca="false">O18-N18</f>
        <v>2.324</v>
      </c>
    </row>
    <row r="19" customFormat="false" ht="15" hidden="false" customHeight="false" outlineLevel="0" collapsed="false">
      <c r="A19" s="24"/>
      <c r="B19" s="20" t="s">
        <v>236</v>
      </c>
      <c r="C19" s="152" t="n">
        <v>5.327</v>
      </c>
      <c r="D19" s="21" t="n">
        <v>7.97</v>
      </c>
      <c r="E19" s="21" t="n">
        <v>9.64</v>
      </c>
      <c r="F19" s="21" t="n">
        <v>10.788</v>
      </c>
      <c r="G19" s="21" t="n">
        <v>11.587</v>
      </c>
      <c r="H19" s="21" t="n">
        <v>11.778</v>
      </c>
      <c r="I19" s="21" t="n">
        <v>11.958</v>
      </c>
      <c r="J19" s="21" t="n">
        <v>12.146</v>
      </c>
      <c r="K19" s="21" t="n">
        <v>12.336</v>
      </c>
      <c r="L19" s="21" t="n">
        <v>12.486</v>
      </c>
      <c r="M19" s="21" t="n">
        <v>13.013</v>
      </c>
      <c r="N19" s="21" t="n">
        <v>15.28</v>
      </c>
      <c r="O19" s="21" t="n">
        <v>18.5</v>
      </c>
      <c r="P19" s="18"/>
      <c r="Q19" s="18" t="n">
        <f aca="false">O19-C19</f>
        <v>13.173</v>
      </c>
      <c r="T19" s="6"/>
      <c r="U19" s="154" t="n">
        <f aca="false">D19-C19</f>
        <v>2.643</v>
      </c>
      <c r="V19" s="154" t="n">
        <f aca="false">E19-D19</f>
        <v>1.67</v>
      </c>
      <c r="W19" s="154" t="n">
        <f aca="false">F19-E19</f>
        <v>1.148</v>
      </c>
      <c r="X19" s="154" t="n">
        <f aca="false">G19-F19</f>
        <v>0.799</v>
      </c>
      <c r="Y19" s="154" t="n">
        <f aca="false">H19-G19</f>
        <v>0.191000000000001</v>
      </c>
      <c r="Z19" s="154" t="n">
        <f aca="false">I19-H19</f>
        <v>0.18</v>
      </c>
      <c r="AA19" s="154" t="n">
        <f aca="false">J19-I19</f>
        <v>0.188000000000001</v>
      </c>
      <c r="AB19" s="154" t="n">
        <f aca="false">K19-J19</f>
        <v>0.19</v>
      </c>
      <c r="AC19" s="154" t="n">
        <f aca="false">L19-K19</f>
        <v>0.15</v>
      </c>
      <c r="AD19" s="154" t="n">
        <f aca="false">M19-L19</f>
        <v>0.526999999999999</v>
      </c>
      <c r="AE19" s="154" t="n">
        <f aca="false">N19-M19</f>
        <v>2.267</v>
      </c>
      <c r="AF19" s="154" t="n">
        <f aca="false">O19-N19</f>
        <v>3.22</v>
      </c>
    </row>
    <row r="20" customFormat="false" ht="15" hidden="false" customHeight="false" outlineLevel="0" collapsed="false">
      <c r="A20" s="24" t="n">
        <v>9</v>
      </c>
      <c r="B20" s="20" t="s">
        <v>237</v>
      </c>
      <c r="C20" s="152" t="n">
        <v>178.863</v>
      </c>
      <c r="D20" s="21" t="n">
        <v>185.597</v>
      </c>
      <c r="E20" s="21" t="n">
        <v>192.585</v>
      </c>
      <c r="F20" s="21" t="n">
        <v>199.548</v>
      </c>
      <c r="G20" s="21" t="n">
        <v>204.77</v>
      </c>
      <c r="H20" s="21" t="n">
        <v>210.97</v>
      </c>
      <c r="I20" s="21" t="n">
        <v>215.684</v>
      </c>
      <c r="J20" s="21" t="n">
        <v>222.01</v>
      </c>
      <c r="K20" s="21" t="n">
        <v>229.659</v>
      </c>
      <c r="L20" s="21" t="n">
        <v>235.953</v>
      </c>
      <c r="M20" s="21" t="n">
        <v>242.35</v>
      </c>
      <c r="N20" s="21" t="n">
        <v>247.92</v>
      </c>
      <c r="O20" s="21" t="n">
        <v>254.563</v>
      </c>
      <c r="P20" s="18" t="n">
        <f aca="false">O20-C20</f>
        <v>75.7</v>
      </c>
      <c r="T20" s="6" t="n">
        <v>9</v>
      </c>
      <c r="U20" s="25" t="n">
        <f aca="false">D20-C20</f>
        <v>6.73400000000001</v>
      </c>
      <c r="V20" s="25" t="n">
        <f aca="false">E20-D20</f>
        <v>6.988</v>
      </c>
      <c r="W20" s="25" t="n">
        <f aca="false">F20-E20</f>
        <v>6.96299999999999</v>
      </c>
      <c r="X20" s="25" t="n">
        <f aca="false">G20-F20</f>
        <v>5.22200000000001</v>
      </c>
      <c r="Y20" s="25" t="n">
        <f aca="false">H20-G20</f>
        <v>6.19999999999999</v>
      </c>
      <c r="Z20" s="25" t="n">
        <f aca="false">I20-H20</f>
        <v>4.714</v>
      </c>
      <c r="AA20" s="25" t="n">
        <f aca="false">J20-I20</f>
        <v>6.32599999999999</v>
      </c>
      <c r="AB20" s="25" t="n">
        <f aca="false">K20-J20</f>
        <v>7.649</v>
      </c>
      <c r="AC20" s="25" t="n">
        <f aca="false">L20-K20</f>
        <v>6.29400000000001</v>
      </c>
      <c r="AD20" s="25" t="n">
        <f aca="false">M20-L20</f>
        <v>6.39699999999999</v>
      </c>
      <c r="AE20" s="25" t="n">
        <f aca="false">N20-M20</f>
        <v>5.56999999999999</v>
      </c>
      <c r="AF20" s="25" t="n">
        <f aca="false">O20-N20</f>
        <v>6.643</v>
      </c>
    </row>
    <row r="21" customFormat="false" ht="15" hidden="false" customHeight="false" outlineLevel="0" collapsed="false">
      <c r="A21" s="24"/>
      <c r="B21" s="20" t="s">
        <v>238</v>
      </c>
      <c r="C21" s="152" t="n">
        <v>8.832</v>
      </c>
      <c r="D21" s="21" t="n">
        <v>13.825</v>
      </c>
      <c r="E21" s="21" t="n">
        <v>17.342</v>
      </c>
      <c r="F21" s="21" t="n">
        <v>19.673</v>
      </c>
      <c r="G21" s="21" t="n">
        <v>21.021</v>
      </c>
      <c r="H21" s="21" t="n">
        <v>21.354</v>
      </c>
      <c r="I21" s="21" t="n">
        <v>21.594</v>
      </c>
      <c r="J21" s="21" t="n">
        <v>21.858</v>
      </c>
      <c r="K21" s="21" t="n">
        <v>22.171</v>
      </c>
      <c r="L21" s="21" t="n">
        <v>22.466</v>
      </c>
      <c r="M21" s="21" t="n">
        <v>22.958</v>
      </c>
      <c r="N21" s="21" t="n">
        <v>25.775</v>
      </c>
      <c r="O21" s="21" t="n">
        <v>29.667</v>
      </c>
      <c r="P21" s="18"/>
      <c r="Q21" s="18" t="n">
        <f aca="false">O21-C21</f>
        <v>20.835</v>
      </c>
      <c r="T21" s="6"/>
      <c r="U21" s="154" t="n">
        <f aca="false">D21-C21</f>
        <v>4.993</v>
      </c>
      <c r="V21" s="154" t="n">
        <f aca="false">E21-D21</f>
        <v>3.517</v>
      </c>
      <c r="W21" s="154" t="n">
        <f aca="false">F21-E21</f>
        <v>2.331</v>
      </c>
      <c r="X21" s="154" t="n">
        <f aca="false">G21-F21</f>
        <v>1.348</v>
      </c>
      <c r="Y21" s="154" t="n">
        <f aca="false">H21-G21</f>
        <v>0.332999999999998</v>
      </c>
      <c r="Z21" s="154" t="n">
        <f aca="false">I21-H21</f>
        <v>0.240000000000002</v>
      </c>
      <c r="AA21" s="154" t="n">
        <f aca="false">J21-I21</f>
        <v>0.263999999999999</v>
      </c>
      <c r="AB21" s="154" t="n">
        <f aca="false">K21-J21</f>
        <v>0.312999999999999</v>
      </c>
      <c r="AC21" s="154" t="n">
        <f aca="false">L21-K21</f>
        <v>0.295000000000002</v>
      </c>
      <c r="AD21" s="154" t="n">
        <f aca="false">M21-L21</f>
        <v>0.491999999999997</v>
      </c>
      <c r="AE21" s="154" t="n">
        <f aca="false">N21-M21</f>
        <v>2.817</v>
      </c>
      <c r="AF21" s="154" t="n">
        <f aca="false">O21-N21</f>
        <v>3.892</v>
      </c>
    </row>
    <row r="22" customFormat="false" ht="15" hidden="false" customHeight="false" outlineLevel="0" collapsed="false">
      <c r="A22" s="24" t="n">
        <v>10</v>
      </c>
      <c r="B22" s="20" t="s">
        <v>239</v>
      </c>
      <c r="C22" s="152" t="n">
        <v>528.65</v>
      </c>
      <c r="D22" s="21" t="n">
        <v>546.713</v>
      </c>
      <c r="E22" s="21" t="n">
        <v>561.719</v>
      </c>
      <c r="F22" s="21" t="n">
        <v>573.523</v>
      </c>
      <c r="G22" s="21" t="n">
        <v>586.466</v>
      </c>
      <c r="H22" s="21" t="n">
        <v>599.316</v>
      </c>
      <c r="I22" s="21" t="n">
        <v>612.163</v>
      </c>
      <c r="J22" s="21" t="n">
        <v>624.171</v>
      </c>
      <c r="K22" s="21" t="n">
        <v>635.118</v>
      </c>
      <c r="L22" s="21" t="n">
        <v>645.648</v>
      </c>
      <c r="M22" s="21" t="n">
        <v>658.417</v>
      </c>
      <c r="N22" s="21" t="n">
        <v>670.332</v>
      </c>
      <c r="O22" s="21" t="n">
        <v>683.853</v>
      </c>
      <c r="P22" s="18" t="n">
        <f aca="false">O22-C22</f>
        <v>155.203</v>
      </c>
      <c r="T22" s="6" t="n">
        <v>10</v>
      </c>
      <c r="U22" s="25" t="n">
        <f aca="false">D22-C22</f>
        <v>18.063</v>
      </c>
      <c r="V22" s="25" t="n">
        <f aca="false">E22-D22</f>
        <v>15.0060000000001</v>
      </c>
      <c r="W22" s="25" t="n">
        <f aca="false">F22-E22</f>
        <v>11.804</v>
      </c>
      <c r="X22" s="25" t="n">
        <f aca="false">G22-F22</f>
        <v>12.943</v>
      </c>
      <c r="Y22" s="25" t="n">
        <f aca="false">H22-G22</f>
        <v>12.85</v>
      </c>
      <c r="Z22" s="25" t="n">
        <f aca="false">I22-H22</f>
        <v>12.847</v>
      </c>
      <c r="AA22" s="25" t="n">
        <f aca="false">J22-I22</f>
        <v>12.008</v>
      </c>
      <c r="AB22" s="25" t="n">
        <f aca="false">K22-J22</f>
        <v>10.947</v>
      </c>
      <c r="AC22" s="25" t="n">
        <f aca="false">L22-K22</f>
        <v>10.53</v>
      </c>
      <c r="AD22" s="25" t="n">
        <f aca="false">M22-L22</f>
        <v>12.769</v>
      </c>
      <c r="AE22" s="25" t="n">
        <f aca="false">N22-M22</f>
        <v>11.915</v>
      </c>
      <c r="AF22" s="25" t="n">
        <f aca="false">O22-N22</f>
        <v>13.521</v>
      </c>
    </row>
    <row r="23" customFormat="false" ht="15" hidden="false" customHeight="false" outlineLevel="0" collapsed="false">
      <c r="A23" s="24"/>
      <c r="B23" s="20" t="s">
        <v>240</v>
      </c>
      <c r="C23" s="152" t="n">
        <v>7.278</v>
      </c>
      <c r="D23" s="21" t="n">
        <v>11.331</v>
      </c>
      <c r="E23" s="21" t="n">
        <v>13.926</v>
      </c>
      <c r="F23" s="21" t="n">
        <v>15.772</v>
      </c>
      <c r="G23" s="21" t="n">
        <v>17.062</v>
      </c>
      <c r="H23" s="21" t="n">
        <v>17.835</v>
      </c>
      <c r="I23" s="21" t="n">
        <v>18.494</v>
      </c>
      <c r="J23" s="21" t="n">
        <v>19.066</v>
      </c>
      <c r="K23" s="21" t="n">
        <v>19.573</v>
      </c>
      <c r="L23" s="21" t="n">
        <v>20.117</v>
      </c>
      <c r="M23" s="21" t="n">
        <v>20.822</v>
      </c>
      <c r="N23" s="21" t="n">
        <v>22.552</v>
      </c>
      <c r="O23" s="21" t="n">
        <v>25.839</v>
      </c>
      <c r="P23" s="27"/>
      <c r="Q23" s="28" t="n">
        <f aca="false">O23-C23</f>
        <v>18.561</v>
      </c>
      <c r="U23" s="154" t="n">
        <f aca="false">D23-C23</f>
        <v>4.053</v>
      </c>
      <c r="V23" s="154" t="n">
        <f aca="false">E23-D23</f>
        <v>2.595</v>
      </c>
      <c r="W23" s="154" t="n">
        <f aca="false">F23-E23</f>
        <v>1.846</v>
      </c>
      <c r="X23" s="154" t="n">
        <f aca="false">G23-F23</f>
        <v>1.29</v>
      </c>
      <c r="Y23" s="154" t="n">
        <f aca="false">H23-G23</f>
        <v>0.773</v>
      </c>
      <c r="Z23" s="154" t="n">
        <f aca="false">I23-H23</f>
        <v>0.658999999999999</v>
      </c>
      <c r="AA23" s="154" t="n">
        <f aca="false">J23-I23</f>
        <v>0.571999999999999</v>
      </c>
      <c r="AB23" s="154" t="n">
        <f aca="false">K23-J23</f>
        <v>0.507000000000001</v>
      </c>
      <c r="AC23" s="154" t="n">
        <f aca="false">L23-K23</f>
        <v>0.544000000000001</v>
      </c>
      <c r="AD23" s="154" t="n">
        <f aca="false">M23-L23</f>
        <v>0.704999999999998</v>
      </c>
      <c r="AE23" s="154" t="n">
        <f aca="false">N23-M23</f>
        <v>1.73</v>
      </c>
      <c r="AF23" s="154" t="n">
        <f aca="false">O23-N23</f>
        <v>3.287</v>
      </c>
    </row>
    <row r="24" customFormat="false" ht="15" hidden="false" customHeight="false" outlineLevel="0" collapsed="false">
      <c r="A24" s="29"/>
      <c r="B24" s="20"/>
      <c r="C24" s="15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8" t="n">
        <f aca="false">SUM(P4:P23)</f>
        <v>769.584</v>
      </c>
      <c r="Q24" s="18" t="n">
        <f aca="false">SUM(Q4:Q23)</f>
        <v>197.879</v>
      </c>
    </row>
    <row r="25" customFormat="false" ht="15" hidden="false" customHeight="false" outlineLevel="0" collapsed="false">
      <c r="A25" s="29" t="s">
        <v>39</v>
      </c>
      <c r="B25" s="20" t="s">
        <v>241</v>
      </c>
      <c r="C25" s="155" t="n">
        <v>40777</v>
      </c>
      <c r="D25" s="30" t="n">
        <v>41000</v>
      </c>
      <c r="E25" s="30" t="n">
        <v>41211</v>
      </c>
      <c r="F25" s="30" t="n">
        <v>41420</v>
      </c>
      <c r="G25" s="30" t="n">
        <v>41673</v>
      </c>
      <c r="H25" s="30" t="n">
        <v>41920</v>
      </c>
      <c r="I25" s="30" t="n">
        <v>42161</v>
      </c>
      <c r="J25" s="30" t="n">
        <v>42386</v>
      </c>
      <c r="K25" s="30" t="n">
        <v>42602</v>
      </c>
      <c r="L25" s="30" t="n">
        <v>42805</v>
      </c>
      <c r="M25" s="30" t="n">
        <v>43030</v>
      </c>
      <c r="N25" s="30" t="n">
        <v>43249</v>
      </c>
      <c r="O25" s="30" t="n">
        <v>43553</v>
      </c>
      <c r="P25" s="18"/>
      <c r="R25" s="33" t="n">
        <f aca="false">O25-C25</f>
        <v>2776</v>
      </c>
    </row>
    <row r="26" customFormat="false" ht="15" hidden="false" customHeight="false" outlineLevel="0" collapsed="false">
      <c r="A26" s="29"/>
      <c r="B26" s="20" t="s">
        <v>242</v>
      </c>
      <c r="C26" s="156" t="n">
        <v>2353.9</v>
      </c>
      <c r="D26" s="35" t="n">
        <v>2438.4</v>
      </c>
      <c r="E26" s="35" t="n">
        <v>2509.1</v>
      </c>
      <c r="F26" s="35" t="n">
        <v>2588</v>
      </c>
      <c r="G26" s="35" t="n">
        <v>2664.4</v>
      </c>
      <c r="H26" s="35" t="n">
        <v>2738</v>
      </c>
      <c r="I26" s="35" t="n">
        <v>2806</v>
      </c>
      <c r="J26" s="35" t="n">
        <v>2870</v>
      </c>
      <c r="K26" s="35" t="n">
        <v>2934.9</v>
      </c>
      <c r="L26" s="35" t="n">
        <v>2999.3</v>
      </c>
      <c r="M26" s="35" t="n">
        <v>3074.6</v>
      </c>
      <c r="N26" s="35" t="n">
        <v>3148.9</v>
      </c>
      <c r="O26" s="35" t="n">
        <v>3223.2</v>
      </c>
      <c r="P26" s="18" t="n">
        <f aca="false">O26-C26</f>
        <v>869.3</v>
      </c>
    </row>
    <row r="27" customFormat="false" ht="15" hidden="false" customHeight="false" outlineLevel="0" collapsed="false">
      <c r="A27" s="83"/>
      <c r="B27" s="139" t="s">
        <v>243</v>
      </c>
      <c r="C27" s="157" t="n">
        <v>399.63</v>
      </c>
      <c r="D27" s="36" t="n">
        <v>441.98</v>
      </c>
      <c r="E27" s="36" t="n">
        <v>472.82</v>
      </c>
      <c r="F27" s="36" t="n">
        <v>498.7</v>
      </c>
      <c r="G27" s="36" t="n">
        <v>518.32</v>
      </c>
      <c r="H27" s="36" t="n">
        <v>523.04</v>
      </c>
      <c r="I27" s="36" t="n">
        <v>526.2</v>
      </c>
      <c r="J27" s="36" t="n">
        <v>528.71</v>
      </c>
      <c r="K27" s="37" t="n">
        <v>531.1</v>
      </c>
      <c r="L27" s="36" t="n">
        <v>534.79</v>
      </c>
      <c r="M27" s="36" t="n">
        <v>545.26</v>
      </c>
      <c r="N27" s="36" t="n">
        <v>571.19</v>
      </c>
      <c r="O27" s="36" t="n">
        <v>607.61</v>
      </c>
      <c r="P27" s="18"/>
      <c r="Q27" s="18" t="n">
        <f aca="false">O27-C27</f>
        <v>207.98</v>
      </c>
      <c r="R27" s="0" t="s">
        <v>17</v>
      </c>
    </row>
    <row r="28" customFormat="false" ht="15.75" hidden="false" customHeight="false" outlineLevel="0" collapsed="false">
      <c r="A28" s="11"/>
      <c r="B28" s="84" t="s">
        <v>43</v>
      </c>
      <c r="C28" s="158" t="n">
        <v>2861</v>
      </c>
      <c r="D28" s="39" t="n">
        <v>3134</v>
      </c>
      <c r="E28" s="39" t="n">
        <v>3338</v>
      </c>
      <c r="F28" s="39" t="n">
        <v>3500</v>
      </c>
      <c r="G28" s="39" t="n">
        <v>3623</v>
      </c>
      <c r="H28" s="39" t="n">
        <v>3654</v>
      </c>
      <c r="I28" s="39" t="n">
        <v>3676</v>
      </c>
      <c r="J28" s="39" t="n">
        <v>3695</v>
      </c>
      <c r="K28" s="140" t="n">
        <v>3714</v>
      </c>
      <c r="L28" s="39" t="n">
        <v>3741</v>
      </c>
      <c r="M28" s="39" t="n">
        <v>3812</v>
      </c>
      <c r="N28" s="39" t="n">
        <v>3986</v>
      </c>
      <c r="O28" s="39" t="n">
        <v>4248</v>
      </c>
      <c r="P28" s="18"/>
      <c r="Q28" s="33" t="n">
        <f aca="false">O28-C28</f>
        <v>1387</v>
      </c>
      <c r="R28" s="0" t="s">
        <v>16</v>
      </c>
    </row>
    <row r="29" customFormat="false" ht="15.75" hidden="false" customHeight="false" outlineLevel="0" collapsed="false">
      <c r="A29" s="141" t="str">
        <f aca="false">'1854'!A29</f>
        <v>Fakturační vodoměr:      42012114941</v>
      </c>
      <c r="B29" s="41"/>
      <c r="C29" s="42" t="n">
        <f aca="false">'1854'!C29</f>
        <v>4605</v>
      </c>
      <c r="D29" s="42" t="n">
        <f aca="false">'1854'!D29</f>
        <v>4905.6</v>
      </c>
      <c r="E29" s="42" t="n">
        <f aca="false">'1854'!E29</f>
        <v>5169.8</v>
      </c>
      <c r="F29" s="42" t="n">
        <f aca="false">'1854'!F29</f>
        <v>5453.5</v>
      </c>
      <c r="G29" s="42" t="n">
        <f aca="false">'1854'!G29</f>
        <v>5740.1</v>
      </c>
      <c r="H29" s="42" t="n">
        <f aca="false">'1854'!H29</f>
        <v>6002.3</v>
      </c>
      <c r="I29" s="42" t="n">
        <f aca="false">'1854'!I29</f>
        <v>6257.5</v>
      </c>
      <c r="J29" s="42" t="n">
        <f aca="false">'1854'!J29</f>
        <v>6498.9</v>
      </c>
      <c r="K29" s="42" t="n">
        <f aca="false">'1854'!K29</f>
        <v>6755.3</v>
      </c>
      <c r="L29" s="42" t="n">
        <f aca="false">'1854'!L29</f>
        <v>7009</v>
      </c>
      <c r="M29" s="42" t="n">
        <f aca="false">'1854'!M29</f>
        <v>7290.8</v>
      </c>
      <c r="N29" s="42" t="n">
        <f aca="false">'1854'!N29</f>
        <v>7559.6</v>
      </c>
      <c r="O29" s="42" t="n">
        <f aca="false">'1854'!O29</f>
        <v>7844.6</v>
      </c>
      <c r="P29" s="18" t="n">
        <f aca="false">O29-C29</f>
        <v>3239.6</v>
      </c>
    </row>
    <row r="32" customFormat="false" ht="15" hidden="false" customHeight="false" outlineLevel="0" collapsed="false">
      <c r="E32" s="0" t="s">
        <v>215</v>
      </c>
      <c r="H32" s="142" t="s">
        <v>51</v>
      </c>
      <c r="I32" s="6" t="s">
        <v>16</v>
      </c>
      <c r="K32" s="0" t="s">
        <v>216</v>
      </c>
      <c r="N32" s="6" t="s">
        <v>16</v>
      </c>
    </row>
    <row r="33" customFormat="false" ht="15" hidden="false" customHeight="false" outlineLevel="0" collapsed="false">
      <c r="D33" s="0" t="s">
        <v>217</v>
      </c>
      <c r="E33" s="97" t="n">
        <v>43984</v>
      </c>
      <c r="F33" s="88" t="s">
        <v>48</v>
      </c>
      <c r="G33" s="98"/>
      <c r="H33" s="143"/>
      <c r="I33" s="144"/>
      <c r="K33" s="145" t="n">
        <v>44095</v>
      </c>
      <c r="L33" s="98" t="s">
        <v>48</v>
      </c>
      <c r="M33" s="98"/>
      <c r="N33" s="98"/>
    </row>
    <row r="34" customFormat="false" ht="15" hidden="false" customHeight="false" outlineLevel="0" collapsed="false">
      <c r="E34" s="146"/>
      <c r="F34" s="147"/>
      <c r="G34" s="148" t="s">
        <v>218</v>
      </c>
      <c r="H34" s="149" t="s">
        <v>17</v>
      </c>
      <c r="I34" s="150" t="s">
        <v>16</v>
      </c>
      <c r="L34" s="6"/>
      <c r="M34" s="148" t="s">
        <v>218</v>
      </c>
      <c r="N34" s="150" t="s">
        <v>16</v>
      </c>
    </row>
    <row r="35" customFormat="false" ht="15" hidden="false" customHeight="false" outlineLevel="0" collapsed="false">
      <c r="D35" s="0" t="s">
        <v>219</v>
      </c>
      <c r="E35" s="97" t="n">
        <v>43986</v>
      </c>
      <c r="F35" s="88" t="s">
        <v>53</v>
      </c>
      <c r="G35" s="98"/>
      <c r="H35" s="143"/>
      <c r="I35" s="144"/>
      <c r="K35" s="145" t="n">
        <v>44095</v>
      </c>
      <c r="L35" s="98" t="s">
        <v>53</v>
      </c>
      <c r="M35" s="98"/>
      <c r="N35" s="98"/>
    </row>
  </sheetData>
  <mergeCells count="1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conditionalFormatting sqref="H4">
    <cfRule type="cellIs" priority="2" operator="lessThan" aboveAverage="0" equalAverage="0" bottom="0" percent="0" rank="0" text="" dxfId="3043">
      <formula>'1855'!$G$4</formula>
    </cfRule>
    <cfRule type="cellIs" priority="3" operator="equal" aboveAverage="0" equalAverage="0" bottom="0" percent="0" rank="0" text="" dxfId="3044">
      <formula>'1855'!$G$4</formula>
    </cfRule>
  </conditionalFormatting>
  <conditionalFormatting sqref="G7">
    <cfRule type="cellIs" priority="4" operator="equal" aboveAverage="0" equalAverage="0" bottom="0" percent="0" rank="0" text="" dxfId="3045">
      <formula>'1855'!$F$7</formula>
    </cfRule>
    <cfRule type="cellIs" priority="5" operator="lessThan" aboveAverage="0" equalAverage="0" bottom="0" percent="0" rank="0" text="" dxfId="3046">
      <formula>'1855'!$F$7</formula>
    </cfRule>
  </conditionalFormatting>
  <conditionalFormatting sqref="H5">
    <cfRule type="cellIs" priority="6" operator="equal" aboveAverage="0" equalAverage="0" bottom="0" percent="0" rank="0" text="" dxfId="3047">
      <formula>'1855'!$G$5</formula>
    </cfRule>
    <cfRule type="cellIs" priority="7" operator="lessThan" aboveAverage="0" equalAverage="0" bottom="0" percent="0" rank="0" text="" dxfId="3048">
      <formula>'1855'!$G$5</formula>
    </cfRule>
  </conditionalFormatting>
  <conditionalFormatting sqref="I5">
    <cfRule type="cellIs" priority="8" operator="equal" aboveAverage="0" equalAverage="0" bottom="0" percent="0" rank="0" text="" dxfId="3049">
      <formula>'1855'!$H$5</formula>
    </cfRule>
    <cfRule type="cellIs" priority="9" operator="lessThan" aboveAverage="0" equalAverage="0" bottom="0" percent="0" rank="0" text="" dxfId="3050">
      <formula>'1855'!$H$5</formula>
    </cfRule>
  </conditionalFormatting>
  <conditionalFormatting sqref="J5">
    <cfRule type="cellIs" priority="10" operator="equal" aboveAverage="0" equalAverage="0" bottom="0" percent="0" rank="0" text="" dxfId="3051">
      <formula>'1855'!$I$5</formula>
    </cfRule>
    <cfRule type="cellIs" priority="11" operator="lessThan" aboveAverage="0" equalAverage="0" bottom="0" percent="0" rank="0" text="" dxfId="3052">
      <formula>'1855'!$I$5</formula>
    </cfRule>
  </conditionalFormatting>
  <conditionalFormatting sqref="F4">
    <cfRule type="cellIs" priority="12" operator="equal" aboveAverage="0" equalAverage="0" bottom="0" percent="0" rank="0" text="" dxfId="3053">
      <formula>'1855'!$E$4</formula>
    </cfRule>
    <cfRule type="cellIs" priority="13" operator="lessThan" aboveAverage="0" equalAverage="0" bottom="0" percent="0" rank="0" text="" dxfId="3054">
      <formula>'1855'!$E$4</formula>
    </cfRule>
  </conditionalFormatting>
  <conditionalFormatting sqref="D4">
    <cfRule type="cellIs" priority="14" operator="lessThan" aboveAverage="0" equalAverage="0" bottom="0" percent="0" rank="0" text="" dxfId="3055">
      <formula>'1855'!$C$4</formula>
    </cfRule>
    <cfRule type="cellIs" priority="15" operator="equal" aboveAverage="0" equalAverage="0" bottom="0" percent="0" rank="0" text="" dxfId="3056">
      <formula>'1855'!$C$4</formula>
    </cfRule>
  </conditionalFormatting>
  <conditionalFormatting sqref="E4">
    <cfRule type="cellIs" priority="16" operator="equal" aboveAverage="0" equalAverage="0" bottom="0" percent="0" rank="0" text="" dxfId="3057">
      <formula>'1855'!$D$4</formula>
    </cfRule>
    <cfRule type="cellIs" priority="17" operator="lessThan" aboveAverage="0" equalAverage="0" bottom="0" percent="0" rank="0" text="" dxfId="3058">
      <formula>'1855'!$D$4</formula>
    </cfRule>
  </conditionalFormatting>
  <conditionalFormatting sqref="D5">
    <cfRule type="cellIs" priority="18" operator="equal" aboveAverage="0" equalAverage="0" bottom="0" percent="0" rank="0" text="" dxfId="3059">
      <formula>'1855'!$C$5</formula>
    </cfRule>
    <cfRule type="cellIs" priority="19" operator="lessThan" aboveAverage="0" equalAverage="0" bottom="0" percent="0" rank="0" text="" dxfId="3060">
      <formula>'1855'!$C$5</formula>
    </cfRule>
  </conditionalFormatting>
  <conditionalFormatting sqref="F5">
    <cfRule type="cellIs" priority="20" operator="equal" aboveAverage="0" equalAverage="0" bottom="0" percent="0" rank="0" text="" dxfId="3061">
      <formula>'1855'!$E$5</formula>
    </cfRule>
    <cfRule type="cellIs" priority="21" operator="lessThan" aboveAverage="0" equalAverage="0" bottom="0" percent="0" rank="0" text="" dxfId="3062">
      <formula>'1855'!$E$5</formula>
    </cfRule>
  </conditionalFormatting>
  <conditionalFormatting sqref="I4">
    <cfRule type="cellIs" priority="22" operator="equal" aboveAverage="0" equalAverage="0" bottom="0" percent="0" rank="0" text="" dxfId="3063">
      <formula>'1855'!$H$4</formula>
    </cfRule>
  </conditionalFormatting>
  <conditionalFormatting sqref="J4">
    <cfRule type="cellIs" priority="23" operator="lessThan" aboveAverage="0" equalAverage="0" bottom="0" percent="0" rank="0" text="" dxfId="3064">
      <formula>'1855'!$I$4</formula>
    </cfRule>
    <cfRule type="cellIs" priority="24" operator="equal" aboveAverage="0" equalAverage="0" bottom="0" percent="0" rank="0" text="" dxfId="3065">
      <formula>'1855'!$I$4</formula>
    </cfRule>
  </conditionalFormatting>
  <conditionalFormatting sqref="D6">
    <cfRule type="cellIs" priority="25" operator="equal" aboveAverage="0" equalAverage="0" bottom="0" percent="0" rank="0" text="" dxfId="3066">
      <formula>'1855'!$C$6</formula>
    </cfRule>
    <cfRule type="cellIs" priority="26" operator="lessThan" aboveAverage="0" equalAverage="0" bottom="0" percent="0" rank="0" text="" dxfId="3067">
      <formula>'1855'!$C$6</formula>
    </cfRule>
  </conditionalFormatting>
  <conditionalFormatting sqref="E6">
    <cfRule type="cellIs" priority="27" operator="equal" aboveAverage="0" equalAverage="0" bottom="0" percent="0" rank="0" text="" dxfId="3068">
      <formula>'1855'!$D$6</formula>
    </cfRule>
    <cfRule type="cellIs" priority="28" operator="lessThan" aboveAverage="0" equalAverage="0" bottom="0" percent="0" rank="0" text="" dxfId="3069">
      <formula>'1855'!$D$6</formula>
    </cfRule>
  </conditionalFormatting>
  <conditionalFormatting sqref="F6">
    <cfRule type="cellIs" priority="29" operator="equal" aboveAverage="0" equalAverage="0" bottom="0" percent="0" rank="0" text="" dxfId="3070">
      <formula>'1855'!$E$6</formula>
    </cfRule>
    <cfRule type="cellIs" priority="30" operator="lessThan" aboveAverage="0" equalAverage="0" bottom="0" percent="0" rank="0" text="" dxfId="3071">
      <formula>'1855'!$E$6</formula>
    </cfRule>
  </conditionalFormatting>
  <conditionalFormatting sqref="G6">
    <cfRule type="cellIs" priority="31" operator="equal" aboveAverage="0" equalAverage="0" bottom="0" percent="0" rank="0" text="" dxfId="3072">
      <formula>'1855'!$F$6</formula>
    </cfRule>
    <cfRule type="cellIs" priority="32" operator="lessThan" aboveAverage="0" equalAverage="0" bottom="0" percent="0" rank="0" text="" dxfId="3073">
      <formula>'1855'!$F$6</formula>
    </cfRule>
  </conditionalFormatting>
  <conditionalFormatting sqref="H6">
    <cfRule type="cellIs" priority="33" operator="equal" aboveAverage="0" equalAverage="0" bottom="0" percent="0" rank="0" text="" dxfId="3074">
      <formula>'1855'!$G$6</formula>
    </cfRule>
    <cfRule type="cellIs" priority="34" operator="lessThan" aboveAverage="0" equalAverage="0" bottom="0" percent="0" rank="0" text="" dxfId="3075">
      <formula>'1855'!$G$6</formula>
    </cfRule>
  </conditionalFormatting>
  <conditionalFormatting sqref="I6">
    <cfRule type="cellIs" priority="35" operator="equal" aboveAverage="0" equalAverage="0" bottom="0" percent="0" rank="0" text="" dxfId="3076">
      <formula>'1855'!$H$6</formula>
    </cfRule>
    <cfRule type="cellIs" priority="36" operator="lessThan" aboveAverage="0" equalAverage="0" bottom="0" percent="0" rank="0" text="" dxfId="3077">
      <formula>'1855'!$H$6</formula>
    </cfRule>
  </conditionalFormatting>
  <conditionalFormatting sqref="J6">
    <cfRule type="cellIs" priority="37" operator="equal" aboveAverage="0" equalAverage="0" bottom="0" percent="0" rank="0" text="" dxfId="3078">
      <formula>'1855'!$I$6</formula>
    </cfRule>
    <cfRule type="cellIs" priority="38" operator="lessThan" aboveAverage="0" equalAverage="0" bottom="0" percent="0" rank="0" text="" dxfId="3079">
      <formula>'1855'!$I$6</formula>
    </cfRule>
  </conditionalFormatting>
  <conditionalFormatting sqref="D7">
    <cfRule type="cellIs" priority="39" operator="equal" aboveAverage="0" equalAverage="0" bottom="0" percent="0" rank="0" text="" dxfId="3080">
      <formula>'1855'!$C$7</formula>
    </cfRule>
    <cfRule type="cellIs" priority="40" operator="lessThan" aboveAverage="0" equalAverage="0" bottom="0" percent="0" rank="0" text="" dxfId="3081">
      <formula>'1855'!$C$7</formula>
    </cfRule>
  </conditionalFormatting>
  <conditionalFormatting sqref="E7">
    <cfRule type="cellIs" priority="41" operator="equal" aboveAverage="0" equalAverage="0" bottom="0" percent="0" rank="0" text="" dxfId="3082">
      <formula>'1855'!$D$7</formula>
    </cfRule>
    <cfRule type="cellIs" priority="42" operator="lessThan" aboveAverage="0" equalAverage="0" bottom="0" percent="0" rank="0" text="" dxfId="3083">
      <formula>'1855'!$D$7</formula>
    </cfRule>
  </conditionalFormatting>
  <conditionalFormatting sqref="F7">
    <cfRule type="cellIs" priority="43" operator="equal" aboveAverage="0" equalAverage="0" bottom="0" percent="0" rank="0" text="" dxfId="3084">
      <formula>'1855'!$E$7</formula>
    </cfRule>
    <cfRule type="cellIs" priority="44" operator="lessThan" aboveAverage="0" equalAverage="0" bottom="0" percent="0" rank="0" text="" dxfId="3085">
      <formula>'1855'!$E$7</formula>
    </cfRule>
  </conditionalFormatting>
  <conditionalFormatting sqref="H7">
    <cfRule type="cellIs" priority="45" operator="equal" aboveAverage="0" equalAverage="0" bottom="0" percent="0" rank="0" text="" dxfId="3086">
      <formula>'1855'!$G$7</formula>
    </cfRule>
    <cfRule type="cellIs" priority="46" operator="lessThan" aboveAverage="0" equalAverage="0" bottom="0" percent="0" rank="0" text="" dxfId="3087">
      <formula>'1855'!$G$7</formula>
    </cfRule>
  </conditionalFormatting>
  <conditionalFormatting sqref="I7">
    <cfRule type="cellIs" priority="47" operator="equal" aboveAverage="0" equalAverage="0" bottom="0" percent="0" rank="0" text="" dxfId="3088">
      <formula>'1855'!$H$7</formula>
    </cfRule>
    <cfRule type="cellIs" priority="48" operator="lessThan" aboveAverage="0" equalAverage="0" bottom="0" percent="0" rank="0" text="" dxfId="3089">
      <formula>'1855'!$H$7</formula>
    </cfRule>
  </conditionalFormatting>
  <conditionalFormatting sqref="J7">
    <cfRule type="cellIs" priority="49" operator="equal" aboveAverage="0" equalAverage="0" bottom="0" percent="0" rank="0" text="" dxfId="3090">
      <formula>'1855'!$I$7</formula>
    </cfRule>
    <cfRule type="cellIs" priority="50" operator="lessThan" aboveAverage="0" equalAverage="0" bottom="0" percent="0" rank="0" text="" dxfId="3091">
      <formula>'1855'!$I$7</formula>
    </cfRule>
  </conditionalFormatting>
  <conditionalFormatting sqref="D8">
    <cfRule type="cellIs" priority="51" operator="equal" aboveAverage="0" equalAverage="0" bottom="0" percent="0" rank="0" text="" dxfId="3092">
      <formula>'1855'!$C$8</formula>
    </cfRule>
    <cfRule type="cellIs" priority="52" operator="lessThan" aboveAverage="0" equalAverage="0" bottom="0" percent="0" rank="0" text="" dxfId="3093">
      <formula>'1855'!$C$8</formula>
    </cfRule>
  </conditionalFormatting>
  <conditionalFormatting sqref="E8">
    <cfRule type="cellIs" priority="53" operator="equal" aboveAverage="0" equalAverage="0" bottom="0" percent="0" rank="0" text="" dxfId="3094">
      <formula>'1855'!$D$8</formula>
    </cfRule>
    <cfRule type="cellIs" priority="54" operator="lessThan" aboveAverage="0" equalAverage="0" bottom="0" percent="0" rank="0" text="" dxfId="3095">
      <formula>'1855'!$D$8</formula>
    </cfRule>
  </conditionalFormatting>
  <conditionalFormatting sqref="F8">
    <cfRule type="cellIs" priority="55" operator="equal" aboveAverage="0" equalAverage="0" bottom="0" percent="0" rank="0" text="" dxfId="3096">
      <formula>'1855'!$E$8</formula>
    </cfRule>
    <cfRule type="cellIs" priority="56" operator="lessThan" aboveAverage="0" equalAverage="0" bottom="0" percent="0" rank="0" text="" dxfId="3097">
      <formula>'1855'!$E$8</formula>
    </cfRule>
  </conditionalFormatting>
  <conditionalFormatting sqref="G8">
    <cfRule type="cellIs" priority="57" operator="equal" aboveAverage="0" equalAverage="0" bottom="0" percent="0" rank="0" text="" dxfId="3098">
      <formula>'1855'!$F$8</formula>
    </cfRule>
    <cfRule type="cellIs" priority="58" operator="lessThan" aboveAverage="0" equalAverage="0" bottom="0" percent="0" rank="0" text="" dxfId="3099">
      <formula>'1855'!$F$8</formula>
    </cfRule>
  </conditionalFormatting>
  <conditionalFormatting sqref="H8">
    <cfRule type="cellIs" priority="59" operator="equal" aboveAverage="0" equalAverage="0" bottom="0" percent="0" rank="0" text="" dxfId="3100">
      <formula>'1855'!$G$8</formula>
    </cfRule>
    <cfRule type="cellIs" priority="60" operator="lessThan" aboveAverage="0" equalAverage="0" bottom="0" percent="0" rank="0" text="" dxfId="3101">
      <formula>'1855'!$G$8</formula>
    </cfRule>
  </conditionalFormatting>
  <conditionalFormatting sqref="I8">
    <cfRule type="cellIs" priority="61" operator="equal" aboveAverage="0" equalAverage="0" bottom="0" percent="0" rank="0" text="" dxfId="3102">
      <formula>'1855'!$H$8</formula>
    </cfRule>
    <cfRule type="cellIs" priority="62" operator="lessThan" aboveAverage="0" equalAverage="0" bottom="0" percent="0" rank="0" text="" dxfId="3103">
      <formula>'1855'!$H$8</formula>
    </cfRule>
  </conditionalFormatting>
  <conditionalFormatting sqref="J8">
    <cfRule type="cellIs" priority="63" operator="equal" aboveAverage="0" equalAverage="0" bottom="0" percent="0" rank="0" text="" dxfId="3104">
      <formula>'1855'!$I$8</formula>
    </cfRule>
    <cfRule type="cellIs" priority="64" operator="lessThan" aboveAverage="0" equalAverage="0" bottom="0" percent="0" rank="0" text="" dxfId="3105">
      <formula>'1855'!$I$8</formula>
    </cfRule>
  </conditionalFormatting>
  <conditionalFormatting sqref="D9">
    <cfRule type="cellIs" priority="65" operator="equal" aboveAverage="0" equalAverage="0" bottom="0" percent="0" rank="0" text="" dxfId="3106">
      <formula>'1855'!$C$9</formula>
    </cfRule>
    <cfRule type="cellIs" priority="66" operator="lessThan" aboveAverage="0" equalAverage="0" bottom="0" percent="0" rank="0" text="" dxfId="3107">
      <formula>'1855'!$C$9</formula>
    </cfRule>
  </conditionalFormatting>
  <conditionalFormatting sqref="E9">
    <cfRule type="cellIs" priority="67" operator="equal" aboveAverage="0" equalAverage="0" bottom="0" percent="0" rank="0" text="" dxfId="3108">
      <formula>'1855'!$D$9</formula>
    </cfRule>
    <cfRule type="cellIs" priority="68" operator="lessThan" aboveAverage="0" equalAverage="0" bottom="0" percent="0" rank="0" text="" dxfId="3109">
      <formula>'1855'!$D$9</formula>
    </cfRule>
  </conditionalFormatting>
  <conditionalFormatting sqref="F9">
    <cfRule type="cellIs" priority="69" operator="equal" aboveAverage="0" equalAverage="0" bottom="0" percent="0" rank="0" text="" dxfId="3110">
      <formula>'1855'!$E$9</formula>
    </cfRule>
    <cfRule type="cellIs" priority="70" operator="lessThan" aboveAverage="0" equalAverage="0" bottom="0" percent="0" rank="0" text="" dxfId="3111">
      <formula>'1855'!$E$9</formula>
    </cfRule>
  </conditionalFormatting>
  <conditionalFormatting sqref="G9">
    <cfRule type="cellIs" priority="71" operator="equal" aboveAverage="0" equalAverage="0" bottom="0" percent="0" rank="0" text="" dxfId="3112">
      <formula>'1855'!$F$9</formula>
    </cfRule>
    <cfRule type="cellIs" priority="72" operator="lessThan" aboveAverage="0" equalAverage="0" bottom="0" percent="0" rank="0" text="" dxfId="3113">
      <formula>'1855'!$F$9</formula>
    </cfRule>
  </conditionalFormatting>
  <conditionalFormatting sqref="H9">
    <cfRule type="cellIs" priority="73" operator="equal" aboveAverage="0" equalAverage="0" bottom="0" percent="0" rank="0" text="" dxfId="3114">
      <formula>'1855'!$G$9</formula>
    </cfRule>
    <cfRule type="cellIs" priority="74" operator="lessThan" aboveAverage="0" equalAverage="0" bottom="0" percent="0" rank="0" text="" dxfId="3115">
      <formula>'1855'!$G$9</formula>
    </cfRule>
  </conditionalFormatting>
  <conditionalFormatting sqref="I9">
    <cfRule type="cellIs" priority="75" operator="equal" aboveAverage="0" equalAverage="0" bottom="0" percent="0" rank="0" text="" dxfId="3116">
      <formula>'1855'!$H$9</formula>
    </cfRule>
    <cfRule type="cellIs" priority="76" operator="lessThan" aboveAverage="0" equalAverage="0" bottom="0" percent="0" rank="0" text="" dxfId="3117">
      <formula>'1855'!$H$9</formula>
    </cfRule>
  </conditionalFormatting>
  <conditionalFormatting sqref="J9">
    <cfRule type="cellIs" priority="77" operator="equal" aboveAverage="0" equalAverage="0" bottom="0" percent="0" rank="0" text="" dxfId="3118">
      <formula>'1855'!$I$9</formula>
    </cfRule>
    <cfRule type="cellIs" priority="78" operator="lessThan" aboveAverage="0" equalAverage="0" bottom="0" percent="0" rank="0" text="" dxfId="3119">
      <formula>'1855'!$I$9</formula>
    </cfRule>
  </conditionalFormatting>
  <conditionalFormatting sqref="D10">
    <cfRule type="cellIs" priority="79" operator="equal" aboveAverage="0" equalAverage="0" bottom="0" percent="0" rank="0" text="" dxfId="3120">
      <formula>'1855'!$C$10</formula>
    </cfRule>
    <cfRule type="cellIs" priority="80" operator="lessThan" aboveAverage="0" equalAverage="0" bottom="0" percent="0" rank="0" text="" dxfId="3121">
      <formula>'1855'!$C$10</formula>
    </cfRule>
  </conditionalFormatting>
  <conditionalFormatting sqref="E10">
    <cfRule type="cellIs" priority="81" operator="equal" aboveAverage="0" equalAverage="0" bottom="0" percent="0" rank="0" text="" dxfId="3122">
      <formula>'1855'!$D$10</formula>
    </cfRule>
    <cfRule type="cellIs" priority="82" operator="lessThan" aboveAverage="0" equalAverage="0" bottom="0" percent="0" rank="0" text="" dxfId="3123">
      <formula>'1855'!$D$10</formula>
    </cfRule>
  </conditionalFormatting>
  <conditionalFormatting sqref="F10">
    <cfRule type="cellIs" priority="83" operator="equal" aboveAverage="0" equalAverage="0" bottom="0" percent="0" rank="0" text="" dxfId="3124">
      <formula>'1855'!$E$10</formula>
    </cfRule>
    <cfRule type="cellIs" priority="84" operator="lessThan" aboveAverage="0" equalAverage="0" bottom="0" percent="0" rank="0" text="" dxfId="3125">
      <formula>'1855'!$E$10</formula>
    </cfRule>
  </conditionalFormatting>
  <conditionalFormatting sqref="G10">
    <cfRule type="cellIs" priority="85" operator="equal" aboveAverage="0" equalAverage="0" bottom="0" percent="0" rank="0" text="" dxfId="3126">
      <formula>'1855'!$F$10</formula>
    </cfRule>
    <cfRule type="cellIs" priority="86" operator="lessThan" aboveAverage="0" equalAverage="0" bottom="0" percent="0" rank="0" text="" dxfId="3127">
      <formula>'1855'!$F$10</formula>
    </cfRule>
  </conditionalFormatting>
  <conditionalFormatting sqref="H10">
    <cfRule type="cellIs" priority="87" operator="equal" aboveAverage="0" equalAverage="0" bottom="0" percent="0" rank="0" text="" dxfId="3128">
      <formula>'1855'!$G$10</formula>
    </cfRule>
    <cfRule type="cellIs" priority="88" operator="lessThan" aboveAverage="0" equalAverage="0" bottom="0" percent="0" rank="0" text="" dxfId="3129">
      <formula>'1855'!$G$10</formula>
    </cfRule>
  </conditionalFormatting>
  <conditionalFormatting sqref="I10">
    <cfRule type="cellIs" priority="89" operator="equal" aboveAverage="0" equalAverage="0" bottom="0" percent="0" rank="0" text="" dxfId="3130">
      <formula>'1855'!$H$10</formula>
    </cfRule>
    <cfRule type="cellIs" priority="90" operator="lessThan" aboveAverage="0" equalAverage="0" bottom="0" percent="0" rank="0" text="" dxfId="3131">
      <formula>'1855'!$H$10</formula>
    </cfRule>
  </conditionalFormatting>
  <conditionalFormatting sqref="J10">
    <cfRule type="cellIs" priority="91" operator="equal" aboveAverage="0" equalAverage="0" bottom="0" percent="0" rank="0" text="" dxfId="3132">
      <formula>'1855'!$I$10</formula>
    </cfRule>
    <cfRule type="cellIs" priority="92" operator="lessThan" aboveAverage="0" equalAverage="0" bottom="0" percent="0" rank="0" text="" dxfId="3133">
      <formula>'1855'!$I$10</formula>
    </cfRule>
  </conditionalFormatting>
  <conditionalFormatting sqref="D11">
    <cfRule type="cellIs" priority="93" operator="equal" aboveAverage="0" equalAverage="0" bottom="0" percent="0" rank="0" text="" dxfId="3134">
      <formula>'1855'!$C$11</formula>
    </cfRule>
    <cfRule type="cellIs" priority="94" operator="lessThan" aboveAverage="0" equalAverage="0" bottom="0" percent="0" rank="0" text="" dxfId="3135">
      <formula>'1855'!$C$11</formula>
    </cfRule>
  </conditionalFormatting>
  <conditionalFormatting sqref="E11">
    <cfRule type="cellIs" priority="95" operator="equal" aboveAverage="0" equalAverage="0" bottom="0" percent="0" rank="0" text="" dxfId="3136">
      <formula>'1855'!$D$11</formula>
    </cfRule>
    <cfRule type="cellIs" priority="96" operator="lessThan" aboveAverage="0" equalAverage="0" bottom="0" percent="0" rank="0" text="" dxfId="3137">
      <formula>'1855'!$D$11</formula>
    </cfRule>
  </conditionalFormatting>
  <conditionalFormatting sqref="F11">
    <cfRule type="cellIs" priority="97" operator="equal" aboveAverage="0" equalAverage="0" bottom="0" percent="0" rank="0" text="" dxfId="3138">
      <formula>'1855'!$E$11</formula>
    </cfRule>
    <cfRule type="cellIs" priority="98" operator="lessThan" aboveAverage="0" equalAverage="0" bottom="0" percent="0" rank="0" text="" dxfId="3139">
      <formula>'1855'!$E$11</formula>
    </cfRule>
  </conditionalFormatting>
  <conditionalFormatting sqref="G11">
    <cfRule type="cellIs" priority="99" operator="equal" aboveAverage="0" equalAverage="0" bottom="0" percent="0" rank="0" text="" dxfId="3140">
      <formula>'1855'!$F$11</formula>
    </cfRule>
    <cfRule type="cellIs" priority="100" operator="lessThan" aboveAverage="0" equalAverage="0" bottom="0" percent="0" rank="0" text="" dxfId="3141">
      <formula>'1855'!$F$11</formula>
    </cfRule>
  </conditionalFormatting>
  <conditionalFormatting sqref="H11">
    <cfRule type="cellIs" priority="101" operator="equal" aboveAverage="0" equalAverage="0" bottom="0" percent="0" rank="0" text="" dxfId="3142">
      <formula>'1855'!$G$11</formula>
    </cfRule>
    <cfRule type="cellIs" priority="102" operator="lessThan" aboveAverage="0" equalAverage="0" bottom="0" percent="0" rank="0" text="" dxfId="3143">
      <formula>'1855'!$G$11</formula>
    </cfRule>
  </conditionalFormatting>
  <conditionalFormatting sqref="I11">
    <cfRule type="cellIs" priority="103" operator="equal" aboveAverage="0" equalAverage="0" bottom="0" percent="0" rank="0" text="" dxfId="3144">
      <formula>'1855'!$H$11</formula>
    </cfRule>
    <cfRule type="cellIs" priority="104" operator="lessThan" aboveAverage="0" equalAverage="0" bottom="0" percent="0" rank="0" text="" dxfId="3145">
      <formula>'1855'!$H$11</formula>
    </cfRule>
  </conditionalFormatting>
  <conditionalFormatting sqref="J11">
    <cfRule type="cellIs" priority="105" operator="equal" aboveAverage="0" equalAverage="0" bottom="0" percent="0" rank="0" text="" dxfId="3146">
      <formula>'1855'!$I$11</formula>
    </cfRule>
    <cfRule type="cellIs" priority="106" operator="lessThan" aboveAverage="0" equalAverage="0" bottom="0" percent="0" rank="0" text="" dxfId="3147">
      <formula>'1855'!$I$11</formula>
    </cfRule>
  </conditionalFormatting>
  <conditionalFormatting sqref="D12">
    <cfRule type="cellIs" priority="107" operator="equal" aboveAverage="0" equalAverage="0" bottom="0" percent="0" rank="0" text="" dxfId="3148">
      <formula>'1855'!$C$12</formula>
    </cfRule>
    <cfRule type="cellIs" priority="108" operator="lessThan" aboveAverage="0" equalAverage="0" bottom="0" percent="0" rank="0" text="" dxfId="3149">
      <formula>'1855'!$C$12</formula>
    </cfRule>
  </conditionalFormatting>
  <conditionalFormatting sqref="E12">
    <cfRule type="cellIs" priority="109" operator="equal" aboveAverage="0" equalAverage="0" bottom="0" percent="0" rank="0" text="" dxfId="3150">
      <formula>'1855'!$D$12</formula>
    </cfRule>
    <cfRule type="cellIs" priority="110" operator="lessThan" aboveAverage="0" equalAverage="0" bottom="0" percent="0" rank="0" text="" dxfId="3151">
      <formula>'1855'!$D$12</formula>
    </cfRule>
  </conditionalFormatting>
  <conditionalFormatting sqref="F12">
    <cfRule type="cellIs" priority="111" operator="equal" aboveAverage="0" equalAverage="0" bottom="0" percent="0" rank="0" text="" dxfId="3152">
      <formula>'1855'!$E$12</formula>
    </cfRule>
    <cfRule type="cellIs" priority="112" operator="lessThan" aboveAverage="0" equalAverage="0" bottom="0" percent="0" rank="0" text="" dxfId="3153">
      <formula>'1855'!$E$12</formula>
    </cfRule>
  </conditionalFormatting>
  <conditionalFormatting sqref="G12">
    <cfRule type="cellIs" priority="113" operator="equal" aboveAverage="0" equalAverage="0" bottom="0" percent="0" rank="0" text="" dxfId="3154">
      <formula>'1855'!$F$12</formula>
    </cfRule>
    <cfRule type="cellIs" priority="114" operator="lessThan" aboveAverage="0" equalAverage="0" bottom="0" percent="0" rank="0" text="" dxfId="3155">
      <formula>'1855'!$F$12</formula>
    </cfRule>
  </conditionalFormatting>
  <conditionalFormatting sqref="H12">
    <cfRule type="cellIs" priority="115" operator="equal" aboveAverage="0" equalAverage="0" bottom="0" percent="0" rank="0" text="" dxfId="3156">
      <formula>'1855'!$G$12</formula>
    </cfRule>
    <cfRule type="cellIs" priority="116" operator="lessThan" aboveAverage="0" equalAverage="0" bottom="0" percent="0" rank="0" text="" dxfId="3157">
      <formula>'1855'!$G$12</formula>
    </cfRule>
  </conditionalFormatting>
  <conditionalFormatting sqref="I12">
    <cfRule type="cellIs" priority="117" operator="equal" aboveAverage="0" equalAverage="0" bottom="0" percent="0" rank="0" text="" dxfId="3158">
      <formula>'1855'!$H$12</formula>
    </cfRule>
    <cfRule type="cellIs" priority="118" operator="lessThan" aboveAverage="0" equalAverage="0" bottom="0" percent="0" rank="0" text="" dxfId="3159">
      <formula>'1855'!$H$12</formula>
    </cfRule>
  </conditionalFormatting>
  <conditionalFormatting sqref="J12">
    <cfRule type="cellIs" priority="119" operator="equal" aboveAverage="0" equalAverage="0" bottom="0" percent="0" rank="0" text="" dxfId="3160">
      <formula>'1855'!$I$12</formula>
    </cfRule>
    <cfRule type="cellIs" priority="120" operator="lessThan" aboveAverage="0" equalAverage="0" bottom="0" percent="0" rank="0" text="" dxfId="3161">
      <formula>'1855'!$I$12</formula>
    </cfRule>
  </conditionalFormatting>
  <conditionalFormatting sqref="D14">
    <cfRule type="cellIs" priority="121" operator="equal" aboveAverage="0" equalAverage="0" bottom="0" percent="0" rank="0" text="" dxfId="3162">
      <formula>'1855'!$C$14</formula>
    </cfRule>
    <cfRule type="cellIs" priority="122" operator="lessThan" aboveAverage="0" equalAverage="0" bottom="0" percent="0" rank="0" text="" dxfId="3163">
      <formula>'1855'!$C$14</formula>
    </cfRule>
  </conditionalFormatting>
  <conditionalFormatting sqref="D15">
    <cfRule type="cellIs" priority="123" operator="equal" aboveAverage="0" equalAverage="0" bottom="0" percent="0" rank="0" text="" dxfId="3164">
      <formula>'1855'!$C$15</formula>
    </cfRule>
    <cfRule type="cellIs" priority="124" operator="lessThan" aboveAverage="0" equalAverage="0" bottom="0" percent="0" rank="0" text="" dxfId="3165">
      <formula>'1855'!$C$15</formula>
    </cfRule>
  </conditionalFormatting>
  <conditionalFormatting sqref="D16">
    <cfRule type="cellIs" priority="125" operator="equal" aboveAverage="0" equalAverage="0" bottom="0" percent="0" rank="0" text="" dxfId="3166">
      <formula>'1855'!$C$16</formula>
    </cfRule>
    <cfRule type="cellIs" priority="126" operator="lessThan" aboveAverage="0" equalAverage="0" bottom="0" percent="0" rank="0" text="" dxfId="3167">
      <formula>'1855'!$C$16</formula>
    </cfRule>
  </conditionalFormatting>
  <conditionalFormatting sqref="D17">
    <cfRule type="cellIs" priority="127" operator="equal" aboveAverage="0" equalAverage="0" bottom="0" percent="0" rank="0" text="" dxfId="3168">
      <formula>'1855'!$C$17</formula>
    </cfRule>
    <cfRule type="cellIs" priority="128" operator="lessThan" aboveAverage="0" equalAverage="0" bottom="0" percent="0" rank="0" text="" dxfId="3169">
      <formula>'1855'!$C$17</formula>
    </cfRule>
  </conditionalFormatting>
  <conditionalFormatting sqref="D18">
    <cfRule type="cellIs" priority="129" operator="equal" aboveAverage="0" equalAverage="0" bottom="0" percent="0" rank="0" text="" dxfId="3170">
      <formula>'1855'!$C$18</formula>
    </cfRule>
    <cfRule type="cellIs" priority="130" operator="lessThan" aboveAverage="0" equalAverage="0" bottom="0" percent="0" rank="0" text="" dxfId="3171">
      <formula>'1855'!$C$18</formula>
    </cfRule>
  </conditionalFormatting>
  <conditionalFormatting sqref="D19">
    <cfRule type="cellIs" priority="131" operator="equal" aboveAverage="0" equalAverage="0" bottom="0" percent="0" rank="0" text="" dxfId="3172">
      <formula>'1855'!$C$19</formula>
    </cfRule>
    <cfRule type="cellIs" priority="132" operator="lessThan" aboveAverage="0" equalAverage="0" bottom="0" percent="0" rank="0" text="" dxfId="3173">
      <formula>'1855'!$C$19</formula>
    </cfRule>
  </conditionalFormatting>
  <conditionalFormatting sqref="D20">
    <cfRule type="cellIs" priority="133" operator="equal" aboveAverage="0" equalAverage="0" bottom="0" percent="0" rank="0" text="" dxfId="3174">
      <formula>'1855'!$C$20</formula>
    </cfRule>
    <cfRule type="cellIs" priority="134" operator="lessThan" aboveAverage="0" equalAverage="0" bottom="0" percent="0" rank="0" text="" dxfId="3175">
      <formula>'1855'!$C$20</formula>
    </cfRule>
  </conditionalFormatting>
  <conditionalFormatting sqref="D21">
    <cfRule type="cellIs" priority="135" operator="equal" aboveAverage="0" equalAverage="0" bottom="0" percent="0" rank="0" text="" dxfId="3176">
      <formula>'1855'!$C$21</formula>
    </cfRule>
    <cfRule type="cellIs" priority="136" operator="lessThan" aboveAverage="0" equalAverage="0" bottom="0" percent="0" rank="0" text="" dxfId="3177">
      <formula>'1855'!$C$21</formula>
    </cfRule>
  </conditionalFormatting>
  <conditionalFormatting sqref="D22">
    <cfRule type="cellIs" priority="137" operator="equal" aboveAverage="0" equalAverage="0" bottom="0" percent="0" rank="0" text="" dxfId="3178">
      <formula>'1855'!$C$22</formula>
    </cfRule>
    <cfRule type="cellIs" priority="138" operator="lessThan" aboveAverage="0" equalAverage="0" bottom="0" percent="0" rank="0" text="" dxfId="3179">
      <formula>'1855'!$C$22</formula>
    </cfRule>
  </conditionalFormatting>
  <conditionalFormatting sqref="D23">
    <cfRule type="cellIs" priority="139" operator="equal" aboveAverage="0" equalAverage="0" bottom="0" percent="0" rank="0" text="" dxfId="3180">
      <formula>'1855'!$C$23</formula>
    </cfRule>
    <cfRule type="cellIs" priority="140" operator="lessThan" aboveAverage="0" equalAverage="0" bottom="0" percent="0" rank="0" text="" dxfId="3181">
      <formula>'1855'!$C$23</formula>
    </cfRule>
  </conditionalFormatting>
  <conditionalFormatting sqref="D25">
    <cfRule type="cellIs" priority="141" operator="equal" aboveAverage="0" equalAverage="0" bottom="0" percent="0" rank="0" text="" dxfId="3182">
      <formula>'1855'!$C$25</formula>
    </cfRule>
    <cfRule type="cellIs" priority="142" operator="lessThan" aboveAverage="0" equalAverage="0" bottom="0" percent="0" rank="0" text="" dxfId="3183">
      <formula>'1855'!$C$25</formula>
    </cfRule>
  </conditionalFormatting>
  <conditionalFormatting sqref="D26">
    <cfRule type="cellIs" priority="143" operator="equal" aboveAverage="0" equalAverage="0" bottom="0" percent="0" rank="0" text="" dxfId="3184">
      <formula>'1855'!$C$26</formula>
    </cfRule>
    <cfRule type="cellIs" priority="144" operator="lessThan" aboveAverage="0" equalAverage="0" bottom="0" percent="0" rank="0" text="" dxfId="3185">
      <formula>'1855'!$C$26</formula>
    </cfRule>
  </conditionalFormatting>
  <conditionalFormatting sqref="D27">
    <cfRule type="cellIs" priority="145" operator="equal" aboveAverage="0" equalAverage="0" bottom="0" percent="0" rank="0" text="" dxfId="3186">
      <formula>'1855'!$C$27</formula>
    </cfRule>
    <cfRule type="cellIs" priority="146" operator="lessThan" aboveAverage="0" equalAverage="0" bottom="0" percent="0" rank="0" text="" dxfId="3187">
      <formula>'1855'!$C$27</formula>
    </cfRule>
  </conditionalFormatting>
  <conditionalFormatting sqref="D28">
    <cfRule type="cellIs" priority="147" operator="equal" aboveAverage="0" equalAverage="0" bottom="0" percent="0" rank="0" text="" dxfId="3188">
      <formula>'1855'!$C$28</formula>
    </cfRule>
    <cfRule type="cellIs" priority="148" operator="lessThan" aboveAverage="0" equalAverage="0" bottom="0" percent="0" rank="0" text="" dxfId="3189">
      <formula>'1855'!$C$28</formula>
    </cfRule>
  </conditionalFormatting>
  <conditionalFormatting sqref="E13">
    <cfRule type="cellIs" priority="149" operator="equal" aboveAverage="0" equalAverage="0" bottom="0" percent="0" rank="0" text="" dxfId="3190">
      <formula>'1855'!$D$13</formula>
    </cfRule>
    <cfRule type="cellIs" priority="150" operator="lessThan" aboveAverage="0" equalAverage="0" bottom="0" percent="0" rank="0" text="" dxfId="3191">
      <formula>'1855'!$D$13</formula>
    </cfRule>
  </conditionalFormatting>
  <conditionalFormatting sqref="E14">
    <cfRule type="cellIs" priority="151" operator="equal" aboveAverage="0" equalAverage="0" bottom="0" percent="0" rank="0" text="" dxfId="3192">
      <formula>'1855'!$D$14</formula>
    </cfRule>
    <cfRule type="cellIs" priority="152" operator="lessThan" aboveAverage="0" equalAverage="0" bottom="0" percent="0" rank="0" text="" dxfId="3193">
      <formula>'1855'!$D$14</formula>
    </cfRule>
  </conditionalFormatting>
  <conditionalFormatting sqref="E15">
    <cfRule type="cellIs" priority="153" operator="equal" aboveAverage="0" equalAverage="0" bottom="0" percent="0" rank="0" text="" dxfId="3194">
      <formula>'1855'!$D$15</formula>
    </cfRule>
    <cfRule type="cellIs" priority="154" operator="lessThan" aboveAverage="0" equalAverage="0" bottom="0" percent="0" rank="0" text="" dxfId="3195">
      <formula>'1855'!$D$15</formula>
    </cfRule>
  </conditionalFormatting>
  <conditionalFormatting sqref="E16">
    <cfRule type="cellIs" priority="155" operator="equal" aboveAverage="0" equalAverage="0" bottom="0" percent="0" rank="0" text="" dxfId="3196">
      <formula>'1855'!$D$16</formula>
    </cfRule>
    <cfRule type="cellIs" priority="156" operator="lessThan" aboveAverage="0" equalAverage="0" bottom="0" percent="0" rank="0" text="" dxfId="3197">
      <formula>'1855'!$D$16</formula>
    </cfRule>
  </conditionalFormatting>
  <conditionalFormatting sqref="E17">
    <cfRule type="cellIs" priority="157" operator="equal" aboveAverage="0" equalAverage="0" bottom="0" percent="0" rank="0" text="" dxfId="3198">
      <formula>'1855'!$D$17</formula>
    </cfRule>
    <cfRule type="cellIs" priority="158" operator="lessThan" aboveAverage="0" equalAverage="0" bottom="0" percent="0" rank="0" text="" dxfId="3199">
      <formula>'1855'!$D$17</formula>
    </cfRule>
  </conditionalFormatting>
  <conditionalFormatting sqref="E18">
    <cfRule type="cellIs" priority="159" operator="equal" aboveAverage="0" equalAverage="0" bottom="0" percent="0" rank="0" text="" dxfId="3200">
      <formula>'1855'!$D$18</formula>
    </cfRule>
    <cfRule type="cellIs" priority="160" operator="lessThan" aboveAverage="0" equalAverage="0" bottom="0" percent="0" rank="0" text="" dxfId="3201">
      <formula>'1855'!$D$18</formula>
    </cfRule>
  </conditionalFormatting>
  <conditionalFormatting sqref="E19">
    <cfRule type="cellIs" priority="161" operator="equal" aboveAverage="0" equalAverage="0" bottom="0" percent="0" rank="0" text="" dxfId="3202">
      <formula>'1855'!$D$19</formula>
    </cfRule>
    <cfRule type="cellIs" priority="162" operator="lessThan" aboveAverage="0" equalAverage="0" bottom="0" percent="0" rank="0" text="" dxfId="3203">
      <formula>'1855'!$D$19</formula>
    </cfRule>
  </conditionalFormatting>
  <conditionalFormatting sqref="E20">
    <cfRule type="cellIs" priority="163" operator="equal" aboveAverage="0" equalAverage="0" bottom="0" percent="0" rank="0" text="" dxfId="3204">
      <formula>'1855'!$D$20</formula>
    </cfRule>
    <cfRule type="cellIs" priority="164" operator="lessThan" aboveAverage="0" equalAverage="0" bottom="0" percent="0" rank="0" text="" dxfId="3205">
      <formula>'1855'!$D$20</formula>
    </cfRule>
  </conditionalFormatting>
  <conditionalFormatting sqref="E21">
    <cfRule type="cellIs" priority="165" operator="equal" aboveAverage="0" equalAverage="0" bottom="0" percent="0" rank="0" text="" dxfId="3206">
      <formula>'1855'!$D$21</formula>
    </cfRule>
    <cfRule type="cellIs" priority="166" operator="lessThan" aboveAverage="0" equalAverage="0" bottom="0" percent="0" rank="0" text="" dxfId="3207">
      <formula>'1855'!$D$21</formula>
    </cfRule>
  </conditionalFormatting>
  <conditionalFormatting sqref="E22">
    <cfRule type="cellIs" priority="167" operator="equal" aboveAverage="0" equalAverage="0" bottom="0" percent="0" rank="0" text="" dxfId="3208">
      <formula>'1855'!$D$22</formula>
    </cfRule>
    <cfRule type="cellIs" priority="168" operator="lessThan" aboveAverage="0" equalAverage="0" bottom="0" percent="0" rank="0" text="" dxfId="3209">
      <formula>'1855'!$D$22</formula>
    </cfRule>
  </conditionalFormatting>
  <conditionalFormatting sqref="E23">
    <cfRule type="cellIs" priority="169" operator="equal" aboveAverage="0" equalAverage="0" bottom="0" percent="0" rank="0" text="" dxfId="3210">
      <formula>'1855'!$D$23</formula>
    </cfRule>
    <cfRule type="cellIs" priority="170" operator="lessThan" aboveAverage="0" equalAverage="0" bottom="0" percent="0" rank="0" text="" dxfId="3211">
      <formula>'1855'!$D$23</formula>
    </cfRule>
  </conditionalFormatting>
  <conditionalFormatting sqref="E25">
    <cfRule type="cellIs" priority="171" operator="equal" aboveAverage="0" equalAverage="0" bottom="0" percent="0" rank="0" text="" dxfId="3212">
      <formula>'1855'!$D$25</formula>
    </cfRule>
    <cfRule type="cellIs" priority="172" operator="lessThan" aboveAverage="0" equalAverage="0" bottom="0" percent="0" rank="0" text="" dxfId="3213">
      <formula>'1855'!$D$25</formula>
    </cfRule>
  </conditionalFormatting>
  <conditionalFormatting sqref="E26">
    <cfRule type="cellIs" priority="173" operator="equal" aboveAverage="0" equalAverage="0" bottom="0" percent="0" rank="0" text="" dxfId="3214">
      <formula>'1855'!$D$26</formula>
    </cfRule>
    <cfRule type="cellIs" priority="174" operator="lessThan" aboveAverage="0" equalAverage="0" bottom="0" percent="0" rank="0" text="" dxfId="3215">
      <formula>'1855'!$D$26</formula>
    </cfRule>
  </conditionalFormatting>
  <conditionalFormatting sqref="E27">
    <cfRule type="cellIs" priority="175" operator="equal" aboveAverage="0" equalAverage="0" bottom="0" percent="0" rank="0" text="" dxfId="3216">
      <formula>'1855'!$D$27</formula>
    </cfRule>
    <cfRule type="cellIs" priority="176" operator="lessThan" aboveAverage="0" equalAverage="0" bottom="0" percent="0" rank="0" text="" dxfId="3217">
      <formula>'1855'!$D$27</formula>
    </cfRule>
  </conditionalFormatting>
  <conditionalFormatting sqref="E28">
    <cfRule type="cellIs" priority="177" operator="equal" aboveAverage="0" equalAverage="0" bottom="0" percent="0" rank="0" text="" dxfId="3218">
      <formula>'1855'!$D$28</formula>
    </cfRule>
    <cfRule type="cellIs" priority="178" operator="lessThan" aboveAverage="0" equalAverage="0" bottom="0" percent="0" rank="0" text="" dxfId="3219">
      <formula>'1855'!$D$28</formula>
    </cfRule>
  </conditionalFormatting>
  <conditionalFormatting sqref="F13">
    <cfRule type="cellIs" priority="179" operator="equal" aboveAverage="0" equalAverage="0" bottom="0" percent="0" rank="0" text="" dxfId="3220">
      <formula>'1855'!$E$13</formula>
    </cfRule>
    <cfRule type="cellIs" priority="180" operator="lessThan" aboveAverage="0" equalAverage="0" bottom="0" percent="0" rank="0" text="" dxfId="3221">
      <formula>'1855'!$E$13</formula>
    </cfRule>
  </conditionalFormatting>
  <conditionalFormatting sqref="F14">
    <cfRule type="cellIs" priority="181" operator="equal" aboveAverage="0" equalAverage="0" bottom="0" percent="0" rank="0" text="" dxfId="3222">
      <formula>'1855'!$E$14</formula>
    </cfRule>
    <cfRule type="cellIs" priority="182" operator="lessThan" aboveAverage="0" equalAverage="0" bottom="0" percent="0" rank="0" text="" dxfId="3223">
      <formula>'1855'!$E$14</formula>
    </cfRule>
  </conditionalFormatting>
  <conditionalFormatting sqref="F15">
    <cfRule type="cellIs" priority="183" operator="equal" aboveAverage="0" equalAverage="0" bottom="0" percent="0" rank="0" text="" dxfId="3224">
      <formula>'1855'!$E$15</formula>
    </cfRule>
    <cfRule type="cellIs" priority="184" operator="lessThan" aboveAverage="0" equalAverage="0" bottom="0" percent="0" rank="0" text="" dxfId="3225">
      <formula>'1855'!$E$15</formula>
    </cfRule>
  </conditionalFormatting>
  <conditionalFormatting sqref="F16">
    <cfRule type="cellIs" priority="185" operator="equal" aboveAverage="0" equalAverage="0" bottom="0" percent="0" rank="0" text="" dxfId="3226">
      <formula>'1855'!$E$16</formula>
    </cfRule>
    <cfRule type="cellIs" priority="186" operator="lessThan" aboveAverage="0" equalAverage="0" bottom="0" percent="0" rank="0" text="" dxfId="3227">
      <formula>'1855'!$E$16</formula>
    </cfRule>
  </conditionalFormatting>
  <conditionalFormatting sqref="F17">
    <cfRule type="cellIs" priority="187" operator="equal" aboveAverage="0" equalAverage="0" bottom="0" percent="0" rank="0" text="" dxfId="3228">
      <formula>'1855'!$E$17</formula>
    </cfRule>
    <cfRule type="cellIs" priority="188" operator="lessThan" aboveAverage="0" equalAverage="0" bottom="0" percent="0" rank="0" text="" dxfId="3229">
      <formula>'1855'!$E$17</formula>
    </cfRule>
  </conditionalFormatting>
  <conditionalFormatting sqref="F18">
    <cfRule type="cellIs" priority="189" operator="equal" aboveAverage="0" equalAverage="0" bottom="0" percent="0" rank="0" text="" dxfId="3230">
      <formula>'1855'!$E$18</formula>
    </cfRule>
    <cfRule type="cellIs" priority="190" operator="lessThan" aboveAverage="0" equalAverage="0" bottom="0" percent="0" rank="0" text="" dxfId="3231">
      <formula>'1855'!$E$18</formula>
    </cfRule>
  </conditionalFormatting>
  <conditionalFormatting sqref="F19">
    <cfRule type="cellIs" priority="191" operator="equal" aboveAverage="0" equalAverage="0" bottom="0" percent="0" rank="0" text="" dxfId="3232">
      <formula>'1855'!$E$19</formula>
    </cfRule>
    <cfRule type="cellIs" priority="192" operator="lessThan" aboveAverage="0" equalAverage="0" bottom="0" percent="0" rank="0" text="" dxfId="3233">
      <formula>'1855'!$E$19</formula>
    </cfRule>
  </conditionalFormatting>
  <conditionalFormatting sqref="F20">
    <cfRule type="cellIs" priority="193" operator="equal" aboveAverage="0" equalAverage="0" bottom="0" percent="0" rank="0" text="" dxfId="3234">
      <formula>'1855'!$E$20</formula>
    </cfRule>
    <cfRule type="cellIs" priority="194" operator="lessThan" aboveAverage="0" equalAverage="0" bottom="0" percent="0" rank="0" text="" dxfId="3235">
      <formula>'1855'!$E$20</formula>
    </cfRule>
  </conditionalFormatting>
  <conditionalFormatting sqref="F21">
    <cfRule type="cellIs" priority="195" operator="equal" aboveAverage="0" equalAverage="0" bottom="0" percent="0" rank="0" text="" dxfId="3236">
      <formula>'1855'!$E$21</formula>
    </cfRule>
    <cfRule type="cellIs" priority="196" operator="lessThan" aboveAverage="0" equalAverage="0" bottom="0" percent="0" rank="0" text="" dxfId="3237">
      <formula>'1855'!$E$21</formula>
    </cfRule>
  </conditionalFormatting>
  <conditionalFormatting sqref="F22">
    <cfRule type="cellIs" priority="197" operator="equal" aboveAverage="0" equalAverage="0" bottom="0" percent="0" rank="0" text="" dxfId="3238">
      <formula>'1855'!$E$22</formula>
    </cfRule>
    <cfRule type="cellIs" priority="198" operator="lessThan" aboveAverage="0" equalAverage="0" bottom="0" percent="0" rank="0" text="" dxfId="3239">
      <formula>'1855'!$E$22</formula>
    </cfRule>
  </conditionalFormatting>
  <conditionalFormatting sqref="F23">
    <cfRule type="cellIs" priority="199" operator="equal" aboveAverage="0" equalAverage="0" bottom="0" percent="0" rank="0" text="" dxfId="3240">
      <formula>'1855'!$E$23</formula>
    </cfRule>
    <cfRule type="cellIs" priority="200" operator="lessThan" aboveAverage="0" equalAverage="0" bottom="0" percent="0" rank="0" text="" dxfId="3241">
      <formula>'1855'!$E$23</formula>
    </cfRule>
  </conditionalFormatting>
  <conditionalFormatting sqref="F25">
    <cfRule type="cellIs" priority="201" operator="equal" aboveAverage="0" equalAverage="0" bottom="0" percent="0" rank="0" text="" dxfId="3242">
      <formula>'1855'!$E$25</formula>
    </cfRule>
    <cfRule type="cellIs" priority="202" operator="lessThan" aboveAverage="0" equalAverage="0" bottom="0" percent="0" rank="0" text="" dxfId="3243">
      <formula>'1855'!$E$25</formula>
    </cfRule>
  </conditionalFormatting>
  <conditionalFormatting sqref="F26">
    <cfRule type="cellIs" priority="203" operator="equal" aboveAverage="0" equalAverage="0" bottom="0" percent="0" rank="0" text="" dxfId="3244">
      <formula>'1855'!$E$26</formula>
    </cfRule>
    <cfRule type="cellIs" priority="204" operator="lessThan" aboveAverage="0" equalAverage="0" bottom="0" percent="0" rank="0" text="" dxfId="3245">
      <formula>'1855'!$E$26</formula>
    </cfRule>
  </conditionalFormatting>
  <conditionalFormatting sqref="F27">
    <cfRule type="cellIs" priority="205" operator="equal" aboveAverage="0" equalAverage="0" bottom="0" percent="0" rank="0" text="" dxfId="3246">
      <formula>'1855'!$E$27</formula>
    </cfRule>
    <cfRule type="cellIs" priority="206" operator="lessThan" aboveAverage="0" equalAverage="0" bottom="0" percent="0" rank="0" text="" dxfId="3247">
      <formula>'1855'!$E$27</formula>
    </cfRule>
  </conditionalFormatting>
  <conditionalFormatting sqref="F28">
    <cfRule type="cellIs" priority="207" operator="equal" aboveAverage="0" equalAverage="0" bottom="0" percent="0" rank="0" text="" dxfId="3248">
      <formula>'1855'!$E$28</formula>
    </cfRule>
    <cfRule type="cellIs" priority="208" operator="lessThan" aboveAverage="0" equalAverage="0" bottom="0" percent="0" rank="0" text="" dxfId="3249">
      <formula>'1855'!$E$28</formula>
    </cfRule>
  </conditionalFormatting>
  <conditionalFormatting sqref="G13">
    <cfRule type="cellIs" priority="209" operator="equal" aboveAverage="0" equalAverage="0" bottom="0" percent="0" rank="0" text="" dxfId="3250">
      <formula>'1855'!$F$13</formula>
    </cfRule>
    <cfRule type="cellIs" priority="210" operator="lessThan" aboveAverage="0" equalAverage="0" bottom="0" percent="0" rank="0" text="" dxfId="3251">
      <formula>'1855'!$F$13</formula>
    </cfRule>
  </conditionalFormatting>
  <conditionalFormatting sqref="G14">
    <cfRule type="cellIs" priority="211" operator="equal" aboveAverage="0" equalAverage="0" bottom="0" percent="0" rank="0" text="" dxfId="3252">
      <formula>'1855'!$F$14</formula>
    </cfRule>
    <cfRule type="cellIs" priority="212" operator="lessThan" aboveAverage="0" equalAverage="0" bottom="0" percent="0" rank="0" text="" dxfId="3253">
      <formula>'1855'!$F$14</formula>
    </cfRule>
  </conditionalFormatting>
  <conditionalFormatting sqref="G15">
    <cfRule type="cellIs" priority="213" operator="equal" aboveAverage="0" equalAverage="0" bottom="0" percent="0" rank="0" text="" dxfId="3254">
      <formula>'1855'!$F$15</formula>
    </cfRule>
    <cfRule type="cellIs" priority="214" operator="lessThan" aboveAverage="0" equalAverage="0" bottom="0" percent="0" rank="0" text="" dxfId="3255">
      <formula>'1855'!$F$15</formula>
    </cfRule>
  </conditionalFormatting>
  <conditionalFormatting sqref="G16">
    <cfRule type="cellIs" priority="215" operator="equal" aboveAverage="0" equalAverage="0" bottom="0" percent="0" rank="0" text="" dxfId="3256">
      <formula>'1855'!$F$16</formula>
    </cfRule>
    <cfRule type="cellIs" priority="216" operator="lessThan" aboveAverage="0" equalAverage="0" bottom="0" percent="0" rank="0" text="" dxfId="3257">
      <formula>'1855'!$F$16</formula>
    </cfRule>
  </conditionalFormatting>
  <conditionalFormatting sqref="G17">
    <cfRule type="cellIs" priority="217" operator="equal" aboveAverage="0" equalAverage="0" bottom="0" percent="0" rank="0" text="" dxfId="3258">
      <formula>'1855'!$F$17</formula>
    </cfRule>
    <cfRule type="cellIs" priority="218" operator="lessThan" aboveAverage="0" equalAverage="0" bottom="0" percent="0" rank="0" text="" dxfId="3259">
      <formula>'1855'!$F$17</formula>
    </cfRule>
  </conditionalFormatting>
  <conditionalFormatting sqref="G18">
    <cfRule type="cellIs" priority="219" operator="equal" aboveAverage="0" equalAverage="0" bottom="0" percent="0" rank="0" text="" dxfId="3260">
      <formula>'1855'!$F$18</formula>
    </cfRule>
    <cfRule type="cellIs" priority="220" operator="lessThan" aboveAverage="0" equalAverage="0" bottom="0" percent="0" rank="0" text="" dxfId="3261">
      <formula>'1855'!$F$18</formula>
    </cfRule>
  </conditionalFormatting>
  <conditionalFormatting sqref="G19">
    <cfRule type="cellIs" priority="221" operator="equal" aboveAverage="0" equalAverage="0" bottom="0" percent="0" rank="0" text="" dxfId="3262">
      <formula>'1855'!$F$19</formula>
    </cfRule>
    <cfRule type="cellIs" priority="222" operator="lessThan" aboveAverage="0" equalAverage="0" bottom="0" percent="0" rank="0" text="" dxfId="3263">
      <formula>'1855'!$F$19</formula>
    </cfRule>
  </conditionalFormatting>
  <conditionalFormatting sqref="G20">
    <cfRule type="cellIs" priority="223" operator="equal" aboveAverage="0" equalAverage="0" bottom="0" percent="0" rank="0" text="" dxfId="3264">
      <formula>'1855'!$F$20</formula>
    </cfRule>
    <cfRule type="cellIs" priority="224" operator="lessThan" aboveAverage="0" equalAverage="0" bottom="0" percent="0" rank="0" text="" dxfId="3265">
      <formula>'1855'!$F$20</formula>
    </cfRule>
  </conditionalFormatting>
  <conditionalFormatting sqref="G21">
    <cfRule type="cellIs" priority="225" operator="equal" aboveAverage="0" equalAverage="0" bottom="0" percent="0" rank="0" text="" dxfId="3266">
      <formula>'1855'!$F$21</formula>
    </cfRule>
    <cfRule type="cellIs" priority="226" operator="lessThan" aboveAverage="0" equalAverage="0" bottom="0" percent="0" rank="0" text="" dxfId="3267">
      <formula>'1855'!$F$21</formula>
    </cfRule>
  </conditionalFormatting>
  <conditionalFormatting sqref="G22">
    <cfRule type="cellIs" priority="227" operator="equal" aboveAverage="0" equalAverage="0" bottom="0" percent="0" rank="0" text="" dxfId="3268">
      <formula>'1855'!$F$22</formula>
    </cfRule>
    <cfRule type="cellIs" priority="228" operator="lessThan" aboveAverage="0" equalAverage="0" bottom="0" percent="0" rank="0" text="" dxfId="3269">
      <formula>'1855'!$F$22</formula>
    </cfRule>
  </conditionalFormatting>
  <conditionalFormatting sqref="G23">
    <cfRule type="cellIs" priority="229" operator="equal" aboveAverage="0" equalAverage="0" bottom="0" percent="0" rank="0" text="" dxfId="3270">
      <formula>'1855'!$F$23</formula>
    </cfRule>
    <cfRule type="cellIs" priority="230" operator="lessThan" aboveAverage="0" equalAverage="0" bottom="0" percent="0" rank="0" text="" dxfId="3271">
      <formula>'1855'!$F$23</formula>
    </cfRule>
  </conditionalFormatting>
  <conditionalFormatting sqref="G25">
    <cfRule type="cellIs" priority="231" operator="equal" aboveAverage="0" equalAverage="0" bottom="0" percent="0" rank="0" text="" dxfId="3272">
      <formula>'1855'!$F$25</formula>
    </cfRule>
    <cfRule type="cellIs" priority="232" operator="lessThan" aboveAverage="0" equalAverage="0" bottom="0" percent="0" rank="0" text="" dxfId="3273">
      <formula>'1855'!$F$25</formula>
    </cfRule>
  </conditionalFormatting>
  <conditionalFormatting sqref="G26">
    <cfRule type="cellIs" priority="233" operator="equal" aboveAverage="0" equalAverage="0" bottom="0" percent="0" rank="0" text="" dxfId="3274">
      <formula>'1855'!$F$26</formula>
    </cfRule>
    <cfRule type="cellIs" priority="234" operator="lessThan" aboveAverage="0" equalAverage="0" bottom="0" percent="0" rank="0" text="" dxfId="3275">
      <formula>'1855'!$F$26</formula>
    </cfRule>
  </conditionalFormatting>
  <conditionalFormatting sqref="G27">
    <cfRule type="cellIs" priority="235" operator="equal" aboveAverage="0" equalAverage="0" bottom="0" percent="0" rank="0" text="" dxfId="3276">
      <formula>'1855'!$F$27</formula>
    </cfRule>
    <cfRule type="cellIs" priority="236" operator="lessThan" aboveAverage="0" equalAverage="0" bottom="0" percent="0" rank="0" text="" dxfId="3277">
      <formula>'1855'!$F$27</formula>
    </cfRule>
  </conditionalFormatting>
  <conditionalFormatting sqref="G28">
    <cfRule type="cellIs" priority="237" operator="equal" aboveAverage="0" equalAverage="0" bottom="0" percent="0" rank="0" text="" dxfId="3278">
      <formula>'1855'!$F$28</formula>
    </cfRule>
    <cfRule type="cellIs" priority="238" operator="lessThan" aboveAverage="0" equalAverage="0" bottom="0" percent="0" rank="0" text="" dxfId="3279">
      <formula>'1855'!$F$28</formula>
    </cfRule>
  </conditionalFormatting>
  <conditionalFormatting sqref="D13">
    <cfRule type="cellIs" priority="239" operator="equal" aboveAverage="0" equalAverage="0" bottom="0" percent="0" rank="0" text="" dxfId="3280">
      <formula>'1855'!$C$13</formula>
    </cfRule>
    <cfRule type="cellIs" priority="240" operator="lessThan" aboveAverage="0" equalAverage="0" bottom="0" percent="0" rank="0" text="" dxfId="3281">
      <formula>'1855'!$C$13</formula>
    </cfRule>
  </conditionalFormatting>
  <conditionalFormatting sqref="H13">
    <cfRule type="cellIs" priority="241" operator="equal" aboveAverage="0" equalAverage="0" bottom="0" percent="0" rank="0" text="" dxfId="3282">
      <formula>'1855'!$G$13</formula>
    </cfRule>
    <cfRule type="cellIs" priority="242" operator="lessThan" aboveAverage="0" equalAverage="0" bottom="0" percent="0" rank="0" text="" dxfId="3283">
      <formula>'1855'!$G$13</formula>
    </cfRule>
  </conditionalFormatting>
  <conditionalFormatting sqref="H14">
    <cfRule type="cellIs" priority="243" operator="equal" aboveAverage="0" equalAverage="0" bottom="0" percent="0" rank="0" text="" dxfId="3284">
      <formula>'1855'!$G$14</formula>
    </cfRule>
    <cfRule type="cellIs" priority="244" operator="lessThan" aboveAverage="0" equalAverage="0" bottom="0" percent="0" rank="0" text="" dxfId="3285">
      <formula>'1855'!$G$14</formula>
    </cfRule>
  </conditionalFormatting>
  <conditionalFormatting sqref="H15">
    <cfRule type="cellIs" priority="245" operator="equal" aboveAverage="0" equalAverage="0" bottom="0" percent="0" rank="0" text="" dxfId="3286">
      <formula>'1855'!$G$15</formula>
    </cfRule>
    <cfRule type="cellIs" priority="246" operator="lessThan" aboveAverage="0" equalAverage="0" bottom="0" percent="0" rank="0" text="" dxfId="3287">
      <formula>'1855'!$G$15</formula>
    </cfRule>
  </conditionalFormatting>
  <conditionalFormatting sqref="H16">
    <cfRule type="cellIs" priority="247" operator="equal" aboveAverage="0" equalAverage="0" bottom="0" percent="0" rank="0" text="" dxfId="3288">
      <formula>'1855'!$G$16</formula>
    </cfRule>
    <cfRule type="cellIs" priority="248" operator="lessThan" aboveAverage="0" equalAverage="0" bottom="0" percent="0" rank="0" text="" dxfId="3289">
      <formula>'1855'!$G$16</formula>
    </cfRule>
  </conditionalFormatting>
  <conditionalFormatting sqref="H17">
    <cfRule type="cellIs" priority="249" operator="equal" aboveAverage="0" equalAverage="0" bottom="0" percent="0" rank="0" text="" dxfId="3290">
      <formula>'1855'!$G$17</formula>
    </cfRule>
    <cfRule type="cellIs" priority="250" operator="lessThan" aboveAverage="0" equalAverage="0" bottom="0" percent="0" rank="0" text="" dxfId="3291">
      <formula>'1855'!$G$17</formula>
    </cfRule>
  </conditionalFormatting>
  <conditionalFormatting sqref="H18">
    <cfRule type="cellIs" priority="251" operator="equal" aboveAverage="0" equalAverage="0" bottom="0" percent="0" rank="0" text="" dxfId="3292">
      <formula>'1855'!$G$18</formula>
    </cfRule>
    <cfRule type="cellIs" priority="252" operator="lessThan" aboveAverage="0" equalAverage="0" bottom="0" percent="0" rank="0" text="" dxfId="3293">
      <formula>'1855'!$G$18</formula>
    </cfRule>
  </conditionalFormatting>
  <conditionalFormatting sqref="H19">
    <cfRule type="cellIs" priority="253" operator="equal" aboveAverage="0" equalAverage="0" bottom="0" percent="0" rank="0" text="" dxfId="3294">
      <formula>'1855'!$G$19</formula>
    </cfRule>
    <cfRule type="cellIs" priority="254" operator="lessThan" aboveAverage="0" equalAverage="0" bottom="0" percent="0" rank="0" text="" dxfId="3295">
      <formula>'1855'!$G$19</formula>
    </cfRule>
  </conditionalFormatting>
  <conditionalFormatting sqref="H20">
    <cfRule type="cellIs" priority="255" operator="equal" aboveAverage="0" equalAverage="0" bottom="0" percent="0" rank="0" text="" dxfId="3296">
      <formula>'1855'!$G$20</formula>
    </cfRule>
    <cfRule type="cellIs" priority="256" operator="lessThan" aboveAverage="0" equalAverage="0" bottom="0" percent="0" rank="0" text="" dxfId="3297">
      <formula>'1855'!$G$20</formula>
    </cfRule>
  </conditionalFormatting>
  <conditionalFormatting sqref="H21">
    <cfRule type="cellIs" priority="257" operator="equal" aboveAverage="0" equalAverage="0" bottom="0" percent="0" rank="0" text="" dxfId="3298">
      <formula>'1855'!$G$21</formula>
    </cfRule>
    <cfRule type="cellIs" priority="258" operator="lessThan" aboveAverage="0" equalAverage="0" bottom="0" percent="0" rank="0" text="" dxfId="3299">
      <formula>'1855'!$G$21</formula>
    </cfRule>
  </conditionalFormatting>
  <conditionalFormatting sqref="H22">
    <cfRule type="cellIs" priority="259" operator="equal" aboveAverage="0" equalAverage="0" bottom="0" percent="0" rank="0" text="" dxfId="3300">
      <formula>'1855'!$G$22</formula>
    </cfRule>
    <cfRule type="cellIs" priority="260" operator="lessThan" aboveAverage="0" equalAverage="0" bottom="0" percent="0" rank="0" text="" dxfId="3301">
      <formula>'1855'!$G$22</formula>
    </cfRule>
  </conditionalFormatting>
  <conditionalFormatting sqref="H23">
    <cfRule type="cellIs" priority="261" operator="equal" aboveAverage="0" equalAverage="0" bottom="0" percent="0" rank="0" text="" dxfId="3302">
      <formula>'1855'!$G$23</formula>
    </cfRule>
    <cfRule type="cellIs" priority="262" operator="lessThan" aboveAverage="0" equalAverage="0" bottom="0" percent="0" rank="0" text="" dxfId="3303">
      <formula>'1855'!$G$23</formula>
    </cfRule>
  </conditionalFormatting>
  <conditionalFormatting sqref="H25">
    <cfRule type="cellIs" priority="263" operator="equal" aboveAverage="0" equalAverage="0" bottom="0" percent="0" rank="0" text="" dxfId="3304">
      <formula>'1855'!$G$25</formula>
    </cfRule>
    <cfRule type="cellIs" priority="264" operator="lessThan" aboveAverage="0" equalAverage="0" bottom="0" percent="0" rank="0" text="" dxfId="3305">
      <formula>'1855'!$G$25</formula>
    </cfRule>
  </conditionalFormatting>
  <conditionalFormatting sqref="H26">
    <cfRule type="cellIs" priority="265" operator="equal" aboveAverage="0" equalAverage="0" bottom="0" percent="0" rank="0" text="" dxfId="3306">
      <formula>'1855'!$G$26</formula>
    </cfRule>
    <cfRule type="cellIs" priority="266" operator="lessThan" aboveAverage="0" equalAverage="0" bottom="0" percent="0" rank="0" text="" dxfId="3307">
      <formula>'1855'!$G$26</formula>
    </cfRule>
  </conditionalFormatting>
  <conditionalFormatting sqref="H27">
    <cfRule type="cellIs" priority="267" operator="equal" aboveAverage="0" equalAverage="0" bottom="0" percent="0" rank="0" text="" dxfId="3308">
      <formula>'1855'!$G$27</formula>
    </cfRule>
    <cfRule type="cellIs" priority="268" operator="lessThan" aboveAverage="0" equalAverage="0" bottom="0" percent="0" rank="0" text="" dxfId="3309">
      <formula>'1855'!$G$27</formula>
    </cfRule>
  </conditionalFormatting>
  <conditionalFormatting sqref="H28">
    <cfRule type="cellIs" priority="269" operator="equal" aboveAverage="0" equalAverage="0" bottom="0" percent="0" rank="0" text="" dxfId="3310">
      <formula>'1855'!$G$28</formula>
    </cfRule>
    <cfRule type="cellIs" priority="270" operator="lessThan" aboveAverage="0" equalAverage="0" bottom="0" percent="0" rank="0" text="" dxfId="3311">
      <formula>'1855'!$G$28</formula>
    </cfRule>
  </conditionalFormatting>
  <conditionalFormatting sqref="D24">
    <cfRule type="cellIs" priority="271" operator="equal" aboveAverage="0" equalAverage="0" bottom="0" percent="0" rank="0" text="" dxfId="3312">
      <formula>'1855'!$C$24</formula>
    </cfRule>
    <cfRule type="cellIs" priority="272" operator="lessThan" aboveAverage="0" equalAverage="0" bottom="0" percent="0" rank="0" text="" dxfId="3313">
      <formula>'1855'!$C$24</formula>
    </cfRule>
  </conditionalFormatting>
  <conditionalFormatting sqref="E24">
    <cfRule type="cellIs" priority="273" operator="equal" aboveAverage="0" equalAverage="0" bottom="0" percent="0" rank="0" text="" dxfId="3314">
      <formula>'1855'!$D$24</formula>
    </cfRule>
    <cfRule type="cellIs" priority="274" operator="lessThan" aboveAverage="0" equalAverage="0" bottom="0" percent="0" rank="0" text="" dxfId="3315">
      <formula>'1855'!$D$24</formula>
    </cfRule>
  </conditionalFormatting>
  <conditionalFormatting sqref="F24">
    <cfRule type="cellIs" priority="275" operator="equal" aboveAverage="0" equalAverage="0" bottom="0" percent="0" rank="0" text="" dxfId="3316">
      <formula>'1855'!$E$24</formula>
    </cfRule>
    <cfRule type="cellIs" priority="276" operator="lessThan" aboveAverage="0" equalAverage="0" bottom="0" percent="0" rank="0" text="" dxfId="3317">
      <formula>'1855'!$E$24</formula>
    </cfRule>
  </conditionalFormatting>
  <conditionalFormatting sqref="G24">
    <cfRule type="cellIs" priority="277" operator="equal" aboveAverage="0" equalAverage="0" bottom="0" percent="0" rank="0" text="" dxfId="3318">
      <formula>'1855'!$F$24</formula>
    </cfRule>
    <cfRule type="cellIs" priority="278" operator="lessThan" aboveAverage="0" equalAverage="0" bottom="0" percent="0" rank="0" text="" dxfId="3319">
      <formula>'1855'!$F$24</formula>
    </cfRule>
  </conditionalFormatting>
  <conditionalFormatting sqref="H24">
    <cfRule type="cellIs" priority="279" operator="equal" aboveAverage="0" equalAverage="0" bottom="0" percent="0" rank="0" text="" dxfId="3320">
      <formula>'1855'!$G$24</formula>
    </cfRule>
    <cfRule type="cellIs" priority="280" operator="lessThan" aboveAverage="0" equalAverage="0" bottom="0" percent="0" rank="0" text="" dxfId="3321">
      <formula>'1855'!$G$24</formula>
    </cfRule>
  </conditionalFormatting>
  <conditionalFormatting sqref="E5">
    <cfRule type="cellIs" priority="281" operator="equal" aboveAverage="0" equalAverage="0" bottom="0" percent="0" rank="0" text="" dxfId="3322">
      <formula>'1855'!$D$5</formula>
    </cfRule>
    <cfRule type="cellIs" priority="282" operator="lessThan" aboveAverage="0" equalAverage="0" bottom="0" percent="0" rank="0" text="" dxfId="3323">
      <formula>'1855'!$D$5</formula>
    </cfRule>
  </conditionalFormatting>
  <conditionalFormatting sqref="G5">
    <cfRule type="cellIs" priority="283" operator="equal" aboveAverage="0" equalAverage="0" bottom="0" percent="0" rank="0" text="" dxfId="3324">
      <formula>'1855'!$F$5</formula>
    </cfRule>
    <cfRule type="cellIs" priority="284" operator="lessThan" aboveAverage="0" equalAverage="0" bottom="0" percent="0" rank="0" text="" dxfId="3325">
      <formula>'1855'!$F$5</formula>
    </cfRule>
  </conditionalFormatting>
  <conditionalFormatting sqref="G4">
    <cfRule type="cellIs" priority="285" operator="equal" aboveAverage="0" equalAverage="0" bottom="0" percent="0" rank="0" text="" dxfId="3326">
      <formula>'1855'!$F$4</formula>
    </cfRule>
  </conditionalFormatting>
  <conditionalFormatting sqref="J29:O29 D29:H29">
    <cfRule type="cellIs" priority="286" operator="equal" aboveAverage="0" equalAverage="0" bottom="0" percent="0" rank="0" text="" dxfId="3327">
      <formula>0</formula>
    </cfRule>
  </conditionalFormatting>
  <conditionalFormatting sqref="I13">
    <cfRule type="cellIs" priority="287" operator="equal" aboveAverage="0" equalAverage="0" bottom="0" percent="0" rank="0" text="" dxfId="3328">
      <formula>'1855'!$H$13</formula>
    </cfRule>
    <cfRule type="cellIs" priority="288" operator="lessThan" aboveAverage="0" equalAverage="0" bottom="0" percent="0" rank="0" text="" dxfId="3329">
      <formula>'1855'!$H$13</formula>
    </cfRule>
  </conditionalFormatting>
  <conditionalFormatting sqref="I14">
    <cfRule type="cellIs" priority="289" operator="equal" aboveAverage="0" equalAverage="0" bottom="0" percent="0" rank="0" text="" dxfId="3330">
      <formula>'1855'!$H$14</formula>
    </cfRule>
    <cfRule type="cellIs" priority="290" operator="lessThan" aboveAverage="0" equalAverage="0" bottom="0" percent="0" rank="0" text="" dxfId="3331">
      <formula>'1855'!$H$14</formula>
    </cfRule>
  </conditionalFormatting>
  <conditionalFormatting sqref="I15">
    <cfRule type="cellIs" priority="291" operator="equal" aboveAverage="0" equalAverage="0" bottom="0" percent="0" rank="0" text="" dxfId="3332">
      <formula>'1855'!$H$15</formula>
    </cfRule>
    <cfRule type="cellIs" priority="292" operator="lessThan" aboveAverage="0" equalAverage="0" bottom="0" percent="0" rank="0" text="" dxfId="3333">
      <formula>'1855'!$H$15</formula>
    </cfRule>
  </conditionalFormatting>
  <conditionalFormatting sqref="I16">
    <cfRule type="cellIs" priority="293" operator="equal" aboveAverage="0" equalAverage="0" bottom="0" percent="0" rank="0" text="" dxfId="3334">
      <formula>'1855'!$H$16</formula>
    </cfRule>
    <cfRule type="cellIs" priority="294" operator="lessThan" aboveAverage="0" equalAverage="0" bottom="0" percent="0" rank="0" text="" dxfId="3335">
      <formula>'1855'!$H$16</formula>
    </cfRule>
  </conditionalFormatting>
  <conditionalFormatting sqref="I17">
    <cfRule type="cellIs" priority="295" operator="equal" aboveAverage="0" equalAverage="0" bottom="0" percent="0" rank="0" text="" dxfId="3336">
      <formula>'1855'!$H$17</formula>
    </cfRule>
    <cfRule type="cellIs" priority="296" operator="lessThan" aboveAverage="0" equalAverage="0" bottom="0" percent="0" rank="0" text="" dxfId="3337">
      <formula>'1855'!$H$17</formula>
    </cfRule>
  </conditionalFormatting>
  <conditionalFormatting sqref="I18">
    <cfRule type="cellIs" priority="297" operator="equal" aboveAverage="0" equalAverage="0" bottom="0" percent="0" rank="0" text="" dxfId="3338">
      <formula>'1855'!$H$18</formula>
    </cfRule>
    <cfRule type="cellIs" priority="298" operator="lessThan" aboveAverage="0" equalAverage="0" bottom="0" percent="0" rank="0" text="" dxfId="3339">
      <formula>'1855'!$H$18</formula>
    </cfRule>
  </conditionalFormatting>
  <conditionalFormatting sqref="I19">
    <cfRule type="cellIs" priority="299" operator="equal" aboveAverage="0" equalAverage="0" bottom="0" percent="0" rank="0" text="" dxfId="3340">
      <formula>'1855'!$H$19</formula>
    </cfRule>
    <cfRule type="cellIs" priority="300" operator="lessThan" aboveAverage="0" equalAverage="0" bottom="0" percent="0" rank="0" text="" dxfId="3341">
      <formula>'1855'!$H$19</formula>
    </cfRule>
  </conditionalFormatting>
  <conditionalFormatting sqref="I20">
    <cfRule type="cellIs" priority="301" operator="equal" aboveAverage="0" equalAverage="0" bottom="0" percent="0" rank="0" text="" dxfId="3342">
      <formula>'1855'!$H$20</formula>
    </cfRule>
    <cfRule type="cellIs" priority="302" operator="lessThan" aboveAverage="0" equalAverage="0" bottom="0" percent="0" rank="0" text="" dxfId="3343">
      <formula>'1855'!$H$20</formula>
    </cfRule>
  </conditionalFormatting>
  <conditionalFormatting sqref="I21">
    <cfRule type="cellIs" priority="303" operator="equal" aboveAverage="0" equalAverage="0" bottom="0" percent="0" rank="0" text="" dxfId="3344">
      <formula>'1855'!$H$21</formula>
    </cfRule>
    <cfRule type="cellIs" priority="304" operator="lessThan" aboveAverage="0" equalAverage="0" bottom="0" percent="0" rank="0" text="" dxfId="3345">
      <formula>'1855'!$H$21</formula>
    </cfRule>
  </conditionalFormatting>
  <conditionalFormatting sqref="I22">
    <cfRule type="cellIs" priority="305" operator="equal" aboveAverage="0" equalAverage="0" bottom="0" percent="0" rank="0" text="" dxfId="3346">
      <formula>'1855'!$H$22</formula>
    </cfRule>
    <cfRule type="cellIs" priority="306" operator="lessThan" aboveAverage="0" equalAverage="0" bottom="0" percent="0" rank="0" text="" dxfId="3347">
      <formula>'1855'!$H$22</formula>
    </cfRule>
  </conditionalFormatting>
  <conditionalFormatting sqref="I23">
    <cfRule type="cellIs" priority="307" operator="equal" aboveAverage="0" equalAverage="0" bottom="0" percent="0" rank="0" text="" dxfId="3348">
      <formula>'1855'!$H$23</formula>
    </cfRule>
    <cfRule type="cellIs" priority="308" operator="lessThan" aboveAverage="0" equalAverage="0" bottom="0" percent="0" rank="0" text="" dxfId="3349">
      <formula>'1855'!$H$23</formula>
    </cfRule>
  </conditionalFormatting>
  <conditionalFormatting sqref="I24">
    <cfRule type="cellIs" priority="309" operator="equal" aboveAverage="0" equalAverage="0" bottom="0" percent="0" rank="0" text="" dxfId="3350">
      <formula>'1855'!$H$24</formula>
    </cfRule>
    <cfRule type="cellIs" priority="310" operator="lessThan" aboveAverage="0" equalAverage="0" bottom="0" percent="0" rank="0" text="" dxfId="3351">
      <formula>'1855'!$H$24</formula>
    </cfRule>
  </conditionalFormatting>
  <conditionalFormatting sqref="I25">
    <cfRule type="cellIs" priority="311" operator="equal" aboveAverage="0" equalAverage="0" bottom="0" percent="0" rank="0" text="" dxfId="3352">
      <formula>'1855'!$H$25</formula>
    </cfRule>
    <cfRule type="cellIs" priority="312" operator="lessThan" aboveAverage="0" equalAverage="0" bottom="0" percent="0" rank="0" text="" dxfId="3353">
      <formula>'1855'!$H$25</formula>
    </cfRule>
  </conditionalFormatting>
  <conditionalFormatting sqref="I26">
    <cfRule type="cellIs" priority="313" operator="equal" aboveAverage="0" equalAverage="0" bottom="0" percent="0" rank="0" text="" dxfId="3354">
      <formula>'1855'!$H$26</formula>
    </cfRule>
    <cfRule type="cellIs" priority="314" operator="lessThan" aboveAverage="0" equalAverage="0" bottom="0" percent="0" rank="0" text="" dxfId="3355">
      <formula>'1855'!$H$26</formula>
    </cfRule>
  </conditionalFormatting>
  <conditionalFormatting sqref="I27">
    <cfRule type="cellIs" priority="315" operator="equal" aboveAverage="0" equalAverage="0" bottom="0" percent="0" rank="0" text="" dxfId="3356">
      <formula>'1855'!$H$27</formula>
    </cfRule>
    <cfRule type="cellIs" priority="316" operator="lessThan" aboveAverage="0" equalAverage="0" bottom="0" percent="0" rank="0" text="" dxfId="3357">
      <formula>'1855'!$H$27</formula>
    </cfRule>
    <cfRule type="cellIs" priority="317" operator="lessThan" aboveAverage="0" equalAverage="0" bottom="0" percent="0" rank="0" text="" dxfId="3358">
      <formula>'1855'!$H$27</formula>
    </cfRule>
  </conditionalFormatting>
  <conditionalFormatting sqref="I28">
    <cfRule type="cellIs" priority="318" operator="equal" aboveAverage="0" equalAverage="0" bottom="0" percent="0" rank="0" text="" dxfId="3359">
      <formula>'1855'!$H$28</formula>
    </cfRule>
    <cfRule type="cellIs" priority="319" operator="lessThan" aboveAverage="0" equalAverage="0" bottom="0" percent="0" rank="0" text="" dxfId="3360">
      <formula>'1855'!$H$28</formula>
    </cfRule>
  </conditionalFormatting>
  <conditionalFormatting sqref="I29">
    <cfRule type="cellIs" priority="320" operator="equal" aboveAverage="0" equalAverage="0" bottom="0" percent="0" rank="0" text="" dxfId="3361">
      <formula>'1855'!$H$29</formula>
    </cfRule>
    <cfRule type="cellIs" priority="321" operator="lessThan" aboveAverage="0" equalAverage="0" bottom="0" percent="0" rank="0" text="" dxfId="3362">
      <formula>'1855'!$H$29</formula>
    </cfRule>
  </conditionalFormatting>
  <conditionalFormatting sqref="J13">
    <cfRule type="cellIs" priority="322" operator="equal" aboveAverage="0" equalAverage="0" bottom="0" percent="0" rank="0" text="" dxfId="3363">
      <formula>'1855'!$I$13</formula>
    </cfRule>
    <cfRule type="cellIs" priority="323" operator="lessThan" aboveAverage="0" equalAverage="0" bottom="0" percent="0" rank="0" text="" dxfId="3364">
      <formula>'1855'!$I$13</formula>
    </cfRule>
  </conditionalFormatting>
  <conditionalFormatting sqref="J14">
    <cfRule type="cellIs" priority="324" operator="equal" aboveAverage="0" equalAverage="0" bottom="0" percent="0" rank="0" text="" dxfId="3365">
      <formula>'1855'!$I$14</formula>
    </cfRule>
    <cfRule type="cellIs" priority="325" operator="lessThan" aboveAverage="0" equalAverage="0" bottom="0" percent="0" rank="0" text="" dxfId="3366">
      <formula>'1855'!$I$14</formula>
    </cfRule>
  </conditionalFormatting>
  <conditionalFormatting sqref="J15">
    <cfRule type="cellIs" priority="326" operator="equal" aboveAverage="0" equalAverage="0" bottom="0" percent="0" rank="0" text="" dxfId="3367">
      <formula>'1855'!$I$15</formula>
    </cfRule>
    <cfRule type="cellIs" priority="327" operator="lessThan" aboveAverage="0" equalAverage="0" bottom="0" percent="0" rank="0" text="" dxfId="3368">
      <formula>'1855'!$I$15</formula>
    </cfRule>
  </conditionalFormatting>
  <conditionalFormatting sqref="J16">
    <cfRule type="cellIs" priority="328" operator="equal" aboveAverage="0" equalAverage="0" bottom="0" percent="0" rank="0" text="" dxfId="3369">
      <formula>'1855'!$I$16</formula>
    </cfRule>
    <cfRule type="cellIs" priority="329" operator="lessThan" aboveAverage="0" equalAverage="0" bottom="0" percent="0" rank="0" text="" dxfId="3370">
      <formula>'1855'!$I$16</formula>
    </cfRule>
  </conditionalFormatting>
  <conditionalFormatting sqref="J17">
    <cfRule type="cellIs" priority="330" operator="equal" aboveAverage="0" equalAverage="0" bottom="0" percent="0" rank="0" text="" dxfId="3371">
      <formula>'1855'!$I$17</formula>
    </cfRule>
    <cfRule type="cellIs" priority="331" operator="lessThan" aboveAverage="0" equalAverage="0" bottom="0" percent="0" rank="0" text="" dxfId="3372">
      <formula>'1855'!$I$17</formula>
    </cfRule>
  </conditionalFormatting>
  <conditionalFormatting sqref="J18">
    <cfRule type="cellIs" priority="332" operator="equal" aboveAverage="0" equalAverage="0" bottom="0" percent="0" rank="0" text="" dxfId="3373">
      <formula>'1855'!$I$18</formula>
    </cfRule>
    <cfRule type="cellIs" priority="333" operator="lessThan" aboveAverage="0" equalAverage="0" bottom="0" percent="0" rank="0" text="" dxfId="3374">
      <formula>'1855'!$I$18</formula>
    </cfRule>
  </conditionalFormatting>
  <conditionalFormatting sqref="J19">
    <cfRule type="cellIs" priority="334" operator="equal" aboveAverage="0" equalAverage="0" bottom="0" percent="0" rank="0" text="" dxfId="3375">
      <formula>'1855'!$I$19</formula>
    </cfRule>
    <cfRule type="cellIs" priority="335" operator="lessThan" aboveAverage="0" equalAverage="0" bottom="0" percent="0" rank="0" text="" dxfId="3376">
      <formula>'1855'!$I$19</formula>
    </cfRule>
  </conditionalFormatting>
  <conditionalFormatting sqref="J20">
    <cfRule type="cellIs" priority="336" operator="equal" aboveAverage="0" equalAverage="0" bottom="0" percent="0" rank="0" text="" dxfId="3377">
      <formula>'1855'!$I$20</formula>
    </cfRule>
    <cfRule type="cellIs" priority="337" operator="lessThan" aboveAverage="0" equalAverage="0" bottom="0" percent="0" rank="0" text="" dxfId="3378">
      <formula>'1855'!$I$20</formula>
    </cfRule>
  </conditionalFormatting>
  <conditionalFormatting sqref="J21">
    <cfRule type="cellIs" priority="338" operator="equal" aboveAverage="0" equalAverage="0" bottom="0" percent="0" rank="0" text="" dxfId="3379">
      <formula>'1855'!$I$21</formula>
    </cfRule>
    <cfRule type="cellIs" priority="339" operator="lessThan" aboveAverage="0" equalAverage="0" bottom="0" percent="0" rank="0" text="" dxfId="3380">
      <formula>'1855'!$I$21</formula>
    </cfRule>
  </conditionalFormatting>
  <conditionalFormatting sqref="J22">
    <cfRule type="cellIs" priority="340" operator="equal" aboveAverage="0" equalAverage="0" bottom="0" percent="0" rank="0" text="" dxfId="3381">
      <formula>'1855'!$I$22</formula>
    </cfRule>
    <cfRule type="cellIs" priority="341" operator="lessThan" aboveAverage="0" equalAverage="0" bottom="0" percent="0" rank="0" text="" dxfId="3382">
      <formula>'1855'!$I$22</formula>
    </cfRule>
  </conditionalFormatting>
  <conditionalFormatting sqref="J23">
    <cfRule type="cellIs" priority="342" operator="equal" aboveAverage="0" equalAverage="0" bottom="0" percent="0" rank="0" text="" dxfId="3383">
      <formula>'1855'!$I$23</formula>
    </cfRule>
    <cfRule type="cellIs" priority="343" operator="lessThan" aboveAverage="0" equalAverage="0" bottom="0" percent="0" rank="0" text="" dxfId="3384">
      <formula>'1855'!$I$23</formula>
    </cfRule>
  </conditionalFormatting>
  <conditionalFormatting sqref="J24">
    <cfRule type="cellIs" priority="344" operator="equal" aboveAverage="0" equalAverage="0" bottom="0" percent="0" rank="0" text="" dxfId="3385">
      <formula>'1855'!$I$24</formula>
    </cfRule>
    <cfRule type="cellIs" priority="345" operator="lessThan" aboveAverage="0" equalAverage="0" bottom="0" percent="0" rank="0" text="" dxfId="3386">
      <formula>'1855'!$I$24</formula>
    </cfRule>
  </conditionalFormatting>
  <conditionalFormatting sqref="J25">
    <cfRule type="cellIs" priority="346" operator="equal" aboveAverage="0" equalAverage="0" bottom="0" percent="0" rank="0" text="" dxfId="3387">
      <formula>'1855'!$I$25</formula>
    </cfRule>
    <cfRule type="cellIs" priority="347" operator="lessThan" aboveAverage="0" equalAverage="0" bottom="0" percent="0" rank="0" text="" dxfId="3388">
      <formula>'1855'!$I$25</formula>
    </cfRule>
  </conditionalFormatting>
  <conditionalFormatting sqref="J26">
    <cfRule type="cellIs" priority="348" operator="equal" aboveAverage="0" equalAverage="0" bottom="0" percent="0" rank="0" text="" dxfId="3389">
      <formula>'1855'!$I$26</formula>
    </cfRule>
    <cfRule type="cellIs" priority="349" operator="lessThan" aboveAverage="0" equalAverage="0" bottom="0" percent="0" rank="0" text="" dxfId="3390">
      <formula>'1855'!$I$26</formula>
    </cfRule>
  </conditionalFormatting>
  <conditionalFormatting sqref="J27">
    <cfRule type="cellIs" priority="350" operator="equal" aboveAverage="0" equalAverage="0" bottom="0" percent="0" rank="0" text="" dxfId="3391">
      <formula>'1855'!$I$27</formula>
    </cfRule>
    <cfRule type="cellIs" priority="351" operator="lessThan" aboveAverage="0" equalAverage="0" bottom="0" percent="0" rank="0" text="" dxfId="3392">
      <formula>'1855'!$I$27</formula>
    </cfRule>
  </conditionalFormatting>
  <conditionalFormatting sqref="J28">
    <cfRule type="cellIs" priority="352" operator="equal" aboveAverage="0" equalAverage="0" bottom="0" percent="0" rank="0" text="" dxfId="3393">
      <formula>'1855'!$I$28</formula>
    </cfRule>
    <cfRule type="cellIs" priority="353" operator="lessThan" aboveAverage="0" equalAverage="0" bottom="0" percent="0" rank="0" text="" dxfId="3394">
      <formula>'1855'!$I$28</formula>
    </cfRule>
  </conditionalFormatting>
  <conditionalFormatting sqref="K4">
    <cfRule type="cellIs" priority="354" operator="equal" aboveAverage="0" equalAverage="0" bottom="0" percent="0" rank="0" text="" dxfId="3395">
      <formula>'1855'!$J$4</formula>
    </cfRule>
    <cfRule type="cellIs" priority="355" operator="lessThan" aboveAverage="0" equalAverage="0" bottom="0" percent="0" rank="0" text="" dxfId="3396">
      <formula>'1855'!$J$4</formula>
    </cfRule>
  </conditionalFormatting>
  <conditionalFormatting sqref="K5">
    <cfRule type="cellIs" priority="356" operator="equal" aboveAverage="0" equalAverage="0" bottom="0" percent="0" rank="0" text="" dxfId="3397">
      <formula>'1855'!$J$5</formula>
    </cfRule>
    <cfRule type="cellIs" priority="357" operator="lessThan" aboveAverage="0" equalAverage="0" bottom="0" percent="0" rank="0" text="" dxfId="3398">
      <formula>'1855'!$J$5</formula>
    </cfRule>
  </conditionalFormatting>
  <conditionalFormatting sqref="K6">
    <cfRule type="cellIs" priority="358" operator="equal" aboveAverage="0" equalAverage="0" bottom="0" percent="0" rank="0" text="" dxfId="3399">
      <formula>'1855'!$J$6</formula>
    </cfRule>
    <cfRule type="cellIs" priority="359" operator="lessThan" aboveAverage="0" equalAverage="0" bottom="0" percent="0" rank="0" text="" dxfId="3400">
      <formula>'1855'!$J$6</formula>
    </cfRule>
  </conditionalFormatting>
  <conditionalFormatting sqref="K7">
    <cfRule type="cellIs" priority="360" operator="equal" aboveAverage="0" equalAverage="0" bottom="0" percent="0" rank="0" text="" dxfId="3401">
      <formula>'1855'!$J$7</formula>
    </cfRule>
    <cfRule type="cellIs" priority="361" operator="lessThan" aboveAverage="0" equalAverage="0" bottom="0" percent="0" rank="0" text="" dxfId="3402">
      <formula>'1855'!$J$7</formula>
    </cfRule>
  </conditionalFormatting>
  <conditionalFormatting sqref="K8">
    <cfRule type="cellIs" priority="362" operator="equal" aboveAverage="0" equalAverage="0" bottom="0" percent="0" rank="0" text="" dxfId="3403">
      <formula>'1855'!$J$8</formula>
    </cfRule>
    <cfRule type="cellIs" priority="363" operator="lessThan" aboveAverage="0" equalAverage="0" bottom="0" percent="0" rank="0" text="" dxfId="3404">
      <formula>'1855'!$J$8</formula>
    </cfRule>
  </conditionalFormatting>
  <conditionalFormatting sqref="K9">
    <cfRule type="cellIs" priority="364" operator="equal" aboveAverage="0" equalAverage="0" bottom="0" percent="0" rank="0" text="" dxfId="3405">
      <formula>'1855'!$J$9</formula>
    </cfRule>
    <cfRule type="cellIs" priority="365" operator="lessThan" aboveAverage="0" equalAverage="0" bottom="0" percent="0" rank="0" text="" dxfId="3406">
      <formula>'1855'!$J$9</formula>
    </cfRule>
  </conditionalFormatting>
  <conditionalFormatting sqref="K10">
    <cfRule type="cellIs" priority="366" operator="equal" aboveAverage="0" equalAverage="0" bottom="0" percent="0" rank="0" text="" dxfId="3407">
      <formula>'1855'!$J$10</formula>
    </cfRule>
    <cfRule type="cellIs" priority="367" operator="lessThan" aboveAverage="0" equalAverage="0" bottom="0" percent="0" rank="0" text="" dxfId="3408">
      <formula>'1855'!$J$10</formula>
    </cfRule>
  </conditionalFormatting>
  <conditionalFormatting sqref="K11">
    <cfRule type="cellIs" priority="368" operator="equal" aboveAverage="0" equalAverage="0" bottom="0" percent="0" rank="0" text="" dxfId="3409">
      <formula>'1855'!$J$11</formula>
    </cfRule>
    <cfRule type="cellIs" priority="369" operator="lessThan" aboveAverage="0" equalAverage="0" bottom="0" percent="0" rank="0" text="" dxfId="3410">
      <formula>'1855'!$J$11</formula>
    </cfRule>
  </conditionalFormatting>
  <conditionalFormatting sqref="K12">
    <cfRule type="cellIs" priority="370" operator="equal" aboveAverage="0" equalAverage="0" bottom="0" percent="0" rank="0" text="" dxfId="3411">
      <formula>'1855'!$J$12</formula>
    </cfRule>
    <cfRule type="cellIs" priority="371" operator="lessThan" aboveAverage="0" equalAverage="0" bottom="0" percent="0" rank="0" text="" dxfId="3412">
      <formula>'1855'!$J$12</formula>
    </cfRule>
  </conditionalFormatting>
  <conditionalFormatting sqref="K13">
    <cfRule type="cellIs" priority="372" operator="equal" aboveAverage="0" equalAverage="0" bottom="0" percent="0" rank="0" text="" dxfId="3413">
      <formula>'1855'!$J$13</formula>
    </cfRule>
    <cfRule type="cellIs" priority="373" operator="lessThan" aboveAverage="0" equalAverage="0" bottom="0" percent="0" rank="0" text="" dxfId="3414">
      <formula>'1855'!$J$13</formula>
    </cfRule>
  </conditionalFormatting>
  <conditionalFormatting sqref="K14">
    <cfRule type="cellIs" priority="374" operator="equal" aboveAverage="0" equalAverage="0" bottom="0" percent="0" rank="0" text="" dxfId="3415">
      <formula>'1855'!$J$14</formula>
    </cfRule>
    <cfRule type="cellIs" priority="375" operator="lessThan" aboveAverage="0" equalAverage="0" bottom="0" percent="0" rank="0" text="" dxfId="3416">
      <formula>'1855'!$J$14</formula>
    </cfRule>
  </conditionalFormatting>
  <conditionalFormatting sqref="K15">
    <cfRule type="cellIs" priority="376" operator="equal" aboveAverage="0" equalAverage="0" bottom="0" percent="0" rank="0" text="" dxfId="3417">
      <formula>'1855'!$J$15</formula>
    </cfRule>
    <cfRule type="cellIs" priority="377" operator="lessThan" aboveAverage="0" equalAverage="0" bottom="0" percent="0" rank="0" text="" dxfId="3418">
      <formula>'1855'!$J$15</formula>
    </cfRule>
  </conditionalFormatting>
  <conditionalFormatting sqref="K16">
    <cfRule type="cellIs" priority="378" operator="equal" aboveAverage="0" equalAverage="0" bottom="0" percent="0" rank="0" text="" dxfId="3419">
      <formula>'1855'!$J$16</formula>
    </cfRule>
    <cfRule type="cellIs" priority="379" operator="lessThan" aboveAverage="0" equalAverage="0" bottom="0" percent="0" rank="0" text="" dxfId="3420">
      <formula>'1855'!$J$16</formula>
    </cfRule>
  </conditionalFormatting>
  <conditionalFormatting sqref="K17">
    <cfRule type="cellIs" priority="380" operator="equal" aboveAverage="0" equalAverage="0" bottom="0" percent="0" rank="0" text="" dxfId="3421">
      <formula>'1855'!$J$17</formula>
    </cfRule>
    <cfRule type="cellIs" priority="381" operator="lessThan" aboveAverage="0" equalAverage="0" bottom="0" percent="0" rank="0" text="" dxfId="3422">
      <formula>'1855'!$J$17</formula>
    </cfRule>
  </conditionalFormatting>
  <conditionalFormatting sqref="K18">
    <cfRule type="cellIs" priority="382" operator="equal" aboveAverage="0" equalAverage="0" bottom="0" percent="0" rank="0" text="" dxfId="3423">
      <formula>'1855'!$J$18</formula>
    </cfRule>
    <cfRule type="cellIs" priority="383" operator="lessThan" aboveAverage="0" equalAverage="0" bottom="0" percent="0" rank="0" text="" dxfId="3424">
      <formula>'1855'!$J$18</formula>
    </cfRule>
  </conditionalFormatting>
  <conditionalFormatting sqref="K19">
    <cfRule type="cellIs" priority="384" operator="equal" aboveAverage="0" equalAverage="0" bottom="0" percent="0" rank="0" text="" dxfId="3425">
      <formula>'1855'!$J$19</formula>
    </cfRule>
    <cfRule type="cellIs" priority="385" operator="lessThan" aboveAverage="0" equalAverage="0" bottom="0" percent="0" rank="0" text="" dxfId="3426">
      <formula>'1855'!$J$19</formula>
    </cfRule>
  </conditionalFormatting>
  <conditionalFormatting sqref="K20">
    <cfRule type="cellIs" priority="386" operator="equal" aboveAverage="0" equalAverage="0" bottom="0" percent="0" rank="0" text="" dxfId="3427">
      <formula>'1855'!$J$20</formula>
    </cfRule>
    <cfRule type="cellIs" priority="387" operator="lessThan" aboveAverage="0" equalAverage="0" bottom="0" percent="0" rank="0" text="" dxfId="3428">
      <formula>'1855'!$J$20</formula>
    </cfRule>
  </conditionalFormatting>
  <conditionalFormatting sqref="K21">
    <cfRule type="cellIs" priority="388" operator="equal" aboveAverage="0" equalAverage="0" bottom="0" percent="0" rank="0" text="" dxfId="3429">
      <formula>'1855'!$J$21</formula>
    </cfRule>
    <cfRule type="cellIs" priority="389" operator="lessThan" aboveAverage="0" equalAverage="0" bottom="0" percent="0" rank="0" text="" dxfId="3430">
      <formula>'1855'!$J$21</formula>
    </cfRule>
  </conditionalFormatting>
  <conditionalFormatting sqref="K22">
    <cfRule type="cellIs" priority="390" operator="equal" aboveAverage="0" equalAverage="0" bottom="0" percent="0" rank="0" text="" dxfId="3431">
      <formula>'1855'!$J$22</formula>
    </cfRule>
    <cfRule type="cellIs" priority="391" operator="lessThan" aboveAverage="0" equalAverage="0" bottom="0" percent="0" rank="0" text="" dxfId="3432">
      <formula>'1855'!$J$22</formula>
    </cfRule>
  </conditionalFormatting>
  <conditionalFormatting sqref="K23">
    <cfRule type="cellIs" priority="392" operator="equal" aboveAverage="0" equalAverage="0" bottom="0" percent="0" rank="0" text="" dxfId="3433">
      <formula>'1855'!$J$23</formula>
    </cfRule>
    <cfRule type="cellIs" priority="393" operator="lessThan" aboveAverage="0" equalAverage="0" bottom="0" percent="0" rank="0" text="" dxfId="3434">
      <formula>'1855'!$J$23</formula>
    </cfRule>
  </conditionalFormatting>
  <conditionalFormatting sqref="K24">
    <cfRule type="cellIs" priority="394" operator="equal" aboveAverage="0" equalAverage="0" bottom="0" percent="0" rank="0" text="" dxfId="3435">
      <formula>'1855'!$J$24</formula>
    </cfRule>
    <cfRule type="cellIs" priority="395" operator="lessThan" aboveAverage="0" equalAverage="0" bottom="0" percent="0" rank="0" text="" dxfId="3436">
      <formula>'1855'!$J$24</formula>
    </cfRule>
  </conditionalFormatting>
  <conditionalFormatting sqref="K25">
    <cfRule type="cellIs" priority="396" operator="equal" aboveAverage="0" equalAverage="0" bottom="0" percent="0" rank="0" text="" dxfId="3437">
      <formula>'1855'!$J$25</formula>
    </cfRule>
    <cfRule type="cellIs" priority="397" operator="lessThan" aboveAverage="0" equalAverage="0" bottom="0" percent="0" rank="0" text="" dxfId="3438">
      <formula>'1855'!$J$25</formula>
    </cfRule>
  </conditionalFormatting>
  <conditionalFormatting sqref="K26">
    <cfRule type="cellIs" priority="398" operator="equal" aboveAverage="0" equalAverage="0" bottom="0" percent="0" rank="0" text="" dxfId="3439">
      <formula>'1855'!$J$26</formula>
    </cfRule>
    <cfRule type="cellIs" priority="399" operator="lessThan" aboveAverage="0" equalAverage="0" bottom="0" percent="0" rank="0" text="" dxfId="3440">
      <formula>'1855'!$J$26</formula>
    </cfRule>
  </conditionalFormatting>
  <conditionalFormatting sqref="K27">
    <cfRule type="cellIs" priority="400" operator="equal" aboveAverage="0" equalAverage="0" bottom="0" percent="0" rank="0" text="" dxfId="3441">
      <formula>'1855'!$J$27</formula>
    </cfRule>
    <cfRule type="cellIs" priority="401" operator="lessThan" aboveAverage="0" equalAverage="0" bottom="0" percent="0" rank="0" text="" dxfId="3442">
      <formula>'1855'!$J$27</formula>
    </cfRule>
  </conditionalFormatting>
  <conditionalFormatting sqref="K28">
    <cfRule type="cellIs" priority="402" operator="lessThan" aboveAverage="0" equalAverage="0" bottom="0" percent="0" rank="0" text="" dxfId="3443">
      <formula>'1855'!$J$28</formula>
    </cfRule>
    <cfRule type="cellIs" priority="403" operator="equal" aboveAverage="0" equalAverage="0" bottom="0" percent="0" rank="0" text="" dxfId="3444">
      <formula>'1855'!$J$28</formula>
    </cfRule>
  </conditionalFormatting>
  <conditionalFormatting sqref="L4">
    <cfRule type="cellIs" priority="404" operator="equal" aboveAverage="0" equalAverage="0" bottom="0" percent="0" rank="0" text="" dxfId="3445">
      <formula>'1855'!$K$4</formula>
    </cfRule>
    <cfRule type="cellIs" priority="405" operator="lessThan" aboveAverage="0" equalAverage="0" bottom="0" percent="0" rank="0" text="" dxfId="3446">
      <formula>'1855'!$K$4</formula>
    </cfRule>
  </conditionalFormatting>
  <conditionalFormatting sqref="L5">
    <cfRule type="cellIs" priority="406" operator="equal" aboveAverage="0" equalAverage="0" bottom="0" percent="0" rank="0" text="" dxfId="3447">
      <formula>'1855'!$K$5</formula>
    </cfRule>
    <cfRule type="cellIs" priority="407" operator="lessThan" aboveAverage="0" equalAverage="0" bottom="0" percent="0" rank="0" text="" dxfId="3448">
      <formula>'1855'!$K$5</formula>
    </cfRule>
  </conditionalFormatting>
  <conditionalFormatting sqref="L6">
    <cfRule type="cellIs" priority="408" operator="equal" aboveAverage="0" equalAverage="0" bottom="0" percent="0" rank="0" text="" dxfId="3449">
      <formula>'1855'!$K$6</formula>
    </cfRule>
    <cfRule type="cellIs" priority="409" operator="lessThan" aboveAverage="0" equalAverage="0" bottom="0" percent="0" rank="0" text="" dxfId="3450">
      <formula>'1855'!$K$6</formula>
    </cfRule>
  </conditionalFormatting>
  <conditionalFormatting sqref="L7">
    <cfRule type="cellIs" priority="410" operator="equal" aboveAverage="0" equalAverage="0" bottom="0" percent="0" rank="0" text="" dxfId="3451">
      <formula>'1855'!$K$7</formula>
    </cfRule>
    <cfRule type="cellIs" priority="411" operator="lessThan" aboveAverage="0" equalAverage="0" bottom="0" percent="0" rank="0" text="" dxfId="3452">
      <formula>'1855'!$K$7</formula>
    </cfRule>
  </conditionalFormatting>
  <conditionalFormatting sqref="L8">
    <cfRule type="cellIs" priority="412" operator="equal" aboveAverage="0" equalAverage="0" bottom="0" percent="0" rank="0" text="" dxfId="3453">
      <formula>'1855'!$K$8</formula>
    </cfRule>
    <cfRule type="cellIs" priority="413" operator="lessThan" aboveAverage="0" equalAverage="0" bottom="0" percent="0" rank="0" text="" dxfId="3454">
      <formula>'1855'!$K$8</formula>
    </cfRule>
  </conditionalFormatting>
  <conditionalFormatting sqref="L9">
    <cfRule type="cellIs" priority="414" operator="equal" aboveAverage="0" equalAverage="0" bottom="0" percent="0" rank="0" text="" dxfId="3455">
      <formula>'1855'!$K$9</formula>
    </cfRule>
    <cfRule type="cellIs" priority="415" operator="lessThan" aboveAverage="0" equalAverage="0" bottom="0" percent="0" rank="0" text="" dxfId="3456">
      <formula>'1855'!$K$9</formula>
    </cfRule>
  </conditionalFormatting>
  <conditionalFormatting sqref="L10">
    <cfRule type="cellIs" priority="416" operator="equal" aboveAverage="0" equalAverage="0" bottom="0" percent="0" rank="0" text="" dxfId="3457">
      <formula>'1855'!$K$10</formula>
    </cfRule>
    <cfRule type="cellIs" priority="417" operator="lessThan" aboveAverage="0" equalAverage="0" bottom="0" percent="0" rank="0" text="" dxfId="3458">
      <formula>'1855'!$K$10</formula>
    </cfRule>
  </conditionalFormatting>
  <conditionalFormatting sqref="L12">
    <cfRule type="cellIs" priority="418" operator="equal" aboveAverage="0" equalAverage="0" bottom="0" percent="0" rank="0" text="" dxfId="3459">
      <formula>'1855'!$K$12</formula>
    </cfRule>
    <cfRule type="cellIs" priority="419" operator="lessThan" aboveAverage="0" equalAverage="0" bottom="0" percent="0" rank="0" text="" dxfId="3460">
      <formula>'1855'!$K$12</formula>
    </cfRule>
  </conditionalFormatting>
  <conditionalFormatting sqref="L13">
    <cfRule type="cellIs" priority="420" operator="equal" aboveAverage="0" equalAverage="0" bottom="0" percent="0" rank="0" text="" dxfId="3461">
      <formula>'1855'!$K$13</formula>
    </cfRule>
    <cfRule type="cellIs" priority="421" operator="lessThan" aboveAverage="0" equalAverage="0" bottom="0" percent="0" rank="0" text="" dxfId="3462">
      <formula>'1855'!$K$13</formula>
    </cfRule>
  </conditionalFormatting>
  <conditionalFormatting sqref="L14">
    <cfRule type="cellIs" priority="422" operator="equal" aboveAverage="0" equalAverage="0" bottom="0" percent="0" rank="0" text="" dxfId="3463">
      <formula>'1855'!$K$14</formula>
    </cfRule>
    <cfRule type="cellIs" priority="423" operator="lessThan" aboveAverage="0" equalAverage="0" bottom="0" percent="0" rank="0" text="" dxfId="3464">
      <formula>'1855'!$K$14</formula>
    </cfRule>
  </conditionalFormatting>
  <conditionalFormatting sqref="L15">
    <cfRule type="cellIs" priority="424" operator="equal" aboveAverage="0" equalAverage="0" bottom="0" percent="0" rank="0" text="" dxfId="3465">
      <formula>'1855'!$K$15</formula>
    </cfRule>
    <cfRule type="cellIs" priority="425" operator="lessThan" aboveAverage="0" equalAverage="0" bottom="0" percent="0" rank="0" text="" dxfId="3466">
      <formula>'1855'!$K$15</formula>
    </cfRule>
  </conditionalFormatting>
  <conditionalFormatting sqref="L16">
    <cfRule type="cellIs" priority="426" operator="equal" aboveAverage="0" equalAverage="0" bottom="0" percent="0" rank="0" text="" dxfId="3467">
      <formula>'1855'!$K$16</formula>
    </cfRule>
    <cfRule type="cellIs" priority="427" operator="lessThan" aboveAverage="0" equalAverage="0" bottom="0" percent="0" rank="0" text="" dxfId="3468">
      <formula>'1855'!$K$16</formula>
    </cfRule>
  </conditionalFormatting>
  <conditionalFormatting sqref="L17">
    <cfRule type="cellIs" priority="428" operator="equal" aboveAverage="0" equalAverage="0" bottom="0" percent="0" rank="0" text="" dxfId="3469">
      <formula>'1855'!$K$17</formula>
    </cfRule>
    <cfRule type="cellIs" priority="429" operator="lessThan" aboveAverage="0" equalAverage="0" bottom="0" percent="0" rank="0" text="" dxfId="3470">
      <formula>'1855'!$K$17</formula>
    </cfRule>
  </conditionalFormatting>
  <conditionalFormatting sqref="L18">
    <cfRule type="cellIs" priority="430" operator="equal" aboveAverage="0" equalAverage="0" bottom="0" percent="0" rank="0" text="" dxfId="3471">
      <formula>'1855'!$K$18</formula>
    </cfRule>
    <cfRule type="cellIs" priority="431" operator="lessThan" aboveAverage="0" equalAverage="0" bottom="0" percent="0" rank="0" text="" dxfId="3472">
      <formula>'1855'!$K$18</formula>
    </cfRule>
  </conditionalFormatting>
  <conditionalFormatting sqref="L19">
    <cfRule type="cellIs" priority="432" operator="equal" aboveAverage="0" equalAverage="0" bottom="0" percent="0" rank="0" text="" dxfId="3473">
      <formula>'1855'!$K$19</formula>
    </cfRule>
    <cfRule type="cellIs" priority="433" operator="lessThan" aboveAverage="0" equalAverage="0" bottom="0" percent="0" rank="0" text="" dxfId="3474">
      <formula>'1855'!$K$19</formula>
    </cfRule>
  </conditionalFormatting>
  <conditionalFormatting sqref="L20">
    <cfRule type="cellIs" priority="434" operator="equal" aboveAverage="0" equalAverage="0" bottom="0" percent="0" rank="0" text="" dxfId="3475">
      <formula>'1855'!$K$20</formula>
    </cfRule>
    <cfRule type="cellIs" priority="435" operator="lessThan" aboveAverage="0" equalAverage="0" bottom="0" percent="0" rank="0" text="" dxfId="3476">
      <formula>'1855'!$K$20</formula>
    </cfRule>
  </conditionalFormatting>
  <conditionalFormatting sqref="L21">
    <cfRule type="cellIs" priority="436" operator="equal" aboveAverage="0" equalAverage="0" bottom="0" percent="0" rank="0" text="" dxfId="3477">
      <formula>'1855'!$K$21</formula>
    </cfRule>
    <cfRule type="cellIs" priority="437" operator="lessThan" aboveAverage="0" equalAverage="0" bottom="0" percent="0" rank="0" text="" dxfId="3478">
      <formula>'1855'!$K$21</formula>
    </cfRule>
  </conditionalFormatting>
  <conditionalFormatting sqref="L11">
    <cfRule type="cellIs" priority="438" operator="equal" aboveAverage="0" equalAverage="0" bottom="0" percent="0" rank="0" text="" dxfId="3479">
      <formula>'1855'!$K$11</formula>
    </cfRule>
    <cfRule type="cellIs" priority="439" operator="lessThan" aboveAverage="0" equalAverage="0" bottom="0" percent="0" rank="0" text="" dxfId="3480">
      <formula>'1855'!$K$11</formula>
    </cfRule>
  </conditionalFormatting>
  <conditionalFormatting sqref="L22">
    <cfRule type="cellIs" priority="440" operator="equal" aboveAverage="0" equalAverage="0" bottom="0" percent="0" rank="0" text="" dxfId="3481">
      <formula>'1855'!$K$22</formula>
    </cfRule>
    <cfRule type="cellIs" priority="441" operator="lessThan" aboveAverage="0" equalAverage="0" bottom="0" percent="0" rank="0" text="" dxfId="3482">
      <formula>'1855'!$K$22</formula>
    </cfRule>
  </conditionalFormatting>
  <conditionalFormatting sqref="L23">
    <cfRule type="cellIs" priority="442" operator="equal" aboveAverage="0" equalAverage="0" bottom="0" percent="0" rank="0" text="" dxfId="3483">
      <formula>'1855'!$K$23</formula>
    </cfRule>
    <cfRule type="cellIs" priority="443" operator="lessThan" aboveAverage="0" equalAverage="0" bottom="0" percent="0" rank="0" text="" dxfId="3484">
      <formula>'1855'!$K$23</formula>
    </cfRule>
  </conditionalFormatting>
  <conditionalFormatting sqref="L24">
    <cfRule type="cellIs" priority="444" operator="equal" aboveAverage="0" equalAverage="0" bottom="0" percent="0" rank="0" text="" dxfId="3485">
      <formula>'1855'!$K$24</formula>
    </cfRule>
    <cfRule type="cellIs" priority="445" operator="lessThan" aboveAverage="0" equalAverage="0" bottom="0" percent="0" rank="0" text="" dxfId="3486">
      <formula>'1855'!$K$24</formula>
    </cfRule>
  </conditionalFormatting>
  <conditionalFormatting sqref="L25">
    <cfRule type="cellIs" priority="446" operator="equal" aboveAverage="0" equalAverage="0" bottom="0" percent="0" rank="0" text="" dxfId="3487">
      <formula>'1855'!$K$25</formula>
    </cfRule>
    <cfRule type="cellIs" priority="447" operator="lessThan" aboveAverage="0" equalAverage="0" bottom="0" percent="0" rank="0" text="" dxfId="3488">
      <formula>'1855'!$K$25</formula>
    </cfRule>
  </conditionalFormatting>
  <conditionalFormatting sqref="L26">
    <cfRule type="cellIs" priority="448" operator="equal" aboveAverage="0" equalAverage="0" bottom="0" percent="0" rank="0" text="" dxfId="3489">
      <formula>'1855'!$K$26</formula>
    </cfRule>
    <cfRule type="cellIs" priority="449" operator="lessThan" aboveAverage="0" equalAverage="0" bottom="0" percent="0" rank="0" text="" dxfId="3490">
      <formula>'1855'!$K$26</formula>
    </cfRule>
  </conditionalFormatting>
  <conditionalFormatting sqref="L27">
    <cfRule type="cellIs" priority="450" operator="equal" aboveAverage="0" equalAverage="0" bottom="0" percent="0" rank="0" text="" dxfId="3491">
      <formula>'1855'!$K$27</formula>
    </cfRule>
    <cfRule type="cellIs" priority="451" operator="lessThan" aboveAverage="0" equalAverage="0" bottom="0" percent="0" rank="0" text="" dxfId="3492">
      <formula>'1855'!$K$27</formula>
    </cfRule>
  </conditionalFormatting>
  <conditionalFormatting sqref="L28">
    <cfRule type="cellIs" priority="452" operator="equal" aboveAverage="0" equalAverage="0" bottom="0" percent="0" rank="0" text="" dxfId="3493">
      <formula>'1855'!$K$28</formula>
    </cfRule>
    <cfRule type="cellIs" priority="453" operator="lessThan" aboveAverage="0" equalAverage="0" bottom="0" percent="0" rank="0" text="" dxfId="3494">
      <formula>'1855'!$K$28</formula>
    </cfRule>
  </conditionalFormatting>
  <conditionalFormatting sqref="M4">
    <cfRule type="cellIs" priority="454" operator="lessThan" aboveAverage="0" equalAverage="0" bottom="0" percent="0" rank="0" text="" dxfId="3495">
      <formula>'1855'!$L$4</formula>
    </cfRule>
    <cfRule type="cellIs" priority="455" operator="equal" aboveAverage="0" equalAverage="0" bottom="0" percent="0" rank="0" text="" dxfId="3496">
      <formula>'1855'!$L$4</formula>
    </cfRule>
  </conditionalFormatting>
  <conditionalFormatting sqref="M5">
    <cfRule type="cellIs" priority="456" operator="equal" aboveAverage="0" equalAverage="0" bottom="0" percent="0" rank="0" text="" dxfId="3497">
      <formula>'1855'!$L$5</formula>
    </cfRule>
    <cfRule type="cellIs" priority="457" operator="lessThan" aboveAverage="0" equalAverage="0" bottom="0" percent="0" rank="0" text="" dxfId="3498">
      <formula>'1855'!$L$5</formula>
    </cfRule>
  </conditionalFormatting>
  <conditionalFormatting sqref="M6">
    <cfRule type="cellIs" priority="458" operator="equal" aboveAverage="0" equalAverage="0" bottom="0" percent="0" rank="0" text="" dxfId="3499">
      <formula>'1855'!$L$6</formula>
    </cfRule>
    <cfRule type="cellIs" priority="459" operator="lessThan" aboveAverage="0" equalAverage="0" bottom="0" percent="0" rank="0" text="" dxfId="3500">
      <formula>'1855'!$L$6</formula>
    </cfRule>
  </conditionalFormatting>
  <conditionalFormatting sqref="M7">
    <cfRule type="cellIs" priority="460" operator="equal" aboveAverage="0" equalAverage="0" bottom="0" percent="0" rank="0" text="" dxfId="3501">
      <formula>'1855'!$L$7</formula>
    </cfRule>
    <cfRule type="cellIs" priority="461" operator="lessThan" aboveAverage="0" equalAverage="0" bottom="0" percent="0" rank="0" text="" dxfId="3502">
      <formula>'1855'!$L$7</formula>
    </cfRule>
  </conditionalFormatting>
  <conditionalFormatting sqref="M8">
    <cfRule type="cellIs" priority="462" operator="equal" aboveAverage="0" equalAverage="0" bottom="0" percent="0" rank="0" text="" dxfId="3503">
      <formula>'1855'!$L$8</formula>
    </cfRule>
    <cfRule type="cellIs" priority="463" operator="lessThan" aboveAverage="0" equalAverage="0" bottom="0" percent="0" rank="0" text="" dxfId="3504">
      <formula>'1855'!$L$8</formula>
    </cfRule>
  </conditionalFormatting>
  <conditionalFormatting sqref="M9">
    <cfRule type="cellIs" priority="464" operator="equal" aboveAverage="0" equalAverage="0" bottom="0" percent="0" rank="0" text="" dxfId="3505">
      <formula>'1855'!$L$9</formula>
    </cfRule>
    <cfRule type="cellIs" priority="465" operator="lessThan" aboveAverage="0" equalAverage="0" bottom="0" percent="0" rank="0" text="" dxfId="3506">
      <formula>'1855'!$L$9</formula>
    </cfRule>
  </conditionalFormatting>
  <conditionalFormatting sqref="M10">
    <cfRule type="cellIs" priority="466" operator="equal" aboveAverage="0" equalAverage="0" bottom="0" percent="0" rank="0" text="" dxfId="3507">
      <formula>'1855'!$L$10</formula>
    </cfRule>
    <cfRule type="cellIs" priority="467" operator="lessThan" aboveAverage="0" equalAverage="0" bottom="0" percent="0" rank="0" text="" dxfId="3508">
      <formula>'1855'!$L$10</formula>
    </cfRule>
  </conditionalFormatting>
  <conditionalFormatting sqref="M11">
    <cfRule type="cellIs" priority="468" operator="equal" aboveAverage="0" equalAverage="0" bottom="0" percent="0" rank="0" text="" dxfId="3509">
      <formula>'1855'!$L$11</formula>
    </cfRule>
    <cfRule type="cellIs" priority="469" operator="lessThan" aboveAverage="0" equalAverage="0" bottom="0" percent="0" rank="0" text="" dxfId="3510">
      <formula>'1855'!$L$11</formula>
    </cfRule>
  </conditionalFormatting>
  <conditionalFormatting sqref="M12">
    <cfRule type="cellIs" priority="470" operator="equal" aboveAverage="0" equalAverage="0" bottom="0" percent="0" rank="0" text="" dxfId="3511">
      <formula>'1855'!$L$12</formula>
    </cfRule>
    <cfRule type="cellIs" priority="471" operator="lessThan" aboveAverage="0" equalAverage="0" bottom="0" percent="0" rank="0" text="" dxfId="3512">
      <formula>'1855'!$L$12</formula>
    </cfRule>
  </conditionalFormatting>
  <conditionalFormatting sqref="M13">
    <cfRule type="cellIs" priority="472" operator="equal" aboveAverage="0" equalAverage="0" bottom="0" percent="0" rank="0" text="" dxfId="3513">
      <formula>'1855'!$L$13</formula>
    </cfRule>
    <cfRule type="cellIs" priority="473" operator="lessThan" aboveAverage="0" equalAverage="0" bottom="0" percent="0" rank="0" text="" dxfId="3514">
      <formula>'1855'!$L$13</formula>
    </cfRule>
  </conditionalFormatting>
  <conditionalFormatting sqref="M14">
    <cfRule type="cellIs" priority="474" operator="equal" aboveAverage="0" equalAverage="0" bottom="0" percent="0" rank="0" text="" dxfId="3515">
      <formula>'1855'!$L$14</formula>
    </cfRule>
    <cfRule type="cellIs" priority="475" operator="lessThan" aboveAverage="0" equalAverage="0" bottom="0" percent="0" rank="0" text="" dxfId="3516">
      <formula>'1855'!$L$14</formula>
    </cfRule>
  </conditionalFormatting>
  <conditionalFormatting sqref="M15">
    <cfRule type="cellIs" priority="476" operator="equal" aboveAverage="0" equalAverage="0" bottom="0" percent="0" rank="0" text="" dxfId="3517">
      <formula>'1855'!$L$15</formula>
    </cfRule>
    <cfRule type="cellIs" priority="477" operator="lessThan" aboveAverage="0" equalAverage="0" bottom="0" percent="0" rank="0" text="" dxfId="3518">
      <formula>'1855'!$L$15</formula>
    </cfRule>
  </conditionalFormatting>
  <conditionalFormatting sqref="M16">
    <cfRule type="cellIs" priority="478" operator="equal" aboveAverage="0" equalAverage="0" bottom="0" percent="0" rank="0" text="" dxfId="3519">
      <formula>'1855'!$L$16</formula>
    </cfRule>
    <cfRule type="cellIs" priority="479" operator="lessThan" aboveAverage="0" equalAverage="0" bottom="0" percent="0" rank="0" text="" dxfId="3520">
      <formula>'1855'!$L$16</formula>
    </cfRule>
  </conditionalFormatting>
  <conditionalFormatting sqref="M17">
    <cfRule type="cellIs" priority="480" operator="equal" aboveAverage="0" equalAverage="0" bottom="0" percent="0" rank="0" text="" dxfId="3521">
      <formula>'1855'!$L$17</formula>
    </cfRule>
    <cfRule type="cellIs" priority="481" operator="lessThan" aboveAverage="0" equalAverage="0" bottom="0" percent="0" rank="0" text="" dxfId="3522">
      <formula>'1855'!$L$17</formula>
    </cfRule>
  </conditionalFormatting>
  <conditionalFormatting sqref="M18">
    <cfRule type="cellIs" priority="482" operator="equal" aboveAverage="0" equalAverage="0" bottom="0" percent="0" rank="0" text="" dxfId="3523">
      <formula>'1855'!$L$18</formula>
    </cfRule>
    <cfRule type="cellIs" priority="483" operator="lessThan" aboveAverage="0" equalAverage="0" bottom="0" percent="0" rank="0" text="" dxfId="3524">
      <formula>'1855'!$L$18</formula>
    </cfRule>
  </conditionalFormatting>
  <conditionalFormatting sqref="M19">
    <cfRule type="cellIs" priority="484" operator="equal" aboveAverage="0" equalAverage="0" bottom="0" percent="0" rank="0" text="" dxfId="3525">
      <formula>'1855'!$L$19</formula>
    </cfRule>
    <cfRule type="cellIs" priority="485" operator="lessThan" aboveAverage="0" equalAverage="0" bottom="0" percent="0" rank="0" text="" dxfId="3526">
      <formula>'1855'!$L$19</formula>
    </cfRule>
  </conditionalFormatting>
  <conditionalFormatting sqref="M20">
    <cfRule type="cellIs" priority="486" operator="equal" aboveAverage="0" equalAverage="0" bottom="0" percent="0" rank="0" text="" dxfId="3527">
      <formula>'1855'!$L$20</formula>
    </cfRule>
    <cfRule type="cellIs" priority="487" operator="lessThan" aboveAverage="0" equalAverage="0" bottom="0" percent="0" rank="0" text="" dxfId="3528">
      <formula>'1855'!$L$20</formula>
    </cfRule>
  </conditionalFormatting>
  <conditionalFormatting sqref="M21">
    <cfRule type="cellIs" priority="488" operator="equal" aboveAverage="0" equalAverage="0" bottom="0" percent="0" rank="0" text="" dxfId="3529">
      <formula>'1855'!$L$21</formula>
    </cfRule>
    <cfRule type="cellIs" priority="489" operator="lessThan" aboveAverage="0" equalAverage="0" bottom="0" percent="0" rank="0" text="" dxfId="3530">
      <formula>'1855'!$L$21</formula>
    </cfRule>
  </conditionalFormatting>
  <conditionalFormatting sqref="M22">
    <cfRule type="cellIs" priority="490" operator="equal" aboveAverage="0" equalAverage="0" bottom="0" percent="0" rank="0" text="" dxfId="3531">
      <formula>'1855'!$L$22</formula>
    </cfRule>
    <cfRule type="cellIs" priority="491" operator="lessThan" aboveAverage="0" equalAverage="0" bottom="0" percent="0" rank="0" text="" dxfId="3532">
      <formula>'1855'!$L$22</formula>
    </cfRule>
  </conditionalFormatting>
  <conditionalFormatting sqref="M23">
    <cfRule type="cellIs" priority="492" operator="equal" aboveAverage="0" equalAverage="0" bottom="0" percent="0" rank="0" text="" dxfId="3533">
      <formula>'1855'!$L$23</formula>
    </cfRule>
    <cfRule type="cellIs" priority="493" operator="lessThan" aboveAverage="0" equalAverage="0" bottom="0" percent="0" rank="0" text="" dxfId="3534">
      <formula>'1855'!$L$23</formula>
    </cfRule>
  </conditionalFormatting>
  <conditionalFormatting sqref="M24">
    <cfRule type="cellIs" priority="494" operator="equal" aboveAverage="0" equalAverage="0" bottom="0" percent="0" rank="0" text="" dxfId="3535">
      <formula>'1855'!$L$24</formula>
    </cfRule>
    <cfRule type="cellIs" priority="495" operator="lessThan" aboveAverage="0" equalAverage="0" bottom="0" percent="0" rank="0" text="" dxfId="3536">
      <formula>'1855'!$L$24</formula>
    </cfRule>
  </conditionalFormatting>
  <conditionalFormatting sqref="M25">
    <cfRule type="cellIs" priority="496" operator="equal" aboveAverage="0" equalAverage="0" bottom="0" percent="0" rank="0" text="" dxfId="3537">
      <formula>'1855'!$L$25</formula>
    </cfRule>
    <cfRule type="cellIs" priority="497" operator="lessThan" aboveAverage="0" equalAverage="0" bottom="0" percent="0" rank="0" text="" dxfId="3538">
      <formula>'1855'!$L$25</formula>
    </cfRule>
  </conditionalFormatting>
  <conditionalFormatting sqref="M26">
    <cfRule type="cellIs" priority="498" operator="equal" aboveAverage="0" equalAverage="0" bottom="0" percent="0" rank="0" text="" dxfId="3539">
      <formula>'1855'!$L$26</formula>
    </cfRule>
    <cfRule type="cellIs" priority="499" operator="lessThan" aboveAverage="0" equalAverage="0" bottom="0" percent="0" rank="0" text="" dxfId="3540">
      <formula>'1855'!$L$26</formula>
    </cfRule>
  </conditionalFormatting>
  <conditionalFormatting sqref="M27">
    <cfRule type="cellIs" priority="500" operator="equal" aboveAverage="0" equalAverage="0" bottom="0" percent="0" rank="0" text="" dxfId="3541">
      <formula>'1855'!$L$27</formula>
    </cfRule>
    <cfRule type="cellIs" priority="501" operator="lessThan" aboveAverage="0" equalAverage="0" bottom="0" percent="0" rank="0" text="" dxfId="3542">
      <formula>'1855'!$L$27</formula>
    </cfRule>
  </conditionalFormatting>
  <conditionalFormatting sqref="M28">
    <cfRule type="cellIs" priority="502" operator="equal" aboveAverage="0" equalAverage="0" bottom="0" percent="0" rank="0" text="" dxfId="3543">
      <formula>'1855'!$L$28</formula>
    </cfRule>
    <cfRule type="cellIs" priority="503" operator="lessThan" aboveAverage="0" equalAverage="0" bottom="0" percent="0" rank="0" text="" dxfId="3544">
      <formula>'1855'!$L$28</formula>
    </cfRule>
  </conditionalFormatting>
  <conditionalFormatting sqref="N4">
    <cfRule type="cellIs" priority="504" operator="equal" aboveAverage="0" equalAverage="0" bottom="0" percent="0" rank="0" text="" dxfId="3545">
      <formula>'1855'!$M$4</formula>
    </cfRule>
    <cfRule type="cellIs" priority="505" operator="lessThan" aboveAverage="0" equalAverage="0" bottom="0" percent="0" rank="0" text="" dxfId="3546">
      <formula>'1855'!$M$4</formula>
    </cfRule>
  </conditionalFormatting>
  <conditionalFormatting sqref="N5">
    <cfRule type="cellIs" priority="506" operator="equal" aboveAverage="0" equalAverage="0" bottom="0" percent="0" rank="0" text="" dxfId="3547">
      <formula>'1855'!$M$5</formula>
    </cfRule>
    <cfRule type="cellIs" priority="507" operator="lessThan" aboveAverage="0" equalAverage="0" bottom="0" percent="0" rank="0" text="" dxfId="3548">
      <formula>'1855'!$M$5</formula>
    </cfRule>
  </conditionalFormatting>
  <conditionalFormatting sqref="N6">
    <cfRule type="cellIs" priority="508" operator="equal" aboveAverage="0" equalAverage="0" bottom="0" percent="0" rank="0" text="" dxfId="3549">
      <formula>'1855'!$M$6</formula>
    </cfRule>
    <cfRule type="cellIs" priority="509" operator="lessThan" aboveAverage="0" equalAverage="0" bottom="0" percent="0" rank="0" text="" dxfId="3550">
      <formula>'1855'!$M$6</formula>
    </cfRule>
  </conditionalFormatting>
  <conditionalFormatting sqref="N7">
    <cfRule type="cellIs" priority="510" operator="equal" aboveAverage="0" equalAverage="0" bottom="0" percent="0" rank="0" text="" dxfId="3551">
      <formula>'1855'!$M$7</formula>
    </cfRule>
    <cfRule type="cellIs" priority="511" operator="lessThan" aboveAverage="0" equalAverage="0" bottom="0" percent="0" rank="0" text="" dxfId="3552">
      <formula>'1855'!$M$7</formula>
    </cfRule>
  </conditionalFormatting>
  <conditionalFormatting sqref="N8">
    <cfRule type="cellIs" priority="512" operator="equal" aboveAverage="0" equalAverage="0" bottom="0" percent="0" rank="0" text="" dxfId="3553">
      <formula>'1855'!$M$8</formula>
    </cfRule>
    <cfRule type="cellIs" priority="513" operator="lessThan" aboveAverage="0" equalAverage="0" bottom="0" percent="0" rank="0" text="" dxfId="3554">
      <formula>'1855'!$M$8</formula>
    </cfRule>
  </conditionalFormatting>
  <conditionalFormatting sqref="N9">
    <cfRule type="cellIs" priority="514" operator="equal" aboveAverage="0" equalAverage="0" bottom="0" percent="0" rank="0" text="" dxfId="3555">
      <formula>'1855'!$M$9</formula>
    </cfRule>
    <cfRule type="cellIs" priority="515" operator="lessThan" aboveAverage="0" equalAverage="0" bottom="0" percent="0" rank="0" text="" dxfId="3556">
      <formula>'1855'!$M$9</formula>
    </cfRule>
  </conditionalFormatting>
  <conditionalFormatting sqref="N10">
    <cfRule type="cellIs" priority="516" operator="equal" aboveAverage="0" equalAverage="0" bottom="0" percent="0" rank="0" text="" dxfId="3557">
      <formula>'1855'!$M$10</formula>
    </cfRule>
    <cfRule type="cellIs" priority="517" operator="lessThan" aboveAverage="0" equalAverage="0" bottom="0" percent="0" rank="0" text="" dxfId="3558">
      <formula>'1855'!$M$10</formula>
    </cfRule>
  </conditionalFormatting>
  <conditionalFormatting sqref="N11">
    <cfRule type="cellIs" priority="518" operator="equal" aboveAverage="0" equalAverage="0" bottom="0" percent="0" rank="0" text="" dxfId="3559">
      <formula>'1855'!$M$11</formula>
    </cfRule>
    <cfRule type="cellIs" priority="519" operator="lessThan" aboveAverage="0" equalAverage="0" bottom="0" percent="0" rank="0" text="" dxfId="3560">
      <formula>'1855'!$M$11</formula>
    </cfRule>
  </conditionalFormatting>
  <conditionalFormatting sqref="N12">
    <cfRule type="cellIs" priority="520" operator="equal" aboveAverage="0" equalAverage="0" bottom="0" percent="0" rank="0" text="" dxfId="3561">
      <formula>'1855'!$M$12</formula>
    </cfRule>
    <cfRule type="cellIs" priority="521" operator="lessThan" aboveAverage="0" equalAverage="0" bottom="0" percent="0" rank="0" text="" dxfId="3562">
      <formula>'1855'!$M$12</formula>
    </cfRule>
  </conditionalFormatting>
  <conditionalFormatting sqref="N13">
    <cfRule type="cellIs" priority="522" operator="equal" aboveAverage="0" equalAverage="0" bottom="0" percent="0" rank="0" text="" dxfId="3563">
      <formula>'1855'!$M$13</formula>
    </cfRule>
    <cfRule type="cellIs" priority="523" operator="lessThan" aboveAverage="0" equalAverage="0" bottom="0" percent="0" rank="0" text="" dxfId="3564">
      <formula>'1855'!$M$13</formula>
    </cfRule>
  </conditionalFormatting>
  <conditionalFormatting sqref="N14">
    <cfRule type="cellIs" priority="524" operator="equal" aboveAverage="0" equalAverage="0" bottom="0" percent="0" rank="0" text="" dxfId="3565">
      <formula>'1855'!$M$14</formula>
    </cfRule>
    <cfRule type="cellIs" priority="525" operator="lessThan" aboveAverage="0" equalAverage="0" bottom="0" percent="0" rank="0" text="" dxfId="3566">
      <formula>'1855'!$M$14</formula>
    </cfRule>
  </conditionalFormatting>
  <conditionalFormatting sqref="N15">
    <cfRule type="cellIs" priority="526" operator="equal" aboveAverage="0" equalAverage="0" bottom="0" percent="0" rank="0" text="" dxfId="3567">
      <formula>'1855'!$M$15</formula>
    </cfRule>
    <cfRule type="cellIs" priority="527" operator="lessThan" aboveAverage="0" equalAverage="0" bottom="0" percent="0" rank="0" text="" dxfId="3568">
      <formula>'1855'!$M$15</formula>
    </cfRule>
  </conditionalFormatting>
  <conditionalFormatting sqref="N16">
    <cfRule type="cellIs" priority="528" operator="equal" aboveAverage="0" equalAverage="0" bottom="0" percent="0" rank="0" text="" dxfId="3569">
      <formula>'1855'!$M$16</formula>
    </cfRule>
    <cfRule type="cellIs" priority="529" operator="lessThan" aboveAverage="0" equalAverage="0" bottom="0" percent="0" rank="0" text="" dxfId="3570">
      <formula>'1855'!$M$16</formula>
    </cfRule>
  </conditionalFormatting>
  <conditionalFormatting sqref="N17">
    <cfRule type="cellIs" priority="530" operator="equal" aboveAverage="0" equalAverage="0" bottom="0" percent="0" rank="0" text="" dxfId="3571">
      <formula>'1855'!$M$17</formula>
    </cfRule>
    <cfRule type="cellIs" priority="531" operator="lessThan" aboveAverage="0" equalAverage="0" bottom="0" percent="0" rank="0" text="" dxfId="3572">
      <formula>'1855'!$M$17</formula>
    </cfRule>
  </conditionalFormatting>
  <conditionalFormatting sqref="N18">
    <cfRule type="cellIs" priority="532" operator="equal" aboveAverage="0" equalAverage="0" bottom="0" percent="0" rank="0" text="" dxfId="3573">
      <formula>'1855'!$M$18</formula>
    </cfRule>
    <cfRule type="cellIs" priority="533" operator="lessThan" aboveAverage="0" equalAverage="0" bottom="0" percent="0" rank="0" text="" dxfId="3574">
      <formula>'1855'!$M$18</formula>
    </cfRule>
  </conditionalFormatting>
  <conditionalFormatting sqref="N19">
    <cfRule type="cellIs" priority="534" operator="equal" aboveAverage="0" equalAverage="0" bottom="0" percent="0" rank="0" text="" dxfId="3575">
      <formula>'1855'!$M$19</formula>
    </cfRule>
    <cfRule type="cellIs" priority="535" operator="lessThan" aboveAverage="0" equalAverage="0" bottom="0" percent="0" rank="0" text="" dxfId="3576">
      <formula>'1855'!$M$19</formula>
    </cfRule>
  </conditionalFormatting>
  <conditionalFormatting sqref="N20">
    <cfRule type="cellIs" priority="536" operator="equal" aboveAverage="0" equalAverage="0" bottom="0" percent="0" rank="0" text="" dxfId="3577">
      <formula>'1855'!$M$20</formula>
    </cfRule>
    <cfRule type="cellIs" priority="537" operator="lessThan" aboveAverage="0" equalAverage="0" bottom="0" percent="0" rank="0" text="" dxfId="3578">
      <formula>'1855'!$M$20</formula>
    </cfRule>
  </conditionalFormatting>
  <conditionalFormatting sqref="N21">
    <cfRule type="cellIs" priority="538" operator="equal" aboveAverage="0" equalAverage="0" bottom="0" percent="0" rank="0" text="" dxfId="3579">
      <formula>'1855'!$M$21</formula>
    </cfRule>
    <cfRule type="cellIs" priority="539" operator="lessThan" aboveAverage="0" equalAverage="0" bottom="0" percent="0" rank="0" text="" dxfId="3580">
      <formula>'1855'!$M$21</formula>
    </cfRule>
  </conditionalFormatting>
  <conditionalFormatting sqref="N22">
    <cfRule type="cellIs" priority="540" operator="equal" aboveAverage="0" equalAverage="0" bottom="0" percent="0" rank="0" text="" dxfId="3581">
      <formula>'1855'!$M$22</formula>
    </cfRule>
    <cfRule type="cellIs" priority="541" operator="lessThan" aboveAverage="0" equalAverage="0" bottom="0" percent="0" rank="0" text="" dxfId="3582">
      <formula>'1855'!$M$22</formula>
    </cfRule>
  </conditionalFormatting>
  <conditionalFormatting sqref="N23">
    <cfRule type="cellIs" priority="542" operator="equal" aboveAverage="0" equalAverage="0" bottom="0" percent="0" rank="0" text="" dxfId="3583">
      <formula>'1855'!$M$23</formula>
    </cfRule>
    <cfRule type="cellIs" priority="543" operator="lessThan" aboveAverage="0" equalAverage="0" bottom="0" percent="0" rank="0" text="" dxfId="3584">
      <formula>'1855'!$M$23</formula>
    </cfRule>
  </conditionalFormatting>
  <conditionalFormatting sqref="N24">
    <cfRule type="cellIs" priority="544" operator="equal" aboveAverage="0" equalAverage="0" bottom="0" percent="0" rank="0" text="" dxfId="3585">
      <formula>'1855'!$M$24</formula>
    </cfRule>
    <cfRule type="cellIs" priority="545" operator="lessThan" aboveAverage="0" equalAverage="0" bottom="0" percent="0" rank="0" text="" dxfId="3586">
      <formula>'1855'!$M$24</formula>
    </cfRule>
  </conditionalFormatting>
  <conditionalFormatting sqref="N25">
    <cfRule type="cellIs" priority="546" operator="equal" aboveAverage="0" equalAverage="0" bottom="0" percent="0" rank="0" text="" dxfId="3587">
      <formula>'1855'!$M$25</formula>
    </cfRule>
    <cfRule type="cellIs" priority="547" operator="lessThan" aboveAverage="0" equalAverage="0" bottom="0" percent="0" rank="0" text="" dxfId="3588">
      <formula>'1855'!$M$25</formula>
    </cfRule>
  </conditionalFormatting>
  <conditionalFormatting sqref="N26">
    <cfRule type="cellIs" priority="548" operator="equal" aboveAverage="0" equalAverage="0" bottom="0" percent="0" rank="0" text="" dxfId="3589">
      <formula>'1855'!$M$26</formula>
    </cfRule>
    <cfRule type="cellIs" priority="549" operator="lessThan" aboveAverage="0" equalAverage="0" bottom="0" percent="0" rank="0" text="" dxfId="3590">
      <formula>'1855'!$M$26</formula>
    </cfRule>
  </conditionalFormatting>
  <conditionalFormatting sqref="N27">
    <cfRule type="cellIs" priority="550" operator="equal" aboveAverage="0" equalAverage="0" bottom="0" percent="0" rank="0" text="" dxfId="3591">
      <formula>'1855'!$M$27</formula>
    </cfRule>
    <cfRule type="cellIs" priority="551" operator="lessThan" aboveAverage="0" equalAverage="0" bottom="0" percent="0" rank="0" text="" dxfId="3592">
      <formula>'1855'!$M$27</formula>
    </cfRule>
  </conditionalFormatting>
  <conditionalFormatting sqref="N28">
    <cfRule type="cellIs" priority="552" operator="equal" aboveAverage="0" equalAverage="0" bottom="0" percent="0" rank="0" text="" dxfId="3593">
      <formula>'1855'!$M$28</formula>
    </cfRule>
    <cfRule type="cellIs" priority="553" operator="lessThan" aboveAverage="0" equalAverage="0" bottom="0" percent="0" rank="0" text="" dxfId="3594">
      <formula>'1855'!$M$28</formula>
    </cfRule>
  </conditionalFormatting>
  <conditionalFormatting sqref="O4">
    <cfRule type="cellIs" priority="554" operator="equal" aboveAverage="0" equalAverage="0" bottom="0" percent="0" rank="0" text="" dxfId="3595">
      <formula>'1855'!$N$4</formula>
    </cfRule>
    <cfRule type="cellIs" priority="555" operator="lessThan" aboveAverage="0" equalAverage="0" bottom="0" percent="0" rank="0" text="" dxfId="3596">
      <formula>'1855'!$N$4</formula>
    </cfRule>
  </conditionalFormatting>
  <conditionalFormatting sqref="O5">
    <cfRule type="cellIs" priority="556" operator="equal" aboveAverage="0" equalAverage="0" bottom="0" percent="0" rank="0" text="" dxfId="3597">
      <formula>'1855'!$N$5</formula>
    </cfRule>
    <cfRule type="cellIs" priority="557" operator="lessThan" aboveAverage="0" equalAverage="0" bottom="0" percent="0" rank="0" text="" dxfId="3598">
      <formula>'1855'!$N$5</formula>
    </cfRule>
  </conditionalFormatting>
  <conditionalFormatting sqref="O6">
    <cfRule type="cellIs" priority="558" operator="equal" aboveAverage="0" equalAverage="0" bottom="0" percent="0" rank="0" text="" dxfId="3599">
      <formula>'1855'!$N$6</formula>
    </cfRule>
    <cfRule type="cellIs" priority="559" operator="lessThan" aboveAverage="0" equalAverage="0" bottom="0" percent="0" rank="0" text="" dxfId="3600">
      <formula>'1855'!$N$6</formula>
    </cfRule>
  </conditionalFormatting>
  <conditionalFormatting sqref="O7">
    <cfRule type="cellIs" priority="560" operator="equal" aboveAverage="0" equalAverage="0" bottom="0" percent="0" rank="0" text="" dxfId="3601">
      <formula>'1855'!$N$7</formula>
    </cfRule>
    <cfRule type="cellIs" priority="561" operator="lessThan" aboveAverage="0" equalAverage="0" bottom="0" percent="0" rank="0" text="" dxfId="3602">
      <formula>'1855'!$N$7</formula>
    </cfRule>
  </conditionalFormatting>
  <conditionalFormatting sqref="O8">
    <cfRule type="cellIs" priority="562" operator="equal" aboveAverage="0" equalAverage="0" bottom="0" percent="0" rank="0" text="" dxfId="3603">
      <formula>'1855'!$N$8</formula>
    </cfRule>
    <cfRule type="cellIs" priority="563" operator="lessThan" aboveAverage="0" equalAverage="0" bottom="0" percent="0" rank="0" text="" dxfId="3604">
      <formula>'1855'!$N$8</formula>
    </cfRule>
  </conditionalFormatting>
  <conditionalFormatting sqref="O9">
    <cfRule type="cellIs" priority="564" operator="equal" aboveAverage="0" equalAverage="0" bottom="0" percent="0" rank="0" text="" dxfId="3605">
      <formula>'1855'!$N$9</formula>
    </cfRule>
    <cfRule type="cellIs" priority="565" operator="lessThan" aboveAverage="0" equalAverage="0" bottom="0" percent="0" rank="0" text="" dxfId="3606">
      <formula>'1855'!$N$9</formula>
    </cfRule>
  </conditionalFormatting>
  <conditionalFormatting sqref="O10">
    <cfRule type="cellIs" priority="566" operator="equal" aboveAverage="0" equalAverage="0" bottom="0" percent="0" rank="0" text="" dxfId="3607">
      <formula>'1855'!$N$10</formula>
    </cfRule>
    <cfRule type="cellIs" priority="567" operator="lessThan" aboveAverage="0" equalAverage="0" bottom="0" percent="0" rank="0" text="" dxfId="3608">
      <formula>'1855'!$N$10</formula>
    </cfRule>
  </conditionalFormatting>
  <conditionalFormatting sqref="O11">
    <cfRule type="cellIs" priority="568" operator="equal" aboveAverage="0" equalAverage="0" bottom="0" percent="0" rank="0" text="" dxfId="3609">
      <formula>'1855'!$N$11</formula>
    </cfRule>
    <cfRule type="cellIs" priority="569" operator="lessThan" aboveAverage="0" equalAverage="0" bottom="0" percent="0" rank="0" text="" dxfId="3610">
      <formula>'1855'!$N$11</formula>
    </cfRule>
  </conditionalFormatting>
  <conditionalFormatting sqref="O12">
    <cfRule type="cellIs" priority="570" operator="equal" aboveAverage="0" equalAverage="0" bottom="0" percent="0" rank="0" text="" dxfId="3611">
      <formula>'1855'!$N$12</formula>
    </cfRule>
    <cfRule type="cellIs" priority="571" operator="lessThan" aboveAverage="0" equalAverage="0" bottom="0" percent="0" rank="0" text="" dxfId="3612">
      <formula>'1855'!$N$12</formula>
    </cfRule>
  </conditionalFormatting>
  <conditionalFormatting sqref="O13">
    <cfRule type="cellIs" priority="572" operator="equal" aboveAverage="0" equalAverage="0" bottom="0" percent="0" rank="0" text="" dxfId="3613">
      <formula>'1855'!$N$13</formula>
    </cfRule>
    <cfRule type="cellIs" priority="573" operator="lessThan" aboveAverage="0" equalAverage="0" bottom="0" percent="0" rank="0" text="" dxfId="3614">
      <formula>'1855'!$N$13</formula>
    </cfRule>
  </conditionalFormatting>
  <conditionalFormatting sqref="O14">
    <cfRule type="cellIs" priority="574" operator="equal" aboveAverage="0" equalAverage="0" bottom="0" percent="0" rank="0" text="" dxfId="3615">
      <formula>'1855'!$N$14</formula>
    </cfRule>
    <cfRule type="cellIs" priority="575" operator="lessThan" aboveAverage="0" equalAverage="0" bottom="0" percent="0" rank="0" text="" dxfId="3616">
      <formula>'1855'!$N$14</formula>
    </cfRule>
  </conditionalFormatting>
  <conditionalFormatting sqref="O15">
    <cfRule type="cellIs" priority="576" operator="equal" aboveAverage="0" equalAverage="0" bottom="0" percent="0" rank="0" text="" dxfId="3617">
      <formula>'1855'!$N$15</formula>
    </cfRule>
    <cfRule type="cellIs" priority="577" operator="lessThan" aboveAverage="0" equalAverage="0" bottom="0" percent="0" rank="0" text="" dxfId="3618">
      <formula>'1855'!$N$15</formula>
    </cfRule>
  </conditionalFormatting>
  <conditionalFormatting sqref="O16">
    <cfRule type="cellIs" priority="578" operator="equal" aboveAverage="0" equalAverage="0" bottom="0" percent="0" rank="0" text="" dxfId="3619">
      <formula>'1855'!$N$16</formula>
    </cfRule>
    <cfRule type="cellIs" priority="579" operator="lessThan" aboveAverage="0" equalAverage="0" bottom="0" percent="0" rank="0" text="" dxfId="3620">
      <formula>'1855'!$N$16</formula>
    </cfRule>
  </conditionalFormatting>
  <conditionalFormatting sqref="O17">
    <cfRule type="cellIs" priority="580" operator="equal" aboveAverage="0" equalAverage="0" bottom="0" percent="0" rank="0" text="" dxfId="3621">
      <formula>'1855'!$N$17</formula>
    </cfRule>
    <cfRule type="cellIs" priority="581" operator="lessThan" aboveAverage="0" equalAverage="0" bottom="0" percent="0" rank="0" text="" dxfId="3622">
      <formula>'1855'!$N$17</formula>
    </cfRule>
  </conditionalFormatting>
  <conditionalFormatting sqref="O18">
    <cfRule type="cellIs" priority="582" operator="equal" aboveAverage="0" equalAverage="0" bottom="0" percent="0" rank="0" text="" dxfId="3623">
      <formula>'1855'!$N$18</formula>
    </cfRule>
    <cfRule type="cellIs" priority="583" operator="lessThan" aboveAverage="0" equalAverage="0" bottom="0" percent="0" rank="0" text="" dxfId="3624">
      <formula>'1855'!$N$18</formula>
    </cfRule>
  </conditionalFormatting>
  <conditionalFormatting sqref="O19">
    <cfRule type="cellIs" priority="584" operator="equal" aboveAverage="0" equalAverage="0" bottom="0" percent="0" rank="0" text="" dxfId="3625">
      <formula>'1855'!$N$19</formula>
    </cfRule>
    <cfRule type="cellIs" priority="585" operator="lessThan" aboveAverage="0" equalAverage="0" bottom="0" percent="0" rank="0" text="" dxfId="3626">
      <formula>'1855'!$N$19</formula>
    </cfRule>
  </conditionalFormatting>
  <conditionalFormatting sqref="O20">
    <cfRule type="cellIs" priority="586" operator="equal" aboveAverage="0" equalAverage="0" bottom="0" percent="0" rank="0" text="" dxfId="3627">
      <formula>'1855'!$N$20</formula>
    </cfRule>
    <cfRule type="cellIs" priority="587" operator="lessThan" aboveAverage="0" equalAverage="0" bottom="0" percent="0" rank="0" text="" dxfId="3628">
      <formula>'1855'!$N$20</formula>
    </cfRule>
  </conditionalFormatting>
  <conditionalFormatting sqref="O21">
    <cfRule type="cellIs" priority="588" operator="equal" aboveAverage="0" equalAverage="0" bottom="0" percent="0" rank="0" text="" dxfId="3629">
      <formula>'1855'!$N$21</formula>
    </cfRule>
    <cfRule type="cellIs" priority="589" operator="lessThan" aboveAverage="0" equalAverage="0" bottom="0" percent="0" rank="0" text="" dxfId="3630">
      <formula>'1855'!$N$21</formula>
    </cfRule>
  </conditionalFormatting>
  <conditionalFormatting sqref="O22">
    <cfRule type="cellIs" priority="590" operator="equal" aboveAverage="0" equalAverage="0" bottom="0" percent="0" rank="0" text="" dxfId="3631">
      <formula>'1855'!$N$22</formula>
    </cfRule>
    <cfRule type="cellIs" priority="591" operator="lessThan" aboveAverage="0" equalAverage="0" bottom="0" percent="0" rank="0" text="" dxfId="3632">
      <formula>'1855'!$N$22</formula>
    </cfRule>
  </conditionalFormatting>
  <conditionalFormatting sqref="O23">
    <cfRule type="cellIs" priority="592" operator="equal" aboveAverage="0" equalAverage="0" bottom="0" percent="0" rank="0" text="" dxfId="3633">
      <formula>'1855'!$N$23</formula>
    </cfRule>
    <cfRule type="cellIs" priority="593" operator="lessThan" aboveAverage="0" equalAverage="0" bottom="0" percent="0" rank="0" text="" dxfId="3634">
      <formula>'1855'!$N$23</formula>
    </cfRule>
  </conditionalFormatting>
  <conditionalFormatting sqref="O24">
    <cfRule type="cellIs" priority="594" operator="equal" aboveAverage="0" equalAverage="0" bottom="0" percent="0" rank="0" text="" dxfId="3635">
      <formula>'1855'!$N$24</formula>
    </cfRule>
    <cfRule type="cellIs" priority="595" operator="lessThan" aboveAverage="0" equalAverage="0" bottom="0" percent="0" rank="0" text="" dxfId="3636">
      <formula>'1855'!$N$24</formula>
    </cfRule>
  </conditionalFormatting>
  <conditionalFormatting sqref="O25">
    <cfRule type="cellIs" priority="596" operator="equal" aboveAverage="0" equalAverage="0" bottom="0" percent="0" rank="0" text="" dxfId="3637">
      <formula>'1855'!$N$25</formula>
    </cfRule>
    <cfRule type="cellIs" priority="597" operator="lessThan" aboveAverage="0" equalAverage="0" bottom="0" percent="0" rank="0" text="" dxfId="3638">
      <formula>'1855'!$N$25</formula>
    </cfRule>
  </conditionalFormatting>
  <conditionalFormatting sqref="O26">
    <cfRule type="cellIs" priority="598" operator="equal" aboveAverage="0" equalAverage="0" bottom="0" percent="0" rank="0" text="" dxfId="3639">
      <formula>'1855'!$N$26</formula>
    </cfRule>
    <cfRule type="cellIs" priority="599" operator="lessThan" aboveAverage="0" equalAverage="0" bottom="0" percent="0" rank="0" text="" dxfId="3640">
      <formula>'1855'!$N$26</formula>
    </cfRule>
  </conditionalFormatting>
  <conditionalFormatting sqref="O27">
    <cfRule type="cellIs" priority="600" operator="equal" aboveAverage="0" equalAverage="0" bottom="0" percent="0" rank="0" text="" dxfId="3641">
      <formula>'1855'!$N$27</formula>
    </cfRule>
    <cfRule type="cellIs" priority="601" operator="lessThan" aboveAverage="0" equalAverage="0" bottom="0" percent="0" rank="0" text="" dxfId="3642">
      <formula>'1855'!$N$27</formula>
    </cfRule>
  </conditionalFormatting>
  <conditionalFormatting sqref="O28">
    <cfRule type="cellIs" priority="602" operator="equal" aboveAverage="0" equalAverage="0" bottom="0" percent="0" rank="0" text="" dxfId="3643">
      <formula>'1855'!$N$28</formula>
    </cfRule>
    <cfRule type="cellIs" priority="603" operator="lessThan" aboveAverage="0" equalAverage="0" bottom="0" percent="0" rank="0" text="" dxfId="3644">
      <formula>'1855'!$N$28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0" width="26.15"/>
    <col collapsed="false" customWidth="true" hidden="false" outlineLevel="0" max="15" min="3" style="0" width="10.14"/>
    <col collapsed="false" customWidth="true" hidden="false" outlineLevel="0" max="16" min="16" style="0" width="9.86"/>
    <col collapsed="false" customWidth="true" hidden="false" outlineLevel="0" max="17" min="17" style="0" width="11.14"/>
    <col collapsed="false" customWidth="true" hidden="false" outlineLevel="0" max="18" min="18" style="0" width="9.29"/>
    <col collapsed="false" customWidth="true" hidden="false" outlineLevel="0" max="19" min="19" style="0" width="3.57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1856</v>
      </c>
      <c r="B2" s="3"/>
      <c r="C2" s="4" t="n">
        <f aca="false">'1850'!C2</f>
        <v>44562</v>
      </c>
      <c r="D2" s="4" t="n">
        <f aca="false">'1850'!D2</f>
        <v>44593</v>
      </c>
      <c r="E2" s="4" t="n">
        <f aca="false">'1850'!E2</f>
        <v>44622</v>
      </c>
      <c r="F2" s="4" t="n">
        <f aca="false">'1850'!F2</f>
        <v>44652</v>
      </c>
      <c r="G2" s="4" t="n">
        <f aca="false">'1850'!G2</f>
        <v>44683</v>
      </c>
      <c r="H2" s="4" t="n">
        <f aca="false">'1850'!H2</f>
        <v>44713</v>
      </c>
      <c r="I2" s="4" t="n">
        <f aca="false">'1850'!I2</f>
        <v>44743</v>
      </c>
      <c r="J2" s="4" t="n">
        <f aca="false">'1850'!J2</f>
        <v>44774</v>
      </c>
      <c r="K2" s="4" t="n">
        <f aca="false">'1850'!K2</f>
        <v>44805</v>
      </c>
      <c r="L2" s="4" t="n">
        <f aca="false">'1850'!L2</f>
        <v>44834</v>
      </c>
      <c r="M2" s="4" t="n">
        <f aca="false">'1850'!M2</f>
        <v>44866</v>
      </c>
      <c r="N2" s="4" t="n">
        <f aca="false">'1850'!N2</f>
        <v>44896</v>
      </c>
      <c r="O2" s="4" t="n">
        <f aca="false">'1850'!O2</f>
        <v>44927</v>
      </c>
      <c r="P2" s="6" t="s">
        <v>153</v>
      </c>
      <c r="Q2" s="6" t="s">
        <v>154</v>
      </c>
      <c r="R2" s="6" t="s">
        <v>155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R3" s="6" t="s">
        <v>156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244</v>
      </c>
      <c r="C4" s="151" t="n">
        <v>391.792</v>
      </c>
      <c r="D4" s="16" t="n">
        <v>408.514</v>
      </c>
      <c r="E4" s="16" t="n">
        <v>424.341</v>
      </c>
      <c r="F4" s="16" t="n">
        <v>440.119</v>
      </c>
      <c r="G4" s="16" t="n">
        <v>458.447</v>
      </c>
      <c r="H4" s="16" t="n">
        <v>476.103</v>
      </c>
      <c r="I4" s="16" t="n">
        <v>492.199</v>
      </c>
      <c r="J4" s="16" t="n">
        <v>509.378</v>
      </c>
      <c r="K4" s="16" t="n">
        <v>523.963</v>
      </c>
      <c r="L4" s="17" t="n">
        <v>539.049</v>
      </c>
      <c r="M4" s="16" t="n">
        <v>557.43</v>
      </c>
      <c r="N4" s="16" t="n">
        <v>572.892</v>
      </c>
      <c r="O4" s="16" t="n">
        <v>591.22</v>
      </c>
      <c r="P4" s="18" t="n">
        <f aca="false">O4-C4</f>
        <v>199.428</v>
      </c>
      <c r="Q4" s="18"/>
      <c r="T4" s="6" t="n">
        <v>1</v>
      </c>
      <c r="U4" s="19" t="n">
        <f aca="false">D4-C4</f>
        <v>16.722</v>
      </c>
      <c r="V4" s="19" t="n">
        <f aca="false">E4-D4</f>
        <v>15.827</v>
      </c>
      <c r="W4" s="19" t="n">
        <f aca="false">F4-E4</f>
        <v>15.778</v>
      </c>
      <c r="X4" s="19" t="n">
        <f aca="false">G4-F4</f>
        <v>18.328</v>
      </c>
      <c r="Y4" s="19" t="n">
        <f aca="false">H4-G4</f>
        <v>17.656</v>
      </c>
      <c r="Z4" s="19" t="n">
        <f aca="false">I4-H4</f>
        <v>16.096</v>
      </c>
      <c r="AA4" s="19" t="n">
        <f aca="false">J4-I4</f>
        <v>17.179</v>
      </c>
      <c r="AB4" s="19" t="n">
        <f aca="false">K4-J4</f>
        <v>14.585</v>
      </c>
      <c r="AC4" s="19" t="n">
        <f aca="false">L4-K4</f>
        <v>15.086</v>
      </c>
      <c r="AD4" s="19" t="n">
        <f aca="false">M4-L4</f>
        <v>18.381</v>
      </c>
      <c r="AE4" s="19" t="n">
        <f aca="false">N4-M4</f>
        <v>15.4620000000001</v>
      </c>
      <c r="AF4" s="19" t="n">
        <f aca="false">O4-N4</f>
        <v>18.328</v>
      </c>
    </row>
    <row r="5" customFormat="false" ht="15" hidden="false" customHeight="false" outlineLevel="0" collapsed="false">
      <c r="A5" s="14"/>
      <c r="B5" s="20" t="s">
        <v>245</v>
      </c>
      <c r="C5" s="152" t="n">
        <v>142.31</v>
      </c>
      <c r="D5" s="21" t="n">
        <v>148.773</v>
      </c>
      <c r="E5" s="21" t="n">
        <v>153.463</v>
      </c>
      <c r="F5" s="21" t="n">
        <v>157.84</v>
      </c>
      <c r="G5" s="21" t="n">
        <v>161.197</v>
      </c>
      <c r="H5" s="21" t="n">
        <v>162.337</v>
      </c>
      <c r="I5" s="21" t="n">
        <v>163.204</v>
      </c>
      <c r="J5" s="21" t="n">
        <v>163.963</v>
      </c>
      <c r="K5" s="21" t="n">
        <v>164.554</v>
      </c>
      <c r="L5" s="22" t="n">
        <v>165.264</v>
      </c>
      <c r="M5" s="21" t="n">
        <v>166.845</v>
      </c>
      <c r="N5" s="21" t="n">
        <v>170.198</v>
      </c>
      <c r="O5" s="21" t="n">
        <v>174.67</v>
      </c>
      <c r="Q5" s="18" t="n">
        <f aca="false">O5-C5</f>
        <v>32.36</v>
      </c>
      <c r="T5" s="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false" outlineLevel="0" collapsed="false">
      <c r="A6" s="24" t="n">
        <v>2</v>
      </c>
      <c r="B6" s="20" t="s">
        <v>246</v>
      </c>
      <c r="C6" s="152" t="n">
        <v>152.505</v>
      </c>
      <c r="D6" s="21" t="n">
        <v>157.905</v>
      </c>
      <c r="E6" s="21" t="n">
        <v>161.39</v>
      </c>
      <c r="F6" s="21" t="n">
        <v>165.22</v>
      </c>
      <c r="G6" s="21" t="n">
        <v>171.194</v>
      </c>
      <c r="H6" s="21" t="n">
        <v>175.802</v>
      </c>
      <c r="I6" s="21" t="n">
        <v>181.021</v>
      </c>
      <c r="J6" s="21" t="n">
        <v>187.351</v>
      </c>
      <c r="K6" s="21" t="n">
        <v>194.157</v>
      </c>
      <c r="L6" s="21" t="n">
        <v>199.391</v>
      </c>
      <c r="M6" s="21" t="n">
        <v>204.427</v>
      </c>
      <c r="N6" s="21" t="n">
        <v>209.8</v>
      </c>
      <c r="O6" s="21" t="n">
        <v>215.915</v>
      </c>
      <c r="P6" s="18" t="n">
        <f aca="false">O6-C6</f>
        <v>63.41</v>
      </c>
      <c r="Q6" s="18"/>
      <c r="T6" s="6" t="n">
        <v>2</v>
      </c>
      <c r="U6" s="25" t="n">
        <f aca="false">D6-C6</f>
        <v>5.40000000000001</v>
      </c>
      <c r="V6" s="25" t="n">
        <f aca="false">E6-D6</f>
        <v>3.48499999999999</v>
      </c>
      <c r="W6" s="25" t="n">
        <f aca="false">F6-E6</f>
        <v>3.83000000000001</v>
      </c>
      <c r="X6" s="25" t="n">
        <f aca="false">G6-F6</f>
        <v>5.97399999999999</v>
      </c>
      <c r="Y6" s="25" t="n">
        <f aca="false">H6-G6</f>
        <v>4.608</v>
      </c>
      <c r="Z6" s="25" t="n">
        <f aca="false">I6-H6</f>
        <v>5.21899999999999</v>
      </c>
      <c r="AA6" s="25" t="n">
        <f aca="false">J6-I6</f>
        <v>6.33000000000001</v>
      </c>
      <c r="AB6" s="25" t="n">
        <f aca="false">K6-J6</f>
        <v>6.80600000000001</v>
      </c>
      <c r="AC6" s="25" t="n">
        <f aca="false">L6-K6</f>
        <v>5.23399999999998</v>
      </c>
      <c r="AD6" s="25" t="n">
        <f aca="false">M6-L6</f>
        <v>5.036</v>
      </c>
      <c r="AE6" s="25" t="n">
        <f aca="false">N6-M6</f>
        <v>5.37300000000002</v>
      </c>
      <c r="AF6" s="25" t="n">
        <f aca="false">O6-N6</f>
        <v>6.11499999999998</v>
      </c>
    </row>
    <row r="7" customFormat="false" ht="15" hidden="false" customHeight="false" outlineLevel="0" collapsed="false">
      <c r="A7" s="24"/>
      <c r="B7" s="20" t="s">
        <v>247</v>
      </c>
      <c r="C7" s="152" t="n">
        <v>48.461</v>
      </c>
      <c r="D7" s="21" t="n">
        <v>50.372</v>
      </c>
      <c r="E7" s="21" t="n">
        <v>51.377</v>
      </c>
      <c r="F7" s="21" t="n">
        <v>52.128</v>
      </c>
      <c r="G7" s="21" t="n">
        <v>52.922</v>
      </c>
      <c r="H7" s="21" t="n">
        <v>53.284</v>
      </c>
      <c r="I7" s="21" t="n">
        <v>53.637</v>
      </c>
      <c r="J7" s="21" t="n">
        <v>53.982</v>
      </c>
      <c r="K7" s="21" t="n">
        <v>54.361</v>
      </c>
      <c r="L7" s="21" t="n">
        <v>54.705</v>
      </c>
      <c r="M7" s="21" t="n">
        <v>55.096</v>
      </c>
      <c r="N7" s="21" t="n">
        <v>56.433</v>
      </c>
      <c r="O7" s="21" t="n">
        <v>57.917</v>
      </c>
      <c r="Q7" s="18" t="n">
        <f aca="false">O7-C7</f>
        <v>9.456</v>
      </c>
      <c r="T7" s="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customFormat="false" ht="15" hidden="false" customHeight="false" outlineLevel="0" collapsed="false">
      <c r="A8" s="24" t="n">
        <v>3</v>
      </c>
      <c r="B8" s="20" t="s">
        <v>248</v>
      </c>
      <c r="C8" s="152" t="n">
        <v>129.307</v>
      </c>
      <c r="D8" s="21" t="n">
        <v>131.125</v>
      </c>
      <c r="E8" s="21" t="n">
        <v>134.573</v>
      </c>
      <c r="F8" s="21" t="n">
        <v>139.647</v>
      </c>
      <c r="G8" s="21" t="n">
        <v>143.024</v>
      </c>
      <c r="H8" s="21" t="n">
        <v>146.594</v>
      </c>
      <c r="I8" s="21" t="n">
        <v>149.316</v>
      </c>
      <c r="J8" s="21" t="n">
        <v>152.484</v>
      </c>
      <c r="K8" s="21" t="n">
        <v>156.246</v>
      </c>
      <c r="L8" s="21" t="n">
        <v>158.724</v>
      </c>
      <c r="M8" s="21" t="n">
        <v>162.895</v>
      </c>
      <c r="N8" s="21" t="n">
        <v>167.441</v>
      </c>
      <c r="O8" s="21" t="n">
        <v>172.821</v>
      </c>
      <c r="P8" s="18" t="n">
        <f aca="false">O8-C8</f>
        <v>43.514</v>
      </c>
      <c r="Q8" s="18"/>
      <c r="T8" s="6" t="n">
        <v>3</v>
      </c>
      <c r="U8" s="25" t="n">
        <f aca="false">D8-C8</f>
        <v>1.81800000000001</v>
      </c>
      <c r="V8" s="25" t="n">
        <f aca="false">E8-D8</f>
        <v>3.44800000000001</v>
      </c>
      <c r="W8" s="25" t="n">
        <f aca="false">F8-E8</f>
        <v>5.07399999999998</v>
      </c>
      <c r="X8" s="25" t="n">
        <f aca="false">G8-F8</f>
        <v>3.37700000000001</v>
      </c>
      <c r="Y8" s="25" t="n">
        <f aca="false">H8-G8</f>
        <v>3.56999999999999</v>
      </c>
      <c r="Z8" s="25" t="n">
        <f aca="false">I8-H8</f>
        <v>2.72200000000001</v>
      </c>
      <c r="AA8" s="25" t="n">
        <f aca="false">J8-I8</f>
        <v>3.16800000000001</v>
      </c>
      <c r="AB8" s="25" t="n">
        <f aca="false">K8-J8</f>
        <v>3.762</v>
      </c>
      <c r="AC8" s="25" t="n">
        <f aca="false">L8-K8</f>
        <v>2.47799999999998</v>
      </c>
      <c r="AD8" s="25" t="n">
        <f aca="false">M8-L8</f>
        <v>4.17100000000002</v>
      </c>
      <c r="AE8" s="25" t="n">
        <f aca="false">N8-M8</f>
        <v>4.54599999999999</v>
      </c>
      <c r="AF8" s="25" t="n">
        <f aca="false">O8-N8</f>
        <v>5.38</v>
      </c>
    </row>
    <row r="9" customFormat="false" ht="15" hidden="false" customHeight="false" outlineLevel="0" collapsed="false">
      <c r="A9" s="24"/>
      <c r="B9" s="20" t="s">
        <v>249</v>
      </c>
      <c r="C9" s="152" t="n">
        <v>119.68</v>
      </c>
      <c r="D9" s="21" t="n">
        <v>121.763</v>
      </c>
      <c r="E9" s="21" t="n">
        <v>125.175</v>
      </c>
      <c r="F9" s="21" t="n">
        <v>128.641</v>
      </c>
      <c r="G9" s="21" t="n">
        <v>130.515</v>
      </c>
      <c r="H9" s="21" t="n">
        <v>131.079</v>
      </c>
      <c r="I9" s="21" t="n">
        <v>131.527</v>
      </c>
      <c r="J9" s="21" t="n">
        <v>131.94</v>
      </c>
      <c r="K9" s="21" t="n">
        <v>132.302</v>
      </c>
      <c r="L9" s="21" t="n">
        <v>132.838</v>
      </c>
      <c r="M9" s="21" t="n">
        <v>133.984</v>
      </c>
      <c r="N9" s="21" t="n">
        <v>137.564</v>
      </c>
      <c r="O9" s="21" t="n">
        <v>142.376</v>
      </c>
      <c r="Q9" s="18" t="n">
        <f aca="false">O9-C9</f>
        <v>22.696</v>
      </c>
      <c r="T9" s="6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customFormat="false" ht="15" hidden="false" customHeight="false" outlineLevel="0" collapsed="false">
      <c r="A10" s="24" t="n">
        <v>4</v>
      </c>
      <c r="B10" s="20" t="s">
        <v>250</v>
      </c>
      <c r="C10" s="152" t="n">
        <v>166.976</v>
      </c>
      <c r="D10" s="21" t="n">
        <v>172.389</v>
      </c>
      <c r="E10" s="21" t="n">
        <v>178.563</v>
      </c>
      <c r="F10" s="21" t="n">
        <v>185.128</v>
      </c>
      <c r="G10" s="21" t="n">
        <v>190.105</v>
      </c>
      <c r="H10" s="21" t="n">
        <v>194.956</v>
      </c>
      <c r="I10" s="21" t="n">
        <v>198.498</v>
      </c>
      <c r="J10" s="21" t="n">
        <v>206.706</v>
      </c>
      <c r="K10" s="21" t="n">
        <v>214.113</v>
      </c>
      <c r="L10" s="21" t="n">
        <v>227.804</v>
      </c>
      <c r="M10" s="21" t="n">
        <v>242.182</v>
      </c>
      <c r="N10" s="21" t="n">
        <v>252.557</v>
      </c>
      <c r="O10" s="21" t="n">
        <v>260.895</v>
      </c>
      <c r="P10" s="18" t="n">
        <f aca="false">O10-C10</f>
        <v>93.919</v>
      </c>
      <c r="Q10" s="18"/>
      <c r="T10" s="6" t="n">
        <v>4</v>
      </c>
      <c r="U10" s="25" t="n">
        <f aca="false">D10-C10</f>
        <v>5.41300000000001</v>
      </c>
      <c r="V10" s="25" t="n">
        <f aca="false">E10-D10</f>
        <v>6.17399999999998</v>
      </c>
      <c r="W10" s="25" t="n">
        <f aca="false">F10-E10</f>
        <v>6.565</v>
      </c>
      <c r="X10" s="25" t="n">
        <f aca="false">G10-F10</f>
        <v>4.977</v>
      </c>
      <c r="Y10" s="25" t="n">
        <f aca="false">H10-G10</f>
        <v>4.851</v>
      </c>
      <c r="Z10" s="25" t="n">
        <f aca="false">I10-H10</f>
        <v>3.542</v>
      </c>
      <c r="AA10" s="25" t="n">
        <f aca="false">J10-I10</f>
        <v>8.208</v>
      </c>
      <c r="AB10" s="25" t="n">
        <f aca="false">K10-J10</f>
        <v>7.40700000000001</v>
      </c>
      <c r="AC10" s="25" t="n">
        <f aca="false">L10-K10</f>
        <v>13.691</v>
      </c>
      <c r="AD10" s="25" t="n">
        <f aca="false">M10-L10</f>
        <v>14.378</v>
      </c>
      <c r="AE10" s="25" t="n">
        <f aca="false">N10-M10</f>
        <v>10.375</v>
      </c>
      <c r="AF10" s="25" t="n">
        <f aca="false">O10-N10</f>
        <v>8.33799999999999</v>
      </c>
    </row>
    <row r="11" customFormat="false" ht="15" hidden="false" customHeight="false" outlineLevel="0" collapsed="false">
      <c r="A11" s="24"/>
      <c r="B11" s="20" t="s">
        <v>251</v>
      </c>
      <c r="C11" s="152" t="n">
        <v>69.017</v>
      </c>
      <c r="D11" s="159" t="n">
        <f aca="false">69.017+2.4</f>
        <v>71.417</v>
      </c>
      <c r="E11" s="160" t="n">
        <f aca="false">69.017+2.4+2.4</f>
        <v>73.817</v>
      </c>
      <c r="F11" s="160" t="n">
        <f aca="false">69.017+2.4+2.4+2</f>
        <v>75.817</v>
      </c>
      <c r="G11" s="160" t="n">
        <f aca="false">69.017+2.4+2.4+2+1</f>
        <v>76.817</v>
      </c>
      <c r="H11" s="160" t="n">
        <f aca="false">69.017+2.4+2.4+2+1+0.5</f>
        <v>77.317</v>
      </c>
      <c r="I11" s="160" t="n">
        <f aca="false">69.017+2.4+2.4+2+1+0.5+0.2</f>
        <v>77.517</v>
      </c>
      <c r="J11" s="160" t="n">
        <f aca="false">69.017+2.4+2.4+2+1+0.5+0.2+0.3</f>
        <v>77.817</v>
      </c>
      <c r="K11" s="160" t="n">
        <f aca="false">69.017+2.4+2.4+2+1+0.5+0.2+0.3+0.3</f>
        <v>78.117</v>
      </c>
      <c r="L11" s="160" t="n">
        <f aca="false">69.017+2.4+2.4+2+1+0.5+0.2+0.3+0.3+0.5</f>
        <v>78.617</v>
      </c>
      <c r="M11" s="160" t="n">
        <f aca="false">69.017+2.4+2.4+2+1+0.5+0.2+0.3+0.3+0.5+1</f>
        <v>79.617</v>
      </c>
      <c r="N11" s="160" t="n">
        <f aca="false">69.017+2.4+2.4+2+1+0.5+0.2+0.3+0.3+0.5+1+2</f>
        <v>81.617</v>
      </c>
      <c r="O11" s="160" t="n">
        <f aca="false">69.017+2.4+2.4+2+1+0.5+0.2+0.3+0.3+0.5+1+2+3</f>
        <v>84.617</v>
      </c>
      <c r="Q11" s="18" t="n">
        <f aca="false">O11-C11</f>
        <v>15.6</v>
      </c>
      <c r="T11" s="6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customFormat="false" ht="15" hidden="false" customHeight="false" outlineLevel="0" collapsed="false">
      <c r="A12" s="24" t="n">
        <v>5</v>
      </c>
      <c r="B12" s="20" t="s">
        <v>252</v>
      </c>
      <c r="C12" s="152" t="n">
        <v>27.464</v>
      </c>
      <c r="D12" s="21" t="n">
        <v>30.586</v>
      </c>
      <c r="E12" s="21" t="n">
        <v>33.604</v>
      </c>
      <c r="F12" s="21" t="n">
        <v>36.756</v>
      </c>
      <c r="G12" s="21" t="n">
        <v>39.957</v>
      </c>
      <c r="H12" s="21" t="n">
        <v>42.763</v>
      </c>
      <c r="I12" s="21" t="n">
        <v>45.55</v>
      </c>
      <c r="J12" s="21" t="n">
        <v>48.312</v>
      </c>
      <c r="K12" s="21" t="n">
        <v>50.932</v>
      </c>
      <c r="L12" s="21" t="n">
        <v>52.306</v>
      </c>
      <c r="M12" s="21" t="n">
        <v>53.991</v>
      </c>
      <c r="N12" s="21" t="n">
        <v>56.256</v>
      </c>
      <c r="O12" s="21" t="n">
        <v>58.507</v>
      </c>
      <c r="P12" s="18" t="n">
        <f aca="false">O12-C12</f>
        <v>31.043</v>
      </c>
      <c r="Q12" s="18"/>
      <c r="T12" s="6" t="n">
        <v>5</v>
      </c>
      <c r="U12" s="25" t="n">
        <f aca="false">D12-C12</f>
        <v>3.122</v>
      </c>
      <c r="V12" s="25" t="n">
        <f aca="false">E12-D12</f>
        <v>3.018</v>
      </c>
      <c r="W12" s="25" t="n">
        <f aca="false">F12-E12</f>
        <v>3.152</v>
      </c>
      <c r="X12" s="25" t="n">
        <f aca="false">G12-F12</f>
        <v>3.201</v>
      </c>
      <c r="Y12" s="25" t="n">
        <f aca="false">H12-G12</f>
        <v>2.806</v>
      </c>
      <c r="Z12" s="25" t="n">
        <f aca="false">I12-H12</f>
        <v>2.787</v>
      </c>
      <c r="AA12" s="25" t="n">
        <f aca="false">J12-I12</f>
        <v>2.762</v>
      </c>
      <c r="AB12" s="25" t="n">
        <f aca="false">K12-J12</f>
        <v>2.62</v>
      </c>
      <c r="AC12" s="25" t="n">
        <f aca="false">L12-K12</f>
        <v>1.374</v>
      </c>
      <c r="AD12" s="25" t="n">
        <f aca="false">M12-L12</f>
        <v>1.685</v>
      </c>
      <c r="AE12" s="25" t="n">
        <f aca="false">N12-M12</f>
        <v>2.265</v>
      </c>
      <c r="AF12" s="25" t="n">
        <f aca="false">O12-N12</f>
        <v>2.251</v>
      </c>
    </row>
    <row r="13" customFormat="false" ht="15" hidden="false" customHeight="false" outlineLevel="0" collapsed="false">
      <c r="A13" s="24"/>
      <c r="B13" s="20" t="s">
        <v>253</v>
      </c>
      <c r="C13" s="152" t="n">
        <v>17.919</v>
      </c>
      <c r="D13" s="21" t="n">
        <v>19.425</v>
      </c>
      <c r="E13" s="21" t="n">
        <v>20.358</v>
      </c>
      <c r="F13" s="21" t="n">
        <v>24.792</v>
      </c>
      <c r="G13" s="21" t="n">
        <v>28.542</v>
      </c>
      <c r="H13" s="21" t="n">
        <v>31.293</v>
      </c>
      <c r="I13" s="21" t="n">
        <v>32.906</v>
      </c>
      <c r="J13" s="21" t="n">
        <v>33.127</v>
      </c>
      <c r="K13" s="21" t="n">
        <v>33.318</v>
      </c>
      <c r="L13" s="21" t="n">
        <v>33.461</v>
      </c>
      <c r="M13" s="21" t="n">
        <v>33.657</v>
      </c>
      <c r="N13" s="21" t="n">
        <v>34.297</v>
      </c>
      <c r="O13" s="21" t="n">
        <v>35.472</v>
      </c>
      <c r="Q13" s="18" t="n">
        <f aca="false">O13-C13</f>
        <v>17.553</v>
      </c>
      <c r="T13" s="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customFormat="false" ht="15" hidden="false" customHeight="false" outlineLevel="0" collapsed="false">
      <c r="A14" s="24" t="n">
        <v>6</v>
      </c>
      <c r="B14" s="20" t="s">
        <v>254</v>
      </c>
      <c r="C14" s="152" t="n">
        <v>161.633</v>
      </c>
      <c r="D14" s="21" t="n">
        <v>167.64</v>
      </c>
      <c r="E14" s="21" t="n">
        <v>173.178</v>
      </c>
      <c r="F14" s="21" t="n">
        <v>179.166</v>
      </c>
      <c r="G14" s="21" t="n">
        <v>185.57</v>
      </c>
      <c r="H14" s="21" t="n">
        <v>190.705</v>
      </c>
      <c r="I14" s="21" t="n">
        <v>195.917</v>
      </c>
      <c r="J14" s="21" t="n">
        <v>200.034</v>
      </c>
      <c r="K14" s="21" t="n">
        <v>204.701</v>
      </c>
      <c r="L14" s="21" t="n">
        <v>209.54</v>
      </c>
      <c r="M14" s="21" t="n">
        <v>214.841</v>
      </c>
      <c r="N14" s="21" t="n">
        <v>219.472</v>
      </c>
      <c r="O14" s="21" t="n">
        <v>225.865</v>
      </c>
      <c r="P14" s="18" t="n">
        <f aca="false">O14-C14</f>
        <v>64.232</v>
      </c>
      <c r="Q14" s="18"/>
      <c r="T14" s="6" t="n">
        <v>6</v>
      </c>
      <c r="U14" s="25" t="n">
        <f aca="false">D14-C14</f>
        <v>6.00699999999998</v>
      </c>
      <c r="V14" s="25" t="n">
        <f aca="false">E14-D14</f>
        <v>5.53800000000001</v>
      </c>
      <c r="W14" s="25" t="n">
        <f aca="false">F14-E14</f>
        <v>5.988</v>
      </c>
      <c r="X14" s="25" t="n">
        <f aca="false">G14-F14</f>
        <v>6.404</v>
      </c>
      <c r="Y14" s="25" t="n">
        <f aca="false">H14-G14</f>
        <v>5.13500000000002</v>
      </c>
      <c r="Z14" s="25" t="n">
        <f aca="false">I14-H14</f>
        <v>5.21199999999999</v>
      </c>
      <c r="AA14" s="25" t="n">
        <f aca="false">J14-I14</f>
        <v>4.11699999999999</v>
      </c>
      <c r="AB14" s="25" t="n">
        <f aca="false">K14-J14</f>
        <v>4.667</v>
      </c>
      <c r="AC14" s="25" t="n">
        <f aca="false">L14-K14</f>
        <v>4.839</v>
      </c>
      <c r="AD14" s="25" t="n">
        <f aca="false">M14-L14</f>
        <v>5.30100000000002</v>
      </c>
      <c r="AE14" s="25" t="n">
        <f aca="false">N14-M14</f>
        <v>4.631</v>
      </c>
      <c r="AF14" s="25" t="n">
        <f aca="false">O14-N14</f>
        <v>6.393</v>
      </c>
    </row>
    <row r="15" customFormat="false" ht="15" hidden="false" customHeight="false" outlineLevel="0" collapsed="false">
      <c r="A15" s="24"/>
      <c r="B15" s="20" t="s">
        <v>255</v>
      </c>
      <c r="C15" s="152" t="n">
        <v>51.612</v>
      </c>
      <c r="D15" s="21" t="n">
        <v>54.375</v>
      </c>
      <c r="E15" s="21" t="n">
        <v>56.034</v>
      </c>
      <c r="F15" s="21" t="n">
        <v>57.705</v>
      </c>
      <c r="G15" s="21" t="n">
        <v>59.003</v>
      </c>
      <c r="H15" s="21" t="n">
        <v>59.454</v>
      </c>
      <c r="I15" s="21" t="n">
        <v>59.759</v>
      </c>
      <c r="J15" s="21" t="n">
        <v>59.988</v>
      </c>
      <c r="K15" s="21" t="n">
        <v>60.249</v>
      </c>
      <c r="L15" s="21" t="n">
        <v>60.546</v>
      </c>
      <c r="M15" s="21" t="n">
        <v>61.631</v>
      </c>
      <c r="N15" s="21" t="n">
        <v>63.785</v>
      </c>
      <c r="O15" s="21" t="n">
        <v>66.737</v>
      </c>
      <c r="Q15" s="18" t="n">
        <f aca="false">O15-C15</f>
        <v>15.125</v>
      </c>
      <c r="T15" s="6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customFormat="false" ht="15" hidden="false" customHeight="false" outlineLevel="0" collapsed="false">
      <c r="A16" s="24" t="n">
        <v>7</v>
      </c>
      <c r="B16" s="20" t="s">
        <v>256</v>
      </c>
      <c r="C16" s="152" t="n">
        <v>123.133</v>
      </c>
      <c r="D16" s="21" t="n">
        <v>128.822</v>
      </c>
      <c r="E16" s="21" t="n">
        <v>134.03</v>
      </c>
      <c r="F16" s="21" t="n">
        <v>138.504</v>
      </c>
      <c r="G16" s="21" t="n">
        <v>142.42</v>
      </c>
      <c r="H16" s="21" t="n">
        <v>146.838</v>
      </c>
      <c r="I16" s="21" t="n">
        <v>150.455</v>
      </c>
      <c r="J16" s="21" t="n">
        <v>154.94</v>
      </c>
      <c r="K16" s="21" t="n">
        <v>159.371</v>
      </c>
      <c r="L16" s="21" t="n">
        <v>163.908</v>
      </c>
      <c r="M16" s="21" t="n">
        <v>169.041</v>
      </c>
      <c r="N16" s="21" t="n">
        <v>173.83</v>
      </c>
      <c r="O16" s="21" t="n">
        <v>178.345</v>
      </c>
      <c r="P16" s="18" t="n">
        <f aca="false">O16-C16</f>
        <v>55.212</v>
      </c>
      <c r="Q16" s="18"/>
      <c r="T16" s="6" t="n">
        <v>7</v>
      </c>
      <c r="U16" s="25" t="n">
        <f aca="false">D16-C16</f>
        <v>5.68900000000001</v>
      </c>
      <c r="V16" s="25" t="n">
        <f aca="false">E16-D16</f>
        <v>5.208</v>
      </c>
      <c r="W16" s="25" t="n">
        <f aca="false">F16-E16</f>
        <v>4.47399999999999</v>
      </c>
      <c r="X16" s="25" t="n">
        <f aca="false">G16-F16</f>
        <v>3.916</v>
      </c>
      <c r="Y16" s="25" t="n">
        <f aca="false">H16-G16</f>
        <v>4.41800000000001</v>
      </c>
      <c r="Z16" s="25" t="n">
        <f aca="false">I16-H16</f>
        <v>3.61700000000002</v>
      </c>
      <c r="AA16" s="25" t="n">
        <f aca="false">J16-I16</f>
        <v>4.48499999999999</v>
      </c>
      <c r="AB16" s="25" t="n">
        <f aca="false">K16-J16</f>
        <v>4.43100000000001</v>
      </c>
      <c r="AC16" s="25" t="n">
        <f aca="false">L16-K16</f>
        <v>4.53699999999998</v>
      </c>
      <c r="AD16" s="25" t="n">
        <f aca="false">M16-L16</f>
        <v>5.13300000000001</v>
      </c>
      <c r="AE16" s="25" t="n">
        <f aca="false">N16-M16</f>
        <v>4.78900000000002</v>
      </c>
      <c r="AF16" s="25" t="n">
        <f aca="false">O16-N16</f>
        <v>4.51499999999999</v>
      </c>
    </row>
    <row r="17" customFormat="false" ht="15" hidden="false" customHeight="false" outlineLevel="0" collapsed="false">
      <c r="A17" s="24"/>
      <c r="B17" s="20" t="s">
        <v>257</v>
      </c>
      <c r="C17" s="152" t="n">
        <v>59.403</v>
      </c>
      <c r="D17" s="21" t="n">
        <v>62.685</v>
      </c>
      <c r="E17" s="21" t="n">
        <v>64.901</v>
      </c>
      <c r="F17" s="21" t="n">
        <v>65.91</v>
      </c>
      <c r="G17" s="21" t="n">
        <v>66.941</v>
      </c>
      <c r="H17" s="21" t="n">
        <v>67.311</v>
      </c>
      <c r="I17" s="21" t="n">
        <v>67.629</v>
      </c>
      <c r="J17" s="21" t="n">
        <v>67.956</v>
      </c>
      <c r="K17" s="21" t="n">
        <v>68.262</v>
      </c>
      <c r="L17" s="21" t="n">
        <v>68.623</v>
      </c>
      <c r="M17" s="21" t="n">
        <v>69.254</v>
      </c>
      <c r="N17" s="21" t="n">
        <v>71.426</v>
      </c>
      <c r="O17" s="21" t="n">
        <v>74.641</v>
      </c>
      <c r="Q17" s="18" t="n">
        <f aca="false">O17-C17</f>
        <v>15.238</v>
      </c>
      <c r="T17" s="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customFormat="false" ht="15" hidden="false" customHeight="false" outlineLevel="0" collapsed="false">
      <c r="A18" s="24" t="n">
        <v>8</v>
      </c>
      <c r="B18" s="20" t="s">
        <v>258</v>
      </c>
      <c r="C18" s="152" t="n">
        <v>278.032</v>
      </c>
      <c r="D18" s="21" t="n">
        <v>288.428</v>
      </c>
      <c r="E18" s="21" t="n">
        <v>297.741</v>
      </c>
      <c r="F18" s="21" t="n">
        <v>308.341</v>
      </c>
      <c r="G18" s="21" t="n">
        <v>319.768</v>
      </c>
      <c r="H18" s="21" t="n">
        <v>327.955</v>
      </c>
      <c r="I18" s="21" t="n">
        <v>336.26</v>
      </c>
      <c r="J18" s="21" t="n">
        <v>343.128</v>
      </c>
      <c r="K18" s="21" t="n">
        <v>351.902</v>
      </c>
      <c r="L18" s="21" t="n">
        <v>360.708</v>
      </c>
      <c r="M18" s="21" t="n">
        <v>371.094</v>
      </c>
      <c r="N18" s="21" t="n">
        <v>380.615</v>
      </c>
      <c r="O18" s="21" t="n">
        <v>390.61</v>
      </c>
      <c r="P18" s="18" t="n">
        <f aca="false">O18-C18</f>
        <v>112.578</v>
      </c>
      <c r="Q18" s="18"/>
      <c r="T18" s="6" t="n">
        <v>8</v>
      </c>
      <c r="U18" s="25" t="n">
        <f aca="false">D18-C18</f>
        <v>10.396</v>
      </c>
      <c r="V18" s="25" t="n">
        <f aca="false">E18-D18</f>
        <v>9.31299999999999</v>
      </c>
      <c r="W18" s="25" t="n">
        <f aca="false">F18-E18</f>
        <v>10.6</v>
      </c>
      <c r="X18" s="25" t="n">
        <f aca="false">G18-F18</f>
        <v>11.427</v>
      </c>
      <c r="Y18" s="25" t="n">
        <f aca="false">H18-G18</f>
        <v>8.18700000000001</v>
      </c>
      <c r="Z18" s="25" t="n">
        <f aca="false">I18-H18</f>
        <v>8.30500000000001</v>
      </c>
      <c r="AA18" s="25" t="n">
        <f aca="false">J18-I18</f>
        <v>6.868</v>
      </c>
      <c r="AB18" s="25" t="n">
        <f aca="false">K18-J18</f>
        <v>8.774</v>
      </c>
      <c r="AC18" s="25" t="n">
        <f aca="false">L18-K18</f>
        <v>8.80600000000004</v>
      </c>
      <c r="AD18" s="25" t="n">
        <f aca="false">M18-L18</f>
        <v>10.386</v>
      </c>
      <c r="AE18" s="25" t="n">
        <f aca="false">N18-M18</f>
        <v>9.52100000000002</v>
      </c>
      <c r="AF18" s="25" t="n">
        <f aca="false">O18-N18</f>
        <v>9.99500000000001</v>
      </c>
    </row>
    <row r="19" customFormat="false" ht="15" hidden="false" customHeight="false" outlineLevel="0" collapsed="false">
      <c r="A19" s="24"/>
      <c r="B19" s="20" t="s">
        <v>259</v>
      </c>
      <c r="C19" s="152" t="n">
        <v>156.842</v>
      </c>
      <c r="D19" s="21" t="n">
        <v>163.077</v>
      </c>
      <c r="E19" s="21" t="n">
        <v>167.692</v>
      </c>
      <c r="F19" s="21" t="n">
        <v>171.386</v>
      </c>
      <c r="G19" s="21" t="n">
        <v>174.473</v>
      </c>
      <c r="H19" s="21" t="n">
        <v>174.815</v>
      </c>
      <c r="I19" s="21" t="n">
        <v>175.077</v>
      </c>
      <c r="J19" s="21" t="n">
        <v>175.267</v>
      </c>
      <c r="K19" s="21" t="n">
        <v>175.48</v>
      </c>
      <c r="L19" s="21" t="n">
        <v>175.736</v>
      </c>
      <c r="M19" s="21" t="n">
        <v>176.189</v>
      </c>
      <c r="N19" s="21" t="n">
        <v>177.197</v>
      </c>
      <c r="O19" s="21" t="n">
        <v>179.995</v>
      </c>
      <c r="Q19" s="18" t="n">
        <f aca="false">O19-C19</f>
        <v>23.153</v>
      </c>
      <c r="T19" s="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customFormat="false" ht="15" hidden="false" customHeight="false" outlineLevel="0" collapsed="false">
      <c r="A20" s="24" t="n">
        <v>9</v>
      </c>
      <c r="B20" s="20" t="s">
        <v>260</v>
      </c>
      <c r="C20" s="152" t="n">
        <v>164.492</v>
      </c>
      <c r="D20" s="21" t="n">
        <v>171.72</v>
      </c>
      <c r="E20" s="21" t="n">
        <v>176.685</v>
      </c>
      <c r="F20" s="21" t="n">
        <v>183.136</v>
      </c>
      <c r="G20" s="21" t="n">
        <v>190.91</v>
      </c>
      <c r="H20" s="21" t="n">
        <v>196.062</v>
      </c>
      <c r="I20" s="21" t="n">
        <v>200.468</v>
      </c>
      <c r="J20" s="21" t="n">
        <v>203.462</v>
      </c>
      <c r="K20" s="21" t="n">
        <v>207.471</v>
      </c>
      <c r="L20" s="21" t="n">
        <v>210.711</v>
      </c>
      <c r="M20" s="21" t="n">
        <v>217.446</v>
      </c>
      <c r="N20" s="21" t="n">
        <v>224.91</v>
      </c>
      <c r="O20" s="21" t="n">
        <v>232.433</v>
      </c>
      <c r="P20" s="18" t="n">
        <f aca="false">O20-C20</f>
        <v>67.941</v>
      </c>
      <c r="Q20" s="18"/>
      <c r="T20" s="6" t="n">
        <v>9</v>
      </c>
      <c r="U20" s="25" t="n">
        <f aca="false">D20-C20</f>
        <v>7.22800000000001</v>
      </c>
      <c r="V20" s="25" t="n">
        <f aca="false">E20-D20</f>
        <v>4.965</v>
      </c>
      <c r="W20" s="25" t="n">
        <f aca="false">F20-E20</f>
        <v>6.45099999999999</v>
      </c>
      <c r="X20" s="25" t="n">
        <f aca="false">G20-F20</f>
        <v>7.774</v>
      </c>
      <c r="Y20" s="25" t="n">
        <f aca="false">H20-G20</f>
        <v>5.15200000000002</v>
      </c>
      <c r="Z20" s="25" t="n">
        <f aca="false">I20-H20</f>
        <v>4.40599999999998</v>
      </c>
      <c r="AA20" s="25" t="n">
        <f aca="false">J20-I20</f>
        <v>2.994</v>
      </c>
      <c r="AB20" s="25" t="n">
        <f aca="false">K20-J20</f>
        <v>4.00900000000001</v>
      </c>
      <c r="AC20" s="25" t="n">
        <f aca="false">L20-K20</f>
        <v>3.24000000000001</v>
      </c>
      <c r="AD20" s="25" t="n">
        <f aca="false">M20-L20</f>
        <v>6.73499999999999</v>
      </c>
      <c r="AE20" s="25" t="n">
        <f aca="false">N20-M20</f>
        <v>7.464</v>
      </c>
      <c r="AF20" s="25" t="n">
        <f aca="false">O20-N20</f>
        <v>7.523</v>
      </c>
    </row>
    <row r="21" customFormat="false" ht="15" hidden="false" customHeight="false" outlineLevel="0" collapsed="false">
      <c r="A21" s="24"/>
      <c r="B21" s="20" t="s">
        <v>261</v>
      </c>
      <c r="C21" s="152" t="n">
        <v>108.707</v>
      </c>
      <c r="D21" s="21" t="n">
        <v>113.488</v>
      </c>
      <c r="E21" s="21" t="n">
        <v>116.647</v>
      </c>
      <c r="F21" s="21" t="n">
        <v>119.1</v>
      </c>
      <c r="G21" s="21" t="n">
        <v>120.965</v>
      </c>
      <c r="H21" s="21" t="n">
        <v>121.321</v>
      </c>
      <c r="I21" s="21" t="n">
        <v>121.592</v>
      </c>
      <c r="J21" s="21" t="n">
        <v>121.841</v>
      </c>
      <c r="K21" s="21" t="n">
        <v>122.105</v>
      </c>
      <c r="L21" s="21" t="n">
        <v>122.381</v>
      </c>
      <c r="M21" s="21" t="n">
        <v>122.921</v>
      </c>
      <c r="N21" s="21" t="n">
        <v>124.95</v>
      </c>
      <c r="O21" s="21" t="n">
        <v>128.208</v>
      </c>
      <c r="Q21" s="18" t="n">
        <f aca="false">O21-C21</f>
        <v>19.501</v>
      </c>
      <c r="T21" s="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customFormat="false" ht="15" hidden="false" customHeight="false" outlineLevel="0" collapsed="false">
      <c r="A22" s="24" t="n">
        <v>10</v>
      </c>
      <c r="B22" s="20" t="s">
        <v>262</v>
      </c>
      <c r="C22" s="152" t="n">
        <v>199.113</v>
      </c>
      <c r="D22" s="21" t="n">
        <v>206.376</v>
      </c>
      <c r="E22" s="21" t="n">
        <v>213.142</v>
      </c>
      <c r="F22" s="21" t="n">
        <v>219.978</v>
      </c>
      <c r="G22" s="21" t="n">
        <v>232.09</v>
      </c>
      <c r="H22" s="21" t="n">
        <v>237.959</v>
      </c>
      <c r="I22" s="21" t="n">
        <v>244.719</v>
      </c>
      <c r="J22" s="21" t="n">
        <v>248.462</v>
      </c>
      <c r="K22" s="21" t="n">
        <v>255.157</v>
      </c>
      <c r="L22" s="21" t="n">
        <v>258.848</v>
      </c>
      <c r="M22" s="21" t="n">
        <v>266.07</v>
      </c>
      <c r="N22" s="21" t="n">
        <v>271.677</v>
      </c>
      <c r="O22" s="21" t="n">
        <v>277.658</v>
      </c>
      <c r="P22" s="18" t="n">
        <f aca="false">O22-C22</f>
        <v>78.545</v>
      </c>
      <c r="Q22" s="18"/>
      <c r="T22" s="6" t="n">
        <v>10</v>
      </c>
      <c r="U22" s="25" t="n">
        <f aca="false">D22-C22</f>
        <v>7.26300000000001</v>
      </c>
      <c r="V22" s="25" t="n">
        <f aca="false">E22-D22</f>
        <v>6.76599999999999</v>
      </c>
      <c r="W22" s="25" t="n">
        <f aca="false">F22-E22</f>
        <v>6.83600000000001</v>
      </c>
      <c r="X22" s="25" t="n">
        <f aca="false">G22-F22</f>
        <v>12.112</v>
      </c>
      <c r="Y22" s="25" t="n">
        <f aca="false">H22-G22</f>
        <v>5.869</v>
      </c>
      <c r="Z22" s="25" t="n">
        <f aca="false">I22-H22</f>
        <v>6.75999999999999</v>
      </c>
      <c r="AA22" s="25" t="n">
        <f aca="false">J22-I22</f>
        <v>3.743</v>
      </c>
      <c r="AB22" s="25" t="n">
        <f aca="false">K22-J22</f>
        <v>6.69500000000002</v>
      </c>
      <c r="AC22" s="25" t="n">
        <f aca="false">L22-K22</f>
        <v>3.691</v>
      </c>
      <c r="AD22" s="25" t="n">
        <f aca="false">M22-L22</f>
        <v>7.22199999999998</v>
      </c>
      <c r="AE22" s="25" t="n">
        <f aca="false">N22-M22</f>
        <v>5.60700000000003</v>
      </c>
      <c r="AF22" s="25" t="n">
        <f aca="false">O22-N22</f>
        <v>5.98099999999999</v>
      </c>
    </row>
    <row r="23" customFormat="false" ht="15" hidden="false" customHeight="false" outlineLevel="0" collapsed="false">
      <c r="A23" s="24"/>
      <c r="B23" s="20" t="s">
        <v>263</v>
      </c>
      <c r="C23" s="152" t="n">
        <v>85.393</v>
      </c>
      <c r="D23" s="21" t="n">
        <v>88.748</v>
      </c>
      <c r="E23" s="21" t="n">
        <v>91.006</v>
      </c>
      <c r="F23" s="21" t="n">
        <v>92.575</v>
      </c>
      <c r="G23" s="21" t="n">
        <v>93.808</v>
      </c>
      <c r="H23" s="21" t="n">
        <v>94.087</v>
      </c>
      <c r="I23" s="21" t="n">
        <v>94.392</v>
      </c>
      <c r="J23" s="21" t="n">
        <v>94.522</v>
      </c>
      <c r="K23" s="21" t="n">
        <v>94.766</v>
      </c>
      <c r="L23" s="21" t="n">
        <v>94.927</v>
      </c>
      <c r="M23" s="21" t="n">
        <v>95.556</v>
      </c>
      <c r="N23" s="21" t="n">
        <v>98.795</v>
      </c>
      <c r="O23" s="21" t="n">
        <v>103.034</v>
      </c>
      <c r="P23" s="161"/>
      <c r="Q23" s="28" t="n">
        <f aca="false">O23-C23</f>
        <v>17.641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customFormat="false" ht="15" hidden="false" customHeight="false" outlineLevel="0" collapsed="false">
      <c r="A24" s="29"/>
      <c r="B24" s="20"/>
      <c r="C24" s="15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8" t="n">
        <f aca="false">SUM(P4:P23)</f>
        <v>809.822</v>
      </c>
      <c r="Q24" s="18" t="n">
        <f aca="false">SUM(Q4:Q23)</f>
        <v>188.323</v>
      </c>
    </row>
    <row r="25" customFormat="false" ht="15" hidden="false" customHeight="false" outlineLevel="0" collapsed="false">
      <c r="A25" s="29" t="s">
        <v>39</v>
      </c>
      <c r="B25" s="20" t="s">
        <v>264</v>
      </c>
      <c r="C25" s="155" t="n">
        <v>42073</v>
      </c>
      <c r="D25" s="30" t="n">
        <v>42259</v>
      </c>
      <c r="E25" s="30" t="n">
        <v>42436</v>
      </c>
      <c r="F25" s="30" t="n">
        <v>42621</v>
      </c>
      <c r="G25" s="30" t="n">
        <v>42830</v>
      </c>
      <c r="H25" s="30" t="n">
        <v>43034</v>
      </c>
      <c r="I25" s="30" t="n">
        <v>43246</v>
      </c>
      <c r="J25" s="30" t="n">
        <v>43449</v>
      </c>
      <c r="K25" s="30" t="n">
        <v>43646</v>
      </c>
      <c r="L25" s="30" t="n">
        <v>43816</v>
      </c>
      <c r="M25" s="30" t="n">
        <v>44021</v>
      </c>
      <c r="N25" s="30" t="n">
        <v>44213</v>
      </c>
      <c r="O25" s="30" t="n">
        <v>44469</v>
      </c>
      <c r="Q25" s="18"/>
      <c r="R25" s="33" t="n">
        <f aca="false">O25-C25</f>
        <v>2396</v>
      </c>
    </row>
    <row r="26" customFormat="false" ht="15" hidden="false" customHeight="false" outlineLevel="0" collapsed="false">
      <c r="A26" s="29"/>
      <c r="B26" s="20" t="s">
        <v>265</v>
      </c>
      <c r="C26" s="156" t="n">
        <v>2007</v>
      </c>
      <c r="D26" s="35" t="n">
        <v>2083.1</v>
      </c>
      <c r="E26" s="35" t="n">
        <v>2153.1</v>
      </c>
      <c r="F26" s="35" t="n">
        <v>2229.2</v>
      </c>
      <c r="G26" s="35" t="n">
        <v>2314.6</v>
      </c>
      <c r="H26" s="35" t="n">
        <v>2383.6</v>
      </c>
      <c r="I26" s="35" t="n">
        <v>2448.8</v>
      </c>
      <c r="J26" s="35" t="n">
        <v>2515</v>
      </c>
      <c r="K26" s="35" t="n">
        <v>2586.2</v>
      </c>
      <c r="L26" s="35" t="n">
        <v>2655.5</v>
      </c>
      <c r="M26" s="35" t="n">
        <v>2741.5</v>
      </c>
      <c r="N26" s="35" t="n">
        <v>2818.6</v>
      </c>
      <c r="O26" s="35" t="n">
        <v>2901.4</v>
      </c>
      <c r="P26" s="128" t="n">
        <f aca="false">O26-C26</f>
        <v>894.4</v>
      </c>
      <c r="Q26" s="18"/>
    </row>
    <row r="27" customFormat="false" ht="15" hidden="false" customHeight="false" outlineLevel="0" collapsed="false">
      <c r="A27" s="83"/>
      <c r="B27" s="139" t="s">
        <v>266</v>
      </c>
      <c r="C27" s="157" t="n">
        <v>319.73</v>
      </c>
      <c r="D27" s="36" t="n">
        <v>357.48</v>
      </c>
      <c r="E27" s="36" t="n">
        <v>385.17</v>
      </c>
      <c r="F27" s="36" t="n">
        <v>407.94</v>
      </c>
      <c r="G27" s="36" t="n">
        <v>424.35</v>
      </c>
      <c r="H27" s="36" t="n">
        <v>427.78</v>
      </c>
      <c r="I27" s="36" t="n">
        <v>430.23</v>
      </c>
      <c r="J27" s="36" t="n">
        <v>432.52</v>
      </c>
      <c r="K27" s="37" t="n">
        <v>434.74</v>
      </c>
      <c r="L27" s="36" t="n">
        <v>437.65</v>
      </c>
      <c r="M27" s="36" t="n">
        <v>444.69</v>
      </c>
      <c r="N27" s="36" t="n">
        <v>467.18</v>
      </c>
      <c r="O27" s="36" t="n">
        <v>501.79</v>
      </c>
      <c r="Q27" s="18" t="n">
        <f aca="false">O27-C27</f>
        <v>182.06</v>
      </c>
      <c r="R27" s="0" t="s">
        <v>17</v>
      </c>
    </row>
    <row r="28" customFormat="false" ht="15.75" hidden="false" customHeight="false" outlineLevel="0" collapsed="false">
      <c r="A28" s="11"/>
      <c r="B28" s="84" t="s">
        <v>43</v>
      </c>
      <c r="C28" s="158" t="n">
        <v>2371</v>
      </c>
      <c r="D28" s="39" t="n">
        <v>2625</v>
      </c>
      <c r="E28" s="39" t="n">
        <v>2812</v>
      </c>
      <c r="F28" s="39" t="n">
        <v>2964</v>
      </c>
      <c r="G28" s="39" t="n">
        <v>3070</v>
      </c>
      <c r="H28" s="39" t="n">
        <v>3094</v>
      </c>
      <c r="I28" s="39" t="n">
        <v>3113</v>
      </c>
      <c r="J28" s="39" t="n">
        <v>3132</v>
      </c>
      <c r="K28" s="140" t="n">
        <v>3150</v>
      </c>
      <c r="L28" s="39" t="n">
        <v>3172</v>
      </c>
      <c r="M28" s="39" t="n">
        <v>3222</v>
      </c>
      <c r="N28" s="39" t="n">
        <v>3363</v>
      </c>
      <c r="O28" s="39" t="n">
        <v>3595</v>
      </c>
      <c r="Q28" s="33" t="n">
        <f aca="false">O28-C28</f>
        <v>1224</v>
      </c>
      <c r="R28" s="0" t="s">
        <v>16</v>
      </c>
    </row>
    <row r="29" customFormat="false" ht="15.75" hidden="false" customHeight="false" outlineLevel="0" collapsed="false">
      <c r="A29" s="141" t="str">
        <f aca="false">'1854'!A29</f>
        <v>Fakturační vodoměr:      42012114941</v>
      </c>
      <c r="B29" s="41"/>
      <c r="C29" s="42" t="n">
        <f aca="false">'1854'!C29</f>
        <v>4605</v>
      </c>
      <c r="D29" s="42" t="n">
        <f aca="false">'1854'!D29</f>
        <v>4905.6</v>
      </c>
      <c r="E29" s="42" t="n">
        <f aca="false">'1854'!E29</f>
        <v>5169.8</v>
      </c>
      <c r="F29" s="42" t="n">
        <f aca="false">'1854'!F29</f>
        <v>5453.5</v>
      </c>
      <c r="G29" s="42" t="n">
        <f aca="false">'1854'!G29</f>
        <v>5740.1</v>
      </c>
      <c r="H29" s="42" t="n">
        <f aca="false">'1854'!H29</f>
        <v>6002.3</v>
      </c>
      <c r="I29" s="42" t="n">
        <f aca="false">'1854'!I29</f>
        <v>6257.5</v>
      </c>
      <c r="J29" s="42" t="n">
        <f aca="false">'1854'!J29</f>
        <v>6498.9</v>
      </c>
      <c r="K29" s="42" t="n">
        <f aca="false">'1854'!K29</f>
        <v>6755.3</v>
      </c>
      <c r="L29" s="42" t="n">
        <f aca="false">'1854'!L29</f>
        <v>7009</v>
      </c>
      <c r="M29" s="42" t="n">
        <f aca="false">'1854'!M29</f>
        <v>7290.8</v>
      </c>
      <c r="N29" s="42" t="n">
        <f aca="false">'1854'!N29</f>
        <v>7559.6</v>
      </c>
      <c r="O29" s="42" t="n">
        <f aca="false">'1854'!O29</f>
        <v>7844.6</v>
      </c>
      <c r="P29" s="0" t="n">
        <f aca="false">O29-N35+N33-C29</f>
        <v>3239.6</v>
      </c>
      <c r="Q29" s="18"/>
    </row>
    <row r="32" customFormat="false" ht="15" hidden="false" customHeight="false" outlineLevel="0" collapsed="false">
      <c r="E32" s="0" t="s">
        <v>215</v>
      </c>
      <c r="H32" s="142" t="s">
        <v>51</v>
      </c>
      <c r="I32" s="6" t="s">
        <v>16</v>
      </c>
      <c r="K32" s="0" t="s">
        <v>216</v>
      </c>
      <c r="N32" s="6" t="s">
        <v>16</v>
      </c>
    </row>
    <row r="33" customFormat="false" ht="15" hidden="false" customHeight="false" outlineLevel="0" collapsed="false">
      <c r="D33" s="0" t="s">
        <v>217</v>
      </c>
      <c r="E33" s="97" t="n">
        <v>43984</v>
      </c>
      <c r="F33" s="88" t="s">
        <v>48</v>
      </c>
      <c r="G33" s="98"/>
      <c r="H33" s="143"/>
      <c r="I33" s="144"/>
      <c r="K33" s="145" t="n">
        <v>44095</v>
      </c>
      <c r="L33" s="98" t="s">
        <v>48</v>
      </c>
      <c r="M33" s="98"/>
      <c r="N33" s="98"/>
    </row>
    <row r="34" customFormat="false" ht="15" hidden="false" customHeight="false" outlineLevel="0" collapsed="false">
      <c r="E34" s="146"/>
      <c r="F34" s="147"/>
      <c r="G34" s="148" t="s">
        <v>218</v>
      </c>
      <c r="H34" s="149" t="s">
        <v>17</v>
      </c>
      <c r="I34" s="150" t="s">
        <v>16</v>
      </c>
      <c r="L34" s="6"/>
      <c r="M34" s="148" t="s">
        <v>218</v>
      </c>
      <c r="N34" s="150" t="s">
        <v>16</v>
      </c>
    </row>
    <row r="35" customFormat="false" ht="15" hidden="false" customHeight="false" outlineLevel="0" collapsed="false">
      <c r="D35" s="0" t="s">
        <v>219</v>
      </c>
      <c r="E35" s="97" t="n">
        <v>43986</v>
      </c>
      <c r="F35" s="88" t="s">
        <v>53</v>
      </c>
      <c r="G35" s="98"/>
      <c r="H35" s="143"/>
      <c r="I35" s="144"/>
      <c r="K35" s="145" t="n">
        <v>44095</v>
      </c>
      <c r="L35" s="98" t="s">
        <v>53</v>
      </c>
      <c r="M35" s="98"/>
      <c r="N35" s="98"/>
    </row>
  </sheetData>
  <mergeCells count="1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conditionalFormatting sqref="H4">
    <cfRule type="cellIs" priority="2" operator="lessThan" aboveAverage="0" equalAverage="0" bottom="0" percent="0" rank="0" text="" dxfId="3645">
      <formula>'1856'!$G$4</formula>
    </cfRule>
    <cfRule type="cellIs" priority="3" operator="equal" aboveAverage="0" equalAverage="0" bottom="0" percent="0" rank="0" text="" dxfId="3646">
      <formula>'1856'!$G$4</formula>
    </cfRule>
  </conditionalFormatting>
  <conditionalFormatting sqref="G7">
    <cfRule type="cellIs" priority="4" operator="equal" aboveAverage="0" equalAverage="0" bottom="0" percent="0" rank="0" text="" dxfId="3647">
      <formula>'1856'!$F$7</formula>
    </cfRule>
    <cfRule type="cellIs" priority="5" operator="lessThan" aboveAverage="0" equalAverage="0" bottom="0" percent="0" rank="0" text="" dxfId="3648">
      <formula>'1856'!$F$7</formula>
    </cfRule>
  </conditionalFormatting>
  <conditionalFormatting sqref="H5">
    <cfRule type="cellIs" priority="6" operator="equal" aboveAverage="0" equalAverage="0" bottom="0" percent="0" rank="0" text="" dxfId="3649">
      <formula>'1856'!$G$5</formula>
    </cfRule>
    <cfRule type="cellIs" priority="7" operator="lessThan" aboveAverage="0" equalAverage="0" bottom="0" percent="0" rank="0" text="" dxfId="3650">
      <formula>'1856'!$G$5</formula>
    </cfRule>
  </conditionalFormatting>
  <conditionalFormatting sqref="I5">
    <cfRule type="cellIs" priority="8" operator="equal" aboveAverage="0" equalAverage="0" bottom="0" percent="0" rank="0" text="" dxfId="3651">
      <formula>'1856'!$H$5</formula>
    </cfRule>
    <cfRule type="cellIs" priority="9" operator="lessThan" aboveAverage="0" equalAverage="0" bottom="0" percent="0" rank="0" text="" dxfId="3652">
      <formula>'1856'!$H$5</formula>
    </cfRule>
  </conditionalFormatting>
  <conditionalFormatting sqref="J5">
    <cfRule type="cellIs" priority="10" operator="equal" aboveAverage="0" equalAverage="0" bottom="0" percent="0" rank="0" text="" dxfId="3653">
      <formula>'1856'!$I$5</formula>
    </cfRule>
    <cfRule type="cellIs" priority="11" operator="lessThan" aboveAverage="0" equalAverage="0" bottom="0" percent="0" rank="0" text="" dxfId="3654">
      <formula>'1856'!$I$5</formula>
    </cfRule>
  </conditionalFormatting>
  <conditionalFormatting sqref="F4">
    <cfRule type="cellIs" priority="12" operator="equal" aboveAverage="0" equalAverage="0" bottom="0" percent="0" rank="0" text="" dxfId="3655">
      <formula>'1856'!$E$4</formula>
    </cfRule>
    <cfRule type="cellIs" priority="13" operator="lessThan" aboveAverage="0" equalAverage="0" bottom="0" percent="0" rank="0" text="" dxfId="3656">
      <formula>'1856'!$E$4</formula>
    </cfRule>
  </conditionalFormatting>
  <conditionalFormatting sqref="D4">
    <cfRule type="cellIs" priority="14" operator="lessThan" aboveAverage="0" equalAverage="0" bottom="0" percent="0" rank="0" text="" dxfId="3657">
      <formula>'1856'!$C$4</formula>
    </cfRule>
    <cfRule type="cellIs" priority="15" operator="equal" aboveAverage="0" equalAverage="0" bottom="0" percent="0" rank="0" text="" dxfId="3658">
      <formula>'1856'!$C$4</formula>
    </cfRule>
  </conditionalFormatting>
  <conditionalFormatting sqref="E4">
    <cfRule type="cellIs" priority="16" operator="equal" aboveAverage="0" equalAverage="0" bottom="0" percent="0" rank="0" text="" dxfId="3659">
      <formula>'1856'!$D$4</formula>
    </cfRule>
    <cfRule type="cellIs" priority="17" operator="lessThan" aboveAverage="0" equalAverage="0" bottom="0" percent="0" rank="0" text="" dxfId="3660">
      <formula>'1856'!$D$4</formula>
    </cfRule>
  </conditionalFormatting>
  <conditionalFormatting sqref="D5">
    <cfRule type="cellIs" priority="18" operator="equal" aboveAverage="0" equalAverage="0" bottom="0" percent="0" rank="0" text="" dxfId="3661">
      <formula>'1856'!$C$5</formula>
    </cfRule>
    <cfRule type="cellIs" priority="19" operator="lessThan" aboveAverage="0" equalAverage="0" bottom="0" percent="0" rank="0" text="" dxfId="3662">
      <formula>'1856'!$C$5</formula>
    </cfRule>
  </conditionalFormatting>
  <conditionalFormatting sqref="F5">
    <cfRule type="cellIs" priority="20" operator="equal" aboveAverage="0" equalAverage="0" bottom="0" percent="0" rank="0" text="" dxfId="3663">
      <formula>'1856'!$E$5</formula>
    </cfRule>
    <cfRule type="cellIs" priority="21" operator="lessThan" aboveAverage="0" equalAverage="0" bottom="0" percent="0" rank="0" text="" dxfId="3664">
      <formula>'1856'!$E$5</formula>
    </cfRule>
  </conditionalFormatting>
  <conditionalFormatting sqref="I4">
    <cfRule type="cellIs" priority="22" operator="equal" aboveAverage="0" equalAverage="0" bottom="0" percent="0" rank="0" text="" dxfId="3665">
      <formula>'1856'!$H$4</formula>
    </cfRule>
  </conditionalFormatting>
  <conditionalFormatting sqref="J4">
    <cfRule type="cellIs" priority="23" operator="lessThan" aboveAverage="0" equalAverage="0" bottom="0" percent="0" rank="0" text="" dxfId="3666">
      <formula>'1856'!$I$4</formula>
    </cfRule>
    <cfRule type="cellIs" priority="24" operator="equal" aboveAverage="0" equalAverage="0" bottom="0" percent="0" rank="0" text="" dxfId="3667">
      <formula>'1856'!$I$4</formula>
    </cfRule>
  </conditionalFormatting>
  <conditionalFormatting sqref="D6">
    <cfRule type="cellIs" priority="25" operator="equal" aboveAverage="0" equalAverage="0" bottom="0" percent="0" rank="0" text="" dxfId="3668">
      <formula>'1856'!$C$6</formula>
    </cfRule>
    <cfRule type="cellIs" priority="26" operator="lessThan" aboveAverage="0" equalAverage="0" bottom="0" percent="0" rank="0" text="" dxfId="3669">
      <formula>'1856'!$C$6</formula>
    </cfRule>
  </conditionalFormatting>
  <conditionalFormatting sqref="E6">
    <cfRule type="cellIs" priority="27" operator="equal" aboveAverage="0" equalAverage="0" bottom="0" percent="0" rank="0" text="" dxfId="3670">
      <formula>'1856'!$D$6</formula>
    </cfRule>
    <cfRule type="cellIs" priority="28" operator="lessThan" aboveAverage="0" equalAverage="0" bottom="0" percent="0" rank="0" text="" dxfId="3671">
      <formula>'1856'!$D$6</formula>
    </cfRule>
  </conditionalFormatting>
  <conditionalFormatting sqref="F6">
    <cfRule type="cellIs" priority="29" operator="equal" aboveAverage="0" equalAverage="0" bottom="0" percent="0" rank="0" text="" dxfId="3672">
      <formula>'1856'!$E$6</formula>
    </cfRule>
    <cfRule type="cellIs" priority="30" operator="lessThan" aboveAverage="0" equalAverage="0" bottom="0" percent="0" rank="0" text="" dxfId="3673">
      <formula>'1856'!$E$6</formula>
    </cfRule>
  </conditionalFormatting>
  <conditionalFormatting sqref="G6">
    <cfRule type="cellIs" priority="31" operator="equal" aboveAverage="0" equalAverage="0" bottom="0" percent="0" rank="0" text="" dxfId="3674">
      <formula>'1856'!$F$6</formula>
    </cfRule>
    <cfRule type="cellIs" priority="32" operator="lessThan" aboveAverage="0" equalAverage="0" bottom="0" percent="0" rank="0" text="" dxfId="3675">
      <formula>'1856'!$F$6</formula>
    </cfRule>
  </conditionalFormatting>
  <conditionalFormatting sqref="H6">
    <cfRule type="cellIs" priority="33" operator="equal" aboveAverage="0" equalAverage="0" bottom="0" percent="0" rank="0" text="" dxfId="3676">
      <formula>'1856'!$G$6</formula>
    </cfRule>
    <cfRule type="cellIs" priority="34" operator="lessThan" aboveAverage="0" equalAverage="0" bottom="0" percent="0" rank="0" text="" dxfId="3677">
      <formula>'1856'!$G$6</formula>
    </cfRule>
  </conditionalFormatting>
  <conditionalFormatting sqref="I6">
    <cfRule type="cellIs" priority="35" operator="equal" aboveAverage="0" equalAverage="0" bottom="0" percent="0" rank="0" text="" dxfId="3678">
      <formula>'1856'!$H$6</formula>
    </cfRule>
    <cfRule type="cellIs" priority="36" operator="lessThan" aboveAverage="0" equalAverage="0" bottom="0" percent="0" rank="0" text="" dxfId="3679">
      <formula>'1856'!$H$6</formula>
    </cfRule>
  </conditionalFormatting>
  <conditionalFormatting sqref="J6">
    <cfRule type="cellIs" priority="37" operator="equal" aboveAverage="0" equalAverage="0" bottom="0" percent="0" rank="0" text="" dxfId="3680">
      <formula>'1856'!$I$6</formula>
    </cfRule>
    <cfRule type="cellIs" priority="38" operator="lessThan" aboveAverage="0" equalAverage="0" bottom="0" percent="0" rank="0" text="" dxfId="3681">
      <formula>'1856'!$I$6</formula>
    </cfRule>
  </conditionalFormatting>
  <conditionalFormatting sqref="D7">
    <cfRule type="cellIs" priority="39" operator="equal" aboveAverage="0" equalAverage="0" bottom="0" percent="0" rank="0" text="" dxfId="3682">
      <formula>'1856'!$C$7</formula>
    </cfRule>
    <cfRule type="cellIs" priority="40" operator="lessThan" aboveAverage="0" equalAverage="0" bottom="0" percent="0" rank="0" text="" dxfId="3683">
      <formula>'1856'!$C$7</formula>
    </cfRule>
  </conditionalFormatting>
  <conditionalFormatting sqref="E7">
    <cfRule type="cellIs" priority="41" operator="equal" aboveAverage="0" equalAverage="0" bottom="0" percent="0" rank="0" text="" dxfId="3684">
      <formula>'1856'!$D$7</formula>
    </cfRule>
    <cfRule type="cellIs" priority="42" operator="lessThan" aboveAverage="0" equalAverage="0" bottom="0" percent="0" rank="0" text="" dxfId="3685">
      <formula>'1856'!$D$7</formula>
    </cfRule>
  </conditionalFormatting>
  <conditionalFormatting sqref="F7">
    <cfRule type="cellIs" priority="43" operator="equal" aboveAverage="0" equalAverage="0" bottom="0" percent="0" rank="0" text="" dxfId="3686">
      <formula>'1856'!$E$7</formula>
    </cfRule>
    <cfRule type="cellIs" priority="44" operator="lessThan" aboveAverage="0" equalAverage="0" bottom="0" percent="0" rank="0" text="" dxfId="3687">
      <formula>'1856'!$E$7</formula>
    </cfRule>
  </conditionalFormatting>
  <conditionalFormatting sqref="H7">
    <cfRule type="cellIs" priority="45" operator="equal" aboveAverage="0" equalAverage="0" bottom="0" percent="0" rank="0" text="" dxfId="3688">
      <formula>'1856'!$G$7</formula>
    </cfRule>
    <cfRule type="cellIs" priority="46" operator="lessThan" aboveAverage="0" equalAverage="0" bottom="0" percent="0" rank="0" text="" dxfId="3689">
      <formula>'1856'!$G$7</formula>
    </cfRule>
  </conditionalFormatting>
  <conditionalFormatting sqref="I7">
    <cfRule type="cellIs" priority="47" operator="equal" aboveAverage="0" equalAverage="0" bottom="0" percent="0" rank="0" text="" dxfId="3690">
      <formula>'1856'!$H$7</formula>
    </cfRule>
    <cfRule type="cellIs" priority="48" operator="lessThan" aboveAverage="0" equalAverage="0" bottom="0" percent="0" rank="0" text="" dxfId="3691">
      <formula>'1856'!$H$7</formula>
    </cfRule>
  </conditionalFormatting>
  <conditionalFormatting sqref="J7">
    <cfRule type="cellIs" priority="49" operator="equal" aboveAverage="0" equalAverage="0" bottom="0" percent="0" rank="0" text="" dxfId="3692">
      <formula>'1856'!$I$7</formula>
    </cfRule>
    <cfRule type="cellIs" priority="50" operator="lessThan" aboveAverage="0" equalAverage="0" bottom="0" percent="0" rank="0" text="" dxfId="3693">
      <formula>'1856'!$I$7</formula>
    </cfRule>
  </conditionalFormatting>
  <conditionalFormatting sqref="D8">
    <cfRule type="cellIs" priority="51" operator="equal" aboveAverage="0" equalAverage="0" bottom="0" percent="0" rank="0" text="" dxfId="3694">
      <formula>'1856'!$C$8</formula>
    </cfRule>
    <cfRule type="cellIs" priority="52" operator="lessThan" aboveAverage="0" equalAverage="0" bottom="0" percent="0" rank="0" text="" dxfId="3695">
      <formula>'1856'!$C$8</formula>
    </cfRule>
  </conditionalFormatting>
  <conditionalFormatting sqref="E8">
    <cfRule type="cellIs" priority="53" operator="equal" aboveAverage="0" equalAverage="0" bottom="0" percent="0" rank="0" text="" dxfId="3696">
      <formula>'1856'!$D$8</formula>
    </cfRule>
    <cfRule type="cellIs" priority="54" operator="lessThan" aboveAverage="0" equalAverage="0" bottom="0" percent="0" rank="0" text="" dxfId="3697">
      <formula>'1856'!$D$8</formula>
    </cfRule>
  </conditionalFormatting>
  <conditionalFormatting sqref="F8">
    <cfRule type="cellIs" priority="55" operator="equal" aboveAverage="0" equalAverage="0" bottom="0" percent="0" rank="0" text="" dxfId="3698">
      <formula>'1856'!$E$8</formula>
    </cfRule>
    <cfRule type="cellIs" priority="56" operator="lessThan" aboveAverage="0" equalAverage="0" bottom="0" percent="0" rank="0" text="" dxfId="3699">
      <formula>'1856'!$E$8</formula>
    </cfRule>
  </conditionalFormatting>
  <conditionalFormatting sqref="G8">
    <cfRule type="cellIs" priority="57" operator="equal" aboveAverage="0" equalAverage="0" bottom="0" percent="0" rank="0" text="" dxfId="3700">
      <formula>'1856'!$F$8</formula>
    </cfRule>
    <cfRule type="cellIs" priority="58" operator="lessThan" aboveAverage="0" equalAverage="0" bottom="0" percent="0" rank="0" text="" dxfId="3701">
      <formula>'1856'!$F$8</formula>
    </cfRule>
  </conditionalFormatting>
  <conditionalFormatting sqref="H8">
    <cfRule type="cellIs" priority="59" operator="equal" aboveAverage="0" equalAverage="0" bottom="0" percent="0" rank="0" text="" dxfId="3702">
      <formula>'1856'!$G$8</formula>
    </cfRule>
    <cfRule type="cellIs" priority="60" operator="lessThan" aboveAverage="0" equalAverage="0" bottom="0" percent="0" rank="0" text="" dxfId="3703">
      <formula>'1856'!$G$8</formula>
    </cfRule>
  </conditionalFormatting>
  <conditionalFormatting sqref="I8">
    <cfRule type="cellIs" priority="61" operator="equal" aboveAverage="0" equalAverage="0" bottom="0" percent="0" rank="0" text="" dxfId="3704">
      <formula>'1856'!$H$8</formula>
    </cfRule>
    <cfRule type="cellIs" priority="62" operator="lessThan" aboveAverage="0" equalAverage="0" bottom="0" percent="0" rank="0" text="" dxfId="3705">
      <formula>'1856'!$H$8</formula>
    </cfRule>
  </conditionalFormatting>
  <conditionalFormatting sqref="J8">
    <cfRule type="cellIs" priority="63" operator="equal" aboveAverage="0" equalAverage="0" bottom="0" percent="0" rank="0" text="" dxfId="3706">
      <formula>'1856'!$I$8</formula>
    </cfRule>
    <cfRule type="cellIs" priority="64" operator="lessThan" aboveAverage="0" equalAverage="0" bottom="0" percent="0" rank="0" text="" dxfId="3707">
      <formula>'1856'!$I$8</formula>
    </cfRule>
  </conditionalFormatting>
  <conditionalFormatting sqref="D9">
    <cfRule type="cellIs" priority="65" operator="equal" aboveAverage="0" equalAverage="0" bottom="0" percent="0" rank="0" text="" dxfId="3708">
      <formula>'1856'!$C$9</formula>
    </cfRule>
    <cfRule type="cellIs" priority="66" operator="lessThan" aboveAverage="0" equalAverage="0" bottom="0" percent="0" rank="0" text="" dxfId="3709">
      <formula>'1856'!$C$9</formula>
    </cfRule>
  </conditionalFormatting>
  <conditionalFormatting sqref="E9">
    <cfRule type="cellIs" priority="67" operator="equal" aboveAverage="0" equalAverage="0" bottom="0" percent="0" rank="0" text="" dxfId="3710">
      <formula>'1856'!$D$9</formula>
    </cfRule>
    <cfRule type="cellIs" priority="68" operator="lessThan" aboveAverage="0" equalAverage="0" bottom="0" percent="0" rank="0" text="" dxfId="3711">
      <formula>'1856'!$D$9</formula>
    </cfRule>
  </conditionalFormatting>
  <conditionalFormatting sqref="F9">
    <cfRule type="cellIs" priority="69" operator="equal" aboveAverage="0" equalAverage="0" bottom="0" percent="0" rank="0" text="" dxfId="3712">
      <formula>'1856'!$E$9</formula>
    </cfRule>
    <cfRule type="cellIs" priority="70" operator="lessThan" aboveAverage="0" equalAverage="0" bottom="0" percent="0" rank="0" text="" dxfId="3713">
      <formula>'1856'!$E$9</formula>
    </cfRule>
  </conditionalFormatting>
  <conditionalFormatting sqref="G9">
    <cfRule type="cellIs" priority="71" operator="equal" aboveAverage="0" equalAverage="0" bottom="0" percent="0" rank="0" text="" dxfId="3714">
      <formula>'1856'!$F$9</formula>
    </cfRule>
    <cfRule type="cellIs" priority="72" operator="lessThan" aboveAverage="0" equalAverage="0" bottom="0" percent="0" rank="0" text="" dxfId="3715">
      <formula>'1856'!$F$9</formula>
    </cfRule>
  </conditionalFormatting>
  <conditionalFormatting sqref="H9">
    <cfRule type="cellIs" priority="73" operator="equal" aboveAverage="0" equalAverage="0" bottom="0" percent="0" rank="0" text="" dxfId="3716">
      <formula>'1856'!$G$9</formula>
    </cfRule>
    <cfRule type="cellIs" priority="74" operator="lessThan" aboveAverage="0" equalAverage="0" bottom="0" percent="0" rank="0" text="" dxfId="3717">
      <formula>'1856'!$G$9</formula>
    </cfRule>
  </conditionalFormatting>
  <conditionalFormatting sqref="I9">
    <cfRule type="cellIs" priority="75" operator="equal" aboveAverage="0" equalAverage="0" bottom="0" percent="0" rank="0" text="" dxfId="3718">
      <formula>'1856'!$H$9</formula>
    </cfRule>
    <cfRule type="cellIs" priority="76" operator="lessThan" aboveAverage="0" equalAverage="0" bottom="0" percent="0" rank="0" text="" dxfId="3719">
      <formula>'1856'!$H$9</formula>
    </cfRule>
  </conditionalFormatting>
  <conditionalFormatting sqref="J9">
    <cfRule type="cellIs" priority="77" operator="equal" aboveAverage="0" equalAverage="0" bottom="0" percent="0" rank="0" text="" dxfId="3720">
      <formula>'1856'!$I$9</formula>
    </cfRule>
    <cfRule type="cellIs" priority="78" operator="lessThan" aboveAverage="0" equalAverage="0" bottom="0" percent="0" rank="0" text="" dxfId="3721">
      <formula>'1856'!$I$9</formula>
    </cfRule>
  </conditionalFormatting>
  <conditionalFormatting sqref="D10">
    <cfRule type="cellIs" priority="79" operator="equal" aboveAverage="0" equalAverage="0" bottom="0" percent="0" rank="0" text="" dxfId="3722">
      <formula>'1856'!$C$10</formula>
    </cfRule>
    <cfRule type="cellIs" priority="80" operator="lessThan" aboveAverage="0" equalAverage="0" bottom="0" percent="0" rank="0" text="" dxfId="3723">
      <formula>'1856'!$C$10</formula>
    </cfRule>
  </conditionalFormatting>
  <conditionalFormatting sqref="E10">
    <cfRule type="cellIs" priority="81" operator="equal" aboveAverage="0" equalAverage="0" bottom="0" percent="0" rank="0" text="" dxfId="3724">
      <formula>'1856'!$D$10</formula>
    </cfRule>
    <cfRule type="cellIs" priority="82" operator="lessThan" aboveAverage="0" equalAverage="0" bottom="0" percent="0" rank="0" text="" dxfId="3725">
      <formula>'1856'!$D$10</formula>
    </cfRule>
  </conditionalFormatting>
  <conditionalFormatting sqref="F10">
    <cfRule type="cellIs" priority="83" operator="equal" aboveAverage="0" equalAverage="0" bottom="0" percent="0" rank="0" text="" dxfId="3726">
      <formula>'1856'!$E$10</formula>
    </cfRule>
    <cfRule type="cellIs" priority="84" operator="lessThan" aboveAverage="0" equalAverage="0" bottom="0" percent="0" rank="0" text="" dxfId="3727">
      <formula>'1856'!$E$10</formula>
    </cfRule>
  </conditionalFormatting>
  <conditionalFormatting sqref="G10">
    <cfRule type="cellIs" priority="85" operator="equal" aboveAverage="0" equalAverage="0" bottom="0" percent="0" rank="0" text="" dxfId="3728">
      <formula>'1856'!$F$10</formula>
    </cfRule>
    <cfRule type="cellIs" priority="86" operator="lessThan" aboveAverage="0" equalAverage="0" bottom="0" percent="0" rank="0" text="" dxfId="3729">
      <formula>'1856'!$F$10</formula>
    </cfRule>
  </conditionalFormatting>
  <conditionalFormatting sqref="H10">
    <cfRule type="cellIs" priority="87" operator="equal" aboveAverage="0" equalAverage="0" bottom="0" percent="0" rank="0" text="" dxfId="3730">
      <formula>'1856'!$G$10</formula>
    </cfRule>
    <cfRule type="cellIs" priority="88" operator="lessThan" aboveAverage="0" equalAverage="0" bottom="0" percent="0" rank="0" text="" dxfId="3731">
      <formula>'1856'!$G$10</formula>
    </cfRule>
  </conditionalFormatting>
  <conditionalFormatting sqref="I10">
    <cfRule type="cellIs" priority="89" operator="equal" aboveAverage="0" equalAverage="0" bottom="0" percent="0" rank="0" text="" dxfId="3732">
      <formula>'1856'!$H$10</formula>
    </cfRule>
    <cfRule type="cellIs" priority="90" operator="lessThan" aboveAverage="0" equalAverage="0" bottom="0" percent="0" rank="0" text="" dxfId="3733">
      <formula>'1856'!$H$10</formula>
    </cfRule>
  </conditionalFormatting>
  <conditionalFormatting sqref="J10">
    <cfRule type="cellIs" priority="91" operator="equal" aboveAverage="0" equalAverage="0" bottom="0" percent="0" rank="0" text="" dxfId="3734">
      <formula>'1856'!$I$10</formula>
    </cfRule>
    <cfRule type="cellIs" priority="92" operator="lessThan" aboveAverage="0" equalAverage="0" bottom="0" percent="0" rank="0" text="" dxfId="3735">
      <formula>'1856'!$I$10</formula>
    </cfRule>
  </conditionalFormatting>
  <conditionalFormatting sqref="D11">
    <cfRule type="cellIs" priority="93" operator="equal" aboveAverage="0" equalAverage="0" bottom="0" percent="0" rank="0" text="" dxfId="3736">
      <formula>'1856'!$C$11</formula>
    </cfRule>
    <cfRule type="cellIs" priority="94" operator="lessThan" aboveAverage="0" equalAverage="0" bottom="0" percent="0" rank="0" text="" dxfId="3737">
      <formula>'1856'!$C$11</formula>
    </cfRule>
  </conditionalFormatting>
  <conditionalFormatting sqref="E11">
    <cfRule type="cellIs" priority="95" operator="equal" aboveAverage="0" equalAverage="0" bottom="0" percent="0" rank="0" text="" dxfId="3738">
      <formula>'1856'!$D$11</formula>
    </cfRule>
    <cfRule type="cellIs" priority="96" operator="lessThan" aboveAverage="0" equalAverage="0" bottom="0" percent="0" rank="0" text="" dxfId="3739">
      <formula>'1856'!$D$11</formula>
    </cfRule>
  </conditionalFormatting>
  <conditionalFormatting sqref="F11">
    <cfRule type="cellIs" priority="97" operator="equal" aboveAverage="0" equalAverage="0" bottom="0" percent="0" rank="0" text="" dxfId="3740">
      <formula>'1856'!$E$11</formula>
    </cfRule>
    <cfRule type="cellIs" priority="98" operator="lessThan" aboveAverage="0" equalAverage="0" bottom="0" percent="0" rank="0" text="" dxfId="3741">
      <formula>'1856'!$E$11</formula>
    </cfRule>
  </conditionalFormatting>
  <conditionalFormatting sqref="G11">
    <cfRule type="cellIs" priority="99" operator="equal" aboveAverage="0" equalAverage="0" bottom="0" percent="0" rank="0" text="" dxfId="3742">
      <formula>'1856'!$F$11</formula>
    </cfRule>
    <cfRule type="cellIs" priority="100" operator="lessThan" aboveAverage="0" equalAverage="0" bottom="0" percent="0" rank="0" text="" dxfId="3743">
      <formula>'1856'!$F$11</formula>
    </cfRule>
  </conditionalFormatting>
  <conditionalFormatting sqref="H11">
    <cfRule type="cellIs" priority="101" operator="equal" aboveAverage="0" equalAverage="0" bottom="0" percent="0" rank="0" text="" dxfId="3744">
      <formula>'1856'!$G$11</formula>
    </cfRule>
    <cfRule type="cellIs" priority="102" operator="lessThan" aboveAverage="0" equalAverage="0" bottom="0" percent="0" rank="0" text="" dxfId="3745">
      <formula>'1856'!$G$11</formula>
    </cfRule>
  </conditionalFormatting>
  <conditionalFormatting sqref="I11">
    <cfRule type="cellIs" priority="103" operator="equal" aboveAverage="0" equalAverage="0" bottom="0" percent="0" rank="0" text="" dxfId="3746">
      <formula>'1856'!$H$11</formula>
    </cfRule>
    <cfRule type="cellIs" priority="104" operator="lessThan" aboveAverage="0" equalAverage="0" bottom="0" percent="0" rank="0" text="" dxfId="3747">
      <formula>'1856'!$H$11</formula>
    </cfRule>
  </conditionalFormatting>
  <conditionalFormatting sqref="J11">
    <cfRule type="cellIs" priority="105" operator="equal" aboveAverage="0" equalAverage="0" bottom="0" percent="0" rank="0" text="" dxfId="3748">
      <formula>'1856'!$I$11</formula>
    </cfRule>
    <cfRule type="cellIs" priority="106" operator="lessThan" aboveAverage="0" equalAverage="0" bottom="0" percent="0" rank="0" text="" dxfId="3749">
      <formula>'1856'!$I$11</formula>
    </cfRule>
  </conditionalFormatting>
  <conditionalFormatting sqref="D12">
    <cfRule type="cellIs" priority="107" operator="equal" aboveAverage="0" equalAverage="0" bottom="0" percent="0" rank="0" text="" dxfId="3750">
      <formula>'1856'!$C$12</formula>
    </cfRule>
    <cfRule type="cellIs" priority="108" operator="lessThan" aboveAverage="0" equalAverage="0" bottom="0" percent="0" rank="0" text="" dxfId="3751">
      <formula>'1856'!$C$12</formula>
    </cfRule>
  </conditionalFormatting>
  <conditionalFormatting sqref="E12">
    <cfRule type="cellIs" priority="109" operator="equal" aboveAverage="0" equalAverage="0" bottom="0" percent="0" rank="0" text="" dxfId="3752">
      <formula>'1856'!$D$12</formula>
    </cfRule>
    <cfRule type="cellIs" priority="110" operator="lessThan" aboveAverage="0" equalAverage="0" bottom="0" percent="0" rank="0" text="" dxfId="3753">
      <formula>'1856'!$D$12</formula>
    </cfRule>
  </conditionalFormatting>
  <conditionalFormatting sqref="F12">
    <cfRule type="cellIs" priority="111" operator="equal" aboveAverage="0" equalAverage="0" bottom="0" percent="0" rank="0" text="" dxfId="3754">
      <formula>'1856'!$E$12</formula>
    </cfRule>
    <cfRule type="cellIs" priority="112" operator="lessThan" aboveAverage="0" equalAverage="0" bottom="0" percent="0" rank="0" text="" dxfId="3755">
      <formula>'1856'!$E$12</formula>
    </cfRule>
  </conditionalFormatting>
  <conditionalFormatting sqref="G12">
    <cfRule type="cellIs" priority="113" operator="equal" aboveAverage="0" equalAverage="0" bottom="0" percent="0" rank="0" text="" dxfId="3756">
      <formula>'1856'!$F$12</formula>
    </cfRule>
    <cfRule type="cellIs" priority="114" operator="lessThan" aboveAverage="0" equalAverage="0" bottom="0" percent="0" rank="0" text="" dxfId="3757">
      <formula>'1856'!$F$12</formula>
    </cfRule>
  </conditionalFormatting>
  <conditionalFormatting sqref="H12">
    <cfRule type="cellIs" priority="115" operator="equal" aboveAverage="0" equalAverage="0" bottom="0" percent="0" rank="0" text="" dxfId="3758">
      <formula>'1856'!$G$12</formula>
    </cfRule>
    <cfRule type="cellIs" priority="116" operator="lessThan" aboveAverage="0" equalAverage="0" bottom="0" percent="0" rank="0" text="" dxfId="3759">
      <formula>'1856'!$G$12</formula>
    </cfRule>
  </conditionalFormatting>
  <conditionalFormatting sqref="I12">
    <cfRule type="cellIs" priority="117" operator="equal" aboveAverage="0" equalAverage="0" bottom="0" percent="0" rank="0" text="" dxfId="3760">
      <formula>'1856'!$H$12</formula>
    </cfRule>
    <cfRule type="cellIs" priority="118" operator="lessThan" aboveAverage="0" equalAverage="0" bottom="0" percent="0" rank="0" text="" dxfId="3761">
      <formula>'1856'!$H$12</formula>
    </cfRule>
  </conditionalFormatting>
  <conditionalFormatting sqref="J12">
    <cfRule type="cellIs" priority="119" operator="equal" aboveAverage="0" equalAverage="0" bottom="0" percent="0" rank="0" text="" dxfId="3762">
      <formula>'1856'!$I$12</formula>
    </cfRule>
    <cfRule type="cellIs" priority="120" operator="lessThan" aboveAverage="0" equalAverage="0" bottom="0" percent="0" rank="0" text="" dxfId="3763">
      <formula>'1856'!$I$12</formula>
    </cfRule>
  </conditionalFormatting>
  <conditionalFormatting sqref="D14">
    <cfRule type="cellIs" priority="121" operator="equal" aboveAverage="0" equalAverage="0" bottom="0" percent="0" rank="0" text="" dxfId="3764">
      <formula>'1856'!$C$14</formula>
    </cfRule>
    <cfRule type="cellIs" priority="122" operator="lessThan" aboveAverage="0" equalAverage="0" bottom="0" percent="0" rank="0" text="" dxfId="3765">
      <formula>'1856'!$C$14</formula>
    </cfRule>
  </conditionalFormatting>
  <conditionalFormatting sqref="D15">
    <cfRule type="cellIs" priority="123" operator="equal" aboveAverage="0" equalAverage="0" bottom="0" percent="0" rank="0" text="" dxfId="3766">
      <formula>'1856'!$C$15</formula>
    </cfRule>
    <cfRule type="cellIs" priority="124" operator="lessThan" aboveAverage="0" equalAverage="0" bottom="0" percent="0" rank="0" text="" dxfId="3767">
      <formula>'1856'!$C$15</formula>
    </cfRule>
  </conditionalFormatting>
  <conditionalFormatting sqref="D16">
    <cfRule type="cellIs" priority="125" operator="equal" aboveAverage="0" equalAverage="0" bottom="0" percent="0" rank="0" text="" dxfId="3768">
      <formula>'1856'!$C$16</formula>
    </cfRule>
    <cfRule type="cellIs" priority="126" operator="lessThan" aboveAverage="0" equalAverage="0" bottom="0" percent="0" rank="0" text="" dxfId="3769">
      <formula>'1856'!$C$16</formula>
    </cfRule>
  </conditionalFormatting>
  <conditionalFormatting sqref="D17">
    <cfRule type="cellIs" priority="127" operator="equal" aboveAverage="0" equalAverage="0" bottom="0" percent="0" rank="0" text="" dxfId="3770">
      <formula>'1856'!$C$17</formula>
    </cfRule>
    <cfRule type="cellIs" priority="128" operator="lessThan" aboveAverage="0" equalAverage="0" bottom="0" percent="0" rank="0" text="" dxfId="3771">
      <formula>'1856'!$C$17</formula>
    </cfRule>
  </conditionalFormatting>
  <conditionalFormatting sqref="D18">
    <cfRule type="cellIs" priority="129" operator="equal" aboveAverage="0" equalAverage="0" bottom="0" percent="0" rank="0" text="" dxfId="3772">
      <formula>'1856'!$C$18</formula>
    </cfRule>
    <cfRule type="cellIs" priority="130" operator="lessThan" aboveAverage="0" equalAverage="0" bottom="0" percent="0" rank="0" text="" dxfId="3773">
      <formula>'1856'!$C$18</formula>
    </cfRule>
  </conditionalFormatting>
  <conditionalFormatting sqref="D19">
    <cfRule type="cellIs" priority="131" operator="equal" aboveAverage="0" equalAverage="0" bottom="0" percent="0" rank="0" text="" dxfId="3774">
      <formula>'1856'!$C$19</formula>
    </cfRule>
    <cfRule type="cellIs" priority="132" operator="lessThan" aboveAverage="0" equalAverage="0" bottom="0" percent="0" rank="0" text="" dxfId="3775">
      <formula>'1856'!$C$19</formula>
    </cfRule>
  </conditionalFormatting>
  <conditionalFormatting sqref="D20">
    <cfRule type="cellIs" priority="133" operator="equal" aboveAverage="0" equalAverage="0" bottom="0" percent="0" rank="0" text="" dxfId="3776">
      <formula>'1856'!$C$20</formula>
    </cfRule>
    <cfRule type="cellIs" priority="134" operator="lessThan" aboveAverage="0" equalAverage="0" bottom="0" percent="0" rank="0" text="" dxfId="3777">
      <formula>'1856'!$C$20</formula>
    </cfRule>
  </conditionalFormatting>
  <conditionalFormatting sqref="D21">
    <cfRule type="cellIs" priority="135" operator="equal" aboveAverage="0" equalAverage="0" bottom="0" percent="0" rank="0" text="" dxfId="3778">
      <formula>'1856'!$C$21</formula>
    </cfRule>
    <cfRule type="cellIs" priority="136" operator="lessThan" aboveAverage="0" equalAverage="0" bottom="0" percent="0" rank="0" text="" dxfId="3779">
      <formula>'1856'!$C$21</formula>
    </cfRule>
  </conditionalFormatting>
  <conditionalFormatting sqref="D22">
    <cfRule type="cellIs" priority="137" operator="equal" aboveAverage="0" equalAverage="0" bottom="0" percent="0" rank="0" text="" dxfId="3780">
      <formula>'1856'!$C$22</formula>
    </cfRule>
    <cfRule type="cellIs" priority="138" operator="lessThan" aboveAverage="0" equalAverage="0" bottom="0" percent="0" rank="0" text="" dxfId="3781">
      <formula>'1856'!$C$22</formula>
    </cfRule>
  </conditionalFormatting>
  <conditionalFormatting sqref="D23">
    <cfRule type="cellIs" priority="139" operator="equal" aboveAverage="0" equalAverage="0" bottom="0" percent="0" rank="0" text="" dxfId="3782">
      <formula>'1856'!$C$23</formula>
    </cfRule>
    <cfRule type="cellIs" priority="140" operator="lessThan" aboveAverage="0" equalAverage="0" bottom="0" percent="0" rank="0" text="" dxfId="3783">
      <formula>'1856'!$C$23</formula>
    </cfRule>
  </conditionalFormatting>
  <conditionalFormatting sqref="D25">
    <cfRule type="cellIs" priority="141" operator="equal" aboveAverage="0" equalAverage="0" bottom="0" percent="0" rank="0" text="" dxfId="3784">
      <formula>'1856'!$C$25</formula>
    </cfRule>
    <cfRule type="cellIs" priority="142" operator="lessThan" aboveAverage="0" equalAverage="0" bottom="0" percent="0" rank="0" text="" dxfId="3785">
      <formula>'1856'!$C$25</formula>
    </cfRule>
  </conditionalFormatting>
  <conditionalFormatting sqref="D26">
    <cfRule type="cellIs" priority="143" operator="equal" aboveAverage="0" equalAverage="0" bottom="0" percent="0" rank="0" text="" dxfId="3786">
      <formula>'1856'!$C$26</formula>
    </cfRule>
    <cfRule type="cellIs" priority="144" operator="lessThan" aboveAverage="0" equalAverage="0" bottom="0" percent="0" rank="0" text="" dxfId="3787">
      <formula>'1856'!$C$26</formula>
    </cfRule>
  </conditionalFormatting>
  <conditionalFormatting sqref="D27">
    <cfRule type="cellIs" priority="145" operator="equal" aboveAverage="0" equalAverage="0" bottom="0" percent="0" rank="0" text="" dxfId="3788">
      <formula>'1856'!$C$27</formula>
    </cfRule>
    <cfRule type="cellIs" priority="146" operator="lessThan" aboveAverage="0" equalAverage="0" bottom="0" percent="0" rank="0" text="" dxfId="3789">
      <formula>'1856'!$C$27</formula>
    </cfRule>
  </conditionalFormatting>
  <conditionalFormatting sqref="D28">
    <cfRule type="cellIs" priority="147" operator="equal" aboveAverage="0" equalAverage="0" bottom="0" percent="0" rank="0" text="" dxfId="3790">
      <formula>'1856'!$C$28</formula>
    </cfRule>
    <cfRule type="cellIs" priority="148" operator="lessThan" aboveAverage="0" equalAverage="0" bottom="0" percent="0" rank="0" text="" dxfId="3791">
      <formula>'1856'!$C$28</formula>
    </cfRule>
  </conditionalFormatting>
  <conditionalFormatting sqref="E13">
    <cfRule type="cellIs" priority="149" operator="equal" aboveAverage="0" equalAverage="0" bottom="0" percent="0" rank="0" text="" dxfId="3792">
      <formula>'1856'!$D$13</formula>
    </cfRule>
    <cfRule type="cellIs" priority="150" operator="lessThan" aboveAverage="0" equalAverage="0" bottom="0" percent="0" rank="0" text="" dxfId="3793">
      <formula>'1856'!$D$13</formula>
    </cfRule>
  </conditionalFormatting>
  <conditionalFormatting sqref="E14">
    <cfRule type="cellIs" priority="151" operator="equal" aboveAverage="0" equalAverage="0" bottom="0" percent="0" rank="0" text="" dxfId="3794">
      <formula>'1856'!$D$14</formula>
    </cfRule>
    <cfRule type="cellIs" priority="152" operator="lessThan" aboveAverage="0" equalAverage="0" bottom="0" percent="0" rank="0" text="" dxfId="3795">
      <formula>'1856'!$D$14</formula>
    </cfRule>
  </conditionalFormatting>
  <conditionalFormatting sqref="E15">
    <cfRule type="cellIs" priority="153" operator="equal" aboveAverage="0" equalAverage="0" bottom="0" percent="0" rank="0" text="" dxfId="3796">
      <formula>'1856'!$D$15</formula>
    </cfRule>
    <cfRule type="cellIs" priority="154" operator="lessThan" aboveAverage="0" equalAverage="0" bottom="0" percent="0" rank="0" text="" dxfId="3797">
      <formula>'1856'!$D$15</formula>
    </cfRule>
  </conditionalFormatting>
  <conditionalFormatting sqref="E16">
    <cfRule type="cellIs" priority="155" operator="equal" aboveAverage="0" equalAverage="0" bottom="0" percent="0" rank="0" text="" dxfId="3798">
      <formula>'1856'!$D$16</formula>
    </cfRule>
    <cfRule type="cellIs" priority="156" operator="lessThan" aboveAverage="0" equalAverage="0" bottom="0" percent="0" rank="0" text="" dxfId="3799">
      <formula>'1856'!$D$16</formula>
    </cfRule>
  </conditionalFormatting>
  <conditionalFormatting sqref="E17">
    <cfRule type="cellIs" priority="157" operator="equal" aboveAverage="0" equalAverage="0" bottom="0" percent="0" rank="0" text="" dxfId="3800">
      <formula>'1856'!$D$17</formula>
    </cfRule>
    <cfRule type="cellIs" priority="158" operator="lessThan" aboveAverage="0" equalAverage="0" bottom="0" percent="0" rank="0" text="" dxfId="3801">
      <formula>'1856'!$D$17</formula>
    </cfRule>
  </conditionalFormatting>
  <conditionalFormatting sqref="E18">
    <cfRule type="cellIs" priority="159" operator="equal" aboveAverage="0" equalAverage="0" bottom="0" percent="0" rank="0" text="" dxfId="3802">
      <formula>'1856'!$D$18</formula>
    </cfRule>
    <cfRule type="cellIs" priority="160" operator="lessThan" aboveAverage="0" equalAverage="0" bottom="0" percent="0" rank="0" text="" dxfId="3803">
      <formula>'1856'!$D$18</formula>
    </cfRule>
  </conditionalFormatting>
  <conditionalFormatting sqref="E19">
    <cfRule type="cellIs" priority="161" operator="equal" aboveAverage="0" equalAverage="0" bottom="0" percent="0" rank="0" text="" dxfId="3804">
      <formula>'1856'!$D$19</formula>
    </cfRule>
    <cfRule type="cellIs" priority="162" operator="lessThan" aboveAverage="0" equalAverage="0" bottom="0" percent="0" rank="0" text="" dxfId="3805">
      <formula>'1856'!$D$19</formula>
    </cfRule>
  </conditionalFormatting>
  <conditionalFormatting sqref="E20">
    <cfRule type="cellIs" priority="163" operator="equal" aboveAverage="0" equalAverage="0" bottom="0" percent="0" rank="0" text="" dxfId="3806">
      <formula>'1856'!$D$20</formula>
    </cfRule>
    <cfRule type="cellIs" priority="164" operator="lessThan" aboveAverage="0" equalAverage="0" bottom="0" percent="0" rank="0" text="" dxfId="3807">
      <formula>'1856'!$D$20</formula>
    </cfRule>
  </conditionalFormatting>
  <conditionalFormatting sqref="E21">
    <cfRule type="cellIs" priority="165" operator="equal" aboveAverage="0" equalAverage="0" bottom="0" percent="0" rank="0" text="" dxfId="3808">
      <formula>'1856'!$D$21</formula>
    </cfRule>
    <cfRule type="cellIs" priority="166" operator="lessThan" aboveAverage="0" equalAverage="0" bottom="0" percent="0" rank="0" text="" dxfId="3809">
      <formula>'1856'!$D$21</formula>
    </cfRule>
  </conditionalFormatting>
  <conditionalFormatting sqref="E22">
    <cfRule type="cellIs" priority="167" operator="equal" aboveAverage="0" equalAverage="0" bottom="0" percent="0" rank="0" text="" dxfId="3810">
      <formula>'1856'!$D$22</formula>
    </cfRule>
    <cfRule type="cellIs" priority="168" operator="lessThan" aboveAverage="0" equalAverage="0" bottom="0" percent="0" rank="0" text="" dxfId="3811">
      <formula>'1856'!$D$22</formula>
    </cfRule>
  </conditionalFormatting>
  <conditionalFormatting sqref="E23">
    <cfRule type="cellIs" priority="169" operator="equal" aboveAverage="0" equalAverage="0" bottom="0" percent="0" rank="0" text="" dxfId="3812">
      <formula>'1856'!$D$23</formula>
    </cfRule>
    <cfRule type="cellIs" priority="170" operator="lessThan" aboveAverage="0" equalAverage="0" bottom="0" percent="0" rank="0" text="" dxfId="3813">
      <formula>'1856'!$D$23</formula>
    </cfRule>
  </conditionalFormatting>
  <conditionalFormatting sqref="E25">
    <cfRule type="cellIs" priority="171" operator="equal" aboveAverage="0" equalAverage="0" bottom="0" percent="0" rank="0" text="" dxfId="3814">
      <formula>'1856'!$D$25</formula>
    </cfRule>
    <cfRule type="cellIs" priority="172" operator="lessThan" aboveAverage="0" equalAverage="0" bottom="0" percent="0" rank="0" text="" dxfId="3815">
      <formula>'1856'!$D$25</formula>
    </cfRule>
  </conditionalFormatting>
  <conditionalFormatting sqref="E26">
    <cfRule type="cellIs" priority="173" operator="equal" aboveAverage="0" equalAverage="0" bottom="0" percent="0" rank="0" text="" dxfId="3816">
      <formula>'1856'!$D$26</formula>
    </cfRule>
    <cfRule type="cellIs" priority="174" operator="lessThan" aboveAverage="0" equalAverage="0" bottom="0" percent="0" rank="0" text="" dxfId="3817">
      <formula>'1856'!$D$26</formula>
    </cfRule>
  </conditionalFormatting>
  <conditionalFormatting sqref="E27">
    <cfRule type="cellIs" priority="175" operator="equal" aboveAverage="0" equalAverage="0" bottom="0" percent="0" rank="0" text="" dxfId="3818">
      <formula>'1856'!$D$27</formula>
    </cfRule>
    <cfRule type="cellIs" priority="176" operator="lessThan" aboveAverage="0" equalAverage="0" bottom="0" percent="0" rank="0" text="" dxfId="3819">
      <formula>'1856'!$D$27</formula>
    </cfRule>
  </conditionalFormatting>
  <conditionalFormatting sqref="E28">
    <cfRule type="cellIs" priority="177" operator="equal" aboveAverage="0" equalAverage="0" bottom="0" percent="0" rank="0" text="" dxfId="3820">
      <formula>'1856'!$D$28</formula>
    </cfRule>
    <cfRule type="cellIs" priority="178" operator="lessThan" aboveAverage="0" equalAverage="0" bottom="0" percent="0" rank="0" text="" dxfId="3821">
      <formula>'1856'!$D$28</formula>
    </cfRule>
  </conditionalFormatting>
  <conditionalFormatting sqref="F13">
    <cfRule type="cellIs" priority="179" operator="equal" aboveAverage="0" equalAverage="0" bottom="0" percent="0" rank="0" text="" dxfId="3822">
      <formula>'1856'!$E$13</formula>
    </cfRule>
    <cfRule type="cellIs" priority="180" operator="lessThan" aboveAverage="0" equalAverage="0" bottom="0" percent="0" rank="0" text="" dxfId="3823">
      <formula>'1856'!$E$13</formula>
    </cfRule>
  </conditionalFormatting>
  <conditionalFormatting sqref="F14">
    <cfRule type="cellIs" priority="181" operator="equal" aboveAverage="0" equalAverage="0" bottom="0" percent="0" rank="0" text="" dxfId="3824">
      <formula>'1856'!$E$14</formula>
    </cfRule>
    <cfRule type="cellIs" priority="182" operator="lessThan" aboveAverage="0" equalAverage="0" bottom="0" percent="0" rank="0" text="" dxfId="3825">
      <formula>'1856'!$E$14</formula>
    </cfRule>
  </conditionalFormatting>
  <conditionalFormatting sqref="F15">
    <cfRule type="cellIs" priority="183" operator="equal" aboveAverage="0" equalAverage="0" bottom="0" percent="0" rank="0" text="" dxfId="3826">
      <formula>'1856'!$E$15</formula>
    </cfRule>
    <cfRule type="cellIs" priority="184" operator="lessThan" aboveAverage="0" equalAverage="0" bottom="0" percent="0" rank="0" text="" dxfId="3827">
      <formula>'1856'!$E$15</formula>
    </cfRule>
  </conditionalFormatting>
  <conditionalFormatting sqref="F16">
    <cfRule type="cellIs" priority="185" operator="equal" aboveAverage="0" equalAverage="0" bottom="0" percent="0" rank="0" text="" dxfId="3828">
      <formula>'1856'!$E$16</formula>
    </cfRule>
    <cfRule type="cellIs" priority="186" operator="lessThan" aboveAverage="0" equalAverage="0" bottom="0" percent="0" rank="0" text="" dxfId="3829">
      <formula>'1856'!$E$16</formula>
    </cfRule>
  </conditionalFormatting>
  <conditionalFormatting sqref="F17">
    <cfRule type="cellIs" priority="187" operator="equal" aboveAverage="0" equalAverage="0" bottom="0" percent="0" rank="0" text="" dxfId="3830">
      <formula>'1856'!$E$17</formula>
    </cfRule>
    <cfRule type="cellIs" priority="188" operator="lessThan" aboveAverage="0" equalAverage="0" bottom="0" percent="0" rank="0" text="" dxfId="3831">
      <formula>'1856'!$E$17</formula>
    </cfRule>
  </conditionalFormatting>
  <conditionalFormatting sqref="F18">
    <cfRule type="cellIs" priority="189" operator="equal" aboveAverage="0" equalAverage="0" bottom="0" percent="0" rank="0" text="" dxfId="3832">
      <formula>'1856'!$E$18</formula>
    </cfRule>
    <cfRule type="cellIs" priority="190" operator="lessThan" aboveAverage="0" equalAverage="0" bottom="0" percent="0" rank="0" text="" dxfId="3833">
      <formula>'1856'!$E$18</formula>
    </cfRule>
  </conditionalFormatting>
  <conditionalFormatting sqref="F19">
    <cfRule type="cellIs" priority="191" operator="equal" aboveAverage="0" equalAverage="0" bottom="0" percent="0" rank="0" text="" dxfId="3834">
      <formula>'1856'!$E$19</formula>
    </cfRule>
    <cfRule type="cellIs" priority="192" operator="lessThan" aboveAverage="0" equalAverage="0" bottom="0" percent="0" rank="0" text="" dxfId="3835">
      <formula>'1856'!$E$19</formula>
    </cfRule>
  </conditionalFormatting>
  <conditionalFormatting sqref="F20">
    <cfRule type="cellIs" priority="193" operator="equal" aboveAverage="0" equalAverage="0" bottom="0" percent="0" rank="0" text="" dxfId="3836">
      <formula>'1856'!$E$20</formula>
    </cfRule>
    <cfRule type="cellIs" priority="194" operator="lessThan" aboveAverage="0" equalAverage="0" bottom="0" percent="0" rank="0" text="" dxfId="3837">
      <formula>'1856'!$E$20</formula>
    </cfRule>
  </conditionalFormatting>
  <conditionalFormatting sqref="F21">
    <cfRule type="cellIs" priority="195" operator="equal" aboveAverage="0" equalAverage="0" bottom="0" percent="0" rank="0" text="" dxfId="3838">
      <formula>'1856'!$E$21</formula>
    </cfRule>
    <cfRule type="cellIs" priority="196" operator="lessThan" aboveAverage="0" equalAverage="0" bottom="0" percent="0" rank="0" text="" dxfId="3839">
      <formula>'1856'!$E$21</formula>
    </cfRule>
  </conditionalFormatting>
  <conditionalFormatting sqref="F22">
    <cfRule type="cellIs" priority="197" operator="equal" aboveAverage="0" equalAverage="0" bottom="0" percent="0" rank="0" text="" dxfId="3840">
      <formula>'1856'!$E$22</formula>
    </cfRule>
    <cfRule type="cellIs" priority="198" operator="lessThan" aboveAverage="0" equalAverage="0" bottom="0" percent="0" rank="0" text="" dxfId="3841">
      <formula>'1856'!$E$22</formula>
    </cfRule>
  </conditionalFormatting>
  <conditionalFormatting sqref="F23">
    <cfRule type="cellIs" priority="199" operator="equal" aboveAverage="0" equalAverage="0" bottom="0" percent="0" rank="0" text="" dxfId="3842">
      <formula>'1856'!$E$23</formula>
    </cfRule>
    <cfRule type="cellIs" priority="200" operator="lessThan" aboveAverage="0" equalAverage="0" bottom="0" percent="0" rank="0" text="" dxfId="3843">
      <formula>'1856'!$E$23</formula>
    </cfRule>
  </conditionalFormatting>
  <conditionalFormatting sqref="F25">
    <cfRule type="cellIs" priority="201" operator="equal" aboveAverage="0" equalAverage="0" bottom="0" percent="0" rank="0" text="" dxfId="3844">
      <formula>'1856'!$E$25</formula>
    </cfRule>
    <cfRule type="cellIs" priority="202" operator="lessThan" aboveAverage="0" equalAverage="0" bottom="0" percent="0" rank="0" text="" dxfId="3845">
      <formula>'1856'!$E$25</formula>
    </cfRule>
  </conditionalFormatting>
  <conditionalFormatting sqref="F26">
    <cfRule type="cellIs" priority="203" operator="equal" aboveAverage="0" equalAverage="0" bottom="0" percent="0" rank="0" text="" dxfId="3846">
      <formula>'1856'!$E$26</formula>
    </cfRule>
    <cfRule type="cellIs" priority="204" operator="lessThan" aboveAverage="0" equalAverage="0" bottom="0" percent="0" rank="0" text="" dxfId="3847">
      <formula>'1856'!$E$26</formula>
    </cfRule>
  </conditionalFormatting>
  <conditionalFormatting sqref="F27">
    <cfRule type="cellIs" priority="205" operator="equal" aboveAverage="0" equalAverage="0" bottom="0" percent="0" rank="0" text="" dxfId="3848">
      <formula>'1856'!$E$27</formula>
    </cfRule>
    <cfRule type="cellIs" priority="206" operator="lessThan" aboveAverage="0" equalAverage="0" bottom="0" percent="0" rank="0" text="" dxfId="3849">
      <formula>'1856'!$E$27</formula>
    </cfRule>
  </conditionalFormatting>
  <conditionalFormatting sqref="F28">
    <cfRule type="cellIs" priority="207" operator="equal" aboveAverage="0" equalAverage="0" bottom="0" percent="0" rank="0" text="" dxfId="3850">
      <formula>'1856'!$E$28</formula>
    </cfRule>
    <cfRule type="cellIs" priority="208" operator="lessThan" aboveAverage="0" equalAverage="0" bottom="0" percent="0" rank="0" text="" dxfId="3851">
      <formula>'1856'!$E$28</formula>
    </cfRule>
  </conditionalFormatting>
  <conditionalFormatting sqref="G13">
    <cfRule type="cellIs" priority="209" operator="equal" aboveAverage="0" equalAverage="0" bottom="0" percent="0" rank="0" text="" dxfId="3852">
      <formula>'1856'!$F$13</formula>
    </cfRule>
    <cfRule type="cellIs" priority="210" operator="lessThan" aboveAverage="0" equalAverage="0" bottom="0" percent="0" rank="0" text="" dxfId="3853">
      <formula>'1856'!$F$13</formula>
    </cfRule>
  </conditionalFormatting>
  <conditionalFormatting sqref="G14">
    <cfRule type="cellIs" priority="211" operator="equal" aboveAverage="0" equalAverage="0" bottom="0" percent="0" rank="0" text="" dxfId="3854">
      <formula>'1856'!$F$14</formula>
    </cfRule>
    <cfRule type="cellIs" priority="212" operator="lessThan" aboveAverage="0" equalAverage="0" bottom="0" percent="0" rank="0" text="" dxfId="3855">
      <formula>'1856'!$F$14</formula>
    </cfRule>
  </conditionalFormatting>
  <conditionalFormatting sqref="G15">
    <cfRule type="cellIs" priority="213" operator="equal" aboveAverage="0" equalAverage="0" bottom="0" percent="0" rank="0" text="" dxfId="3856">
      <formula>'1856'!$F$15</formula>
    </cfRule>
    <cfRule type="cellIs" priority="214" operator="lessThan" aboveAverage="0" equalAverage="0" bottom="0" percent="0" rank="0" text="" dxfId="3857">
      <formula>'1856'!$F$15</formula>
    </cfRule>
  </conditionalFormatting>
  <conditionalFormatting sqref="G16">
    <cfRule type="cellIs" priority="215" operator="equal" aboveAverage="0" equalAverage="0" bottom="0" percent="0" rank="0" text="" dxfId="3858">
      <formula>'1856'!$F$16</formula>
    </cfRule>
    <cfRule type="cellIs" priority="216" operator="lessThan" aboveAverage="0" equalAverage="0" bottom="0" percent="0" rank="0" text="" dxfId="3859">
      <formula>'1856'!$F$16</formula>
    </cfRule>
  </conditionalFormatting>
  <conditionalFormatting sqref="G17">
    <cfRule type="cellIs" priority="217" operator="equal" aboveAverage="0" equalAverage="0" bottom="0" percent="0" rank="0" text="" dxfId="3860">
      <formula>'1856'!$F$17</formula>
    </cfRule>
    <cfRule type="cellIs" priority="218" operator="lessThan" aboveAverage="0" equalAverage="0" bottom="0" percent="0" rank="0" text="" dxfId="3861">
      <formula>'1856'!$F$17</formula>
    </cfRule>
  </conditionalFormatting>
  <conditionalFormatting sqref="G18">
    <cfRule type="cellIs" priority="219" operator="equal" aboveAverage="0" equalAverage="0" bottom="0" percent="0" rank="0" text="" dxfId="3862">
      <formula>'1856'!$F$18</formula>
    </cfRule>
    <cfRule type="cellIs" priority="220" operator="lessThan" aboveAverage="0" equalAverage="0" bottom="0" percent="0" rank="0" text="" dxfId="3863">
      <formula>'1856'!$F$18</formula>
    </cfRule>
  </conditionalFormatting>
  <conditionalFormatting sqref="G19">
    <cfRule type="cellIs" priority="221" operator="equal" aboveAverage="0" equalAverage="0" bottom="0" percent="0" rank="0" text="" dxfId="3864">
      <formula>'1856'!$F$19</formula>
    </cfRule>
    <cfRule type="cellIs" priority="222" operator="lessThan" aboveAverage="0" equalAverage="0" bottom="0" percent="0" rank="0" text="" dxfId="3865">
      <formula>'1856'!$F$19</formula>
    </cfRule>
  </conditionalFormatting>
  <conditionalFormatting sqref="G20">
    <cfRule type="cellIs" priority="223" operator="equal" aboveAverage="0" equalAverage="0" bottom="0" percent="0" rank="0" text="" dxfId="3866">
      <formula>'1856'!$F$20</formula>
    </cfRule>
    <cfRule type="cellIs" priority="224" operator="lessThan" aboveAverage="0" equalAverage="0" bottom="0" percent="0" rank="0" text="" dxfId="3867">
      <formula>'1856'!$F$20</formula>
    </cfRule>
  </conditionalFormatting>
  <conditionalFormatting sqref="G21">
    <cfRule type="cellIs" priority="225" operator="equal" aboveAverage="0" equalAverage="0" bottom="0" percent="0" rank="0" text="" dxfId="3868">
      <formula>'1856'!$F$21</formula>
    </cfRule>
    <cfRule type="cellIs" priority="226" operator="lessThan" aboveAverage="0" equalAverage="0" bottom="0" percent="0" rank="0" text="" dxfId="3869">
      <formula>'1856'!$F$21</formula>
    </cfRule>
  </conditionalFormatting>
  <conditionalFormatting sqref="G22">
    <cfRule type="cellIs" priority="227" operator="equal" aboveAverage="0" equalAverage="0" bottom="0" percent="0" rank="0" text="" dxfId="3870">
      <formula>'1856'!$F$22</formula>
    </cfRule>
    <cfRule type="cellIs" priority="228" operator="lessThan" aboveAverage="0" equalAverage="0" bottom="0" percent="0" rank="0" text="" dxfId="3871">
      <formula>'1856'!$F$22</formula>
    </cfRule>
  </conditionalFormatting>
  <conditionalFormatting sqref="G23">
    <cfRule type="cellIs" priority="229" operator="equal" aboveAverage="0" equalAverage="0" bottom="0" percent="0" rank="0" text="" dxfId="3872">
      <formula>'1856'!$F$23</formula>
    </cfRule>
    <cfRule type="cellIs" priority="230" operator="lessThan" aboveAverage="0" equalAverage="0" bottom="0" percent="0" rank="0" text="" dxfId="3873">
      <formula>'1856'!$F$23</formula>
    </cfRule>
  </conditionalFormatting>
  <conditionalFormatting sqref="G25">
    <cfRule type="cellIs" priority="231" operator="equal" aboveAverage="0" equalAverage="0" bottom="0" percent="0" rank="0" text="" dxfId="3874">
      <formula>'1856'!$F$25</formula>
    </cfRule>
    <cfRule type="cellIs" priority="232" operator="lessThan" aboveAverage="0" equalAverage="0" bottom="0" percent="0" rank="0" text="" dxfId="3875">
      <formula>'1856'!$F$25</formula>
    </cfRule>
  </conditionalFormatting>
  <conditionalFormatting sqref="G26">
    <cfRule type="cellIs" priority="233" operator="equal" aboveAverage="0" equalAverage="0" bottom="0" percent="0" rank="0" text="" dxfId="3876">
      <formula>'1856'!$F$26</formula>
    </cfRule>
    <cfRule type="cellIs" priority="234" operator="lessThan" aboveAverage="0" equalAverage="0" bottom="0" percent="0" rank="0" text="" dxfId="3877">
      <formula>'1856'!$F$26</formula>
    </cfRule>
  </conditionalFormatting>
  <conditionalFormatting sqref="G27">
    <cfRule type="cellIs" priority="235" operator="equal" aboveAverage="0" equalAverage="0" bottom="0" percent="0" rank="0" text="" dxfId="3878">
      <formula>'1856'!$F$27</formula>
    </cfRule>
    <cfRule type="cellIs" priority="236" operator="lessThan" aboveAverage="0" equalAverage="0" bottom="0" percent="0" rank="0" text="" dxfId="3879">
      <formula>'1856'!$F$27</formula>
    </cfRule>
  </conditionalFormatting>
  <conditionalFormatting sqref="G28">
    <cfRule type="cellIs" priority="237" operator="equal" aboveAverage="0" equalAverage="0" bottom="0" percent="0" rank="0" text="" dxfId="3880">
      <formula>'1856'!$F$28</formula>
    </cfRule>
    <cfRule type="cellIs" priority="238" operator="lessThan" aboveAverage="0" equalAverage="0" bottom="0" percent="0" rank="0" text="" dxfId="3881">
      <formula>'1856'!$F$28</formula>
    </cfRule>
  </conditionalFormatting>
  <conditionalFormatting sqref="D13">
    <cfRule type="cellIs" priority="239" operator="equal" aboveAverage="0" equalAverage="0" bottom="0" percent="0" rank="0" text="" dxfId="3882">
      <formula>'1856'!$C$13</formula>
    </cfRule>
    <cfRule type="cellIs" priority="240" operator="lessThan" aboveAverage="0" equalAverage="0" bottom="0" percent="0" rank="0" text="" dxfId="3883">
      <formula>'1856'!$C$13</formula>
    </cfRule>
  </conditionalFormatting>
  <conditionalFormatting sqref="H13">
    <cfRule type="cellIs" priority="241" operator="equal" aboveAverage="0" equalAverage="0" bottom="0" percent="0" rank="0" text="" dxfId="3884">
      <formula>'1856'!$G$13</formula>
    </cfRule>
    <cfRule type="cellIs" priority="242" operator="lessThan" aboveAverage="0" equalAverage="0" bottom="0" percent="0" rank="0" text="" dxfId="3885">
      <formula>'1856'!$G$13</formula>
    </cfRule>
  </conditionalFormatting>
  <conditionalFormatting sqref="H14">
    <cfRule type="cellIs" priority="243" operator="equal" aboveAverage="0" equalAverage="0" bottom="0" percent="0" rank="0" text="" dxfId="3886">
      <formula>'1856'!$G$14</formula>
    </cfRule>
    <cfRule type="cellIs" priority="244" operator="lessThan" aboveAverage="0" equalAverage="0" bottom="0" percent="0" rank="0" text="" dxfId="3887">
      <formula>'1856'!$G$14</formula>
    </cfRule>
  </conditionalFormatting>
  <conditionalFormatting sqref="H15">
    <cfRule type="cellIs" priority="245" operator="equal" aboveAverage="0" equalAverage="0" bottom="0" percent="0" rank="0" text="" dxfId="3888">
      <formula>'1856'!$G$15</formula>
    </cfRule>
    <cfRule type="cellIs" priority="246" operator="lessThan" aboveAverage="0" equalAverage="0" bottom="0" percent="0" rank="0" text="" dxfId="3889">
      <formula>'1856'!$G$15</formula>
    </cfRule>
  </conditionalFormatting>
  <conditionalFormatting sqref="H16">
    <cfRule type="cellIs" priority="247" operator="equal" aboveAverage="0" equalAverage="0" bottom="0" percent="0" rank="0" text="" dxfId="3890">
      <formula>'1856'!$G$16</formula>
    </cfRule>
    <cfRule type="cellIs" priority="248" operator="lessThan" aboveAverage="0" equalAverage="0" bottom="0" percent="0" rank="0" text="" dxfId="3891">
      <formula>'1856'!$G$16</formula>
    </cfRule>
  </conditionalFormatting>
  <conditionalFormatting sqref="H17">
    <cfRule type="cellIs" priority="249" operator="equal" aboveAverage="0" equalAverage="0" bottom="0" percent="0" rank="0" text="" dxfId="3892">
      <formula>'1856'!$G$17</formula>
    </cfRule>
    <cfRule type="cellIs" priority="250" operator="lessThan" aboveAverage="0" equalAverage="0" bottom="0" percent="0" rank="0" text="" dxfId="3893">
      <formula>'1856'!$G$17</formula>
    </cfRule>
  </conditionalFormatting>
  <conditionalFormatting sqref="H18">
    <cfRule type="cellIs" priority="251" operator="equal" aboveAverage="0" equalAverage="0" bottom="0" percent="0" rank="0" text="" dxfId="3894">
      <formula>'1856'!$G$18</formula>
    </cfRule>
    <cfRule type="cellIs" priority="252" operator="lessThan" aboveAverage="0" equalAverage="0" bottom="0" percent="0" rank="0" text="" dxfId="3895">
      <formula>'1856'!$G$18</formula>
    </cfRule>
  </conditionalFormatting>
  <conditionalFormatting sqref="H19">
    <cfRule type="cellIs" priority="253" operator="equal" aboveAverage="0" equalAverage="0" bottom="0" percent="0" rank="0" text="" dxfId="3896">
      <formula>'1856'!$G$19</formula>
    </cfRule>
    <cfRule type="cellIs" priority="254" operator="lessThan" aboveAverage="0" equalAverage="0" bottom="0" percent="0" rank="0" text="" dxfId="3897">
      <formula>'1856'!$G$19</formula>
    </cfRule>
  </conditionalFormatting>
  <conditionalFormatting sqref="H20">
    <cfRule type="cellIs" priority="255" operator="equal" aboveAverage="0" equalAverage="0" bottom="0" percent="0" rank="0" text="" dxfId="3898">
      <formula>'1856'!$G$20</formula>
    </cfRule>
    <cfRule type="cellIs" priority="256" operator="lessThan" aboveAverage="0" equalAverage="0" bottom="0" percent="0" rank="0" text="" dxfId="3899">
      <formula>'1856'!$G$20</formula>
    </cfRule>
  </conditionalFormatting>
  <conditionalFormatting sqref="H21">
    <cfRule type="cellIs" priority="257" operator="equal" aboveAverage="0" equalAverage="0" bottom="0" percent="0" rank="0" text="" dxfId="3900">
      <formula>'1856'!$G$21</formula>
    </cfRule>
    <cfRule type="cellIs" priority="258" operator="lessThan" aboveAverage="0" equalAverage="0" bottom="0" percent="0" rank="0" text="" dxfId="3901">
      <formula>'1856'!$G$21</formula>
    </cfRule>
  </conditionalFormatting>
  <conditionalFormatting sqref="H22">
    <cfRule type="cellIs" priority="259" operator="equal" aboveAverage="0" equalAverage="0" bottom="0" percent="0" rank="0" text="" dxfId="3902">
      <formula>'1856'!$G$22</formula>
    </cfRule>
    <cfRule type="cellIs" priority="260" operator="lessThan" aboveAverage="0" equalAverage="0" bottom="0" percent="0" rank="0" text="" dxfId="3903">
      <formula>'1856'!$G$22</formula>
    </cfRule>
  </conditionalFormatting>
  <conditionalFormatting sqref="H23">
    <cfRule type="cellIs" priority="261" operator="equal" aboveAverage="0" equalAverage="0" bottom="0" percent="0" rank="0" text="" dxfId="3904">
      <formula>'1856'!$G$23</formula>
    </cfRule>
    <cfRule type="cellIs" priority="262" operator="lessThan" aboveAverage="0" equalAverage="0" bottom="0" percent="0" rank="0" text="" dxfId="3905">
      <formula>'1856'!$G$23</formula>
    </cfRule>
  </conditionalFormatting>
  <conditionalFormatting sqref="H25">
    <cfRule type="cellIs" priority="263" operator="equal" aboveAverage="0" equalAverage="0" bottom="0" percent="0" rank="0" text="" dxfId="3906">
      <formula>'1856'!$G$25</formula>
    </cfRule>
    <cfRule type="cellIs" priority="264" operator="lessThan" aboveAverage="0" equalAverage="0" bottom="0" percent="0" rank="0" text="" dxfId="3907">
      <formula>'1856'!$G$25</formula>
    </cfRule>
  </conditionalFormatting>
  <conditionalFormatting sqref="H26">
    <cfRule type="cellIs" priority="265" operator="equal" aboveAverage="0" equalAverage="0" bottom="0" percent="0" rank="0" text="" dxfId="3908">
      <formula>'1856'!$G$26</formula>
    </cfRule>
    <cfRule type="cellIs" priority="266" operator="lessThan" aboveAverage="0" equalAverage="0" bottom="0" percent="0" rank="0" text="" dxfId="3909">
      <formula>'1856'!$G$26</formula>
    </cfRule>
  </conditionalFormatting>
  <conditionalFormatting sqref="H27">
    <cfRule type="cellIs" priority="267" operator="equal" aboveAverage="0" equalAverage="0" bottom="0" percent="0" rank="0" text="" dxfId="3910">
      <formula>'1856'!$G$27</formula>
    </cfRule>
    <cfRule type="cellIs" priority="268" operator="lessThan" aboveAverage="0" equalAverage="0" bottom="0" percent="0" rank="0" text="" dxfId="3911">
      <formula>'1856'!$G$27</formula>
    </cfRule>
  </conditionalFormatting>
  <conditionalFormatting sqref="H28">
    <cfRule type="cellIs" priority="269" operator="equal" aboveAverage="0" equalAverage="0" bottom="0" percent="0" rank="0" text="" dxfId="3912">
      <formula>'1856'!$G$28</formula>
    </cfRule>
    <cfRule type="cellIs" priority="270" operator="lessThan" aboveAverage="0" equalAverage="0" bottom="0" percent="0" rank="0" text="" dxfId="3913">
      <formula>'1856'!$G$28</formula>
    </cfRule>
  </conditionalFormatting>
  <conditionalFormatting sqref="D24">
    <cfRule type="cellIs" priority="271" operator="equal" aboveAverage="0" equalAverage="0" bottom="0" percent="0" rank="0" text="" dxfId="3914">
      <formula>'1856'!$C$24</formula>
    </cfRule>
    <cfRule type="cellIs" priority="272" operator="lessThan" aboveAverage="0" equalAverage="0" bottom="0" percent="0" rank="0" text="" dxfId="3915">
      <formula>'1856'!$C$24</formula>
    </cfRule>
  </conditionalFormatting>
  <conditionalFormatting sqref="E24">
    <cfRule type="cellIs" priority="273" operator="equal" aboveAverage="0" equalAverage="0" bottom="0" percent="0" rank="0" text="" dxfId="3916">
      <formula>'1856'!$D$24</formula>
    </cfRule>
    <cfRule type="cellIs" priority="274" operator="lessThan" aboveAverage="0" equalAverage="0" bottom="0" percent="0" rank="0" text="" dxfId="3917">
      <formula>'1856'!$D$24</formula>
    </cfRule>
  </conditionalFormatting>
  <conditionalFormatting sqref="F24">
    <cfRule type="cellIs" priority="275" operator="equal" aboveAverage="0" equalAverage="0" bottom="0" percent="0" rank="0" text="" dxfId="3918">
      <formula>'1856'!$E$24</formula>
    </cfRule>
    <cfRule type="cellIs" priority="276" operator="lessThan" aboveAverage="0" equalAverage="0" bottom="0" percent="0" rank="0" text="" dxfId="3919">
      <formula>'1856'!$E$24</formula>
    </cfRule>
  </conditionalFormatting>
  <conditionalFormatting sqref="G24">
    <cfRule type="cellIs" priority="277" operator="equal" aboveAverage="0" equalAverage="0" bottom="0" percent="0" rank="0" text="" dxfId="3920">
      <formula>'1856'!$F$24</formula>
    </cfRule>
    <cfRule type="cellIs" priority="278" operator="lessThan" aboveAverage="0" equalAverage="0" bottom="0" percent="0" rank="0" text="" dxfId="3921">
      <formula>'1856'!$F$24</formula>
    </cfRule>
  </conditionalFormatting>
  <conditionalFormatting sqref="H24">
    <cfRule type="cellIs" priority="279" operator="equal" aboveAverage="0" equalAverage="0" bottom="0" percent="0" rank="0" text="" dxfId="3922">
      <formula>'1856'!$G$24</formula>
    </cfRule>
    <cfRule type="cellIs" priority="280" operator="lessThan" aboveAverage="0" equalAverage="0" bottom="0" percent="0" rank="0" text="" dxfId="3923">
      <formula>'1856'!$G$24</formula>
    </cfRule>
  </conditionalFormatting>
  <conditionalFormatting sqref="E5">
    <cfRule type="cellIs" priority="281" operator="equal" aboveAverage="0" equalAverage="0" bottom="0" percent="0" rank="0" text="" dxfId="3924">
      <formula>'1856'!$D$5</formula>
    </cfRule>
    <cfRule type="cellIs" priority="282" operator="lessThan" aboveAverage="0" equalAverage="0" bottom="0" percent="0" rank="0" text="" dxfId="3925">
      <formula>'1856'!$D$5</formula>
    </cfRule>
  </conditionalFormatting>
  <conditionalFormatting sqref="G5">
    <cfRule type="cellIs" priority="283" operator="equal" aboveAverage="0" equalAverage="0" bottom="0" percent="0" rank="0" text="" dxfId="3926">
      <formula>'1856'!$F$5</formula>
    </cfRule>
    <cfRule type="cellIs" priority="284" operator="lessThan" aboveAverage="0" equalAverage="0" bottom="0" percent="0" rank="0" text="" dxfId="3927">
      <formula>'1856'!$F$5</formula>
    </cfRule>
  </conditionalFormatting>
  <conditionalFormatting sqref="G4">
    <cfRule type="cellIs" priority="285" operator="equal" aboveAverage="0" equalAverage="0" bottom="0" percent="0" rank="0" text="" dxfId="3928">
      <formula>'1856'!$F$4</formula>
    </cfRule>
  </conditionalFormatting>
  <conditionalFormatting sqref="J29:O29 D29:H29">
    <cfRule type="cellIs" priority="286" operator="equal" aboveAverage="0" equalAverage="0" bottom="0" percent="0" rank="0" text="" dxfId="3929">
      <formula>0</formula>
    </cfRule>
  </conditionalFormatting>
  <conditionalFormatting sqref="I13">
    <cfRule type="cellIs" priority="287" operator="equal" aboveAverage="0" equalAverage="0" bottom="0" percent="0" rank="0" text="" dxfId="3930">
      <formula>'1856'!$H$13</formula>
    </cfRule>
    <cfRule type="cellIs" priority="288" operator="lessThan" aboveAverage="0" equalAverage="0" bottom="0" percent="0" rank="0" text="" dxfId="3931">
      <formula>'1856'!$H$13</formula>
    </cfRule>
  </conditionalFormatting>
  <conditionalFormatting sqref="I14">
    <cfRule type="cellIs" priority="289" operator="equal" aboveAverage="0" equalAverage="0" bottom="0" percent="0" rank="0" text="" dxfId="3932">
      <formula>'1856'!$H$14</formula>
    </cfRule>
    <cfRule type="cellIs" priority="290" operator="lessThan" aboveAverage="0" equalAverage="0" bottom="0" percent="0" rank="0" text="" dxfId="3933">
      <formula>'1856'!$H$14</formula>
    </cfRule>
  </conditionalFormatting>
  <conditionalFormatting sqref="I15">
    <cfRule type="cellIs" priority="291" operator="equal" aboveAverage="0" equalAverage="0" bottom="0" percent="0" rank="0" text="" dxfId="3934">
      <formula>'1856'!$H$15</formula>
    </cfRule>
    <cfRule type="cellIs" priority="292" operator="lessThan" aboveAverage="0" equalAverage="0" bottom="0" percent="0" rank="0" text="" dxfId="3935">
      <formula>'1856'!$H$15</formula>
    </cfRule>
  </conditionalFormatting>
  <conditionalFormatting sqref="I16">
    <cfRule type="cellIs" priority="293" operator="equal" aboveAverage="0" equalAverage="0" bottom="0" percent="0" rank="0" text="" dxfId="3936">
      <formula>'1856'!$H$16</formula>
    </cfRule>
    <cfRule type="cellIs" priority="294" operator="lessThan" aboveAverage="0" equalAverage="0" bottom="0" percent="0" rank="0" text="" dxfId="3937">
      <formula>'1856'!$H$16</formula>
    </cfRule>
  </conditionalFormatting>
  <conditionalFormatting sqref="I17">
    <cfRule type="cellIs" priority="295" operator="equal" aboveAverage="0" equalAverage="0" bottom="0" percent="0" rank="0" text="" dxfId="3938">
      <formula>'1856'!$H$17</formula>
    </cfRule>
    <cfRule type="cellIs" priority="296" operator="lessThan" aboveAverage="0" equalAverage="0" bottom="0" percent="0" rank="0" text="" dxfId="3939">
      <formula>'1856'!$H$17</formula>
    </cfRule>
  </conditionalFormatting>
  <conditionalFormatting sqref="I18">
    <cfRule type="cellIs" priority="297" operator="equal" aboveAverage="0" equalAverage="0" bottom="0" percent="0" rank="0" text="" dxfId="3940">
      <formula>'1856'!$H$18</formula>
    </cfRule>
    <cfRule type="cellIs" priority="298" operator="lessThan" aboveAverage="0" equalAverage="0" bottom="0" percent="0" rank="0" text="" dxfId="3941">
      <formula>'1856'!$H$18</formula>
    </cfRule>
  </conditionalFormatting>
  <conditionalFormatting sqref="I19">
    <cfRule type="cellIs" priority="299" operator="equal" aboveAverage="0" equalAverage="0" bottom="0" percent="0" rank="0" text="" dxfId="3942">
      <formula>'1856'!$H$19</formula>
    </cfRule>
    <cfRule type="cellIs" priority="300" operator="lessThan" aboveAverage="0" equalAverage="0" bottom="0" percent="0" rank="0" text="" dxfId="3943">
      <formula>'1856'!$H$19</formula>
    </cfRule>
  </conditionalFormatting>
  <conditionalFormatting sqref="I20">
    <cfRule type="cellIs" priority="301" operator="equal" aboveAverage="0" equalAverage="0" bottom="0" percent="0" rank="0" text="" dxfId="3944">
      <formula>'1856'!$H$20</formula>
    </cfRule>
    <cfRule type="cellIs" priority="302" operator="lessThan" aboveAverage="0" equalAverage="0" bottom="0" percent="0" rank="0" text="" dxfId="3945">
      <formula>'1856'!$H$20</formula>
    </cfRule>
  </conditionalFormatting>
  <conditionalFormatting sqref="I21">
    <cfRule type="cellIs" priority="303" operator="equal" aboveAverage="0" equalAverage="0" bottom="0" percent="0" rank="0" text="" dxfId="3946">
      <formula>'1856'!$H$21</formula>
    </cfRule>
    <cfRule type="cellIs" priority="304" operator="lessThan" aboveAverage="0" equalAverage="0" bottom="0" percent="0" rank="0" text="" dxfId="3947">
      <formula>'1856'!$H$21</formula>
    </cfRule>
  </conditionalFormatting>
  <conditionalFormatting sqref="I22">
    <cfRule type="cellIs" priority="305" operator="equal" aboveAverage="0" equalAverage="0" bottom="0" percent="0" rank="0" text="" dxfId="3948">
      <formula>'1856'!$H$22</formula>
    </cfRule>
    <cfRule type="cellIs" priority="306" operator="lessThan" aboveAverage="0" equalAverage="0" bottom="0" percent="0" rank="0" text="" dxfId="3949">
      <formula>'1856'!$H$22</formula>
    </cfRule>
  </conditionalFormatting>
  <conditionalFormatting sqref="I23">
    <cfRule type="cellIs" priority="307" operator="equal" aboveAverage="0" equalAverage="0" bottom="0" percent="0" rank="0" text="" dxfId="3950">
      <formula>'1856'!$H$23</formula>
    </cfRule>
    <cfRule type="cellIs" priority="308" operator="lessThan" aboveAverage="0" equalAverage="0" bottom="0" percent="0" rank="0" text="" dxfId="3951">
      <formula>'1856'!$H$23</formula>
    </cfRule>
  </conditionalFormatting>
  <conditionalFormatting sqref="I24">
    <cfRule type="cellIs" priority="309" operator="equal" aboveAverage="0" equalAverage="0" bottom="0" percent="0" rank="0" text="" dxfId="3952">
      <formula>'1856'!$H$24</formula>
    </cfRule>
    <cfRule type="cellIs" priority="310" operator="lessThan" aboveAverage="0" equalAverage="0" bottom="0" percent="0" rank="0" text="" dxfId="3953">
      <formula>'1856'!$H$24</formula>
    </cfRule>
  </conditionalFormatting>
  <conditionalFormatting sqref="I25">
    <cfRule type="cellIs" priority="311" operator="equal" aboveAverage="0" equalAverage="0" bottom="0" percent="0" rank="0" text="" dxfId="3954">
      <formula>'1856'!$H$25</formula>
    </cfRule>
    <cfRule type="cellIs" priority="312" operator="lessThan" aboveAverage="0" equalAverage="0" bottom="0" percent="0" rank="0" text="" dxfId="3955">
      <formula>'1856'!$H$25</formula>
    </cfRule>
  </conditionalFormatting>
  <conditionalFormatting sqref="I26">
    <cfRule type="cellIs" priority="313" operator="equal" aboveAverage="0" equalAverage="0" bottom="0" percent="0" rank="0" text="" dxfId="3956">
      <formula>'1856'!$H$26</formula>
    </cfRule>
    <cfRule type="cellIs" priority="314" operator="lessThan" aboveAverage="0" equalAverage="0" bottom="0" percent="0" rank="0" text="" dxfId="3957">
      <formula>'1856'!$H$26</formula>
    </cfRule>
  </conditionalFormatting>
  <conditionalFormatting sqref="I27">
    <cfRule type="cellIs" priority="315" operator="equal" aboveAverage="0" equalAverage="0" bottom="0" percent="0" rank="0" text="" dxfId="3958">
      <formula>'1856'!$H$27</formula>
    </cfRule>
    <cfRule type="cellIs" priority="316" operator="lessThan" aboveAverage="0" equalAverage="0" bottom="0" percent="0" rank="0" text="" dxfId="3959">
      <formula>'1856'!$H$27</formula>
    </cfRule>
    <cfRule type="cellIs" priority="317" operator="lessThan" aboveAverage="0" equalAverage="0" bottom="0" percent="0" rank="0" text="" dxfId="3960">
      <formula>'1856'!$H$27</formula>
    </cfRule>
  </conditionalFormatting>
  <conditionalFormatting sqref="I28">
    <cfRule type="cellIs" priority="318" operator="equal" aboveAverage="0" equalAverage="0" bottom="0" percent="0" rank="0" text="" dxfId="3961">
      <formula>'1856'!$H$28</formula>
    </cfRule>
    <cfRule type="cellIs" priority="319" operator="lessThan" aboveAverage="0" equalAverage="0" bottom="0" percent="0" rank="0" text="" dxfId="3962">
      <formula>'1856'!$H$28</formula>
    </cfRule>
  </conditionalFormatting>
  <conditionalFormatting sqref="I29">
    <cfRule type="cellIs" priority="320" operator="equal" aboveAverage="0" equalAverage="0" bottom="0" percent="0" rank="0" text="" dxfId="3963">
      <formula>'1856'!$H$29</formula>
    </cfRule>
    <cfRule type="cellIs" priority="321" operator="lessThan" aboveAverage="0" equalAverage="0" bottom="0" percent="0" rank="0" text="" dxfId="3964">
      <formula>'1856'!$H$29</formula>
    </cfRule>
  </conditionalFormatting>
  <conditionalFormatting sqref="J13">
    <cfRule type="cellIs" priority="322" operator="equal" aboveAverage="0" equalAverage="0" bottom="0" percent="0" rank="0" text="" dxfId="3965">
      <formula>'1856'!$I$13</formula>
    </cfRule>
    <cfRule type="cellIs" priority="323" operator="lessThan" aboveAverage="0" equalAverage="0" bottom="0" percent="0" rank="0" text="" dxfId="3966">
      <formula>'1856'!$I$13</formula>
    </cfRule>
  </conditionalFormatting>
  <conditionalFormatting sqref="J14">
    <cfRule type="cellIs" priority="324" operator="equal" aboveAverage="0" equalAverage="0" bottom="0" percent="0" rank="0" text="" dxfId="3967">
      <formula>'1856'!$I$14</formula>
    </cfRule>
    <cfRule type="cellIs" priority="325" operator="lessThan" aboveAverage="0" equalAverage="0" bottom="0" percent="0" rank="0" text="" dxfId="3968">
      <formula>'1856'!$I$14</formula>
    </cfRule>
  </conditionalFormatting>
  <conditionalFormatting sqref="J15">
    <cfRule type="cellIs" priority="326" operator="equal" aboveAverage="0" equalAverage="0" bottom="0" percent="0" rank="0" text="" dxfId="3969">
      <formula>'1856'!$I$15</formula>
    </cfRule>
    <cfRule type="cellIs" priority="327" operator="lessThan" aboveAverage="0" equalAverage="0" bottom="0" percent="0" rank="0" text="" dxfId="3970">
      <formula>'1856'!$I$15</formula>
    </cfRule>
  </conditionalFormatting>
  <conditionalFormatting sqref="J16">
    <cfRule type="cellIs" priority="328" operator="equal" aboveAverage="0" equalAverage="0" bottom="0" percent="0" rank="0" text="" dxfId="3971">
      <formula>'1856'!$I$16</formula>
    </cfRule>
    <cfRule type="cellIs" priority="329" operator="lessThan" aboveAverage="0" equalAverage="0" bottom="0" percent="0" rank="0" text="" dxfId="3972">
      <formula>'1856'!$I$16</formula>
    </cfRule>
  </conditionalFormatting>
  <conditionalFormatting sqref="J17">
    <cfRule type="cellIs" priority="330" operator="equal" aboveAverage="0" equalAverage="0" bottom="0" percent="0" rank="0" text="" dxfId="3973">
      <formula>'1856'!$I$17</formula>
    </cfRule>
    <cfRule type="cellIs" priority="331" operator="lessThan" aboveAverage="0" equalAverage="0" bottom="0" percent="0" rank="0" text="" dxfId="3974">
      <formula>'1856'!$I$17</formula>
    </cfRule>
  </conditionalFormatting>
  <conditionalFormatting sqref="J18">
    <cfRule type="cellIs" priority="332" operator="equal" aboveAverage="0" equalAverage="0" bottom="0" percent="0" rank="0" text="" dxfId="3975">
      <formula>'1856'!$I$18</formula>
    </cfRule>
    <cfRule type="cellIs" priority="333" operator="lessThan" aboveAverage="0" equalAverage="0" bottom="0" percent="0" rank="0" text="" dxfId="3976">
      <formula>'1856'!$I$18</formula>
    </cfRule>
  </conditionalFormatting>
  <conditionalFormatting sqref="J19">
    <cfRule type="cellIs" priority="334" operator="equal" aboveAverage="0" equalAverage="0" bottom="0" percent="0" rank="0" text="" dxfId="3977">
      <formula>'1856'!$I$19</formula>
    </cfRule>
    <cfRule type="cellIs" priority="335" operator="lessThan" aboveAverage="0" equalAverage="0" bottom="0" percent="0" rank="0" text="" dxfId="3978">
      <formula>'1856'!$I$19</formula>
    </cfRule>
  </conditionalFormatting>
  <conditionalFormatting sqref="J20">
    <cfRule type="cellIs" priority="336" operator="equal" aboveAverage="0" equalAverage="0" bottom="0" percent="0" rank="0" text="" dxfId="3979">
      <formula>'1856'!$I$20</formula>
    </cfRule>
    <cfRule type="cellIs" priority="337" operator="lessThan" aboveAverage="0" equalAverage="0" bottom="0" percent="0" rank="0" text="" dxfId="3980">
      <formula>'1856'!$I$20</formula>
    </cfRule>
  </conditionalFormatting>
  <conditionalFormatting sqref="J21">
    <cfRule type="cellIs" priority="338" operator="equal" aboveAverage="0" equalAverage="0" bottom="0" percent="0" rank="0" text="" dxfId="3981">
      <formula>'1856'!$I$21</formula>
    </cfRule>
    <cfRule type="cellIs" priority="339" operator="lessThan" aboveAverage="0" equalAverage="0" bottom="0" percent="0" rank="0" text="" dxfId="3982">
      <formula>'1856'!$I$21</formula>
    </cfRule>
  </conditionalFormatting>
  <conditionalFormatting sqref="J22">
    <cfRule type="cellIs" priority="340" operator="equal" aboveAverage="0" equalAverage="0" bottom="0" percent="0" rank="0" text="" dxfId="3983">
      <formula>'1856'!$I$22</formula>
    </cfRule>
    <cfRule type="cellIs" priority="341" operator="lessThan" aboveAverage="0" equalAverage="0" bottom="0" percent="0" rank="0" text="" dxfId="3984">
      <formula>'1856'!$I$22</formula>
    </cfRule>
  </conditionalFormatting>
  <conditionalFormatting sqref="J23">
    <cfRule type="cellIs" priority="342" operator="equal" aboveAverage="0" equalAverage="0" bottom="0" percent="0" rank="0" text="" dxfId="3985">
      <formula>'1856'!$I$23</formula>
    </cfRule>
    <cfRule type="cellIs" priority="343" operator="lessThan" aboveAverage="0" equalAverage="0" bottom="0" percent="0" rank="0" text="" dxfId="3986">
      <formula>'1856'!$I$23</formula>
    </cfRule>
  </conditionalFormatting>
  <conditionalFormatting sqref="J24">
    <cfRule type="cellIs" priority="344" operator="equal" aboveAverage="0" equalAverage="0" bottom="0" percent="0" rank="0" text="" dxfId="3987">
      <formula>'1856'!$I$24</formula>
    </cfRule>
    <cfRule type="cellIs" priority="345" operator="lessThan" aboveAverage="0" equalAverage="0" bottom="0" percent="0" rank="0" text="" dxfId="3988">
      <formula>'1856'!$I$24</formula>
    </cfRule>
  </conditionalFormatting>
  <conditionalFormatting sqref="J25">
    <cfRule type="cellIs" priority="346" operator="equal" aboveAverage="0" equalAverage="0" bottom="0" percent="0" rank="0" text="" dxfId="3989">
      <formula>'1856'!$I$25</formula>
    </cfRule>
    <cfRule type="cellIs" priority="347" operator="lessThan" aboveAverage="0" equalAverage="0" bottom="0" percent="0" rank="0" text="" dxfId="3990">
      <formula>'1856'!$I$25</formula>
    </cfRule>
  </conditionalFormatting>
  <conditionalFormatting sqref="J26">
    <cfRule type="cellIs" priority="348" operator="equal" aboveAverage="0" equalAverage="0" bottom="0" percent="0" rank="0" text="" dxfId="3991">
      <formula>'1856'!$I$26</formula>
    </cfRule>
    <cfRule type="cellIs" priority="349" operator="lessThan" aboveAverage="0" equalAverage="0" bottom="0" percent="0" rank="0" text="" dxfId="3992">
      <formula>'1856'!$I$26</formula>
    </cfRule>
  </conditionalFormatting>
  <conditionalFormatting sqref="J27">
    <cfRule type="cellIs" priority="350" operator="equal" aboveAverage="0" equalAverage="0" bottom="0" percent="0" rank="0" text="" dxfId="3993">
      <formula>'1856'!$I$27</formula>
    </cfRule>
    <cfRule type="cellIs" priority="351" operator="lessThan" aboveAverage="0" equalAverage="0" bottom="0" percent="0" rank="0" text="" dxfId="3994">
      <formula>'1856'!$I$27</formula>
    </cfRule>
  </conditionalFormatting>
  <conditionalFormatting sqref="J28">
    <cfRule type="cellIs" priority="352" operator="equal" aboveAverage="0" equalAverage="0" bottom="0" percent="0" rank="0" text="" dxfId="3995">
      <formula>'1856'!$I$28</formula>
    </cfRule>
    <cfRule type="cellIs" priority="353" operator="lessThan" aboveAverage="0" equalAverage="0" bottom="0" percent="0" rank="0" text="" dxfId="3996">
      <formula>'1856'!$I$28</formula>
    </cfRule>
  </conditionalFormatting>
  <conditionalFormatting sqref="K4">
    <cfRule type="cellIs" priority="354" operator="equal" aboveAverage="0" equalAverage="0" bottom="0" percent="0" rank="0" text="" dxfId="3997">
      <formula>'1856'!$J$4</formula>
    </cfRule>
    <cfRule type="cellIs" priority="355" operator="lessThan" aboveAverage="0" equalAverage="0" bottom="0" percent="0" rank="0" text="" dxfId="3998">
      <formula>'1856'!$J$4</formula>
    </cfRule>
  </conditionalFormatting>
  <conditionalFormatting sqref="K5">
    <cfRule type="cellIs" priority="356" operator="equal" aboveAverage="0" equalAverage="0" bottom="0" percent="0" rank="0" text="" dxfId="3999">
      <formula>'1856'!$J$5</formula>
    </cfRule>
    <cfRule type="cellIs" priority="357" operator="lessThan" aboveAverage="0" equalAverage="0" bottom="0" percent="0" rank="0" text="" dxfId="4000">
      <formula>'1856'!$J$5</formula>
    </cfRule>
  </conditionalFormatting>
  <conditionalFormatting sqref="K6">
    <cfRule type="cellIs" priority="358" operator="equal" aboveAverage="0" equalAverage="0" bottom="0" percent="0" rank="0" text="" dxfId="4001">
      <formula>'1856'!$J$6</formula>
    </cfRule>
    <cfRule type="cellIs" priority="359" operator="lessThan" aboveAverage="0" equalAverage="0" bottom="0" percent="0" rank="0" text="" dxfId="4002">
      <formula>'1856'!$J$6</formula>
    </cfRule>
  </conditionalFormatting>
  <conditionalFormatting sqref="K7">
    <cfRule type="cellIs" priority="360" operator="equal" aboveAverage="0" equalAverage="0" bottom="0" percent="0" rank="0" text="" dxfId="4003">
      <formula>'1856'!$J$7</formula>
    </cfRule>
    <cfRule type="cellIs" priority="361" operator="lessThan" aboveAverage="0" equalAverage="0" bottom="0" percent="0" rank="0" text="" dxfId="4004">
      <formula>'1856'!$J$7</formula>
    </cfRule>
  </conditionalFormatting>
  <conditionalFormatting sqref="K8">
    <cfRule type="cellIs" priority="362" operator="equal" aboveAverage="0" equalAverage="0" bottom="0" percent="0" rank="0" text="" dxfId="4005">
      <formula>'1856'!$J$8</formula>
    </cfRule>
    <cfRule type="cellIs" priority="363" operator="lessThan" aboveAverage="0" equalAverage="0" bottom="0" percent="0" rank="0" text="" dxfId="4006">
      <formula>'1856'!$J$8</formula>
    </cfRule>
  </conditionalFormatting>
  <conditionalFormatting sqref="K9">
    <cfRule type="cellIs" priority="364" operator="equal" aboveAverage="0" equalAverage="0" bottom="0" percent="0" rank="0" text="" dxfId="4007">
      <formula>'1856'!$J$9</formula>
    </cfRule>
    <cfRule type="cellIs" priority="365" operator="lessThan" aboveAverage="0" equalAverage="0" bottom="0" percent="0" rank="0" text="" dxfId="4008">
      <formula>'1856'!$J$9</formula>
    </cfRule>
  </conditionalFormatting>
  <conditionalFormatting sqref="K10">
    <cfRule type="cellIs" priority="366" operator="equal" aboveAverage="0" equalAverage="0" bottom="0" percent="0" rank="0" text="" dxfId="4009">
      <formula>'1856'!$J$10</formula>
    </cfRule>
    <cfRule type="cellIs" priority="367" operator="lessThan" aboveAverage="0" equalAverage="0" bottom="0" percent="0" rank="0" text="" dxfId="4010">
      <formula>'1856'!$J$10</formula>
    </cfRule>
  </conditionalFormatting>
  <conditionalFormatting sqref="K11">
    <cfRule type="cellIs" priority="368" operator="equal" aboveAverage="0" equalAverage="0" bottom="0" percent="0" rank="0" text="" dxfId="4011">
      <formula>'1856'!$J$11</formula>
    </cfRule>
    <cfRule type="cellIs" priority="369" operator="lessThan" aboveAverage="0" equalAverage="0" bottom="0" percent="0" rank="0" text="" dxfId="4012">
      <formula>'1856'!$J$11</formula>
    </cfRule>
  </conditionalFormatting>
  <conditionalFormatting sqref="K12">
    <cfRule type="cellIs" priority="370" operator="equal" aboveAverage="0" equalAverage="0" bottom="0" percent="0" rank="0" text="" dxfId="4013">
      <formula>'1856'!$J$12</formula>
    </cfRule>
    <cfRule type="cellIs" priority="371" operator="lessThan" aboveAverage="0" equalAverage="0" bottom="0" percent="0" rank="0" text="" dxfId="4014">
      <formula>'1856'!$J$12</formula>
    </cfRule>
  </conditionalFormatting>
  <conditionalFormatting sqref="K13">
    <cfRule type="cellIs" priority="372" operator="equal" aboveAverage="0" equalAverage="0" bottom="0" percent="0" rank="0" text="" dxfId="4015">
      <formula>'1856'!$J$13</formula>
    </cfRule>
    <cfRule type="cellIs" priority="373" operator="lessThan" aboveAverage="0" equalAverage="0" bottom="0" percent="0" rank="0" text="" dxfId="4016">
      <formula>'1856'!$J$13</formula>
    </cfRule>
  </conditionalFormatting>
  <conditionalFormatting sqref="K14">
    <cfRule type="cellIs" priority="374" operator="equal" aboveAverage="0" equalAverage="0" bottom="0" percent="0" rank="0" text="" dxfId="4017">
      <formula>'1856'!$J$14</formula>
    </cfRule>
    <cfRule type="cellIs" priority="375" operator="lessThan" aboveAverage="0" equalAverage="0" bottom="0" percent="0" rank="0" text="" dxfId="4018">
      <formula>'1856'!$J$14</formula>
    </cfRule>
  </conditionalFormatting>
  <conditionalFormatting sqref="K15">
    <cfRule type="cellIs" priority="376" operator="equal" aboveAverage="0" equalAverage="0" bottom="0" percent="0" rank="0" text="" dxfId="4019">
      <formula>'1856'!$J$15</formula>
    </cfRule>
    <cfRule type="cellIs" priority="377" operator="lessThan" aboveAverage="0" equalAverage="0" bottom="0" percent="0" rank="0" text="" dxfId="4020">
      <formula>'1856'!$J$15</formula>
    </cfRule>
  </conditionalFormatting>
  <conditionalFormatting sqref="K16">
    <cfRule type="cellIs" priority="378" operator="equal" aboveAverage="0" equalAverage="0" bottom="0" percent="0" rank="0" text="" dxfId="4021">
      <formula>'1856'!$J$16</formula>
    </cfRule>
    <cfRule type="cellIs" priority="379" operator="lessThan" aboveAverage="0" equalAverage="0" bottom="0" percent="0" rank="0" text="" dxfId="4022">
      <formula>'1856'!$J$16</formula>
    </cfRule>
  </conditionalFormatting>
  <conditionalFormatting sqref="K17">
    <cfRule type="cellIs" priority="380" operator="equal" aboveAverage="0" equalAverage="0" bottom="0" percent="0" rank="0" text="" dxfId="4023">
      <formula>'1856'!$J$17</formula>
    </cfRule>
    <cfRule type="cellIs" priority="381" operator="lessThan" aboveAverage="0" equalAverage="0" bottom="0" percent="0" rank="0" text="" dxfId="4024">
      <formula>'1856'!$J$17</formula>
    </cfRule>
  </conditionalFormatting>
  <conditionalFormatting sqref="K18">
    <cfRule type="cellIs" priority="382" operator="equal" aboveAverage="0" equalAverage="0" bottom="0" percent="0" rank="0" text="" dxfId="4025">
      <formula>'1856'!$J$18</formula>
    </cfRule>
    <cfRule type="cellIs" priority="383" operator="lessThan" aboveAverage="0" equalAverage="0" bottom="0" percent="0" rank="0" text="" dxfId="4026">
      <formula>'1856'!$J$18</formula>
    </cfRule>
  </conditionalFormatting>
  <conditionalFormatting sqref="K19">
    <cfRule type="cellIs" priority="384" operator="equal" aboveAverage="0" equalAverage="0" bottom="0" percent="0" rank="0" text="" dxfId="4027">
      <formula>'1856'!$J$19</formula>
    </cfRule>
    <cfRule type="cellIs" priority="385" operator="lessThan" aboveAverage="0" equalAverage="0" bottom="0" percent="0" rank="0" text="" dxfId="4028">
      <formula>'1856'!$J$19</formula>
    </cfRule>
  </conditionalFormatting>
  <conditionalFormatting sqref="K20">
    <cfRule type="cellIs" priority="386" operator="equal" aboveAverage="0" equalAverage="0" bottom="0" percent="0" rank="0" text="" dxfId="4029">
      <formula>'1856'!$J$20</formula>
    </cfRule>
    <cfRule type="cellIs" priority="387" operator="lessThan" aboveAverage="0" equalAverage="0" bottom="0" percent="0" rank="0" text="" dxfId="4030">
      <formula>'1856'!$J$20</formula>
    </cfRule>
  </conditionalFormatting>
  <conditionalFormatting sqref="K21">
    <cfRule type="cellIs" priority="388" operator="equal" aboveAverage="0" equalAverage="0" bottom="0" percent="0" rank="0" text="" dxfId="4031">
      <formula>'1856'!$J$21</formula>
    </cfRule>
    <cfRule type="cellIs" priority="389" operator="lessThan" aboveAverage="0" equalAverage="0" bottom="0" percent="0" rank="0" text="" dxfId="4032">
      <formula>'1856'!$J$21</formula>
    </cfRule>
  </conditionalFormatting>
  <conditionalFormatting sqref="K22">
    <cfRule type="cellIs" priority="390" operator="equal" aboveAverage="0" equalAverage="0" bottom="0" percent="0" rank="0" text="" dxfId="4033">
      <formula>'1856'!$J$22</formula>
    </cfRule>
    <cfRule type="cellIs" priority="391" operator="lessThan" aboveAverage="0" equalAverage="0" bottom="0" percent="0" rank="0" text="" dxfId="4034">
      <formula>'1856'!$J$22</formula>
    </cfRule>
  </conditionalFormatting>
  <conditionalFormatting sqref="K23">
    <cfRule type="cellIs" priority="392" operator="equal" aboveAverage="0" equalAverage="0" bottom="0" percent="0" rank="0" text="" dxfId="4035">
      <formula>'1856'!$J$23</formula>
    </cfRule>
    <cfRule type="cellIs" priority="393" operator="lessThan" aboveAverage="0" equalAverage="0" bottom="0" percent="0" rank="0" text="" dxfId="4036">
      <formula>'1856'!$J$23</formula>
    </cfRule>
  </conditionalFormatting>
  <conditionalFormatting sqref="K24">
    <cfRule type="cellIs" priority="394" operator="equal" aboveAverage="0" equalAverage="0" bottom="0" percent="0" rank="0" text="" dxfId="4037">
      <formula>'1856'!$J$24</formula>
    </cfRule>
    <cfRule type="cellIs" priority="395" operator="lessThan" aboveAverage="0" equalAverage="0" bottom="0" percent="0" rank="0" text="" dxfId="4038">
      <formula>'1856'!$J$24</formula>
    </cfRule>
  </conditionalFormatting>
  <conditionalFormatting sqref="K25">
    <cfRule type="cellIs" priority="396" operator="equal" aboveAverage="0" equalAverage="0" bottom="0" percent="0" rank="0" text="" dxfId="4039">
      <formula>'1856'!$J$25</formula>
    </cfRule>
    <cfRule type="cellIs" priority="397" operator="lessThan" aboveAverage="0" equalAverage="0" bottom="0" percent="0" rank="0" text="" dxfId="4040">
      <formula>'1856'!$J$25</formula>
    </cfRule>
  </conditionalFormatting>
  <conditionalFormatting sqref="K26">
    <cfRule type="cellIs" priority="398" operator="equal" aboveAverage="0" equalAverage="0" bottom="0" percent="0" rank="0" text="" dxfId="4041">
      <formula>'1856'!$J$26</formula>
    </cfRule>
    <cfRule type="cellIs" priority="399" operator="lessThan" aboveAverage="0" equalAverage="0" bottom="0" percent="0" rank="0" text="" dxfId="4042">
      <formula>'1856'!$J$26</formula>
    </cfRule>
  </conditionalFormatting>
  <conditionalFormatting sqref="K27">
    <cfRule type="cellIs" priority="400" operator="equal" aboveAverage="0" equalAverage="0" bottom="0" percent="0" rank="0" text="" dxfId="4043">
      <formula>'1856'!$J$27</formula>
    </cfRule>
    <cfRule type="cellIs" priority="401" operator="lessThan" aboveAverage="0" equalAverage="0" bottom="0" percent="0" rank="0" text="" dxfId="4044">
      <formula>'1856'!$J$27</formula>
    </cfRule>
  </conditionalFormatting>
  <conditionalFormatting sqref="K28">
    <cfRule type="cellIs" priority="402" operator="lessThan" aboveAverage="0" equalAverage="0" bottom="0" percent="0" rank="0" text="" dxfId="4045">
      <formula>'1856'!$J$28</formula>
    </cfRule>
    <cfRule type="cellIs" priority="403" operator="equal" aboveAverage="0" equalAverage="0" bottom="0" percent="0" rank="0" text="" dxfId="4046">
      <formula>'1856'!$J$28</formula>
    </cfRule>
  </conditionalFormatting>
  <conditionalFormatting sqref="L4">
    <cfRule type="cellIs" priority="404" operator="equal" aboveAverage="0" equalAverage="0" bottom="0" percent="0" rank="0" text="" dxfId="4047">
      <formula>'1856'!$K$4</formula>
    </cfRule>
    <cfRule type="cellIs" priority="405" operator="lessThan" aboveAverage="0" equalAverage="0" bottom="0" percent="0" rank="0" text="" dxfId="4048">
      <formula>'1856'!$K$4</formula>
    </cfRule>
  </conditionalFormatting>
  <conditionalFormatting sqref="L5">
    <cfRule type="cellIs" priority="406" operator="equal" aboveAverage="0" equalAverage="0" bottom="0" percent="0" rank="0" text="" dxfId="4049">
      <formula>'1856'!$K$5</formula>
    </cfRule>
    <cfRule type="cellIs" priority="407" operator="lessThan" aboveAverage="0" equalAverage="0" bottom="0" percent="0" rank="0" text="" dxfId="4050">
      <formula>'1856'!$K$5</formula>
    </cfRule>
  </conditionalFormatting>
  <conditionalFormatting sqref="L6">
    <cfRule type="cellIs" priority="408" operator="equal" aboveAverage="0" equalAverage="0" bottom="0" percent="0" rank="0" text="" dxfId="4051">
      <formula>'1856'!$K$6</formula>
    </cfRule>
    <cfRule type="cellIs" priority="409" operator="lessThan" aboveAverage="0" equalAverage="0" bottom="0" percent="0" rank="0" text="" dxfId="4052">
      <formula>'1856'!$K$6</formula>
    </cfRule>
  </conditionalFormatting>
  <conditionalFormatting sqref="L7">
    <cfRule type="cellIs" priority="410" operator="equal" aboveAverage="0" equalAverage="0" bottom="0" percent="0" rank="0" text="" dxfId="4053">
      <formula>'1856'!$K$7</formula>
    </cfRule>
    <cfRule type="cellIs" priority="411" operator="lessThan" aboveAverage="0" equalAverage="0" bottom="0" percent="0" rank="0" text="" dxfId="4054">
      <formula>'1856'!$K$7</formula>
    </cfRule>
  </conditionalFormatting>
  <conditionalFormatting sqref="L8">
    <cfRule type="cellIs" priority="412" operator="equal" aboveAverage="0" equalAverage="0" bottom="0" percent="0" rank="0" text="" dxfId="4055">
      <formula>'1856'!$K$8</formula>
    </cfRule>
    <cfRule type="cellIs" priority="413" operator="lessThan" aboveAverage="0" equalAverage="0" bottom="0" percent="0" rank="0" text="" dxfId="4056">
      <formula>'1856'!$K$8</formula>
    </cfRule>
  </conditionalFormatting>
  <conditionalFormatting sqref="L9">
    <cfRule type="cellIs" priority="414" operator="equal" aboveAverage="0" equalAverage="0" bottom="0" percent="0" rank="0" text="" dxfId="4057">
      <formula>'1856'!$K$9</formula>
    </cfRule>
    <cfRule type="cellIs" priority="415" operator="lessThan" aboveAverage="0" equalAverage="0" bottom="0" percent="0" rank="0" text="" dxfId="4058">
      <formula>'1856'!$K$9</formula>
    </cfRule>
  </conditionalFormatting>
  <conditionalFormatting sqref="L10">
    <cfRule type="cellIs" priority="416" operator="equal" aboveAverage="0" equalAverage="0" bottom="0" percent="0" rank="0" text="" dxfId="4059">
      <formula>'1856'!$K$10</formula>
    </cfRule>
    <cfRule type="cellIs" priority="417" operator="lessThan" aboveAverage="0" equalAverage="0" bottom="0" percent="0" rank="0" text="" dxfId="4060">
      <formula>'1856'!$K$10</formula>
    </cfRule>
  </conditionalFormatting>
  <conditionalFormatting sqref="L12">
    <cfRule type="cellIs" priority="418" operator="equal" aboveAverage="0" equalAverage="0" bottom="0" percent="0" rank="0" text="" dxfId="4061">
      <formula>'1856'!$K$12</formula>
    </cfRule>
    <cfRule type="cellIs" priority="419" operator="lessThan" aboveAverage="0" equalAverage="0" bottom="0" percent="0" rank="0" text="" dxfId="4062">
      <formula>'1856'!$K$12</formula>
    </cfRule>
  </conditionalFormatting>
  <conditionalFormatting sqref="L13">
    <cfRule type="cellIs" priority="420" operator="equal" aboveAverage="0" equalAverage="0" bottom="0" percent="0" rank="0" text="" dxfId="4063">
      <formula>'1856'!$K$13</formula>
    </cfRule>
    <cfRule type="cellIs" priority="421" operator="lessThan" aboveAverage="0" equalAverage="0" bottom="0" percent="0" rank="0" text="" dxfId="4064">
      <formula>'1856'!$K$13</formula>
    </cfRule>
  </conditionalFormatting>
  <conditionalFormatting sqref="L14">
    <cfRule type="cellIs" priority="422" operator="equal" aboveAverage="0" equalAverage="0" bottom="0" percent="0" rank="0" text="" dxfId="4065">
      <formula>'1856'!$K$14</formula>
    </cfRule>
    <cfRule type="cellIs" priority="423" operator="lessThan" aboveAverage="0" equalAverage="0" bottom="0" percent="0" rank="0" text="" dxfId="4066">
      <formula>'1856'!$K$14</formula>
    </cfRule>
  </conditionalFormatting>
  <conditionalFormatting sqref="L15">
    <cfRule type="cellIs" priority="424" operator="equal" aboveAverage="0" equalAverage="0" bottom="0" percent="0" rank="0" text="" dxfId="4067">
      <formula>'1856'!$K$15</formula>
    </cfRule>
    <cfRule type="cellIs" priority="425" operator="lessThan" aboveAverage="0" equalAverage="0" bottom="0" percent="0" rank="0" text="" dxfId="4068">
      <formula>'1856'!$K$15</formula>
    </cfRule>
  </conditionalFormatting>
  <conditionalFormatting sqref="L16">
    <cfRule type="cellIs" priority="426" operator="equal" aboveAverage="0" equalAverage="0" bottom="0" percent="0" rank="0" text="" dxfId="4069">
      <formula>'1856'!$K$16</formula>
    </cfRule>
    <cfRule type="cellIs" priority="427" operator="lessThan" aboveAverage="0" equalAverage="0" bottom="0" percent="0" rank="0" text="" dxfId="4070">
      <formula>'1856'!$K$16</formula>
    </cfRule>
  </conditionalFormatting>
  <conditionalFormatting sqref="L17">
    <cfRule type="cellIs" priority="428" operator="equal" aboveAverage="0" equalAverage="0" bottom="0" percent="0" rank="0" text="" dxfId="4071">
      <formula>'1856'!$K$17</formula>
    </cfRule>
    <cfRule type="cellIs" priority="429" operator="lessThan" aboveAverage="0" equalAverage="0" bottom="0" percent="0" rank="0" text="" dxfId="4072">
      <formula>'1856'!$K$17</formula>
    </cfRule>
  </conditionalFormatting>
  <conditionalFormatting sqref="L18">
    <cfRule type="cellIs" priority="430" operator="equal" aboveAverage="0" equalAverage="0" bottom="0" percent="0" rank="0" text="" dxfId="4073">
      <formula>'1856'!$K$18</formula>
    </cfRule>
    <cfRule type="cellIs" priority="431" operator="lessThan" aboveAverage="0" equalAverage="0" bottom="0" percent="0" rank="0" text="" dxfId="4074">
      <formula>'1856'!$K$18</formula>
    </cfRule>
  </conditionalFormatting>
  <conditionalFormatting sqref="L19">
    <cfRule type="cellIs" priority="432" operator="equal" aboveAverage="0" equalAverage="0" bottom="0" percent="0" rank="0" text="" dxfId="4075">
      <formula>'1856'!$K$19</formula>
    </cfRule>
    <cfRule type="cellIs" priority="433" operator="lessThan" aboveAverage="0" equalAverage="0" bottom="0" percent="0" rank="0" text="" dxfId="4076">
      <formula>'1856'!$K$19</formula>
    </cfRule>
  </conditionalFormatting>
  <conditionalFormatting sqref="L20">
    <cfRule type="cellIs" priority="434" operator="equal" aboveAverage="0" equalAverage="0" bottom="0" percent="0" rank="0" text="" dxfId="4077">
      <formula>'1856'!$K$20</formula>
    </cfRule>
    <cfRule type="cellIs" priority="435" operator="lessThan" aboveAverage="0" equalAverage="0" bottom="0" percent="0" rank="0" text="" dxfId="4078">
      <formula>'1856'!$K$20</formula>
    </cfRule>
  </conditionalFormatting>
  <conditionalFormatting sqref="L21">
    <cfRule type="cellIs" priority="436" operator="equal" aboveAverage="0" equalAverage="0" bottom="0" percent="0" rank="0" text="" dxfId="4079">
      <formula>'1856'!$K$21</formula>
    </cfRule>
    <cfRule type="cellIs" priority="437" operator="lessThan" aboveAverage="0" equalAverage="0" bottom="0" percent="0" rank="0" text="" dxfId="4080">
      <formula>'1856'!$K$21</formula>
    </cfRule>
  </conditionalFormatting>
  <conditionalFormatting sqref="L11">
    <cfRule type="cellIs" priority="438" operator="equal" aboveAverage="0" equalAverage="0" bottom="0" percent="0" rank="0" text="" dxfId="4081">
      <formula>'1856'!$K$11</formula>
    </cfRule>
    <cfRule type="cellIs" priority="439" operator="lessThan" aboveAverage="0" equalAverage="0" bottom="0" percent="0" rank="0" text="" dxfId="4082">
      <formula>'1856'!$K$11</formula>
    </cfRule>
  </conditionalFormatting>
  <conditionalFormatting sqref="L22">
    <cfRule type="cellIs" priority="440" operator="equal" aboveAverage="0" equalAverage="0" bottom="0" percent="0" rank="0" text="" dxfId="4083">
      <formula>'1856'!$K$22</formula>
    </cfRule>
    <cfRule type="cellIs" priority="441" operator="lessThan" aboveAverage="0" equalAverage="0" bottom="0" percent="0" rank="0" text="" dxfId="4084">
      <formula>'1856'!$K$22</formula>
    </cfRule>
  </conditionalFormatting>
  <conditionalFormatting sqref="L23">
    <cfRule type="cellIs" priority="442" operator="equal" aboveAverage="0" equalAverage="0" bottom="0" percent="0" rank="0" text="" dxfId="4085">
      <formula>'1856'!$K$23</formula>
    </cfRule>
    <cfRule type="cellIs" priority="443" operator="lessThan" aboveAverage="0" equalAverage="0" bottom="0" percent="0" rank="0" text="" dxfId="4086">
      <formula>'1856'!$K$23</formula>
    </cfRule>
  </conditionalFormatting>
  <conditionalFormatting sqref="L24">
    <cfRule type="cellIs" priority="444" operator="equal" aboveAverage="0" equalAverage="0" bottom="0" percent="0" rank="0" text="" dxfId="4087">
      <formula>'1856'!$K$24</formula>
    </cfRule>
    <cfRule type="cellIs" priority="445" operator="lessThan" aboveAverage="0" equalAverage="0" bottom="0" percent="0" rank="0" text="" dxfId="4088">
      <formula>'1856'!$K$24</formula>
    </cfRule>
  </conditionalFormatting>
  <conditionalFormatting sqref="L25">
    <cfRule type="cellIs" priority="446" operator="equal" aboveAverage="0" equalAverage="0" bottom="0" percent="0" rank="0" text="" dxfId="4089">
      <formula>'1856'!$K$25</formula>
    </cfRule>
    <cfRule type="cellIs" priority="447" operator="lessThan" aboveAverage="0" equalAverage="0" bottom="0" percent="0" rank="0" text="" dxfId="4090">
      <formula>'1856'!$K$25</formula>
    </cfRule>
  </conditionalFormatting>
  <conditionalFormatting sqref="L26">
    <cfRule type="cellIs" priority="448" operator="equal" aboveAverage="0" equalAverage="0" bottom="0" percent="0" rank="0" text="" dxfId="4091">
      <formula>'1856'!$K$26</formula>
    </cfRule>
    <cfRule type="cellIs" priority="449" operator="lessThan" aboveAverage="0" equalAverage="0" bottom="0" percent="0" rank="0" text="" dxfId="4092">
      <formula>'1856'!$K$26</formula>
    </cfRule>
  </conditionalFormatting>
  <conditionalFormatting sqref="L27">
    <cfRule type="cellIs" priority="450" operator="equal" aboveAverage="0" equalAverage="0" bottom="0" percent="0" rank="0" text="" dxfId="4093">
      <formula>'1856'!$K$27</formula>
    </cfRule>
    <cfRule type="cellIs" priority="451" operator="lessThan" aboveAverage="0" equalAverage="0" bottom="0" percent="0" rank="0" text="" dxfId="4094">
      <formula>'1856'!$K$27</formula>
    </cfRule>
  </conditionalFormatting>
  <conditionalFormatting sqref="L28">
    <cfRule type="cellIs" priority="452" operator="equal" aboveAverage="0" equalAverage="0" bottom="0" percent="0" rank="0" text="" dxfId="4095">
      <formula>'1856'!$K$28</formula>
    </cfRule>
    <cfRule type="cellIs" priority="453" operator="lessThan" aboveAverage="0" equalAverage="0" bottom="0" percent="0" rank="0" text="" dxfId="4096">
      <formula>'1856'!$K$28</formula>
    </cfRule>
  </conditionalFormatting>
  <conditionalFormatting sqref="M4">
    <cfRule type="cellIs" priority="454" operator="lessThan" aboveAverage="0" equalAverage="0" bottom="0" percent="0" rank="0" text="" dxfId="4097">
      <formula>'1856'!$L$4</formula>
    </cfRule>
    <cfRule type="cellIs" priority="455" operator="equal" aboveAverage="0" equalAverage="0" bottom="0" percent="0" rank="0" text="" dxfId="4098">
      <formula>'1856'!$L$4</formula>
    </cfRule>
  </conditionalFormatting>
  <conditionalFormatting sqref="M5">
    <cfRule type="cellIs" priority="456" operator="equal" aboveAverage="0" equalAverage="0" bottom="0" percent="0" rank="0" text="" dxfId="4099">
      <formula>'1856'!$L$5</formula>
    </cfRule>
    <cfRule type="cellIs" priority="457" operator="lessThan" aboveAverage="0" equalAverage="0" bottom="0" percent="0" rank="0" text="" dxfId="4100">
      <formula>'1856'!$L$5</formula>
    </cfRule>
  </conditionalFormatting>
  <conditionalFormatting sqref="M6">
    <cfRule type="cellIs" priority="458" operator="equal" aboveAverage="0" equalAverage="0" bottom="0" percent="0" rank="0" text="" dxfId="4101">
      <formula>'1856'!$L$6</formula>
    </cfRule>
    <cfRule type="cellIs" priority="459" operator="lessThan" aboveAverage="0" equalAverage="0" bottom="0" percent="0" rank="0" text="" dxfId="4102">
      <formula>'1856'!$L$6</formula>
    </cfRule>
  </conditionalFormatting>
  <conditionalFormatting sqref="M7">
    <cfRule type="cellIs" priority="460" operator="equal" aboveAverage="0" equalAverage="0" bottom="0" percent="0" rank="0" text="" dxfId="4103">
      <formula>'1856'!$L$7</formula>
    </cfRule>
    <cfRule type="cellIs" priority="461" operator="lessThan" aboveAverage="0" equalAverage="0" bottom="0" percent="0" rank="0" text="" dxfId="4104">
      <formula>'1856'!$L$7</formula>
    </cfRule>
  </conditionalFormatting>
  <conditionalFormatting sqref="M8">
    <cfRule type="cellIs" priority="462" operator="equal" aboveAverage="0" equalAverage="0" bottom="0" percent="0" rank="0" text="" dxfId="4105">
      <formula>'1856'!$L$8</formula>
    </cfRule>
    <cfRule type="cellIs" priority="463" operator="lessThan" aboveAverage="0" equalAverage="0" bottom="0" percent="0" rank="0" text="" dxfId="4106">
      <formula>'1856'!$L$8</formula>
    </cfRule>
  </conditionalFormatting>
  <conditionalFormatting sqref="M9">
    <cfRule type="cellIs" priority="464" operator="equal" aboveAverage="0" equalAverage="0" bottom="0" percent="0" rank="0" text="" dxfId="4107">
      <formula>'1856'!$L$9</formula>
    </cfRule>
    <cfRule type="cellIs" priority="465" operator="lessThan" aboveAverage="0" equalAverage="0" bottom="0" percent="0" rank="0" text="" dxfId="4108">
      <formula>'1856'!$L$9</formula>
    </cfRule>
  </conditionalFormatting>
  <conditionalFormatting sqref="M10">
    <cfRule type="cellIs" priority="466" operator="equal" aboveAverage="0" equalAverage="0" bottom="0" percent="0" rank="0" text="" dxfId="4109">
      <formula>'1856'!$L$10</formula>
    </cfRule>
    <cfRule type="cellIs" priority="467" operator="lessThan" aboveAverage="0" equalAverage="0" bottom="0" percent="0" rank="0" text="" dxfId="4110">
      <formula>'1856'!$L$10</formula>
    </cfRule>
  </conditionalFormatting>
  <conditionalFormatting sqref="M11">
    <cfRule type="cellIs" priority="468" operator="equal" aboveAverage="0" equalAverage="0" bottom="0" percent="0" rank="0" text="" dxfId="4111">
      <formula>'1856'!$L$11</formula>
    </cfRule>
    <cfRule type="cellIs" priority="469" operator="lessThan" aboveAverage="0" equalAverage="0" bottom="0" percent="0" rank="0" text="" dxfId="4112">
      <formula>'1856'!$L$11</formula>
    </cfRule>
  </conditionalFormatting>
  <conditionalFormatting sqref="M12">
    <cfRule type="cellIs" priority="470" operator="equal" aboveAverage="0" equalAverage="0" bottom="0" percent="0" rank="0" text="" dxfId="4113">
      <formula>'1856'!$L$12</formula>
    </cfRule>
    <cfRule type="cellIs" priority="471" operator="lessThan" aboveAverage="0" equalAverage="0" bottom="0" percent="0" rank="0" text="" dxfId="4114">
      <formula>'1856'!$L$12</formula>
    </cfRule>
  </conditionalFormatting>
  <conditionalFormatting sqref="M13">
    <cfRule type="cellIs" priority="472" operator="equal" aboveAverage="0" equalAverage="0" bottom="0" percent="0" rank="0" text="" dxfId="4115">
      <formula>'1856'!$L$13</formula>
    </cfRule>
    <cfRule type="cellIs" priority="473" operator="lessThan" aboveAverage="0" equalAverage="0" bottom="0" percent="0" rank="0" text="" dxfId="4116">
      <formula>'1856'!$L$13</formula>
    </cfRule>
  </conditionalFormatting>
  <conditionalFormatting sqref="M14">
    <cfRule type="cellIs" priority="474" operator="equal" aboveAverage="0" equalAverage="0" bottom="0" percent="0" rank="0" text="" dxfId="4117">
      <formula>'1856'!$L$14</formula>
    </cfRule>
    <cfRule type="cellIs" priority="475" operator="lessThan" aboveAverage="0" equalAverage="0" bottom="0" percent="0" rank="0" text="" dxfId="4118">
      <formula>'1856'!$L$14</formula>
    </cfRule>
  </conditionalFormatting>
  <conditionalFormatting sqref="M15">
    <cfRule type="cellIs" priority="476" operator="equal" aboveAverage="0" equalAverage="0" bottom="0" percent="0" rank="0" text="" dxfId="4119">
      <formula>'1856'!$L$15</formula>
    </cfRule>
    <cfRule type="cellIs" priority="477" operator="lessThan" aboveAverage="0" equalAverage="0" bottom="0" percent="0" rank="0" text="" dxfId="4120">
      <formula>'1856'!$L$15</formula>
    </cfRule>
  </conditionalFormatting>
  <conditionalFormatting sqref="M16">
    <cfRule type="cellIs" priority="478" operator="equal" aboveAverage="0" equalAverage="0" bottom="0" percent="0" rank="0" text="" dxfId="4121">
      <formula>'1856'!$L$16</formula>
    </cfRule>
    <cfRule type="cellIs" priority="479" operator="lessThan" aboveAverage="0" equalAverage="0" bottom="0" percent="0" rank="0" text="" dxfId="4122">
      <formula>'1856'!$L$16</formula>
    </cfRule>
  </conditionalFormatting>
  <conditionalFormatting sqref="M17">
    <cfRule type="cellIs" priority="480" operator="equal" aboveAverage="0" equalAverage="0" bottom="0" percent="0" rank="0" text="" dxfId="4123">
      <formula>'1856'!$L$17</formula>
    </cfRule>
    <cfRule type="cellIs" priority="481" operator="lessThan" aboveAverage="0" equalAverage="0" bottom="0" percent="0" rank="0" text="" dxfId="4124">
      <formula>'1856'!$L$17</formula>
    </cfRule>
  </conditionalFormatting>
  <conditionalFormatting sqref="M18">
    <cfRule type="cellIs" priority="482" operator="equal" aboveAverage="0" equalAverage="0" bottom="0" percent="0" rank="0" text="" dxfId="4125">
      <formula>'1856'!$L$18</formula>
    </cfRule>
    <cfRule type="cellIs" priority="483" operator="lessThan" aboveAverage="0" equalAverage="0" bottom="0" percent="0" rank="0" text="" dxfId="4126">
      <formula>'1856'!$L$18</formula>
    </cfRule>
  </conditionalFormatting>
  <conditionalFormatting sqref="M19">
    <cfRule type="cellIs" priority="484" operator="equal" aboveAverage="0" equalAverage="0" bottom="0" percent="0" rank="0" text="" dxfId="4127">
      <formula>'1856'!$L$19</formula>
    </cfRule>
    <cfRule type="cellIs" priority="485" operator="lessThan" aboveAverage="0" equalAverage="0" bottom="0" percent="0" rank="0" text="" dxfId="4128">
      <formula>'1856'!$L$19</formula>
    </cfRule>
  </conditionalFormatting>
  <conditionalFormatting sqref="M20">
    <cfRule type="cellIs" priority="486" operator="equal" aboveAverage="0" equalAverage="0" bottom="0" percent="0" rank="0" text="" dxfId="4129">
      <formula>'1856'!$L$20</formula>
    </cfRule>
    <cfRule type="cellIs" priority="487" operator="lessThan" aboveAverage="0" equalAverage="0" bottom="0" percent="0" rank="0" text="" dxfId="4130">
      <formula>'1856'!$L$20</formula>
    </cfRule>
  </conditionalFormatting>
  <conditionalFormatting sqref="M21">
    <cfRule type="cellIs" priority="488" operator="equal" aboveAverage="0" equalAverage="0" bottom="0" percent="0" rank="0" text="" dxfId="4131">
      <formula>'1856'!$L$21</formula>
    </cfRule>
    <cfRule type="cellIs" priority="489" operator="lessThan" aboveAverage="0" equalAverage="0" bottom="0" percent="0" rank="0" text="" dxfId="4132">
      <formula>'1856'!$L$21</formula>
    </cfRule>
  </conditionalFormatting>
  <conditionalFormatting sqref="M22">
    <cfRule type="cellIs" priority="490" operator="equal" aboveAverage="0" equalAverage="0" bottom="0" percent="0" rank="0" text="" dxfId="4133">
      <formula>'1856'!$L$22</formula>
    </cfRule>
    <cfRule type="cellIs" priority="491" operator="lessThan" aboveAverage="0" equalAverage="0" bottom="0" percent="0" rank="0" text="" dxfId="4134">
      <formula>'1856'!$L$22</formula>
    </cfRule>
  </conditionalFormatting>
  <conditionalFormatting sqref="M23">
    <cfRule type="cellIs" priority="492" operator="equal" aboveAverage="0" equalAverage="0" bottom="0" percent="0" rank="0" text="" dxfId="4135">
      <formula>'1856'!$L$23</formula>
    </cfRule>
    <cfRule type="cellIs" priority="493" operator="lessThan" aboveAverage="0" equalAverage="0" bottom="0" percent="0" rank="0" text="" dxfId="4136">
      <formula>'1856'!$L$23</formula>
    </cfRule>
  </conditionalFormatting>
  <conditionalFormatting sqref="M24">
    <cfRule type="cellIs" priority="494" operator="equal" aboveAverage="0" equalAverage="0" bottom="0" percent="0" rank="0" text="" dxfId="4137">
      <formula>'1856'!$L$24</formula>
    </cfRule>
    <cfRule type="cellIs" priority="495" operator="lessThan" aboveAverage="0" equalAverage="0" bottom="0" percent="0" rank="0" text="" dxfId="4138">
      <formula>'1856'!$L$24</formula>
    </cfRule>
  </conditionalFormatting>
  <conditionalFormatting sqref="M25">
    <cfRule type="cellIs" priority="496" operator="equal" aboveAverage="0" equalAverage="0" bottom="0" percent="0" rank="0" text="" dxfId="4139">
      <formula>'1856'!$L$25</formula>
    </cfRule>
    <cfRule type="cellIs" priority="497" operator="lessThan" aboveAverage="0" equalAverage="0" bottom="0" percent="0" rank="0" text="" dxfId="4140">
      <formula>'1856'!$L$25</formula>
    </cfRule>
  </conditionalFormatting>
  <conditionalFormatting sqref="M26">
    <cfRule type="cellIs" priority="498" operator="equal" aboveAverage="0" equalAverage="0" bottom="0" percent="0" rank="0" text="" dxfId="4141">
      <formula>'1856'!$L$26</formula>
    </cfRule>
    <cfRule type="cellIs" priority="499" operator="lessThan" aboveAverage="0" equalAverage="0" bottom="0" percent="0" rank="0" text="" dxfId="4142">
      <formula>'1856'!$L$26</formula>
    </cfRule>
  </conditionalFormatting>
  <conditionalFormatting sqref="M27">
    <cfRule type="cellIs" priority="500" operator="equal" aboveAverage="0" equalAverage="0" bottom="0" percent="0" rank="0" text="" dxfId="4143">
      <formula>'1856'!$L$27</formula>
    </cfRule>
    <cfRule type="cellIs" priority="501" operator="lessThan" aboveAverage="0" equalAverage="0" bottom="0" percent="0" rank="0" text="" dxfId="4144">
      <formula>'1856'!$L$27</formula>
    </cfRule>
  </conditionalFormatting>
  <conditionalFormatting sqref="M28">
    <cfRule type="cellIs" priority="502" operator="equal" aboveAverage="0" equalAverage="0" bottom="0" percent="0" rank="0" text="" dxfId="4145">
      <formula>'1856'!$L$28</formula>
    </cfRule>
    <cfRule type="cellIs" priority="503" operator="lessThan" aboveAverage="0" equalAverage="0" bottom="0" percent="0" rank="0" text="" dxfId="4146">
      <formula>'1856'!$L$28</formula>
    </cfRule>
  </conditionalFormatting>
  <conditionalFormatting sqref="N4">
    <cfRule type="cellIs" priority="504" operator="equal" aboveAverage="0" equalAverage="0" bottom="0" percent="0" rank="0" text="" dxfId="4147">
      <formula>'1856'!$M$4</formula>
    </cfRule>
    <cfRule type="cellIs" priority="505" operator="lessThan" aboveAverage="0" equalAverage="0" bottom="0" percent="0" rank="0" text="" dxfId="4148">
      <formula>'1856'!$M$4</formula>
    </cfRule>
  </conditionalFormatting>
  <conditionalFormatting sqref="N5">
    <cfRule type="cellIs" priority="506" operator="equal" aboveAverage="0" equalAverage="0" bottom="0" percent="0" rank="0" text="" dxfId="4149">
      <formula>'1856'!$M$5</formula>
    </cfRule>
    <cfRule type="cellIs" priority="507" operator="lessThan" aboveAverage="0" equalAverage="0" bottom="0" percent="0" rank="0" text="" dxfId="4150">
      <formula>'1856'!$M$5</formula>
    </cfRule>
  </conditionalFormatting>
  <conditionalFormatting sqref="N6">
    <cfRule type="cellIs" priority="508" operator="equal" aboveAverage="0" equalAverage="0" bottom="0" percent="0" rank="0" text="" dxfId="4151">
      <formula>'1856'!$M$6</formula>
    </cfRule>
    <cfRule type="cellIs" priority="509" operator="lessThan" aboveAverage="0" equalAverage="0" bottom="0" percent="0" rank="0" text="" dxfId="4152">
      <formula>'1856'!$M$6</formula>
    </cfRule>
  </conditionalFormatting>
  <conditionalFormatting sqref="N7">
    <cfRule type="cellIs" priority="510" operator="equal" aboveAverage="0" equalAverage="0" bottom="0" percent="0" rank="0" text="" dxfId="4153">
      <formula>'1856'!$M$7</formula>
    </cfRule>
    <cfRule type="cellIs" priority="511" operator="lessThan" aboveAverage="0" equalAverage="0" bottom="0" percent="0" rank="0" text="" dxfId="4154">
      <formula>'1856'!$M$7</formula>
    </cfRule>
  </conditionalFormatting>
  <conditionalFormatting sqref="N8">
    <cfRule type="cellIs" priority="512" operator="equal" aboveAverage="0" equalAverage="0" bottom="0" percent="0" rank="0" text="" dxfId="4155">
      <formula>'1856'!$M$8</formula>
    </cfRule>
    <cfRule type="cellIs" priority="513" operator="lessThan" aboveAverage="0" equalAverage="0" bottom="0" percent="0" rank="0" text="" dxfId="4156">
      <formula>'1856'!$M$8</formula>
    </cfRule>
  </conditionalFormatting>
  <conditionalFormatting sqref="N9">
    <cfRule type="cellIs" priority="514" operator="equal" aboveAverage="0" equalAverage="0" bottom="0" percent="0" rank="0" text="" dxfId="4157">
      <formula>'1856'!$M$9</formula>
    </cfRule>
    <cfRule type="cellIs" priority="515" operator="lessThan" aboveAverage="0" equalAverage="0" bottom="0" percent="0" rank="0" text="" dxfId="4158">
      <formula>'1856'!$M$9</formula>
    </cfRule>
  </conditionalFormatting>
  <conditionalFormatting sqref="N10">
    <cfRule type="cellIs" priority="516" operator="equal" aboveAverage="0" equalAverage="0" bottom="0" percent="0" rank="0" text="" dxfId="4159">
      <formula>'1856'!$M$10</formula>
    </cfRule>
    <cfRule type="cellIs" priority="517" operator="lessThan" aboveAverage="0" equalAverage="0" bottom="0" percent="0" rank="0" text="" dxfId="4160">
      <formula>'1856'!$M$10</formula>
    </cfRule>
  </conditionalFormatting>
  <conditionalFormatting sqref="N11">
    <cfRule type="cellIs" priority="518" operator="equal" aboveAverage="0" equalAverage="0" bottom="0" percent="0" rank="0" text="" dxfId="4161">
      <formula>'1856'!$M$11</formula>
    </cfRule>
    <cfRule type="cellIs" priority="519" operator="lessThan" aboveAverage="0" equalAverage="0" bottom="0" percent="0" rank="0" text="" dxfId="4162">
      <formula>'1856'!$M$11</formula>
    </cfRule>
  </conditionalFormatting>
  <conditionalFormatting sqref="N12">
    <cfRule type="cellIs" priority="520" operator="equal" aboveAverage="0" equalAverage="0" bottom="0" percent="0" rank="0" text="" dxfId="4163">
      <formula>'1856'!$M$12</formula>
    </cfRule>
    <cfRule type="cellIs" priority="521" operator="lessThan" aboveAverage="0" equalAverage="0" bottom="0" percent="0" rank="0" text="" dxfId="4164">
      <formula>'1856'!$M$12</formula>
    </cfRule>
  </conditionalFormatting>
  <conditionalFormatting sqref="N13">
    <cfRule type="cellIs" priority="522" operator="equal" aboveAverage="0" equalAverage="0" bottom="0" percent="0" rank="0" text="" dxfId="4165">
      <formula>'1856'!$M$13</formula>
    </cfRule>
    <cfRule type="cellIs" priority="523" operator="lessThan" aboveAverage="0" equalAverage="0" bottom="0" percent="0" rank="0" text="" dxfId="4166">
      <formula>'1856'!$M$13</formula>
    </cfRule>
  </conditionalFormatting>
  <conditionalFormatting sqref="N14">
    <cfRule type="cellIs" priority="524" operator="equal" aboveAverage="0" equalAverage="0" bottom="0" percent="0" rank="0" text="" dxfId="4167">
      <formula>'1856'!$M$14</formula>
    </cfRule>
    <cfRule type="cellIs" priority="525" operator="lessThan" aboveAverage="0" equalAverage="0" bottom="0" percent="0" rank="0" text="" dxfId="4168">
      <formula>'1856'!$M$14</formula>
    </cfRule>
  </conditionalFormatting>
  <conditionalFormatting sqref="N15">
    <cfRule type="cellIs" priority="526" operator="equal" aboveAverage="0" equalAverage="0" bottom="0" percent="0" rank="0" text="" dxfId="4169">
      <formula>'1856'!$M$15</formula>
    </cfRule>
    <cfRule type="cellIs" priority="527" operator="lessThan" aboveAverage="0" equalAverage="0" bottom="0" percent="0" rank="0" text="" dxfId="4170">
      <formula>'1856'!$M$15</formula>
    </cfRule>
  </conditionalFormatting>
  <conditionalFormatting sqref="N16">
    <cfRule type="cellIs" priority="528" operator="equal" aboveAverage="0" equalAverage="0" bottom="0" percent="0" rank="0" text="" dxfId="4171">
      <formula>'1856'!$M$16</formula>
    </cfRule>
    <cfRule type="cellIs" priority="529" operator="lessThan" aboveAverage="0" equalAverage="0" bottom="0" percent="0" rank="0" text="" dxfId="4172">
      <formula>'1856'!$M$16</formula>
    </cfRule>
  </conditionalFormatting>
  <conditionalFormatting sqref="N17">
    <cfRule type="cellIs" priority="530" operator="equal" aboveAverage="0" equalAverage="0" bottom="0" percent="0" rank="0" text="" dxfId="4173">
      <formula>'1856'!$M$17</formula>
    </cfRule>
    <cfRule type="cellIs" priority="531" operator="lessThan" aboveAverage="0" equalAverage="0" bottom="0" percent="0" rank="0" text="" dxfId="4174">
      <formula>'1856'!$M$17</formula>
    </cfRule>
  </conditionalFormatting>
  <conditionalFormatting sqref="N18">
    <cfRule type="cellIs" priority="532" operator="equal" aboveAverage="0" equalAverage="0" bottom="0" percent="0" rank="0" text="" dxfId="4175">
      <formula>'1856'!$M$18</formula>
    </cfRule>
    <cfRule type="cellIs" priority="533" operator="lessThan" aboveAverage="0" equalAverage="0" bottom="0" percent="0" rank="0" text="" dxfId="4176">
      <formula>'1856'!$M$18</formula>
    </cfRule>
  </conditionalFormatting>
  <conditionalFormatting sqref="N19">
    <cfRule type="cellIs" priority="534" operator="equal" aboveAverage="0" equalAverage="0" bottom="0" percent="0" rank="0" text="" dxfId="4177">
      <formula>'1856'!$M$19</formula>
    </cfRule>
    <cfRule type="cellIs" priority="535" operator="lessThan" aboveAverage="0" equalAverage="0" bottom="0" percent="0" rank="0" text="" dxfId="4178">
      <formula>'1856'!$M$19</formula>
    </cfRule>
  </conditionalFormatting>
  <conditionalFormatting sqref="N20">
    <cfRule type="cellIs" priority="536" operator="equal" aboveAverage="0" equalAverage="0" bottom="0" percent="0" rank="0" text="" dxfId="4179">
      <formula>'1856'!$M$20</formula>
    </cfRule>
    <cfRule type="cellIs" priority="537" operator="lessThan" aboveAverage="0" equalAverage="0" bottom="0" percent="0" rank="0" text="" dxfId="4180">
      <formula>'1856'!$M$20</formula>
    </cfRule>
  </conditionalFormatting>
  <conditionalFormatting sqref="N21">
    <cfRule type="cellIs" priority="538" operator="equal" aboveAverage="0" equalAverage="0" bottom="0" percent="0" rank="0" text="" dxfId="4181">
      <formula>'1856'!$M$21</formula>
    </cfRule>
    <cfRule type="cellIs" priority="539" operator="lessThan" aboveAverage="0" equalAverage="0" bottom="0" percent="0" rank="0" text="" dxfId="4182">
      <formula>'1856'!$M$21</formula>
    </cfRule>
  </conditionalFormatting>
  <conditionalFormatting sqref="N22">
    <cfRule type="cellIs" priority="540" operator="equal" aboveAverage="0" equalAverage="0" bottom="0" percent="0" rank="0" text="" dxfId="4183">
      <formula>'1856'!$M$22</formula>
    </cfRule>
    <cfRule type="cellIs" priority="541" operator="lessThan" aboveAverage="0" equalAverage="0" bottom="0" percent="0" rank="0" text="" dxfId="4184">
      <formula>'1856'!$M$22</formula>
    </cfRule>
  </conditionalFormatting>
  <conditionalFormatting sqref="N23">
    <cfRule type="cellIs" priority="542" operator="equal" aboveAverage="0" equalAverage="0" bottom="0" percent="0" rank="0" text="" dxfId="4185">
      <formula>'1856'!$M$23</formula>
    </cfRule>
    <cfRule type="cellIs" priority="543" operator="lessThan" aboveAverage="0" equalAverage="0" bottom="0" percent="0" rank="0" text="" dxfId="4186">
      <formula>'1856'!$M$23</formula>
    </cfRule>
  </conditionalFormatting>
  <conditionalFormatting sqref="N24">
    <cfRule type="cellIs" priority="544" operator="equal" aboveAverage="0" equalAverage="0" bottom="0" percent="0" rank="0" text="" dxfId="4187">
      <formula>'1856'!$M$24</formula>
    </cfRule>
    <cfRule type="cellIs" priority="545" operator="lessThan" aboveAverage="0" equalAverage="0" bottom="0" percent="0" rank="0" text="" dxfId="4188">
      <formula>'1856'!$M$24</formula>
    </cfRule>
  </conditionalFormatting>
  <conditionalFormatting sqref="N25">
    <cfRule type="cellIs" priority="546" operator="equal" aboveAverage="0" equalAverage="0" bottom="0" percent="0" rank="0" text="" dxfId="4189">
      <formula>'1856'!$M$25</formula>
    </cfRule>
    <cfRule type="cellIs" priority="547" operator="lessThan" aboveAverage="0" equalAverage="0" bottom="0" percent="0" rank="0" text="" dxfId="4190">
      <formula>'1856'!$M$25</formula>
    </cfRule>
  </conditionalFormatting>
  <conditionalFormatting sqref="N26">
    <cfRule type="cellIs" priority="548" operator="equal" aboveAverage="0" equalAverage="0" bottom="0" percent="0" rank="0" text="" dxfId="4191">
      <formula>'1856'!$M$26</formula>
    </cfRule>
    <cfRule type="cellIs" priority="549" operator="lessThan" aboveAverage="0" equalAverage="0" bottom="0" percent="0" rank="0" text="" dxfId="4192">
      <formula>'1856'!$M$26</formula>
    </cfRule>
  </conditionalFormatting>
  <conditionalFormatting sqref="N27">
    <cfRule type="cellIs" priority="550" operator="equal" aboveAverage="0" equalAverage="0" bottom="0" percent="0" rank="0" text="" dxfId="4193">
      <formula>'1856'!$M$27</formula>
    </cfRule>
    <cfRule type="cellIs" priority="551" operator="lessThan" aboveAverage="0" equalAverage="0" bottom="0" percent="0" rank="0" text="" dxfId="4194">
      <formula>'1856'!$M$27</formula>
    </cfRule>
  </conditionalFormatting>
  <conditionalFormatting sqref="N28">
    <cfRule type="cellIs" priority="552" operator="equal" aboveAverage="0" equalAverage="0" bottom="0" percent="0" rank="0" text="" dxfId="4195">
      <formula>'1856'!$M$28</formula>
    </cfRule>
    <cfRule type="cellIs" priority="553" operator="lessThan" aboveAverage="0" equalAverage="0" bottom="0" percent="0" rank="0" text="" dxfId="4196">
      <formula>'1856'!$M$28</formula>
    </cfRule>
  </conditionalFormatting>
  <conditionalFormatting sqref="O4">
    <cfRule type="cellIs" priority="554" operator="equal" aboveAverage="0" equalAverage="0" bottom="0" percent="0" rank="0" text="" dxfId="4197">
      <formula>'1856'!$N$4</formula>
    </cfRule>
    <cfRule type="cellIs" priority="555" operator="lessThan" aboveAverage="0" equalAverage="0" bottom="0" percent="0" rank="0" text="" dxfId="4198">
      <formula>'1856'!$N$4</formula>
    </cfRule>
  </conditionalFormatting>
  <conditionalFormatting sqref="O5">
    <cfRule type="cellIs" priority="556" operator="equal" aboveAverage="0" equalAverage="0" bottom="0" percent="0" rank="0" text="" dxfId="4199">
      <formula>'1856'!$N$5</formula>
    </cfRule>
    <cfRule type="cellIs" priority="557" operator="lessThan" aboveAverage="0" equalAverage="0" bottom="0" percent="0" rank="0" text="" dxfId="4200">
      <formula>'1856'!$N$5</formula>
    </cfRule>
  </conditionalFormatting>
  <conditionalFormatting sqref="O6">
    <cfRule type="cellIs" priority="558" operator="equal" aboveAverage="0" equalAverage="0" bottom="0" percent="0" rank="0" text="" dxfId="4201">
      <formula>'1856'!$N$6</formula>
    </cfRule>
    <cfRule type="cellIs" priority="559" operator="lessThan" aboveAverage="0" equalAverage="0" bottom="0" percent="0" rank="0" text="" dxfId="4202">
      <formula>'1856'!$N$6</formula>
    </cfRule>
  </conditionalFormatting>
  <conditionalFormatting sqref="O7">
    <cfRule type="cellIs" priority="560" operator="equal" aboveAverage="0" equalAverage="0" bottom="0" percent="0" rank="0" text="" dxfId="4203">
      <formula>'1856'!$N$7</formula>
    </cfRule>
    <cfRule type="cellIs" priority="561" operator="lessThan" aboveAverage="0" equalAverage="0" bottom="0" percent="0" rank="0" text="" dxfId="4204">
      <formula>'1856'!$N$7</formula>
    </cfRule>
  </conditionalFormatting>
  <conditionalFormatting sqref="O8">
    <cfRule type="cellIs" priority="562" operator="equal" aboveAverage="0" equalAverage="0" bottom="0" percent="0" rank="0" text="" dxfId="4205">
      <formula>'1856'!$N$8</formula>
    </cfRule>
    <cfRule type="cellIs" priority="563" operator="lessThan" aboveAverage="0" equalAverage="0" bottom="0" percent="0" rank="0" text="" dxfId="4206">
      <formula>'1856'!$N$8</formula>
    </cfRule>
  </conditionalFormatting>
  <conditionalFormatting sqref="O9">
    <cfRule type="cellIs" priority="564" operator="equal" aboveAverage="0" equalAverage="0" bottom="0" percent="0" rank="0" text="" dxfId="4207">
      <formula>'1856'!$N$9</formula>
    </cfRule>
    <cfRule type="cellIs" priority="565" operator="lessThan" aboveAverage="0" equalAverage="0" bottom="0" percent="0" rank="0" text="" dxfId="4208">
      <formula>'1856'!$N$9</formula>
    </cfRule>
  </conditionalFormatting>
  <conditionalFormatting sqref="O10">
    <cfRule type="cellIs" priority="566" operator="equal" aboveAverage="0" equalAverage="0" bottom="0" percent="0" rank="0" text="" dxfId="4209">
      <formula>'1856'!$N$10</formula>
    </cfRule>
    <cfRule type="cellIs" priority="567" operator="lessThan" aboveAverage="0" equalAverage="0" bottom="0" percent="0" rank="0" text="" dxfId="4210">
      <formula>'1856'!$N$10</formula>
    </cfRule>
  </conditionalFormatting>
  <conditionalFormatting sqref="O11">
    <cfRule type="cellIs" priority="568" operator="equal" aboveAverage="0" equalAverage="0" bottom="0" percent="0" rank="0" text="" dxfId="4211">
      <formula>'1856'!$N$11</formula>
    </cfRule>
    <cfRule type="cellIs" priority="569" operator="lessThan" aboveAverage="0" equalAverage="0" bottom="0" percent="0" rank="0" text="" dxfId="4212">
      <formula>'1856'!$N$11</formula>
    </cfRule>
  </conditionalFormatting>
  <conditionalFormatting sqref="O12">
    <cfRule type="cellIs" priority="570" operator="equal" aboveAverage="0" equalAverage="0" bottom="0" percent="0" rank="0" text="" dxfId="4213">
      <formula>'1856'!$N$12</formula>
    </cfRule>
    <cfRule type="cellIs" priority="571" operator="lessThan" aboveAverage="0" equalAverage="0" bottom="0" percent="0" rank="0" text="" dxfId="4214">
      <formula>'1856'!$N$12</formula>
    </cfRule>
  </conditionalFormatting>
  <conditionalFormatting sqref="O13">
    <cfRule type="cellIs" priority="572" operator="equal" aboveAverage="0" equalAverage="0" bottom="0" percent="0" rank="0" text="" dxfId="4215">
      <formula>'1856'!$N$13</formula>
    </cfRule>
    <cfRule type="cellIs" priority="573" operator="lessThan" aboveAverage="0" equalAverage="0" bottom="0" percent="0" rank="0" text="" dxfId="4216">
      <formula>'1856'!$N$13</formula>
    </cfRule>
  </conditionalFormatting>
  <conditionalFormatting sqref="O14">
    <cfRule type="cellIs" priority="574" operator="equal" aboveAverage="0" equalAverage="0" bottom="0" percent="0" rank="0" text="" dxfId="4217">
      <formula>'1856'!$N$14</formula>
    </cfRule>
    <cfRule type="cellIs" priority="575" operator="lessThan" aboveAverage="0" equalAverage="0" bottom="0" percent="0" rank="0" text="" dxfId="4218">
      <formula>'1856'!$N$14</formula>
    </cfRule>
  </conditionalFormatting>
  <conditionalFormatting sqref="O15">
    <cfRule type="cellIs" priority="576" operator="equal" aboveAverage="0" equalAverage="0" bottom="0" percent="0" rank="0" text="" dxfId="4219">
      <formula>'1856'!$N$15</formula>
    </cfRule>
    <cfRule type="cellIs" priority="577" operator="lessThan" aboveAverage="0" equalAverage="0" bottom="0" percent="0" rank="0" text="" dxfId="4220">
      <formula>'1856'!$N$15</formula>
    </cfRule>
  </conditionalFormatting>
  <conditionalFormatting sqref="O16">
    <cfRule type="cellIs" priority="578" operator="equal" aboveAverage="0" equalAverage="0" bottom="0" percent="0" rank="0" text="" dxfId="4221">
      <formula>'1856'!$N$16</formula>
    </cfRule>
    <cfRule type="cellIs" priority="579" operator="lessThan" aboveAverage="0" equalAverage="0" bottom="0" percent="0" rank="0" text="" dxfId="4222">
      <formula>'1856'!$N$16</formula>
    </cfRule>
  </conditionalFormatting>
  <conditionalFormatting sqref="O17">
    <cfRule type="cellIs" priority="580" operator="equal" aboveAverage="0" equalAverage="0" bottom="0" percent="0" rank="0" text="" dxfId="4223">
      <formula>'1856'!$N$17</formula>
    </cfRule>
    <cfRule type="cellIs" priority="581" operator="lessThan" aboveAverage="0" equalAverage="0" bottom="0" percent="0" rank="0" text="" dxfId="4224">
      <formula>'1856'!$N$17</formula>
    </cfRule>
  </conditionalFormatting>
  <conditionalFormatting sqref="O18">
    <cfRule type="cellIs" priority="582" operator="equal" aboveAverage="0" equalAverage="0" bottom="0" percent="0" rank="0" text="" dxfId="4225">
      <formula>'1856'!$N$18</formula>
    </cfRule>
    <cfRule type="cellIs" priority="583" operator="lessThan" aboveAverage="0" equalAverage="0" bottom="0" percent="0" rank="0" text="" dxfId="4226">
      <formula>'1856'!$N$18</formula>
    </cfRule>
  </conditionalFormatting>
  <conditionalFormatting sqref="O19">
    <cfRule type="cellIs" priority="584" operator="equal" aboveAverage="0" equalAverage="0" bottom="0" percent="0" rank="0" text="" dxfId="4227">
      <formula>'1856'!$N$19</formula>
    </cfRule>
    <cfRule type="cellIs" priority="585" operator="lessThan" aboveAverage="0" equalAverage="0" bottom="0" percent="0" rank="0" text="" dxfId="4228">
      <formula>'1856'!$N$19</formula>
    </cfRule>
  </conditionalFormatting>
  <conditionalFormatting sqref="O20">
    <cfRule type="cellIs" priority="586" operator="equal" aboveAverage="0" equalAverage="0" bottom="0" percent="0" rank="0" text="" dxfId="4229">
      <formula>'1856'!$N$20</formula>
    </cfRule>
    <cfRule type="cellIs" priority="587" operator="lessThan" aboveAverage="0" equalAverage="0" bottom="0" percent="0" rank="0" text="" dxfId="4230">
      <formula>'1856'!$N$20</formula>
    </cfRule>
  </conditionalFormatting>
  <conditionalFormatting sqref="O21">
    <cfRule type="cellIs" priority="588" operator="equal" aboveAverage="0" equalAverage="0" bottom="0" percent="0" rank="0" text="" dxfId="4231">
      <formula>'1856'!$N$21</formula>
    </cfRule>
    <cfRule type="cellIs" priority="589" operator="lessThan" aboveAverage="0" equalAverage="0" bottom="0" percent="0" rank="0" text="" dxfId="4232">
      <formula>'1856'!$N$21</formula>
    </cfRule>
  </conditionalFormatting>
  <conditionalFormatting sqref="O22">
    <cfRule type="cellIs" priority="590" operator="equal" aboveAverage="0" equalAverage="0" bottom="0" percent="0" rank="0" text="" dxfId="4233">
      <formula>'1856'!$N$22</formula>
    </cfRule>
    <cfRule type="cellIs" priority="591" operator="lessThan" aboveAverage="0" equalAverage="0" bottom="0" percent="0" rank="0" text="" dxfId="4234">
      <formula>'1856'!$N$22</formula>
    </cfRule>
  </conditionalFormatting>
  <conditionalFormatting sqref="O23">
    <cfRule type="cellIs" priority="592" operator="equal" aboveAverage="0" equalAverage="0" bottom="0" percent="0" rank="0" text="" dxfId="4235">
      <formula>'1856'!$N$23</formula>
    </cfRule>
    <cfRule type="cellIs" priority="593" operator="lessThan" aboveAverage="0" equalAverage="0" bottom="0" percent="0" rank="0" text="" dxfId="4236">
      <formula>'1856'!$N$23</formula>
    </cfRule>
  </conditionalFormatting>
  <conditionalFormatting sqref="O24">
    <cfRule type="cellIs" priority="594" operator="equal" aboveAverage="0" equalAverage="0" bottom="0" percent="0" rank="0" text="" dxfId="4237">
      <formula>'1856'!$N$24</formula>
    </cfRule>
    <cfRule type="cellIs" priority="595" operator="lessThan" aboveAverage="0" equalAverage="0" bottom="0" percent="0" rank="0" text="" dxfId="4238">
      <formula>'1856'!$N$24</formula>
    </cfRule>
  </conditionalFormatting>
  <conditionalFormatting sqref="O25">
    <cfRule type="cellIs" priority="596" operator="equal" aboveAverage="0" equalAverage="0" bottom="0" percent="0" rank="0" text="" dxfId="4239">
      <formula>'1856'!$N$25</formula>
    </cfRule>
    <cfRule type="cellIs" priority="597" operator="lessThan" aboveAverage="0" equalAverage="0" bottom="0" percent="0" rank="0" text="" dxfId="4240">
      <formula>'1856'!$N$25</formula>
    </cfRule>
  </conditionalFormatting>
  <conditionalFormatting sqref="O26">
    <cfRule type="cellIs" priority="598" operator="equal" aboveAverage="0" equalAverage="0" bottom="0" percent="0" rank="0" text="" dxfId="4241">
      <formula>'1856'!$N$26</formula>
    </cfRule>
    <cfRule type="cellIs" priority="599" operator="lessThan" aboveAverage="0" equalAverage="0" bottom="0" percent="0" rank="0" text="" dxfId="4242">
      <formula>'1856'!$N$26</formula>
    </cfRule>
  </conditionalFormatting>
  <conditionalFormatting sqref="O27">
    <cfRule type="cellIs" priority="600" operator="equal" aboveAverage="0" equalAverage="0" bottom="0" percent="0" rank="0" text="" dxfId="4243">
      <formula>'1856'!$N$27</formula>
    </cfRule>
    <cfRule type="cellIs" priority="601" operator="lessThan" aboveAverage="0" equalAverage="0" bottom="0" percent="0" rank="0" text="" dxfId="4244">
      <formula>'1856'!$N$27</formula>
    </cfRule>
  </conditionalFormatting>
  <conditionalFormatting sqref="O28">
    <cfRule type="cellIs" priority="602" operator="equal" aboveAverage="0" equalAverage="0" bottom="0" percent="0" rank="0" text="" dxfId="4245">
      <formula>'1856'!$N$28</formula>
    </cfRule>
    <cfRule type="cellIs" priority="603" operator="lessThan" aboveAverage="0" equalAverage="0" bottom="0" percent="0" rank="0" text="" dxfId="4246">
      <formula>'1856'!$N$28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0" width="26.15"/>
    <col collapsed="false" customWidth="true" hidden="false" outlineLevel="0" max="15" min="3" style="0" width="10.14"/>
    <col collapsed="false" customWidth="true" hidden="false" outlineLevel="0" max="17" min="16" style="0" width="11.14"/>
    <col collapsed="false" customWidth="true" hidden="false" outlineLevel="0" max="18" min="18" style="0" width="9.29"/>
    <col collapsed="false" customWidth="true" hidden="false" outlineLevel="0" max="19" min="19" style="0" width="3.57"/>
  </cols>
  <sheetData>
    <row r="1" customFormat="false" ht="15.75" hidden="false" customHeight="false" outlineLevel="0" collapsed="false"/>
    <row r="2" s="6" customFormat="true" ht="21" hidden="false" customHeight="true" outlineLevel="0" collapsed="false">
      <c r="A2" s="2" t="n">
        <v>1857</v>
      </c>
      <c r="B2" s="3"/>
      <c r="C2" s="4" t="n">
        <f aca="false">'1850'!C2</f>
        <v>44562</v>
      </c>
      <c r="D2" s="4" t="n">
        <f aca="false">'1850'!D2</f>
        <v>44593</v>
      </c>
      <c r="E2" s="4" t="n">
        <f aca="false">'1850'!E2</f>
        <v>44622</v>
      </c>
      <c r="F2" s="4" t="n">
        <f aca="false">'1850'!F2</f>
        <v>44652</v>
      </c>
      <c r="G2" s="4" t="n">
        <f aca="false">'1850'!G2</f>
        <v>44683</v>
      </c>
      <c r="H2" s="4" t="n">
        <f aca="false">'1850'!H2</f>
        <v>44713</v>
      </c>
      <c r="I2" s="4" t="n">
        <f aca="false">'1850'!I2</f>
        <v>44743</v>
      </c>
      <c r="J2" s="4" t="n">
        <f aca="false">'1850'!J2</f>
        <v>44774</v>
      </c>
      <c r="K2" s="4" t="n">
        <f aca="false">'1850'!K2</f>
        <v>44805</v>
      </c>
      <c r="L2" s="4" t="n">
        <f aca="false">'1850'!L2</f>
        <v>44834</v>
      </c>
      <c r="M2" s="4" t="n">
        <f aca="false">'1850'!M2</f>
        <v>44866</v>
      </c>
      <c r="N2" s="4" t="n">
        <f aca="false">'1850'!N2</f>
        <v>44896</v>
      </c>
      <c r="O2" s="4" t="n">
        <f aca="false">'1850'!O2</f>
        <v>44927</v>
      </c>
      <c r="P2" s="6" t="s">
        <v>0</v>
      </c>
      <c r="Q2" s="6" t="s">
        <v>1</v>
      </c>
      <c r="R2" s="6" t="s">
        <v>220</v>
      </c>
      <c r="U2" s="7"/>
      <c r="V2" s="8"/>
      <c r="W2" s="8"/>
      <c r="X2" s="8"/>
      <c r="Y2" s="8" t="s">
        <v>2</v>
      </c>
      <c r="Z2" s="8"/>
      <c r="AA2" s="8"/>
      <c r="AB2" s="8"/>
      <c r="AC2" s="8"/>
      <c r="AD2" s="9"/>
      <c r="AE2" s="9"/>
      <c r="AF2" s="10"/>
    </row>
    <row r="3" s="6" customFormat="true" ht="15.75" hidden="false" customHeight="false" outlineLevel="0" collapsed="false">
      <c r="A3" s="11" t="s">
        <v>3</v>
      </c>
      <c r="B3" s="12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4</v>
      </c>
      <c r="P3" s="6" t="s">
        <v>16</v>
      </c>
      <c r="Q3" s="6" t="s">
        <v>17</v>
      </c>
      <c r="R3" s="6" t="s">
        <v>156</v>
      </c>
      <c r="T3" s="6" t="s">
        <v>18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1" t="s">
        <v>14</v>
      </c>
      <c r="AE3" s="11" t="s">
        <v>15</v>
      </c>
      <c r="AF3" s="11" t="s">
        <v>4</v>
      </c>
    </row>
    <row r="4" customFormat="false" ht="15.75" hidden="false" customHeight="false" outlineLevel="0" collapsed="false">
      <c r="A4" s="14" t="n">
        <v>1</v>
      </c>
      <c r="B4" s="15" t="s">
        <v>267</v>
      </c>
      <c r="C4" s="151" t="n">
        <v>126.745</v>
      </c>
      <c r="D4" s="16" t="n">
        <v>130.294</v>
      </c>
      <c r="E4" s="16" t="n">
        <v>133.88</v>
      </c>
      <c r="F4" s="16" t="n">
        <v>137.782</v>
      </c>
      <c r="G4" s="16" t="n">
        <v>142.326</v>
      </c>
      <c r="H4" s="16" t="n">
        <v>147.012</v>
      </c>
      <c r="I4" s="16" t="n">
        <v>151.039</v>
      </c>
      <c r="J4" s="16" t="n">
        <v>157.136</v>
      </c>
      <c r="K4" s="16" t="n">
        <v>161.062</v>
      </c>
      <c r="L4" s="17" t="n">
        <v>164.783</v>
      </c>
      <c r="M4" s="16" t="n">
        <v>169.194</v>
      </c>
      <c r="N4" s="16" t="n">
        <v>173.829</v>
      </c>
      <c r="O4" s="16" t="n">
        <v>179.246</v>
      </c>
      <c r="P4" s="18" t="n">
        <f aca="false">O4-C4</f>
        <v>52.501</v>
      </c>
      <c r="T4" s="6" t="n">
        <v>1</v>
      </c>
      <c r="U4" s="19" t="n">
        <f aca="false">D4-C4</f>
        <v>3.54900000000001</v>
      </c>
      <c r="V4" s="19" t="n">
        <f aca="false">E4-D4</f>
        <v>3.58599999999998</v>
      </c>
      <c r="W4" s="19" t="n">
        <f aca="false">F4-E4</f>
        <v>3.90200000000002</v>
      </c>
      <c r="X4" s="19" t="n">
        <f aca="false">G4-F4</f>
        <v>4.54399999999998</v>
      </c>
      <c r="Y4" s="19" t="n">
        <f aca="false">H4-G4</f>
        <v>4.68600000000001</v>
      </c>
      <c r="Z4" s="19" t="n">
        <f aca="false">I4-H4</f>
        <v>4.02699999999999</v>
      </c>
      <c r="AA4" s="19" t="n">
        <f aca="false">J4-I4</f>
        <v>6.09700000000001</v>
      </c>
      <c r="AB4" s="19" t="n">
        <f aca="false">K4-J4</f>
        <v>3.92600000000002</v>
      </c>
      <c r="AC4" s="19" t="n">
        <f aca="false">L4-K4</f>
        <v>3.72099999999998</v>
      </c>
      <c r="AD4" s="19" t="n">
        <f aca="false">M4-L4</f>
        <v>4.411</v>
      </c>
      <c r="AE4" s="19" t="n">
        <f aca="false">N4-M4</f>
        <v>4.63500000000002</v>
      </c>
      <c r="AF4" s="19" t="n">
        <f aca="false">O4-N4</f>
        <v>5.417</v>
      </c>
    </row>
    <row r="5" customFormat="false" ht="15" hidden="false" customHeight="false" outlineLevel="0" collapsed="false">
      <c r="A5" s="14"/>
      <c r="B5" s="20" t="s">
        <v>268</v>
      </c>
      <c r="C5" s="152" t="n">
        <v>9.199</v>
      </c>
      <c r="D5" s="21" t="n">
        <v>14.961</v>
      </c>
      <c r="E5" s="21" t="n">
        <v>19.503</v>
      </c>
      <c r="F5" s="21" t="n">
        <v>23.86</v>
      </c>
      <c r="G5" s="21" t="n">
        <v>27.156</v>
      </c>
      <c r="H5" s="21" t="n">
        <v>27.577</v>
      </c>
      <c r="I5" s="21" t="n">
        <v>27.788</v>
      </c>
      <c r="J5" s="21" t="n">
        <v>28.07</v>
      </c>
      <c r="K5" s="21" t="n">
        <v>28.277</v>
      </c>
      <c r="L5" s="22" t="n">
        <v>29.097</v>
      </c>
      <c r="M5" s="21" t="n">
        <v>31.137</v>
      </c>
      <c r="N5" s="21" t="n">
        <v>35.215</v>
      </c>
      <c r="O5" s="21" t="n">
        <v>41.058</v>
      </c>
      <c r="P5" s="18"/>
      <c r="Q5" s="18" t="n">
        <f aca="false">O5-C5</f>
        <v>31.859</v>
      </c>
      <c r="T5" s="6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false" outlineLevel="0" collapsed="false">
      <c r="A6" s="24" t="n">
        <v>2</v>
      </c>
      <c r="B6" s="20" t="s">
        <v>269</v>
      </c>
      <c r="C6" s="152" t="n">
        <v>93.554</v>
      </c>
      <c r="D6" s="21" t="n">
        <v>97.26</v>
      </c>
      <c r="E6" s="21" t="n">
        <v>101.003</v>
      </c>
      <c r="F6" s="21" t="n">
        <v>105.049</v>
      </c>
      <c r="G6" s="21" t="n">
        <v>109.496</v>
      </c>
      <c r="H6" s="21" t="n">
        <v>113.401</v>
      </c>
      <c r="I6" s="21" t="n">
        <v>117.481</v>
      </c>
      <c r="J6" s="21" t="n">
        <v>121.765</v>
      </c>
      <c r="K6" s="21" t="n">
        <v>125.711</v>
      </c>
      <c r="L6" s="21" t="n">
        <v>129.244</v>
      </c>
      <c r="M6" s="21" t="n">
        <v>133.116</v>
      </c>
      <c r="N6" s="21" t="n">
        <v>136.872</v>
      </c>
      <c r="O6" s="21" t="n">
        <v>140.392</v>
      </c>
      <c r="P6" s="18" t="n">
        <f aca="false">O6-C6</f>
        <v>46.838</v>
      </c>
      <c r="T6" s="6" t="n">
        <v>2</v>
      </c>
      <c r="U6" s="25" t="n">
        <f aca="false">D6-C6</f>
        <v>3.706</v>
      </c>
      <c r="V6" s="25" t="n">
        <f aca="false">E6-D6</f>
        <v>3.743</v>
      </c>
      <c r="W6" s="25" t="n">
        <f aca="false">F6-E6</f>
        <v>4.04600000000001</v>
      </c>
      <c r="X6" s="25" t="n">
        <f aca="false">G6-F6</f>
        <v>4.44699999999999</v>
      </c>
      <c r="Y6" s="25" t="n">
        <f aca="false">H6-G6</f>
        <v>3.905</v>
      </c>
      <c r="Z6" s="25" t="n">
        <f aca="false">I6-H6</f>
        <v>4.08</v>
      </c>
      <c r="AA6" s="25" t="n">
        <f aca="false">J6-I6</f>
        <v>4.28400000000001</v>
      </c>
      <c r="AB6" s="25" t="n">
        <f aca="false">K6-J6</f>
        <v>3.946</v>
      </c>
      <c r="AC6" s="25" t="n">
        <f aca="false">L6-K6</f>
        <v>3.533</v>
      </c>
      <c r="AD6" s="25" t="n">
        <f aca="false">M6-L6</f>
        <v>3.87200000000001</v>
      </c>
      <c r="AE6" s="25" t="n">
        <f aca="false">N6-M6</f>
        <v>3.756</v>
      </c>
      <c r="AF6" s="25" t="n">
        <f aca="false">O6-N6</f>
        <v>3.51999999999998</v>
      </c>
    </row>
    <row r="7" customFormat="false" ht="15" hidden="false" customHeight="false" outlineLevel="0" collapsed="false">
      <c r="A7" s="24"/>
      <c r="B7" s="20" t="s">
        <v>270</v>
      </c>
      <c r="C7" s="152" t="n">
        <v>2.765</v>
      </c>
      <c r="D7" s="21" t="n">
        <v>4.382</v>
      </c>
      <c r="E7" s="21" t="n">
        <v>5.471</v>
      </c>
      <c r="F7" s="21" t="n">
        <v>6.258</v>
      </c>
      <c r="G7" s="21" t="n">
        <v>6.735</v>
      </c>
      <c r="H7" s="21" t="n">
        <v>7.072</v>
      </c>
      <c r="I7" s="21" t="n">
        <v>7.406</v>
      </c>
      <c r="J7" s="21" t="n">
        <v>7.733</v>
      </c>
      <c r="K7" s="21" t="n">
        <v>8.025</v>
      </c>
      <c r="L7" s="21" t="n">
        <v>8.388</v>
      </c>
      <c r="M7" s="21" t="n">
        <v>8.991</v>
      </c>
      <c r="N7" s="21" t="n">
        <v>10.233</v>
      </c>
      <c r="O7" s="21" t="n">
        <v>11.837</v>
      </c>
      <c r="P7" s="18"/>
      <c r="Q7" s="18" t="n">
        <f aca="false">O7-C7</f>
        <v>9.072</v>
      </c>
      <c r="T7" s="6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customFormat="false" ht="15" hidden="false" customHeight="false" outlineLevel="0" collapsed="false">
      <c r="A8" s="79" t="n">
        <v>3</v>
      </c>
      <c r="B8" s="20" t="s">
        <v>271</v>
      </c>
      <c r="C8" s="152" t="n">
        <v>405.963</v>
      </c>
      <c r="D8" s="21" t="n">
        <v>422.499</v>
      </c>
      <c r="E8" s="21" t="n">
        <v>435.874</v>
      </c>
      <c r="F8" s="21" t="n">
        <v>453.026</v>
      </c>
      <c r="G8" s="21" t="n">
        <v>470.638</v>
      </c>
      <c r="H8" s="21" t="n">
        <v>486.283</v>
      </c>
      <c r="I8" s="21" t="n">
        <v>502.661</v>
      </c>
      <c r="J8" s="21" t="n">
        <v>512.54</v>
      </c>
      <c r="K8" s="21" t="n">
        <v>521.827</v>
      </c>
      <c r="L8" s="21" t="n">
        <v>537.213</v>
      </c>
      <c r="M8" s="21" t="n">
        <v>551.593</v>
      </c>
      <c r="N8" s="21" t="n">
        <v>568.482</v>
      </c>
      <c r="O8" s="21" t="n">
        <v>584.474</v>
      </c>
      <c r="P8" s="18" t="n">
        <f aca="false">O8-C8</f>
        <v>178.511</v>
      </c>
      <c r="T8" s="6" t="n">
        <v>3</v>
      </c>
      <c r="U8" s="25" t="n">
        <f aca="false">D8-C8</f>
        <v>16.536</v>
      </c>
      <c r="V8" s="25" t="n">
        <f aca="false">E8-D8</f>
        <v>13.375</v>
      </c>
      <c r="W8" s="25" t="n">
        <f aca="false">F8-E8</f>
        <v>17.152</v>
      </c>
      <c r="X8" s="25" t="n">
        <f aca="false">G8-F8</f>
        <v>17.612</v>
      </c>
      <c r="Y8" s="25" t="n">
        <f aca="false">H8-G8</f>
        <v>15.645</v>
      </c>
      <c r="Z8" s="25" t="n">
        <f aca="false">I8-H8</f>
        <v>16.378</v>
      </c>
      <c r="AA8" s="25" t="n">
        <f aca="false">J8-I8</f>
        <v>9.87899999999996</v>
      </c>
      <c r="AB8" s="25" t="n">
        <f aca="false">K8-J8</f>
        <v>9.28700000000004</v>
      </c>
      <c r="AC8" s="25" t="n">
        <f aca="false">L8-K8</f>
        <v>15.386</v>
      </c>
      <c r="AD8" s="25" t="n">
        <f aca="false">M8-L8</f>
        <v>14.38</v>
      </c>
      <c r="AE8" s="25" t="n">
        <f aca="false">N8-M8</f>
        <v>16.889</v>
      </c>
      <c r="AF8" s="25" t="n">
        <f aca="false">O8-N8</f>
        <v>15.9920000000001</v>
      </c>
    </row>
    <row r="9" customFormat="false" ht="15" hidden="false" customHeight="false" outlineLevel="0" collapsed="false">
      <c r="A9" s="79"/>
      <c r="B9" s="20" t="s">
        <v>272</v>
      </c>
      <c r="C9" s="152" t="n">
        <v>8.683</v>
      </c>
      <c r="D9" s="21" t="n">
        <v>13.325</v>
      </c>
      <c r="E9" s="21" t="n">
        <v>16.954</v>
      </c>
      <c r="F9" s="21" t="n">
        <v>20.801</v>
      </c>
      <c r="G9" s="21" t="n">
        <v>23.949</v>
      </c>
      <c r="H9" s="21" t="n">
        <v>24.808</v>
      </c>
      <c r="I9" s="21" t="n">
        <v>25.329</v>
      </c>
      <c r="J9" s="21" t="n">
        <v>25.586</v>
      </c>
      <c r="K9" s="21" t="n">
        <v>25.845</v>
      </c>
      <c r="L9" s="21" t="n">
        <v>26.498</v>
      </c>
      <c r="M9" s="21" t="n">
        <v>28.284</v>
      </c>
      <c r="N9" s="21" t="n">
        <v>31.811</v>
      </c>
      <c r="O9" s="21" t="n">
        <v>36.972</v>
      </c>
      <c r="P9" s="18"/>
      <c r="Q9" s="18" t="n">
        <f aca="false">O9-C9</f>
        <v>28.289</v>
      </c>
      <c r="T9" s="6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customFormat="false" ht="15" hidden="false" customHeight="false" outlineLevel="0" collapsed="false">
      <c r="A10" s="79" t="n">
        <v>4</v>
      </c>
      <c r="B10" s="20" t="s">
        <v>273</v>
      </c>
      <c r="C10" s="152" t="n">
        <v>74.096</v>
      </c>
      <c r="D10" s="21" t="n">
        <v>77.991</v>
      </c>
      <c r="E10" s="21" t="n">
        <v>81.43</v>
      </c>
      <c r="F10" s="21" t="n">
        <v>85.273</v>
      </c>
      <c r="G10" s="21" t="n">
        <v>88.675</v>
      </c>
      <c r="H10" s="21" t="n">
        <v>90.972</v>
      </c>
      <c r="I10" s="21" t="n">
        <v>95.029</v>
      </c>
      <c r="J10" s="21" t="n">
        <v>99.856</v>
      </c>
      <c r="K10" s="21" t="n">
        <v>103.255</v>
      </c>
      <c r="L10" s="21" t="n">
        <v>105.684</v>
      </c>
      <c r="M10" s="21" t="n">
        <v>109.476</v>
      </c>
      <c r="N10" s="21" t="n">
        <v>112.107</v>
      </c>
      <c r="O10" s="21" t="n">
        <v>116.709</v>
      </c>
      <c r="P10" s="18" t="n">
        <f aca="false">O10-C10</f>
        <v>42.613</v>
      </c>
      <c r="T10" s="6" t="n">
        <v>4</v>
      </c>
      <c r="U10" s="26" t="n">
        <f aca="false">D10-C10</f>
        <v>3.895</v>
      </c>
      <c r="V10" s="26" t="n">
        <f aca="false">E10-D10</f>
        <v>3.43900000000001</v>
      </c>
      <c r="W10" s="26" t="n">
        <f aca="false">F10-E10</f>
        <v>3.84299999999999</v>
      </c>
      <c r="X10" s="26" t="n">
        <f aca="false">G10-F10</f>
        <v>3.402</v>
      </c>
      <c r="Y10" s="26" t="n">
        <f aca="false">H10-G10</f>
        <v>2.297</v>
      </c>
      <c r="Z10" s="26" t="n">
        <f aca="false">I10-H10</f>
        <v>4.057</v>
      </c>
      <c r="AA10" s="26" t="n">
        <f aca="false">J10-I10</f>
        <v>4.827</v>
      </c>
      <c r="AB10" s="26" t="n">
        <f aca="false">K10-J10</f>
        <v>3.399</v>
      </c>
      <c r="AC10" s="26" t="n">
        <f aca="false">L10-K10</f>
        <v>2.429</v>
      </c>
      <c r="AD10" s="26" t="n">
        <f aca="false">M10-L10</f>
        <v>3.792</v>
      </c>
      <c r="AE10" s="26" t="n">
        <f aca="false">N10-M10</f>
        <v>2.631</v>
      </c>
      <c r="AF10" s="26" t="n">
        <f aca="false">O10-N10</f>
        <v>4.602</v>
      </c>
    </row>
    <row r="11" customFormat="false" ht="15" hidden="false" customHeight="false" outlineLevel="0" collapsed="false">
      <c r="A11" s="79"/>
      <c r="B11" s="20" t="s">
        <v>274</v>
      </c>
      <c r="C11" s="152" t="n">
        <v>2.865</v>
      </c>
      <c r="D11" s="21" t="n">
        <v>4.532</v>
      </c>
      <c r="E11" s="21" t="n">
        <v>5.547</v>
      </c>
      <c r="F11" s="21" t="n">
        <v>6.042</v>
      </c>
      <c r="G11" s="21" t="n">
        <v>6.418</v>
      </c>
      <c r="H11" s="21" t="n">
        <v>6.629</v>
      </c>
      <c r="I11" s="21" t="n">
        <v>6.886</v>
      </c>
      <c r="J11" s="21" t="n">
        <v>7.171</v>
      </c>
      <c r="K11" s="21" t="n">
        <v>7.374</v>
      </c>
      <c r="L11" s="21" t="n">
        <v>7.566</v>
      </c>
      <c r="M11" s="21" t="n">
        <v>7.883</v>
      </c>
      <c r="N11" s="21" t="n">
        <v>8.393</v>
      </c>
      <c r="O11" s="21" t="n">
        <v>9.389</v>
      </c>
      <c r="P11" s="18"/>
      <c r="Q11" s="18" t="n">
        <f aca="false">O11-C11</f>
        <v>6.524</v>
      </c>
      <c r="T11" s="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</row>
    <row r="12" customFormat="false" ht="15" hidden="false" customHeight="false" outlineLevel="0" collapsed="false">
      <c r="A12" s="24" t="n">
        <v>5</v>
      </c>
      <c r="B12" s="20" t="s">
        <v>275</v>
      </c>
      <c r="C12" s="152" t="n">
        <v>198.733</v>
      </c>
      <c r="D12" s="21" t="n">
        <v>206.436</v>
      </c>
      <c r="E12" s="21" t="n">
        <v>213.922</v>
      </c>
      <c r="F12" s="21" t="n">
        <v>221.297</v>
      </c>
      <c r="G12" s="21" t="n">
        <v>228.684</v>
      </c>
      <c r="H12" s="21" t="n">
        <v>235.418</v>
      </c>
      <c r="I12" s="21" t="n">
        <v>242.166</v>
      </c>
      <c r="J12" s="21" t="n">
        <v>249.534</v>
      </c>
      <c r="K12" s="21" t="n">
        <v>255.488</v>
      </c>
      <c r="L12" s="21" t="n">
        <v>261.361</v>
      </c>
      <c r="M12" s="21" t="n">
        <v>267.931</v>
      </c>
      <c r="N12" s="21" t="n">
        <v>274.533</v>
      </c>
      <c r="O12" s="21" t="n">
        <v>279.104</v>
      </c>
      <c r="P12" s="18" t="n">
        <f aca="false">O12-C12</f>
        <v>80.371</v>
      </c>
      <c r="T12" s="6" t="n">
        <v>5</v>
      </c>
      <c r="U12" s="25" t="n">
        <f aca="false">D12-C12</f>
        <v>7.703</v>
      </c>
      <c r="V12" s="25" t="n">
        <f aca="false">E12-D12</f>
        <v>7.48599999999999</v>
      </c>
      <c r="W12" s="25" t="n">
        <f aca="false">F12-E12</f>
        <v>7.375</v>
      </c>
      <c r="X12" s="25" t="n">
        <f aca="false">G12-F12</f>
        <v>7.387</v>
      </c>
      <c r="Y12" s="25" t="n">
        <f aca="false">H12-G12</f>
        <v>6.73400000000001</v>
      </c>
      <c r="Z12" s="25" t="n">
        <f aca="false">I12-H12</f>
        <v>6.74799999999999</v>
      </c>
      <c r="AA12" s="25" t="n">
        <f aca="false">J12-I12</f>
        <v>7.368</v>
      </c>
      <c r="AB12" s="25" t="n">
        <f aca="false">K12-J12</f>
        <v>5.95400000000001</v>
      </c>
      <c r="AC12" s="25" t="n">
        <f aca="false">L12-K12</f>
        <v>5.87299999999999</v>
      </c>
      <c r="AD12" s="25" t="n">
        <f aca="false">M12-L12</f>
        <v>6.56999999999999</v>
      </c>
      <c r="AE12" s="25" t="n">
        <f aca="false">N12-M12</f>
        <v>6.60200000000003</v>
      </c>
      <c r="AF12" s="25" t="n">
        <f aca="false">O12-N12</f>
        <v>4.57099999999997</v>
      </c>
    </row>
    <row r="13" customFormat="false" ht="15" hidden="false" customHeight="false" outlineLevel="0" collapsed="false">
      <c r="A13" s="24"/>
      <c r="B13" s="20" t="s">
        <v>276</v>
      </c>
      <c r="C13" s="152" t="n">
        <v>3.873</v>
      </c>
      <c r="D13" s="21" t="n">
        <v>5.892</v>
      </c>
      <c r="E13" s="21" t="n">
        <v>7.438</v>
      </c>
      <c r="F13" s="21" t="n">
        <v>8.513</v>
      </c>
      <c r="G13" s="21" t="n">
        <v>9.574</v>
      </c>
      <c r="H13" s="21" t="n">
        <v>10.058</v>
      </c>
      <c r="I13" s="21" t="n">
        <v>10.463</v>
      </c>
      <c r="J13" s="21" t="n">
        <v>10.914</v>
      </c>
      <c r="K13" s="21" t="n">
        <v>11.282</v>
      </c>
      <c r="L13" s="21" t="n">
        <v>11.661</v>
      </c>
      <c r="M13" s="21" t="n">
        <v>12.171</v>
      </c>
      <c r="N13" s="21" t="n">
        <v>13.554</v>
      </c>
      <c r="O13" s="21" t="n">
        <v>15.702</v>
      </c>
      <c r="P13" s="18"/>
      <c r="Q13" s="18" t="n">
        <f aca="false">O13-C13</f>
        <v>11.829</v>
      </c>
      <c r="T13" s="6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customFormat="false" ht="15" hidden="false" customHeight="false" outlineLevel="0" collapsed="false">
      <c r="A14" s="24" t="n">
        <v>6</v>
      </c>
      <c r="B14" s="20" t="s">
        <v>277</v>
      </c>
      <c r="C14" s="152" t="n">
        <v>189.93</v>
      </c>
      <c r="D14" s="21" t="n">
        <v>193.532</v>
      </c>
      <c r="E14" s="21" t="n">
        <v>196.923</v>
      </c>
      <c r="F14" s="21" t="n">
        <v>200.519</v>
      </c>
      <c r="G14" s="21" t="n">
        <v>202.909</v>
      </c>
      <c r="H14" s="21" t="n">
        <v>203.55</v>
      </c>
      <c r="I14" s="21" t="n">
        <v>204.278</v>
      </c>
      <c r="J14" s="21" t="n">
        <v>205.696</v>
      </c>
      <c r="K14" s="21" t="n">
        <v>208.94</v>
      </c>
      <c r="L14" s="21" t="n">
        <v>211.408</v>
      </c>
      <c r="M14" s="21" t="n">
        <v>213.697</v>
      </c>
      <c r="N14" s="21" t="n">
        <v>215.103</v>
      </c>
      <c r="O14" s="21" t="n">
        <v>218.152</v>
      </c>
      <c r="P14" s="18" t="n">
        <f aca="false">O14-C14</f>
        <v>28.222</v>
      </c>
      <c r="T14" s="6" t="n">
        <v>6</v>
      </c>
      <c r="U14" s="25" t="n">
        <f aca="false">D14-C14</f>
        <v>3.602</v>
      </c>
      <c r="V14" s="25" t="n">
        <f aca="false">E14-D14</f>
        <v>3.39099999999999</v>
      </c>
      <c r="W14" s="25" t="n">
        <f aca="false">F14-E14</f>
        <v>3.596</v>
      </c>
      <c r="X14" s="25" t="n">
        <f aca="false">G14-F14</f>
        <v>2.38999999999999</v>
      </c>
      <c r="Y14" s="25" t="n">
        <f aca="false">H14-G14</f>
        <v>0.64100000000002</v>
      </c>
      <c r="Z14" s="25" t="n">
        <f aca="false">I14-H14</f>
        <v>0.72799999999998</v>
      </c>
      <c r="AA14" s="25" t="n">
        <f aca="false">J14-I14</f>
        <v>1.41800000000001</v>
      </c>
      <c r="AB14" s="25" t="n">
        <f aca="false">K14-J14</f>
        <v>3.244</v>
      </c>
      <c r="AC14" s="25" t="n">
        <f aca="false">L14-K14</f>
        <v>2.46799999999999</v>
      </c>
      <c r="AD14" s="25" t="n">
        <f aca="false">M14-L14</f>
        <v>2.28900000000002</v>
      </c>
      <c r="AE14" s="25" t="n">
        <f aca="false">N14-M14</f>
        <v>1.40600000000001</v>
      </c>
      <c r="AF14" s="25" t="n">
        <f aca="false">O14-N14</f>
        <v>3.04899999999998</v>
      </c>
    </row>
    <row r="15" customFormat="false" ht="15" hidden="false" customHeight="false" outlineLevel="0" collapsed="false">
      <c r="A15" s="24"/>
      <c r="B15" s="20" t="s">
        <v>278</v>
      </c>
      <c r="C15" s="152" t="n">
        <v>7.514</v>
      </c>
      <c r="D15" s="21" t="n">
        <v>11.489</v>
      </c>
      <c r="E15" s="21" t="n">
        <v>14.19</v>
      </c>
      <c r="F15" s="21" t="n">
        <v>16.45</v>
      </c>
      <c r="G15" s="21" t="n">
        <v>18.002</v>
      </c>
      <c r="H15" s="21" t="n">
        <v>18.225</v>
      </c>
      <c r="I15" s="21" t="n">
        <v>18.434</v>
      </c>
      <c r="J15" s="21" t="n">
        <v>18.696</v>
      </c>
      <c r="K15" s="21" t="n">
        <v>19.036</v>
      </c>
      <c r="L15" s="21" t="n">
        <v>19.414</v>
      </c>
      <c r="M15" s="21" t="n">
        <v>20.087</v>
      </c>
      <c r="N15" s="21" t="n">
        <v>22.033</v>
      </c>
      <c r="O15" s="21" t="n">
        <v>24.874</v>
      </c>
      <c r="P15" s="18"/>
      <c r="Q15" s="18" t="n">
        <f aca="false">O15-C15</f>
        <v>17.36</v>
      </c>
      <c r="T15" s="6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customFormat="false" ht="15" hidden="false" customHeight="false" outlineLevel="0" collapsed="false">
      <c r="A16" s="24" t="n">
        <v>7</v>
      </c>
      <c r="B16" s="20" t="s">
        <v>279</v>
      </c>
      <c r="C16" s="152" t="n">
        <v>310.042</v>
      </c>
      <c r="D16" s="21" t="n">
        <v>324.252</v>
      </c>
      <c r="E16" s="21" t="n">
        <v>337.504</v>
      </c>
      <c r="F16" s="21" t="n">
        <v>348.655</v>
      </c>
      <c r="G16" s="21" t="n">
        <v>361.404</v>
      </c>
      <c r="H16" s="21" t="n">
        <v>373.412</v>
      </c>
      <c r="I16" s="21" t="n">
        <v>385.36</v>
      </c>
      <c r="J16" s="21" t="n">
        <v>396.573</v>
      </c>
      <c r="K16" s="21" t="n">
        <v>409.799</v>
      </c>
      <c r="L16" s="21" t="n">
        <v>422.068</v>
      </c>
      <c r="M16" s="21" t="n">
        <v>433.2</v>
      </c>
      <c r="N16" s="21" t="n">
        <v>444.99</v>
      </c>
      <c r="O16" s="21" t="n">
        <v>456.265</v>
      </c>
      <c r="P16" s="18" t="n">
        <f aca="false">O16-C16</f>
        <v>146.223</v>
      </c>
      <c r="T16" s="6" t="n">
        <v>7</v>
      </c>
      <c r="U16" s="25" t="n">
        <f aca="false">D16-C16</f>
        <v>14.21</v>
      </c>
      <c r="V16" s="25" t="n">
        <f aca="false">E16-D16</f>
        <v>13.252</v>
      </c>
      <c r="W16" s="25" t="n">
        <f aca="false">F16-E16</f>
        <v>11.151</v>
      </c>
      <c r="X16" s="25" t="n">
        <f aca="false">G16-F16</f>
        <v>12.749</v>
      </c>
      <c r="Y16" s="25" t="n">
        <f aca="false">H16-G16</f>
        <v>12.008</v>
      </c>
      <c r="Z16" s="25" t="n">
        <f aca="false">I16-H16</f>
        <v>11.948</v>
      </c>
      <c r="AA16" s="25" t="n">
        <f aca="false">J16-I16</f>
        <v>11.213</v>
      </c>
      <c r="AB16" s="25" t="n">
        <f aca="false">K16-J16</f>
        <v>13.226</v>
      </c>
      <c r="AC16" s="25" t="n">
        <f aca="false">L16-K16</f>
        <v>12.269</v>
      </c>
      <c r="AD16" s="25" t="n">
        <f aca="false">M16-L16</f>
        <v>11.132</v>
      </c>
      <c r="AE16" s="25" t="n">
        <f aca="false">N16-M16</f>
        <v>11.79</v>
      </c>
      <c r="AF16" s="25" t="n">
        <f aca="false">O16-N16</f>
        <v>11.275</v>
      </c>
    </row>
    <row r="17" customFormat="false" ht="15" hidden="false" customHeight="false" outlineLevel="0" collapsed="false">
      <c r="A17" s="24"/>
      <c r="B17" s="20" t="s">
        <v>280</v>
      </c>
      <c r="C17" s="152" t="n">
        <v>11.538</v>
      </c>
      <c r="D17" s="21" t="n">
        <v>17.495</v>
      </c>
      <c r="E17" s="21" t="n">
        <v>21.623</v>
      </c>
      <c r="F17" s="21" t="n">
        <v>24.753</v>
      </c>
      <c r="G17" s="21" t="n">
        <v>27.444</v>
      </c>
      <c r="H17" s="21" t="n">
        <v>28.333</v>
      </c>
      <c r="I17" s="21" t="n">
        <v>29.123</v>
      </c>
      <c r="J17" s="21" t="n">
        <v>29.81</v>
      </c>
      <c r="K17" s="21" t="n">
        <v>30.632</v>
      </c>
      <c r="L17" s="21" t="n">
        <v>31.428</v>
      </c>
      <c r="M17" s="21" t="n">
        <v>32.24</v>
      </c>
      <c r="N17" s="21" t="n">
        <v>35.96</v>
      </c>
      <c r="O17" s="21" t="n">
        <v>40.63</v>
      </c>
      <c r="P17" s="18"/>
      <c r="Q17" s="18" t="n">
        <f aca="false">O17-C17</f>
        <v>29.092</v>
      </c>
      <c r="T17" s="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customFormat="false" ht="15" hidden="false" customHeight="false" outlineLevel="0" collapsed="false">
      <c r="A18" s="24" t="n">
        <v>8</v>
      </c>
      <c r="B18" s="20" t="s">
        <v>281</v>
      </c>
      <c r="C18" s="152" t="n">
        <v>195.288</v>
      </c>
      <c r="D18" s="21" t="n">
        <v>202.422</v>
      </c>
      <c r="E18" s="21" t="n">
        <v>207.867</v>
      </c>
      <c r="F18" s="21" t="n">
        <v>213.916</v>
      </c>
      <c r="G18" s="21" t="n">
        <v>219.413</v>
      </c>
      <c r="H18" s="21" t="n">
        <v>225.262</v>
      </c>
      <c r="I18" s="21" t="n">
        <v>232.079</v>
      </c>
      <c r="J18" s="21" t="n">
        <v>237.355</v>
      </c>
      <c r="K18" s="21" t="n">
        <v>242.223</v>
      </c>
      <c r="L18" s="21" t="n">
        <v>249.122</v>
      </c>
      <c r="M18" s="21" t="n">
        <v>255.799</v>
      </c>
      <c r="N18" s="21" t="n">
        <v>262.802</v>
      </c>
      <c r="O18" s="21" t="n">
        <v>270.511</v>
      </c>
      <c r="P18" s="18" t="n">
        <f aca="false">O18-C18</f>
        <v>75.223</v>
      </c>
      <c r="T18" s="6" t="n">
        <v>8</v>
      </c>
      <c r="U18" s="25" t="n">
        <f aca="false">D18-C18</f>
        <v>7.13399999999999</v>
      </c>
      <c r="V18" s="25" t="n">
        <f aca="false">E18-D18</f>
        <v>5.44499999999999</v>
      </c>
      <c r="W18" s="25" t="n">
        <f aca="false">F18-E18</f>
        <v>6.04900000000001</v>
      </c>
      <c r="X18" s="25" t="n">
        <f aca="false">G18-F18</f>
        <v>5.49700000000001</v>
      </c>
      <c r="Y18" s="25" t="n">
        <f aca="false">H18-G18</f>
        <v>5.84899999999999</v>
      </c>
      <c r="Z18" s="25" t="n">
        <f aca="false">I18-H18</f>
        <v>6.81700000000001</v>
      </c>
      <c r="AA18" s="25" t="n">
        <f aca="false">J18-I18</f>
        <v>5.27599999999998</v>
      </c>
      <c r="AB18" s="25" t="n">
        <f aca="false">K18-J18</f>
        <v>4.86800000000002</v>
      </c>
      <c r="AC18" s="25" t="n">
        <f aca="false">L18-K18</f>
        <v>6.899</v>
      </c>
      <c r="AD18" s="25" t="n">
        <f aca="false">M18-L18</f>
        <v>6.67699999999999</v>
      </c>
      <c r="AE18" s="25" t="n">
        <f aca="false">N18-M18</f>
        <v>7.00300000000001</v>
      </c>
      <c r="AF18" s="25" t="n">
        <f aca="false">O18-N18</f>
        <v>7.709</v>
      </c>
    </row>
    <row r="19" customFormat="false" ht="15" hidden="false" customHeight="false" outlineLevel="0" collapsed="false">
      <c r="A19" s="24"/>
      <c r="B19" s="20" t="s">
        <v>282</v>
      </c>
      <c r="C19" s="152" t="n">
        <v>4.926</v>
      </c>
      <c r="D19" s="21" t="n">
        <v>7.61</v>
      </c>
      <c r="E19" s="21" t="n">
        <v>9.11</v>
      </c>
      <c r="F19" s="21" t="n">
        <v>10.136</v>
      </c>
      <c r="G19" s="21" t="n">
        <v>10.965</v>
      </c>
      <c r="H19" s="21" t="n">
        <v>11.26</v>
      </c>
      <c r="I19" s="21" t="n">
        <v>11.551</v>
      </c>
      <c r="J19" s="21" t="n">
        <v>11.771</v>
      </c>
      <c r="K19" s="21" t="n">
        <v>11.942</v>
      </c>
      <c r="L19" s="21" t="n">
        <v>12.248</v>
      </c>
      <c r="M19" s="21" t="n">
        <v>12.916</v>
      </c>
      <c r="N19" s="21" t="n">
        <v>15.063</v>
      </c>
      <c r="O19" s="21" t="n">
        <v>18.417</v>
      </c>
      <c r="P19" s="18"/>
      <c r="Q19" s="18" t="n">
        <f aca="false">O19-C19</f>
        <v>13.491</v>
      </c>
      <c r="T19" s="6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customFormat="false" ht="15" hidden="false" customHeight="false" outlineLevel="0" collapsed="false">
      <c r="A20" s="24" t="n">
        <v>9</v>
      </c>
      <c r="B20" s="20" t="s">
        <v>283</v>
      </c>
      <c r="C20" s="152" t="n">
        <v>59.795</v>
      </c>
      <c r="D20" s="21" t="n">
        <v>61.646</v>
      </c>
      <c r="E20" s="21" t="n">
        <v>64.14</v>
      </c>
      <c r="F20" s="21" t="n">
        <v>66.636</v>
      </c>
      <c r="G20" s="21" t="n">
        <v>68.77</v>
      </c>
      <c r="H20" s="21" t="n">
        <v>70.796</v>
      </c>
      <c r="I20" s="21" t="n">
        <v>72.788</v>
      </c>
      <c r="J20" s="21" t="n">
        <v>74.482</v>
      </c>
      <c r="K20" s="21" t="n">
        <v>76.616</v>
      </c>
      <c r="L20" s="21" t="n">
        <v>78.242</v>
      </c>
      <c r="M20" s="21" t="n">
        <v>80.044</v>
      </c>
      <c r="N20" s="21" t="n">
        <v>82.031</v>
      </c>
      <c r="O20" s="21" t="n">
        <v>83.935</v>
      </c>
      <c r="P20" s="18" t="n">
        <f aca="false">O20-C20</f>
        <v>24.14</v>
      </c>
      <c r="T20" s="6" t="n">
        <v>9</v>
      </c>
      <c r="U20" s="25" t="n">
        <f aca="false">D20-C20</f>
        <v>1.851</v>
      </c>
      <c r="V20" s="25" t="n">
        <f aca="false">E20-D20</f>
        <v>2.494</v>
      </c>
      <c r="W20" s="25" t="n">
        <f aca="false">F20-E20</f>
        <v>2.496</v>
      </c>
      <c r="X20" s="25" t="n">
        <f aca="false">G20-F20</f>
        <v>2.134</v>
      </c>
      <c r="Y20" s="25" t="n">
        <f aca="false">H20-G20</f>
        <v>2.02600000000001</v>
      </c>
      <c r="Z20" s="25" t="n">
        <f aca="false">I20-H20</f>
        <v>1.99199999999999</v>
      </c>
      <c r="AA20" s="25" t="n">
        <f aca="false">J20-I20</f>
        <v>1.694</v>
      </c>
      <c r="AB20" s="25" t="n">
        <f aca="false">K20-J20</f>
        <v>2.134</v>
      </c>
      <c r="AC20" s="25" t="n">
        <f aca="false">L20-K20</f>
        <v>1.626</v>
      </c>
      <c r="AD20" s="25" t="n">
        <f aca="false">M20-L20</f>
        <v>1.80199999999999</v>
      </c>
      <c r="AE20" s="25" t="n">
        <f aca="false">N20-M20</f>
        <v>1.98700000000001</v>
      </c>
      <c r="AF20" s="25" t="n">
        <f aca="false">O20-N20</f>
        <v>1.904</v>
      </c>
    </row>
    <row r="21" customFormat="false" ht="15" hidden="false" customHeight="false" outlineLevel="0" collapsed="false">
      <c r="A21" s="24"/>
      <c r="B21" s="20" t="s">
        <v>284</v>
      </c>
      <c r="C21" s="152" t="n">
        <v>5.676</v>
      </c>
      <c r="D21" s="21" t="n">
        <v>8.968</v>
      </c>
      <c r="E21" s="21" t="n">
        <v>11.3</v>
      </c>
      <c r="F21" s="21" t="n">
        <v>12.673</v>
      </c>
      <c r="G21" s="21" t="n">
        <v>13.759</v>
      </c>
      <c r="H21" s="21" t="n">
        <v>13.819</v>
      </c>
      <c r="I21" s="21" t="n">
        <v>13.856</v>
      </c>
      <c r="J21" s="21" t="n">
        <v>13.882</v>
      </c>
      <c r="K21" s="21" t="n">
        <v>13.905</v>
      </c>
      <c r="L21" s="21" t="n">
        <v>13.969</v>
      </c>
      <c r="M21" s="21" t="n">
        <v>14.165</v>
      </c>
      <c r="N21" s="21" t="n">
        <v>15.087</v>
      </c>
      <c r="O21" s="21" t="n">
        <v>17.134</v>
      </c>
      <c r="P21" s="18"/>
      <c r="Q21" s="18" t="n">
        <f aca="false">O21-C21</f>
        <v>11.458</v>
      </c>
      <c r="T21" s="6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customFormat="false" ht="15" hidden="false" customHeight="false" outlineLevel="0" collapsed="false">
      <c r="A22" s="24" t="n">
        <v>10</v>
      </c>
      <c r="B22" s="20" t="s">
        <v>285</v>
      </c>
      <c r="C22" s="152" t="n">
        <v>254.366</v>
      </c>
      <c r="D22" s="21" t="n">
        <v>267.284</v>
      </c>
      <c r="E22" s="21" t="n">
        <v>272.323</v>
      </c>
      <c r="F22" s="21" t="n">
        <v>285.078</v>
      </c>
      <c r="G22" s="21" t="n">
        <v>294.41</v>
      </c>
      <c r="H22" s="21" t="n">
        <v>301.024</v>
      </c>
      <c r="I22" s="21" t="n">
        <v>308.668</v>
      </c>
      <c r="J22" s="21" t="n">
        <v>313.331</v>
      </c>
      <c r="K22" s="21" t="n">
        <v>323.126</v>
      </c>
      <c r="L22" s="21" t="n">
        <v>333.519</v>
      </c>
      <c r="M22" s="21" t="n">
        <v>343.37</v>
      </c>
      <c r="N22" s="21" t="n">
        <v>354.518</v>
      </c>
      <c r="O22" s="21" t="n">
        <v>365.274</v>
      </c>
      <c r="P22" s="18" t="n">
        <f aca="false">O22-C22</f>
        <v>110.908</v>
      </c>
      <c r="T22" s="6" t="n">
        <v>10</v>
      </c>
      <c r="U22" s="25" t="n">
        <f aca="false">D22-C22</f>
        <v>12.918</v>
      </c>
      <c r="V22" s="25" t="n">
        <f aca="false">E22-D22</f>
        <v>5.03899999999999</v>
      </c>
      <c r="W22" s="25" t="n">
        <f aca="false">F22-E22</f>
        <v>12.755</v>
      </c>
      <c r="X22" s="25" t="n">
        <f aca="false">G22-F22</f>
        <v>9.33200000000005</v>
      </c>
      <c r="Y22" s="25" t="n">
        <f aca="false">H22-G22</f>
        <v>6.61399999999998</v>
      </c>
      <c r="Z22" s="25" t="n">
        <f aca="false">I22-H22</f>
        <v>7.64400000000001</v>
      </c>
      <c r="AA22" s="25" t="n">
        <f aca="false">J22-I22</f>
        <v>4.66300000000001</v>
      </c>
      <c r="AB22" s="25" t="n">
        <f aca="false">K22-J22</f>
        <v>9.79499999999996</v>
      </c>
      <c r="AC22" s="25" t="n">
        <f aca="false">L22-K22</f>
        <v>10.393</v>
      </c>
      <c r="AD22" s="25" t="n">
        <f aca="false">M22-L22</f>
        <v>9.851</v>
      </c>
      <c r="AE22" s="25" t="n">
        <f aca="false">N22-M22</f>
        <v>11.148</v>
      </c>
      <c r="AF22" s="25" t="n">
        <f aca="false">O22-N22</f>
        <v>10.756</v>
      </c>
    </row>
    <row r="23" customFormat="false" ht="15" hidden="false" customHeight="false" outlineLevel="0" collapsed="false">
      <c r="A23" s="24"/>
      <c r="B23" s="20" t="s">
        <v>286</v>
      </c>
      <c r="C23" s="152" t="n">
        <v>7.017</v>
      </c>
      <c r="D23" s="21" t="n">
        <v>10.725</v>
      </c>
      <c r="E23" s="21" t="n">
        <v>13.481</v>
      </c>
      <c r="F23" s="21" t="n">
        <v>15.574</v>
      </c>
      <c r="G23" s="21" t="n">
        <v>17.397</v>
      </c>
      <c r="H23" s="21" t="n">
        <v>17.817</v>
      </c>
      <c r="I23" s="21" t="n">
        <v>18.244</v>
      </c>
      <c r="J23" s="21" t="n">
        <v>18.542</v>
      </c>
      <c r="K23" s="21" t="n">
        <v>18.987</v>
      </c>
      <c r="L23" s="21" t="n">
        <v>19.565</v>
      </c>
      <c r="M23" s="21" t="n">
        <v>20.298</v>
      </c>
      <c r="N23" s="21" t="n">
        <v>23.347</v>
      </c>
      <c r="O23" s="21" t="n">
        <v>27.728</v>
      </c>
      <c r="P23" s="27"/>
      <c r="Q23" s="28" t="n">
        <f aca="false">O23-C23</f>
        <v>20.711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customFormat="false" ht="15" hidden="false" customHeight="false" outlineLevel="0" collapsed="false">
      <c r="A24" s="29"/>
      <c r="B24" s="20"/>
      <c r="C24" s="15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8" t="n">
        <f aca="false">SUM(P4:P23)</f>
        <v>785.55</v>
      </c>
      <c r="Q24" s="18" t="n">
        <f aca="false">SUM(Q4:Q23)</f>
        <v>179.685</v>
      </c>
    </row>
    <row r="25" customFormat="false" ht="15" hidden="false" customHeight="false" outlineLevel="0" collapsed="false">
      <c r="A25" s="29" t="s">
        <v>39</v>
      </c>
      <c r="B25" s="20" t="s">
        <v>287</v>
      </c>
      <c r="C25" s="155" t="n">
        <v>47149</v>
      </c>
      <c r="D25" s="30" t="n">
        <v>47344</v>
      </c>
      <c r="E25" s="30" t="n">
        <v>47531</v>
      </c>
      <c r="F25" s="30" t="n">
        <v>47729</v>
      </c>
      <c r="G25" s="30" t="n">
        <v>47918</v>
      </c>
      <c r="H25" s="30" t="n">
        <v>48122</v>
      </c>
      <c r="I25" s="30" t="n">
        <v>48308</v>
      </c>
      <c r="J25" s="30" t="n">
        <v>48503</v>
      </c>
      <c r="K25" s="30" t="n">
        <v>48707</v>
      </c>
      <c r="L25" s="30" t="n">
        <v>48890</v>
      </c>
      <c r="M25" s="30" t="n">
        <v>49163</v>
      </c>
      <c r="N25" s="30" t="n">
        <v>49428</v>
      </c>
      <c r="O25" s="30" t="n">
        <v>49627</v>
      </c>
      <c r="P25" s="18"/>
      <c r="R25" s="33" t="n">
        <f aca="false">O25-C25</f>
        <v>2478</v>
      </c>
    </row>
    <row r="26" customFormat="false" ht="15" hidden="false" customHeight="false" outlineLevel="0" collapsed="false">
      <c r="A26" s="29"/>
      <c r="B26" s="20" t="s">
        <v>288</v>
      </c>
      <c r="C26" s="156" t="n">
        <v>2222.9</v>
      </c>
      <c r="D26" s="35" t="n">
        <v>2305.6</v>
      </c>
      <c r="E26" s="35" t="n">
        <v>2377</v>
      </c>
      <c r="F26" s="35" t="n">
        <v>2453.2</v>
      </c>
      <c r="G26" s="35" t="n">
        <v>2530.3</v>
      </c>
      <c r="H26" s="35" t="n">
        <v>2597.9</v>
      </c>
      <c r="I26" s="35" t="n">
        <v>2669.6</v>
      </c>
      <c r="J26" s="35" t="n">
        <v>2733.2</v>
      </c>
      <c r="K26" s="35" t="n">
        <v>2800.1</v>
      </c>
      <c r="L26" s="35" t="n">
        <v>2871.6</v>
      </c>
      <c r="M26" s="35" t="n">
        <v>2944.1</v>
      </c>
      <c r="N26" s="35" t="n">
        <v>3019.2</v>
      </c>
      <c r="O26" s="35" t="n">
        <v>3095.6</v>
      </c>
      <c r="P26" s="18" t="n">
        <f aca="false">O26-C26</f>
        <v>872.7</v>
      </c>
    </row>
    <row r="27" customFormat="false" ht="15" hidden="false" customHeight="false" outlineLevel="0" collapsed="false">
      <c r="A27" s="83"/>
      <c r="B27" s="139" t="s">
        <v>289</v>
      </c>
      <c r="C27" s="157" t="n">
        <v>358.21</v>
      </c>
      <c r="D27" s="36" t="n">
        <v>396.9</v>
      </c>
      <c r="E27" s="36" t="n">
        <v>423.34</v>
      </c>
      <c r="F27" s="36" t="n">
        <v>444.08</v>
      </c>
      <c r="G27" s="36" t="n">
        <v>460.43</v>
      </c>
      <c r="H27" s="36" t="n">
        <v>463.3</v>
      </c>
      <c r="I27" s="36" t="n">
        <v>465.51</v>
      </c>
      <c r="J27" s="36" t="n">
        <v>467.31</v>
      </c>
      <c r="K27" s="37" t="n">
        <v>469.15</v>
      </c>
      <c r="L27" s="36" t="n">
        <v>472.67</v>
      </c>
      <c r="M27" s="36" t="n">
        <v>480.63</v>
      </c>
      <c r="N27" s="36" t="n">
        <v>504.86</v>
      </c>
      <c r="O27" s="36" t="n">
        <v>541.01</v>
      </c>
      <c r="P27" s="18"/>
      <c r="Q27" s="18" t="n">
        <f aca="false">O27-C27</f>
        <v>182.8</v>
      </c>
      <c r="R27" s="0" t="s">
        <v>17</v>
      </c>
    </row>
    <row r="28" customFormat="false" ht="15.75" hidden="false" customHeight="false" outlineLevel="0" collapsed="false">
      <c r="A28" s="11"/>
      <c r="B28" s="84" t="s">
        <v>43</v>
      </c>
      <c r="C28" s="158" t="n">
        <v>3022</v>
      </c>
      <c r="D28" s="39" t="n">
        <v>3295</v>
      </c>
      <c r="E28" s="39" t="n">
        <v>3472</v>
      </c>
      <c r="F28" s="39" t="n">
        <v>3609</v>
      </c>
      <c r="G28" s="39" t="n">
        <v>3717</v>
      </c>
      <c r="H28" s="39" t="n">
        <v>3743</v>
      </c>
      <c r="I28" s="39" t="n">
        <v>3764</v>
      </c>
      <c r="J28" s="39" t="n">
        <v>3784</v>
      </c>
      <c r="K28" s="140" t="n">
        <v>3805</v>
      </c>
      <c r="L28" s="39" t="n">
        <v>3837</v>
      </c>
      <c r="M28" s="39" t="n">
        <v>3906</v>
      </c>
      <c r="N28" s="39" t="n">
        <v>4072</v>
      </c>
      <c r="O28" s="39" t="n">
        <v>4324</v>
      </c>
      <c r="P28" s="18"/>
      <c r="Q28" s="33" t="n">
        <f aca="false">O28-C28</f>
        <v>1302</v>
      </c>
      <c r="R28" s="0" t="s">
        <v>16</v>
      </c>
    </row>
    <row r="29" customFormat="false" ht="15.75" hidden="false" customHeight="false" outlineLevel="0" collapsed="false">
      <c r="A29" s="141" t="str">
        <f aca="false">'1854'!A29</f>
        <v>Fakturační vodoměr:      42012114941</v>
      </c>
      <c r="B29" s="41"/>
      <c r="C29" s="42" t="n">
        <f aca="false">'1854'!C29</f>
        <v>4605</v>
      </c>
      <c r="D29" s="42" t="n">
        <f aca="false">'1854'!D29</f>
        <v>4905.6</v>
      </c>
      <c r="E29" s="42" t="n">
        <f aca="false">'1854'!E29</f>
        <v>5169.8</v>
      </c>
      <c r="F29" s="42" t="n">
        <f aca="false">'1854'!F29</f>
        <v>5453.5</v>
      </c>
      <c r="G29" s="42" t="n">
        <f aca="false">'1854'!G29</f>
        <v>5740.1</v>
      </c>
      <c r="H29" s="42" t="n">
        <f aca="false">'1854'!H29</f>
        <v>6002.3</v>
      </c>
      <c r="I29" s="42" t="n">
        <f aca="false">'1854'!I29</f>
        <v>6257.5</v>
      </c>
      <c r="J29" s="42" t="n">
        <f aca="false">'1854'!J29</f>
        <v>6498.9</v>
      </c>
      <c r="K29" s="42" t="n">
        <f aca="false">'1854'!K29</f>
        <v>6755.3</v>
      </c>
      <c r="L29" s="42" t="n">
        <f aca="false">'1854'!L29</f>
        <v>7009</v>
      </c>
      <c r="M29" s="42" t="n">
        <f aca="false">'1854'!M29</f>
        <v>7290.8</v>
      </c>
      <c r="N29" s="42" t="n">
        <f aca="false">'1854'!N29</f>
        <v>7559.6</v>
      </c>
      <c r="O29" s="42" t="n">
        <f aca="false">'1854'!O29</f>
        <v>7844.6</v>
      </c>
      <c r="P29" s="18" t="n">
        <f aca="false">O29--C29</f>
        <v>12449.6</v>
      </c>
    </row>
    <row r="31" customFormat="false" ht="15" hidden="false" customHeight="false" outlineLevel="0" collapsed="false">
      <c r="C31" s="44"/>
      <c r="D31" s="93" t="s">
        <v>152</v>
      </c>
      <c r="E31" s="44"/>
      <c r="F31" s="94"/>
      <c r="G31" s="44"/>
    </row>
    <row r="32" customFormat="false" ht="15" hidden="false" customHeight="false" outlineLevel="0" collapsed="false">
      <c r="C32" s="96" t="n">
        <v>4</v>
      </c>
      <c r="D32" s="97" t="n">
        <v>43950</v>
      </c>
      <c r="E32" s="88" t="s">
        <v>48</v>
      </c>
      <c r="F32" s="114"/>
      <c r="G32" s="114"/>
      <c r="K32" s="0" t="s">
        <v>216</v>
      </c>
      <c r="N32" s="6" t="s">
        <v>16</v>
      </c>
    </row>
    <row r="33" customFormat="false" ht="15" hidden="false" customHeight="false" outlineLevel="0" collapsed="false">
      <c r="C33" s="96"/>
      <c r="D33" s="97"/>
      <c r="E33" s="88" t="s">
        <v>53</v>
      </c>
      <c r="F33" s="114"/>
      <c r="G33" s="114"/>
      <c r="K33" s="145" t="n">
        <v>44095</v>
      </c>
      <c r="L33" s="98" t="s">
        <v>48</v>
      </c>
      <c r="M33" s="98"/>
      <c r="N33" s="98"/>
    </row>
    <row r="34" customFormat="false" ht="15" hidden="false" customHeight="false" outlineLevel="0" collapsed="false">
      <c r="L34" s="6"/>
      <c r="M34" s="148" t="s">
        <v>218</v>
      </c>
      <c r="N34" s="150" t="s">
        <v>16</v>
      </c>
    </row>
    <row r="35" customFormat="false" ht="15" hidden="false" customHeight="false" outlineLevel="0" collapsed="false">
      <c r="E35" s="0" t="s">
        <v>215</v>
      </c>
      <c r="H35" s="142" t="s">
        <v>51</v>
      </c>
      <c r="I35" s="6" t="s">
        <v>16</v>
      </c>
      <c r="K35" s="145" t="n">
        <v>44095</v>
      </c>
      <c r="L35" s="98" t="s">
        <v>53</v>
      </c>
      <c r="M35" s="98"/>
      <c r="N35" s="98"/>
    </row>
    <row r="36" customFormat="false" ht="15" hidden="false" customHeight="false" outlineLevel="0" collapsed="false">
      <c r="D36" s="0" t="s">
        <v>217</v>
      </c>
      <c r="E36" s="97" t="n">
        <v>43984</v>
      </c>
      <c r="F36" s="88" t="s">
        <v>48</v>
      </c>
      <c r="G36" s="98"/>
      <c r="H36" s="143"/>
      <c r="I36" s="144"/>
    </row>
    <row r="37" customFormat="false" ht="15" hidden="false" customHeight="false" outlineLevel="0" collapsed="false">
      <c r="E37" s="146"/>
      <c r="F37" s="147"/>
      <c r="G37" s="148" t="s">
        <v>218</v>
      </c>
      <c r="H37" s="149" t="s">
        <v>17</v>
      </c>
      <c r="I37" s="150" t="s">
        <v>16</v>
      </c>
    </row>
    <row r="38" customFormat="false" ht="15" hidden="false" customHeight="false" outlineLevel="0" collapsed="false">
      <c r="D38" s="0" t="s">
        <v>219</v>
      </c>
      <c r="E38" s="97" t="n">
        <v>43986</v>
      </c>
      <c r="F38" s="88" t="s">
        <v>53</v>
      </c>
      <c r="G38" s="98"/>
      <c r="H38" s="143"/>
      <c r="I38" s="144"/>
    </row>
  </sheetData>
  <mergeCells count="12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C32:C33"/>
    <mergeCell ref="D32:D33"/>
  </mergeCells>
  <conditionalFormatting sqref="H4">
    <cfRule type="cellIs" priority="2" operator="lessThan" aboveAverage="0" equalAverage="0" bottom="0" percent="0" rank="0" text="" dxfId="4247">
      <formula>'1857'!$G$4</formula>
    </cfRule>
    <cfRule type="cellIs" priority="3" operator="equal" aboveAverage="0" equalAverage="0" bottom="0" percent="0" rank="0" text="" dxfId="4248">
      <formula>'1857'!$G$4</formula>
    </cfRule>
  </conditionalFormatting>
  <conditionalFormatting sqref="G7">
    <cfRule type="cellIs" priority="4" operator="equal" aboveAverage="0" equalAverage="0" bottom="0" percent="0" rank="0" text="" dxfId="4249">
      <formula>'1857'!$F$7</formula>
    </cfRule>
    <cfRule type="cellIs" priority="5" operator="lessThan" aboveAverage="0" equalAverage="0" bottom="0" percent="0" rank="0" text="" dxfId="4250">
      <formula>'1857'!$F$7</formula>
    </cfRule>
  </conditionalFormatting>
  <conditionalFormatting sqref="H5">
    <cfRule type="cellIs" priority="6" operator="equal" aboveAverage="0" equalAverage="0" bottom="0" percent="0" rank="0" text="" dxfId="4251">
      <formula>'1857'!$G$5</formula>
    </cfRule>
    <cfRule type="cellIs" priority="7" operator="lessThan" aboveAverage="0" equalAverage="0" bottom="0" percent="0" rank="0" text="" dxfId="4252">
      <formula>'1857'!$G$5</formula>
    </cfRule>
  </conditionalFormatting>
  <conditionalFormatting sqref="I5">
    <cfRule type="cellIs" priority="8" operator="equal" aboveAverage="0" equalAverage="0" bottom="0" percent="0" rank="0" text="" dxfId="4253">
      <formula>'1857'!$H$5</formula>
    </cfRule>
    <cfRule type="cellIs" priority="9" operator="lessThan" aboveAverage="0" equalAverage="0" bottom="0" percent="0" rank="0" text="" dxfId="4254">
      <formula>'1857'!$H$5</formula>
    </cfRule>
  </conditionalFormatting>
  <conditionalFormatting sqref="J5">
    <cfRule type="cellIs" priority="10" operator="equal" aboveAverage="0" equalAverage="0" bottom="0" percent="0" rank="0" text="" dxfId="4255">
      <formula>'1857'!$I$5</formula>
    </cfRule>
    <cfRule type="cellIs" priority="11" operator="lessThan" aboveAverage="0" equalAverage="0" bottom="0" percent="0" rank="0" text="" dxfId="4256">
      <formula>'1857'!$I$5</formula>
    </cfRule>
  </conditionalFormatting>
  <conditionalFormatting sqref="F4">
    <cfRule type="cellIs" priority="12" operator="equal" aboveAverage="0" equalAverage="0" bottom="0" percent="0" rank="0" text="" dxfId="4257">
      <formula>'1857'!$E$4</formula>
    </cfRule>
    <cfRule type="cellIs" priority="13" operator="lessThan" aboveAverage="0" equalAverage="0" bottom="0" percent="0" rank="0" text="" dxfId="4258">
      <formula>'1857'!$E$4</formula>
    </cfRule>
  </conditionalFormatting>
  <conditionalFormatting sqref="D4">
    <cfRule type="cellIs" priority="14" operator="lessThan" aboveAverage="0" equalAverage="0" bottom="0" percent="0" rank="0" text="" dxfId="4259">
      <formula>'1857'!$C$4</formula>
    </cfRule>
    <cfRule type="cellIs" priority="15" operator="equal" aboveAverage="0" equalAverage="0" bottom="0" percent="0" rank="0" text="" dxfId="4260">
      <formula>'1857'!$C$4</formula>
    </cfRule>
  </conditionalFormatting>
  <conditionalFormatting sqref="E4">
    <cfRule type="cellIs" priority="16" operator="equal" aboveAverage="0" equalAverage="0" bottom="0" percent="0" rank="0" text="" dxfId="4261">
      <formula>'1857'!$D$4</formula>
    </cfRule>
    <cfRule type="cellIs" priority="17" operator="lessThan" aboveAverage="0" equalAverage="0" bottom="0" percent="0" rank="0" text="" dxfId="4262">
      <formula>'1857'!$D$4</formula>
    </cfRule>
  </conditionalFormatting>
  <conditionalFormatting sqref="D5">
    <cfRule type="cellIs" priority="18" operator="equal" aboveAverage="0" equalAverage="0" bottom="0" percent="0" rank="0" text="" dxfId="4263">
      <formula>'1857'!$C$5</formula>
    </cfRule>
    <cfRule type="cellIs" priority="19" operator="lessThan" aboveAverage="0" equalAverage="0" bottom="0" percent="0" rank="0" text="" dxfId="4264">
      <formula>'1857'!$C$5</formula>
    </cfRule>
  </conditionalFormatting>
  <conditionalFormatting sqref="F5">
    <cfRule type="cellIs" priority="20" operator="equal" aboveAverage="0" equalAverage="0" bottom="0" percent="0" rank="0" text="" dxfId="4265">
      <formula>'1857'!$E$5</formula>
    </cfRule>
    <cfRule type="cellIs" priority="21" operator="lessThan" aboveAverage="0" equalAverage="0" bottom="0" percent="0" rank="0" text="" dxfId="4266">
      <formula>'1857'!$E$5</formula>
    </cfRule>
  </conditionalFormatting>
  <conditionalFormatting sqref="I4">
    <cfRule type="cellIs" priority="22" operator="equal" aboveAverage="0" equalAverage="0" bottom="0" percent="0" rank="0" text="" dxfId="4267">
      <formula>'1857'!$H$4</formula>
    </cfRule>
  </conditionalFormatting>
  <conditionalFormatting sqref="J4">
    <cfRule type="cellIs" priority="23" operator="lessThan" aboveAverage="0" equalAverage="0" bottom="0" percent="0" rank="0" text="" dxfId="4268">
      <formula>'1857'!$I$4</formula>
    </cfRule>
    <cfRule type="cellIs" priority="24" operator="equal" aboveAverage="0" equalAverage="0" bottom="0" percent="0" rank="0" text="" dxfId="4269">
      <formula>'1857'!$I$4</formula>
    </cfRule>
  </conditionalFormatting>
  <conditionalFormatting sqref="D6">
    <cfRule type="cellIs" priority="25" operator="equal" aboveAverage="0" equalAverage="0" bottom="0" percent="0" rank="0" text="" dxfId="4270">
      <formula>'1857'!$C$6</formula>
    </cfRule>
    <cfRule type="cellIs" priority="26" operator="lessThan" aboveAverage="0" equalAverage="0" bottom="0" percent="0" rank="0" text="" dxfId="4271">
      <formula>'1857'!$C$6</formula>
    </cfRule>
  </conditionalFormatting>
  <conditionalFormatting sqref="E6">
    <cfRule type="cellIs" priority="27" operator="equal" aboveAverage="0" equalAverage="0" bottom="0" percent="0" rank="0" text="" dxfId="4272">
      <formula>'1857'!$D$6</formula>
    </cfRule>
    <cfRule type="cellIs" priority="28" operator="lessThan" aboveAverage="0" equalAverage="0" bottom="0" percent="0" rank="0" text="" dxfId="4273">
      <formula>'1857'!$D$6</formula>
    </cfRule>
  </conditionalFormatting>
  <conditionalFormatting sqref="F6">
    <cfRule type="cellIs" priority="29" operator="equal" aboveAverage="0" equalAverage="0" bottom="0" percent="0" rank="0" text="" dxfId="4274">
      <formula>'1857'!$E$6</formula>
    </cfRule>
    <cfRule type="cellIs" priority="30" operator="lessThan" aboveAverage="0" equalAverage="0" bottom="0" percent="0" rank="0" text="" dxfId="4275">
      <formula>'1857'!$E$6</formula>
    </cfRule>
  </conditionalFormatting>
  <conditionalFormatting sqref="G6">
    <cfRule type="cellIs" priority="31" operator="equal" aboveAverage="0" equalAverage="0" bottom="0" percent="0" rank="0" text="" dxfId="4276">
      <formula>'1857'!$F$6</formula>
    </cfRule>
    <cfRule type="cellIs" priority="32" operator="lessThan" aboveAverage="0" equalAverage="0" bottom="0" percent="0" rank="0" text="" dxfId="4277">
      <formula>'1857'!$F$6</formula>
    </cfRule>
  </conditionalFormatting>
  <conditionalFormatting sqref="H6">
    <cfRule type="cellIs" priority="33" operator="equal" aboveAverage="0" equalAverage="0" bottom="0" percent="0" rank="0" text="" dxfId="4278">
      <formula>'1857'!$G$6</formula>
    </cfRule>
    <cfRule type="cellIs" priority="34" operator="lessThan" aboveAverage="0" equalAverage="0" bottom="0" percent="0" rank="0" text="" dxfId="4279">
      <formula>'1857'!$G$6</formula>
    </cfRule>
  </conditionalFormatting>
  <conditionalFormatting sqref="I6">
    <cfRule type="cellIs" priority="35" operator="equal" aboveAverage="0" equalAverage="0" bottom="0" percent="0" rank="0" text="" dxfId="4280">
      <formula>'1857'!$H$6</formula>
    </cfRule>
    <cfRule type="cellIs" priority="36" operator="lessThan" aboveAverage="0" equalAverage="0" bottom="0" percent="0" rank="0" text="" dxfId="4281">
      <formula>'1857'!$H$6</formula>
    </cfRule>
  </conditionalFormatting>
  <conditionalFormatting sqref="J6">
    <cfRule type="cellIs" priority="37" operator="equal" aboveAverage="0" equalAverage="0" bottom="0" percent="0" rank="0" text="" dxfId="4282">
      <formula>'1857'!$I$6</formula>
    </cfRule>
    <cfRule type="cellIs" priority="38" operator="lessThan" aboveAverage="0" equalAverage="0" bottom="0" percent="0" rank="0" text="" dxfId="4283">
      <formula>'1857'!$I$6</formula>
    </cfRule>
  </conditionalFormatting>
  <conditionalFormatting sqref="D7">
    <cfRule type="cellIs" priority="39" operator="equal" aboveAverage="0" equalAverage="0" bottom="0" percent="0" rank="0" text="" dxfId="4284">
      <formula>'1857'!$C$7</formula>
    </cfRule>
    <cfRule type="cellIs" priority="40" operator="lessThan" aboveAverage="0" equalAverage="0" bottom="0" percent="0" rank="0" text="" dxfId="4285">
      <formula>'1857'!$C$7</formula>
    </cfRule>
  </conditionalFormatting>
  <conditionalFormatting sqref="E7">
    <cfRule type="cellIs" priority="41" operator="equal" aboveAverage="0" equalAverage="0" bottom="0" percent="0" rank="0" text="" dxfId="4286">
      <formula>'1857'!$D$7</formula>
    </cfRule>
    <cfRule type="cellIs" priority="42" operator="lessThan" aboveAverage="0" equalAverage="0" bottom="0" percent="0" rank="0" text="" dxfId="4287">
      <formula>'1857'!$D$7</formula>
    </cfRule>
  </conditionalFormatting>
  <conditionalFormatting sqref="F7">
    <cfRule type="cellIs" priority="43" operator="equal" aboveAverage="0" equalAverage="0" bottom="0" percent="0" rank="0" text="" dxfId="4288">
      <formula>'1857'!$E$7</formula>
    </cfRule>
    <cfRule type="cellIs" priority="44" operator="lessThan" aboveAverage="0" equalAverage="0" bottom="0" percent="0" rank="0" text="" dxfId="4289">
      <formula>'1857'!$E$7</formula>
    </cfRule>
  </conditionalFormatting>
  <conditionalFormatting sqref="H7">
    <cfRule type="cellIs" priority="45" operator="equal" aboveAverage="0" equalAverage="0" bottom="0" percent="0" rank="0" text="" dxfId="4290">
      <formula>'1857'!$G$7</formula>
    </cfRule>
    <cfRule type="cellIs" priority="46" operator="lessThan" aboveAverage="0" equalAverage="0" bottom="0" percent="0" rank="0" text="" dxfId="4291">
      <formula>'1857'!$G$7</formula>
    </cfRule>
  </conditionalFormatting>
  <conditionalFormatting sqref="I7">
    <cfRule type="cellIs" priority="47" operator="equal" aboveAverage="0" equalAverage="0" bottom="0" percent="0" rank="0" text="" dxfId="4292">
      <formula>'1857'!$H$7</formula>
    </cfRule>
    <cfRule type="cellIs" priority="48" operator="lessThan" aboveAverage="0" equalAverage="0" bottom="0" percent="0" rank="0" text="" dxfId="4293">
      <formula>'1857'!$H$7</formula>
    </cfRule>
  </conditionalFormatting>
  <conditionalFormatting sqref="J7">
    <cfRule type="cellIs" priority="49" operator="equal" aboveAverage="0" equalAverage="0" bottom="0" percent="0" rank="0" text="" dxfId="4294">
      <formula>'1857'!$I$7</formula>
    </cfRule>
    <cfRule type="cellIs" priority="50" operator="lessThan" aboveAverage="0" equalAverage="0" bottom="0" percent="0" rank="0" text="" dxfId="4295">
      <formula>'1857'!$I$7</formula>
    </cfRule>
  </conditionalFormatting>
  <conditionalFormatting sqref="D8">
    <cfRule type="cellIs" priority="51" operator="equal" aboveAverage="0" equalAverage="0" bottom="0" percent="0" rank="0" text="" dxfId="4296">
      <formula>'1857'!$C$8</formula>
    </cfRule>
    <cfRule type="cellIs" priority="52" operator="lessThan" aboveAverage="0" equalAverage="0" bottom="0" percent="0" rank="0" text="" dxfId="4297">
      <formula>'1857'!$C$8</formula>
    </cfRule>
  </conditionalFormatting>
  <conditionalFormatting sqref="E8">
    <cfRule type="cellIs" priority="53" operator="equal" aboveAverage="0" equalAverage="0" bottom="0" percent="0" rank="0" text="" dxfId="4298">
      <formula>'1857'!$D$8</formula>
    </cfRule>
    <cfRule type="cellIs" priority="54" operator="lessThan" aboveAverage="0" equalAverage="0" bottom="0" percent="0" rank="0" text="" dxfId="4299">
      <formula>'1857'!$D$8</formula>
    </cfRule>
  </conditionalFormatting>
  <conditionalFormatting sqref="F8">
    <cfRule type="cellIs" priority="55" operator="equal" aboveAverage="0" equalAverage="0" bottom="0" percent="0" rank="0" text="" dxfId="4300">
      <formula>'1857'!$E$8</formula>
    </cfRule>
    <cfRule type="cellIs" priority="56" operator="lessThan" aboveAverage="0" equalAverage="0" bottom="0" percent="0" rank="0" text="" dxfId="4301">
      <formula>'1857'!$E$8</formula>
    </cfRule>
  </conditionalFormatting>
  <conditionalFormatting sqref="G8">
    <cfRule type="cellIs" priority="57" operator="equal" aboveAverage="0" equalAverage="0" bottom="0" percent="0" rank="0" text="" dxfId="4302">
      <formula>'1857'!$F$8</formula>
    </cfRule>
    <cfRule type="cellIs" priority="58" operator="lessThan" aboveAverage="0" equalAverage="0" bottom="0" percent="0" rank="0" text="" dxfId="4303">
      <formula>'1857'!$F$8</formula>
    </cfRule>
  </conditionalFormatting>
  <conditionalFormatting sqref="H8">
    <cfRule type="cellIs" priority="59" operator="equal" aboveAverage="0" equalAverage="0" bottom="0" percent="0" rank="0" text="" dxfId="4304">
      <formula>'1857'!$G$8</formula>
    </cfRule>
    <cfRule type="cellIs" priority="60" operator="lessThan" aboveAverage="0" equalAverage="0" bottom="0" percent="0" rank="0" text="" dxfId="4305">
      <formula>'1857'!$G$8</formula>
    </cfRule>
  </conditionalFormatting>
  <conditionalFormatting sqref="I8">
    <cfRule type="cellIs" priority="61" operator="equal" aboveAverage="0" equalAverage="0" bottom="0" percent="0" rank="0" text="" dxfId="4306">
      <formula>'1857'!$H$8</formula>
    </cfRule>
    <cfRule type="cellIs" priority="62" operator="lessThan" aboveAverage="0" equalAverage="0" bottom="0" percent="0" rank="0" text="" dxfId="4307">
      <formula>'1857'!$H$8</formula>
    </cfRule>
  </conditionalFormatting>
  <conditionalFormatting sqref="J8">
    <cfRule type="cellIs" priority="63" operator="equal" aboveAverage="0" equalAverage="0" bottom="0" percent="0" rank="0" text="" dxfId="4308">
      <formula>'1857'!$I$8</formula>
    </cfRule>
    <cfRule type="cellIs" priority="64" operator="lessThan" aboveAverage="0" equalAverage="0" bottom="0" percent="0" rank="0" text="" dxfId="4309">
      <formula>'1857'!$I$8</formula>
    </cfRule>
  </conditionalFormatting>
  <conditionalFormatting sqref="D9">
    <cfRule type="cellIs" priority="65" operator="equal" aboveAverage="0" equalAverage="0" bottom="0" percent="0" rank="0" text="" dxfId="4310">
      <formula>'1857'!$C$9</formula>
    </cfRule>
    <cfRule type="cellIs" priority="66" operator="lessThan" aboveAverage="0" equalAverage="0" bottom="0" percent="0" rank="0" text="" dxfId="4311">
      <formula>'1857'!$C$9</formula>
    </cfRule>
  </conditionalFormatting>
  <conditionalFormatting sqref="E9">
    <cfRule type="cellIs" priority="67" operator="equal" aboveAverage="0" equalAverage="0" bottom="0" percent="0" rank="0" text="" dxfId="4312">
      <formula>'1857'!$D$9</formula>
    </cfRule>
    <cfRule type="cellIs" priority="68" operator="lessThan" aboveAverage="0" equalAverage="0" bottom="0" percent="0" rank="0" text="" dxfId="4313">
      <formula>'1857'!$D$9</formula>
    </cfRule>
  </conditionalFormatting>
  <conditionalFormatting sqref="F9">
    <cfRule type="cellIs" priority="69" operator="equal" aboveAverage="0" equalAverage="0" bottom="0" percent="0" rank="0" text="" dxfId="4314">
      <formula>'1857'!$E$9</formula>
    </cfRule>
    <cfRule type="cellIs" priority="70" operator="lessThan" aboveAverage="0" equalAverage="0" bottom="0" percent="0" rank="0" text="" dxfId="4315">
      <formula>'1857'!$E$9</formula>
    </cfRule>
  </conditionalFormatting>
  <conditionalFormatting sqref="G9">
    <cfRule type="cellIs" priority="71" operator="equal" aboveAverage="0" equalAverage="0" bottom="0" percent="0" rank="0" text="" dxfId="4316">
      <formula>'1857'!$F$9</formula>
    </cfRule>
    <cfRule type="cellIs" priority="72" operator="lessThan" aboveAverage="0" equalAverage="0" bottom="0" percent="0" rank="0" text="" dxfId="4317">
      <formula>'1857'!$F$9</formula>
    </cfRule>
  </conditionalFormatting>
  <conditionalFormatting sqref="H9">
    <cfRule type="cellIs" priority="73" operator="equal" aboveAverage="0" equalAverage="0" bottom="0" percent="0" rank="0" text="" dxfId="4318">
      <formula>'1857'!$G$9</formula>
    </cfRule>
    <cfRule type="cellIs" priority="74" operator="lessThan" aboveAverage="0" equalAverage="0" bottom="0" percent="0" rank="0" text="" dxfId="4319">
      <formula>'1857'!$G$9</formula>
    </cfRule>
  </conditionalFormatting>
  <conditionalFormatting sqref="I9">
    <cfRule type="cellIs" priority="75" operator="equal" aboveAverage="0" equalAverage="0" bottom="0" percent="0" rank="0" text="" dxfId="4320">
      <formula>'1857'!$H$9</formula>
    </cfRule>
    <cfRule type="cellIs" priority="76" operator="lessThan" aboveAverage="0" equalAverage="0" bottom="0" percent="0" rank="0" text="" dxfId="4321">
      <formula>'1857'!$H$9</formula>
    </cfRule>
  </conditionalFormatting>
  <conditionalFormatting sqref="J9">
    <cfRule type="cellIs" priority="77" operator="equal" aboveAverage="0" equalAverage="0" bottom="0" percent="0" rank="0" text="" dxfId="4322">
      <formula>'1857'!$I$9</formula>
    </cfRule>
    <cfRule type="cellIs" priority="78" operator="lessThan" aboveAverage="0" equalAverage="0" bottom="0" percent="0" rank="0" text="" dxfId="4323">
      <formula>'1857'!$I$9</formula>
    </cfRule>
  </conditionalFormatting>
  <conditionalFormatting sqref="D10">
    <cfRule type="cellIs" priority="79" operator="equal" aboveAverage="0" equalAverage="0" bottom="0" percent="0" rank="0" text="" dxfId="4324">
      <formula>'1857'!$C$10</formula>
    </cfRule>
    <cfRule type="cellIs" priority="80" operator="lessThan" aboveAverage="0" equalAverage="0" bottom="0" percent="0" rank="0" text="" dxfId="4325">
      <formula>'1857'!$C$10</formula>
    </cfRule>
  </conditionalFormatting>
  <conditionalFormatting sqref="E10">
    <cfRule type="cellIs" priority="81" operator="equal" aboveAverage="0" equalAverage="0" bottom="0" percent="0" rank="0" text="" dxfId="4326">
      <formula>'1857'!$D$10</formula>
    </cfRule>
    <cfRule type="cellIs" priority="82" operator="lessThan" aboveAverage="0" equalAverage="0" bottom="0" percent="0" rank="0" text="" dxfId="4327">
      <formula>'1857'!$D$10</formula>
    </cfRule>
  </conditionalFormatting>
  <conditionalFormatting sqref="F10">
    <cfRule type="cellIs" priority="83" operator="equal" aboveAverage="0" equalAverage="0" bottom="0" percent="0" rank="0" text="" dxfId="4328">
      <formula>'1857'!$E$10</formula>
    </cfRule>
    <cfRule type="cellIs" priority="84" operator="lessThan" aboveAverage="0" equalAverage="0" bottom="0" percent="0" rank="0" text="" dxfId="4329">
      <formula>'1857'!$E$10</formula>
    </cfRule>
  </conditionalFormatting>
  <conditionalFormatting sqref="G10">
    <cfRule type="cellIs" priority="85" operator="equal" aboveAverage="0" equalAverage="0" bottom="0" percent="0" rank="0" text="" dxfId="4330">
      <formula>'1857'!$F$10</formula>
    </cfRule>
    <cfRule type="cellIs" priority="86" operator="lessThan" aboveAverage="0" equalAverage="0" bottom="0" percent="0" rank="0" text="" dxfId="4331">
      <formula>'1857'!$F$10</formula>
    </cfRule>
  </conditionalFormatting>
  <conditionalFormatting sqref="H10">
    <cfRule type="cellIs" priority="87" operator="equal" aboveAverage="0" equalAverage="0" bottom="0" percent="0" rank="0" text="" dxfId="4332">
      <formula>'1857'!$G$10</formula>
    </cfRule>
    <cfRule type="cellIs" priority="88" operator="lessThan" aboveAverage="0" equalAverage="0" bottom="0" percent="0" rank="0" text="" dxfId="4333">
      <formula>'1857'!$G$10</formula>
    </cfRule>
  </conditionalFormatting>
  <conditionalFormatting sqref="I10">
    <cfRule type="cellIs" priority="89" operator="equal" aboveAverage="0" equalAverage="0" bottom="0" percent="0" rank="0" text="" dxfId="4334">
      <formula>'1857'!$H$10</formula>
    </cfRule>
    <cfRule type="cellIs" priority="90" operator="lessThan" aboveAverage="0" equalAverage="0" bottom="0" percent="0" rank="0" text="" dxfId="4335">
      <formula>'1857'!$H$10</formula>
    </cfRule>
  </conditionalFormatting>
  <conditionalFormatting sqref="J10">
    <cfRule type="cellIs" priority="91" operator="equal" aboveAverage="0" equalAverage="0" bottom="0" percent="0" rank="0" text="" dxfId="4336">
      <formula>'1857'!$I$10</formula>
    </cfRule>
    <cfRule type="cellIs" priority="92" operator="lessThan" aboveAverage="0" equalAverage="0" bottom="0" percent="0" rank="0" text="" dxfId="4337">
      <formula>'1857'!$I$10</formula>
    </cfRule>
  </conditionalFormatting>
  <conditionalFormatting sqref="D11">
    <cfRule type="cellIs" priority="93" operator="equal" aboveAverage="0" equalAverage="0" bottom="0" percent="0" rank="0" text="" dxfId="4338">
      <formula>'1857'!$C$11</formula>
    </cfRule>
    <cfRule type="cellIs" priority="94" operator="lessThan" aboveAverage="0" equalAverage="0" bottom="0" percent="0" rank="0" text="" dxfId="4339">
      <formula>'1857'!$C$11</formula>
    </cfRule>
  </conditionalFormatting>
  <conditionalFormatting sqref="E11">
    <cfRule type="cellIs" priority="95" operator="equal" aboveAverage="0" equalAverage="0" bottom="0" percent="0" rank="0" text="" dxfId="4340">
      <formula>'1857'!$D$11</formula>
    </cfRule>
    <cfRule type="cellIs" priority="96" operator="lessThan" aboveAverage="0" equalAverage="0" bottom="0" percent="0" rank="0" text="" dxfId="4341">
      <formula>'1857'!$D$11</formula>
    </cfRule>
  </conditionalFormatting>
  <conditionalFormatting sqref="F11">
    <cfRule type="cellIs" priority="97" operator="equal" aboveAverage="0" equalAverage="0" bottom="0" percent="0" rank="0" text="" dxfId="4342">
      <formula>'1857'!$E$11</formula>
    </cfRule>
    <cfRule type="cellIs" priority="98" operator="lessThan" aboveAverage="0" equalAverage="0" bottom="0" percent="0" rank="0" text="" dxfId="4343">
      <formula>'1857'!$E$11</formula>
    </cfRule>
  </conditionalFormatting>
  <conditionalFormatting sqref="G11">
    <cfRule type="cellIs" priority="99" operator="equal" aboveAverage="0" equalAverage="0" bottom="0" percent="0" rank="0" text="" dxfId="4344">
      <formula>'1857'!$F$11</formula>
    </cfRule>
    <cfRule type="cellIs" priority="100" operator="lessThan" aboveAverage="0" equalAverage="0" bottom="0" percent="0" rank="0" text="" dxfId="4345">
      <formula>'1857'!$F$11</formula>
    </cfRule>
  </conditionalFormatting>
  <conditionalFormatting sqref="H11">
    <cfRule type="cellIs" priority="101" operator="equal" aboveAverage="0" equalAverage="0" bottom="0" percent="0" rank="0" text="" dxfId="4346">
      <formula>'1857'!$G$11</formula>
    </cfRule>
    <cfRule type="cellIs" priority="102" operator="lessThan" aboveAverage="0" equalAverage="0" bottom="0" percent="0" rank="0" text="" dxfId="4347">
      <formula>'1857'!$G$11</formula>
    </cfRule>
  </conditionalFormatting>
  <conditionalFormatting sqref="I11">
    <cfRule type="cellIs" priority="103" operator="equal" aboveAverage="0" equalAverage="0" bottom="0" percent="0" rank="0" text="" dxfId="4348">
      <formula>'1857'!$H$11</formula>
    </cfRule>
    <cfRule type="cellIs" priority="104" operator="lessThan" aboveAverage="0" equalAverage="0" bottom="0" percent="0" rank="0" text="" dxfId="4349">
      <formula>'1857'!$H$11</formula>
    </cfRule>
  </conditionalFormatting>
  <conditionalFormatting sqref="J11">
    <cfRule type="cellIs" priority="105" operator="equal" aboveAverage="0" equalAverage="0" bottom="0" percent="0" rank="0" text="" dxfId="4350">
      <formula>'1857'!$I$11</formula>
    </cfRule>
    <cfRule type="cellIs" priority="106" operator="lessThan" aboveAverage="0" equalAverage="0" bottom="0" percent="0" rank="0" text="" dxfId="4351">
      <formula>'1857'!$I$11</formula>
    </cfRule>
  </conditionalFormatting>
  <conditionalFormatting sqref="D12">
    <cfRule type="cellIs" priority="107" operator="equal" aboveAverage="0" equalAverage="0" bottom="0" percent="0" rank="0" text="" dxfId="4352">
      <formula>'1857'!$C$12</formula>
    </cfRule>
    <cfRule type="cellIs" priority="108" operator="lessThan" aboveAverage="0" equalAverage="0" bottom="0" percent="0" rank="0" text="" dxfId="4353">
      <formula>'1857'!$C$12</formula>
    </cfRule>
  </conditionalFormatting>
  <conditionalFormatting sqref="E12">
    <cfRule type="cellIs" priority="109" operator="equal" aboveAverage="0" equalAverage="0" bottom="0" percent="0" rank="0" text="" dxfId="4354">
      <formula>'1857'!$D$12</formula>
    </cfRule>
    <cfRule type="cellIs" priority="110" operator="lessThan" aboveAverage="0" equalAverage="0" bottom="0" percent="0" rank="0" text="" dxfId="4355">
      <formula>'1857'!$D$12</formula>
    </cfRule>
  </conditionalFormatting>
  <conditionalFormatting sqref="F12">
    <cfRule type="cellIs" priority="111" operator="equal" aboveAverage="0" equalAverage="0" bottom="0" percent="0" rank="0" text="" dxfId="4356">
      <formula>'1857'!$E$12</formula>
    </cfRule>
    <cfRule type="cellIs" priority="112" operator="lessThan" aboveAverage="0" equalAverage="0" bottom="0" percent="0" rank="0" text="" dxfId="4357">
      <formula>'1857'!$E$12</formula>
    </cfRule>
  </conditionalFormatting>
  <conditionalFormatting sqref="G12">
    <cfRule type="cellIs" priority="113" operator="equal" aboveAverage="0" equalAverage="0" bottom="0" percent="0" rank="0" text="" dxfId="4358">
      <formula>'1857'!$F$12</formula>
    </cfRule>
    <cfRule type="cellIs" priority="114" operator="lessThan" aboveAverage="0" equalAverage="0" bottom="0" percent="0" rank="0" text="" dxfId="4359">
      <formula>'1857'!$F$12</formula>
    </cfRule>
  </conditionalFormatting>
  <conditionalFormatting sqref="H12">
    <cfRule type="cellIs" priority="115" operator="equal" aboveAverage="0" equalAverage="0" bottom="0" percent="0" rank="0" text="" dxfId="4360">
      <formula>'1857'!$G$12</formula>
    </cfRule>
    <cfRule type="cellIs" priority="116" operator="lessThan" aboveAverage="0" equalAverage="0" bottom="0" percent="0" rank="0" text="" dxfId="4361">
      <formula>'1857'!$G$12</formula>
    </cfRule>
  </conditionalFormatting>
  <conditionalFormatting sqref="I12">
    <cfRule type="cellIs" priority="117" operator="equal" aboveAverage="0" equalAverage="0" bottom="0" percent="0" rank="0" text="" dxfId="4362">
      <formula>'1857'!$H$12</formula>
    </cfRule>
    <cfRule type="cellIs" priority="118" operator="lessThan" aboveAverage="0" equalAverage="0" bottom="0" percent="0" rank="0" text="" dxfId="4363">
      <formula>'1857'!$H$12</formula>
    </cfRule>
  </conditionalFormatting>
  <conditionalFormatting sqref="J12">
    <cfRule type="cellIs" priority="119" operator="equal" aboveAverage="0" equalAverage="0" bottom="0" percent="0" rank="0" text="" dxfId="4364">
      <formula>'1857'!$I$12</formula>
    </cfRule>
    <cfRule type="cellIs" priority="120" operator="lessThan" aboveAverage="0" equalAverage="0" bottom="0" percent="0" rank="0" text="" dxfId="4365">
      <formula>'1857'!$I$12</formula>
    </cfRule>
  </conditionalFormatting>
  <conditionalFormatting sqref="D14">
    <cfRule type="cellIs" priority="121" operator="equal" aboveAverage="0" equalAverage="0" bottom="0" percent="0" rank="0" text="" dxfId="4366">
      <formula>'1857'!$C$14</formula>
    </cfRule>
    <cfRule type="cellIs" priority="122" operator="lessThan" aboveAverage="0" equalAverage="0" bottom="0" percent="0" rank="0" text="" dxfId="4367">
      <formula>'1857'!$C$14</formula>
    </cfRule>
  </conditionalFormatting>
  <conditionalFormatting sqref="D15">
    <cfRule type="cellIs" priority="123" operator="equal" aboveAverage="0" equalAverage="0" bottom="0" percent="0" rank="0" text="" dxfId="4368">
      <formula>'1857'!$C$15</formula>
    </cfRule>
    <cfRule type="cellIs" priority="124" operator="lessThan" aboveAverage="0" equalAverage="0" bottom="0" percent="0" rank="0" text="" dxfId="4369">
      <formula>'1857'!$C$15</formula>
    </cfRule>
  </conditionalFormatting>
  <conditionalFormatting sqref="D16">
    <cfRule type="cellIs" priority="125" operator="equal" aboveAverage="0" equalAverage="0" bottom="0" percent="0" rank="0" text="" dxfId="4370">
      <formula>'1857'!$C$16</formula>
    </cfRule>
    <cfRule type="cellIs" priority="126" operator="lessThan" aboveAverage="0" equalAverage="0" bottom="0" percent="0" rank="0" text="" dxfId="4371">
      <formula>'1857'!$C$16</formula>
    </cfRule>
  </conditionalFormatting>
  <conditionalFormatting sqref="D17">
    <cfRule type="cellIs" priority="127" operator="equal" aboveAverage="0" equalAverage="0" bottom="0" percent="0" rank="0" text="" dxfId="4372">
      <formula>'1857'!$C$17</formula>
    </cfRule>
    <cfRule type="cellIs" priority="128" operator="lessThan" aboveAverage="0" equalAverage="0" bottom="0" percent="0" rank="0" text="" dxfId="4373">
      <formula>'1857'!$C$17</formula>
    </cfRule>
  </conditionalFormatting>
  <conditionalFormatting sqref="D18">
    <cfRule type="cellIs" priority="129" operator="equal" aboveAverage="0" equalAverage="0" bottom="0" percent="0" rank="0" text="" dxfId="4374">
      <formula>'1857'!$C$18</formula>
    </cfRule>
    <cfRule type="cellIs" priority="130" operator="lessThan" aboveAverage="0" equalAverage="0" bottom="0" percent="0" rank="0" text="" dxfId="4375">
      <formula>'1857'!$C$18</formula>
    </cfRule>
  </conditionalFormatting>
  <conditionalFormatting sqref="D19">
    <cfRule type="cellIs" priority="131" operator="equal" aboveAverage="0" equalAverage="0" bottom="0" percent="0" rank="0" text="" dxfId="4376">
      <formula>'1857'!$C$19</formula>
    </cfRule>
    <cfRule type="cellIs" priority="132" operator="lessThan" aboveAverage="0" equalAverage="0" bottom="0" percent="0" rank="0" text="" dxfId="4377">
      <formula>'1857'!$C$19</formula>
    </cfRule>
  </conditionalFormatting>
  <conditionalFormatting sqref="D20">
    <cfRule type="cellIs" priority="133" operator="equal" aboveAverage="0" equalAverage="0" bottom="0" percent="0" rank="0" text="" dxfId="4378">
      <formula>'1857'!$C$20</formula>
    </cfRule>
    <cfRule type="cellIs" priority="134" operator="lessThan" aboveAverage="0" equalAverage="0" bottom="0" percent="0" rank="0" text="" dxfId="4379">
      <formula>'1857'!$C$20</formula>
    </cfRule>
  </conditionalFormatting>
  <conditionalFormatting sqref="D21">
    <cfRule type="cellIs" priority="135" operator="equal" aboveAverage="0" equalAverage="0" bottom="0" percent="0" rank="0" text="" dxfId="4380">
      <formula>'1857'!$C$21</formula>
    </cfRule>
    <cfRule type="cellIs" priority="136" operator="lessThan" aboveAverage="0" equalAverage="0" bottom="0" percent="0" rank="0" text="" dxfId="4381">
      <formula>'1857'!$C$21</formula>
    </cfRule>
  </conditionalFormatting>
  <conditionalFormatting sqref="D22">
    <cfRule type="cellIs" priority="137" operator="equal" aboveAverage="0" equalAverage="0" bottom="0" percent="0" rank="0" text="" dxfId="4382">
      <formula>'1857'!$C$22</formula>
    </cfRule>
    <cfRule type="cellIs" priority="138" operator="lessThan" aboveAverage="0" equalAverage="0" bottom="0" percent="0" rank="0" text="" dxfId="4383">
      <formula>'1857'!$C$22</formula>
    </cfRule>
  </conditionalFormatting>
  <conditionalFormatting sqref="D23">
    <cfRule type="cellIs" priority="139" operator="equal" aboveAverage="0" equalAverage="0" bottom="0" percent="0" rank="0" text="" dxfId="4384">
      <formula>'1857'!$C$23</formula>
    </cfRule>
    <cfRule type="cellIs" priority="140" operator="lessThan" aboveAverage="0" equalAverage="0" bottom="0" percent="0" rank="0" text="" dxfId="4385">
      <formula>'1857'!$C$23</formula>
    </cfRule>
  </conditionalFormatting>
  <conditionalFormatting sqref="D25">
    <cfRule type="cellIs" priority="141" operator="equal" aboveAverage="0" equalAverage="0" bottom="0" percent="0" rank="0" text="" dxfId="4386">
      <formula>'1857'!$C$25</formula>
    </cfRule>
    <cfRule type="cellIs" priority="142" operator="lessThan" aboveAverage="0" equalAverage="0" bottom="0" percent="0" rank="0" text="" dxfId="4387">
      <formula>'1857'!$C$25</formula>
    </cfRule>
  </conditionalFormatting>
  <conditionalFormatting sqref="D26">
    <cfRule type="cellIs" priority="143" operator="equal" aboveAverage="0" equalAverage="0" bottom="0" percent="0" rank="0" text="" dxfId="4388">
      <formula>'1857'!$C$26</formula>
    </cfRule>
    <cfRule type="cellIs" priority="144" operator="lessThan" aboveAverage="0" equalAverage="0" bottom="0" percent="0" rank="0" text="" dxfId="4389">
      <formula>'1857'!$C$26</formula>
    </cfRule>
  </conditionalFormatting>
  <conditionalFormatting sqref="D27">
    <cfRule type="cellIs" priority="145" operator="equal" aboveAverage="0" equalAverage="0" bottom="0" percent="0" rank="0" text="" dxfId="4390">
      <formula>'1857'!$C$27</formula>
    </cfRule>
    <cfRule type="cellIs" priority="146" operator="lessThan" aboveAverage="0" equalAverage="0" bottom="0" percent="0" rank="0" text="" dxfId="4391">
      <formula>'1857'!$C$27</formula>
    </cfRule>
  </conditionalFormatting>
  <conditionalFormatting sqref="D28">
    <cfRule type="cellIs" priority="147" operator="equal" aboveAverage="0" equalAverage="0" bottom="0" percent="0" rank="0" text="" dxfId="4392">
      <formula>'1857'!$C$28</formula>
    </cfRule>
    <cfRule type="cellIs" priority="148" operator="lessThan" aboveAverage="0" equalAverage="0" bottom="0" percent="0" rank="0" text="" dxfId="4393">
      <formula>'1857'!$C$28</formula>
    </cfRule>
  </conditionalFormatting>
  <conditionalFormatting sqref="E13">
    <cfRule type="cellIs" priority="149" operator="equal" aboveAverage="0" equalAverage="0" bottom="0" percent="0" rank="0" text="" dxfId="4394">
      <formula>'1857'!$D$13</formula>
    </cfRule>
    <cfRule type="cellIs" priority="150" operator="lessThan" aboveAverage="0" equalAverage="0" bottom="0" percent="0" rank="0" text="" dxfId="4395">
      <formula>'1857'!$D$13</formula>
    </cfRule>
  </conditionalFormatting>
  <conditionalFormatting sqref="E14">
    <cfRule type="cellIs" priority="151" operator="equal" aboveAverage="0" equalAverage="0" bottom="0" percent="0" rank="0" text="" dxfId="4396">
      <formula>'1857'!$D$14</formula>
    </cfRule>
    <cfRule type="cellIs" priority="152" operator="lessThan" aboveAverage="0" equalAverage="0" bottom="0" percent="0" rank="0" text="" dxfId="4397">
      <formula>'1857'!$D$14</formula>
    </cfRule>
  </conditionalFormatting>
  <conditionalFormatting sqref="E15">
    <cfRule type="cellIs" priority="153" operator="equal" aboveAverage="0" equalAverage="0" bottom="0" percent="0" rank="0" text="" dxfId="4398">
      <formula>'1857'!$D$15</formula>
    </cfRule>
    <cfRule type="cellIs" priority="154" operator="lessThan" aboveAverage="0" equalAverage="0" bottom="0" percent="0" rank="0" text="" dxfId="4399">
      <formula>'1857'!$D$15</formula>
    </cfRule>
  </conditionalFormatting>
  <conditionalFormatting sqref="E16">
    <cfRule type="cellIs" priority="155" operator="equal" aboveAverage="0" equalAverage="0" bottom="0" percent="0" rank="0" text="" dxfId="4400">
      <formula>'1857'!$D$16</formula>
    </cfRule>
    <cfRule type="cellIs" priority="156" operator="lessThan" aboveAverage="0" equalAverage="0" bottom="0" percent="0" rank="0" text="" dxfId="4401">
      <formula>'1857'!$D$16</formula>
    </cfRule>
  </conditionalFormatting>
  <conditionalFormatting sqref="E17">
    <cfRule type="cellIs" priority="157" operator="equal" aboveAverage="0" equalAverage="0" bottom="0" percent="0" rank="0" text="" dxfId="4402">
      <formula>'1857'!$D$17</formula>
    </cfRule>
    <cfRule type="cellIs" priority="158" operator="lessThan" aboveAverage="0" equalAverage="0" bottom="0" percent="0" rank="0" text="" dxfId="4403">
      <formula>'1857'!$D$17</formula>
    </cfRule>
  </conditionalFormatting>
  <conditionalFormatting sqref="E18">
    <cfRule type="cellIs" priority="159" operator="equal" aboveAverage="0" equalAverage="0" bottom="0" percent="0" rank="0" text="" dxfId="4404">
      <formula>'1857'!$D$18</formula>
    </cfRule>
    <cfRule type="cellIs" priority="160" operator="lessThan" aboveAverage="0" equalAverage="0" bottom="0" percent="0" rank="0" text="" dxfId="4405">
      <formula>'1857'!$D$18</formula>
    </cfRule>
  </conditionalFormatting>
  <conditionalFormatting sqref="E19">
    <cfRule type="cellIs" priority="161" operator="equal" aboveAverage="0" equalAverage="0" bottom="0" percent="0" rank="0" text="" dxfId="4406">
      <formula>'1857'!$D$19</formula>
    </cfRule>
    <cfRule type="cellIs" priority="162" operator="lessThan" aboveAverage="0" equalAverage="0" bottom="0" percent="0" rank="0" text="" dxfId="4407">
      <formula>'1857'!$D$19</formula>
    </cfRule>
  </conditionalFormatting>
  <conditionalFormatting sqref="E20">
    <cfRule type="cellIs" priority="163" operator="equal" aboveAverage="0" equalAverage="0" bottom="0" percent="0" rank="0" text="" dxfId="4408">
      <formula>'1857'!$D$20</formula>
    </cfRule>
    <cfRule type="cellIs" priority="164" operator="lessThan" aboveAverage="0" equalAverage="0" bottom="0" percent="0" rank="0" text="" dxfId="4409">
      <formula>'1857'!$D$20</formula>
    </cfRule>
  </conditionalFormatting>
  <conditionalFormatting sqref="E21">
    <cfRule type="cellIs" priority="165" operator="equal" aboveAverage="0" equalAverage="0" bottom="0" percent="0" rank="0" text="" dxfId="4410">
      <formula>'1857'!$D$21</formula>
    </cfRule>
    <cfRule type="cellIs" priority="166" operator="lessThan" aboveAverage="0" equalAverage="0" bottom="0" percent="0" rank="0" text="" dxfId="4411">
      <formula>'1857'!$D$21</formula>
    </cfRule>
  </conditionalFormatting>
  <conditionalFormatting sqref="E22">
    <cfRule type="cellIs" priority="167" operator="equal" aboveAverage="0" equalAverage="0" bottom="0" percent="0" rank="0" text="" dxfId="4412">
      <formula>'1857'!$D$22</formula>
    </cfRule>
    <cfRule type="cellIs" priority="168" operator="lessThan" aboveAverage="0" equalAverage="0" bottom="0" percent="0" rank="0" text="" dxfId="4413">
      <formula>'1857'!$D$22</formula>
    </cfRule>
  </conditionalFormatting>
  <conditionalFormatting sqref="E23">
    <cfRule type="cellIs" priority="169" operator="equal" aboveAverage="0" equalAverage="0" bottom="0" percent="0" rank="0" text="" dxfId="4414">
      <formula>'1857'!$D$23</formula>
    </cfRule>
    <cfRule type="cellIs" priority="170" operator="lessThan" aboveAverage="0" equalAverage="0" bottom="0" percent="0" rank="0" text="" dxfId="4415">
      <formula>'1857'!$D$23</formula>
    </cfRule>
  </conditionalFormatting>
  <conditionalFormatting sqref="E25">
    <cfRule type="cellIs" priority="171" operator="equal" aboveAverage="0" equalAverage="0" bottom="0" percent="0" rank="0" text="" dxfId="4416">
      <formula>'1857'!$D$25</formula>
    </cfRule>
    <cfRule type="cellIs" priority="172" operator="lessThan" aboveAverage="0" equalAverage="0" bottom="0" percent="0" rank="0" text="" dxfId="4417">
      <formula>'1857'!$D$25</formula>
    </cfRule>
  </conditionalFormatting>
  <conditionalFormatting sqref="E26">
    <cfRule type="cellIs" priority="173" operator="equal" aboveAverage="0" equalAverage="0" bottom="0" percent="0" rank="0" text="" dxfId="4418">
      <formula>'1857'!$D$26</formula>
    </cfRule>
    <cfRule type="cellIs" priority="174" operator="lessThan" aboveAverage="0" equalAverage="0" bottom="0" percent="0" rank="0" text="" dxfId="4419">
      <formula>'1857'!$D$26</formula>
    </cfRule>
  </conditionalFormatting>
  <conditionalFormatting sqref="E27">
    <cfRule type="cellIs" priority="175" operator="equal" aboveAverage="0" equalAverage="0" bottom="0" percent="0" rank="0" text="" dxfId="4420">
      <formula>'1857'!$D$27</formula>
    </cfRule>
    <cfRule type="cellIs" priority="176" operator="lessThan" aboveAverage="0" equalAverage="0" bottom="0" percent="0" rank="0" text="" dxfId="4421">
      <formula>'1857'!$D$27</formula>
    </cfRule>
  </conditionalFormatting>
  <conditionalFormatting sqref="E28">
    <cfRule type="cellIs" priority="177" operator="equal" aboveAverage="0" equalAverage="0" bottom="0" percent="0" rank="0" text="" dxfId="4422">
      <formula>'1857'!$D$28</formula>
    </cfRule>
    <cfRule type="cellIs" priority="178" operator="lessThan" aboveAverage="0" equalAverage="0" bottom="0" percent="0" rank="0" text="" dxfId="4423">
      <formula>'1857'!$D$28</formula>
    </cfRule>
  </conditionalFormatting>
  <conditionalFormatting sqref="F13">
    <cfRule type="cellIs" priority="179" operator="equal" aboveAverage="0" equalAverage="0" bottom="0" percent="0" rank="0" text="" dxfId="4424">
      <formula>'1857'!$E$13</formula>
    </cfRule>
    <cfRule type="cellIs" priority="180" operator="lessThan" aboveAverage="0" equalAverage="0" bottom="0" percent="0" rank="0" text="" dxfId="4425">
      <formula>'1857'!$E$13</formula>
    </cfRule>
  </conditionalFormatting>
  <conditionalFormatting sqref="F14">
    <cfRule type="cellIs" priority="181" operator="equal" aboveAverage="0" equalAverage="0" bottom="0" percent="0" rank="0" text="" dxfId="4426">
      <formula>'1857'!$E$14</formula>
    </cfRule>
    <cfRule type="cellIs" priority="182" operator="lessThan" aboveAverage="0" equalAverage="0" bottom="0" percent="0" rank="0" text="" dxfId="4427">
      <formula>'1857'!$E$14</formula>
    </cfRule>
  </conditionalFormatting>
  <conditionalFormatting sqref="F15">
    <cfRule type="cellIs" priority="183" operator="equal" aboveAverage="0" equalAverage="0" bottom="0" percent="0" rank="0" text="" dxfId="4428">
      <formula>'1857'!$E$15</formula>
    </cfRule>
    <cfRule type="cellIs" priority="184" operator="lessThan" aboveAverage="0" equalAverage="0" bottom="0" percent="0" rank="0" text="" dxfId="4429">
      <formula>'1857'!$E$15</formula>
    </cfRule>
  </conditionalFormatting>
  <conditionalFormatting sqref="F16">
    <cfRule type="cellIs" priority="185" operator="equal" aboveAverage="0" equalAverage="0" bottom="0" percent="0" rank="0" text="" dxfId="4430">
      <formula>'1857'!$E$16</formula>
    </cfRule>
    <cfRule type="cellIs" priority="186" operator="lessThan" aboveAverage="0" equalAverage="0" bottom="0" percent="0" rank="0" text="" dxfId="4431">
      <formula>'1857'!$E$16</formula>
    </cfRule>
  </conditionalFormatting>
  <conditionalFormatting sqref="F17">
    <cfRule type="cellIs" priority="187" operator="equal" aboveAverage="0" equalAverage="0" bottom="0" percent="0" rank="0" text="" dxfId="4432">
      <formula>'1857'!$E$17</formula>
    </cfRule>
    <cfRule type="cellIs" priority="188" operator="lessThan" aboveAverage="0" equalAverage="0" bottom="0" percent="0" rank="0" text="" dxfId="4433">
      <formula>'1857'!$E$17</formula>
    </cfRule>
  </conditionalFormatting>
  <conditionalFormatting sqref="F18">
    <cfRule type="cellIs" priority="189" operator="equal" aboveAverage="0" equalAverage="0" bottom="0" percent="0" rank="0" text="" dxfId="4434">
      <formula>'1857'!$E$18</formula>
    </cfRule>
    <cfRule type="cellIs" priority="190" operator="lessThan" aboveAverage="0" equalAverage="0" bottom="0" percent="0" rank="0" text="" dxfId="4435">
      <formula>'1857'!$E$18</formula>
    </cfRule>
  </conditionalFormatting>
  <conditionalFormatting sqref="F19">
    <cfRule type="cellIs" priority="191" operator="equal" aboveAverage="0" equalAverage="0" bottom="0" percent="0" rank="0" text="" dxfId="4436">
      <formula>'1857'!$E$19</formula>
    </cfRule>
    <cfRule type="cellIs" priority="192" operator="lessThan" aboveAverage="0" equalAverage="0" bottom="0" percent="0" rank="0" text="" dxfId="4437">
      <formula>'1857'!$E$19</formula>
    </cfRule>
  </conditionalFormatting>
  <conditionalFormatting sqref="F20">
    <cfRule type="cellIs" priority="193" operator="equal" aboveAverage="0" equalAverage="0" bottom="0" percent="0" rank="0" text="" dxfId="4438">
      <formula>'1857'!$E$20</formula>
    </cfRule>
    <cfRule type="cellIs" priority="194" operator="lessThan" aboveAverage="0" equalAverage="0" bottom="0" percent="0" rank="0" text="" dxfId="4439">
      <formula>'1857'!$E$20</formula>
    </cfRule>
  </conditionalFormatting>
  <conditionalFormatting sqref="F21">
    <cfRule type="cellIs" priority="195" operator="equal" aboveAverage="0" equalAverage="0" bottom="0" percent="0" rank="0" text="" dxfId="4440">
      <formula>'1857'!$E$21</formula>
    </cfRule>
    <cfRule type="cellIs" priority="196" operator="lessThan" aboveAverage="0" equalAverage="0" bottom="0" percent="0" rank="0" text="" dxfId="4441">
      <formula>'1857'!$E$21</formula>
    </cfRule>
  </conditionalFormatting>
  <conditionalFormatting sqref="F22">
    <cfRule type="cellIs" priority="197" operator="equal" aboveAverage="0" equalAverage="0" bottom="0" percent="0" rank="0" text="" dxfId="4442">
      <formula>'1857'!$E$22</formula>
    </cfRule>
    <cfRule type="cellIs" priority="198" operator="lessThan" aboveAverage="0" equalAverage="0" bottom="0" percent="0" rank="0" text="" dxfId="4443">
      <formula>'1857'!$E$22</formula>
    </cfRule>
  </conditionalFormatting>
  <conditionalFormatting sqref="F23">
    <cfRule type="cellIs" priority="199" operator="equal" aboveAverage="0" equalAverage="0" bottom="0" percent="0" rank="0" text="" dxfId="4444">
      <formula>'1857'!$E$23</formula>
    </cfRule>
    <cfRule type="cellIs" priority="200" operator="lessThan" aboveAverage="0" equalAverage="0" bottom="0" percent="0" rank="0" text="" dxfId="4445">
      <formula>'1857'!$E$23</formula>
    </cfRule>
  </conditionalFormatting>
  <conditionalFormatting sqref="F25">
    <cfRule type="cellIs" priority="201" operator="equal" aboveAverage="0" equalAverage="0" bottom="0" percent="0" rank="0" text="" dxfId="4446">
      <formula>'1857'!$E$25</formula>
    </cfRule>
    <cfRule type="cellIs" priority="202" operator="lessThan" aboveAverage="0" equalAverage="0" bottom="0" percent="0" rank="0" text="" dxfId="4447">
      <formula>'1857'!$E$25</formula>
    </cfRule>
  </conditionalFormatting>
  <conditionalFormatting sqref="F26">
    <cfRule type="cellIs" priority="203" operator="equal" aboveAverage="0" equalAverage="0" bottom="0" percent="0" rank="0" text="" dxfId="4448">
      <formula>'1857'!$E$26</formula>
    </cfRule>
    <cfRule type="cellIs" priority="204" operator="lessThan" aboveAverage="0" equalAverage="0" bottom="0" percent="0" rank="0" text="" dxfId="4449">
      <formula>'1857'!$E$26</formula>
    </cfRule>
  </conditionalFormatting>
  <conditionalFormatting sqref="F27">
    <cfRule type="cellIs" priority="205" operator="equal" aboveAverage="0" equalAverage="0" bottom="0" percent="0" rank="0" text="" dxfId="4450">
      <formula>'1857'!$E$27</formula>
    </cfRule>
    <cfRule type="cellIs" priority="206" operator="lessThan" aboveAverage="0" equalAverage="0" bottom="0" percent="0" rank="0" text="" dxfId="4451">
      <formula>'1857'!$E$27</formula>
    </cfRule>
  </conditionalFormatting>
  <conditionalFormatting sqref="F28">
    <cfRule type="cellIs" priority="207" operator="equal" aboveAverage="0" equalAverage="0" bottom="0" percent="0" rank="0" text="" dxfId="4452">
      <formula>'1857'!$E$28</formula>
    </cfRule>
    <cfRule type="cellIs" priority="208" operator="lessThan" aboveAverage="0" equalAverage="0" bottom="0" percent="0" rank="0" text="" dxfId="4453">
      <formula>'1857'!$E$28</formula>
    </cfRule>
  </conditionalFormatting>
  <conditionalFormatting sqref="G13">
    <cfRule type="cellIs" priority="209" operator="equal" aboveAverage="0" equalAverage="0" bottom="0" percent="0" rank="0" text="" dxfId="4454">
      <formula>'1857'!$F$13</formula>
    </cfRule>
    <cfRule type="cellIs" priority="210" operator="lessThan" aboveAverage="0" equalAverage="0" bottom="0" percent="0" rank="0" text="" dxfId="4455">
      <formula>'1857'!$F$13</formula>
    </cfRule>
  </conditionalFormatting>
  <conditionalFormatting sqref="G14">
    <cfRule type="cellIs" priority="211" operator="equal" aboveAverage="0" equalAverage="0" bottom="0" percent="0" rank="0" text="" dxfId="4456">
      <formula>'1857'!$F$14</formula>
    </cfRule>
    <cfRule type="cellIs" priority="212" operator="lessThan" aboveAverage="0" equalAverage="0" bottom="0" percent="0" rank="0" text="" dxfId="4457">
      <formula>'1857'!$F$14</formula>
    </cfRule>
  </conditionalFormatting>
  <conditionalFormatting sqref="G15">
    <cfRule type="cellIs" priority="213" operator="equal" aboveAverage="0" equalAverage="0" bottom="0" percent="0" rank="0" text="" dxfId="4458">
      <formula>'1857'!$F$15</formula>
    </cfRule>
    <cfRule type="cellIs" priority="214" operator="lessThan" aboveAverage="0" equalAverage="0" bottom="0" percent="0" rank="0" text="" dxfId="4459">
      <formula>'1857'!$F$15</formula>
    </cfRule>
  </conditionalFormatting>
  <conditionalFormatting sqref="G16">
    <cfRule type="cellIs" priority="215" operator="equal" aboveAverage="0" equalAverage="0" bottom="0" percent="0" rank="0" text="" dxfId="4460">
      <formula>'1857'!$F$16</formula>
    </cfRule>
    <cfRule type="cellIs" priority="216" operator="lessThan" aboveAverage="0" equalAverage="0" bottom="0" percent="0" rank="0" text="" dxfId="4461">
      <formula>'1857'!$F$16</formula>
    </cfRule>
  </conditionalFormatting>
  <conditionalFormatting sqref="G17">
    <cfRule type="cellIs" priority="217" operator="equal" aboveAverage="0" equalAverage="0" bottom="0" percent="0" rank="0" text="" dxfId="4462">
      <formula>'1857'!$F$17</formula>
    </cfRule>
    <cfRule type="cellIs" priority="218" operator="lessThan" aboveAverage="0" equalAverage="0" bottom="0" percent="0" rank="0" text="" dxfId="4463">
      <formula>'1857'!$F$17</formula>
    </cfRule>
  </conditionalFormatting>
  <conditionalFormatting sqref="G18">
    <cfRule type="cellIs" priority="219" operator="equal" aboveAverage="0" equalAverage="0" bottom="0" percent="0" rank="0" text="" dxfId="4464">
      <formula>'1857'!$F$18</formula>
    </cfRule>
    <cfRule type="cellIs" priority="220" operator="lessThan" aboveAverage="0" equalAverage="0" bottom="0" percent="0" rank="0" text="" dxfId="4465">
      <formula>'1857'!$F$18</formula>
    </cfRule>
  </conditionalFormatting>
  <conditionalFormatting sqref="G19">
    <cfRule type="cellIs" priority="221" operator="equal" aboveAverage="0" equalAverage="0" bottom="0" percent="0" rank="0" text="" dxfId="4466">
      <formula>'1857'!$F$19</formula>
    </cfRule>
    <cfRule type="cellIs" priority="222" operator="lessThan" aboveAverage="0" equalAverage="0" bottom="0" percent="0" rank="0" text="" dxfId="4467">
      <formula>'1857'!$F$19</formula>
    </cfRule>
  </conditionalFormatting>
  <conditionalFormatting sqref="G20">
    <cfRule type="cellIs" priority="223" operator="equal" aboveAverage="0" equalAverage="0" bottom="0" percent="0" rank="0" text="" dxfId="4468">
      <formula>'1857'!$F$20</formula>
    </cfRule>
    <cfRule type="cellIs" priority="224" operator="lessThan" aboveAverage="0" equalAverage="0" bottom="0" percent="0" rank="0" text="" dxfId="4469">
      <formula>'1857'!$F$20</formula>
    </cfRule>
  </conditionalFormatting>
  <conditionalFormatting sqref="G21">
    <cfRule type="cellIs" priority="225" operator="equal" aboveAverage="0" equalAverage="0" bottom="0" percent="0" rank="0" text="" dxfId="4470">
      <formula>'1857'!$F$21</formula>
    </cfRule>
    <cfRule type="cellIs" priority="226" operator="lessThan" aboveAverage="0" equalAverage="0" bottom="0" percent="0" rank="0" text="" dxfId="4471">
      <formula>'1857'!$F$21</formula>
    </cfRule>
  </conditionalFormatting>
  <conditionalFormatting sqref="G22">
    <cfRule type="cellIs" priority="227" operator="equal" aboveAverage="0" equalAverage="0" bottom="0" percent="0" rank="0" text="" dxfId="4472">
      <formula>'1857'!$F$22</formula>
    </cfRule>
    <cfRule type="cellIs" priority="228" operator="lessThan" aboveAverage="0" equalAverage="0" bottom="0" percent="0" rank="0" text="" dxfId="4473">
      <formula>'1857'!$F$22</formula>
    </cfRule>
  </conditionalFormatting>
  <conditionalFormatting sqref="G23">
    <cfRule type="cellIs" priority="229" operator="equal" aboveAverage="0" equalAverage="0" bottom="0" percent="0" rank="0" text="" dxfId="4474">
      <formula>'1857'!$F$23</formula>
    </cfRule>
    <cfRule type="cellIs" priority="230" operator="lessThan" aboveAverage="0" equalAverage="0" bottom="0" percent="0" rank="0" text="" dxfId="4475">
      <formula>'1857'!$F$23</formula>
    </cfRule>
  </conditionalFormatting>
  <conditionalFormatting sqref="G25">
    <cfRule type="cellIs" priority="231" operator="equal" aboveAverage="0" equalAverage="0" bottom="0" percent="0" rank="0" text="" dxfId="4476">
      <formula>'1857'!$F$25</formula>
    </cfRule>
    <cfRule type="cellIs" priority="232" operator="lessThan" aboveAverage="0" equalAverage="0" bottom="0" percent="0" rank="0" text="" dxfId="4477">
      <formula>'1857'!$F$25</formula>
    </cfRule>
  </conditionalFormatting>
  <conditionalFormatting sqref="G26">
    <cfRule type="cellIs" priority="233" operator="equal" aboveAverage="0" equalAverage="0" bottom="0" percent="0" rank="0" text="" dxfId="4478">
      <formula>'1857'!$F$26</formula>
    </cfRule>
    <cfRule type="cellIs" priority="234" operator="lessThan" aboveAverage="0" equalAverage="0" bottom="0" percent="0" rank="0" text="" dxfId="4479">
      <formula>'1857'!$F$26</formula>
    </cfRule>
  </conditionalFormatting>
  <conditionalFormatting sqref="G27">
    <cfRule type="cellIs" priority="235" operator="equal" aboveAverage="0" equalAverage="0" bottom="0" percent="0" rank="0" text="" dxfId="4480">
      <formula>'1857'!$F$27</formula>
    </cfRule>
    <cfRule type="cellIs" priority="236" operator="lessThan" aboveAverage="0" equalAverage="0" bottom="0" percent="0" rank="0" text="" dxfId="4481">
      <formula>'1857'!$F$27</formula>
    </cfRule>
  </conditionalFormatting>
  <conditionalFormatting sqref="G28">
    <cfRule type="cellIs" priority="237" operator="equal" aboveAverage="0" equalAverage="0" bottom="0" percent="0" rank="0" text="" dxfId="4482">
      <formula>'1857'!$F$28</formula>
    </cfRule>
    <cfRule type="cellIs" priority="238" operator="lessThan" aboveAverage="0" equalAverage="0" bottom="0" percent="0" rank="0" text="" dxfId="4483">
      <formula>'1857'!$F$28</formula>
    </cfRule>
  </conditionalFormatting>
  <conditionalFormatting sqref="D13">
    <cfRule type="cellIs" priority="239" operator="equal" aboveAverage="0" equalAverage="0" bottom="0" percent="0" rank="0" text="" dxfId="4484">
      <formula>'1857'!$C$13</formula>
    </cfRule>
    <cfRule type="cellIs" priority="240" operator="lessThan" aboveAverage="0" equalAverage="0" bottom="0" percent="0" rank="0" text="" dxfId="4485">
      <formula>'1857'!$C$13</formula>
    </cfRule>
  </conditionalFormatting>
  <conditionalFormatting sqref="H13">
    <cfRule type="cellIs" priority="241" operator="equal" aboveAverage="0" equalAverage="0" bottom="0" percent="0" rank="0" text="" dxfId="4486">
      <formula>'1857'!$G$13</formula>
    </cfRule>
    <cfRule type="cellIs" priority="242" operator="lessThan" aboveAverage="0" equalAverage="0" bottom="0" percent="0" rank="0" text="" dxfId="4487">
      <formula>'1857'!$G$13</formula>
    </cfRule>
  </conditionalFormatting>
  <conditionalFormatting sqref="H14">
    <cfRule type="cellIs" priority="243" operator="equal" aboveAverage="0" equalAverage="0" bottom="0" percent="0" rank="0" text="" dxfId="4488">
      <formula>'1857'!$G$14</formula>
    </cfRule>
    <cfRule type="cellIs" priority="244" operator="lessThan" aboveAverage="0" equalAverage="0" bottom="0" percent="0" rank="0" text="" dxfId="4489">
      <formula>'1857'!$G$14</formula>
    </cfRule>
  </conditionalFormatting>
  <conditionalFormatting sqref="H15">
    <cfRule type="cellIs" priority="245" operator="equal" aboveAverage="0" equalAverage="0" bottom="0" percent="0" rank="0" text="" dxfId="4490">
      <formula>'1857'!$G$15</formula>
    </cfRule>
    <cfRule type="cellIs" priority="246" operator="lessThan" aboveAverage="0" equalAverage="0" bottom="0" percent="0" rank="0" text="" dxfId="4491">
      <formula>'1857'!$G$15</formula>
    </cfRule>
  </conditionalFormatting>
  <conditionalFormatting sqref="H16">
    <cfRule type="cellIs" priority="247" operator="equal" aboveAverage="0" equalAverage="0" bottom="0" percent="0" rank="0" text="" dxfId="4492">
      <formula>'1857'!$G$16</formula>
    </cfRule>
    <cfRule type="cellIs" priority="248" operator="lessThan" aboveAverage="0" equalAverage="0" bottom="0" percent="0" rank="0" text="" dxfId="4493">
      <formula>'1857'!$G$16</formula>
    </cfRule>
  </conditionalFormatting>
  <conditionalFormatting sqref="H17">
    <cfRule type="cellIs" priority="249" operator="equal" aboveAverage="0" equalAverage="0" bottom="0" percent="0" rank="0" text="" dxfId="4494">
      <formula>'1857'!$G$17</formula>
    </cfRule>
    <cfRule type="cellIs" priority="250" operator="lessThan" aboveAverage="0" equalAverage="0" bottom="0" percent="0" rank="0" text="" dxfId="4495">
      <formula>'1857'!$G$17</formula>
    </cfRule>
  </conditionalFormatting>
  <conditionalFormatting sqref="H18">
    <cfRule type="cellIs" priority="251" operator="equal" aboveAverage="0" equalAverage="0" bottom="0" percent="0" rank="0" text="" dxfId="4496">
      <formula>'1857'!$G$18</formula>
    </cfRule>
    <cfRule type="cellIs" priority="252" operator="lessThan" aboveAverage="0" equalAverage="0" bottom="0" percent="0" rank="0" text="" dxfId="4497">
      <formula>'1857'!$G$18</formula>
    </cfRule>
  </conditionalFormatting>
  <conditionalFormatting sqref="H19">
    <cfRule type="cellIs" priority="253" operator="equal" aboveAverage="0" equalAverage="0" bottom="0" percent="0" rank="0" text="" dxfId="4498">
      <formula>'1857'!$G$19</formula>
    </cfRule>
    <cfRule type="cellIs" priority="254" operator="lessThan" aboveAverage="0" equalAverage="0" bottom="0" percent="0" rank="0" text="" dxfId="4499">
      <formula>'1857'!$G$19</formula>
    </cfRule>
  </conditionalFormatting>
  <conditionalFormatting sqref="H20">
    <cfRule type="cellIs" priority="255" operator="equal" aboveAverage="0" equalAverage="0" bottom="0" percent="0" rank="0" text="" dxfId="4500">
      <formula>'1857'!$G$20</formula>
    </cfRule>
    <cfRule type="cellIs" priority="256" operator="lessThan" aboveAverage="0" equalAverage="0" bottom="0" percent="0" rank="0" text="" dxfId="4501">
      <formula>'1857'!$G$20</formula>
    </cfRule>
  </conditionalFormatting>
  <conditionalFormatting sqref="H21">
    <cfRule type="cellIs" priority="257" operator="equal" aboveAverage="0" equalAverage="0" bottom="0" percent="0" rank="0" text="" dxfId="4502">
      <formula>'1857'!$G$21</formula>
    </cfRule>
    <cfRule type="cellIs" priority="258" operator="lessThan" aboveAverage="0" equalAverage="0" bottom="0" percent="0" rank="0" text="" dxfId="4503">
      <formula>'1857'!$G$21</formula>
    </cfRule>
  </conditionalFormatting>
  <conditionalFormatting sqref="H22">
    <cfRule type="cellIs" priority="259" operator="equal" aboveAverage="0" equalAverage="0" bottom="0" percent="0" rank="0" text="" dxfId="4504">
      <formula>'1857'!$G$22</formula>
    </cfRule>
    <cfRule type="cellIs" priority="260" operator="lessThan" aboveAverage="0" equalAverage="0" bottom="0" percent="0" rank="0" text="" dxfId="4505">
      <formula>'1857'!$G$22</formula>
    </cfRule>
  </conditionalFormatting>
  <conditionalFormatting sqref="H23">
    <cfRule type="cellIs" priority="261" operator="equal" aboveAverage="0" equalAverage="0" bottom="0" percent="0" rank="0" text="" dxfId="4506">
      <formula>'1857'!$G$23</formula>
    </cfRule>
    <cfRule type="cellIs" priority="262" operator="lessThan" aboveAverage="0" equalAverage="0" bottom="0" percent="0" rank="0" text="" dxfId="4507">
      <formula>'1857'!$G$23</formula>
    </cfRule>
  </conditionalFormatting>
  <conditionalFormatting sqref="H25">
    <cfRule type="cellIs" priority="263" operator="equal" aboveAverage="0" equalAverage="0" bottom="0" percent="0" rank="0" text="" dxfId="4508">
      <formula>'1857'!$G$25</formula>
    </cfRule>
    <cfRule type="cellIs" priority="264" operator="lessThan" aboveAverage="0" equalAverage="0" bottom="0" percent="0" rank="0" text="" dxfId="4509">
      <formula>'1857'!$G$25</formula>
    </cfRule>
  </conditionalFormatting>
  <conditionalFormatting sqref="H26">
    <cfRule type="cellIs" priority="265" operator="equal" aboveAverage="0" equalAverage="0" bottom="0" percent="0" rank="0" text="" dxfId="4510">
      <formula>'1857'!$G$26</formula>
    </cfRule>
    <cfRule type="cellIs" priority="266" operator="lessThan" aboveAverage="0" equalAverage="0" bottom="0" percent="0" rank="0" text="" dxfId="4511">
      <formula>'1857'!$G$26</formula>
    </cfRule>
  </conditionalFormatting>
  <conditionalFormatting sqref="H27">
    <cfRule type="cellIs" priority="267" operator="equal" aboveAverage="0" equalAverage="0" bottom="0" percent="0" rank="0" text="" dxfId="4512">
      <formula>'1857'!$G$27</formula>
    </cfRule>
    <cfRule type="cellIs" priority="268" operator="lessThan" aboveAverage="0" equalAverage="0" bottom="0" percent="0" rank="0" text="" dxfId="4513">
      <formula>'1857'!$G$27</formula>
    </cfRule>
  </conditionalFormatting>
  <conditionalFormatting sqref="H28">
    <cfRule type="cellIs" priority="269" operator="equal" aboveAverage="0" equalAverage="0" bottom="0" percent="0" rank="0" text="" dxfId="4514">
      <formula>'1857'!$G$28</formula>
    </cfRule>
    <cfRule type="cellIs" priority="270" operator="lessThan" aboveAverage="0" equalAverage="0" bottom="0" percent="0" rank="0" text="" dxfId="4515">
      <formula>'1857'!$G$28</formula>
    </cfRule>
  </conditionalFormatting>
  <conditionalFormatting sqref="D24">
    <cfRule type="cellIs" priority="271" operator="equal" aboveAverage="0" equalAverage="0" bottom="0" percent="0" rank="0" text="" dxfId="4516">
      <formula>'1857'!$C$24</formula>
    </cfRule>
    <cfRule type="cellIs" priority="272" operator="lessThan" aboveAverage="0" equalAverage="0" bottom="0" percent="0" rank="0" text="" dxfId="4517">
      <formula>'1857'!$C$24</formula>
    </cfRule>
  </conditionalFormatting>
  <conditionalFormatting sqref="E24">
    <cfRule type="cellIs" priority="273" operator="equal" aboveAverage="0" equalAverage="0" bottom="0" percent="0" rank="0" text="" dxfId="4518">
      <formula>'1857'!$D$24</formula>
    </cfRule>
    <cfRule type="cellIs" priority="274" operator="lessThan" aboveAverage="0" equalAverage="0" bottom="0" percent="0" rank="0" text="" dxfId="4519">
      <formula>'1857'!$D$24</formula>
    </cfRule>
  </conditionalFormatting>
  <conditionalFormatting sqref="F24">
    <cfRule type="cellIs" priority="275" operator="equal" aboveAverage="0" equalAverage="0" bottom="0" percent="0" rank="0" text="" dxfId="4520">
      <formula>'1857'!$E$24</formula>
    </cfRule>
    <cfRule type="cellIs" priority="276" operator="lessThan" aboveAverage="0" equalAverage="0" bottom="0" percent="0" rank="0" text="" dxfId="4521">
      <formula>'1857'!$E$24</formula>
    </cfRule>
  </conditionalFormatting>
  <conditionalFormatting sqref="G24">
    <cfRule type="cellIs" priority="277" operator="equal" aboveAverage="0" equalAverage="0" bottom="0" percent="0" rank="0" text="" dxfId="4522">
      <formula>'1857'!$F$24</formula>
    </cfRule>
    <cfRule type="cellIs" priority="278" operator="lessThan" aboveAverage="0" equalAverage="0" bottom="0" percent="0" rank="0" text="" dxfId="4523">
      <formula>'1857'!$F$24</formula>
    </cfRule>
  </conditionalFormatting>
  <conditionalFormatting sqref="H24">
    <cfRule type="cellIs" priority="279" operator="equal" aboveAverage="0" equalAverage="0" bottom="0" percent="0" rank="0" text="" dxfId="4524">
      <formula>'1857'!$G$24</formula>
    </cfRule>
    <cfRule type="cellIs" priority="280" operator="lessThan" aboveAverage="0" equalAverage="0" bottom="0" percent="0" rank="0" text="" dxfId="4525">
      <formula>'1857'!$G$24</formula>
    </cfRule>
  </conditionalFormatting>
  <conditionalFormatting sqref="E5">
    <cfRule type="cellIs" priority="281" operator="equal" aboveAverage="0" equalAverage="0" bottom="0" percent="0" rank="0" text="" dxfId="4526">
      <formula>'1857'!$D$5</formula>
    </cfRule>
    <cfRule type="cellIs" priority="282" operator="lessThan" aboveAverage="0" equalAverage="0" bottom="0" percent="0" rank="0" text="" dxfId="4527">
      <formula>'1857'!$D$5</formula>
    </cfRule>
  </conditionalFormatting>
  <conditionalFormatting sqref="G5">
    <cfRule type="cellIs" priority="283" operator="equal" aboveAverage="0" equalAverage="0" bottom="0" percent="0" rank="0" text="" dxfId="4528">
      <formula>'1857'!$F$5</formula>
    </cfRule>
    <cfRule type="cellIs" priority="284" operator="lessThan" aboveAverage="0" equalAverage="0" bottom="0" percent="0" rank="0" text="" dxfId="4529">
      <formula>'1857'!$F$5</formula>
    </cfRule>
  </conditionalFormatting>
  <conditionalFormatting sqref="G4">
    <cfRule type="cellIs" priority="285" operator="equal" aboveAverage="0" equalAverage="0" bottom="0" percent="0" rank="0" text="" dxfId="4530">
      <formula>'1857'!$F$4</formula>
    </cfRule>
  </conditionalFormatting>
  <conditionalFormatting sqref="J29:O29 D29:H29">
    <cfRule type="cellIs" priority="286" operator="equal" aboveAverage="0" equalAverage="0" bottom="0" percent="0" rank="0" text="" dxfId="4531">
      <formula>0</formula>
    </cfRule>
  </conditionalFormatting>
  <conditionalFormatting sqref="I13">
    <cfRule type="cellIs" priority="287" operator="equal" aboveAverage="0" equalAverage="0" bottom="0" percent="0" rank="0" text="" dxfId="4532">
      <formula>'1857'!$H$13</formula>
    </cfRule>
    <cfRule type="cellIs" priority="288" operator="lessThan" aboveAverage="0" equalAverage="0" bottom="0" percent="0" rank="0" text="" dxfId="4533">
      <formula>'1857'!$H$13</formula>
    </cfRule>
  </conditionalFormatting>
  <conditionalFormatting sqref="I14">
    <cfRule type="cellIs" priority="289" operator="equal" aboveAverage="0" equalAverage="0" bottom="0" percent="0" rank="0" text="" dxfId="4534">
      <formula>'1857'!$H$14</formula>
    </cfRule>
    <cfRule type="cellIs" priority="290" operator="lessThan" aboveAverage="0" equalAverage="0" bottom="0" percent="0" rank="0" text="" dxfId="4535">
      <formula>'1857'!$H$14</formula>
    </cfRule>
  </conditionalFormatting>
  <conditionalFormatting sqref="I15">
    <cfRule type="cellIs" priority="291" operator="equal" aboveAverage="0" equalAverage="0" bottom="0" percent="0" rank="0" text="" dxfId="4536">
      <formula>'1857'!$H$15</formula>
    </cfRule>
    <cfRule type="cellIs" priority="292" operator="lessThan" aboveAverage="0" equalAverage="0" bottom="0" percent="0" rank="0" text="" dxfId="4537">
      <formula>'1857'!$H$15</formula>
    </cfRule>
  </conditionalFormatting>
  <conditionalFormatting sqref="I16">
    <cfRule type="cellIs" priority="293" operator="equal" aboveAverage="0" equalAverage="0" bottom="0" percent="0" rank="0" text="" dxfId="4538">
      <formula>'1857'!$H$16</formula>
    </cfRule>
    <cfRule type="cellIs" priority="294" operator="lessThan" aboveAverage="0" equalAverage="0" bottom="0" percent="0" rank="0" text="" dxfId="4539">
      <formula>'1857'!$H$16</formula>
    </cfRule>
  </conditionalFormatting>
  <conditionalFormatting sqref="I17">
    <cfRule type="cellIs" priority="295" operator="equal" aboveAverage="0" equalAverage="0" bottom="0" percent="0" rank="0" text="" dxfId="4540">
      <formula>'1857'!$H$17</formula>
    </cfRule>
    <cfRule type="cellIs" priority="296" operator="lessThan" aboveAverage="0" equalAverage="0" bottom="0" percent="0" rank="0" text="" dxfId="4541">
      <formula>'1857'!$H$17</formula>
    </cfRule>
  </conditionalFormatting>
  <conditionalFormatting sqref="I18">
    <cfRule type="cellIs" priority="297" operator="equal" aboveAverage="0" equalAverage="0" bottom="0" percent="0" rank="0" text="" dxfId="4542">
      <formula>'1857'!$H$18</formula>
    </cfRule>
    <cfRule type="cellIs" priority="298" operator="lessThan" aboveAverage="0" equalAverage="0" bottom="0" percent="0" rank="0" text="" dxfId="4543">
      <formula>'1857'!$H$18</formula>
    </cfRule>
  </conditionalFormatting>
  <conditionalFormatting sqref="I19">
    <cfRule type="cellIs" priority="299" operator="equal" aboveAverage="0" equalAverage="0" bottom="0" percent="0" rank="0" text="" dxfId="4544">
      <formula>'1857'!$H$19</formula>
    </cfRule>
    <cfRule type="cellIs" priority="300" operator="lessThan" aboveAverage="0" equalAverage="0" bottom="0" percent="0" rank="0" text="" dxfId="4545">
      <formula>'1857'!$H$19</formula>
    </cfRule>
  </conditionalFormatting>
  <conditionalFormatting sqref="I20">
    <cfRule type="cellIs" priority="301" operator="equal" aboveAverage="0" equalAverage="0" bottom="0" percent="0" rank="0" text="" dxfId="4546">
      <formula>'1857'!$H$20</formula>
    </cfRule>
    <cfRule type="cellIs" priority="302" operator="lessThan" aboveAverage="0" equalAverage="0" bottom="0" percent="0" rank="0" text="" dxfId="4547">
      <formula>'1857'!$H$20</formula>
    </cfRule>
  </conditionalFormatting>
  <conditionalFormatting sqref="I21">
    <cfRule type="cellIs" priority="303" operator="equal" aboveAverage="0" equalAverage="0" bottom="0" percent="0" rank="0" text="" dxfId="4548">
      <formula>'1857'!$H$21</formula>
    </cfRule>
    <cfRule type="cellIs" priority="304" operator="lessThan" aboveAverage="0" equalAverage="0" bottom="0" percent="0" rank="0" text="" dxfId="4549">
      <formula>'1857'!$H$21</formula>
    </cfRule>
  </conditionalFormatting>
  <conditionalFormatting sqref="I22">
    <cfRule type="cellIs" priority="305" operator="equal" aboveAverage="0" equalAverage="0" bottom="0" percent="0" rank="0" text="" dxfId="4550">
      <formula>'1857'!$H$22</formula>
    </cfRule>
    <cfRule type="cellIs" priority="306" operator="lessThan" aboveAverage="0" equalAverage="0" bottom="0" percent="0" rank="0" text="" dxfId="4551">
      <formula>'1857'!$H$22</formula>
    </cfRule>
  </conditionalFormatting>
  <conditionalFormatting sqref="I23">
    <cfRule type="cellIs" priority="307" operator="equal" aboveAverage="0" equalAverage="0" bottom="0" percent="0" rank="0" text="" dxfId="4552">
      <formula>'1857'!$H$23</formula>
    </cfRule>
    <cfRule type="cellIs" priority="308" operator="lessThan" aboveAverage="0" equalAverage="0" bottom="0" percent="0" rank="0" text="" dxfId="4553">
      <formula>'1857'!$H$23</formula>
    </cfRule>
  </conditionalFormatting>
  <conditionalFormatting sqref="I24">
    <cfRule type="cellIs" priority="309" operator="equal" aboveAverage="0" equalAverage="0" bottom="0" percent="0" rank="0" text="" dxfId="4554">
      <formula>'1857'!$H$24</formula>
    </cfRule>
    <cfRule type="cellIs" priority="310" operator="lessThan" aboveAverage="0" equalAverage="0" bottom="0" percent="0" rank="0" text="" dxfId="4555">
      <formula>'1857'!$H$24</formula>
    </cfRule>
  </conditionalFormatting>
  <conditionalFormatting sqref="I25">
    <cfRule type="cellIs" priority="311" operator="equal" aboveAverage="0" equalAverage="0" bottom="0" percent="0" rank="0" text="" dxfId="4556">
      <formula>'1857'!$H$25</formula>
    </cfRule>
    <cfRule type="cellIs" priority="312" operator="lessThan" aboveAverage="0" equalAverage="0" bottom="0" percent="0" rank="0" text="" dxfId="4557">
      <formula>'1857'!$H$25</formula>
    </cfRule>
  </conditionalFormatting>
  <conditionalFormatting sqref="I26">
    <cfRule type="cellIs" priority="313" operator="equal" aboveAverage="0" equalAverage="0" bottom="0" percent="0" rank="0" text="" dxfId="4558">
      <formula>'1857'!$H$26</formula>
    </cfRule>
    <cfRule type="cellIs" priority="314" operator="lessThan" aboveAverage="0" equalAverage="0" bottom="0" percent="0" rank="0" text="" dxfId="4559">
      <formula>'1857'!$H$26</formula>
    </cfRule>
  </conditionalFormatting>
  <conditionalFormatting sqref="I27">
    <cfRule type="cellIs" priority="315" operator="equal" aboveAverage="0" equalAverage="0" bottom="0" percent="0" rank="0" text="" dxfId="4560">
      <formula>'1857'!$H$27</formula>
    </cfRule>
    <cfRule type="cellIs" priority="316" operator="lessThan" aboveAverage="0" equalAverage="0" bottom="0" percent="0" rank="0" text="" dxfId="4561">
      <formula>'1857'!$H$27</formula>
    </cfRule>
    <cfRule type="cellIs" priority="317" operator="lessThan" aboveAverage="0" equalAverage="0" bottom="0" percent="0" rank="0" text="" dxfId="4562">
      <formula>'1857'!$H$27</formula>
    </cfRule>
  </conditionalFormatting>
  <conditionalFormatting sqref="I28">
    <cfRule type="cellIs" priority="318" operator="equal" aboveAverage="0" equalAverage="0" bottom="0" percent="0" rank="0" text="" dxfId="4563">
      <formula>'1857'!$H$28</formula>
    </cfRule>
    <cfRule type="cellIs" priority="319" operator="lessThan" aboveAverage="0" equalAverage="0" bottom="0" percent="0" rank="0" text="" dxfId="4564">
      <formula>'1857'!$H$28</formula>
    </cfRule>
  </conditionalFormatting>
  <conditionalFormatting sqref="I29">
    <cfRule type="cellIs" priority="320" operator="equal" aboveAverage="0" equalAverage="0" bottom="0" percent="0" rank="0" text="" dxfId="4565">
      <formula>'1857'!$H$29</formula>
    </cfRule>
    <cfRule type="cellIs" priority="321" operator="lessThan" aboveAverage="0" equalAverage="0" bottom="0" percent="0" rank="0" text="" dxfId="4566">
      <formula>'1857'!$H$29</formula>
    </cfRule>
  </conditionalFormatting>
  <conditionalFormatting sqref="J13">
    <cfRule type="cellIs" priority="322" operator="equal" aboveAverage="0" equalAverage="0" bottom="0" percent="0" rank="0" text="" dxfId="4567">
      <formula>'1857'!$I$13</formula>
    </cfRule>
    <cfRule type="cellIs" priority="323" operator="lessThan" aboveAverage="0" equalAverage="0" bottom="0" percent="0" rank="0" text="" dxfId="4568">
      <formula>'1857'!$I$13</formula>
    </cfRule>
  </conditionalFormatting>
  <conditionalFormatting sqref="J14">
    <cfRule type="cellIs" priority="324" operator="equal" aboveAverage="0" equalAverage="0" bottom="0" percent="0" rank="0" text="" dxfId="4569">
      <formula>'1857'!$I$14</formula>
    </cfRule>
    <cfRule type="cellIs" priority="325" operator="lessThan" aboveAverage="0" equalAverage="0" bottom="0" percent="0" rank="0" text="" dxfId="4570">
      <formula>'1857'!$I$14</formula>
    </cfRule>
  </conditionalFormatting>
  <conditionalFormatting sqref="J15">
    <cfRule type="cellIs" priority="326" operator="equal" aboveAverage="0" equalAverage="0" bottom="0" percent="0" rank="0" text="" dxfId="4571">
      <formula>'1857'!$I$15</formula>
    </cfRule>
    <cfRule type="cellIs" priority="327" operator="lessThan" aboveAverage="0" equalAverage="0" bottom="0" percent="0" rank="0" text="" dxfId="4572">
      <formula>'1857'!$I$15</formula>
    </cfRule>
  </conditionalFormatting>
  <conditionalFormatting sqref="J16">
    <cfRule type="cellIs" priority="328" operator="equal" aboveAverage="0" equalAverage="0" bottom="0" percent="0" rank="0" text="" dxfId="4573">
      <formula>'1857'!$I$16</formula>
    </cfRule>
    <cfRule type="cellIs" priority="329" operator="lessThan" aboveAverage="0" equalAverage="0" bottom="0" percent="0" rank="0" text="" dxfId="4574">
      <formula>'1857'!$I$16</formula>
    </cfRule>
  </conditionalFormatting>
  <conditionalFormatting sqref="J17">
    <cfRule type="cellIs" priority="330" operator="equal" aboveAverage="0" equalAverage="0" bottom="0" percent="0" rank="0" text="" dxfId="4575">
      <formula>'1857'!$I$17</formula>
    </cfRule>
    <cfRule type="cellIs" priority="331" operator="lessThan" aboveAverage="0" equalAverage="0" bottom="0" percent="0" rank="0" text="" dxfId="4576">
      <formula>'1857'!$I$17</formula>
    </cfRule>
  </conditionalFormatting>
  <conditionalFormatting sqref="J18">
    <cfRule type="cellIs" priority="332" operator="equal" aboveAverage="0" equalAverage="0" bottom="0" percent="0" rank="0" text="" dxfId="4577">
      <formula>'1857'!$I$18</formula>
    </cfRule>
    <cfRule type="cellIs" priority="333" operator="lessThan" aboveAverage="0" equalAverage="0" bottom="0" percent="0" rank="0" text="" dxfId="4578">
      <formula>'1857'!$I$18</formula>
    </cfRule>
  </conditionalFormatting>
  <conditionalFormatting sqref="J19">
    <cfRule type="cellIs" priority="334" operator="equal" aboveAverage="0" equalAverage="0" bottom="0" percent="0" rank="0" text="" dxfId="4579">
      <formula>'1857'!$I$19</formula>
    </cfRule>
    <cfRule type="cellIs" priority="335" operator="lessThan" aboveAverage="0" equalAverage="0" bottom="0" percent="0" rank="0" text="" dxfId="4580">
      <formula>'1857'!$I$19</formula>
    </cfRule>
  </conditionalFormatting>
  <conditionalFormatting sqref="J20">
    <cfRule type="cellIs" priority="336" operator="equal" aboveAverage="0" equalAverage="0" bottom="0" percent="0" rank="0" text="" dxfId="4581">
      <formula>'1857'!$I$20</formula>
    </cfRule>
    <cfRule type="cellIs" priority="337" operator="lessThan" aboveAverage="0" equalAverage="0" bottom="0" percent="0" rank="0" text="" dxfId="4582">
      <formula>'1857'!$I$20</formula>
    </cfRule>
  </conditionalFormatting>
  <conditionalFormatting sqref="J21">
    <cfRule type="cellIs" priority="338" operator="equal" aboveAverage="0" equalAverage="0" bottom="0" percent="0" rank="0" text="" dxfId="4583">
      <formula>'1857'!$I$21</formula>
    </cfRule>
    <cfRule type="cellIs" priority="339" operator="lessThan" aboveAverage="0" equalAverage="0" bottom="0" percent="0" rank="0" text="" dxfId="4584">
      <formula>'1857'!$I$21</formula>
    </cfRule>
  </conditionalFormatting>
  <conditionalFormatting sqref="J22">
    <cfRule type="cellIs" priority="340" operator="equal" aboveAverage="0" equalAverage="0" bottom="0" percent="0" rank="0" text="" dxfId="4585">
      <formula>'1857'!$I$22</formula>
    </cfRule>
    <cfRule type="cellIs" priority="341" operator="lessThan" aboveAverage="0" equalAverage="0" bottom="0" percent="0" rank="0" text="" dxfId="4586">
      <formula>'1857'!$I$22</formula>
    </cfRule>
  </conditionalFormatting>
  <conditionalFormatting sqref="J23">
    <cfRule type="cellIs" priority="342" operator="equal" aboveAverage="0" equalAverage="0" bottom="0" percent="0" rank="0" text="" dxfId="4587">
      <formula>'1857'!$I$23</formula>
    </cfRule>
    <cfRule type="cellIs" priority="343" operator="lessThan" aboveAverage="0" equalAverage="0" bottom="0" percent="0" rank="0" text="" dxfId="4588">
      <formula>'1857'!$I$23</formula>
    </cfRule>
  </conditionalFormatting>
  <conditionalFormatting sqref="J24">
    <cfRule type="cellIs" priority="344" operator="equal" aboveAverage="0" equalAverage="0" bottom="0" percent="0" rank="0" text="" dxfId="4589">
      <formula>'1857'!$I$24</formula>
    </cfRule>
    <cfRule type="cellIs" priority="345" operator="lessThan" aboveAverage="0" equalAverage="0" bottom="0" percent="0" rank="0" text="" dxfId="4590">
      <formula>'1857'!$I$24</formula>
    </cfRule>
  </conditionalFormatting>
  <conditionalFormatting sqref="J25">
    <cfRule type="cellIs" priority="346" operator="equal" aboveAverage="0" equalAverage="0" bottom="0" percent="0" rank="0" text="" dxfId="4591">
      <formula>'1857'!$I$25</formula>
    </cfRule>
    <cfRule type="cellIs" priority="347" operator="lessThan" aboveAverage="0" equalAverage="0" bottom="0" percent="0" rank="0" text="" dxfId="4592">
      <formula>'1857'!$I$25</formula>
    </cfRule>
  </conditionalFormatting>
  <conditionalFormatting sqref="J26">
    <cfRule type="cellIs" priority="348" operator="equal" aboveAverage="0" equalAverage="0" bottom="0" percent="0" rank="0" text="" dxfId="4593">
      <formula>'1857'!$I$26</formula>
    </cfRule>
    <cfRule type="cellIs" priority="349" operator="lessThan" aboveAverage="0" equalAverage="0" bottom="0" percent="0" rank="0" text="" dxfId="4594">
      <formula>'1857'!$I$26</formula>
    </cfRule>
  </conditionalFormatting>
  <conditionalFormatting sqref="J27">
    <cfRule type="cellIs" priority="350" operator="equal" aboveAverage="0" equalAverage="0" bottom="0" percent="0" rank="0" text="" dxfId="4595">
      <formula>'1857'!$I$27</formula>
    </cfRule>
    <cfRule type="cellIs" priority="351" operator="lessThan" aboveAverage="0" equalAverage="0" bottom="0" percent="0" rank="0" text="" dxfId="4596">
      <formula>'1857'!$I$27</formula>
    </cfRule>
  </conditionalFormatting>
  <conditionalFormatting sqref="J28">
    <cfRule type="cellIs" priority="352" operator="equal" aboveAverage="0" equalAverage="0" bottom="0" percent="0" rank="0" text="" dxfId="4597">
      <formula>'1857'!$I$28</formula>
    </cfRule>
    <cfRule type="cellIs" priority="353" operator="lessThan" aboveAverage="0" equalAverage="0" bottom="0" percent="0" rank="0" text="" dxfId="4598">
      <formula>'1857'!$I$28</formula>
    </cfRule>
  </conditionalFormatting>
  <conditionalFormatting sqref="K4">
    <cfRule type="cellIs" priority="354" operator="equal" aboveAverage="0" equalAverage="0" bottom="0" percent="0" rank="0" text="" dxfId="4599">
      <formula>'1857'!$J$4</formula>
    </cfRule>
    <cfRule type="cellIs" priority="355" operator="lessThan" aboveAverage="0" equalAverage="0" bottom="0" percent="0" rank="0" text="" dxfId="4600">
      <formula>'1857'!$J$4</formula>
    </cfRule>
  </conditionalFormatting>
  <conditionalFormatting sqref="K5">
    <cfRule type="cellIs" priority="356" operator="equal" aboveAverage="0" equalAverage="0" bottom="0" percent="0" rank="0" text="" dxfId="4601">
      <formula>'1857'!$J$5</formula>
    </cfRule>
    <cfRule type="cellIs" priority="357" operator="lessThan" aboveAverage="0" equalAverage="0" bottom="0" percent="0" rank="0" text="" dxfId="4602">
      <formula>'1857'!$J$5</formula>
    </cfRule>
  </conditionalFormatting>
  <conditionalFormatting sqref="K6">
    <cfRule type="cellIs" priority="358" operator="equal" aboveAverage="0" equalAverage="0" bottom="0" percent="0" rank="0" text="" dxfId="4603">
      <formula>'1857'!$J$6</formula>
    </cfRule>
    <cfRule type="cellIs" priority="359" operator="lessThan" aboveAverage="0" equalAverage="0" bottom="0" percent="0" rank="0" text="" dxfId="4604">
      <formula>'1857'!$J$6</formula>
    </cfRule>
  </conditionalFormatting>
  <conditionalFormatting sqref="K7">
    <cfRule type="cellIs" priority="360" operator="equal" aboveAverage="0" equalAverage="0" bottom="0" percent="0" rank="0" text="" dxfId="4605">
      <formula>'1857'!$J$7</formula>
    </cfRule>
    <cfRule type="cellIs" priority="361" operator="lessThan" aboveAverage="0" equalAverage="0" bottom="0" percent="0" rank="0" text="" dxfId="4606">
      <formula>'1857'!$J$7</formula>
    </cfRule>
  </conditionalFormatting>
  <conditionalFormatting sqref="K8">
    <cfRule type="cellIs" priority="362" operator="equal" aboveAverage="0" equalAverage="0" bottom="0" percent="0" rank="0" text="" dxfId="4607">
      <formula>'1857'!$J$8</formula>
    </cfRule>
    <cfRule type="cellIs" priority="363" operator="lessThan" aboveAverage="0" equalAverage="0" bottom="0" percent="0" rank="0" text="" dxfId="4608">
      <formula>'1857'!$J$8</formula>
    </cfRule>
  </conditionalFormatting>
  <conditionalFormatting sqref="K9">
    <cfRule type="cellIs" priority="364" operator="equal" aboveAverage="0" equalAverage="0" bottom="0" percent="0" rank="0" text="" dxfId="4609">
      <formula>'1857'!$J$9</formula>
    </cfRule>
    <cfRule type="cellIs" priority="365" operator="lessThan" aboveAverage="0" equalAverage="0" bottom="0" percent="0" rank="0" text="" dxfId="4610">
      <formula>'1857'!$J$9</formula>
    </cfRule>
  </conditionalFormatting>
  <conditionalFormatting sqref="K10">
    <cfRule type="cellIs" priority="366" operator="equal" aboveAverage="0" equalAverage="0" bottom="0" percent="0" rank="0" text="" dxfId="4611">
      <formula>'1857'!$J$10</formula>
    </cfRule>
    <cfRule type="cellIs" priority="367" operator="lessThan" aboveAverage="0" equalAverage="0" bottom="0" percent="0" rank="0" text="" dxfId="4612">
      <formula>'1857'!$J$10</formula>
    </cfRule>
  </conditionalFormatting>
  <conditionalFormatting sqref="K11">
    <cfRule type="cellIs" priority="368" operator="equal" aboveAverage="0" equalAverage="0" bottom="0" percent="0" rank="0" text="" dxfId="4613">
      <formula>'1857'!$J$11</formula>
    </cfRule>
    <cfRule type="cellIs" priority="369" operator="lessThan" aboveAverage="0" equalAverage="0" bottom="0" percent="0" rank="0" text="" dxfId="4614">
      <formula>'1857'!$J$11</formula>
    </cfRule>
  </conditionalFormatting>
  <conditionalFormatting sqref="K12">
    <cfRule type="cellIs" priority="370" operator="equal" aboveAverage="0" equalAverage="0" bottom="0" percent="0" rank="0" text="" dxfId="4615">
      <formula>'1857'!$J$12</formula>
    </cfRule>
    <cfRule type="cellIs" priority="371" operator="lessThan" aboveAverage="0" equalAverage="0" bottom="0" percent="0" rank="0" text="" dxfId="4616">
      <formula>'1857'!$J$12</formula>
    </cfRule>
  </conditionalFormatting>
  <conditionalFormatting sqref="K13">
    <cfRule type="cellIs" priority="372" operator="equal" aboveAverage="0" equalAverage="0" bottom="0" percent="0" rank="0" text="" dxfId="4617">
      <formula>'1857'!$J$13</formula>
    </cfRule>
    <cfRule type="cellIs" priority="373" operator="lessThan" aboveAverage="0" equalAverage="0" bottom="0" percent="0" rank="0" text="" dxfId="4618">
      <formula>'1857'!$J$13</formula>
    </cfRule>
  </conditionalFormatting>
  <conditionalFormatting sqref="K14">
    <cfRule type="cellIs" priority="374" operator="equal" aboveAverage="0" equalAverage="0" bottom="0" percent="0" rank="0" text="" dxfId="4619">
      <formula>'1857'!$J$14</formula>
    </cfRule>
    <cfRule type="cellIs" priority="375" operator="lessThan" aboveAverage="0" equalAverage="0" bottom="0" percent="0" rank="0" text="" dxfId="4620">
      <formula>'1857'!$J$14</formula>
    </cfRule>
  </conditionalFormatting>
  <conditionalFormatting sqref="K15">
    <cfRule type="cellIs" priority="376" operator="equal" aboveAverage="0" equalAverage="0" bottom="0" percent="0" rank="0" text="" dxfId="4621">
      <formula>'1857'!$J$15</formula>
    </cfRule>
    <cfRule type="cellIs" priority="377" operator="lessThan" aboveAverage="0" equalAverage="0" bottom="0" percent="0" rank="0" text="" dxfId="4622">
      <formula>'1857'!$J$15</formula>
    </cfRule>
  </conditionalFormatting>
  <conditionalFormatting sqref="K16">
    <cfRule type="cellIs" priority="378" operator="equal" aboveAverage="0" equalAverage="0" bottom="0" percent="0" rank="0" text="" dxfId="4623">
      <formula>'1857'!$J$16</formula>
    </cfRule>
    <cfRule type="cellIs" priority="379" operator="lessThan" aboveAverage="0" equalAverage="0" bottom="0" percent="0" rank="0" text="" dxfId="4624">
      <formula>'1857'!$J$16</formula>
    </cfRule>
  </conditionalFormatting>
  <conditionalFormatting sqref="K17">
    <cfRule type="cellIs" priority="380" operator="equal" aboveAverage="0" equalAverage="0" bottom="0" percent="0" rank="0" text="" dxfId="4625">
      <formula>'1857'!$J$17</formula>
    </cfRule>
    <cfRule type="cellIs" priority="381" operator="lessThan" aboveAverage="0" equalAverage="0" bottom="0" percent="0" rank="0" text="" dxfId="4626">
      <formula>'1857'!$J$17</formula>
    </cfRule>
  </conditionalFormatting>
  <conditionalFormatting sqref="K18">
    <cfRule type="cellIs" priority="382" operator="equal" aboveAverage="0" equalAverage="0" bottom="0" percent="0" rank="0" text="" dxfId="4627">
      <formula>'1857'!$J$18</formula>
    </cfRule>
    <cfRule type="cellIs" priority="383" operator="lessThan" aboveAverage="0" equalAverage="0" bottom="0" percent="0" rank="0" text="" dxfId="4628">
      <formula>'1857'!$J$18</formula>
    </cfRule>
  </conditionalFormatting>
  <conditionalFormatting sqref="K19">
    <cfRule type="cellIs" priority="384" operator="equal" aboveAverage="0" equalAverage="0" bottom="0" percent="0" rank="0" text="" dxfId="4629">
      <formula>'1857'!$J$19</formula>
    </cfRule>
    <cfRule type="cellIs" priority="385" operator="lessThan" aboveAverage="0" equalAverage="0" bottom="0" percent="0" rank="0" text="" dxfId="4630">
      <formula>'1857'!$J$19</formula>
    </cfRule>
  </conditionalFormatting>
  <conditionalFormatting sqref="K20">
    <cfRule type="cellIs" priority="386" operator="equal" aboveAverage="0" equalAverage="0" bottom="0" percent="0" rank="0" text="" dxfId="4631">
      <formula>'1857'!$J$20</formula>
    </cfRule>
    <cfRule type="cellIs" priority="387" operator="lessThan" aboveAverage="0" equalAverage="0" bottom="0" percent="0" rank="0" text="" dxfId="4632">
      <formula>'1857'!$J$20</formula>
    </cfRule>
  </conditionalFormatting>
  <conditionalFormatting sqref="K21">
    <cfRule type="cellIs" priority="388" operator="equal" aboveAverage="0" equalAverage="0" bottom="0" percent="0" rank="0" text="" dxfId="4633">
      <formula>'1857'!$J$21</formula>
    </cfRule>
    <cfRule type="cellIs" priority="389" operator="lessThan" aboveAverage="0" equalAverage="0" bottom="0" percent="0" rank="0" text="" dxfId="4634">
      <formula>'1857'!$J$21</formula>
    </cfRule>
  </conditionalFormatting>
  <conditionalFormatting sqref="K22">
    <cfRule type="cellIs" priority="390" operator="equal" aboveAverage="0" equalAverage="0" bottom="0" percent="0" rank="0" text="" dxfId="4635">
      <formula>'1857'!$J$22</formula>
    </cfRule>
    <cfRule type="cellIs" priority="391" operator="lessThan" aboveAverage="0" equalAverage="0" bottom="0" percent="0" rank="0" text="" dxfId="4636">
      <formula>'1857'!$J$22</formula>
    </cfRule>
  </conditionalFormatting>
  <conditionalFormatting sqref="K23">
    <cfRule type="cellIs" priority="392" operator="equal" aboveAverage="0" equalAverage="0" bottom="0" percent="0" rank="0" text="" dxfId="4637">
      <formula>'1857'!$J$23</formula>
    </cfRule>
    <cfRule type="cellIs" priority="393" operator="lessThan" aboveAverage="0" equalAverage="0" bottom="0" percent="0" rank="0" text="" dxfId="4638">
      <formula>'1857'!$J$23</formula>
    </cfRule>
  </conditionalFormatting>
  <conditionalFormatting sqref="K24">
    <cfRule type="cellIs" priority="394" operator="equal" aboveAverage="0" equalAverage="0" bottom="0" percent="0" rank="0" text="" dxfId="4639">
      <formula>'1857'!$J$24</formula>
    </cfRule>
    <cfRule type="cellIs" priority="395" operator="lessThan" aboveAverage="0" equalAverage="0" bottom="0" percent="0" rank="0" text="" dxfId="4640">
      <formula>'1857'!$J$24</formula>
    </cfRule>
  </conditionalFormatting>
  <conditionalFormatting sqref="K25">
    <cfRule type="cellIs" priority="396" operator="equal" aboveAverage="0" equalAverage="0" bottom="0" percent="0" rank="0" text="" dxfId="4641">
      <formula>'1857'!$J$25</formula>
    </cfRule>
    <cfRule type="cellIs" priority="397" operator="lessThan" aboveAverage="0" equalAverage="0" bottom="0" percent="0" rank="0" text="" dxfId="4642">
      <formula>'1857'!$J$25</formula>
    </cfRule>
  </conditionalFormatting>
  <conditionalFormatting sqref="K26">
    <cfRule type="cellIs" priority="398" operator="equal" aboveAverage="0" equalAverage="0" bottom="0" percent="0" rank="0" text="" dxfId="4643">
      <formula>'1857'!$J$26</formula>
    </cfRule>
    <cfRule type="cellIs" priority="399" operator="lessThan" aboveAverage="0" equalAverage="0" bottom="0" percent="0" rank="0" text="" dxfId="4644">
      <formula>'1857'!$J$26</formula>
    </cfRule>
  </conditionalFormatting>
  <conditionalFormatting sqref="K27">
    <cfRule type="cellIs" priority="400" operator="equal" aboveAverage="0" equalAverage="0" bottom="0" percent="0" rank="0" text="" dxfId="4645">
      <formula>'1857'!$J$27</formula>
    </cfRule>
    <cfRule type="cellIs" priority="401" operator="lessThan" aboveAverage="0" equalAverage="0" bottom="0" percent="0" rank="0" text="" dxfId="4646">
      <formula>'1857'!$J$27</formula>
    </cfRule>
  </conditionalFormatting>
  <conditionalFormatting sqref="K28">
    <cfRule type="cellIs" priority="402" operator="lessThan" aboveAverage="0" equalAverage="0" bottom="0" percent="0" rank="0" text="" dxfId="4647">
      <formula>'1857'!$J$28</formula>
    </cfRule>
    <cfRule type="cellIs" priority="403" operator="equal" aboveAverage="0" equalAverage="0" bottom="0" percent="0" rank="0" text="" dxfId="4648">
      <formula>'1857'!$J$28</formula>
    </cfRule>
  </conditionalFormatting>
  <conditionalFormatting sqref="L4">
    <cfRule type="cellIs" priority="404" operator="equal" aboveAverage="0" equalAverage="0" bottom="0" percent="0" rank="0" text="" dxfId="4649">
      <formula>'1857'!$K$4</formula>
    </cfRule>
    <cfRule type="cellIs" priority="405" operator="lessThan" aboveAverage="0" equalAverage="0" bottom="0" percent="0" rank="0" text="" dxfId="4650">
      <formula>'1857'!$K$4</formula>
    </cfRule>
  </conditionalFormatting>
  <conditionalFormatting sqref="L5">
    <cfRule type="cellIs" priority="406" operator="equal" aboveAverage="0" equalAverage="0" bottom="0" percent="0" rank="0" text="" dxfId="4651">
      <formula>'1857'!$K$5</formula>
    </cfRule>
    <cfRule type="cellIs" priority="407" operator="lessThan" aboveAverage="0" equalAverage="0" bottom="0" percent="0" rank="0" text="" dxfId="4652">
      <formula>'1857'!$K$5</formula>
    </cfRule>
  </conditionalFormatting>
  <conditionalFormatting sqref="L6">
    <cfRule type="cellIs" priority="408" operator="equal" aboveAverage="0" equalAverage="0" bottom="0" percent="0" rank="0" text="" dxfId="4653">
      <formula>'1857'!$K$6</formula>
    </cfRule>
    <cfRule type="cellIs" priority="409" operator="lessThan" aboveAverage="0" equalAverage="0" bottom="0" percent="0" rank="0" text="" dxfId="4654">
      <formula>'1857'!$K$6</formula>
    </cfRule>
  </conditionalFormatting>
  <conditionalFormatting sqref="L7">
    <cfRule type="cellIs" priority="410" operator="equal" aboveAverage="0" equalAverage="0" bottom="0" percent="0" rank="0" text="" dxfId="4655">
      <formula>'1857'!$K$7</formula>
    </cfRule>
    <cfRule type="cellIs" priority="411" operator="lessThan" aboveAverage="0" equalAverage="0" bottom="0" percent="0" rank="0" text="" dxfId="4656">
      <formula>'1857'!$K$7</formula>
    </cfRule>
  </conditionalFormatting>
  <conditionalFormatting sqref="L8">
    <cfRule type="cellIs" priority="412" operator="equal" aboveAverage="0" equalAverage="0" bottom="0" percent="0" rank="0" text="" dxfId="4657">
      <formula>'1857'!$K$8</formula>
    </cfRule>
    <cfRule type="cellIs" priority="413" operator="lessThan" aboveAverage="0" equalAverage="0" bottom="0" percent="0" rank="0" text="" dxfId="4658">
      <formula>'1857'!$K$8</formula>
    </cfRule>
  </conditionalFormatting>
  <conditionalFormatting sqref="L9">
    <cfRule type="cellIs" priority="414" operator="equal" aboveAverage="0" equalAverage="0" bottom="0" percent="0" rank="0" text="" dxfId="4659">
      <formula>'1857'!$K$9</formula>
    </cfRule>
    <cfRule type="cellIs" priority="415" operator="lessThan" aboveAverage="0" equalAverage="0" bottom="0" percent="0" rank="0" text="" dxfId="4660">
      <formula>'1857'!$K$9</formula>
    </cfRule>
  </conditionalFormatting>
  <conditionalFormatting sqref="L10">
    <cfRule type="cellIs" priority="416" operator="equal" aboveAverage="0" equalAverage="0" bottom="0" percent="0" rank="0" text="" dxfId="4661">
      <formula>'1857'!$K$10</formula>
    </cfRule>
    <cfRule type="cellIs" priority="417" operator="lessThan" aboveAverage="0" equalAverage="0" bottom="0" percent="0" rank="0" text="" dxfId="4662">
      <formula>'1857'!$K$10</formula>
    </cfRule>
  </conditionalFormatting>
  <conditionalFormatting sqref="L12">
    <cfRule type="cellIs" priority="418" operator="equal" aboveAverage="0" equalAverage="0" bottom="0" percent="0" rank="0" text="" dxfId="4663">
      <formula>'1857'!$K$12</formula>
    </cfRule>
    <cfRule type="cellIs" priority="419" operator="lessThan" aboveAverage="0" equalAverage="0" bottom="0" percent="0" rank="0" text="" dxfId="4664">
      <formula>'1857'!$K$12</formula>
    </cfRule>
  </conditionalFormatting>
  <conditionalFormatting sqref="L13">
    <cfRule type="cellIs" priority="420" operator="equal" aboveAverage="0" equalAverage="0" bottom="0" percent="0" rank="0" text="" dxfId="4665">
      <formula>'1857'!$K$13</formula>
    </cfRule>
    <cfRule type="cellIs" priority="421" operator="lessThan" aboveAverage="0" equalAverage="0" bottom="0" percent="0" rank="0" text="" dxfId="4666">
      <formula>'1857'!$K$13</formula>
    </cfRule>
  </conditionalFormatting>
  <conditionalFormatting sqref="L14">
    <cfRule type="cellIs" priority="422" operator="equal" aboveAverage="0" equalAverage="0" bottom="0" percent="0" rank="0" text="" dxfId="4667">
      <formula>'1857'!$K$14</formula>
    </cfRule>
    <cfRule type="cellIs" priority="423" operator="lessThan" aboveAverage="0" equalAverage="0" bottom="0" percent="0" rank="0" text="" dxfId="4668">
      <formula>'1857'!$K$14</formula>
    </cfRule>
  </conditionalFormatting>
  <conditionalFormatting sqref="L15">
    <cfRule type="cellIs" priority="424" operator="equal" aboveAverage="0" equalAverage="0" bottom="0" percent="0" rank="0" text="" dxfId="4669">
      <formula>'1857'!$K$15</formula>
    </cfRule>
    <cfRule type="cellIs" priority="425" operator="lessThan" aboveAverage="0" equalAverage="0" bottom="0" percent="0" rank="0" text="" dxfId="4670">
      <formula>'1857'!$K$15</formula>
    </cfRule>
  </conditionalFormatting>
  <conditionalFormatting sqref="L16">
    <cfRule type="cellIs" priority="426" operator="equal" aboveAverage="0" equalAverage="0" bottom="0" percent="0" rank="0" text="" dxfId="4671">
      <formula>'1857'!$K$16</formula>
    </cfRule>
    <cfRule type="cellIs" priority="427" operator="lessThan" aboveAverage="0" equalAverage="0" bottom="0" percent="0" rank="0" text="" dxfId="4672">
      <formula>'1857'!$K$16</formula>
    </cfRule>
  </conditionalFormatting>
  <conditionalFormatting sqref="L17">
    <cfRule type="cellIs" priority="428" operator="equal" aboveAverage="0" equalAverage="0" bottom="0" percent="0" rank="0" text="" dxfId="4673">
      <formula>'1857'!$K$17</formula>
    </cfRule>
    <cfRule type="cellIs" priority="429" operator="lessThan" aboveAverage="0" equalAverage="0" bottom="0" percent="0" rank="0" text="" dxfId="4674">
      <formula>'1857'!$K$17</formula>
    </cfRule>
  </conditionalFormatting>
  <conditionalFormatting sqref="L18">
    <cfRule type="cellIs" priority="430" operator="equal" aboveAverage="0" equalAverage="0" bottom="0" percent="0" rank="0" text="" dxfId="4675">
      <formula>'1857'!$K$18</formula>
    </cfRule>
    <cfRule type="cellIs" priority="431" operator="lessThan" aboveAverage="0" equalAverage="0" bottom="0" percent="0" rank="0" text="" dxfId="4676">
      <formula>'1857'!$K$18</formula>
    </cfRule>
  </conditionalFormatting>
  <conditionalFormatting sqref="L19">
    <cfRule type="cellIs" priority="432" operator="equal" aboveAverage="0" equalAverage="0" bottom="0" percent="0" rank="0" text="" dxfId="4677">
      <formula>'1857'!$K$19</formula>
    </cfRule>
    <cfRule type="cellIs" priority="433" operator="lessThan" aboveAverage="0" equalAverage="0" bottom="0" percent="0" rank="0" text="" dxfId="4678">
      <formula>'1857'!$K$19</formula>
    </cfRule>
  </conditionalFormatting>
  <conditionalFormatting sqref="L20">
    <cfRule type="cellIs" priority="434" operator="equal" aboveAverage="0" equalAverage="0" bottom="0" percent="0" rank="0" text="" dxfId="4679">
      <formula>'1857'!$K$20</formula>
    </cfRule>
    <cfRule type="cellIs" priority="435" operator="lessThan" aboveAverage="0" equalAverage="0" bottom="0" percent="0" rank="0" text="" dxfId="4680">
      <formula>'1857'!$K$20</formula>
    </cfRule>
  </conditionalFormatting>
  <conditionalFormatting sqref="L21">
    <cfRule type="cellIs" priority="436" operator="equal" aboveAverage="0" equalAverage="0" bottom="0" percent="0" rank="0" text="" dxfId="4681">
      <formula>'1857'!$K$21</formula>
    </cfRule>
    <cfRule type="cellIs" priority="437" operator="lessThan" aboveAverage="0" equalAverage="0" bottom="0" percent="0" rank="0" text="" dxfId="4682">
      <formula>'1857'!$K$21</formula>
    </cfRule>
  </conditionalFormatting>
  <conditionalFormatting sqref="L11">
    <cfRule type="cellIs" priority="438" operator="equal" aboveAverage="0" equalAverage="0" bottom="0" percent="0" rank="0" text="" dxfId="4683">
      <formula>'1857'!$K$11</formula>
    </cfRule>
    <cfRule type="cellIs" priority="439" operator="lessThan" aboveAverage="0" equalAverage="0" bottom="0" percent="0" rank="0" text="" dxfId="4684">
      <formula>'1857'!$K$11</formula>
    </cfRule>
  </conditionalFormatting>
  <conditionalFormatting sqref="L22">
    <cfRule type="cellIs" priority="440" operator="equal" aboveAverage="0" equalAverage="0" bottom="0" percent="0" rank="0" text="" dxfId="4685">
      <formula>'1857'!$K$22</formula>
    </cfRule>
    <cfRule type="cellIs" priority="441" operator="lessThan" aboveAverage="0" equalAverage="0" bottom="0" percent="0" rank="0" text="" dxfId="4686">
      <formula>'1857'!$K$22</formula>
    </cfRule>
  </conditionalFormatting>
  <conditionalFormatting sqref="L23">
    <cfRule type="cellIs" priority="442" operator="equal" aboveAverage="0" equalAverage="0" bottom="0" percent="0" rank="0" text="" dxfId="4687">
      <formula>'1857'!$K$23</formula>
    </cfRule>
    <cfRule type="cellIs" priority="443" operator="lessThan" aboveAverage="0" equalAverage="0" bottom="0" percent="0" rank="0" text="" dxfId="4688">
      <formula>'1857'!$K$23</formula>
    </cfRule>
  </conditionalFormatting>
  <conditionalFormatting sqref="L24">
    <cfRule type="cellIs" priority="444" operator="equal" aboveAverage="0" equalAverage="0" bottom="0" percent="0" rank="0" text="" dxfId="4689">
      <formula>'1857'!$K$24</formula>
    </cfRule>
    <cfRule type="cellIs" priority="445" operator="lessThan" aboveAverage="0" equalAverage="0" bottom="0" percent="0" rank="0" text="" dxfId="4690">
      <formula>'1857'!$K$24</formula>
    </cfRule>
  </conditionalFormatting>
  <conditionalFormatting sqref="L25">
    <cfRule type="cellIs" priority="446" operator="equal" aboveAverage="0" equalAverage="0" bottom="0" percent="0" rank="0" text="" dxfId="4691">
      <formula>'1857'!$K$25</formula>
    </cfRule>
    <cfRule type="cellIs" priority="447" operator="lessThan" aboveAverage="0" equalAverage="0" bottom="0" percent="0" rank="0" text="" dxfId="4692">
      <formula>'1857'!$K$25</formula>
    </cfRule>
  </conditionalFormatting>
  <conditionalFormatting sqref="L26">
    <cfRule type="cellIs" priority="448" operator="equal" aboveAverage="0" equalAverage="0" bottom="0" percent="0" rank="0" text="" dxfId="4693">
      <formula>'1857'!$K$26</formula>
    </cfRule>
    <cfRule type="cellIs" priority="449" operator="lessThan" aboveAverage="0" equalAverage="0" bottom="0" percent="0" rank="0" text="" dxfId="4694">
      <formula>'1857'!$K$26</formula>
    </cfRule>
  </conditionalFormatting>
  <conditionalFormatting sqref="L27">
    <cfRule type="cellIs" priority="450" operator="equal" aboveAverage="0" equalAverage="0" bottom="0" percent="0" rank="0" text="" dxfId="4695">
      <formula>'1857'!$K$27</formula>
    </cfRule>
    <cfRule type="cellIs" priority="451" operator="lessThan" aboveAverage="0" equalAverage="0" bottom="0" percent="0" rank="0" text="" dxfId="4696">
      <formula>'1857'!$K$27</formula>
    </cfRule>
  </conditionalFormatting>
  <conditionalFormatting sqref="L28">
    <cfRule type="cellIs" priority="452" operator="equal" aboveAverage="0" equalAverage="0" bottom="0" percent="0" rank="0" text="" dxfId="4697">
      <formula>'1857'!$K$28</formula>
    </cfRule>
    <cfRule type="cellIs" priority="453" operator="lessThan" aboveAverage="0" equalAverage="0" bottom="0" percent="0" rank="0" text="" dxfId="4698">
      <formula>'1857'!$K$28</formula>
    </cfRule>
  </conditionalFormatting>
  <conditionalFormatting sqref="M4">
    <cfRule type="cellIs" priority="454" operator="lessThan" aboveAverage="0" equalAverage="0" bottom="0" percent="0" rank="0" text="" dxfId="4699">
      <formula>'1857'!$L$4</formula>
    </cfRule>
    <cfRule type="cellIs" priority="455" operator="equal" aboveAverage="0" equalAverage="0" bottom="0" percent="0" rank="0" text="" dxfId="4700">
      <formula>'1857'!$L$4</formula>
    </cfRule>
  </conditionalFormatting>
  <conditionalFormatting sqref="M5">
    <cfRule type="cellIs" priority="456" operator="equal" aboveAverage="0" equalAverage="0" bottom="0" percent="0" rank="0" text="" dxfId="4701">
      <formula>'1857'!$L$5</formula>
    </cfRule>
    <cfRule type="cellIs" priority="457" operator="lessThan" aboveAverage="0" equalAverage="0" bottom="0" percent="0" rank="0" text="" dxfId="4702">
      <formula>'1857'!$L$5</formula>
    </cfRule>
  </conditionalFormatting>
  <conditionalFormatting sqref="M6">
    <cfRule type="cellIs" priority="458" operator="equal" aboveAverage="0" equalAverage="0" bottom="0" percent="0" rank="0" text="" dxfId="4703">
      <formula>'1857'!$L$6</formula>
    </cfRule>
    <cfRule type="cellIs" priority="459" operator="lessThan" aboveAverage="0" equalAverage="0" bottom="0" percent="0" rank="0" text="" dxfId="4704">
      <formula>'1857'!$L$6</formula>
    </cfRule>
  </conditionalFormatting>
  <conditionalFormatting sqref="M7">
    <cfRule type="cellIs" priority="460" operator="equal" aboveAverage="0" equalAverage="0" bottom="0" percent="0" rank="0" text="" dxfId="4705">
      <formula>'1857'!$L$7</formula>
    </cfRule>
    <cfRule type="cellIs" priority="461" operator="lessThan" aboveAverage="0" equalAverage="0" bottom="0" percent="0" rank="0" text="" dxfId="4706">
      <formula>'1857'!$L$7</formula>
    </cfRule>
  </conditionalFormatting>
  <conditionalFormatting sqref="M8">
    <cfRule type="cellIs" priority="462" operator="equal" aboveAverage="0" equalAverage="0" bottom="0" percent="0" rank="0" text="" dxfId="4707">
      <formula>'1857'!$L$8</formula>
    </cfRule>
    <cfRule type="cellIs" priority="463" operator="lessThan" aboveAverage="0" equalAverage="0" bottom="0" percent="0" rank="0" text="" dxfId="4708">
      <formula>'1857'!$L$8</formula>
    </cfRule>
  </conditionalFormatting>
  <conditionalFormatting sqref="M9">
    <cfRule type="cellIs" priority="464" operator="equal" aboveAverage="0" equalAverage="0" bottom="0" percent="0" rank="0" text="" dxfId="4709">
      <formula>'1857'!$L$9</formula>
    </cfRule>
    <cfRule type="cellIs" priority="465" operator="lessThan" aboveAverage="0" equalAverage="0" bottom="0" percent="0" rank="0" text="" dxfId="4710">
      <formula>'1857'!$L$9</formula>
    </cfRule>
  </conditionalFormatting>
  <conditionalFormatting sqref="M10">
    <cfRule type="cellIs" priority="466" operator="equal" aboveAverage="0" equalAverage="0" bottom="0" percent="0" rank="0" text="" dxfId="4711">
      <formula>'1857'!$L$10</formula>
    </cfRule>
    <cfRule type="cellIs" priority="467" operator="lessThan" aboveAverage="0" equalAverage="0" bottom="0" percent="0" rank="0" text="" dxfId="4712">
      <formula>'1857'!$L$10</formula>
    </cfRule>
  </conditionalFormatting>
  <conditionalFormatting sqref="M11">
    <cfRule type="cellIs" priority="468" operator="equal" aboveAverage="0" equalAverage="0" bottom="0" percent="0" rank="0" text="" dxfId="4713">
      <formula>'1857'!$L$11</formula>
    </cfRule>
    <cfRule type="cellIs" priority="469" operator="lessThan" aboveAverage="0" equalAverage="0" bottom="0" percent="0" rank="0" text="" dxfId="4714">
      <formula>'1857'!$L$11</formula>
    </cfRule>
  </conditionalFormatting>
  <conditionalFormatting sqref="M12">
    <cfRule type="cellIs" priority="470" operator="equal" aboveAverage="0" equalAverage="0" bottom="0" percent="0" rank="0" text="" dxfId="4715">
      <formula>'1857'!$L$12</formula>
    </cfRule>
    <cfRule type="cellIs" priority="471" operator="lessThan" aboveAverage="0" equalAverage="0" bottom="0" percent="0" rank="0" text="" dxfId="4716">
      <formula>'1857'!$L$12</formula>
    </cfRule>
  </conditionalFormatting>
  <conditionalFormatting sqref="M13">
    <cfRule type="cellIs" priority="472" operator="equal" aboveAverage="0" equalAverage="0" bottom="0" percent="0" rank="0" text="" dxfId="4717">
      <formula>'1857'!$L$13</formula>
    </cfRule>
    <cfRule type="cellIs" priority="473" operator="lessThan" aboveAverage="0" equalAverage="0" bottom="0" percent="0" rank="0" text="" dxfId="4718">
      <formula>'1857'!$L$13</formula>
    </cfRule>
  </conditionalFormatting>
  <conditionalFormatting sqref="M14">
    <cfRule type="cellIs" priority="474" operator="equal" aboveAverage="0" equalAverage="0" bottom="0" percent="0" rank="0" text="" dxfId="4719">
      <formula>'1857'!$L$14</formula>
    </cfRule>
    <cfRule type="cellIs" priority="475" operator="lessThan" aboveAverage="0" equalAverage="0" bottom="0" percent="0" rank="0" text="" dxfId="4720">
      <formula>'1857'!$L$14</formula>
    </cfRule>
  </conditionalFormatting>
  <conditionalFormatting sqref="M15">
    <cfRule type="cellIs" priority="476" operator="equal" aboveAverage="0" equalAverage="0" bottom="0" percent="0" rank="0" text="" dxfId="4721">
      <formula>'1857'!$L$15</formula>
    </cfRule>
    <cfRule type="cellIs" priority="477" operator="lessThan" aboveAverage="0" equalAverage="0" bottom="0" percent="0" rank="0" text="" dxfId="4722">
      <formula>'1857'!$L$15</formula>
    </cfRule>
  </conditionalFormatting>
  <conditionalFormatting sqref="M16">
    <cfRule type="cellIs" priority="478" operator="equal" aboveAverage="0" equalAverage="0" bottom="0" percent="0" rank="0" text="" dxfId="4723">
      <formula>'1857'!$L$16</formula>
    </cfRule>
    <cfRule type="cellIs" priority="479" operator="lessThan" aboveAverage="0" equalAverage="0" bottom="0" percent="0" rank="0" text="" dxfId="4724">
      <formula>'1857'!$L$16</formula>
    </cfRule>
  </conditionalFormatting>
  <conditionalFormatting sqref="M17">
    <cfRule type="cellIs" priority="480" operator="equal" aboveAverage="0" equalAverage="0" bottom="0" percent="0" rank="0" text="" dxfId="4725">
      <formula>'1857'!$L$17</formula>
    </cfRule>
    <cfRule type="cellIs" priority="481" operator="lessThan" aboveAverage="0" equalAverage="0" bottom="0" percent="0" rank="0" text="" dxfId="4726">
      <formula>'1857'!$L$17</formula>
    </cfRule>
  </conditionalFormatting>
  <conditionalFormatting sqref="M18">
    <cfRule type="cellIs" priority="482" operator="equal" aboveAverage="0" equalAverage="0" bottom="0" percent="0" rank="0" text="" dxfId="4727">
      <formula>'1857'!$L$18</formula>
    </cfRule>
    <cfRule type="cellIs" priority="483" operator="lessThan" aboveAverage="0" equalAverage="0" bottom="0" percent="0" rank="0" text="" dxfId="4728">
      <formula>'1857'!$L$18</formula>
    </cfRule>
  </conditionalFormatting>
  <conditionalFormatting sqref="M19">
    <cfRule type="cellIs" priority="484" operator="equal" aboveAverage="0" equalAverage="0" bottom="0" percent="0" rank="0" text="" dxfId="4729">
      <formula>'1857'!$L$19</formula>
    </cfRule>
    <cfRule type="cellIs" priority="485" operator="lessThan" aboveAverage="0" equalAverage="0" bottom="0" percent="0" rank="0" text="" dxfId="4730">
      <formula>'1857'!$L$19</formula>
    </cfRule>
  </conditionalFormatting>
  <conditionalFormatting sqref="M20">
    <cfRule type="cellIs" priority="486" operator="equal" aboveAverage="0" equalAverage="0" bottom="0" percent="0" rank="0" text="" dxfId="4731">
      <formula>'1857'!$L$20</formula>
    </cfRule>
    <cfRule type="cellIs" priority="487" operator="lessThan" aboveAverage="0" equalAverage="0" bottom="0" percent="0" rank="0" text="" dxfId="4732">
      <formula>'1857'!$L$20</formula>
    </cfRule>
  </conditionalFormatting>
  <conditionalFormatting sqref="M21">
    <cfRule type="cellIs" priority="488" operator="equal" aboveAverage="0" equalAverage="0" bottom="0" percent="0" rank="0" text="" dxfId="4733">
      <formula>'1857'!$L$21</formula>
    </cfRule>
    <cfRule type="cellIs" priority="489" operator="lessThan" aboveAverage="0" equalAverage="0" bottom="0" percent="0" rank="0" text="" dxfId="4734">
      <formula>'1857'!$L$21</formula>
    </cfRule>
  </conditionalFormatting>
  <conditionalFormatting sqref="M22">
    <cfRule type="cellIs" priority="490" operator="equal" aboveAverage="0" equalAverage="0" bottom="0" percent="0" rank="0" text="" dxfId="4735">
      <formula>'1857'!$L$22</formula>
    </cfRule>
    <cfRule type="cellIs" priority="491" operator="lessThan" aboveAverage="0" equalAverage="0" bottom="0" percent="0" rank="0" text="" dxfId="4736">
      <formula>'1857'!$L$22</formula>
    </cfRule>
  </conditionalFormatting>
  <conditionalFormatting sqref="M23">
    <cfRule type="cellIs" priority="492" operator="equal" aboveAverage="0" equalAverage="0" bottom="0" percent="0" rank="0" text="" dxfId="4737">
      <formula>'1857'!$L$23</formula>
    </cfRule>
    <cfRule type="cellIs" priority="493" operator="lessThan" aboveAverage="0" equalAverage="0" bottom="0" percent="0" rank="0" text="" dxfId="4738">
      <formula>'1857'!$L$23</formula>
    </cfRule>
  </conditionalFormatting>
  <conditionalFormatting sqref="M24">
    <cfRule type="cellIs" priority="494" operator="equal" aboveAverage="0" equalAverage="0" bottom="0" percent="0" rank="0" text="" dxfId="4739">
      <formula>'1857'!$L$24</formula>
    </cfRule>
    <cfRule type="cellIs" priority="495" operator="lessThan" aboveAverage="0" equalAverage="0" bottom="0" percent="0" rank="0" text="" dxfId="4740">
      <formula>'1857'!$L$24</formula>
    </cfRule>
  </conditionalFormatting>
  <conditionalFormatting sqref="M25">
    <cfRule type="cellIs" priority="496" operator="equal" aboveAverage="0" equalAverage="0" bottom="0" percent="0" rank="0" text="" dxfId="4741">
      <formula>'1857'!$L$25</formula>
    </cfRule>
    <cfRule type="cellIs" priority="497" operator="lessThan" aboveAverage="0" equalAverage="0" bottom="0" percent="0" rank="0" text="" dxfId="4742">
      <formula>'1857'!$L$25</formula>
    </cfRule>
  </conditionalFormatting>
  <conditionalFormatting sqref="M26">
    <cfRule type="cellIs" priority="498" operator="equal" aboveAverage="0" equalAverage="0" bottom="0" percent="0" rank="0" text="" dxfId="4743">
      <formula>'1857'!$L$26</formula>
    </cfRule>
    <cfRule type="cellIs" priority="499" operator="lessThan" aboveAverage="0" equalAverage="0" bottom="0" percent="0" rank="0" text="" dxfId="4744">
      <formula>'1857'!$L$26</formula>
    </cfRule>
  </conditionalFormatting>
  <conditionalFormatting sqref="M27">
    <cfRule type="cellIs" priority="500" operator="equal" aboveAverage="0" equalAverage="0" bottom="0" percent="0" rank="0" text="" dxfId="4745">
      <formula>'1857'!$L$27</formula>
    </cfRule>
    <cfRule type="cellIs" priority="501" operator="lessThan" aboveAverage="0" equalAverage="0" bottom="0" percent="0" rank="0" text="" dxfId="4746">
      <formula>'1857'!$L$27</formula>
    </cfRule>
  </conditionalFormatting>
  <conditionalFormatting sqref="M28">
    <cfRule type="cellIs" priority="502" operator="equal" aboveAverage="0" equalAverage="0" bottom="0" percent="0" rank="0" text="" dxfId="4747">
      <formula>'1857'!$L$28</formula>
    </cfRule>
    <cfRule type="cellIs" priority="503" operator="lessThan" aboveAverage="0" equalAverage="0" bottom="0" percent="0" rank="0" text="" dxfId="4748">
      <formula>'1857'!$L$28</formula>
    </cfRule>
  </conditionalFormatting>
  <conditionalFormatting sqref="N4">
    <cfRule type="cellIs" priority="504" operator="equal" aboveAverage="0" equalAverage="0" bottom="0" percent="0" rank="0" text="" dxfId="4749">
      <formula>'1857'!$M$4</formula>
    </cfRule>
    <cfRule type="cellIs" priority="505" operator="lessThan" aboveAverage="0" equalAverage="0" bottom="0" percent="0" rank="0" text="" dxfId="4750">
      <formula>'1857'!$M$4</formula>
    </cfRule>
  </conditionalFormatting>
  <conditionalFormatting sqref="N5">
    <cfRule type="cellIs" priority="506" operator="equal" aboveAverage="0" equalAverage="0" bottom="0" percent="0" rank="0" text="" dxfId="4751">
      <formula>'1857'!$M$5</formula>
    </cfRule>
    <cfRule type="cellIs" priority="507" operator="lessThan" aboveAverage="0" equalAverage="0" bottom="0" percent="0" rank="0" text="" dxfId="4752">
      <formula>'1857'!$M$5</formula>
    </cfRule>
  </conditionalFormatting>
  <conditionalFormatting sqref="N6">
    <cfRule type="cellIs" priority="508" operator="equal" aboveAverage="0" equalAverage="0" bottom="0" percent="0" rank="0" text="" dxfId="4753">
      <formula>'1857'!$M$6</formula>
    </cfRule>
    <cfRule type="cellIs" priority="509" operator="lessThan" aboveAverage="0" equalAverage="0" bottom="0" percent="0" rank="0" text="" dxfId="4754">
      <formula>'1857'!$M$6</formula>
    </cfRule>
  </conditionalFormatting>
  <conditionalFormatting sqref="N7">
    <cfRule type="cellIs" priority="510" operator="equal" aboveAverage="0" equalAverage="0" bottom="0" percent="0" rank="0" text="" dxfId="4755">
      <formula>'1857'!$M$7</formula>
    </cfRule>
    <cfRule type="cellIs" priority="511" operator="lessThan" aboveAverage="0" equalAverage="0" bottom="0" percent="0" rank="0" text="" dxfId="4756">
      <formula>'1857'!$M$7</formula>
    </cfRule>
  </conditionalFormatting>
  <conditionalFormatting sqref="N8">
    <cfRule type="cellIs" priority="512" operator="equal" aboveAverage="0" equalAverage="0" bottom="0" percent="0" rank="0" text="" dxfId="4757">
      <formula>'1857'!$M$8</formula>
    </cfRule>
    <cfRule type="cellIs" priority="513" operator="lessThan" aboveAverage="0" equalAverage="0" bottom="0" percent="0" rank="0" text="" dxfId="4758">
      <formula>'1857'!$M$8</formula>
    </cfRule>
  </conditionalFormatting>
  <conditionalFormatting sqref="N9">
    <cfRule type="cellIs" priority="514" operator="equal" aboveAverage="0" equalAverage="0" bottom="0" percent="0" rank="0" text="" dxfId="4759">
      <formula>'1857'!$M$9</formula>
    </cfRule>
    <cfRule type="cellIs" priority="515" operator="lessThan" aboveAverage="0" equalAverage="0" bottom="0" percent="0" rank="0" text="" dxfId="4760">
      <formula>'1857'!$M$9</formula>
    </cfRule>
  </conditionalFormatting>
  <conditionalFormatting sqref="N10">
    <cfRule type="cellIs" priority="516" operator="equal" aboveAverage="0" equalAverage="0" bottom="0" percent="0" rank="0" text="" dxfId="4761">
      <formula>'1857'!$M$10</formula>
    </cfRule>
    <cfRule type="cellIs" priority="517" operator="lessThan" aboveAverage="0" equalAverage="0" bottom="0" percent="0" rank="0" text="" dxfId="4762">
      <formula>'1857'!$M$10</formula>
    </cfRule>
  </conditionalFormatting>
  <conditionalFormatting sqref="N11">
    <cfRule type="cellIs" priority="518" operator="equal" aboveAverage="0" equalAverage="0" bottom="0" percent="0" rank="0" text="" dxfId="4763">
      <formula>'1857'!$M$11</formula>
    </cfRule>
    <cfRule type="cellIs" priority="519" operator="lessThan" aboveAverage="0" equalAverage="0" bottom="0" percent="0" rank="0" text="" dxfId="4764">
      <formula>'1857'!$M$11</formula>
    </cfRule>
  </conditionalFormatting>
  <conditionalFormatting sqref="N12">
    <cfRule type="cellIs" priority="520" operator="equal" aboveAverage="0" equalAverage="0" bottom="0" percent="0" rank="0" text="" dxfId="4765">
      <formula>'1857'!$M$12</formula>
    </cfRule>
    <cfRule type="cellIs" priority="521" operator="lessThan" aboveAverage="0" equalAverage="0" bottom="0" percent="0" rank="0" text="" dxfId="4766">
      <formula>'1857'!$M$12</formula>
    </cfRule>
  </conditionalFormatting>
  <conditionalFormatting sqref="N13">
    <cfRule type="cellIs" priority="522" operator="equal" aboveAverage="0" equalAverage="0" bottom="0" percent="0" rank="0" text="" dxfId="4767">
      <formula>'1857'!$M$13</formula>
    </cfRule>
    <cfRule type="cellIs" priority="523" operator="lessThan" aboveAverage="0" equalAverage="0" bottom="0" percent="0" rank="0" text="" dxfId="4768">
      <formula>'1857'!$M$13</formula>
    </cfRule>
  </conditionalFormatting>
  <conditionalFormatting sqref="N14">
    <cfRule type="cellIs" priority="524" operator="equal" aboveAverage="0" equalAverage="0" bottom="0" percent="0" rank="0" text="" dxfId="4769">
      <formula>'1857'!$M$14</formula>
    </cfRule>
    <cfRule type="cellIs" priority="525" operator="lessThan" aboveAverage="0" equalAverage="0" bottom="0" percent="0" rank="0" text="" dxfId="4770">
      <formula>'1857'!$M$14</formula>
    </cfRule>
  </conditionalFormatting>
  <conditionalFormatting sqref="N15">
    <cfRule type="cellIs" priority="526" operator="equal" aboveAverage="0" equalAverage="0" bottom="0" percent="0" rank="0" text="" dxfId="4771">
      <formula>'1857'!$M$15</formula>
    </cfRule>
    <cfRule type="cellIs" priority="527" operator="lessThan" aboveAverage="0" equalAverage="0" bottom="0" percent="0" rank="0" text="" dxfId="4772">
      <formula>'1857'!$M$15</formula>
    </cfRule>
  </conditionalFormatting>
  <conditionalFormatting sqref="N16">
    <cfRule type="cellIs" priority="528" operator="equal" aboveAverage="0" equalAverage="0" bottom="0" percent="0" rank="0" text="" dxfId="4773">
      <formula>'1857'!$M$16</formula>
    </cfRule>
    <cfRule type="cellIs" priority="529" operator="lessThan" aboveAverage="0" equalAverage="0" bottom="0" percent="0" rank="0" text="" dxfId="4774">
      <formula>'1857'!$M$16</formula>
    </cfRule>
  </conditionalFormatting>
  <conditionalFormatting sqref="N17">
    <cfRule type="cellIs" priority="530" operator="equal" aboveAverage="0" equalAverage="0" bottom="0" percent="0" rank="0" text="" dxfId="4775">
      <formula>'1857'!$M$17</formula>
    </cfRule>
    <cfRule type="cellIs" priority="531" operator="lessThan" aboveAverage="0" equalAverage="0" bottom="0" percent="0" rank="0" text="" dxfId="4776">
      <formula>'1857'!$M$17</formula>
    </cfRule>
  </conditionalFormatting>
  <conditionalFormatting sqref="N18">
    <cfRule type="cellIs" priority="532" operator="equal" aboveAverage="0" equalAverage="0" bottom="0" percent="0" rank="0" text="" dxfId="4777">
      <formula>'1857'!$M$18</formula>
    </cfRule>
    <cfRule type="cellIs" priority="533" operator="lessThan" aboveAverage="0" equalAverage="0" bottom="0" percent="0" rank="0" text="" dxfId="4778">
      <formula>'1857'!$M$18</formula>
    </cfRule>
  </conditionalFormatting>
  <conditionalFormatting sqref="N19">
    <cfRule type="cellIs" priority="534" operator="equal" aboveAverage="0" equalAverage="0" bottom="0" percent="0" rank="0" text="" dxfId="4779">
      <formula>'1857'!$M$19</formula>
    </cfRule>
    <cfRule type="cellIs" priority="535" operator="lessThan" aboveAverage="0" equalAverage="0" bottom="0" percent="0" rank="0" text="" dxfId="4780">
      <formula>'1857'!$M$19</formula>
    </cfRule>
  </conditionalFormatting>
  <conditionalFormatting sqref="N20">
    <cfRule type="cellIs" priority="536" operator="equal" aboveAverage="0" equalAverage="0" bottom="0" percent="0" rank="0" text="" dxfId="4781">
      <formula>'1857'!$M$20</formula>
    </cfRule>
    <cfRule type="cellIs" priority="537" operator="lessThan" aboveAverage="0" equalAverage="0" bottom="0" percent="0" rank="0" text="" dxfId="4782">
      <formula>'1857'!$M$20</formula>
    </cfRule>
  </conditionalFormatting>
  <conditionalFormatting sqref="N21">
    <cfRule type="cellIs" priority="538" operator="equal" aboveAverage="0" equalAverage="0" bottom="0" percent="0" rank="0" text="" dxfId="4783">
      <formula>'1857'!$M$21</formula>
    </cfRule>
    <cfRule type="cellIs" priority="539" operator="lessThan" aboveAverage="0" equalAverage="0" bottom="0" percent="0" rank="0" text="" dxfId="4784">
      <formula>'1857'!$M$21</formula>
    </cfRule>
  </conditionalFormatting>
  <conditionalFormatting sqref="N22">
    <cfRule type="cellIs" priority="540" operator="equal" aboveAverage="0" equalAverage="0" bottom="0" percent="0" rank="0" text="" dxfId="4785">
      <formula>'1857'!$M$22</formula>
    </cfRule>
    <cfRule type="cellIs" priority="541" operator="lessThan" aboveAverage="0" equalAverage="0" bottom="0" percent="0" rank="0" text="" dxfId="4786">
      <formula>'1857'!$M$22</formula>
    </cfRule>
  </conditionalFormatting>
  <conditionalFormatting sqref="N23">
    <cfRule type="cellIs" priority="542" operator="equal" aboveAverage="0" equalAverage="0" bottom="0" percent="0" rank="0" text="" dxfId="4787">
      <formula>'1857'!$M$23</formula>
    </cfRule>
    <cfRule type="cellIs" priority="543" operator="lessThan" aboveAverage="0" equalAverage="0" bottom="0" percent="0" rank="0" text="" dxfId="4788">
      <formula>'1857'!$M$23</formula>
    </cfRule>
  </conditionalFormatting>
  <conditionalFormatting sqref="N24">
    <cfRule type="cellIs" priority="544" operator="equal" aboveAverage="0" equalAverage="0" bottom="0" percent="0" rank="0" text="" dxfId="4789">
      <formula>'1857'!$M$24</formula>
    </cfRule>
    <cfRule type="cellIs" priority="545" operator="lessThan" aboveAverage="0" equalAverage="0" bottom="0" percent="0" rank="0" text="" dxfId="4790">
      <formula>'1857'!$M$24</formula>
    </cfRule>
  </conditionalFormatting>
  <conditionalFormatting sqref="N25">
    <cfRule type="cellIs" priority="546" operator="equal" aboveAverage="0" equalAverage="0" bottom="0" percent="0" rank="0" text="" dxfId="4791">
      <formula>'1857'!$M$25</formula>
    </cfRule>
    <cfRule type="cellIs" priority="547" operator="lessThan" aboveAverage="0" equalAverage="0" bottom="0" percent="0" rank="0" text="" dxfId="4792">
      <formula>'1857'!$M$25</formula>
    </cfRule>
  </conditionalFormatting>
  <conditionalFormatting sqref="N26">
    <cfRule type="cellIs" priority="548" operator="equal" aboveAverage="0" equalAverage="0" bottom="0" percent="0" rank="0" text="" dxfId="4793">
      <formula>'1857'!$M$26</formula>
    </cfRule>
    <cfRule type="cellIs" priority="549" operator="lessThan" aboveAverage="0" equalAverage="0" bottom="0" percent="0" rank="0" text="" dxfId="4794">
      <formula>'1857'!$M$26</formula>
    </cfRule>
  </conditionalFormatting>
  <conditionalFormatting sqref="N27">
    <cfRule type="cellIs" priority="550" operator="equal" aboveAverage="0" equalAverage="0" bottom="0" percent="0" rank="0" text="" dxfId="4795">
      <formula>'1857'!$M$27</formula>
    </cfRule>
    <cfRule type="cellIs" priority="551" operator="lessThan" aboveAverage="0" equalAverage="0" bottom="0" percent="0" rank="0" text="" dxfId="4796">
      <formula>'1857'!$M$27</formula>
    </cfRule>
  </conditionalFormatting>
  <conditionalFormatting sqref="N28">
    <cfRule type="cellIs" priority="552" operator="equal" aboveAverage="0" equalAverage="0" bottom="0" percent="0" rank="0" text="" dxfId="4797">
      <formula>'1857'!$M$28</formula>
    </cfRule>
    <cfRule type="cellIs" priority="553" operator="lessThan" aboveAverage="0" equalAverage="0" bottom="0" percent="0" rank="0" text="" dxfId="4798">
      <formula>'1857'!$M$28</formula>
    </cfRule>
  </conditionalFormatting>
  <conditionalFormatting sqref="O4">
    <cfRule type="cellIs" priority="554" operator="equal" aboveAverage="0" equalAverage="0" bottom="0" percent="0" rank="0" text="" dxfId="4799">
      <formula>'1857'!$N$4</formula>
    </cfRule>
    <cfRule type="cellIs" priority="555" operator="lessThan" aboveAverage="0" equalAverage="0" bottom="0" percent="0" rank="0" text="" dxfId="4800">
      <formula>'1857'!$N$4</formula>
    </cfRule>
  </conditionalFormatting>
  <conditionalFormatting sqref="O5">
    <cfRule type="cellIs" priority="556" operator="equal" aboveAverage="0" equalAverage="0" bottom="0" percent="0" rank="0" text="" dxfId="4801">
      <formula>'1857'!$N$5</formula>
    </cfRule>
    <cfRule type="cellIs" priority="557" operator="lessThan" aboveAverage="0" equalAverage="0" bottom="0" percent="0" rank="0" text="" dxfId="4802">
      <formula>'1857'!$N$5</formula>
    </cfRule>
  </conditionalFormatting>
  <conditionalFormatting sqref="O6">
    <cfRule type="cellIs" priority="558" operator="equal" aboveAverage="0" equalAverage="0" bottom="0" percent="0" rank="0" text="" dxfId="4803">
      <formula>'1857'!$N$6</formula>
    </cfRule>
    <cfRule type="cellIs" priority="559" operator="lessThan" aboveAverage="0" equalAverage="0" bottom="0" percent="0" rank="0" text="" dxfId="4804">
      <formula>'1857'!$N$6</formula>
    </cfRule>
  </conditionalFormatting>
  <conditionalFormatting sqref="O7">
    <cfRule type="cellIs" priority="560" operator="equal" aboveAverage="0" equalAverage="0" bottom="0" percent="0" rank="0" text="" dxfId="4805">
      <formula>'1857'!$N$7</formula>
    </cfRule>
    <cfRule type="cellIs" priority="561" operator="lessThan" aboveAverage="0" equalAverage="0" bottom="0" percent="0" rank="0" text="" dxfId="4806">
      <formula>'1857'!$N$7</formula>
    </cfRule>
  </conditionalFormatting>
  <conditionalFormatting sqref="O8">
    <cfRule type="cellIs" priority="562" operator="equal" aboveAverage="0" equalAverage="0" bottom="0" percent="0" rank="0" text="" dxfId="4807">
      <formula>'1857'!$N$8</formula>
    </cfRule>
    <cfRule type="cellIs" priority="563" operator="lessThan" aboveAverage="0" equalAverage="0" bottom="0" percent="0" rank="0" text="" dxfId="4808">
      <formula>'1857'!$N$8</formula>
    </cfRule>
  </conditionalFormatting>
  <conditionalFormatting sqref="O9">
    <cfRule type="cellIs" priority="564" operator="equal" aboveAverage="0" equalAverage="0" bottom="0" percent="0" rank="0" text="" dxfId="4809">
      <formula>'1857'!$N$9</formula>
    </cfRule>
    <cfRule type="cellIs" priority="565" operator="lessThan" aboveAverage="0" equalAverage="0" bottom="0" percent="0" rank="0" text="" dxfId="4810">
      <formula>'1857'!$N$9</formula>
    </cfRule>
  </conditionalFormatting>
  <conditionalFormatting sqref="O10">
    <cfRule type="cellIs" priority="566" operator="equal" aboveAverage="0" equalAverage="0" bottom="0" percent="0" rank="0" text="" dxfId="4811">
      <formula>'1857'!$N$10</formula>
    </cfRule>
    <cfRule type="cellIs" priority="567" operator="lessThan" aboveAverage="0" equalAverage="0" bottom="0" percent="0" rank="0" text="" dxfId="4812">
      <formula>'1857'!$N$10</formula>
    </cfRule>
  </conditionalFormatting>
  <conditionalFormatting sqref="O11">
    <cfRule type="cellIs" priority="568" operator="equal" aboveAverage="0" equalAverage="0" bottom="0" percent="0" rank="0" text="" dxfId="4813">
      <formula>'1857'!$N$11</formula>
    </cfRule>
    <cfRule type="cellIs" priority="569" operator="lessThan" aboveAverage="0" equalAverage="0" bottom="0" percent="0" rank="0" text="" dxfId="4814">
      <formula>'1857'!$N$11</formula>
    </cfRule>
  </conditionalFormatting>
  <conditionalFormatting sqref="O12">
    <cfRule type="cellIs" priority="570" operator="equal" aboveAverage="0" equalAverage="0" bottom="0" percent="0" rank="0" text="" dxfId="4815">
      <formula>'1857'!$N$12</formula>
    </cfRule>
    <cfRule type="cellIs" priority="571" operator="lessThan" aboveAverage="0" equalAverage="0" bottom="0" percent="0" rank="0" text="" dxfId="4816">
      <formula>'1857'!$N$12</formula>
    </cfRule>
  </conditionalFormatting>
  <conditionalFormatting sqref="O13">
    <cfRule type="cellIs" priority="572" operator="equal" aboveAverage="0" equalAverage="0" bottom="0" percent="0" rank="0" text="" dxfId="4817">
      <formula>'1857'!$N$13</formula>
    </cfRule>
    <cfRule type="cellIs" priority="573" operator="lessThan" aboveAverage="0" equalAverage="0" bottom="0" percent="0" rank="0" text="" dxfId="4818">
      <formula>'1857'!$N$13</formula>
    </cfRule>
  </conditionalFormatting>
  <conditionalFormatting sqref="O14">
    <cfRule type="cellIs" priority="574" operator="equal" aboveAverage="0" equalAverage="0" bottom="0" percent="0" rank="0" text="" dxfId="4819">
      <formula>'1857'!$N$14</formula>
    </cfRule>
    <cfRule type="cellIs" priority="575" operator="lessThan" aboveAverage="0" equalAverage="0" bottom="0" percent="0" rank="0" text="" dxfId="4820">
      <formula>'1857'!$N$14</formula>
    </cfRule>
  </conditionalFormatting>
  <conditionalFormatting sqref="O15">
    <cfRule type="cellIs" priority="576" operator="equal" aboveAverage="0" equalAverage="0" bottom="0" percent="0" rank="0" text="" dxfId="4821">
      <formula>'1857'!$N$15</formula>
    </cfRule>
    <cfRule type="cellIs" priority="577" operator="lessThan" aboveAverage="0" equalAverage="0" bottom="0" percent="0" rank="0" text="" dxfId="4822">
      <formula>'1857'!$N$15</formula>
    </cfRule>
  </conditionalFormatting>
  <conditionalFormatting sqref="O16">
    <cfRule type="cellIs" priority="578" operator="equal" aboveAverage="0" equalAverage="0" bottom="0" percent="0" rank="0" text="" dxfId="4823">
      <formula>'1857'!$N$16</formula>
    </cfRule>
    <cfRule type="cellIs" priority="579" operator="lessThan" aboveAverage="0" equalAverage="0" bottom="0" percent="0" rank="0" text="" dxfId="4824">
      <formula>'1857'!$N$16</formula>
    </cfRule>
  </conditionalFormatting>
  <conditionalFormatting sqref="O17">
    <cfRule type="cellIs" priority="580" operator="equal" aboveAverage="0" equalAverage="0" bottom="0" percent="0" rank="0" text="" dxfId="4825">
      <formula>'1857'!$N$17</formula>
    </cfRule>
    <cfRule type="cellIs" priority="581" operator="lessThan" aboveAverage="0" equalAverage="0" bottom="0" percent="0" rank="0" text="" dxfId="4826">
      <formula>'1857'!$N$17</formula>
    </cfRule>
  </conditionalFormatting>
  <conditionalFormatting sqref="O18">
    <cfRule type="cellIs" priority="582" operator="equal" aboveAverage="0" equalAverage="0" bottom="0" percent="0" rank="0" text="" dxfId="4827">
      <formula>'1857'!$N$18</formula>
    </cfRule>
    <cfRule type="cellIs" priority="583" operator="lessThan" aboveAverage="0" equalAverage="0" bottom="0" percent="0" rank="0" text="" dxfId="4828">
      <formula>'1857'!$N$18</formula>
    </cfRule>
  </conditionalFormatting>
  <conditionalFormatting sqref="O19">
    <cfRule type="cellIs" priority="584" operator="equal" aboveAverage="0" equalAverage="0" bottom="0" percent="0" rank="0" text="" dxfId="4829">
      <formula>'1857'!$N$19</formula>
    </cfRule>
    <cfRule type="cellIs" priority="585" operator="lessThan" aboveAverage="0" equalAverage="0" bottom="0" percent="0" rank="0" text="" dxfId="4830">
      <formula>'1857'!$N$19</formula>
    </cfRule>
  </conditionalFormatting>
  <conditionalFormatting sqref="O20">
    <cfRule type="cellIs" priority="586" operator="equal" aboveAverage="0" equalAverage="0" bottom="0" percent="0" rank="0" text="" dxfId="4831">
      <formula>'1857'!$N$20</formula>
    </cfRule>
    <cfRule type="cellIs" priority="587" operator="lessThan" aboveAverage="0" equalAverage="0" bottom="0" percent="0" rank="0" text="" dxfId="4832">
      <formula>'1857'!$N$20</formula>
    </cfRule>
  </conditionalFormatting>
  <conditionalFormatting sqref="O21">
    <cfRule type="cellIs" priority="588" operator="equal" aboveAverage="0" equalAverage="0" bottom="0" percent="0" rank="0" text="" dxfId="4833">
      <formula>'1857'!$N$21</formula>
    </cfRule>
    <cfRule type="cellIs" priority="589" operator="lessThan" aboveAverage="0" equalAverage="0" bottom="0" percent="0" rank="0" text="" dxfId="4834">
      <formula>'1857'!$N$21</formula>
    </cfRule>
  </conditionalFormatting>
  <conditionalFormatting sqref="O22">
    <cfRule type="cellIs" priority="590" operator="equal" aboveAverage="0" equalAverage="0" bottom="0" percent="0" rank="0" text="" dxfId="4835">
      <formula>'1857'!$N$22</formula>
    </cfRule>
    <cfRule type="cellIs" priority="591" operator="lessThan" aboveAverage="0" equalAverage="0" bottom="0" percent="0" rank="0" text="" dxfId="4836">
      <formula>'1857'!$N$22</formula>
    </cfRule>
  </conditionalFormatting>
  <conditionalFormatting sqref="O23">
    <cfRule type="cellIs" priority="592" operator="equal" aboveAverage="0" equalAverage="0" bottom="0" percent="0" rank="0" text="" dxfId="4837">
      <formula>'1857'!$N$23</formula>
    </cfRule>
    <cfRule type="cellIs" priority="593" operator="lessThan" aboveAverage="0" equalAverage="0" bottom="0" percent="0" rank="0" text="" dxfId="4838">
      <formula>'1857'!$N$23</formula>
    </cfRule>
  </conditionalFormatting>
  <conditionalFormatting sqref="O24">
    <cfRule type="cellIs" priority="594" operator="equal" aboveAverage="0" equalAverage="0" bottom="0" percent="0" rank="0" text="" dxfId="4839">
      <formula>'1857'!$N$24</formula>
    </cfRule>
    <cfRule type="cellIs" priority="595" operator="lessThan" aboveAverage="0" equalAverage="0" bottom="0" percent="0" rank="0" text="" dxfId="4840">
      <formula>'1857'!$N$24</formula>
    </cfRule>
  </conditionalFormatting>
  <conditionalFormatting sqref="O25">
    <cfRule type="cellIs" priority="596" operator="equal" aboveAverage="0" equalAverage="0" bottom="0" percent="0" rank="0" text="" dxfId="4841">
      <formula>'1857'!$N$25</formula>
    </cfRule>
    <cfRule type="cellIs" priority="597" operator="lessThan" aboveAverage="0" equalAverage="0" bottom="0" percent="0" rank="0" text="" dxfId="4842">
      <formula>'1857'!$N$25</formula>
    </cfRule>
  </conditionalFormatting>
  <conditionalFormatting sqref="O26">
    <cfRule type="cellIs" priority="598" operator="equal" aboveAverage="0" equalAverage="0" bottom="0" percent="0" rank="0" text="" dxfId="4843">
      <formula>'1857'!$N$26</formula>
    </cfRule>
    <cfRule type="cellIs" priority="599" operator="lessThan" aboveAverage="0" equalAverage="0" bottom="0" percent="0" rank="0" text="" dxfId="4844">
      <formula>'1857'!$N$26</formula>
    </cfRule>
  </conditionalFormatting>
  <conditionalFormatting sqref="O27">
    <cfRule type="cellIs" priority="600" operator="equal" aboveAverage="0" equalAverage="0" bottom="0" percent="0" rank="0" text="" dxfId="4845">
      <formula>'1857'!$N$27</formula>
    </cfRule>
    <cfRule type="cellIs" priority="601" operator="lessThan" aboveAverage="0" equalAverage="0" bottom="0" percent="0" rank="0" text="" dxfId="4846">
      <formula>'1857'!$N$27</formula>
    </cfRule>
  </conditionalFormatting>
  <conditionalFormatting sqref="O28">
    <cfRule type="cellIs" priority="602" operator="equal" aboveAverage="0" equalAverage="0" bottom="0" percent="0" rank="0" text="" dxfId="4847">
      <formula>'1857'!$N$28</formula>
    </cfRule>
    <cfRule type="cellIs" priority="603" operator="lessThan" aboveAverage="0" equalAverage="0" bottom="0" percent="0" rank="0" text="" dxfId="4848">
      <formula>'1857'!$N$28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5" min="2" style="162" width="11.43"/>
    <col collapsed="false" customWidth="true" hidden="false" outlineLevel="0" max="6" min="6" style="162" width="6.43"/>
    <col collapsed="false" customWidth="true" hidden="false" outlineLevel="0" max="10" min="7" style="162" width="11.43"/>
    <col collapsed="false" customWidth="false" hidden="false" outlineLevel="0" max="16384" min="11" style="162" width="9"/>
  </cols>
  <sheetData>
    <row r="1" customFormat="false" ht="18" hidden="false" customHeight="false" outlineLevel="0" collapsed="false">
      <c r="A1" s="163" t="s">
        <v>290</v>
      </c>
      <c r="B1" s="164" t="n">
        <v>2022</v>
      </c>
    </row>
    <row r="3" customFormat="false" ht="18" hidden="false" customHeight="false" outlineLevel="0" collapsed="false">
      <c r="A3" s="165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  <c r="G3" s="167"/>
      <c r="H3" s="167"/>
      <c r="I3" s="167"/>
    </row>
    <row r="4" customFormat="false" ht="18" hidden="false" customHeight="false" outlineLevel="0" collapsed="false">
      <c r="A4" s="168" t="s">
        <v>292</v>
      </c>
      <c r="B4" s="168" t="n">
        <f aca="false">'1850'!D4-'1850'!C4+'1850'!D6-'1850'!C6+'1850'!D8-'1850'!C8+'1850'!D10-'1850'!C10+'1850'!D12-'1850'!C12+'1850'!D14-'1850'!C14+'1850'!D16-'1850'!C16+'1850'!D18-'1850'!C18+'1850'!D20-'1850'!C20+'1850'!D22-'1850'!C22</f>
        <v>63.349</v>
      </c>
      <c r="C4" s="168" t="n">
        <f aca="false"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87.671</v>
      </c>
      <c r="D4" s="168" t="n">
        <f aca="false">'1852'!D4-'1852'!C4+'1852'!D6-'1852'!C6+'1852'!D8-'1852'!C8+'1852'!D10-'1852'!C10+'1852'!D12-'1852'!C12+'1852'!D14-'1852'!C14+'1852'!D16-'1852'!C16+'1852'!D18-'1852'!C18+'1852'!D20-'1852'!C20+'1852'!D22-'1852'!C22</f>
        <v>82.0329999999999</v>
      </c>
      <c r="E4" s="168" t="n">
        <f aca="false">'1853'!D4-'1853'!C4+'1853'!D6-'1853'!C6+'1853'!D8-'1853'!C8+'1853'!D10-'1853'!C10+'1853'!D12-'1853'!C12+'1853'!D14-'1853'!C14+'1853'!D16-'1853'!C16+'1853'!D18-'1853'!C18+'1853'!D20-'1853'!C20+'1853'!D22-'1853'!C22+'1853'!D26-'1853'!C26</f>
        <v>72.1129999999999</v>
      </c>
      <c r="G4" s="169" t="n">
        <f aca="false">1-B4/B5</f>
        <v>0.107760563380282</v>
      </c>
      <c r="H4" s="169" t="n">
        <f aca="false">1-C4/C5</f>
        <v>0.0633440170940163</v>
      </c>
      <c r="I4" s="169" t="n">
        <f aca="false">1-D4/D5</f>
        <v>0.101500547645129</v>
      </c>
      <c r="J4" s="169" t="n">
        <f aca="false">1-E4/E5</f>
        <v>0.0813630573248415</v>
      </c>
    </row>
    <row r="5" customFormat="false" ht="18" hidden="false" customHeight="false" outlineLevel="0" collapsed="false">
      <c r="A5" s="168" t="s">
        <v>293</v>
      </c>
      <c r="B5" s="168" t="n">
        <f aca="false">'1850'!D26-'1850'!C26</f>
        <v>71</v>
      </c>
      <c r="C5" s="168" t="n">
        <f aca="false">'1851'!E26-'1851'!D26</f>
        <v>93.5999999999999</v>
      </c>
      <c r="D5" s="170" t="n">
        <f aca="false">'1852'!D26-'1852'!C26</f>
        <v>91.3000000000002</v>
      </c>
      <c r="E5" s="168" t="n">
        <f aca="false">'1853'!D27-'1853'!C27</f>
        <v>78.5</v>
      </c>
    </row>
    <row r="6" customFormat="false" ht="18" hidden="false" customHeight="false" outlineLevel="0" collapsed="false">
      <c r="A6" s="168" t="s">
        <v>294</v>
      </c>
      <c r="B6" s="171" t="n">
        <f aca="false">B5+C5+D5+E5</f>
        <v>334.4</v>
      </c>
      <c r="C6" s="171"/>
      <c r="D6" s="171"/>
      <c r="E6" s="171"/>
      <c r="G6" s="172" t="n">
        <f aca="false">1-B6/B7</f>
        <v>0.0429307384087043</v>
      </c>
    </row>
    <row r="7" customFormat="false" ht="18" hidden="false" customHeight="false" outlineLevel="0" collapsed="false">
      <c r="A7" s="168" t="s">
        <v>295</v>
      </c>
      <c r="B7" s="171" t="n">
        <f aca="false">'1850'!D29-'1850'!C29</f>
        <v>349.400000000001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68" t="n">
        <f aca="false">'1850'!D5-'1850'!C5+'1850'!D7-'1850'!C7+'1850'!D9-'1850'!C9+'1850'!D11-'1850'!C11+'1850'!D13-'1850'!C13+'1850'!D15-'1850'!C15+'1850'!D17-'1850'!C17+'1850'!D19-'1850'!C19+'1850'!D21-'1850'!C21+'1850'!D23-'1850'!C23</f>
        <v>33.448</v>
      </c>
      <c r="C9" s="168" t="n">
        <f aca="false">'1851'!E5-'1851'!D5+'1851'!E7-'1851'!D7+'1851'!E9-'1851'!D9+'1851'!E11-'1851'!D11+'1851'!E13-'1851'!D13+'1851'!E15-'1851'!D15+'1851'!E17-'1851'!D17+'1851'!E19-'1851'!D19+'1851'!E21-'1851'!D21+'1851'!E23-'1851'!D23</f>
        <v>41.724</v>
      </c>
      <c r="D9" s="168" t="n">
        <f aca="false">'1852'!D5-'1852'!C5+'1852'!D7-'1852'!C7+'1852'!D9-'1852'!C9+'1852'!D11-'1852'!C11+'1852'!D13-'1852'!C13+'1852'!D15-'1852'!C15+'1852'!D17-'1852'!C17+'1852'!D19-'1852'!C19+'1852'!D21-'1852'!C21+'1852'!D23-'1852'!C23</f>
        <v>38.167</v>
      </c>
      <c r="E9" s="168" t="n">
        <f aca="false">'1853'!D5-'1853'!C5+'1853'!D7-'1853'!C7+'1853'!D9-'1853'!C9+'1853'!D11-'1853'!C11+'1853'!D13-'1853'!C13+'1853'!D15-'1853'!C15+'1853'!D17-'1853'!C17+'1853'!D19-'1853'!C19+'1853'!D21-'1853'!C21+'1853'!D23-'1853'!C23</f>
        <v>32.972</v>
      </c>
      <c r="G9" s="172" t="n">
        <f aca="false">1-B9/B10</f>
        <v>0.0727434020847204</v>
      </c>
      <c r="H9" s="172" t="n">
        <f aca="false">1-C9/C10</f>
        <v>0.0973520249221187</v>
      </c>
      <c r="I9" s="172" t="n">
        <f aca="false">1-D9/D10</f>
        <v>0.0542422440281478</v>
      </c>
      <c r="J9" s="172" t="n">
        <f aca="false">1-E9/E10</f>
        <v>0.0776546939688917</v>
      </c>
    </row>
    <row r="10" customFormat="false" ht="18" hidden="false" customHeight="false" outlineLevel="0" collapsed="false">
      <c r="A10" s="168" t="s">
        <v>298</v>
      </c>
      <c r="B10" s="176" t="n">
        <f aca="false">('1850'!D27-'1850'!C27)*3.6</f>
        <v>36.072</v>
      </c>
      <c r="C10" s="168" t="n">
        <f aca="false">('1851'!E27-'1851'!D27)*3.6</f>
        <v>46.224</v>
      </c>
      <c r="D10" s="168" t="n">
        <f aca="false">('1852'!D27-'1852'!C27)*3.6</f>
        <v>40.3559999999999</v>
      </c>
      <c r="E10" s="168" t="n">
        <f aca="false">('1853'!D28-'1853'!C28)*3.6</f>
        <v>35.7479999999999</v>
      </c>
    </row>
    <row r="11" customFormat="false" ht="18" hidden="false" customHeight="false" outlineLevel="0" collapsed="false">
      <c r="A11" s="173" t="s">
        <v>299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'1850'!D25-'1850'!C25</f>
        <v>206</v>
      </c>
      <c r="C12" s="177" t="n">
        <f aca="false">'1851'!E24-'1851'!D24</f>
        <v>358</v>
      </c>
      <c r="D12" s="177" t="n">
        <f aca="false">'1852'!D25-'1852'!C25</f>
        <v>181</v>
      </c>
      <c r="E12" s="177" t="n">
        <f aca="false">'1853'!D24-'1853'!C24</f>
        <v>179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G13" s="179"/>
      <c r="H13" s="179"/>
      <c r="I13" s="179"/>
      <c r="J13" s="179"/>
    </row>
    <row r="14" customFormat="false" ht="18" hidden="false" customHeight="false" outlineLevel="0" collapsed="false">
      <c r="A14" s="178" t="s">
        <v>301</v>
      </c>
      <c r="B14" s="179" t="n">
        <f aca="false">'1853'!D25-'1853'!C25</f>
        <v>502</v>
      </c>
      <c r="C14" s="179"/>
      <c r="D14" s="179"/>
      <c r="E14" s="179"/>
      <c r="G14" s="179"/>
      <c r="H14" s="179"/>
      <c r="I14" s="180"/>
      <c r="J14" s="180"/>
      <c r="K14" s="167"/>
      <c r="L14" s="167"/>
      <c r="M14" s="167"/>
      <c r="N14" s="167"/>
    </row>
    <row r="15" customFormat="false" ht="18" hidden="false" customHeight="false" outlineLevel="0" collapsed="false">
      <c r="A15" s="178" t="s">
        <v>302</v>
      </c>
      <c r="B15" s="181" t="n">
        <f aca="false">'1853'!D26-'1853'!C26</f>
        <v>0</v>
      </c>
      <c r="C15" s="179"/>
      <c r="D15" s="179"/>
      <c r="E15" s="179"/>
      <c r="G15" s="179"/>
      <c r="H15" s="179"/>
      <c r="I15" s="180"/>
      <c r="J15" s="180"/>
      <c r="K15" s="167"/>
      <c r="L15" s="167"/>
      <c r="M15" s="167"/>
      <c r="N15" s="167"/>
    </row>
    <row r="16" customFormat="false" ht="18" hidden="false" customHeight="false" outlineLevel="0" collapsed="false">
      <c r="A16" s="178"/>
      <c r="B16" s="179"/>
      <c r="C16" s="179"/>
      <c r="D16" s="179"/>
      <c r="E16" s="179"/>
      <c r="G16" s="179"/>
      <c r="H16" s="179"/>
      <c r="I16" s="179"/>
      <c r="J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2" t="n">
        <f aca="false">'1854'!D4-'1854'!C4+'1854'!D6-'1854'!C6+'1854'!D8-'1854'!C8+'1854'!D10-'1854'!C10+'1854'!D12-'1854'!C12+'1854'!D14-'1854'!C14+'1854'!D16-'1854'!C16+'1854'!D18-'1854'!C18+'1854'!D20-'1854'!C20+'1854'!D22-'1854'!C22</f>
        <v>62.75</v>
      </c>
      <c r="C19" s="182" t="n">
        <f aca="false">'1855'!D4-'1855'!C4+'1855'!D6-'1855'!C6+'1855'!D8-'1855'!C8+'1855'!D10-'1855'!C10+'1855'!D12-'1855'!C12+'1855'!D14-'1855'!C14+'1855'!D16-'1855'!C16+'1855'!D18-'1855'!C18+'1855'!D20-'1855'!C20+'1855'!D22-'1855'!C22</f>
        <v>75.929</v>
      </c>
      <c r="D19" s="182" t="n">
        <f aca="false">'1856'!D4-'1856'!C4+'1856'!D6-'1856'!C6+'1856'!D8-'1856'!C8+'1856'!D10-'1856'!C10+'1856'!D12-'1856'!C12+'1856'!D14-'1856'!C14+'1856'!D16-'1856'!C16+'1856'!D18-'1856'!C18+'1856'!D20-'1856'!C20+'1856'!D22-'1856'!C22</f>
        <v>69.0580000000001</v>
      </c>
      <c r="E19" s="182" t="n">
        <f aca="false">'1857'!D4-'1857'!C4+'1857'!D6-'1857'!C6+'1857'!D8-'1857'!C8+'1857'!D10-'1857'!C10+'1857'!D12-'1857'!C12+'1857'!D14-'1857'!C14+'1857'!D16-'1857'!C16+'1857'!D18-'1857'!C18+'1857'!D20-'1857'!C20+'1857'!D22-'1857'!C22</f>
        <v>75.104</v>
      </c>
      <c r="F19" s="167"/>
      <c r="G19" s="169" t="n">
        <f aca="false">1-B19/B20</f>
        <v>0.0918958031837901</v>
      </c>
      <c r="H19" s="169" t="n">
        <f aca="false">1-C19/C20</f>
        <v>0.101431952662722</v>
      </c>
      <c r="I19" s="169" t="n">
        <f aca="false">1-D19/D20</f>
        <v>0.0925361366622848</v>
      </c>
      <c r="J19" s="169" t="n">
        <f aca="false">1-E19/E20</f>
        <v>0.09185006045949</v>
      </c>
    </row>
    <row r="20" customFormat="false" ht="18" hidden="false" customHeight="false" outlineLevel="0" collapsed="false">
      <c r="A20" s="168" t="s">
        <v>293</v>
      </c>
      <c r="B20" s="182" t="n">
        <f aca="false">'1854'!D26-'1854'!C26</f>
        <v>69.0999999999999</v>
      </c>
      <c r="C20" s="182" t="n">
        <f aca="false">'1855'!D26-'1855'!C26</f>
        <v>84.5</v>
      </c>
      <c r="D20" s="182" t="n">
        <f aca="false">'1856'!D26-'1856'!C26</f>
        <v>76.0999999999999</v>
      </c>
      <c r="E20" s="182" t="n">
        <f aca="false">'1857'!D26-'1857'!C26</f>
        <v>82.6999999999998</v>
      </c>
      <c r="F20" s="167"/>
    </row>
    <row r="21" customFormat="false" ht="18" hidden="false" customHeight="false" outlineLevel="0" collapsed="false">
      <c r="A21" s="168" t="s">
        <v>294</v>
      </c>
      <c r="B21" s="171" t="n">
        <f aca="false">B20+C20+D20+E20</f>
        <v>312.4</v>
      </c>
      <c r="C21" s="171"/>
      <c r="D21" s="171"/>
      <c r="E21" s="171"/>
      <c r="G21" s="172" t="n">
        <f aca="false">1-B21/B22</f>
        <v>-0.0392548236859589</v>
      </c>
    </row>
    <row r="22" customFormat="false" ht="18" hidden="false" customHeight="false" outlineLevel="0" collapsed="false">
      <c r="A22" s="168" t="s">
        <v>295</v>
      </c>
      <c r="B22" s="171" t="n">
        <f aca="false">'1854'!D29-'1854'!C29</f>
        <v>300.6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68" t="n">
        <f aca="false">'1854'!D5-'1854'!C5+'1854'!D7-'1854'!C7+'1854'!D9-'1854'!C9+'1854'!D11-'1854'!C11+'1854'!D13-'1854'!C13+'1854'!D15-'1854'!C15+'1854'!D17-'1854'!C17+'1854'!D19-'1854'!C19+'1854'!D21-'1854'!C21+'1854'!D23-'1854'!C23</f>
        <v>33.318</v>
      </c>
      <c r="C24" s="168" t="n">
        <f aca="false">'1855'!D5-'1855'!C5+'1855'!D7-'1855'!C7+'1855'!D9-'1855'!C9+'1855'!D11-'1855'!C11+'1855'!D13-'1855'!C13+'1855'!D15-'1855'!C15+'1855'!D17-'1855'!C17+'1855'!D19-'1855'!C19+'1855'!D21-'1855'!C21+'1855'!D23-'1855'!C23</f>
        <v>39.27</v>
      </c>
      <c r="D24" s="168" t="n">
        <f aca="false">'1856'!D5-'1856'!C5+'1856'!D7-'1856'!C7+'1856'!D9-'1856'!C9+'1856'!D11-'1856'!C11+'1856'!D13-'1856'!C13+'1856'!D15-'1856'!C15+'1856'!D17-'1856'!C17+'1856'!D19-'1856'!C19+'1856'!D21-'1856'!C21+'1856'!D23-'1856'!C23</f>
        <v>34.779</v>
      </c>
      <c r="E24" s="168" t="n">
        <f aca="false">'1857'!D5-'1857'!C5+'1857'!D7-'1857'!C7+'1857'!D9-'1857'!C9+'1857'!D11-'1857'!C11+'1857'!D13-'1857'!C13+'1857'!D15-'1857'!C15+'1857'!D17-'1857'!C17+'1857'!D19-'1857'!C19+'1857'!D21-'1857'!C21+'1857'!D23-'1857'!C23</f>
        <v>35.323</v>
      </c>
      <c r="G24" s="172" t="n">
        <f aca="false">1-B24/B25</f>
        <v>0.0580152671755727</v>
      </c>
      <c r="H24" s="172" t="n">
        <f aca="false">1-C24/C25</f>
        <v>0.0727272727272732</v>
      </c>
      <c r="I24" s="172" t="n">
        <f aca="false">1-D24/D25</f>
        <v>0.0787019867549667</v>
      </c>
      <c r="J24" s="172" t="n">
        <f aca="false">1-E24/E25</f>
        <v>0.0870250710777977</v>
      </c>
    </row>
    <row r="25" customFormat="false" ht="18" hidden="false" customHeight="false" outlineLevel="0" collapsed="false">
      <c r="A25" s="168" t="s">
        <v>298</v>
      </c>
      <c r="B25" s="183" t="n">
        <f aca="false">('1854'!D27-'1854'!C27)</f>
        <v>35.37</v>
      </c>
      <c r="C25" s="184" t="n">
        <f aca="false">('1855'!D27-'1855'!C27)</f>
        <v>42.35</v>
      </c>
      <c r="D25" s="183" t="n">
        <f aca="false">('1856'!D27-'1856'!C27)</f>
        <v>37.75</v>
      </c>
      <c r="E25" s="183" t="n">
        <f aca="false">('1857'!D27-'1857'!C27)</f>
        <v>38.69</v>
      </c>
    </row>
    <row r="26" customFormat="false" ht="18" hidden="false" customHeight="false" outlineLevel="0" collapsed="false">
      <c r="A26" s="173" t="s">
        <v>299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'1854'!D25-'1854'!C25</f>
        <v>197</v>
      </c>
      <c r="C27" s="177" t="n">
        <f aca="false">'1855'!D25-'1855'!C25</f>
        <v>223</v>
      </c>
      <c r="D27" s="177" t="n">
        <f aca="false">'1856'!D25-'1856'!C25</f>
        <v>186</v>
      </c>
      <c r="E27" s="177" t="n">
        <f aca="false">'1857'!D25-'1857'!C25</f>
        <v>195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49">
      <formula>0</formula>
    </cfRule>
  </conditionalFormatting>
  <conditionalFormatting sqref="G1:J2 G13:J17 G28:J65536">
    <cfRule type="cellIs" priority="3" operator="lessThan" aboveAverage="0" equalAverage="0" bottom="0" percent="0" rank="0" text="" dxfId="4850">
      <formula>0</formula>
    </cfRule>
  </conditionalFormatting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5" min="2" style="162" width="11.43"/>
    <col collapsed="false" customWidth="true" hidden="false" outlineLevel="0" max="6" min="6" style="162" width="6.71"/>
    <col collapsed="false" customWidth="true" hidden="false" outlineLevel="0" max="10" min="7" style="167" width="11.43"/>
    <col collapsed="false" customWidth="false" hidden="false" outlineLevel="0" max="14" min="11" style="167" width="9"/>
    <col collapsed="false" customWidth="false" hidden="false" outlineLevel="0" max="16384" min="15" style="162" width="9"/>
  </cols>
  <sheetData>
    <row r="1" customFormat="false" ht="18" hidden="false" customHeight="false" outlineLevel="0" collapsed="false">
      <c r="A1" s="163" t="s">
        <v>303</v>
      </c>
      <c r="B1" s="164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68" t="n">
        <f aca="false">'1850'!E4-'1850'!D4+'1850'!E6-'1850'!D6+'1850'!E8-'1850'!D8+'1850'!E10-'1850'!D10+'1850'!E12-'1850'!D12+'1850'!E14-'1850'!D14+'1850'!E16-'1850'!D16+'1850'!E18-'1850'!D18+'1850'!E20-'1850'!D20+'1850'!E22-'1850'!D22</f>
        <v>60.211</v>
      </c>
      <c r="C4" s="168" t="n">
        <f aca="false"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75.9469999999999</v>
      </c>
      <c r="D4" s="168" t="n">
        <f aca="false">'1852'!E4-'1852'!D4+'1852'!E6-'1852'!D6+'1852'!E8-'1852'!D8+'1852'!E10-'1852'!D10+'1852'!E12-'1852'!D12+'1852'!E14-'1852'!D14+'1852'!E16-'1852'!D16+'1852'!E18-'1852'!D18+'1852'!E20-'1852'!D20+'1852'!E22-'1852'!D22</f>
        <v>75.8230000000001</v>
      </c>
      <c r="E4" s="168" t="n">
        <f aca="false">'1853'!E4-'1853'!D4+'1853'!E6-'1853'!D6+'1853'!E8-'1853'!D8+'1853'!E10-'1853'!D10+'1853'!E12-'1853'!D12+'1853'!E14-'1853'!D14+'1853'!E16-'1853'!D16+'1853'!E18-'1853'!D18+'1853'!E20-'1853'!D20+'1853'!E22-'1853'!D22+'1853'!E26-'1853'!D26</f>
        <v>69.5279999999999</v>
      </c>
      <c r="G4" s="169" t="n">
        <f aca="false">1-B4/B5</f>
        <v>0.111932153392329</v>
      </c>
      <c r="H4" s="169" t="n">
        <f aca="false">1-C4/C5</f>
        <v>0.0715525672371669</v>
      </c>
      <c r="I4" s="169" t="n">
        <f aca="false">1-D4/D5</f>
        <v>0.0994893111638928</v>
      </c>
      <c r="J4" s="169" t="n">
        <f aca="false">1-E4/E5</f>
        <v>0.0946875000000034</v>
      </c>
    </row>
    <row r="5" customFormat="false" ht="18" hidden="false" customHeight="false" outlineLevel="0" collapsed="false">
      <c r="A5" s="185" t="s">
        <v>293</v>
      </c>
      <c r="B5" s="168" t="n">
        <f aca="false">'1850'!E26-'1850'!D26</f>
        <v>67.8</v>
      </c>
      <c r="C5" s="168" t="n">
        <f aca="false">'1851'!F26-'1851'!E26</f>
        <v>81.8000000000002</v>
      </c>
      <c r="D5" s="168" t="n">
        <f aca="false">'1852'!E26-'1852'!D26</f>
        <v>84.1999999999998</v>
      </c>
      <c r="E5" s="168" t="n">
        <f aca="false">'1853'!E27-'1853'!D27</f>
        <v>76.8000000000002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310.6</v>
      </c>
      <c r="C6" s="171"/>
      <c r="D6" s="171"/>
      <c r="E6" s="171"/>
      <c r="G6" s="169" t="n">
        <f aca="false">1-B6/B7</f>
        <v>0.041653810552294</v>
      </c>
    </row>
    <row r="7" customFormat="false" ht="18" hidden="false" customHeight="false" outlineLevel="0" collapsed="false">
      <c r="A7" s="185" t="s">
        <v>295</v>
      </c>
      <c r="B7" s="171" t="n">
        <f aca="false">'1850'!E29-'1850'!D29</f>
        <v>324.099999999999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86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68" t="n">
        <f aca="false">'1850'!E5-'1850'!D5+'1850'!E7-'1850'!D7+'1850'!E9-'1850'!D9+'1850'!E11-'1850'!D11+'1850'!E13-'1850'!D13+'1850'!E15-'1850'!D15+'1850'!E17-'1850'!D17+'1850'!E19-'1850'!D19+'1850'!E21-'1850'!D21+'1850'!E23-'1850'!D23</f>
        <v>24.862</v>
      </c>
      <c r="C9" s="168" t="n">
        <f aca="false">'1851'!F5-'1851'!E5+'1851'!F7-'1851'!E7+'1851'!F9-'1851'!E9+'1851'!F11-'1851'!E11+'1851'!F13-'1851'!E13+'1851'!F15-'1851'!E15+'1851'!F17-'1851'!E17+'1851'!F19-'1851'!E19+'1851'!F21-'1851'!E21+'1851'!F23-'1851'!E23</f>
        <v>31.042</v>
      </c>
      <c r="D9" s="168" t="n">
        <f aca="false">'1852'!E5-'1852'!D5+'1852'!E7-'1852'!D7+'1852'!E9-'1852'!D9+'1852'!E11-'1852'!D11+'1852'!E13-'1852'!D13+'1852'!E15-'1852'!D15+'1852'!E17-'1852'!D17+'1852'!E19-'1852'!D19+'1852'!E21-'1852'!D21+'1852'!E23-'1852'!D23</f>
        <v>28.514</v>
      </c>
      <c r="E9" s="168" t="n">
        <f aca="false">'1853'!E5-'1853'!D5+'1853'!E7-'1853'!D7+'1853'!E9-'1853'!D9+'1853'!E11-'1853'!D11+'1853'!E13-'1853'!D13+'1853'!E15-'1853'!D15+'1853'!E17-'1853'!D17+'1853'!E19-'1853'!D19+'1853'!E21-'1853'!D21+'1853'!E23-'1853'!D23</f>
        <v>25.198</v>
      </c>
      <c r="G9" s="169" t="n">
        <f aca="false">1-B9/B10</f>
        <v>0.0616696859903363</v>
      </c>
      <c r="H9" s="169" t="n">
        <f aca="false">1-C9/C10</f>
        <v>0.105520977408943</v>
      </c>
      <c r="I9" s="169" t="n">
        <f aca="false">1-D9/D10</f>
        <v>0.00993055555555578</v>
      </c>
      <c r="J9" s="169" t="n">
        <f aca="false">1-E9/E10</f>
        <v>0.077807056067926</v>
      </c>
    </row>
    <row r="10" customFormat="false" ht="18" hidden="false" customHeight="false" outlineLevel="0" collapsed="false">
      <c r="A10" s="168" t="s">
        <v>298</v>
      </c>
      <c r="B10" s="183" t="n">
        <f aca="false">('1850'!E27-'1850'!D27)*3.6</f>
        <v>26.496</v>
      </c>
      <c r="C10" s="168" t="n">
        <f aca="false">('1851'!F27-'1851'!E27)*3.6</f>
        <v>34.704</v>
      </c>
      <c r="D10" s="168" t="n">
        <f aca="false">('1852'!E27-'1852'!D27)*3.6</f>
        <v>28.8</v>
      </c>
      <c r="E10" s="168" t="n">
        <f aca="false">('1853'!E28-'1853'!D28)*3.6</f>
        <v>27.324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87" t="n">
        <f aca="false">'1850'!E34-'1850'!D25+'1850'!E25-'1850'!E35</f>
        <v>226</v>
      </c>
      <c r="C12" s="177" t="n">
        <f aca="false">'1851'!F24-'1851'!E24</f>
        <v>245</v>
      </c>
      <c r="D12" s="177" t="n">
        <f aca="false">'1852'!E25-'1852'!D25</f>
        <v>175</v>
      </c>
      <c r="E12" s="177" t="n">
        <f aca="false">'1853'!E24-'1853'!D24</f>
        <v>163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80"/>
      <c r="H13" s="180"/>
      <c r="I13" s="180"/>
      <c r="J13" s="180"/>
    </row>
    <row r="14" customFormat="false" ht="18" hidden="false" customHeight="false" outlineLevel="0" collapsed="false">
      <c r="A14" s="178" t="s">
        <v>301</v>
      </c>
      <c r="B14" s="179" t="n">
        <f aca="false">'1853'!E25-'1853'!D25</f>
        <v>440</v>
      </c>
      <c r="C14" s="179"/>
      <c r="D14" s="179"/>
      <c r="E14" s="179"/>
      <c r="F14" s="179"/>
      <c r="G14" s="180"/>
      <c r="H14" s="180"/>
      <c r="I14" s="180"/>
      <c r="J14" s="180"/>
    </row>
    <row r="15" customFormat="false" ht="18" hidden="false" customHeight="false" outlineLevel="0" collapsed="false">
      <c r="A15" s="178" t="s">
        <v>302</v>
      </c>
      <c r="B15" s="181" t="n">
        <f aca="false">'1853'!E26-'1853'!D26</f>
        <v>0</v>
      </c>
      <c r="C15" s="179"/>
      <c r="D15" s="179"/>
      <c r="E15" s="179"/>
      <c r="F15" s="179"/>
      <c r="G15" s="180"/>
      <c r="H15" s="180"/>
      <c r="I15" s="180"/>
      <c r="J15" s="180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80"/>
      <c r="H16" s="180"/>
      <c r="I16" s="180"/>
      <c r="J16" s="180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2" t="n">
        <f aca="false">'1854'!E4-'1854'!D4+'1854'!E6-'1854'!D6+'1854'!E8-'1854'!D8+'1854'!E10-'1854'!D10+'1854'!E12-'1854'!D12+'1854'!E14-'1854'!D14+'1854'!E16-'1854'!D16+'1854'!E18-'1854'!D18+'1854'!E20-'1854'!D20+'1854'!E22-'1854'!D22</f>
        <v>57.1340000000001</v>
      </c>
      <c r="C19" s="182" t="n">
        <f aca="false">'1855'!E4-'1855'!D4+'1855'!E6-'1855'!D6+'1855'!E8-'1855'!D8+'1855'!E10-'1855'!D10+'1855'!E12-'1855'!D12+'1855'!E14-'1855'!D14+'1855'!E16-'1855'!D16+'1855'!E18-'1855'!D18+'1855'!E20-'1855'!D20+'1855'!E22-'1855'!D22</f>
        <v>61.9000000000002</v>
      </c>
      <c r="D19" s="182" t="n">
        <f aca="false">'1856'!E4-'1856'!D4+'1856'!E6-'1856'!D6+'1856'!E8-'1856'!D8+'1856'!E10-'1856'!D10+'1856'!E12-'1856'!D12+'1856'!E14-'1856'!D14+'1856'!E16-'1856'!D16+'1856'!E18-'1856'!D18+'1856'!E20-'1856'!D20+'1856'!E22-'1856'!D22</f>
        <v>63.7419999999999</v>
      </c>
      <c r="E19" s="182" t="n">
        <f aca="false">'1857'!E4-'1857'!D4+'1857'!E6-'1857'!D6+'1857'!E8-'1857'!D8+'1857'!E10-'1857'!D10+'1857'!E12-'1857'!D12+'1857'!E14-'1857'!D14+'1857'!E16-'1857'!D16+'1857'!E18-'1857'!D18+'1857'!E20-'1857'!D20+'1857'!E22-'1857'!D22</f>
        <v>61.2499999999999</v>
      </c>
      <c r="F19" s="167"/>
      <c r="G19" s="169" t="n">
        <f aca="false">1-B19/B20</f>
        <v>0.0858559999999988</v>
      </c>
      <c r="H19" s="169" t="n">
        <f aca="false">1-C19/C20</f>
        <v>0.124469589816119</v>
      </c>
      <c r="I19" s="169" t="n">
        <f aca="false">1-D19/D20</f>
        <v>0.0894000000000009</v>
      </c>
      <c r="J19" s="169" t="n">
        <f aca="false">1-E19/E20</f>
        <v>0.142156862745101</v>
      </c>
    </row>
    <row r="20" customFormat="false" ht="18" hidden="false" customHeight="false" outlineLevel="0" collapsed="false">
      <c r="A20" s="168" t="s">
        <v>293</v>
      </c>
      <c r="B20" s="182" t="n">
        <f aca="false">'1854'!E26-'1854'!D26</f>
        <v>62.5</v>
      </c>
      <c r="C20" s="182" t="n">
        <f aca="false">'1855'!E26-'1855'!D26</f>
        <v>70.6999999999998</v>
      </c>
      <c r="D20" s="182" t="n">
        <f aca="false">'1856'!E26-'1856'!D26</f>
        <v>70</v>
      </c>
      <c r="E20" s="182" t="n">
        <f aca="false">'1857'!E26-'1857'!D26</f>
        <v>71.4000000000001</v>
      </c>
      <c r="F20" s="167"/>
    </row>
    <row r="21" customFormat="false" ht="18" hidden="false" customHeight="false" outlineLevel="0" collapsed="false">
      <c r="A21" s="168" t="s">
        <v>294</v>
      </c>
      <c r="B21" s="171" t="n">
        <f aca="false">SUM(B20:E20)</f>
        <v>274.6</v>
      </c>
      <c r="C21" s="171"/>
      <c r="D21" s="171"/>
      <c r="E21" s="171"/>
      <c r="G21" s="169" t="n">
        <f aca="false">1-B21/B22</f>
        <v>-0.0393641180923547</v>
      </c>
    </row>
    <row r="22" customFormat="false" ht="18" hidden="false" customHeight="false" outlineLevel="0" collapsed="false">
      <c r="A22" s="168" t="s">
        <v>295</v>
      </c>
      <c r="B22" s="171" t="n">
        <f aca="false">'1854'!E29-'1854'!D29</f>
        <v>264.2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68" t="n">
        <f aca="false">'1854'!E5-'1854'!D5+'1854'!E7-'1854'!D7+'1854'!E9-'1854'!D9+'1854'!E11-'1854'!D11+'1854'!E13-'1854'!D13+'1854'!E15-'1854'!D15+'1854'!E17-'1854'!D17+'1854'!E19-'1854'!D19+'1854'!E21-'1854'!D21+'1854'!E23-'1854'!D23</f>
        <v>25.531</v>
      </c>
      <c r="C24" s="168" t="n">
        <f aca="false">'1855'!E5-'1855'!D5+'1855'!E7-'1855'!D7+'1855'!E9-'1855'!D9+'1855'!E11-'1855'!D11+'1855'!E13-'1855'!D13+'1855'!E15-'1855'!D15+'1855'!E17-'1855'!D17+'1855'!E19-'1855'!D19+'1855'!E21-'1855'!D21+'1855'!E23-'1855'!D23</f>
        <v>28.52</v>
      </c>
      <c r="D24" s="168" t="n">
        <f aca="false">'1856'!E5-'1856'!D5+'1856'!E7-'1856'!D7+'1856'!E9-'1856'!D9+'1856'!E11-'1856'!D11+'1856'!E13-'1856'!D13+'1856'!E15-'1856'!D15+'1856'!E17-'1856'!D17+'1856'!E19-'1856'!D19+'1856'!E21-'1856'!D21+'1856'!E23-'1856'!D23</f>
        <v>26.347</v>
      </c>
      <c r="E24" s="168" t="n">
        <f aca="false">'1857'!E5-'1857'!D5+'1857'!E7-'1857'!D7+'1857'!E9-'1857'!D9+'1857'!E11-'1857'!D11+'1857'!E13-'1857'!D13+'1857'!E15-'1857'!D15+'1857'!E17-'1857'!D17+'1857'!E19-'1857'!D19+'1857'!E21-'1857'!D21+'1857'!E23-'1857'!D23</f>
        <v>25.238</v>
      </c>
      <c r="G24" s="169" t="n">
        <f aca="false">1-B24/B25</f>
        <v>0.067871485943774</v>
      </c>
      <c r="H24" s="169" t="n">
        <f aca="false">1-C24/C25</f>
        <v>0.0752269779507127</v>
      </c>
      <c r="I24" s="169" t="n">
        <f aca="false">1-D24/D25</f>
        <v>0.0485012639942218</v>
      </c>
      <c r="J24" s="169" t="n">
        <f aca="false">1-E24/E25</f>
        <v>0.0454614220877457</v>
      </c>
    </row>
    <row r="25" customFormat="false" ht="18" hidden="false" customHeight="false" outlineLevel="0" collapsed="false">
      <c r="A25" s="168" t="s">
        <v>298</v>
      </c>
      <c r="B25" s="183" t="n">
        <f aca="false">('1854'!E27-'1854'!D27)</f>
        <v>27.39</v>
      </c>
      <c r="C25" s="183" t="n">
        <f aca="false">('1855'!E27-'1855'!D27)</f>
        <v>30.84</v>
      </c>
      <c r="D25" s="183" t="n">
        <f aca="false">('1856'!E27-'1856'!D27)</f>
        <v>27.69</v>
      </c>
      <c r="E25" s="183" t="n">
        <f aca="false">('1857'!E27-'1857'!D27)</f>
        <v>26.44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'1854'!E25-'1854'!D25</f>
        <v>176</v>
      </c>
      <c r="C27" s="177" t="n">
        <f aca="false">'1855'!E25-'1855'!D25</f>
        <v>211</v>
      </c>
      <c r="D27" s="177" t="n">
        <f aca="false">'1856'!E25-'1856'!D25</f>
        <v>177</v>
      </c>
      <c r="E27" s="177" t="n">
        <f aca="false">'1857'!E25-'1857'!D25</f>
        <v>187</v>
      </c>
    </row>
  </sheetData>
  <mergeCells count="4">
    <mergeCell ref="B6:E6"/>
    <mergeCell ref="B7:E7"/>
    <mergeCell ref="B21:E21"/>
    <mergeCell ref="B22:E22"/>
  </mergeCells>
  <conditionalFormatting sqref="I14:J15">
    <cfRule type="cellIs" priority="2" operator="lessThan" aboveAverage="0" equalAverage="0" bottom="0" percent="0" rank="0" text="" dxfId="4851">
      <formula>0</formula>
    </cfRule>
  </conditionalFormatting>
  <conditionalFormatting sqref="G1:J2 G13:H17 G28:J65536 I13:J13 I16:J17">
    <cfRule type="cellIs" priority="3" operator="lessThan" aboveAverage="0" equalAverage="0" bottom="0" percent="0" rank="0" text="" dxfId="4852">
      <formula>0</formula>
    </cfRule>
  </conditionalFormatting>
  <conditionalFormatting sqref="G1:J2 G13:J17 G28:J65536">
    <cfRule type="cellIs" priority="4" operator="lessThan" aboveAverage="0" equalAverage="0" bottom="0" percent="0" rank="0" text="" dxfId="4853">
      <formula>0</formula>
    </cfRule>
  </conditionalFormatting>
  <conditionalFormatting sqref="G1:I2 G13:I13 G16:I17 G28:I65536">
    <cfRule type="cellIs" priority="5" operator="lessThan" aboveAverage="0" equalAverage="0" bottom="0" percent="0" rank="0" text="" dxfId="4854">
      <formula>0</formula>
    </cfRule>
  </conditionalFormatting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5" min="2" style="162" width="11.43"/>
    <col collapsed="false" customWidth="true" hidden="false" outlineLevel="0" max="6" min="6" style="162" width="9.86"/>
    <col collapsed="false" customWidth="true" hidden="false" outlineLevel="0" max="10" min="7" style="167" width="11.43"/>
    <col collapsed="false" customWidth="true" hidden="false" outlineLevel="0" max="15" min="11" style="162" width="6.43"/>
    <col collapsed="false" customWidth="false" hidden="false" outlineLevel="0" max="16384" min="16" style="162" width="9"/>
  </cols>
  <sheetData>
    <row r="1" customFormat="false" ht="18" hidden="false" customHeight="false" outlineLevel="0" collapsed="false">
      <c r="A1" s="163" t="s">
        <v>305</v>
      </c>
      <c r="B1" s="164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68" t="n">
        <f aca="false">'1850'!F4-'1850'!E4+'1850'!F6-'1850'!E6+'1850'!F8-'1850'!E8+'1850'!F10-'1850'!E10+'1850'!F12-'1850'!E12+'1850'!F14-'1850'!E14+'1850'!F16-'1850'!E16+'1850'!F18-'1850'!E18+'1850'!F20-'1850'!E20+'1850'!F22-'1850'!E22</f>
        <v>65.562</v>
      </c>
      <c r="C4" s="168" t="n">
        <f aca="false"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77.223</v>
      </c>
      <c r="D4" s="168" t="n">
        <f aca="false">'1852'!F4-'1852'!E4+'1852'!F6-'1852'!E6+'1852'!F8-'1852'!E8+'1852'!F10-'1852'!E10+'1852'!F12-'1852'!E12+'1852'!F14-'1852'!E14+'1852'!F16-'1852'!E16+'1852'!F18-'1852'!E18+'1852'!F20-'1852'!E20+'1852'!F22-'1852'!E22</f>
        <v>86.663</v>
      </c>
      <c r="E4" s="168" t="n">
        <f aca="false">'1853'!F4-'1853'!E4+'1853'!F6-'1853'!E6+'1853'!F8-'1853'!E8+'1853'!F10-'1853'!E10+'1853'!F12-'1853'!E12+'1853'!F14-'1853'!E14+'1853'!F16-'1853'!E16+'1853'!F18-'1853'!E18+'1853'!F20-'1853'!E20+'1853'!F22-'1853'!E22+'1853'!F26-'1853'!E26</f>
        <v>71.522</v>
      </c>
      <c r="G4" s="169" t="n">
        <f aca="false">1-B4/B5</f>
        <v>0.115222672064779</v>
      </c>
      <c r="H4" s="169" t="n">
        <f aca="false">1-C4/C5</f>
        <v>0.0729531812725107</v>
      </c>
      <c r="I4" s="169" t="n">
        <f aca="false">1-D4/D5</f>
        <v>0.0981997918834535</v>
      </c>
      <c r="J4" s="169" t="n">
        <f aca="false">1-E4/E5</f>
        <v>0.0806940874036012</v>
      </c>
    </row>
    <row r="5" customFormat="false" ht="18" hidden="false" customHeight="false" outlineLevel="0" collapsed="false">
      <c r="A5" s="185" t="s">
        <v>293</v>
      </c>
      <c r="B5" s="168" t="n">
        <f aca="false">'1850'!F26-'1850'!E26</f>
        <v>74.1000000000001</v>
      </c>
      <c r="C5" s="168" t="n">
        <f aca="false">'1851'!G26-'1851'!F26</f>
        <v>83.3000000000002</v>
      </c>
      <c r="D5" s="168" t="n">
        <f aca="false">'1852'!F26-'1852'!E26</f>
        <v>96.0999999999999</v>
      </c>
      <c r="E5" s="168" t="n">
        <f aca="false">'1853'!F27-'1853'!E27</f>
        <v>77.8000000000002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331.3</v>
      </c>
      <c r="C6" s="171"/>
      <c r="D6" s="171"/>
      <c r="E6" s="171"/>
      <c r="G6" s="169" t="n">
        <f aca="false">1-B6/B7</f>
        <v>0.0402665121668606</v>
      </c>
    </row>
    <row r="7" customFormat="false" ht="18" hidden="false" customHeight="false" outlineLevel="0" collapsed="false">
      <c r="A7" s="185" t="s">
        <v>295</v>
      </c>
      <c r="B7" s="171" t="n">
        <f aca="false">'1850'!F29-'1850'!E29</f>
        <v>345.200000000001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86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68" t="n">
        <f aca="false">'1850'!F5-'1850'!E5+'1850'!F7-'1850'!E7+'1850'!F9-'1850'!E9+'1850'!F11-'1850'!E11+'1850'!F13-'1850'!E13+'1850'!F15-'1850'!E15+'1850'!F17-'1850'!E17+'1850'!F19-'1850'!E19+'1850'!F21-'1850'!E21+'1850'!F23-'1850'!E23</f>
        <v>19.642</v>
      </c>
      <c r="C9" s="168" t="n">
        <f aca="false">'1851'!G5-'1851'!F5+'1851'!G7-'1851'!F7+'1851'!G9-'1851'!F9+'1851'!G11-'1851'!F11+'1851'!G13-'1851'!F13+'1851'!G15-'1851'!F15+'1851'!G17-'1851'!F17+'1851'!G19-'1851'!F19+'1851'!G21-'1851'!F21+'1851'!G23-'1851'!F23</f>
        <v>26.406</v>
      </c>
      <c r="D9" s="168" t="n">
        <f aca="false">'1852'!F5-'1852'!E5+'1852'!F7-'1852'!E7+'1852'!F9-'1852'!E9+'1852'!F11-'1852'!E11+'1852'!F13-'1852'!E13+'1852'!F15-'1852'!E15+'1852'!F17-'1852'!E17+'1852'!F19-'1852'!E19+'1852'!F21-'1852'!E21+'1852'!F23-'1852'!E23</f>
        <v>24.634</v>
      </c>
      <c r="E9" s="168" t="n">
        <f aca="false">'1853'!F5-'1853'!E5+'1853'!F7-'1853'!E7+'1853'!F9-'1853'!E9+'1853'!F11-'1853'!E11+'1853'!F13-'1853'!E13+'1853'!F15-'1853'!E15+'1853'!F17-'1853'!E17+'1853'!F19-'1853'!E19+'1853'!F21-'1853'!E21+'1853'!F23-'1853'!E23</f>
        <v>20.22</v>
      </c>
      <c r="G9" s="169" t="n">
        <f aca="false">1-B9/B10</f>
        <v>0.0343166175024594</v>
      </c>
      <c r="H9" s="169" t="n">
        <f aca="false">1-C9/C10</f>
        <v>0.121556886227547</v>
      </c>
      <c r="I9" s="169" t="n">
        <f aca="false">1-D9/D10</f>
        <v>-0.00629084967320082</v>
      </c>
      <c r="J9" s="169" t="n">
        <f aca="false">1-E9/E10</f>
        <v>0.112690889942077</v>
      </c>
    </row>
    <row r="10" customFormat="false" ht="18" hidden="false" customHeight="false" outlineLevel="0" collapsed="false">
      <c r="A10" s="168" t="s">
        <v>298</v>
      </c>
      <c r="B10" s="183" t="n">
        <f aca="false">('1850'!F27-'1850'!E27)*3.6</f>
        <v>20.34</v>
      </c>
      <c r="C10" s="168" t="n">
        <f aca="false">('1851'!G27-'1851'!F27)*3.6</f>
        <v>30.0600000000001</v>
      </c>
      <c r="D10" s="168" t="n">
        <f aca="false">('1852'!F27-'1852'!E27)*3.6</f>
        <v>24.48</v>
      </c>
      <c r="E10" s="168" t="n">
        <f aca="false">('1853'!F28-'1853'!E28)*3.6</f>
        <v>22.788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87" t="n">
        <f aca="false">'1850'!F25-'1850'!E25</f>
        <v>230</v>
      </c>
      <c r="C12" s="177" t="n">
        <f aca="false">'1851'!G24-'1851'!F24</f>
        <v>249</v>
      </c>
      <c r="D12" s="177" t="n">
        <f aca="false">'1852'!F25-'1852'!E25</f>
        <v>188</v>
      </c>
      <c r="E12" s="177" t="n">
        <f aca="false">'1853'!F24-'1853'!E24</f>
        <v>186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80"/>
      <c r="H13" s="180"/>
      <c r="I13" s="180"/>
      <c r="J13" s="180"/>
      <c r="K13" s="179"/>
    </row>
    <row r="14" customFormat="false" ht="18" hidden="false" customHeight="false" outlineLevel="0" collapsed="false">
      <c r="A14" s="178" t="s">
        <v>301</v>
      </c>
      <c r="B14" s="179" t="n">
        <f aca="false">'1853'!F25-'1853'!E25</f>
        <v>373</v>
      </c>
      <c r="C14" s="179"/>
      <c r="D14" s="179"/>
      <c r="E14" s="179"/>
      <c r="F14" s="179"/>
      <c r="G14" s="180"/>
      <c r="H14" s="180"/>
      <c r="I14" s="180"/>
      <c r="J14" s="180"/>
    </row>
    <row r="15" customFormat="false" ht="18" hidden="false" customHeight="false" outlineLevel="0" collapsed="false">
      <c r="A15" s="178" t="s">
        <v>302</v>
      </c>
      <c r="B15" s="181" t="n">
        <f aca="false">'1853'!F26-'1853'!E26</f>
        <v>0</v>
      </c>
      <c r="C15" s="179"/>
      <c r="D15" s="179"/>
      <c r="E15" s="179"/>
      <c r="F15" s="179"/>
      <c r="G15" s="180"/>
      <c r="H15" s="180"/>
      <c r="I15" s="180"/>
      <c r="J15" s="180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80"/>
      <c r="H16" s="180"/>
      <c r="I16" s="180"/>
      <c r="J16" s="180"/>
      <c r="K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2" t="n">
        <f aca="false">'1854'!F4-'1854'!E4+'1854'!F6-'1854'!E6+'1854'!F8-'1854'!E8+'1854'!F10-'1854'!E10+'1854'!F12-'1854'!E12+'1854'!F14-'1854'!E14+'1854'!F16-'1854'!E16+'1854'!F18-'1854'!E18+'1854'!F20-'1854'!E20+'1854'!F22-'1854'!E22</f>
        <v>59.01</v>
      </c>
      <c r="C19" s="182" t="n">
        <f aca="false">'1855'!F4-'1855'!E4+'1855'!F6-'1855'!E6+'1855'!F8-'1855'!E8+'1855'!F10-'1855'!E10+'1855'!F12-'1855'!E12+'1855'!F14-'1855'!E14+'1855'!F16-'1855'!E16+'1855'!F18-'1855'!E18+'1855'!F20-'1855'!E20+'1855'!F22-'1855'!E22</f>
        <v>69.8349999999999</v>
      </c>
      <c r="D19" s="182" t="n">
        <f aca="false">'1856'!F4-'1856'!E4+'1856'!F6-'1856'!E6+'1856'!F8-'1856'!E8+'1856'!F10-'1856'!E10+'1856'!F12-'1856'!E12+'1856'!F14-'1856'!E14+'1856'!F16-'1856'!E16+'1856'!F18-'1856'!E18+'1856'!F20-'1856'!E20+'1856'!F22-'1856'!E22</f>
        <v>68.748</v>
      </c>
      <c r="E19" s="182" t="n">
        <f aca="false">'1857'!F4-'1857'!E4+'1857'!F6-'1857'!E6+'1857'!F8-'1857'!E8+'1857'!F10-'1857'!E10+'1857'!F12-'1857'!E12+'1857'!F14-'1857'!E14+'1857'!F16-'1857'!E16+'1857'!F18-'1857'!E18+'1857'!F20-'1857'!E20+'1857'!F22-'1857'!E22</f>
        <v>72.365</v>
      </c>
      <c r="F19" s="167"/>
      <c r="G19" s="169" t="n">
        <f aca="false">1-B19/B20</f>
        <v>0.0851162790697682</v>
      </c>
      <c r="H19" s="169" t="n">
        <f aca="false">1-C19/C20</f>
        <v>0.114892268694552</v>
      </c>
      <c r="I19" s="169" t="n">
        <f aca="false">1-D19/D20</f>
        <v>0.0966097240473052</v>
      </c>
      <c r="J19" s="169" t="n">
        <f aca="false">1-E19/E20</f>
        <v>0.0503280839894996</v>
      </c>
    </row>
    <row r="20" customFormat="false" ht="18" hidden="false" customHeight="false" outlineLevel="0" collapsed="false">
      <c r="A20" s="168" t="s">
        <v>293</v>
      </c>
      <c r="B20" s="182" t="n">
        <f aca="false">'1854'!F26-'1854'!E26</f>
        <v>64.5</v>
      </c>
      <c r="C20" s="182" t="n">
        <f aca="false">'1855'!F26-'1855'!E26</f>
        <v>78.9000000000001</v>
      </c>
      <c r="D20" s="182" t="n">
        <f aca="false">'1856'!F26-'1856'!E26</f>
        <v>76.0999999999999</v>
      </c>
      <c r="E20" s="182" t="n">
        <f aca="false">'1857'!F26-'1857'!E26</f>
        <v>76.1999999999998</v>
      </c>
      <c r="F20" s="167"/>
    </row>
    <row r="21" customFormat="false" ht="18" hidden="false" customHeight="false" outlineLevel="0" collapsed="false">
      <c r="A21" s="168" t="s">
        <v>294</v>
      </c>
      <c r="B21" s="171" t="n">
        <f aca="false">SUM(B20:E20)</f>
        <v>295.7</v>
      </c>
      <c r="C21" s="171"/>
      <c r="D21" s="171"/>
      <c r="E21" s="171"/>
      <c r="G21" s="169" t="n">
        <f aca="false">1-B21/B22</f>
        <v>-0.0422982023264011</v>
      </c>
    </row>
    <row r="22" customFormat="false" ht="18" hidden="false" customHeight="false" outlineLevel="0" collapsed="false">
      <c r="A22" s="168" t="s">
        <v>295</v>
      </c>
      <c r="B22" s="171" t="n">
        <f aca="false">'1854'!F29-'1854'!E29</f>
        <v>283.7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68" t="n">
        <f aca="false">'1854'!F5-'1854'!E5+'1854'!F7-'1854'!E7+'1854'!F9-'1854'!E9+'1854'!F11-'1854'!E11+'1854'!F13-'1854'!E13+'1854'!F15-'1854'!E15+'1854'!F17-'1854'!E17+'1854'!F19-'1854'!E19+'1854'!F21-'1854'!E21+'1854'!F23-'1854'!E23</f>
        <v>21.221</v>
      </c>
      <c r="C24" s="168" t="n">
        <f aca="false">'1855'!F5-'1855'!E5+'1855'!F7-'1855'!E7+'1855'!F9-'1855'!E9+'1855'!F11-'1855'!E11+'1855'!F13-'1855'!E13+'1855'!F15-'1855'!E15+'1855'!F17-'1855'!E17+'1855'!F19-'1855'!E19+'1855'!F21-'1855'!E21+'1855'!F23-'1855'!E23</f>
        <v>24.564</v>
      </c>
      <c r="D24" s="168" t="n">
        <f aca="false">'1856'!F5-'1856'!E5+'1856'!F7-'1856'!E7+'1856'!F9-'1856'!E9+'1856'!F11-'1856'!E11+'1856'!F13-'1856'!E13+'1856'!F15-'1856'!E15+'1856'!F17-'1856'!E17+'1856'!F19-'1856'!E19+'1856'!F21-'1856'!E21+'1856'!F23-'1856'!E23</f>
        <v>25.424</v>
      </c>
      <c r="E24" s="168" t="n">
        <f aca="false">'1857'!F5-'1857'!E5+'1857'!F7-'1857'!E7+'1857'!F9-'1857'!E9+'1857'!F11-'1857'!E11+'1857'!F13-'1857'!E13+'1857'!F15-'1857'!E15+'1857'!F17-'1857'!E17+'1857'!F19-'1857'!E19+'1857'!F21-'1857'!E21+'1857'!F23-'1857'!E23</f>
        <v>20.443</v>
      </c>
      <c r="G24" s="169" t="n">
        <f aca="false">1-B24/B25</f>
        <v>0.0655658300308226</v>
      </c>
      <c r="H24" s="169" t="n">
        <f aca="false">1-C24/C25</f>
        <v>0.0508500772797526</v>
      </c>
      <c r="I24" s="169" t="n">
        <f aca="false">1-D24/D25</f>
        <v>-0.116556873078612</v>
      </c>
      <c r="J24" s="169" t="n">
        <f aca="false">1-E24/E25</f>
        <v>0.0143201542912252</v>
      </c>
    </row>
    <row r="25" customFormat="false" ht="18" hidden="false" customHeight="false" outlineLevel="0" collapsed="false">
      <c r="A25" s="168" t="s">
        <v>298</v>
      </c>
      <c r="B25" s="183" t="n">
        <f aca="false">('1854'!F27-'1854'!E27)</f>
        <v>22.71</v>
      </c>
      <c r="C25" s="183" t="n">
        <f aca="false">('1855'!F27-'1855'!E27)</f>
        <v>25.88</v>
      </c>
      <c r="D25" s="183" t="n">
        <f aca="false">('1856'!F27-'1856'!E27)</f>
        <v>22.77</v>
      </c>
      <c r="E25" s="183" t="n">
        <f aca="false">('1857'!F27-'1857'!E27)</f>
        <v>20.74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'1854'!F25-'1854'!E25</f>
        <v>185</v>
      </c>
      <c r="C27" s="177" t="n">
        <f aca="false">'1855'!F25-'1855'!E25</f>
        <v>209</v>
      </c>
      <c r="D27" s="177" t="n">
        <f aca="false">'1856'!F25-'1856'!E25</f>
        <v>185</v>
      </c>
      <c r="E27" s="177" t="n">
        <f aca="false">'1857'!F25-'1857'!E25</f>
        <v>198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55">
      <formula>0</formula>
    </cfRule>
  </conditionalFormatting>
  <conditionalFormatting sqref="G1:J2 G13:J17 G28:J65536">
    <cfRule type="cellIs" priority="3" operator="lessThan" aboveAverage="0" equalAverage="0" bottom="0" percent="0" rank="0" text="" dxfId="4856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5" min="2" style="162" width="11.43"/>
    <col collapsed="false" customWidth="true" hidden="false" outlineLevel="0" max="6" min="6" style="162" width="9.86"/>
    <col collapsed="false" customWidth="true" hidden="false" outlineLevel="0" max="10" min="7" style="162" width="11.43"/>
    <col collapsed="false" customWidth="true" hidden="false" outlineLevel="0" max="14" min="11" style="162" width="9.86"/>
    <col collapsed="false" customWidth="true" hidden="false" outlineLevel="0" max="18" min="15" style="162" width="6.43"/>
    <col collapsed="false" customWidth="false" hidden="false" outlineLevel="0" max="16384" min="19" style="162" width="9"/>
  </cols>
  <sheetData>
    <row r="1" customFormat="false" ht="18" hidden="false" customHeight="false" outlineLevel="0" collapsed="false">
      <c r="A1" s="163" t="s">
        <v>306</v>
      </c>
      <c r="B1" s="188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'1850'!G4-'1850'!F4+'1850'!G6-'1850'!F6+'1850'!G8-'1850'!F8+'1850'!G10-'1850'!F10+'1850'!G12-'1850'!F12+'1850'!G14-'1850'!F14+'1850'!G16-'1850'!F16+'1850'!G18-'1850'!F18+'1850'!G20-'1850'!F20+'1850'!G22-'1850'!F22</f>
        <v>62.0209999999999</v>
      </c>
      <c r="C4" s="189" t="n">
        <f aca="false"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85.804</v>
      </c>
      <c r="D4" s="189" t="n">
        <f aca="false">'1852'!G4-'1852'!F4+'1852'!G6-'1852'!F6+'1852'!G8-'1852'!F8+'1852'!G10-'1852'!F10+'1852'!G12-'1852'!F12+'1852'!G14-'1852'!F14+'1852'!G16-'1852'!F16+'1852'!G18-'1852'!F18+'1852'!G20-'1852'!F20+'1852'!G22-'1852'!F22</f>
        <v>91.321</v>
      </c>
      <c r="E4" s="189" t="n">
        <f aca="false">'1853'!G4-'1853'!F4+'1853'!G6-'1853'!F6+'1853'!G8-'1853'!F8+'1853'!G10-'1853'!F10+'1853'!G12-'1853'!F12+'1853'!G14-'1853'!F14+'1853'!G16-'1853'!F16+'1853'!G18-'1853'!F18+'1853'!G20-'1853'!F20+'1853'!G22-'1853'!F22+'1853'!G26-'1853'!F26</f>
        <v>73.977</v>
      </c>
      <c r="G4" s="172" t="n">
        <f aca="false">1-B4/B5</f>
        <v>0.106325648414985</v>
      </c>
      <c r="H4" s="172" t="n">
        <f aca="false">1-C4/C5</f>
        <v>0.0663329706202362</v>
      </c>
      <c r="I4" s="172" t="n">
        <f aca="false">1-D4/D5</f>
        <v>0.100285714285714</v>
      </c>
      <c r="J4" s="172" t="n">
        <f aca="false">1-E4/E5</f>
        <v>0.0833085501858711</v>
      </c>
    </row>
    <row r="5" customFormat="false" ht="18" hidden="false" customHeight="false" outlineLevel="0" collapsed="false">
      <c r="A5" s="185" t="s">
        <v>293</v>
      </c>
      <c r="B5" s="189" t="n">
        <f aca="false">'1850'!G26-'1850'!F26</f>
        <v>69.3999999999999</v>
      </c>
      <c r="C5" s="189" t="n">
        <f aca="false">'1851'!H26-'1851'!G26</f>
        <v>91.8999999999996</v>
      </c>
      <c r="D5" s="189" t="n">
        <f aca="false">'1852'!G26-'1852'!F26</f>
        <v>101.5</v>
      </c>
      <c r="E5" s="189" t="n">
        <f aca="false">'1853'!G27-'1853'!F27</f>
        <v>80.6999999999998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343.499999999999</v>
      </c>
      <c r="C6" s="171"/>
      <c r="D6" s="171"/>
      <c r="E6" s="171"/>
      <c r="G6" s="172" t="n">
        <f aca="false">1-B6/B7</f>
        <v>0.0388919977616077</v>
      </c>
    </row>
    <row r="7" customFormat="false" ht="18" hidden="false" customHeight="false" outlineLevel="0" collapsed="false">
      <c r="A7" s="185" t="s">
        <v>295</v>
      </c>
      <c r="B7" s="171" t="n">
        <f aca="false">'1850'!G29-'1850'!F29</f>
        <v>357.399999999998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86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'1850'!G5-'1850'!F5+'1850'!G7-'1850'!F7+'1850'!G9-'1850'!F9+'1850'!G11-'1850'!F11+'1850'!G13-'1850'!F13+'1850'!G15-'1850'!F15+'1850'!G17-'1850'!F17+'1850'!G19-'1850'!F19+'1850'!G21-'1850'!F21+'1850'!G23-'1850'!F23</f>
        <v>14.785</v>
      </c>
      <c r="C9" s="189" t="n">
        <f aca="false">'1851'!H5-'1851'!G5+'1851'!H7-'1851'!G7+'1851'!H9-'1851'!G9+'1851'!H11-'1851'!G11+'1851'!H13-'1851'!G13+'1851'!H15-'1851'!G15+'1851'!H17-'1851'!G17+'1851'!H19-'1851'!G19+'1851'!H21-'1851'!G21+'1851'!H23-'1851'!G23</f>
        <v>20.313</v>
      </c>
      <c r="D9" s="189" t="n">
        <f aca="false">'1852'!G5-'1852'!F5+'1852'!G7-'1852'!F7+'1852'!G9-'1852'!F9+'1852'!G11-'1852'!F11+'1852'!G13-'1852'!F13+'1852'!G15-'1852'!F15+'1852'!G17-'1852'!F17+'1852'!G19-'1852'!F19+'1852'!G21-'1852'!F21+'1852'!G23-'1852'!F23</f>
        <v>20.167</v>
      </c>
      <c r="E9" s="189" t="n">
        <f aca="false">'1853'!G5-'1853'!F5+'1853'!G7-'1853'!F7+'1853'!G9-'1853'!F9+'1853'!G11-'1853'!F11+'1853'!G13-'1853'!F13+'1853'!G15-'1853'!F15+'1853'!G17-'1853'!F17+'1853'!G19-'1853'!F19+'1853'!G21-'1853'!F21+'1853'!G23-'1853'!F23</f>
        <v>13.81</v>
      </c>
      <c r="G9" s="172" t="n">
        <f aca="false">1-B9/B10</f>
        <v>0.0198223282948814</v>
      </c>
      <c r="H9" s="172" t="n">
        <f aca="false">1-C9/C10</f>
        <v>0.147658610271901</v>
      </c>
      <c r="I9" s="172" t="n">
        <f aca="false">1-D9/D10</f>
        <v>-0.0259971509971495</v>
      </c>
      <c r="J9" s="172" t="n">
        <f aca="false">1-E9/E10</f>
        <v>0.14753086419753</v>
      </c>
    </row>
    <row r="10" customFormat="false" ht="18" hidden="false" customHeight="false" outlineLevel="0" collapsed="false">
      <c r="A10" s="168" t="s">
        <v>298</v>
      </c>
      <c r="B10" s="183" t="n">
        <f aca="false">('1850'!G27-'1850'!F27)*3.6</f>
        <v>15.084</v>
      </c>
      <c r="C10" s="189" t="n">
        <f aca="false">('1851'!H27-'1851'!G27)*3.6</f>
        <v>23.8319999999999</v>
      </c>
      <c r="D10" s="189" t="n">
        <f aca="false">('1852'!G27-'1852'!F27)*3.6</f>
        <v>19.656</v>
      </c>
      <c r="E10" s="189" t="n">
        <f aca="false">('1853'!G28-'1853'!F28)*3.6</f>
        <v>16.2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'1850'!G25-'1850'!F25</f>
        <v>219</v>
      </c>
      <c r="C12" s="177" t="n">
        <f aca="false">'1851'!H24-'1851'!G24</f>
        <v>253</v>
      </c>
      <c r="D12" s="177" t="n">
        <f aca="false">'1852'!G25-'1852'!F25</f>
        <v>221</v>
      </c>
      <c r="E12" s="177" t="n">
        <f aca="false">'1853'!G24-'1853'!F24</f>
        <v>182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</row>
    <row r="14" customFormat="false" ht="18" hidden="false" customHeight="false" outlineLevel="0" collapsed="false">
      <c r="A14" s="178" t="s">
        <v>301</v>
      </c>
      <c r="B14" s="179" t="n">
        <f aca="false">'1853'!G25-'1853'!F25</f>
        <v>325</v>
      </c>
      <c r="C14" s="179"/>
      <c r="D14" s="179"/>
      <c r="E14" s="179"/>
      <c r="F14" s="179"/>
      <c r="G14" s="179"/>
      <c r="H14" s="179"/>
      <c r="I14" s="179"/>
      <c r="J14" s="179"/>
    </row>
    <row r="15" customFormat="false" ht="18" hidden="false" customHeight="false" outlineLevel="0" collapsed="false">
      <c r="A15" s="178" t="s">
        <v>302</v>
      </c>
      <c r="B15" s="181" t="n">
        <f aca="false">'1853'!G26-'1853'!F26</f>
        <v>0</v>
      </c>
      <c r="C15" s="179"/>
      <c r="D15" s="179"/>
      <c r="E15" s="179"/>
      <c r="F15" s="179"/>
      <c r="G15" s="179"/>
      <c r="H15" s="179"/>
      <c r="I15" s="179"/>
      <c r="J15" s="179"/>
      <c r="K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2" t="n">
        <f aca="false">'1854'!G4-'1854'!F4+'1854'!G6-'1854'!F6+'1854'!G8-'1854'!F8+'1854'!G10-'1854'!F10+'1854'!G12-'1854'!F12+'1854'!G14-'1854'!F14+'1854'!G16-'1854'!F16+'1854'!G18-'1854'!F18+'1854'!G20-'1854'!F20+'1854'!G22-'1854'!F22</f>
        <v>54.215</v>
      </c>
      <c r="C19" s="182" t="n">
        <f aca="false">'1855'!G4-'1855'!F4+'1855'!G6-'1855'!F6+'1855'!G8-'1855'!F8+'1855'!G10-'1855'!F10+'1855'!G12-'1855'!F12+'1855'!G14-'1855'!F14+'1855'!G16-'1855'!F16+'1855'!G18-'1855'!F18+'1855'!G20-'1855'!F20+'1855'!G22-'1855'!F22</f>
        <v>67.1510000000001</v>
      </c>
      <c r="D19" s="182" t="n">
        <f aca="false">'1856'!G4-'1856'!F4+'1856'!G6-'1856'!F6+'1856'!G8-'1856'!F8+'1856'!G10-'1856'!F10+'1856'!G12-'1856'!F12+'1856'!G14-'1856'!F14+'1856'!G16-'1856'!F16+'1856'!G18-'1856'!F18+'1856'!G20-'1856'!F20+'1856'!G22-'1856'!F22</f>
        <v>77.49</v>
      </c>
      <c r="E19" s="182" t="n">
        <f aca="false">'1857'!G4-'1857'!F4+'1857'!G6-'1857'!F6+'1857'!G8-'1857'!F8+'1857'!G10-'1857'!F10+'1857'!G12-'1857'!F12+'1857'!G14-'1857'!F14+'1857'!G16-'1857'!F16+'1857'!G18-'1857'!F18+'1857'!G20-'1857'!F20+'1857'!G22-'1857'!F22</f>
        <v>69.494</v>
      </c>
      <c r="F19" s="167"/>
      <c r="G19" s="172" t="n">
        <f aca="false">1-B19/B20</f>
        <v>0.0888235294117651</v>
      </c>
      <c r="H19" s="172" t="n">
        <f aca="false">1-C19/C20</f>
        <v>0.121060209424084</v>
      </c>
      <c r="I19" s="172" t="n">
        <f aca="false">1-D19/D20</f>
        <v>0.0926229508196736</v>
      </c>
      <c r="J19" s="172" t="n">
        <f aca="false">1-E19/E20</f>
        <v>0.098651102464336</v>
      </c>
    </row>
    <row r="20" customFormat="false" ht="18" hidden="false" customHeight="false" outlineLevel="0" collapsed="false">
      <c r="A20" s="168" t="s">
        <v>293</v>
      </c>
      <c r="B20" s="182" t="n">
        <f aca="false">'1854'!G26-'1854'!F26</f>
        <v>59.5</v>
      </c>
      <c r="C20" s="182" t="n">
        <f aca="false">'1855'!G26-'1855'!F26</f>
        <v>76.4000000000001</v>
      </c>
      <c r="D20" s="182" t="n">
        <f aca="false">'1856'!G26-'1856'!F26</f>
        <v>85.4000000000001</v>
      </c>
      <c r="E20" s="182" t="n">
        <f aca="false">'1857'!G26-'1857'!F26</f>
        <v>77.1000000000004</v>
      </c>
      <c r="F20" s="167"/>
    </row>
    <row r="21" customFormat="false" ht="18" hidden="false" customHeight="false" outlineLevel="0" collapsed="false">
      <c r="A21" s="168" t="s">
        <v>294</v>
      </c>
      <c r="B21" s="171" t="n">
        <f aca="false">SUM(B20:E20)</f>
        <v>298.400000000001</v>
      </c>
      <c r="C21" s="171"/>
      <c r="D21" s="171"/>
      <c r="E21" s="171"/>
      <c r="G21" s="172" t="n">
        <f aca="false">1-B21/B22</f>
        <v>-0.0411723656664347</v>
      </c>
    </row>
    <row r="22" customFormat="false" ht="18" hidden="false" customHeight="false" outlineLevel="0" collapsed="false">
      <c r="A22" s="168" t="s">
        <v>295</v>
      </c>
      <c r="B22" s="171" t="n">
        <f aca="false">'1854'!G29-'1854'!F29</f>
        <v>286.6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'1854'!G5-'1854'!F5+'1854'!G7-'1854'!F7+'1854'!G9-'1854'!F9+'1854'!G11-'1854'!F11+'1854'!G13-'1854'!F13+'1854'!G15-'1854'!F15+'1854'!G17-'1854'!F17+'1854'!G19-'1854'!F19+'1854'!G21-'1854'!F21+'1854'!G23-'1854'!F23</f>
        <v>16.092</v>
      </c>
      <c r="C24" s="189" t="n">
        <f aca="false">'1855'!G5-'1855'!F5+'1855'!G7-'1855'!F7+'1855'!G9-'1855'!F9+'1855'!G11-'1855'!F11+'1855'!G13-'1855'!F13+'1855'!G15-'1855'!F15+'1855'!G17-'1855'!F17+'1855'!G19-'1855'!F19+'1855'!G21-'1855'!F21+'1855'!G23-'1855'!F23</f>
        <v>18.284</v>
      </c>
      <c r="D24" s="189" t="n">
        <f aca="false">'1856'!G5-'1856'!F5+'1856'!G7-'1856'!F7+'1856'!G9-'1856'!F9+'1856'!G11-'1856'!F11+'1856'!G13-'1856'!F13+'1856'!G15-'1856'!F15+'1856'!G17-'1856'!F17+'1856'!G19-'1856'!F19+'1856'!G21-'1856'!F21+'1856'!G23-'1856'!F23</f>
        <v>19.289</v>
      </c>
      <c r="E24" s="189" t="n">
        <f aca="false">'1857'!G5-'1857'!F5+'1857'!G7-'1857'!F7+'1857'!G9-'1857'!F9+'1857'!G11-'1857'!F11+'1857'!G13-'1857'!F13+'1857'!G15-'1857'!F15+'1857'!G17-'1857'!F17+'1857'!G19-'1857'!F19+'1857'!G21-'1857'!F21+'1857'!G23-'1857'!F23</f>
        <v>16.339</v>
      </c>
      <c r="G24" s="172" t="n">
        <f aca="false">1-B24/B25</f>
        <v>0.0561876832844578</v>
      </c>
      <c r="H24" s="172" t="n">
        <f aca="false">1-C24/C25</f>
        <v>0.0680937818552527</v>
      </c>
      <c r="I24" s="172" t="n">
        <f aca="false">1-D24/D25</f>
        <v>-0.175441803778185</v>
      </c>
      <c r="J24" s="172" t="n">
        <f aca="false">1-E24/E25</f>
        <v>0.000672782874619249</v>
      </c>
    </row>
    <row r="25" customFormat="false" ht="18" hidden="false" customHeight="false" outlineLevel="0" collapsed="false">
      <c r="A25" s="168" t="s">
        <v>298</v>
      </c>
      <c r="B25" s="183" t="n">
        <f aca="false">('1854'!G27-'1854'!F27)</f>
        <v>17.05</v>
      </c>
      <c r="C25" s="183" t="n">
        <f aca="false">('1855'!G27-'1855'!F27)</f>
        <v>19.6200000000001</v>
      </c>
      <c r="D25" s="183" t="n">
        <f aca="false">('1856'!G27-'1856'!F27)</f>
        <v>16.41</v>
      </c>
      <c r="E25" s="183" t="n">
        <f aca="false">('1857'!G27-'1857'!F27)</f>
        <v>16.35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'1854'!G25-'1854'!F25</f>
        <v>209</v>
      </c>
      <c r="C27" s="177" t="n">
        <f aca="false">'1855'!G25-'1855'!F25</f>
        <v>253</v>
      </c>
      <c r="D27" s="177" t="n">
        <f aca="false">'1856'!G25-'1856'!F25</f>
        <v>209</v>
      </c>
      <c r="E27" s="177" t="n">
        <f aca="false">'1857'!G25-'1857'!F25</f>
        <v>189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57">
      <formula>0</formula>
    </cfRule>
  </conditionalFormatting>
  <conditionalFormatting sqref="G1:J2 G13:J17 G28:J65536">
    <cfRule type="cellIs" priority="3" operator="lessThan" aboveAverage="0" equalAverage="0" bottom="0" percent="0" rank="0" text="" dxfId="4858">
      <formula>0</formula>
    </cfRule>
  </conditionalFormatting>
  <conditionalFormatting sqref="B1:B1048576 C1:E5 C8:E13 C16:E20 C23:E65536">
    <cfRule type="cellIs" priority="4" operator="lessThan" aboveAverage="0" equalAverage="0" bottom="0" percent="0" rank="0" text="" dxfId="4859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10" min="2" style="162" width="11.43"/>
    <col collapsed="false" customWidth="true" hidden="false" outlineLevel="0" max="17" min="11" style="162" width="9.86"/>
    <col collapsed="false" customWidth="true" hidden="false" outlineLevel="0" max="21" min="18" style="162" width="6.43"/>
    <col collapsed="false" customWidth="false" hidden="false" outlineLevel="0" max="16384" min="22" style="162" width="9"/>
  </cols>
  <sheetData>
    <row r="1" customFormat="false" ht="18" hidden="false" customHeight="false" outlineLevel="0" collapsed="false">
      <c r="A1" s="163" t="s">
        <v>307</v>
      </c>
      <c r="B1" s="188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'1850'!H4-'1850'!G4+'1850'!H6-'1850'!G6+'1850'!H8-'1850'!G8+'1850'!H10-'1850'!G10+'1850'!H12-'1850'!G12+'1850'!H14-'1850'!G14+'1850'!H16-'1850'!G16+'1850'!H18-'1850'!G18+'1850'!H20-'1850'!G20+'1850'!H22-'1850'!G22</f>
        <v>60.9380000000001</v>
      </c>
      <c r="C4" s="189" t="n">
        <f aca="false"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80.899</v>
      </c>
      <c r="D4" s="189" t="n">
        <f aca="false">'1852'!H4-'1852'!G4+'1852'!H6-'1852'!G6+'1852'!H8-'1852'!G8+'1852'!H10-'1852'!G10+'1852'!H12-'1852'!G12+'1852'!H14-'1852'!G14+'1852'!H16-'1852'!G16+'1852'!H18-'1852'!G18+'1852'!H20-'1852'!G20+'1852'!H22-'1852'!G22</f>
        <v>86.3819999999999</v>
      </c>
      <c r="E4" s="189" t="n">
        <f aca="false">'1853'!H4-'1853'!G4+'1853'!H6-'1853'!G6+'1853'!H8-'1853'!G8+'1853'!H10-'1853'!G10+'1853'!H12-'1853'!G12+'1853'!H14-'1853'!G14+'1853'!H16-'1853'!G16+'1853'!H18-'1853'!G18+'1853'!H20-'1853'!G20+'1853'!H22-'1853'!G22+'1853'!H26-'1853'!G26</f>
        <v>83.31</v>
      </c>
      <c r="G4" s="172" t="n">
        <f aca="false">1-B4/B5</f>
        <v>0.11039416058394</v>
      </c>
      <c r="H4" s="172" t="n">
        <f aca="false">1-C4/C5</f>
        <v>0.0711940298507505</v>
      </c>
      <c r="I4" s="172" t="n">
        <f aca="false">1-D4/D5</f>
        <v>0.100187500000001</v>
      </c>
      <c r="J4" s="172" t="n">
        <f aca="false">1-E4/E5</f>
        <v>0.0804635761589394</v>
      </c>
    </row>
    <row r="5" customFormat="false" ht="18" hidden="false" customHeight="false" outlineLevel="0" collapsed="false">
      <c r="A5" s="185" t="s">
        <v>293</v>
      </c>
      <c r="B5" s="189" t="n">
        <f aca="false">'1850'!H26-'1850'!G26</f>
        <v>68.5</v>
      </c>
      <c r="C5" s="189" t="n">
        <f aca="false">'1851'!I26-'1851'!H26</f>
        <v>87.1000000000004</v>
      </c>
      <c r="D5" s="189" t="n">
        <f aca="false">'1852'!H26-'1852'!G26</f>
        <v>96</v>
      </c>
      <c r="E5" s="189" t="n">
        <f aca="false">'1853'!H27-'1853'!G27</f>
        <v>90.5999999999999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342.2</v>
      </c>
      <c r="C6" s="171"/>
      <c r="D6" s="171"/>
      <c r="E6" s="171"/>
      <c r="G6" s="172" t="n">
        <f aca="false">1-B6/B7</f>
        <v>0.0401122019635336</v>
      </c>
    </row>
    <row r="7" customFormat="false" ht="18" hidden="false" customHeight="false" outlineLevel="0" collapsed="false">
      <c r="A7" s="185" t="s">
        <v>295</v>
      </c>
      <c r="B7" s="171" t="n">
        <f aca="false">'1850'!H29-'1850'!G29</f>
        <v>356.5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86"/>
      <c r="C8" s="186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'1850'!H5-'1850'!G5+'1850'!H7-'1850'!G7+'1850'!H9-'1850'!G9+'1850'!H11-'1850'!G11+'1850'!H13-'1850'!G13+'1850'!H15-'1850'!G15+'1850'!H17-'1850'!G17+'1850'!H19-'1850'!G19+'1850'!H21-'1850'!G21+'1850'!H23-'1850'!G23</f>
        <v>4.891</v>
      </c>
      <c r="C9" s="189" t="n">
        <f aca="false">'1851'!I5-'1851'!H5+'1851'!I7-'1851'!H7+'1851'!I9-'1851'!H9+'1851'!I11-'1851'!H11+'1851'!I13-'1851'!H13+'1851'!I15-'1851'!H15+'1851'!I17-'1851'!H17+'1851'!I19-'1851'!H19+'1851'!I21-'1851'!H21+'1851'!I23-'1851'!H23</f>
        <v>7.669</v>
      </c>
      <c r="D9" s="189" t="n">
        <f aca="false">'1852'!H5-'1852'!G5+'1852'!H7-'1852'!G7+'1852'!H9-'1852'!G9+'1852'!H11-'1852'!G11+'1852'!H13-'1852'!G13+'1852'!H15-'1852'!G15+'1852'!H17-'1852'!G17+'1852'!H19-'1852'!G19+'1852'!H21-'1852'!G21+'1852'!H23-'1852'!G23</f>
        <v>6.95299999999999</v>
      </c>
      <c r="E9" s="189" t="n">
        <f aca="false">'1853'!H5-'1853'!G5+'1853'!H7-'1853'!G7+'1853'!H9-'1853'!G9+'1853'!H11-'1853'!G11+'1853'!H13-'1853'!G13+'1853'!H15-'1853'!G15+'1853'!H17-'1853'!G17+'1853'!H19-'1853'!G19+'1853'!H21-'1853'!G21+'1853'!H23-'1853'!G23</f>
        <v>3.845</v>
      </c>
      <c r="G9" s="172" t="n">
        <f aca="false">1-B9/B10</f>
        <v>-0.460872162485055</v>
      </c>
      <c r="H9" s="172" t="n">
        <f aca="false">1-C9/C10</f>
        <v>0.306098443720599</v>
      </c>
      <c r="I9" s="172" t="n">
        <f aca="false">1-D9/D10</f>
        <v>-0.322869101978707</v>
      </c>
      <c r="J9" s="172" t="n">
        <f aca="false">1-E9/E10</f>
        <v>0.382626846499675</v>
      </c>
    </row>
    <row r="10" customFormat="false" ht="18" hidden="false" customHeight="false" outlineLevel="0" collapsed="false">
      <c r="A10" s="168" t="s">
        <v>298</v>
      </c>
      <c r="B10" s="183" t="n">
        <f aca="false">('1850'!H27-'1850'!G27)*3.6</f>
        <v>3.34800000000002</v>
      </c>
      <c r="C10" s="189" t="n">
        <f aca="false">('1851'!I27-'1851'!H27)*3.6</f>
        <v>11.0520000000001</v>
      </c>
      <c r="D10" s="189" t="n">
        <f aca="false">('1852'!H27-'1852'!G27)*3.6</f>
        <v>5.25599999999993</v>
      </c>
      <c r="E10" s="189" t="n">
        <f aca="false">('1853'!H28-'1853'!G28)*3.6</f>
        <v>6.22799999999996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'1850'!H25-'1850'!G25</f>
        <v>243</v>
      </c>
      <c r="C12" s="177" t="n">
        <f aca="false">'1851'!I24-'1851'!H24</f>
        <v>258</v>
      </c>
      <c r="D12" s="177" t="n">
        <f aca="false">'1852'!H25-'1852'!G25</f>
        <v>190</v>
      </c>
      <c r="E12" s="177" t="n">
        <f aca="false">'1853'!H24-'1853'!G24</f>
        <v>187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</row>
    <row r="14" customFormat="false" ht="18" hidden="false" customHeight="false" outlineLevel="0" collapsed="false">
      <c r="A14" s="178" t="s">
        <v>301</v>
      </c>
      <c r="B14" s="179" t="n">
        <f aca="false">'1853'!H25-'1853'!G25</f>
        <v>272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</row>
    <row r="15" customFormat="false" ht="18" hidden="false" customHeight="false" outlineLevel="0" collapsed="false">
      <c r="A15" s="178" t="s">
        <v>302</v>
      </c>
      <c r="B15" s="181" t="n">
        <f aca="false">'1853'!H26-'1853'!G26</f>
        <v>20.535</v>
      </c>
      <c r="C15" s="181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'1854'!H4-'1854'!G4+'1854'!H6-'1854'!G6+'1854'!H8-'1854'!G8+'1854'!H10-'1854'!G10+'1854'!H12-'1854'!G12+'1854'!H14-'1854'!G14+'1854'!H16-'1854'!G16+'1854'!H18-'1854'!G18+'1854'!H20-'1854'!G20+'1854'!H22-'1854'!G22</f>
        <v>56.8499999999999</v>
      </c>
      <c r="C19" s="189" t="n">
        <f aca="false">'1855'!H4-'1855'!G4+'1855'!H6-'1855'!G6+'1855'!H8-'1855'!G8+'1855'!H10-'1855'!G10+'1855'!H12-'1855'!G12+'1855'!H14-'1855'!G14+'1855'!H16-'1855'!G16+'1855'!H18-'1855'!G18+'1855'!H20-'1855'!G20+'1855'!H22-'1855'!G22</f>
        <v>65.643</v>
      </c>
      <c r="D19" s="189" t="n">
        <f aca="false">'1856'!H4-'1856'!G4+'1856'!H6-'1856'!G6+'1856'!H8-'1856'!G8+'1856'!H10-'1856'!G10+'1856'!H12-'1856'!G12+'1856'!H14-'1856'!G14+'1856'!H16-'1856'!G16+'1856'!H18-'1856'!G18+'1856'!H20-'1856'!G20+'1856'!H22-'1856'!G22</f>
        <v>62.2520000000001</v>
      </c>
      <c r="E19" s="189" t="n">
        <f aca="false">'1857'!H4-'1857'!G4+'1857'!H6-'1857'!G6+'1857'!H8-'1857'!G8+'1857'!H10-'1857'!G10+'1857'!H12-'1857'!G12+'1857'!H14-'1857'!G14+'1857'!H16-'1857'!G16+'1857'!H18-'1857'!G18+'1857'!H20-'1857'!G20+'1857'!H22-'1857'!G22</f>
        <v>60.405</v>
      </c>
      <c r="G19" s="172" t="n">
        <f aca="false">1-B19/B20</f>
        <v>0.0933014354067002</v>
      </c>
      <c r="H19" s="172" t="n">
        <f aca="false">1-C19/C20</f>
        <v>0.108111413043477</v>
      </c>
      <c r="I19" s="172" t="n">
        <f aca="false">1-D19/D20</f>
        <v>0.097797101449274</v>
      </c>
      <c r="J19" s="172" t="n">
        <f aca="false">1-E19/E20</f>
        <v>0.106434911242602</v>
      </c>
    </row>
    <row r="20" customFormat="false" ht="18" hidden="false" customHeight="false" outlineLevel="0" collapsed="false">
      <c r="A20" s="168" t="s">
        <v>293</v>
      </c>
      <c r="B20" s="189" t="n">
        <f aca="false">'1854'!H26-'1854'!G26</f>
        <v>62.7</v>
      </c>
      <c r="C20" s="189" t="n">
        <f aca="false">'1855'!H26-'1855'!G26</f>
        <v>73.5999999999999</v>
      </c>
      <c r="D20" s="189" t="n">
        <f aca="false">'1856'!H26-'1856'!G26</f>
        <v>69</v>
      </c>
      <c r="E20" s="189" t="n">
        <f aca="false">'1857'!H26-'1857'!G26</f>
        <v>67.5999999999999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272.9</v>
      </c>
      <c r="C21" s="171"/>
      <c r="D21" s="171"/>
      <c r="E21" s="171"/>
      <c r="G21" s="172" t="n">
        <f aca="false">1-B21/B22</f>
        <v>-0.0408085430968728</v>
      </c>
    </row>
    <row r="22" customFormat="false" ht="18" hidden="false" customHeight="false" outlineLevel="0" collapsed="false">
      <c r="A22" s="168" t="s">
        <v>295</v>
      </c>
      <c r="B22" s="171" t="n">
        <f aca="false">'1854'!H29-'1854'!G29</f>
        <v>262.2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'1854'!H5-'1854'!G5+'1854'!H7-'1854'!G7+'1854'!H9-'1854'!G9+'1854'!H11-'1854'!G11+'1854'!H13-'1854'!G13+'1854'!H15-'1854'!G15+'1854'!H17-'1854'!G17+'1854'!H19-'1854'!G19+'1854'!H21-'1854'!G21+'1854'!H23-'1854'!G23</f>
        <v>4.326</v>
      </c>
      <c r="C24" s="189" t="n">
        <f aca="false">'1855'!H5-'1855'!G5+'1855'!H7-'1855'!G7+'1855'!H9-'1855'!G9+'1855'!H11-'1855'!G11+'1855'!H13-'1855'!G13+'1855'!H15-'1855'!G15+'1855'!H17-'1855'!G17+'1855'!H19-'1855'!G19+'1855'!H21-'1855'!G21+'1855'!H23-'1855'!G23</f>
        <v>5.09600000000001</v>
      </c>
      <c r="D24" s="189" t="n">
        <f aca="false">'1856'!H5-'1856'!G5+'1856'!H7-'1856'!G7+'1856'!H9-'1856'!G9+'1856'!H11-'1856'!G11+'1856'!H13-'1856'!G13+'1856'!H15-'1856'!G15+'1856'!H17-'1856'!G17+'1856'!H19-'1856'!G19+'1856'!H21-'1856'!G21+'1856'!H23-'1856'!G23</f>
        <v>7.11499999999998</v>
      </c>
      <c r="E24" s="189" t="n">
        <f aca="false">'1857'!H5-'1857'!G5+'1857'!H7-'1857'!G7+'1857'!H9-'1857'!G9+'1857'!H11-'1857'!G11+'1857'!H13-'1857'!G13+'1857'!H15-'1857'!G15+'1857'!H17-'1857'!G17+'1857'!H19-'1857'!G19+'1857'!H21-'1857'!G21+'1857'!H23-'1857'!G23</f>
        <v>4.199</v>
      </c>
      <c r="G24" s="172" t="n">
        <f aca="false">1-B24/B25</f>
        <v>-0.188461538461542</v>
      </c>
      <c r="H24" s="172" t="n">
        <f aca="false">1-C24/C25</f>
        <v>-0.0796610169491738</v>
      </c>
      <c r="I24" s="172" t="n">
        <f aca="false">1-D24/D25</f>
        <v>-1.07434402332364</v>
      </c>
      <c r="J24" s="172" t="n">
        <f aca="false">1-E24/E25</f>
        <v>-0.463066202090591</v>
      </c>
    </row>
    <row r="25" customFormat="false" ht="18" hidden="false" customHeight="false" outlineLevel="0" collapsed="false">
      <c r="A25" s="168" t="s">
        <v>298</v>
      </c>
      <c r="B25" s="183" t="n">
        <f aca="false">('1854'!H27-'1854'!G27)</f>
        <v>3.63999999999999</v>
      </c>
      <c r="C25" s="183" t="n">
        <f aca="false">('1855'!H27-'1855'!G27)</f>
        <v>4.71999999999991</v>
      </c>
      <c r="D25" s="183" t="n">
        <f aca="false">('1856'!H27-'1856'!G27)</f>
        <v>3.42999999999995</v>
      </c>
      <c r="E25" s="183" t="n">
        <f aca="false">('1857'!H27-'1857'!G27)</f>
        <v>2.87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'1854'!H25-'1854'!G25</f>
        <v>197</v>
      </c>
      <c r="C27" s="177" t="n">
        <f aca="false">'1855'!H25-'1855'!G25</f>
        <v>247</v>
      </c>
      <c r="D27" s="177" t="n">
        <f aca="false">'1856'!H25-'1856'!G25</f>
        <v>204</v>
      </c>
      <c r="E27" s="177" t="n">
        <f aca="false">'1857'!H25-'1857'!G25</f>
        <v>204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60">
      <formula>0</formula>
    </cfRule>
  </conditionalFormatting>
  <conditionalFormatting sqref="G1:J2 G13:J17 G28:J65536">
    <cfRule type="cellIs" priority="3" operator="lessThan" aboveAverage="0" equalAverage="0" bottom="0" percent="0" rank="0" text="" dxfId="4861">
      <formula>0</formula>
    </cfRule>
  </conditionalFormatting>
  <conditionalFormatting sqref="B1:B1048576 C1:E5 C8:E20 C23:E65536 F1:I2 F13:I13 F16:I17 F27:F65536 G28:I65536">
    <cfRule type="cellIs" priority="4" operator="lessThan" aboveAverage="0" equalAverage="0" bottom="0" percent="0" rank="0" text="" dxfId="4862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12" min="2" style="162" width="11.43"/>
    <col collapsed="false" customWidth="true" hidden="false" outlineLevel="0" max="20" min="13" style="162" width="9.86"/>
    <col collapsed="false" customWidth="true" hidden="false" outlineLevel="0" max="24" min="21" style="162" width="6.43"/>
    <col collapsed="false" customWidth="false" hidden="false" outlineLevel="0" max="16384" min="25" style="162" width="9"/>
  </cols>
  <sheetData>
    <row r="1" customFormat="false" ht="18" hidden="false" customHeight="false" outlineLevel="0" collapsed="false">
      <c r="A1" s="163" t="s">
        <v>308</v>
      </c>
      <c r="B1" s="188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'1850'!I4-'1850'!H4+'1850'!I6-'1850'!H6+'1850'!I8-'1850'!H8+'1850'!I10-'1850'!H10+'1850'!I12-'1850'!H12+'1850'!I14-'1850'!H14+'1850'!I16-'1850'!H16+'1850'!I18-'1850'!H18+'1850'!I20-'1850'!H20+'1850'!I22-'1850'!H22</f>
        <v>52.638</v>
      </c>
      <c r="C4" s="189" t="n">
        <f aca="false"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71.24</v>
      </c>
      <c r="D4" s="189" t="n">
        <f aca="false">'1852'!I4-'1852'!H4+'1852'!I6-'1852'!H6+'1852'!I8-'1852'!H8+'1852'!I10-'1852'!H10+'1852'!I12-'1852'!H12+'1852'!I14-'1852'!H14+'1852'!I16-'1852'!H16+'1852'!I18-'1852'!H18+'1852'!I20-'1852'!H20+'1852'!I22-'1852'!H22</f>
        <v>77.784</v>
      </c>
      <c r="E4" s="189" t="n">
        <f aca="false">'1853'!I4-'1853'!H4+'1853'!I6-'1853'!H6+'1853'!I8-'1853'!H8+'1853'!I10-'1853'!H10+'1853'!I12-'1853'!H12+'1853'!I14-'1853'!H14+'1853'!I16-'1853'!H16+'1853'!I18-'1853'!H18+'1853'!I20-'1853'!H20+'1853'!I22-'1853'!H22+'1853'!I26-'1853'!H26</f>
        <v>76.2239999999999</v>
      </c>
      <c r="G4" s="172" t="n">
        <f aca="false">1-B4/B5</f>
        <v>0.113838383838385</v>
      </c>
      <c r="H4" s="172" t="n">
        <f aca="false">1-C4/C5</f>
        <v>0.0783958602846028</v>
      </c>
      <c r="I4" s="172" t="n">
        <f aca="false">1-D4/D5</f>
        <v>0.0997222222222229</v>
      </c>
      <c r="J4" s="172" t="n">
        <f aca="false">1-E4/E5</f>
        <v>0.0647361963190193</v>
      </c>
    </row>
    <row r="5" customFormat="false" ht="18" hidden="false" customHeight="false" outlineLevel="0" collapsed="false">
      <c r="A5" s="185" t="s">
        <v>293</v>
      </c>
      <c r="B5" s="189" t="n">
        <f aca="false">'1850'!I26-'1850'!H26</f>
        <v>59.4000000000001</v>
      </c>
      <c r="C5" s="189" t="n">
        <f aca="false">'1851'!J26-'1851'!I26</f>
        <v>77.2999999999997</v>
      </c>
      <c r="D5" s="189" t="n">
        <f aca="false">'1852'!I26-'1852'!H26</f>
        <v>86.4000000000001</v>
      </c>
      <c r="E5" s="189" t="n">
        <f aca="false">'1853'!I27-'1853'!H27</f>
        <v>81.5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304.6</v>
      </c>
      <c r="C6" s="171"/>
      <c r="D6" s="171"/>
      <c r="E6" s="171"/>
      <c r="G6" s="172" t="n">
        <f aca="false">1-B6/B7</f>
        <v>0.0460382085812805</v>
      </c>
    </row>
    <row r="7" customFormat="false" ht="18" hidden="false" customHeight="false" outlineLevel="0" collapsed="false">
      <c r="A7" s="185" t="s">
        <v>295</v>
      </c>
      <c r="B7" s="171" t="n">
        <f aca="false">'1850'!I29-'1850'!H29</f>
        <v>319.300000000003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'1850'!I5-'1850'!H5+'1850'!I7-'1850'!H7+'1850'!I9-'1850'!H9+'1850'!I11-'1850'!H11+'1850'!I13-'1850'!H13+'1850'!I15-'1850'!H15+'1850'!I17-'1850'!H17+'1850'!I19-'1850'!H19+'1850'!I21-'1850'!H21+'1850'!I23-'1850'!H23</f>
        <v>3.677</v>
      </c>
      <c r="C9" s="189" t="n">
        <f aca="false">'1851'!J5-'1851'!I5+'1851'!J7-'1851'!I7+'1851'!J9-'1851'!I9+'1851'!J11-'1851'!I11+'1851'!J13-'1851'!I13+'1851'!J15-'1851'!I15+'1851'!J17-'1851'!I17+'1851'!J19-'1851'!I19+'1851'!J21-'1851'!I21+'1851'!J23-'1851'!I23</f>
        <v>5.97900000000001</v>
      </c>
      <c r="D9" s="189" t="n">
        <f aca="false">'1852'!I5-'1852'!H5+'1852'!I7-'1852'!H7+'1852'!I9-'1852'!H9+'1852'!I11-'1852'!H11+'1852'!I13-'1852'!H13+'1852'!I15-'1852'!H15+'1852'!I17-'1852'!H17+'1852'!I19-'1852'!H19+'1852'!I21-'1852'!H21+'1852'!I23-'1852'!H23</f>
        <v>5.51699999999999</v>
      </c>
      <c r="E9" s="189" t="n">
        <f aca="false">'1853'!I5-'1853'!H5+'1853'!I7-'1853'!H7+'1853'!I9-'1853'!H9+'1853'!I11-'1853'!H11+'1853'!I13-'1853'!H13+'1853'!I15-'1853'!H15+'1853'!I17-'1853'!H17+'1853'!I19-'1853'!H19+'1853'!I21-'1853'!H21+'1853'!I23-'1853'!H23</f>
        <v>3.14100000000001</v>
      </c>
      <c r="G9" s="172" t="n">
        <f aca="false">1-B9/B10</f>
        <v>-0.647401433691742</v>
      </c>
      <c r="H9" s="172" t="n">
        <f aca="false">1-C9/C10</f>
        <v>0.353761348897533</v>
      </c>
      <c r="I9" s="172" t="n">
        <f aca="false">1-D9/D10</f>
        <v>-0.405963302752287</v>
      </c>
      <c r="J9" s="172" t="n">
        <f aca="false">1-E9/E10</f>
        <v>0.444267515923564</v>
      </c>
    </row>
    <row r="10" customFormat="false" ht="18" hidden="false" customHeight="false" outlineLevel="0" collapsed="false">
      <c r="A10" s="168" t="s">
        <v>298</v>
      </c>
      <c r="B10" s="176" t="n">
        <f aca="false">('1850'!I27-'1850'!H27)*3.6</f>
        <v>2.23200000000002</v>
      </c>
      <c r="C10" s="189" t="n">
        <f aca="false">('1851'!J27-'1851'!I27)*3.6</f>
        <v>9.25199999999998</v>
      </c>
      <c r="D10" s="189" t="n">
        <f aca="false">('1852'!I27-'1852'!H27)*3.6</f>
        <v>3.92400000000001</v>
      </c>
      <c r="E10" s="189" t="n">
        <f aca="false">('1853'!I28-'1853'!H28)*3.6</f>
        <v>5.65199999999998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'1850'!I25-'1850'!H25</f>
        <v>232</v>
      </c>
      <c r="C12" s="177" t="n">
        <f aca="false">'1851'!J24-'1851'!I24</f>
        <v>234</v>
      </c>
      <c r="D12" s="177" t="n">
        <f aca="false">'1852'!I25-'1852'!H25</f>
        <v>190</v>
      </c>
      <c r="E12" s="177" t="n">
        <f aca="false">'1853'!I24-'1853'!H24</f>
        <v>173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</row>
    <row r="14" customFormat="false" ht="18" hidden="false" customHeight="false" outlineLevel="0" collapsed="false">
      <c r="A14" s="178" t="s">
        <v>301</v>
      </c>
      <c r="B14" s="179" t="n">
        <f aca="false">'1853'!I25-'1853'!H25</f>
        <v>245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</row>
    <row r="15" customFormat="false" ht="18" hidden="false" customHeight="false" outlineLevel="0" collapsed="false">
      <c r="A15" s="178" t="s">
        <v>302</v>
      </c>
      <c r="B15" s="181" t="n">
        <f aca="false">'1853'!I26-'1853'!H26</f>
        <v>18.043</v>
      </c>
      <c r="C15" s="181"/>
      <c r="D15" s="181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'1854'!I4-'1854'!H4+'1854'!I6-'1854'!H6+'1854'!I8-'1854'!H8+'1854'!I10-'1854'!H10+'1854'!I12-'1854'!H12+'1854'!I14-'1854'!H14+'1854'!I16-'1854'!H16+'1854'!I18-'1854'!H18+'1854'!I20-'1854'!H20+'1854'!I22-'1854'!H22</f>
        <v>55.8250000000001</v>
      </c>
      <c r="C19" s="189" t="n">
        <f aca="false">'1855'!I4-'1855'!H4+'1855'!I6-'1855'!H6+'1855'!I8-'1855'!H8+'1855'!I10-'1855'!H10+'1855'!I12-'1855'!H12+'1855'!I14-'1855'!H14+'1855'!I16-'1855'!H16+'1855'!I18-'1855'!H18+'1855'!I20-'1855'!H20+'1855'!I22-'1855'!H22</f>
        <v>60.019</v>
      </c>
      <c r="D19" s="189" t="n">
        <f aca="false">'1856'!I4-'1856'!H4+'1856'!I6-'1856'!H6+'1856'!I8-'1856'!H8+'1856'!I10-'1856'!H10+'1856'!I12-'1856'!H12+'1856'!I14-'1856'!H14+'1856'!I16-'1856'!H16+'1856'!I18-'1856'!H18+'1856'!I20-'1856'!H20+'1856'!I22-'1856'!H22</f>
        <v>58.666</v>
      </c>
      <c r="E19" s="189" t="n">
        <f aca="false">'1857'!I4-'1857'!H4+'1857'!I6-'1857'!H6+'1857'!I8-'1857'!H8+'1857'!I10-'1857'!H10+'1857'!I12-'1857'!H12+'1857'!I14-'1857'!H14+'1857'!I16-'1857'!H16+'1857'!I18-'1857'!H18+'1857'!I20-'1857'!H20+'1857'!I22-'1857'!H22</f>
        <v>64.419</v>
      </c>
      <c r="G19" s="172" t="n">
        <f aca="false">1-B19/B20</f>
        <v>0.0922764227642263</v>
      </c>
      <c r="H19" s="172" t="n">
        <f aca="false">1-C19/C20</f>
        <v>0.117367647058823</v>
      </c>
      <c r="I19" s="172" t="n">
        <f aca="false">1-D19/D20</f>
        <v>0.100214723926384</v>
      </c>
      <c r="J19" s="172" t="n">
        <f aca="false">1-E19/E20</f>
        <v>0.10154811715481</v>
      </c>
    </row>
    <row r="20" customFormat="false" ht="18" hidden="false" customHeight="false" outlineLevel="0" collapsed="false">
      <c r="A20" s="168" t="s">
        <v>293</v>
      </c>
      <c r="B20" s="189" t="n">
        <f aca="false">'1854'!I26-'1854'!H26</f>
        <v>61.5</v>
      </c>
      <c r="C20" s="170" t="n">
        <f aca="false">'1855'!I26-'1855'!H26</f>
        <v>68</v>
      </c>
      <c r="D20" s="189" t="n">
        <f aca="false">'1856'!I26-'1856'!H26</f>
        <v>65.2000000000003</v>
      </c>
      <c r="E20" s="189" t="n">
        <f aca="false">'1857'!I26-'1857'!H26</f>
        <v>71.6999999999998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266.4</v>
      </c>
      <c r="C21" s="171"/>
      <c r="D21" s="171"/>
      <c r="E21" s="171"/>
      <c r="G21" s="172" t="n">
        <f aca="false">1-B21/B22</f>
        <v>-0.0438871473354243</v>
      </c>
    </row>
    <row r="22" customFormat="false" ht="18" hidden="false" customHeight="false" outlineLevel="0" collapsed="false">
      <c r="A22" s="168" t="s">
        <v>295</v>
      </c>
      <c r="B22" s="171" t="n">
        <f aca="false">'1854'!I29-'1854'!H29</f>
        <v>255.2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'1854'!I5-'1854'!H5+'1854'!I7-'1854'!H7+'1854'!I9-'1854'!H9+'1854'!I11-'1854'!H11+'1854'!I13-'1854'!H13+'1854'!I15-'1854'!H15+'1854'!I17-'1854'!H17+'1854'!I19-'1854'!H19+'1854'!I21-'1854'!H21+'1854'!I23-'1854'!H23</f>
        <v>3.059</v>
      </c>
      <c r="C24" s="189" t="n">
        <f aca="false">'1855'!I5-'1855'!H5+'1855'!I7-'1855'!H7+'1855'!I9-'1855'!H9+'1855'!I11-'1855'!H11+'1855'!I13-'1855'!H13+'1855'!I15-'1855'!H15+'1855'!I17-'1855'!H17+'1855'!I19-'1855'!H19+'1855'!I21-'1855'!H21+'1855'!I23-'1855'!H23</f>
        <v>3.71699999999999</v>
      </c>
      <c r="D24" s="189" t="n">
        <f aca="false">'1856'!I5-'1856'!H5+'1856'!I7-'1856'!H7+'1856'!I9-'1856'!H9+'1856'!I11-'1856'!H11+'1856'!I13-'1856'!H13+'1856'!I15-'1856'!H15+'1856'!I17-'1856'!H17+'1856'!I19-'1856'!H19+'1856'!I21-'1856'!H21+'1856'!I23-'1856'!H23</f>
        <v>4.94200000000001</v>
      </c>
      <c r="E24" s="189" t="n">
        <f aca="false">'1857'!I5-'1857'!H5+'1857'!I7-'1857'!H7+'1857'!I9-'1857'!H9+'1857'!I11-'1857'!H11+'1857'!I13-'1857'!H13+'1857'!I15-'1857'!H15+'1857'!I17-'1857'!H17+'1857'!I19-'1857'!H19+'1857'!I21-'1857'!H21+'1857'!I23-'1857'!H23</f>
        <v>3.482</v>
      </c>
      <c r="G24" s="172" t="n">
        <f aca="false">1-B24/B25</f>
        <v>-0.312875536480665</v>
      </c>
      <c r="H24" s="172" t="n">
        <f aca="false">1-C24/C25</f>
        <v>-0.176265822784777</v>
      </c>
      <c r="I24" s="172" t="n">
        <f aca="false">1-D24/D25</f>
        <v>-1.01714285714282</v>
      </c>
      <c r="J24" s="172" t="n">
        <f aca="false">1-E24/E25</f>
        <v>-0.575565610859743</v>
      </c>
    </row>
    <row r="25" customFormat="false" ht="18" hidden="false" customHeight="false" outlineLevel="0" collapsed="false">
      <c r="A25" s="168" t="s">
        <v>298</v>
      </c>
      <c r="B25" s="183" t="n">
        <f aca="false">'1854'!I27-'1854'!H27</f>
        <v>2.33000000000004</v>
      </c>
      <c r="C25" s="183" t="n">
        <f aca="false">'1855'!I27-'1855'!H27</f>
        <v>3.16000000000008</v>
      </c>
      <c r="D25" s="183" t="n">
        <f aca="false">'1856'!I27-'1856'!H27</f>
        <v>2.45000000000005</v>
      </c>
      <c r="E25" s="183" t="n">
        <f aca="false">'1857'!I27-'1857'!H27</f>
        <v>2.20999999999998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'1854'!I25-'1854'!H25</f>
        <v>190</v>
      </c>
      <c r="C27" s="177" t="n">
        <f aca="false">'1855'!I25-'1855'!H25</f>
        <v>241</v>
      </c>
      <c r="D27" s="177" t="n">
        <f aca="false">'1856'!I25-'1856'!H25</f>
        <v>212</v>
      </c>
      <c r="E27" s="177" t="n">
        <f aca="false">'1857'!I25-'1857'!H25</f>
        <v>186</v>
      </c>
    </row>
  </sheetData>
  <mergeCells count="4">
    <mergeCell ref="B6:E6"/>
    <mergeCell ref="B7:E7"/>
    <mergeCell ref="B21:E21"/>
    <mergeCell ref="B22:E22"/>
  </mergeCells>
  <conditionalFormatting sqref="B2:B65536 C1:E5 C8:E20 C23:E65536 F1:L2 F13:H17 F28:L65536 I13:L13 I16:L17">
    <cfRule type="cellIs" priority="2" operator="lessThan" aboveAverage="0" equalAverage="0" bottom="0" percent="0" rank="0" text="" dxfId="4863">
      <formula>0</formula>
    </cfRule>
  </conditionalFormatting>
  <conditionalFormatting sqref="B1">
    <cfRule type="cellIs" priority="3" operator="lessThan" aboveAverage="0" equalAverage="0" bottom="0" percent="0" rank="0" text="" dxfId="4864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6.15"/>
    <col collapsed="false" customWidth="true" hidden="false" outlineLevel="0" max="15" min="2" style="162" width="11.43"/>
    <col collapsed="false" customWidth="true" hidden="false" outlineLevel="0" max="23" min="16" style="162" width="9.86"/>
    <col collapsed="false" customWidth="true" hidden="false" outlineLevel="0" max="27" min="24" style="162" width="6.43"/>
    <col collapsed="false" customWidth="false" hidden="false" outlineLevel="0" max="16384" min="28" style="162" width="9"/>
  </cols>
  <sheetData>
    <row r="1" customFormat="false" ht="18" hidden="false" customHeight="false" outlineLevel="0" collapsed="false">
      <c r="A1" s="190" t="s">
        <v>309</v>
      </c>
      <c r="B1" s="188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'1850'!J4-'1850'!I4+'1850'!J6-'1850'!I6+'1850'!J8-'1850'!I8+'1850'!J10-'1850'!I10+'1850'!J12-'1850'!I12+'1850'!J14-'1850'!I14+'1850'!J16-'1850'!I16+'1850'!J18-'1850'!I18+'1850'!J20-'1850'!I20+'1850'!J22-'1850'!I22</f>
        <v>45.1809999999999</v>
      </c>
      <c r="C4" s="189" t="n">
        <f aca="false"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70.8999999999999</v>
      </c>
      <c r="D4" s="189" t="n">
        <f aca="false">'1852'!J4-'1852'!I4+'1852'!J6-'1852'!I6+'1852'!J8-'1852'!I8+'1852'!J10-'1852'!I10+'1852'!J12-'1852'!I12+'1852'!J14-'1852'!I14+'1852'!J16-'1852'!I16+'1852'!J18-'1852'!I18+'1852'!J20-'1852'!I20+'1852'!J22-'1852'!I22</f>
        <v>74.8799999999999</v>
      </c>
      <c r="E4" s="189" t="n">
        <f aca="false">'1853'!J4-'1853'!I4+'1853'!J6-'1853'!I6+'1853'!J8-'1853'!I8+'1853'!J10-'1853'!I10+'1853'!J12-'1853'!I12+'1853'!J14-'1853'!I14+'1853'!J16-'1853'!I16+'1853'!J18-'1853'!I18+'1853'!J20-'1853'!I20+'1853'!J22-'1853'!I22+'1853'!J26-'1853'!I26</f>
        <v>82.6260000000001</v>
      </c>
      <c r="G4" s="172" t="n">
        <f aca="false">1-B4/B5</f>
        <v>0.126092843326885</v>
      </c>
      <c r="H4" s="172" t="n">
        <f aca="false">1-C4/C5</f>
        <v>0.0732026143790858</v>
      </c>
      <c r="I4" s="172" t="n">
        <f aca="false">1-D4/D5</f>
        <v>0.0978313253012059</v>
      </c>
      <c r="J4" s="172" t="n">
        <f aca="false">1-E4/E5</f>
        <v>0.0684780157835419</v>
      </c>
    </row>
    <row r="5" customFormat="false" ht="18" hidden="false" customHeight="false" outlineLevel="0" collapsed="false">
      <c r="A5" s="185" t="s">
        <v>293</v>
      </c>
      <c r="B5" s="189" t="n">
        <f aca="false">'1850'!J26-'1850'!I26</f>
        <v>51.6999999999998</v>
      </c>
      <c r="C5" s="189" t="n">
        <f aca="false">'1851'!K26-'1851'!J26</f>
        <v>76.5</v>
      </c>
      <c r="D5" s="189" t="n">
        <f aca="false">'1852'!J26-'1852'!I26</f>
        <v>83</v>
      </c>
      <c r="E5" s="189" t="n">
        <f aca="false">'1853'!J27-'1853'!I27</f>
        <v>88.7000000000003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299.9</v>
      </c>
      <c r="C6" s="171"/>
      <c r="D6" s="171"/>
      <c r="E6" s="171"/>
      <c r="G6" s="172" t="n">
        <f aca="false">1-B6/B7</f>
        <v>0.0512496045555158</v>
      </c>
    </row>
    <row r="7" customFormat="false" ht="18" hidden="false" customHeight="false" outlineLevel="0" collapsed="false">
      <c r="A7" s="185" t="s">
        <v>295</v>
      </c>
      <c r="B7" s="171" t="n">
        <f aca="false">'1850'!J29-'1850'!I29</f>
        <v>316.099999999999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'1850'!J5-'1850'!I5+'1850'!J7-'1850'!I7+'1850'!J9-'1850'!I9+'1850'!J11-'1850'!I11+'1850'!J13-'1850'!I13+'1850'!J15-'1850'!I15+'1850'!J17-'1850'!I17+'1850'!J19-'1850'!I19+'1850'!J21-'1850'!I21+'1850'!J23-'1850'!I23</f>
        <v>3.18299999999999</v>
      </c>
      <c r="C9" s="189" t="n">
        <f aca="false">'1851'!K5-'1851'!J5+'1851'!K7-'1851'!J7+'1851'!K9-'1851'!J9+'1851'!K11-'1851'!J11+'1851'!K13-'1851'!J13+'1851'!K15-'1851'!J15+'1851'!K17-'1851'!J17+'1851'!K19-'1851'!J19+'1851'!K21-'1851'!J21+'1851'!K23-'1851'!J23</f>
        <v>5.60299999999999</v>
      </c>
      <c r="D9" s="189" t="n">
        <f aca="false">'1852'!J5-'1852'!I5+'1852'!J7-'1852'!I7+'1852'!J9-'1852'!I9+'1852'!J11-'1852'!I11+'1852'!J13-'1852'!I13+'1852'!J15-'1852'!I15+'1852'!J17-'1852'!I17+'1852'!J19-'1852'!I19+'1852'!J21-'1852'!I21+'1852'!J23-'1852'!I23</f>
        <v>4.71400000000001</v>
      </c>
      <c r="E9" s="189" t="n">
        <f aca="false">'1853'!J5-'1853'!I5+'1853'!J7-'1853'!I7+'1853'!J9-'1853'!I9+'1853'!J11-'1853'!I11+'1853'!J13-'1853'!I13+'1853'!J15-'1853'!I15+'1853'!J17-'1853'!I17+'1853'!J19-'1853'!I19+'1853'!J21-'1853'!I21+'1853'!J23-'1853'!I23</f>
        <v>2.844</v>
      </c>
      <c r="G9" s="172" t="n">
        <f aca="false">1-B9/B10</f>
        <v>-0.842013888888924</v>
      </c>
      <c r="H9" s="172" t="n">
        <f aca="false">1-C9/C10</f>
        <v>0.389651416122008</v>
      </c>
      <c r="I9" s="172" t="n">
        <f aca="false">1-D9/D10</f>
        <v>-0.657524613220836</v>
      </c>
      <c r="J9" s="172" t="n">
        <f aca="false">1-E9/E10</f>
        <v>0.247619047619056</v>
      </c>
    </row>
    <row r="10" customFormat="false" ht="18" hidden="false" customHeight="false" outlineLevel="0" collapsed="false">
      <c r="A10" s="168" t="s">
        <v>298</v>
      </c>
      <c r="B10" s="183" t="n">
        <f aca="false">('1850'!J27-'1850'!I27)*3.6</f>
        <v>1.72799999999996</v>
      </c>
      <c r="C10" s="183" t="n">
        <f aca="false">('1851'!K27-'1851'!J27)*3.6</f>
        <v>9.18000000000004</v>
      </c>
      <c r="D10" s="189" t="n">
        <f aca="false">('1852'!J27-'1852'!I27)*3.6</f>
        <v>2.84399999999997</v>
      </c>
      <c r="E10" s="189" t="n">
        <f aca="false">('1853'!J28-'1853'!I28)*3.6</f>
        <v>3.78000000000004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'1850'!J25-'1850'!I25</f>
        <v>229</v>
      </c>
      <c r="C12" s="177" t="n">
        <f aca="false">'1851'!K24-'1851'!J24</f>
        <v>259</v>
      </c>
      <c r="D12" s="177" t="n">
        <f aca="false">'1852'!J25-'1852'!I25</f>
        <v>181</v>
      </c>
      <c r="E12" s="177" t="n">
        <f aca="false">'1853'!J24-'1853'!I24</f>
        <v>180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</row>
    <row r="14" customFormat="false" ht="18" hidden="false" customHeight="false" outlineLevel="0" collapsed="false">
      <c r="A14" s="178" t="s">
        <v>301</v>
      </c>
      <c r="B14" s="179" t="n">
        <f aca="false">'1853'!J25-'1853'!I25</f>
        <v>248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</row>
    <row r="15" customFormat="false" ht="18" hidden="false" customHeight="false" outlineLevel="0" collapsed="false">
      <c r="A15" s="178" t="s">
        <v>302</v>
      </c>
      <c r="B15" s="181" t="n">
        <f aca="false">'1853'!J26-'1853'!I26</f>
        <v>26.6830000000001</v>
      </c>
      <c r="C15" s="181"/>
      <c r="D15" s="181"/>
      <c r="E15" s="181"/>
      <c r="F15" s="181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'1854'!J4-'1854'!I4+'1854'!J6-'1854'!I6+'1854'!J8-'1854'!I8+'1854'!J10-'1854'!I10+'1854'!J12-'1854'!I12+'1854'!J14-'1854'!I14+'1854'!J16-'1854'!I16+'1854'!J18-'1854'!I18+'1854'!J20-'1854'!I20+'1854'!J22-'1854'!I22</f>
        <v>52.988</v>
      </c>
      <c r="C19" s="189" t="n">
        <f aca="false">'1855'!J4-'1855'!I4+'1855'!J6-'1855'!I6+'1855'!J8-'1855'!I8+'1855'!J10-'1855'!I10+'1855'!J12-'1855'!I12+'1855'!J14-'1855'!I14+'1855'!J16-'1855'!I16+'1855'!J18-'1855'!I18+'1855'!J20-'1855'!I20+'1855'!J22-'1855'!I22</f>
        <v>55.924</v>
      </c>
      <c r="D19" s="189" t="n">
        <f aca="false">'1856'!J4-'1856'!I4+'1856'!J6-'1856'!I6+'1856'!J8-'1856'!I8+'1856'!J10-'1856'!I10+'1856'!J12-'1856'!I12+'1856'!J14-'1856'!I14+'1856'!J16-'1856'!I16+'1856'!J18-'1856'!I18+'1856'!J20-'1856'!I20+'1856'!J22-'1856'!I22</f>
        <v>59.854</v>
      </c>
      <c r="E19" s="189" t="n">
        <f aca="false">'1857'!J4-'1857'!I4+'1857'!J6-'1857'!I6+'1857'!J8-'1857'!I8+'1857'!J10-'1857'!I10+'1857'!J12-'1857'!I12+'1857'!J14-'1857'!I14+'1857'!J16-'1857'!I16+'1857'!J18-'1857'!I18+'1857'!J20-'1857'!I20+'1857'!J22-'1857'!I22</f>
        <v>56.7189999999999</v>
      </c>
      <c r="G19" s="172" t="n">
        <f aca="false">1-B19/B20</f>
        <v>0.0832525951557093</v>
      </c>
      <c r="H19" s="172" t="n">
        <f aca="false">1-C19/C20</f>
        <v>0.1261875</v>
      </c>
      <c r="I19" s="172" t="n">
        <f aca="false">1-D19/D20</f>
        <v>0.0958610271903301</v>
      </c>
      <c r="J19" s="172" t="n">
        <f aca="false">1-E19/E20</f>
        <v>0.108191823899371</v>
      </c>
    </row>
    <row r="20" customFormat="false" ht="18" hidden="false" customHeight="false" outlineLevel="0" collapsed="false">
      <c r="A20" s="168" t="s">
        <v>293</v>
      </c>
      <c r="B20" s="189" t="n">
        <f aca="false">'1854'!J26-'1854'!I26</f>
        <v>57.8</v>
      </c>
      <c r="C20" s="189" t="n">
        <f aca="false">'1855'!J26-'1855'!I26</f>
        <v>64</v>
      </c>
      <c r="D20" s="189" t="n">
        <f aca="false">'1856'!J26-'1856'!I26</f>
        <v>66.1999999999998</v>
      </c>
      <c r="E20" s="189" t="n">
        <f aca="false">'1857'!J26-'1857'!I26</f>
        <v>63.5999999999999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251.6</v>
      </c>
      <c r="C21" s="171"/>
      <c r="D21" s="171"/>
      <c r="E21" s="171"/>
      <c r="G21" s="172" t="n">
        <f aca="false">1-B21/B22</f>
        <v>-0.0422535211267607</v>
      </c>
    </row>
    <row r="22" customFormat="false" ht="18" hidden="false" customHeight="false" outlineLevel="0" collapsed="false">
      <c r="A22" s="168" t="s">
        <v>295</v>
      </c>
      <c r="B22" s="171" t="n">
        <f aca="false">'1854'!J29-'1854'!I29</f>
        <v>241.4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'1854'!J5-'1854'!I5+'1854'!J7-'1854'!I7+'1854'!J9-'1854'!I9+'1854'!J11-'1854'!I11+'1854'!J13-'1854'!I13+'1854'!J15-'1854'!I15+'1854'!J17-'1854'!I17+'1854'!J19-'1854'!I19+'1854'!J21-'1854'!I21+'1854'!J23-'1854'!I23</f>
        <v>2.747</v>
      </c>
      <c r="C24" s="189" t="n">
        <f aca="false">'1855'!J5-'1855'!I5+'1855'!J7-'1855'!I7+'1855'!J9-'1855'!I9+'1855'!J11-'1855'!I11+'1855'!J13-'1855'!I13+'1855'!J15-'1855'!I15+'1855'!J17-'1855'!I17+'1855'!J19-'1855'!I19+'1855'!J21-'1855'!I21+'1855'!J23-'1855'!I23</f>
        <v>3.15</v>
      </c>
      <c r="D24" s="189" t="n">
        <f aca="false">'1856'!J5-'1856'!I5+'1856'!J7-'1856'!I7+'1856'!J9-'1856'!I9+'1856'!J11-'1856'!I11+'1856'!J13-'1856'!I13+'1856'!J15-'1856'!I15+'1856'!J17-'1856'!I17+'1856'!J19-'1856'!I19+'1856'!J21-'1856'!I21+'1856'!J23-'1856'!I23</f>
        <v>3.163</v>
      </c>
      <c r="E24" s="189" t="n">
        <f aca="false">'1857'!J5-'1857'!I5+'1857'!J7-'1857'!I7+'1857'!J9-'1857'!I9+'1857'!J11-'1857'!I11+'1857'!J13-'1857'!I13+'1857'!J15-'1857'!I15+'1857'!J17-'1857'!I17+'1857'!J19-'1857'!I19+'1857'!J21-'1857'!I21+'1857'!J23-'1857'!I23</f>
        <v>3.095</v>
      </c>
      <c r="G24" s="172" t="n">
        <f aca="false">1-B24/B25</f>
        <v>-0.0772549019608031</v>
      </c>
      <c r="H24" s="172" t="n">
        <f aca="false">1-C24/C25</f>
        <v>-0.254980079681278</v>
      </c>
      <c r="I24" s="172" t="n">
        <f aca="false">1-D24/D25</f>
        <v>-0.381222707423601</v>
      </c>
      <c r="J24" s="172" t="n">
        <f aca="false">1-E24/E25</f>
        <v>-0.719444444444433</v>
      </c>
    </row>
    <row r="25" customFormat="false" ht="18" hidden="false" customHeight="false" outlineLevel="0" collapsed="false">
      <c r="A25" s="168" t="s">
        <v>298</v>
      </c>
      <c r="B25" s="183" t="n">
        <f aca="false">'1854'!J27-'1854'!I27</f>
        <v>2.54999999999995</v>
      </c>
      <c r="C25" s="183" t="n">
        <f aca="false">'1855'!J27-'1855'!I27</f>
        <v>2.50999999999999</v>
      </c>
      <c r="D25" s="183" t="n">
        <f aca="false">'1856'!J27-'1856'!I27</f>
        <v>2.28999999999996</v>
      </c>
      <c r="E25" s="183" t="n">
        <f aca="false">'1857'!J27-'1857'!I27</f>
        <v>1.80000000000001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'1854'!J25-'1854'!I25</f>
        <v>193</v>
      </c>
      <c r="C27" s="177" t="n">
        <f aca="false">'1855'!J25-'1855'!I25</f>
        <v>225</v>
      </c>
      <c r="D27" s="177" t="n">
        <f aca="false">'1856'!J25-'1856'!I25</f>
        <v>203</v>
      </c>
      <c r="E27" s="177" t="n">
        <f aca="false">'1857'!J25-'1857'!I25</f>
        <v>195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65">
      <formula>0</formula>
    </cfRule>
  </conditionalFormatting>
  <conditionalFormatting sqref="B2:B65536 C1:E5 C8:E20 C23:E65536 F1:O2 F13:J17 F28:O65536 K13:N13 K16:O17">
    <cfRule type="cellIs" priority="3" operator="lessThan" aboveAverage="0" equalAverage="0" bottom="0" percent="0" rank="0" text="" dxfId="4866">
      <formula>0</formula>
    </cfRule>
  </conditionalFormatting>
  <conditionalFormatting sqref="B1">
    <cfRule type="cellIs" priority="4" operator="lessThan" aboveAverage="0" equalAverage="0" bottom="0" percent="0" rank="0" text="" dxfId="4867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18" min="2" style="162" width="11.43"/>
    <col collapsed="false" customWidth="true" hidden="false" outlineLevel="0" max="26" min="19" style="162" width="9.86"/>
    <col collapsed="false" customWidth="true" hidden="false" outlineLevel="0" max="30" min="27" style="162" width="6.43"/>
    <col collapsed="false" customWidth="false" hidden="false" outlineLevel="0" max="16384" min="31" style="162" width="9"/>
  </cols>
  <sheetData>
    <row r="1" customFormat="false" ht="18" hidden="false" customHeight="false" outlineLevel="0" collapsed="false">
      <c r="A1" s="163" t="s">
        <v>310</v>
      </c>
      <c r="B1" s="188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'1850'!K4-'1850'!J4+'1850'!K6-'1850'!J6+'1850'!K8-'1850'!J8+'1850'!K10-'1850'!J10+'1850'!K12-'1850'!J12+'1850'!K14-'1850'!J14+'1850'!K16-'1850'!J16+'1850'!K18-'1850'!J18+'1850'!K20-'1850'!J20+'1850'!K22-'1850'!J22</f>
        <v>50.24</v>
      </c>
      <c r="C4" s="182" t="n">
        <f aca="false"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73.9010000000001</v>
      </c>
      <c r="D4" s="189" t="n">
        <f aca="false">'1852'!K4-'1852'!J4+'1852'!K6-'1852'!J6+'1852'!K8-'1852'!J8+'1852'!K10-'1852'!J10+'1852'!K12-'1852'!J12+'1852'!K14-'1852'!J14+'1852'!K16-'1852'!J16+'1852'!K18-'1852'!J18+'1852'!K20-'1852'!J20+'1852'!K22-'1852'!J22</f>
        <v>68.4270000000001</v>
      </c>
      <c r="E4" s="189" t="n">
        <f aca="false">'1853'!K4-'1853'!J4+'1853'!K6-'1853'!J6+'1853'!K8-'1853'!J8+'1853'!K10-'1853'!J10+'1853'!K12-'1853'!J12+'1853'!K14-'1853'!J14+'1853'!K16-'1853'!J16+'1853'!K18-'1853'!J18+'1853'!K20-'1853'!J20+'1853'!K22-'1853'!J22+'1853'!K26-'1853'!J26</f>
        <v>72.84</v>
      </c>
      <c r="G4" s="172" t="n">
        <f aca="false">1-B4/B5</f>
        <v>0.120140105078814</v>
      </c>
      <c r="H4" s="172" t="n">
        <f aca="false">1-C4/C5</f>
        <v>0.0692569269521413</v>
      </c>
      <c r="I4" s="172" t="n">
        <f aca="false">1-D4/D5</f>
        <v>0.10082785808147</v>
      </c>
      <c r="J4" s="172" t="n">
        <f aca="false">1-E4/E5</f>
        <v>0.0732824427480908</v>
      </c>
    </row>
    <row r="5" customFormat="false" ht="18" hidden="false" customHeight="false" outlineLevel="0" collapsed="false">
      <c r="A5" s="185" t="s">
        <v>293</v>
      </c>
      <c r="B5" s="189" t="n">
        <f aca="false">'1850'!K26-'1850'!J26</f>
        <v>57.1000000000004</v>
      </c>
      <c r="C5" s="189" t="n">
        <f aca="false">'1851'!L26-'1851'!K26</f>
        <v>79.4000000000001</v>
      </c>
      <c r="D5" s="189" t="n">
        <f aca="false">'1852'!K26-'1852'!J26</f>
        <v>76.0999999999999</v>
      </c>
      <c r="E5" s="189" t="n">
        <f aca="false">'1853'!K27-'1853'!J27</f>
        <v>78.5999999999999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291.2</v>
      </c>
      <c r="C6" s="171"/>
      <c r="D6" s="171"/>
      <c r="E6" s="171"/>
      <c r="G6" s="172" t="n">
        <f aca="false">1-B6/B7</f>
        <v>0.0527000650618124</v>
      </c>
    </row>
    <row r="7" customFormat="false" ht="18" hidden="false" customHeight="false" outlineLevel="0" collapsed="false">
      <c r="A7" s="185" t="s">
        <v>295</v>
      </c>
      <c r="B7" s="171" t="n">
        <f aca="false">'1850'!K29-'1850'!J29</f>
        <v>307.400000000001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2" t="n">
        <f aca="false">'1850'!K5-'1850'!J5+'1850'!K7-'1850'!J7+'1850'!K9-'1850'!J9+'1850'!K11-'1850'!J11+'1850'!K13-'1850'!J13+'1850'!K15-'1850'!J15+'1850'!K17-'1850'!J17+'1850'!K19-'1850'!J19+'1850'!K21-'1850'!J21+'1850'!K23-'1850'!J23</f>
        <v>3.108</v>
      </c>
      <c r="C9" s="182" t="n">
        <f aca="false">'1851'!L5-'1851'!K5+'1851'!L7-'1851'!K7+'1851'!L9-'1851'!K9+'1851'!L11-'1851'!K11+'1851'!L13-'1851'!K13+'1851'!L15-'1851'!K15+'1851'!L17-'1851'!K17+'1851'!L19-'1851'!K19+'1851'!L21-'1851'!K21+'1851'!L23-'1851'!K23</f>
        <v>5.27</v>
      </c>
      <c r="D9" s="182" t="n">
        <f aca="false">'1852'!K5-'1852'!J5+'1852'!K7-'1852'!J7+'1852'!K9-'1852'!J9+'1852'!K11-'1852'!J11+'1852'!K13-'1852'!J13+'1852'!K15-'1852'!J15+'1852'!K17-'1852'!J17+'1852'!K19-'1852'!J19+'1852'!K21-'1852'!J21+'1852'!K23-'1852'!J23</f>
        <v>4.35500000000001</v>
      </c>
      <c r="E9" s="182" t="n">
        <f aca="false">'1853'!K5-'1853'!J5+'1853'!K7-'1853'!J7+'1853'!K9-'1853'!J9+'1853'!K11-'1853'!J11+'1853'!K13-'1853'!J13+'1853'!K15-'1853'!J15+'1853'!K17-'1853'!J17+'1853'!K19-'1853'!J19+'1853'!K21-'1853'!J21+'1853'!K23-'1853'!J23</f>
        <v>2.587</v>
      </c>
      <c r="F9" s="167"/>
      <c r="G9" s="172" t="n">
        <f aca="false">1-B9/B10</f>
        <v>-0.836879432624118</v>
      </c>
      <c r="H9" s="172" t="n">
        <f aca="false">1-C9/C10</f>
        <v>0.40492321589882</v>
      </c>
      <c r="I9" s="172" t="n">
        <f aca="false">1-D9/D10</f>
        <v>-0.779003267973843</v>
      </c>
      <c r="J9" s="172" t="n">
        <f aca="false">1-E9/E10</f>
        <v>-0.306565656565629</v>
      </c>
    </row>
    <row r="10" customFormat="false" ht="18" hidden="false" customHeight="false" outlineLevel="0" collapsed="false">
      <c r="A10" s="168" t="s">
        <v>298</v>
      </c>
      <c r="B10" s="191" t="n">
        <f aca="false">('1850'!K27-'1850'!J27)*3.6</f>
        <v>1.692</v>
      </c>
      <c r="C10" s="182" t="n">
        <f aca="false">('1851'!L27-'1851'!K27)*3.6</f>
        <v>8.85599999999993</v>
      </c>
      <c r="D10" s="182" t="n">
        <f aca="false">('1852'!K27-'1852'!J27)*3.6</f>
        <v>2.44800000000003</v>
      </c>
      <c r="E10" s="182" t="n">
        <f aca="false">('1853'!K28-'1853'!J28)*3.6</f>
        <v>1.98000000000004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'1850'!K25-'1850'!J25</f>
        <v>216</v>
      </c>
      <c r="C12" s="177" t="n">
        <f aca="false">'1851'!L24-'1851'!K24</f>
        <v>265</v>
      </c>
      <c r="D12" s="177" t="n">
        <f aca="false">'1852'!K25-'1852'!J25</f>
        <v>215</v>
      </c>
      <c r="E12" s="177" t="n">
        <f aca="false">'1853'!K24-'1853'!J24</f>
        <v>178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</row>
    <row r="14" customFormat="false" ht="18" hidden="false" customHeight="false" outlineLevel="0" collapsed="false">
      <c r="A14" s="178" t="s">
        <v>301</v>
      </c>
      <c r="B14" s="179" t="n">
        <f aca="false">'1853'!K25-'1853'!J25</f>
        <v>285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</row>
    <row r="15" customFormat="false" ht="18" hidden="false" customHeight="false" outlineLevel="0" collapsed="false">
      <c r="A15" s="178" t="s">
        <v>302</v>
      </c>
      <c r="B15" s="181" t="n">
        <f aca="false">'1853'!K26-'1853'!J26</f>
        <v>17.652</v>
      </c>
      <c r="C15" s="181"/>
      <c r="D15" s="181"/>
      <c r="E15" s="181"/>
      <c r="F15" s="181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'1854'!K4-'1854'!J4+'1854'!K6-'1854'!J6+'1854'!K8-'1854'!J8+'1854'!K10-'1854'!J10+'1854'!K12-'1854'!J12+'1854'!K14-'1854'!J14+'1854'!K16-'1854'!J16+'1854'!K18-'1854'!J18+'1854'!K20-'1854'!J20+'1854'!K22-'1854'!J22</f>
        <v>58.943</v>
      </c>
      <c r="C19" s="189" t="n">
        <f aca="false">'1855'!K4-'1855'!J4+'1855'!K6-'1855'!J6+'1855'!K8-'1855'!J8+'1855'!K10-'1855'!J10+'1855'!K12-'1855'!J12+'1855'!K14-'1855'!J14+'1855'!K16-'1855'!J16+'1855'!K18-'1855'!J18+'1855'!K20-'1855'!J20+'1855'!K22-'1855'!J22</f>
        <v>57.302</v>
      </c>
      <c r="D19" s="189" t="n">
        <f aca="false">'1856'!K4-'1856'!J4+'1856'!K6-'1856'!J6+'1856'!K8-'1856'!J8+'1856'!K10-'1856'!J10+'1856'!K12-'1856'!J12+'1856'!K14-'1856'!J14+'1856'!K16-'1856'!J16+'1856'!K18-'1856'!J18+'1856'!K20-'1856'!J20+'1856'!K22-'1856'!J22</f>
        <v>63.7560000000001</v>
      </c>
      <c r="E19" s="189" t="n">
        <f aca="false">'1857'!K4-'1857'!J4+'1857'!K6-'1857'!J6+'1857'!K8-'1857'!J8+'1857'!K10-'1857'!J10+'1857'!K12-'1857'!J12+'1857'!K14-'1857'!J14+'1857'!K16-'1857'!J16+'1857'!K18-'1857'!J18+'1857'!K20-'1857'!J20+'1857'!K22-'1857'!J22</f>
        <v>59.7789999999999</v>
      </c>
      <c r="G19" s="172" t="n">
        <f aca="false">1-B19/B20</f>
        <v>0.100106870229007</v>
      </c>
      <c r="H19" s="172" t="n">
        <f aca="false">1-C19/C20</f>
        <v>0.117072419106318</v>
      </c>
      <c r="I19" s="172" t="n">
        <f aca="false">1-D19/D20</f>
        <v>0.104550561797749</v>
      </c>
      <c r="J19" s="172" t="n">
        <f aca="false">1-E19/E20</f>
        <v>0.106442451420032</v>
      </c>
    </row>
    <row r="20" customFormat="false" ht="18" hidden="false" customHeight="false" outlineLevel="0" collapsed="false">
      <c r="A20" s="168" t="s">
        <v>293</v>
      </c>
      <c r="B20" s="189" t="n">
        <f aca="false">'1854'!K26-'1854'!J26</f>
        <v>65.5</v>
      </c>
      <c r="C20" s="189" t="n">
        <f aca="false">'1855'!K26-'1855'!J26</f>
        <v>64.9000000000001</v>
      </c>
      <c r="D20" s="189" t="n">
        <f aca="false">'1856'!K26-'1856'!J26</f>
        <v>71.1999999999998</v>
      </c>
      <c r="E20" s="189" t="n">
        <f aca="false">'1857'!K26-'1857'!J26</f>
        <v>66.9000000000001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268.5</v>
      </c>
      <c r="C21" s="171"/>
      <c r="D21" s="171"/>
      <c r="E21" s="171"/>
      <c r="G21" s="172" t="n">
        <f aca="false">1-B21/B22</f>
        <v>-0.0471918876755049</v>
      </c>
    </row>
    <row r="22" customFormat="false" ht="18" hidden="false" customHeight="false" outlineLevel="0" collapsed="false">
      <c r="A22" s="168" t="s">
        <v>295</v>
      </c>
      <c r="B22" s="171" t="n">
        <f aca="false">'1854'!K29-'1854'!J29</f>
        <v>256.400000000001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'1854'!K5-'1854'!J5+'1854'!K7-'1854'!J7+'1854'!K9-'1854'!J9+'1854'!K11-'1854'!J11+'1854'!K13-'1854'!J13+'1854'!K15-'1854'!J15+'1854'!K17-'1854'!J17+'1854'!K19-'1854'!J19+'1854'!K21-'1854'!J21+'1854'!K23-'1854'!J23</f>
        <v>2.842</v>
      </c>
      <c r="C24" s="189" t="n">
        <f aca="false">'1855'!K5-'1855'!J5+'1855'!K7-'1855'!J7+'1855'!K9-'1855'!J9+'1855'!K11-'1855'!J11+'1855'!K13-'1855'!J13+'1855'!K15-'1855'!J15+'1855'!K17-'1855'!J17+'1855'!K19-'1855'!J19+'1855'!K21-'1855'!J21+'1855'!K23-'1855'!J23</f>
        <v>3.051</v>
      </c>
      <c r="D24" s="189" t="n">
        <f aca="false">'1856'!K5-'1856'!J5+'1856'!K7-'1856'!J7+'1856'!K9-'1856'!J9+'1856'!K11-'1856'!J11+'1856'!K13-'1856'!J13+'1856'!K15-'1856'!J15+'1856'!K17-'1856'!J17+'1856'!K19-'1856'!J19+'1856'!K21-'1856'!J21+'1856'!K23-'1856'!J23</f>
        <v>3.11099999999999</v>
      </c>
      <c r="E24" s="189" t="n">
        <f aca="false">'1857'!K5-'1857'!J5+'1857'!K7-'1857'!J7+'1857'!K9-'1857'!J9+'1857'!K11-'1857'!J11+'1857'!K13-'1857'!J13+'1857'!K15-'1857'!J15+'1857'!K17-'1857'!J17+'1857'!K19-'1857'!J19+'1857'!K21-'1857'!J21+'1857'!K23-'1857'!J23</f>
        <v>3.13</v>
      </c>
      <c r="G24" s="172" t="n">
        <f aca="false">1-B24/B25</f>
        <v>0.0832258064516211</v>
      </c>
      <c r="H24" s="172" t="n">
        <f aca="false">1-C24/C25</f>
        <v>-0.27656903765691</v>
      </c>
      <c r="I24" s="172" t="n">
        <f aca="false">1-D24/D25</f>
        <v>-0.40135135135133</v>
      </c>
      <c r="J24" s="172" t="n">
        <f aca="false">1-E24/E25</f>
        <v>-0.70108695652176</v>
      </c>
    </row>
    <row r="25" customFormat="false" ht="18" hidden="false" customHeight="false" outlineLevel="0" collapsed="false">
      <c r="A25" s="168" t="s">
        <v>298</v>
      </c>
      <c r="B25" s="191" t="n">
        <f aca="false">('1854'!K27-'1854'!J27)</f>
        <v>3.10000000000002</v>
      </c>
      <c r="C25" s="184" t="n">
        <f aca="false">('1855'!K27-'1855'!J27)</f>
        <v>2.38999999999999</v>
      </c>
      <c r="D25" s="184" t="n">
        <f aca="false">('1856'!K27-'1856'!J27)</f>
        <v>2.22000000000003</v>
      </c>
      <c r="E25" s="184" t="n">
        <f aca="false">('1857'!K27-'1857'!J27)</f>
        <v>1.83999999999998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'1854'!K25-'1854'!J25</f>
        <v>196</v>
      </c>
      <c r="C27" s="177" t="n">
        <f aca="false">'1855'!K25-'1855'!J25</f>
        <v>216</v>
      </c>
      <c r="D27" s="177" t="n">
        <f aca="false">'1856'!K25-'1856'!J25</f>
        <v>197</v>
      </c>
      <c r="E27" s="177" t="n">
        <f aca="false">'1857'!K25-'1857'!J25</f>
        <v>204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68">
      <formula>0</formula>
    </cfRule>
  </conditionalFormatting>
  <conditionalFormatting sqref="G1:J2 G13:J17 G28:J65536">
    <cfRule type="cellIs" priority="3" operator="lessThan" aboveAverage="0" equalAverage="0" bottom="0" percent="0" rank="0" text="" dxfId="4869">
      <formula>0</formula>
    </cfRule>
  </conditionalFormatting>
  <conditionalFormatting sqref="B2:B65536 C1:E5 C8:E20 C23:E65536 F1:R2 F13:L17 F28:R65536 M13:P13 M16:R17">
    <cfRule type="cellIs" priority="4" operator="lessThan" aboveAverage="0" equalAverage="0" bottom="0" percent="0" rank="0" text="" dxfId="4870">
      <formula>0</formula>
    </cfRule>
  </conditionalFormatting>
  <conditionalFormatting sqref="B1">
    <cfRule type="cellIs" priority="5" operator="lessThan" aboveAverage="0" equalAverage="0" bottom="0" percent="0" rank="0" text="" dxfId="4871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21" min="2" style="162" width="11.43"/>
    <col collapsed="false" customWidth="true" hidden="false" outlineLevel="0" max="29" min="22" style="162" width="9.86"/>
    <col collapsed="false" customWidth="true" hidden="false" outlineLevel="0" max="33" min="30" style="162" width="6.43"/>
    <col collapsed="false" customWidth="false" hidden="false" outlineLevel="0" max="16384" min="34" style="162" width="9"/>
  </cols>
  <sheetData>
    <row r="1" customFormat="false" ht="18" hidden="false" customHeight="false" outlineLevel="0" collapsed="false">
      <c r="A1" s="163" t="s">
        <v>311</v>
      </c>
      <c r="B1" s="188" t="n">
        <f aca="false">S1!B1</f>
        <v>2022</v>
      </c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'1850'!L4-'1850'!K4+'1850'!L6-'1850'!K6+'1850'!L8-'1850'!K8+'1850'!L10-'1850'!K10+'1850'!L12-'1850'!K12+'1850'!L14-'1850'!K14+'1850'!L16-'1850'!K16+'1850'!L18-'1850'!K18+'1850'!L20-'1850'!K20+'1850'!L22-'1850'!K22</f>
        <v>49.449</v>
      </c>
      <c r="C4" s="189" t="n">
        <f aca="false"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70.104</v>
      </c>
      <c r="D4" s="189" t="n">
        <f aca="false">'1852'!L4-'1852'!K4+'1852'!L6-'1852'!K6+'1852'!L8-'1852'!K8+'1852'!L10-'1852'!K10+'1852'!L12-'1852'!K12+'1852'!L14-'1852'!K14+'1852'!L16-'1852'!K16+'1852'!L18-'1852'!K18+'1852'!L20-'1852'!K20+'1852'!L22-'1852'!K22</f>
        <v>76.022</v>
      </c>
      <c r="E4" s="189" t="n">
        <f aca="false">'1853'!L4-'1853'!K4+'1853'!L6-'1853'!K6+'1853'!L8-'1853'!K8+'1853'!L10-'1853'!K10+'1853'!L12-'1853'!K12+'1853'!L14-'1853'!K14+'1853'!L16-'1853'!K16+'1853'!L18-'1853'!K18+'1853'!L20-'1853'!K20+'1853'!L22-'1853'!K22+'1853'!L26-'1853'!K26</f>
        <v>66.494</v>
      </c>
      <c r="G4" s="172" t="n">
        <f aca="false">1-B4/B5</f>
        <v>0.110629496402876</v>
      </c>
      <c r="H4" s="172" t="n">
        <f aca="false">1-C4/C5</f>
        <v>0.0751451187335113</v>
      </c>
      <c r="I4" s="172" t="n">
        <f aca="false">1-D4/D5</f>
        <v>0.0992654028436033</v>
      </c>
      <c r="J4" s="172" t="n">
        <f aca="false">1-E4/E5</f>
        <v>0.0751877607788604</v>
      </c>
    </row>
    <row r="5" customFormat="false" ht="18" hidden="false" customHeight="false" outlineLevel="0" collapsed="false">
      <c r="A5" s="185" t="s">
        <v>293</v>
      </c>
      <c r="B5" s="189" t="n">
        <f aca="false">'1850'!L26-'1850'!K26</f>
        <v>55.5999999999999</v>
      </c>
      <c r="C5" s="189" t="n">
        <f aca="false">'1851'!M26-'1851'!L26</f>
        <v>75.8000000000002</v>
      </c>
      <c r="D5" s="189" t="n">
        <f aca="false">'1852'!L26-'1852'!K26</f>
        <v>84.4000000000001</v>
      </c>
      <c r="E5" s="189" t="n">
        <f aca="false">'1853'!L27-'1853'!K27</f>
        <v>71.9000000000001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287.7</v>
      </c>
      <c r="C6" s="171"/>
      <c r="D6" s="171"/>
      <c r="E6" s="171"/>
      <c r="G6" s="172" t="n">
        <f aca="false">1-B6/B7</f>
        <v>0.052683569311811</v>
      </c>
    </row>
    <row r="7" customFormat="false" ht="18" hidden="false" customHeight="false" outlineLevel="0" collapsed="false">
      <c r="A7" s="185" t="s">
        <v>295</v>
      </c>
      <c r="B7" s="171" t="n">
        <f aca="false">'1850'!L29-'1850'!K29</f>
        <v>303.699999999997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'1850'!L5-'1850'!K5+'1850'!L7-'1850'!K7+'1850'!L9-'1850'!K9+'1850'!L11-'1850'!K11+'1850'!L13-'1850'!K13+'1850'!L15-'1850'!K15+'1850'!L17-'1850'!K17+'1850'!L19-'1850'!K19+'1850'!L21-'1850'!K21+'1850'!L23-'1850'!K23</f>
        <v>4.21000000000001</v>
      </c>
      <c r="C9" s="189" t="n">
        <f aca="false">'1851'!M5-'1851'!L5+'1851'!M7-'1851'!L7+'1851'!M9-'1851'!L9+'1851'!M11-'1851'!L11+'1851'!M13-'1851'!L13+'1851'!M15-'1851'!L15+'1851'!M17-'1851'!L17+'1851'!M19-'1851'!L19+'1851'!M21-'1851'!L21+'1851'!M23-'1851'!L23</f>
        <v>6.879</v>
      </c>
      <c r="D9" s="182" t="n">
        <f aca="false">'1852'!L5-'1852'!K5+'1852'!L7-'1852'!K7+'1852'!L9-'1852'!K9+'1852'!L11-'1852'!K11+'1852'!L13-'1852'!K13+'1852'!L15-'1852'!K15+'1852'!L17-'1852'!K17+'1852'!L19-'1852'!K19+'1852'!L21-'1852'!K21+'1852'!L23-'1852'!K23</f>
        <v>6.514</v>
      </c>
      <c r="E9" s="182" t="n">
        <f aca="false">'1853'!L5-'1853'!K5+'1853'!L7-'1853'!K7+'1853'!L9-'1853'!K9+'1853'!L11-'1853'!K11+'1853'!L13-'1853'!K13+'1853'!L15-'1853'!K15+'1853'!L17-'1853'!K17+'1853'!L19-'1853'!K19+'1853'!L21-'1853'!K21+'1853'!L23-'1853'!K23</f>
        <v>3.678</v>
      </c>
      <c r="F9" s="167"/>
      <c r="G9" s="172" t="n">
        <f aca="false">1-B9/B10</f>
        <v>-0.408969210174011</v>
      </c>
      <c r="H9" s="172" t="n">
        <f aca="false">1-C9/C10</f>
        <v>0.319988137603796</v>
      </c>
      <c r="I9" s="172" t="n">
        <f aca="false">1-D9/D10</f>
        <v>-0.292460317460311</v>
      </c>
      <c r="J9" s="172" t="n">
        <f aca="false">1-E9/E10</f>
        <v>-0.160984848484856</v>
      </c>
    </row>
    <row r="10" customFormat="false" ht="18" hidden="false" customHeight="false" outlineLevel="0" collapsed="false">
      <c r="A10" s="168" t="s">
        <v>298</v>
      </c>
      <c r="B10" s="176" t="n">
        <f aca="false">('1850'!L27-'1850'!K27)*3.6</f>
        <v>2.98800000000005</v>
      </c>
      <c r="C10" s="189" t="n">
        <f aca="false">('1851'!M27-'1851'!L27)*3.6</f>
        <v>10.116</v>
      </c>
      <c r="D10" s="189" t="n">
        <f aca="false">('1852'!L27-'1852'!K27)*3.6</f>
        <v>5.04000000000002</v>
      </c>
      <c r="E10" s="189" t="n">
        <f aca="false">('1853'!L28-'1853'!K28)*3.6</f>
        <v>3.16799999999998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'1850'!L25-'1850'!K25</f>
        <v>216</v>
      </c>
      <c r="C12" s="177" t="n">
        <f aca="false">'1851'!M24-'1851'!L24</f>
        <v>329</v>
      </c>
      <c r="D12" s="177" t="n">
        <f aca="false">'1852'!L25-'1852'!K25</f>
        <v>189</v>
      </c>
      <c r="E12" s="177" t="n">
        <f aca="false">'1853'!L24-'1853'!K24</f>
        <v>179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</row>
    <row r="14" customFormat="false" ht="18" hidden="false" customHeight="false" outlineLevel="0" collapsed="false">
      <c r="A14" s="178" t="s">
        <v>301</v>
      </c>
      <c r="B14" s="179" t="n">
        <f aca="false">'1853'!L25-'1853'!K25</f>
        <v>315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</row>
    <row r="15" customFormat="false" ht="18" hidden="false" customHeight="false" outlineLevel="0" collapsed="false">
      <c r="A15" s="178" t="s">
        <v>302</v>
      </c>
      <c r="B15" s="181" t="n">
        <f aca="false">'1853'!L26-'1853'!K26</f>
        <v>10.012</v>
      </c>
      <c r="C15" s="181"/>
      <c r="D15" s="181"/>
      <c r="E15" s="181"/>
      <c r="F15" s="181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'1854'!L4-'1854'!K4+'1854'!L6-'1854'!K6+'1854'!L8-'1854'!K8+'1854'!L10-'1854'!K10+'1854'!L12-'1854'!K12+'1854'!L14-'1854'!K14+'1854'!L16-'1854'!K16+'1854'!L18-'1854'!K18+'1854'!L20-'1854'!K20+'1854'!L22-'1854'!K22</f>
        <v>54.209</v>
      </c>
      <c r="C19" s="189" t="n">
        <f aca="false">'1855'!L4-'1855'!K4+'1855'!L6-'1855'!K6+'1855'!L8-'1855'!K8+'1855'!L10-'1855'!K10+'1855'!L12-'1855'!K12+'1855'!L14-'1855'!K14+'1855'!L16-'1855'!K16+'1855'!L18-'1855'!K18+'1855'!L20-'1855'!K20+'1855'!L22-'1855'!K22</f>
        <v>57.2430000000001</v>
      </c>
      <c r="D19" s="189" t="n">
        <f aca="false">'1856'!L4-'1856'!K4+'1856'!L6-'1856'!K6+'1856'!L8-'1856'!K8+'1856'!L10-'1856'!K10+'1856'!L12-'1856'!K12+'1856'!L14-'1856'!K14+'1856'!L16-'1856'!K16+'1856'!L18-'1856'!K18+'1856'!L20-'1856'!K20+'1856'!L22-'1856'!K22</f>
        <v>62.976</v>
      </c>
      <c r="E19" s="189" t="n">
        <f aca="false">'1857'!L4-'1857'!K4+'1857'!L6-'1857'!K6+'1857'!L8-'1857'!K8+'1857'!L10-'1857'!K10+'1857'!L12-'1857'!K12+'1857'!L14-'1857'!K14+'1857'!L16-'1857'!K16+'1857'!L18-'1857'!K18+'1857'!L20-'1857'!K20+'1857'!L22-'1857'!K22</f>
        <v>64.597</v>
      </c>
      <c r="G19" s="172" t="n">
        <f aca="false">1-B19/B20</f>
        <v>0.0904530201342269</v>
      </c>
      <c r="H19" s="172" t="n">
        <f aca="false">1-C19/C20</f>
        <v>0.111133540372671</v>
      </c>
      <c r="I19" s="172" t="n">
        <f aca="false">1-D19/D20</f>
        <v>0.0912554112554133</v>
      </c>
      <c r="J19" s="172" t="n">
        <f aca="false">1-E19/E20</f>
        <v>0.0965454545454541</v>
      </c>
    </row>
    <row r="20" customFormat="false" ht="18" hidden="false" customHeight="false" outlineLevel="0" collapsed="false">
      <c r="A20" s="168" t="s">
        <v>293</v>
      </c>
      <c r="B20" s="189" t="n">
        <f aca="false">'1854'!L26-'1854'!K26</f>
        <v>59.5999999999999</v>
      </c>
      <c r="C20" s="189" t="n">
        <f aca="false">'1855'!L26-'1855'!K26</f>
        <v>64.4000000000001</v>
      </c>
      <c r="D20" s="189" t="n">
        <f aca="false">'1856'!L26-'1856'!K26</f>
        <v>69.3000000000002</v>
      </c>
      <c r="E20" s="189" t="n">
        <f aca="false">'1857'!L26-'1857'!K26</f>
        <v>71.5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264.8</v>
      </c>
      <c r="C21" s="171"/>
      <c r="D21" s="171"/>
      <c r="E21" s="171"/>
      <c r="G21" s="172" t="n">
        <f aca="false">1-B21/B22</f>
        <v>-0.0437524635396152</v>
      </c>
    </row>
    <row r="22" customFormat="false" ht="18" hidden="false" customHeight="false" outlineLevel="0" collapsed="false">
      <c r="A22" s="168" t="s">
        <v>295</v>
      </c>
      <c r="B22" s="171" t="n">
        <f aca="false">'1854'!L29-'1854'!K29</f>
        <v>253.7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2" t="n">
        <f aca="false">'1854'!L5-'1854'!K5+'1854'!L7-'1854'!K7+'1854'!L9-'1854'!K9+'1854'!L11-'1854'!K11+'1854'!L13-'1854'!K13+'1854'!L15-'1854'!K15+'1854'!L17-'1854'!K17+'1854'!L19-'1854'!K19+'1854'!L21-'1854'!K21+'1854'!L23-'1854'!K23</f>
        <v>3.99100000000001</v>
      </c>
      <c r="C24" s="189" t="n">
        <f aca="false">'1855'!L5-'1855'!K5+'1855'!L7-'1855'!K7+'1855'!L9-'1855'!K9+'1855'!L11-'1855'!K11+'1855'!L13-'1855'!K13+'1855'!L15-'1855'!K15+'1855'!L17-'1855'!K17+'1855'!L19-'1855'!K19+'1855'!L21-'1855'!K21+'1855'!L23-'1855'!K23</f>
        <v>4.317</v>
      </c>
      <c r="D24" s="189" t="n">
        <f aca="false">'1856'!L5-'1856'!K5+'1856'!L7-'1856'!K7+'1856'!L9-'1856'!K9+'1856'!L11-'1856'!K11+'1856'!L13-'1856'!K13+'1856'!L15-'1856'!K15+'1856'!L17-'1856'!K17+'1856'!L19-'1856'!K19+'1856'!L21-'1856'!K21+'1856'!L23-'1856'!K23</f>
        <v>3.58400000000002</v>
      </c>
      <c r="E24" s="189" t="n">
        <f aca="false">'1857'!L5-'1857'!K5+'1857'!L7-'1857'!K7+'1857'!L9-'1857'!K9+'1857'!L11-'1857'!K11+'1857'!L13-'1857'!K13+'1857'!L15-'1857'!K15+'1857'!L17-'1857'!K17+'1857'!L19-'1857'!K19+'1857'!L21-'1857'!K21+'1857'!L23-'1857'!K23</f>
        <v>4.529</v>
      </c>
      <c r="G24" s="172" t="n">
        <f aca="false">1-B24/B25</f>
        <v>0.0242053789730976</v>
      </c>
      <c r="H24" s="172" t="n">
        <f aca="false">1-C24/C25</f>
        <v>-0.169918699187012</v>
      </c>
      <c r="I24" s="172" t="n">
        <f aca="false">1-D24/D25</f>
        <v>-0.231615120274933</v>
      </c>
      <c r="J24" s="172" t="n">
        <f aca="false">1-E24/E25</f>
        <v>-0.286647727272713</v>
      </c>
    </row>
    <row r="25" customFormat="false" ht="18" hidden="false" customHeight="false" outlineLevel="0" collapsed="false">
      <c r="A25" s="168" t="s">
        <v>298</v>
      </c>
      <c r="B25" s="183" t="n">
        <f aca="false">('1854'!L27-'1854'!K27)</f>
        <v>4.08999999999998</v>
      </c>
      <c r="C25" s="183" t="n">
        <f aca="false">('1855'!L27-'1855'!K27)</f>
        <v>3.68999999999994</v>
      </c>
      <c r="D25" s="183" t="n">
        <f aca="false">('1856'!L27-'1856'!K27)</f>
        <v>2.90999999999997</v>
      </c>
      <c r="E25" s="183" t="n">
        <f aca="false">('1857'!L27-'1857'!K27)</f>
        <v>3.52000000000004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'1854'!L25-'1854'!K25</f>
        <v>186</v>
      </c>
      <c r="C27" s="177" t="n">
        <f aca="false">'1855'!L25-'1855'!K25</f>
        <v>203</v>
      </c>
      <c r="D27" s="177" t="n">
        <f aca="false">'1856'!L25-'1856'!K25</f>
        <v>170</v>
      </c>
      <c r="E27" s="177" t="n">
        <f aca="false">'1857'!L25-'1857'!K25</f>
        <v>183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72">
      <formula>0</formula>
    </cfRule>
  </conditionalFormatting>
  <conditionalFormatting sqref="G1:J2 G13:J17 G28:J65536">
    <cfRule type="cellIs" priority="3" operator="lessThan" aboveAverage="0" equalAverage="0" bottom="0" percent="0" rank="0" text="" dxfId="4873">
      <formula>0</formula>
    </cfRule>
  </conditionalFormatting>
  <conditionalFormatting sqref="G1:J2 G13:J17 G28:J65536">
    <cfRule type="cellIs" priority="4" operator="lessThan" aboveAverage="0" equalAverage="0" bottom="0" percent="0" rank="0" text="" dxfId="4874">
      <formula>0</formula>
    </cfRule>
  </conditionalFormatting>
  <conditionalFormatting sqref="B1">
    <cfRule type="cellIs" priority="5" operator="lessThan" aboveAverage="0" equalAverage="0" bottom="0" percent="0" rank="0" text="" dxfId="4875">
      <formula>0</formula>
    </cfRule>
  </conditionalFormatting>
  <conditionalFormatting sqref="B2:B65536 C1:E5 C8:E20 C23:E65536 F1:U2 F13:N17 F28:U65536 O13:R13 O16:U17">
    <cfRule type="cellIs" priority="6" operator="lessThan" aboveAverage="0" equalAverage="0" bottom="0" percent="0" rank="0" text="" dxfId="4876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24" min="2" style="162" width="11.43"/>
    <col collapsed="false" customWidth="true" hidden="false" outlineLevel="0" max="32" min="25" style="162" width="9.86"/>
    <col collapsed="false" customWidth="true" hidden="false" outlineLevel="0" max="36" min="33" style="162" width="6.43"/>
    <col collapsed="false" customWidth="false" hidden="false" outlineLevel="0" max="16384" min="37" style="162" width="9"/>
  </cols>
  <sheetData>
    <row r="1" customFormat="false" ht="18" hidden="false" customHeight="false" outlineLevel="0" collapsed="false">
      <c r="A1" s="163" t="s">
        <v>312</v>
      </c>
      <c r="B1" s="188" t="n">
        <f aca="false">S1!B1</f>
        <v>2022</v>
      </c>
      <c r="C1" s="188"/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'1850'!M4-'1850'!L4+'1850'!M6-'1850'!L6+'1850'!M8-'1850'!L8+'1850'!M10-'1850'!L10+'1850'!M12-'1850'!L12+'1850'!M14-'1850'!L14+'1850'!M16-'1850'!L16+'1850'!M18-'1850'!L18+'1850'!M20-'1850'!L20+'1850'!M22-'1850'!L22</f>
        <v>58.253</v>
      </c>
      <c r="C4" s="189" t="n">
        <f aca="false"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78.06</v>
      </c>
      <c r="D4" s="189" t="n">
        <f aca="false">'1852'!M4-'1852'!L4+'1852'!M6-'1852'!L6+'1852'!M8-'1852'!L8+'1852'!M10-'1852'!L10+'1852'!M12-'1852'!L12+'1852'!M14-'1852'!L14+'1852'!M16-'1852'!L16+'1852'!M18-'1852'!L18+'1852'!M20-'1852'!L20+'1852'!M22-'1852'!L22</f>
        <v>89.478</v>
      </c>
      <c r="E4" s="189" t="n">
        <f aca="false">'1853'!M4-'1853'!L4+'1853'!M6-'1853'!L6+'1853'!M8-'1853'!L8+'1853'!M10-'1853'!L10+'1853'!M12-'1853'!L12+'1853'!M14-'1853'!L14+'1853'!M16-'1853'!L16+'1853'!M18-'1853'!L18+'1853'!M20-'1853'!L20+'1853'!M22-'1853'!L22+'1853'!M26-'1853'!L26</f>
        <v>73.324</v>
      </c>
      <c r="G4" s="172" t="n">
        <f aca="false">1-B4/B5</f>
        <v>0.110641221374046</v>
      </c>
      <c r="H4" s="172" t="n">
        <f aca="false">1-C4/C5</f>
        <v>0.0572463768115917</v>
      </c>
      <c r="I4" s="172" t="n">
        <f aca="false">1-D4/D5</f>
        <v>0.100723618090453</v>
      </c>
      <c r="J4" s="172" t="n">
        <f aca="false">1-E4/E5</f>
        <v>0.0958816276202215</v>
      </c>
    </row>
    <row r="5" customFormat="false" ht="18" hidden="false" customHeight="false" outlineLevel="0" collapsed="false">
      <c r="A5" s="185" t="s">
        <v>293</v>
      </c>
      <c r="B5" s="189" t="n">
        <f aca="false">'1850'!M26-'1850'!L26</f>
        <v>65.5</v>
      </c>
      <c r="C5" s="189" t="n">
        <f aca="false">'1851'!N26-'1851'!M26</f>
        <v>82.7999999999997</v>
      </c>
      <c r="D5" s="189" t="n">
        <f aca="false">'1852'!M26-'1852'!L26</f>
        <v>99.5</v>
      </c>
      <c r="E5" s="189" t="n">
        <f aca="false">'1853'!M27-'1853'!L27</f>
        <v>81.0999999999999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328.9</v>
      </c>
      <c r="C6" s="171"/>
      <c r="D6" s="171"/>
      <c r="E6" s="171"/>
      <c r="G6" s="172" t="n">
        <f aca="false">1-B6/B7</f>
        <v>0.0463902580458154</v>
      </c>
    </row>
    <row r="7" customFormat="false" ht="18" hidden="false" customHeight="false" outlineLevel="0" collapsed="false">
      <c r="A7" s="185" t="s">
        <v>295</v>
      </c>
      <c r="B7" s="171" t="n">
        <f aca="false">'1850'!M29-'1850'!L29</f>
        <v>344.900000000001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'1850'!M5-'1850'!L5+'1850'!M7-'1850'!L7+'1850'!M9-'1850'!L9+'1850'!M11-'1850'!L11+'1850'!M13-'1850'!L13+'1850'!M15-'1850'!L15+'1850'!M17-'1850'!L17+'1850'!M19-'1850'!L19+'1850'!M21-'1850'!L21+'1850'!M23-'1850'!L23</f>
        <v>7.795</v>
      </c>
      <c r="C9" s="189" t="n">
        <f aca="false">'1851'!N5-'1851'!M5+'1851'!N7-'1851'!M7+'1851'!N9-'1851'!M9+'1851'!N11-'1851'!M11+'1851'!N13-'1851'!M13+'1851'!N15-'1851'!M15+'1851'!N17-'1851'!M17+'1851'!N19-'1851'!M19+'1851'!N21-'1851'!M21+'1851'!N23-'1851'!M23</f>
        <v>10.535</v>
      </c>
      <c r="D9" s="182" t="n">
        <f aca="false">'1852'!M5-'1852'!L5+'1852'!M7-'1852'!L7+'1852'!M9-'1852'!L9+'1852'!M11-'1852'!L11+'1852'!M13-'1852'!L13+'1852'!M15-'1852'!L15+'1852'!M17-'1852'!L17+'1852'!M19-'1852'!L19+'1852'!M21-'1852'!L21+'1852'!M23-'1852'!L23</f>
        <v>11.279</v>
      </c>
      <c r="E9" s="182" t="n">
        <f aca="false">'1853'!M5-'1853'!L5+'1853'!M7-'1853'!L7+'1853'!M9-'1853'!L9+'1853'!M11-'1853'!L11+'1853'!M13-'1853'!L13+'1853'!M15-'1853'!L15+'1853'!M17-'1853'!L17+'1853'!M19-'1853'!L19+'1853'!M21-'1853'!L21+'1853'!M23-'1853'!L23</f>
        <v>6.82</v>
      </c>
      <c r="F9" s="167"/>
      <c r="G9" s="172" t="n">
        <f aca="false">1-B9/B10</f>
        <v>-0.0360180754917572</v>
      </c>
      <c r="H9" s="172" t="n">
        <f aca="false">1-C9/C10</f>
        <v>0.25537178399774</v>
      </c>
      <c r="I9" s="172" t="n">
        <f aca="false">1-D9/D10</f>
        <v>-0.122958980485865</v>
      </c>
      <c r="J9" s="172" t="n">
        <f aca="false">1-E9/E10</f>
        <v>-0.0466543891958244</v>
      </c>
    </row>
    <row r="10" customFormat="false" ht="18" hidden="false" customHeight="false" outlineLevel="0" collapsed="false">
      <c r="A10" s="168" t="s">
        <v>298</v>
      </c>
      <c r="B10" s="177" t="n">
        <f aca="false">('1850'!M27-'1850'!L27)*3.6</f>
        <v>7.52400000000001</v>
      </c>
      <c r="C10" s="189" t="n">
        <f aca="false">('1851'!N27-'1851'!M27)*3.6</f>
        <v>14.148</v>
      </c>
      <c r="D10" s="189" t="n">
        <f aca="false">('1852'!M27-'1852'!L27)*3.6</f>
        <v>10.044</v>
      </c>
      <c r="E10" s="189" t="n">
        <f aca="false">('1853'!M28-'1853'!L28)*3.6</f>
        <v>6.51600000000001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'1850'!M25-'1850'!L25</f>
        <v>240</v>
      </c>
      <c r="C12" s="177" t="n">
        <f aca="false">'1851'!N24-'1851'!M24</f>
        <v>419</v>
      </c>
      <c r="D12" s="177" t="n">
        <f aca="false">'1852'!M25-'1852'!L25</f>
        <v>218</v>
      </c>
      <c r="E12" s="177" t="n">
        <f aca="false">'1853'!M24-'1853'!L24</f>
        <v>186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customFormat="false" ht="18" hidden="false" customHeight="false" outlineLevel="0" collapsed="false">
      <c r="A14" s="178" t="s">
        <v>301</v>
      </c>
      <c r="B14" s="179" t="n">
        <f aca="false">'1853'!M25-'1853'!L25</f>
        <v>392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</row>
    <row r="15" customFormat="false" ht="18" hidden="false" customHeight="false" outlineLevel="0" collapsed="false">
      <c r="A15" s="178" t="s">
        <v>302</v>
      </c>
      <c r="B15" s="181" t="n">
        <f aca="false">'1853'!M26-'1853'!L26</f>
        <v>3.65199999999999</v>
      </c>
      <c r="C15" s="181"/>
      <c r="D15" s="181"/>
      <c r="E15" s="181"/>
      <c r="F15" s="181"/>
      <c r="G15" s="179"/>
      <c r="H15" s="179"/>
      <c r="I15" s="179"/>
      <c r="J15" s="179"/>
      <c r="K15" s="181"/>
      <c r="L15" s="181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'1854'!M4-'1854'!L4+'1854'!M6-'1854'!L6+'1854'!M8-'1854'!L8+'1854'!M10-'1854'!L10+'1854'!M12-'1854'!L12+'1854'!M14-'1854'!L14+'1854'!M16-'1854'!L16+'1854'!M18-'1854'!L18+'1854'!M20-'1854'!L20+'1854'!M22-'1854'!L22</f>
        <v>55.832</v>
      </c>
      <c r="C19" s="189" t="n">
        <f aca="false">'1855'!M4-'1855'!L4+'1855'!M6-'1855'!L6+'1855'!M8-'1855'!L8+'1855'!M10-'1855'!L10+'1855'!M12-'1855'!L12+'1855'!M14-'1855'!L14+'1855'!M16-'1855'!L16+'1855'!M18-'1855'!L18+'1855'!M20-'1855'!L20+'1855'!M22-'1855'!L22</f>
        <v>66.46</v>
      </c>
      <c r="D19" s="189" t="n">
        <f aca="false">'1856'!M4-'1856'!L4+'1856'!M6-'1856'!L6+'1856'!M8-'1856'!L8+'1856'!M10-'1856'!L10+'1856'!M12-'1856'!L12+'1856'!M14-'1856'!L14+'1856'!M16-'1856'!L16+'1856'!M18-'1856'!L18+'1856'!M20-'1856'!L20+'1856'!M22-'1856'!L22</f>
        <v>78.4279999999999</v>
      </c>
      <c r="E19" s="189" t="n">
        <f aca="false">'1857'!M4-'1857'!L4+'1857'!M6-'1857'!L6+'1857'!M8-'1857'!L8+'1857'!M10-'1857'!L10+'1857'!M12-'1857'!L12+'1857'!M14-'1857'!L14+'1857'!M16-'1857'!L16+'1857'!M18-'1857'!L18+'1857'!M20-'1857'!L20+'1857'!M22-'1857'!L22</f>
        <v>64.776</v>
      </c>
      <c r="G19" s="172" t="n">
        <f aca="false">1-B19/B20</f>
        <v>0.0936363636363624</v>
      </c>
      <c r="H19" s="172" t="n">
        <f aca="false">1-C19/C20</f>
        <v>0.11739707835325</v>
      </c>
      <c r="I19" s="172" t="n">
        <f aca="false">1-D19/D20</f>
        <v>0.0880465116279083</v>
      </c>
      <c r="J19" s="172" t="n">
        <f aca="false">1-E19/E20</f>
        <v>0.106537931034483</v>
      </c>
    </row>
    <row r="20" customFormat="false" ht="18" hidden="false" customHeight="false" outlineLevel="0" collapsed="false">
      <c r="A20" s="168" t="s">
        <v>293</v>
      </c>
      <c r="B20" s="189" t="n">
        <f aca="false">'1854'!M26-'1854'!L26</f>
        <v>61.5999999999999</v>
      </c>
      <c r="C20" s="189" t="n">
        <f aca="false">'1855'!M26-'1855'!L26</f>
        <v>75.2999999999997</v>
      </c>
      <c r="D20" s="189" t="n">
        <f aca="false">'1856'!M26-'1856'!L26</f>
        <v>86</v>
      </c>
      <c r="E20" s="189" t="n">
        <f aca="false">'1857'!M26-'1857'!L26</f>
        <v>72.5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295.4</v>
      </c>
      <c r="C21" s="171"/>
      <c r="D21" s="171"/>
      <c r="E21" s="171"/>
      <c r="G21" s="172" t="n">
        <f aca="false">1-B21/B22</f>
        <v>-0.0482611781405233</v>
      </c>
    </row>
    <row r="22" customFormat="false" ht="18" hidden="false" customHeight="false" outlineLevel="0" collapsed="false">
      <c r="A22" s="168" t="s">
        <v>295</v>
      </c>
      <c r="B22" s="171" t="n">
        <f aca="false">'1854'!M29-'1854'!L29</f>
        <v>281.8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  <c r="F23" s="167"/>
      <c r="K23" s="167"/>
      <c r="L23" s="167"/>
      <c r="M23" s="167"/>
    </row>
    <row r="24" customFormat="false" ht="18" hidden="false" customHeight="false" outlineLevel="0" collapsed="false">
      <c r="A24" s="168" t="s">
        <v>297</v>
      </c>
      <c r="B24" s="182" t="n">
        <f aca="false">'1854'!M5-'1854'!L5+'1854'!M7-'1854'!L7+'1854'!M9-'1854'!L9+'1854'!M11-'1854'!L11+'1854'!M13-'1854'!L13+'1854'!M15-'1854'!L15+'1854'!M17-'1854'!L17+'1854'!M19-'1854'!L19+'1854'!M21-'1854'!L21+'1854'!M23-'1854'!L23</f>
        <v>8.43099999999999</v>
      </c>
      <c r="C24" s="182" t="n">
        <f aca="false">'1855'!M5-'1855'!L5+'1855'!M7-'1855'!L7+'1855'!M9-'1855'!L9+'1855'!M11-'1855'!L11+'1855'!M13-'1855'!L13+'1855'!M15-'1855'!L15+'1855'!M17-'1855'!L17+'1855'!M19-'1855'!L19+'1855'!M21-'1855'!L21+'1855'!M23-'1855'!L23</f>
        <v>10.21</v>
      </c>
      <c r="D24" s="182" t="n">
        <f aca="false">'1856'!M5-'1856'!L5+'1856'!M7-'1856'!L7+'1856'!M9-'1856'!L9+'1856'!M11-'1856'!L11+'1856'!M13-'1856'!L13+'1856'!M15-'1856'!L15+'1856'!M17-'1856'!L17+'1856'!M19-'1856'!L19+'1856'!M21-'1856'!L21+'1856'!M23-'1856'!L23</f>
        <v>7.65199999999999</v>
      </c>
      <c r="E24" s="182" t="n">
        <f aca="false">'1857'!M5-'1857'!L5+'1857'!M7-'1857'!L7+'1857'!M9-'1857'!L9+'1857'!M11-'1857'!L11+'1857'!M13-'1857'!L13+'1857'!M15-'1857'!L15+'1857'!M17-'1857'!L17+'1857'!M19-'1857'!L19+'1857'!M21-'1857'!L21+'1857'!M23-'1857'!L23</f>
        <v>8.338</v>
      </c>
      <c r="F24" s="167"/>
      <c r="G24" s="172" t="n">
        <f aca="false">1-B24/B25</f>
        <v>0.0516310461192404</v>
      </c>
      <c r="H24" s="172" t="n">
        <f aca="false">1-C24/C25</f>
        <v>0.0248328557784173</v>
      </c>
      <c r="I24" s="172" t="n">
        <f aca="false">1-D24/D25</f>
        <v>-0.0869318181818131</v>
      </c>
      <c r="J24" s="172" t="n">
        <f aca="false">1-E24/E25</f>
        <v>-0.047487437185932</v>
      </c>
      <c r="K24" s="167"/>
      <c r="L24" s="167"/>
      <c r="M24" s="167"/>
      <c r="N24" s="167"/>
    </row>
    <row r="25" customFormat="false" ht="18" hidden="false" customHeight="false" outlineLevel="0" collapsed="false">
      <c r="A25" s="168" t="s">
        <v>298</v>
      </c>
      <c r="B25" s="183" t="n">
        <f aca="false">('1854'!M27-'1854'!L27)</f>
        <v>8.89000000000004</v>
      </c>
      <c r="C25" s="183" t="n">
        <f aca="false">('1855'!M27-'1855'!L27)</f>
        <v>10.47</v>
      </c>
      <c r="D25" s="183" t="n">
        <f aca="false">('1856'!M27-'1856'!L27)</f>
        <v>7.04000000000002</v>
      </c>
      <c r="E25" s="183" t="n">
        <f aca="false">('1857'!M27-'1857'!L27)</f>
        <v>7.95999999999998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'1854'!M25-'1854'!L25</f>
        <v>191</v>
      </c>
      <c r="C27" s="177" t="n">
        <f aca="false">'1855'!M25-'1855'!L25</f>
        <v>225</v>
      </c>
      <c r="D27" s="177" t="n">
        <f aca="false">'1856'!M25-'1856'!L25</f>
        <v>205</v>
      </c>
      <c r="E27" s="177" t="n">
        <f aca="false">'1857'!M25-'1857'!L25</f>
        <v>273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77">
      <formula>0</formula>
    </cfRule>
  </conditionalFormatting>
  <conditionalFormatting sqref="G1:J2 G13:J17 G28:J65536">
    <cfRule type="cellIs" priority="3" operator="lessThan" aboveAverage="0" equalAverage="0" bottom="0" percent="0" rank="0" text="" dxfId="4878">
      <formula>0</formula>
    </cfRule>
  </conditionalFormatting>
  <conditionalFormatting sqref="G1:J2 G13:J17 G28:J65536">
    <cfRule type="cellIs" priority="4" operator="lessThan" aboveAverage="0" equalAverage="0" bottom="0" percent="0" rank="0" text="" dxfId="4879">
      <formula>0</formula>
    </cfRule>
  </conditionalFormatting>
  <conditionalFormatting sqref="G1:J2 G13:J17 G28:J65536">
    <cfRule type="cellIs" priority="5" operator="lessThan" aboveAverage="0" equalAverage="0" bottom="0" percent="0" rank="0" text="" dxfId="4880">
      <formula>0</formula>
    </cfRule>
  </conditionalFormatting>
  <conditionalFormatting sqref="B1:B1048576 C1:E5 C8:E20 C23:E65536 F1:X2 F13:P17 F28:X65536 Q13:T13 Q16:X17">
    <cfRule type="cellIs" priority="6" operator="lessThan" aboveAverage="0" equalAverage="0" bottom="0" percent="0" rank="0" text="" dxfId="4881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5"/>
    <col collapsed="false" customWidth="true" hidden="false" outlineLevel="0" max="27" min="2" style="162" width="11.43"/>
    <col collapsed="false" customWidth="true" hidden="false" outlineLevel="0" max="35" min="28" style="162" width="9.86"/>
    <col collapsed="false" customWidth="true" hidden="false" outlineLevel="0" max="39" min="36" style="162" width="6.43"/>
    <col collapsed="false" customWidth="false" hidden="false" outlineLevel="0" max="16384" min="40" style="162" width="9"/>
  </cols>
  <sheetData>
    <row r="1" customFormat="false" ht="18" hidden="false" customHeight="false" outlineLevel="0" collapsed="false">
      <c r="A1" s="163" t="s">
        <v>313</v>
      </c>
      <c r="B1" s="188" t="n">
        <f aca="false">S1!B1</f>
        <v>2022</v>
      </c>
      <c r="C1" s="188"/>
      <c r="D1" s="188"/>
      <c r="E1" s="188"/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'1850'!N4-'1850'!M4+'1850'!N6-'1850'!M6+'1850'!N8-'1850'!M8+'1850'!N10-'1850'!M10+'1850'!N12-'1850'!M12+'1850'!N14-'1850'!M14+'1850'!N16-'1850'!M16+'1850'!N18-'1850'!M18+'1850'!N20-'1850'!M20+'1850'!N22-'1850'!M22</f>
        <v>53.988</v>
      </c>
      <c r="C4" s="192" t="n">
        <f aca="false">'1851'!O4-'1851'!N4+'1851'!O6-'1851'!N6+'1851'!O8-'1851'!I54+'1851'!I53-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71.84</v>
      </c>
      <c r="D4" s="192" t="n">
        <f aca="false">'1852'!N4-'1852'!M4+'1852'!N6-'1852'!M6+'1852'!N8-'1852'!M8+'1852'!N10-'1852'!M10+'1852'!N12-'1852'!M12+'1852'!N14-'1852'!M14+'1852'!N16-'1852'!M16+'1852'!N18-'1852'!M18+'1852'!N20+'1852'!G32-'1852'!M20+'1852'!N22-'1852'!M22</f>
        <v>80.817</v>
      </c>
      <c r="E4" s="189" t="n">
        <f aca="false">'1853'!N4-'1853'!M4+'1853'!N6-'1853'!M6+'1853'!N8-'1853'!M8+'1853'!N10-'1853'!M10+'1853'!N12-'1853'!M12+'1853'!N14-'1853'!M14+'1853'!N16-'1853'!M16+'1853'!N18-'1853'!M18+'1853'!N20-'1853'!M20+'1853'!N22-'1853'!M22+'1853'!N26-'1853'!M26</f>
        <v>64.6549999999999</v>
      </c>
      <c r="G4" s="172" t="n">
        <f aca="false">1-B4/B5</f>
        <v>0.109108910891087</v>
      </c>
      <c r="H4" s="172" t="n">
        <f aca="false">1-C4/C5</f>
        <v>0.0836734693877564</v>
      </c>
      <c r="I4" s="172" t="n">
        <f aca="false">1-D4/D5</f>
        <v>0.0990301003344463</v>
      </c>
      <c r="J4" s="172" t="n">
        <f aca="false">1-E4/E5</f>
        <v>0.0880818053596638</v>
      </c>
    </row>
    <row r="5" customFormat="false" ht="18" hidden="false" customHeight="false" outlineLevel="0" collapsed="false">
      <c r="A5" s="185" t="s">
        <v>293</v>
      </c>
      <c r="B5" s="189" t="n">
        <f aca="false">'1850'!N26-'1850'!M26</f>
        <v>60.5999999999999</v>
      </c>
      <c r="C5" s="189" t="n">
        <f aca="false">'1851'!O26-'1851'!N26</f>
        <v>78.4000000000001</v>
      </c>
      <c r="D5" s="189" t="n">
        <f aca="false">'1852'!N26-'1852'!M26</f>
        <v>89.6999999999998</v>
      </c>
      <c r="E5" s="189" t="n">
        <f aca="false">'1853'!N27-'1853'!M27</f>
        <v>70.9000000000001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299.6</v>
      </c>
      <c r="C6" s="171"/>
      <c r="D6" s="171"/>
      <c r="E6" s="171"/>
      <c r="G6" s="172" t="n">
        <f aca="false">1-B6/B7</f>
        <v>0.0476795931341345</v>
      </c>
    </row>
    <row r="7" customFormat="false" ht="18" hidden="false" customHeight="false" outlineLevel="0" collapsed="false">
      <c r="A7" s="185" t="s">
        <v>295</v>
      </c>
      <c r="B7" s="193" t="n">
        <f aca="false">'1850'!N29-'1850'!M29</f>
        <v>314.599999999999</v>
      </c>
      <c r="C7" s="193"/>
      <c r="D7" s="193"/>
      <c r="E7" s="193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'1850'!N5-'1850'!M5+'1850'!N7-'1850'!M7+'1850'!N9-'1850'!M9+'1850'!N11-'1850'!M11+'1850'!N13-'1850'!M13+'1850'!N15-'1850'!M15+'1850'!N17-'1850'!M17+'1850'!N19-'1850'!M19+'1850'!N21-'1850'!M21+'1850'!N23-'1850'!M23</f>
        <v>20.308</v>
      </c>
      <c r="C9" s="189" t="n">
        <f aca="false">'1851'!O5-'1851'!N5+'1851'!O7-'1851'!N7+'1851'!O9-'1851'!N9+'1851'!O11-'1851'!N11+'1851'!O13-'1851'!N13+'1851'!O15-'1851'!N15+'1851'!O17-'1851'!N17+'1851'!O19-'1851'!N19+'1851'!O21-'1851'!N21+'1851'!O23-'1851'!N23</f>
        <v>25.484</v>
      </c>
      <c r="D9" s="189" t="n">
        <f aca="false">'1852'!N5-'1852'!M5+'1852'!N7-'1852'!M7+'1852'!N9-'1852'!M9+'1852'!N11-'1852'!M11+'1852'!N13-'1852'!M13+'1852'!N15-'1852'!M15+'1852'!N17-'1852'!M17+'1852'!N19-'1852'!M19+'1852'!N21-'1852'!M21+'1852'!N23-'1852'!M23</f>
        <v>25.783</v>
      </c>
      <c r="E9" s="189" t="n">
        <f aca="false">'1853'!N5-'1853'!M5+'1853'!N7-'1853'!M7+'1853'!N9-'1853'!M9+'1853'!N11-'1853'!M11+'1853'!N13-'1853'!M13+'1853'!N15-'1853'!M15+'1853'!N17-'1853'!M17+'1853'!N19-'1853'!M19+'1853'!N21-'1853'!M21+'1853'!N23-'1853'!M23</f>
        <v>20.891</v>
      </c>
      <c r="G9" s="172" t="n">
        <f aca="false">1-B9/B10</f>
        <v>0.0675849403122103</v>
      </c>
      <c r="H9" s="172" t="n">
        <f aca="false">1-C9/C10</f>
        <v>0.126063100137177</v>
      </c>
      <c r="I9" s="172" t="n">
        <f aca="false">1-D9/D10</f>
        <v>0.0450740740740737</v>
      </c>
      <c r="J9" s="172" t="n">
        <f aca="false">1-E9/E10</f>
        <v>0.0625112188117034</v>
      </c>
    </row>
    <row r="10" customFormat="false" ht="18" hidden="false" customHeight="false" outlineLevel="0" collapsed="false">
      <c r="A10" s="168" t="s">
        <v>298</v>
      </c>
      <c r="B10" s="177" t="n">
        <f aca="false">('1850'!N27-'1850'!M27)*3.6</f>
        <v>21.7799999999999</v>
      </c>
      <c r="C10" s="189" t="n">
        <f aca="false">('1851'!O27-'1851'!N27)*3.6</f>
        <v>29.1600000000001</v>
      </c>
      <c r="D10" s="189" t="n">
        <f aca="false">('1852'!N27-'1852'!M27)*3.6</f>
        <v>27</v>
      </c>
      <c r="E10" s="189" t="n">
        <f aca="false">('1853'!N28-'1853'!M28)*3.6</f>
        <v>22.284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'1850'!N25-'1850'!M25</f>
        <v>249</v>
      </c>
      <c r="C12" s="177" t="n">
        <f aca="false">'1851'!O24-'1851'!N24</f>
        <v>546</v>
      </c>
      <c r="D12" s="177" t="n">
        <f aca="false">'1852'!N25-'1852'!M25</f>
        <v>207</v>
      </c>
      <c r="E12" s="177" t="n">
        <f aca="false">'1853'!N24-'1853'!M24</f>
        <v>179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customFormat="false" ht="18" hidden="false" customHeight="false" outlineLevel="0" collapsed="false">
      <c r="A14" s="178" t="s">
        <v>301</v>
      </c>
      <c r="B14" s="179" t="n">
        <f aca="false">'1853'!N25-'1853'!M25</f>
        <v>415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</row>
    <row r="15" customFormat="false" ht="18" hidden="false" customHeight="false" outlineLevel="0" collapsed="false">
      <c r="A15" s="178" t="s">
        <v>302</v>
      </c>
      <c r="B15" s="181" t="n">
        <f aca="false">'1853'!N26-'1853'!M26</f>
        <v>1.25900000000001</v>
      </c>
      <c r="C15" s="181"/>
      <c r="D15" s="181"/>
      <c r="E15" s="181"/>
      <c r="F15" s="181"/>
      <c r="G15" s="179"/>
      <c r="H15" s="179"/>
      <c r="I15" s="179"/>
      <c r="J15" s="179"/>
      <c r="K15" s="181"/>
      <c r="L15" s="181"/>
      <c r="M15" s="181"/>
      <c r="N15" s="181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92" t="n">
        <f aca="false">'1854'!N4-'1854'!M4+'1854'!N6-'1854'!M6+'1854'!N8-'1854'!M8+'1854'!N10-'1854'!M10+'1854'!N12-'1854'!G40+'1854'!G39-'1854'!M12+'1854'!N14-'1854'!M14+'1854'!N16-'1854'!M16+'1854'!N18-'1854'!M18+'1854'!N20-'1854'!M20+'1854'!N22-'1854'!M22</f>
        <v>49.166</v>
      </c>
      <c r="C19" s="189" t="n">
        <f aca="false">'1855'!N4-'1855'!M4+'1855'!N6-'1855'!M6+'1855'!N8-'1855'!M8+'1855'!N10-'1855'!M10+'1855'!N12-'1855'!M12+'1855'!N14-'1855'!M14+'1855'!N16-'1855'!M16+'1855'!N18-'1855'!M18+'1855'!N20-'1855'!M20+'1855'!N22-'1855'!M22</f>
        <v>66.4979999999999</v>
      </c>
      <c r="D19" s="189" t="n">
        <f aca="false">'1856'!N4-'1856'!M4+'1856'!N6-'1856'!M6+'1856'!N8-'1856'!M8+'1856'!N10-'1856'!M10+'1856'!N12-'1856'!M12+'1856'!N14-'1856'!M14+'1856'!N16-'1856'!M16+'1856'!N18-'1856'!M18+'1856'!N20-'1856'!M20+'1856'!N22-'1856'!M22</f>
        <v>70.0330000000002</v>
      </c>
      <c r="E19" s="189" t="n">
        <f aca="false">'1857'!N4-'1857'!M4+'1857'!N6-'1857'!M6+'1857'!N8-'1857'!M8+'1857'!N10-'1857'!M10+'1857'!N12-'1857'!M12+'1857'!N14-'1857'!M14+'1857'!N16-'1857'!M16+'1857'!N18-'1857'!M18+'1857'!N20-'1857'!M20+'1857'!N22-'1857'!M22</f>
        <v>67.8470000000001</v>
      </c>
      <c r="G19" s="172" t="n">
        <f aca="false">1-B19/B20</f>
        <v>0.118888888888892</v>
      </c>
      <c r="H19" s="172" t="n">
        <f aca="false">1-C19/C20</f>
        <v>0.105006729475104</v>
      </c>
      <c r="I19" s="172" t="n">
        <f aca="false">1-D19/D20</f>
        <v>0.0916601815823571</v>
      </c>
      <c r="J19" s="172" t="n">
        <f aca="false">1-E19/E20</f>
        <v>0.0965778961384797</v>
      </c>
    </row>
    <row r="20" customFormat="false" ht="18" hidden="false" customHeight="false" outlineLevel="0" collapsed="false">
      <c r="A20" s="168" t="s">
        <v>293</v>
      </c>
      <c r="B20" s="189" t="n">
        <f aca="false">'1854'!N26-'1854'!M26</f>
        <v>55.8000000000002</v>
      </c>
      <c r="C20" s="189" t="n">
        <f aca="false">'1855'!N26-'1855'!M26</f>
        <v>74.3000000000002</v>
      </c>
      <c r="D20" s="189" t="n">
        <f aca="false">'1856'!N26-'1856'!M26</f>
        <v>77.0999999999999</v>
      </c>
      <c r="E20" s="189" t="n">
        <f aca="false">'1857'!N26-'1857'!M26</f>
        <v>75.0999999999999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282.3</v>
      </c>
      <c r="C21" s="171"/>
      <c r="D21" s="171"/>
      <c r="E21" s="171"/>
      <c r="G21" s="172" t="n">
        <f aca="false">1-B21/B22</f>
        <v>-0.0502232142857142</v>
      </c>
    </row>
    <row r="22" customFormat="false" ht="18" hidden="false" customHeight="false" outlineLevel="0" collapsed="false">
      <c r="A22" s="168" t="s">
        <v>295</v>
      </c>
      <c r="B22" s="171" t="n">
        <f aca="false">'1854'!N29-'1854'!M29</f>
        <v>268.8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'1854'!N5-'1854'!M5+'1854'!N7-'1854'!M7+'1854'!N9-'1854'!M9+'1854'!N11-'1854'!M11+'1854'!N13-'1854'!M13+'1854'!N15-'1854'!M15+'1854'!N17-'1854'!M17+'1854'!N19-'1854'!M19+'1854'!N21-'1854'!M21+'1854'!N23-'1854'!M23</f>
        <v>20.351</v>
      </c>
      <c r="C24" s="189" t="n">
        <f aca="false">'1855'!N5-'1855'!M5+'1855'!N7-'1855'!M7+'1855'!N9-'1855'!M9+'1855'!N11-'1855'!M11+'1855'!N13-'1855'!M13+'1855'!N15-'1855'!M15+'1855'!N17-'1855'!M17+'1855'!N19-'1855'!M19+'1855'!N21-'1855'!M21+'1855'!N23-'1855'!M23</f>
        <v>24.073</v>
      </c>
      <c r="D24" s="189" t="n">
        <f aca="false">'1856'!N5-'1856'!M5+'1856'!N7-'1856'!M7+'1856'!N9-'1856'!M9+'1856'!N11-'1856'!M11+'1856'!N13-'1856'!M13+'1856'!N15-'1856'!M15+'1856'!N17-'1856'!M17+'1856'!N19-'1856'!M19+'1856'!N21-'1856'!M21+'1856'!N23-'1856'!M23</f>
        <v>21.512</v>
      </c>
      <c r="E24" s="189" t="n">
        <f aca="false">'1857'!N5-'1857'!M5+'1857'!N7-'1857'!M7+'1857'!N9-'1857'!M9+'1857'!N11-'1857'!M11+'1857'!N13-'1857'!M13+'1857'!N15-'1857'!M15+'1857'!N17-'1857'!M17+'1857'!N19-'1857'!M19+'1857'!N21-'1857'!M21+'1857'!N23-'1857'!M23</f>
        <v>22.524</v>
      </c>
      <c r="G24" s="172" t="n">
        <f aca="false">1-B24/B25</f>
        <v>0.0651814423518601</v>
      </c>
      <c r="H24" s="172" t="n">
        <f aca="false">1-C24/C25</f>
        <v>0.0716158889317412</v>
      </c>
      <c r="I24" s="172" t="n">
        <f aca="false">1-D24/D25</f>
        <v>0.0434859937750108</v>
      </c>
      <c r="J24" s="172" t="n">
        <f aca="false">1-E24/E25</f>
        <v>0.0704085843995053</v>
      </c>
    </row>
    <row r="25" customFormat="false" ht="18" hidden="false" customHeight="false" outlineLevel="0" collapsed="false">
      <c r="A25" s="168" t="s">
        <v>298</v>
      </c>
      <c r="B25" s="183" t="n">
        <f aca="false">('1854'!N27-'1854'!M27)</f>
        <v>21.77</v>
      </c>
      <c r="C25" s="183" t="n">
        <f aca="false">('1855'!N27-'1855'!M27)</f>
        <v>25.9300000000001</v>
      </c>
      <c r="D25" s="183" t="n">
        <f aca="false">('1856'!N27-'1856'!M27)</f>
        <v>22.49</v>
      </c>
      <c r="E25" s="183" t="n">
        <f aca="false">('1857'!N27-'1857'!M27)</f>
        <v>24.23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'1854'!N25-'1854'!M25</f>
        <v>175</v>
      </c>
      <c r="C27" s="177" t="n">
        <f aca="false">'1855'!N25-'1855'!M25</f>
        <v>219</v>
      </c>
      <c r="D27" s="177" t="n">
        <f aca="false">'1856'!N25-'1856'!M25</f>
        <v>192</v>
      </c>
      <c r="E27" s="177" t="n">
        <f aca="false">'1857'!N25-'1857'!M25</f>
        <v>265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82">
      <formula>0</formula>
    </cfRule>
  </conditionalFormatting>
  <conditionalFormatting sqref="G1:J2 G13:J17 G28:J65536">
    <cfRule type="cellIs" priority="3" operator="lessThan" aboveAverage="0" equalAverage="0" bottom="0" percent="0" rank="0" text="" dxfId="4883">
      <formula>0</formula>
    </cfRule>
  </conditionalFormatting>
  <conditionalFormatting sqref="G1:J2 G13:J17 G28:J65536">
    <cfRule type="cellIs" priority="4" operator="lessThan" aboveAverage="0" equalAverage="0" bottom="0" percent="0" rank="0" text="" dxfId="4884">
      <formula>0</formula>
    </cfRule>
  </conditionalFormatting>
  <conditionalFormatting sqref="G1:J2 G13:J17 G28:J65536">
    <cfRule type="cellIs" priority="5" operator="lessThan" aboveAverage="0" equalAverage="0" bottom="0" percent="0" rank="0" text="" dxfId="4885">
      <formula>0</formula>
    </cfRule>
  </conditionalFormatting>
  <conditionalFormatting sqref="G1:J2 G13:J17 G28:J65536">
    <cfRule type="cellIs" priority="6" operator="lessThan" aboveAverage="0" equalAverage="0" bottom="0" percent="0" rank="0" text="" dxfId="4886">
      <formula>0</formula>
    </cfRule>
  </conditionalFormatting>
  <conditionalFormatting sqref="B1:B1048576 C1:E5 C8:E20 C23:E65536 F1:AA2 F13:R17 F28:AA65536 S13:V13 S16:AA17">
    <cfRule type="cellIs" priority="7" operator="lessThan" aboveAverage="0" equalAverage="0" bottom="0" percent="0" rank="0" text="" dxfId="4887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6.29"/>
    <col collapsed="false" customWidth="true" hidden="false" outlineLevel="0" max="30" min="2" style="162" width="11.43"/>
    <col collapsed="false" customWidth="true" hidden="false" outlineLevel="0" max="38" min="31" style="162" width="9.86"/>
    <col collapsed="false" customWidth="true" hidden="false" outlineLevel="0" max="42" min="39" style="162" width="6.43"/>
    <col collapsed="false" customWidth="false" hidden="false" outlineLevel="0" max="16384" min="43" style="162" width="9"/>
  </cols>
  <sheetData>
    <row r="1" customFormat="false" ht="18" hidden="false" customHeight="false" outlineLevel="0" collapsed="false">
      <c r="A1" s="163" t="s">
        <v>314</v>
      </c>
      <c r="B1" s="188" t="n">
        <f aca="false">S1!B1</f>
        <v>2022</v>
      </c>
      <c r="C1" s="188"/>
      <c r="D1" s="188"/>
      <c r="E1" s="188"/>
      <c r="F1" s="188"/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</row>
    <row r="4" customFormat="false" ht="18" hidden="false" customHeight="false" outlineLevel="0" collapsed="false">
      <c r="A4" s="185" t="s">
        <v>292</v>
      </c>
      <c r="B4" s="189" t="n">
        <f aca="false">'1850'!O4-'1850'!N4+'1850'!O6-'1850'!N6+'1850'!O8-'1850'!N8+'1850'!O10-'1850'!N10+'1850'!O12-'1850'!N12+'1850'!O14-'1850'!N14+'1850'!O16-'1850'!N16+'1850'!O18-'1850'!N18+'1850'!O20-'1850'!N20+'1850'!O22-'1850'!N22</f>
        <v>54.824</v>
      </c>
      <c r="C4" s="189" t="n">
        <f aca="false"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84.608</v>
      </c>
      <c r="D4" s="189" t="n">
        <f aca="false">'1852'!O4-'1852'!N4+'1852'!O6-'1852'!N6+'1852'!O8-'1852'!N8+'1852'!O10-'1852'!N10+'1852'!O12-'1852'!N12+'1852'!O14-'1852'!N14+'1852'!O16-'1852'!N16+'1852'!O18-'1852'!N18+'1852'!O20-'1852'!N20+'1852'!O22-'1852'!N22</f>
        <v>87.328</v>
      </c>
      <c r="E4" s="189" t="n">
        <f aca="false">'1853'!O4-'1853'!N4+'1853'!O6-'1853'!N6+'1853'!O8-'1853'!N8+'1853'!O10-'1853'!N10+'1853'!O12-'1853'!N12+'1853'!O14-'1853'!N14+'1853'!O16-'1853'!N16+'1853'!O18-'1853'!N18+'1853'!O20-'1853'!N20+'1853'!O22-'1853'!N22+'1853'!O26-'1853'!N26</f>
        <v>68.9580000000001</v>
      </c>
      <c r="G4" s="172" t="n">
        <f aca="false">1-B4/B5</f>
        <v>0.107100977198698</v>
      </c>
      <c r="H4" s="172" t="n">
        <f aca="false">1-C4/C5</f>
        <v>0.0681938325991214</v>
      </c>
      <c r="I4" s="172" t="n">
        <f aca="false">1-D4/D5</f>
        <v>0.0997113402061852</v>
      </c>
      <c r="J4" s="172" t="n">
        <f aca="false">1-E4/E5</f>
        <v>0.0842231075697167</v>
      </c>
    </row>
    <row r="5" customFormat="false" ht="18" hidden="false" customHeight="false" outlineLevel="0" collapsed="false">
      <c r="A5" s="185" t="s">
        <v>293</v>
      </c>
      <c r="B5" s="189" t="n">
        <f aca="false">'1850'!O26-'1850'!N26</f>
        <v>61.4000000000001</v>
      </c>
      <c r="C5" s="189" t="n">
        <f aca="false">'1851'!P26-'1851'!O26</f>
        <v>90.8000000000002</v>
      </c>
      <c r="D5" s="189" t="n">
        <f aca="false">'1852'!O26-'1852'!N26</f>
        <v>97</v>
      </c>
      <c r="E5" s="189" t="n">
        <f aca="false">'1853'!O27-'1853'!N27</f>
        <v>75.2999999999997</v>
      </c>
    </row>
    <row r="6" customFormat="false" ht="18" hidden="false" customHeight="false" outlineLevel="0" collapsed="false">
      <c r="A6" s="185" t="s">
        <v>294</v>
      </c>
      <c r="B6" s="171" t="n">
        <f aca="false">SUM(B5:E5)</f>
        <v>324.5</v>
      </c>
      <c r="C6" s="171"/>
      <c r="D6" s="171"/>
      <c r="E6" s="171"/>
      <c r="G6" s="172" t="n">
        <f aca="false">1-B6/B7</f>
        <v>0.0413589364844904</v>
      </c>
    </row>
    <row r="7" customFormat="false" ht="18" hidden="false" customHeight="false" outlineLevel="0" collapsed="false">
      <c r="A7" s="185" t="s">
        <v>295</v>
      </c>
      <c r="B7" s="171" t="n">
        <f aca="false">'1850'!O29-'1850'!N29</f>
        <v>338.5</v>
      </c>
      <c r="C7" s="171"/>
      <c r="D7" s="171"/>
      <c r="E7" s="171"/>
    </row>
    <row r="8" customFormat="false" ht="18" hidden="false" customHeight="false" outlineLevel="0" collapsed="false">
      <c r="A8" s="173" t="s">
        <v>296</v>
      </c>
      <c r="B8" s="174"/>
      <c r="C8" s="174"/>
      <c r="D8" s="174"/>
      <c r="E8" s="175"/>
    </row>
    <row r="9" customFormat="false" ht="18" hidden="false" customHeight="false" outlineLevel="0" collapsed="false">
      <c r="A9" s="168" t="s">
        <v>297</v>
      </c>
      <c r="B9" s="189" t="n">
        <f aca="false">'1850'!O5-'1850'!N5+'1850'!O7-'1850'!N7+'1850'!O9-'1850'!N9+'1850'!O11-'1850'!N11+'1850'!O13-'1850'!N13+'1850'!O15-'1850'!N15+'1850'!O17-'1850'!N17+'1850'!O19-'1850'!N19+'1850'!O21-'1850'!N21+'1850'!O23-'1850'!N23</f>
        <v>31.707</v>
      </c>
      <c r="C9" s="189" t="n">
        <f aca="false">'1851'!P5-'1851'!O5+'1851'!P7-'1851'!O7+'1851'!P9-'1851'!O9+'1851'!P11-'1851'!O11+'1851'!P13-'1851'!O13+'1851'!P15-'1851'!O15+'1851'!P17-'1851'!O17+'1851'!P19-'1851'!O19+'1851'!P21-'1851'!O21+'1851'!P23-'1851'!O23</f>
        <v>38.125</v>
      </c>
      <c r="D9" s="189" t="n">
        <f aca="false">'1852'!O5-'1852'!N5+'1852'!O7-'1852'!N7+'1852'!O9-'1852'!N9+'1852'!O11-'1852'!N11+'1852'!O13-'1852'!N13+'1852'!O15-'1852'!N15+'1852'!O17-'1852'!N17+'1852'!O19-'1852'!N19+'1852'!O21-'1852'!N21+'1852'!O23-'1852'!N23</f>
        <v>36.703</v>
      </c>
      <c r="E9" s="189" t="n">
        <f aca="false">'1853'!O5-'1853'!N5+'1853'!O7-'1853'!N7+'1853'!O9-'1853'!N9+'1853'!O11-'1853'!N11+'1853'!O13-'1853'!N13+'1853'!O15-'1853'!N15+'1853'!O17-'1853'!N17+'1853'!O19-'1853'!N19+'1853'!O21-'1853'!N21+'1853'!O23-'1853'!N23</f>
        <v>32.079</v>
      </c>
      <c r="G9" s="172" t="n">
        <f aca="false">1-B9/B10</f>
        <v>0.0910732714138292</v>
      </c>
      <c r="H9" s="172" t="n">
        <f aca="false">1-C9/C10</f>
        <v>0.101757610027328</v>
      </c>
      <c r="I9" s="172" t="n">
        <f aca="false">1-D9/D10</f>
        <v>0.0603430619559674</v>
      </c>
      <c r="J9" s="172" t="n">
        <f aca="false">1-E9/E10</f>
        <v>0.0550547896783293</v>
      </c>
    </row>
    <row r="10" customFormat="false" ht="18" hidden="false" customHeight="false" outlineLevel="0" collapsed="false">
      <c r="A10" s="168" t="s">
        <v>298</v>
      </c>
      <c r="B10" s="176" t="n">
        <f aca="false">('1850'!O27-'1850'!N27)*3.6</f>
        <v>34.884</v>
      </c>
      <c r="C10" s="189" t="n">
        <f aca="false">('1851'!P27-'1851'!O27)*3.6</f>
        <v>42.4439999999999</v>
      </c>
      <c r="D10" s="189" t="n">
        <f aca="false">('1852'!O27-'1852'!N27)*3.6</f>
        <v>39.0600000000001</v>
      </c>
      <c r="E10" s="189" t="n">
        <f aca="false">('1853'!O28-'1853'!N28)*3.6</f>
        <v>33.9479999999999</v>
      </c>
    </row>
    <row r="11" customFormat="false" ht="18" hidden="false" customHeight="false" outlineLevel="0" collapsed="false">
      <c r="A11" s="173" t="s">
        <v>304</v>
      </c>
      <c r="B11" s="174"/>
      <c r="C11" s="174"/>
      <c r="D11" s="174"/>
      <c r="E11" s="175"/>
    </row>
    <row r="12" customFormat="false" ht="18" hidden="false" customHeight="false" outlineLevel="0" collapsed="false">
      <c r="A12" s="168" t="s">
        <v>300</v>
      </c>
      <c r="B12" s="177" t="n">
        <f aca="false">'1850'!O25-'1850'!N25</f>
        <v>219</v>
      </c>
      <c r="C12" s="177" t="n">
        <f aca="false">'1851'!P24-'1851'!O24</f>
        <v>244</v>
      </c>
      <c r="D12" s="177" t="n">
        <f aca="false">'1852'!O25-'1852'!N25</f>
        <v>324</v>
      </c>
      <c r="E12" s="177" t="n">
        <f aca="false">'1853'!O24-'1853'!N24</f>
        <v>185</v>
      </c>
    </row>
    <row r="13" customFormat="false" ht="18" hidden="false" customHeight="false" outlineLevel="0" collapsed="false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</row>
    <row r="14" customFormat="false" ht="18" hidden="false" customHeight="false" outlineLevel="0" collapsed="false">
      <c r="A14" s="178" t="s">
        <v>301</v>
      </c>
      <c r="B14" s="179" t="n">
        <f aca="false">'1853'!O25-'1853'!N25</f>
        <v>450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</row>
    <row r="15" customFormat="false" ht="18" hidden="false" customHeight="false" outlineLevel="0" collapsed="false">
      <c r="A15" s="178" t="s">
        <v>302</v>
      </c>
      <c r="B15" s="181" t="n">
        <f aca="false">'1853'!O26-'1853'!N26</f>
        <v>0</v>
      </c>
      <c r="C15" s="181"/>
      <c r="D15" s="181"/>
      <c r="E15" s="181"/>
      <c r="F15" s="181"/>
      <c r="G15" s="179"/>
      <c r="H15" s="179"/>
      <c r="I15" s="179"/>
      <c r="J15" s="179"/>
      <c r="K15" s="181"/>
      <c r="L15" s="181"/>
      <c r="M15" s="181"/>
      <c r="N15" s="181"/>
      <c r="O15" s="181"/>
      <c r="P15" s="181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customFormat="false" ht="18" hidden="false" customHeight="false" outlineLevel="0" collapsed="false">
      <c r="A16" s="178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</row>
    <row r="18" customFormat="false" ht="18" hidden="false" customHeight="false" outlineLevel="0" collapsed="false">
      <c r="A18" s="165" t="s">
        <v>291</v>
      </c>
      <c r="B18" s="166" t="n">
        <v>1854</v>
      </c>
      <c r="C18" s="166" t="n">
        <v>1855</v>
      </c>
      <c r="D18" s="166" t="n">
        <v>1856</v>
      </c>
      <c r="E18" s="166" t="n">
        <v>1857</v>
      </c>
    </row>
    <row r="19" customFormat="false" ht="18" hidden="false" customHeight="false" outlineLevel="0" collapsed="false">
      <c r="A19" s="168" t="s">
        <v>292</v>
      </c>
      <c r="B19" s="189" t="n">
        <f aca="false">'1854'!O4-'1854'!N4+'1854'!O6-'1854'!N6+'1854'!O8-'1854'!N8+'1854'!O10-'1854'!N10+'1854'!O12-'1854'!N12+'1854'!O14-'1854'!N14+'1854'!O16-'1854'!N16+'1854'!O18-'1854'!N18+'1854'!O20-'1854'!N20+'1854'!O22-'1854'!N22</f>
        <v>59.231</v>
      </c>
      <c r="C19" s="189" t="n">
        <f aca="false">'1855'!O4-'1855'!N4+'1855'!O6-'1855'!N6+'1855'!O8-'1855'!N8+'1855'!O10-'1855'!N10+'1855'!O12-'1855'!N12+'1855'!O14-'1855'!N14+'1855'!O16-'1855'!N16+'1855'!O18-'1855'!N18+'1855'!O20-'1855'!N20+'1855'!O22-'1855'!N22</f>
        <v>65.6800000000001</v>
      </c>
      <c r="D19" s="189" t="n">
        <f aca="false">'1856'!O4-'1856'!N4+'1856'!O6-'1856'!N6+'1856'!O8-'1856'!N8+'1856'!O10-'1856'!N10+'1856'!O12-'1856'!N12+'1856'!O14-'1856'!N14+'1856'!O16-'1856'!N16+'1856'!O18-'1856'!N18+'1856'!O20-'1856'!N20+'1856'!O22-'1856'!N22</f>
        <v>74.819</v>
      </c>
      <c r="E19" s="189" t="n">
        <f aca="false">'1857'!O4-'1857'!N4+'1857'!O6-'1857'!N6+'1857'!O8-'1857'!N8+'1857'!O10-'1857'!N10+'1857'!O12-'1857'!N12+'1857'!O14-'1857'!N14+'1857'!O16-'1857'!N16+'1857'!O18-'1857'!N18+'1857'!O20-'1857'!N20+'1857'!O22-'1857'!N22</f>
        <v>68.7950000000001</v>
      </c>
      <c r="G19" s="172" t="n">
        <f aca="false">1-B19/B20</f>
        <v>0.0613153724247214</v>
      </c>
      <c r="H19" s="172" t="n">
        <f aca="false">1-C19/C20</f>
        <v>0.116016150740238</v>
      </c>
      <c r="I19" s="172" t="n">
        <f aca="false">1-D19/D20</f>
        <v>0.0963888888888914</v>
      </c>
      <c r="J19" s="172" t="n">
        <f aca="false">1-E19/E20</f>
        <v>0.0995418848167541</v>
      </c>
    </row>
    <row r="20" customFormat="false" ht="18" hidden="false" customHeight="false" outlineLevel="0" collapsed="false">
      <c r="A20" s="168" t="s">
        <v>293</v>
      </c>
      <c r="B20" s="189" t="n">
        <f aca="false">'1854'!O26-'1854'!N26</f>
        <v>63.0999999999999</v>
      </c>
      <c r="C20" s="189" t="n">
        <f aca="false">'1855'!O26-'1855'!N26</f>
        <v>74.2999999999997</v>
      </c>
      <c r="D20" s="189" t="n">
        <f aca="false">'1856'!O26-'1856'!N26</f>
        <v>82.8000000000002</v>
      </c>
      <c r="E20" s="189" t="n">
        <f aca="false">'1857'!O26-'1857'!N26</f>
        <v>76.4000000000001</v>
      </c>
    </row>
    <row r="21" customFormat="false" ht="18" hidden="false" customHeight="false" outlineLevel="0" collapsed="false">
      <c r="A21" s="168" t="s">
        <v>294</v>
      </c>
      <c r="B21" s="171" t="n">
        <f aca="false">SUM(B20:E20)</f>
        <v>296.6</v>
      </c>
      <c r="C21" s="171"/>
      <c r="D21" s="171"/>
      <c r="E21" s="171"/>
      <c r="G21" s="172" t="n">
        <f aca="false">1-B21/B22</f>
        <v>-0.0407017543859647</v>
      </c>
    </row>
    <row r="22" customFormat="false" ht="18" hidden="false" customHeight="false" outlineLevel="0" collapsed="false">
      <c r="A22" s="168" t="s">
        <v>295</v>
      </c>
      <c r="B22" s="171" t="n">
        <f aca="false">'1854'!O29-'1854'!N29</f>
        <v>285</v>
      </c>
      <c r="C22" s="171"/>
      <c r="D22" s="171"/>
      <c r="E22" s="171"/>
    </row>
    <row r="23" customFormat="false" ht="18" hidden="false" customHeight="false" outlineLevel="0" collapsed="false">
      <c r="A23" s="173" t="s">
        <v>296</v>
      </c>
      <c r="B23" s="174"/>
      <c r="C23" s="174"/>
      <c r="D23" s="174"/>
      <c r="E23" s="175"/>
    </row>
    <row r="24" customFormat="false" ht="18" hidden="false" customHeight="false" outlineLevel="0" collapsed="false">
      <c r="A24" s="168" t="s">
        <v>297</v>
      </c>
      <c r="B24" s="189" t="n">
        <f aca="false">'1854'!O5-'1854'!N5+'1854'!O7-'1854'!N7+'1854'!O9-'1854'!N9+'1854'!O11-'1854'!N11+'1854'!O13-'1854'!N13+'1854'!O15-'1854'!N15+'1854'!O17-'1854'!N17+'1854'!O19-'1854'!N19+'1854'!O21-'1854'!N21+'1854'!O23-'1854'!N23</f>
        <v>31.788</v>
      </c>
      <c r="C24" s="189" t="n">
        <f aca="false">'1855'!O5-'1855'!N5+'1855'!O7-'1855'!N7+'1855'!O9-'1855'!N9+'1855'!O11-'1855'!N11+'1855'!O13-'1855'!N13+'1855'!O15-'1855'!N15+'1855'!O17-'1855'!N17+'1855'!O19-'1855'!N19+'1855'!O21-'1855'!N21+'1855'!O23-'1855'!N23</f>
        <v>33.627</v>
      </c>
      <c r="D24" s="189" t="n">
        <f aca="false">'1856'!O5-'1856'!N5+'1856'!O7-'1856'!N7+'1856'!O9-'1856'!N9+'1856'!O11-'1856'!N11+'1856'!O13-'1856'!N13+'1856'!O15-'1856'!N15+'1856'!O17-'1856'!N17+'1856'!O19-'1856'!N19+'1856'!O21-'1856'!N21+'1856'!O23-'1856'!N23</f>
        <v>31.405</v>
      </c>
      <c r="E24" s="189" t="n">
        <f aca="false">'1857'!O5-'1857'!N5+'1857'!O7-'1857'!N7+'1857'!O9-'1857'!N9+'1857'!O11-'1857'!N11+'1857'!O13-'1857'!N13+'1857'!O15-'1857'!N15+'1857'!O17-'1857'!N17+'1857'!O19-'1857'!N19+'1857'!O21-'1857'!N21+'1857'!O23-'1857'!N23</f>
        <v>33.045</v>
      </c>
      <c r="G24" s="172" t="n">
        <f aca="false">1-B24/B25</f>
        <v>0.0729658792650924</v>
      </c>
      <c r="H24" s="172" t="n">
        <f aca="false">1-C24/C25</f>
        <v>0.0766886326194392</v>
      </c>
      <c r="I24" s="172" t="n">
        <f aca="false">1-D24/D25</f>
        <v>0.0926032938457092</v>
      </c>
      <c r="J24" s="172" t="n">
        <f aca="false">1-E24/E25</f>
        <v>0.0858921161825722</v>
      </c>
    </row>
    <row r="25" customFormat="false" ht="18" hidden="false" customHeight="false" outlineLevel="0" collapsed="false">
      <c r="A25" s="168" t="s">
        <v>298</v>
      </c>
      <c r="B25" s="183" t="n">
        <f aca="false">('1854'!O27-'1854'!N27)</f>
        <v>34.29</v>
      </c>
      <c r="C25" s="183" t="n">
        <f aca="false">('1855'!O27-'1855'!N27)</f>
        <v>36.42</v>
      </c>
      <c r="D25" s="183" t="n">
        <f aca="false">('1856'!O27-'1856'!N27)</f>
        <v>34.61</v>
      </c>
      <c r="E25" s="183" t="n">
        <f aca="false">('1857'!O27-'1857'!N27)</f>
        <v>36.15</v>
      </c>
    </row>
    <row r="26" customFormat="false" ht="18" hidden="false" customHeight="false" outlineLevel="0" collapsed="false">
      <c r="A26" s="173" t="s">
        <v>304</v>
      </c>
      <c r="B26" s="174"/>
      <c r="C26" s="174"/>
      <c r="D26" s="174"/>
      <c r="E26" s="175"/>
    </row>
    <row r="27" customFormat="false" ht="18" hidden="false" customHeight="false" outlineLevel="0" collapsed="false">
      <c r="A27" s="168" t="s">
        <v>300</v>
      </c>
      <c r="B27" s="177" t="n">
        <f aca="false">'1854'!O25-'1854'!N25</f>
        <v>295</v>
      </c>
      <c r="C27" s="177" t="n">
        <f aca="false">'1855'!O25-'1855'!N25</f>
        <v>304</v>
      </c>
      <c r="D27" s="177" t="n">
        <f aca="false">'1856'!O25-'1856'!N25</f>
        <v>256</v>
      </c>
      <c r="E27" s="177" t="n">
        <f aca="false">'1857'!O25-'1857'!N25</f>
        <v>199</v>
      </c>
    </row>
  </sheetData>
  <mergeCells count="4">
    <mergeCell ref="B6:E6"/>
    <mergeCell ref="B7:E7"/>
    <mergeCell ref="B21:E21"/>
    <mergeCell ref="B22:E22"/>
  </mergeCells>
  <conditionalFormatting sqref="G1:J2 G13:H17 G28:J65536 I13:J13 I16:J17">
    <cfRule type="cellIs" priority="2" operator="lessThan" aboveAverage="0" equalAverage="0" bottom="0" percent="0" rank="0" text="" dxfId="4888">
      <formula>0</formula>
    </cfRule>
  </conditionalFormatting>
  <conditionalFormatting sqref="G1:J2 G13:J17 G28:J65536">
    <cfRule type="cellIs" priority="3" operator="lessThan" aboveAverage="0" equalAverage="0" bottom="0" percent="0" rank="0" text="" dxfId="4889">
      <formula>0</formula>
    </cfRule>
  </conditionalFormatting>
  <conditionalFormatting sqref="G1:J2 G13:J17 G28:J65536">
    <cfRule type="cellIs" priority="4" operator="lessThan" aboveAverage="0" equalAverage="0" bottom="0" percent="0" rank="0" text="" dxfId="4890">
      <formula>0</formula>
    </cfRule>
  </conditionalFormatting>
  <conditionalFormatting sqref="G1:J2 G13:J17 G28:J65536">
    <cfRule type="cellIs" priority="5" operator="lessThan" aboveAverage="0" equalAverage="0" bottom="0" percent="0" rank="0" text="" dxfId="4891">
      <formula>0</formula>
    </cfRule>
  </conditionalFormatting>
  <conditionalFormatting sqref="G1:J2 G13:J17 G28:J65536">
    <cfRule type="cellIs" priority="6" operator="lessThan" aboveAverage="0" equalAverage="0" bottom="0" percent="0" rank="0" text="" dxfId="4892">
      <formula>0</formula>
    </cfRule>
  </conditionalFormatting>
  <conditionalFormatting sqref="G1:J2 G13:J17 G28:J65536">
    <cfRule type="cellIs" priority="7" operator="lessThan" aboveAverage="0" equalAverage="0" bottom="0" percent="0" rank="0" text="" dxfId="4893">
      <formula>0</formula>
    </cfRule>
  </conditionalFormatting>
  <conditionalFormatting sqref="B1:B1048576 C1:E5 C8:E20 C23:E65536 F1:AD2 F13:T17 F28:AD65536 U13:Y13 U16:AD17">
    <cfRule type="cellIs" priority="8" operator="lessThan" aboveAverage="0" equalAverage="0" bottom="0" percent="0" rank="0" text="" dxfId="4894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X47" activeCellId="0" sqref="X47"/>
    </sheetView>
  </sheetViews>
  <sheetFormatPr defaultColWidth="9.1484375" defaultRowHeight="15" zeroHeight="false" outlineLevelRow="0" outlineLevelCol="0"/>
  <cols>
    <col collapsed="false" customWidth="false" hidden="false" outlineLevel="0" max="1" min="1" style="194" width="9.14"/>
    <col collapsed="false" customWidth="true" hidden="false" outlineLevel="0" max="2" min="2" style="194" width="10.29"/>
    <col collapsed="false" customWidth="true" hidden="false" outlineLevel="0" max="4" min="3" style="194" width="7"/>
    <col collapsed="false" customWidth="true" hidden="false" outlineLevel="0" max="5" min="5" style="194" width="9"/>
    <col collapsed="false" customWidth="true" hidden="false" outlineLevel="0" max="7" min="6" style="194" width="7"/>
    <col collapsed="false" customWidth="true" hidden="false" outlineLevel="0" max="8" min="8" style="194" width="7.71"/>
    <col collapsed="false" customWidth="true" hidden="false" outlineLevel="0" max="9" min="9" style="194" width="7"/>
    <col collapsed="false" customWidth="true" hidden="false" outlineLevel="0" max="10" min="10" style="194" width="6.85"/>
    <col collapsed="false" customWidth="true" hidden="false" outlineLevel="0" max="11" min="11" style="194" width="9"/>
    <col collapsed="false" customWidth="true" hidden="false" outlineLevel="0" max="22" min="12" style="194" width="7"/>
    <col collapsed="false" customWidth="true" hidden="false" outlineLevel="0" max="23" min="23" style="194" width="8"/>
    <col collapsed="false" customWidth="true" hidden="false" outlineLevel="0" max="26" min="24" style="194" width="7"/>
    <col collapsed="false" customWidth="false" hidden="false" outlineLevel="0" max="16384" min="27" style="194" width="9.14"/>
  </cols>
  <sheetData>
    <row r="1" customFormat="false" ht="18.75" hidden="false" customHeight="false" outlineLevel="0" collapsed="false">
      <c r="A1" s="195" t="s">
        <v>315</v>
      </c>
      <c r="F1" s="195" t="n">
        <f aca="false">S1!B1</f>
        <v>2022</v>
      </c>
    </row>
    <row r="2" customFormat="false" ht="11.25" hidden="false" customHeight="true" outlineLevel="0" collapsed="false">
      <c r="A2" s="195"/>
    </row>
    <row r="3" customFormat="false" ht="15" hidden="true" customHeight="false" outlineLevel="0" collapsed="false">
      <c r="C3" s="194" t="n">
        <v>1850</v>
      </c>
      <c r="F3" s="194" t="n">
        <v>51</v>
      </c>
      <c r="I3" s="194" t="n">
        <v>52</v>
      </c>
      <c r="L3" s="194" t="n">
        <v>53</v>
      </c>
      <c r="O3" s="194" t="n">
        <v>54</v>
      </c>
      <c r="R3" s="194" t="n">
        <v>55</v>
      </c>
      <c r="U3" s="194" t="n">
        <v>56</v>
      </c>
      <c r="X3" s="194" t="n">
        <v>57</v>
      </c>
    </row>
    <row r="4" s="199" customFormat="true" ht="18.75" hidden="false" customHeight="false" outlineLevel="0" collapsed="false">
      <c r="A4" s="196"/>
      <c r="B4" s="196"/>
      <c r="C4" s="197" t="n">
        <v>1850</v>
      </c>
      <c r="D4" s="197"/>
      <c r="E4" s="197"/>
      <c r="F4" s="197" t="n">
        <v>1851</v>
      </c>
      <c r="G4" s="197"/>
      <c r="H4" s="197"/>
      <c r="I4" s="197" t="n">
        <v>1852</v>
      </c>
      <c r="J4" s="197"/>
      <c r="K4" s="197"/>
      <c r="L4" s="197" t="n">
        <v>1853</v>
      </c>
      <c r="M4" s="197"/>
      <c r="N4" s="197"/>
      <c r="O4" s="197" t="n">
        <v>1854</v>
      </c>
      <c r="P4" s="197"/>
      <c r="Q4" s="197"/>
      <c r="R4" s="197" t="n">
        <v>1855</v>
      </c>
      <c r="S4" s="197"/>
      <c r="T4" s="197"/>
      <c r="U4" s="197" t="n">
        <v>1856</v>
      </c>
      <c r="V4" s="197"/>
      <c r="W4" s="197"/>
      <c r="X4" s="197" t="n">
        <v>1857</v>
      </c>
      <c r="Y4" s="197"/>
      <c r="Z4" s="197"/>
      <c r="AA4" s="198"/>
    </row>
    <row r="5" customFormat="false" ht="30" hidden="false" customHeight="false" outlineLevel="0" collapsed="false">
      <c r="A5" s="196"/>
      <c r="B5" s="196"/>
      <c r="C5" s="200" t="s">
        <v>316</v>
      </c>
      <c r="D5" s="201" t="s">
        <v>317</v>
      </c>
      <c r="E5" s="201" t="s">
        <v>318</v>
      </c>
      <c r="F5" s="200" t="s">
        <v>316</v>
      </c>
      <c r="G5" s="201" t="s">
        <v>317</v>
      </c>
      <c r="H5" s="201" t="s">
        <v>318</v>
      </c>
      <c r="I5" s="200" t="s">
        <v>316</v>
      </c>
      <c r="J5" s="201" t="s">
        <v>317</v>
      </c>
      <c r="K5" s="201" t="s">
        <v>318</v>
      </c>
      <c r="L5" s="200" t="s">
        <v>316</v>
      </c>
      <c r="M5" s="201" t="s">
        <v>317</v>
      </c>
      <c r="N5" s="201" t="s">
        <v>318</v>
      </c>
      <c r="O5" s="200" t="s">
        <v>316</v>
      </c>
      <c r="P5" s="201" t="s">
        <v>317</v>
      </c>
      <c r="Q5" s="201" t="s">
        <v>318</v>
      </c>
      <c r="R5" s="200" t="s">
        <v>316</v>
      </c>
      <c r="S5" s="201" t="s">
        <v>317</v>
      </c>
      <c r="T5" s="201" t="s">
        <v>318</v>
      </c>
      <c r="U5" s="200" t="s">
        <v>316</v>
      </c>
      <c r="V5" s="201" t="s">
        <v>317</v>
      </c>
      <c r="W5" s="201" t="s">
        <v>318</v>
      </c>
      <c r="X5" s="200" t="s">
        <v>316</v>
      </c>
      <c r="Y5" s="201" t="s">
        <v>317</v>
      </c>
      <c r="Z5" s="201" t="s">
        <v>318</v>
      </c>
      <c r="AA5" s="202"/>
    </row>
    <row r="6" customFormat="false" ht="15" hidden="false" customHeight="false" outlineLevel="0" collapsed="false">
      <c r="A6" s="203" t="s">
        <v>5</v>
      </c>
      <c r="B6" s="204" t="s">
        <v>319</v>
      </c>
      <c r="C6" s="205" t="n">
        <f aca="false">S1!B9</f>
        <v>33.448</v>
      </c>
      <c r="D6" s="96" t="n">
        <f aca="false">S1!B10-S1!B9</f>
        <v>2.62400000000004</v>
      </c>
      <c r="E6" s="206" t="n">
        <f aca="false">D6/C7</f>
        <v>0.0727434020847204</v>
      </c>
      <c r="F6" s="205" t="n">
        <f aca="false">S1!C9</f>
        <v>41.724</v>
      </c>
      <c r="G6" s="96" t="n">
        <f aca="false">S1!C10-S1!C9</f>
        <v>4.50000000000001</v>
      </c>
      <c r="H6" s="206" t="n">
        <f aca="false">G6/F7</f>
        <v>0.0973520249221187</v>
      </c>
      <c r="I6" s="205" t="n">
        <f aca="false">S1!D9</f>
        <v>38.167</v>
      </c>
      <c r="J6" s="96" t="n">
        <f aca="false">S1!D10-S1!D9</f>
        <v>2.18899999999993</v>
      </c>
      <c r="K6" s="206" t="n">
        <f aca="false">J6/I7</f>
        <v>0.0542422440281478</v>
      </c>
      <c r="L6" s="205" t="n">
        <f aca="false">S1!E9</f>
        <v>32.972</v>
      </c>
      <c r="M6" s="96" t="n">
        <f aca="false">S1!E10-S1!E9</f>
        <v>2.77599999999993</v>
      </c>
      <c r="N6" s="206" t="n">
        <f aca="false">M6/L7</f>
        <v>0.0776546939688916</v>
      </c>
      <c r="O6" s="205" t="n">
        <f aca="false">S1!B24</f>
        <v>33.318</v>
      </c>
      <c r="P6" s="96" t="n">
        <f aca="false">S1!B25-S1!B24</f>
        <v>2.05200000000001</v>
      </c>
      <c r="Q6" s="206" t="n">
        <f aca="false">P6/O7</f>
        <v>0.0580152671755727</v>
      </c>
      <c r="R6" s="205" t="n">
        <f aca="false">S1!C24</f>
        <v>39.27</v>
      </c>
      <c r="S6" s="96" t="n">
        <f aca="false">S1!C25-S1!C24</f>
        <v>3.08000000000002</v>
      </c>
      <c r="T6" s="206" t="n">
        <f aca="false">S6/R7</f>
        <v>0.0727272727272732</v>
      </c>
      <c r="U6" s="205" t="n">
        <f aca="false">S1!D24</f>
        <v>34.779</v>
      </c>
      <c r="V6" s="96" t="n">
        <f aca="false">S1!D25-S1!D24</f>
        <v>2.97099999999999</v>
      </c>
      <c r="W6" s="206" t="n">
        <f aca="false">V6/U7</f>
        <v>0.0787019867549666</v>
      </c>
      <c r="X6" s="205" t="n">
        <f aca="false">S1!E24</f>
        <v>35.323</v>
      </c>
      <c r="Y6" s="96" t="n">
        <f aca="false">S1!E25-S1!E24</f>
        <v>3.36699999999999</v>
      </c>
      <c r="Z6" s="206" t="n">
        <f aca="false">Y6/X7</f>
        <v>0.0870250710777976</v>
      </c>
    </row>
    <row r="7" customFormat="false" ht="15" hidden="false" customHeight="false" outlineLevel="0" collapsed="false">
      <c r="A7" s="203"/>
      <c r="B7" s="204" t="s">
        <v>320</v>
      </c>
      <c r="C7" s="205" t="n">
        <f aca="false">S1!B10</f>
        <v>36.072</v>
      </c>
      <c r="D7" s="96"/>
      <c r="E7" s="206"/>
      <c r="F7" s="205" t="n">
        <f aca="false">S1!C10</f>
        <v>46.224</v>
      </c>
      <c r="G7" s="96"/>
      <c r="H7" s="206"/>
      <c r="I7" s="205" t="n">
        <f aca="false">S1!D10</f>
        <v>40.3559999999999</v>
      </c>
      <c r="J7" s="96"/>
      <c r="K7" s="206"/>
      <c r="L7" s="205" t="n">
        <f aca="false">S1!E10</f>
        <v>35.7479999999999</v>
      </c>
      <c r="M7" s="96"/>
      <c r="N7" s="206"/>
      <c r="O7" s="205" t="n">
        <f aca="false">S1!B25</f>
        <v>35.37</v>
      </c>
      <c r="P7" s="96"/>
      <c r="Q7" s="206"/>
      <c r="R7" s="205" t="n">
        <f aca="false">S1!C25</f>
        <v>42.35</v>
      </c>
      <c r="S7" s="96"/>
      <c r="T7" s="206"/>
      <c r="U7" s="205" t="n">
        <f aca="false">S1!D25</f>
        <v>37.75</v>
      </c>
      <c r="V7" s="96"/>
      <c r="W7" s="206"/>
      <c r="X7" s="205" t="n">
        <f aca="false">S1!E25</f>
        <v>38.69</v>
      </c>
      <c r="Y7" s="96"/>
      <c r="Z7" s="206"/>
    </row>
    <row r="8" customFormat="false" ht="15" hidden="false" customHeight="false" outlineLevel="0" collapsed="false">
      <c r="A8" s="203" t="s">
        <v>6</v>
      </c>
      <c r="B8" s="204" t="s">
        <v>319</v>
      </c>
      <c r="C8" s="204" t="n">
        <f aca="false">S2!B9</f>
        <v>24.862</v>
      </c>
      <c r="D8" s="207" t="n">
        <f aca="false">S2!B10-S2!B9</f>
        <v>1.63399999999995</v>
      </c>
      <c r="E8" s="208" t="n">
        <f aca="false">D8/C9</f>
        <v>0.0616696859903363</v>
      </c>
      <c r="F8" s="209" t="n">
        <f aca="false">S2!C9</f>
        <v>31.042</v>
      </c>
      <c r="G8" s="207" t="n">
        <f aca="false">S2!C10-S2!C9</f>
        <v>3.66199999999996</v>
      </c>
      <c r="H8" s="208" t="n">
        <f aca="false">G8/F9</f>
        <v>0.105520977408943</v>
      </c>
      <c r="I8" s="209" t="n">
        <f aca="false">S2!D9</f>
        <v>28.514</v>
      </c>
      <c r="J8" s="207" t="n">
        <f aca="false">S2!D10-S2!D9</f>
        <v>0.286000000000005</v>
      </c>
      <c r="K8" s="208" t="n">
        <f aca="false">J8/I9</f>
        <v>0.00993055555555573</v>
      </c>
      <c r="L8" s="209" t="n">
        <f aca="false">S2!E9</f>
        <v>25.198</v>
      </c>
      <c r="M8" s="207" t="n">
        <f aca="false">S2!E10-S2!E9</f>
        <v>2.12600000000001</v>
      </c>
      <c r="N8" s="208" t="n">
        <f aca="false">M8/L9</f>
        <v>0.077807056067926</v>
      </c>
      <c r="O8" s="209" t="n">
        <f aca="false">S2!B24</f>
        <v>25.531</v>
      </c>
      <c r="P8" s="207" t="n">
        <f aca="false">S2!B25-S2!B24</f>
        <v>1.85899999999997</v>
      </c>
      <c r="Q8" s="208" t="n">
        <f aca="false">P8/O9</f>
        <v>0.067871485943774</v>
      </c>
      <c r="R8" s="209" t="n">
        <f aca="false">S2!C24</f>
        <v>28.52</v>
      </c>
      <c r="S8" s="207" t="n">
        <f aca="false">S2!C25-S2!C24</f>
        <v>2.31999999999998</v>
      </c>
      <c r="T8" s="208" t="n">
        <f aca="false">S8/R9</f>
        <v>0.0752269779507126</v>
      </c>
      <c r="U8" s="209" t="n">
        <f aca="false">S2!D24</f>
        <v>26.347</v>
      </c>
      <c r="V8" s="207" t="n">
        <f aca="false">S2!D25-S2!D24</f>
        <v>1.343</v>
      </c>
      <c r="W8" s="208" t="n">
        <f aca="false">V8/U9</f>
        <v>0.0485012639942219</v>
      </c>
      <c r="X8" s="209" t="n">
        <f aca="false">S2!E24</f>
        <v>25.238</v>
      </c>
      <c r="Y8" s="207" t="n">
        <f aca="false">S2!E25-S2!E24</f>
        <v>1.202</v>
      </c>
      <c r="Z8" s="208" t="n">
        <f aca="false">Y8/X9</f>
        <v>0.0454614220877458</v>
      </c>
    </row>
    <row r="9" customFormat="false" ht="15" hidden="false" customHeight="false" outlineLevel="0" collapsed="false">
      <c r="A9" s="203"/>
      <c r="B9" s="204" t="s">
        <v>320</v>
      </c>
      <c r="C9" s="209" t="n">
        <f aca="false">S2!B10</f>
        <v>26.496</v>
      </c>
      <c r="D9" s="207"/>
      <c r="E9" s="208"/>
      <c r="F9" s="209" t="n">
        <f aca="false">S2!C10</f>
        <v>34.704</v>
      </c>
      <c r="G9" s="207"/>
      <c r="H9" s="208"/>
      <c r="I9" s="209" t="n">
        <f aca="false">S2!D10</f>
        <v>28.8</v>
      </c>
      <c r="J9" s="207"/>
      <c r="K9" s="208"/>
      <c r="L9" s="209" t="n">
        <f aca="false">S2!E10</f>
        <v>27.324</v>
      </c>
      <c r="M9" s="207"/>
      <c r="N9" s="208"/>
      <c r="O9" s="209" t="n">
        <f aca="false">S2!B25</f>
        <v>27.39</v>
      </c>
      <c r="P9" s="207"/>
      <c r="Q9" s="208"/>
      <c r="R9" s="209" t="n">
        <f aca="false">S2!C25</f>
        <v>30.84</v>
      </c>
      <c r="S9" s="207"/>
      <c r="T9" s="208"/>
      <c r="U9" s="209" t="n">
        <f aca="false">S2!D25</f>
        <v>27.69</v>
      </c>
      <c r="V9" s="207"/>
      <c r="W9" s="208"/>
      <c r="X9" s="209" t="n">
        <f aca="false">S2!E25</f>
        <v>26.44</v>
      </c>
      <c r="Y9" s="207"/>
      <c r="Z9" s="208"/>
    </row>
    <row r="10" customFormat="false" ht="15" hidden="false" customHeight="false" outlineLevel="0" collapsed="false">
      <c r="A10" s="203" t="s">
        <v>7</v>
      </c>
      <c r="B10" s="204" t="s">
        <v>319</v>
      </c>
      <c r="C10" s="204" t="n">
        <f aca="false">S3!B9</f>
        <v>19.642</v>
      </c>
      <c r="D10" s="207" t="n">
        <f aca="false">S3!B10-S3!B9</f>
        <v>0.698000000000025</v>
      </c>
      <c r="E10" s="208" t="n">
        <f aca="false">D10/C11</f>
        <v>0.0343166175024594</v>
      </c>
      <c r="F10" s="209" t="n">
        <f aca="false">S3!C9</f>
        <v>26.406</v>
      </c>
      <c r="G10" s="207" t="n">
        <f aca="false">S3!C10-S3!C9</f>
        <v>3.65400000000009</v>
      </c>
      <c r="H10" s="208" t="n">
        <f aca="false">G10/F11</f>
        <v>0.121556886227547</v>
      </c>
      <c r="I10" s="209" t="n">
        <f aca="false">S3!D9</f>
        <v>24.634</v>
      </c>
      <c r="J10" s="207" t="n">
        <f aca="false">S3!D10-S3!D9</f>
        <v>-0.153999999999954</v>
      </c>
      <c r="K10" s="208" t="n">
        <f aca="false">J10/I11</f>
        <v>-0.00629084967320071</v>
      </c>
      <c r="L10" s="209" t="n">
        <f aca="false">S3!E9</f>
        <v>20.22</v>
      </c>
      <c r="M10" s="207" t="n">
        <f aca="false">S3!E10-S3!E9</f>
        <v>2.56800000000005</v>
      </c>
      <c r="N10" s="208" t="n">
        <f aca="false">M10/L11</f>
        <v>0.112690889942077</v>
      </c>
      <c r="O10" s="209" t="n">
        <f aca="false">S3!B24</f>
        <v>21.221</v>
      </c>
      <c r="P10" s="210" t="n">
        <f aca="false">S3!B25-S3!B24</f>
        <v>1.48899999999998</v>
      </c>
      <c r="Q10" s="208" t="n">
        <f aca="false">P10/O11</f>
        <v>0.0655658300308226</v>
      </c>
      <c r="R10" s="204" t="n">
        <f aca="false">S3!C24</f>
        <v>24.564</v>
      </c>
      <c r="S10" s="210" t="n">
        <f aca="false">S3!C25-S3!C24</f>
        <v>1.316</v>
      </c>
      <c r="T10" s="208" t="n">
        <f aca="false">S10/R11</f>
        <v>0.0508500772797525</v>
      </c>
      <c r="U10" s="204" t="n">
        <f aca="false">S3!D24</f>
        <v>25.424</v>
      </c>
      <c r="V10" s="210" t="n">
        <f aca="false">S3!D25-S3!D24</f>
        <v>-2.654</v>
      </c>
      <c r="W10" s="208" t="n">
        <f aca="false">V10/U11</f>
        <v>-0.116556873078612</v>
      </c>
      <c r="X10" s="204" t="n">
        <f aca="false">S3!E24</f>
        <v>20.443</v>
      </c>
      <c r="Y10" s="210" t="n">
        <f aca="false">S3!E25-S3!E24</f>
        <v>0.297000000000011</v>
      </c>
      <c r="Z10" s="208" t="n">
        <f aca="false">Y10/X11</f>
        <v>0.0143201542912252</v>
      </c>
    </row>
    <row r="11" customFormat="false" ht="15" hidden="false" customHeight="false" outlineLevel="0" collapsed="false">
      <c r="A11" s="203"/>
      <c r="B11" s="204" t="s">
        <v>320</v>
      </c>
      <c r="C11" s="209" t="n">
        <f aca="false">S3!B10</f>
        <v>20.34</v>
      </c>
      <c r="D11" s="207"/>
      <c r="E11" s="208"/>
      <c r="F11" s="209" t="n">
        <f aca="false">S3!C10</f>
        <v>30.0600000000001</v>
      </c>
      <c r="G11" s="207"/>
      <c r="H11" s="208"/>
      <c r="I11" s="209" t="n">
        <f aca="false">S3!D10</f>
        <v>24.48</v>
      </c>
      <c r="J11" s="207"/>
      <c r="K11" s="208"/>
      <c r="L11" s="209" t="n">
        <f aca="false">S3!E10</f>
        <v>22.788</v>
      </c>
      <c r="M11" s="207"/>
      <c r="N11" s="208"/>
      <c r="O11" s="209" t="n">
        <f aca="false">S3!B25</f>
        <v>22.71</v>
      </c>
      <c r="P11" s="210"/>
      <c r="Q11" s="208"/>
      <c r="R11" s="204" t="n">
        <f aca="false">S3!C25</f>
        <v>25.88</v>
      </c>
      <c r="S11" s="210"/>
      <c r="T11" s="208"/>
      <c r="U11" s="204" t="n">
        <f aca="false">S3!D25</f>
        <v>22.77</v>
      </c>
      <c r="V11" s="210"/>
      <c r="W11" s="208"/>
      <c r="X11" s="204" t="n">
        <f aca="false">S3!E25</f>
        <v>20.74</v>
      </c>
      <c r="Y11" s="210"/>
      <c r="Z11" s="208"/>
    </row>
    <row r="12" customFormat="false" ht="15" hidden="false" customHeight="false" outlineLevel="0" collapsed="false">
      <c r="A12" s="203" t="s">
        <v>8</v>
      </c>
      <c r="B12" s="204" t="s">
        <v>319</v>
      </c>
      <c r="C12" s="204" t="n">
        <f aca="false">S4!B9</f>
        <v>14.785</v>
      </c>
      <c r="D12" s="207" t="n">
        <f aca="false">S4!B10-S4!B9</f>
        <v>0.298999999999991</v>
      </c>
      <c r="E12" s="208" t="n">
        <f aca="false">D12/C13</f>
        <v>0.0198223282948814</v>
      </c>
      <c r="F12" s="209" t="n">
        <f aca="false">S4!C9</f>
        <v>20.313</v>
      </c>
      <c r="G12" s="210" t="n">
        <f aca="false">S4!C10-S4!C9</f>
        <v>3.51899999999993</v>
      </c>
      <c r="H12" s="208" t="n">
        <f aca="false">G12/F13</f>
        <v>0.147658610271901</v>
      </c>
      <c r="I12" s="204" t="n">
        <f aca="false">S4!D9</f>
        <v>20.167</v>
      </c>
      <c r="J12" s="210" t="n">
        <f aca="false">S4!D10-S4!D9</f>
        <v>-0.510999999999971</v>
      </c>
      <c r="K12" s="208" t="n">
        <f aca="false">J12/I13</f>
        <v>-0.0259971509971495</v>
      </c>
      <c r="L12" s="204" t="n">
        <f aca="false">S4!E9</f>
        <v>13.81</v>
      </c>
      <c r="M12" s="210" t="n">
        <f aca="false">S4!E10-S4!E9</f>
        <v>2.38999999999999</v>
      </c>
      <c r="N12" s="208" t="n">
        <f aca="false">M12/L13</f>
        <v>0.14753086419753</v>
      </c>
      <c r="O12" s="204" t="n">
        <f aca="false">S4!B24</f>
        <v>16.092</v>
      </c>
      <c r="P12" s="210" t="n">
        <f aca="false">S4!B25-S4!B24</f>
        <v>0.958000000000006</v>
      </c>
      <c r="Q12" s="208" t="n">
        <f aca="false">P12/O13</f>
        <v>0.0561876832844578</v>
      </c>
      <c r="R12" s="204" t="n">
        <f aca="false">S4!C24</f>
        <v>18.284</v>
      </c>
      <c r="S12" s="210" t="n">
        <f aca="false">S4!C25-S4!C24</f>
        <v>1.33600000000006</v>
      </c>
      <c r="T12" s="208" t="n">
        <f aca="false">S12/R13</f>
        <v>0.0680937818552527</v>
      </c>
      <c r="U12" s="204" t="n">
        <f aca="false">S4!D24</f>
        <v>19.289</v>
      </c>
      <c r="V12" s="210" t="n">
        <f aca="false">S4!D25-S4!D24</f>
        <v>-2.87900000000002</v>
      </c>
      <c r="W12" s="208" t="n">
        <f aca="false">V12/U13</f>
        <v>-0.175441803778185</v>
      </c>
      <c r="X12" s="204" t="n">
        <f aca="false">S4!E24</f>
        <v>16.339</v>
      </c>
      <c r="Y12" s="210" t="n">
        <f aca="false">S4!E25-S4!E24</f>
        <v>0.0110000000000241</v>
      </c>
      <c r="Z12" s="208" t="n">
        <f aca="false">Y12/X13</f>
        <v>0.00067278287461921</v>
      </c>
    </row>
    <row r="13" customFormat="false" ht="15" hidden="false" customHeight="false" outlineLevel="0" collapsed="false">
      <c r="A13" s="203"/>
      <c r="B13" s="204" t="s">
        <v>320</v>
      </c>
      <c r="C13" s="209" t="n">
        <f aca="false">S4!B10</f>
        <v>15.084</v>
      </c>
      <c r="D13" s="207"/>
      <c r="E13" s="208"/>
      <c r="F13" s="209" t="n">
        <f aca="false">S4!C10</f>
        <v>23.8319999999999</v>
      </c>
      <c r="G13" s="210"/>
      <c r="H13" s="208"/>
      <c r="I13" s="204" t="n">
        <f aca="false">S4!D10</f>
        <v>19.656</v>
      </c>
      <c r="J13" s="210"/>
      <c r="K13" s="208"/>
      <c r="L13" s="204" t="n">
        <f aca="false">S4!E10</f>
        <v>16.2</v>
      </c>
      <c r="M13" s="210"/>
      <c r="N13" s="208"/>
      <c r="O13" s="204" t="n">
        <f aca="false">S4!B25</f>
        <v>17.05</v>
      </c>
      <c r="P13" s="210"/>
      <c r="Q13" s="208"/>
      <c r="R13" s="204" t="n">
        <f aca="false">S4!C25</f>
        <v>19.6200000000001</v>
      </c>
      <c r="S13" s="210"/>
      <c r="T13" s="208"/>
      <c r="U13" s="204" t="n">
        <f aca="false">S4!D25</f>
        <v>16.41</v>
      </c>
      <c r="V13" s="210"/>
      <c r="W13" s="208"/>
      <c r="X13" s="204" t="n">
        <f aca="false">S4!E25</f>
        <v>16.35</v>
      </c>
      <c r="Y13" s="210"/>
      <c r="Z13" s="208"/>
    </row>
    <row r="14" customFormat="false" ht="15" hidden="false" customHeight="false" outlineLevel="0" collapsed="false">
      <c r="A14" s="203" t="s">
        <v>9</v>
      </c>
      <c r="B14" s="204" t="s">
        <v>319</v>
      </c>
      <c r="C14" s="204" t="n">
        <f aca="false">S5!B9</f>
        <v>4.891</v>
      </c>
      <c r="D14" s="207" t="n">
        <f aca="false">S5!B10-S5!B9</f>
        <v>-1.54299999999998</v>
      </c>
      <c r="E14" s="208" t="n">
        <f aca="false">D14/C15</f>
        <v>-0.460872162485055</v>
      </c>
      <c r="F14" s="204" t="n">
        <f aca="false">S5!C9</f>
        <v>7.669</v>
      </c>
      <c r="G14" s="207" t="n">
        <f aca="false">S5!C10-S5!C9</f>
        <v>3.38300000000008</v>
      </c>
      <c r="H14" s="208" t="n">
        <f aca="false">G14/F15</f>
        <v>0.306098443720599</v>
      </c>
      <c r="I14" s="204" t="n">
        <f aca="false">S5!D9</f>
        <v>6.95299999999999</v>
      </c>
      <c r="J14" s="207" t="n">
        <f aca="false">S5!D10-S5!D9</f>
        <v>-1.69700000000006</v>
      </c>
      <c r="K14" s="208" t="n">
        <f aca="false">J14/I15</f>
        <v>-0.322869101978707</v>
      </c>
      <c r="L14" s="204" t="n">
        <f aca="false">S5!E9</f>
        <v>3.845</v>
      </c>
      <c r="M14" s="207" t="n">
        <f aca="false">S5!E10-S5!E9</f>
        <v>2.38299999999996</v>
      </c>
      <c r="N14" s="208" t="n">
        <f aca="false">M14/L15</f>
        <v>0.382626846499675</v>
      </c>
      <c r="O14" s="204" t="n">
        <f aca="false">S5!B24</f>
        <v>4.326</v>
      </c>
      <c r="P14" s="207" t="n">
        <f aca="false">S5!B25-S5!B24</f>
        <v>-0.68600000000001</v>
      </c>
      <c r="Q14" s="208" t="n">
        <f aca="false">P14/O15</f>
        <v>-0.188461538461542</v>
      </c>
      <c r="R14" s="204" t="n">
        <f aca="false">S5!C24</f>
        <v>5.09600000000001</v>
      </c>
      <c r="S14" s="207" t="n">
        <f aca="false">S5!C25-S5!C24</f>
        <v>-0.376000000000094</v>
      </c>
      <c r="T14" s="208" t="n">
        <f aca="false">S14/R15</f>
        <v>-0.0796610169491738</v>
      </c>
      <c r="U14" s="204" t="n">
        <f aca="false">S5!D24</f>
        <v>7.11499999999998</v>
      </c>
      <c r="V14" s="207" t="n">
        <f aca="false">S5!D25-S5!D24</f>
        <v>-3.68500000000003</v>
      </c>
      <c r="W14" s="208" t="n">
        <f aca="false">V14/U15</f>
        <v>-1.07434402332364</v>
      </c>
      <c r="X14" s="204" t="n">
        <f aca="false">S5!E24</f>
        <v>4.199</v>
      </c>
      <c r="Y14" s="207" t="n">
        <f aca="false">S5!E25-S5!E24</f>
        <v>-1.329</v>
      </c>
      <c r="Z14" s="208" t="n">
        <f aca="false">Y14/X15</f>
        <v>-0.463066202090591</v>
      </c>
    </row>
    <row r="15" customFormat="false" ht="15" hidden="false" customHeight="false" outlineLevel="0" collapsed="false">
      <c r="A15" s="203"/>
      <c r="B15" s="204" t="s">
        <v>320</v>
      </c>
      <c r="C15" s="209" t="n">
        <f aca="false">S5!B10</f>
        <v>3.34800000000002</v>
      </c>
      <c r="D15" s="207"/>
      <c r="E15" s="208"/>
      <c r="F15" s="209" t="n">
        <f aca="false">S5!C10</f>
        <v>11.0520000000001</v>
      </c>
      <c r="G15" s="207"/>
      <c r="H15" s="208"/>
      <c r="I15" s="209" t="n">
        <f aca="false">S5!D10</f>
        <v>5.25599999999993</v>
      </c>
      <c r="J15" s="207"/>
      <c r="K15" s="208"/>
      <c r="L15" s="209" t="n">
        <f aca="false">S5!E10</f>
        <v>6.22799999999996</v>
      </c>
      <c r="M15" s="207"/>
      <c r="N15" s="208"/>
      <c r="O15" s="209" t="n">
        <f aca="false">S5!B25</f>
        <v>3.63999999999999</v>
      </c>
      <c r="P15" s="207"/>
      <c r="Q15" s="208"/>
      <c r="R15" s="209" t="n">
        <f aca="false">S5!C25</f>
        <v>4.71999999999991</v>
      </c>
      <c r="S15" s="207"/>
      <c r="T15" s="208"/>
      <c r="U15" s="209" t="n">
        <f aca="false">S5!D25</f>
        <v>3.42999999999995</v>
      </c>
      <c r="V15" s="207"/>
      <c r="W15" s="208"/>
      <c r="X15" s="209" t="n">
        <f aca="false">S5!E25</f>
        <v>2.87</v>
      </c>
      <c r="Y15" s="207"/>
      <c r="Z15" s="208"/>
    </row>
    <row r="16" customFormat="false" ht="15" hidden="false" customHeight="false" outlineLevel="0" collapsed="false">
      <c r="A16" s="203" t="s">
        <v>10</v>
      </c>
      <c r="B16" s="204" t="s">
        <v>319</v>
      </c>
      <c r="C16" s="204" t="n">
        <f aca="false">S6!B9</f>
        <v>3.677</v>
      </c>
      <c r="D16" s="207" t="n">
        <f aca="false">S6!B10-S6!B9</f>
        <v>-1.44499999999998</v>
      </c>
      <c r="E16" s="208" t="n">
        <f aca="false">D16/C17</f>
        <v>-0.647401433691742</v>
      </c>
      <c r="F16" s="204" t="n">
        <f aca="false">S6!C9</f>
        <v>5.97900000000001</v>
      </c>
      <c r="G16" s="207" t="n">
        <f aca="false">S6!C10-S6!C9</f>
        <v>3.27299999999997</v>
      </c>
      <c r="H16" s="208" t="n">
        <f aca="false">G16/F17</f>
        <v>0.353761348897533</v>
      </c>
      <c r="I16" s="204" t="n">
        <f aca="false">S6!D9</f>
        <v>5.51699999999999</v>
      </c>
      <c r="J16" s="207" t="n">
        <f aca="false">S6!D10-S6!D9</f>
        <v>-1.59299999999998</v>
      </c>
      <c r="K16" s="208" t="n">
        <f aca="false">J16/I17</f>
        <v>-0.405963302752287</v>
      </c>
      <c r="L16" s="204" t="n">
        <f aca="false">S6!E9</f>
        <v>3.14100000000001</v>
      </c>
      <c r="M16" s="207" t="n">
        <f aca="false">S6!E10-S6!E9</f>
        <v>2.51099999999997</v>
      </c>
      <c r="N16" s="208" t="n">
        <f aca="false">M16/L17</f>
        <v>0.444267515923564</v>
      </c>
      <c r="O16" s="204" t="n">
        <f aca="false">S6!B24</f>
        <v>3.059</v>
      </c>
      <c r="P16" s="207" t="n">
        <f aca="false">S6!B25-S6!B24</f>
        <v>-0.728999999999961</v>
      </c>
      <c r="Q16" s="208" t="n">
        <f aca="false">P16/O17</f>
        <v>-0.312875536480664</v>
      </c>
      <c r="R16" s="204" t="n">
        <f aca="false">S6!C24</f>
        <v>3.71699999999999</v>
      </c>
      <c r="S16" s="207" t="n">
        <f aca="false">S6!C25-S6!C24</f>
        <v>-0.55699999999991</v>
      </c>
      <c r="T16" s="208" t="n">
        <f aca="false">S16/R17</f>
        <v>-0.176265822784777</v>
      </c>
      <c r="U16" s="204" t="n">
        <f aca="false">S6!D24</f>
        <v>4.94200000000001</v>
      </c>
      <c r="V16" s="207" t="n">
        <f aca="false">S6!D25-S6!D24</f>
        <v>-2.49199999999996</v>
      </c>
      <c r="W16" s="208" t="n">
        <f aca="false">V16/U17</f>
        <v>-1.01714285714282</v>
      </c>
      <c r="X16" s="204" t="n">
        <f aca="false">S6!E24</f>
        <v>3.482</v>
      </c>
      <c r="Y16" s="207" t="n">
        <f aca="false">S6!E25-S6!E24</f>
        <v>-1.27200000000002</v>
      </c>
      <c r="Z16" s="208" t="n">
        <f aca="false">Y16/X17</f>
        <v>-0.575565610859743</v>
      </c>
    </row>
    <row r="17" customFormat="false" ht="15" hidden="false" customHeight="false" outlineLevel="0" collapsed="false">
      <c r="A17" s="203"/>
      <c r="B17" s="204" t="s">
        <v>320</v>
      </c>
      <c r="C17" s="204" t="n">
        <f aca="false">S6!B10</f>
        <v>2.23200000000002</v>
      </c>
      <c r="D17" s="207"/>
      <c r="E17" s="208"/>
      <c r="F17" s="204" t="n">
        <f aca="false">S6!C10</f>
        <v>9.25199999999998</v>
      </c>
      <c r="G17" s="207"/>
      <c r="H17" s="208"/>
      <c r="I17" s="204" t="n">
        <f aca="false">S6!D10</f>
        <v>3.92400000000001</v>
      </c>
      <c r="J17" s="207"/>
      <c r="K17" s="208"/>
      <c r="L17" s="204" t="n">
        <f aca="false">S6!E10</f>
        <v>5.65199999999998</v>
      </c>
      <c r="M17" s="207"/>
      <c r="N17" s="208"/>
      <c r="O17" s="204" t="n">
        <f aca="false">S6!B25</f>
        <v>2.33000000000004</v>
      </c>
      <c r="P17" s="207"/>
      <c r="Q17" s="208"/>
      <c r="R17" s="204" t="n">
        <f aca="false">S6!C25</f>
        <v>3.16000000000008</v>
      </c>
      <c r="S17" s="207"/>
      <c r="T17" s="208"/>
      <c r="U17" s="204" t="n">
        <f aca="false">S6!D25</f>
        <v>2.45000000000005</v>
      </c>
      <c r="V17" s="207"/>
      <c r="W17" s="208"/>
      <c r="X17" s="204" t="n">
        <f aca="false">S6!E25</f>
        <v>2.20999999999998</v>
      </c>
      <c r="Y17" s="207"/>
      <c r="Z17" s="208"/>
    </row>
    <row r="18" customFormat="false" ht="15" hidden="false" customHeight="false" outlineLevel="0" collapsed="false">
      <c r="A18" s="203" t="s">
        <v>11</v>
      </c>
      <c r="B18" s="204" t="s">
        <v>319</v>
      </c>
      <c r="C18" s="204" t="n">
        <f aca="false">S7!B9</f>
        <v>3.18299999999999</v>
      </c>
      <c r="D18" s="207" t="n">
        <f aca="false">S7!B10-S7!B9</f>
        <v>-1.45500000000003</v>
      </c>
      <c r="E18" s="208" t="n">
        <f aca="false">D18/C19</f>
        <v>-0.842013888888924</v>
      </c>
      <c r="F18" s="204" t="n">
        <f aca="false">S7!C9</f>
        <v>5.60299999999999</v>
      </c>
      <c r="G18" s="207" t="n">
        <f aca="false">S7!C10-S7!C9</f>
        <v>3.57700000000005</v>
      </c>
      <c r="H18" s="208" t="n">
        <f aca="false">G18/F19</f>
        <v>0.389651416122008</v>
      </c>
      <c r="I18" s="204" t="n">
        <f aca="false">S7!D9</f>
        <v>4.71400000000001</v>
      </c>
      <c r="J18" s="207" t="n">
        <f aca="false">S7!D10-S7!D9</f>
        <v>-1.87000000000004</v>
      </c>
      <c r="K18" s="208" t="n">
        <f aca="false">J18/I19</f>
        <v>-0.657524613220836</v>
      </c>
      <c r="L18" s="204" t="n">
        <f aca="false">S7!E9</f>
        <v>2.844</v>
      </c>
      <c r="M18" s="207" t="n">
        <f aca="false">S7!E10-S7!E9</f>
        <v>0.936000000000044</v>
      </c>
      <c r="N18" s="208" t="n">
        <f aca="false">M18/L19</f>
        <v>0.247619047619056</v>
      </c>
      <c r="O18" s="204" t="n">
        <f aca="false">S7!B24</f>
        <v>2.747</v>
      </c>
      <c r="P18" s="207" t="n">
        <f aca="false">S7!B25-S7!B24</f>
        <v>-0.197000000000044</v>
      </c>
      <c r="Q18" s="208" t="n">
        <f aca="false">P18/O19</f>
        <v>-0.0772549019608031</v>
      </c>
      <c r="R18" s="204" t="n">
        <f aca="false">S7!C24</f>
        <v>3.15</v>
      </c>
      <c r="S18" s="207" t="n">
        <f aca="false">S7!C25-S7!C24</f>
        <v>-0.640000000000004</v>
      </c>
      <c r="T18" s="208" t="n">
        <f aca="false">S18/R19</f>
        <v>-0.254980079681277</v>
      </c>
      <c r="U18" s="204" t="n">
        <f aca="false">S7!D24</f>
        <v>3.163</v>
      </c>
      <c r="V18" s="207" t="n">
        <f aca="false">S7!D25-S7!D24</f>
        <v>-0.873000000000033</v>
      </c>
      <c r="W18" s="208" t="n">
        <f aca="false">V18/U19</f>
        <v>-0.381222707423601</v>
      </c>
      <c r="X18" s="204" t="n">
        <f aca="false">S7!E24</f>
        <v>3.095</v>
      </c>
      <c r="Y18" s="207" t="n">
        <f aca="false">S7!E25-S7!E24</f>
        <v>-1.29499999999999</v>
      </c>
      <c r="Z18" s="208" t="n">
        <f aca="false">Y18/X19</f>
        <v>-0.719444444444433</v>
      </c>
    </row>
    <row r="19" customFormat="false" ht="15" hidden="false" customHeight="false" outlineLevel="0" collapsed="false">
      <c r="A19" s="203"/>
      <c r="B19" s="204" t="s">
        <v>320</v>
      </c>
      <c r="C19" s="204" t="n">
        <f aca="false">S7!B10</f>
        <v>1.72799999999996</v>
      </c>
      <c r="D19" s="207"/>
      <c r="E19" s="208"/>
      <c r="F19" s="209" t="n">
        <f aca="false">S7!C10</f>
        <v>9.18000000000004</v>
      </c>
      <c r="G19" s="207"/>
      <c r="H19" s="208"/>
      <c r="I19" s="204" t="n">
        <f aca="false">S7!D10</f>
        <v>2.84399999999997</v>
      </c>
      <c r="J19" s="207"/>
      <c r="K19" s="208"/>
      <c r="L19" s="204" t="n">
        <f aca="false">S7!E10</f>
        <v>3.78000000000004</v>
      </c>
      <c r="M19" s="207"/>
      <c r="N19" s="208"/>
      <c r="O19" s="204" t="n">
        <f aca="false">S7!B25</f>
        <v>2.54999999999995</v>
      </c>
      <c r="P19" s="207"/>
      <c r="Q19" s="208"/>
      <c r="R19" s="204" t="n">
        <f aca="false">S7!C25</f>
        <v>2.50999999999999</v>
      </c>
      <c r="S19" s="207"/>
      <c r="T19" s="208"/>
      <c r="U19" s="204" t="n">
        <f aca="false">S7!D25</f>
        <v>2.28999999999996</v>
      </c>
      <c r="V19" s="207"/>
      <c r="W19" s="208"/>
      <c r="X19" s="204" t="n">
        <f aca="false">S7!E25</f>
        <v>1.80000000000001</v>
      </c>
      <c r="Y19" s="207"/>
      <c r="Z19" s="208"/>
    </row>
    <row r="20" customFormat="false" ht="15" hidden="false" customHeight="false" outlineLevel="0" collapsed="false">
      <c r="A20" s="203" t="s">
        <v>12</v>
      </c>
      <c r="B20" s="204" t="s">
        <v>319</v>
      </c>
      <c r="C20" s="204" t="n">
        <f aca="false">S8!B9</f>
        <v>3.108</v>
      </c>
      <c r="D20" s="207" t="n">
        <f aca="false">S8!B10-S8!B9</f>
        <v>-1.416</v>
      </c>
      <c r="E20" s="208" t="n">
        <f aca="false">D20/C21</f>
        <v>-0.836879432624118</v>
      </c>
      <c r="F20" s="204" t="n">
        <f aca="false">S8!C9</f>
        <v>5.27</v>
      </c>
      <c r="G20" s="207" t="n">
        <f aca="false">S8!C10-S8!C9</f>
        <v>3.58599999999992</v>
      </c>
      <c r="H20" s="208" t="n">
        <f aca="false">G20/F21</f>
        <v>0.40492321589882</v>
      </c>
      <c r="I20" s="204" t="n">
        <f aca="false">S8!D9</f>
        <v>4.35500000000001</v>
      </c>
      <c r="J20" s="207" t="n">
        <f aca="false">S8!D10-S8!D9</f>
        <v>-1.90699999999999</v>
      </c>
      <c r="K20" s="208" t="n">
        <f aca="false">J20/I21</f>
        <v>-0.779003267973843</v>
      </c>
      <c r="L20" s="204" t="n">
        <f aca="false">S8!E9</f>
        <v>2.587</v>
      </c>
      <c r="M20" s="207" t="n">
        <f aca="false">S8!E10-S8!E9</f>
        <v>-0.606999999999959</v>
      </c>
      <c r="N20" s="208" t="n">
        <f aca="false">M20/L21</f>
        <v>-0.306565656565629</v>
      </c>
      <c r="O20" s="204" t="n">
        <f aca="false">S8!B24</f>
        <v>2.842</v>
      </c>
      <c r="P20" s="211" t="n">
        <f aca="false">S8!B25-S8!B24</f>
        <v>0.258000000000028</v>
      </c>
      <c r="Q20" s="208" t="n">
        <f aca="false">P20/O21</f>
        <v>0.0832258064516212</v>
      </c>
      <c r="R20" s="204" t="n">
        <f aca="false">S8!C24</f>
        <v>3.051</v>
      </c>
      <c r="S20" s="211" t="n">
        <f aca="false">S8!C25-S8!C24</f>
        <v>-0.661000000000012</v>
      </c>
      <c r="T20" s="208" t="n">
        <f aca="false">S20/R21</f>
        <v>-0.27656903765691</v>
      </c>
      <c r="U20" s="204" t="n">
        <f aca="false">S8!D24</f>
        <v>3.11099999999999</v>
      </c>
      <c r="V20" s="211" t="n">
        <f aca="false">S8!D25-S8!D24</f>
        <v>-0.890999999999963</v>
      </c>
      <c r="W20" s="208" t="n">
        <f aca="false">V20/U21</f>
        <v>-0.40135135135133</v>
      </c>
      <c r="X20" s="204" t="n">
        <f aca="false">S8!E24</f>
        <v>3.13</v>
      </c>
      <c r="Y20" s="211" t="n">
        <f aca="false">S8!E25-S8!E24</f>
        <v>-1.29000000000002</v>
      </c>
      <c r="Z20" s="208" t="n">
        <f aca="false">Y20/X21</f>
        <v>-0.70108695652176</v>
      </c>
    </row>
    <row r="21" customFormat="false" ht="15" hidden="false" customHeight="false" outlineLevel="0" collapsed="false">
      <c r="A21" s="203"/>
      <c r="B21" s="204" t="s">
        <v>320</v>
      </c>
      <c r="C21" s="204" t="n">
        <f aca="false">S8!B10</f>
        <v>1.692</v>
      </c>
      <c r="D21" s="207"/>
      <c r="E21" s="208"/>
      <c r="F21" s="204" t="n">
        <f aca="false">S8!C10</f>
        <v>8.85599999999993</v>
      </c>
      <c r="G21" s="207"/>
      <c r="H21" s="208"/>
      <c r="I21" s="204" t="n">
        <f aca="false">S8!D10</f>
        <v>2.44800000000003</v>
      </c>
      <c r="J21" s="207"/>
      <c r="K21" s="208"/>
      <c r="L21" s="204" t="n">
        <f aca="false">S8!E10</f>
        <v>1.98000000000004</v>
      </c>
      <c r="M21" s="207"/>
      <c r="N21" s="208"/>
      <c r="O21" s="204" t="n">
        <f aca="false">S8!B25</f>
        <v>3.10000000000002</v>
      </c>
      <c r="P21" s="211"/>
      <c r="Q21" s="208"/>
      <c r="R21" s="204" t="n">
        <f aca="false">S8!C25</f>
        <v>2.38999999999999</v>
      </c>
      <c r="S21" s="211"/>
      <c r="T21" s="208"/>
      <c r="U21" s="204" t="n">
        <f aca="false">S8!D25</f>
        <v>2.22000000000003</v>
      </c>
      <c r="V21" s="211"/>
      <c r="W21" s="208"/>
      <c r="X21" s="204" t="n">
        <f aca="false">S8!E25</f>
        <v>1.83999999999998</v>
      </c>
      <c r="Y21" s="211"/>
      <c r="Z21" s="208"/>
    </row>
    <row r="22" customFormat="false" ht="15" hidden="false" customHeight="true" outlineLevel="0" collapsed="false">
      <c r="A22" s="203" t="s">
        <v>13</v>
      </c>
      <c r="B22" s="204" t="s">
        <v>319</v>
      </c>
      <c r="C22" s="204" t="n">
        <f aca="false">S9!B9</f>
        <v>4.21000000000001</v>
      </c>
      <c r="D22" s="207" t="n">
        <f aca="false">S9!B10-S9!B9</f>
        <v>-1.22199999999996</v>
      </c>
      <c r="E22" s="208" t="n">
        <f aca="false">D22/C23</f>
        <v>-0.408969210174011</v>
      </c>
      <c r="F22" s="204" t="n">
        <f aca="false">S9!C9</f>
        <v>6.879</v>
      </c>
      <c r="G22" s="207" t="n">
        <f aca="false">S9!C10-S9!C9</f>
        <v>3.23700000000001</v>
      </c>
      <c r="H22" s="208" t="n">
        <f aca="false">G22/F23</f>
        <v>0.319988137603796</v>
      </c>
      <c r="I22" s="204" t="n">
        <f aca="false">S9!D9</f>
        <v>6.514</v>
      </c>
      <c r="J22" s="207" t="n">
        <f aca="false">S9!D10-S9!D9</f>
        <v>-1.47399999999998</v>
      </c>
      <c r="K22" s="208" t="n">
        <f aca="false">J22/I23</f>
        <v>-0.292460317460311</v>
      </c>
      <c r="L22" s="204" t="n">
        <f aca="false">S9!E9</f>
        <v>3.678</v>
      </c>
      <c r="M22" s="207" t="n">
        <f aca="false">S9!E10-S9!E9</f>
        <v>-0.510000000000021</v>
      </c>
      <c r="N22" s="208" t="n">
        <f aca="false">M22/L23</f>
        <v>-0.160984848484856</v>
      </c>
      <c r="O22" s="212" t="n">
        <f aca="false">S9!B24</f>
        <v>3.99100000000001</v>
      </c>
      <c r="P22" s="211" t="n">
        <f aca="false">S9!B25-S9!B24</f>
        <v>0.0989999999999687</v>
      </c>
      <c r="Q22" s="208" t="n">
        <f aca="false">P22/O23</f>
        <v>0.0242053789730976</v>
      </c>
      <c r="R22" s="204" t="n">
        <f aca="false">S9!C24</f>
        <v>4.317</v>
      </c>
      <c r="S22" s="211" t="n">
        <f aca="false">S9!C25-S9!C24</f>
        <v>-0.627000000000063</v>
      </c>
      <c r="T22" s="208" t="n">
        <f aca="false">S22/R23</f>
        <v>-0.169918699187012</v>
      </c>
      <c r="U22" s="204" t="n">
        <f aca="false">S9!D24</f>
        <v>3.58400000000002</v>
      </c>
      <c r="V22" s="211" t="n">
        <f aca="false">S9!D25-S9!D24</f>
        <v>-0.674000000000049</v>
      </c>
      <c r="W22" s="208" t="n">
        <f aca="false">V22/U23</f>
        <v>-0.231615120274934</v>
      </c>
      <c r="X22" s="204" t="n">
        <f aca="false">S9!E24</f>
        <v>4.529</v>
      </c>
      <c r="Y22" s="211" t="n">
        <f aca="false">S9!E25-S9!E24</f>
        <v>-1.00899999999996</v>
      </c>
      <c r="Z22" s="208" t="n">
        <f aca="false">Y22/X23</f>
        <v>-0.286647727272713</v>
      </c>
    </row>
    <row r="23" customFormat="false" ht="15" hidden="false" customHeight="true" outlineLevel="0" collapsed="false">
      <c r="A23" s="203"/>
      <c r="B23" s="204" t="s">
        <v>320</v>
      </c>
      <c r="C23" s="213" t="n">
        <f aca="false">S9!B10</f>
        <v>2.98800000000005</v>
      </c>
      <c r="D23" s="207"/>
      <c r="E23" s="208"/>
      <c r="F23" s="213" t="n">
        <f aca="false">S9!C10</f>
        <v>10.116</v>
      </c>
      <c r="G23" s="207"/>
      <c r="H23" s="208"/>
      <c r="I23" s="213" t="n">
        <f aca="false">S9!D10</f>
        <v>5.04000000000002</v>
      </c>
      <c r="J23" s="207"/>
      <c r="K23" s="208"/>
      <c r="L23" s="213" t="n">
        <f aca="false">S9!E10</f>
        <v>3.16799999999998</v>
      </c>
      <c r="M23" s="207"/>
      <c r="N23" s="208"/>
      <c r="O23" s="213" t="n">
        <f aca="false">S9!B25</f>
        <v>4.08999999999998</v>
      </c>
      <c r="P23" s="211"/>
      <c r="Q23" s="208"/>
      <c r="R23" s="204" t="n">
        <f aca="false">S9!C25</f>
        <v>3.68999999999994</v>
      </c>
      <c r="S23" s="211"/>
      <c r="T23" s="208"/>
      <c r="U23" s="213" t="n">
        <f aca="false">S9!D25</f>
        <v>2.90999999999997</v>
      </c>
      <c r="V23" s="211"/>
      <c r="W23" s="208"/>
      <c r="X23" s="204" t="n">
        <f aca="false">S9!E25</f>
        <v>3.52000000000004</v>
      </c>
      <c r="Y23" s="211"/>
      <c r="Z23" s="208"/>
    </row>
    <row r="24" customFormat="false" ht="15" hidden="false" customHeight="false" outlineLevel="0" collapsed="false">
      <c r="A24" s="203" t="s">
        <v>14</v>
      </c>
      <c r="B24" s="204" t="s">
        <v>319</v>
      </c>
      <c r="C24" s="204" t="n">
        <f aca="false">S10!B9</f>
        <v>7.795</v>
      </c>
      <c r="D24" s="207" t="n">
        <f aca="false">S10!B10-S10!B9</f>
        <v>-0.270999999999982</v>
      </c>
      <c r="E24" s="208" t="n">
        <f aca="false">D24/C25</f>
        <v>-0.0360180754917573</v>
      </c>
      <c r="F24" s="204" t="n">
        <f aca="false">S10!C9</f>
        <v>10.535</v>
      </c>
      <c r="G24" s="207" t="n">
        <f aca="false">S10!C10-S10!C9</f>
        <v>3.61300000000003</v>
      </c>
      <c r="H24" s="208" t="n">
        <f aca="false">G24/F25</f>
        <v>0.25537178399774</v>
      </c>
      <c r="I24" s="204" t="n">
        <f aca="false">S10!D9</f>
        <v>11.279</v>
      </c>
      <c r="J24" s="207" t="n">
        <f aca="false">S10!D10-S10!D9</f>
        <v>-1.23500000000003</v>
      </c>
      <c r="K24" s="208" t="n">
        <f aca="false">J24/I25</f>
        <v>-0.122958980485865</v>
      </c>
      <c r="L24" s="204" t="n">
        <f aca="false">S10!E9</f>
        <v>6.82</v>
      </c>
      <c r="M24" s="207" t="n">
        <f aca="false">S10!E10-S10!E9</f>
        <v>-0.303999999999992</v>
      </c>
      <c r="N24" s="208" t="n">
        <f aca="false">M24/L25</f>
        <v>-0.0466543891958244</v>
      </c>
      <c r="O24" s="204" t="n">
        <f aca="false">S10!B24</f>
        <v>8.43099999999999</v>
      </c>
      <c r="P24" s="207" t="n">
        <f aca="false">S10!B25-S10!B24</f>
        <v>0.459000000000049</v>
      </c>
      <c r="Q24" s="208" t="n">
        <f aca="false">P24/O25</f>
        <v>0.0516310461192404</v>
      </c>
      <c r="R24" s="204" t="n">
        <f aca="false">S10!C24</f>
        <v>10.21</v>
      </c>
      <c r="S24" s="207" t="n">
        <f aca="false">S10!C25-S10!C24</f>
        <v>0.26000000000003</v>
      </c>
      <c r="T24" s="208" t="n">
        <f aca="false">S24/R25</f>
        <v>0.0248328557784173</v>
      </c>
      <c r="U24" s="204" t="n">
        <f aca="false">S10!D24</f>
        <v>7.65199999999999</v>
      </c>
      <c r="V24" s="207" t="n">
        <f aca="false">S10!D25-S10!D24</f>
        <v>-0.611999999999966</v>
      </c>
      <c r="W24" s="208" t="n">
        <f aca="false">V24/U25</f>
        <v>-0.0869318181818132</v>
      </c>
      <c r="X24" s="204" t="n">
        <f aca="false">S10!E24</f>
        <v>8.338</v>
      </c>
      <c r="Y24" s="207" t="n">
        <f aca="false">S10!E25-S10!E24</f>
        <v>-0.378000000000018</v>
      </c>
      <c r="Z24" s="208" t="n">
        <f aca="false">Y24/X25</f>
        <v>-0.047487437185932</v>
      </c>
    </row>
    <row r="25" customFormat="false" ht="15" hidden="false" customHeight="false" outlineLevel="0" collapsed="false">
      <c r="A25" s="203"/>
      <c r="B25" s="204" t="s">
        <v>320</v>
      </c>
      <c r="C25" s="213" t="n">
        <f aca="false">S10!B10</f>
        <v>7.52400000000001</v>
      </c>
      <c r="D25" s="207"/>
      <c r="E25" s="208"/>
      <c r="F25" s="213" t="n">
        <f aca="false">S10!C10</f>
        <v>14.148</v>
      </c>
      <c r="G25" s="207"/>
      <c r="H25" s="208"/>
      <c r="I25" s="213" t="n">
        <f aca="false">S10!D10</f>
        <v>10.044</v>
      </c>
      <c r="J25" s="207"/>
      <c r="K25" s="208"/>
      <c r="L25" s="213" t="n">
        <f aca="false">S10!E10</f>
        <v>6.51600000000001</v>
      </c>
      <c r="M25" s="207"/>
      <c r="N25" s="208"/>
      <c r="O25" s="213" t="n">
        <f aca="false">S10!B25</f>
        <v>8.89000000000004</v>
      </c>
      <c r="P25" s="207"/>
      <c r="Q25" s="208"/>
      <c r="R25" s="213" t="n">
        <f aca="false">S10!C25</f>
        <v>10.47</v>
      </c>
      <c r="S25" s="207"/>
      <c r="T25" s="208"/>
      <c r="U25" s="213" t="n">
        <f aca="false">S10!D25</f>
        <v>7.04000000000002</v>
      </c>
      <c r="V25" s="207"/>
      <c r="W25" s="208"/>
      <c r="X25" s="213" t="n">
        <f aca="false">S10!E25</f>
        <v>7.95999999999998</v>
      </c>
      <c r="Y25" s="207"/>
      <c r="Z25" s="208"/>
    </row>
    <row r="26" customFormat="false" ht="15" hidden="false" customHeight="false" outlineLevel="0" collapsed="false">
      <c r="A26" s="203" t="s">
        <v>15</v>
      </c>
      <c r="B26" s="204" t="s">
        <v>319</v>
      </c>
      <c r="C26" s="204" t="n">
        <f aca="false">S11!B9</f>
        <v>20.308</v>
      </c>
      <c r="D26" s="207" t="n">
        <f aca="false">S11!B10-S11!B9</f>
        <v>1.47199999999994</v>
      </c>
      <c r="E26" s="208" t="n">
        <f aca="false">D26/C27</f>
        <v>0.0675849403122104</v>
      </c>
      <c r="F26" s="204" t="n">
        <f aca="false">S11!C9</f>
        <v>25.484</v>
      </c>
      <c r="G26" s="207" t="n">
        <f aca="false">S11!C10-S11!C9</f>
        <v>3.67600000000009</v>
      </c>
      <c r="H26" s="208" t="n">
        <f aca="false">G26/F27</f>
        <v>0.126063100137177</v>
      </c>
      <c r="I26" s="204" t="n">
        <f aca="false">S11!D9</f>
        <v>25.783</v>
      </c>
      <c r="J26" s="207" t="n">
        <f aca="false">S11!D10-S11!D9</f>
        <v>1.21699999999999</v>
      </c>
      <c r="K26" s="208" t="n">
        <f aca="false">J26/I27</f>
        <v>0.0450740740740738</v>
      </c>
      <c r="L26" s="204" t="n">
        <f aca="false">S11!E9</f>
        <v>20.891</v>
      </c>
      <c r="M26" s="207" t="n">
        <f aca="false">S11!E10-S11!E9</f>
        <v>1.393</v>
      </c>
      <c r="N26" s="208" t="n">
        <f aca="false">M26/L27</f>
        <v>0.0625112188117034</v>
      </c>
      <c r="O26" s="204" t="n">
        <f aca="false">S11!B24</f>
        <v>20.351</v>
      </c>
      <c r="P26" s="207" t="n">
        <f aca="false">S11!B25-S11!B24</f>
        <v>1.41899999999999</v>
      </c>
      <c r="Q26" s="208" t="n">
        <f aca="false">P26/O27</f>
        <v>0.0651814423518601</v>
      </c>
      <c r="R26" s="204" t="n">
        <f aca="false">S11!C24</f>
        <v>24.073</v>
      </c>
      <c r="S26" s="207" t="n">
        <f aca="false">S11!C25-S11!C24</f>
        <v>1.85700000000005</v>
      </c>
      <c r="T26" s="208" t="n">
        <f aca="false">S26/R27</f>
        <v>0.0716158889317412</v>
      </c>
      <c r="U26" s="204" t="n">
        <f aca="false">S11!D24</f>
        <v>21.512</v>
      </c>
      <c r="V26" s="207" t="n">
        <f aca="false">S11!D25-S11!D24</f>
        <v>0.977999999999994</v>
      </c>
      <c r="W26" s="208" t="n">
        <f aca="false">V26/U27</f>
        <v>0.0434859937750109</v>
      </c>
      <c r="X26" s="204" t="n">
        <f aca="false">S11!E24</f>
        <v>22.524</v>
      </c>
      <c r="Y26" s="207" t="n">
        <f aca="false">S11!E25-S11!E24</f>
        <v>1.70600000000001</v>
      </c>
      <c r="Z26" s="208" t="n">
        <f aca="false">Y26/X27</f>
        <v>0.0704085843995053</v>
      </c>
    </row>
    <row r="27" customFormat="false" ht="15" hidden="false" customHeight="false" outlineLevel="0" collapsed="false">
      <c r="A27" s="203"/>
      <c r="B27" s="204" t="s">
        <v>320</v>
      </c>
      <c r="C27" s="204" t="n">
        <f aca="false">S11!B10</f>
        <v>21.7799999999999</v>
      </c>
      <c r="D27" s="207"/>
      <c r="E27" s="208"/>
      <c r="F27" s="204" t="n">
        <f aca="false">S11!C10</f>
        <v>29.1600000000001</v>
      </c>
      <c r="G27" s="207"/>
      <c r="H27" s="208"/>
      <c r="I27" s="204" t="n">
        <f aca="false">S11!D10</f>
        <v>27</v>
      </c>
      <c r="J27" s="207"/>
      <c r="K27" s="208"/>
      <c r="L27" s="204" t="n">
        <f aca="false">S11!E10</f>
        <v>22.284</v>
      </c>
      <c r="M27" s="207"/>
      <c r="N27" s="208"/>
      <c r="O27" s="204" t="n">
        <f aca="false">S11!B25</f>
        <v>21.77</v>
      </c>
      <c r="P27" s="207"/>
      <c r="Q27" s="208"/>
      <c r="R27" s="204" t="n">
        <f aca="false">S11!C25</f>
        <v>25.9300000000001</v>
      </c>
      <c r="S27" s="207"/>
      <c r="T27" s="208"/>
      <c r="U27" s="204" t="n">
        <f aca="false">S11!D25</f>
        <v>22.49</v>
      </c>
      <c r="V27" s="207"/>
      <c r="W27" s="208"/>
      <c r="X27" s="204" t="n">
        <f aca="false">S11!E25</f>
        <v>24.23</v>
      </c>
      <c r="Y27" s="207"/>
      <c r="Z27" s="208"/>
    </row>
    <row r="28" customFormat="false" ht="15" hidden="false" customHeight="false" outlineLevel="0" collapsed="false">
      <c r="A28" s="203" t="s">
        <v>4</v>
      </c>
      <c r="B28" s="204" t="s">
        <v>319</v>
      </c>
      <c r="C28" s="204" t="n">
        <f aca="false">S12!B9</f>
        <v>31.707</v>
      </c>
      <c r="D28" s="207" t="n">
        <f aca="false">S12!B10-S12!B9</f>
        <v>3.17700000000001</v>
      </c>
      <c r="E28" s="208" t="n">
        <f aca="false">D28/C29</f>
        <v>0.0910732714138291</v>
      </c>
      <c r="F28" s="204" t="n">
        <f aca="false">S12!C9</f>
        <v>38.125</v>
      </c>
      <c r="G28" s="207" t="n">
        <f aca="false">S12!C10-S12!C9</f>
        <v>4.31899999999988</v>
      </c>
      <c r="H28" s="208" t="n">
        <f aca="false">G28/F29</f>
        <v>0.101757610027328</v>
      </c>
      <c r="I28" s="204" t="n">
        <f aca="false">S12!D9</f>
        <v>36.703</v>
      </c>
      <c r="J28" s="207" t="n">
        <f aca="false">S12!D10-S12!D9</f>
        <v>2.35700000000009</v>
      </c>
      <c r="K28" s="208" t="n">
        <f aca="false">J28/I29</f>
        <v>0.0603430619559674</v>
      </c>
      <c r="L28" s="204" t="n">
        <f aca="false">S12!E9</f>
        <v>32.079</v>
      </c>
      <c r="M28" s="207" t="n">
        <f aca="false">S12!E10-S12!E9</f>
        <v>1.86899999999992</v>
      </c>
      <c r="N28" s="208" t="n">
        <f aca="false">M28/L29</f>
        <v>0.0550547896783294</v>
      </c>
      <c r="O28" s="204" t="n">
        <f aca="false">S12!B24</f>
        <v>31.788</v>
      </c>
      <c r="P28" s="207" t="n">
        <f aca="false">S12!B25-S12!B24</f>
        <v>2.50200000000002</v>
      </c>
      <c r="Q28" s="208" t="n">
        <f aca="false">P28/O29</f>
        <v>0.0729658792650923</v>
      </c>
      <c r="R28" s="204" t="n">
        <f aca="false">S12!C24</f>
        <v>33.627</v>
      </c>
      <c r="S28" s="207" t="n">
        <f aca="false">S12!C25-S12!C24</f>
        <v>2.79299999999997</v>
      </c>
      <c r="T28" s="208" t="n">
        <f aca="false">S28/R29</f>
        <v>0.0766886326194392</v>
      </c>
      <c r="U28" s="214" t="n">
        <f aca="false">S12!D24</f>
        <v>31.405</v>
      </c>
      <c r="V28" s="207" t="n">
        <f aca="false">S12!D25-S12!D24</f>
        <v>3.205</v>
      </c>
      <c r="W28" s="208" t="n">
        <f aca="false">V28/U29</f>
        <v>0.0926032938457092</v>
      </c>
      <c r="X28" s="214" t="n">
        <f aca="false">S12!E24</f>
        <v>33.045</v>
      </c>
      <c r="Y28" s="207" t="n">
        <f aca="false">S12!E25-S12!E24</f>
        <v>3.10499999999998</v>
      </c>
      <c r="Z28" s="208" t="n">
        <f aca="false">Y28/X29</f>
        <v>0.0858921161825722</v>
      </c>
    </row>
    <row r="29" customFormat="false" ht="15" hidden="false" customHeight="false" outlineLevel="0" collapsed="false">
      <c r="A29" s="203"/>
      <c r="B29" s="204" t="s">
        <v>320</v>
      </c>
      <c r="C29" s="213" t="n">
        <f aca="false">S12!B10</f>
        <v>34.884</v>
      </c>
      <c r="D29" s="207"/>
      <c r="E29" s="208"/>
      <c r="F29" s="213" t="n">
        <f aca="false">S12!C10</f>
        <v>42.4439999999999</v>
      </c>
      <c r="G29" s="207"/>
      <c r="H29" s="208"/>
      <c r="I29" s="213" t="n">
        <f aca="false">S12!D10</f>
        <v>39.0600000000001</v>
      </c>
      <c r="J29" s="207"/>
      <c r="K29" s="208"/>
      <c r="L29" s="213" t="n">
        <f aca="false">S12!E10</f>
        <v>33.9479999999999</v>
      </c>
      <c r="M29" s="207"/>
      <c r="N29" s="208"/>
      <c r="O29" s="213" t="n">
        <f aca="false">S12!B25</f>
        <v>34.29</v>
      </c>
      <c r="P29" s="207"/>
      <c r="Q29" s="208"/>
      <c r="R29" s="213" t="n">
        <f aca="false">S12!C25</f>
        <v>36.42</v>
      </c>
      <c r="S29" s="207"/>
      <c r="T29" s="208"/>
      <c r="U29" s="213" t="n">
        <f aca="false">S12!D25</f>
        <v>34.61</v>
      </c>
      <c r="V29" s="207"/>
      <c r="W29" s="208"/>
      <c r="X29" s="213" t="n">
        <f aca="false">S12!E25</f>
        <v>36.15</v>
      </c>
      <c r="Y29" s="207"/>
      <c r="Z29" s="208"/>
    </row>
    <row r="30" customFormat="false" ht="15.75" hidden="false" customHeight="false" outlineLevel="0" collapsed="false">
      <c r="A30" s="215"/>
      <c r="B30" s="216" t="s">
        <v>321</v>
      </c>
      <c r="C30" s="217"/>
      <c r="D30" s="218"/>
      <c r="E30" s="219"/>
      <c r="F30" s="220"/>
      <c r="G30" s="219"/>
      <c r="H30" s="219"/>
      <c r="I30" s="217"/>
      <c r="J30" s="219"/>
      <c r="K30" s="219"/>
      <c r="L30" s="221"/>
      <c r="M30" s="222"/>
      <c r="N30" s="222"/>
      <c r="O30" s="221"/>
      <c r="P30" s="222"/>
      <c r="Q30" s="222"/>
      <c r="R30" s="221"/>
      <c r="S30" s="222"/>
      <c r="T30" s="222"/>
      <c r="U30" s="221"/>
      <c r="V30" s="222"/>
      <c r="W30" s="222"/>
      <c r="X30" s="221"/>
      <c r="Y30" s="222"/>
      <c r="Z30" s="222"/>
    </row>
    <row r="31" s="223" customFormat="true" ht="15.75" hidden="false" customHeight="false" outlineLevel="0" collapsed="false">
      <c r="A31" s="223" t="s">
        <v>322</v>
      </c>
      <c r="D31" s="223" t="n">
        <f aca="false">SUM(D6:D29)</f>
        <v>2.55200000000002</v>
      </c>
      <c r="G31" s="223" t="n">
        <f aca="false">SUM(G6:G29)</f>
        <v>43.999</v>
      </c>
      <c r="I31" s="224"/>
      <c r="J31" s="224" t="n">
        <f aca="false">SUM(J6:J29)</f>
        <v>-4.39199999999998</v>
      </c>
      <c r="K31" s="224"/>
      <c r="M31" s="223" t="n">
        <f aca="false">SUM(M6:M29)</f>
        <v>17.5309999999999</v>
      </c>
      <c r="P31" s="223" t="n">
        <f aca="false">SUM(P6:P29)</f>
        <v>9.483</v>
      </c>
      <c r="S31" s="223" t="n">
        <f aca="false">SUM(S6:S29)</f>
        <v>10.101</v>
      </c>
      <c r="V31" s="223" t="n">
        <f aca="false">SUM(V6:V29)</f>
        <v>-6.26300000000003</v>
      </c>
      <c r="Y31" s="223" t="n">
        <f aca="false">SUM(Y6:Y29)</f>
        <v>3.11500000000002</v>
      </c>
    </row>
    <row r="32" customFormat="false" ht="6.75" hidden="false" customHeight="true" outlineLevel="0" collapsed="false">
      <c r="I32" s="225"/>
      <c r="J32" s="225"/>
      <c r="K32" s="225"/>
    </row>
    <row r="33" s="226" customFormat="true" ht="15.75" hidden="false" customHeight="false" outlineLevel="0" collapsed="false">
      <c r="A33" s="223" t="s">
        <v>323</v>
      </c>
      <c r="D33" s="227" t="n">
        <f aca="false">(D6+D8+D10+D12+D14+D16+D18+D20+D22+D24+D26+D28)/(C7+C9+C11+C13+C15+C17+C19+C21+C23+C25+C27+C29)</f>
        <v>0.0146525194065501</v>
      </c>
      <c r="G33" s="227" t="n">
        <f aca="false">(G6+G8+G10+G12+G14+G16+G18+G20+G22+G24+G26+G28)/(F7+F9+F11+F13+F15+F17+F19+F21+F23+F25+F27+F29)</f>
        <v>0.16354803217509</v>
      </c>
      <c r="J33" s="227" t="n">
        <f aca="false">(J6+J8+J10+J12+J14+J16+J18+J20+J22+J24+J26+J28)/(I7+I9+I11+I13+I15+I17+I19+I21+I23+I25+I27+I29)</f>
        <v>-0.0210236084783731</v>
      </c>
      <c r="M33" s="227" t="n">
        <f aca="false">(M6+M8+M10+M12+M14+M16+M18+M20+M22+M24+M26+M28)/(L7+L9+L11+L13+L15+L17+L19+L21+L23+L25+L27+L29)</f>
        <v>0.0944476769244026</v>
      </c>
      <c r="P33" s="227" t="n">
        <f aca="false">(P6+P8+P10+P12+P14+P16+P18+P20+P22+P24+P26+P28)/(O7+O9+O11+O13+O15+O17+O19+O21+O23+O25+O27+O29)</f>
        <v>0.0517687520471667</v>
      </c>
      <c r="S33" s="227" t="n">
        <f aca="false">(S6+S8+S10+S12+S14+S16+S18+S20+S22+S24+S26+S28)/(R7+R9+R11+R13+R15+R17+R19+R21+R23+R25+R27+R29)</f>
        <v>0.0485671699201847</v>
      </c>
      <c r="V33" s="227" t="n">
        <f aca="false">(V6+V8+V10+V12+V14+V16+V18+V20+V22+V24+V26+V28)/(U7+U9+U11+U13+U15+U17+U19+U21+U23+U25+U27+U29)</f>
        <v>-0.0344007470064816</v>
      </c>
      <c r="Y33" s="227" t="n">
        <f aca="false">(Y6+Y8+Y10+Y12+Y14+Y16+Y18+Y20+Y22+Y24+Y26+Y28)/(X7+X9+X11+X13+X15+X17+X19+X21+X23+X25+X27+X29)</f>
        <v>0.0170404814004377</v>
      </c>
    </row>
    <row r="34" s="228" customFormat="true" ht="15" hidden="false" customHeight="false" outlineLevel="0" collapsed="false">
      <c r="D34" s="228" t="n">
        <v>1850</v>
      </c>
      <c r="G34" s="228" t="n">
        <v>1851</v>
      </c>
      <c r="I34" s="229"/>
      <c r="J34" s="229" t="n">
        <v>1852</v>
      </c>
      <c r="K34" s="229"/>
      <c r="M34" s="228" t="n">
        <v>1853</v>
      </c>
      <c r="P34" s="228" t="n">
        <v>1854</v>
      </c>
      <c r="S34" s="228" t="n">
        <v>1855</v>
      </c>
      <c r="V34" s="228" t="n">
        <v>1856</v>
      </c>
      <c r="Y34" s="228" t="n">
        <v>1857</v>
      </c>
    </row>
    <row r="38" customFormat="false" ht="15" hidden="false" customHeight="false" outlineLevel="0" collapsed="false">
      <c r="A38" s="230"/>
    </row>
    <row r="39" customFormat="false" ht="15" hidden="false" customHeight="false" outlineLevel="0" collapsed="false">
      <c r="A39" s="231"/>
    </row>
    <row r="40" customFormat="false" ht="15" hidden="false" customHeight="false" outlineLevel="0" collapsed="false">
      <c r="A40" s="230"/>
    </row>
  </sheetData>
  <mergeCells count="213">
    <mergeCell ref="A4:B5"/>
    <mergeCell ref="C4:E4"/>
    <mergeCell ref="F4:H4"/>
    <mergeCell ref="I4:K4"/>
    <mergeCell ref="L4:N4"/>
    <mergeCell ref="O4:Q4"/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M6:M7"/>
    <mergeCell ref="N6:N7"/>
    <mergeCell ref="P6:P7"/>
    <mergeCell ref="Q6:Q7"/>
    <mergeCell ref="S6:S7"/>
    <mergeCell ref="T6:T7"/>
    <mergeCell ref="V6:V7"/>
    <mergeCell ref="W6:W7"/>
    <mergeCell ref="Y6:Y7"/>
    <mergeCell ref="Z6:Z7"/>
    <mergeCell ref="A8:A9"/>
    <mergeCell ref="D8:D9"/>
    <mergeCell ref="E8:E9"/>
    <mergeCell ref="G8:G9"/>
    <mergeCell ref="H8:H9"/>
    <mergeCell ref="J8:J9"/>
    <mergeCell ref="K8:K9"/>
    <mergeCell ref="M8:M9"/>
    <mergeCell ref="N8:N9"/>
    <mergeCell ref="P8:P9"/>
    <mergeCell ref="Q8:Q9"/>
    <mergeCell ref="S8:S9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J10:J11"/>
    <mergeCell ref="K10:K11"/>
    <mergeCell ref="M10:M11"/>
    <mergeCell ref="N10:N11"/>
    <mergeCell ref="P10:P11"/>
    <mergeCell ref="Q10:Q11"/>
    <mergeCell ref="S10:S11"/>
    <mergeCell ref="T10:T11"/>
    <mergeCell ref="V10:V11"/>
    <mergeCell ref="W10:W11"/>
    <mergeCell ref="Y10:Y11"/>
    <mergeCell ref="Z10:Z11"/>
    <mergeCell ref="A12:A13"/>
    <mergeCell ref="D12:D13"/>
    <mergeCell ref="E12:E13"/>
    <mergeCell ref="G12:G13"/>
    <mergeCell ref="H12:H13"/>
    <mergeCell ref="J12:J13"/>
    <mergeCell ref="K12:K13"/>
    <mergeCell ref="M12:M13"/>
    <mergeCell ref="N12:N13"/>
    <mergeCell ref="P12:P13"/>
    <mergeCell ref="Q12:Q13"/>
    <mergeCell ref="S12:S13"/>
    <mergeCell ref="T12:T13"/>
    <mergeCell ref="V12:V13"/>
    <mergeCell ref="W12:W13"/>
    <mergeCell ref="Y12:Y13"/>
    <mergeCell ref="Z12:Z13"/>
    <mergeCell ref="A14:A15"/>
    <mergeCell ref="D14:D15"/>
    <mergeCell ref="E14:E15"/>
    <mergeCell ref="G14:G15"/>
    <mergeCell ref="H14:H15"/>
    <mergeCell ref="J14:J15"/>
    <mergeCell ref="K14:K15"/>
    <mergeCell ref="M14:M15"/>
    <mergeCell ref="N14:N15"/>
    <mergeCell ref="P14:P15"/>
    <mergeCell ref="Q14:Q15"/>
    <mergeCell ref="S14:S15"/>
    <mergeCell ref="T14:T15"/>
    <mergeCell ref="V14:V15"/>
    <mergeCell ref="W14:W15"/>
    <mergeCell ref="Y14:Y15"/>
    <mergeCell ref="Z14:Z15"/>
    <mergeCell ref="A16:A17"/>
    <mergeCell ref="D16:D17"/>
    <mergeCell ref="E16:E17"/>
    <mergeCell ref="G16:G17"/>
    <mergeCell ref="H16:H17"/>
    <mergeCell ref="J16:J17"/>
    <mergeCell ref="K16:K17"/>
    <mergeCell ref="M16:M17"/>
    <mergeCell ref="N16:N17"/>
    <mergeCell ref="P16:P17"/>
    <mergeCell ref="Q16:Q17"/>
    <mergeCell ref="S16:S17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J18:J19"/>
    <mergeCell ref="K18:K19"/>
    <mergeCell ref="M18:M19"/>
    <mergeCell ref="N18:N19"/>
    <mergeCell ref="P18:P19"/>
    <mergeCell ref="Q18:Q19"/>
    <mergeCell ref="S18:S19"/>
    <mergeCell ref="T18:T19"/>
    <mergeCell ref="V18:V19"/>
    <mergeCell ref="W18:W19"/>
    <mergeCell ref="Y18:Y19"/>
    <mergeCell ref="Z18:Z19"/>
    <mergeCell ref="A20:A21"/>
    <mergeCell ref="D20:D21"/>
    <mergeCell ref="E20:E21"/>
    <mergeCell ref="G20:G21"/>
    <mergeCell ref="H20:H21"/>
    <mergeCell ref="J20:J21"/>
    <mergeCell ref="K20:K21"/>
    <mergeCell ref="M20:M21"/>
    <mergeCell ref="N20:N21"/>
    <mergeCell ref="P20:P21"/>
    <mergeCell ref="Q20:Q21"/>
    <mergeCell ref="S20:S21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J22:J23"/>
    <mergeCell ref="K22:K23"/>
    <mergeCell ref="M22:M23"/>
    <mergeCell ref="N22:N23"/>
    <mergeCell ref="P22:P23"/>
    <mergeCell ref="Q22:Q23"/>
    <mergeCell ref="S22:S23"/>
    <mergeCell ref="T22:T23"/>
    <mergeCell ref="V22:V23"/>
    <mergeCell ref="W22:W23"/>
    <mergeCell ref="Y22:Y23"/>
    <mergeCell ref="Z22:Z23"/>
    <mergeCell ref="A24:A25"/>
    <mergeCell ref="D24:D25"/>
    <mergeCell ref="E24:E25"/>
    <mergeCell ref="G24:G25"/>
    <mergeCell ref="H24:H25"/>
    <mergeCell ref="J24:J25"/>
    <mergeCell ref="K24:K25"/>
    <mergeCell ref="M24:M25"/>
    <mergeCell ref="N24:N25"/>
    <mergeCell ref="P24:P25"/>
    <mergeCell ref="Q24:Q25"/>
    <mergeCell ref="S24:S25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J26:J27"/>
    <mergeCell ref="K26:K27"/>
    <mergeCell ref="M26:M27"/>
    <mergeCell ref="N26:N27"/>
    <mergeCell ref="P26:P27"/>
    <mergeCell ref="Q26:Q27"/>
    <mergeCell ref="S26:S27"/>
    <mergeCell ref="T26:T27"/>
    <mergeCell ref="V26:V27"/>
    <mergeCell ref="W26:W27"/>
    <mergeCell ref="Y26:Y27"/>
    <mergeCell ref="Z26:Z27"/>
    <mergeCell ref="A28:A29"/>
    <mergeCell ref="D28:D29"/>
    <mergeCell ref="E28:E29"/>
    <mergeCell ref="G28:G29"/>
    <mergeCell ref="H28:H29"/>
    <mergeCell ref="J28:J29"/>
    <mergeCell ref="K28:K29"/>
    <mergeCell ref="M28:M29"/>
    <mergeCell ref="N28:N29"/>
    <mergeCell ref="P28:P29"/>
    <mergeCell ref="Q28:Q29"/>
    <mergeCell ref="S28:S29"/>
    <mergeCell ref="T28:T29"/>
    <mergeCell ref="V28:V29"/>
    <mergeCell ref="W28:W29"/>
    <mergeCell ref="Y28:Y29"/>
    <mergeCell ref="Z28:Z29"/>
  </mergeCells>
  <printOptions headings="false" gridLines="false" gridLinesSet="true" horizontalCentered="true" verticalCentered="true"/>
  <pageMargins left="0" right="0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8" activeCellId="0" sqref="A28"/>
    </sheetView>
  </sheetViews>
  <sheetFormatPr defaultColWidth="9.1484375" defaultRowHeight="15" zeroHeight="false" outlineLevelRow="0" outlineLevelCol="0"/>
  <cols>
    <col collapsed="false" customWidth="false" hidden="false" outlineLevel="0" max="1" min="1" style="194" width="9.14"/>
    <col collapsed="false" customWidth="true" hidden="false" outlineLevel="0" max="2" min="2" style="194" width="10.29"/>
    <col collapsed="false" customWidth="true" hidden="false" outlineLevel="0" max="4" min="3" style="194" width="7"/>
    <col collapsed="false" customWidth="true" hidden="false" outlineLevel="0" max="5" min="5" style="194" width="9"/>
    <col collapsed="false" customWidth="true" hidden="false" outlineLevel="0" max="7" min="6" style="194" width="7"/>
    <col collapsed="false" customWidth="true" hidden="false" outlineLevel="0" max="8" min="8" style="194" width="7.71"/>
    <col collapsed="false" customWidth="true" hidden="false" outlineLevel="0" max="9" min="9" style="194" width="7"/>
    <col collapsed="false" customWidth="true" hidden="false" outlineLevel="0" max="10" min="10" style="194" width="6.85"/>
    <col collapsed="false" customWidth="true" hidden="false" outlineLevel="0" max="11" min="11" style="194" width="9"/>
    <col collapsed="false" customWidth="true" hidden="false" outlineLevel="0" max="19" min="12" style="194" width="7"/>
    <col collapsed="false" customWidth="true" hidden="false" outlineLevel="0" max="20" min="20" style="194" width="7.71"/>
    <col collapsed="false" customWidth="true" hidden="false" outlineLevel="0" max="22" min="21" style="194" width="7"/>
    <col collapsed="false" customWidth="true" hidden="false" outlineLevel="0" max="23" min="23" style="194" width="8"/>
    <col collapsed="false" customWidth="true" hidden="false" outlineLevel="0" max="26" min="24" style="194" width="7"/>
    <col collapsed="false" customWidth="false" hidden="false" outlineLevel="0" max="16384" min="27" style="194" width="9.14"/>
  </cols>
  <sheetData>
    <row r="1" customFormat="false" ht="18.75" hidden="false" customHeight="false" outlineLevel="0" collapsed="false">
      <c r="A1" s="195" t="s">
        <v>315</v>
      </c>
    </row>
    <row r="2" customFormat="false" ht="11.25" hidden="false" customHeight="true" outlineLevel="0" collapsed="false">
      <c r="A2" s="195"/>
    </row>
    <row r="3" customFormat="false" ht="15" hidden="true" customHeight="false" outlineLevel="0" collapsed="false">
      <c r="C3" s="194" t="n">
        <v>1850</v>
      </c>
      <c r="F3" s="194" t="n">
        <v>51</v>
      </c>
      <c r="I3" s="194" t="n">
        <v>52</v>
      </c>
      <c r="L3" s="194" t="n">
        <v>53</v>
      </c>
      <c r="O3" s="194" t="n">
        <v>54</v>
      </c>
      <c r="R3" s="194" t="n">
        <v>55</v>
      </c>
      <c r="U3" s="194" t="n">
        <v>56</v>
      </c>
      <c r="X3" s="194" t="n">
        <v>57</v>
      </c>
    </row>
    <row r="4" s="199" customFormat="true" ht="18.75" hidden="false" customHeight="false" outlineLevel="0" collapsed="false">
      <c r="A4" s="196"/>
      <c r="B4" s="196"/>
      <c r="C4" s="197" t="n">
        <v>1850</v>
      </c>
      <c r="D4" s="197"/>
      <c r="E4" s="197"/>
      <c r="F4" s="197" t="n">
        <v>1851</v>
      </c>
      <c r="G4" s="197"/>
      <c r="H4" s="197"/>
      <c r="I4" s="197" t="n">
        <v>1852</v>
      </c>
      <c r="J4" s="197"/>
      <c r="K4" s="197"/>
      <c r="L4" s="197" t="n">
        <v>1853</v>
      </c>
      <c r="M4" s="197"/>
      <c r="N4" s="197"/>
      <c r="O4" s="197" t="n">
        <v>1854</v>
      </c>
      <c r="P4" s="197"/>
      <c r="Q4" s="197"/>
      <c r="R4" s="197" t="n">
        <v>1855</v>
      </c>
      <c r="S4" s="197"/>
      <c r="T4" s="197"/>
      <c r="U4" s="197" t="n">
        <v>1856</v>
      </c>
      <c r="V4" s="197"/>
      <c r="W4" s="197"/>
      <c r="X4" s="197" t="n">
        <v>1857</v>
      </c>
      <c r="Y4" s="197"/>
      <c r="Z4" s="197"/>
      <c r="AA4" s="198"/>
    </row>
    <row r="5" customFormat="false" ht="30" hidden="false" customHeight="false" outlineLevel="0" collapsed="false">
      <c r="A5" s="196"/>
      <c r="B5" s="196"/>
      <c r="C5" s="200" t="s">
        <v>316</v>
      </c>
      <c r="D5" s="201" t="s">
        <v>317</v>
      </c>
      <c r="E5" s="201" t="s">
        <v>318</v>
      </c>
      <c r="F5" s="200" t="s">
        <v>316</v>
      </c>
      <c r="G5" s="201" t="s">
        <v>317</v>
      </c>
      <c r="H5" s="201" t="s">
        <v>318</v>
      </c>
      <c r="I5" s="200" t="s">
        <v>316</v>
      </c>
      <c r="J5" s="201" t="s">
        <v>317</v>
      </c>
      <c r="K5" s="201" t="s">
        <v>318</v>
      </c>
      <c r="L5" s="200" t="s">
        <v>316</v>
      </c>
      <c r="M5" s="201" t="s">
        <v>317</v>
      </c>
      <c r="N5" s="201" t="s">
        <v>318</v>
      </c>
      <c r="O5" s="200" t="s">
        <v>316</v>
      </c>
      <c r="P5" s="201" t="s">
        <v>317</v>
      </c>
      <c r="Q5" s="201" t="s">
        <v>318</v>
      </c>
      <c r="R5" s="200" t="s">
        <v>316</v>
      </c>
      <c r="S5" s="201" t="s">
        <v>317</v>
      </c>
      <c r="T5" s="201" t="s">
        <v>318</v>
      </c>
      <c r="U5" s="200" t="s">
        <v>316</v>
      </c>
      <c r="V5" s="201" t="s">
        <v>317</v>
      </c>
      <c r="W5" s="201" t="s">
        <v>318</v>
      </c>
      <c r="X5" s="200" t="s">
        <v>316</v>
      </c>
      <c r="Y5" s="201" t="s">
        <v>317</v>
      </c>
      <c r="Z5" s="201" t="s">
        <v>318</v>
      </c>
      <c r="AA5" s="202"/>
    </row>
    <row r="6" customFormat="false" ht="15" hidden="false" customHeight="false" outlineLevel="0" collapsed="false">
      <c r="A6" s="203" t="s">
        <v>5</v>
      </c>
      <c r="B6" s="204" t="s">
        <v>319</v>
      </c>
      <c r="C6" s="204" t="n">
        <f aca="false">S1!B9</f>
        <v>33.448</v>
      </c>
      <c r="D6" s="210" t="n">
        <f aca="false">S1!B10-S1!B9</f>
        <v>2.62400000000004</v>
      </c>
      <c r="E6" s="208" t="n">
        <f aca="false">D6/C7</f>
        <v>0.0727434020847204</v>
      </c>
      <c r="F6" s="204" t="n">
        <f aca="false">S1!C9</f>
        <v>41.724</v>
      </c>
      <c r="G6" s="210" t="n">
        <f aca="false">S1!C10-S1!C9</f>
        <v>4.50000000000001</v>
      </c>
      <c r="H6" s="208" t="n">
        <f aca="false">G6/F7</f>
        <v>0.0973520249221187</v>
      </c>
      <c r="I6" s="204" t="n">
        <f aca="false">S1!D9</f>
        <v>38.167</v>
      </c>
      <c r="J6" s="210" t="n">
        <f aca="false">S1!D10-S1!D9</f>
        <v>2.18899999999993</v>
      </c>
      <c r="K6" s="208" t="n">
        <f aca="false">J6/I7</f>
        <v>0.0542422440281478</v>
      </c>
      <c r="L6" s="204" t="n">
        <f aca="false">S1!E9</f>
        <v>32.972</v>
      </c>
      <c r="M6" s="210" t="n">
        <f aca="false">S1!E10-S1!E9</f>
        <v>2.77599999999993</v>
      </c>
      <c r="N6" s="208" t="n">
        <f aca="false">M6/L7</f>
        <v>0.0776546939688916</v>
      </c>
      <c r="O6" s="204" t="n">
        <f aca="false">S1!B24</f>
        <v>33.318</v>
      </c>
      <c r="P6" s="210" t="n">
        <f aca="false">S1!B25-S1!B24</f>
        <v>2.05200000000001</v>
      </c>
      <c r="Q6" s="208" t="n">
        <f aca="false">P6/O7</f>
        <v>0.0580152671755727</v>
      </c>
      <c r="R6" s="204" t="n">
        <f aca="false">S1!C24</f>
        <v>39.27</v>
      </c>
      <c r="S6" s="210" t="n">
        <f aca="false">S1!C25-S1!C24</f>
        <v>3.08000000000002</v>
      </c>
      <c r="T6" s="208" t="n">
        <f aca="false">S6/R7</f>
        <v>0.0727272727272732</v>
      </c>
      <c r="U6" s="204" t="n">
        <f aca="false">S1!D24</f>
        <v>34.779</v>
      </c>
      <c r="V6" s="210" t="n">
        <f aca="false">S1!D25-S1!D24</f>
        <v>2.97099999999999</v>
      </c>
      <c r="W6" s="208" t="n">
        <f aca="false">V6/U7</f>
        <v>0.0787019867549666</v>
      </c>
      <c r="X6" s="204" t="n">
        <f aca="false">S1!E24</f>
        <v>35.323</v>
      </c>
      <c r="Y6" s="210" t="n">
        <f aca="false">S1!E25-S1!E24</f>
        <v>3.36699999999999</v>
      </c>
      <c r="Z6" s="208" t="n">
        <f aca="false">Y6/X7</f>
        <v>0.0870250710777976</v>
      </c>
    </row>
    <row r="7" customFormat="false" ht="15" hidden="false" customHeight="false" outlineLevel="0" collapsed="false">
      <c r="A7" s="203"/>
      <c r="B7" s="204" t="s">
        <v>320</v>
      </c>
      <c r="C7" s="204" t="n">
        <f aca="false">S1!B10</f>
        <v>36.072</v>
      </c>
      <c r="D7" s="210"/>
      <c r="E7" s="208"/>
      <c r="F7" s="204" t="n">
        <f aca="false">S1!C10</f>
        <v>46.224</v>
      </c>
      <c r="G7" s="210"/>
      <c r="H7" s="208"/>
      <c r="I7" s="204" t="n">
        <f aca="false">S1!D10</f>
        <v>40.3559999999999</v>
      </c>
      <c r="J7" s="210"/>
      <c r="K7" s="208"/>
      <c r="L7" s="204" t="n">
        <f aca="false">S1!E10</f>
        <v>35.7479999999999</v>
      </c>
      <c r="M7" s="210"/>
      <c r="N7" s="208"/>
      <c r="O7" s="204" t="n">
        <f aca="false">S1!B25</f>
        <v>35.37</v>
      </c>
      <c r="P7" s="210"/>
      <c r="Q7" s="208"/>
      <c r="R7" s="204" t="n">
        <f aca="false">S1!C25</f>
        <v>42.35</v>
      </c>
      <c r="S7" s="210"/>
      <c r="T7" s="208"/>
      <c r="U7" s="204" t="n">
        <f aca="false">S1!D25</f>
        <v>37.75</v>
      </c>
      <c r="V7" s="210"/>
      <c r="W7" s="208"/>
      <c r="X7" s="204" t="n">
        <f aca="false">S1!E25</f>
        <v>38.69</v>
      </c>
      <c r="Y7" s="210"/>
      <c r="Z7" s="208"/>
    </row>
    <row r="8" customFormat="false" ht="15" hidden="false" customHeight="false" outlineLevel="0" collapsed="false">
      <c r="A8" s="203" t="s">
        <v>6</v>
      </c>
      <c r="B8" s="204" t="s">
        <v>319</v>
      </c>
      <c r="C8" s="204" t="n">
        <f aca="false">S2!B9</f>
        <v>24.862</v>
      </c>
      <c r="D8" s="207" t="n">
        <f aca="false">S2!B10-S2!B9</f>
        <v>1.63399999999995</v>
      </c>
      <c r="E8" s="208" t="n">
        <f aca="false">D8/C9</f>
        <v>0.0616696859903363</v>
      </c>
      <c r="F8" s="209" t="n">
        <f aca="false">S2!C9</f>
        <v>31.042</v>
      </c>
      <c r="G8" s="207" t="n">
        <f aca="false">S2!C10-S2!C9</f>
        <v>3.66199999999996</v>
      </c>
      <c r="H8" s="208" t="n">
        <f aca="false">G8/F9</f>
        <v>0.105520977408943</v>
      </c>
      <c r="I8" s="209" t="n">
        <f aca="false">S2!D9</f>
        <v>28.514</v>
      </c>
      <c r="J8" s="207" t="n">
        <f aca="false">S2!D10-S2!D9</f>
        <v>0.286000000000005</v>
      </c>
      <c r="K8" s="208" t="n">
        <f aca="false">J8/I9</f>
        <v>0.00993055555555573</v>
      </c>
      <c r="L8" s="209" t="n">
        <f aca="false">S2!E9</f>
        <v>25.198</v>
      </c>
      <c r="M8" s="207" t="n">
        <f aca="false">S2!E10-S2!E9</f>
        <v>2.12600000000001</v>
      </c>
      <c r="N8" s="208" t="n">
        <f aca="false">M8/L9</f>
        <v>0.077807056067926</v>
      </c>
      <c r="O8" s="209" t="n">
        <f aca="false">S2!B24</f>
        <v>25.531</v>
      </c>
      <c r="P8" s="207" t="n">
        <f aca="false">S2!B25-S2!B24</f>
        <v>1.85899999999997</v>
      </c>
      <c r="Q8" s="208" t="n">
        <f aca="false">P8/O9</f>
        <v>0.067871485943774</v>
      </c>
      <c r="R8" s="209" t="n">
        <f aca="false">S2!C24</f>
        <v>28.52</v>
      </c>
      <c r="S8" s="207" t="n">
        <f aca="false">S2!C25-S2!C24</f>
        <v>2.31999999999998</v>
      </c>
      <c r="T8" s="208" t="n">
        <f aca="false">S8/R9</f>
        <v>0.0752269779507126</v>
      </c>
      <c r="U8" s="209" t="n">
        <f aca="false">S2!D24</f>
        <v>26.347</v>
      </c>
      <c r="V8" s="207" t="n">
        <f aca="false">S2!D25-S2!D24</f>
        <v>1.343</v>
      </c>
      <c r="W8" s="208" t="n">
        <f aca="false">V8/U9</f>
        <v>0.0485012639942219</v>
      </c>
      <c r="X8" s="209" t="n">
        <f aca="false">S2!E24</f>
        <v>25.238</v>
      </c>
      <c r="Y8" s="207" t="n">
        <f aca="false">S2!E25-S2!E24</f>
        <v>1.202</v>
      </c>
      <c r="Z8" s="208" t="n">
        <f aca="false">Y8/X9</f>
        <v>0.0454614220877458</v>
      </c>
    </row>
    <row r="9" customFormat="false" ht="15" hidden="false" customHeight="false" outlineLevel="0" collapsed="false">
      <c r="A9" s="203"/>
      <c r="B9" s="204" t="s">
        <v>320</v>
      </c>
      <c r="C9" s="209" t="n">
        <f aca="false">S2!B10</f>
        <v>26.496</v>
      </c>
      <c r="D9" s="207"/>
      <c r="E9" s="208"/>
      <c r="F9" s="209" t="n">
        <f aca="false">S2!C10</f>
        <v>34.704</v>
      </c>
      <c r="G9" s="207"/>
      <c r="H9" s="208"/>
      <c r="I9" s="209" t="n">
        <f aca="false">S2!D10</f>
        <v>28.8</v>
      </c>
      <c r="J9" s="207"/>
      <c r="K9" s="208"/>
      <c r="L9" s="209" t="n">
        <f aca="false">S2!E10</f>
        <v>27.324</v>
      </c>
      <c r="M9" s="207"/>
      <c r="N9" s="208"/>
      <c r="O9" s="209" t="n">
        <f aca="false">S2!B25</f>
        <v>27.39</v>
      </c>
      <c r="P9" s="207"/>
      <c r="Q9" s="208"/>
      <c r="R9" s="209" t="n">
        <f aca="false">S2!C25</f>
        <v>30.84</v>
      </c>
      <c r="S9" s="207"/>
      <c r="T9" s="208"/>
      <c r="U9" s="209" t="n">
        <f aca="false">S2!D25</f>
        <v>27.69</v>
      </c>
      <c r="V9" s="207"/>
      <c r="W9" s="208"/>
      <c r="X9" s="209" t="n">
        <f aca="false">S2!E25</f>
        <v>26.44</v>
      </c>
      <c r="Y9" s="207"/>
      <c r="Z9" s="208"/>
    </row>
    <row r="10" customFormat="false" ht="15" hidden="false" customHeight="false" outlineLevel="0" collapsed="false">
      <c r="A10" s="203" t="s">
        <v>7</v>
      </c>
      <c r="B10" s="204" t="s">
        <v>319</v>
      </c>
      <c r="C10" s="204" t="n">
        <f aca="false">S3!B9</f>
        <v>19.642</v>
      </c>
      <c r="D10" s="207" t="n">
        <f aca="false">S3!B10-S3!B9</f>
        <v>0.698000000000025</v>
      </c>
      <c r="E10" s="208" t="n">
        <f aca="false">D10/C11</f>
        <v>0.0343166175024594</v>
      </c>
      <c r="F10" s="209" t="n">
        <f aca="false">S3!C9</f>
        <v>26.406</v>
      </c>
      <c r="G10" s="207" t="n">
        <f aca="false">S3!C10-S3!C9</f>
        <v>3.65400000000009</v>
      </c>
      <c r="H10" s="208" t="n">
        <f aca="false">G10/F11</f>
        <v>0.121556886227547</v>
      </c>
      <c r="I10" s="209" t="n">
        <f aca="false">S3!D9</f>
        <v>24.634</v>
      </c>
      <c r="J10" s="207" t="n">
        <f aca="false">S3!D10-S3!D9</f>
        <v>-0.153999999999954</v>
      </c>
      <c r="K10" s="208" t="n">
        <f aca="false">J10/I11</f>
        <v>-0.00629084967320071</v>
      </c>
      <c r="L10" s="209" t="n">
        <f aca="false">S3!E9</f>
        <v>20.22</v>
      </c>
      <c r="M10" s="207" t="n">
        <f aca="false">S3!E10-S3!E9</f>
        <v>2.56800000000005</v>
      </c>
      <c r="N10" s="208" t="n">
        <f aca="false">M10/L11</f>
        <v>0.112690889942077</v>
      </c>
      <c r="O10" s="209" t="n">
        <f aca="false">S3!B24</f>
        <v>21.221</v>
      </c>
      <c r="P10" s="210" t="n">
        <f aca="false">S3!B25-S3!B24</f>
        <v>1.48899999999998</v>
      </c>
      <c r="Q10" s="208" t="n">
        <f aca="false">P10/O11</f>
        <v>0.0655658300308226</v>
      </c>
      <c r="R10" s="204" t="n">
        <f aca="false">S3!C24</f>
        <v>24.564</v>
      </c>
      <c r="S10" s="210" t="n">
        <f aca="false">S3!C25-S3!C24</f>
        <v>1.316</v>
      </c>
      <c r="T10" s="208" t="n">
        <f aca="false">S10/R11</f>
        <v>0.0508500772797525</v>
      </c>
      <c r="U10" s="204" t="n">
        <f aca="false">S3!D24</f>
        <v>25.424</v>
      </c>
      <c r="V10" s="210" t="n">
        <f aca="false">S3!D25-S3!D24</f>
        <v>-2.654</v>
      </c>
      <c r="W10" s="208" t="n">
        <f aca="false">V10/U11</f>
        <v>-0.116556873078612</v>
      </c>
      <c r="X10" s="204" t="n">
        <f aca="false">S3!E24</f>
        <v>20.443</v>
      </c>
      <c r="Y10" s="210" t="n">
        <f aca="false">S3!E25-S3!E24</f>
        <v>0.297000000000011</v>
      </c>
      <c r="Z10" s="208" t="n">
        <f aca="false">Y10/X11</f>
        <v>0.0143201542912252</v>
      </c>
    </row>
    <row r="11" customFormat="false" ht="15" hidden="false" customHeight="false" outlineLevel="0" collapsed="false">
      <c r="A11" s="203"/>
      <c r="B11" s="204" t="s">
        <v>320</v>
      </c>
      <c r="C11" s="209" t="n">
        <f aca="false">S3!B10</f>
        <v>20.34</v>
      </c>
      <c r="D11" s="207"/>
      <c r="E11" s="208"/>
      <c r="F11" s="209" t="n">
        <f aca="false">S3!C10</f>
        <v>30.0600000000001</v>
      </c>
      <c r="G11" s="207"/>
      <c r="H11" s="208"/>
      <c r="I11" s="209" t="n">
        <f aca="false">S3!D10</f>
        <v>24.48</v>
      </c>
      <c r="J11" s="207"/>
      <c r="K11" s="208"/>
      <c r="L11" s="209" t="n">
        <f aca="false">S3!E10</f>
        <v>22.788</v>
      </c>
      <c r="M11" s="207"/>
      <c r="N11" s="208"/>
      <c r="O11" s="209" t="n">
        <f aca="false">S3!B25</f>
        <v>22.71</v>
      </c>
      <c r="P11" s="210"/>
      <c r="Q11" s="208"/>
      <c r="R11" s="204" t="n">
        <f aca="false">S3!C25</f>
        <v>25.88</v>
      </c>
      <c r="S11" s="210"/>
      <c r="T11" s="208"/>
      <c r="U11" s="204" t="n">
        <f aca="false">S3!D25</f>
        <v>22.77</v>
      </c>
      <c r="V11" s="210"/>
      <c r="W11" s="208"/>
      <c r="X11" s="204" t="n">
        <f aca="false">S3!E25</f>
        <v>20.74</v>
      </c>
      <c r="Y11" s="210"/>
      <c r="Z11" s="208"/>
    </row>
    <row r="12" customFormat="false" ht="15" hidden="false" customHeight="false" outlineLevel="0" collapsed="false">
      <c r="A12" s="203" t="s">
        <v>8</v>
      </c>
      <c r="B12" s="204" t="s">
        <v>319</v>
      </c>
      <c r="C12" s="204" t="n">
        <f aca="false">S4!B9</f>
        <v>14.785</v>
      </c>
      <c r="D12" s="207" t="n">
        <f aca="false">S4!B10-S4!B9</f>
        <v>0.298999999999991</v>
      </c>
      <c r="E12" s="208" t="n">
        <f aca="false">D12/C13</f>
        <v>0.0198223282948814</v>
      </c>
      <c r="F12" s="209" t="n">
        <f aca="false">S4!C9</f>
        <v>20.313</v>
      </c>
      <c r="G12" s="210" t="n">
        <f aca="false">S4!C10-S4!C9</f>
        <v>3.51899999999993</v>
      </c>
      <c r="H12" s="208" t="n">
        <f aca="false">G12/F13</f>
        <v>0.147658610271901</v>
      </c>
      <c r="I12" s="204" t="n">
        <f aca="false">S4!D9</f>
        <v>20.167</v>
      </c>
      <c r="J12" s="210" t="n">
        <f aca="false">S4!D10-S4!D9</f>
        <v>-0.510999999999971</v>
      </c>
      <c r="K12" s="208" t="n">
        <f aca="false">J12/I13</f>
        <v>-0.0259971509971495</v>
      </c>
      <c r="L12" s="204" t="n">
        <f aca="false">S4!E9</f>
        <v>13.81</v>
      </c>
      <c r="M12" s="210" t="n">
        <f aca="false">S4!E10-S4!E9</f>
        <v>2.38999999999999</v>
      </c>
      <c r="N12" s="208" t="n">
        <f aca="false">M12/L13</f>
        <v>0.14753086419753</v>
      </c>
      <c r="O12" s="204" t="n">
        <f aca="false">S4!B24</f>
        <v>16.092</v>
      </c>
      <c r="P12" s="210" t="n">
        <f aca="false">S4!B25-S4!B24</f>
        <v>0.958000000000006</v>
      </c>
      <c r="Q12" s="208" t="n">
        <f aca="false">P12/O13</f>
        <v>0.0561876832844578</v>
      </c>
      <c r="R12" s="204" t="n">
        <f aca="false">S4!C24</f>
        <v>18.284</v>
      </c>
      <c r="S12" s="210" t="n">
        <f aca="false">S4!C25-S4!C24</f>
        <v>1.33600000000006</v>
      </c>
      <c r="T12" s="208" t="n">
        <f aca="false">S12/R13</f>
        <v>0.0680937818552527</v>
      </c>
      <c r="U12" s="204" t="n">
        <f aca="false">S4!D24</f>
        <v>19.289</v>
      </c>
      <c r="V12" s="210" t="n">
        <f aca="false">S4!D25-S4!D24</f>
        <v>-2.87900000000002</v>
      </c>
      <c r="W12" s="208" t="n">
        <f aca="false">V12/U13</f>
        <v>-0.175441803778185</v>
      </c>
      <c r="X12" s="204" t="n">
        <f aca="false">S4!E24</f>
        <v>16.339</v>
      </c>
      <c r="Y12" s="210" t="n">
        <f aca="false">S4!E25-S4!E24</f>
        <v>0.0110000000000241</v>
      </c>
      <c r="Z12" s="208" t="n">
        <f aca="false">Y12/X13</f>
        <v>0.00067278287461921</v>
      </c>
    </row>
    <row r="13" customFormat="false" ht="15" hidden="false" customHeight="false" outlineLevel="0" collapsed="false">
      <c r="A13" s="203"/>
      <c r="B13" s="204" t="s">
        <v>320</v>
      </c>
      <c r="C13" s="209" t="n">
        <f aca="false">S4!B10</f>
        <v>15.084</v>
      </c>
      <c r="D13" s="207"/>
      <c r="E13" s="208"/>
      <c r="F13" s="209" t="n">
        <f aca="false">S4!C10</f>
        <v>23.8319999999999</v>
      </c>
      <c r="G13" s="210"/>
      <c r="H13" s="208"/>
      <c r="I13" s="204" t="n">
        <f aca="false">S4!D10</f>
        <v>19.656</v>
      </c>
      <c r="J13" s="210"/>
      <c r="K13" s="208"/>
      <c r="L13" s="204" t="n">
        <f aca="false">S4!E10</f>
        <v>16.2</v>
      </c>
      <c r="M13" s="210"/>
      <c r="N13" s="208"/>
      <c r="O13" s="204" t="n">
        <f aca="false">S4!B25</f>
        <v>17.05</v>
      </c>
      <c r="P13" s="210"/>
      <c r="Q13" s="208"/>
      <c r="R13" s="204" t="n">
        <f aca="false">S4!C25</f>
        <v>19.6200000000001</v>
      </c>
      <c r="S13" s="210"/>
      <c r="T13" s="208"/>
      <c r="U13" s="204" t="n">
        <f aca="false">S4!D25</f>
        <v>16.41</v>
      </c>
      <c r="V13" s="210"/>
      <c r="W13" s="208"/>
      <c r="X13" s="204" t="n">
        <f aca="false">S4!E25</f>
        <v>16.35</v>
      </c>
      <c r="Y13" s="210"/>
      <c r="Z13" s="208"/>
    </row>
    <row r="14" customFormat="false" ht="15" hidden="false" customHeight="false" outlineLevel="0" collapsed="false">
      <c r="A14" s="203" t="s">
        <v>9</v>
      </c>
      <c r="B14" s="204" t="s">
        <v>319</v>
      </c>
      <c r="C14" s="204" t="n">
        <f aca="false">S5!B9</f>
        <v>4.891</v>
      </c>
      <c r="D14" s="207" t="n">
        <f aca="false">S5!B10-S5!B9</f>
        <v>-1.54299999999998</v>
      </c>
      <c r="E14" s="208" t="n">
        <f aca="false">D14/C15</f>
        <v>-0.460872162485055</v>
      </c>
      <c r="F14" s="204" t="n">
        <f aca="false">S5!C9</f>
        <v>7.669</v>
      </c>
      <c r="G14" s="207" t="n">
        <f aca="false">S5!C10-S5!C9</f>
        <v>3.38300000000008</v>
      </c>
      <c r="H14" s="208" t="n">
        <f aca="false">G14/F15</f>
        <v>0.306098443720599</v>
      </c>
      <c r="I14" s="204" t="n">
        <f aca="false">S5!D9</f>
        <v>6.95299999999999</v>
      </c>
      <c r="J14" s="207" t="n">
        <f aca="false">S5!D10-S5!D9</f>
        <v>-1.69700000000006</v>
      </c>
      <c r="K14" s="208" t="n">
        <f aca="false">J14/I15</f>
        <v>-0.322869101978707</v>
      </c>
      <c r="L14" s="204" t="n">
        <f aca="false">S5!E9</f>
        <v>3.845</v>
      </c>
      <c r="M14" s="207" t="n">
        <f aca="false">S5!E10-S5!E9</f>
        <v>2.38299999999996</v>
      </c>
      <c r="N14" s="208" t="n">
        <f aca="false">M14/L15</f>
        <v>0.382626846499675</v>
      </c>
      <c r="O14" s="204" t="n">
        <f aca="false">S5!B24</f>
        <v>4.326</v>
      </c>
      <c r="P14" s="207" t="n">
        <f aca="false">S5!B25-S5!B24</f>
        <v>-0.68600000000001</v>
      </c>
      <c r="Q14" s="208" t="n">
        <f aca="false">P14/O15</f>
        <v>-0.188461538461542</v>
      </c>
      <c r="R14" s="204" t="n">
        <f aca="false">S5!C24</f>
        <v>5.09600000000001</v>
      </c>
      <c r="S14" s="207" t="n">
        <f aca="false">S5!C25-S5!C24</f>
        <v>-0.376000000000094</v>
      </c>
      <c r="T14" s="208" t="n">
        <f aca="false">S14/R15</f>
        <v>-0.0796610169491738</v>
      </c>
      <c r="U14" s="204" t="n">
        <f aca="false">S5!D24</f>
        <v>7.11499999999998</v>
      </c>
      <c r="V14" s="207" t="n">
        <f aca="false">S5!D25-S5!D24</f>
        <v>-3.68500000000003</v>
      </c>
      <c r="W14" s="208" t="n">
        <f aca="false">V14/U15</f>
        <v>-1.07434402332364</v>
      </c>
      <c r="X14" s="204" t="n">
        <f aca="false">S5!E24</f>
        <v>4.199</v>
      </c>
      <c r="Y14" s="207" t="n">
        <f aca="false">S5!E25-S5!E24</f>
        <v>-1.329</v>
      </c>
      <c r="Z14" s="208" t="n">
        <f aca="false">Y14/X15</f>
        <v>-0.463066202090591</v>
      </c>
    </row>
    <row r="15" customFormat="false" ht="15" hidden="false" customHeight="false" outlineLevel="0" collapsed="false">
      <c r="A15" s="203"/>
      <c r="B15" s="204" t="s">
        <v>320</v>
      </c>
      <c r="C15" s="209" t="n">
        <f aca="false">S5!B10</f>
        <v>3.34800000000002</v>
      </c>
      <c r="D15" s="207"/>
      <c r="E15" s="208"/>
      <c r="F15" s="209" t="n">
        <f aca="false">S5!C10</f>
        <v>11.0520000000001</v>
      </c>
      <c r="G15" s="207"/>
      <c r="H15" s="208"/>
      <c r="I15" s="209" t="n">
        <f aca="false">S5!D10</f>
        <v>5.25599999999993</v>
      </c>
      <c r="J15" s="207"/>
      <c r="K15" s="208"/>
      <c r="L15" s="209" t="n">
        <f aca="false">S5!E10</f>
        <v>6.22799999999996</v>
      </c>
      <c r="M15" s="207"/>
      <c r="N15" s="208"/>
      <c r="O15" s="209" t="n">
        <f aca="false">S5!B25</f>
        <v>3.63999999999999</v>
      </c>
      <c r="P15" s="207"/>
      <c r="Q15" s="208"/>
      <c r="R15" s="209" t="n">
        <f aca="false">S5!C25</f>
        <v>4.71999999999991</v>
      </c>
      <c r="S15" s="207"/>
      <c r="T15" s="208"/>
      <c r="U15" s="209" t="n">
        <f aca="false">S5!D25</f>
        <v>3.42999999999995</v>
      </c>
      <c r="V15" s="207"/>
      <c r="W15" s="208"/>
      <c r="X15" s="209" t="n">
        <f aca="false">S5!E25</f>
        <v>2.87</v>
      </c>
      <c r="Y15" s="207"/>
      <c r="Z15" s="208"/>
    </row>
    <row r="16" customFormat="false" ht="15" hidden="false" customHeight="false" outlineLevel="0" collapsed="false">
      <c r="A16" s="203" t="s">
        <v>10</v>
      </c>
      <c r="B16" s="204" t="s">
        <v>319</v>
      </c>
      <c r="C16" s="204" t="n">
        <f aca="false">S6!B9</f>
        <v>3.677</v>
      </c>
      <c r="D16" s="207" t="n">
        <f aca="false">S6!B10-S6!B9</f>
        <v>-1.44499999999998</v>
      </c>
      <c r="E16" s="208" t="n">
        <f aca="false">D16/C17</f>
        <v>-0.647401433691742</v>
      </c>
      <c r="F16" s="204" t="n">
        <f aca="false">S6!C9</f>
        <v>5.97900000000001</v>
      </c>
      <c r="G16" s="207" t="n">
        <f aca="false">S6!C10-S6!C9</f>
        <v>3.27299999999997</v>
      </c>
      <c r="H16" s="208" t="n">
        <f aca="false">G16/F17</f>
        <v>0.353761348897533</v>
      </c>
      <c r="I16" s="204" t="n">
        <f aca="false">S6!D9</f>
        <v>5.51699999999999</v>
      </c>
      <c r="J16" s="207" t="n">
        <f aca="false">S6!D10-S6!D9</f>
        <v>-1.59299999999998</v>
      </c>
      <c r="K16" s="208" t="n">
        <f aca="false">J16/I17</f>
        <v>-0.405963302752287</v>
      </c>
      <c r="L16" s="204" t="n">
        <f aca="false">S6!E9</f>
        <v>3.14100000000001</v>
      </c>
      <c r="M16" s="207" t="n">
        <f aca="false">S6!E10-S6!E9</f>
        <v>2.51099999999997</v>
      </c>
      <c r="N16" s="208" t="n">
        <f aca="false">M16/L17</f>
        <v>0.444267515923564</v>
      </c>
      <c r="O16" s="204" t="n">
        <f aca="false">S6!B24</f>
        <v>3.059</v>
      </c>
      <c r="P16" s="207" t="n">
        <f aca="false">S6!B25-S6!B24</f>
        <v>-0.728999999999961</v>
      </c>
      <c r="Q16" s="208" t="n">
        <f aca="false">P16/O17</f>
        <v>-0.312875536480664</v>
      </c>
      <c r="R16" s="204" t="n">
        <f aca="false">S6!C24</f>
        <v>3.71699999999999</v>
      </c>
      <c r="S16" s="207" t="n">
        <f aca="false">S6!C25-S6!C24</f>
        <v>-0.55699999999991</v>
      </c>
      <c r="T16" s="208" t="n">
        <f aca="false">S16/R17</f>
        <v>-0.176265822784777</v>
      </c>
      <c r="U16" s="204" t="n">
        <f aca="false">S6!D24</f>
        <v>4.94200000000001</v>
      </c>
      <c r="V16" s="207" t="n">
        <f aca="false">S6!D25-S6!D24</f>
        <v>-2.49199999999996</v>
      </c>
      <c r="W16" s="208" t="n">
        <f aca="false">V16/U17</f>
        <v>-1.01714285714282</v>
      </c>
      <c r="X16" s="204" t="n">
        <f aca="false">S6!E24</f>
        <v>3.482</v>
      </c>
      <c r="Y16" s="207" t="n">
        <f aca="false">S6!E25-S6!E24</f>
        <v>-1.27200000000002</v>
      </c>
      <c r="Z16" s="208" t="n">
        <f aca="false">Y16/X17</f>
        <v>-0.575565610859743</v>
      </c>
    </row>
    <row r="17" customFormat="false" ht="15" hidden="false" customHeight="false" outlineLevel="0" collapsed="false">
      <c r="A17" s="203"/>
      <c r="B17" s="204" t="s">
        <v>320</v>
      </c>
      <c r="C17" s="204" t="n">
        <f aca="false">S6!B10</f>
        <v>2.23200000000002</v>
      </c>
      <c r="D17" s="207"/>
      <c r="E17" s="208"/>
      <c r="F17" s="204" t="n">
        <f aca="false">S6!C10</f>
        <v>9.25199999999998</v>
      </c>
      <c r="G17" s="207"/>
      <c r="H17" s="208"/>
      <c r="I17" s="204" t="n">
        <f aca="false">S6!D10</f>
        <v>3.92400000000001</v>
      </c>
      <c r="J17" s="207"/>
      <c r="K17" s="208"/>
      <c r="L17" s="204" t="n">
        <f aca="false">S6!E10</f>
        <v>5.65199999999998</v>
      </c>
      <c r="M17" s="207"/>
      <c r="N17" s="208"/>
      <c r="O17" s="204" t="n">
        <f aca="false">S6!B25</f>
        <v>2.33000000000004</v>
      </c>
      <c r="P17" s="207"/>
      <c r="Q17" s="208"/>
      <c r="R17" s="204" t="n">
        <f aca="false">S6!C25</f>
        <v>3.16000000000008</v>
      </c>
      <c r="S17" s="207"/>
      <c r="T17" s="208"/>
      <c r="U17" s="204" t="n">
        <f aca="false">S6!D25</f>
        <v>2.45000000000005</v>
      </c>
      <c r="V17" s="207"/>
      <c r="W17" s="208"/>
      <c r="X17" s="204" t="n">
        <f aca="false">S6!E25</f>
        <v>2.20999999999998</v>
      </c>
      <c r="Y17" s="207"/>
      <c r="Z17" s="208"/>
    </row>
    <row r="18" customFormat="false" ht="15" hidden="false" customHeight="false" outlineLevel="0" collapsed="false">
      <c r="A18" s="203" t="s">
        <v>11</v>
      </c>
      <c r="B18" s="204" t="s">
        <v>319</v>
      </c>
      <c r="C18" s="204" t="n">
        <f aca="false">S7!B9</f>
        <v>3.18299999999999</v>
      </c>
      <c r="D18" s="207" t="n">
        <f aca="false">S7!B10-S7!B9</f>
        <v>-1.45500000000003</v>
      </c>
      <c r="E18" s="208" t="n">
        <f aca="false">D18/C19</f>
        <v>-0.842013888888924</v>
      </c>
      <c r="F18" s="204" t="n">
        <f aca="false">S7!C9</f>
        <v>5.60299999999999</v>
      </c>
      <c r="G18" s="207" t="n">
        <f aca="false">S7!C10-S7!C9</f>
        <v>3.57700000000005</v>
      </c>
      <c r="H18" s="208" t="n">
        <f aca="false">G18/F19</f>
        <v>0.389651416122008</v>
      </c>
      <c r="I18" s="204" t="n">
        <f aca="false">S7!D9</f>
        <v>4.71400000000001</v>
      </c>
      <c r="J18" s="207" t="n">
        <f aca="false">S7!D10-S7!D9</f>
        <v>-1.87000000000004</v>
      </c>
      <c r="K18" s="208" t="n">
        <f aca="false">J18/I19</f>
        <v>-0.657524613220836</v>
      </c>
      <c r="L18" s="204" t="n">
        <f aca="false">S7!E9</f>
        <v>2.844</v>
      </c>
      <c r="M18" s="207" t="n">
        <f aca="false">S7!E10-S7!E9</f>
        <v>0.936000000000044</v>
      </c>
      <c r="N18" s="208" t="n">
        <f aca="false">M18/L19</f>
        <v>0.247619047619056</v>
      </c>
      <c r="O18" s="204" t="n">
        <f aca="false">S7!B24</f>
        <v>2.747</v>
      </c>
      <c r="P18" s="207" t="n">
        <f aca="false">S7!B25-S7!B24</f>
        <v>-0.197000000000044</v>
      </c>
      <c r="Q18" s="208" t="n">
        <f aca="false">P18/O19</f>
        <v>-0.0772549019608031</v>
      </c>
      <c r="R18" s="204" t="n">
        <f aca="false">S7!C24</f>
        <v>3.15</v>
      </c>
      <c r="S18" s="207" t="n">
        <f aca="false">S7!C25-S7!C24</f>
        <v>-0.640000000000004</v>
      </c>
      <c r="T18" s="208" t="n">
        <f aca="false">S18/R19</f>
        <v>-0.254980079681277</v>
      </c>
      <c r="U18" s="204" t="n">
        <f aca="false">S7!D24</f>
        <v>3.163</v>
      </c>
      <c r="V18" s="207" t="n">
        <f aca="false">S7!D25-S7!D24</f>
        <v>-0.873000000000033</v>
      </c>
      <c r="W18" s="208" t="n">
        <f aca="false">V18/U19</f>
        <v>-0.381222707423601</v>
      </c>
      <c r="X18" s="204" t="n">
        <f aca="false">S7!E24</f>
        <v>3.095</v>
      </c>
      <c r="Y18" s="207" t="n">
        <f aca="false">S7!E25-S7!E24</f>
        <v>-1.29499999999999</v>
      </c>
      <c r="Z18" s="208" t="n">
        <f aca="false">Y18/X19</f>
        <v>-0.719444444444433</v>
      </c>
    </row>
    <row r="19" customFormat="false" ht="15" hidden="false" customHeight="false" outlineLevel="0" collapsed="false">
      <c r="A19" s="203"/>
      <c r="B19" s="204" t="s">
        <v>320</v>
      </c>
      <c r="C19" s="204" t="n">
        <f aca="false">S7!B10</f>
        <v>1.72799999999996</v>
      </c>
      <c r="D19" s="207"/>
      <c r="E19" s="208"/>
      <c r="F19" s="209" t="n">
        <f aca="false">S7!C10</f>
        <v>9.18000000000004</v>
      </c>
      <c r="G19" s="207"/>
      <c r="H19" s="208"/>
      <c r="I19" s="204" t="n">
        <f aca="false">S7!D10</f>
        <v>2.84399999999997</v>
      </c>
      <c r="J19" s="207"/>
      <c r="K19" s="208"/>
      <c r="L19" s="204" t="n">
        <f aca="false">S7!E10</f>
        <v>3.78000000000004</v>
      </c>
      <c r="M19" s="207"/>
      <c r="N19" s="208"/>
      <c r="O19" s="204" t="n">
        <f aca="false">S7!B25</f>
        <v>2.54999999999995</v>
      </c>
      <c r="P19" s="207"/>
      <c r="Q19" s="208"/>
      <c r="R19" s="204" t="n">
        <f aca="false">S7!C25</f>
        <v>2.50999999999999</v>
      </c>
      <c r="S19" s="207"/>
      <c r="T19" s="208"/>
      <c r="U19" s="204" t="n">
        <f aca="false">S7!D25</f>
        <v>2.28999999999996</v>
      </c>
      <c r="V19" s="207"/>
      <c r="W19" s="208"/>
      <c r="X19" s="204" t="n">
        <f aca="false">S7!E25</f>
        <v>1.80000000000001</v>
      </c>
      <c r="Y19" s="207"/>
      <c r="Z19" s="208"/>
    </row>
    <row r="20" customFormat="false" ht="15" hidden="false" customHeight="false" outlineLevel="0" collapsed="false">
      <c r="A20" s="203" t="s">
        <v>12</v>
      </c>
      <c r="B20" s="204" t="s">
        <v>319</v>
      </c>
      <c r="C20" s="204" t="n">
        <f aca="false">S8!B9</f>
        <v>3.108</v>
      </c>
      <c r="D20" s="207" t="n">
        <f aca="false">S8!B10-S8!B9</f>
        <v>-1.416</v>
      </c>
      <c r="E20" s="208" t="n">
        <f aca="false">D20/C21</f>
        <v>-0.836879432624118</v>
      </c>
      <c r="F20" s="204" t="n">
        <f aca="false">S8!C9</f>
        <v>5.27</v>
      </c>
      <c r="G20" s="207" t="n">
        <f aca="false">S8!C10-S8!C9</f>
        <v>3.58599999999992</v>
      </c>
      <c r="H20" s="208" t="n">
        <f aca="false">G20/F21</f>
        <v>0.40492321589882</v>
      </c>
      <c r="I20" s="204" t="n">
        <f aca="false">S8!D9</f>
        <v>4.35500000000001</v>
      </c>
      <c r="J20" s="207" t="n">
        <f aca="false">S8!D10-S8!D9</f>
        <v>-1.90699999999999</v>
      </c>
      <c r="K20" s="208" t="n">
        <f aca="false">J20/I21</f>
        <v>-0.779003267973843</v>
      </c>
      <c r="L20" s="204" t="n">
        <f aca="false">S8!E9</f>
        <v>2.587</v>
      </c>
      <c r="M20" s="207" t="n">
        <f aca="false">S8!E10-S8!E9</f>
        <v>-0.606999999999959</v>
      </c>
      <c r="N20" s="208" t="n">
        <f aca="false">M20/L21</f>
        <v>-0.306565656565629</v>
      </c>
      <c r="O20" s="204" t="n">
        <f aca="false">S8!B24</f>
        <v>2.842</v>
      </c>
      <c r="P20" s="211" t="n">
        <f aca="false">S8!B25-S8!B24</f>
        <v>0.258000000000028</v>
      </c>
      <c r="Q20" s="208" t="n">
        <f aca="false">P20/O21</f>
        <v>0.0832258064516212</v>
      </c>
      <c r="R20" s="204" t="n">
        <f aca="false">S8!C24</f>
        <v>3.051</v>
      </c>
      <c r="S20" s="211" t="n">
        <f aca="false">S8!C25-S8!C24</f>
        <v>-0.661000000000012</v>
      </c>
      <c r="T20" s="208" t="n">
        <f aca="false">S20/R21</f>
        <v>-0.27656903765691</v>
      </c>
      <c r="U20" s="204" t="n">
        <f aca="false">S8!D24</f>
        <v>3.11099999999999</v>
      </c>
      <c r="V20" s="211" t="n">
        <f aca="false">S8!D25-S8!D24</f>
        <v>-0.890999999999963</v>
      </c>
      <c r="W20" s="208" t="n">
        <f aca="false">V20/U21</f>
        <v>-0.40135135135133</v>
      </c>
      <c r="X20" s="204" t="n">
        <f aca="false">S8!E24</f>
        <v>3.13</v>
      </c>
      <c r="Y20" s="211" t="n">
        <f aca="false">S8!E25-S8!E24</f>
        <v>-1.29000000000002</v>
      </c>
      <c r="Z20" s="208" t="n">
        <f aca="false">Y20/X21</f>
        <v>-0.70108695652176</v>
      </c>
    </row>
    <row r="21" customFormat="false" ht="15" hidden="false" customHeight="false" outlineLevel="0" collapsed="false">
      <c r="A21" s="203"/>
      <c r="B21" s="204" t="s">
        <v>320</v>
      </c>
      <c r="C21" s="204" t="n">
        <f aca="false">S8!B10</f>
        <v>1.692</v>
      </c>
      <c r="D21" s="207"/>
      <c r="E21" s="208"/>
      <c r="F21" s="204" t="n">
        <f aca="false">S8!C10</f>
        <v>8.85599999999993</v>
      </c>
      <c r="G21" s="207"/>
      <c r="H21" s="208"/>
      <c r="I21" s="204" t="n">
        <f aca="false">S8!D10</f>
        <v>2.44800000000003</v>
      </c>
      <c r="J21" s="207"/>
      <c r="K21" s="208"/>
      <c r="L21" s="204" t="n">
        <f aca="false">S8!E10</f>
        <v>1.98000000000004</v>
      </c>
      <c r="M21" s="207"/>
      <c r="N21" s="208"/>
      <c r="O21" s="204" t="n">
        <f aca="false">S8!B25</f>
        <v>3.10000000000002</v>
      </c>
      <c r="P21" s="211"/>
      <c r="Q21" s="208"/>
      <c r="R21" s="204" t="n">
        <f aca="false">S8!C25</f>
        <v>2.38999999999999</v>
      </c>
      <c r="S21" s="211"/>
      <c r="T21" s="208"/>
      <c r="U21" s="204" t="n">
        <f aca="false">S8!D25</f>
        <v>2.22000000000003</v>
      </c>
      <c r="V21" s="211"/>
      <c r="W21" s="208"/>
      <c r="X21" s="204" t="n">
        <f aca="false">S8!E25</f>
        <v>1.83999999999998</v>
      </c>
      <c r="Y21" s="211"/>
      <c r="Z21" s="208"/>
    </row>
    <row r="22" customFormat="false" ht="15" hidden="false" customHeight="true" outlineLevel="0" collapsed="false">
      <c r="A22" s="203" t="s">
        <v>13</v>
      </c>
      <c r="B22" s="204" t="s">
        <v>319</v>
      </c>
      <c r="C22" s="204" t="n">
        <f aca="false">S9!B9</f>
        <v>4.21000000000001</v>
      </c>
      <c r="D22" s="207" t="n">
        <f aca="false">S9!B10-S9!B9</f>
        <v>-1.22199999999996</v>
      </c>
      <c r="E22" s="208" t="n">
        <f aca="false">D22/C23</f>
        <v>-0.408969210174011</v>
      </c>
      <c r="F22" s="204" t="n">
        <f aca="false">S9!C9</f>
        <v>6.879</v>
      </c>
      <c r="G22" s="207" t="n">
        <f aca="false">S9!C10-S9!C9</f>
        <v>3.23700000000001</v>
      </c>
      <c r="H22" s="208" t="n">
        <f aca="false">G22/F23</f>
        <v>0.319988137603796</v>
      </c>
      <c r="I22" s="204" t="n">
        <f aca="false">S9!D9</f>
        <v>6.514</v>
      </c>
      <c r="J22" s="207" t="n">
        <f aca="false">S9!D10-S9!D9</f>
        <v>-1.47399999999998</v>
      </c>
      <c r="K22" s="208" t="n">
        <f aca="false">J22/I23</f>
        <v>-0.292460317460311</v>
      </c>
      <c r="L22" s="204" t="n">
        <f aca="false">S9!E9</f>
        <v>3.678</v>
      </c>
      <c r="M22" s="207" t="n">
        <f aca="false">S9!E10-S9!E9</f>
        <v>-0.510000000000021</v>
      </c>
      <c r="N22" s="208" t="n">
        <f aca="false">M22/L23</f>
        <v>-0.160984848484856</v>
      </c>
      <c r="O22" s="212" t="n">
        <f aca="false">S9!B24</f>
        <v>3.99100000000001</v>
      </c>
      <c r="P22" s="211" t="n">
        <f aca="false">S9!B25-S9!B24</f>
        <v>0.0989999999999687</v>
      </c>
      <c r="Q22" s="208" t="n">
        <f aca="false">P22/O23</f>
        <v>0.0242053789730976</v>
      </c>
      <c r="R22" s="204" t="n">
        <f aca="false">S9!C24</f>
        <v>4.317</v>
      </c>
      <c r="S22" s="211" t="n">
        <f aca="false">S9!C25-S9!C24</f>
        <v>-0.627000000000063</v>
      </c>
      <c r="T22" s="208" t="n">
        <f aca="false">S22/R23</f>
        <v>-0.169918699187012</v>
      </c>
      <c r="U22" s="204" t="n">
        <f aca="false">S9!D24</f>
        <v>3.58400000000002</v>
      </c>
      <c r="V22" s="211" t="n">
        <f aca="false">S9!D25-S9!D24</f>
        <v>-0.674000000000049</v>
      </c>
      <c r="W22" s="208" t="n">
        <f aca="false">V22/U23</f>
        <v>-0.231615120274934</v>
      </c>
      <c r="X22" s="204" t="n">
        <f aca="false">S9!E24</f>
        <v>4.529</v>
      </c>
      <c r="Y22" s="211" t="n">
        <f aca="false">S9!E25-S9!E24</f>
        <v>-1.00899999999996</v>
      </c>
      <c r="Z22" s="208" t="n">
        <f aca="false">Y22/X23</f>
        <v>-0.286647727272713</v>
      </c>
    </row>
    <row r="23" customFormat="false" ht="15" hidden="false" customHeight="true" outlineLevel="0" collapsed="false">
      <c r="A23" s="203"/>
      <c r="B23" s="204" t="s">
        <v>320</v>
      </c>
      <c r="C23" s="213" t="n">
        <f aca="false">S9!B10</f>
        <v>2.98800000000005</v>
      </c>
      <c r="D23" s="207"/>
      <c r="E23" s="208"/>
      <c r="F23" s="213" t="n">
        <f aca="false">S9!C10</f>
        <v>10.116</v>
      </c>
      <c r="G23" s="207"/>
      <c r="H23" s="208"/>
      <c r="I23" s="213" t="n">
        <f aca="false">S9!D10</f>
        <v>5.04000000000002</v>
      </c>
      <c r="J23" s="207"/>
      <c r="K23" s="208"/>
      <c r="L23" s="213" t="n">
        <f aca="false">S9!E10</f>
        <v>3.16799999999998</v>
      </c>
      <c r="M23" s="207"/>
      <c r="N23" s="208"/>
      <c r="O23" s="213" t="n">
        <f aca="false">S9!B25</f>
        <v>4.08999999999998</v>
      </c>
      <c r="P23" s="211"/>
      <c r="Q23" s="208"/>
      <c r="R23" s="204" t="n">
        <f aca="false">S9!C25</f>
        <v>3.68999999999994</v>
      </c>
      <c r="S23" s="211"/>
      <c r="T23" s="208"/>
      <c r="U23" s="213" t="n">
        <f aca="false">S9!D25</f>
        <v>2.90999999999997</v>
      </c>
      <c r="V23" s="211"/>
      <c r="W23" s="208"/>
      <c r="X23" s="204" t="n">
        <f aca="false">S9!E25</f>
        <v>3.52000000000004</v>
      </c>
      <c r="Y23" s="211"/>
      <c r="Z23" s="208"/>
    </row>
    <row r="24" customFormat="false" ht="15" hidden="false" customHeight="false" outlineLevel="0" collapsed="false">
      <c r="A24" s="203" t="s">
        <v>14</v>
      </c>
      <c r="B24" s="204" t="s">
        <v>319</v>
      </c>
      <c r="C24" s="204" t="n">
        <f aca="false">S10!B9</f>
        <v>7.795</v>
      </c>
      <c r="D24" s="207" t="n">
        <f aca="false">S10!B10-S10!B9</f>
        <v>-0.270999999999982</v>
      </c>
      <c r="E24" s="208" t="n">
        <f aca="false">D24/C25</f>
        <v>-0.0360180754917573</v>
      </c>
      <c r="F24" s="204" t="n">
        <f aca="false">S10!C9</f>
        <v>10.535</v>
      </c>
      <c r="G24" s="207" t="n">
        <f aca="false">S10!C10-S10!C9</f>
        <v>3.61300000000003</v>
      </c>
      <c r="H24" s="208" t="n">
        <f aca="false">G24/F25</f>
        <v>0.25537178399774</v>
      </c>
      <c r="I24" s="204" t="n">
        <f aca="false">S10!D9</f>
        <v>11.279</v>
      </c>
      <c r="J24" s="207" t="n">
        <f aca="false">S10!D10-S10!D9</f>
        <v>-1.23500000000003</v>
      </c>
      <c r="K24" s="208" t="n">
        <f aca="false">J24/I25</f>
        <v>-0.122958980485865</v>
      </c>
      <c r="L24" s="204" t="n">
        <f aca="false">S10!E9</f>
        <v>6.82</v>
      </c>
      <c r="M24" s="207" t="n">
        <f aca="false">S10!E10-S10!E9</f>
        <v>-0.303999999999992</v>
      </c>
      <c r="N24" s="208" t="n">
        <f aca="false">M24/L25</f>
        <v>-0.0466543891958244</v>
      </c>
      <c r="O24" s="204" t="n">
        <f aca="false">S10!B24</f>
        <v>8.43099999999999</v>
      </c>
      <c r="P24" s="207" t="n">
        <f aca="false">S10!B25-S10!B24</f>
        <v>0.459000000000049</v>
      </c>
      <c r="Q24" s="208" t="n">
        <f aca="false">P24/O25</f>
        <v>0.0516310461192404</v>
      </c>
      <c r="R24" s="204" t="n">
        <f aca="false">S10!C24</f>
        <v>10.21</v>
      </c>
      <c r="S24" s="207" t="n">
        <f aca="false">S10!C25-S10!C24</f>
        <v>0.26000000000003</v>
      </c>
      <c r="T24" s="208" t="n">
        <f aca="false">S24/R25</f>
        <v>0.0248328557784173</v>
      </c>
      <c r="U24" s="204" t="n">
        <f aca="false">S10!D24</f>
        <v>7.65199999999999</v>
      </c>
      <c r="V24" s="207" t="n">
        <f aca="false">S10!D25-S10!D24</f>
        <v>-0.611999999999966</v>
      </c>
      <c r="W24" s="208" t="n">
        <f aca="false">V24/U25</f>
        <v>-0.0869318181818132</v>
      </c>
      <c r="X24" s="204" t="n">
        <f aca="false">S10!E24</f>
        <v>8.338</v>
      </c>
      <c r="Y24" s="207" t="n">
        <f aca="false">S10!E25-S10!E24</f>
        <v>-0.378000000000018</v>
      </c>
      <c r="Z24" s="208" t="n">
        <f aca="false">Y24/X25</f>
        <v>-0.047487437185932</v>
      </c>
    </row>
    <row r="25" customFormat="false" ht="15" hidden="false" customHeight="false" outlineLevel="0" collapsed="false">
      <c r="A25" s="203"/>
      <c r="B25" s="204" t="s">
        <v>320</v>
      </c>
      <c r="C25" s="213" t="n">
        <f aca="false">S10!B10</f>
        <v>7.52400000000001</v>
      </c>
      <c r="D25" s="207"/>
      <c r="E25" s="208"/>
      <c r="F25" s="213" t="n">
        <f aca="false">S10!C10</f>
        <v>14.148</v>
      </c>
      <c r="G25" s="207"/>
      <c r="H25" s="208"/>
      <c r="I25" s="213" t="n">
        <f aca="false">S10!D10</f>
        <v>10.044</v>
      </c>
      <c r="J25" s="207"/>
      <c r="K25" s="208"/>
      <c r="L25" s="213" t="n">
        <f aca="false">S10!E10</f>
        <v>6.51600000000001</v>
      </c>
      <c r="M25" s="207"/>
      <c r="N25" s="208"/>
      <c r="O25" s="213" t="n">
        <f aca="false">S10!B25</f>
        <v>8.89000000000004</v>
      </c>
      <c r="P25" s="207"/>
      <c r="Q25" s="208"/>
      <c r="R25" s="213" t="n">
        <f aca="false">S10!C25</f>
        <v>10.47</v>
      </c>
      <c r="S25" s="207"/>
      <c r="T25" s="208"/>
      <c r="U25" s="213" t="n">
        <f aca="false">S10!D25</f>
        <v>7.04000000000002</v>
      </c>
      <c r="V25" s="207"/>
      <c r="W25" s="208"/>
      <c r="X25" s="213" t="n">
        <f aca="false">S10!E25</f>
        <v>7.95999999999998</v>
      </c>
      <c r="Y25" s="207"/>
      <c r="Z25" s="208"/>
    </row>
    <row r="26" customFormat="false" ht="15" hidden="false" customHeight="false" outlineLevel="0" collapsed="false">
      <c r="A26" s="203" t="s">
        <v>15</v>
      </c>
      <c r="B26" s="204" t="s">
        <v>319</v>
      </c>
      <c r="C26" s="204" t="n">
        <f aca="false">S11!B9</f>
        <v>20.308</v>
      </c>
      <c r="D26" s="207" t="n">
        <f aca="false">S11!B10-S11!B9</f>
        <v>1.47199999999994</v>
      </c>
      <c r="E26" s="208" t="n">
        <f aca="false">D26/C27</f>
        <v>0.0675849403122104</v>
      </c>
      <c r="F26" s="204" t="n">
        <f aca="false">S11!C9</f>
        <v>25.484</v>
      </c>
      <c r="G26" s="207" t="n">
        <f aca="false">S11!C10-S11!C9</f>
        <v>3.67600000000009</v>
      </c>
      <c r="H26" s="208" t="n">
        <f aca="false">G26/F27</f>
        <v>0.126063100137177</v>
      </c>
      <c r="I26" s="204" t="n">
        <f aca="false">S11!D9</f>
        <v>25.783</v>
      </c>
      <c r="J26" s="207" t="n">
        <f aca="false">S11!D10-S11!D9</f>
        <v>1.21699999999999</v>
      </c>
      <c r="K26" s="208" t="n">
        <f aca="false">J26/I27</f>
        <v>0.0450740740740738</v>
      </c>
      <c r="L26" s="204" t="n">
        <f aca="false">S11!E9</f>
        <v>20.891</v>
      </c>
      <c r="M26" s="207" t="n">
        <f aca="false">S11!E10-S11!E9</f>
        <v>1.393</v>
      </c>
      <c r="N26" s="208" t="n">
        <f aca="false">M26/L27</f>
        <v>0.0625112188117034</v>
      </c>
      <c r="O26" s="204" t="n">
        <f aca="false">S11!B24</f>
        <v>20.351</v>
      </c>
      <c r="P26" s="207" t="n">
        <f aca="false">S11!B25-S11!B24</f>
        <v>1.41899999999999</v>
      </c>
      <c r="Q26" s="208" t="n">
        <f aca="false">P26/O27</f>
        <v>0.0651814423518601</v>
      </c>
      <c r="R26" s="204" t="n">
        <f aca="false">S11!C24</f>
        <v>24.073</v>
      </c>
      <c r="S26" s="207" t="n">
        <f aca="false">S11!C25-S11!C24</f>
        <v>1.85700000000005</v>
      </c>
      <c r="T26" s="208" t="n">
        <f aca="false">S26/R27</f>
        <v>0.0716158889317412</v>
      </c>
      <c r="U26" s="204" t="n">
        <f aca="false">S11!D24</f>
        <v>21.512</v>
      </c>
      <c r="V26" s="207" t="n">
        <f aca="false">S11!D25-S11!D24</f>
        <v>0.977999999999994</v>
      </c>
      <c r="W26" s="208" t="n">
        <f aca="false">V26/U27</f>
        <v>0.0434859937750109</v>
      </c>
      <c r="X26" s="204" t="n">
        <f aca="false">S11!E24</f>
        <v>22.524</v>
      </c>
      <c r="Y26" s="207" t="n">
        <f aca="false">S11!E25-S11!E24</f>
        <v>1.70600000000001</v>
      </c>
      <c r="Z26" s="208" t="n">
        <f aca="false">Y26/X27</f>
        <v>0.0704085843995053</v>
      </c>
    </row>
    <row r="27" customFormat="false" ht="15" hidden="false" customHeight="false" outlineLevel="0" collapsed="false">
      <c r="A27" s="203"/>
      <c r="B27" s="204" t="s">
        <v>320</v>
      </c>
      <c r="C27" s="204" t="n">
        <f aca="false">S11!B10</f>
        <v>21.7799999999999</v>
      </c>
      <c r="D27" s="207"/>
      <c r="E27" s="208"/>
      <c r="F27" s="204" t="n">
        <f aca="false">S11!C10</f>
        <v>29.1600000000001</v>
      </c>
      <c r="G27" s="207"/>
      <c r="H27" s="208"/>
      <c r="I27" s="204" t="n">
        <f aca="false">S11!D10</f>
        <v>27</v>
      </c>
      <c r="J27" s="207"/>
      <c r="K27" s="208"/>
      <c r="L27" s="204" t="n">
        <f aca="false">S11!E10</f>
        <v>22.284</v>
      </c>
      <c r="M27" s="207"/>
      <c r="N27" s="208"/>
      <c r="O27" s="204" t="n">
        <f aca="false">S11!B25</f>
        <v>21.77</v>
      </c>
      <c r="P27" s="207"/>
      <c r="Q27" s="208"/>
      <c r="R27" s="204" t="n">
        <f aca="false">S11!C25</f>
        <v>25.9300000000001</v>
      </c>
      <c r="S27" s="207"/>
      <c r="T27" s="208"/>
      <c r="U27" s="204" t="n">
        <f aca="false">S11!D25</f>
        <v>22.49</v>
      </c>
      <c r="V27" s="207"/>
      <c r="W27" s="208"/>
      <c r="X27" s="204" t="n">
        <f aca="false">S11!E25</f>
        <v>24.23</v>
      </c>
      <c r="Y27" s="207"/>
      <c r="Z27" s="208"/>
    </row>
    <row r="28" customFormat="false" ht="15" hidden="false" customHeight="false" outlineLevel="0" collapsed="false">
      <c r="A28" s="203" t="s">
        <v>4</v>
      </c>
      <c r="B28" s="204" t="s">
        <v>319</v>
      </c>
      <c r="C28" s="204" t="n">
        <f aca="false">S12!B9</f>
        <v>31.707</v>
      </c>
      <c r="D28" s="207" t="n">
        <f aca="false">S12!B10-S12!B9</f>
        <v>3.17700000000001</v>
      </c>
      <c r="E28" s="208" t="n">
        <f aca="false">D28/C29</f>
        <v>0.0910732714138291</v>
      </c>
      <c r="F28" s="204" t="n">
        <f aca="false">S12!C9</f>
        <v>38.125</v>
      </c>
      <c r="G28" s="207" t="n">
        <f aca="false">S12!C10-S12!C9</f>
        <v>4.31899999999988</v>
      </c>
      <c r="H28" s="208" t="n">
        <f aca="false">G28/F29</f>
        <v>0.101757610027328</v>
      </c>
      <c r="I28" s="204" t="n">
        <f aca="false">S12!D9</f>
        <v>36.703</v>
      </c>
      <c r="J28" s="207" t="n">
        <f aca="false">S12!D10-S12!D9</f>
        <v>2.35700000000009</v>
      </c>
      <c r="K28" s="208" t="n">
        <f aca="false">J28/I29</f>
        <v>0.0603430619559674</v>
      </c>
      <c r="L28" s="204" t="n">
        <f aca="false">S12!E9</f>
        <v>32.079</v>
      </c>
      <c r="M28" s="207" t="n">
        <f aca="false">S12!E10-S12!E9</f>
        <v>1.86899999999992</v>
      </c>
      <c r="N28" s="208" t="n">
        <f aca="false">M28/L29</f>
        <v>0.0550547896783294</v>
      </c>
      <c r="O28" s="204" t="n">
        <f aca="false">S12!B24</f>
        <v>31.788</v>
      </c>
      <c r="P28" s="207" t="n">
        <f aca="false">S12!B25-S12!B24</f>
        <v>2.50200000000002</v>
      </c>
      <c r="Q28" s="208" t="n">
        <f aca="false">P28/O29</f>
        <v>0.0729658792650923</v>
      </c>
      <c r="R28" s="204" t="n">
        <f aca="false">S12!C24</f>
        <v>33.627</v>
      </c>
      <c r="S28" s="207" t="n">
        <f aca="false">S12!C25-S12!C24</f>
        <v>2.79299999999997</v>
      </c>
      <c r="T28" s="208" t="n">
        <f aca="false">S28/R29</f>
        <v>0.0766886326194392</v>
      </c>
      <c r="U28" s="214" t="n">
        <f aca="false">S12!D24</f>
        <v>31.405</v>
      </c>
      <c r="V28" s="207" t="n">
        <f aca="false">S12!D25-S12!D24</f>
        <v>3.205</v>
      </c>
      <c r="W28" s="208" t="n">
        <f aca="false">V28/U29</f>
        <v>0.0926032938457092</v>
      </c>
      <c r="X28" s="214" t="n">
        <f aca="false">S12!E24</f>
        <v>33.045</v>
      </c>
      <c r="Y28" s="207" t="n">
        <f aca="false">S12!E25-S12!E24</f>
        <v>3.10499999999998</v>
      </c>
      <c r="Z28" s="208" t="n">
        <f aca="false">Y28/X29</f>
        <v>0.0858921161825722</v>
      </c>
    </row>
    <row r="29" customFormat="false" ht="15" hidden="false" customHeight="false" outlineLevel="0" collapsed="false">
      <c r="A29" s="203"/>
      <c r="B29" s="204" t="s">
        <v>320</v>
      </c>
      <c r="C29" s="213" t="n">
        <f aca="false">S12!B10</f>
        <v>34.884</v>
      </c>
      <c r="D29" s="207"/>
      <c r="E29" s="208"/>
      <c r="F29" s="213" t="n">
        <f aca="false">S12!C10</f>
        <v>42.4439999999999</v>
      </c>
      <c r="G29" s="207"/>
      <c r="H29" s="208"/>
      <c r="I29" s="213" t="n">
        <f aca="false">S12!D10</f>
        <v>39.0600000000001</v>
      </c>
      <c r="J29" s="207"/>
      <c r="K29" s="208"/>
      <c r="L29" s="213" t="n">
        <f aca="false">S12!E10</f>
        <v>33.9479999999999</v>
      </c>
      <c r="M29" s="207"/>
      <c r="N29" s="208"/>
      <c r="O29" s="213" t="n">
        <f aca="false">S12!B25</f>
        <v>34.29</v>
      </c>
      <c r="P29" s="207"/>
      <c r="Q29" s="208"/>
      <c r="R29" s="213" t="n">
        <f aca="false">S12!C25</f>
        <v>36.42</v>
      </c>
      <c r="S29" s="207"/>
      <c r="T29" s="208"/>
      <c r="U29" s="213" t="n">
        <f aca="false">S12!D25</f>
        <v>34.61</v>
      </c>
      <c r="V29" s="207"/>
      <c r="W29" s="208"/>
      <c r="X29" s="213" t="n">
        <f aca="false">S12!E25</f>
        <v>36.15</v>
      </c>
      <c r="Y29" s="207"/>
      <c r="Z29" s="208"/>
    </row>
    <row r="30" customFormat="false" ht="15.75" hidden="false" customHeight="false" outlineLevel="0" collapsed="false">
      <c r="A30" s="215"/>
      <c r="B30" s="232"/>
      <c r="C30" s="221"/>
      <c r="D30" s="222"/>
      <c r="E30" s="222"/>
      <c r="F30" s="221"/>
      <c r="G30" s="222"/>
      <c r="H30" s="222"/>
      <c r="I30" s="221"/>
      <c r="J30" s="222"/>
      <c r="K30" s="222"/>
      <c r="L30" s="221"/>
      <c r="M30" s="222"/>
      <c r="N30" s="222"/>
      <c r="O30" s="221"/>
      <c r="P30" s="222"/>
      <c r="Q30" s="222"/>
      <c r="R30" s="221"/>
      <c r="S30" s="222"/>
      <c r="T30" s="222"/>
      <c r="U30" s="221"/>
      <c r="V30" s="222"/>
      <c r="W30" s="222"/>
      <c r="X30" s="221"/>
      <c r="Y30" s="222"/>
      <c r="Z30" s="222"/>
    </row>
    <row r="31" s="223" customFormat="true" ht="15.75" hidden="false" customHeight="false" outlineLevel="0" collapsed="false">
      <c r="A31" s="223" t="s">
        <v>322</v>
      </c>
      <c r="D31" s="223" t="n">
        <f aca="false">SUM(D6:D29)</f>
        <v>2.55200000000002</v>
      </c>
      <c r="G31" s="223" t="n">
        <f aca="false">SUM(G6:G29)</f>
        <v>43.999</v>
      </c>
      <c r="J31" s="223" t="n">
        <f aca="false">SUM(J6:J29)</f>
        <v>-4.39199999999998</v>
      </c>
      <c r="M31" s="223" t="n">
        <f aca="false">SUM(M6:M29)</f>
        <v>17.5309999999999</v>
      </c>
      <c r="P31" s="223" t="n">
        <f aca="false">SUM(P6:P29)</f>
        <v>9.483</v>
      </c>
      <c r="S31" s="223" t="n">
        <f aca="false">SUM(S6:S29)</f>
        <v>10.101</v>
      </c>
      <c r="V31" s="223" t="n">
        <f aca="false">SUM(V6:V29)</f>
        <v>-6.26300000000003</v>
      </c>
      <c r="Y31" s="223" t="n">
        <f aca="false">SUM(Y6:Y29)</f>
        <v>3.11500000000002</v>
      </c>
    </row>
    <row r="32" customFormat="false" ht="6.75" hidden="false" customHeight="true" outlineLevel="0" collapsed="false"/>
    <row r="33" s="226" customFormat="true" ht="15.75" hidden="false" customHeight="false" outlineLevel="0" collapsed="false">
      <c r="A33" s="223" t="s">
        <v>323</v>
      </c>
      <c r="D33" s="227" t="n">
        <f aca="false">(D6+D8+D10+D12+D14+D16+D18+D20+D22+D24+D26+D28)/(C7+C9+C11+C13+C15+C17+C19+C21+C23+C25+C27+C29)</f>
        <v>0.0146525194065501</v>
      </c>
      <c r="G33" s="227" t="n">
        <f aca="false">(G6+G8+G10+G12+G14+G16+G18+G20+G22+G24+G26+G28)/(F7+F9+F11+F13+F15+F17+F19+F21+F23+F25+F27+F29)</f>
        <v>0.16354803217509</v>
      </c>
      <c r="J33" s="227" t="n">
        <f aca="false">(J6+J8+J10+J12+J14+J16+J18+J20+J22+J24+J26+J28)/(I7+I9+I11+I13+I15+I17+I19+I21+I23+I25+I27+I29)</f>
        <v>-0.0210236084783731</v>
      </c>
      <c r="M33" s="227" t="n">
        <f aca="false">(M6+M8+M10+M12+M14+M16+M18+M20+M22+M24+M26+M28)/(L7+L9+L11+L13+L15+L17+L19+L21+L23+L25+L27+L29)</f>
        <v>0.0944476769244026</v>
      </c>
      <c r="P33" s="227" t="n">
        <f aca="false">(P6+P8+P10+P12+P14+P16+P18+P20+P22+P24+P26+P28)/(O7+O9+O11+O13+O15+O17+O19+O21+O23+O25+O27+O29)</f>
        <v>0.0517687520471667</v>
      </c>
      <c r="S33" s="227" t="n">
        <f aca="false">(S6+S8+S10+S12+S14+S16+S18+S20+S22+S24+S26+S28)/(R7+R9+R11+R13+R15+R17+R19+R21+R23+R25+R27+R29)</f>
        <v>0.0485671699201847</v>
      </c>
      <c r="V33" s="227" t="n">
        <f aca="false">(V6+V8+V10+V12+V14+V16+V18+V20+V22+V24+V26+V28)/(U7+U9+U11+U13+U15+U17+U19+U21+U23+U25+U27+U29)</f>
        <v>-0.0344007470064816</v>
      </c>
      <c r="Y33" s="227" t="n">
        <f aca="false">(Y6+Y8+Y10+Y12+Y14+Y16+Y18+Y20+Y22+Y24+Y26+Y28)/(X7+X9+X11+X13+X15+X17+X19+X21+X23+X25+X27+X29)</f>
        <v>0.0170404814004377</v>
      </c>
    </row>
    <row r="34" s="228" customFormat="true" ht="15" hidden="false" customHeight="false" outlineLevel="0" collapsed="false">
      <c r="D34" s="228" t="n">
        <v>1850</v>
      </c>
      <c r="G34" s="228" t="n">
        <v>1851</v>
      </c>
      <c r="J34" s="228" t="n">
        <v>1852</v>
      </c>
      <c r="M34" s="228" t="n">
        <v>1853</v>
      </c>
      <c r="P34" s="228" t="n">
        <v>1854</v>
      </c>
      <c r="S34" s="228" t="n">
        <v>1855</v>
      </c>
      <c r="V34" s="228" t="n">
        <v>1856</v>
      </c>
      <c r="Y34" s="228" t="n">
        <v>1857</v>
      </c>
    </row>
    <row r="38" customFormat="false" ht="15" hidden="false" customHeight="false" outlineLevel="0" collapsed="false">
      <c r="A38" s="230"/>
    </row>
    <row r="39" customFormat="false" ht="15" hidden="false" customHeight="false" outlineLevel="0" collapsed="false">
      <c r="A39" s="231"/>
    </row>
    <row r="40" customFormat="false" ht="15" hidden="false" customHeight="false" outlineLevel="0" collapsed="false">
      <c r="A40" s="230"/>
    </row>
  </sheetData>
  <mergeCells count="213">
    <mergeCell ref="A4:B5"/>
    <mergeCell ref="C4:E4"/>
    <mergeCell ref="F4:H4"/>
    <mergeCell ref="I4:K4"/>
    <mergeCell ref="L4:N4"/>
    <mergeCell ref="O4:Q4"/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M6:M7"/>
    <mergeCell ref="N6:N7"/>
    <mergeCell ref="P6:P7"/>
    <mergeCell ref="Q6:Q7"/>
    <mergeCell ref="S6:S7"/>
    <mergeCell ref="T6:T7"/>
    <mergeCell ref="V6:V7"/>
    <mergeCell ref="W6:W7"/>
    <mergeCell ref="Y6:Y7"/>
    <mergeCell ref="Z6:Z7"/>
    <mergeCell ref="A8:A9"/>
    <mergeCell ref="D8:D9"/>
    <mergeCell ref="E8:E9"/>
    <mergeCell ref="G8:G9"/>
    <mergeCell ref="H8:H9"/>
    <mergeCell ref="J8:J9"/>
    <mergeCell ref="K8:K9"/>
    <mergeCell ref="M8:M9"/>
    <mergeCell ref="N8:N9"/>
    <mergeCell ref="P8:P9"/>
    <mergeCell ref="Q8:Q9"/>
    <mergeCell ref="S8:S9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J10:J11"/>
    <mergeCell ref="K10:K11"/>
    <mergeCell ref="M10:M11"/>
    <mergeCell ref="N10:N11"/>
    <mergeCell ref="P10:P11"/>
    <mergeCell ref="Q10:Q11"/>
    <mergeCell ref="S10:S11"/>
    <mergeCell ref="T10:T11"/>
    <mergeCell ref="V10:V11"/>
    <mergeCell ref="W10:W11"/>
    <mergeCell ref="Y10:Y11"/>
    <mergeCell ref="Z10:Z11"/>
    <mergeCell ref="A12:A13"/>
    <mergeCell ref="D12:D13"/>
    <mergeCell ref="E12:E13"/>
    <mergeCell ref="G12:G13"/>
    <mergeCell ref="H12:H13"/>
    <mergeCell ref="J12:J13"/>
    <mergeCell ref="K12:K13"/>
    <mergeCell ref="M12:M13"/>
    <mergeCell ref="N12:N13"/>
    <mergeCell ref="P12:P13"/>
    <mergeCell ref="Q12:Q13"/>
    <mergeCell ref="S12:S13"/>
    <mergeCell ref="T12:T13"/>
    <mergeCell ref="V12:V13"/>
    <mergeCell ref="W12:W13"/>
    <mergeCell ref="Y12:Y13"/>
    <mergeCell ref="Z12:Z13"/>
    <mergeCell ref="A14:A15"/>
    <mergeCell ref="D14:D15"/>
    <mergeCell ref="E14:E15"/>
    <mergeCell ref="G14:G15"/>
    <mergeCell ref="H14:H15"/>
    <mergeCell ref="J14:J15"/>
    <mergeCell ref="K14:K15"/>
    <mergeCell ref="M14:M15"/>
    <mergeCell ref="N14:N15"/>
    <mergeCell ref="P14:P15"/>
    <mergeCell ref="Q14:Q15"/>
    <mergeCell ref="S14:S15"/>
    <mergeCell ref="T14:T15"/>
    <mergeCell ref="V14:V15"/>
    <mergeCell ref="W14:W15"/>
    <mergeCell ref="Y14:Y15"/>
    <mergeCell ref="Z14:Z15"/>
    <mergeCell ref="A16:A17"/>
    <mergeCell ref="D16:D17"/>
    <mergeCell ref="E16:E17"/>
    <mergeCell ref="G16:G17"/>
    <mergeCell ref="H16:H17"/>
    <mergeCell ref="J16:J17"/>
    <mergeCell ref="K16:K17"/>
    <mergeCell ref="M16:M17"/>
    <mergeCell ref="N16:N17"/>
    <mergeCell ref="P16:P17"/>
    <mergeCell ref="Q16:Q17"/>
    <mergeCell ref="S16:S17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J18:J19"/>
    <mergeCell ref="K18:K19"/>
    <mergeCell ref="M18:M19"/>
    <mergeCell ref="N18:N19"/>
    <mergeCell ref="P18:P19"/>
    <mergeCell ref="Q18:Q19"/>
    <mergeCell ref="S18:S19"/>
    <mergeCell ref="T18:T19"/>
    <mergeCell ref="V18:V19"/>
    <mergeCell ref="W18:W19"/>
    <mergeCell ref="Y18:Y19"/>
    <mergeCell ref="Z18:Z19"/>
    <mergeCell ref="A20:A21"/>
    <mergeCell ref="D20:D21"/>
    <mergeCell ref="E20:E21"/>
    <mergeCell ref="G20:G21"/>
    <mergeCell ref="H20:H21"/>
    <mergeCell ref="J20:J21"/>
    <mergeCell ref="K20:K21"/>
    <mergeCell ref="M20:M21"/>
    <mergeCell ref="N20:N21"/>
    <mergeCell ref="P20:P21"/>
    <mergeCell ref="Q20:Q21"/>
    <mergeCell ref="S20:S21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J22:J23"/>
    <mergeCell ref="K22:K23"/>
    <mergeCell ref="M22:M23"/>
    <mergeCell ref="N22:N23"/>
    <mergeCell ref="P22:P23"/>
    <mergeCell ref="Q22:Q23"/>
    <mergeCell ref="S22:S23"/>
    <mergeCell ref="T22:T23"/>
    <mergeCell ref="V22:V23"/>
    <mergeCell ref="W22:W23"/>
    <mergeCell ref="Y22:Y23"/>
    <mergeCell ref="Z22:Z23"/>
    <mergeCell ref="A24:A25"/>
    <mergeCell ref="D24:D25"/>
    <mergeCell ref="E24:E25"/>
    <mergeCell ref="G24:G25"/>
    <mergeCell ref="H24:H25"/>
    <mergeCell ref="J24:J25"/>
    <mergeCell ref="K24:K25"/>
    <mergeCell ref="M24:M25"/>
    <mergeCell ref="N24:N25"/>
    <mergeCell ref="P24:P25"/>
    <mergeCell ref="Q24:Q25"/>
    <mergeCell ref="S24:S25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J26:J27"/>
    <mergeCell ref="K26:K27"/>
    <mergeCell ref="M26:M27"/>
    <mergeCell ref="N26:N27"/>
    <mergeCell ref="P26:P27"/>
    <mergeCell ref="Q26:Q27"/>
    <mergeCell ref="S26:S27"/>
    <mergeCell ref="T26:T27"/>
    <mergeCell ref="V26:V27"/>
    <mergeCell ref="W26:W27"/>
    <mergeCell ref="Y26:Y27"/>
    <mergeCell ref="Z26:Z27"/>
    <mergeCell ref="A28:A29"/>
    <mergeCell ref="D28:D29"/>
    <mergeCell ref="E28:E29"/>
    <mergeCell ref="G28:G29"/>
    <mergeCell ref="H28:H29"/>
    <mergeCell ref="J28:J29"/>
    <mergeCell ref="K28:K29"/>
    <mergeCell ref="M28:M29"/>
    <mergeCell ref="N28:N29"/>
    <mergeCell ref="P28:P29"/>
    <mergeCell ref="Q28:Q29"/>
    <mergeCell ref="S28:S29"/>
    <mergeCell ref="T28:T29"/>
    <mergeCell ref="V28:V29"/>
    <mergeCell ref="W28:W29"/>
    <mergeCell ref="Y28:Y29"/>
    <mergeCell ref="Z28:Z29"/>
  </mergeCells>
  <printOptions headings="false" gridLines="false" gridLinesSet="true" horizontalCentered="true" verticalCentered="true"/>
  <pageMargins left="0" right="0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6.29"/>
    <col collapsed="false" customWidth="true" hidden="false" outlineLevel="0" max="5" min="2" style="162" width="13.15"/>
    <col collapsed="false" customWidth="true" hidden="false" outlineLevel="0" max="6" min="6" style="162" width="11"/>
    <col collapsed="false" customWidth="true" hidden="false" outlineLevel="0" max="10" min="7" style="162" width="11.43"/>
    <col collapsed="false" customWidth="true" hidden="false" outlineLevel="0" max="11" min="11" style="162" width="16"/>
    <col collapsed="false" customWidth="true" hidden="false" outlineLevel="0" max="15" min="12" style="162" width="6.43"/>
    <col collapsed="false" customWidth="false" hidden="false" outlineLevel="0" max="16384" min="16" style="162" width="9"/>
  </cols>
  <sheetData>
    <row r="1" customFormat="false" ht="18" hidden="false" customHeight="false" outlineLevel="0" collapsed="false">
      <c r="A1" s="163" t="s">
        <v>324</v>
      </c>
      <c r="B1" s="188" t="n">
        <f aca="false">S1!B1</f>
        <v>2022</v>
      </c>
      <c r="C1" s="188"/>
      <c r="D1" s="188"/>
      <c r="E1" s="188"/>
      <c r="F1" s="188"/>
    </row>
    <row r="2" customFormat="false" ht="18" hidden="false" customHeight="false" outlineLevel="0" collapsed="false">
      <c r="K2" s="233"/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  <c r="F3" s="234"/>
      <c r="K3" s="235"/>
    </row>
    <row r="4" customFormat="false" ht="18" hidden="false" customHeight="false" outlineLevel="0" collapsed="false">
      <c r="A4" s="185" t="s">
        <v>292</v>
      </c>
      <c r="B4" s="176" t="n">
        <f aca="false">S1!B4+S2!B4+S3!B4+S4!B4+S5!B4+S6!B4+S7!B4+S8!B4+S9!B4+S10!B4+S11!B4+S12!B4</f>
        <v>676.654</v>
      </c>
      <c r="C4" s="176" t="n">
        <f aca="false">S1!C4+S2!C4+S3!C4+S4!C4+S5!C4+S6!C4+S7!C4+S8!C4+S9!C4+S10!C4+S11!C4+S12!C4</f>
        <v>928.197</v>
      </c>
      <c r="D4" s="176" t="n">
        <f aca="false">S1!D4+S2!D4+S3!D4+S4!D4+S5!D4+S6!D4+S7!D4+S8!D4+S9!D4+S10!D4+S11!D4+S12!D4</f>
        <v>976.958</v>
      </c>
      <c r="E4" s="176" t="n">
        <f aca="false">S1!E4+S2!E4+S3!E4+S4!E4+S5!E4+S6!E4+S7!E4+S8!E4+S9!E4+S10!E4+S11!E4+S12!E4</f>
        <v>875.571</v>
      </c>
      <c r="F4" s="178"/>
      <c r="G4" s="172" t="n">
        <f aca="false">1-B4/B5</f>
        <v>0.11211914446923</v>
      </c>
      <c r="H4" s="172" t="n">
        <f aca="false">1-C4/C5</f>
        <v>0.0705947732051673</v>
      </c>
      <c r="I4" s="172" t="n">
        <f aca="false">1-D4/D5</f>
        <v>0.0997438260228529</v>
      </c>
      <c r="J4" s="172" t="n">
        <f aca="false">1-E4/E5</f>
        <v>0.0806688366232677</v>
      </c>
      <c r="K4" s="236"/>
    </row>
    <row r="5" customFormat="false" ht="18" hidden="false" customHeight="false" outlineLevel="0" collapsed="false">
      <c r="A5" s="185" t="s">
        <v>293</v>
      </c>
      <c r="B5" s="170" t="n">
        <f aca="false">'1850'!O26-'1850'!C26</f>
        <v>762.1</v>
      </c>
      <c r="C5" s="170" t="n">
        <f aca="false">'1851'!P26-'1851'!D26</f>
        <v>998.7</v>
      </c>
      <c r="D5" s="170" t="n">
        <f aca="false">'1852'!O26-'1852'!C26</f>
        <v>1085.2</v>
      </c>
      <c r="E5" s="237" t="n">
        <f aca="false">'1853'!O27-'1853'!C27</f>
        <v>952.4</v>
      </c>
      <c r="F5" s="238"/>
    </row>
    <row r="6" customFormat="false" ht="18" hidden="false" customHeight="false" outlineLevel="0" collapsed="false">
      <c r="A6" s="185" t="s">
        <v>294</v>
      </c>
      <c r="B6" s="239" t="n">
        <f aca="false">SUM(B5:E5)</f>
        <v>3798.4</v>
      </c>
      <c r="C6" s="239"/>
      <c r="D6" s="239"/>
      <c r="E6" s="239"/>
      <c r="F6" s="240"/>
      <c r="G6" s="172" t="n">
        <f aca="false">1-B6/B7</f>
        <v>0.0449322370571518</v>
      </c>
    </row>
    <row r="7" customFormat="false" ht="18" hidden="false" customHeight="false" outlineLevel="0" collapsed="false">
      <c r="A7" s="185" t="s">
        <v>295</v>
      </c>
      <c r="B7" s="241" t="n">
        <f aca="false">'1850'!O29-'1850'!C29</f>
        <v>3977.1</v>
      </c>
      <c r="C7" s="241"/>
      <c r="D7" s="241"/>
      <c r="E7" s="241"/>
      <c r="F7" s="240"/>
    </row>
    <row r="8" customFormat="false" ht="18" hidden="false" customHeight="false" outlineLevel="0" collapsed="false">
      <c r="A8" s="173" t="s">
        <v>296</v>
      </c>
      <c r="B8" s="242"/>
      <c r="C8" s="242"/>
      <c r="D8" s="242"/>
      <c r="E8" s="243"/>
      <c r="F8" s="178"/>
    </row>
    <row r="9" customFormat="false" ht="18" hidden="false" customHeight="false" outlineLevel="0" collapsed="false">
      <c r="A9" s="168" t="s">
        <v>297</v>
      </c>
      <c r="B9" s="176" t="n">
        <f aca="false">S1!B9+S2!B9+S3!B9+S4!B9+S5!B9+S6!B9+S7!B9+S8!B9+S9!B9+S10!B9+S11!B9+S12!B9</f>
        <v>171.616</v>
      </c>
      <c r="C9" s="176" t="n">
        <f aca="false">S1!C9+S2!C9+S3!C9+S4!C9+S5!C9+S6!C9+S7!C9+S8!C9+S9!C9+S10!C9+S11!C9+S12!C9</f>
        <v>225.029</v>
      </c>
      <c r="D9" s="176" t="n">
        <f aca="false">S1!D9+S2!D9+S3!D9+S4!D9+S5!D9+S6!D9+S7!D9+S8!D9+S9!D9+S10!D9+S11!D9+S12!D9</f>
        <v>213.3</v>
      </c>
      <c r="E9" s="176" t="n">
        <f aca="false">S1!E9+S2!E9+S3!E9+S4!E9+S5!E9+S6!E9+S7!E9+S8!E9+S9!E9+S10!E9+S11!E9+S12!E9</f>
        <v>168.085</v>
      </c>
      <c r="F9" s="178"/>
      <c r="G9" s="172" t="n">
        <f aca="false">1-B9/B10</f>
        <v>0.01465251940655</v>
      </c>
      <c r="H9" s="172" t="n">
        <f aca="false">1-C9/C10</f>
        <v>0.16354803217509</v>
      </c>
      <c r="I9" s="172" t="n">
        <f aca="false">1-D9/D10</f>
        <v>-0.0210236084783733</v>
      </c>
      <c r="J9" s="172" t="n">
        <f aca="false">1-E9/E10</f>
        <v>0.0944476769244027</v>
      </c>
    </row>
    <row r="10" customFormat="false" ht="18" hidden="false" customHeight="false" outlineLevel="0" collapsed="false">
      <c r="A10" s="168" t="s">
        <v>298</v>
      </c>
      <c r="B10" s="191" t="n">
        <f aca="false">('1850'!O27-'1850'!C27)*3.6</f>
        <v>174.168</v>
      </c>
      <c r="C10" s="191" t="n">
        <f aca="false">('1851'!P27-'1851'!D27)*3.6</f>
        <v>269.028</v>
      </c>
      <c r="D10" s="191" t="n">
        <f aca="false">('1852'!O27-'1852'!C27)*3.6</f>
        <v>208.908</v>
      </c>
      <c r="E10" s="191" t="n">
        <f aca="false">('1853'!O28-'1853'!C28)*3.6</f>
        <v>185.616</v>
      </c>
      <c r="F10" s="238"/>
    </row>
    <row r="11" customFormat="false" ht="18" hidden="false" customHeight="false" outlineLevel="0" collapsed="false">
      <c r="A11" s="173" t="s">
        <v>304</v>
      </c>
      <c r="B11" s="242"/>
      <c r="C11" s="242"/>
      <c r="D11" s="242"/>
      <c r="E11" s="243"/>
      <c r="F11" s="178"/>
    </row>
    <row r="12" customFormat="false" ht="18" hidden="false" customHeight="false" outlineLevel="0" collapsed="false">
      <c r="A12" s="168" t="s">
        <v>300</v>
      </c>
      <c r="B12" s="244" t="n">
        <f aca="false">'1850'!O25-'1850'!E35+'1850'!E34-'1850'!C25</f>
        <v>2725</v>
      </c>
      <c r="C12" s="245" t="n">
        <f aca="false">'1851'!P24-'1851'!I58+'1851'!I57-'1851'!D24</f>
        <v>3659</v>
      </c>
      <c r="D12" s="245" t="n">
        <f aca="false">'1852'!O25-'1852'!H37+'1852'!H36-'1852'!C25</f>
        <v>2479</v>
      </c>
      <c r="E12" s="245" t="n">
        <f aca="false">'1853'!O24-'1853'!H37+'1853'!H36-'1853'!C24</f>
        <v>2157</v>
      </c>
      <c r="F12" s="179"/>
    </row>
    <row r="13" customFormat="false" ht="18" hidden="false" customHeight="false" outlineLevel="0" collapsed="false">
      <c r="A13" s="178"/>
      <c r="B13" s="181"/>
      <c r="C13" s="181"/>
      <c r="D13" s="181"/>
      <c r="E13" s="181"/>
      <c r="F13" s="179"/>
      <c r="G13" s="179"/>
      <c r="H13" s="179"/>
      <c r="I13" s="179"/>
      <c r="J13" s="179"/>
    </row>
    <row r="14" customFormat="false" ht="18" hidden="false" customHeight="false" outlineLevel="0" collapsed="false">
      <c r="A14" s="178" t="s">
        <v>301</v>
      </c>
      <c r="B14" s="246" t="n">
        <f aca="false">'1853'!O25-'1853'!H40+'1853'!H39-'1853'!C25</f>
        <v>4262</v>
      </c>
      <c r="C14" s="181"/>
      <c r="D14" s="181"/>
      <c r="E14" s="181"/>
      <c r="F14" s="179"/>
      <c r="G14" s="179"/>
      <c r="H14" s="179"/>
      <c r="I14" s="179"/>
      <c r="J14" s="179"/>
    </row>
    <row r="15" customFormat="false" ht="18" hidden="false" customHeight="false" outlineLevel="0" collapsed="false">
      <c r="A15" s="178" t="s">
        <v>302</v>
      </c>
      <c r="B15" s="247" t="n">
        <f aca="false">'1853'!O26-'1853'!D26</f>
        <v>97.836</v>
      </c>
      <c r="C15" s="248" t="n">
        <f aca="false">'S 2022'!C15</f>
        <v>98</v>
      </c>
      <c r="D15" s="181"/>
      <c r="E15" s="181"/>
      <c r="F15" s="181"/>
      <c r="G15" s="179"/>
      <c r="H15" s="179"/>
      <c r="I15" s="179"/>
      <c r="J15" s="179"/>
    </row>
    <row r="16" customFormat="false" ht="18" hidden="false" customHeight="false" outlineLevel="0" collapsed="false">
      <c r="A16" s="178"/>
      <c r="B16" s="181"/>
      <c r="C16" s="181"/>
      <c r="D16" s="181"/>
      <c r="E16" s="181"/>
      <c r="F16" s="179"/>
      <c r="G16" s="179"/>
      <c r="H16" s="179"/>
      <c r="I16" s="179"/>
      <c r="J16" s="179"/>
      <c r="K16" s="179"/>
    </row>
    <row r="17" customFormat="false" ht="18" hidden="false" customHeight="false" outlineLevel="0" collapsed="false">
      <c r="B17" s="249"/>
      <c r="C17" s="249"/>
      <c r="D17" s="249"/>
      <c r="E17" s="249"/>
    </row>
    <row r="18" customFormat="false" ht="18" hidden="false" customHeight="false" outlineLevel="0" collapsed="false">
      <c r="A18" s="165" t="s">
        <v>291</v>
      </c>
      <c r="B18" s="250" t="n">
        <v>1854</v>
      </c>
      <c r="C18" s="250" t="n">
        <v>1855</v>
      </c>
      <c r="D18" s="250" t="n">
        <v>1856</v>
      </c>
      <c r="E18" s="250" t="n">
        <v>1857</v>
      </c>
      <c r="F18" s="234"/>
    </row>
    <row r="19" customFormat="false" ht="18" hidden="false" customHeight="false" outlineLevel="0" collapsed="false">
      <c r="A19" s="168" t="s">
        <v>292</v>
      </c>
      <c r="B19" s="176" t="n">
        <f aca="false">S1!B19+S2!B19+S3!B19+S4!B19+S5!B19+S6!B19+S7!B19+S8!B19+S9!B19+S10!B19+S11!B19+S12!B19</f>
        <v>676.153</v>
      </c>
      <c r="C19" s="176" t="n">
        <f aca="false">S1!C19+S2!C19+S3!C19+S4!C19+S5!C19+S6!C19+S7!C19+S8!C19+S9!C19+S10!C19+S11!C19+S12!C19</f>
        <v>769.584</v>
      </c>
      <c r="D19" s="176" t="n">
        <f aca="false">S1!D19+S2!D19+S3!D19+S4!D19+S5!D19+S6!D19+S7!D19+S8!D19+S9!D19+S10!D19+S11!D19+S12!D19</f>
        <v>809.822</v>
      </c>
      <c r="E19" s="176" t="n">
        <f aca="false">S1!E19+S2!E19+S3!E19+S4!E19+S5!E19+S6!E19+S7!E19+S8!E19+S9!E19+S10!E19+S11!E19+S12!E19</f>
        <v>785.55</v>
      </c>
      <c r="F19" s="178"/>
      <c r="G19" s="172" t="n">
        <f aca="false">1-B19/B20</f>
        <v>0.0902139397201289</v>
      </c>
      <c r="H19" s="172" t="n">
        <f aca="false">1-C19/C20</f>
        <v>0.114708386057747</v>
      </c>
      <c r="I19" s="172" t="n">
        <f aca="false">1-D19/D20</f>
        <v>0.0945639534883721</v>
      </c>
      <c r="J19" s="172" t="n">
        <f aca="false">1-E19/E20</f>
        <v>0.0998624957029906</v>
      </c>
    </row>
    <row r="20" customFormat="false" ht="18" hidden="false" customHeight="false" outlineLevel="0" collapsed="false">
      <c r="A20" s="168" t="s">
        <v>293</v>
      </c>
      <c r="B20" s="170" t="n">
        <f aca="false">'1854'!O26-'1854'!C26</f>
        <v>743.2</v>
      </c>
      <c r="C20" s="170" t="n">
        <f aca="false">'1855'!O26-'1855'!C26</f>
        <v>869.3</v>
      </c>
      <c r="D20" s="170" t="n">
        <f aca="false">'1856'!O26-'1856'!C26</f>
        <v>894.4</v>
      </c>
      <c r="E20" s="170" t="n">
        <f aca="false">'1857'!O26-'1857'!C26</f>
        <v>872.7</v>
      </c>
      <c r="F20" s="178"/>
    </row>
    <row r="21" customFormat="false" ht="18" hidden="false" customHeight="false" outlineLevel="0" collapsed="false">
      <c r="A21" s="168" t="s">
        <v>294</v>
      </c>
      <c r="B21" s="239" t="n">
        <f aca="false">SUM(B20:E20)</f>
        <v>3379.6</v>
      </c>
      <c r="C21" s="239"/>
      <c r="D21" s="239"/>
      <c r="E21" s="239"/>
      <c r="F21" s="240"/>
      <c r="G21" s="172" t="n">
        <f aca="false">1-B21/B22</f>
        <v>-0.0432152117545372</v>
      </c>
    </row>
    <row r="22" customFormat="false" ht="18" hidden="false" customHeight="false" outlineLevel="0" collapsed="false">
      <c r="A22" s="168" t="s">
        <v>295</v>
      </c>
      <c r="B22" s="239" t="n">
        <f aca="false">'1854'!O29-'1854'!N35+'1854'!N33-'1854'!C29</f>
        <v>3239.6</v>
      </c>
      <c r="C22" s="239"/>
      <c r="D22" s="239"/>
      <c r="E22" s="239"/>
      <c r="F22" s="240"/>
    </row>
    <row r="23" customFormat="false" ht="18" hidden="false" customHeight="false" outlineLevel="0" collapsed="false">
      <c r="A23" s="173" t="s">
        <v>296</v>
      </c>
      <c r="B23" s="242"/>
      <c r="C23" s="242"/>
      <c r="D23" s="242"/>
      <c r="E23" s="243"/>
      <c r="F23" s="178"/>
    </row>
    <row r="24" customFormat="false" ht="18" hidden="false" customHeight="false" outlineLevel="0" collapsed="false">
      <c r="A24" s="168" t="s">
        <v>297</v>
      </c>
      <c r="B24" s="176" t="n">
        <f aca="false">S1!B24+S2!B24+S3!B24+S4!B24+S5!B24+S6!B24+S7!B24+S8!B24+S9!B24+S10!B24+S11!B24+S12!B24</f>
        <v>173.697</v>
      </c>
      <c r="C24" s="176" t="n">
        <f aca="false">S1!C24+S2!C24+S3!C24+S4!C24+S5!C24+S6!C24+S7!C24+S8!C24+S9!C24+S10!C24+S11!C24+S12!C24</f>
        <v>197.879</v>
      </c>
      <c r="D24" s="176" t="n">
        <f aca="false">S1!D24+S2!D24+S3!D24+S4!D24+S5!D24+S6!D24+S7!D24+S8!D24+S9!D24+S10!D24+S11!D24+S12!D24</f>
        <v>188.323</v>
      </c>
      <c r="E24" s="176" t="n">
        <f aca="false">S1!E24+S2!E24+S3!E24+S4!E24+S5!E24+S6!E24+S7!E24+S8!E24+S9!E24+S10!E24+S11!E24+S12!E24</f>
        <v>179.685</v>
      </c>
      <c r="F24" s="178"/>
      <c r="G24" s="172" t="n">
        <f aca="false">1-B24/B25</f>
        <v>0.0517687520471666</v>
      </c>
      <c r="H24" s="172" t="n">
        <f aca="false">1-C24/C25</f>
        <v>0.0485671699201847</v>
      </c>
      <c r="I24" s="172" t="n">
        <f aca="false">1-D24/D25</f>
        <v>-0.0344007470064816</v>
      </c>
      <c r="J24" s="172" t="n">
        <f aca="false">1-E24/E25</f>
        <v>0.0170404814004378</v>
      </c>
    </row>
    <row r="25" customFormat="false" ht="18" hidden="false" customHeight="false" outlineLevel="0" collapsed="false">
      <c r="A25" s="168" t="s">
        <v>298</v>
      </c>
      <c r="B25" s="191" t="n">
        <f aca="false">('1854'!O27-'1854'!C27)</f>
        <v>183.18</v>
      </c>
      <c r="C25" s="191" t="n">
        <f aca="false">('1855'!O27-'1855'!C27)</f>
        <v>207.98</v>
      </c>
      <c r="D25" s="191" t="n">
        <f aca="false">('1856'!O27-'1856'!C27)</f>
        <v>182.06</v>
      </c>
      <c r="E25" s="191" t="n">
        <f aca="false">('1857'!O27-'1857'!C27)</f>
        <v>182.8</v>
      </c>
      <c r="F25" s="238"/>
    </row>
    <row r="26" customFormat="false" ht="18" hidden="false" customHeight="false" outlineLevel="0" collapsed="false">
      <c r="A26" s="173" t="s">
        <v>304</v>
      </c>
      <c r="B26" s="242"/>
      <c r="C26" s="242"/>
      <c r="D26" s="242"/>
      <c r="E26" s="243"/>
      <c r="F26" s="178"/>
    </row>
    <row r="27" customFormat="false" ht="18" hidden="false" customHeight="false" outlineLevel="0" collapsed="false">
      <c r="A27" s="168" t="s">
        <v>300</v>
      </c>
      <c r="B27" s="245" t="n">
        <f aca="false">'1854'!O25-'1854'!C25</f>
        <v>2390</v>
      </c>
      <c r="C27" s="245" t="n">
        <f aca="false">'1855'!O25-'1855'!C25</f>
        <v>2776</v>
      </c>
      <c r="D27" s="245" t="n">
        <f aca="false">'1856'!O25-'1856'!C25</f>
        <v>2396</v>
      </c>
      <c r="E27" s="245" t="n">
        <f aca="false">'1857'!O25-'1857'!C25</f>
        <v>2478</v>
      </c>
      <c r="F27" s="179"/>
    </row>
  </sheetData>
  <mergeCells count="4">
    <mergeCell ref="B6:E6"/>
    <mergeCell ref="B7:E7"/>
    <mergeCell ref="B21:E21"/>
    <mergeCell ref="B22:E22"/>
  </mergeCells>
  <conditionalFormatting sqref="B25:E25">
    <cfRule type="cellIs" priority="2" operator="lessThan" aboveAverage="0" equalAverage="0" bottom="0" percent="0" rank="0" text="" dxfId="4895">
      <formula>0</formula>
    </cfRule>
  </conditionalFormatting>
  <conditionalFormatting sqref="G1:J2 G13:H17 G28:J65536 I13:J13 I16:J17">
    <cfRule type="cellIs" priority="3" operator="lessThan" aboveAverage="0" equalAverage="0" bottom="0" percent="0" rank="0" text="" dxfId="4896">
      <formula>0</formula>
    </cfRule>
  </conditionalFormatting>
  <conditionalFormatting sqref="G1:J2 G13:J17 G28:J65536">
    <cfRule type="cellIs" priority="4" operator="lessThan" aboveAverage="0" equalAverage="0" bottom="0" percent="0" rank="0" text="" dxfId="4897">
      <formula>0</formula>
    </cfRule>
  </conditionalFormatting>
  <conditionalFormatting sqref="G1:J2 G13:J17 G28:J65536">
    <cfRule type="cellIs" priority="5" operator="lessThan" aboveAverage="0" equalAverage="0" bottom="0" percent="0" rank="0" text="" dxfId="4898">
      <formula>0</formula>
    </cfRule>
  </conditionalFormatting>
  <conditionalFormatting sqref="G1:J2 G13:J17 G28:J65536">
    <cfRule type="cellIs" priority="6" operator="lessThan" aboveAverage="0" equalAverage="0" bottom="0" percent="0" rank="0" text="" dxfId="4899">
      <formula>0</formula>
    </cfRule>
  </conditionalFormatting>
  <conditionalFormatting sqref="G1:J2 G13:J17 G28:J65536">
    <cfRule type="cellIs" priority="7" operator="lessThan" aboveAverage="0" equalAverage="0" bottom="0" percent="0" rank="0" text="" dxfId="4900">
      <formula>0</formula>
    </cfRule>
  </conditionalFormatting>
  <conditionalFormatting sqref="G1:J2 G13:J17 G28:J65536">
    <cfRule type="cellIs" priority="8" operator="lessThan" aboveAverage="0" equalAverage="0" bottom="0" percent="0" rank="0" text="" dxfId="4901">
      <formula>0</formula>
    </cfRule>
  </conditionalFormatting>
  <conditionalFormatting sqref="B1:B1048576 C1:F5 C23:F65536 C8:F20">
    <cfRule type="cellIs" priority="9" operator="lessThan" aboveAverage="0" equalAverage="0" bottom="0" percent="0" rank="0" text="" dxfId="4902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8" zeroHeight="false" outlineLevelRow="0" outlineLevelCol="0"/>
  <cols>
    <col collapsed="false" customWidth="true" hidden="false" outlineLevel="0" max="1" min="1" style="162" width="36.29"/>
    <col collapsed="false" customWidth="true" hidden="false" outlineLevel="0" max="5" min="2" style="162" width="13.15"/>
    <col collapsed="false" customWidth="true" hidden="false" outlineLevel="0" max="6" min="6" style="162" width="2.57"/>
    <col collapsed="false" customWidth="true" hidden="false" outlineLevel="0" max="7" min="7" style="162" width="11.43"/>
    <col collapsed="false" customWidth="true" hidden="false" outlineLevel="0" max="8" min="8" style="162" width="14.14"/>
    <col collapsed="false" customWidth="true" hidden="false" outlineLevel="0" max="9" min="9" style="162" width="14.42"/>
    <col collapsed="false" customWidth="true" hidden="false" outlineLevel="0" max="11" min="10" style="162" width="9.86"/>
    <col collapsed="false" customWidth="true" hidden="false" outlineLevel="0" max="12" min="12" style="162" width="8.86"/>
    <col collapsed="false" customWidth="true" hidden="false" outlineLevel="0" max="13" min="13" style="162" width="5"/>
    <col collapsed="false" customWidth="true" hidden="false" outlineLevel="0" max="14" min="14" style="162" width="2.71"/>
    <col collapsed="false" customWidth="true" hidden="false" outlineLevel="0" max="15" min="15" style="162" width="8.15"/>
    <col collapsed="false" customWidth="true" hidden="false" outlineLevel="0" max="16" min="16" style="162" width="5.71"/>
    <col collapsed="false" customWidth="true" hidden="false" outlineLevel="0" max="17" min="17" style="162" width="2.71"/>
    <col collapsed="false" customWidth="true" hidden="false" outlineLevel="0" max="19" min="18" style="162" width="7.71"/>
    <col collapsed="false" customWidth="true" hidden="false" outlineLevel="0" max="20" min="20" style="231" width="7.71"/>
    <col collapsed="false" customWidth="true" hidden="false" outlineLevel="0" max="21" min="21" style="231" width="11.43"/>
    <col collapsed="false" customWidth="true" hidden="false" outlineLevel="0" max="26" min="22" style="231" width="7.71"/>
    <col collapsed="false" customWidth="true" hidden="false" outlineLevel="0" max="29" min="27" style="231" width="9.86"/>
    <col collapsed="false" customWidth="true" hidden="false" outlineLevel="0" max="33" min="30" style="231" width="6.43"/>
    <col collapsed="false" customWidth="false" hidden="false" outlineLevel="0" max="37" min="34" style="231" width="9"/>
    <col collapsed="false" customWidth="false" hidden="false" outlineLevel="0" max="16384" min="38" style="162" width="9"/>
  </cols>
  <sheetData>
    <row r="1" customFormat="false" ht="18" hidden="false" customHeight="false" outlineLevel="0" collapsed="false">
      <c r="A1" s="163" t="s">
        <v>324</v>
      </c>
      <c r="B1" s="188" t="n">
        <f aca="false">S1!B1</f>
        <v>2022</v>
      </c>
      <c r="C1" s="188"/>
      <c r="D1" s="188"/>
      <c r="E1" s="188"/>
      <c r="F1" s="188"/>
      <c r="O1" s="251"/>
    </row>
    <row r="2" customFormat="false" ht="18" hidden="false" customHeight="false" outlineLevel="0" collapsed="false">
      <c r="O2" s="251"/>
    </row>
    <row r="3" customFormat="false" ht="18" hidden="false" customHeight="false" outlineLevel="0" collapsed="false">
      <c r="A3" s="173" t="s">
        <v>291</v>
      </c>
      <c r="B3" s="166" t="n">
        <v>1850</v>
      </c>
      <c r="C3" s="166" t="n">
        <v>1851</v>
      </c>
      <c r="D3" s="166" t="n">
        <v>1852</v>
      </c>
      <c r="E3" s="166" t="n">
        <v>1853</v>
      </c>
      <c r="F3" s="234"/>
      <c r="H3" s="252"/>
      <c r="O3" s="251"/>
    </row>
    <row r="4" customFormat="false" ht="18" hidden="false" customHeight="false" outlineLevel="0" collapsed="false">
      <c r="A4" s="185" t="s">
        <v>292</v>
      </c>
      <c r="B4" s="176" t="n">
        <f aca="false">S1!B4+S2!B4+S3!B4+S4!B4+S5!B4+S6!B4+S7!B4+S8!B4+S9!B4+S10!B4+S11!B4+S12!B4</f>
        <v>676.654</v>
      </c>
      <c r="C4" s="176" t="n">
        <f aca="false">S1!C4+S2!C4+S3!C4+S4!C4+S5!C4+S6!C4+S7!C4+S8!C4+S9!C4+S10!C4+S11!C4+S12!C4</f>
        <v>928.197</v>
      </c>
      <c r="D4" s="176" t="n">
        <f aca="false">S1!D4+S2!D4+S3!D4+S4!D4+S5!D4+S6!D4+S7!D4+S8!D4+S9!D4+S10!D4+S11!D4+S12!D4</f>
        <v>976.958</v>
      </c>
      <c r="E4" s="253" t="n">
        <f aca="false">S1!E4+S2!E4+S3!E4+S4!E4+S5!E4+S6!E4+S7!E4+S8!E4+S9!E4+S10!E4+S11!E4+S12!E4</f>
        <v>875.571</v>
      </c>
      <c r="F4" s="178"/>
      <c r="G4" s="254"/>
      <c r="H4" s="255" t="n">
        <f aca="false">'1853'!P24</f>
        <v>777.735</v>
      </c>
      <c r="I4" s="256" t="s">
        <v>325</v>
      </c>
      <c r="J4" s="257"/>
      <c r="K4" s="258"/>
      <c r="O4" s="259"/>
    </row>
    <row r="5" customFormat="false" ht="18" hidden="false" customHeight="false" outlineLevel="0" collapsed="false">
      <c r="A5" s="185" t="s">
        <v>293</v>
      </c>
      <c r="B5" s="170" t="n">
        <f aca="false">'1850'!O26-'1850'!C26</f>
        <v>762.1</v>
      </c>
      <c r="C5" s="170" t="n">
        <f aca="false">'1851'!P26-'1851'!D26</f>
        <v>998.7</v>
      </c>
      <c r="D5" s="170" t="n">
        <f aca="false">'1852'!O26-'1852'!C26</f>
        <v>1085.2</v>
      </c>
      <c r="E5" s="237" t="n">
        <f aca="false">'1853'!O27-'1853'!C27</f>
        <v>952.4</v>
      </c>
      <c r="F5" s="238"/>
      <c r="G5" s="260" t="s">
        <v>326</v>
      </c>
      <c r="H5" s="261" t="n">
        <f aca="false">E5-C15</f>
        <v>854.4</v>
      </c>
      <c r="I5" s="262" t="s">
        <v>327</v>
      </c>
      <c r="J5" s="262" t="s">
        <v>328</v>
      </c>
      <c r="K5" s="263" t="s">
        <v>329</v>
      </c>
      <c r="O5" s="264" t="s">
        <v>330</v>
      </c>
    </row>
    <row r="6" customFormat="false" ht="18" hidden="false" customHeight="false" outlineLevel="0" collapsed="false">
      <c r="A6" s="185" t="s">
        <v>294</v>
      </c>
      <c r="B6" s="239" t="n">
        <f aca="false">SUM(B5:E5)</f>
        <v>3798.4</v>
      </c>
      <c r="C6" s="239"/>
      <c r="D6" s="239"/>
      <c r="E6" s="239"/>
      <c r="F6" s="240"/>
      <c r="G6" s="260" t="s">
        <v>331</v>
      </c>
      <c r="H6" s="265" t="n">
        <f aca="false">C15</f>
        <v>98</v>
      </c>
      <c r="I6" s="266" t="s">
        <v>332</v>
      </c>
      <c r="J6" s="266" t="s">
        <v>333</v>
      </c>
      <c r="K6" s="267" t="s">
        <v>334</v>
      </c>
      <c r="O6" s="268" t="n">
        <f aca="false">B6-H6</f>
        <v>3700.4</v>
      </c>
      <c r="P6" s="269" t="s">
        <v>335</v>
      </c>
    </row>
    <row r="7" customFormat="false" ht="18" hidden="false" customHeight="false" outlineLevel="0" collapsed="false">
      <c r="A7" s="185" t="s">
        <v>295</v>
      </c>
      <c r="B7" s="241" t="n">
        <f aca="false">'1850'!O29-'1850'!C29</f>
        <v>3977.1</v>
      </c>
      <c r="C7" s="241"/>
      <c r="D7" s="241"/>
      <c r="E7" s="241"/>
      <c r="F7" s="240"/>
      <c r="G7" s="270" t="s">
        <v>326</v>
      </c>
      <c r="H7" s="271" t="n">
        <f aca="false">B7-C15</f>
        <v>3879.1</v>
      </c>
      <c r="I7" s="272" t="s">
        <v>336</v>
      </c>
      <c r="J7" s="272"/>
      <c r="K7" s="263" t="s">
        <v>329</v>
      </c>
      <c r="O7" s="273"/>
    </row>
    <row r="8" customFormat="false" ht="18" hidden="false" customHeight="false" outlineLevel="0" collapsed="false">
      <c r="A8" s="173" t="s">
        <v>296</v>
      </c>
      <c r="B8" s="242"/>
      <c r="C8" s="242"/>
      <c r="D8" s="242"/>
      <c r="E8" s="243"/>
      <c r="F8" s="178"/>
      <c r="G8" s="270" t="s">
        <v>331</v>
      </c>
      <c r="H8" s="271" t="n">
        <f aca="false">C15</f>
        <v>98</v>
      </c>
      <c r="I8" s="272" t="s">
        <v>332</v>
      </c>
      <c r="J8" s="272"/>
      <c r="K8" s="263" t="s">
        <v>334</v>
      </c>
    </row>
    <row r="9" customFormat="false" ht="18" hidden="false" customHeight="false" outlineLevel="0" collapsed="false">
      <c r="A9" s="168" t="s">
        <v>297</v>
      </c>
      <c r="B9" s="176" t="n">
        <f aca="false">S1!B9+S2!B9+S3!B9+S4!B9+S5!B9+S6!B9+S7!B9+S8!B9+S9!B9+S10!B9+S11!B9+S12!B9</f>
        <v>171.616</v>
      </c>
      <c r="C9" s="176" t="n">
        <f aca="false">S1!C9+S2!C9+S3!C9+S4!C9+S5!C9+S6!C9+S7!C9+S8!C9+S9!C9+S10!C9+S11!C9+S12!C9</f>
        <v>225.029</v>
      </c>
      <c r="D9" s="176" t="n">
        <f aca="false">S1!D9+S2!D9+S3!D9+S4!D9+S5!D9+S6!D9+S7!D9+S8!D9+S9!D9+S10!D9+S11!D9+S12!D9</f>
        <v>213.3</v>
      </c>
      <c r="E9" s="176" t="n">
        <f aca="false">S1!E9+S2!E9+S3!E9+S4!E9+S5!E9+S6!E9+S7!E9+S8!E9+S9!E9+S10!E9+S11!E9+S12!E9</f>
        <v>168.085</v>
      </c>
      <c r="F9" s="178"/>
      <c r="O9" s="274" t="s">
        <v>337</v>
      </c>
      <c r="T9" s="275"/>
    </row>
    <row r="10" customFormat="false" ht="18" hidden="false" customHeight="false" outlineLevel="0" collapsed="false">
      <c r="A10" s="168" t="s">
        <v>298</v>
      </c>
      <c r="B10" s="191" t="n">
        <f aca="false">('1850'!O27-'1850'!C27)*3.6</f>
        <v>174.168</v>
      </c>
      <c r="C10" s="191" t="n">
        <f aca="false">('1851'!P27-'1851'!D27)*3.6</f>
        <v>269.028</v>
      </c>
      <c r="D10" s="191" t="n">
        <f aca="false">('1852'!O27-'1852'!C27)*3.6</f>
        <v>208.908</v>
      </c>
      <c r="E10" s="191" t="n">
        <f aca="false">('1853'!O28-'1853'!C28)*3.6</f>
        <v>185.616</v>
      </c>
      <c r="F10" s="238"/>
      <c r="I10" s="276" t="s">
        <v>338</v>
      </c>
      <c r="N10" s="277"/>
      <c r="O10" s="278" t="s">
        <v>339</v>
      </c>
      <c r="P10" s="277"/>
      <c r="Q10" s="275"/>
      <c r="R10" s="279" t="s">
        <v>340</v>
      </c>
    </row>
    <row r="11" customFormat="false" ht="18.75" hidden="false" customHeight="false" outlineLevel="0" collapsed="false">
      <c r="A11" s="173" t="s">
        <v>304</v>
      </c>
      <c r="B11" s="242"/>
      <c r="C11" s="242"/>
      <c r="D11" s="242"/>
      <c r="E11" s="243"/>
      <c r="F11" s="178"/>
      <c r="I11" s="231" t="s">
        <v>341</v>
      </c>
      <c r="J11" s="51" t="s">
        <v>342</v>
      </c>
      <c r="K11" s="51" t="s">
        <v>343</v>
      </c>
      <c r="L11" s="280" t="s">
        <v>344</v>
      </c>
      <c r="M11" s="50"/>
      <c r="O11" s="274" t="s">
        <v>345</v>
      </c>
      <c r="Q11" s="275"/>
      <c r="R11" s="231" t="s">
        <v>346</v>
      </c>
      <c r="U11" s="281" t="s">
        <v>347</v>
      </c>
      <c r="V11" s="6" t="s">
        <v>348</v>
      </c>
      <c r="W11" s="6" t="s">
        <v>343</v>
      </c>
      <c r="X11" s="6" t="s">
        <v>344</v>
      </c>
      <c r="Y11" s="6" t="s">
        <v>349</v>
      </c>
      <c r="Z11" s="231" t="s">
        <v>350</v>
      </c>
    </row>
    <row r="12" customFormat="false" ht="18" hidden="false" customHeight="false" outlineLevel="0" collapsed="false">
      <c r="A12" s="168" t="s">
        <v>300</v>
      </c>
      <c r="B12" s="244" t="n">
        <f aca="false">'1850'!O25-'1850'!E35+'1850'!E34-'1850'!C25</f>
        <v>2725</v>
      </c>
      <c r="C12" s="245" t="n">
        <f aca="false">'1851'!P24-'1851'!I58+'1851'!I57-'1851'!D24</f>
        <v>3659</v>
      </c>
      <c r="D12" s="245" t="n">
        <f aca="false">'1852'!O25-'1852'!H37+'1852'!H36-'1852'!C25</f>
        <v>2479</v>
      </c>
      <c r="E12" s="245" t="n">
        <f aca="false">'1853'!O24-'1853'!H37+'1853'!H36-'1853'!C24</f>
        <v>2157</v>
      </c>
      <c r="F12" s="179"/>
      <c r="H12" s="282" t="s">
        <v>351</v>
      </c>
      <c r="I12" s="283" t="s">
        <v>352</v>
      </c>
      <c r="J12" s="284" t="n">
        <v>0</v>
      </c>
      <c r="K12" s="285" t="n">
        <f aca="false">ROUND(Z12,3)</f>
        <v>3.617</v>
      </c>
      <c r="L12" s="286" t="n">
        <f aca="false">K12-J12</f>
        <v>3.617</v>
      </c>
      <c r="M12" s="287" t="s">
        <v>16</v>
      </c>
      <c r="N12" s="194"/>
      <c r="O12" s="288" t="n">
        <f aca="false">L$30/L$29*L12</f>
        <v>3.85226321795359</v>
      </c>
      <c r="P12" s="275" t="s">
        <v>16</v>
      </c>
      <c r="Q12" s="275"/>
      <c r="R12" s="6" t="s">
        <v>342</v>
      </c>
      <c r="S12" s="6" t="s">
        <v>343</v>
      </c>
      <c r="T12" s="6" t="s">
        <v>344</v>
      </c>
      <c r="U12" s="289" t="s">
        <v>353</v>
      </c>
      <c r="V12" s="290" t="n">
        <v>7.272</v>
      </c>
      <c r="W12" s="290" t="n">
        <v>10.135</v>
      </c>
      <c r="X12" s="291" t="n">
        <f aca="false">W12-V12</f>
        <v>2.863</v>
      </c>
      <c r="Y12" s="231" t="n">
        <f aca="false">T13/X14</f>
        <v>1.26318584070797</v>
      </c>
      <c r="Z12" s="292" t="n">
        <f aca="false">X12*Y12</f>
        <v>3.6165010619469</v>
      </c>
    </row>
    <row r="13" customFormat="false" ht="18" hidden="false" customHeight="false" outlineLevel="0" collapsed="false">
      <c r="A13" s="178"/>
      <c r="B13" s="181"/>
      <c r="C13" s="181"/>
      <c r="D13" s="181"/>
      <c r="E13" s="181"/>
      <c r="F13" s="179"/>
      <c r="G13" s="179"/>
      <c r="H13" s="282" t="s">
        <v>354</v>
      </c>
      <c r="I13" s="293" t="s">
        <v>352</v>
      </c>
      <c r="J13" s="294" t="n">
        <v>0</v>
      </c>
      <c r="K13" s="295" t="n">
        <f aca="false">ROUND(Z13,3)</f>
        <v>3.52</v>
      </c>
      <c r="L13" s="296" t="n">
        <f aca="false">K13-J13</f>
        <v>3.52</v>
      </c>
      <c r="M13" s="297" t="s">
        <v>16</v>
      </c>
      <c r="N13" s="194"/>
      <c r="O13" s="288" t="n">
        <f aca="false">L$30/L$29*L13</f>
        <v>3.7489539748954</v>
      </c>
      <c r="P13" s="275" t="s">
        <v>16</v>
      </c>
      <c r="Q13" s="275"/>
      <c r="R13" s="231" t="n">
        <v>16.34</v>
      </c>
      <c r="S13" s="231" t="n">
        <v>23.477</v>
      </c>
      <c r="T13" s="231" t="n">
        <f aca="false">S13-R13</f>
        <v>7.137</v>
      </c>
      <c r="U13" s="289" t="s">
        <v>355</v>
      </c>
      <c r="V13" s="291" t="n">
        <v>41.164</v>
      </c>
      <c r="W13" s="291" t="n">
        <v>43.951</v>
      </c>
      <c r="X13" s="298" t="n">
        <f aca="false">W13-V13</f>
        <v>2.787</v>
      </c>
      <c r="Y13" s="231" t="n">
        <f aca="false">T13/X14</f>
        <v>1.26318584070797</v>
      </c>
      <c r="Z13" s="299" t="n">
        <f aca="false">X13*Y13</f>
        <v>3.5204989380531</v>
      </c>
    </row>
    <row r="14" customFormat="false" ht="18" hidden="false" customHeight="false" outlineLevel="0" collapsed="false">
      <c r="A14" s="178" t="s">
        <v>301</v>
      </c>
      <c r="B14" s="246" t="n">
        <f aca="false">'1853'!O25-'1853'!H40+'1853'!H39-'1853'!C25</f>
        <v>4262</v>
      </c>
      <c r="C14" s="181"/>
      <c r="D14" s="181"/>
      <c r="E14" s="181"/>
      <c r="F14" s="179"/>
      <c r="H14" s="282" t="s">
        <v>356</v>
      </c>
      <c r="I14" s="293" t="s">
        <v>357</v>
      </c>
      <c r="J14" s="294" t="n">
        <v>0</v>
      </c>
      <c r="K14" s="294" t="n">
        <v>8.594</v>
      </c>
      <c r="L14" s="294" t="n">
        <f aca="false">K14-J14</f>
        <v>8.594</v>
      </c>
      <c r="M14" s="297" t="s">
        <v>16</v>
      </c>
      <c r="N14" s="194"/>
      <c r="O14" s="288" t="n">
        <f aca="false">L$30/L$29*L14</f>
        <v>9.15298592620768</v>
      </c>
      <c r="P14" s="275" t="s">
        <v>16</v>
      </c>
      <c r="Q14" s="275"/>
      <c r="R14" s="231"/>
      <c r="S14" s="231"/>
      <c r="X14" s="231" t="n">
        <f aca="false">SUM(X12:X13)</f>
        <v>5.65</v>
      </c>
      <c r="Z14" s="231" t="n">
        <f aca="false">SUM(Z12:Z13)</f>
        <v>7.137</v>
      </c>
    </row>
    <row r="15" customFormat="false" ht="18" hidden="false" customHeight="false" outlineLevel="0" collapsed="false">
      <c r="A15" s="178" t="s">
        <v>302</v>
      </c>
      <c r="B15" s="247" t="n">
        <f aca="false">'1853'!O26-'1853'!D26</f>
        <v>97.836</v>
      </c>
      <c r="C15" s="248" t="n">
        <v>98</v>
      </c>
      <c r="D15" s="181"/>
      <c r="E15" s="300" t="s">
        <v>358</v>
      </c>
      <c r="F15" s="300"/>
      <c r="G15" s="277"/>
      <c r="H15" s="282" t="s">
        <v>359</v>
      </c>
      <c r="I15" s="293" t="s">
        <v>360</v>
      </c>
      <c r="J15" s="295" t="n">
        <v>81.206</v>
      </c>
      <c r="K15" s="295" t="n">
        <v>95.86</v>
      </c>
      <c r="L15" s="294" t="n">
        <f aca="false">K15-J15</f>
        <v>14.654</v>
      </c>
      <c r="M15" s="297" t="s">
        <v>16</v>
      </c>
      <c r="N15" s="194"/>
      <c r="O15" s="288" t="n">
        <f aca="false">L$30/L$29*L15</f>
        <v>15.6071510079878</v>
      </c>
      <c r="P15" s="275" t="s">
        <v>16</v>
      </c>
      <c r="Q15" s="275"/>
    </row>
    <row r="16" customFormat="false" ht="18" hidden="false" customHeight="false" outlineLevel="0" collapsed="false">
      <c r="A16" s="301" t="s">
        <v>361</v>
      </c>
      <c r="B16" s="302" t="n">
        <f aca="false">C15-B15</f>
        <v>0.163999999999987</v>
      </c>
      <c r="C16" s="181"/>
      <c r="D16" s="181"/>
      <c r="E16" s="181"/>
      <c r="F16" s="179"/>
      <c r="G16" s="179"/>
      <c r="H16" s="282" t="s">
        <v>362</v>
      </c>
      <c r="I16" s="293" t="s">
        <v>363</v>
      </c>
      <c r="J16" s="295" t="n">
        <v>40.958</v>
      </c>
      <c r="K16" s="295" t="n">
        <v>49.76</v>
      </c>
      <c r="L16" s="294" t="n">
        <f aca="false">K16-J16</f>
        <v>8.802</v>
      </c>
      <c r="M16" s="297" t="s">
        <v>16</v>
      </c>
      <c r="N16" s="194"/>
      <c r="O16" s="288" t="n">
        <f aca="false">L$30/L$29*L16</f>
        <v>9.37451502472423</v>
      </c>
      <c r="P16" s="275" t="s">
        <v>16</v>
      </c>
      <c r="Q16" s="275"/>
      <c r="S16" s="62"/>
      <c r="T16" s="62"/>
      <c r="W16" s="303"/>
      <c r="X16" s="303"/>
      <c r="Y16" s="303"/>
      <c r="Z16" s="303"/>
    </row>
    <row r="17" customFormat="false" ht="18" hidden="false" customHeight="false" outlineLevel="0" collapsed="false">
      <c r="B17" s="249"/>
      <c r="C17" s="249"/>
      <c r="D17" s="249"/>
      <c r="E17" s="249"/>
      <c r="H17" s="282" t="s">
        <v>364</v>
      </c>
      <c r="I17" s="293" t="s">
        <v>365</v>
      </c>
      <c r="J17" s="295" t="n">
        <v>9.652</v>
      </c>
      <c r="K17" s="295" t="n">
        <v>18.46</v>
      </c>
      <c r="L17" s="294" t="n">
        <f aca="false">K17-J17</f>
        <v>8.808</v>
      </c>
      <c r="M17" s="297" t="s">
        <v>16</v>
      </c>
      <c r="N17" s="194"/>
      <c r="O17" s="288" t="n">
        <f aca="false">L$30/L$29*L17</f>
        <v>9.38090528718144</v>
      </c>
      <c r="P17" s="275" t="s">
        <v>16</v>
      </c>
      <c r="Q17" s="275"/>
    </row>
    <row r="18" customFormat="false" ht="18" hidden="false" customHeight="false" outlineLevel="0" collapsed="false">
      <c r="A18" s="165" t="s">
        <v>291</v>
      </c>
      <c r="B18" s="250" t="n">
        <v>1854</v>
      </c>
      <c r="C18" s="250" t="n">
        <v>1855</v>
      </c>
      <c r="D18" s="250" t="n">
        <v>1856</v>
      </c>
      <c r="E18" s="250" t="n">
        <v>1857</v>
      </c>
      <c r="F18" s="234"/>
      <c r="H18" s="282" t="s">
        <v>366</v>
      </c>
      <c r="I18" s="293" t="s">
        <v>367</v>
      </c>
      <c r="J18" s="295" t="n">
        <v>4.934</v>
      </c>
      <c r="K18" s="295" t="n">
        <v>6.485</v>
      </c>
      <c r="L18" s="295" t="n">
        <f aca="false">K18-J18</f>
        <v>1.551</v>
      </c>
      <c r="M18" s="297" t="s">
        <v>16</v>
      </c>
      <c r="N18" s="194"/>
      <c r="O18" s="288" t="n">
        <f aca="false">L$30/L$29*L18</f>
        <v>1.65188284518828</v>
      </c>
      <c r="P18" s="275" t="s">
        <v>16</v>
      </c>
      <c r="Q18" s="303"/>
    </row>
    <row r="19" customFormat="false" ht="18" hidden="false" customHeight="false" outlineLevel="0" collapsed="false">
      <c r="A19" s="168" t="s">
        <v>292</v>
      </c>
      <c r="B19" s="176" t="n">
        <f aca="false">S1!B19+S2!B19+S3!B19+S4!B19+S5!B19+S6!B19+S7!B19+S8!B19+S9!B19+S10!B19+S11!B19+S12!B19</f>
        <v>676.153</v>
      </c>
      <c r="C19" s="176" t="n">
        <f aca="false">S1!C19+S2!C19+S3!C19+S4!C19+S5!C19+S6!C19+S7!C19+S8!C19+S9!C19+S10!C19+S11!C19+S12!C19</f>
        <v>769.584</v>
      </c>
      <c r="D19" s="176" t="n">
        <f aca="false">S1!D19+S2!D19+S3!D19+S4!D19+S5!D19+S6!D19+S7!D19+S8!D19+S9!D19+S10!D19+S11!D19+S12!D19</f>
        <v>809.822</v>
      </c>
      <c r="E19" s="176" t="n">
        <f aca="false">S1!E19+S2!E19+S3!E19+S4!E19+S5!E19+S6!E19+S7!E19+S8!E19+S9!E19+S10!E19+S11!E19+S12!E19</f>
        <v>785.55</v>
      </c>
      <c r="F19" s="178"/>
      <c r="H19" s="282" t="s">
        <v>368</v>
      </c>
      <c r="I19" s="293" t="s">
        <v>369</v>
      </c>
      <c r="J19" s="295" t="n">
        <v>4.512</v>
      </c>
      <c r="K19" s="295" t="n">
        <v>5.192</v>
      </c>
      <c r="L19" s="295" t="n">
        <f aca="false">K19-J19</f>
        <v>0.680000000000001</v>
      </c>
      <c r="M19" s="297" t="s">
        <v>16</v>
      </c>
      <c r="N19" s="194"/>
      <c r="O19" s="288" t="n">
        <f aca="false">L$30/L$29*L19</f>
        <v>0.724229745150248</v>
      </c>
      <c r="P19" s="275" t="s">
        <v>16</v>
      </c>
      <c r="Q19" s="303"/>
    </row>
    <row r="20" customFormat="false" ht="18" hidden="false" customHeight="false" outlineLevel="0" collapsed="false">
      <c r="A20" s="168" t="s">
        <v>293</v>
      </c>
      <c r="B20" s="170" t="n">
        <f aca="false">'1854'!O26-'1854'!C26</f>
        <v>743.2</v>
      </c>
      <c r="C20" s="170" t="n">
        <f aca="false">'1855'!O26-'1855'!C26</f>
        <v>869.3</v>
      </c>
      <c r="D20" s="170" t="n">
        <f aca="false">'1856'!O26-'1856'!C26</f>
        <v>894.4</v>
      </c>
      <c r="E20" s="170" t="n">
        <f aca="false">'1857'!O26-'1857'!C26</f>
        <v>872.7</v>
      </c>
      <c r="F20" s="178"/>
      <c r="H20" s="282" t="s">
        <v>370</v>
      </c>
      <c r="I20" s="293" t="s">
        <v>371</v>
      </c>
      <c r="J20" s="304" t="n">
        <v>19.816</v>
      </c>
      <c r="K20" s="304" t="n">
        <v>21.346</v>
      </c>
      <c r="L20" s="294" t="n">
        <f aca="false">K20-J20</f>
        <v>1.53</v>
      </c>
      <c r="M20" s="297" t="s">
        <v>16</v>
      </c>
      <c r="N20" s="194"/>
      <c r="O20" s="288" t="n">
        <f aca="false">L$30/L$29*L20</f>
        <v>1.62951692658806</v>
      </c>
      <c r="P20" s="275" t="s">
        <v>16</v>
      </c>
      <c r="Q20" s="303"/>
    </row>
    <row r="21" customFormat="false" ht="18" hidden="false" customHeight="false" outlineLevel="0" collapsed="false">
      <c r="A21" s="168" t="s">
        <v>294</v>
      </c>
      <c r="B21" s="239" t="n">
        <f aca="false">SUM(B20:E20)</f>
        <v>3379.6</v>
      </c>
      <c r="C21" s="239"/>
      <c r="D21" s="239"/>
      <c r="E21" s="239"/>
      <c r="F21" s="240"/>
      <c r="H21" s="282" t="s">
        <v>372</v>
      </c>
      <c r="I21" s="293" t="s">
        <v>373</v>
      </c>
      <c r="J21" s="295" t="n">
        <v>334.346</v>
      </c>
      <c r="K21" s="295" t="n">
        <v>353.15</v>
      </c>
      <c r="L21" s="295" t="n">
        <f aca="false">K21-J21</f>
        <v>18.804</v>
      </c>
      <c r="M21" s="297" t="s">
        <v>16</v>
      </c>
      <c r="N21" s="194"/>
      <c r="O21" s="288" t="n">
        <f aca="false">L$30/L$29*L21</f>
        <v>20.02708254089</v>
      </c>
      <c r="P21" s="275" t="s">
        <v>16</v>
      </c>
      <c r="Q21" s="231"/>
    </row>
    <row r="22" customFormat="false" ht="18" hidden="false" customHeight="false" outlineLevel="0" collapsed="false">
      <c r="A22" s="168" t="s">
        <v>295</v>
      </c>
      <c r="B22" s="239" t="n">
        <f aca="false">'1854'!O29-'1854'!N35+'1854'!N33-'1854'!C29</f>
        <v>3239.6</v>
      </c>
      <c r="C22" s="239"/>
      <c r="D22" s="239"/>
      <c r="E22" s="239"/>
      <c r="F22" s="240"/>
      <c r="H22" s="282" t="s">
        <v>374</v>
      </c>
      <c r="I22" s="305" t="s">
        <v>375</v>
      </c>
      <c r="J22" s="294" t="n">
        <v>12.876</v>
      </c>
      <c r="K22" s="294" t="n">
        <v>15.835</v>
      </c>
      <c r="L22" s="294" t="n">
        <f aca="false">K22-J22</f>
        <v>2.959</v>
      </c>
      <c r="M22" s="297" t="s">
        <v>16</v>
      </c>
      <c r="N22" s="194"/>
      <c r="O22" s="288" t="n">
        <f aca="false">L$30/L$29*L22</f>
        <v>3.15146443514645</v>
      </c>
      <c r="P22" s="275" t="s">
        <v>16</v>
      </c>
      <c r="Q22" s="231"/>
    </row>
    <row r="23" customFormat="false" ht="18" hidden="false" customHeight="false" outlineLevel="0" collapsed="false">
      <c r="A23" s="173" t="s">
        <v>296</v>
      </c>
      <c r="B23" s="242"/>
      <c r="C23" s="242"/>
      <c r="D23" s="242"/>
      <c r="E23" s="243"/>
      <c r="F23" s="178"/>
      <c r="H23" s="282" t="s">
        <v>376</v>
      </c>
      <c r="I23" s="293" t="s">
        <v>377</v>
      </c>
      <c r="J23" s="294" t="n">
        <v>54.474</v>
      </c>
      <c r="K23" s="294" t="n">
        <v>61.303</v>
      </c>
      <c r="L23" s="294" t="n">
        <f aca="false">K23-J23</f>
        <v>6.829</v>
      </c>
      <c r="M23" s="297" t="s">
        <v>16</v>
      </c>
      <c r="N23" s="194"/>
      <c r="O23" s="288" t="n">
        <f aca="false">L$30/L$29*L23</f>
        <v>7.27318372004565</v>
      </c>
      <c r="P23" s="275" t="s">
        <v>16</v>
      </c>
      <c r="Q23" s="231"/>
    </row>
    <row r="24" customFormat="false" ht="18" hidden="false" customHeight="false" outlineLevel="0" collapsed="false">
      <c r="A24" s="168" t="s">
        <v>297</v>
      </c>
      <c r="B24" s="176" t="n">
        <f aca="false">S1!B24+S2!B24+S3!B24+S4!B24+S5!B24+S6!B24+S7!B24+S8!B24+S9!B24+S10!B24+S11!B24+S12!B24</f>
        <v>173.697</v>
      </c>
      <c r="C24" s="176" t="n">
        <f aca="false">S1!C24+S2!C24+S3!C24+S4!C24+S5!C24+S6!C24+S7!C24+S8!C24+S9!C24+S10!C24+S11!C24+S12!C24</f>
        <v>197.879</v>
      </c>
      <c r="D24" s="176" t="n">
        <f aca="false">S1!D24+S2!D24+S3!D24+S4!D24+S5!D24+S6!D24+S7!D24+S8!D24+S9!D24+S10!D24+S11!D24+S12!D24</f>
        <v>188.323</v>
      </c>
      <c r="E24" s="176" t="n">
        <f aca="false">S1!E24+S2!E24+S3!E24+S4!E24+S5!E24+S6!E24+S7!E24+S8!E24+S9!E24+S10!E24+S11!E24+S12!E24</f>
        <v>179.685</v>
      </c>
      <c r="F24" s="178"/>
      <c r="H24" s="282" t="s">
        <v>378</v>
      </c>
      <c r="I24" s="293" t="s">
        <v>379</v>
      </c>
      <c r="J24" s="295" t="n">
        <v>0</v>
      </c>
      <c r="K24" s="295" t="n">
        <v>0</v>
      </c>
      <c r="L24" s="306" t="n">
        <f aca="false">K24-J24</f>
        <v>0</v>
      </c>
      <c r="M24" s="297" t="s">
        <v>16</v>
      </c>
      <c r="N24" s="194"/>
      <c r="O24" s="288" t="n">
        <f aca="false">L$30/L$29*L24</f>
        <v>0</v>
      </c>
      <c r="P24" s="275" t="s">
        <v>16</v>
      </c>
      <c r="Q24" s="231"/>
      <c r="R24" s="279" t="s">
        <v>340</v>
      </c>
    </row>
    <row r="25" customFormat="false" ht="18" hidden="false" customHeight="false" outlineLevel="0" collapsed="false">
      <c r="A25" s="168" t="s">
        <v>298</v>
      </c>
      <c r="B25" s="191" t="n">
        <f aca="false">('1854'!O27-'1854'!C27)</f>
        <v>183.18</v>
      </c>
      <c r="C25" s="191" t="n">
        <f aca="false">('1855'!O27-'1855'!C27)</f>
        <v>207.98</v>
      </c>
      <c r="D25" s="191" t="n">
        <f aca="false">('1856'!O27-'1856'!C27)</f>
        <v>182.06</v>
      </c>
      <c r="E25" s="191" t="n">
        <f aca="false">('1857'!O27-'1857'!C27)</f>
        <v>182.8</v>
      </c>
      <c r="F25" s="238"/>
      <c r="H25" s="282" t="s">
        <v>380</v>
      </c>
      <c r="I25" s="305" t="s">
        <v>381</v>
      </c>
      <c r="J25" s="294" t="n">
        <v>0</v>
      </c>
      <c r="K25" s="294" t="n">
        <v>3.743</v>
      </c>
      <c r="L25" s="294" t="n">
        <f aca="false">K25-J25</f>
        <v>3.743</v>
      </c>
      <c r="M25" s="297" t="s">
        <v>16</v>
      </c>
      <c r="N25" s="194"/>
      <c r="O25" s="288" t="n">
        <f aca="false">L$30/L$29*L25</f>
        <v>3.98645872955496</v>
      </c>
      <c r="P25" s="275" t="s">
        <v>16</v>
      </c>
      <c r="Q25" s="231"/>
      <c r="R25" s="231" t="s">
        <v>382</v>
      </c>
    </row>
    <row r="26" customFormat="false" ht="18" hidden="false" customHeight="false" outlineLevel="0" collapsed="false">
      <c r="A26" s="173" t="s">
        <v>304</v>
      </c>
      <c r="B26" s="242"/>
      <c r="C26" s="242"/>
      <c r="D26" s="242"/>
      <c r="E26" s="243"/>
      <c r="F26" s="178"/>
      <c r="H26" s="282" t="s">
        <v>383</v>
      </c>
      <c r="I26" s="305" t="s">
        <v>384</v>
      </c>
      <c r="J26" s="294" t="n">
        <v>0</v>
      </c>
      <c r="K26" s="294" t="n">
        <v>3.29</v>
      </c>
      <c r="L26" s="294" t="n">
        <f aca="false">K26-J26</f>
        <v>3.29</v>
      </c>
      <c r="M26" s="297" t="s">
        <v>16</v>
      </c>
      <c r="N26" s="194"/>
      <c r="O26" s="288" t="n">
        <f aca="false">L$30/L$29*L26</f>
        <v>3.50399391403576</v>
      </c>
      <c r="P26" s="275" t="s">
        <v>16</v>
      </c>
      <c r="Q26" s="231"/>
      <c r="R26" s="6" t="s">
        <v>342</v>
      </c>
      <c r="S26" s="6" t="s">
        <v>343</v>
      </c>
      <c r="T26" s="6" t="s">
        <v>344</v>
      </c>
      <c r="U26" s="307"/>
    </row>
    <row r="27" customFormat="false" ht="18.75" hidden="false" customHeight="false" outlineLevel="0" collapsed="false">
      <c r="A27" s="168" t="s">
        <v>300</v>
      </c>
      <c r="B27" s="245" t="n">
        <f aca="false">'1854'!O25-'1854'!C25</f>
        <v>2390</v>
      </c>
      <c r="C27" s="245" t="n">
        <f aca="false">'1855'!O25-'1855'!C25</f>
        <v>2776</v>
      </c>
      <c r="D27" s="245" t="n">
        <f aca="false">'1856'!O25-'1856'!C25</f>
        <v>2396</v>
      </c>
      <c r="E27" s="245" t="n">
        <f aca="false">'1857'!O25-'1857'!C25</f>
        <v>2478</v>
      </c>
      <c r="F27" s="179"/>
      <c r="H27" s="308" t="s">
        <v>385</v>
      </c>
      <c r="I27" s="309" t="s">
        <v>386</v>
      </c>
      <c r="J27" s="310" t="n">
        <v>0</v>
      </c>
      <c r="K27" s="310" t="n">
        <v>1.254</v>
      </c>
      <c r="L27" s="310" t="n">
        <f aca="false">K27-J27</f>
        <v>1.254</v>
      </c>
      <c r="M27" s="311" t="s">
        <v>16</v>
      </c>
      <c r="N27" s="194"/>
      <c r="O27" s="312" t="n">
        <f aca="false">L$30/L$29*L27</f>
        <v>1.33556485355649</v>
      </c>
      <c r="P27" s="275" t="s">
        <v>16</v>
      </c>
      <c r="Q27" s="231"/>
      <c r="R27" s="231" t="n">
        <v>112.247</v>
      </c>
      <c r="S27" s="231" t="n">
        <v>120.534</v>
      </c>
      <c r="T27" s="231" t="n">
        <f aca="false">S27-R27</f>
        <v>8.28700000000001</v>
      </c>
    </row>
    <row r="28" customFormat="false" ht="18.75" hidden="false" customHeight="false" outlineLevel="0" collapsed="false">
      <c r="H28" s="282" t="s">
        <v>387</v>
      </c>
      <c r="I28" s="313"/>
      <c r="J28" s="314" t="n">
        <v>78.6</v>
      </c>
      <c r="K28" s="314" t="n">
        <v>6.88</v>
      </c>
      <c r="L28" s="314" t="n">
        <f aca="false">W31-V31+W32-V32</f>
        <v>3.38</v>
      </c>
      <c r="M28" s="315" t="s">
        <v>16</v>
      </c>
      <c r="N28" s="194"/>
      <c r="O28" s="288" t="n">
        <f aca="false">L$30/L$29*L28</f>
        <v>3.59984785089388</v>
      </c>
      <c r="P28" s="275" t="s">
        <v>16</v>
      </c>
      <c r="Q28" s="231"/>
      <c r="R28" s="231"/>
      <c r="S28" s="231"/>
    </row>
    <row r="29" customFormat="false" ht="18" hidden="false" customHeight="false" outlineLevel="0" collapsed="false">
      <c r="I29" s="316" t="s">
        <v>388</v>
      </c>
      <c r="J29" s="316"/>
      <c r="K29" s="316"/>
      <c r="L29" s="316" t="n">
        <f aca="false">SUM(L12:L28)</f>
        <v>92.015</v>
      </c>
      <c r="M29" s="317" t="s">
        <v>16</v>
      </c>
      <c r="N29" s="226"/>
      <c r="O29" s="226"/>
      <c r="P29" s="179"/>
      <c r="Q29" s="231"/>
      <c r="R29" s="231"/>
      <c r="S29" s="231"/>
    </row>
    <row r="30" customFormat="false" ht="18" hidden="false" customHeight="false" outlineLevel="0" collapsed="false">
      <c r="I30" s="318" t="s">
        <v>389</v>
      </c>
      <c r="J30" s="319"/>
      <c r="K30" s="319"/>
      <c r="L30" s="320" t="n">
        <f aca="false">C15</f>
        <v>98</v>
      </c>
      <c r="M30" s="321" t="s">
        <v>16</v>
      </c>
      <c r="O30" s="322" t="n">
        <f aca="false">SUM(O12:O28)</f>
        <v>98</v>
      </c>
      <c r="P30" s="179"/>
      <c r="Q30" s="231"/>
      <c r="R30" s="279" t="s">
        <v>390</v>
      </c>
      <c r="S30" s="231"/>
      <c r="V30" s="6" t="s">
        <v>342</v>
      </c>
      <c r="W30" s="6" t="s">
        <v>343</v>
      </c>
    </row>
    <row r="31" customFormat="false" ht="18" hidden="false" customHeight="false" outlineLevel="0" collapsed="false">
      <c r="K31" s="44" t="s">
        <v>391</v>
      </c>
      <c r="L31" s="323" t="n">
        <f aca="false">L30-L29</f>
        <v>5.985</v>
      </c>
      <c r="M31" s="324" t="s">
        <v>16</v>
      </c>
      <c r="Q31" s="231"/>
      <c r="R31" s="325" t="n">
        <f aca="false">80-78.6</f>
        <v>1.40000000000001</v>
      </c>
      <c r="S31" s="326" t="s">
        <v>16</v>
      </c>
      <c r="T31" s="231" t="s">
        <v>392</v>
      </c>
      <c r="V31" s="231" t="n">
        <v>78.6</v>
      </c>
      <c r="W31" s="231" t="n">
        <v>80</v>
      </c>
    </row>
    <row r="32" customFormat="false" ht="18" hidden="false" customHeight="false" outlineLevel="0" collapsed="false">
      <c r="J32" s="52"/>
      <c r="K32" s="52"/>
      <c r="L32" s="327"/>
      <c r="M32" s="51"/>
      <c r="Q32" s="231"/>
      <c r="R32" s="231" t="n">
        <f aca="false">6.88-4.9</f>
        <v>1.98</v>
      </c>
      <c r="S32" s="231" t="s">
        <v>16</v>
      </c>
      <c r="T32" s="231" t="s">
        <v>393</v>
      </c>
      <c r="V32" s="231" t="n">
        <v>4.9</v>
      </c>
      <c r="W32" s="231" t="n">
        <v>6.88</v>
      </c>
    </row>
    <row r="33" customFormat="false" ht="18" hidden="false" customHeight="false" outlineLevel="0" collapsed="false">
      <c r="S33" s="231"/>
    </row>
  </sheetData>
  <mergeCells count="4">
    <mergeCell ref="B6:E6"/>
    <mergeCell ref="B7:E7"/>
    <mergeCell ref="B21:E21"/>
    <mergeCell ref="B22:E22"/>
  </mergeCells>
  <conditionalFormatting sqref="V12:W12 U12:U13">
    <cfRule type="cellIs" priority="2" operator="lessThan" aboveAverage="0" equalAverage="0" bottom="0" percent="0" rank="0" text="" dxfId="4903">
      <formula>0</formula>
    </cfRule>
  </conditionalFormatting>
  <conditionalFormatting sqref="T31">
    <cfRule type="cellIs" priority="3" operator="lessThan" aboveAverage="0" equalAverage="0" bottom="0" percent="0" rank="0" text="" dxfId="4904">
      <formula>0</formula>
    </cfRule>
  </conditionalFormatting>
  <conditionalFormatting sqref="I18:L19 I20:I21 M17 Q19:Q21 R36:S65544 S33 Q32 U34:U65538 T33:T65539 R30:R32 B1:B1048576 C1:F5 C23:F65536 G1:U2 G28:G65536 G13 G16:G17 C8:F20 H29:H65538 I34:J65539 K35:K65539 Q37:R65545 S38:S65545 P27:P31 Q35:Q65544 L36:P65546 N24:N30 G4:G8 I24:M24 I28:M30 J21:L21 J12:K12 J15:J19 S16:T16 J15:K17 I12:I17 M12:M14 K13">
    <cfRule type="cellIs" priority="4" operator="lessThan" aboveAverage="0" equalAverage="0" bottom="0" percent="0" rank="0" text="" dxfId="4905">
      <formula>0</formula>
    </cfRule>
  </conditionalFormatting>
  <printOptions headings="false" gridLines="false" gridLinesSet="true" horizontalCentered="false" verticalCentered="false"/>
  <pageMargins left="0.370138888888889" right="0.279861111111111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8.86"/>
  </cols>
  <sheetData>
    <row r="1" customFormat="false" ht="15" hidden="false" customHeight="false" outlineLevel="0" collapsed="false">
      <c r="A1" s="319" t="s">
        <v>394</v>
      </c>
    </row>
    <row r="2" customFormat="false" ht="3.75" hidden="false" customHeight="true" outlineLevel="0" collapsed="false">
      <c r="A2" s="319"/>
    </row>
    <row r="3" customFormat="false" ht="15" hidden="false" customHeight="false" outlineLevel="0" collapsed="false">
      <c r="A3" s="102"/>
      <c r="B3" s="102"/>
      <c r="C3" s="98" t="s">
        <v>5</v>
      </c>
      <c r="D3" s="98" t="s">
        <v>6</v>
      </c>
      <c r="E3" s="98" t="s">
        <v>7</v>
      </c>
      <c r="F3" s="98" t="s">
        <v>8</v>
      </c>
      <c r="G3" s="98" t="s">
        <v>9</v>
      </c>
      <c r="H3" s="98" t="s">
        <v>10</v>
      </c>
      <c r="I3" s="98" t="s">
        <v>11</v>
      </c>
      <c r="J3" s="98" t="s">
        <v>12</v>
      </c>
      <c r="K3" s="98" t="s">
        <v>13</v>
      </c>
      <c r="L3" s="98" t="s">
        <v>14</v>
      </c>
      <c r="M3" s="98" t="s">
        <v>15</v>
      </c>
      <c r="N3" s="98" t="s">
        <v>4</v>
      </c>
    </row>
    <row r="4" customFormat="false" ht="15" hidden="true" customHeight="true" outlineLevel="0" collapsed="false">
      <c r="A4" s="98" t="n">
        <v>1850</v>
      </c>
      <c r="B4" s="98" t="s">
        <v>17</v>
      </c>
      <c r="C4" s="102" t="n">
        <f aca="false">('1850'!D27-'1850'!C27)*3.6</f>
        <v>36.072</v>
      </c>
      <c r="D4" s="328" t="n">
        <f aca="false">('1850'!E27-'1850'!D27)*3.6</f>
        <v>26.496</v>
      </c>
      <c r="E4" s="328" t="n">
        <f aca="false">('1850'!F27-'1850'!E27)*3.6</f>
        <v>20.34</v>
      </c>
      <c r="F4" s="328" t="n">
        <f aca="false">('1850'!G27-'1850'!F27)*3.6</f>
        <v>15.084</v>
      </c>
      <c r="G4" s="328" t="n">
        <f aca="false">('1850'!H27-'1850'!G27)*3.6</f>
        <v>3.34800000000002</v>
      </c>
      <c r="H4" s="328" t="n">
        <f aca="false">('1850'!I27-'1850'!H27)*3.6</f>
        <v>2.23200000000002</v>
      </c>
      <c r="I4" s="328" t="n">
        <f aca="false">('1850'!J27-'1850'!I27)*3.6</f>
        <v>1.72799999999996</v>
      </c>
      <c r="J4" s="328" t="n">
        <f aca="false">('1850'!K27-'1850'!J27)*3.6</f>
        <v>1.692</v>
      </c>
      <c r="K4" s="328" t="n">
        <f aca="false">('1850'!L27-'1850'!K27)*3.6</f>
        <v>2.98800000000005</v>
      </c>
      <c r="L4" s="328" t="n">
        <f aca="false">('1850'!M27-'1850'!L27)*3.6</f>
        <v>7.52400000000001</v>
      </c>
      <c r="M4" s="328" t="n">
        <f aca="false">('1850'!N27-'1850'!M27)*3.6</f>
        <v>21.7799999999999</v>
      </c>
      <c r="N4" s="328" t="n">
        <f aca="false">('1850'!O27-'1850'!N27)*3.6</f>
        <v>34.884</v>
      </c>
    </row>
    <row r="5" customFormat="false" ht="17.25" hidden="true" customHeight="true" outlineLevel="0" collapsed="false">
      <c r="A5" s="98" t="n">
        <v>1850</v>
      </c>
      <c r="B5" s="329" t="s">
        <v>395</v>
      </c>
      <c r="C5" s="144" t="n">
        <f aca="false">'1850'!D28-'1850'!C28</f>
        <v>288</v>
      </c>
      <c r="D5" s="144" t="n">
        <f aca="false">'1850'!E28-'1850'!D28</f>
        <v>214</v>
      </c>
      <c r="E5" s="144" t="n">
        <f aca="false">'1850'!F28-'1850'!E28</f>
        <v>151</v>
      </c>
      <c r="F5" s="144" t="n">
        <f aca="false">'1850'!G28-'1850'!F28</f>
        <v>125</v>
      </c>
      <c r="G5" s="144" t="n">
        <f aca="false">'1850'!H28-'1850'!G28</f>
        <v>32</v>
      </c>
      <c r="H5" s="144" t="n">
        <f aca="false">'1850'!I28-'1850'!H28</f>
        <v>24</v>
      </c>
      <c r="I5" s="144" t="n">
        <f aca="false">'1850'!J28-'1850'!I28</f>
        <v>20</v>
      </c>
      <c r="J5" s="144" t="n">
        <f aca="false">'1850'!K28-'1850'!J28</f>
        <v>21</v>
      </c>
      <c r="K5" s="144" t="n">
        <f aca="false">'1850'!L28-'1850'!K28</f>
        <v>33</v>
      </c>
      <c r="L5" s="144" t="n">
        <f aca="false">'1850'!M28-'1850'!L28</f>
        <v>83</v>
      </c>
      <c r="M5" s="144" t="n">
        <f aca="false">'1850'!N28-'1850'!M28</f>
        <v>174</v>
      </c>
      <c r="N5" s="144" t="n">
        <f aca="false">'1850'!O28-'1850'!N28</f>
        <v>300</v>
      </c>
    </row>
    <row r="6" customFormat="false" ht="17.25" hidden="false" customHeight="false" outlineLevel="0" collapsed="false">
      <c r="A6" s="98" t="n">
        <v>1850</v>
      </c>
      <c r="B6" s="329" t="s">
        <v>396</v>
      </c>
      <c r="C6" s="92" t="n">
        <f aca="false">C4/C5*1000</f>
        <v>125.25</v>
      </c>
      <c r="D6" s="92" t="n">
        <f aca="false">D4/D5*1000</f>
        <v>123.813084112149</v>
      </c>
      <c r="E6" s="92" t="n">
        <f aca="false">E4/E5*1000</f>
        <v>134.701986754967</v>
      </c>
      <c r="F6" s="92" t="n">
        <f aca="false">F4/F5*1000</f>
        <v>120.672</v>
      </c>
      <c r="G6" s="92" t="n">
        <f aca="false">G4/G5*1000</f>
        <v>104.625000000001</v>
      </c>
      <c r="H6" s="92" t="n">
        <f aca="false">H4/H5*1000</f>
        <v>93.0000000000007</v>
      </c>
      <c r="I6" s="92" t="n">
        <f aca="false">I4/I5*1000</f>
        <v>86.3999999999982</v>
      </c>
      <c r="J6" s="92" t="n">
        <f aca="false">J4/J5*1000</f>
        <v>80.5714285714284</v>
      </c>
      <c r="K6" s="92" t="n">
        <f aca="false">K4/K5*1000</f>
        <v>90.5454545454559</v>
      </c>
      <c r="L6" s="92" t="n">
        <f aca="false">L4/L5*1000</f>
        <v>90.6506024096387</v>
      </c>
      <c r="M6" s="92" t="n">
        <f aca="false">M4/M5*1000</f>
        <v>125.172413793103</v>
      </c>
      <c r="N6" s="92" t="n">
        <f aca="false">N4/N5*1000</f>
        <v>116.28</v>
      </c>
    </row>
    <row r="7" customFormat="false" ht="15" hidden="true" customHeight="true" outlineLevel="0" collapsed="false">
      <c r="A7" s="98" t="n">
        <v>1851</v>
      </c>
      <c r="B7" s="98" t="s">
        <v>17</v>
      </c>
      <c r="C7" s="102" t="n">
        <f aca="false">('1851'!E27-'1851'!D27)*3.6</f>
        <v>46.224</v>
      </c>
      <c r="D7" s="102" t="n">
        <f aca="false">('1851'!F27-'1851'!E27)*3.6</f>
        <v>34.704</v>
      </c>
      <c r="E7" s="102" t="n">
        <f aca="false">('1851'!G27-'1851'!F27)*3.6</f>
        <v>30.0600000000001</v>
      </c>
      <c r="F7" s="102" t="n">
        <f aca="false">('1851'!H27-'1851'!G27)*3.6</f>
        <v>23.8319999999999</v>
      </c>
      <c r="G7" s="102" t="n">
        <f aca="false">('1851'!I27-'1851'!H27)*3.6</f>
        <v>11.0520000000001</v>
      </c>
      <c r="H7" s="102" t="n">
        <f aca="false">('1851'!J27-'1851'!I27)*3.6</f>
        <v>9.25199999999998</v>
      </c>
      <c r="I7" s="102" t="n">
        <f aca="false">('1851'!K27-'1851'!J27)*3.6</f>
        <v>9.18000000000004</v>
      </c>
      <c r="J7" s="102" t="n">
        <f aca="false">('1851'!L27-'1851'!K27)*3.6</f>
        <v>8.85599999999993</v>
      </c>
      <c r="K7" s="102" t="n">
        <f aca="false">('1851'!M27-'1851'!L27)*3.6</f>
        <v>10.116</v>
      </c>
      <c r="L7" s="102" t="n">
        <f aca="false">('1851'!N27-'1851'!M27)*3.6</f>
        <v>14.148</v>
      </c>
      <c r="M7" s="102" t="n">
        <f aca="false">('1851'!O27-'1851'!N27)*3.6</f>
        <v>29.1600000000001</v>
      </c>
      <c r="N7" s="102" t="n">
        <f aca="false">('1851'!P27-'1851'!O27)*3.6</f>
        <v>42.4439999999999</v>
      </c>
    </row>
    <row r="8" customFormat="false" ht="17.25" hidden="true" customHeight="true" outlineLevel="0" collapsed="false">
      <c r="A8" s="98" t="n">
        <v>1851</v>
      </c>
      <c r="B8" s="329" t="s">
        <v>395</v>
      </c>
      <c r="C8" s="144" t="n">
        <f aca="false">'1851'!E28-'1851'!D28</f>
        <v>571</v>
      </c>
      <c r="D8" s="144" t="n">
        <f aca="false">'1851'!F28-'1851'!E28</f>
        <v>425</v>
      </c>
      <c r="E8" s="144" t="n">
        <f aca="false">'1851'!G28-'1851'!F28</f>
        <v>374</v>
      </c>
      <c r="F8" s="144" t="n">
        <f aca="false">'1851'!H28-'1851'!G28</f>
        <v>372</v>
      </c>
      <c r="G8" s="144" t="n">
        <f aca="false">'1851'!I28-'1851'!H28</f>
        <v>237</v>
      </c>
      <c r="H8" s="144" t="n">
        <f aca="false">'1851'!J28-'1851'!I28</f>
        <v>259</v>
      </c>
      <c r="I8" s="144" t="n">
        <f aca="false">'1851'!K28-'1851'!J28</f>
        <v>306</v>
      </c>
      <c r="J8" s="144" t="n">
        <f aca="false">'1851'!L28-'1851'!K28</f>
        <v>313</v>
      </c>
      <c r="K8" s="144" t="n">
        <f aca="false">'1851'!M28-'1851'!L28</f>
        <v>269</v>
      </c>
      <c r="L8" s="144" t="n">
        <f aca="false">'1851'!N28-'1851'!M28</f>
        <v>341</v>
      </c>
      <c r="M8" s="144" t="n">
        <f aca="false">'1851'!O28-'1851'!N28</f>
        <v>387</v>
      </c>
      <c r="N8" s="144" t="n">
        <f aca="false">'1851'!P28-'1851'!O28</f>
        <v>560</v>
      </c>
    </row>
    <row r="9" customFormat="false" ht="17.25" hidden="false" customHeight="false" outlineLevel="0" collapsed="false">
      <c r="A9" s="98" t="n">
        <v>1851</v>
      </c>
      <c r="B9" s="329" t="s">
        <v>396</v>
      </c>
      <c r="C9" s="92" t="n">
        <f aca="false">C7/C8*1000</f>
        <v>80.952714535902</v>
      </c>
      <c r="D9" s="92" t="n">
        <f aca="false">D7/D8*1000</f>
        <v>81.6564705882352</v>
      </c>
      <c r="E9" s="92" t="n">
        <f aca="false">E7/E8*1000</f>
        <v>80.3743315508024</v>
      </c>
      <c r="F9" s="92" t="n">
        <f aca="false">F7/F8*1000</f>
        <v>64.064516129032</v>
      </c>
      <c r="G9" s="92" t="n">
        <f aca="false">G7/G8*1000</f>
        <v>46.6329113924054</v>
      </c>
      <c r="H9" s="92" t="n">
        <f aca="false">H7/H8*1000</f>
        <v>35.7220077220076</v>
      </c>
      <c r="I9" s="92" t="n">
        <f aca="false">I7/I8*1000</f>
        <v>30.0000000000001</v>
      </c>
      <c r="J9" s="92" t="n">
        <f aca="false">J7/J8*1000</f>
        <v>28.2939297124598</v>
      </c>
      <c r="K9" s="92" t="n">
        <f aca="false">K7/K8*1000</f>
        <v>37.6059479553904</v>
      </c>
      <c r="L9" s="92" t="n">
        <f aca="false">L7/L8*1000</f>
        <v>41.4897360703813</v>
      </c>
      <c r="M9" s="92" t="n">
        <f aca="false">M7/M8*1000</f>
        <v>75.3488372093025</v>
      </c>
      <c r="N9" s="92" t="n">
        <f aca="false">N7/N8*1000</f>
        <v>75.7928571428569</v>
      </c>
    </row>
    <row r="10" customFormat="false" ht="15" hidden="true" customHeight="true" outlineLevel="0" collapsed="false">
      <c r="A10" s="98" t="n">
        <v>1852</v>
      </c>
      <c r="B10" s="98" t="s">
        <v>17</v>
      </c>
      <c r="C10" s="102" t="n">
        <f aca="false">('1852'!D27-'1852'!C27)*3.6</f>
        <v>40.3559999999999</v>
      </c>
      <c r="D10" s="102" t="n">
        <f aca="false">('1852'!E27-'1852'!D27)*3.6</f>
        <v>28.8</v>
      </c>
      <c r="E10" s="102" t="n">
        <f aca="false">('1852'!F27-'1852'!E27)*3.6</f>
        <v>24.48</v>
      </c>
      <c r="F10" s="102" t="n">
        <f aca="false">('1852'!G27-'1852'!F27)*3.6</f>
        <v>19.656</v>
      </c>
      <c r="G10" s="102" t="n">
        <f aca="false">('1852'!H27-'1852'!G27)*3.6</f>
        <v>5.25599999999993</v>
      </c>
      <c r="H10" s="102" t="n">
        <f aca="false">('1852'!I27-'1852'!H27)*3.6</f>
        <v>3.92400000000001</v>
      </c>
      <c r="I10" s="102" t="n">
        <f aca="false">('1852'!J27-'1852'!I27)*3.6</f>
        <v>2.84399999999997</v>
      </c>
      <c r="J10" s="102" t="n">
        <f aca="false">('1852'!K27-'1852'!J27)*3.6</f>
        <v>2.44800000000003</v>
      </c>
      <c r="K10" s="102" t="n">
        <f aca="false">('1852'!L27-'1852'!K27)*3.6</f>
        <v>5.04000000000002</v>
      </c>
      <c r="L10" s="102" t="n">
        <f aca="false">('1852'!M27-'1852'!L27)*3.6</f>
        <v>10.044</v>
      </c>
      <c r="M10" s="102" t="n">
        <f aca="false">('1852'!N27-'1852'!M27)*3.6</f>
        <v>27</v>
      </c>
      <c r="N10" s="102" t="n">
        <f aca="false">('1852'!O27-'1852'!N27)*3.6</f>
        <v>39.0600000000001</v>
      </c>
    </row>
    <row r="11" customFormat="false" ht="17.25" hidden="true" customHeight="true" outlineLevel="0" collapsed="false">
      <c r="A11" s="98" t="n">
        <v>1852</v>
      </c>
      <c r="B11" s="329" t="s">
        <v>395</v>
      </c>
      <c r="C11" s="144" t="n">
        <f aca="false">'1852'!D28-'1852'!C28</f>
        <v>305</v>
      </c>
      <c r="D11" s="144" t="n">
        <f aca="false">'1852'!E28-'1852'!D28</f>
        <v>208</v>
      </c>
      <c r="E11" s="144" t="n">
        <f aca="false">'1852'!F28-'1852'!E28</f>
        <v>194</v>
      </c>
      <c r="F11" s="144" t="n">
        <f aca="false">'1852'!G28-'1852'!F28</f>
        <v>145</v>
      </c>
      <c r="G11" s="144" t="n">
        <f aca="false">'1852'!H28-'1852'!G28</f>
        <v>38</v>
      </c>
      <c r="H11" s="144" t="n">
        <f aca="false">'1852'!I28-'1852'!H28</f>
        <v>32</v>
      </c>
      <c r="I11" s="144" t="n">
        <f aca="false">'1852'!J28-'1852'!I28</f>
        <v>26</v>
      </c>
      <c r="J11" s="144" t="n">
        <f aca="false">'1852'!K28-'1852'!J28</f>
        <v>23</v>
      </c>
      <c r="K11" s="144" t="n">
        <f aca="false">'1852'!L28-'1852'!K28</f>
        <v>39</v>
      </c>
      <c r="L11" s="144" t="n">
        <f aca="false">'1852'!M28-'1852'!L28</f>
        <v>77</v>
      </c>
      <c r="M11" s="144" t="n">
        <f aca="false">'1852'!N28-'1852'!M28</f>
        <v>185</v>
      </c>
      <c r="N11" s="144" t="n">
        <f aca="false">'1852'!O28-'1852'!N28</f>
        <v>258</v>
      </c>
    </row>
    <row r="12" customFormat="false" ht="17.25" hidden="false" customHeight="false" outlineLevel="0" collapsed="false">
      <c r="A12" s="98" t="n">
        <v>1852</v>
      </c>
      <c r="B12" s="329" t="s">
        <v>396</v>
      </c>
      <c r="C12" s="92" t="n">
        <f aca="false">C10/C11*1000</f>
        <v>132.31475409836</v>
      </c>
      <c r="D12" s="92" t="n">
        <f aca="false">D10/D11*1000</f>
        <v>138.461538461538</v>
      </c>
      <c r="E12" s="92" t="n">
        <f aca="false">E10/E11*1000</f>
        <v>126.18556701031</v>
      </c>
      <c r="F12" s="92" t="n">
        <f aca="false">F10/F11*1000</f>
        <v>135.558620689655</v>
      </c>
      <c r="G12" s="92" t="n">
        <f aca="false">G10/G11*1000</f>
        <v>138.315789473682</v>
      </c>
      <c r="H12" s="92" t="n">
        <f aca="false">H10/H11*1000</f>
        <v>122.625</v>
      </c>
      <c r="I12" s="92" t="n">
        <f aca="false">I10/I11*1000</f>
        <v>109.384615384614</v>
      </c>
      <c r="J12" s="92" t="n">
        <f aca="false">J10/J11*1000</f>
        <v>106.434782608697</v>
      </c>
      <c r="K12" s="92" t="n">
        <f aca="false">K10/K11*1000</f>
        <v>129.23076923077</v>
      </c>
      <c r="L12" s="92" t="n">
        <f aca="false">L10/L11*1000</f>
        <v>130.441558441558</v>
      </c>
      <c r="M12" s="92" t="n">
        <f aca="false">M10/M11*1000</f>
        <v>145.945945945946</v>
      </c>
      <c r="N12" s="92" t="n">
        <f aca="false">N10/N11*1000</f>
        <v>151.39534883721</v>
      </c>
    </row>
    <row r="13" customFormat="false" ht="15" hidden="true" customHeight="true" outlineLevel="0" collapsed="false">
      <c r="A13" s="98" t="n">
        <v>1853</v>
      </c>
      <c r="B13" s="98" t="s">
        <v>17</v>
      </c>
      <c r="C13" s="102" t="n">
        <f aca="false">('1853'!D28-'1853'!C28)*3.6</f>
        <v>35.7479999999999</v>
      </c>
      <c r="D13" s="102" t="n">
        <f aca="false">('1853'!E28-'1853'!D28)*3.6</f>
        <v>27.324</v>
      </c>
      <c r="E13" s="102" t="n">
        <f aca="false">('1853'!F28-'1853'!E28)*3.6</f>
        <v>22.788</v>
      </c>
      <c r="F13" s="102" t="n">
        <f aca="false">('1853'!G28-'1853'!F28)*3.6</f>
        <v>16.2</v>
      </c>
      <c r="G13" s="102" t="n">
        <f aca="false">('1853'!H28-'1853'!G28)*3.6</f>
        <v>6.22799999999996</v>
      </c>
      <c r="H13" s="102" t="n">
        <f aca="false">('1853'!I28-'1853'!H28)*3.6</f>
        <v>5.65199999999998</v>
      </c>
      <c r="I13" s="102" t="n">
        <f aca="false">('1853'!J28-'1853'!I28)*3.6</f>
        <v>3.78000000000004</v>
      </c>
      <c r="J13" s="102" t="n">
        <f aca="false">('1853'!K28-'1853'!J28)*3.6</f>
        <v>1.98000000000004</v>
      </c>
      <c r="K13" s="102" t="n">
        <f aca="false">('1853'!L28-'1853'!K28)*3.6</f>
        <v>3.16799999999998</v>
      </c>
      <c r="L13" s="102" t="n">
        <f aca="false">('1853'!M28-'1853'!L28)*3.6</f>
        <v>6.51600000000001</v>
      </c>
      <c r="M13" s="102" t="n">
        <f aca="false">('1853'!N28-'1853'!M28)*3.6</f>
        <v>22.284</v>
      </c>
      <c r="N13" s="102" t="n">
        <f aca="false">('1853'!O28-'1853'!N28)*3.6</f>
        <v>33.9479999999999</v>
      </c>
    </row>
    <row r="14" customFormat="false" ht="17.25" hidden="true" customHeight="true" outlineLevel="0" collapsed="false">
      <c r="A14" s="98" t="n">
        <v>1853</v>
      </c>
      <c r="B14" s="329" t="s">
        <v>395</v>
      </c>
      <c r="C14" s="144" t="n">
        <f aca="false">'1853'!D29-'1853'!C29</f>
        <v>304</v>
      </c>
      <c r="D14" s="144" t="n">
        <f aca="false">'1853'!E29-'1853'!D29</f>
        <v>234</v>
      </c>
      <c r="E14" s="144" t="n">
        <f aca="false">'1853'!F29-'1853'!E29</f>
        <v>211</v>
      </c>
      <c r="F14" s="144" t="n">
        <f aca="false">'1853'!G29-'1853'!F29</f>
        <v>172</v>
      </c>
      <c r="G14" s="144" t="n">
        <f aca="false">'1853'!H29-'1853'!G29</f>
        <v>107</v>
      </c>
      <c r="H14" s="144" t="n">
        <f aca="false">'1853'!I29-'1853'!H29</f>
        <v>120</v>
      </c>
      <c r="I14" s="144" t="n">
        <f aca="false">'1853'!J29-'1853'!I29</f>
        <v>72</v>
      </c>
      <c r="J14" s="144" t="n">
        <f aca="false">'1853'!K29-'1853'!J29</f>
        <v>17</v>
      </c>
      <c r="K14" s="144" t="n">
        <f aca="false">'1853'!L29-'1853'!K29</f>
        <v>26</v>
      </c>
      <c r="L14" s="144" t="n">
        <f aca="false">'1853'!M29-'1853'!L29</f>
        <v>47</v>
      </c>
      <c r="M14" s="144" t="n">
        <f aca="false">'1853'!N29-'1853'!M29</f>
        <v>151</v>
      </c>
      <c r="N14" s="144" t="n">
        <f aca="false">'1853'!O29-'1853'!N29</f>
        <v>230</v>
      </c>
    </row>
    <row r="15" customFormat="false" ht="17.25" hidden="false" customHeight="false" outlineLevel="0" collapsed="false">
      <c r="A15" s="98" t="n">
        <v>1853</v>
      </c>
      <c r="B15" s="329" t="s">
        <v>396</v>
      </c>
      <c r="C15" s="92" t="n">
        <f aca="false">C13/C14*1000</f>
        <v>117.592105263158</v>
      </c>
      <c r="D15" s="92" t="n">
        <f aca="false">D13/D14*1000</f>
        <v>116.769230769231</v>
      </c>
      <c r="E15" s="92" t="n">
        <f aca="false">E13/E14*1000</f>
        <v>108</v>
      </c>
      <c r="F15" s="92" t="n">
        <f aca="false">F13/F14*1000</f>
        <v>94.1860465116279</v>
      </c>
      <c r="G15" s="92" t="n">
        <f aca="false">G13/G14*1000</f>
        <v>58.2056074766352</v>
      </c>
      <c r="H15" s="92" t="n">
        <f aca="false">H13/H14*1000</f>
        <v>47.0999999999998</v>
      </c>
      <c r="I15" s="92" t="n">
        <f aca="false">I13/I14*1000</f>
        <v>52.5000000000006</v>
      </c>
      <c r="J15" s="92" t="n">
        <f aca="false">J13/J14*1000</f>
        <v>116.470588235297</v>
      </c>
      <c r="K15" s="92" t="n">
        <f aca="false">K13/K14*1000</f>
        <v>121.846153846153</v>
      </c>
      <c r="L15" s="92" t="n">
        <f aca="false">L13/L14*1000</f>
        <v>138.638297872341</v>
      </c>
      <c r="M15" s="92" t="n">
        <f aca="false">M13/M14*1000</f>
        <v>147.576158940397</v>
      </c>
      <c r="N15" s="92" t="n">
        <f aca="false">N13/N14*1000</f>
        <v>147.6</v>
      </c>
    </row>
    <row r="16" customFormat="false" ht="15" hidden="true" customHeight="true" outlineLevel="0" collapsed="false">
      <c r="A16" s="98" t="n">
        <v>1854</v>
      </c>
      <c r="B16" s="98" t="s">
        <v>17</v>
      </c>
      <c r="C16" s="330" t="n">
        <f aca="false">'1854'!D27-'1854'!C27</f>
        <v>35.37</v>
      </c>
      <c r="D16" s="330" t="n">
        <f aca="false">'1854'!E27-'1854'!D27</f>
        <v>27.39</v>
      </c>
      <c r="E16" s="330" t="n">
        <f aca="false">'1854'!F27-'1854'!E27</f>
        <v>22.71</v>
      </c>
      <c r="F16" s="330" t="n">
        <f aca="false">'1854'!G27-'1854'!F27</f>
        <v>17.05</v>
      </c>
      <c r="G16" s="330" t="n">
        <f aca="false">'1854'!H27-'1854'!G27</f>
        <v>3.63999999999999</v>
      </c>
      <c r="H16" s="330" t="n">
        <f aca="false">'1854'!I27-'1854'!H27</f>
        <v>2.33000000000004</v>
      </c>
      <c r="I16" s="330" t="n">
        <f aca="false">'1854'!J27-'1854'!I27</f>
        <v>2.54999999999995</v>
      </c>
      <c r="J16" s="330" t="n">
        <f aca="false">'1854'!K27-'1854'!J27</f>
        <v>3.10000000000002</v>
      </c>
      <c r="K16" s="330" t="n">
        <f aca="false">'1854'!L27-'1854'!K27</f>
        <v>4.08999999999998</v>
      </c>
      <c r="L16" s="330" t="n">
        <f aca="false">'1854'!M27-'1854'!L27</f>
        <v>8.89000000000004</v>
      </c>
      <c r="M16" s="330" t="n">
        <f aca="false">'1854'!N27-'1854'!M27</f>
        <v>21.77</v>
      </c>
      <c r="N16" s="330" t="n">
        <f aca="false">'1854'!O27-'1854'!N27</f>
        <v>34.29</v>
      </c>
    </row>
    <row r="17" customFormat="false" ht="17.25" hidden="true" customHeight="true" outlineLevel="0" collapsed="false">
      <c r="A17" s="98" t="n">
        <v>1854</v>
      </c>
      <c r="B17" s="329" t="s">
        <v>395</v>
      </c>
      <c r="C17" s="331" t="n">
        <f aca="false">'1854'!D28-'1854'!C28</f>
        <v>263</v>
      </c>
      <c r="D17" s="331" t="n">
        <f aca="false">'1854'!E28-'1854'!D28</f>
        <v>198</v>
      </c>
      <c r="E17" s="331" t="n">
        <f aca="false">'1854'!F28-'1854'!E28</f>
        <v>155</v>
      </c>
      <c r="F17" s="331" t="n">
        <f aca="false">'1854'!G28-'1854'!F28</f>
        <v>125</v>
      </c>
      <c r="G17" s="331" t="n">
        <f aca="false">'1854'!H28-'1854'!G28</f>
        <v>35</v>
      </c>
      <c r="H17" s="331" t="n">
        <f aca="false">'1854'!I28-'1854'!H28</f>
        <v>27</v>
      </c>
      <c r="I17" s="331" t="n">
        <f aca="false">'1854'!J28-'1854'!I28</f>
        <v>35</v>
      </c>
      <c r="J17" s="331" t="n">
        <f aca="false">'1854'!K28-'1854'!J28</f>
        <v>46</v>
      </c>
      <c r="K17" s="331" t="n">
        <f aca="false">'1854'!L28-'1854'!K28</f>
        <v>48</v>
      </c>
      <c r="L17" s="331" t="n">
        <f aca="false">'1854'!M28-'1854'!L28</f>
        <v>83</v>
      </c>
      <c r="M17" s="331" t="n">
        <f aca="false">'1854'!N28-'1854'!M28</f>
        <v>152</v>
      </c>
      <c r="N17" s="331" t="n">
        <f aca="false">'1854'!O28-'1854'!N28</f>
        <v>232</v>
      </c>
    </row>
    <row r="18" customFormat="false" ht="17.25" hidden="false" customHeight="false" outlineLevel="0" collapsed="false">
      <c r="A18" s="98" t="n">
        <v>1854</v>
      </c>
      <c r="B18" s="329" t="s">
        <v>396</v>
      </c>
      <c r="C18" s="332" t="n">
        <f aca="false">C16/C17*1000</f>
        <v>134.486692015209</v>
      </c>
      <c r="D18" s="332" t="n">
        <f aca="false">D16/D17*1000</f>
        <v>138.333333333333</v>
      </c>
      <c r="E18" s="332" t="n">
        <f aca="false">E16/E17*1000</f>
        <v>146.516129032258</v>
      </c>
      <c r="F18" s="332" t="n">
        <f aca="false">F16/F17*1000</f>
        <v>136.4</v>
      </c>
      <c r="G18" s="332" t="n">
        <f aca="false">G16/G17*1000</f>
        <v>104</v>
      </c>
      <c r="H18" s="332" t="n">
        <f aca="false">H16/H17*1000</f>
        <v>86.2962962962978</v>
      </c>
      <c r="I18" s="332" t="n">
        <f aca="false">I16/I17*1000</f>
        <v>72.8571428571416</v>
      </c>
      <c r="J18" s="332" t="n">
        <f aca="false">J16/J17*1000</f>
        <v>67.3913043478266</v>
      </c>
      <c r="K18" s="332" t="n">
        <f aca="false">K16/K17*1000</f>
        <v>85.2083333333328</v>
      </c>
      <c r="L18" s="332" t="n">
        <f aca="false">L16/L17*1000</f>
        <v>107.10843373494</v>
      </c>
      <c r="M18" s="332" t="n">
        <f aca="false">M16/M17*1000</f>
        <v>143.223684210526</v>
      </c>
      <c r="N18" s="332" t="n">
        <f aca="false">N16/N17*1000</f>
        <v>147.801724137931</v>
      </c>
    </row>
    <row r="19" customFormat="false" ht="15" hidden="true" customHeight="true" outlineLevel="0" collapsed="false">
      <c r="A19" s="98" t="n">
        <v>1855</v>
      </c>
      <c r="B19" s="98" t="s">
        <v>17</v>
      </c>
      <c r="C19" s="330" t="n">
        <f aca="false">'1855'!D27-'1855'!C27</f>
        <v>42.35</v>
      </c>
      <c r="D19" s="330" t="n">
        <f aca="false">'1855'!E27-'1855'!D27</f>
        <v>30.84</v>
      </c>
      <c r="E19" s="330" t="n">
        <f aca="false">'1855'!F27-'1855'!E27</f>
        <v>25.88</v>
      </c>
      <c r="F19" s="330" t="n">
        <f aca="false">'1855'!G27-'1855'!F27</f>
        <v>19.6200000000001</v>
      </c>
      <c r="G19" s="330" t="n">
        <f aca="false">'1855'!H27-'1855'!G27</f>
        <v>4.71999999999991</v>
      </c>
      <c r="H19" s="330" t="n">
        <f aca="false">'1855'!I27-'1855'!H27</f>
        <v>3.16000000000008</v>
      </c>
      <c r="I19" s="330" t="n">
        <f aca="false">'1855'!J27-'1855'!I27</f>
        <v>2.50999999999999</v>
      </c>
      <c r="J19" s="330" t="n">
        <f aca="false">'1855'!K27-'1855'!J27</f>
        <v>2.38999999999999</v>
      </c>
      <c r="K19" s="330" t="n">
        <f aca="false">'1855'!L27-'1855'!K27</f>
        <v>3.68999999999994</v>
      </c>
      <c r="L19" s="330" t="n">
        <f aca="false">'1855'!M27-'1855'!L27</f>
        <v>10.47</v>
      </c>
      <c r="M19" s="330" t="n">
        <f aca="false">'1855'!N27-'1855'!M27</f>
        <v>25.9300000000001</v>
      </c>
      <c r="N19" s="330" t="n">
        <f aca="false">'1855'!O27-'1855'!N27</f>
        <v>36.42</v>
      </c>
    </row>
    <row r="20" customFormat="false" ht="17.25" hidden="true" customHeight="true" outlineLevel="0" collapsed="false">
      <c r="A20" s="98" t="n">
        <v>1855</v>
      </c>
      <c r="B20" s="329" t="s">
        <v>395</v>
      </c>
      <c r="C20" s="331" t="n">
        <f aca="false">'1855'!D28-'1855'!C28</f>
        <v>273</v>
      </c>
      <c r="D20" s="331" t="n">
        <f aca="false">'1855'!E28-'1855'!D28</f>
        <v>204</v>
      </c>
      <c r="E20" s="331" t="n">
        <f aca="false">'1855'!F28-'1855'!E28</f>
        <v>162</v>
      </c>
      <c r="F20" s="331" t="n">
        <f aca="false">'1855'!G28-'1855'!F28</f>
        <v>123</v>
      </c>
      <c r="G20" s="331" t="n">
        <f aca="false">'1855'!H28-'1855'!G28</f>
        <v>31</v>
      </c>
      <c r="H20" s="331" t="n">
        <f aca="false">'1855'!I28-'1855'!H28</f>
        <v>22</v>
      </c>
      <c r="I20" s="331" t="n">
        <f aca="false">'1855'!J28-'1855'!I28</f>
        <v>19</v>
      </c>
      <c r="J20" s="331" t="n">
        <f aca="false">'1855'!K28-'1855'!J28</f>
        <v>19</v>
      </c>
      <c r="K20" s="331" t="n">
        <f aca="false">'1855'!L28-'1855'!K28</f>
        <v>27</v>
      </c>
      <c r="L20" s="331" t="n">
        <f aca="false">'1855'!M28-'1855'!L28</f>
        <v>71</v>
      </c>
      <c r="M20" s="331" t="n">
        <f aca="false">'1855'!N28-'1855'!M28</f>
        <v>174</v>
      </c>
      <c r="N20" s="331" t="n">
        <f aca="false">'1855'!O28-'1855'!N28</f>
        <v>262</v>
      </c>
    </row>
    <row r="21" customFormat="false" ht="17.25" hidden="false" customHeight="false" outlineLevel="0" collapsed="false">
      <c r="A21" s="98" t="n">
        <v>1855</v>
      </c>
      <c r="B21" s="329" t="s">
        <v>396</v>
      </c>
      <c r="C21" s="332" t="n">
        <f aca="false">C19/C20*1000</f>
        <v>155.128205128205</v>
      </c>
      <c r="D21" s="332" t="n">
        <f aca="false">D19/D20*1000</f>
        <v>151.176470588235</v>
      </c>
      <c r="E21" s="332" t="n">
        <f aca="false">E19/E20*1000</f>
        <v>159.753086419753</v>
      </c>
      <c r="F21" s="332" t="n">
        <f aca="false">F19/F20*1000</f>
        <v>159.512195121952</v>
      </c>
      <c r="G21" s="332" t="n">
        <f aca="false">G19/G20*1000</f>
        <v>152.258064516126</v>
      </c>
      <c r="H21" s="332" t="n">
        <f aca="false">H19/H20*1000</f>
        <v>143.636363636367</v>
      </c>
      <c r="I21" s="332" t="n">
        <f aca="false">I19/I20*1000</f>
        <v>132.105263157894</v>
      </c>
      <c r="J21" s="332" t="n">
        <f aca="false">J19/J20*1000</f>
        <v>125.78947368421</v>
      </c>
      <c r="K21" s="332" t="n">
        <f aca="false">K19/K20*1000</f>
        <v>136.666666666664</v>
      </c>
      <c r="L21" s="332" t="n">
        <f aca="false">L19/L20*1000</f>
        <v>147.464788732395</v>
      </c>
      <c r="M21" s="332" t="n">
        <f aca="false">M19/M20*1000</f>
        <v>149.022988505748</v>
      </c>
      <c r="N21" s="332" t="n">
        <f aca="false">N19/N20*1000</f>
        <v>139.007633587786</v>
      </c>
    </row>
    <row r="22" customFormat="false" ht="15" hidden="true" customHeight="true" outlineLevel="0" collapsed="false">
      <c r="A22" s="98" t="n">
        <v>1856</v>
      </c>
      <c r="B22" s="98" t="s">
        <v>17</v>
      </c>
      <c r="C22" s="330" t="n">
        <f aca="false">'1856'!D27-'1856'!C27</f>
        <v>37.75</v>
      </c>
      <c r="D22" s="330" t="n">
        <f aca="false">'1856'!E27-'1856'!D27</f>
        <v>27.69</v>
      </c>
      <c r="E22" s="330" t="n">
        <f aca="false">'1856'!F27-'1856'!E27</f>
        <v>22.77</v>
      </c>
      <c r="F22" s="330" t="n">
        <f aca="false">'1856'!G27-'1856'!F27</f>
        <v>16.41</v>
      </c>
      <c r="G22" s="330" t="n">
        <f aca="false">'1856'!H27-'1856'!G27</f>
        <v>3.42999999999995</v>
      </c>
      <c r="H22" s="330" t="n">
        <f aca="false">'1856'!I27-'1856'!H27</f>
        <v>2.45000000000005</v>
      </c>
      <c r="I22" s="330" t="n">
        <f aca="false">'1856'!J27-'1856'!I27</f>
        <v>2.28999999999996</v>
      </c>
      <c r="J22" s="330" t="n">
        <f aca="false">'1856'!K27-'1856'!J27</f>
        <v>2.22000000000003</v>
      </c>
      <c r="K22" s="330" t="n">
        <f aca="false">'1856'!L27-'1856'!K27</f>
        <v>2.90999999999997</v>
      </c>
      <c r="L22" s="330" t="n">
        <f aca="false">'1856'!M27-'1856'!L27</f>
        <v>7.04000000000002</v>
      </c>
      <c r="M22" s="330" t="n">
        <f aca="false">'1856'!N27-'1856'!M27</f>
        <v>22.49</v>
      </c>
      <c r="N22" s="330" t="n">
        <f aca="false">'1856'!O27-'1856'!N27</f>
        <v>34.61</v>
      </c>
    </row>
    <row r="23" customFormat="false" ht="17.25" hidden="true" customHeight="true" outlineLevel="0" collapsed="false">
      <c r="A23" s="98" t="n">
        <v>1856</v>
      </c>
      <c r="B23" s="329" t="s">
        <v>395</v>
      </c>
      <c r="C23" s="331" t="n">
        <f aca="false">'1856'!D28-'1856'!C28</f>
        <v>254</v>
      </c>
      <c r="D23" s="331" t="n">
        <f aca="false">'1856'!E28-'1856'!D28</f>
        <v>187</v>
      </c>
      <c r="E23" s="331" t="n">
        <f aca="false">'1856'!F28-'1856'!E28</f>
        <v>152</v>
      </c>
      <c r="F23" s="331" t="n">
        <f aca="false">'1856'!G28-'1856'!F28</f>
        <v>106</v>
      </c>
      <c r="G23" s="331" t="n">
        <f aca="false">'1856'!H28-'1856'!G28</f>
        <v>24</v>
      </c>
      <c r="H23" s="331" t="n">
        <f aca="false">'1856'!I28-'1856'!H28</f>
        <v>19</v>
      </c>
      <c r="I23" s="331" t="n">
        <f aca="false">'1856'!J28-'1856'!I28</f>
        <v>19</v>
      </c>
      <c r="J23" s="331" t="n">
        <f aca="false">'1856'!K28-'1856'!J28</f>
        <v>18</v>
      </c>
      <c r="K23" s="331" t="n">
        <f aca="false">'1856'!L28-'1856'!K28</f>
        <v>22</v>
      </c>
      <c r="L23" s="331" t="n">
        <f aca="false">'1856'!M28-'1856'!L28</f>
        <v>50</v>
      </c>
      <c r="M23" s="331" t="n">
        <f aca="false">'1856'!N28-'1856'!M28</f>
        <v>141</v>
      </c>
      <c r="N23" s="331" t="n">
        <f aca="false">'1856'!O28-'1856'!N28</f>
        <v>232</v>
      </c>
    </row>
    <row r="24" customFormat="false" ht="17.25" hidden="false" customHeight="false" outlineLevel="0" collapsed="false">
      <c r="A24" s="98" t="n">
        <v>1856</v>
      </c>
      <c r="B24" s="329" t="s">
        <v>396</v>
      </c>
      <c r="C24" s="332" t="n">
        <f aca="false">C22/C23*1000</f>
        <v>148.622047244095</v>
      </c>
      <c r="D24" s="332" t="n">
        <f aca="false">D22/D23*1000</f>
        <v>148.07486631016</v>
      </c>
      <c r="E24" s="332" t="n">
        <f aca="false">E22/E23*1000</f>
        <v>149.802631578947</v>
      </c>
      <c r="F24" s="332" t="n">
        <f aca="false">F22/F23*1000</f>
        <v>154.811320754717</v>
      </c>
      <c r="G24" s="332" t="n">
        <f aca="false">G22/G23*1000</f>
        <v>142.916666666665</v>
      </c>
      <c r="H24" s="332" t="n">
        <f aca="false">H22/H23*1000</f>
        <v>128.947368421055</v>
      </c>
      <c r="I24" s="332" t="n">
        <f aca="false">I22/I23*1000</f>
        <v>120.526315789472</v>
      </c>
      <c r="J24" s="332" t="n">
        <f aca="false">J22/J23*1000</f>
        <v>123.333333333335</v>
      </c>
      <c r="K24" s="332" t="n">
        <f aca="false">K22/K23*1000</f>
        <v>132.272727272726</v>
      </c>
      <c r="L24" s="332" t="n">
        <f aca="false">L22/L23*1000</f>
        <v>140.8</v>
      </c>
      <c r="M24" s="332" t="n">
        <f aca="false">M22/M23*1000</f>
        <v>159.503546099291</v>
      </c>
      <c r="N24" s="332" t="n">
        <f aca="false">N22/N23*1000</f>
        <v>149.181034482759</v>
      </c>
    </row>
    <row r="25" customFormat="false" ht="15" hidden="true" customHeight="true" outlineLevel="0" collapsed="false">
      <c r="A25" s="98" t="n">
        <v>1857</v>
      </c>
      <c r="B25" s="98" t="s">
        <v>17</v>
      </c>
      <c r="C25" s="330" t="n">
        <f aca="false">'1857'!D27-'1857'!C27</f>
        <v>38.69</v>
      </c>
      <c r="D25" s="330" t="n">
        <f aca="false">'1857'!E27-'1857'!D27</f>
        <v>26.44</v>
      </c>
      <c r="E25" s="330" t="n">
        <f aca="false">'1857'!F27-'1857'!E27</f>
        <v>20.74</v>
      </c>
      <c r="F25" s="330" t="n">
        <f aca="false">'1857'!G27-'1857'!F27</f>
        <v>16.35</v>
      </c>
      <c r="G25" s="330" t="n">
        <f aca="false">'1857'!H27-'1857'!G27</f>
        <v>2.87</v>
      </c>
      <c r="H25" s="330" t="n">
        <f aca="false">'1857'!I27-'1857'!H27</f>
        <v>2.20999999999998</v>
      </c>
      <c r="I25" s="330" t="n">
        <f aca="false">'1857'!J27-'1857'!I27</f>
        <v>1.80000000000001</v>
      </c>
      <c r="J25" s="330" t="n">
        <f aca="false">'1857'!K27-'1857'!J27</f>
        <v>1.83999999999998</v>
      </c>
      <c r="K25" s="330" t="n">
        <f aca="false">'1857'!L27-'1857'!K27</f>
        <v>3.52000000000004</v>
      </c>
      <c r="L25" s="330" t="n">
        <f aca="false">'1857'!M27-'1857'!L27</f>
        <v>7.95999999999998</v>
      </c>
      <c r="M25" s="330" t="n">
        <f aca="false">'1857'!N27-'1857'!M27</f>
        <v>24.23</v>
      </c>
      <c r="N25" s="330" t="n">
        <f aca="false">'1857'!O27-'1857'!N27</f>
        <v>36.15</v>
      </c>
    </row>
    <row r="26" customFormat="false" ht="17.25" hidden="true" customHeight="true" outlineLevel="0" collapsed="false">
      <c r="A26" s="98" t="n">
        <v>1857</v>
      </c>
      <c r="B26" s="329" t="s">
        <v>395</v>
      </c>
      <c r="C26" s="331" t="n">
        <f aca="false">'1857'!D28-'1857'!C28</f>
        <v>273</v>
      </c>
      <c r="D26" s="331" t="n">
        <f aca="false">'1857'!E28-'1857'!D28</f>
        <v>177</v>
      </c>
      <c r="E26" s="331" t="n">
        <f aca="false">'1857'!F28-'1857'!E28</f>
        <v>137</v>
      </c>
      <c r="F26" s="331" t="n">
        <f aca="false">'1857'!G28-'1857'!F28</f>
        <v>108</v>
      </c>
      <c r="G26" s="331" t="n">
        <f aca="false">'1857'!H28-'1857'!G28</f>
        <v>26</v>
      </c>
      <c r="H26" s="331" t="n">
        <f aca="false">'1857'!I28-'1857'!H28</f>
        <v>21</v>
      </c>
      <c r="I26" s="331" t="n">
        <f aca="false">'1857'!J28-'1857'!I28</f>
        <v>20</v>
      </c>
      <c r="J26" s="331" t="n">
        <f aca="false">'1857'!K28-'1857'!J28</f>
        <v>21</v>
      </c>
      <c r="K26" s="331" t="n">
        <f aca="false">'1857'!L28-'1857'!K28</f>
        <v>32</v>
      </c>
      <c r="L26" s="331" t="n">
        <f aca="false">'1857'!M28-'1857'!L28</f>
        <v>69</v>
      </c>
      <c r="M26" s="331" t="n">
        <f aca="false">'1857'!N28-'1857'!M28</f>
        <v>166</v>
      </c>
      <c r="N26" s="331" t="n">
        <f aca="false">'1857'!O28-'1857'!N28</f>
        <v>252</v>
      </c>
    </row>
    <row r="27" customFormat="false" ht="17.25" hidden="false" customHeight="false" outlineLevel="0" collapsed="false">
      <c r="A27" s="98" t="n">
        <v>1857</v>
      </c>
      <c r="B27" s="329" t="s">
        <v>396</v>
      </c>
      <c r="C27" s="332" t="n">
        <f aca="false">C25/C26*1000</f>
        <v>141.721611721612</v>
      </c>
      <c r="D27" s="332" t="n">
        <f aca="false">D25/D26*1000</f>
        <v>149.378531073446</v>
      </c>
      <c r="E27" s="332" t="n">
        <f aca="false">E25/E26*1000</f>
        <v>151.386861313869</v>
      </c>
      <c r="F27" s="332" t="n">
        <f aca="false">F25/F26*1000</f>
        <v>151.388888888889</v>
      </c>
      <c r="G27" s="332" t="n">
        <f aca="false">G25/G26*1000</f>
        <v>110.384615384616</v>
      </c>
      <c r="H27" s="332" t="n">
        <f aca="false">H25/H26*1000</f>
        <v>105.238095238094</v>
      </c>
      <c r="I27" s="332" t="n">
        <f aca="false">I25/I26*1000</f>
        <v>90.0000000000006</v>
      </c>
      <c r="J27" s="332" t="n">
        <f aca="false">J25/J26*1000</f>
        <v>87.6190476190464</v>
      </c>
      <c r="K27" s="332" t="n">
        <f aca="false">K25/K26*1000</f>
        <v>110.000000000001</v>
      </c>
      <c r="L27" s="332" t="n">
        <f aca="false">L25/L26*1000</f>
        <v>115.362318840579</v>
      </c>
      <c r="M27" s="332" t="n">
        <f aca="false">M25/M26*1000</f>
        <v>145.963855421687</v>
      </c>
      <c r="N27" s="332" t="n">
        <f aca="false">N25/N26*1000</f>
        <v>143.452380952381</v>
      </c>
    </row>
  </sheetData>
  <conditionalFormatting sqref="D4:N5">
    <cfRule type="cellIs" priority="2" operator="equal" aboveAverage="0" equalAverage="0" bottom="0" percent="0" rank="0" text="" dxfId="4906">
      <formula>0</formula>
    </cfRule>
    <cfRule type="cellIs" priority="3" operator="lessThan" aboveAverage="0" equalAverage="0" bottom="0" percent="0" rank="0" text="" dxfId="4907">
      <formula>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.86"/>
  </cols>
  <sheetData>
    <row r="1" customFormat="false" ht="15" hidden="false" customHeight="false" outlineLevel="0" collapsed="false">
      <c r="A1" s="319" t="s">
        <v>397</v>
      </c>
      <c r="E1" s="319" t="s">
        <v>398</v>
      </c>
      <c r="H1" s="319" t="s">
        <v>399</v>
      </c>
      <c r="O1" s="333" t="n">
        <f aca="false">S1!B1</f>
        <v>2022</v>
      </c>
    </row>
    <row r="2" customFormat="false" ht="2.25" hidden="false" customHeight="true" outlineLevel="0" collapsed="false">
      <c r="A2" s="319"/>
      <c r="O2" s="334"/>
    </row>
    <row r="3" customFormat="false" ht="13.5" hidden="false" customHeight="true" outlineLevel="0" collapsed="false">
      <c r="A3" s="102"/>
      <c r="B3" s="102"/>
      <c r="C3" s="98" t="s">
        <v>5</v>
      </c>
      <c r="D3" s="98" t="s">
        <v>6</v>
      </c>
      <c r="E3" s="98" t="s">
        <v>7</v>
      </c>
      <c r="F3" s="98" t="s">
        <v>8</v>
      </c>
      <c r="G3" s="98" t="s">
        <v>9</v>
      </c>
      <c r="H3" s="98" t="s">
        <v>10</v>
      </c>
      <c r="I3" s="98" t="s">
        <v>11</v>
      </c>
      <c r="J3" s="98" t="s">
        <v>12</v>
      </c>
      <c r="K3" s="98" t="s">
        <v>13</v>
      </c>
      <c r="L3" s="98" t="s">
        <v>14</v>
      </c>
      <c r="M3" s="98" t="s">
        <v>15</v>
      </c>
      <c r="N3" s="98" t="s">
        <v>4</v>
      </c>
      <c r="O3" s="335" t="s">
        <v>400</v>
      </c>
      <c r="Q3" s="336" t="s">
        <v>401</v>
      </c>
    </row>
    <row r="4" customFormat="false" ht="13.5" hidden="false" customHeight="true" outlineLevel="0" collapsed="false">
      <c r="A4" s="98" t="n">
        <v>1850</v>
      </c>
      <c r="B4" s="98" t="s">
        <v>16</v>
      </c>
      <c r="C4" s="337" t="n">
        <f aca="false">'1850'!D26-'1850'!C26</f>
        <v>71</v>
      </c>
      <c r="D4" s="337" t="n">
        <f aca="false">'1850'!E26-'1850'!D26</f>
        <v>67.8</v>
      </c>
      <c r="E4" s="337" t="n">
        <f aca="false">'1850'!F26-'1850'!E26</f>
        <v>74.1000000000001</v>
      </c>
      <c r="F4" s="337" t="n">
        <f aca="false">'1850'!G26-'1850'!F26</f>
        <v>69.3999999999999</v>
      </c>
      <c r="G4" s="337" t="n">
        <f aca="false">'1850'!H26-'1850'!G26</f>
        <v>68.5</v>
      </c>
      <c r="H4" s="337" t="n">
        <f aca="false">'1850'!I26-'1850'!H26</f>
        <v>59.4000000000001</v>
      </c>
      <c r="I4" s="337" t="n">
        <f aca="false">'1850'!J26-'1850'!I26</f>
        <v>51.6999999999998</v>
      </c>
      <c r="J4" s="337" t="n">
        <f aca="false">'1850'!K26-'1850'!J26</f>
        <v>57.1000000000004</v>
      </c>
      <c r="K4" s="337" t="n">
        <f aca="false">'1850'!L26-'1850'!K26</f>
        <v>55.5999999999999</v>
      </c>
      <c r="L4" s="337" t="n">
        <f aca="false">'1850'!M26-'1850'!L26</f>
        <v>65.5</v>
      </c>
      <c r="M4" s="337" t="n">
        <f aca="false">'1850'!N26-'1850'!M26</f>
        <v>60.5999999999999</v>
      </c>
      <c r="N4" s="337" t="n">
        <f aca="false">'1850'!O26-'1850'!N26</f>
        <v>61.4000000000001</v>
      </c>
      <c r="O4" s="338" t="n">
        <f aca="false">SUM(C4:N4)</f>
        <v>762.1</v>
      </c>
    </row>
    <row r="5" customFormat="false" ht="13.5" hidden="false" customHeight="true" outlineLevel="0" collapsed="false">
      <c r="A5" s="98" t="n">
        <v>1851</v>
      </c>
      <c r="B5" s="98" t="s">
        <v>16</v>
      </c>
      <c r="C5" s="337" t="n">
        <f aca="false">'1851'!E26-'1851'!D26</f>
        <v>93.5999999999999</v>
      </c>
      <c r="D5" s="337" t="n">
        <f aca="false">'1851'!F26-'1851'!E26</f>
        <v>81.8000000000002</v>
      </c>
      <c r="E5" s="337" t="n">
        <f aca="false">'1851'!G26-'1851'!F26</f>
        <v>83.3000000000002</v>
      </c>
      <c r="F5" s="337" t="n">
        <f aca="false">'1851'!H26-'1851'!G26</f>
        <v>91.8999999999996</v>
      </c>
      <c r="G5" s="337" t="n">
        <f aca="false">'1851'!I26-'1851'!H26</f>
        <v>87.1000000000004</v>
      </c>
      <c r="H5" s="337" t="n">
        <f aca="false">'1851'!J26-'1851'!I26</f>
        <v>77.2999999999997</v>
      </c>
      <c r="I5" s="337" t="n">
        <f aca="false">'1851'!K26-'1851'!J26</f>
        <v>76.5</v>
      </c>
      <c r="J5" s="337" t="n">
        <f aca="false">'1851'!L26-'1851'!K26</f>
        <v>79.4000000000001</v>
      </c>
      <c r="K5" s="337" t="n">
        <f aca="false">'1851'!M26-'1851'!L26</f>
        <v>75.8000000000002</v>
      </c>
      <c r="L5" s="337" t="n">
        <f aca="false">'1851'!N26-'1851'!M26</f>
        <v>82.7999999999997</v>
      </c>
      <c r="M5" s="337" t="n">
        <f aca="false">'1851'!O26-'1851'!N26</f>
        <v>78.4000000000001</v>
      </c>
      <c r="N5" s="337" t="n">
        <f aca="false">'1851'!P26-'1851'!O26</f>
        <v>90.8000000000002</v>
      </c>
      <c r="O5" s="338" t="n">
        <f aca="false">SUM(C5:N5)</f>
        <v>998.7</v>
      </c>
    </row>
    <row r="6" customFormat="false" ht="13.5" hidden="false" customHeight="true" outlineLevel="0" collapsed="false">
      <c r="A6" s="98" t="n">
        <v>1852</v>
      </c>
      <c r="B6" s="98" t="s">
        <v>16</v>
      </c>
      <c r="C6" s="337" t="n">
        <f aca="false">'1852'!D26-'1852'!C26</f>
        <v>91.3000000000002</v>
      </c>
      <c r="D6" s="337" t="n">
        <f aca="false">'1852'!E26-'1852'!D26</f>
        <v>84.1999999999998</v>
      </c>
      <c r="E6" s="337" t="n">
        <f aca="false">'1852'!F26-'1852'!E26</f>
        <v>96.0999999999999</v>
      </c>
      <c r="F6" s="337" t="n">
        <f aca="false">'1852'!G26-'1852'!F26</f>
        <v>101.5</v>
      </c>
      <c r="G6" s="337" t="n">
        <f aca="false">'1852'!H26-'1852'!G26</f>
        <v>96</v>
      </c>
      <c r="H6" s="337" t="n">
        <f aca="false">'1852'!I26-'1852'!H26</f>
        <v>86.4000000000001</v>
      </c>
      <c r="I6" s="337" t="n">
        <f aca="false">'1852'!J26-'1852'!I26</f>
        <v>83</v>
      </c>
      <c r="J6" s="337" t="n">
        <f aca="false">'1852'!K26-'1852'!J26</f>
        <v>76.0999999999999</v>
      </c>
      <c r="K6" s="337" t="n">
        <f aca="false">'1852'!L26-'1852'!K26</f>
        <v>84.4000000000001</v>
      </c>
      <c r="L6" s="337" t="n">
        <f aca="false">'1852'!M26-'1852'!L26</f>
        <v>99.5</v>
      </c>
      <c r="M6" s="337" t="n">
        <f aca="false">'1852'!N26-'1852'!M26</f>
        <v>89.6999999999998</v>
      </c>
      <c r="N6" s="337" t="n">
        <f aca="false">'1852'!O26-'1852'!N26</f>
        <v>97</v>
      </c>
      <c r="O6" s="338" t="n">
        <f aca="false">SUM(C6:N6)</f>
        <v>1085.2</v>
      </c>
    </row>
    <row r="7" customFormat="false" ht="13.5" hidden="false" customHeight="true" outlineLevel="0" collapsed="false">
      <c r="A7" s="98" t="n">
        <v>1853</v>
      </c>
      <c r="B7" s="98" t="s">
        <v>16</v>
      </c>
      <c r="C7" s="337" t="n">
        <f aca="false">'1853'!D27-'1853'!C27+'1853'!C26-'1853'!D26</f>
        <v>78.5</v>
      </c>
      <c r="D7" s="337" t="n">
        <f aca="false">'1853'!E27-'1853'!D27+'1853'!D26-'1853'!E26</f>
        <v>76.8000000000002</v>
      </c>
      <c r="E7" s="337" t="n">
        <f aca="false">'1853'!F27-'1853'!E27+'1853'!E26-'1853'!F26</f>
        <v>77.8000000000002</v>
      </c>
      <c r="F7" s="337" t="n">
        <f aca="false">'1853'!G27-'1853'!F27+'1853'!F26-'1853'!G26</f>
        <v>80.6999999999998</v>
      </c>
      <c r="G7" s="337" t="n">
        <f aca="false">'1853'!H27-'1853'!G27+'1853'!G26-'1853'!H26</f>
        <v>70.0649999999999</v>
      </c>
      <c r="H7" s="337" t="n">
        <f aca="false">'1853'!I27-'1853'!H27+'1853'!H26-'1853'!I26</f>
        <v>63.4570000000001</v>
      </c>
      <c r="I7" s="337" t="n">
        <f aca="false">'1853'!J27-'1853'!I27+'1853'!I26-'1853'!J26</f>
        <v>62.0170000000002</v>
      </c>
      <c r="J7" s="337" t="n">
        <f aca="false">'1853'!K27-'1853'!J27+'1853'!J26-'1853'!K26</f>
        <v>60.9479999999999</v>
      </c>
      <c r="K7" s="337" t="n">
        <f aca="false">'1853'!L27-'1853'!K27+'1853'!K26-'1853'!L26</f>
        <v>61.8880000000001</v>
      </c>
      <c r="L7" s="337" t="n">
        <f aca="false">'1853'!M27-'1853'!L27+'1853'!L26-'1853'!M26</f>
        <v>77.4479999999999</v>
      </c>
      <c r="M7" s="337" t="n">
        <f aca="false">'1853'!N27-'1853'!M27+'1853'!M26-'1853'!N26</f>
        <v>69.6410000000001</v>
      </c>
      <c r="N7" s="337" t="n">
        <f aca="false">'1853'!O27-'1853'!N27+'1853'!N26-'1853'!O26</f>
        <v>75.2999999999997</v>
      </c>
      <c r="O7" s="338" t="n">
        <f aca="false">SUM(C7:N7)</f>
        <v>854.564</v>
      </c>
    </row>
    <row r="8" customFormat="false" ht="13.5" hidden="false" customHeight="true" outlineLevel="0" collapsed="false">
      <c r="A8" s="98" t="n">
        <v>1854</v>
      </c>
      <c r="B8" s="98" t="s">
        <v>16</v>
      </c>
      <c r="C8" s="337" t="n">
        <f aca="false">'1854'!D26-'1854'!C26</f>
        <v>69.0999999999999</v>
      </c>
      <c r="D8" s="337" t="n">
        <f aca="false">'1854'!E26-'1854'!D26</f>
        <v>62.5</v>
      </c>
      <c r="E8" s="337" t="n">
        <f aca="false">'1854'!F26-'1854'!E26</f>
        <v>64.5</v>
      </c>
      <c r="F8" s="337" t="n">
        <f aca="false">'1854'!G26-'1854'!F26</f>
        <v>59.5</v>
      </c>
      <c r="G8" s="337" t="n">
        <f aca="false">'1854'!H26-'1854'!G26</f>
        <v>62.7</v>
      </c>
      <c r="H8" s="337" t="n">
        <f aca="false">'1854'!I26-'1854'!H26</f>
        <v>61.5</v>
      </c>
      <c r="I8" s="337" t="n">
        <f aca="false">'1854'!J26-'1854'!I26</f>
        <v>57.8</v>
      </c>
      <c r="J8" s="337" t="n">
        <f aca="false">'1854'!K26-'1854'!J26</f>
        <v>65.5</v>
      </c>
      <c r="K8" s="337" t="n">
        <f aca="false">'1854'!L26-'1854'!K26</f>
        <v>59.5999999999999</v>
      </c>
      <c r="L8" s="337" t="n">
        <f aca="false">'1854'!M26-'1854'!L26</f>
        <v>61.5999999999999</v>
      </c>
      <c r="M8" s="337" t="n">
        <f aca="false">'1854'!N26-'1854'!M26</f>
        <v>55.8000000000002</v>
      </c>
      <c r="N8" s="337" t="n">
        <f aca="false">'1854'!O26-'1854'!N26</f>
        <v>63.0999999999999</v>
      </c>
      <c r="O8" s="338" t="n">
        <f aca="false">SUM(C8:N8)</f>
        <v>743.2</v>
      </c>
    </row>
    <row r="9" customFormat="false" ht="13.5" hidden="false" customHeight="true" outlineLevel="0" collapsed="false">
      <c r="A9" s="98" t="n">
        <v>1855</v>
      </c>
      <c r="B9" s="98" t="s">
        <v>16</v>
      </c>
      <c r="C9" s="337" t="n">
        <f aca="false">'1855'!D26-'1855'!C26</f>
        <v>84.5</v>
      </c>
      <c r="D9" s="337" t="n">
        <f aca="false">'1855'!E26-'1855'!D26</f>
        <v>70.6999999999998</v>
      </c>
      <c r="E9" s="337" t="n">
        <f aca="false">'1855'!F26-'1855'!E26</f>
        <v>78.9000000000001</v>
      </c>
      <c r="F9" s="337" t="n">
        <f aca="false">'1855'!G26-'1855'!F26</f>
        <v>76.4000000000001</v>
      </c>
      <c r="G9" s="337" t="n">
        <f aca="false">'1855'!H26-'1855'!G26</f>
        <v>73.5999999999999</v>
      </c>
      <c r="H9" s="337" t="n">
        <f aca="false">'1855'!I26-'1855'!H26</f>
        <v>68</v>
      </c>
      <c r="I9" s="337" t="n">
        <f aca="false">'1855'!J26-'1855'!I26</f>
        <v>64</v>
      </c>
      <c r="J9" s="337" t="n">
        <f aca="false">'1855'!K26-'1855'!J26</f>
        <v>64.9000000000001</v>
      </c>
      <c r="K9" s="337" t="n">
        <f aca="false">'1855'!L26-'1855'!K26</f>
        <v>64.4000000000001</v>
      </c>
      <c r="L9" s="337" t="n">
        <f aca="false">'1855'!M26-'1855'!L26</f>
        <v>75.2999999999997</v>
      </c>
      <c r="M9" s="337" t="n">
        <f aca="false">'1855'!N26-'1855'!M26</f>
        <v>74.3000000000002</v>
      </c>
      <c r="N9" s="337" t="n">
        <f aca="false">'1855'!O26-'1855'!N26</f>
        <v>74.2999999999997</v>
      </c>
      <c r="O9" s="338" t="n">
        <f aca="false">SUM(C9:N9)</f>
        <v>869.3</v>
      </c>
    </row>
    <row r="10" customFormat="false" ht="13.5" hidden="false" customHeight="true" outlineLevel="0" collapsed="false">
      <c r="A10" s="98" t="n">
        <v>1856</v>
      </c>
      <c r="B10" s="98" t="s">
        <v>16</v>
      </c>
      <c r="C10" s="337" t="n">
        <f aca="false">'1856'!D26-'1856'!C26</f>
        <v>76.0999999999999</v>
      </c>
      <c r="D10" s="337" t="n">
        <f aca="false">'1856'!E26-'1856'!D26</f>
        <v>70</v>
      </c>
      <c r="E10" s="337" t="n">
        <f aca="false">'1856'!F26-'1856'!E26</f>
        <v>76.0999999999999</v>
      </c>
      <c r="F10" s="337" t="n">
        <f aca="false">'1856'!G26-'1856'!F26</f>
        <v>85.4000000000001</v>
      </c>
      <c r="G10" s="337" t="n">
        <f aca="false">'1856'!H26-'1856'!G26</f>
        <v>69</v>
      </c>
      <c r="H10" s="337" t="n">
        <f aca="false">'1856'!I26-'1856'!H26</f>
        <v>65.2000000000003</v>
      </c>
      <c r="I10" s="337" t="n">
        <f aca="false">'1856'!J26-'1856'!I26</f>
        <v>66.1999999999998</v>
      </c>
      <c r="J10" s="337" t="n">
        <f aca="false">'1856'!K26-'1856'!J26</f>
        <v>71.1999999999998</v>
      </c>
      <c r="K10" s="337" t="n">
        <f aca="false">'1856'!L26-'1856'!K26</f>
        <v>69.3000000000002</v>
      </c>
      <c r="L10" s="337" t="n">
        <f aca="false">'1856'!M26-'1856'!L26</f>
        <v>86</v>
      </c>
      <c r="M10" s="337" t="n">
        <f aca="false">'1856'!N26-'1856'!M26</f>
        <v>77.0999999999999</v>
      </c>
      <c r="N10" s="337" t="n">
        <f aca="false">'1856'!O26-'1856'!N26</f>
        <v>82.8000000000002</v>
      </c>
      <c r="O10" s="338" t="n">
        <f aca="false">SUM(C10:N10)</f>
        <v>894.4</v>
      </c>
    </row>
    <row r="11" customFormat="false" ht="13.5" hidden="false" customHeight="true" outlineLevel="0" collapsed="false">
      <c r="A11" s="98" t="n">
        <v>1857</v>
      </c>
      <c r="B11" s="98" t="s">
        <v>16</v>
      </c>
      <c r="C11" s="337" t="n">
        <f aca="false">'1857'!D26-'1857'!C26</f>
        <v>82.6999999999998</v>
      </c>
      <c r="D11" s="337" t="n">
        <f aca="false">'1857'!E26-'1857'!D26</f>
        <v>71.4000000000001</v>
      </c>
      <c r="E11" s="337" t="n">
        <f aca="false">'1857'!F26-'1857'!E26</f>
        <v>76.1999999999998</v>
      </c>
      <c r="F11" s="337" t="n">
        <f aca="false">'1857'!G26-'1857'!F26</f>
        <v>77.1000000000004</v>
      </c>
      <c r="G11" s="337" t="n">
        <f aca="false">'1857'!H26-'1857'!G26</f>
        <v>67.5999999999999</v>
      </c>
      <c r="H11" s="337" t="n">
        <f aca="false">'1857'!I26-'1857'!H26</f>
        <v>71.6999999999998</v>
      </c>
      <c r="I11" s="337" t="n">
        <f aca="false">'1857'!J26-'1857'!I26</f>
        <v>63.5999999999999</v>
      </c>
      <c r="J11" s="337" t="n">
        <f aca="false">'1857'!K26-'1857'!J26</f>
        <v>66.9000000000001</v>
      </c>
      <c r="K11" s="337" t="n">
        <f aca="false">'1857'!L26-'1857'!K26</f>
        <v>71.5</v>
      </c>
      <c r="L11" s="337" t="n">
        <f aca="false">'1857'!M26-'1857'!L26</f>
        <v>72.5</v>
      </c>
      <c r="M11" s="337" t="n">
        <f aca="false">'1857'!N26-'1857'!M26</f>
        <v>75.0999999999999</v>
      </c>
      <c r="N11" s="337" t="n">
        <f aca="false">'1857'!O26-'1857'!N26</f>
        <v>76.4000000000001</v>
      </c>
      <c r="O11" s="338" t="n">
        <f aca="false">SUM(C11:N11)</f>
        <v>872.7</v>
      </c>
    </row>
    <row r="12" customFormat="false" ht="13.5" hidden="false" customHeight="true" outlineLevel="0" collapsed="false">
      <c r="A12" s="98" t="s">
        <v>402</v>
      </c>
      <c r="B12" s="98" t="s">
        <v>16</v>
      </c>
      <c r="C12" s="337" t="n">
        <f aca="false">'1850'!D29-'1850'!C29</f>
        <v>349.400000000001</v>
      </c>
      <c r="D12" s="337" t="n">
        <f aca="false">'1850'!E29-'1850'!D29</f>
        <v>324.099999999999</v>
      </c>
      <c r="E12" s="337" t="n">
        <f aca="false">'1850'!F29-'1850'!E29</f>
        <v>345.200000000001</v>
      </c>
      <c r="F12" s="337" t="n">
        <f aca="false">'1850'!G29-'1850'!F29</f>
        <v>357.399999999998</v>
      </c>
      <c r="G12" s="337" t="n">
        <f aca="false">'1850'!H29-'1850'!G29</f>
        <v>356.5</v>
      </c>
      <c r="H12" s="337" t="n">
        <f aca="false">'1850'!I29-'1850'!H29</f>
        <v>319.300000000003</v>
      </c>
      <c r="I12" s="337" t="n">
        <f aca="false">'1850'!J29-'1850'!I29</f>
        <v>316.099999999999</v>
      </c>
      <c r="J12" s="337" t="n">
        <f aca="false">'1850'!K29-'1850'!J29</f>
        <v>307.400000000001</v>
      </c>
      <c r="K12" s="337" t="n">
        <f aca="false">'1850'!L29-'1850'!K29</f>
        <v>303.699999999997</v>
      </c>
      <c r="L12" s="337" t="n">
        <f aca="false">'1850'!M29-'1850'!L29</f>
        <v>344.900000000001</v>
      </c>
      <c r="M12" s="337" t="n">
        <f aca="false">'1850'!N29-'1850'!M29</f>
        <v>314.599999999999</v>
      </c>
      <c r="N12" s="337" t="n">
        <f aca="false">'1850'!O29-'1850'!N29</f>
        <v>338.5</v>
      </c>
      <c r="O12" s="338" t="n">
        <f aca="false">SUM(C12:N12)</f>
        <v>3977.1</v>
      </c>
    </row>
    <row r="13" customFormat="false" ht="13.5" hidden="false" customHeight="true" outlineLevel="0" collapsed="false">
      <c r="A13" s="98" t="s">
        <v>403</v>
      </c>
      <c r="B13" s="98" t="s">
        <v>16</v>
      </c>
      <c r="C13" s="337" t="n">
        <f aca="false">'1854'!D29-'1854'!C29</f>
        <v>300.6</v>
      </c>
      <c r="D13" s="337" t="n">
        <f aca="false">'1854'!E29-'1854'!D29</f>
        <v>264.2</v>
      </c>
      <c r="E13" s="337" t="n">
        <f aca="false">'1854'!F29-'1854'!E29</f>
        <v>283.7</v>
      </c>
      <c r="F13" s="337" t="n">
        <f aca="false">'1854'!G29-'1854'!F29</f>
        <v>286.6</v>
      </c>
      <c r="G13" s="337" t="n">
        <f aca="false">'1854'!H29-'1854'!G29</f>
        <v>262.2</v>
      </c>
      <c r="H13" s="337" t="n">
        <f aca="false">'1854'!I29-'1854'!H29</f>
        <v>255.2</v>
      </c>
      <c r="I13" s="337" t="n">
        <f aca="false">'1854'!J29-'1854'!I29</f>
        <v>241.4</v>
      </c>
      <c r="J13" s="337" t="n">
        <f aca="false">'1854'!K29-'1854'!J29</f>
        <v>256.400000000001</v>
      </c>
      <c r="K13" s="337" t="n">
        <f aca="false">'1854'!L29-'1854'!K29</f>
        <v>253.7</v>
      </c>
      <c r="L13" s="337" t="n">
        <f aca="false">'1854'!M29-'1854'!L29</f>
        <v>281.8</v>
      </c>
      <c r="M13" s="337" t="n">
        <f aca="false">'1854'!N29-'1854'!M29</f>
        <v>268.8</v>
      </c>
      <c r="N13" s="337" t="n">
        <f aca="false">'1854'!O29-'1854'!N29</f>
        <v>285</v>
      </c>
      <c r="O13" s="338" t="n">
        <f aca="false">SUM(C13:N13)</f>
        <v>3239.6</v>
      </c>
    </row>
    <row r="14" customFormat="false" ht="13.5" hidden="false" customHeight="true" outlineLevel="0" collapsed="false">
      <c r="A14" s="102" t="s">
        <v>179</v>
      </c>
      <c r="B14" s="88" t="s">
        <v>16</v>
      </c>
      <c r="C14" s="339" t="n">
        <f aca="false">'1853'!D26-'1853'!C26</f>
        <v>0</v>
      </c>
      <c r="D14" s="339" t="n">
        <f aca="false">'1853'!E26-'1853'!D26</f>
        <v>0</v>
      </c>
      <c r="E14" s="339" t="n">
        <f aca="false">'1853'!F26-'1853'!E26</f>
        <v>0</v>
      </c>
      <c r="F14" s="339" t="n">
        <f aca="false">'1853'!G26-'1853'!F26</f>
        <v>0</v>
      </c>
      <c r="G14" s="339" t="n">
        <f aca="false">'1853'!H26-'1853'!G26</f>
        <v>20.535</v>
      </c>
      <c r="H14" s="339" t="n">
        <f aca="false">'1853'!I26-'1853'!H26</f>
        <v>18.043</v>
      </c>
      <c r="I14" s="339" t="n">
        <f aca="false">'1853'!J26-'1853'!I26</f>
        <v>26.6830000000001</v>
      </c>
      <c r="J14" s="339" t="n">
        <f aca="false">'1853'!K26-'1853'!J26</f>
        <v>17.652</v>
      </c>
      <c r="K14" s="339" t="n">
        <f aca="false">'1853'!L26-'1853'!K26</f>
        <v>10.012</v>
      </c>
      <c r="L14" s="339" t="n">
        <f aca="false">'1853'!M26-'1853'!L26</f>
        <v>3.65199999999999</v>
      </c>
      <c r="M14" s="339" t="n">
        <f aca="false">'1853'!N26-'1853'!M26</f>
        <v>1.25900000000001</v>
      </c>
      <c r="N14" s="339" t="n">
        <f aca="false">'1853'!O26-'1853'!N26</f>
        <v>0</v>
      </c>
      <c r="O14" s="340" t="n">
        <f aca="false">SUM(C14:N14)</f>
        <v>97.836</v>
      </c>
    </row>
  </sheetData>
  <conditionalFormatting sqref="O4:O14">
    <cfRule type="cellIs" priority="2" operator="equal" aboveAverage="0" equalAverage="0" bottom="0" percent="0" rank="0" text="" dxfId="4908">
      <formula>0</formula>
    </cfRule>
    <cfRule type="cellIs" priority="3" operator="lessThan" aboveAverage="0" equalAverage="0" bottom="0" percent="0" rank="0" text="" dxfId="4909">
      <formula>0</formula>
    </cfRule>
  </conditionalFormatting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2013-05-06T13:45:20Z</dcterms:created>
  <dc:creator>HP-HP</dc:creator>
  <dc:description/>
  <dc:language>cs-CZ</dc:language>
  <cp:lastModifiedBy/>
  <cp:lastPrinted>2023-01-03T13:18:08Z</cp:lastPrinted>
  <dcterms:modified xsi:type="dcterms:W3CDTF">2023-05-02T17:53:43Z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