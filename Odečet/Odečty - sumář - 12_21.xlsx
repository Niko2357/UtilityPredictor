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743" activeTab="23"/>
  </bookViews>
  <sheets>
    <sheet name="1850" sheetId="1" r:id="rId1"/>
    <sheet name="1851" sheetId="2" r:id="rId2"/>
    <sheet name="1852" sheetId="3" r:id="rId3"/>
    <sheet name="1853" sheetId="4" r:id="rId4"/>
    <sheet name="1854" sheetId="5" r:id="rId5"/>
    <sheet name="1855" sheetId="6" r:id="rId6"/>
    <sheet name="1856" sheetId="7" r:id="rId7"/>
    <sheet name="1857" sheetId="8" r:id="rId8"/>
    <sheet name="S1" sheetId="9" r:id="rId9"/>
    <sheet name="S2" sheetId="10" r:id="rId10"/>
    <sheet name="S3" sheetId="11" r:id="rId11"/>
    <sheet name="S4" sheetId="12" r:id="rId12"/>
    <sheet name="S5" sheetId="13" r:id="rId13"/>
    <sheet name="S6" sheetId="14" r:id="rId14"/>
    <sheet name="S7" sheetId="15" r:id="rId15"/>
    <sheet name="S8" sheetId="16" r:id="rId16"/>
    <sheet name="S9" sheetId="24" r:id="rId17"/>
    <sheet name="S10" sheetId="18" r:id="rId18"/>
    <sheet name="S11" sheetId="19" r:id="rId19"/>
    <sheet name="S12" sheetId="20" r:id="rId20"/>
    <sheet name="Rozdíly" sheetId="21" r:id="rId21"/>
    <sheet name="Rozdíly (2)" sheetId="22" state="hidden" r:id="rId22"/>
    <sheet name="S 2021 %" sheetId="27" state="hidden" r:id="rId23"/>
    <sheet name="S 2021" sheetId="23" r:id="rId24"/>
    <sheet name="Teplo-Paty" sheetId="25" r:id="rId25"/>
    <sheet name="Voda-Paty" sheetId="26" r:id="rId26"/>
  </sheets>
  <definedNames>
    <definedName name="_xlnm.Print_Area" localSheetId="0">'1850'!$A$1:$O$29</definedName>
    <definedName name="_xlnm.Print_Area" localSheetId="1">'1851'!$A$1:$P$49</definedName>
    <definedName name="_xlnm.Print_Area" localSheetId="2">'1852'!$A$1:$O$30</definedName>
    <definedName name="_xlnm.Print_Area" localSheetId="3">'1853'!$A$1:$O$33</definedName>
    <definedName name="_xlnm.Print_Area" localSheetId="4">'1854'!$A$1:$O$30</definedName>
    <definedName name="_xlnm.Print_Area" localSheetId="5">'1855'!$A$1:$O$31</definedName>
    <definedName name="_xlnm.Print_Area" localSheetId="6">'1856'!$A$1:$O$31</definedName>
    <definedName name="_xlnm.Print_Area" localSheetId="7">'1857'!$A$1:$O$30</definedName>
    <definedName name="_xlnm.Print_Area" localSheetId="23">'S 2021'!$A$1:$P$31</definedName>
  </definedNames>
  <calcPr calcId="124519"/>
</workbook>
</file>

<file path=xl/calcChain.xml><?xml version="1.0" encoding="utf-8"?>
<calcChain xmlns="http://schemas.openxmlformats.org/spreadsheetml/2006/main">
  <c r="O6" i="23"/>
  <c r="Q27" i="4" l="1"/>
  <c r="Q26"/>
  <c r="N4" i="26"/>
  <c r="N5"/>
  <c r="N6"/>
  <c r="N7"/>
  <c r="N8"/>
  <c r="N9"/>
  <c r="N10"/>
  <c r="N11"/>
  <c r="N12"/>
  <c r="N13"/>
  <c r="N14"/>
  <c r="N6" i="25"/>
  <c r="N7"/>
  <c r="N8"/>
  <c r="N9" s="1"/>
  <c r="N10"/>
  <c r="N11"/>
  <c r="N12" s="1"/>
  <c r="N13"/>
  <c r="N14"/>
  <c r="N15"/>
  <c r="N16"/>
  <c r="N17"/>
  <c r="N18" s="1"/>
  <c r="N19"/>
  <c r="N20"/>
  <c r="N21"/>
  <c r="N22"/>
  <c r="N23"/>
  <c r="N24" s="1"/>
  <c r="N25"/>
  <c r="N26"/>
  <c r="N27"/>
  <c r="H6" i="23"/>
  <c r="H5"/>
  <c r="H4"/>
  <c r="O7"/>
  <c r="H8"/>
  <c r="H7"/>
  <c r="E25" i="27"/>
  <c r="D25"/>
  <c r="C25"/>
  <c r="B25"/>
  <c r="E25" i="23"/>
  <c r="D25"/>
  <c r="C25"/>
  <c r="B25"/>
  <c r="X29" i="21"/>
  <c r="U29"/>
  <c r="R29"/>
  <c r="O29"/>
  <c r="L29"/>
  <c r="I29"/>
  <c r="F29"/>
  <c r="C29"/>
  <c r="Y28"/>
  <c r="Z28" s="1"/>
  <c r="X28"/>
  <c r="W28"/>
  <c r="V28"/>
  <c r="U28"/>
  <c r="S28"/>
  <c r="T28" s="1"/>
  <c r="R28"/>
  <c r="Q28"/>
  <c r="P28"/>
  <c r="O28"/>
  <c r="M28"/>
  <c r="N28" s="1"/>
  <c r="L28"/>
  <c r="K28"/>
  <c r="J28"/>
  <c r="I28"/>
  <c r="G28"/>
  <c r="H28" s="1"/>
  <c r="F28"/>
  <c r="E28"/>
  <c r="D28"/>
  <c r="C28"/>
  <c r="AF4" i="8"/>
  <c r="AF6"/>
  <c r="AF8"/>
  <c r="AF10"/>
  <c r="AF12"/>
  <c r="AF14"/>
  <c r="AF16"/>
  <c r="AF18"/>
  <c r="AF20"/>
  <c r="AF22"/>
  <c r="Q7"/>
  <c r="Q9"/>
  <c r="Q11"/>
  <c r="Q13"/>
  <c r="Q15"/>
  <c r="Q17"/>
  <c r="Q19"/>
  <c r="Q21"/>
  <c r="Q23"/>
  <c r="Q5"/>
  <c r="O2"/>
  <c r="AF4" i="7"/>
  <c r="AF6"/>
  <c r="AF8"/>
  <c r="AF10"/>
  <c r="AF12"/>
  <c r="AF14"/>
  <c r="AF16"/>
  <c r="AF18"/>
  <c r="AF20"/>
  <c r="AF22"/>
  <c r="O2"/>
  <c r="AF4" i="6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Q7"/>
  <c r="Q9"/>
  <c r="Q11"/>
  <c r="Q13"/>
  <c r="Q15"/>
  <c r="Q17"/>
  <c r="Q19"/>
  <c r="Q21"/>
  <c r="Q23"/>
  <c r="Q5"/>
  <c r="O2"/>
  <c r="AF4" i="5"/>
  <c r="AF6"/>
  <c r="AF8"/>
  <c r="AF10"/>
  <c r="AF12"/>
  <c r="AF14"/>
  <c r="AF16"/>
  <c r="AF18"/>
  <c r="AF20"/>
  <c r="AF22"/>
  <c r="Q23"/>
  <c r="Q7"/>
  <c r="Q9"/>
  <c r="Q11"/>
  <c r="Q13"/>
  <c r="Q15"/>
  <c r="Q17"/>
  <c r="Q19"/>
  <c r="Q21"/>
  <c r="Q5"/>
  <c r="O2"/>
  <c r="AF4" i="4"/>
  <c r="AF6"/>
  <c r="AF8"/>
  <c r="AF10"/>
  <c r="AF12"/>
  <c r="AF14"/>
  <c r="AF16"/>
  <c r="AF18"/>
  <c r="AF20"/>
  <c r="AF22"/>
  <c r="AF25"/>
  <c r="AF32"/>
  <c r="AF33"/>
  <c r="Q23"/>
  <c r="Q7"/>
  <c r="Q9"/>
  <c r="Q11"/>
  <c r="Q13"/>
  <c r="Q15"/>
  <c r="Q17"/>
  <c r="Q19"/>
  <c r="Q21"/>
  <c r="Q5"/>
  <c r="O2"/>
  <c r="Q23" i="3"/>
  <c r="Q7"/>
  <c r="Q9"/>
  <c r="Q11"/>
  <c r="Q13"/>
  <c r="Q15"/>
  <c r="Q17"/>
  <c r="Q19"/>
  <c r="Q21"/>
  <c r="Q5"/>
  <c r="AF4"/>
  <c r="AF6"/>
  <c r="AF8"/>
  <c r="AF10"/>
  <c r="AF12"/>
  <c r="AF14"/>
  <c r="AF16"/>
  <c r="AF18"/>
  <c r="AF20"/>
  <c r="AF22"/>
  <c r="O2"/>
  <c r="AG54" i="2"/>
  <c r="AG55"/>
  <c r="AG56"/>
  <c r="AG57"/>
  <c r="AG58"/>
  <c r="AG59"/>
  <c r="AG60"/>
  <c r="AG61"/>
  <c r="AG62"/>
  <c r="AG63"/>
  <c r="AG40"/>
  <c r="AG41"/>
  <c r="AG42"/>
  <c r="AG43"/>
  <c r="AG44"/>
  <c r="AG45"/>
  <c r="AG46"/>
  <c r="AG47"/>
  <c r="AG48"/>
  <c r="AG49"/>
  <c r="AG33"/>
  <c r="AG34"/>
  <c r="AG35"/>
  <c r="AG36"/>
  <c r="AG37"/>
  <c r="AG4"/>
  <c r="AG6"/>
  <c r="AG7"/>
  <c r="AG8"/>
  <c r="AG9"/>
  <c r="AG10"/>
  <c r="AG12"/>
  <c r="AG13"/>
  <c r="AG14"/>
  <c r="AG15"/>
  <c r="AG16"/>
  <c r="AG18"/>
  <c r="AG19"/>
  <c r="AG20"/>
  <c r="AG22"/>
  <c r="R23"/>
  <c r="R7"/>
  <c r="R9"/>
  <c r="R11"/>
  <c r="R13"/>
  <c r="R15"/>
  <c r="R17"/>
  <c r="R19"/>
  <c r="R21"/>
  <c r="R5"/>
  <c r="P2"/>
  <c r="Q23" i="1"/>
  <c r="Q7"/>
  <c r="Q9"/>
  <c r="Q11"/>
  <c r="Q13"/>
  <c r="Q15"/>
  <c r="Q17"/>
  <c r="Q19"/>
  <c r="Q21"/>
  <c r="Q5"/>
  <c r="AF4"/>
  <c r="AF6"/>
  <c r="AF8"/>
  <c r="AF10"/>
  <c r="AF12"/>
  <c r="AF14"/>
  <c r="AF16"/>
  <c r="AF18"/>
  <c r="AF20"/>
  <c r="AF22"/>
  <c r="O29" i="23"/>
  <c r="B15"/>
  <c r="B16" s="1"/>
  <c r="T13"/>
  <c r="L13"/>
  <c r="L12"/>
  <c r="M4" i="26"/>
  <c r="M5"/>
  <c r="M6"/>
  <c r="M7"/>
  <c r="M8"/>
  <c r="M9"/>
  <c r="M10"/>
  <c r="M11"/>
  <c r="M12"/>
  <c r="M13"/>
  <c r="M14"/>
  <c r="M26" i="25"/>
  <c r="M25"/>
  <c r="M27" s="1"/>
  <c r="M23"/>
  <c r="M22"/>
  <c r="M24" s="1"/>
  <c r="M20"/>
  <c r="M19"/>
  <c r="M21" s="1"/>
  <c r="M17"/>
  <c r="M16"/>
  <c r="M18" s="1"/>
  <c r="M14"/>
  <c r="M13"/>
  <c r="M15" s="1"/>
  <c r="M11"/>
  <c r="M10"/>
  <c r="M12" s="1"/>
  <c r="M8"/>
  <c r="M7"/>
  <c r="M9" s="1"/>
  <c r="E24" i="19"/>
  <c r="C24"/>
  <c r="B24"/>
  <c r="E9"/>
  <c r="D9"/>
  <c r="C9"/>
  <c r="B9"/>
  <c r="AE4" i="8"/>
  <c r="AE6"/>
  <c r="AE8"/>
  <c r="AE10"/>
  <c r="AE12"/>
  <c r="AE14"/>
  <c r="AE16"/>
  <c r="AE18"/>
  <c r="AE20"/>
  <c r="AE22"/>
  <c r="AE4" i="7"/>
  <c r="AE6"/>
  <c r="AE8"/>
  <c r="AE10"/>
  <c r="AE12"/>
  <c r="AE14"/>
  <c r="AE16"/>
  <c r="AE18"/>
  <c r="AE20"/>
  <c r="AE22"/>
  <c r="AE23" i="6"/>
  <c r="AE21"/>
  <c r="AE19"/>
  <c r="AE17"/>
  <c r="AE15"/>
  <c r="AE13"/>
  <c r="AE11"/>
  <c r="AE9"/>
  <c r="AE7"/>
  <c r="AE5"/>
  <c r="AE4"/>
  <c r="AE6"/>
  <c r="AE8"/>
  <c r="AE10"/>
  <c r="AE12"/>
  <c r="AE14"/>
  <c r="AE16"/>
  <c r="AE18"/>
  <c r="AE20"/>
  <c r="AE22"/>
  <c r="AE4" i="5"/>
  <c r="AE6"/>
  <c r="AE8"/>
  <c r="AE10"/>
  <c r="AE12"/>
  <c r="AE14"/>
  <c r="AE16"/>
  <c r="AE18"/>
  <c r="AE20"/>
  <c r="AE22"/>
  <c r="O41"/>
  <c r="O40"/>
  <c r="AE4" i="4"/>
  <c r="AE6"/>
  <c r="AE8"/>
  <c r="AE10"/>
  <c r="AE12"/>
  <c r="AE14"/>
  <c r="AE16"/>
  <c r="AE18"/>
  <c r="AE20"/>
  <c r="AE22"/>
  <c r="AE25"/>
  <c r="AE32"/>
  <c r="AE33"/>
  <c r="AE4" i="3"/>
  <c r="AE6"/>
  <c r="AE8"/>
  <c r="AE10"/>
  <c r="AE12"/>
  <c r="AE14"/>
  <c r="AE16"/>
  <c r="AE18"/>
  <c r="AE20"/>
  <c r="AE22"/>
  <c r="AF54" i="2"/>
  <c r="AF55"/>
  <c r="AF56"/>
  <c r="AF57"/>
  <c r="AF58"/>
  <c r="AF59"/>
  <c r="AF60"/>
  <c r="AF61"/>
  <c r="AF62"/>
  <c r="AF63"/>
  <c r="AF33"/>
  <c r="AF34"/>
  <c r="AF35"/>
  <c r="AF36"/>
  <c r="AF37"/>
  <c r="AF40"/>
  <c r="AF41"/>
  <c r="AF42"/>
  <c r="AF43"/>
  <c r="AF44"/>
  <c r="AF13" s="1"/>
  <c r="AF45"/>
  <c r="AF46"/>
  <c r="AF15" s="1"/>
  <c r="AF47"/>
  <c r="AF48"/>
  <c r="AF49"/>
  <c r="AF4"/>
  <c r="AF6"/>
  <c r="AF7"/>
  <c r="AF8"/>
  <c r="AF9"/>
  <c r="AF10"/>
  <c r="AF12"/>
  <c r="AF14"/>
  <c r="AF16"/>
  <c r="AF18"/>
  <c r="AF19"/>
  <c r="AF20"/>
  <c r="AF22"/>
  <c r="AE4" i="1"/>
  <c r="AE6"/>
  <c r="AE8"/>
  <c r="AE10"/>
  <c r="AE12"/>
  <c r="AE14"/>
  <c r="AE16"/>
  <c r="AE18"/>
  <c r="AE20"/>
  <c r="AE22"/>
  <c r="O35"/>
  <c r="O34"/>
  <c r="N2" i="8"/>
  <c r="N2" i="7"/>
  <c r="N2" i="6"/>
  <c r="N2" i="5"/>
  <c r="N2" i="4"/>
  <c r="N2" i="3"/>
  <c r="O2" i="2"/>
  <c r="L4" i="26"/>
  <c r="L5"/>
  <c r="L6"/>
  <c r="L7"/>
  <c r="L8"/>
  <c r="L9"/>
  <c r="L10"/>
  <c r="L11"/>
  <c r="L12"/>
  <c r="L13"/>
  <c r="L14"/>
  <c r="L7" i="25"/>
  <c r="L8"/>
  <c r="L9" s="1"/>
  <c r="L10"/>
  <c r="L11"/>
  <c r="L13"/>
  <c r="L14"/>
  <c r="L15" s="1"/>
  <c r="L16"/>
  <c r="L17"/>
  <c r="L18" s="1"/>
  <c r="L19"/>
  <c r="L20"/>
  <c r="L21" s="1"/>
  <c r="L22"/>
  <c r="L23"/>
  <c r="L25"/>
  <c r="L26"/>
  <c r="L27" s="1"/>
  <c r="AD4" i="8"/>
  <c r="AD6"/>
  <c r="AD8"/>
  <c r="AD10"/>
  <c r="AD12"/>
  <c r="AD14"/>
  <c r="AD16"/>
  <c r="AD18"/>
  <c r="AD20"/>
  <c r="AD22"/>
  <c r="AD4" i="7"/>
  <c r="AD6"/>
  <c r="AD8"/>
  <c r="AD10"/>
  <c r="AD12"/>
  <c r="AD14"/>
  <c r="AD16"/>
  <c r="AD18"/>
  <c r="AD20"/>
  <c r="AD22"/>
  <c r="AD4" i="6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4" i="5"/>
  <c r="AD6"/>
  <c r="AD8"/>
  <c r="AD10"/>
  <c r="AD12"/>
  <c r="AD14"/>
  <c r="AD16"/>
  <c r="AD18"/>
  <c r="AD20"/>
  <c r="AD22"/>
  <c r="AD4" i="4"/>
  <c r="AD6"/>
  <c r="AD8"/>
  <c r="AD10"/>
  <c r="AD12"/>
  <c r="AD14"/>
  <c r="AD16"/>
  <c r="AD18"/>
  <c r="AD20"/>
  <c r="AD22"/>
  <c r="AD25"/>
  <c r="AD32"/>
  <c r="AD33"/>
  <c r="AD4" i="3"/>
  <c r="AD6"/>
  <c r="AD8"/>
  <c r="AD10"/>
  <c r="AD12"/>
  <c r="AD14"/>
  <c r="AD16"/>
  <c r="AD18"/>
  <c r="AD20"/>
  <c r="AD22"/>
  <c r="AE54" i="2"/>
  <c r="AE55"/>
  <c r="AE56"/>
  <c r="AE57"/>
  <c r="AE58"/>
  <c r="AE59"/>
  <c r="AE60"/>
  <c r="AE61"/>
  <c r="AE62"/>
  <c r="AE63"/>
  <c r="AE33"/>
  <c r="AE34"/>
  <c r="AE35"/>
  <c r="AE36"/>
  <c r="AE37"/>
  <c r="AE40"/>
  <c r="AE41"/>
  <c r="AE42"/>
  <c r="AE43"/>
  <c r="AE44"/>
  <c r="AE13" s="1"/>
  <c r="AE45"/>
  <c r="AE46"/>
  <c r="AE15" s="1"/>
  <c r="AE47"/>
  <c r="AE48"/>
  <c r="AE49"/>
  <c r="AE4"/>
  <c r="AE6"/>
  <c r="AE7"/>
  <c r="AE8"/>
  <c r="AE9"/>
  <c r="AE10"/>
  <c r="AE12"/>
  <c r="AE14"/>
  <c r="AE16"/>
  <c r="AE18"/>
  <c r="AE19"/>
  <c r="AE20"/>
  <c r="AE22"/>
  <c r="AD4" i="1"/>
  <c r="AD6"/>
  <c r="AD8"/>
  <c r="AD10"/>
  <c r="AD12"/>
  <c r="AD14"/>
  <c r="AD16"/>
  <c r="AD18"/>
  <c r="AD20"/>
  <c r="AD22"/>
  <c r="M2" i="8"/>
  <c r="M2" i="7"/>
  <c r="M2" i="6"/>
  <c r="M2" i="5"/>
  <c r="M2" i="4"/>
  <c r="M2" i="3"/>
  <c r="N2" i="2"/>
  <c r="L24" i="25" l="1"/>
  <c r="L12"/>
  <c r="K4" i="26"/>
  <c r="K5"/>
  <c r="K6"/>
  <c r="K7"/>
  <c r="K8"/>
  <c r="K9"/>
  <c r="K10"/>
  <c r="K11"/>
  <c r="K12"/>
  <c r="K13"/>
  <c r="K14"/>
  <c r="K7" i="25"/>
  <c r="K8"/>
  <c r="K10"/>
  <c r="K11"/>
  <c r="K13"/>
  <c r="K14"/>
  <c r="K15" s="1"/>
  <c r="K16"/>
  <c r="K17"/>
  <c r="K18" s="1"/>
  <c r="K19"/>
  <c r="K20"/>
  <c r="K21" s="1"/>
  <c r="K22"/>
  <c r="K23"/>
  <c r="K24" s="1"/>
  <c r="K25"/>
  <c r="K26"/>
  <c r="AC4" i="8"/>
  <c r="AC6"/>
  <c r="AC8"/>
  <c r="AC10"/>
  <c r="AC12"/>
  <c r="AC14"/>
  <c r="AC16"/>
  <c r="AC18"/>
  <c r="AC20"/>
  <c r="AC22"/>
  <c r="L2"/>
  <c r="AC4" i="7"/>
  <c r="AC6"/>
  <c r="AC8"/>
  <c r="AC10"/>
  <c r="AC12"/>
  <c r="AC14"/>
  <c r="AC16"/>
  <c r="AC18"/>
  <c r="AC20"/>
  <c r="AC22"/>
  <c r="L2"/>
  <c r="AC4" i="6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L2"/>
  <c r="AC4" i="5"/>
  <c r="AC6"/>
  <c r="AC8"/>
  <c r="AC10"/>
  <c r="AC12"/>
  <c r="AC14"/>
  <c r="AC16"/>
  <c r="AC18"/>
  <c r="AC20"/>
  <c r="AC22"/>
  <c r="L2"/>
  <c r="AC4" i="4"/>
  <c r="AC6"/>
  <c r="AC8"/>
  <c r="AC10"/>
  <c r="AC12"/>
  <c r="AC14"/>
  <c r="AC16"/>
  <c r="AC18"/>
  <c r="AC20"/>
  <c r="AC22"/>
  <c r="AC25"/>
  <c r="AC32"/>
  <c r="AC33"/>
  <c r="L2"/>
  <c r="AC4" i="3"/>
  <c r="AC6"/>
  <c r="AC8"/>
  <c r="AC10"/>
  <c r="AC12"/>
  <c r="AC14"/>
  <c r="AC16"/>
  <c r="AC18"/>
  <c r="AC20"/>
  <c r="AC22"/>
  <c r="L2"/>
  <c r="AD54" i="2"/>
  <c r="AD55"/>
  <c r="AD56"/>
  <c r="AD57"/>
  <c r="AD58"/>
  <c r="AD59"/>
  <c r="AD60"/>
  <c r="AD61"/>
  <c r="AD62"/>
  <c r="AD63"/>
  <c r="AD40"/>
  <c r="AD41"/>
  <c r="AD42"/>
  <c r="AD43"/>
  <c r="AD44"/>
  <c r="AD45"/>
  <c r="AD46"/>
  <c r="AD47"/>
  <c r="AD48"/>
  <c r="AD49"/>
  <c r="AD33"/>
  <c r="AD34"/>
  <c r="AD35"/>
  <c r="AD36"/>
  <c r="AD37"/>
  <c r="AD4"/>
  <c r="AD6"/>
  <c r="AD7"/>
  <c r="AD8"/>
  <c r="AD9"/>
  <c r="AD10"/>
  <c r="AD12"/>
  <c r="AD13"/>
  <c r="AD14"/>
  <c r="AD15"/>
  <c r="AD16"/>
  <c r="AD18"/>
  <c r="AD19"/>
  <c r="AD20"/>
  <c r="AD22"/>
  <c r="M2"/>
  <c r="AC4" i="1"/>
  <c r="AC6"/>
  <c r="AC8"/>
  <c r="AC10"/>
  <c r="AC12"/>
  <c r="AC14"/>
  <c r="AC16"/>
  <c r="AC18"/>
  <c r="AC20"/>
  <c r="AC22"/>
  <c r="J4" i="26"/>
  <c r="J5"/>
  <c r="J6"/>
  <c r="J7"/>
  <c r="J8"/>
  <c r="J9"/>
  <c r="J10"/>
  <c r="J11"/>
  <c r="J12"/>
  <c r="J13"/>
  <c r="J14"/>
  <c r="J7" i="25"/>
  <c r="J8"/>
  <c r="J10"/>
  <c r="J11"/>
  <c r="J13"/>
  <c r="J14"/>
  <c r="J15" s="1"/>
  <c r="J16"/>
  <c r="J17"/>
  <c r="J19"/>
  <c r="J20"/>
  <c r="J22"/>
  <c r="J23"/>
  <c r="J24" s="1"/>
  <c r="J25"/>
  <c r="J26"/>
  <c r="AB4" i="8"/>
  <c r="AB6"/>
  <c r="AB8"/>
  <c r="AB10"/>
  <c r="AB12"/>
  <c r="AB14"/>
  <c r="AB16"/>
  <c r="AB18"/>
  <c r="AB20"/>
  <c r="AB22"/>
  <c r="K2"/>
  <c r="AB4" i="7"/>
  <c r="AB6"/>
  <c r="AB8"/>
  <c r="AB10"/>
  <c r="AB12"/>
  <c r="AB14"/>
  <c r="AB16"/>
  <c r="AB18"/>
  <c r="AB20"/>
  <c r="AB22"/>
  <c r="K2"/>
  <c r="AB4" i="6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K2"/>
  <c r="AB4" i="5"/>
  <c r="AB6"/>
  <c r="AB8"/>
  <c r="AB10"/>
  <c r="AB12"/>
  <c r="AB14"/>
  <c r="AB16"/>
  <c r="AB18"/>
  <c r="AB20"/>
  <c r="AB22"/>
  <c r="K2"/>
  <c r="AB4" i="4"/>
  <c r="AB6"/>
  <c r="AB8"/>
  <c r="AB10"/>
  <c r="AB12"/>
  <c r="AB14"/>
  <c r="AB16"/>
  <c r="AB18"/>
  <c r="AB20"/>
  <c r="AB22"/>
  <c r="AB25"/>
  <c r="AB32"/>
  <c r="AB33"/>
  <c r="K2"/>
  <c r="AB4" i="3"/>
  <c r="AB6"/>
  <c r="AB8"/>
  <c r="AB10"/>
  <c r="AB12"/>
  <c r="AB14"/>
  <c r="AB16"/>
  <c r="AB18"/>
  <c r="AB20"/>
  <c r="AB22"/>
  <c r="K2"/>
  <c r="AC54" i="2"/>
  <c r="AC55"/>
  <c r="AC56"/>
  <c r="AC57"/>
  <c r="AC58"/>
  <c r="AC59"/>
  <c r="AC60"/>
  <c r="AC61"/>
  <c r="AC62"/>
  <c r="AC63"/>
  <c r="AC33"/>
  <c r="AC34"/>
  <c r="AC35"/>
  <c r="AC36"/>
  <c r="AC37"/>
  <c r="AC40"/>
  <c r="AC41"/>
  <c r="AC42"/>
  <c r="AC43"/>
  <c r="AC44"/>
  <c r="AC13" s="1"/>
  <c r="AC45"/>
  <c r="AC46"/>
  <c r="AC15" s="1"/>
  <c r="AC47"/>
  <c r="AC48"/>
  <c r="AC49"/>
  <c r="AC4"/>
  <c r="AC6"/>
  <c r="AC7"/>
  <c r="AC8"/>
  <c r="AC9"/>
  <c r="AC10"/>
  <c r="AC12"/>
  <c r="AC14"/>
  <c r="AC16"/>
  <c r="AC18"/>
  <c r="AC19"/>
  <c r="AC20"/>
  <c r="AC22"/>
  <c r="L2"/>
  <c r="AB4" i="1"/>
  <c r="AB6"/>
  <c r="AB8"/>
  <c r="AB10"/>
  <c r="AB12"/>
  <c r="AB14"/>
  <c r="AB16"/>
  <c r="AB18"/>
  <c r="AB20"/>
  <c r="AB22"/>
  <c r="I4" i="26"/>
  <c r="I5"/>
  <c r="I6"/>
  <c r="I7"/>
  <c r="I8"/>
  <c r="I9"/>
  <c r="I10"/>
  <c r="I11"/>
  <c r="I12"/>
  <c r="I13"/>
  <c r="I14"/>
  <c r="I7" i="25"/>
  <c r="I8"/>
  <c r="I9" s="1"/>
  <c r="I10"/>
  <c r="I11"/>
  <c r="I13"/>
  <c r="I14"/>
  <c r="I16"/>
  <c r="I17"/>
  <c r="I19"/>
  <c r="I20"/>
  <c r="I22"/>
  <c r="I23"/>
  <c r="I25"/>
  <c r="I26"/>
  <c r="AA4" i="8"/>
  <c r="AA6"/>
  <c r="AA8"/>
  <c r="AA10"/>
  <c r="AA12"/>
  <c r="AA14"/>
  <c r="AA16"/>
  <c r="AA18"/>
  <c r="AA20"/>
  <c r="AA22"/>
  <c r="J2"/>
  <c r="AA4" i="7"/>
  <c r="AA6"/>
  <c r="AA8"/>
  <c r="AA10"/>
  <c r="AA12"/>
  <c r="AA14"/>
  <c r="AA16"/>
  <c r="AA18"/>
  <c r="AA20"/>
  <c r="AA22"/>
  <c r="J2"/>
  <c r="AA4" i="6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J2"/>
  <c r="AA4" i="5"/>
  <c r="AA6"/>
  <c r="AA8"/>
  <c r="AA10"/>
  <c r="AA12"/>
  <c r="AA14"/>
  <c r="AA16"/>
  <c r="AA18"/>
  <c r="AA20"/>
  <c r="AA22"/>
  <c r="J2"/>
  <c r="AA4" i="4"/>
  <c r="AA6"/>
  <c r="AA8"/>
  <c r="AA10"/>
  <c r="AA12"/>
  <c r="AA14"/>
  <c r="AA16"/>
  <c r="AA18"/>
  <c r="AA20"/>
  <c r="AA22"/>
  <c r="AA25"/>
  <c r="AA32"/>
  <c r="AA33"/>
  <c r="J2"/>
  <c r="AA4" i="3"/>
  <c r="AA6"/>
  <c r="AA8"/>
  <c r="AA10"/>
  <c r="AA12"/>
  <c r="AA14"/>
  <c r="AA16"/>
  <c r="AA18"/>
  <c r="AA20"/>
  <c r="AA22"/>
  <c r="J2"/>
  <c r="AB54" i="2"/>
  <c r="AB55"/>
  <c r="AB56"/>
  <c r="AB57"/>
  <c r="AB58"/>
  <c r="AB59"/>
  <c r="AB60"/>
  <c r="AB61"/>
  <c r="AB62"/>
  <c r="AB63"/>
  <c r="AB4"/>
  <c r="AB6"/>
  <c r="AB8"/>
  <c r="AB10"/>
  <c r="AB12"/>
  <c r="AB14"/>
  <c r="AB16"/>
  <c r="AB18"/>
  <c r="AB20"/>
  <c r="AB22"/>
  <c r="AB33"/>
  <c r="AB34"/>
  <c r="AB35"/>
  <c r="AB36"/>
  <c r="AB37"/>
  <c r="AB40"/>
  <c r="AB7" s="1"/>
  <c r="AB41"/>
  <c r="AB42"/>
  <c r="AB9" s="1"/>
  <c r="AB43"/>
  <c r="AB44"/>
  <c r="AB13" s="1"/>
  <c r="AB45"/>
  <c r="AB46"/>
  <c r="AB15" s="1"/>
  <c r="AB47"/>
  <c r="AB48"/>
  <c r="AB19" s="1"/>
  <c r="AB49"/>
  <c r="K2"/>
  <c r="AA4" i="1"/>
  <c r="AA6"/>
  <c r="AA8"/>
  <c r="AA10"/>
  <c r="AA12"/>
  <c r="AA14"/>
  <c r="AA16"/>
  <c r="AA18"/>
  <c r="AA20"/>
  <c r="AA22"/>
  <c r="H4" i="26"/>
  <c r="H5"/>
  <c r="H6"/>
  <c r="H7"/>
  <c r="H8"/>
  <c r="H9"/>
  <c r="H10"/>
  <c r="H11"/>
  <c r="H12"/>
  <c r="H13"/>
  <c r="H14"/>
  <c r="Z4" i="8"/>
  <c r="Z6"/>
  <c r="Z8"/>
  <c r="Z10"/>
  <c r="Z12"/>
  <c r="Z14"/>
  <c r="Z16"/>
  <c r="Z18"/>
  <c r="Z20"/>
  <c r="Z22"/>
  <c r="I2"/>
  <c r="Z4" i="7"/>
  <c r="Z6"/>
  <c r="Z8"/>
  <c r="Z10"/>
  <c r="Z12"/>
  <c r="Z14"/>
  <c r="Z16"/>
  <c r="Z18"/>
  <c r="Z20"/>
  <c r="Z22"/>
  <c r="I2"/>
  <c r="Z4" i="6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I2"/>
  <c r="Z4" i="5"/>
  <c r="Z6"/>
  <c r="Z8"/>
  <c r="Z10"/>
  <c r="Z12"/>
  <c r="Z14"/>
  <c r="Z16"/>
  <c r="Z18"/>
  <c r="Z20"/>
  <c r="Z22"/>
  <c r="I2"/>
  <c r="Z4" i="4"/>
  <c r="Z6"/>
  <c r="Z8"/>
  <c r="Z10"/>
  <c r="Z12"/>
  <c r="Z14"/>
  <c r="Z16"/>
  <c r="Z18"/>
  <c r="Z20"/>
  <c r="Z22"/>
  <c r="Z25"/>
  <c r="Z32"/>
  <c r="Z33"/>
  <c r="I2"/>
  <c r="Z4" i="3"/>
  <c r="Z6"/>
  <c r="Z8"/>
  <c r="Z10"/>
  <c r="Z12"/>
  <c r="Z14"/>
  <c r="Z16"/>
  <c r="Z18"/>
  <c r="Z20"/>
  <c r="Z22"/>
  <c r="I2"/>
  <c r="AA54" i="2"/>
  <c r="AA55"/>
  <c r="AA56"/>
  <c r="AA57"/>
  <c r="AA58"/>
  <c r="AA59"/>
  <c r="AA60"/>
  <c r="AA61"/>
  <c r="AA62"/>
  <c r="AA63"/>
  <c r="AA33"/>
  <c r="AA34"/>
  <c r="AA35"/>
  <c r="AA36"/>
  <c r="AA37"/>
  <c r="AA40"/>
  <c r="AA41"/>
  <c r="AA42"/>
  <c r="AA43"/>
  <c r="AA44"/>
  <c r="AA45"/>
  <c r="AA46"/>
  <c r="AA47"/>
  <c r="AA48"/>
  <c r="AA49"/>
  <c r="AA4"/>
  <c r="AA6"/>
  <c r="AA7"/>
  <c r="AA8"/>
  <c r="AA9"/>
  <c r="AA10"/>
  <c r="AA12"/>
  <c r="AA13"/>
  <c r="AA14"/>
  <c r="AA15"/>
  <c r="AA16"/>
  <c r="AA18"/>
  <c r="AA19"/>
  <c r="AA20"/>
  <c r="AA22"/>
  <c r="H7" i="25"/>
  <c r="H8"/>
  <c r="H10"/>
  <c r="H11"/>
  <c r="H13"/>
  <c r="H14"/>
  <c r="H16"/>
  <c r="H17"/>
  <c r="H19"/>
  <c r="H20"/>
  <c r="H22"/>
  <c r="H23"/>
  <c r="H25"/>
  <c r="H26"/>
  <c r="J2" i="2"/>
  <c r="Z4" i="1"/>
  <c r="Z6"/>
  <c r="Z8"/>
  <c r="Z10"/>
  <c r="Z12"/>
  <c r="Z14"/>
  <c r="Z16"/>
  <c r="Z18"/>
  <c r="Z20"/>
  <c r="Z22"/>
  <c r="I27" i="25" l="1"/>
  <c r="I21"/>
  <c r="I18"/>
  <c r="I15"/>
  <c r="I12"/>
  <c r="J27"/>
  <c r="K27"/>
  <c r="K9"/>
  <c r="J9"/>
  <c r="J21"/>
  <c r="J18"/>
  <c r="K12"/>
  <c r="J12"/>
  <c r="I24"/>
  <c r="H21"/>
  <c r="H18"/>
  <c r="H9"/>
  <c r="H27"/>
  <c r="H24"/>
  <c r="H15"/>
  <c r="H12"/>
  <c r="Y4" i="8"/>
  <c r="Y6"/>
  <c r="Y8"/>
  <c r="Y10"/>
  <c r="Y12"/>
  <c r="Y14"/>
  <c r="Y16"/>
  <c r="Y18"/>
  <c r="Y20"/>
  <c r="Y22"/>
  <c r="Y4" i="7"/>
  <c r="Y6"/>
  <c r="Y8"/>
  <c r="Y10"/>
  <c r="Y12"/>
  <c r="Y14"/>
  <c r="Y16"/>
  <c r="Y18"/>
  <c r="Y20"/>
  <c r="Y22"/>
  <c r="Y4" i="6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4" i="5"/>
  <c r="Y6"/>
  <c r="Y8"/>
  <c r="Y10"/>
  <c r="Y12"/>
  <c r="Y14"/>
  <c r="Y16"/>
  <c r="Y18"/>
  <c r="Y20"/>
  <c r="Y22"/>
  <c r="Y4" i="4"/>
  <c r="Y6"/>
  <c r="Y8"/>
  <c r="Y10"/>
  <c r="Y12"/>
  <c r="Y14"/>
  <c r="Y16"/>
  <c r="Y18"/>
  <c r="Y20"/>
  <c r="Y22"/>
  <c r="Y25"/>
  <c r="Y32"/>
  <c r="Y33"/>
  <c r="Y4" i="3"/>
  <c r="Y6"/>
  <c r="Y8"/>
  <c r="Y10"/>
  <c r="Y12"/>
  <c r="Y14"/>
  <c r="Y16"/>
  <c r="Y18"/>
  <c r="Y20"/>
  <c r="Y22"/>
  <c r="Z54" i="2"/>
  <c r="Z55"/>
  <c r="Z56"/>
  <c r="Z57"/>
  <c r="Z58"/>
  <c r="Z59"/>
  <c r="Z60"/>
  <c r="Z61"/>
  <c r="Z62"/>
  <c r="Z63"/>
  <c r="Z33"/>
  <c r="Z34"/>
  <c r="Z35"/>
  <c r="Z36"/>
  <c r="Z37"/>
  <c r="Z40"/>
  <c r="Z41"/>
  <c r="Z42"/>
  <c r="Z43"/>
  <c r="Z44"/>
  <c r="Z45"/>
  <c r="Z46"/>
  <c r="Z47"/>
  <c r="Z48"/>
  <c r="Z49"/>
  <c r="Z4"/>
  <c r="Z6"/>
  <c r="Z7"/>
  <c r="Z8"/>
  <c r="Z9"/>
  <c r="Z10"/>
  <c r="Z12"/>
  <c r="Z13"/>
  <c r="Z14"/>
  <c r="Z15"/>
  <c r="Z16"/>
  <c r="Z18"/>
  <c r="Z19"/>
  <c r="Z20"/>
  <c r="Z22"/>
  <c r="Y4" i="1"/>
  <c r="Y6"/>
  <c r="Y8"/>
  <c r="Y10"/>
  <c r="Y12"/>
  <c r="Y14"/>
  <c r="Y16"/>
  <c r="Y18"/>
  <c r="Y20"/>
  <c r="Y22"/>
  <c r="H2" i="8"/>
  <c r="H2" i="7"/>
  <c r="H2" i="6"/>
  <c r="H2" i="5"/>
  <c r="H2" i="4"/>
  <c r="H2" i="3"/>
  <c r="I2" i="2"/>
  <c r="E25" i="13"/>
  <c r="D25"/>
  <c r="C25"/>
  <c r="B25"/>
  <c r="X15" i="21"/>
  <c r="U15"/>
  <c r="R15"/>
  <c r="O15"/>
  <c r="G7" i="25"/>
  <c r="G8"/>
  <c r="G9" s="1"/>
  <c r="G10"/>
  <c r="G11"/>
  <c r="G13"/>
  <c r="G14"/>
  <c r="G16"/>
  <c r="G17"/>
  <c r="G19"/>
  <c r="G20"/>
  <c r="G22"/>
  <c r="G23"/>
  <c r="G25"/>
  <c r="G26"/>
  <c r="G4" i="26"/>
  <c r="G5"/>
  <c r="G6"/>
  <c r="G7"/>
  <c r="G8"/>
  <c r="G9"/>
  <c r="G10"/>
  <c r="G11"/>
  <c r="G12"/>
  <c r="G13"/>
  <c r="G14"/>
  <c r="X4" i="8"/>
  <c r="X6"/>
  <c r="X8"/>
  <c r="X10"/>
  <c r="X12"/>
  <c r="X14"/>
  <c r="X16"/>
  <c r="X18"/>
  <c r="X20"/>
  <c r="X22"/>
  <c r="X4" i="7"/>
  <c r="X6"/>
  <c r="X8"/>
  <c r="X10"/>
  <c r="X12"/>
  <c r="X14"/>
  <c r="X16"/>
  <c r="X18"/>
  <c r="X20"/>
  <c r="X22"/>
  <c r="X4" i="6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4" i="5"/>
  <c r="X6"/>
  <c r="X8"/>
  <c r="X10"/>
  <c r="X12"/>
  <c r="X14"/>
  <c r="X16"/>
  <c r="X18"/>
  <c r="X20"/>
  <c r="X22"/>
  <c r="X4" i="4"/>
  <c r="X6"/>
  <c r="X8"/>
  <c r="X10"/>
  <c r="X12"/>
  <c r="X14"/>
  <c r="X16"/>
  <c r="X18"/>
  <c r="X20"/>
  <c r="X22"/>
  <c r="X25"/>
  <c r="X32"/>
  <c r="X33"/>
  <c r="X4" i="3"/>
  <c r="X6"/>
  <c r="X8"/>
  <c r="X10"/>
  <c r="X12"/>
  <c r="X14"/>
  <c r="X16"/>
  <c r="X18"/>
  <c r="X20"/>
  <c r="X22"/>
  <c r="Y54" i="2"/>
  <c r="Y55"/>
  <c r="Y56"/>
  <c r="Y57"/>
  <c r="Y58"/>
  <c r="Y59"/>
  <c r="Y60"/>
  <c r="Y61"/>
  <c r="Y62"/>
  <c r="Y63"/>
  <c r="Y33"/>
  <c r="Y34"/>
  <c r="Y35"/>
  <c r="Y36"/>
  <c r="Y37"/>
  <c r="Y40"/>
  <c r="Y41"/>
  <c r="Y42"/>
  <c r="Y43"/>
  <c r="Y44"/>
  <c r="Y13" s="1"/>
  <c r="Y45"/>
  <c r="Y46"/>
  <c r="Y15" s="1"/>
  <c r="Y47"/>
  <c r="Y48"/>
  <c r="Y49"/>
  <c r="Y4"/>
  <c r="Y6"/>
  <c r="Y7"/>
  <c r="Y8"/>
  <c r="Y9"/>
  <c r="Y10"/>
  <c r="Y12"/>
  <c r="Y14"/>
  <c r="Y16"/>
  <c r="Y18"/>
  <c r="Y19"/>
  <c r="Y20"/>
  <c r="Y22"/>
  <c r="X4" i="1"/>
  <c r="X6"/>
  <c r="X8"/>
  <c r="X10"/>
  <c r="X12"/>
  <c r="X14"/>
  <c r="X16"/>
  <c r="X18"/>
  <c r="X20"/>
  <c r="X22"/>
  <c r="E25" i="12"/>
  <c r="D25"/>
  <c r="C25"/>
  <c r="B25"/>
  <c r="X13" i="21"/>
  <c r="U13"/>
  <c r="R13"/>
  <c r="O13"/>
  <c r="F7" i="25"/>
  <c r="F8"/>
  <c r="F10"/>
  <c r="F11"/>
  <c r="F13"/>
  <c r="F14"/>
  <c r="F16"/>
  <c r="F17"/>
  <c r="F19"/>
  <c r="F20"/>
  <c r="F22"/>
  <c r="F23"/>
  <c r="F25"/>
  <c r="F26"/>
  <c r="F27" s="1"/>
  <c r="F4" i="26"/>
  <c r="F5"/>
  <c r="F6"/>
  <c r="F7"/>
  <c r="F8"/>
  <c r="F9"/>
  <c r="F10"/>
  <c r="F11"/>
  <c r="F12"/>
  <c r="F13"/>
  <c r="F14"/>
  <c r="G2" i="8"/>
  <c r="G2" i="7"/>
  <c r="G2" i="6"/>
  <c r="G2" i="5"/>
  <c r="G2" i="4"/>
  <c r="G2" i="3"/>
  <c r="H2" i="2"/>
  <c r="E25" i="11"/>
  <c r="D25"/>
  <c r="C25"/>
  <c r="B25"/>
  <c r="W4" i="8"/>
  <c r="W6"/>
  <c r="W8"/>
  <c r="W10"/>
  <c r="W12"/>
  <c r="W14"/>
  <c r="W16"/>
  <c r="W18"/>
  <c r="W20"/>
  <c r="W22"/>
  <c r="F2"/>
  <c r="W4" i="7"/>
  <c r="W6"/>
  <c r="W8"/>
  <c r="W10"/>
  <c r="W12"/>
  <c r="W14"/>
  <c r="W16"/>
  <c r="W18"/>
  <c r="W20"/>
  <c r="W22"/>
  <c r="F2"/>
  <c r="W4" i="6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F2"/>
  <c r="W4" i="5"/>
  <c r="W6"/>
  <c r="W8"/>
  <c r="W10"/>
  <c r="W12"/>
  <c r="W14"/>
  <c r="W16"/>
  <c r="W18"/>
  <c r="W20"/>
  <c r="W22"/>
  <c r="F2"/>
  <c r="W4" i="4"/>
  <c r="W6"/>
  <c r="W8"/>
  <c r="W10"/>
  <c r="W12"/>
  <c r="W14"/>
  <c r="W16"/>
  <c r="W18"/>
  <c r="W20"/>
  <c r="W22"/>
  <c r="W25"/>
  <c r="W32"/>
  <c r="W33"/>
  <c r="F2"/>
  <c r="W4" i="3"/>
  <c r="W6"/>
  <c r="W8"/>
  <c r="W10"/>
  <c r="W12"/>
  <c r="W14"/>
  <c r="W16"/>
  <c r="W18"/>
  <c r="W20"/>
  <c r="W22"/>
  <c r="F2"/>
  <c r="X54" i="2"/>
  <c r="X55"/>
  <c r="X56"/>
  <c r="X57"/>
  <c r="X58"/>
  <c r="X59"/>
  <c r="X60"/>
  <c r="X61"/>
  <c r="X62"/>
  <c r="X63"/>
  <c r="X33"/>
  <c r="X34"/>
  <c r="X35"/>
  <c r="X36"/>
  <c r="X37"/>
  <c r="X40"/>
  <c r="X41"/>
  <c r="X42"/>
  <c r="X43"/>
  <c r="X44"/>
  <c r="X13" s="1"/>
  <c r="X45"/>
  <c r="X46"/>
  <c r="X15" s="1"/>
  <c r="X47"/>
  <c r="X48"/>
  <c r="X49"/>
  <c r="X4"/>
  <c r="X6"/>
  <c r="X7"/>
  <c r="X8"/>
  <c r="X9"/>
  <c r="X10"/>
  <c r="X12"/>
  <c r="X14"/>
  <c r="X16"/>
  <c r="X18"/>
  <c r="X19"/>
  <c r="X20"/>
  <c r="X22"/>
  <c r="G2"/>
  <c r="W4" i="1"/>
  <c r="W6"/>
  <c r="W8"/>
  <c r="W10"/>
  <c r="W12"/>
  <c r="W14"/>
  <c r="W16"/>
  <c r="W18"/>
  <c r="W20"/>
  <c r="W22"/>
  <c r="E7" i="25"/>
  <c r="E8"/>
  <c r="E10"/>
  <c r="E11"/>
  <c r="E13"/>
  <c r="E14"/>
  <c r="E16"/>
  <c r="E17"/>
  <c r="E19"/>
  <c r="E20"/>
  <c r="E22"/>
  <c r="E23"/>
  <c r="E25"/>
  <c r="E26"/>
  <c r="E4" i="26"/>
  <c r="E5"/>
  <c r="E6"/>
  <c r="E7"/>
  <c r="E8"/>
  <c r="E9"/>
  <c r="E10"/>
  <c r="E11"/>
  <c r="E12"/>
  <c r="E13"/>
  <c r="E14"/>
  <c r="E25" i="10"/>
  <c r="D25"/>
  <c r="C25"/>
  <c r="B25"/>
  <c r="V4" i="8"/>
  <c r="V6"/>
  <c r="V8"/>
  <c r="V10"/>
  <c r="V12"/>
  <c r="V14"/>
  <c r="V16"/>
  <c r="V18"/>
  <c r="V20"/>
  <c r="V22"/>
  <c r="V4" i="7"/>
  <c r="V6"/>
  <c r="V8"/>
  <c r="V10"/>
  <c r="V12"/>
  <c r="V14"/>
  <c r="V16"/>
  <c r="V18"/>
  <c r="V20"/>
  <c r="V22"/>
  <c r="V4" i="6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4" i="5"/>
  <c r="V6"/>
  <c r="V8"/>
  <c r="V10"/>
  <c r="V12"/>
  <c r="V14"/>
  <c r="V16"/>
  <c r="V18"/>
  <c r="V20"/>
  <c r="V22"/>
  <c r="V4" i="4"/>
  <c r="V6"/>
  <c r="V8"/>
  <c r="V10"/>
  <c r="V12"/>
  <c r="V14"/>
  <c r="V16"/>
  <c r="V18"/>
  <c r="V20"/>
  <c r="V22"/>
  <c r="V25"/>
  <c r="V32"/>
  <c r="V33"/>
  <c r="V4" i="3"/>
  <c r="V6"/>
  <c r="V8"/>
  <c r="V10"/>
  <c r="V12"/>
  <c r="V14"/>
  <c r="V16"/>
  <c r="V18"/>
  <c r="V20"/>
  <c r="V22"/>
  <c r="W54" i="2"/>
  <c r="W55"/>
  <c r="W56"/>
  <c r="W57"/>
  <c r="W58"/>
  <c r="W59"/>
  <c r="W60"/>
  <c r="W61"/>
  <c r="W62"/>
  <c r="W63"/>
  <c r="W33"/>
  <c r="W34"/>
  <c r="W35"/>
  <c r="W36"/>
  <c r="W37"/>
  <c r="W40"/>
  <c r="W41"/>
  <c r="W42"/>
  <c r="W43"/>
  <c r="W44"/>
  <c r="W45"/>
  <c r="W46"/>
  <c r="W47"/>
  <c r="W48"/>
  <c r="W49"/>
  <c r="W4"/>
  <c r="W6"/>
  <c r="W7"/>
  <c r="W8"/>
  <c r="W9"/>
  <c r="W10"/>
  <c r="W12"/>
  <c r="W13"/>
  <c r="W14"/>
  <c r="W15"/>
  <c r="W16"/>
  <c r="W18"/>
  <c r="W19"/>
  <c r="W20"/>
  <c r="W22"/>
  <c r="V4" i="1"/>
  <c r="V6"/>
  <c r="V8"/>
  <c r="V10"/>
  <c r="V12"/>
  <c r="V14"/>
  <c r="V16"/>
  <c r="V18"/>
  <c r="V20"/>
  <c r="V22"/>
  <c r="F2" i="2"/>
  <c r="E2" i="3"/>
  <c r="E2" i="4"/>
  <c r="E2" i="5"/>
  <c r="E2" i="6"/>
  <c r="E2" i="7"/>
  <c r="E2" i="8"/>
  <c r="D4" i="26"/>
  <c r="D5"/>
  <c r="D6"/>
  <c r="D7"/>
  <c r="D8"/>
  <c r="D9"/>
  <c r="D10"/>
  <c r="D11"/>
  <c r="D12"/>
  <c r="D13"/>
  <c r="D14"/>
  <c r="D7" i="25"/>
  <c r="D8"/>
  <c r="D10"/>
  <c r="D11"/>
  <c r="D13"/>
  <c r="D14"/>
  <c r="D16"/>
  <c r="D17"/>
  <c r="D19"/>
  <c r="D20"/>
  <c r="D22"/>
  <c r="D23"/>
  <c r="D25"/>
  <c r="D26"/>
  <c r="E25" i="9"/>
  <c r="D25"/>
  <c r="C25"/>
  <c r="B25"/>
  <c r="U8" i="1"/>
  <c r="U10"/>
  <c r="U12"/>
  <c r="U14"/>
  <c r="U16"/>
  <c r="U18"/>
  <c r="U20"/>
  <c r="U22"/>
  <c r="D2" i="8"/>
  <c r="D2" i="7"/>
  <c r="D2" i="6"/>
  <c r="D2" i="5"/>
  <c r="D2" i="4"/>
  <c r="D2" i="3"/>
  <c r="E2" i="2"/>
  <c r="C7" i="25"/>
  <c r="C8"/>
  <c r="C10"/>
  <c r="C11"/>
  <c r="C13"/>
  <c r="C14"/>
  <c r="C16"/>
  <c r="C17"/>
  <c r="C19"/>
  <c r="C20"/>
  <c r="C22"/>
  <c r="C23"/>
  <c r="C25"/>
  <c r="C26"/>
  <c r="E19" i="12"/>
  <c r="P10" i="8"/>
  <c r="Q28" i="1"/>
  <c r="R28" i="2"/>
  <c r="Q28" i="3"/>
  <c r="Q29" i="4"/>
  <c r="Q28" i="7"/>
  <c r="Q27"/>
  <c r="Q28" i="6"/>
  <c r="Q27"/>
  <c r="Q28" i="8"/>
  <c r="Q27"/>
  <c r="E25" i="14"/>
  <c r="D25"/>
  <c r="C25"/>
  <c r="B25"/>
  <c r="O39" i="5"/>
  <c r="B22" i="24"/>
  <c r="P29" i="5"/>
  <c r="Q28"/>
  <c r="Q27"/>
  <c r="R25" i="4"/>
  <c r="R24"/>
  <c r="B14" i="13"/>
  <c r="R25" i="3"/>
  <c r="E12" i="13"/>
  <c r="C12"/>
  <c r="D12"/>
  <c r="D4" i="12"/>
  <c r="B4"/>
  <c r="C4"/>
  <c r="P18" i="1"/>
  <c r="Q43" i="2"/>
  <c r="Q44"/>
  <c r="Q45"/>
  <c r="Q46"/>
  <c r="Q47"/>
  <c r="Q48"/>
  <c r="Q49"/>
  <c r="Q40"/>
  <c r="Q41"/>
  <c r="Q35"/>
  <c r="Q36"/>
  <c r="Q37"/>
  <c r="Q33"/>
  <c r="S24"/>
  <c r="Q6"/>
  <c r="Q8"/>
  <c r="Q10"/>
  <c r="Q12"/>
  <c r="Q14"/>
  <c r="Q16"/>
  <c r="Q18"/>
  <c r="Q20"/>
  <c r="Q22"/>
  <c r="P8" i="3"/>
  <c r="F24" i="25" l="1"/>
  <c r="F18"/>
  <c r="F9"/>
  <c r="G27"/>
  <c r="G12"/>
  <c r="D18"/>
  <c r="D27"/>
  <c r="D24"/>
  <c r="D21"/>
  <c r="X17" i="21"/>
  <c r="R17"/>
  <c r="O17"/>
  <c r="U17"/>
  <c r="G15" i="25"/>
  <c r="F15"/>
  <c r="G24"/>
  <c r="G21"/>
  <c r="G18"/>
  <c r="D9"/>
  <c r="E24"/>
  <c r="E15"/>
  <c r="E12"/>
  <c r="E9"/>
  <c r="F21"/>
  <c r="F12"/>
  <c r="E27"/>
  <c r="E21"/>
  <c r="E18"/>
  <c r="C27"/>
  <c r="C24"/>
  <c r="C21"/>
  <c r="C18"/>
  <c r="C15"/>
  <c r="C12"/>
  <c r="C9"/>
  <c r="D15"/>
  <c r="D12"/>
  <c r="O33" i="1"/>
  <c r="T26" i="23" l="1"/>
  <c r="C15" i="27" l="1"/>
  <c r="B15"/>
  <c r="L17" i="23"/>
  <c r="L18"/>
  <c r="L16"/>
  <c r="L29" l="1"/>
  <c r="B22"/>
  <c r="B14" i="27"/>
  <c r="E12"/>
  <c r="D12"/>
  <c r="D12" i="23"/>
  <c r="C12" i="27"/>
  <c r="B14" i="23"/>
  <c r="E12"/>
  <c r="C12"/>
  <c r="B22" i="27"/>
  <c r="E25" i="20"/>
  <c r="D25"/>
  <c r="C25"/>
  <c r="B25"/>
  <c r="E27" i="27"/>
  <c r="D27"/>
  <c r="C27"/>
  <c r="B27"/>
  <c r="E20"/>
  <c r="D20"/>
  <c r="C20"/>
  <c r="B20"/>
  <c r="B12"/>
  <c r="E10"/>
  <c r="D10"/>
  <c r="C10"/>
  <c r="B10"/>
  <c r="B7"/>
  <c r="E5"/>
  <c r="D5"/>
  <c r="C5"/>
  <c r="B5"/>
  <c r="B1"/>
  <c r="E25" i="19"/>
  <c r="X27" i="21" s="1"/>
  <c r="D25" i="19"/>
  <c r="U27" i="21" s="1"/>
  <c r="C25" i="19"/>
  <c r="R27" i="21" s="1"/>
  <c r="B25" i="19"/>
  <c r="O27" i="21" s="1"/>
  <c r="E25" i="18"/>
  <c r="X25" i="21" s="1"/>
  <c r="D25" i="18"/>
  <c r="U25" i="21" s="1"/>
  <c r="C25" i="18"/>
  <c r="R25" i="21" s="1"/>
  <c r="B25" i="18"/>
  <c r="O25" i="21" s="1"/>
  <c r="E25" i="24"/>
  <c r="D25"/>
  <c r="C25"/>
  <c r="B25"/>
  <c r="R23" i="21" l="1"/>
  <c r="X23"/>
  <c r="O23"/>
  <c r="U23"/>
  <c r="B6" i="27"/>
  <c r="G6" s="1"/>
  <c r="B21"/>
  <c r="G21" s="1"/>
  <c r="O1" i="26" l="1"/>
  <c r="E25" i="16" l="1"/>
  <c r="D25"/>
  <c r="C25"/>
  <c r="B25"/>
  <c r="E25" i="15"/>
  <c r="D25"/>
  <c r="C25"/>
  <c r="B25"/>
  <c r="R21" i="21" l="1"/>
  <c r="X21"/>
  <c r="O21"/>
  <c r="U21"/>
  <c r="X19"/>
  <c r="R19"/>
  <c r="O19"/>
  <c r="U19"/>
  <c r="H4" i="25"/>
  <c r="H6" s="1"/>
  <c r="H5"/>
  <c r="B10" i="14"/>
  <c r="E10"/>
  <c r="D10"/>
  <c r="C10"/>
  <c r="I17" i="21" l="1"/>
  <c r="C17"/>
  <c r="F17"/>
  <c r="L17"/>
  <c r="E4" i="13"/>
  <c r="U33" i="4" l="1"/>
  <c r="P33"/>
  <c r="U32"/>
  <c r="P32"/>
  <c r="C14" i="26"/>
  <c r="C12"/>
  <c r="C13"/>
  <c r="C11"/>
  <c r="C10"/>
  <c r="C9"/>
  <c r="C8"/>
  <c r="C7"/>
  <c r="C6"/>
  <c r="C5"/>
  <c r="C4"/>
  <c r="U25" i="4"/>
  <c r="B7" i="10"/>
  <c r="E4" i="12"/>
  <c r="L27" i="23"/>
  <c r="L23"/>
  <c r="L15"/>
  <c r="L14"/>
  <c r="L20"/>
  <c r="L19"/>
  <c r="L22"/>
  <c r="L21"/>
  <c r="L26"/>
  <c r="L25"/>
  <c r="L24"/>
  <c r="B1"/>
  <c r="B5"/>
  <c r="C5"/>
  <c r="D5"/>
  <c r="E5"/>
  <c r="B7"/>
  <c r="B10"/>
  <c r="C10"/>
  <c r="D10"/>
  <c r="E10"/>
  <c r="B12"/>
  <c r="B20"/>
  <c r="C20"/>
  <c r="D20"/>
  <c r="E20"/>
  <c r="B27"/>
  <c r="C27"/>
  <c r="D27"/>
  <c r="E27"/>
  <c r="L28" l="1"/>
  <c r="O4" i="26"/>
  <c r="O5"/>
  <c r="O6"/>
  <c r="O7"/>
  <c r="O8"/>
  <c r="O9"/>
  <c r="O10"/>
  <c r="O11"/>
  <c r="O14"/>
  <c r="O13"/>
  <c r="O12"/>
  <c r="B21" i="23"/>
  <c r="B6"/>
  <c r="O27" l="1"/>
  <c r="O20"/>
  <c r="O12"/>
  <c r="O22"/>
  <c r="O14"/>
  <c r="O15"/>
  <c r="O19"/>
  <c r="O23"/>
  <c r="O24"/>
  <c r="O16"/>
  <c r="O26"/>
  <c r="O18"/>
  <c r="O13"/>
  <c r="O17"/>
  <c r="O21"/>
  <c r="O25"/>
  <c r="L30"/>
  <c r="F4" i="25" l="1"/>
  <c r="F5"/>
  <c r="D4"/>
  <c r="D5"/>
  <c r="U8" i="6"/>
  <c r="U9"/>
  <c r="U10"/>
  <c r="U11"/>
  <c r="U12"/>
  <c r="U13"/>
  <c r="U14"/>
  <c r="U15"/>
  <c r="U16"/>
  <c r="U17"/>
  <c r="U18"/>
  <c r="U19"/>
  <c r="U20"/>
  <c r="U21"/>
  <c r="U22"/>
  <c r="U23"/>
  <c r="U7"/>
  <c r="U5"/>
  <c r="V49" i="2"/>
  <c r="V63" s="1"/>
  <c r="V48"/>
  <c r="V19" s="1"/>
  <c r="V47"/>
  <c r="V61" s="1"/>
  <c r="V46"/>
  <c r="V15" s="1"/>
  <c r="V45"/>
  <c r="V59" s="1"/>
  <c r="V44"/>
  <c r="V13" s="1"/>
  <c r="V43"/>
  <c r="V57" s="1"/>
  <c r="V42"/>
  <c r="V9" s="1"/>
  <c r="V41"/>
  <c r="V55" s="1"/>
  <c r="V40"/>
  <c r="V7" s="1"/>
  <c r="V37"/>
  <c r="V62" s="1"/>
  <c r="V36"/>
  <c r="V60" s="1"/>
  <c r="V35"/>
  <c r="V58" s="1"/>
  <c r="V34"/>
  <c r="V56" s="1"/>
  <c r="V33"/>
  <c r="V54" s="1"/>
  <c r="V22"/>
  <c r="V20"/>
  <c r="V18"/>
  <c r="V16"/>
  <c r="V14"/>
  <c r="V12"/>
  <c r="V10"/>
  <c r="V8"/>
  <c r="V6"/>
  <c r="V4"/>
  <c r="U22" i="8"/>
  <c r="U20"/>
  <c r="U18"/>
  <c r="U16"/>
  <c r="U14"/>
  <c r="U12"/>
  <c r="U10"/>
  <c r="U8"/>
  <c r="U6"/>
  <c r="U4"/>
  <c r="U22" i="7"/>
  <c r="U20"/>
  <c r="U18"/>
  <c r="U16"/>
  <c r="U14"/>
  <c r="U12"/>
  <c r="U10"/>
  <c r="U8"/>
  <c r="U6"/>
  <c r="U4"/>
  <c r="U6" i="6"/>
  <c r="U4"/>
  <c r="U22" i="5"/>
  <c r="U20"/>
  <c r="U18"/>
  <c r="U16"/>
  <c r="U14"/>
  <c r="U12"/>
  <c r="U10"/>
  <c r="U8"/>
  <c r="U6"/>
  <c r="U4"/>
  <c r="U22" i="4"/>
  <c r="U20"/>
  <c r="U18"/>
  <c r="U16"/>
  <c r="U14"/>
  <c r="U12"/>
  <c r="U10"/>
  <c r="U8"/>
  <c r="U6"/>
  <c r="U4"/>
  <c r="U22" i="3"/>
  <c r="U20"/>
  <c r="U18"/>
  <c r="U16"/>
  <c r="U14"/>
  <c r="U12"/>
  <c r="U10"/>
  <c r="U8"/>
  <c r="U6"/>
  <c r="U4"/>
  <c r="U6" i="1"/>
  <c r="U4"/>
  <c r="F6" i="25" l="1"/>
  <c r="D6"/>
  <c r="D29" i="2"/>
  <c r="C29" i="8" l="1"/>
  <c r="D29"/>
  <c r="E29"/>
  <c r="F29"/>
  <c r="G29"/>
  <c r="H29"/>
  <c r="I29"/>
  <c r="J29"/>
  <c r="K29"/>
  <c r="L29"/>
  <c r="P16" i="4" l="1"/>
  <c r="N4" i="25"/>
  <c r="N5"/>
  <c r="C4"/>
  <c r="E4"/>
  <c r="G4"/>
  <c r="I4"/>
  <c r="J4"/>
  <c r="K4"/>
  <c r="L4"/>
  <c r="M4"/>
  <c r="C5"/>
  <c r="E5"/>
  <c r="G5"/>
  <c r="I5"/>
  <c r="J5"/>
  <c r="K5"/>
  <c r="L5"/>
  <c r="M5"/>
  <c r="F1" i="21"/>
  <c r="B1" i="20"/>
  <c r="B4"/>
  <c r="C4"/>
  <c r="D4"/>
  <c r="B5"/>
  <c r="C5"/>
  <c r="D5"/>
  <c r="E5"/>
  <c r="B7"/>
  <c r="B9"/>
  <c r="C9"/>
  <c r="D9"/>
  <c r="E9"/>
  <c r="B10"/>
  <c r="C1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O29" i="22"/>
  <c r="R29"/>
  <c r="U29"/>
  <c r="X29"/>
  <c r="B27" i="20"/>
  <c r="C27"/>
  <c r="D27"/>
  <c r="E27"/>
  <c r="B1" i="19"/>
  <c r="B4"/>
  <c r="C4"/>
  <c r="D4"/>
  <c r="B5"/>
  <c r="C5"/>
  <c r="D5"/>
  <c r="E5"/>
  <c r="B7"/>
  <c r="B10"/>
  <c r="C27" i="21" s="1"/>
  <c r="C10" i="19"/>
  <c r="F27" i="21" s="1"/>
  <c r="D10" i="19"/>
  <c r="I27" i="21" s="1"/>
  <c r="E10" i="19"/>
  <c r="L27" i="21" s="1"/>
  <c r="B12" i="19"/>
  <c r="C12"/>
  <c r="D12"/>
  <c r="E12"/>
  <c r="B14"/>
  <c r="B15"/>
  <c r="B19"/>
  <c r="C19"/>
  <c r="D19"/>
  <c r="E19"/>
  <c r="B20"/>
  <c r="C20"/>
  <c r="D20"/>
  <c r="E20"/>
  <c r="B22"/>
  <c r="D24"/>
  <c r="O27" i="22"/>
  <c r="R27"/>
  <c r="U27"/>
  <c r="B27" i="19"/>
  <c r="C27"/>
  <c r="D27"/>
  <c r="E27"/>
  <c r="B1" i="18"/>
  <c r="B4"/>
  <c r="C4"/>
  <c r="D4"/>
  <c r="B5"/>
  <c r="C5"/>
  <c r="D5"/>
  <c r="E5"/>
  <c r="B7"/>
  <c r="B9"/>
  <c r="C9"/>
  <c r="D9"/>
  <c r="E9"/>
  <c r="B10"/>
  <c r="C25" i="21" s="1"/>
  <c r="C10" i="18"/>
  <c r="F25" i="21" s="1"/>
  <c r="D10" i="18"/>
  <c r="I25" i="21" s="1"/>
  <c r="E10" i="18"/>
  <c r="L25" i="21" s="1"/>
  <c r="B12" i="18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O25" i="22"/>
  <c r="R25"/>
  <c r="U25"/>
  <c r="B27" i="18"/>
  <c r="C27"/>
  <c r="D27"/>
  <c r="E27"/>
  <c r="B1" i="24"/>
  <c r="B4"/>
  <c r="C4"/>
  <c r="D4"/>
  <c r="B5"/>
  <c r="C5"/>
  <c r="D5"/>
  <c r="E5"/>
  <c r="B7"/>
  <c r="B9"/>
  <c r="C22" i="21" s="1"/>
  <c r="C9" i="24"/>
  <c r="F22" i="21" s="1"/>
  <c r="D9" i="24"/>
  <c r="I22" i="21" s="1"/>
  <c r="E9" i="24"/>
  <c r="L22" i="21" s="1"/>
  <c r="B10" i="24"/>
  <c r="C10"/>
  <c r="D10"/>
  <c r="E10"/>
  <c r="B12"/>
  <c r="C12"/>
  <c r="D12"/>
  <c r="E12"/>
  <c r="B14"/>
  <c r="B15"/>
  <c r="B19"/>
  <c r="C19"/>
  <c r="D19"/>
  <c r="E19"/>
  <c r="B20"/>
  <c r="C20"/>
  <c r="D20"/>
  <c r="E20"/>
  <c r="B24"/>
  <c r="C24"/>
  <c r="D24"/>
  <c r="E24"/>
  <c r="B27"/>
  <c r="C27"/>
  <c r="D27"/>
  <c r="E27"/>
  <c r="B1" i="16"/>
  <c r="B4"/>
  <c r="C4"/>
  <c r="D4"/>
  <c r="B5"/>
  <c r="C5"/>
  <c r="D5"/>
  <c r="E5"/>
  <c r="B7"/>
  <c r="B9"/>
  <c r="C20" i="21" s="1"/>
  <c r="C9" i="16"/>
  <c r="F20" i="21" s="1"/>
  <c r="D9" i="16"/>
  <c r="I20" i="21" s="1"/>
  <c r="E9" i="16"/>
  <c r="L20" i="21" s="1"/>
  <c r="B10" i="16"/>
  <c r="C1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R21" i="22"/>
  <c r="B27" i="16"/>
  <c r="C27"/>
  <c r="D27"/>
  <c r="E27"/>
  <c r="B1" i="15"/>
  <c r="B4"/>
  <c r="C4"/>
  <c r="D4"/>
  <c r="B5"/>
  <c r="C5"/>
  <c r="D5"/>
  <c r="E5"/>
  <c r="B7"/>
  <c r="B9"/>
  <c r="C18" i="21" s="1"/>
  <c r="C9" i="15"/>
  <c r="F18" i="21" s="1"/>
  <c r="D9" i="15"/>
  <c r="I18" i="21" s="1"/>
  <c r="E9" i="15"/>
  <c r="L18" i="21" s="1"/>
  <c r="B10" i="15"/>
  <c r="C1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O19" i="22"/>
  <c r="R19"/>
  <c r="B27" i="15"/>
  <c r="C27"/>
  <c r="D27"/>
  <c r="E27"/>
  <c r="B1" i="14"/>
  <c r="B4"/>
  <c r="C4"/>
  <c r="D4"/>
  <c r="B5"/>
  <c r="C5"/>
  <c r="D5"/>
  <c r="E5"/>
  <c r="B7"/>
  <c r="B9"/>
  <c r="C9"/>
  <c r="D9"/>
  <c r="E9"/>
  <c r="C17" i="22"/>
  <c r="B12" i="14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B27"/>
  <c r="C27"/>
  <c r="D27"/>
  <c r="E27"/>
  <c r="B1" i="13"/>
  <c r="B4"/>
  <c r="C4"/>
  <c r="D4"/>
  <c r="B5"/>
  <c r="C5"/>
  <c r="D5"/>
  <c r="E5"/>
  <c r="B7"/>
  <c r="B9"/>
  <c r="C9"/>
  <c r="D9"/>
  <c r="E9"/>
  <c r="B10"/>
  <c r="C15" i="21" s="1"/>
  <c r="C10" i="13"/>
  <c r="F15" i="21" s="1"/>
  <c r="D10" i="13"/>
  <c r="I15" i="21" s="1"/>
  <c r="E10" i="13"/>
  <c r="L15" i="21" s="1"/>
  <c r="B12" i="13"/>
  <c r="B15"/>
  <c r="B19"/>
  <c r="C19"/>
  <c r="D19"/>
  <c r="E19"/>
  <c r="B20"/>
  <c r="C20"/>
  <c r="D20"/>
  <c r="E20"/>
  <c r="B22"/>
  <c r="B24"/>
  <c r="C24"/>
  <c r="D24"/>
  <c r="E24"/>
  <c r="B27"/>
  <c r="C27"/>
  <c r="D27"/>
  <c r="E27"/>
  <c r="B1" i="12"/>
  <c r="B5"/>
  <c r="C5"/>
  <c r="D5"/>
  <c r="E5"/>
  <c r="B7"/>
  <c r="B9"/>
  <c r="C9"/>
  <c r="D9"/>
  <c r="E9"/>
  <c r="B10"/>
  <c r="C13" i="21" s="1"/>
  <c r="C10" i="12"/>
  <c r="F13" i="21" s="1"/>
  <c r="D10" i="12"/>
  <c r="I13" i="21" s="1"/>
  <c r="E10" i="12"/>
  <c r="L13" i="21" s="1"/>
  <c r="B12" i="12"/>
  <c r="C12"/>
  <c r="D12"/>
  <c r="E12"/>
  <c r="B14"/>
  <c r="B15"/>
  <c r="B19"/>
  <c r="C19"/>
  <c r="D19"/>
  <c r="B20"/>
  <c r="C20"/>
  <c r="D20"/>
  <c r="E20"/>
  <c r="B22"/>
  <c r="B24"/>
  <c r="C24"/>
  <c r="D24"/>
  <c r="E24"/>
  <c r="B27"/>
  <c r="C27"/>
  <c r="D27"/>
  <c r="E27"/>
  <c r="B1" i="11"/>
  <c r="B4"/>
  <c r="C4"/>
  <c r="D4"/>
  <c r="B5"/>
  <c r="C5"/>
  <c r="D5"/>
  <c r="E5"/>
  <c r="B7"/>
  <c r="B9"/>
  <c r="C9"/>
  <c r="D9"/>
  <c r="E9"/>
  <c r="B10"/>
  <c r="C11" i="21" s="1"/>
  <c r="C10" i="11"/>
  <c r="F11" i="21" s="1"/>
  <c r="D10" i="11"/>
  <c r="I11" i="21" s="1"/>
  <c r="E10" i="11"/>
  <c r="L11" i="21" s="1"/>
  <c r="B12" i="11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O11" i="21"/>
  <c r="R11"/>
  <c r="U11"/>
  <c r="X11"/>
  <c r="B27" i="11"/>
  <c r="C27"/>
  <c r="D27"/>
  <c r="E27"/>
  <c r="B1" i="10"/>
  <c r="B4"/>
  <c r="C4"/>
  <c r="D4"/>
  <c r="E4"/>
  <c r="B5"/>
  <c r="C5"/>
  <c r="D5"/>
  <c r="E5"/>
  <c r="B9"/>
  <c r="C9"/>
  <c r="D9"/>
  <c r="E9"/>
  <c r="B10"/>
  <c r="C9" i="21" s="1"/>
  <c r="C10" i="10"/>
  <c r="F9" i="21" s="1"/>
  <c r="D10" i="10"/>
  <c r="I9" i="21" s="1"/>
  <c r="E10" i="10"/>
  <c r="L9" i="21" s="1"/>
  <c r="B12" i="10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O9" i="21"/>
  <c r="R9"/>
  <c r="U9"/>
  <c r="B27" i="10"/>
  <c r="C27"/>
  <c r="D27"/>
  <c r="E27"/>
  <c r="B4" i="9"/>
  <c r="C4"/>
  <c r="D4"/>
  <c r="E4"/>
  <c r="B5"/>
  <c r="C5"/>
  <c r="D5"/>
  <c r="E5"/>
  <c r="B7"/>
  <c r="B9"/>
  <c r="C9"/>
  <c r="D9"/>
  <c r="E9"/>
  <c r="B10"/>
  <c r="C7" i="21" s="1"/>
  <c r="C10" i="9"/>
  <c r="F7" i="22" s="1"/>
  <c r="D10" i="9"/>
  <c r="J6" i="21" s="1"/>
  <c r="E10" i="9"/>
  <c r="L7" i="22" s="1"/>
  <c r="B12" i="9"/>
  <c r="C12"/>
  <c r="D12"/>
  <c r="E12"/>
  <c r="B14"/>
  <c r="B15"/>
  <c r="B19"/>
  <c r="C19"/>
  <c r="D19"/>
  <c r="E19"/>
  <c r="B20"/>
  <c r="C20"/>
  <c r="D20"/>
  <c r="E20"/>
  <c r="B22"/>
  <c r="B24"/>
  <c r="O6" i="22" s="1"/>
  <c r="C24" i="9"/>
  <c r="D24"/>
  <c r="U6" i="22" s="1"/>
  <c r="E24" i="9"/>
  <c r="O7" i="21"/>
  <c r="R7"/>
  <c r="U7"/>
  <c r="X7" i="22"/>
  <c r="B27" i="9"/>
  <c r="C27"/>
  <c r="D27"/>
  <c r="E27"/>
  <c r="C2" i="8"/>
  <c r="P4"/>
  <c r="P6"/>
  <c r="P8"/>
  <c r="P12"/>
  <c r="P14"/>
  <c r="P16"/>
  <c r="P18"/>
  <c r="P20"/>
  <c r="P22"/>
  <c r="R25"/>
  <c r="P26"/>
  <c r="A29"/>
  <c r="M29"/>
  <c r="N29"/>
  <c r="O29"/>
  <c r="P29" s="1"/>
  <c r="C2" i="7"/>
  <c r="P4"/>
  <c r="Q5"/>
  <c r="P6"/>
  <c r="Q7"/>
  <c r="P8"/>
  <c r="Q9"/>
  <c r="P10"/>
  <c r="Q11"/>
  <c r="P12"/>
  <c r="Q13"/>
  <c r="P14"/>
  <c r="Q15"/>
  <c r="P16"/>
  <c r="Q17"/>
  <c r="P18"/>
  <c r="Q19"/>
  <c r="P20"/>
  <c r="Q21"/>
  <c r="P22"/>
  <c r="Q23"/>
  <c r="P24"/>
  <c r="Q24"/>
  <c r="R25"/>
  <c r="P26"/>
  <c r="A29"/>
  <c r="C29"/>
  <c r="D29"/>
  <c r="E29"/>
  <c r="F29"/>
  <c r="G29"/>
  <c r="H29"/>
  <c r="I29"/>
  <c r="J29"/>
  <c r="K29"/>
  <c r="L29"/>
  <c r="M29"/>
  <c r="N29"/>
  <c r="O29"/>
  <c r="P29" s="1"/>
  <c r="C2" i="6"/>
  <c r="P4"/>
  <c r="P6"/>
  <c r="P8"/>
  <c r="P10"/>
  <c r="P12"/>
  <c r="P14"/>
  <c r="P16"/>
  <c r="P18"/>
  <c r="P20"/>
  <c r="P22"/>
  <c r="R25"/>
  <c r="P26"/>
  <c r="A29"/>
  <c r="C29"/>
  <c r="D29"/>
  <c r="E29"/>
  <c r="F29"/>
  <c r="G29"/>
  <c r="H29"/>
  <c r="I29"/>
  <c r="J29"/>
  <c r="K29"/>
  <c r="L29"/>
  <c r="M29"/>
  <c r="N29"/>
  <c r="O29"/>
  <c r="P29" s="1"/>
  <c r="C2" i="5"/>
  <c r="P4"/>
  <c r="P6"/>
  <c r="P8"/>
  <c r="P10"/>
  <c r="P12"/>
  <c r="P14"/>
  <c r="P16"/>
  <c r="P18"/>
  <c r="P20"/>
  <c r="P22"/>
  <c r="P24"/>
  <c r="Q24"/>
  <c r="R25"/>
  <c r="P26"/>
  <c r="C2" i="4"/>
  <c r="P4"/>
  <c r="P6"/>
  <c r="P8"/>
  <c r="P10"/>
  <c r="P12"/>
  <c r="P14"/>
  <c r="P18"/>
  <c r="P20"/>
  <c r="P22"/>
  <c r="P26"/>
  <c r="P27"/>
  <c r="Q28"/>
  <c r="A30"/>
  <c r="C30"/>
  <c r="D30"/>
  <c r="E30"/>
  <c r="F30"/>
  <c r="G30"/>
  <c r="H30"/>
  <c r="I30"/>
  <c r="J30"/>
  <c r="K30"/>
  <c r="L30"/>
  <c r="M30"/>
  <c r="N30"/>
  <c r="O30"/>
  <c r="P30" s="1"/>
  <c r="C2" i="3"/>
  <c r="P4"/>
  <c r="P6"/>
  <c r="P10"/>
  <c r="P12"/>
  <c r="P14"/>
  <c r="P16"/>
  <c r="P18"/>
  <c r="P20"/>
  <c r="P22"/>
  <c r="P26"/>
  <c r="Q27"/>
  <c r="A29"/>
  <c r="C29"/>
  <c r="D29"/>
  <c r="E29"/>
  <c r="F29"/>
  <c r="G29"/>
  <c r="H29"/>
  <c r="I29"/>
  <c r="J29"/>
  <c r="K29"/>
  <c r="L29"/>
  <c r="M29"/>
  <c r="N29"/>
  <c r="O29"/>
  <c r="P29" s="1"/>
  <c r="D2" i="2"/>
  <c r="Q4"/>
  <c r="Q26"/>
  <c r="R27"/>
  <c r="B29"/>
  <c r="E29"/>
  <c r="F29"/>
  <c r="G29"/>
  <c r="H29"/>
  <c r="I29"/>
  <c r="J29"/>
  <c r="K29"/>
  <c r="L29"/>
  <c r="M29"/>
  <c r="N29"/>
  <c r="O29"/>
  <c r="P29"/>
  <c r="Q29" s="1"/>
  <c r="Q34"/>
  <c r="Q42"/>
  <c r="P4" i="1"/>
  <c r="P6"/>
  <c r="P8"/>
  <c r="P10"/>
  <c r="P12"/>
  <c r="P14"/>
  <c r="P16"/>
  <c r="P20"/>
  <c r="P22"/>
  <c r="R25"/>
  <c r="P26"/>
  <c r="Q27"/>
  <c r="P29"/>
  <c r="U13" i="22"/>
  <c r="L19"/>
  <c r="U21"/>
  <c r="O21"/>
  <c r="X27"/>
  <c r="V18"/>
  <c r="X25"/>
  <c r="Q24" i="3" l="1"/>
  <c r="M6" i="25"/>
  <c r="J24" i="19"/>
  <c r="X26" i="21"/>
  <c r="Y26"/>
  <c r="Z26" s="1"/>
  <c r="I24" i="19"/>
  <c r="V26" i="21"/>
  <c r="W26" s="1"/>
  <c r="U26"/>
  <c r="H24" i="19"/>
  <c r="R26" i="21"/>
  <c r="S26"/>
  <c r="T26" s="1"/>
  <c r="G24" i="19"/>
  <c r="P26" i="21"/>
  <c r="Q26" s="1"/>
  <c r="O26"/>
  <c r="M26"/>
  <c r="N26" s="1"/>
  <c r="L26"/>
  <c r="I26"/>
  <c r="J26"/>
  <c r="K26" s="1"/>
  <c r="G26"/>
  <c r="H26" s="1"/>
  <c r="F26"/>
  <c r="C26"/>
  <c r="D26"/>
  <c r="E26" s="1"/>
  <c r="L6" i="25"/>
  <c r="X24" i="21"/>
  <c r="Y24"/>
  <c r="Z24" s="1"/>
  <c r="V24"/>
  <c r="W24" s="1"/>
  <c r="U24"/>
  <c r="R24"/>
  <c r="S24"/>
  <c r="T24" s="1"/>
  <c r="O24"/>
  <c r="P24"/>
  <c r="Q24" s="1"/>
  <c r="L24"/>
  <c r="M24"/>
  <c r="N24" s="1"/>
  <c r="I24"/>
  <c r="J24"/>
  <c r="K24" s="1"/>
  <c r="G24"/>
  <c r="H24" s="1"/>
  <c r="F24"/>
  <c r="D24"/>
  <c r="E24" s="1"/>
  <c r="C24"/>
  <c r="X22"/>
  <c r="Y22"/>
  <c r="Z22" s="1"/>
  <c r="R22"/>
  <c r="S22"/>
  <c r="T22" s="1"/>
  <c r="L23"/>
  <c r="M22"/>
  <c r="N22" s="1"/>
  <c r="F23"/>
  <c r="G22"/>
  <c r="H22" s="1"/>
  <c r="K6" i="25"/>
  <c r="U22" i="21"/>
  <c r="V22"/>
  <c r="W22" s="1"/>
  <c r="O22"/>
  <c r="P22"/>
  <c r="Q22" s="1"/>
  <c r="I23"/>
  <c r="J22"/>
  <c r="D22"/>
  <c r="E22" s="1"/>
  <c r="C23"/>
  <c r="X20"/>
  <c r="Y20"/>
  <c r="Z20" s="1"/>
  <c r="R20"/>
  <c r="S20"/>
  <c r="T20" s="1"/>
  <c r="J20"/>
  <c r="I21"/>
  <c r="C21"/>
  <c r="D20"/>
  <c r="U20"/>
  <c r="V20"/>
  <c r="W20" s="1"/>
  <c r="O20"/>
  <c r="P20"/>
  <c r="Q20" s="1"/>
  <c r="L21"/>
  <c r="M20"/>
  <c r="F21"/>
  <c r="G20"/>
  <c r="J6" i="25"/>
  <c r="U18" i="21"/>
  <c r="V18"/>
  <c r="W18" s="1"/>
  <c r="O18"/>
  <c r="P18"/>
  <c r="Q18" s="1"/>
  <c r="L19"/>
  <c r="M18"/>
  <c r="F19"/>
  <c r="G18"/>
  <c r="H18" s="1"/>
  <c r="I6" i="25"/>
  <c r="X18" i="21"/>
  <c r="Y18"/>
  <c r="Z18" s="1"/>
  <c r="R18"/>
  <c r="S18"/>
  <c r="T18" s="1"/>
  <c r="I19"/>
  <c r="J18"/>
  <c r="D18"/>
  <c r="C19"/>
  <c r="X16"/>
  <c r="Y16"/>
  <c r="Z16" s="1"/>
  <c r="R16"/>
  <c r="S16"/>
  <c r="T16" s="1"/>
  <c r="L16"/>
  <c r="M16"/>
  <c r="N16" s="1"/>
  <c r="F16"/>
  <c r="G16"/>
  <c r="H16" s="1"/>
  <c r="U16"/>
  <c r="V16"/>
  <c r="W16" s="1"/>
  <c r="O16"/>
  <c r="P16"/>
  <c r="Q16" s="1"/>
  <c r="I16"/>
  <c r="J16"/>
  <c r="K16" s="1"/>
  <c r="C16"/>
  <c r="D16"/>
  <c r="E16" s="1"/>
  <c r="X14"/>
  <c r="Y14"/>
  <c r="Z14" s="1"/>
  <c r="V14"/>
  <c r="W14" s="1"/>
  <c r="U14"/>
  <c r="S14"/>
  <c r="T14" s="1"/>
  <c r="R14"/>
  <c r="O14"/>
  <c r="P14"/>
  <c r="Q14" s="1"/>
  <c r="M14"/>
  <c r="N14" s="1"/>
  <c r="L14"/>
  <c r="I14"/>
  <c r="J14"/>
  <c r="K14" s="1"/>
  <c r="F14"/>
  <c r="G14"/>
  <c r="H14" s="1"/>
  <c r="G6" i="25"/>
  <c r="D14" i="21"/>
  <c r="E14" s="1"/>
  <c r="C14"/>
  <c r="Y12"/>
  <c r="Z12" s="1"/>
  <c r="X12"/>
  <c r="V12"/>
  <c r="W12" s="1"/>
  <c r="U12"/>
  <c r="R12"/>
  <c r="S12"/>
  <c r="T12" s="1"/>
  <c r="O12"/>
  <c r="P12"/>
  <c r="Q12" s="1"/>
  <c r="M12"/>
  <c r="N12" s="1"/>
  <c r="L12"/>
  <c r="J12"/>
  <c r="K12" s="1"/>
  <c r="I12"/>
  <c r="F12"/>
  <c r="G12"/>
  <c r="H12" s="1"/>
  <c r="C12" i="22"/>
  <c r="C12" i="21"/>
  <c r="D12"/>
  <c r="E12" s="1"/>
  <c r="Y10"/>
  <c r="Z10" s="1"/>
  <c r="X10"/>
  <c r="U10"/>
  <c r="V10"/>
  <c r="W10" s="1"/>
  <c r="R10"/>
  <c r="S10"/>
  <c r="T10" s="1"/>
  <c r="P10"/>
  <c r="Q10" s="1"/>
  <c r="O10"/>
  <c r="L10"/>
  <c r="M10"/>
  <c r="N10" s="1"/>
  <c r="J10"/>
  <c r="K10" s="1"/>
  <c r="I10"/>
  <c r="G10"/>
  <c r="H10" s="1"/>
  <c r="F10"/>
  <c r="E6" i="25"/>
  <c r="C10" i="21"/>
  <c r="D10"/>
  <c r="E10" s="1"/>
  <c r="X9" i="22"/>
  <c r="X9" i="21"/>
  <c r="Y8"/>
  <c r="X8"/>
  <c r="U8"/>
  <c r="V8"/>
  <c r="W8" s="1"/>
  <c r="R8"/>
  <c r="S8"/>
  <c r="T8" s="1"/>
  <c r="O8"/>
  <c r="P8"/>
  <c r="Q8" s="1"/>
  <c r="M8"/>
  <c r="N8" s="1"/>
  <c r="L8"/>
  <c r="I8"/>
  <c r="J8"/>
  <c r="K8" s="1"/>
  <c r="G8" i="22"/>
  <c r="G8" i="21"/>
  <c r="H8" s="1"/>
  <c r="F8"/>
  <c r="C8"/>
  <c r="D8"/>
  <c r="E8" s="1"/>
  <c r="P6" i="22"/>
  <c r="C6" i="25"/>
  <c r="H4" i="19"/>
  <c r="P24" i="1"/>
  <c r="P24" i="8"/>
  <c r="Q24"/>
  <c r="X28" i="22"/>
  <c r="J24" i="20"/>
  <c r="E24" i="27"/>
  <c r="J24" s="1"/>
  <c r="J19" i="20"/>
  <c r="E19" i="27"/>
  <c r="J19" s="1"/>
  <c r="U28" i="22"/>
  <c r="I24" i="20"/>
  <c r="D24" i="27"/>
  <c r="I24" s="1"/>
  <c r="I19" i="20"/>
  <c r="D19" i="27"/>
  <c r="I19" s="1"/>
  <c r="P24" i="6"/>
  <c r="R28" i="22"/>
  <c r="H24" i="20"/>
  <c r="C24" i="27"/>
  <c r="H24" s="1"/>
  <c r="H19" i="20"/>
  <c r="C19" i="27"/>
  <c r="H19" s="1"/>
  <c r="O28" i="22"/>
  <c r="G24" i="20"/>
  <c r="B24" i="27"/>
  <c r="G24" s="1"/>
  <c r="G19" i="20"/>
  <c r="B19" i="27"/>
  <c r="G19" s="1"/>
  <c r="L29" i="22"/>
  <c r="L28"/>
  <c r="E9" i="27"/>
  <c r="J9" s="1"/>
  <c r="J9" i="20"/>
  <c r="Q24" i="4"/>
  <c r="I29" i="22"/>
  <c r="I28"/>
  <c r="D9" i="27"/>
  <c r="I9" s="1"/>
  <c r="I9" i="20"/>
  <c r="I4"/>
  <c r="D4" i="27"/>
  <c r="I4" s="1"/>
  <c r="F29" i="22"/>
  <c r="F28"/>
  <c r="H9" i="20"/>
  <c r="C9" i="27"/>
  <c r="H9" s="1"/>
  <c r="H4" i="20"/>
  <c r="C4" i="27"/>
  <c r="H4" s="1"/>
  <c r="Q24" i="1"/>
  <c r="C28" i="22"/>
  <c r="B9" i="27"/>
  <c r="G9" s="1"/>
  <c r="G9" i="20"/>
  <c r="G4"/>
  <c r="B4" i="27"/>
  <c r="G4" s="1"/>
  <c r="J19" i="19"/>
  <c r="H19"/>
  <c r="J9"/>
  <c r="H9"/>
  <c r="H4" i="18"/>
  <c r="I19" i="19"/>
  <c r="G19"/>
  <c r="I9"/>
  <c r="G9"/>
  <c r="I4"/>
  <c r="G4"/>
  <c r="X26" i="22"/>
  <c r="U26"/>
  <c r="R26"/>
  <c r="O26"/>
  <c r="L27"/>
  <c r="L26"/>
  <c r="I27"/>
  <c r="I26"/>
  <c r="F27"/>
  <c r="F26"/>
  <c r="C27"/>
  <c r="C26"/>
  <c r="U24"/>
  <c r="I24" i="18"/>
  <c r="O24" i="22"/>
  <c r="G24" i="18"/>
  <c r="L25" i="22"/>
  <c r="F25"/>
  <c r="L24"/>
  <c r="J9" i="18"/>
  <c r="F24" i="22"/>
  <c r="H9" i="18"/>
  <c r="J19"/>
  <c r="H19"/>
  <c r="X24" i="22"/>
  <c r="J24" i="18"/>
  <c r="R24" i="22"/>
  <c r="H24" i="18"/>
  <c r="I25" i="22"/>
  <c r="I24"/>
  <c r="I9" i="18"/>
  <c r="C24" i="22"/>
  <c r="G9" i="18"/>
  <c r="I19"/>
  <c r="G19"/>
  <c r="I4"/>
  <c r="G4"/>
  <c r="P24" i="22"/>
  <c r="Q24" s="1"/>
  <c r="C4" i="23"/>
  <c r="U20" i="22"/>
  <c r="O20"/>
  <c r="F21"/>
  <c r="L20"/>
  <c r="F20"/>
  <c r="X20"/>
  <c r="I21"/>
  <c r="D20"/>
  <c r="I20"/>
  <c r="C20"/>
  <c r="V26"/>
  <c r="W26" s="1"/>
  <c r="L21"/>
  <c r="J10"/>
  <c r="V24"/>
  <c r="W24" s="1"/>
  <c r="U18"/>
  <c r="O18"/>
  <c r="F19"/>
  <c r="L18"/>
  <c r="F18"/>
  <c r="X18"/>
  <c r="R18"/>
  <c r="C19"/>
  <c r="I18"/>
  <c r="C18"/>
  <c r="X7" i="21"/>
  <c r="C16" i="22"/>
  <c r="J28"/>
  <c r="X16"/>
  <c r="U16"/>
  <c r="V16"/>
  <c r="R17"/>
  <c r="R16"/>
  <c r="P16"/>
  <c r="O16"/>
  <c r="L16"/>
  <c r="I17"/>
  <c r="I16"/>
  <c r="F17"/>
  <c r="F16"/>
  <c r="X15"/>
  <c r="R15"/>
  <c r="X14"/>
  <c r="R14"/>
  <c r="I15"/>
  <c r="D14"/>
  <c r="I14"/>
  <c r="C14"/>
  <c r="U15"/>
  <c r="U14"/>
  <c r="M14"/>
  <c r="L14"/>
  <c r="O15"/>
  <c r="O14"/>
  <c r="G28"/>
  <c r="G26"/>
  <c r="G14"/>
  <c r="F14"/>
  <c r="D4" i="23"/>
  <c r="B4"/>
  <c r="F6" i="21"/>
  <c r="C9" i="23"/>
  <c r="P12" i="22"/>
  <c r="I13"/>
  <c r="D12"/>
  <c r="I12"/>
  <c r="I6" i="21"/>
  <c r="D9" i="23"/>
  <c r="C6" i="21"/>
  <c r="B9" i="23"/>
  <c r="X13" i="22"/>
  <c r="R13"/>
  <c r="L12"/>
  <c r="F12"/>
  <c r="L6" i="21"/>
  <c r="E9" i="23"/>
  <c r="E19"/>
  <c r="X12" i="22"/>
  <c r="E24" i="23"/>
  <c r="U12" i="22"/>
  <c r="D24" i="23"/>
  <c r="D19"/>
  <c r="C19"/>
  <c r="R12" i="22"/>
  <c r="C24" i="23"/>
  <c r="O12" i="22"/>
  <c r="B24" i="23"/>
  <c r="B19"/>
  <c r="G4" i="16"/>
  <c r="X11" i="22"/>
  <c r="U11"/>
  <c r="R11"/>
  <c r="S10"/>
  <c r="R10"/>
  <c r="O11"/>
  <c r="L11"/>
  <c r="L10"/>
  <c r="I10"/>
  <c r="F11"/>
  <c r="F10"/>
  <c r="C10"/>
  <c r="U9"/>
  <c r="P8"/>
  <c r="O8"/>
  <c r="L9"/>
  <c r="F9"/>
  <c r="H4" i="11"/>
  <c r="H4" i="12"/>
  <c r="H4" i="13"/>
  <c r="G4" i="24"/>
  <c r="C8" i="22"/>
  <c r="C6"/>
  <c r="Q24" i="6"/>
  <c r="D6" i="22"/>
  <c r="D10"/>
  <c r="C9"/>
  <c r="D6" i="21"/>
  <c r="G6"/>
  <c r="F8" i="22"/>
  <c r="R24" i="2"/>
  <c r="I4" i="16"/>
  <c r="I4" i="24"/>
  <c r="P24" i="3"/>
  <c r="J6" i="22"/>
  <c r="I9"/>
  <c r="I6"/>
  <c r="I7" i="21"/>
  <c r="K6" s="1"/>
  <c r="L6" i="22"/>
  <c r="M6" i="21"/>
  <c r="X22" i="22"/>
  <c r="J24" i="24"/>
  <c r="R22" i="22"/>
  <c r="H24" i="24"/>
  <c r="D22" i="22"/>
  <c r="I9" i="24"/>
  <c r="C22" i="22"/>
  <c r="G9" i="24"/>
  <c r="U22" i="22"/>
  <c r="I24" i="24"/>
  <c r="O22" i="22"/>
  <c r="G24" i="24"/>
  <c r="F23" i="22"/>
  <c r="J9" i="24"/>
  <c r="H9"/>
  <c r="J19" i="9"/>
  <c r="H19"/>
  <c r="I4"/>
  <c r="G4"/>
  <c r="J19" i="10"/>
  <c r="H19"/>
  <c r="J4"/>
  <c r="H4"/>
  <c r="J19" i="11"/>
  <c r="H19"/>
  <c r="J19" i="12"/>
  <c r="H19"/>
  <c r="J19" i="13"/>
  <c r="H19"/>
  <c r="I19" i="16"/>
  <c r="G19"/>
  <c r="I19" i="24"/>
  <c r="G19"/>
  <c r="X21" i="22"/>
  <c r="F13"/>
  <c r="L8"/>
  <c r="M8"/>
  <c r="F6"/>
  <c r="G6"/>
  <c r="H6" s="1"/>
  <c r="M6"/>
  <c r="O17"/>
  <c r="Q16" s="1"/>
  <c r="U17"/>
  <c r="V6"/>
  <c r="J24" i="9"/>
  <c r="H24"/>
  <c r="I19"/>
  <c r="G19"/>
  <c r="J4"/>
  <c r="H4"/>
  <c r="I19" i="10"/>
  <c r="G19"/>
  <c r="I4"/>
  <c r="G4"/>
  <c r="H24" i="11"/>
  <c r="I19"/>
  <c r="G19"/>
  <c r="I4"/>
  <c r="G4"/>
  <c r="I19" i="12"/>
  <c r="G19"/>
  <c r="G9"/>
  <c r="I4"/>
  <c r="G4"/>
  <c r="I19" i="13"/>
  <c r="G19"/>
  <c r="I4"/>
  <c r="G4"/>
  <c r="J19" i="16"/>
  <c r="H19"/>
  <c r="H4"/>
  <c r="J19" i="24"/>
  <c r="H19"/>
  <c r="H4"/>
  <c r="J19" i="15"/>
  <c r="H19"/>
  <c r="G9" i="16"/>
  <c r="I9"/>
  <c r="H24"/>
  <c r="J24"/>
  <c r="G9" i="13"/>
  <c r="I9"/>
  <c r="H24"/>
  <c r="J24"/>
  <c r="I9" i="12"/>
  <c r="H24"/>
  <c r="J24"/>
  <c r="G9" i="11"/>
  <c r="I9"/>
  <c r="J24"/>
  <c r="G9" i="9"/>
  <c r="I9"/>
  <c r="G9" i="10"/>
  <c r="I9"/>
  <c r="H24"/>
  <c r="J24"/>
  <c r="I4" i="14"/>
  <c r="G4"/>
  <c r="I19" i="15"/>
  <c r="G19"/>
  <c r="H4"/>
  <c r="I4"/>
  <c r="G4"/>
  <c r="H9" i="16"/>
  <c r="J9"/>
  <c r="G24"/>
  <c r="I24"/>
  <c r="H9" i="13"/>
  <c r="J9"/>
  <c r="G24"/>
  <c r="I24"/>
  <c r="H9" i="12"/>
  <c r="J9"/>
  <c r="G24"/>
  <c r="I24"/>
  <c r="H9" i="11"/>
  <c r="J9"/>
  <c r="G24"/>
  <c r="I24"/>
  <c r="H9" i="9"/>
  <c r="J9"/>
  <c r="G24"/>
  <c r="I24"/>
  <c r="H9" i="10"/>
  <c r="J9"/>
  <c r="G24"/>
  <c r="I24"/>
  <c r="J19" i="14"/>
  <c r="H19"/>
  <c r="G9" i="15"/>
  <c r="I9"/>
  <c r="H24"/>
  <c r="J24"/>
  <c r="I19" i="14"/>
  <c r="G19"/>
  <c r="H4"/>
  <c r="H9" i="15"/>
  <c r="J9"/>
  <c r="G24"/>
  <c r="I24"/>
  <c r="J9" i="14"/>
  <c r="H9"/>
  <c r="G24"/>
  <c r="J24"/>
  <c r="H24"/>
  <c r="G9"/>
  <c r="I9"/>
  <c r="I24"/>
  <c r="Y18" i="22"/>
  <c r="D16"/>
  <c r="E16" s="1"/>
  <c r="Y16"/>
  <c r="S16"/>
  <c r="S14"/>
  <c r="L15"/>
  <c r="M16"/>
  <c r="J16"/>
  <c r="Y14"/>
  <c r="Z14" s="1"/>
  <c r="V14"/>
  <c r="S12"/>
  <c r="O13"/>
  <c r="P14"/>
  <c r="F15"/>
  <c r="X10"/>
  <c r="R9"/>
  <c r="N6"/>
  <c r="R7"/>
  <c r="I8"/>
  <c r="D8"/>
  <c r="E8" s="1"/>
  <c r="J8"/>
  <c r="K8" s="1"/>
  <c r="C7"/>
  <c r="E6" s="1"/>
  <c r="I7"/>
  <c r="V10"/>
  <c r="U10"/>
  <c r="P10"/>
  <c r="O10"/>
  <c r="H8"/>
  <c r="Y8"/>
  <c r="Z8" s="1"/>
  <c r="X8"/>
  <c r="V8"/>
  <c r="U7"/>
  <c r="U8"/>
  <c r="U6" i="21"/>
  <c r="S8" i="22"/>
  <c r="R6"/>
  <c r="S6"/>
  <c r="R8"/>
  <c r="R6" i="21"/>
  <c r="S6"/>
  <c r="O7" i="22"/>
  <c r="O6" i="21"/>
  <c r="X6"/>
  <c r="Y6"/>
  <c r="X6" i="22"/>
  <c r="Y6"/>
  <c r="Z6" s="1"/>
  <c r="I11"/>
  <c r="G16"/>
  <c r="G12"/>
  <c r="G18"/>
  <c r="G10"/>
  <c r="H10" s="1"/>
  <c r="C15"/>
  <c r="E14" s="1"/>
  <c r="C11"/>
  <c r="D28"/>
  <c r="C25"/>
  <c r="C13"/>
  <c r="B21" i="12"/>
  <c r="G21" s="1"/>
  <c r="V28" i="22"/>
  <c r="W28" s="1"/>
  <c r="P24" i="4"/>
  <c r="E4" i="20"/>
  <c r="M28" i="22"/>
  <c r="Q24" i="2"/>
  <c r="C29" i="22"/>
  <c r="X17"/>
  <c r="J14"/>
  <c r="Y12"/>
  <c r="F7" i="21"/>
  <c r="L7"/>
  <c r="J12" i="22"/>
  <c r="V12"/>
  <c r="W12" s="1"/>
  <c r="Y10"/>
  <c r="O9"/>
  <c r="P6" i="21"/>
  <c r="V6"/>
  <c r="Y28" i="22"/>
  <c r="Z28" s="1"/>
  <c r="Y26"/>
  <c r="Z26" s="1"/>
  <c r="S28"/>
  <c r="T28" s="1"/>
  <c r="S26"/>
  <c r="T26" s="1"/>
  <c r="P28"/>
  <c r="Q28" s="1"/>
  <c r="K28"/>
  <c r="B6" i="9"/>
  <c r="G6" s="1"/>
  <c r="B6" i="10"/>
  <c r="G6" s="1"/>
  <c r="E4" i="18"/>
  <c r="J4" s="1"/>
  <c r="M26" i="22"/>
  <c r="E4" i="19"/>
  <c r="J4" s="1"/>
  <c r="E4" i="24"/>
  <c r="J4" s="1"/>
  <c r="L17" i="22"/>
  <c r="M12"/>
  <c r="L13"/>
  <c r="M10"/>
  <c r="E4" i="11"/>
  <c r="J4" s="1"/>
  <c r="E4" i="16"/>
  <c r="J4" s="1"/>
  <c r="E4" i="15"/>
  <c r="J4" s="1"/>
  <c r="E4" i="14"/>
  <c r="J4" s="1"/>
  <c r="J4" i="13"/>
  <c r="J4" i="12"/>
  <c r="Y24" i="22"/>
  <c r="Z24" s="1"/>
  <c r="S24"/>
  <c r="T24" s="1"/>
  <c r="P26"/>
  <c r="Q26" s="1"/>
  <c r="M24"/>
  <c r="J26"/>
  <c r="D26"/>
  <c r="B6" i="19"/>
  <c r="G6" s="1"/>
  <c r="L22" i="22"/>
  <c r="G22"/>
  <c r="L23"/>
  <c r="O23"/>
  <c r="R23"/>
  <c r="U23"/>
  <c r="X23"/>
  <c r="P22"/>
  <c r="Q22" s="1"/>
  <c r="V22"/>
  <c r="C23"/>
  <c r="I23"/>
  <c r="B21" i="19"/>
  <c r="G21" s="1"/>
  <c r="F22" i="22"/>
  <c r="I22"/>
  <c r="J22"/>
  <c r="M22"/>
  <c r="S22"/>
  <c r="T22" s="1"/>
  <c r="Y22"/>
  <c r="J24"/>
  <c r="G24"/>
  <c r="H24" s="1"/>
  <c r="B6" i="24"/>
  <c r="G6" s="1"/>
  <c r="D24" i="22"/>
  <c r="B21" i="9"/>
  <c r="G21" s="1"/>
  <c r="B21" i="10"/>
  <c r="G21" s="1"/>
  <c r="B6" i="11"/>
  <c r="G6" s="1"/>
  <c r="B21" i="13"/>
  <c r="G21" s="1"/>
  <c r="B21" i="18"/>
  <c r="G21" s="1"/>
  <c r="B21" i="20"/>
  <c r="G21" s="1"/>
  <c r="B21" i="11"/>
  <c r="G21" s="1"/>
  <c r="B6" i="12"/>
  <c r="G6" s="1"/>
  <c r="B6" i="13"/>
  <c r="G6" s="1"/>
  <c r="B21" i="14"/>
  <c r="G21" s="1"/>
  <c r="B6"/>
  <c r="G6" s="1"/>
  <c r="B6" i="18"/>
  <c r="G6" s="1"/>
  <c r="B6" i="20"/>
  <c r="G6" s="1"/>
  <c r="B21" i="24"/>
  <c r="G21" s="1"/>
  <c r="S20" i="22"/>
  <c r="T20" s="1"/>
  <c r="R20"/>
  <c r="C21"/>
  <c r="X19"/>
  <c r="B21" i="15"/>
  <c r="G21" s="1"/>
  <c r="Y20" i="22"/>
  <c r="U19"/>
  <c r="W18" s="1"/>
  <c r="B21" i="16"/>
  <c r="G21" s="1"/>
  <c r="V20" i="22"/>
  <c r="W20" s="1"/>
  <c r="S18"/>
  <c r="P20"/>
  <c r="Q20" s="1"/>
  <c r="P18"/>
  <c r="B6" i="15"/>
  <c r="G6" s="1"/>
  <c r="M20" i="22"/>
  <c r="M18"/>
  <c r="N18" s="1"/>
  <c r="I19"/>
  <c r="J20"/>
  <c r="J18"/>
  <c r="G20"/>
  <c r="B6" i="16"/>
  <c r="G6" s="1"/>
  <c r="D18" i="22"/>
  <c r="H26" l="1"/>
  <c r="H28"/>
  <c r="K18" i="21"/>
  <c r="H20"/>
  <c r="N20"/>
  <c r="E20"/>
  <c r="K22"/>
  <c r="N18"/>
  <c r="K20"/>
  <c r="K20" i="22"/>
  <c r="H20"/>
  <c r="E18" i="21"/>
  <c r="V31"/>
  <c r="D31"/>
  <c r="Z8"/>
  <c r="T10" i="22"/>
  <c r="K10"/>
  <c r="N24"/>
  <c r="E12"/>
  <c r="H16"/>
  <c r="W14"/>
  <c r="W8"/>
  <c r="Q6"/>
  <c r="M31" i="21"/>
  <c r="J31"/>
  <c r="E4" i="23"/>
  <c r="E20" i="22"/>
  <c r="K24"/>
  <c r="P31" i="21"/>
  <c r="Z10" i="22"/>
  <c r="K12"/>
  <c r="K14"/>
  <c r="N28"/>
  <c r="Y31" i="21"/>
  <c r="S31"/>
  <c r="G31"/>
  <c r="E4" i="27"/>
  <c r="J4" i="20"/>
  <c r="J4" i="27"/>
  <c r="N26" i="22"/>
  <c r="K26"/>
  <c r="E26"/>
  <c r="M33" i="21"/>
  <c r="J33"/>
  <c r="Q6"/>
  <c r="P33"/>
  <c r="E6"/>
  <c r="D33"/>
  <c r="W6"/>
  <c r="V33"/>
  <c r="Z6"/>
  <c r="Y33"/>
  <c r="T6"/>
  <c r="S33"/>
  <c r="N20" i="22"/>
  <c r="Z18"/>
  <c r="N10"/>
  <c r="Z12"/>
  <c r="H18"/>
  <c r="Q10"/>
  <c r="W10"/>
  <c r="N14"/>
  <c r="N8"/>
  <c r="G33" i="21"/>
  <c r="N6"/>
  <c r="Z20" i="22"/>
  <c r="Q12"/>
  <c r="E22"/>
  <c r="H22"/>
  <c r="Q8"/>
  <c r="H12"/>
  <c r="K6"/>
  <c r="Q14"/>
  <c r="T12"/>
  <c r="T14"/>
  <c r="W16"/>
  <c r="T16"/>
  <c r="K16"/>
  <c r="H14"/>
  <c r="T8"/>
  <c r="E28"/>
  <c r="E10"/>
  <c r="W6"/>
  <c r="H6" i="21"/>
  <c r="Z16" i="22"/>
  <c r="N16"/>
  <c r="E24"/>
  <c r="T6"/>
  <c r="W22"/>
  <c r="N22"/>
  <c r="N12"/>
  <c r="V31"/>
  <c r="Z22"/>
  <c r="Y33"/>
  <c r="K22"/>
  <c r="S31"/>
  <c r="J33"/>
  <c r="G31"/>
  <c r="G33"/>
  <c r="D33"/>
  <c r="Y31"/>
  <c r="V33"/>
  <c r="T18"/>
  <c r="S33"/>
  <c r="P31"/>
  <c r="Q18"/>
  <c r="P33"/>
  <c r="M33"/>
  <c r="M31"/>
  <c r="K18"/>
  <c r="J31"/>
  <c r="D31"/>
  <c r="E18"/>
</calcChain>
</file>

<file path=xl/comments1.xml><?xml version="1.0" encoding="utf-8"?>
<comments xmlns="http://schemas.openxmlformats.org/spreadsheetml/2006/main">
  <authors>
    <author>Ivo Mráz</author>
  </authors>
  <commentList>
    <comment ref="AH2" authorId="0">
      <text>
        <r>
          <rPr>
            <b/>
            <sz val="9"/>
            <color indexed="81"/>
            <rFont val="Tahoma"/>
            <family val="2"/>
            <charset val="238"/>
          </rPr>
          <t>Je nutné brát s rezervou</t>
        </r>
      </text>
    </comment>
  </commentList>
</comments>
</file>

<file path=xl/comments2.xml><?xml version="1.0" encoding="utf-8"?>
<comments xmlns="http://schemas.openxmlformats.org/spreadsheetml/2006/main">
  <authors>
    <author>Ivo Mráz</author>
  </authors>
  <commentList>
    <comment ref="B7" authorId="0">
      <text>
        <r>
          <rPr>
            <b/>
            <sz val="9"/>
            <color indexed="81"/>
            <rFont val="Tahoma"/>
            <family val="2"/>
            <charset val="238"/>
          </rPr>
          <t>14.2.2019 výměna faktur.vodoměru</t>
        </r>
      </text>
    </comment>
  </commentList>
</comments>
</file>

<file path=xl/comments3.xml><?xml version="1.0" encoding="utf-8"?>
<comments xmlns="http://schemas.openxmlformats.org/spreadsheetml/2006/main">
  <authors>
    <author>HP-HP</author>
    <author>Ivo Mráz</author>
  </authors>
  <commentList>
    <comment ref="E5" authorId="0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C15" authorId="1">
      <text>
        <r>
          <rPr>
            <b/>
            <sz val="9"/>
            <color indexed="81"/>
            <rFont val="Tahoma"/>
            <family val="2"/>
            <charset val="238"/>
          </rPr>
          <t>upravená spotřeba blíže k vodoměrům</t>
        </r>
      </text>
    </comment>
  </commentList>
</comments>
</file>

<file path=xl/comments4.xml><?xml version="1.0" encoding="utf-8"?>
<comments xmlns="http://schemas.openxmlformats.org/spreadsheetml/2006/main">
  <authors>
    <author>HP-HP</author>
    <author/>
    <author>Ivo Mráz</author>
  </authors>
  <commentList>
    <comment ref="E5" authorId="0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B15" authorId="1">
      <text>
        <r>
          <rPr>
            <b/>
            <sz val="9"/>
            <color indexed="8"/>
            <rFont val="Tahoma"/>
            <family val="2"/>
            <charset val="238"/>
          </rPr>
          <t>bez korekce</t>
        </r>
      </text>
    </comment>
    <comment ref="C15" authorId="2">
      <text>
        <r>
          <rPr>
            <b/>
            <sz val="9"/>
            <color indexed="81"/>
            <rFont val="Tahoma"/>
            <family val="2"/>
            <charset val="238"/>
          </rPr>
          <t>po zaokrouhlení rozpis pro vyúčtování vedle</t>
        </r>
      </text>
    </comment>
  </commentList>
</comments>
</file>

<file path=xl/sharedStrings.xml><?xml version="1.0" encoding="utf-8"?>
<sst xmlns="http://schemas.openxmlformats.org/spreadsheetml/2006/main" count="1317" uniqueCount="385">
  <si>
    <t>voda</t>
  </si>
  <si>
    <t>teplo</t>
  </si>
  <si>
    <t xml:space="preserve">byt č. </t>
  </si>
  <si>
    <t>prosinec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</si>
  <si>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</si>
  <si>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</si>
  <si>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</si>
  <si>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</si>
  <si>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</si>
  <si>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</si>
  <si>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</si>
  <si>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</si>
  <si>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</si>
  <si>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</si>
  <si>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</si>
  <si>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kalorimetr č.    SN 34582391</t>
  </si>
  <si>
    <t>kalorimetr č.    SN 34582401</t>
  </si>
  <si>
    <t>kalorimetr č.    SN 34582385</t>
  </si>
  <si>
    <t>kalorimetr č.    SN 34582414</t>
  </si>
  <si>
    <t>kalorimetr č.    SN 34582396</t>
  </si>
  <si>
    <t>kalorimetr č.    SN 34582416</t>
  </si>
  <si>
    <t>kalorimetr č.    SN 34582423</t>
  </si>
  <si>
    <t>kalorimetr č.    SN 34582410</t>
  </si>
  <si>
    <t>kalorimetr č.    SN 34582408</t>
  </si>
  <si>
    <t>kalorimetr č.    SN 34582413</t>
  </si>
  <si>
    <t>spol.spotř.</t>
  </si>
  <si>
    <t>elektroměr č.        18972503</t>
  </si>
  <si>
    <t>patní kalorimetr č./MWh</t>
  </si>
  <si>
    <t>patní kalorimetr č./kub.m</t>
  </si>
  <si>
    <t>Nové</t>
  </si>
  <si>
    <t>číslování</t>
  </si>
  <si>
    <t>kalorimetr č.    SN 34582402</t>
  </si>
  <si>
    <t>2 a 3</t>
  </si>
  <si>
    <t>kalorimetr č.    SN 34582400</t>
  </si>
  <si>
    <t>5 a 6</t>
  </si>
  <si>
    <t>kalorimetr č.    SN 34582398</t>
  </si>
  <si>
    <t>kalorimetr č.    SN 34582419</t>
  </si>
  <si>
    <t>8 a 9</t>
  </si>
  <si>
    <t>kalorimetr č.    SN 34582384</t>
  </si>
  <si>
    <t>11 a 15</t>
  </si>
  <si>
    <t>kalorimetr č.    SN 34582397</t>
  </si>
  <si>
    <t>kalorimetr č.    SN 34582417</t>
  </si>
  <si>
    <t>12 a 13</t>
  </si>
  <si>
    <t>kalorimetr č.    SN 34582392</t>
  </si>
  <si>
    <t>kalorimetr č.    SN 34582418</t>
  </si>
  <si>
    <t>kalorimetr č.    SN 34582411</t>
  </si>
  <si>
    <t>patní kalorimetr č. /MWh</t>
  </si>
  <si>
    <t>VODOMĚRY TEPLÁ VODA</t>
  </si>
  <si>
    <t>kalorimetr č.    SN 34582388</t>
  </si>
  <si>
    <t>kalorimetr č.    SN 34582394</t>
  </si>
  <si>
    <t>kalorimetr č.    SN 34582389</t>
  </si>
  <si>
    <t>kalorimetr č.    SN 34582395</t>
  </si>
  <si>
    <t>kalorimetr č.    SN 34582393</t>
  </si>
  <si>
    <t>kalorimetr č.    SN 34582399</t>
  </si>
  <si>
    <t>kalorimetr č.    SN 34582404</t>
  </si>
  <si>
    <t>kalorimetr č.    SN 34582406</t>
  </si>
  <si>
    <t>kalorimetr č.    SN 34582405</t>
  </si>
  <si>
    <t>kalorimetr č.    SN 34582407</t>
  </si>
  <si>
    <t>Voda</t>
  </si>
  <si>
    <t>Teplo</t>
  </si>
  <si>
    <t>Elektr</t>
  </si>
  <si>
    <t>kalorimetr č.    SN 34582390</t>
  </si>
  <si>
    <t>kalorimetr č.    SN 34582422</t>
  </si>
  <si>
    <t>kalorimetr č.    SN 34582386</t>
  </si>
  <si>
    <t>kalorimetr č.    SN 34582421</t>
  </si>
  <si>
    <t>kalorimetr č.    SN 34582387</t>
  </si>
  <si>
    <t>kalorimetr č.    SN 34582420</t>
  </si>
  <si>
    <t>kalorimetr č.    SN 34582412</t>
  </si>
  <si>
    <t>kalorimetr č.    SN 34582403</t>
  </si>
  <si>
    <t>kalorimetr č.    SN 34582409</t>
  </si>
  <si>
    <t>kalorimetr č.    SN 34582415</t>
  </si>
  <si>
    <t>patní kalorimetr č./ MWh</t>
  </si>
  <si>
    <t>patní kalorimetr č. /kub.m</t>
  </si>
  <si>
    <t>kalorimetr č.    SN 34672835</t>
  </si>
  <si>
    <t>kalorimetr č.    SN 34672801</t>
  </si>
  <si>
    <t>kalorimetr č.    SN 34672802</t>
  </si>
  <si>
    <t>kalorimetr č.    SN 34672814</t>
  </si>
  <si>
    <t>kalorimetr č.    SN 34672815</t>
  </si>
  <si>
    <t>kalorimetr č.    SN 34672806</t>
  </si>
  <si>
    <t>kalorimetr č.    SN 34672809</t>
  </si>
  <si>
    <t>kalorimetr č.    SN 34672804</t>
  </si>
  <si>
    <t>kalorimetr č.    SN 34672829</t>
  </si>
  <si>
    <t>elektroměr č.        72370871</t>
  </si>
  <si>
    <t>patní kalorimetr č.  / kub.m</t>
  </si>
  <si>
    <t>kalorimetr č.    SN 34672816</t>
  </si>
  <si>
    <t>kalorimetr č.    SN 34672822</t>
  </si>
  <si>
    <t>kalorimetr č.    SN 34672827</t>
  </si>
  <si>
    <t>kalorimetr č.    SN 34672837</t>
  </si>
  <si>
    <t>kalorimetr č.    SN 34672834</t>
  </si>
  <si>
    <t>kalorimetr č.    SN 34672819</t>
  </si>
  <si>
    <t>kalorimetr č.    SN 34672826</t>
  </si>
  <si>
    <t>kalorimetr č.    SN 34672818</t>
  </si>
  <si>
    <t>kalorimetr č.    SN 34672812</t>
  </si>
  <si>
    <t>kalorimetr č.    SN 34672823</t>
  </si>
  <si>
    <t>elektroměr č.        72370870</t>
  </si>
  <si>
    <t>kalorimetr č.    SN 34672813</t>
  </si>
  <si>
    <t>kalorimetr č.    SN 34672830</t>
  </si>
  <si>
    <t>kalorimetr č.    SN 34672808</t>
  </si>
  <si>
    <t>kalorimetr č.    SN 34672836</t>
  </si>
  <si>
    <t>kalorimetr č.    SN 34672800</t>
  </si>
  <si>
    <t>kalorimetr č.    SN 34672833</t>
  </si>
  <si>
    <t>kalorimetr č.    SN 34672817</t>
  </si>
  <si>
    <t>kalorimetr č.    SN 34672810</t>
  </si>
  <si>
    <t>kalorimetr č.    SN 34672824</t>
  </si>
  <si>
    <t>kalorimetr č.    SN 34672832</t>
  </si>
  <si>
    <t>elektroměr č.         72371793</t>
  </si>
  <si>
    <t>kalorimetr č.    SN 34672828</t>
  </si>
  <si>
    <t>kalorimetr č.    SN 34672811</t>
  </si>
  <si>
    <t>kalorimetr č.    SN 34672803</t>
  </si>
  <si>
    <t>kalorimetr č.    SN 34672807</t>
  </si>
  <si>
    <t>kalorimetr č.    SN 34672838</t>
  </si>
  <si>
    <t>kalorimetr č.    SN 34672805</t>
  </si>
  <si>
    <t>kalorimetr č.    SN 34672821</t>
  </si>
  <si>
    <t>kalorimetr č.    SN 34672820</t>
  </si>
  <si>
    <t>kalorimetr č.    SN 34672831</t>
  </si>
  <si>
    <t>kalorimetr č.    SN 34672825</t>
  </si>
  <si>
    <t>elektroměr č.        72370868</t>
  </si>
  <si>
    <t>Sumář - spotřeba leden</t>
  </si>
  <si>
    <t>Voda - m3</t>
  </si>
  <si>
    <t>Náměry bytových vodoměrů</t>
  </si>
  <si>
    <t>Patní vodoměry</t>
  </si>
  <si>
    <t>Součet patních vodoměrů</t>
  </si>
  <si>
    <t>fakturační vodoměr</t>
  </si>
  <si>
    <t>Teplo - GJ</t>
  </si>
  <si>
    <t>Náměry bytových kalorimetrů</t>
  </si>
  <si>
    <t>Fakturační kalorimetry</t>
  </si>
  <si>
    <t>Elektřina - kWh</t>
  </si>
  <si>
    <t>Elektroměr dům</t>
  </si>
  <si>
    <t>Elektroměr areál</t>
  </si>
  <si>
    <t>Vodoměr areál</t>
  </si>
  <si>
    <t>Sumář - spotřeba únor</t>
  </si>
  <si>
    <t xml:space="preserve">Elektřina - </t>
  </si>
  <si>
    <t>Sumář - spotřeba březen</t>
  </si>
  <si>
    <t>Sumář - spotřeba duben</t>
  </si>
  <si>
    <t>Sumář - spotřeba květen</t>
  </si>
  <si>
    <t>Sumář - spotřeba červen</t>
  </si>
  <si>
    <t>Sumář - spotřeba červenec</t>
  </si>
  <si>
    <t>Sumář - spotřeba srpen</t>
  </si>
  <si>
    <t>Sumář - spotřeba září</t>
  </si>
  <si>
    <t>Sumář - spotřeba říjen</t>
  </si>
  <si>
    <t>Sumář - spotřeba listopad</t>
  </si>
  <si>
    <t>Sumář - spotřeba prosinec</t>
  </si>
  <si>
    <t>Přehled rozdílů a ztrát za teplo v GJ</t>
  </si>
  <si>
    <t>odečet</t>
  </si>
  <si>
    <t>rozdíl [GJ]</t>
  </si>
  <si>
    <t>rozdíl [%]</t>
  </si>
  <si>
    <t>součty kal.</t>
  </si>
  <si>
    <t>faktur.kal.</t>
  </si>
  <si>
    <t>CELKEM ROZDÍL v GJ</t>
  </si>
  <si>
    <t>CELKEM ROZDÍL v %</t>
  </si>
  <si>
    <t>Sumář - spotřeba rok</t>
  </si>
  <si>
    <t>z toho do</t>
  </si>
  <si>
    <t>pro byty 1853</t>
  </si>
  <si>
    <t>se solí</t>
  </si>
  <si>
    <t>vodné + stočné</t>
  </si>
  <si>
    <t>vyúčtování</t>
  </si>
  <si>
    <t>pro zahradu</t>
  </si>
  <si>
    <t>bez soli</t>
  </si>
  <si>
    <t>vodné</t>
  </si>
  <si>
    <t>pro domy 1850 - 1853</t>
  </si>
  <si>
    <t>2B</t>
  </si>
  <si>
    <t>3B</t>
  </si>
  <si>
    <t>5B</t>
  </si>
  <si>
    <t>6B</t>
  </si>
  <si>
    <t>8B</t>
  </si>
  <si>
    <t>GJ</t>
  </si>
  <si>
    <t>m3</t>
  </si>
  <si>
    <t>KWh</t>
  </si>
  <si>
    <t>elektr</t>
  </si>
  <si>
    <t>Přepočet spotřeb</t>
  </si>
  <si>
    <t>Brantovi</t>
  </si>
  <si>
    <t xml:space="preserve">Hřebečkovi </t>
  </si>
  <si>
    <t>Morongovi</t>
  </si>
  <si>
    <t>SVJ 1850 - 1857</t>
  </si>
  <si>
    <t>Celkem zahradní fakturační vodoměr</t>
  </si>
  <si>
    <t xml:space="preserve">Rozdíl </t>
  </si>
  <si>
    <t>Spotřeby dle zahradních poměr.vodoměrů</t>
  </si>
  <si>
    <t>Celkem zahrada dle poměr.vodoměrů</t>
  </si>
  <si>
    <t>rozdíl</t>
  </si>
  <si>
    <t>kalorimetr č.    SN 69067316</t>
  </si>
  <si>
    <t>Odběrné místo</t>
  </si>
  <si>
    <t>počátek</t>
  </si>
  <si>
    <t>konec</t>
  </si>
  <si>
    <t>Poznámka:</t>
  </si>
  <si>
    <r>
      <t>m</t>
    </r>
    <r>
      <rPr>
        <vertAlign val="superscript"/>
        <sz val="11"/>
        <color indexed="8"/>
        <rFont val="Calibri"/>
        <family val="2"/>
        <charset val="238"/>
      </rPr>
      <t>3</t>
    </r>
  </si>
  <si>
    <r>
      <t>MJ/m</t>
    </r>
    <r>
      <rPr>
        <vertAlign val="superscript"/>
        <sz val="11"/>
        <color indexed="8"/>
        <rFont val="Calibri"/>
        <family val="2"/>
        <charset val="238"/>
      </rPr>
      <t>3</t>
    </r>
  </si>
  <si>
    <t>Pro fakturaci</t>
  </si>
  <si>
    <t>Hiršalová</t>
  </si>
  <si>
    <t>Lazarová</t>
  </si>
  <si>
    <t>Bodnarovi</t>
  </si>
  <si>
    <t>Vuová</t>
  </si>
  <si>
    <t>Písaříkovi</t>
  </si>
  <si>
    <t>vodoměr č.          190834092</t>
  </si>
  <si>
    <t>vodoměr č.          190834090</t>
  </si>
  <si>
    <t>vodoměr č.          190834097</t>
  </si>
  <si>
    <t>vodoměr č.          190834098</t>
  </si>
  <si>
    <t>vodoměr č.          190834095</t>
  </si>
  <si>
    <t>vodoměr č.          190834099</t>
  </si>
  <si>
    <t>vodoměr č.          190834102</t>
  </si>
  <si>
    <t>vodoměr č.          190834109</t>
  </si>
  <si>
    <t>vodoměr č.          191519263</t>
  </si>
  <si>
    <t>patní vodoměr č. 190976787</t>
  </si>
  <si>
    <t>fakturační vodoměr č.         63796</t>
  </si>
  <si>
    <t>vodoměr č.          190834116</t>
  </si>
  <si>
    <t>vodoměr  SV č.   190834120</t>
  </si>
  <si>
    <t>vodoměr  SV č.   190834093</t>
  </si>
  <si>
    <t>vodoměr č.          190834126</t>
  </si>
  <si>
    <t>vodoměr  SV č.   190834122</t>
  </si>
  <si>
    <t>vodoměr č.          190834119</t>
  </si>
  <si>
    <t>vodoměr  SV č.   190834112</t>
  </si>
  <si>
    <t>vodoměr č.          190834124</t>
  </si>
  <si>
    <t>vodoměr č.          190834091</t>
  </si>
  <si>
    <t>patní vodoměr č. 190976791</t>
  </si>
  <si>
    <t>vodoměr  SV č.     190834107</t>
  </si>
  <si>
    <t>vodoměr  SV č.     190834094</t>
  </si>
  <si>
    <t>vodoměr  SV č.     190834128</t>
  </si>
  <si>
    <t>vodoměr  TUV č.  190049448</t>
  </si>
  <si>
    <t>vodoměr  TUV č.  190049255</t>
  </si>
  <si>
    <t>vodoměr  TUV č.  190049234</t>
  </si>
  <si>
    <t>vodoměr  TUV č.  190049258</t>
  </si>
  <si>
    <t>vodoměr  TUV č.  190049444</t>
  </si>
  <si>
    <t>vodoměr  TUV č.  190049253</t>
  </si>
  <si>
    <t>vodoměr č.          190834115</t>
  </si>
  <si>
    <t>vodoměr č.          190834121</t>
  </si>
  <si>
    <t>vodoměr č.          190834096</t>
  </si>
  <si>
    <t>vodoměr č.          190834110</t>
  </si>
  <si>
    <t>vodoměr č.          190834127</t>
  </si>
  <si>
    <t>vodoměr č.          190834123</t>
  </si>
  <si>
    <t>vodoměr č.          190834118</t>
  </si>
  <si>
    <t>vodoměr č.          190834113</t>
  </si>
  <si>
    <t>vodoměr č.          190834129</t>
  </si>
  <si>
    <t>patní vodoměr č. 190976792</t>
  </si>
  <si>
    <t>vodoměr č.          190834100</t>
  </si>
  <si>
    <t>vodoměr č.          190906789</t>
  </si>
  <si>
    <t>vodoměr č.          190906786</t>
  </si>
  <si>
    <t>vodoměr č.          190834105</t>
  </si>
  <si>
    <t>vodoměr č.          190906792</t>
  </si>
  <si>
    <t>vodoměr č.          190906795</t>
  </si>
  <si>
    <t>vodoměr č.          190834103</t>
  </si>
  <si>
    <t>vodoměr č.          190834101</t>
  </si>
  <si>
    <t>vodoměr č.          190834108</t>
  </si>
  <si>
    <t>vodoměr č.          190906953</t>
  </si>
  <si>
    <t>patní vodoměr č. 190976789</t>
  </si>
  <si>
    <t>vodoměr č.          190906992</t>
  </si>
  <si>
    <t>vodoměr č.          190906991</t>
  </si>
  <si>
    <t>vodoměr č.          190906988</t>
  </si>
  <si>
    <t xml:space="preserve">vodoměr č.          190906987   </t>
  </si>
  <si>
    <t>vodoměr č.          190907002</t>
  </si>
  <si>
    <t>vodoměr č.          190906994</t>
  </si>
  <si>
    <t>vodoměr č.          190906986</t>
  </si>
  <si>
    <t>vodoměr č.          191519281</t>
  </si>
  <si>
    <t>vodoměr č.          190906990</t>
  </si>
  <si>
    <t>vodoměr č.          190906995</t>
  </si>
  <si>
    <t>patní vodoměr č. 190976793</t>
  </si>
  <si>
    <t>vodoměr č.          191519259</t>
  </si>
  <si>
    <t>vodoměr č.          191519283</t>
  </si>
  <si>
    <t>vodoměr č.          190907001</t>
  </si>
  <si>
    <t>vodoměr č.          190907005</t>
  </si>
  <si>
    <t>vodoměr č.          190907004</t>
  </si>
  <si>
    <t>vodoměr č.          190045692</t>
  </si>
  <si>
    <t>vodoměr č.          190906998</t>
  </si>
  <si>
    <t>vodoměr č.          191519269</t>
  </si>
  <si>
    <t>vodoměr č.          191519268</t>
  </si>
  <si>
    <t>vodoměr č.          190906996</t>
  </si>
  <si>
    <t>patní vodoměr č.  190544822</t>
  </si>
  <si>
    <t>vodoměr č.          190907008</t>
  </si>
  <si>
    <t>vodoměr č.          191519260</t>
  </si>
  <si>
    <t>vodoměr č.          190907023</t>
  </si>
  <si>
    <t>vodoměr č.         190907015</t>
  </si>
  <si>
    <t>vodoměr č.          190907020</t>
  </si>
  <si>
    <t>vodoměr č.          190907016</t>
  </si>
  <si>
    <t>vodoměr č.          191519256</t>
  </si>
  <si>
    <t>vodoměr č.          190907024</t>
  </si>
  <si>
    <t>vodoměr č.          191519266</t>
  </si>
  <si>
    <t>vodoměr č.          190907019</t>
  </si>
  <si>
    <t>patní vodoměr č. 190976786</t>
  </si>
  <si>
    <t>vodoměr č.          190907022</t>
  </si>
  <si>
    <t>vodoměr č.          191519284</t>
  </si>
  <si>
    <t>vodoměr č.          191519282</t>
  </si>
  <si>
    <t>vodoměr č.          191519276</t>
  </si>
  <si>
    <t>vodoměr č.          191519285</t>
  </si>
  <si>
    <t>vodoměr č.          191519267</t>
  </si>
  <si>
    <t>vodoměr č.          190907014</t>
  </si>
  <si>
    <t>vodoměr č.          190907021</t>
  </si>
  <si>
    <t>vodoměr č.          190907025</t>
  </si>
  <si>
    <t>patní vodoměr č. 190976785</t>
  </si>
  <si>
    <t>byt</t>
  </si>
  <si>
    <t>spotřeby po měsících</t>
  </si>
  <si>
    <t>Vytipování vadných vodoměrů</t>
  </si>
  <si>
    <t>průměr</t>
  </si>
  <si>
    <t>xx</t>
  </si>
  <si>
    <t>TV</t>
  </si>
  <si>
    <t>kWh</t>
  </si>
  <si>
    <t>studená voda</t>
  </si>
  <si>
    <t>teplá voda</t>
  </si>
  <si>
    <t>SROVNÁVACÍ TABULKA ZBYTKU DĚLENÝCH BYTŮ - spotřeby SV a TV</t>
  </si>
  <si>
    <t>Vodom.</t>
  </si>
  <si>
    <t>SV</t>
  </si>
  <si>
    <t>loňský</t>
  </si>
  <si>
    <t>vodoměr areál  č.200076532</t>
  </si>
  <si>
    <t>starý</t>
  </si>
  <si>
    <t>nový</t>
  </si>
  <si>
    <t>6A - SV</t>
  </si>
  <si>
    <t>2B - SV</t>
  </si>
  <si>
    <t>2B - TV</t>
  </si>
  <si>
    <t>2A - TV</t>
  </si>
  <si>
    <t>5B - TV</t>
  </si>
  <si>
    <t>5A - TV</t>
  </si>
  <si>
    <t>6B - SV</t>
  </si>
  <si>
    <t>Reklamace - výměna</t>
  </si>
  <si>
    <t>Zahrada</t>
  </si>
  <si>
    <t>Spotřeby fakturčních vodoměrů 1 a 2</t>
  </si>
  <si>
    <t xml:space="preserve">  fakturačních vodoměrů 1 a 2</t>
  </si>
  <si>
    <t>Porovnání spotřeb vody na patách domů,</t>
  </si>
  <si>
    <t>a    zahrady</t>
  </si>
  <si>
    <t>vodoměr SV  č.      11717149</t>
  </si>
  <si>
    <t>vodoměr TV  č.      11683196</t>
  </si>
  <si>
    <t>Výměna elektroměru</t>
  </si>
  <si>
    <t>Výměna elektroměru AREÁL</t>
  </si>
  <si>
    <t>Výměna elektroměru DŮM</t>
  </si>
  <si>
    <t>Výměna kalorimetru pata</t>
  </si>
  <si>
    <t>MWh</t>
  </si>
  <si>
    <t>výr.č.</t>
  </si>
  <si>
    <t>demontáž</t>
  </si>
  <si>
    <t>montáž</t>
  </si>
  <si>
    <t>Rozdíly v předávání tepla na patním měřidle v jednotlivých domech po měsících v MJ/m3 (GJ*1000/m3)</t>
  </si>
  <si>
    <t>Faktur.1</t>
  </si>
  <si>
    <t>Faktur.2</t>
  </si>
  <si>
    <t>Celkem</t>
  </si>
  <si>
    <t>Výměna faktur.vodoměru    výr.č.</t>
  </si>
  <si>
    <t>Šmejcká</t>
  </si>
  <si>
    <t>Chvapil</t>
  </si>
  <si>
    <t>Němec</t>
  </si>
  <si>
    <t>Smola</t>
  </si>
  <si>
    <t>Bendlová</t>
  </si>
  <si>
    <t>z toho do vyúčtování</t>
  </si>
  <si>
    <t>1851/1</t>
  </si>
  <si>
    <t>1851/2</t>
  </si>
  <si>
    <t>1853/1</t>
  </si>
  <si>
    <t>1853/2</t>
  </si>
  <si>
    <t>1853/3</t>
  </si>
  <si>
    <t>1854/1</t>
  </si>
  <si>
    <t>1854/2</t>
  </si>
  <si>
    <t>1855/1</t>
  </si>
  <si>
    <t>1855/2</t>
  </si>
  <si>
    <t>1856/1</t>
  </si>
  <si>
    <t>1856/2</t>
  </si>
  <si>
    <t>1857/1</t>
  </si>
  <si>
    <t>1857/2</t>
  </si>
  <si>
    <t>1857/3</t>
  </si>
  <si>
    <t>Bez stočného</t>
  </si>
  <si>
    <t>Zahrada hlavní vod. 1857</t>
  </si>
  <si>
    <t>Kontrola:</t>
  </si>
  <si>
    <t>zaokrouhlení voda areál</t>
  </si>
  <si>
    <t>Odečet vodárny 30.11.2020</t>
  </si>
  <si>
    <t>vodoměr č.          200015742</t>
  </si>
  <si>
    <t>vodoměr  SV č.  200015757</t>
  </si>
  <si>
    <t>vodoměr  TUV č.  200105142</t>
  </si>
  <si>
    <t>vodoměr  SV č.     200015745</t>
  </si>
  <si>
    <t>vodoměr  TUV č.  200105133</t>
  </si>
  <si>
    <t>vodoměr  TUV č.  200105131</t>
  </si>
  <si>
    <t>vodoměr  TUV č.  200105152</t>
  </si>
  <si>
    <t xml:space="preserve">vodoměr  SV č.     200015744 </t>
  </si>
  <si>
    <t>elektroměr č.    2080200096</t>
  </si>
  <si>
    <t>vodoměr č.          200015760</t>
  </si>
  <si>
    <t>elektroměr č.      2080200097</t>
  </si>
  <si>
    <t>elektroměr č.2080200105 dům</t>
  </si>
  <si>
    <t>elektroměr č. 2080200100 VO</t>
  </si>
  <si>
    <t>Fakturační vodoměr:      42012114941</t>
  </si>
  <si>
    <t>patní kalorimetr č. 70465263/ GJ</t>
  </si>
  <si>
    <t>patní kalorimetr č. 70465266/ GJ</t>
  </si>
  <si>
    <t>patní kalorimetr č.70465264/GJ</t>
  </si>
  <si>
    <t>patní kalorimetr č.70465265/GJ</t>
  </si>
  <si>
    <t>vodoměr č.          200015758</t>
  </si>
  <si>
    <t>Odečet vodárny 30.11.2021</t>
  </si>
  <si>
    <t>Dohad 1.12.-31.12.2021</t>
  </si>
  <si>
    <t>Dohad 1.12.-31.12.2020</t>
  </si>
  <si>
    <t>Zahrada hlavní vod. 1851</t>
  </si>
  <si>
    <t>1856/3</t>
  </si>
  <si>
    <t>Baťkovi</t>
  </si>
  <si>
    <t>Kontrola</t>
  </si>
  <si>
    <t>byty 1853 bez zahrady</t>
  </si>
  <si>
    <t>zahrada</t>
  </si>
  <si>
    <t>byty</t>
  </si>
  <si>
    <t>součet pat bez zahrady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</si>
</sst>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%"/>
    <numFmt numFmtId="167" formatCode="#,##0.0"/>
    <numFmt numFmtId="168" formatCode="#,##0.000"/>
  </numFmts>
  <fonts count="35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48"/>
      <name val="Calibri"/>
      <family val="2"/>
      <charset val="238"/>
    </font>
    <font>
      <b/>
      <sz val="11"/>
      <color indexed="10"/>
      <name val="Calibri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9"/>
      <color indexed="8"/>
      <name val="Tahoma"/>
      <family val="2"/>
      <charset val="238"/>
    </font>
    <font>
      <b/>
      <sz val="14"/>
      <color indexed="8"/>
      <name val="Calibri"/>
      <family val="2"/>
      <charset val="238"/>
    </font>
    <font>
      <sz val="14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1"/>
      <color indexed="53"/>
      <name val="Calibri"/>
      <family val="2"/>
      <charset val="238"/>
    </font>
    <font>
      <sz val="12"/>
      <color indexed="8"/>
      <name val="Arial"/>
      <family val="2"/>
      <charset val="238"/>
    </font>
    <font>
      <sz val="11"/>
      <name val="Calibri"/>
      <family val="2"/>
      <charset val="238"/>
    </font>
    <font>
      <b/>
      <sz val="9"/>
      <color indexed="81"/>
      <name val="Tahoma"/>
      <family val="2"/>
      <charset val="238"/>
    </font>
    <font>
      <vertAlign val="superscript"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</font>
    <font>
      <sz val="11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</font>
    <font>
      <sz val="11"/>
      <color theme="0" tint="-0.34998626667073579"/>
      <name val="Calibri"/>
      <family val="2"/>
      <charset val="238"/>
    </font>
    <font>
      <sz val="11"/>
      <color indexed="8"/>
      <name val="Arial"/>
      <family val="2"/>
      <charset val="238"/>
    </font>
    <font>
      <sz val="12"/>
      <color indexed="8"/>
      <name val="Calibri"/>
      <family val="2"/>
      <charset val="238"/>
      <scheme val="minor"/>
    </font>
    <font>
      <u/>
      <sz val="11"/>
      <color indexed="8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sz val="9"/>
      <color rgb="FF00B050"/>
      <name val="Arial"/>
      <family val="2"/>
      <charset val="238"/>
    </font>
    <font>
      <sz val="11"/>
      <color rgb="FF00B050"/>
      <name val="Calibri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27"/>
        <bgColor indexed="41"/>
      </patternFill>
    </fill>
    <fill>
      <patternFill patternType="solid">
        <fgColor indexed="11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34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5" xfId="0" applyFon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0" xfId="0" applyNumberFormat="1"/>
    <xf numFmtId="0" fontId="7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" fontId="0" fillId="0" borderId="8" xfId="0" applyNumberFormat="1" applyBorder="1"/>
    <xf numFmtId="0" fontId="7" fillId="0" borderId="7" xfId="0" applyFont="1" applyFill="1" applyBorder="1"/>
    <xf numFmtId="1" fontId="0" fillId="0" borderId="8" xfId="0" applyNumberFormat="1" applyFill="1" applyBorder="1"/>
    <xf numFmtId="1" fontId="0" fillId="0" borderId="0" xfId="0" applyNumberFormat="1"/>
    <xf numFmtId="0" fontId="7" fillId="0" borderId="8" xfId="0" applyFont="1" applyBorder="1"/>
    <xf numFmtId="165" fontId="0" fillId="0" borderId="8" xfId="0" applyNumberFormat="1" applyBorder="1"/>
    <xf numFmtId="2" fontId="0" fillId="0" borderId="8" xfId="0" applyNumberFormat="1" applyBorder="1"/>
    <xf numFmtId="2" fontId="0" fillId="0" borderId="8" xfId="0" applyNumberFormat="1" applyFill="1" applyBorder="1"/>
    <xf numFmtId="0" fontId="7" fillId="0" borderId="12" xfId="0" applyFont="1" applyBorder="1"/>
    <xf numFmtId="1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7" fillId="0" borderId="0" xfId="0" applyFont="1" applyFill="1" applyBorder="1"/>
    <xf numFmtId="0" fontId="8" fillId="0" borderId="0" xfId="0" applyFont="1"/>
    <xf numFmtId="0" fontId="0" fillId="0" borderId="0" xfId="0" applyFill="1"/>
    <xf numFmtId="0" fontId="7" fillId="0" borderId="17" xfId="0" applyFont="1" applyBorder="1"/>
    <xf numFmtId="0" fontId="7" fillId="0" borderId="18" xfId="0" applyFont="1" applyBorder="1"/>
    <xf numFmtId="3" fontId="0" fillId="0" borderId="0" xfId="0" applyNumberFormat="1"/>
    <xf numFmtId="0" fontId="7" fillId="0" borderId="19" xfId="0" applyFont="1" applyBorder="1"/>
    <xf numFmtId="164" fontId="0" fillId="0" borderId="8" xfId="0" applyNumberFormat="1" applyFill="1" applyBorder="1"/>
    <xf numFmtId="1" fontId="0" fillId="0" borderId="3" xfId="0" applyNumberFormat="1" applyBorder="1"/>
    <xf numFmtId="0" fontId="7" fillId="0" borderId="2" xfId="0" applyFont="1" applyFill="1" applyBorder="1"/>
    <xf numFmtId="1" fontId="0" fillId="0" borderId="12" xfId="0" applyNumberFormat="1" applyFill="1" applyBorder="1"/>
    <xf numFmtId="0" fontId="0" fillId="0" borderId="10" xfId="0" applyBorder="1"/>
    <xf numFmtId="165" fontId="0" fillId="0" borderId="0" xfId="0" applyNumberForma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20" xfId="0" applyFont="1" applyBorder="1"/>
    <xf numFmtId="165" fontId="10" fillId="0" borderId="20" xfId="0" applyNumberFormat="1" applyFont="1" applyBorder="1"/>
    <xf numFmtId="164" fontId="10" fillId="0" borderId="20" xfId="0" applyNumberFormat="1" applyFont="1" applyBorder="1"/>
    <xf numFmtId="1" fontId="10" fillId="0" borderId="20" xfId="0" applyNumberFormat="1" applyFont="1" applyBorder="1"/>
    <xf numFmtId="0" fontId="10" fillId="0" borderId="0" xfId="0" applyFont="1" applyBorder="1"/>
    <xf numFmtId="1" fontId="10" fillId="0" borderId="0" xfId="0" applyNumberFormat="1" applyFont="1" applyBorder="1"/>
    <xf numFmtId="164" fontId="10" fillId="0" borderId="0" xfId="0" applyNumberFormat="1" applyFont="1" applyBorder="1"/>
    <xf numFmtId="0" fontId="10" fillId="0" borderId="21" xfId="0" applyFont="1" applyBorder="1"/>
    <xf numFmtId="2" fontId="10" fillId="0" borderId="20" xfId="0" applyNumberFormat="1" applyFont="1" applyBorder="1"/>
    <xf numFmtId="1" fontId="10" fillId="0" borderId="20" xfId="0" applyNumberFormat="1" applyFont="1" applyFill="1" applyBorder="1"/>
    <xf numFmtId="0" fontId="11" fillId="0" borderId="0" xfId="0" applyFont="1"/>
    <xf numFmtId="0" fontId="10" fillId="0" borderId="20" xfId="0" applyFont="1" applyFill="1" applyBorder="1"/>
    <xf numFmtId="164" fontId="10" fillId="0" borderId="20" xfId="0" applyNumberFormat="1" applyFont="1" applyFill="1" applyBorder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20" xfId="0" applyFont="1" applyBorder="1" applyAlignment="1">
      <alignment vertical="center"/>
    </xf>
    <xf numFmtId="2" fontId="0" fillId="0" borderId="20" xfId="0" applyNumberFormat="1" applyBorder="1" applyAlignment="1">
      <alignment vertical="center"/>
    </xf>
    <xf numFmtId="164" fontId="0" fillId="0" borderId="20" xfId="0" applyNumberFormat="1" applyBorder="1" applyAlignment="1">
      <alignment vertical="center"/>
    </xf>
    <xf numFmtId="0" fontId="0" fillId="0" borderId="20" xfId="0" applyNumberFormat="1" applyBorder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2" fontId="0" fillId="0" borderId="0" xfId="0" applyNumberFormat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11" fillId="0" borderId="0" xfId="0" applyFont="1" applyBorder="1" applyAlignment="1">
      <alignment horizontal="center"/>
    </xf>
    <xf numFmtId="0" fontId="10" fillId="0" borderId="0" xfId="0" applyFont="1" applyFill="1" applyBorder="1"/>
    <xf numFmtId="164" fontId="17" fillId="3" borderId="0" xfId="0" applyNumberFormat="1" applyFont="1" applyFill="1" applyBorder="1"/>
    <xf numFmtId="164" fontId="10" fillId="3" borderId="20" xfId="0" applyNumberFormat="1" applyFont="1" applyFill="1" applyBorder="1"/>
    <xf numFmtId="0" fontId="17" fillId="3" borderId="20" xfId="0" applyFont="1" applyFill="1" applyBorder="1"/>
    <xf numFmtId="0" fontId="17" fillId="0" borderId="0" xfId="0" applyFont="1"/>
    <xf numFmtId="0" fontId="10" fillId="0" borderId="0" xfId="0" applyFont="1" applyBorder="1" applyAlignment="1">
      <alignment horizontal="center"/>
    </xf>
    <xf numFmtId="0" fontId="17" fillId="0" borderId="24" xfId="0" applyFont="1" applyBorder="1"/>
    <xf numFmtId="164" fontId="17" fillId="4" borderId="0" xfId="0" applyNumberFormat="1" applyFont="1" applyFill="1" applyBorder="1"/>
    <xf numFmtId="164" fontId="10" fillId="4" borderId="20" xfId="0" applyNumberFormat="1" applyFont="1" applyFill="1" applyBorder="1"/>
    <xf numFmtId="0" fontId="17" fillId="4" borderId="20" xfId="0" applyFont="1" applyFill="1" applyBorder="1"/>
    <xf numFmtId="164" fontId="17" fillId="2" borderId="0" xfId="0" applyNumberFormat="1" applyFont="1" applyFill="1" applyBorder="1"/>
    <xf numFmtId="164" fontId="10" fillId="2" borderId="0" xfId="0" applyNumberFormat="1" applyFont="1" applyFill="1" applyBorder="1"/>
    <xf numFmtId="0" fontId="0" fillId="0" borderId="15" xfId="0" applyFill="1" applyBorder="1"/>
    <xf numFmtId="0" fontId="21" fillId="0" borderId="0" xfId="1" applyFill="1"/>
    <xf numFmtId="0" fontId="21" fillId="0" borderId="0" xfId="1" applyFill="1" applyAlignment="1">
      <alignment horizontal="right"/>
    </xf>
    <xf numFmtId="164" fontId="18" fillId="0" borderId="1" xfId="0" applyNumberFormat="1" applyFont="1" applyBorder="1"/>
    <xf numFmtId="164" fontId="18" fillId="0" borderId="8" xfId="0" applyNumberFormat="1" applyFont="1" applyBorder="1"/>
    <xf numFmtId="1" fontId="18" fillId="0" borderId="8" xfId="0" applyNumberFormat="1" applyFont="1" applyBorder="1"/>
    <xf numFmtId="165" fontId="18" fillId="0" borderId="8" xfId="0" applyNumberFormat="1" applyFont="1" applyBorder="1"/>
    <xf numFmtId="2" fontId="18" fillId="0" borderId="8" xfId="0" applyNumberFormat="1" applyFont="1" applyBorder="1"/>
    <xf numFmtId="1" fontId="18" fillId="0" borderId="12" xfId="0" applyNumberFormat="1" applyFont="1" applyBorder="1"/>
    <xf numFmtId="0" fontId="18" fillId="0" borderId="15" xfId="0" applyFont="1" applyBorder="1"/>
    <xf numFmtId="164" fontId="18" fillId="0" borderId="1" xfId="0" applyNumberFormat="1" applyFont="1" applyFill="1" applyBorder="1"/>
    <xf numFmtId="0" fontId="0" fillId="0" borderId="20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64" fontId="18" fillId="0" borderId="8" xfId="0" applyNumberFormat="1" applyFont="1" applyFill="1" applyBorder="1"/>
    <xf numFmtId="1" fontId="18" fillId="0" borderId="8" xfId="0" applyNumberFormat="1" applyFont="1" applyFill="1" applyBorder="1"/>
    <xf numFmtId="165" fontId="18" fillId="0" borderId="8" xfId="0" applyNumberFormat="1" applyFont="1" applyFill="1" applyBorder="1"/>
    <xf numFmtId="2" fontId="18" fillId="0" borderId="8" xfId="0" applyNumberFormat="1" applyFont="1" applyFill="1" applyBorder="1"/>
    <xf numFmtId="1" fontId="18" fillId="0" borderId="12" xfId="0" applyNumberFormat="1" applyFont="1" applyFill="1" applyBorder="1"/>
    <xf numFmtId="0" fontId="18" fillId="0" borderId="15" xfId="0" applyFont="1" applyFill="1" applyBorder="1"/>
    <xf numFmtId="164" fontId="0" fillId="0" borderId="1" xfId="0" applyNumberFormat="1" applyFill="1" applyBorder="1"/>
    <xf numFmtId="164" fontId="0" fillId="0" borderId="6" xfId="0" applyNumberFormat="1" applyFill="1" applyBorder="1"/>
    <xf numFmtId="164" fontId="0" fillId="0" borderId="9" xfId="0" applyNumberFormat="1" applyFill="1" applyBorder="1"/>
    <xf numFmtId="165" fontId="0" fillId="0" borderId="8" xfId="0" applyNumberFormat="1" applyFill="1" applyBorder="1"/>
    <xf numFmtId="164" fontId="0" fillId="0" borderId="28" xfId="0" applyNumberFormat="1" applyBorder="1"/>
    <xf numFmtId="0" fontId="21" fillId="0" borderId="0" xfId="1" applyFill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22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left" vertical="center" indent="1"/>
    </xf>
    <xf numFmtId="0" fontId="22" fillId="0" borderId="0" xfId="0" applyFont="1" applyFill="1"/>
    <xf numFmtId="0" fontId="22" fillId="0" borderId="0" xfId="0" applyFont="1"/>
    <xf numFmtId="164" fontId="22" fillId="0" borderId="0" xfId="0" applyNumberFormat="1" applyFont="1" applyFill="1"/>
    <xf numFmtId="0" fontId="22" fillId="0" borderId="0" xfId="0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164" fontId="0" fillId="0" borderId="0" xfId="0" applyNumberFormat="1" applyFill="1"/>
    <xf numFmtId="164" fontId="22" fillId="0" borderId="0" xfId="0" applyNumberFormat="1" applyFont="1" applyAlignment="1">
      <alignment vertical="center"/>
    </xf>
    <xf numFmtId="164" fontId="22" fillId="5" borderId="0" xfId="0" applyNumberFormat="1" applyFont="1" applyFill="1" applyAlignment="1">
      <alignment vertical="center"/>
    </xf>
    <xf numFmtId="0" fontId="0" fillId="0" borderId="0" xfId="0" applyFill="1" applyBorder="1" applyAlignment="1">
      <alignment horizontal="left" vertical="center" indent="1"/>
    </xf>
    <xf numFmtId="0" fontId="7" fillId="0" borderId="0" xfId="0" applyFont="1" applyBorder="1"/>
    <xf numFmtId="0" fontId="15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2" fontId="0" fillId="0" borderId="0" xfId="0" applyNumberFormat="1" applyFill="1" applyBorder="1" applyAlignment="1">
      <alignment vertical="center"/>
    </xf>
    <xf numFmtId="2" fontId="0" fillId="0" borderId="0" xfId="0" applyNumberFormat="1" applyFill="1" applyBorder="1" applyAlignment="1">
      <alignment horizontal="center" vertical="center"/>
    </xf>
    <xf numFmtId="164" fontId="0" fillId="0" borderId="32" xfId="0" applyNumberFormat="1" applyBorder="1"/>
    <xf numFmtId="0" fontId="10" fillId="0" borderId="0" xfId="0" applyFont="1" applyFill="1"/>
    <xf numFmtId="2" fontId="23" fillId="0" borderId="0" xfId="0" applyNumberFormat="1" applyFont="1" applyFill="1" applyBorder="1" applyAlignment="1">
      <alignment horizontal="left" vertical="center"/>
    </xf>
    <xf numFmtId="0" fontId="24" fillId="0" borderId="0" xfId="0" applyFont="1"/>
    <xf numFmtId="0" fontId="24" fillId="0" borderId="0" xfId="0" applyFont="1" applyBorder="1"/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164" fontId="10" fillId="0" borderId="0" xfId="0" applyNumberFormat="1" applyFont="1"/>
    <xf numFmtId="3" fontId="10" fillId="0" borderId="20" xfId="0" applyNumberFormat="1" applyFont="1" applyFill="1" applyBorder="1"/>
    <xf numFmtId="3" fontId="10" fillId="0" borderId="20" xfId="0" applyNumberFormat="1" applyFont="1" applyBorder="1"/>
    <xf numFmtId="3" fontId="10" fillId="0" borderId="0" xfId="0" applyNumberFormat="1" applyFont="1" applyBorder="1"/>
    <xf numFmtId="165" fontId="10" fillId="3" borderId="20" xfId="0" applyNumberFormat="1" applyFont="1" applyFill="1" applyBorder="1"/>
    <xf numFmtId="0" fontId="0" fillId="0" borderId="0" xfId="0" applyBorder="1"/>
    <xf numFmtId="0" fontId="0" fillId="0" borderId="0" xfId="0" applyFill="1" applyBorder="1"/>
    <xf numFmtId="0" fontId="21" fillId="0" borderId="0" xfId="1" applyFill="1" applyBorder="1"/>
    <xf numFmtId="0" fontId="0" fillId="0" borderId="0" xfId="0" applyBorder="1" applyAlignment="1">
      <alignment horizontal="right"/>
    </xf>
    <xf numFmtId="2" fontId="23" fillId="0" borderId="0" xfId="0" applyNumberFormat="1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7" fillId="0" borderId="0" xfId="0" applyFont="1"/>
    <xf numFmtId="0" fontId="0" fillId="0" borderId="27" xfId="0" applyBorder="1"/>
    <xf numFmtId="0" fontId="0" fillId="0" borderId="27" xfId="0" applyBorder="1" applyAlignment="1">
      <alignment horizontal="center" vertical="center"/>
    </xf>
    <xf numFmtId="1" fontId="0" fillId="0" borderId="27" xfId="0" applyNumberFormat="1" applyBorder="1"/>
    <xf numFmtId="164" fontId="0" fillId="0" borderId="27" xfId="0" applyNumberFormat="1" applyBorder="1"/>
    <xf numFmtId="0" fontId="0" fillId="0" borderId="20" xfId="0" quotePrefix="1" applyBorder="1" applyAlignment="1">
      <alignment vertical="center"/>
    </xf>
    <xf numFmtId="164" fontId="0" fillId="0" borderId="20" xfId="0" quotePrefix="1" applyNumberFormat="1" applyBorder="1" applyAlignment="1">
      <alignment vertical="center"/>
    </xf>
    <xf numFmtId="0" fontId="6" fillId="0" borderId="1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7" fillId="0" borderId="13" xfId="0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5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9" xfId="0" applyFill="1" applyBorder="1" applyAlignment="1">
      <alignment horizontal="right"/>
    </xf>
    <xf numFmtId="0" fontId="0" fillId="0" borderId="16" xfId="0" applyFill="1" applyBorder="1" applyAlignment="1">
      <alignment horizontal="center"/>
    </xf>
    <xf numFmtId="0" fontId="0" fillId="0" borderId="27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13" xfId="0" applyFont="1" applyFill="1" applyBorder="1"/>
    <xf numFmtId="14" fontId="0" fillId="0" borderId="0" xfId="0" applyNumberFormat="1"/>
    <xf numFmtId="0" fontId="11" fillId="7" borderId="20" xfId="0" applyFont="1" applyFill="1" applyBorder="1"/>
    <xf numFmtId="0" fontId="11" fillId="7" borderId="20" xfId="0" applyFont="1" applyFill="1" applyBorder="1" applyAlignment="1">
      <alignment horizontal="center"/>
    </xf>
    <xf numFmtId="0" fontId="11" fillId="7" borderId="21" xfId="0" applyFont="1" applyFill="1" applyBorder="1"/>
    <xf numFmtId="0" fontId="10" fillId="7" borderId="22" xfId="0" applyFont="1" applyFill="1" applyBorder="1"/>
    <xf numFmtId="0" fontId="10" fillId="7" borderId="23" xfId="0" applyFont="1" applyFill="1" applyBorder="1"/>
    <xf numFmtId="0" fontId="10" fillId="7" borderId="21" xfId="0" applyFont="1" applyFill="1" applyBorder="1"/>
    <xf numFmtId="164" fontId="10" fillId="7" borderId="22" xfId="0" applyNumberFormat="1" applyFont="1" applyFill="1" applyBorder="1"/>
    <xf numFmtId="164" fontId="10" fillId="7" borderId="23" xfId="0" applyNumberFormat="1" applyFont="1" applyFill="1" applyBorder="1"/>
    <xf numFmtId="1" fontId="11" fillId="7" borderId="20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166" fontId="10" fillId="0" borderId="0" xfId="0" applyNumberFormat="1" applyFont="1"/>
    <xf numFmtId="0" fontId="24" fillId="0" borderId="0" xfId="0" applyFont="1" applyFill="1" applyBorder="1" applyAlignment="1">
      <alignment horizontal="left" vertical="center" indent="1"/>
    </xf>
    <xf numFmtId="1" fontId="24" fillId="0" borderId="0" xfId="0" applyNumberFormat="1" applyFont="1" applyBorder="1"/>
    <xf numFmtId="0" fontId="8" fillId="0" borderId="0" xfId="0" applyFont="1" applyFill="1"/>
    <xf numFmtId="0" fontId="9" fillId="0" borderId="0" xfId="0" applyFont="1" applyFill="1"/>
    <xf numFmtId="0" fontId="5" fillId="0" borderId="0" xfId="1" applyFont="1" applyFill="1"/>
    <xf numFmtId="0" fontId="5" fillId="0" borderId="0" xfId="1" applyFont="1" applyFill="1" applyAlignment="1">
      <alignment horizontal="right"/>
    </xf>
    <xf numFmtId="0" fontId="5" fillId="0" borderId="0" xfId="1" applyFont="1" applyFill="1" applyAlignment="1">
      <alignment horizontal="center"/>
    </xf>
    <xf numFmtId="0" fontId="4" fillId="0" borderId="0" xfId="1" applyFont="1" applyFill="1"/>
    <xf numFmtId="0" fontId="3" fillId="0" borderId="0" xfId="1" applyFont="1" applyFill="1" applyBorder="1"/>
    <xf numFmtId="0" fontId="21" fillId="0" borderId="0" xfId="1" applyFill="1" applyBorder="1" applyAlignment="1">
      <alignment horizontal="right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43" xfId="0" applyNumberFormat="1" applyBorder="1"/>
    <xf numFmtId="0" fontId="0" fillId="0" borderId="44" xfId="0" applyBorder="1"/>
    <xf numFmtId="164" fontId="0" fillId="0" borderId="45" xfId="0" applyNumberFormat="1" applyBorder="1"/>
    <xf numFmtId="164" fontId="0" fillId="0" borderId="45" xfId="0" applyNumberFormat="1" applyFill="1" applyBorder="1"/>
    <xf numFmtId="0" fontId="0" fillId="0" borderId="44" xfId="0" applyFill="1" applyBorder="1"/>
    <xf numFmtId="0" fontId="0" fillId="0" borderId="41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6" borderId="0" xfId="0" applyFill="1"/>
    <xf numFmtId="0" fontId="0" fillId="9" borderId="0" xfId="0" applyFill="1" applyAlignment="1">
      <alignment horizontal="center"/>
    </xf>
    <xf numFmtId="164" fontId="0" fillId="9" borderId="0" xfId="0" applyNumberFormat="1" applyFill="1"/>
    <xf numFmtId="0" fontId="26" fillId="0" borderId="0" xfId="0" applyFont="1" applyFill="1" applyAlignment="1">
      <alignment horizontal="right"/>
    </xf>
    <xf numFmtId="164" fontId="26" fillId="9" borderId="0" xfId="0" applyNumberFormat="1" applyFont="1" applyFill="1"/>
    <xf numFmtId="0" fontId="0" fillId="0" borderId="0" xfId="0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26" fillId="0" borderId="47" xfId="0" applyFont="1" applyBorder="1" applyAlignment="1">
      <alignment horizontal="center"/>
    </xf>
    <xf numFmtId="164" fontId="26" fillId="0" borderId="27" xfId="0" applyNumberFormat="1" applyFont="1" applyBorder="1"/>
    <xf numFmtId="164" fontId="26" fillId="0" borderId="44" xfId="0" applyNumberFormat="1" applyFont="1" applyFill="1" applyBorder="1"/>
    <xf numFmtId="164" fontId="26" fillId="0" borderId="44" xfId="0" applyNumberFormat="1" applyFont="1" applyBorder="1"/>
    <xf numFmtId="2" fontId="23" fillId="0" borderId="0" xfId="0" applyNumberFormat="1" applyFont="1" applyFill="1" applyBorder="1" applyAlignment="1">
      <alignment horizontal="center" vertical="center"/>
    </xf>
    <xf numFmtId="164" fontId="27" fillId="0" borderId="44" xfId="0" applyNumberFormat="1" applyFont="1" applyBorder="1"/>
    <xf numFmtId="0" fontId="26" fillId="0" borderId="0" xfId="0" applyFont="1" applyAlignment="1">
      <alignment horizontal="center"/>
    </xf>
    <xf numFmtId="0" fontId="0" fillId="0" borderId="27" xfId="0" applyFill="1" applyBorder="1"/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horizontal="left" vertical="center" indent="1"/>
    </xf>
    <xf numFmtId="164" fontId="0" fillId="0" borderId="0" xfId="0" applyNumberFormat="1" applyBorder="1"/>
    <xf numFmtId="0" fontId="0" fillId="0" borderId="0" xfId="0" applyFill="1" applyBorder="1" applyAlignment="1">
      <alignment horizontal="left"/>
    </xf>
    <xf numFmtId="14" fontId="0" fillId="0" borderId="27" xfId="0" applyNumberFormat="1" applyFill="1" applyBorder="1" applyAlignment="1">
      <alignment horizontal="center" vertical="center"/>
    </xf>
    <xf numFmtId="164" fontId="0" fillId="0" borderId="27" xfId="0" applyNumberFormat="1" applyFill="1" applyBorder="1"/>
    <xf numFmtId="164" fontId="26" fillId="0" borderId="27" xfId="0" applyNumberFormat="1" applyFont="1" applyFill="1" applyBorder="1"/>
    <xf numFmtId="0" fontId="7" fillId="0" borderId="53" xfId="0" applyFont="1" applyBorder="1"/>
    <xf numFmtId="164" fontId="0" fillId="0" borderId="54" xfId="0" applyNumberFormat="1" applyBorder="1"/>
    <xf numFmtId="164" fontId="0" fillId="0" borderId="55" xfId="0" applyNumberFormat="1" applyBorder="1"/>
    <xf numFmtId="0" fontId="7" fillId="0" borderId="56" xfId="0" applyFont="1" applyBorder="1"/>
    <xf numFmtId="164" fontId="0" fillId="0" borderId="57" xfId="0" applyNumberFormat="1" applyBorder="1"/>
    <xf numFmtId="164" fontId="0" fillId="0" borderId="58" xfId="0" applyNumberFormat="1" applyBorder="1"/>
    <xf numFmtId="2" fontId="0" fillId="0" borderId="27" xfId="0" applyNumberFormat="1" applyBorder="1"/>
    <xf numFmtId="14" fontId="0" fillId="0" borderId="59" xfId="0" applyNumberFormat="1" applyFill="1" applyBorder="1" applyAlignment="1">
      <alignment horizontal="center" vertical="center"/>
    </xf>
    <xf numFmtId="0" fontId="0" fillId="0" borderId="59" xfId="0" applyFill="1" applyBorder="1" applyAlignment="1">
      <alignment horizontal="center"/>
    </xf>
    <xf numFmtId="0" fontId="0" fillId="0" borderId="59" xfId="0" applyBorder="1" applyAlignment="1">
      <alignment horizontal="center"/>
    </xf>
    <xf numFmtId="1" fontId="0" fillId="0" borderId="59" xfId="0" applyNumberFormat="1" applyBorder="1" applyAlignment="1">
      <alignment horizontal="center"/>
    </xf>
    <xf numFmtId="2" fontId="0" fillId="6" borderId="59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27" xfId="0" applyBorder="1" applyAlignment="1">
      <alignment horizontal="center"/>
    </xf>
    <xf numFmtId="164" fontId="0" fillId="10" borderId="27" xfId="0" applyNumberFormat="1" applyFill="1" applyBorder="1"/>
    <xf numFmtId="2" fontId="0" fillId="10" borderId="27" xfId="0" applyNumberFormat="1" applyFill="1" applyBorder="1"/>
    <xf numFmtId="1" fontId="0" fillId="10" borderId="27" xfId="0" applyNumberFormat="1" applyFill="1" applyBorder="1"/>
    <xf numFmtId="0" fontId="0" fillId="0" borderId="27" xfId="0" applyBorder="1" applyAlignment="1">
      <alignment horizontal="center"/>
    </xf>
    <xf numFmtId="2" fontId="10" fillId="0" borderId="20" xfId="0" applyNumberFormat="1" applyFont="1" applyFill="1" applyBorder="1"/>
    <xf numFmtId="0" fontId="0" fillId="11" borderId="0" xfId="0" applyFill="1" applyAlignment="1">
      <alignment horizontal="center"/>
    </xf>
    <xf numFmtId="0" fontId="0" fillId="11" borderId="0" xfId="0" applyFill="1"/>
    <xf numFmtId="0" fontId="0" fillId="11" borderId="0" xfId="0" applyFill="1" applyBorder="1" applyAlignment="1">
      <alignment horizontal="center"/>
    </xf>
    <xf numFmtId="14" fontId="0" fillId="0" borderId="27" xfId="0" applyNumberFormat="1" applyBorder="1"/>
    <xf numFmtId="164" fontId="10" fillId="0" borderId="0" xfId="0" applyNumberFormat="1" applyFont="1" applyFill="1" applyBorder="1"/>
    <xf numFmtId="167" fontId="0" fillId="0" borderId="27" xfId="0" applyNumberFormat="1" applyBorder="1"/>
    <xf numFmtId="167" fontId="0" fillId="11" borderId="0" xfId="0" applyNumberFormat="1" applyFill="1" applyBorder="1"/>
    <xf numFmtId="168" fontId="0" fillId="0" borderId="27" xfId="0" applyNumberFormat="1" applyBorder="1"/>
    <xf numFmtId="168" fontId="0" fillId="11" borderId="0" xfId="0" applyNumberFormat="1" applyFill="1" applyBorder="1"/>
    <xf numFmtId="0" fontId="10" fillId="5" borderId="0" xfId="0" applyFont="1" applyFill="1"/>
    <xf numFmtId="0" fontId="0" fillId="5" borderId="33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6" borderId="60" xfId="0" applyFill="1" applyBorder="1" applyAlignment="1">
      <alignment vertical="center"/>
    </xf>
    <xf numFmtId="0" fontId="0" fillId="6" borderId="59" xfId="0" applyFill="1" applyBorder="1" applyAlignment="1">
      <alignment vertical="center"/>
    </xf>
    <xf numFmtId="0" fontId="0" fillId="6" borderId="61" xfId="0" applyFill="1" applyBorder="1" applyAlignment="1">
      <alignment horizontal="left" vertical="center" indent="1"/>
    </xf>
    <xf numFmtId="0" fontId="0" fillId="6" borderId="59" xfId="0" applyNumberFormat="1" applyFill="1" applyBorder="1" applyAlignment="1">
      <alignment vertical="center"/>
    </xf>
    <xf numFmtId="14" fontId="0" fillId="6" borderId="60" xfId="0" applyNumberFormat="1" applyFill="1" applyBorder="1" applyAlignment="1">
      <alignment vertical="center"/>
    </xf>
    <xf numFmtId="0" fontId="0" fillId="6" borderId="59" xfId="0" applyFill="1" applyBorder="1" applyAlignment="1">
      <alignment horizontal="right" vertical="center"/>
    </xf>
    <xf numFmtId="0" fontId="24" fillId="0" borderId="0" xfId="0" applyFont="1" applyAlignment="1">
      <alignment horizontal="center"/>
    </xf>
    <xf numFmtId="0" fontId="17" fillId="5" borderId="0" xfId="0" applyFont="1" applyFill="1"/>
    <xf numFmtId="0" fontId="0" fillId="12" borderId="34" xfId="0" applyFill="1" applyBorder="1" applyAlignment="1">
      <alignment vertical="center"/>
    </xf>
    <xf numFmtId="0" fontId="0" fillId="12" borderId="35" xfId="0" applyFill="1" applyBorder="1" applyAlignment="1">
      <alignment horizontal="left" vertical="center" indent="1"/>
    </xf>
    <xf numFmtId="0" fontId="17" fillId="5" borderId="34" xfId="0" applyFont="1" applyFill="1" applyBorder="1"/>
    <xf numFmtId="14" fontId="0" fillId="6" borderId="62" xfId="0" applyNumberFormat="1" applyFill="1" applyBorder="1" applyAlignment="1">
      <alignment vertical="center"/>
    </xf>
    <xf numFmtId="0" fontId="0" fillId="6" borderId="63" xfId="0" applyFill="1" applyBorder="1" applyAlignment="1">
      <alignment vertical="center"/>
    </xf>
    <xf numFmtId="0" fontId="0" fillId="6" borderId="64" xfId="0" applyFill="1" applyBorder="1" applyAlignment="1">
      <alignment horizontal="left" vertical="center" indent="1"/>
    </xf>
    <xf numFmtId="164" fontId="22" fillId="5" borderId="34" xfId="0" applyNumberFormat="1" applyFont="1" applyFill="1" applyBorder="1" applyAlignment="1">
      <alignment vertical="center"/>
    </xf>
    <xf numFmtId="0" fontId="25" fillId="5" borderId="0" xfId="0" applyFont="1" applyFill="1" applyAlignment="1">
      <alignment horizontal="center"/>
    </xf>
    <xf numFmtId="0" fontId="29" fillId="0" borderId="0" xfId="0" applyFont="1"/>
    <xf numFmtId="0" fontId="30" fillId="0" borderId="0" xfId="0" applyFont="1"/>
    <xf numFmtId="165" fontId="10" fillId="0" borderId="0" xfId="0" applyNumberFormat="1" applyFont="1"/>
    <xf numFmtId="0" fontId="31" fillId="0" borderId="0" xfId="0" applyFont="1" applyBorder="1" applyAlignment="1">
      <alignment horizontal="right"/>
    </xf>
    <xf numFmtId="164" fontId="31" fillId="0" borderId="0" xfId="0" applyNumberFormat="1" applyFont="1" applyBorder="1"/>
    <xf numFmtId="0" fontId="2" fillId="0" borderId="0" xfId="1" applyFont="1" applyFill="1" applyAlignment="1">
      <alignment horizontal="right"/>
    </xf>
    <xf numFmtId="0" fontId="0" fillId="6" borderId="32" xfId="0" applyFill="1" applyBorder="1" applyAlignment="1">
      <alignment vertical="center"/>
    </xf>
    <xf numFmtId="166" fontId="10" fillId="0" borderId="0" xfId="0" applyNumberFormat="1" applyFont="1" applyFill="1"/>
    <xf numFmtId="1" fontId="10" fillId="0" borderId="0" xfId="0" applyNumberFormat="1" applyFont="1" applyFill="1" applyBorder="1"/>
    <xf numFmtId="0" fontId="7" fillId="0" borderId="7" xfId="0" applyFont="1" applyBorder="1" applyAlignment="1">
      <alignment horizontal="right"/>
    </xf>
    <xf numFmtId="0" fontId="1" fillId="0" borderId="0" xfId="1" applyFont="1" applyFill="1" applyAlignment="1">
      <alignment horizontal="right"/>
    </xf>
    <xf numFmtId="0" fontId="0" fillId="0" borderId="0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14" fontId="0" fillId="0" borderId="27" xfId="0" applyNumberFormat="1" applyFill="1" applyBorder="1" applyAlignment="1">
      <alignment horizontal="center" vertical="center"/>
    </xf>
    <xf numFmtId="0" fontId="0" fillId="0" borderId="50" xfId="0" applyBorder="1" applyAlignment="1">
      <alignment horizontal="right" vertical="center" indent="2"/>
    </xf>
    <xf numFmtId="0" fontId="0" fillId="0" borderId="3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3" fontId="0" fillId="0" borderId="27" xfId="0" applyNumberFormat="1" applyBorder="1" applyAlignment="1">
      <alignment horizont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166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166" fontId="0" fillId="0" borderId="38" xfId="0" applyNumberFormat="1" applyBorder="1" applyAlignment="1">
      <alignment horizontal="center" vertical="center"/>
    </xf>
    <xf numFmtId="166" fontId="0" fillId="0" borderId="39" xfId="0" applyNumberFormat="1" applyBorder="1" applyAlignment="1">
      <alignment horizontal="center" vertical="center"/>
    </xf>
    <xf numFmtId="2" fontId="0" fillId="0" borderId="20" xfId="0" applyNumberFormat="1" applyFont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66" fontId="0" fillId="0" borderId="20" xfId="0" applyNumberForma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/>
    </xf>
    <xf numFmtId="165" fontId="10" fillId="0" borderId="22" xfId="0" applyNumberFormat="1" applyFont="1" applyBorder="1" applyAlignment="1">
      <alignment horizontal="center"/>
    </xf>
    <xf numFmtId="165" fontId="10" fillId="0" borderId="23" xfId="0" applyNumberFormat="1" applyFont="1" applyBorder="1" applyAlignment="1">
      <alignment horizontal="center"/>
    </xf>
    <xf numFmtId="165" fontId="10" fillId="4" borderId="21" xfId="0" applyNumberFormat="1" applyFont="1" applyFill="1" applyBorder="1" applyAlignment="1">
      <alignment horizontal="center"/>
    </xf>
    <xf numFmtId="165" fontId="10" fillId="4" borderId="22" xfId="0" applyNumberFormat="1" applyFont="1" applyFill="1" applyBorder="1" applyAlignment="1">
      <alignment horizontal="center"/>
    </xf>
    <xf numFmtId="165" fontId="10" fillId="4" borderId="23" xfId="0" applyNumberFormat="1" applyFont="1" applyFill="1" applyBorder="1" applyAlignment="1">
      <alignment horizontal="center"/>
    </xf>
    <xf numFmtId="164" fontId="17" fillId="0" borderId="0" xfId="0" applyNumberFormat="1" applyFont="1" applyFill="1" applyBorder="1"/>
    <xf numFmtId="0" fontId="17" fillId="0" borderId="0" xfId="0" applyFont="1" applyFill="1"/>
    <xf numFmtId="164" fontId="10" fillId="3" borderId="39" xfId="0" applyNumberFormat="1" applyFont="1" applyFill="1" applyBorder="1"/>
    <xf numFmtId="0" fontId="17" fillId="3" borderId="39" xfId="0" applyFont="1" applyFill="1" applyBorder="1"/>
    <xf numFmtId="0" fontId="32" fillId="0" borderId="0" xfId="0" applyFont="1"/>
    <xf numFmtId="164" fontId="32" fillId="0" borderId="0" xfId="0" applyNumberFormat="1" applyFont="1" applyAlignment="1">
      <alignment horizontal="center"/>
    </xf>
    <xf numFmtId="164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164" fontId="10" fillId="11" borderId="20" xfId="0" applyNumberFormat="1" applyFont="1" applyFill="1" applyBorder="1"/>
    <xf numFmtId="164" fontId="31" fillId="11" borderId="32" xfId="0" applyNumberFormat="1" applyFont="1" applyFill="1" applyBorder="1" applyAlignment="1">
      <alignment horizontal="right" vertical="center" indent="1"/>
    </xf>
    <xf numFmtId="0" fontId="31" fillId="11" borderId="32" xfId="0" applyFont="1" applyFill="1" applyBorder="1" applyAlignment="1">
      <alignment vertical="center"/>
    </xf>
    <xf numFmtId="0" fontId="17" fillId="11" borderId="32" xfId="0" applyFont="1" applyFill="1" applyBorder="1"/>
    <xf numFmtId="0" fontId="10" fillId="0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66" fontId="10" fillId="0" borderId="0" xfId="0" applyNumberFormat="1" applyFont="1" applyFill="1" applyAlignment="1">
      <alignment horizontal="center"/>
    </xf>
    <xf numFmtId="164" fontId="34" fillId="0" borderId="0" xfId="0" applyNumberFormat="1" applyFont="1"/>
    <xf numFmtId="0" fontId="34" fillId="0" borderId="0" xfId="0" applyFont="1"/>
    <xf numFmtId="165" fontId="33" fillId="0" borderId="0" xfId="0" applyNumberFormat="1" applyFont="1" applyAlignment="1">
      <alignment horizontal="center"/>
    </xf>
    <xf numFmtId="0" fontId="33" fillId="0" borderId="0" xfId="0" applyFont="1"/>
  </cellXfs>
  <cellStyles count="2">
    <cellStyle name="normální" xfId="0" builtinId="0"/>
    <cellStyle name="normální 2" xfId="1"/>
  </cellStyles>
  <dxfs count="4913">
    <dxf>
      <font>
        <b val="0"/>
        <condense val="0"/>
        <extend val="0"/>
        <sz val="11"/>
        <color indexed="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3076991696393964E-2"/>
          <c:y val="0.2882357080590936"/>
          <c:w val="0.89615468764525208"/>
          <c:h val="0.60882440375748226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dLbls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(Rozdíly!$D$31:$D$31,Rozdíly!$G$31:$G$31,Rozdíly!$J$31:$J$31,Rozdíly!$M$31:$M$31,Rozdíly!$P$31:$P$31,Rozdíly!$S$31:$S$31,Rozdíly!$V$31:$V$31,Rozdíly!$Y$31:$Y$31)</c:f>
              <c:numCache>
                <c:formatCode>General</c:formatCode>
                <c:ptCount val="8"/>
                <c:pt idx="0">
                  <c:v>24.029999999999994</c:v>
                </c:pt>
                <c:pt idx="1">
                  <c:v>54.28799999999999</c:v>
                </c:pt>
                <c:pt idx="2">
                  <c:v>2.1030000000001197</c:v>
                </c:pt>
                <c:pt idx="3">
                  <c:v>40.627000000000066</c:v>
                </c:pt>
                <c:pt idx="4">
                  <c:v>10.647000000000046</c:v>
                </c:pt>
                <c:pt idx="5">
                  <c:v>13.273999999999969</c:v>
                </c:pt>
                <c:pt idx="6">
                  <c:v>15.379999999999981</c:v>
                </c:pt>
                <c:pt idx="7">
                  <c:v>25.669000000000022</c:v>
                </c:pt>
              </c:numCache>
            </c:numRef>
          </c:val>
        </c:ser>
        <c:gapWidth val="75"/>
        <c:overlap val="100"/>
        <c:axId val="135173632"/>
        <c:axId val="135175168"/>
      </c:barChart>
      <c:catAx>
        <c:axId val="135173632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175168"/>
        <c:crossesAt val="0"/>
        <c:auto val="1"/>
        <c:lblAlgn val="ctr"/>
        <c:lblOffset val="100"/>
        <c:tickLblSkip val="1"/>
        <c:tickMarkSkip val="1"/>
      </c:catAx>
      <c:valAx>
        <c:axId val="135175168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17363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240331350554388"/>
          <c:y val="0.28908637849828267"/>
          <c:w val="0.85852875660269945"/>
          <c:h val="0.6076713670474036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(Rozdíly!$D$33:$D$33,Rozdíly!$G$33:$G$33,Rozdíly!$J$33:$J$33,Rozdíly!$M$33:$M$33,Rozdíly!$P$33:$P$33,Rozdíly!$S$33:$S$33,Rozdíly!$V$33:$V$33,Rozdíly!$Y$33:$Y$33)</c:f>
              <c:numCache>
                <c:formatCode>0.0%</c:formatCode>
                <c:ptCount val="8"/>
                <c:pt idx="0">
                  <c:v>0.11239265869675025</c:v>
                </c:pt>
                <c:pt idx="1">
                  <c:v>0.16362847222222221</c:v>
                </c:pt>
                <c:pt idx="2">
                  <c:v>8.1861920777284158E-3</c:v>
                </c:pt>
                <c:pt idx="3">
                  <c:v>0.16460440165953608</c:v>
                </c:pt>
                <c:pt idx="4">
                  <c:v>4.7708025272214211E-2</c:v>
                </c:pt>
                <c:pt idx="5">
                  <c:v>4.7679597701149316E-2</c:v>
                </c:pt>
                <c:pt idx="6">
                  <c:v>6.7021091162628471E-2</c:v>
                </c:pt>
                <c:pt idx="7">
                  <c:v>0.10216517412935332</c:v>
                </c:pt>
              </c:numCache>
            </c:numRef>
          </c:val>
        </c:ser>
        <c:gapWidth val="75"/>
        <c:overlap val="100"/>
        <c:axId val="135101056"/>
        <c:axId val="135106944"/>
      </c:barChart>
      <c:catAx>
        <c:axId val="135101056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106944"/>
        <c:crossesAt val="0"/>
        <c:auto val="1"/>
        <c:lblAlgn val="ctr"/>
        <c:lblOffset val="100"/>
        <c:tickLblSkip val="1"/>
        <c:tickMarkSkip val="1"/>
      </c:catAx>
      <c:valAx>
        <c:axId val="135106944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10105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4230857713771141E-2"/>
          <c:y val="0.28908637849828267"/>
          <c:w val="0.87500082162788528"/>
          <c:h val="0.6076713670474036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val>
            <c:numRef>
              <c:f>('Rozdíly (2)'!$D$31:$D$31,'Rozdíly (2)'!$G$31:$G$31,'Rozdíly (2)'!$J$31:$J$31,'Rozdíly (2)'!$M$31:$M$31,'Rozdíly (2)'!$P$31:$P$31,'Rozdíly (2)'!$S$31:$S$31,'Rozdíly (2)'!$V$31:$V$31,'Rozdíly (2)'!$Y$31:$Y$31)</c:f>
              <c:numCache>
                <c:formatCode>General</c:formatCode>
                <c:ptCount val="8"/>
                <c:pt idx="0">
                  <c:v>24.029999999999994</c:v>
                </c:pt>
                <c:pt idx="1">
                  <c:v>54.28799999999999</c:v>
                </c:pt>
                <c:pt idx="2">
                  <c:v>2.1030000000001197</c:v>
                </c:pt>
                <c:pt idx="3">
                  <c:v>40.627000000000066</c:v>
                </c:pt>
                <c:pt idx="4">
                  <c:v>10.647000000000046</c:v>
                </c:pt>
                <c:pt idx="5">
                  <c:v>13.273999999999969</c:v>
                </c:pt>
                <c:pt idx="6">
                  <c:v>15.379999999999981</c:v>
                </c:pt>
                <c:pt idx="7">
                  <c:v>25.669000000000022</c:v>
                </c:pt>
              </c:numCache>
            </c:numRef>
          </c:val>
        </c:ser>
        <c:gapWidth val="75"/>
        <c:overlap val="100"/>
        <c:axId val="135118208"/>
        <c:axId val="135816320"/>
      </c:barChart>
      <c:catAx>
        <c:axId val="135118208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816320"/>
        <c:crossesAt val="0"/>
        <c:auto val="1"/>
        <c:lblAlgn val="ctr"/>
        <c:lblOffset val="100"/>
        <c:tickLblSkip val="1"/>
        <c:tickMarkSkip val="1"/>
      </c:catAx>
      <c:valAx>
        <c:axId val="135816320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118208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240331350554388"/>
          <c:y val="0.28908637849828267"/>
          <c:w val="0.85852875660269945"/>
          <c:h val="0.6076713670474036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val>
            <c:numRef>
              <c:f>('Rozdíly (2)'!$D$33:$D$33,'Rozdíly (2)'!$G$33:$G$33,'Rozdíly (2)'!$J$33:$J$33,'Rozdíly (2)'!$M$33:$M$33,'Rozdíly (2)'!$P$33:$P$33,'Rozdíly (2)'!$S$33:$S$33,'Rozdíly (2)'!$V$33:$V$33,'Rozdíly (2)'!$Y$33:$Y$33)</c:f>
              <c:numCache>
                <c:formatCode>0.0%</c:formatCode>
                <c:ptCount val="8"/>
                <c:pt idx="0">
                  <c:v>0.11239265869675025</c:v>
                </c:pt>
                <c:pt idx="1">
                  <c:v>0.16362847222222221</c:v>
                </c:pt>
                <c:pt idx="2">
                  <c:v>8.1861920777284158E-3</c:v>
                </c:pt>
                <c:pt idx="3">
                  <c:v>0.16460440165953608</c:v>
                </c:pt>
                <c:pt idx="4">
                  <c:v>4.7708025272214211E-2</c:v>
                </c:pt>
                <c:pt idx="5">
                  <c:v>4.7679597701149316E-2</c:v>
                </c:pt>
                <c:pt idx="6">
                  <c:v>6.7021091162628471E-2</c:v>
                </c:pt>
                <c:pt idx="7">
                  <c:v>0.10216517412935332</c:v>
                </c:pt>
              </c:numCache>
            </c:numRef>
          </c:val>
        </c:ser>
        <c:gapWidth val="75"/>
        <c:overlap val="100"/>
        <c:axId val="135856896"/>
        <c:axId val="135858432"/>
      </c:barChart>
      <c:catAx>
        <c:axId val="135856896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858432"/>
        <c:crossesAt val="0"/>
        <c:auto val="1"/>
        <c:lblAlgn val="ctr"/>
        <c:lblOffset val="100"/>
        <c:tickLblSkip val="1"/>
        <c:tickMarkSkip val="1"/>
      </c:catAx>
      <c:valAx>
        <c:axId val="13585843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85689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1923076923076933E-2"/>
          <c:y val="0.28823529411764731"/>
          <c:w val="0.92307692307692257"/>
          <c:h val="0.60882352941176454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dLbls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(Rozdíly!$D$31,Rozdíly!$G$31,Rozdíly!$J$31,Rozdíly!$M$31,Rozdíly!$P$31,Rozdíly!$S$31,Rozdíly!$V$31,Rozdíly!$Y$31)</c:f>
              <c:numCache>
                <c:formatCode>General</c:formatCode>
                <c:ptCount val="8"/>
                <c:pt idx="0">
                  <c:v>24.029999999999994</c:v>
                </c:pt>
                <c:pt idx="1">
                  <c:v>54.28799999999999</c:v>
                </c:pt>
                <c:pt idx="2">
                  <c:v>2.1030000000001197</c:v>
                </c:pt>
                <c:pt idx="3">
                  <c:v>40.627000000000066</c:v>
                </c:pt>
                <c:pt idx="4">
                  <c:v>10.647000000000046</c:v>
                </c:pt>
                <c:pt idx="5">
                  <c:v>13.273999999999969</c:v>
                </c:pt>
                <c:pt idx="6">
                  <c:v>15.379999999999981</c:v>
                </c:pt>
                <c:pt idx="7">
                  <c:v>25.669000000000022</c:v>
                </c:pt>
              </c:numCache>
            </c:numRef>
          </c:val>
        </c:ser>
        <c:gapWidth val="75"/>
        <c:overlap val="100"/>
        <c:axId val="135903104"/>
        <c:axId val="135904640"/>
      </c:barChart>
      <c:catAx>
        <c:axId val="135903104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904640"/>
        <c:crossesAt val="0"/>
        <c:auto val="1"/>
        <c:lblAlgn val="ctr"/>
        <c:lblOffset val="100"/>
        <c:tickLblSkip val="1"/>
        <c:tickMarkSkip val="1"/>
      </c:catAx>
      <c:valAx>
        <c:axId val="135904640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903104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1085271317829467E-2"/>
          <c:y val="0.28908554572271739"/>
          <c:w val="0.89341085271318532"/>
          <c:h val="0.6076696165191981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(Rozdíly!$D$33,Rozdíly!$G$33,Rozdíly!$J$33,Rozdíly!$M$33,Rozdíly!$P$33,Rozdíly!$S$33,Rozdíly!$V$33,Rozdíly!$Y$33)</c:f>
              <c:numCache>
                <c:formatCode>0.0%</c:formatCode>
                <c:ptCount val="8"/>
                <c:pt idx="0">
                  <c:v>0.11239265869675025</c:v>
                </c:pt>
                <c:pt idx="1">
                  <c:v>0.16362847222222221</c:v>
                </c:pt>
                <c:pt idx="2">
                  <c:v>8.1861920777284158E-3</c:v>
                </c:pt>
                <c:pt idx="3">
                  <c:v>0.16460440165953608</c:v>
                </c:pt>
                <c:pt idx="4">
                  <c:v>4.7708025272214211E-2</c:v>
                </c:pt>
                <c:pt idx="5">
                  <c:v>4.7679597701149316E-2</c:v>
                </c:pt>
                <c:pt idx="6">
                  <c:v>6.7021091162628471E-2</c:v>
                </c:pt>
                <c:pt idx="7">
                  <c:v>0.10216517412935332</c:v>
                </c:pt>
              </c:numCache>
            </c:numRef>
          </c:val>
        </c:ser>
        <c:gapWidth val="75"/>
        <c:overlap val="100"/>
        <c:axId val="135941120"/>
        <c:axId val="135955200"/>
      </c:barChart>
      <c:catAx>
        <c:axId val="135941120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955200"/>
        <c:crossesAt val="0"/>
        <c:auto val="1"/>
        <c:lblAlgn val="ctr"/>
        <c:lblOffset val="100"/>
        <c:tickLblSkip val="1"/>
        <c:tickMarkSkip val="1"/>
      </c:catAx>
      <c:valAx>
        <c:axId val="135955200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5941120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style val="7"/>
  <c:chart>
    <c:plotArea>
      <c:layout/>
      <c:barChart>
        <c:barDir val="col"/>
        <c:grouping val="clustered"/>
        <c:ser>
          <c:idx val="1"/>
          <c:order val="0"/>
          <c:tx>
            <c:v>Leden</c:v>
          </c:tx>
          <c:spPr>
            <a:solidFill>
              <a:schemeClr val="tx2"/>
            </a:solidFill>
          </c:spPr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'Teplo-Paty'!$C$6:$C$27</c:f>
              <c:numCache>
                <c:formatCode>0.000</c:formatCode>
                <c:ptCount val="8"/>
                <c:pt idx="0">
                  <c:v>101.92207792207799</c:v>
                </c:pt>
                <c:pt idx="1">
                  <c:v>63.508599508599438</c:v>
                </c:pt>
                <c:pt idx="2">
                  <c:v>117.55670103092785</c:v>
                </c:pt>
                <c:pt idx="3">
                  <c:v>109.11340206185572</c:v>
                </c:pt>
                <c:pt idx="4">
                  <c:v>116.42651296829973</c:v>
                </c:pt>
                <c:pt idx="5">
                  <c:v>136.4</c:v>
                </c:pt>
                <c:pt idx="6">
                  <c:v>144.50171821305847</c:v>
                </c:pt>
                <c:pt idx="7">
                  <c:v>134.78915662650607</c:v>
                </c:pt>
              </c:numCache>
            </c:numRef>
          </c:val>
        </c:ser>
        <c:ser>
          <c:idx val="0"/>
          <c:order val="1"/>
          <c:tx>
            <c:v>Únor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'Teplo-Paty'!$D$6:$D$27</c:f>
              <c:numCache>
                <c:formatCode>0.000</c:formatCode>
                <c:ptCount val="8"/>
                <c:pt idx="0">
                  <c:v>101.1272727272727</c:v>
                </c:pt>
                <c:pt idx="1">
                  <c:v>58.823821339950442</c:v>
                </c:pt>
                <c:pt idx="2">
                  <c:v>113.81707317073176</c:v>
                </c:pt>
                <c:pt idx="3">
                  <c:v>99.048128342245931</c:v>
                </c:pt>
                <c:pt idx="4">
                  <c:v>123.48591549295772</c:v>
                </c:pt>
                <c:pt idx="5">
                  <c:v>135.67398119122257</c:v>
                </c:pt>
                <c:pt idx="6">
                  <c:v>141.22137404580155</c:v>
                </c:pt>
                <c:pt idx="7">
                  <c:v>129.32885906040264</c:v>
                </c:pt>
              </c:numCache>
            </c:numRef>
          </c:val>
        </c:ser>
        <c:ser>
          <c:idx val="2"/>
          <c:order val="2"/>
          <c:tx>
            <c:v>Březen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'Teplo-Paty'!$E$6:$E$27</c:f>
              <c:numCache>
                <c:formatCode>0.000</c:formatCode>
                <c:ptCount val="8"/>
                <c:pt idx="0">
                  <c:v>102.29433962264152</c:v>
                </c:pt>
                <c:pt idx="1">
                  <c:v>54.244565217391319</c:v>
                </c:pt>
                <c:pt idx="2">
                  <c:v>119.01176470588224</c:v>
                </c:pt>
                <c:pt idx="3">
                  <c:v>85.743589743589737</c:v>
                </c:pt>
                <c:pt idx="4">
                  <c:v>116.03305785123973</c:v>
                </c:pt>
                <c:pt idx="5">
                  <c:v>140.9163346613546</c:v>
                </c:pt>
                <c:pt idx="6">
                  <c:v>147.51322751322749</c:v>
                </c:pt>
                <c:pt idx="7">
                  <c:v>130.33333333333334</c:v>
                </c:pt>
              </c:numCache>
            </c:numRef>
          </c:val>
        </c:ser>
        <c:ser>
          <c:idx val="3"/>
          <c:order val="3"/>
          <c:tx>
            <c:v>Duben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'Teplo-Paty'!$F$6:$F$27</c:f>
              <c:numCache>
                <c:formatCode>0.000</c:formatCode>
                <c:ptCount val="8"/>
                <c:pt idx="0">
                  <c:v>106.70658682634738</c:v>
                </c:pt>
                <c:pt idx="1">
                  <c:v>41.11502029769958</c:v>
                </c:pt>
                <c:pt idx="2">
                  <c:v>113.1428571428571</c:v>
                </c:pt>
                <c:pt idx="3">
                  <c:v>63.536423841059758</c:v>
                </c:pt>
                <c:pt idx="4">
                  <c:v>121.66666666666653</c:v>
                </c:pt>
                <c:pt idx="5">
                  <c:v>141.19791666666674</c:v>
                </c:pt>
                <c:pt idx="6">
                  <c:v>139.92307692307691</c:v>
                </c:pt>
                <c:pt idx="7">
                  <c:v>128.53801169590636</c:v>
                </c:pt>
              </c:numCache>
            </c:numRef>
          </c:val>
        </c:ser>
        <c:ser>
          <c:idx val="4"/>
          <c:order val="4"/>
          <c:tx>
            <c:v>Květen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'Teplo-Paty'!$G$6:$G$27</c:f>
              <c:numCache>
                <c:formatCode>0.000</c:formatCode>
                <c:ptCount val="8"/>
                <c:pt idx="0">
                  <c:v>86.800000000000068</c:v>
                </c:pt>
                <c:pt idx="1">
                  <c:v>27.716814159292035</c:v>
                </c:pt>
                <c:pt idx="2">
                  <c:v>92.215384615384963</c:v>
                </c:pt>
                <c:pt idx="3">
                  <c:v>34.92537313432836</c:v>
                </c:pt>
                <c:pt idx="4">
                  <c:v>113.16831683168324</c:v>
                </c:pt>
                <c:pt idx="5">
                  <c:v>144.57627118644069</c:v>
                </c:pt>
                <c:pt idx="6">
                  <c:v>124.794520547945</c:v>
                </c:pt>
                <c:pt idx="7">
                  <c:v>114.30000000000007</c:v>
                </c:pt>
              </c:numCache>
            </c:numRef>
          </c:val>
        </c:ser>
        <c:ser>
          <c:idx val="5"/>
          <c:order val="5"/>
          <c:tx>
            <c:v>Červen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'Teplo-Paty'!$H$6:$H$27</c:f>
              <c:numCache>
                <c:formatCode>0.000</c:formatCode>
                <c:ptCount val="8"/>
                <c:pt idx="0">
                  <c:v>63.940298507462565</c:v>
                </c:pt>
                <c:pt idx="1">
                  <c:v>18.272268907562914</c:v>
                </c:pt>
                <c:pt idx="2">
                  <c:v>59.896551724137261</c:v>
                </c:pt>
                <c:pt idx="3">
                  <c:v>21.535714285714189</c:v>
                </c:pt>
                <c:pt idx="4">
                  <c:v>69.200000000000159</c:v>
                </c:pt>
                <c:pt idx="5">
                  <c:v>114.21052631578881</c:v>
                </c:pt>
                <c:pt idx="6">
                  <c:v>84.864864864865254</c:v>
                </c:pt>
                <c:pt idx="7">
                  <c:v>71.857142857143288</c:v>
                </c:pt>
              </c:numCache>
            </c:numRef>
          </c:val>
        </c:ser>
        <c:ser>
          <c:idx val="6"/>
          <c:order val="6"/>
          <c:tx>
            <c:v>Červenec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'Teplo-Paty'!$I$6:$I$27</c:f>
              <c:numCache>
                <c:formatCode>0.000</c:formatCode>
                <c:ptCount val="8"/>
                <c:pt idx="0">
                  <c:v>63.33333333333352</c:v>
                </c:pt>
                <c:pt idx="1">
                  <c:v>15.546798029556793</c:v>
                </c:pt>
                <c:pt idx="2">
                  <c:v>60.631578947368922</c:v>
                </c:pt>
                <c:pt idx="3">
                  <c:v>19.741935483870865</c:v>
                </c:pt>
                <c:pt idx="4">
                  <c:v>69.318181818181429</c:v>
                </c:pt>
                <c:pt idx="5">
                  <c:v>109.28571428571436</c:v>
                </c:pt>
                <c:pt idx="6">
                  <c:v>87.857142857143145</c:v>
                </c:pt>
                <c:pt idx="7">
                  <c:v>58.787878787878725</c:v>
                </c:pt>
              </c:numCache>
            </c:numRef>
          </c:val>
        </c:ser>
        <c:ser>
          <c:idx val="7"/>
          <c:order val="7"/>
          <c:tx>
            <c:v>Srpen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'Teplo-Paty'!$J$6:$J$27</c:f>
              <c:numCache>
                <c:formatCode>0.000</c:formatCode>
                <c:ptCount val="8"/>
                <c:pt idx="0">
                  <c:v>34.10526315789469</c:v>
                </c:pt>
                <c:pt idx="1">
                  <c:v>9.459610027855101</c:v>
                </c:pt>
                <c:pt idx="2">
                  <c:v>21.185185185185286</c:v>
                </c:pt>
                <c:pt idx="3">
                  <c:v>12.885608856088734</c:v>
                </c:pt>
                <c:pt idx="4">
                  <c:v>30.259740259740425</c:v>
                </c:pt>
                <c:pt idx="5">
                  <c:v>60.581395348836971</c:v>
                </c:pt>
                <c:pt idx="6">
                  <c:v>34.166666666666615</c:v>
                </c:pt>
                <c:pt idx="7">
                  <c:v>27.009345794392395</c:v>
                </c:pt>
              </c:numCache>
            </c:numRef>
          </c:val>
        </c:ser>
        <c:ser>
          <c:idx val="8"/>
          <c:order val="8"/>
          <c:tx>
            <c:v>Září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'Teplo-Paty'!$K$6:$K$27</c:f>
              <c:numCache>
                <c:formatCode>0.000</c:formatCode>
                <c:ptCount val="8"/>
                <c:pt idx="0">
                  <c:v>63.551020408162891</c:v>
                </c:pt>
                <c:pt idx="1">
                  <c:v>30.798866855524185</c:v>
                </c:pt>
                <c:pt idx="2">
                  <c:v>60.413793103448604</c:v>
                </c:pt>
                <c:pt idx="3">
                  <c:v>37.999999999999545</c:v>
                </c:pt>
                <c:pt idx="4">
                  <c:v>63.050847457627093</c:v>
                </c:pt>
                <c:pt idx="5">
                  <c:v>112.30769230769292</c:v>
                </c:pt>
                <c:pt idx="6">
                  <c:v>65.3846153846155</c:v>
                </c:pt>
                <c:pt idx="7">
                  <c:v>62.972972972973317</c:v>
                </c:pt>
              </c:numCache>
            </c:numRef>
          </c:val>
        </c:ser>
        <c:ser>
          <c:idx val="9"/>
          <c:order val="9"/>
          <c:tx>
            <c:v>Říjen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'Teplo-Paty'!$L$6:$L$27</c:f>
              <c:numCache>
                <c:formatCode>0.000</c:formatCode>
                <c:ptCount val="8"/>
                <c:pt idx="0">
                  <c:v>100</c:v>
                </c:pt>
                <c:pt idx="1">
                  <c:v>62.029154518950406</c:v>
                </c:pt>
                <c:pt idx="2">
                  <c:v>125.9999999999998</c:v>
                </c:pt>
                <c:pt idx="3">
                  <c:v>89.236363636363706</c:v>
                </c:pt>
                <c:pt idx="4">
                  <c:v>135.49450549450532</c:v>
                </c:pt>
                <c:pt idx="5">
                  <c:v>159.99999999999974</c:v>
                </c:pt>
                <c:pt idx="6">
                  <c:v>152.71739130434764</c:v>
                </c:pt>
                <c:pt idx="7">
                  <c:v>139.40594059405925</c:v>
                </c:pt>
              </c:numCache>
            </c:numRef>
          </c:val>
        </c:ser>
        <c:ser>
          <c:idx val="10"/>
          <c:order val="10"/>
          <c:tx>
            <c:v>Listopad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'Teplo-Paty'!$M$6:$M$27</c:f>
              <c:numCache>
                <c:formatCode>0.000</c:formatCode>
                <c:ptCount val="8"/>
                <c:pt idx="0">
                  <c:v>128.2500000000002</c:v>
                </c:pt>
                <c:pt idx="1">
                  <c:v>89.229219143576856</c:v>
                </c:pt>
                <c:pt idx="2">
                  <c:v>146.07999999999996</c:v>
                </c:pt>
                <c:pt idx="3">
                  <c:v>135.21951219512226</c:v>
                </c:pt>
                <c:pt idx="4">
                  <c:v>151.01694915254231</c:v>
                </c:pt>
                <c:pt idx="5">
                  <c:v>164.19689119170982</c:v>
                </c:pt>
                <c:pt idx="6">
                  <c:v>162.82608695652161</c:v>
                </c:pt>
                <c:pt idx="7">
                  <c:v>142.17592592592584</c:v>
                </c:pt>
              </c:numCache>
            </c:numRef>
          </c:val>
        </c:ser>
        <c:ser>
          <c:idx val="11"/>
          <c:order val="11"/>
          <c:tx>
            <c:v>Prosinec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'Teplo-Paty'!$N$6:$N$27</c:f>
              <c:numCache>
                <c:formatCode>0.000</c:formatCode>
                <c:ptCount val="8"/>
                <c:pt idx="0">
                  <c:v>126.93227091633457</c:v>
                </c:pt>
                <c:pt idx="1">
                  <c:v>86.936902485659616</c:v>
                </c:pt>
                <c:pt idx="2">
                  <c:v>139.17391304347845</c:v>
                </c:pt>
                <c:pt idx="3">
                  <c:v>131.69454545454548</c:v>
                </c:pt>
                <c:pt idx="4">
                  <c:v>136.4822134387353</c:v>
                </c:pt>
                <c:pt idx="5">
                  <c:v>158.50980392156868</c:v>
                </c:pt>
                <c:pt idx="6">
                  <c:v>153.79032258064535</c:v>
                </c:pt>
                <c:pt idx="7">
                  <c:v>144.9259259259259</c:v>
                </c:pt>
              </c:numCache>
            </c:numRef>
          </c:val>
        </c:ser>
        <c:axId val="136140288"/>
        <c:axId val="136141824"/>
      </c:barChart>
      <c:catAx>
        <c:axId val="13614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6141824"/>
        <c:crosses val="autoZero"/>
        <c:auto val="1"/>
        <c:lblAlgn val="ctr"/>
        <c:lblOffset val="100"/>
      </c:catAx>
      <c:valAx>
        <c:axId val="136141824"/>
        <c:scaling>
          <c:orientation val="minMax"/>
        </c:scaling>
        <c:axPos val="l"/>
        <c:majorGridlines/>
        <c:numFmt formatCode="0.0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3614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6212283149"/>
          <c:y val="5.2192758993361184E-2"/>
          <c:w val="7.7368545379180989E-2"/>
          <c:h val="0.81545429983016826"/>
        </c:manualLayout>
      </c:layout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style val="7"/>
  <c:chart>
    <c:plotArea>
      <c:layout>
        <c:manualLayout>
          <c:layoutTarget val="inner"/>
          <c:xMode val="edge"/>
          <c:yMode val="edge"/>
          <c:x val="4.5826115239831933E-2"/>
          <c:y val="3.4477512344855202E-2"/>
          <c:w val="0.84771471885062233"/>
          <c:h val="0.80461363939677388"/>
        </c:manualLayout>
      </c:layout>
      <c:barChart>
        <c:barDir val="col"/>
        <c:grouping val="clustered"/>
        <c:ser>
          <c:idx val="1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chemeClr val="tx2"/>
            </a:solidFill>
          </c:spPr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('Voda-Paty'!$C$4:$C$11,'Voda-Paty'!$C$14)</c:f>
              <c:numCache>
                <c:formatCode>#,##0.0</c:formatCode>
                <c:ptCount val="9"/>
                <c:pt idx="0">
                  <c:v>68.399999999999977</c:v>
                </c:pt>
                <c:pt idx="1">
                  <c:v>117.79999999999995</c:v>
                </c:pt>
                <c:pt idx="2">
                  <c:v>99.100000000000136</c:v>
                </c:pt>
                <c:pt idx="3">
                  <c:v>88.900000000000091</c:v>
                </c:pt>
                <c:pt idx="4">
                  <c:v>66.899999999999977</c:v>
                </c:pt>
                <c:pt idx="5">
                  <c:v>87.799999999999955</c:v>
                </c:pt>
                <c:pt idx="6">
                  <c:v>78.100000000000136</c:v>
                </c:pt>
                <c:pt idx="7">
                  <c:v>99.799999999999955</c:v>
                </c:pt>
                <c:pt idx="8" formatCode="#,##0.000">
                  <c:v>0</c:v>
                </c:pt>
              </c:numCache>
            </c:numRef>
          </c:val>
        </c:ser>
        <c:ser>
          <c:idx val="0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('Voda-Paty'!$D$4:$D$11,'Voda-Paty'!$D$14)</c:f>
              <c:numCache>
                <c:formatCode>#,##0.0</c:formatCode>
                <c:ptCount val="9"/>
                <c:pt idx="0">
                  <c:v>61.299999999999955</c:v>
                </c:pt>
                <c:pt idx="1">
                  <c:v>117.70000000000005</c:v>
                </c:pt>
                <c:pt idx="2">
                  <c:v>88.399999999999864</c:v>
                </c:pt>
                <c:pt idx="3">
                  <c:v>80.599999999999909</c:v>
                </c:pt>
                <c:pt idx="4">
                  <c:v>59.799999999999955</c:v>
                </c:pt>
                <c:pt idx="5">
                  <c:v>85.400000000000091</c:v>
                </c:pt>
                <c:pt idx="6">
                  <c:v>75</c:v>
                </c:pt>
                <c:pt idx="7">
                  <c:v>84.100000000000136</c:v>
                </c:pt>
                <c:pt idx="8" formatCode="#,##0.000">
                  <c:v>0</c:v>
                </c:pt>
              </c:numCache>
            </c:numRef>
          </c:val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('Voda-Paty'!$E$4:$E$11,'Voda-Paty'!$E$14)</c:f>
              <c:numCache>
                <c:formatCode>#,##0.0</c:formatCode>
                <c:ptCount val="9"/>
                <c:pt idx="0">
                  <c:v>62.299999999999955</c:v>
                </c:pt>
                <c:pt idx="1">
                  <c:v>132.20000000000005</c:v>
                </c:pt>
                <c:pt idx="2">
                  <c:v>97.700000000000045</c:v>
                </c:pt>
                <c:pt idx="3">
                  <c:v>86.400000000000091</c:v>
                </c:pt>
                <c:pt idx="4">
                  <c:v>64</c:v>
                </c:pt>
                <c:pt idx="5">
                  <c:v>93.099999999999909</c:v>
                </c:pt>
                <c:pt idx="6">
                  <c:v>76.899999999999864</c:v>
                </c:pt>
                <c:pt idx="7">
                  <c:v>96.699999999999818</c:v>
                </c:pt>
                <c:pt idx="8" formatCode="#,##0.000">
                  <c:v>0</c:v>
                </c:pt>
              </c:numCache>
            </c:numRef>
          </c:val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('Voda-Paty'!$F$4:$F$11,'Voda-Paty'!$F$14)</c:f>
              <c:numCache>
                <c:formatCode>#,##0.0</c:formatCode>
                <c:ptCount val="9"/>
                <c:pt idx="0">
                  <c:v>64.100000000000136</c:v>
                </c:pt>
                <c:pt idx="1">
                  <c:v>115.30000000000018</c:v>
                </c:pt>
                <c:pt idx="2">
                  <c:v>94.100000000000136</c:v>
                </c:pt>
                <c:pt idx="3">
                  <c:v>74.594999999999914</c:v>
                </c:pt>
                <c:pt idx="4">
                  <c:v>51.5</c:v>
                </c:pt>
                <c:pt idx="5">
                  <c:v>93.700000000000045</c:v>
                </c:pt>
                <c:pt idx="6">
                  <c:v>89.400000000000091</c:v>
                </c:pt>
                <c:pt idx="7">
                  <c:v>101.60000000000014</c:v>
                </c:pt>
                <c:pt idx="8" formatCode="#,##0.000">
                  <c:v>4.9999999999954525E-3</c:v>
                </c:pt>
              </c:numCache>
            </c:numRef>
          </c:val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('Voda-Paty'!$G$4:$G$11,'Voda-Paty'!$G$14)</c:f>
              <c:numCache>
                <c:formatCode>#,##0.0</c:formatCode>
                <c:ptCount val="9"/>
                <c:pt idx="0">
                  <c:v>61.5</c:v>
                </c:pt>
                <c:pt idx="1">
                  <c:v>112.19999999999982</c:v>
                </c:pt>
                <c:pt idx="2">
                  <c:v>102.5</c:v>
                </c:pt>
                <c:pt idx="3">
                  <c:v>77.305000000000007</c:v>
                </c:pt>
                <c:pt idx="4">
                  <c:v>62.100000000000136</c:v>
                </c:pt>
                <c:pt idx="5">
                  <c:v>103.10000000000014</c:v>
                </c:pt>
                <c:pt idx="6">
                  <c:v>84.200000000000045</c:v>
                </c:pt>
                <c:pt idx="7">
                  <c:v>95</c:v>
                </c:pt>
                <c:pt idx="8" formatCode="#,##0.000">
                  <c:v>6.6949999999999932</c:v>
                </c:pt>
              </c:numCache>
            </c:numRef>
          </c:val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('Voda-Paty'!$H$4:$H$11,'Voda-Paty'!$H$14)</c:f>
              <c:numCache>
                <c:formatCode>#,##0.0</c:formatCode>
                <c:ptCount val="9"/>
                <c:pt idx="0">
                  <c:v>59.700000000000045</c:v>
                </c:pt>
                <c:pt idx="1">
                  <c:v>96.300000000000182</c:v>
                </c:pt>
                <c:pt idx="2">
                  <c:v>91.299999999999955</c:v>
                </c:pt>
                <c:pt idx="3">
                  <c:v>73.50100000000009</c:v>
                </c:pt>
                <c:pt idx="4">
                  <c:v>60.5</c:v>
                </c:pt>
                <c:pt idx="5">
                  <c:v>84.099999999999909</c:v>
                </c:pt>
                <c:pt idx="6">
                  <c:v>70.299999999999955</c:v>
                </c:pt>
                <c:pt idx="7">
                  <c:v>91.799999999999955</c:v>
                </c:pt>
                <c:pt idx="8" formatCode="#,##0.000">
                  <c:v>31.899000000000001</c:v>
                </c:pt>
              </c:numCache>
            </c:numRef>
          </c:val>
        </c:ser>
        <c:ser>
          <c:idx val="10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('Voda-Paty'!$I$4:$I$11,'Voda-Paty'!$I$14)</c:f>
              <c:numCache>
                <c:formatCode>#,##0.0</c:formatCode>
                <c:ptCount val="9"/>
                <c:pt idx="0">
                  <c:v>53.299999999999955</c:v>
                </c:pt>
                <c:pt idx="1">
                  <c:v>80.399999999999636</c:v>
                </c:pt>
                <c:pt idx="2">
                  <c:v>77.099999999999909</c:v>
                </c:pt>
                <c:pt idx="3">
                  <c:v>71.647999999999797</c:v>
                </c:pt>
                <c:pt idx="4">
                  <c:v>55.599999999999909</c:v>
                </c:pt>
                <c:pt idx="5">
                  <c:v>73.5</c:v>
                </c:pt>
                <c:pt idx="6">
                  <c:v>59.299999999999955</c:v>
                </c:pt>
                <c:pt idx="7">
                  <c:v>64.700000000000045</c:v>
                </c:pt>
                <c:pt idx="8" formatCode="#,##0.000">
                  <c:v>24.052000000000021</c:v>
                </c:pt>
              </c:numCache>
            </c:numRef>
          </c:val>
        </c:ser>
        <c:ser>
          <c:idx val="12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('Voda-Paty'!$J$4:$J$11,'Voda-Paty'!$J$14)</c:f>
              <c:numCache>
                <c:formatCode>#,##0.0</c:formatCode>
                <c:ptCount val="9"/>
                <c:pt idx="0">
                  <c:v>61.299999999999955</c:v>
                </c:pt>
                <c:pt idx="1">
                  <c:v>85.200000000000273</c:v>
                </c:pt>
                <c:pt idx="2">
                  <c:v>76.100000000000136</c:v>
                </c:pt>
                <c:pt idx="3">
                  <c:v>75.792000000000087</c:v>
                </c:pt>
                <c:pt idx="4">
                  <c:v>52.200000000000045</c:v>
                </c:pt>
                <c:pt idx="5">
                  <c:v>81.599999999999909</c:v>
                </c:pt>
                <c:pt idx="6">
                  <c:v>58.400000000000091</c:v>
                </c:pt>
                <c:pt idx="7">
                  <c:v>67.899999999999864</c:v>
                </c:pt>
                <c:pt idx="8" formatCode="#,##0.000">
                  <c:v>14.407999999999959</c:v>
                </c:pt>
              </c:numCache>
            </c:numRef>
          </c:val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('Voda-Paty'!$K$4:$K$11,'Voda-Paty'!$K$14)</c:f>
              <c:numCache>
                <c:formatCode>#,##0.0</c:formatCode>
                <c:ptCount val="9"/>
                <c:pt idx="0">
                  <c:v>57</c:v>
                </c:pt>
                <c:pt idx="1">
                  <c:v>80.900000000000091</c:v>
                </c:pt>
                <c:pt idx="2">
                  <c:v>87.5</c:v>
                </c:pt>
                <c:pt idx="3">
                  <c:v>71.271999999999821</c:v>
                </c:pt>
                <c:pt idx="4">
                  <c:v>59</c:v>
                </c:pt>
                <c:pt idx="5">
                  <c:v>79.599999999999909</c:v>
                </c:pt>
                <c:pt idx="6">
                  <c:v>61.099999999999909</c:v>
                </c:pt>
                <c:pt idx="7">
                  <c:v>75.900000000000091</c:v>
                </c:pt>
                <c:pt idx="8" formatCode="#,##0.000">
                  <c:v>9.1280000000000427</c:v>
                </c:pt>
              </c:numCache>
            </c:numRef>
          </c:val>
        </c:ser>
        <c:ser>
          <c:idx val="6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('Voda-Paty'!$L$4:$L$11,'Voda-Paty'!$L$14)</c:f>
              <c:numCache>
                <c:formatCode>#,##0.0</c:formatCode>
                <c:ptCount val="9"/>
                <c:pt idx="0">
                  <c:v>71.900000000000091</c:v>
                </c:pt>
                <c:pt idx="1">
                  <c:v>104.09999999999991</c:v>
                </c:pt>
                <c:pt idx="2">
                  <c:v>98.599999999999909</c:v>
                </c:pt>
                <c:pt idx="3">
                  <c:v>81.611000000000388</c:v>
                </c:pt>
                <c:pt idx="4">
                  <c:v>60.200000000000045</c:v>
                </c:pt>
                <c:pt idx="5">
                  <c:v>84.400000000000091</c:v>
                </c:pt>
                <c:pt idx="6">
                  <c:v>82.700000000000045</c:v>
                </c:pt>
                <c:pt idx="7">
                  <c:v>75.400000000000091</c:v>
                </c:pt>
                <c:pt idx="8" formatCode="#,##0.000">
                  <c:v>5.4889999999999759</c:v>
                </c:pt>
              </c:numCache>
            </c:numRef>
          </c:val>
        </c:ser>
        <c:ser>
          <c:idx val="7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('Voda-Paty'!$M$4:$M$11,'Voda-Paty'!$M$14)</c:f>
              <c:numCache>
                <c:formatCode>#,##0.0</c:formatCode>
                <c:ptCount val="9"/>
                <c:pt idx="0">
                  <c:v>66.099999999999909</c:v>
                </c:pt>
                <c:pt idx="1">
                  <c:v>86.900000000000091</c:v>
                </c:pt>
                <c:pt idx="2">
                  <c:v>97.300000000000182</c:v>
                </c:pt>
                <c:pt idx="3">
                  <c:v>75.599999999999909</c:v>
                </c:pt>
                <c:pt idx="4">
                  <c:v>65.5</c:v>
                </c:pt>
                <c:pt idx="5">
                  <c:v>83.099999999999909</c:v>
                </c:pt>
                <c:pt idx="6">
                  <c:v>81.599999999999909</c:v>
                </c:pt>
                <c:pt idx="7">
                  <c:v>79.599999999999909</c:v>
                </c:pt>
                <c:pt idx="8" formatCode="#,##0.000">
                  <c:v>0</c:v>
                </c:pt>
              </c:numCache>
            </c:numRef>
          </c:val>
        </c:ser>
        <c:ser>
          <c:idx val="9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('Voda-Paty'!$N$4:$N$11,'Voda-Paty'!$N$14)</c:f>
              <c:numCache>
                <c:formatCode>#,##0.0</c:formatCode>
                <c:ptCount val="9"/>
                <c:pt idx="0">
                  <c:v>66.799999999999955</c:v>
                </c:pt>
                <c:pt idx="1">
                  <c:v>93.799999999999727</c:v>
                </c:pt>
                <c:pt idx="2">
                  <c:v>95.699999999999818</c:v>
                </c:pt>
                <c:pt idx="3">
                  <c:v>81.299999999999727</c:v>
                </c:pt>
                <c:pt idx="4">
                  <c:v>65</c:v>
                </c:pt>
                <c:pt idx="5">
                  <c:v>80.700000000000273</c:v>
                </c:pt>
                <c:pt idx="6">
                  <c:v>87.200000000000045</c:v>
                </c:pt>
                <c:pt idx="7">
                  <c:v>83.400000000000091</c:v>
                </c:pt>
                <c:pt idx="8" formatCode="#,##0.000">
                  <c:v>0</c:v>
                </c:pt>
              </c:numCache>
            </c:numRef>
          </c:val>
        </c:ser>
        <c:axId val="78372224"/>
        <c:axId val="78972032"/>
      </c:barChart>
      <c:catAx>
        <c:axId val="7837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78972032"/>
        <c:crosses val="autoZero"/>
        <c:auto val="1"/>
        <c:lblAlgn val="ctr"/>
        <c:lblOffset val="100"/>
      </c:catAx>
      <c:valAx>
        <c:axId val="78972032"/>
        <c:scaling>
          <c:orientation val="minMax"/>
        </c:scaling>
        <c:axPos val="l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783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3299783307"/>
          <c:y val="1.8294408114239963E-2"/>
          <c:w val="7.6531432377634379E-2"/>
          <c:h val="0.94780724100663849"/>
        </c:manualLayout>
      </c:layout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plotArea>
      <c:layout>
        <c:manualLayout>
          <c:layoutTarget val="inner"/>
          <c:xMode val="edge"/>
          <c:yMode val="edge"/>
          <c:x val="0.15164883235749604"/>
          <c:y val="4.4543622918504513E-2"/>
          <c:w val="0.54653711555286"/>
          <c:h val="0.87943738360505752"/>
        </c:manualLayout>
      </c:layout>
      <c:barChart>
        <c:barDir val="col"/>
        <c:grouping val="clustered"/>
        <c:ser>
          <c:idx val="0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'Voda-Paty'!$C$12:$C$13</c:f>
              <c:numCache>
                <c:formatCode>#,##0.0</c:formatCode>
                <c:ptCount val="2"/>
                <c:pt idx="0">
                  <c:v>386.5</c:v>
                </c:pt>
                <c:pt idx="1">
                  <c:v>319.29999999999995</c:v>
                </c:pt>
              </c:numCache>
            </c:numRef>
          </c:val>
        </c:ser>
        <c:ser>
          <c:idx val="1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'Voda-Paty'!$D$12:$D$13</c:f>
              <c:numCache>
                <c:formatCode>#,##0.0</c:formatCode>
                <c:ptCount val="2"/>
                <c:pt idx="0">
                  <c:v>358.60000000000036</c:v>
                </c:pt>
                <c:pt idx="1">
                  <c:v>291.70000000000005</c:v>
                </c:pt>
              </c:numCache>
            </c:numRef>
          </c:val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'Voda-Paty'!$E$12:$E$13</c:f>
              <c:numCache>
                <c:formatCode>#,##0.0</c:formatCode>
                <c:ptCount val="2"/>
                <c:pt idx="0">
                  <c:v>389.10000000000036</c:v>
                </c:pt>
                <c:pt idx="1">
                  <c:v>317.79999999999995</c:v>
                </c:pt>
              </c:numCache>
            </c:numRef>
          </c:val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'Voda-Paty'!$F$12:$F$13</c:f>
              <c:numCache>
                <c:formatCode>#,##0.0</c:formatCode>
                <c:ptCount val="2"/>
                <c:pt idx="0">
                  <c:v>359.69999999999891</c:v>
                </c:pt>
                <c:pt idx="1">
                  <c:v>322.60000000000014</c:v>
                </c:pt>
              </c:numCache>
            </c:numRef>
          </c:val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'Voda-Paty'!$G$12:$G$13</c:f>
              <c:numCache>
                <c:formatCode>#,##0.0</c:formatCode>
                <c:ptCount val="2"/>
                <c:pt idx="0">
                  <c:v>377.39999999999964</c:v>
                </c:pt>
                <c:pt idx="1">
                  <c:v>328.40000000000009</c:v>
                </c:pt>
              </c:numCache>
            </c:numRef>
          </c:val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'Voda-Paty'!$H$12:$H$13</c:f>
              <c:numCache>
                <c:formatCode>#,##0.0</c:formatCode>
                <c:ptCount val="2"/>
                <c:pt idx="0">
                  <c:v>378.30000000000109</c:v>
                </c:pt>
                <c:pt idx="1">
                  <c:v>293.5</c:v>
                </c:pt>
              </c:numCache>
            </c:numRef>
          </c:val>
        </c:ser>
        <c:ser>
          <c:idx val="6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'Voda-Paty'!$I$12:$I$13</c:f>
              <c:numCache>
                <c:formatCode>#,##0.0</c:formatCode>
                <c:ptCount val="2"/>
                <c:pt idx="0">
                  <c:v>333.5</c:v>
                </c:pt>
                <c:pt idx="1">
                  <c:v>242.09999999999991</c:v>
                </c:pt>
              </c:numCache>
            </c:numRef>
          </c:val>
        </c:ser>
        <c:ser>
          <c:idx val="7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'Voda-Paty'!$J$12:$J$13</c:f>
              <c:numCache>
                <c:formatCode>#,##0.0</c:formatCode>
                <c:ptCount val="2"/>
                <c:pt idx="0">
                  <c:v>334.39999999999964</c:v>
                </c:pt>
                <c:pt idx="1">
                  <c:v>249.09999999999991</c:v>
                </c:pt>
              </c:numCache>
            </c:numRef>
          </c:val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'Voda-Paty'!$K$12:$K$13</c:f>
              <c:numCache>
                <c:formatCode>#,##0.0</c:formatCode>
                <c:ptCount val="2"/>
                <c:pt idx="0">
                  <c:v>324.79999999999927</c:v>
                </c:pt>
                <c:pt idx="1">
                  <c:v>263.59999999999991</c:v>
                </c:pt>
              </c:numCache>
            </c:numRef>
          </c:val>
        </c:ser>
        <c:ser>
          <c:idx val="9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'Voda-Paty'!$L$12:$L$13</c:f>
              <c:numCache>
                <c:formatCode>#,##0.0</c:formatCode>
                <c:ptCount val="2"/>
                <c:pt idx="0">
                  <c:v>378.10000000000036</c:v>
                </c:pt>
                <c:pt idx="1">
                  <c:v>289.70000000000027</c:v>
                </c:pt>
              </c:numCache>
            </c:numRef>
          </c:val>
        </c:ser>
        <c:ser>
          <c:idx val="10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'Voda-Paty'!$M$12:$M$13</c:f>
              <c:numCache>
                <c:formatCode>#,##0.0</c:formatCode>
                <c:ptCount val="2"/>
                <c:pt idx="0">
                  <c:v>342.60000000000036</c:v>
                </c:pt>
                <c:pt idx="1">
                  <c:v>297.19999999999982</c:v>
                </c:pt>
              </c:numCache>
            </c:numRef>
          </c:val>
        </c:ser>
        <c:ser>
          <c:idx val="11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'Voda-Paty'!$N$12:$N$13</c:f>
              <c:numCache>
                <c:formatCode>#,##0.0</c:formatCode>
                <c:ptCount val="2"/>
                <c:pt idx="0">
                  <c:v>353</c:v>
                </c:pt>
                <c:pt idx="1">
                  <c:v>305</c:v>
                </c:pt>
              </c:numCache>
            </c:numRef>
          </c:val>
        </c:ser>
        <c:axId val="137564160"/>
        <c:axId val="137565696"/>
      </c:barChart>
      <c:catAx>
        <c:axId val="137564160"/>
        <c:scaling>
          <c:orientation val="minMax"/>
        </c:scaling>
        <c:axPos val="b"/>
        <c:tickLblPos val="nextTo"/>
        <c:crossAx val="137565696"/>
        <c:crosses val="autoZero"/>
        <c:auto val="1"/>
        <c:lblAlgn val="ctr"/>
        <c:lblOffset val="100"/>
      </c:catAx>
      <c:valAx>
        <c:axId val="137565696"/>
        <c:scaling>
          <c:orientation val="minMax"/>
        </c:scaling>
        <c:axPos val="l"/>
        <c:majorGridlines/>
        <c:numFmt formatCode="#,##0.0" sourceLinked="1"/>
        <c:tickLblPos val="nextTo"/>
        <c:crossAx val="1375641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22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2215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9525</xdr:rowOff>
    </xdr:from>
    <xdr:to>
      <xdr:col>10</xdr:col>
      <xdr:colOff>561975</xdr:colOff>
      <xdr:row>52</xdr:row>
      <xdr:rowOff>0</xdr:rowOff>
    </xdr:to>
    <xdr:graphicFrame macro="">
      <xdr:nvGraphicFramePr>
        <xdr:cNvPr id="17449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0</xdr:rowOff>
    </xdr:from>
    <xdr:to>
      <xdr:col>22</xdr:col>
      <xdr:colOff>171450</xdr:colOff>
      <xdr:row>51</xdr:row>
      <xdr:rowOff>180975</xdr:rowOff>
    </xdr:to>
    <xdr:graphicFrame macro="">
      <xdr:nvGraphicFramePr>
        <xdr:cNvPr id="174491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17449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17449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14</xdr:row>
      <xdr:rowOff>133350</xdr:rowOff>
    </xdr:from>
    <xdr:to>
      <xdr:col>3</xdr:col>
      <xdr:colOff>828675</xdr:colOff>
      <xdr:row>14</xdr:row>
      <xdr:rowOff>134938</xdr:rowOff>
    </xdr:to>
    <xdr:cxnSp macro="">
      <xdr:nvCxnSpPr>
        <xdr:cNvPr id="3" name="Přímá spojovací šipka 2"/>
        <xdr:cNvCxnSpPr/>
      </xdr:nvCxnSpPr>
      <xdr:spPr bwMode="auto">
        <a:xfrm>
          <a:off x="4229100" y="3343275"/>
          <a:ext cx="771525" cy="1588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27</xdr:row>
      <xdr:rowOff>114300</xdr:rowOff>
    </xdr:from>
    <xdr:to>
      <xdr:col>14</xdr:col>
      <xdr:colOff>19050</xdr:colOff>
      <xdr:row>41</xdr:row>
      <xdr:rowOff>38100</xdr:rowOff>
    </xdr:to>
    <xdr:graphicFrame macro="">
      <xdr:nvGraphicFramePr>
        <xdr:cNvPr id="1630229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14</xdr:row>
      <xdr:rowOff>95250</xdr:rowOff>
    </xdr:from>
    <xdr:to>
      <xdr:col>15</xdr:col>
      <xdr:colOff>19050</xdr:colOff>
      <xdr:row>26</xdr:row>
      <xdr:rowOff>57150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3</xdr:row>
      <xdr:rowOff>104775</xdr:rowOff>
    </xdr:from>
    <xdr:to>
      <xdr:col>20</xdr:col>
      <xdr:colOff>152400</xdr:colOff>
      <xdr:row>25</xdr:row>
      <xdr:rowOff>9525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5"/>
  <sheetViews>
    <sheetView topLeftCell="A16" workbookViewId="0">
      <selection activeCell="O2" sqref="O2"/>
    </sheetView>
  </sheetViews>
  <sheetFormatPr defaultRowHeight="15"/>
  <cols>
    <col min="1" max="1" width="8.5703125" style="166" customWidth="1"/>
    <col min="2" max="2" width="26.140625" customWidth="1"/>
    <col min="3" max="15" width="10.140625" customWidth="1"/>
    <col min="16" max="16" width="12.28515625" bestFit="1" customWidth="1"/>
    <col min="17" max="17" width="10" bestFit="1" customWidth="1"/>
    <col min="18" max="18" width="9.42578125" bestFit="1" customWidth="1"/>
    <col min="19" max="19" width="3.28515625" customWidth="1"/>
  </cols>
  <sheetData>
    <row r="1" spans="1:32" ht="15.75" thickBot="1"/>
    <row r="2" spans="1:32" s="1" customFormat="1" ht="21" customHeight="1" thickBot="1">
      <c r="A2" s="161">
        <v>1850</v>
      </c>
      <c r="B2" s="2"/>
      <c r="C2" s="3">
        <v>44197</v>
      </c>
      <c r="D2" s="4">
        <v>44228</v>
      </c>
      <c r="E2" s="4">
        <v>44256</v>
      </c>
      <c r="F2" s="4">
        <v>44286</v>
      </c>
      <c r="G2" s="4">
        <v>44316</v>
      </c>
      <c r="H2" s="4">
        <v>44348</v>
      </c>
      <c r="I2" s="4">
        <v>44379</v>
      </c>
      <c r="J2" s="4">
        <v>44410</v>
      </c>
      <c r="K2" s="4">
        <v>44441</v>
      </c>
      <c r="L2" s="4">
        <v>44470</v>
      </c>
      <c r="M2" s="4">
        <v>44501</v>
      </c>
      <c r="N2" s="4">
        <v>44531</v>
      </c>
      <c r="O2" s="4">
        <v>44562</v>
      </c>
      <c r="P2" s="1" t="s">
        <v>0</v>
      </c>
      <c r="Q2" s="1" t="s">
        <v>1</v>
      </c>
      <c r="U2" s="198"/>
      <c r="V2" s="199"/>
      <c r="W2" s="199"/>
      <c r="X2" s="199"/>
      <c r="Y2" s="199" t="s">
        <v>287</v>
      </c>
      <c r="Z2" s="199"/>
      <c r="AA2" s="199"/>
      <c r="AB2" s="199"/>
      <c r="AC2" s="199"/>
      <c r="AD2" s="205"/>
      <c r="AE2" s="205"/>
      <c r="AF2" s="206"/>
    </row>
    <row r="3" spans="1:32" s="1" customFormat="1" ht="15.75" thickBot="1">
      <c r="A3" s="162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166</v>
      </c>
      <c r="Q3" s="1" t="s">
        <v>165</v>
      </c>
      <c r="T3" s="1" t="s">
        <v>286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2" t="s">
        <v>13</v>
      </c>
      <c r="AE3" s="162" t="s">
        <v>14</v>
      </c>
      <c r="AF3" s="162" t="s">
        <v>3</v>
      </c>
    </row>
    <row r="4" spans="1:32" ht="15.75" thickBot="1">
      <c r="A4" s="289">
        <v>1</v>
      </c>
      <c r="B4" s="7" t="s">
        <v>192</v>
      </c>
      <c r="C4" s="8">
        <v>19.242999999999999</v>
      </c>
      <c r="D4" s="8">
        <v>20.568999999999999</v>
      </c>
      <c r="E4" s="8">
        <v>21.481999999999999</v>
      </c>
      <c r="F4" s="8">
        <v>22.18</v>
      </c>
      <c r="G4" s="8">
        <v>22.725000000000001</v>
      </c>
      <c r="H4" s="8">
        <v>23.582000000000001</v>
      </c>
      <c r="I4" s="8">
        <v>24.655000000000001</v>
      </c>
      <c r="J4" s="8">
        <v>25.497</v>
      </c>
      <c r="K4" s="8">
        <v>27.026</v>
      </c>
      <c r="L4" s="9">
        <v>27.442</v>
      </c>
      <c r="M4" s="8">
        <v>28.891999999999999</v>
      </c>
      <c r="N4" s="8">
        <v>29.709</v>
      </c>
      <c r="O4" s="8">
        <v>29.98</v>
      </c>
      <c r="P4" s="10">
        <f>O4-C4</f>
        <v>10.737000000000002</v>
      </c>
      <c r="T4" s="1">
        <v>1</v>
      </c>
      <c r="U4" s="200">
        <f t="shared" ref="U4:AF4" si="0">D4-C4</f>
        <v>1.3260000000000005</v>
      </c>
      <c r="V4" s="200">
        <f t="shared" si="0"/>
        <v>0.91300000000000026</v>
      </c>
      <c r="W4" s="200">
        <f t="shared" si="0"/>
        <v>0.6980000000000004</v>
      </c>
      <c r="X4" s="200">
        <f t="shared" si="0"/>
        <v>0.54500000000000171</v>
      </c>
      <c r="Y4" s="200">
        <f t="shared" si="0"/>
        <v>0.85699999999999932</v>
      </c>
      <c r="Z4" s="200">
        <f t="shared" si="0"/>
        <v>1.0730000000000004</v>
      </c>
      <c r="AA4" s="200">
        <f t="shared" si="0"/>
        <v>0.84199999999999875</v>
      </c>
      <c r="AB4" s="200">
        <f t="shared" si="0"/>
        <v>1.5289999999999999</v>
      </c>
      <c r="AC4" s="200">
        <f t="shared" si="0"/>
        <v>0.41600000000000037</v>
      </c>
      <c r="AD4" s="200">
        <f t="shared" si="0"/>
        <v>1.4499999999999993</v>
      </c>
      <c r="AE4" s="200">
        <f t="shared" si="0"/>
        <v>0.81700000000000017</v>
      </c>
      <c r="AF4" s="200">
        <f t="shared" si="0"/>
        <v>0.2710000000000008</v>
      </c>
    </row>
    <row r="5" spans="1:32">
      <c r="A5" s="289"/>
      <c r="B5" s="11" t="s">
        <v>15</v>
      </c>
      <c r="C5" s="12">
        <v>48.868000000000002</v>
      </c>
      <c r="D5" s="12">
        <v>53.713999999999999</v>
      </c>
      <c r="E5" s="12">
        <v>57.69</v>
      </c>
      <c r="F5" s="12">
        <v>60.988</v>
      </c>
      <c r="G5" s="12">
        <v>62.63</v>
      </c>
      <c r="H5" s="12">
        <v>63.173000000000002</v>
      </c>
      <c r="I5" s="12">
        <v>63.396000000000001</v>
      </c>
      <c r="J5" s="12">
        <v>63.591000000000001</v>
      </c>
      <c r="K5" s="12">
        <v>63.826999999999998</v>
      </c>
      <c r="L5" s="13">
        <v>64.019000000000005</v>
      </c>
      <c r="M5" s="12">
        <v>64.938999999999993</v>
      </c>
      <c r="N5" s="12">
        <v>3.3919999999999999</v>
      </c>
      <c r="O5" s="12">
        <v>4.3849999999999998</v>
      </c>
      <c r="P5" s="10"/>
      <c r="Q5" s="10">
        <f>O5+M5-C5</f>
        <v>20.455999999999996</v>
      </c>
      <c r="T5" s="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</row>
    <row r="6" spans="1:32">
      <c r="A6" s="288">
        <v>2</v>
      </c>
      <c r="B6" s="11" t="s">
        <v>193</v>
      </c>
      <c r="C6" s="12">
        <v>237.95</v>
      </c>
      <c r="D6" s="12">
        <v>257.11200000000002</v>
      </c>
      <c r="E6" s="12">
        <v>273.84500000000003</v>
      </c>
      <c r="F6" s="12">
        <v>290.81099999999998</v>
      </c>
      <c r="G6" s="12">
        <v>307.09500000000003</v>
      </c>
      <c r="H6" s="12">
        <v>322.73399999999998</v>
      </c>
      <c r="I6" s="12">
        <v>336.84</v>
      </c>
      <c r="J6" s="12">
        <v>344.48500000000001</v>
      </c>
      <c r="K6" s="12">
        <v>358.63099999999997</v>
      </c>
      <c r="L6" s="12">
        <v>372.00099999999998</v>
      </c>
      <c r="M6" s="12">
        <v>389.88299999999998</v>
      </c>
      <c r="N6" s="12">
        <v>405.27199999999999</v>
      </c>
      <c r="O6" s="12">
        <v>419.04</v>
      </c>
      <c r="P6" s="10">
        <f>O6-C6</f>
        <v>181.09000000000003</v>
      </c>
      <c r="T6" s="1">
        <v>2</v>
      </c>
      <c r="U6" s="202">
        <f t="shared" ref="U6:AF6" si="1">D6-C6</f>
        <v>19.162000000000035</v>
      </c>
      <c r="V6" s="202">
        <f t="shared" si="1"/>
        <v>16.733000000000004</v>
      </c>
      <c r="W6" s="202">
        <f t="shared" si="1"/>
        <v>16.965999999999951</v>
      </c>
      <c r="X6" s="202">
        <f t="shared" si="1"/>
        <v>16.284000000000049</v>
      </c>
      <c r="Y6" s="202">
        <f t="shared" si="1"/>
        <v>15.638999999999953</v>
      </c>
      <c r="Z6" s="202">
        <f t="shared" si="1"/>
        <v>14.105999999999995</v>
      </c>
      <c r="AA6" s="202">
        <f t="shared" si="1"/>
        <v>7.6450000000000387</v>
      </c>
      <c r="AB6" s="202">
        <f t="shared" si="1"/>
        <v>14.145999999999958</v>
      </c>
      <c r="AC6" s="202">
        <f t="shared" si="1"/>
        <v>13.370000000000005</v>
      </c>
      <c r="AD6" s="202">
        <f t="shared" si="1"/>
        <v>17.882000000000005</v>
      </c>
      <c r="AE6" s="202">
        <f t="shared" si="1"/>
        <v>15.38900000000001</v>
      </c>
      <c r="AF6" s="202">
        <f t="shared" si="1"/>
        <v>13.768000000000029</v>
      </c>
    </row>
    <row r="7" spans="1:32">
      <c r="A7" s="288"/>
      <c r="B7" s="11" t="s">
        <v>16</v>
      </c>
      <c r="C7" s="12">
        <v>88.085999999999999</v>
      </c>
      <c r="D7" s="12">
        <v>92.165000000000006</v>
      </c>
      <c r="E7" s="12">
        <v>95.813000000000002</v>
      </c>
      <c r="F7" s="12">
        <v>98.766999999999996</v>
      </c>
      <c r="G7" s="12">
        <v>100.937</v>
      </c>
      <c r="H7" s="12">
        <v>101.764</v>
      </c>
      <c r="I7" s="12">
        <v>102.224</v>
      </c>
      <c r="J7" s="12">
        <v>102.38200000000001</v>
      </c>
      <c r="K7" s="12">
        <v>102.73399999999999</v>
      </c>
      <c r="L7" s="12">
        <v>103.188</v>
      </c>
      <c r="M7" s="12">
        <v>104.553</v>
      </c>
      <c r="N7" s="12">
        <v>4.0039999999999996</v>
      </c>
      <c r="O7" s="12">
        <v>9.4320000000000004</v>
      </c>
      <c r="P7" s="10"/>
      <c r="Q7" s="10">
        <f t="shared" ref="Q7:Q21" si="2">O7+M7-C7</f>
        <v>25.899000000000001</v>
      </c>
      <c r="T7" s="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</row>
    <row r="8" spans="1:32">
      <c r="A8" s="288">
        <v>3</v>
      </c>
      <c r="B8" s="11" t="s">
        <v>194</v>
      </c>
      <c r="C8" s="12">
        <v>93.174999999999997</v>
      </c>
      <c r="D8" s="12">
        <v>99.537999999999997</v>
      </c>
      <c r="E8" s="12">
        <v>105.40300000000001</v>
      </c>
      <c r="F8" s="12">
        <v>111.27500000000001</v>
      </c>
      <c r="G8" s="12">
        <v>116.824</v>
      </c>
      <c r="H8" s="12">
        <v>122.66</v>
      </c>
      <c r="I8" s="12">
        <v>128.11000000000001</v>
      </c>
      <c r="J8" s="12">
        <v>132.84399999999999</v>
      </c>
      <c r="K8" s="12">
        <v>139.125</v>
      </c>
      <c r="L8" s="12">
        <v>143.26499999999999</v>
      </c>
      <c r="M8" s="12">
        <v>149.19</v>
      </c>
      <c r="N8" s="12">
        <v>154.30799999999999</v>
      </c>
      <c r="O8" s="12">
        <v>159.80799999999999</v>
      </c>
      <c r="P8" s="10">
        <f>O8-C8</f>
        <v>66.632999999999996</v>
      </c>
      <c r="T8" s="1">
        <v>3</v>
      </c>
      <c r="U8" s="202">
        <f t="shared" ref="U8:AF8" si="3">D8-C8</f>
        <v>6.3629999999999995</v>
      </c>
      <c r="V8" s="202">
        <f t="shared" si="3"/>
        <v>5.8650000000000091</v>
      </c>
      <c r="W8" s="202">
        <f t="shared" si="3"/>
        <v>5.8719999999999999</v>
      </c>
      <c r="X8" s="202">
        <f t="shared" si="3"/>
        <v>5.5489999999999924</v>
      </c>
      <c r="Y8" s="202">
        <f t="shared" si="3"/>
        <v>5.8359999999999985</v>
      </c>
      <c r="Z8" s="202">
        <f t="shared" si="3"/>
        <v>5.4500000000000171</v>
      </c>
      <c r="AA8" s="202">
        <f t="shared" si="3"/>
        <v>4.7339999999999804</v>
      </c>
      <c r="AB8" s="202">
        <f t="shared" si="3"/>
        <v>6.2810000000000059</v>
      </c>
      <c r="AC8" s="202">
        <f t="shared" si="3"/>
        <v>4.1399999999999864</v>
      </c>
      <c r="AD8" s="202">
        <f t="shared" si="3"/>
        <v>5.9250000000000114</v>
      </c>
      <c r="AE8" s="202">
        <f t="shared" si="3"/>
        <v>5.117999999999995</v>
      </c>
      <c r="AF8" s="202">
        <f t="shared" si="3"/>
        <v>5.5</v>
      </c>
    </row>
    <row r="9" spans="1:32">
      <c r="A9" s="288"/>
      <c r="B9" s="11" t="s">
        <v>17</v>
      </c>
      <c r="C9" s="12">
        <v>72.679000000000002</v>
      </c>
      <c r="D9" s="12">
        <v>76.135000000000005</v>
      </c>
      <c r="E9" s="12">
        <v>79.069000000000003</v>
      </c>
      <c r="F9" s="12">
        <v>81.394999999999996</v>
      </c>
      <c r="G9" s="12">
        <v>83.406000000000006</v>
      </c>
      <c r="H9" s="12">
        <v>84.483000000000004</v>
      </c>
      <c r="I9" s="12">
        <v>84.888999999999996</v>
      </c>
      <c r="J9" s="12">
        <v>85.221000000000004</v>
      </c>
      <c r="K9" s="12">
        <v>85.674999999999997</v>
      </c>
      <c r="L9" s="12">
        <v>86.001000000000005</v>
      </c>
      <c r="M9" s="12">
        <v>87.257999999999996</v>
      </c>
      <c r="N9" s="12">
        <v>2.0249999999999999</v>
      </c>
      <c r="O9" s="12">
        <v>5.5529999999999999</v>
      </c>
      <c r="P9" s="10"/>
      <c r="Q9" s="10">
        <f t="shared" ref="Q9:Q21" si="4">O9+M9-C9</f>
        <v>20.131999999999991</v>
      </c>
      <c r="T9" s="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</row>
    <row r="10" spans="1:32">
      <c r="A10" s="288">
        <v>4</v>
      </c>
      <c r="B10" s="11" t="s">
        <v>195</v>
      </c>
      <c r="C10" s="12">
        <v>123.69799999999999</v>
      </c>
      <c r="D10" s="12">
        <v>133.59</v>
      </c>
      <c r="E10" s="12">
        <v>142.38499999999999</v>
      </c>
      <c r="F10" s="12">
        <v>151.352</v>
      </c>
      <c r="G10" s="12">
        <v>160.005</v>
      </c>
      <c r="H10" s="12">
        <v>168.96</v>
      </c>
      <c r="I10" s="12">
        <v>177.71</v>
      </c>
      <c r="J10" s="12">
        <v>184.74799999999999</v>
      </c>
      <c r="K10" s="12">
        <v>191.96299999999999</v>
      </c>
      <c r="L10" s="12">
        <v>198.934</v>
      </c>
      <c r="M10" s="12">
        <v>207.04400000000001</v>
      </c>
      <c r="N10" s="12">
        <v>216.011</v>
      </c>
      <c r="O10" s="12">
        <v>227.48099999999999</v>
      </c>
      <c r="P10" s="10">
        <f>O10-C10</f>
        <v>103.783</v>
      </c>
      <c r="T10" s="1">
        <v>4</v>
      </c>
      <c r="U10" s="202">
        <f t="shared" ref="U10:AF10" si="5">D10-C10</f>
        <v>9.8920000000000101</v>
      </c>
      <c r="V10" s="202">
        <f t="shared" si="5"/>
        <v>8.7949999999999875</v>
      </c>
      <c r="W10" s="202">
        <f t="shared" si="5"/>
        <v>8.967000000000013</v>
      </c>
      <c r="X10" s="202">
        <f t="shared" si="5"/>
        <v>8.6529999999999916</v>
      </c>
      <c r="Y10" s="202">
        <f t="shared" si="5"/>
        <v>8.9550000000000125</v>
      </c>
      <c r="Z10" s="202">
        <f t="shared" si="5"/>
        <v>8.75</v>
      </c>
      <c r="AA10" s="202">
        <f t="shared" si="5"/>
        <v>7.0379999999999825</v>
      </c>
      <c r="AB10" s="202">
        <f t="shared" si="5"/>
        <v>7.2150000000000034</v>
      </c>
      <c r="AC10" s="202">
        <f t="shared" si="5"/>
        <v>6.9710000000000036</v>
      </c>
      <c r="AD10" s="202">
        <f t="shared" si="5"/>
        <v>8.1100000000000136</v>
      </c>
      <c r="AE10" s="202">
        <f t="shared" si="5"/>
        <v>8.9669999999999845</v>
      </c>
      <c r="AF10" s="202">
        <f t="shared" si="5"/>
        <v>11.469999999999999</v>
      </c>
    </row>
    <row r="11" spans="1:32">
      <c r="A11" s="288"/>
      <c r="B11" s="11" t="s">
        <v>18</v>
      </c>
      <c r="C11" s="12">
        <v>42.203000000000003</v>
      </c>
      <c r="D11" s="12">
        <v>45.033999999999999</v>
      </c>
      <c r="E11" s="12">
        <v>47.509</v>
      </c>
      <c r="F11" s="12">
        <v>49.363</v>
      </c>
      <c r="G11" s="12">
        <v>50.789000000000001</v>
      </c>
      <c r="H11" s="12">
        <v>51.731999999999999</v>
      </c>
      <c r="I11" s="12">
        <v>52.344999999999999</v>
      </c>
      <c r="J11" s="12">
        <v>52.837000000000003</v>
      </c>
      <c r="K11" s="12">
        <v>53.439</v>
      </c>
      <c r="L11" s="12">
        <v>54.021999999999998</v>
      </c>
      <c r="M11" s="12">
        <v>55.070999999999998</v>
      </c>
      <c r="N11" s="12">
        <v>1.728</v>
      </c>
      <c r="O11" s="12">
        <v>4.2050000000000001</v>
      </c>
      <c r="P11" s="10"/>
      <c r="Q11" s="10">
        <f t="shared" ref="Q11:Q21" si="6">O11+M11-C11</f>
        <v>17.072999999999993</v>
      </c>
      <c r="T11" s="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</row>
    <row r="12" spans="1:32">
      <c r="A12" s="288">
        <v>5</v>
      </c>
      <c r="B12" s="11" t="s">
        <v>196</v>
      </c>
      <c r="C12" s="12">
        <v>88.4</v>
      </c>
      <c r="D12" s="12">
        <v>93.837000000000003</v>
      </c>
      <c r="E12" s="12">
        <v>100.215</v>
      </c>
      <c r="F12" s="12">
        <v>106.95</v>
      </c>
      <c r="G12" s="12">
        <v>113.65</v>
      </c>
      <c r="H12" s="12">
        <v>120.398</v>
      </c>
      <c r="I12" s="12">
        <v>127.044</v>
      </c>
      <c r="J12" s="12">
        <v>134.99799999999999</v>
      </c>
      <c r="K12" s="12">
        <v>141.79300000000001</v>
      </c>
      <c r="L12" s="12">
        <v>148.77099999999999</v>
      </c>
      <c r="M12" s="12">
        <v>156.95599999999999</v>
      </c>
      <c r="N12" s="12">
        <v>165.03899999999999</v>
      </c>
      <c r="O12" s="12">
        <v>170.846</v>
      </c>
      <c r="P12" s="10">
        <f>O12-C12</f>
        <v>82.445999999999998</v>
      </c>
      <c r="T12" s="1">
        <v>5</v>
      </c>
      <c r="U12" s="202">
        <f t="shared" ref="U12:AF12" si="7">D12-C12</f>
        <v>5.4369999999999976</v>
      </c>
      <c r="V12" s="202">
        <f t="shared" si="7"/>
        <v>6.3780000000000001</v>
      </c>
      <c r="W12" s="202">
        <f t="shared" si="7"/>
        <v>6.7349999999999994</v>
      </c>
      <c r="X12" s="202">
        <f t="shared" si="7"/>
        <v>6.7000000000000028</v>
      </c>
      <c r="Y12" s="202">
        <f t="shared" si="7"/>
        <v>6.7479999999999905</v>
      </c>
      <c r="Z12" s="202">
        <f t="shared" si="7"/>
        <v>6.6460000000000008</v>
      </c>
      <c r="AA12" s="202">
        <f t="shared" si="7"/>
        <v>7.9539999999999935</v>
      </c>
      <c r="AB12" s="202">
        <f t="shared" si="7"/>
        <v>6.7950000000000159</v>
      </c>
      <c r="AC12" s="202">
        <f t="shared" si="7"/>
        <v>6.9779999999999802</v>
      </c>
      <c r="AD12" s="202">
        <f t="shared" si="7"/>
        <v>8.1850000000000023</v>
      </c>
      <c r="AE12" s="202">
        <f t="shared" si="7"/>
        <v>8.0829999999999984</v>
      </c>
      <c r="AF12" s="202">
        <f t="shared" si="7"/>
        <v>5.8070000000000164</v>
      </c>
    </row>
    <row r="13" spans="1:32">
      <c r="A13" s="288"/>
      <c r="B13" s="11" t="s">
        <v>19</v>
      </c>
      <c r="C13" s="12">
        <v>62.988</v>
      </c>
      <c r="D13" s="12">
        <v>66.941999999999993</v>
      </c>
      <c r="E13" s="12">
        <v>71.021000000000001</v>
      </c>
      <c r="F13" s="12">
        <v>74.715000000000003</v>
      </c>
      <c r="G13" s="12">
        <v>76.828999999999994</v>
      </c>
      <c r="H13" s="12">
        <v>77.679000000000002</v>
      </c>
      <c r="I13" s="12">
        <v>78.097999999999999</v>
      </c>
      <c r="J13" s="12">
        <v>78.501999999999995</v>
      </c>
      <c r="K13" s="12">
        <v>78.879000000000005</v>
      </c>
      <c r="L13" s="12">
        <v>79.332999999999998</v>
      </c>
      <c r="M13" s="12">
        <v>79.861000000000004</v>
      </c>
      <c r="N13" s="12">
        <v>2.2650000000000001</v>
      </c>
      <c r="O13" s="12">
        <v>5.1289999999999996</v>
      </c>
      <c r="P13" s="10"/>
      <c r="Q13" s="10">
        <f t="shared" ref="Q13:Q21" si="8">O13+M13-C13</f>
        <v>22.00200000000001</v>
      </c>
      <c r="T13" s="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</row>
    <row r="14" spans="1:32">
      <c r="A14" s="288">
        <v>6</v>
      </c>
      <c r="B14" s="11" t="s">
        <v>197</v>
      </c>
      <c r="C14" s="12">
        <v>96.983000000000004</v>
      </c>
      <c r="D14" s="12">
        <v>104.33</v>
      </c>
      <c r="E14" s="12">
        <v>111.02</v>
      </c>
      <c r="F14" s="12">
        <v>119.217</v>
      </c>
      <c r="G14" s="12">
        <v>128.00800000000001</v>
      </c>
      <c r="H14" s="12">
        <v>132.55199999999999</v>
      </c>
      <c r="I14" s="12">
        <v>139.608</v>
      </c>
      <c r="J14" s="12">
        <v>148.20099999999999</v>
      </c>
      <c r="K14" s="12">
        <v>157.16900000000001</v>
      </c>
      <c r="L14" s="12">
        <v>164.73500000000001</v>
      </c>
      <c r="M14" s="12">
        <v>175.02500000000001</v>
      </c>
      <c r="N14" s="12">
        <v>184.60599999999999</v>
      </c>
      <c r="O14" s="12">
        <v>196.91800000000001</v>
      </c>
      <c r="P14" s="10">
        <f>O14-C14</f>
        <v>99.935000000000002</v>
      </c>
      <c r="T14" s="1">
        <v>6</v>
      </c>
      <c r="U14" s="202">
        <f t="shared" ref="U14:AF14" si="9">D14-C14</f>
        <v>7.3469999999999942</v>
      </c>
      <c r="V14" s="202">
        <f t="shared" si="9"/>
        <v>6.6899999999999977</v>
      </c>
      <c r="W14" s="202">
        <f t="shared" si="9"/>
        <v>8.1970000000000027</v>
      </c>
      <c r="X14" s="202">
        <f t="shared" si="9"/>
        <v>8.791000000000011</v>
      </c>
      <c r="Y14" s="202">
        <f t="shared" si="9"/>
        <v>4.5439999999999827</v>
      </c>
      <c r="Z14" s="202">
        <f t="shared" si="9"/>
        <v>7.0560000000000116</v>
      </c>
      <c r="AA14" s="202">
        <f t="shared" si="9"/>
        <v>8.5929999999999893</v>
      </c>
      <c r="AB14" s="202">
        <f t="shared" si="9"/>
        <v>8.9680000000000177</v>
      </c>
      <c r="AC14" s="202">
        <f t="shared" si="9"/>
        <v>7.5660000000000025</v>
      </c>
      <c r="AD14" s="202">
        <f t="shared" si="9"/>
        <v>10.289999999999992</v>
      </c>
      <c r="AE14" s="202">
        <f t="shared" si="9"/>
        <v>9.5809999999999889</v>
      </c>
      <c r="AF14" s="202">
        <f t="shared" si="9"/>
        <v>12.312000000000012</v>
      </c>
    </row>
    <row r="15" spans="1:32">
      <c r="A15" s="288"/>
      <c r="B15" s="11" t="s">
        <v>20</v>
      </c>
      <c r="C15" s="12">
        <v>92.789000000000001</v>
      </c>
      <c r="D15" s="12">
        <v>98.457999999999998</v>
      </c>
      <c r="E15" s="12">
        <v>103.255</v>
      </c>
      <c r="F15" s="12">
        <v>107.78</v>
      </c>
      <c r="G15" s="12">
        <v>110.551</v>
      </c>
      <c r="H15" s="12">
        <v>111.22</v>
      </c>
      <c r="I15" s="12">
        <v>111.705</v>
      </c>
      <c r="J15" s="12">
        <v>112.23699999999999</v>
      </c>
      <c r="K15" s="12">
        <v>112.892</v>
      </c>
      <c r="L15" s="12">
        <v>115.212</v>
      </c>
      <c r="M15" s="12">
        <v>116.577</v>
      </c>
      <c r="N15" s="12">
        <v>4.4029999999999996</v>
      </c>
      <c r="O15" s="12">
        <v>9.8520000000000003</v>
      </c>
      <c r="P15" s="10"/>
      <c r="Q15" s="10">
        <f t="shared" ref="Q15:Q21" si="10">O15+M15-C15</f>
        <v>33.64</v>
      </c>
      <c r="T15" s="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</row>
    <row r="16" spans="1:32">
      <c r="A16" s="288">
        <v>7</v>
      </c>
      <c r="B16" s="11" t="s">
        <v>198</v>
      </c>
      <c r="C16" s="12">
        <v>24.824999999999999</v>
      </c>
      <c r="D16" s="12">
        <v>26.187000000000001</v>
      </c>
      <c r="E16" s="12">
        <v>27.425999999999998</v>
      </c>
      <c r="F16" s="12">
        <v>28.524000000000001</v>
      </c>
      <c r="G16" s="12">
        <v>29.742999999999999</v>
      </c>
      <c r="H16" s="12">
        <v>30.911999999999999</v>
      </c>
      <c r="I16" s="12">
        <v>31.974</v>
      </c>
      <c r="J16" s="12">
        <v>33.500999999999998</v>
      </c>
      <c r="K16" s="12">
        <v>34.823999999999998</v>
      </c>
      <c r="L16" s="12">
        <v>35.585000000000001</v>
      </c>
      <c r="M16" s="12">
        <v>36.454999999999998</v>
      </c>
      <c r="N16" s="12">
        <v>37.847000000000001</v>
      </c>
      <c r="O16" s="12">
        <v>39.302999999999997</v>
      </c>
      <c r="P16" s="10">
        <f>O16-C16</f>
        <v>14.477999999999998</v>
      </c>
      <c r="T16" s="1">
        <v>7</v>
      </c>
      <c r="U16" s="202">
        <f t="shared" ref="U16:AF16" si="11">D16-C16</f>
        <v>1.3620000000000019</v>
      </c>
      <c r="V16" s="202">
        <f t="shared" si="11"/>
        <v>1.2389999999999972</v>
      </c>
      <c r="W16" s="202">
        <f t="shared" si="11"/>
        <v>1.0980000000000025</v>
      </c>
      <c r="X16" s="202">
        <f t="shared" si="11"/>
        <v>1.2189999999999976</v>
      </c>
      <c r="Y16" s="202">
        <f t="shared" si="11"/>
        <v>1.1690000000000005</v>
      </c>
      <c r="Z16" s="202">
        <f t="shared" si="11"/>
        <v>1.0620000000000012</v>
      </c>
      <c r="AA16" s="202">
        <f t="shared" si="11"/>
        <v>1.5269999999999975</v>
      </c>
      <c r="AB16" s="202">
        <f t="shared" si="11"/>
        <v>1.3230000000000004</v>
      </c>
      <c r="AC16" s="202">
        <f t="shared" si="11"/>
        <v>0.76100000000000279</v>
      </c>
      <c r="AD16" s="202">
        <f t="shared" si="11"/>
        <v>0.86999999999999744</v>
      </c>
      <c r="AE16" s="202">
        <f t="shared" si="11"/>
        <v>1.392000000000003</v>
      </c>
      <c r="AF16" s="202">
        <f t="shared" si="11"/>
        <v>1.455999999999996</v>
      </c>
    </row>
    <row r="17" spans="1:32">
      <c r="A17" s="288"/>
      <c r="B17" s="11" t="s">
        <v>21</v>
      </c>
      <c r="C17" s="12">
        <v>21.853000000000002</v>
      </c>
      <c r="D17" s="12">
        <v>23.088000000000001</v>
      </c>
      <c r="E17" s="12">
        <v>24</v>
      </c>
      <c r="F17" s="12">
        <v>24.524000000000001</v>
      </c>
      <c r="G17" s="12">
        <v>24.802</v>
      </c>
      <c r="H17" s="12">
        <v>24.983000000000001</v>
      </c>
      <c r="I17" s="12">
        <v>25.102</v>
      </c>
      <c r="J17" s="12">
        <v>25.222000000000001</v>
      </c>
      <c r="K17" s="12">
        <v>25.344999999999999</v>
      </c>
      <c r="L17" s="12">
        <v>25.437000000000001</v>
      </c>
      <c r="M17" s="12">
        <v>25.611999999999998</v>
      </c>
      <c r="N17" s="12">
        <v>0.90300000000000002</v>
      </c>
      <c r="O17" s="12">
        <v>2.484</v>
      </c>
      <c r="P17" s="10"/>
      <c r="Q17" s="10">
        <f t="shared" ref="Q17:Q21" si="12">O17+M17-C17</f>
        <v>6.242999999999995</v>
      </c>
      <c r="T17" s="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</row>
    <row r="18" spans="1:32">
      <c r="A18" s="288">
        <v>8</v>
      </c>
      <c r="B18" s="11" t="s">
        <v>355</v>
      </c>
      <c r="C18" s="12">
        <v>9.2799999999999994</v>
      </c>
      <c r="D18" s="12">
        <v>10.861000000000001</v>
      </c>
      <c r="E18" s="12">
        <v>12.648999999999999</v>
      </c>
      <c r="F18" s="12">
        <v>12.709</v>
      </c>
      <c r="G18" s="12">
        <v>14.239000000000001</v>
      </c>
      <c r="H18" s="12">
        <v>15.866</v>
      </c>
      <c r="I18" s="12">
        <v>17.724</v>
      </c>
      <c r="J18" s="12">
        <v>20.257000000000001</v>
      </c>
      <c r="K18" s="12">
        <v>22.172999999999998</v>
      </c>
      <c r="L18" s="12">
        <v>24.832000000000001</v>
      </c>
      <c r="M18" s="12">
        <v>28.428999999999998</v>
      </c>
      <c r="N18" s="12">
        <v>30.744</v>
      </c>
      <c r="O18" s="12">
        <v>32.863999999999997</v>
      </c>
      <c r="P18" s="10">
        <f>O18-C18</f>
        <v>23.583999999999996</v>
      </c>
      <c r="T18" s="1">
        <v>8</v>
      </c>
      <c r="U18" s="203">
        <f t="shared" ref="U18:AF18" si="13">D18-C18</f>
        <v>1.5810000000000013</v>
      </c>
      <c r="V18" s="203">
        <f t="shared" si="13"/>
        <v>1.7879999999999985</v>
      </c>
      <c r="W18" s="203">
        <f t="shared" si="13"/>
        <v>6.0000000000000497E-2</v>
      </c>
      <c r="X18" s="203">
        <f t="shared" si="13"/>
        <v>1.5300000000000011</v>
      </c>
      <c r="Y18" s="203">
        <f t="shared" si="13"/>
        <v>1.6269999999999989</v>
      </c>
      <c r="Z18" s="203">
        <f t="shared" si="13"/>
        <v>1.8580000000000005</v>
      </c>
      <c r="AA18" s="203">
        <f t="shared" si="13"/>
        <v>2.5330000000000013</v>
      </c>
      <c r="AB18" s="203">
        <f t="shared" si="13"/>
        <v>1.9159999999999968</v>
      </c>
      <c r="AC18" s="203">
        <f t="shared" si="13"/>
        <v>2.6590000000000025</v>
      </c>
      <c r="AD18" s="203">
        <f t="shared" si="13"/>
        <v>3.5969999999999978</v>
      </c>
      <c r="AE18" s="203">
        <f t="shared" si="13"/>
        <v>2.3150000000000013</v>
      </c>
      <c r="AF18" s="203">
        <f t="shared" si="13"/>
        <v>2.1199999999999974</v>
      </c>
    </row>
    <row r="19" spans="1:32">
      <c r="A19" s="288"/>
      <c r="B19" s="11" t="s">
        <v>23</v>
      </c>
      <c r="C19" s="12">
        <v>65.263999999999996</v>
      </c>
      <c r="D19" s="12">
        <v>67.527000000000001</v>
      </c>
      <c r="E19" s="12">
        <v>69.644000000000005</v>
      </c>
      <c r="F19" s="12">
        <v>69.953000000000003</v>
      </c>
      <c r="G19" s="12">
        <v>70.954999999999998</v>
      </c>
      <c r="H19" s="12">
        <v>71.671999999999997</v>
      </c>
      <c r="I19" s="12">
        <v>71.966999999999999</v>
      </c>
      <c r="J19" s="12">
        <v>72.293999999999997</v>
      </c>
      <c r="K19" s="12">
        <v>72.528999999999996</v>
      </c>
      <c r="L19" s="12">
        <v>73.388999999999996</v>
      </c>
      <c r="M19" s="12">
        <v>75.867999999999995</v>
      </c>
      <c r="N19" s="12">
        <v>2.7090000000000001</v>
      </c>
      <c r="O19" s="12">
        <v>6.0750000000000002</v>
      </c>
      <c r="P19" s="10"/>
      <c r="Q19" s="10">
        <f t="shared" ref="Q19:Q21" si="14">O19+M19-C19</f>
        <v>16.679000000000002</v>
      </c>
      <c r="T19" s="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</row>
    <row r="20" spans="1:32">
      <c r="A20" s="288">
        <v>9</v>
      </c>
      <c r="B20" s="11" t="s">
        <v>199</v>
      </c>
      <c r="C20" s="12">
        <v>1.911</v>
      </c>
      <c r="D20" s="12">
        <v>1.94</v>
      </c>
      <c r="E20" s="12">
        <v>1.96</v>
      </c>
      <c r="F20" s="12">
        <v>1.9850000000000001</v>
      </c>
      <c r="G20" s="12">
        <v>2.0070000000000001</v>
      </c>
      <c r="H20" s="12">
        <v>2.0579999999999998</v>
      </c>
      <c r="I20" s="12">
        <v>2.0830000000000002</v>
      </c>
      <c r="J20" s="12">
        <v>2.1059999999999999</v>
      </c>
      <c r="K20" s="12">
        <v>2.1280000000000001</v>
      </c>
      <c r="L20" s="12">
        <v>2.161</v>
      </c>
      <c r="M20" s="12">
        <v>2.1749999999999998</v>
      </c>
      <c r="N20" s="12">
        <v>2.2029999999999998</v>
      </c>
      <c r="O20" s="12">
        <v>2.2229999999999999</v>
      </c>
      <c r="P20" s="10">
        <f>O20-C20</f>
        <v>0.31199999999999983</v>
      </c>
      <c r="T20" s="1">
        <v>9</v>
      </c>
      <c r="U20" s="202">
        <f t="shared" ref="U20:AF20" si="15">D20-C20</f>
        <v>2.8999999999999915E-2</v>
      </c>
      <c r="V20" s="202">
        <f t="shared" si="15"/>
        <v>2.0000000000000018E-2</v>
      </c>
      <c r="W20" s="202">
        <f t="shared" si="15"/>
        <v>2.5000000000000133E-2</v>
      </c>
      <c r="X20" s="202">
        <f t="shared" si="15"/>
        <v>2.200000000000002E-2</v>
      </c>
      <c r="Y20" s="202">
        <f t="shared" si="15"/>
        <v>5.0999999999999712E-2</v>
      </c>
      <c r="Z20" s="202">
        <f t="shared" si="15"/>
        <v>2.5000000000000355E-2</v>
      </c>
      <c r="AA20" s="202">
        <f t="shared" si="15"/>
        <v>2.2999999999999687E-2</v>
      </c>
      <c r="AB20" s="202">
        <f t="shared" si="15"/>
        <v>2.2000000000000242E-2</v>
      </c>
      <c r="AC20" s="202">
        <f t="shared" si="15"/>
        <v>3.2999999999999918E-2</v>
      </c>
      <c r="AD20" s="202">
        <f t="shared" si="15"/>
        <v>1.399999999999979E-2</v>
      </c>
      <c r="AE20" s="202">
        <f t="shared" si="15"/>
        <v>2.8000000000000025E-2</v>
      </c>
      <c r="AF20" s="202">
        <f t="shared" si="15"/>
        <v>2.0000000000000018E-2</v>
      </c>
    </row>
    <row r="21" spans="1:32">
      <c r="A21" s="288"/>
      <c r="B21" s="11" t="s">
        <v>22</v>
      </c>
      <c r="C21" s="12">
        <v>8.2129999999999992</v>
      </c>
      <c r="D21" s="12">
        <v>9.2309999999999999</v>
      </c>
      <c r="E21" s="12">
        <v>9.7799999999999994</v>
      </c>
      <c r="F21" s="12">
        <v>9.9890000000000008</v>
      </c>
      <c r="G21" s="12">
        <v>10.189</v>
      </c>
      <c r="H21" s="12">
        <v>10.388999999999999</v>
      </c>
      <c r="I21" s="12">
        <v>10.548</v>
      </c>
      <c r="J21" s="12">
        <v>10.708</v>
      </c>
      <c r="K21" s="12">
        <v>10.877000000000001</v>
      </c>
      <c r="L21" s="12">
        <v>11.045</v>
      </c>
      <c r="M21" s="12">
        <v>11.244999999999999</v>
      </c>
      <c r="N21" s="12">
        <v>0.19</v>
      </c>
      <c r="O21" s="12">
        <v>0.38700000000000001</v>
      </c>
      <c r="P21" s="10"/>
      <c r="Q21" s="10">
        <f t="shared" ref="Q21" si="16">O21+M21-C21</f>
        <v>3.4190000000000005</v>
      </c>
      <c r="T21" s="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</row>
    <row r="22" spans="1:32">
      <c r="A22" s="288">
        <v>10</v>
      </c>
      <c r="B22" s="11" t="s">
        <v>200</v>
      </c>
      <c r="C22" s="12">
        <v>101.593</v>
      </c>
      <c r="D22" s="12">
        <v>108.709</v>
      </c>
      <c r="E22" s="12">
        <v>115.048</v>
      </c>
      <c r="F22" s="12">
        <v>121.56399999999999</v>
      </c>
      <c r="G22" s="12">
        <v>129.33500000000001</v>
      </c>
      <c r="H22" s="12">
        <v>137.892</v>
      </c>
      <c r="I22" s="12">
        <v>144.96799999999999</v>
      </c>
      <c r="J22" s="12">
        <v>150.91</v>
      </c>
      <c r="K22" s="12">
        <v>156.47300000000001</v>
      </c>
      <c r="L22" s="12">
        <v>163.13999999999999</v>
      </c>
      <c r="M22" s="12">
        <v>171.62</v>
      </c>
      <c r="N22" s="12">
        <v>179.328</v>
      </c>
      <c r="O22" s="12">
        <v>186.40100000000001</v>
      </c>
      <c r="P22" s="10">
        <f>O22-C22</f>
        <v>84.808000000000007</v>
      </c>
      <c r="T22" s="1">
        <v>10</v>
      </c>
      <c r="U22" s="202">
        <f t="shared" ref="U22:AF22" si="17">D22-C22</f>
        <v>7.1159999999999997</v>
      </c>
      <c r="V22" s="202">
        <f t="shared" si="17"/>
        <v>6.3389999999999986</v>
      </c>
      <c r="W22" s="202">
        <f t="shared" si="17"/>
        <v>6.5159999999999911</v>
      </c>
      <c r="X22" s="202">
        <f t="shared" si="17"/>
        <v>7.771000000000015</v>
      </c>
      <c r="Y22" s="202">
        <f t="shared" si="17"/>
        <v>8.5569999999999879</v>
      </c>
      <c r="Z22" s="202">
        <f t="shared" si="17"/>
        <v>7.0759999999999934</v>
      </c>
      <c r="AA22" s="202">
        <f t="shared" si="17"/>
        <v>5.9420000000000073</v>
      </c>
      <c r="AB22" s="202">
        <f t="shared" si="17"/>
        <v>5.5630000000000166</v>
      </c>
      <c r="AC22" s="202">
        <f t="shared" si="17"/>
        <v>6.6669999999999732</v>
      </c>
      <c r="AD22" s="202">
        <f t="shared" si="17"/>
        <v>8.4800000000000182</v>
      </c>
      <c r="AE22" s="202">
        <f t="shared" si="17"/>
        <v>7.7079999999999984</v>
      </c>
      <c r="AF22" s="202">
        <f t="shared" si="17"/>
        <v>7.0730000000000075</v>
      </c>
    </row>
    <row r="23" spans="1:32">
      <c r="A23" s="288"/>
      <c r="B23" s="11" t="s">
        <v>24</v>
      </c>
      <c r="C23" s="12">
        <v>57.820999999999998</v>
      </c>
      <c r="D23" s="12">
        <v>62.75</v>
      </c>
      <c r="E23" s="12">
        <v>66.691999999999993</v>
      </c>
      <c r="F23" s="12">
        <v>70.474000000000004</v>
      </c>
      <c r="G23" s="12">
        <v>72.459000000000003</v>
      </c>
      <c r="H23" s="12">
        <v>73.031000000000006</v>
      </c>
      <c r="I23" s="12">
        <v>73.353999999999999</v>
      </c>
      <c r="J23" s="12">
        <v>73.644999999999996</v>
      </c>
      <c r="K23" s="12">
        <v>73.915000000000006</v>
      </c>
      <c r="L23" s="12">
        <v>74.241</v>
      </c>
      <c r="M23" s="12">
        <v>74.991</v>
      </c>
      <c r="N23" s="12">
        <v>3.1269999999999998</v>
      </c>
      <c r="O23" s="12">
        <v>7.0609999999999999</v>
      </c>
      <c r="P23" s="14"/>
      <c r="Q23" s="136">
        <f>O23+M23-C23</f>
        <v>24.230999999999995</v>
      </c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</row>
    <row r="24" spans="1:32">
      <c r="A24" s="163"/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667.80599999999993</v>
      </c>
      <c r="Q24" s="10">
        <f>SUM(Q4:Q23)</f>
        <v>189.774</v>
      </c>
    </row>
    <row r="25" spans="1:32">
      <c r="A25" s="163" t="s">
        <v>25</v>
      </c>
      <c r="B25" s="17" t="s">
        <v>26</v>
      </c>
      <c r="C25" s="16">
        <v>73254</v>
      </c>
      <c r="D25" s="16">
        <v>73470</v>
      </c>
      <c r="E25" s="16">
        <v>73892</v>
      </c>
      <c r="F25" s="18">
        <v>74089</v>
      </c>
      <c r="G25" s="16">
        <v>74303</v>
      </c>
      <c r="H25" s="16">
        <v>74534</v>
      </c>
      <c r="I25" s="16">
        <v>74767</v>
      </c>
      <c r="J25" s="16">
        <v>74985</v>
      </c>
      <c r="K25" s="16">
        <v>75202</v>
      </c>
      <c r="L25" s="16">
        <v>75399</v>
      </c>
      <c r="M25" s="16">
        <v>75635</v>
      </c>
      <c r="N25" s="16">
        <v>75860</v>
      </c>
      <c r="O25" s="16">
        <v>76098</v>
      </c>
      <c r="P25" s="10"/>
      <c r="R25" s="19">
        <f>O25-C25</f>
        <v>2844</v>
      </c>
    </row>
    <row r="26" spans="1:32">
      <c r="A26" s="163"/>
      <c r="B26" s="20" t="s">
        <v>201</v>
      </c>
      <c r="C26" s="21">
        <v>952.1</v>
      </c>
      <c r="D26" s="21">
        <v>1020.5</v>
      </c>
      <c r="E26" s="21">
        <v>1081.8</v>
      </c>
      <c r="F26" s="21">
        <v>1144.0999999999999</v>
      </c>
      <c r="G26" s="21">
        <v>1208.2</v>
      </c>
      <c r="H26" s="21">
        <v>1269.7</v>
      </c>
      <c r="I26" s="21">
        <v>1329.4</v>
      </c>
      <c r="J26" s="21">
        <v>1382.7</v>
      </c>
      <c r="K26" s="21">
        <v>1444</v>
      </c>
      <c r="L26" s="21">
        <v>1501</v>
      </c>
      <c r="M26" s="21">
        <v>1572.9</v>
      </c>
      <c r="N26" s="21">
        <v>1639</v>
      </c>
      <c r="O26" s="21">
        <v>1705.8</v>
      </c>
      <c r="P26" s="10">
        <f>O26-C26</f>
        <v>753.69999999999993</v>
      </c>
    </row>
    <row r="27" spans="1:32">
      <c r="A27" s="163"/>
      <c r="B27" s="20" t="s">
        <v>27</v>
      </c>
      <c r="C27" s="22">
        <v>73.33</v>
      </c>
      <c r="D27" s="22">
        <v>84.23</v>
      </c>
      <c r="E27" s="22">
        <v>93.5</v>
      </c>
      <c r="F27" s="22">
        <v>101.03</v>
      </c>
      <c r="G27" s="22">
        <v>105.98</v>
      </c>
      <c r="H27" s="22">
        <v>108.15</v>
      </c>
      <c r="I27" s="22">
        <v>109.34</v>
      </c>
      <c r="J27" s="23">
        <v>110.29</v>
      </c>
      <c r="K27" s="23">
        <v>111.73</v>
      </c>
      <c r="L27" s="22">
        <v>113.46</v>
      </c>
      <c r="M27" s="22">
        <v>116.46</v>
      </c>
      <c r="N27" s="22">
        <v>123.87</v>
      </c>
      <c r="O27" s="22">
        <v>132.72</v>
      </c>
      <c r="P27" s="10"/>
      <c r="Q27" s="10">
        <f>(O27-C27)*3.6</f>
        <v>213.804</v>
      </c>
      <c r="R27" t="s">
        <v>165</v>
      </c>
    </row>
    <row r="28" spans="1:32" ht="15.75" thickBot="1">
      <c r="A28" s="162"/>
      <c r="B28" s="24" t="s">
        <v>28</v>
      </c>
      <c r="C28" s="25">
        <v>2917</v>
      </c>
      <c r="D28" s="25">
        <v>3302</v>
      </c>
      <c r="E28" s="25">
        <v>3632</v>
      </c>
      <c r="F28" s="25">
        <v>3897</v>
      </c>
      <c r="G28" s="25">
        <v>4064</v>
      </c>
      <c r="H28" s="25">
        <v>4154</v>
      </c>
      <c r="I28" s="25">
        <v>4221</v>
      </c>
      <c r="J28" s="25">
        <v>4275</v>
      </c>
      <c r="K28" s="25">
        <v>4427</v>
      </c>
      <c r="L28" s="25">
        <v>4525</v>
      </c>
      <c r="M28" s="25">
        <v>4633</v>
      </c>
      <c r="N28" s="25">
        <v>4841</v>
      </c>
      <c r="O28" s="25">
        <v>5092</v>
      </c>
      <c r="P28" s="10"/>
      <c r="Q28" s="19">
        <f>O28-C28</f>
        <v>2175</v>
      </c>
      <c r="R28" t="s">
        <v>166</v>
      </c>
    </row>
    <row r="29" spans="1:32" ht="15.75" thickBot="1">
      <c r="A29" s="164" t="s">
        <v>202</v>
      </c>
      <c r="B29" s="26"/>
      <c r="C29" s="27">
        <v>11988</v>
      </c>
      <c r="D29" s="27">
        <v>12374.5</v>
      </c>
      <c r="E29" s="27">
        <v>12733.1</v>
      </c>
      <c r="F29" s="27">
        <v>13122.2</v>
      </c>
      <c r="G29" s="27">
        <v>13481.9</v>
      </c>
      <c r="H29" s="27">
        <v>13859.3</v>
      </c>
      <c r="I29" s="27">
        <v>14237.6</v>
      </c>
      <c r="J29" s="27">
        <v>14571.1</v>
      </c>
      <c r="K29" s="27">
        <v>14905.5</v>
      </c>
      <c r="L29" s="27">
        <v>15230.3</v>
      </c>
      <c r="M29" s="27">
        <v>15608.4</v>
      </c>
      <c r="N29" s="91">
        <v>15951</v>
      </c>
      <c r="O29" s="27">
        <v>16304</v>
      </c>
      <c r="P29" s="10">
        <f>O29-C29</f>
        <v>4316</v>
      </c>
    </row>
    <row r="31" spans="1:32" s="30" customFormat="1">
      <c r="A31" s="165"/>
      <c r="B31" s="28"/>
      <c r="D31" s="190" t="s">
        <v>309</v>
      </c>
      <c r="F31" s="191"/>
      <c r="I31" s="92"/>
      <c r="J31" s="92"/>
      <c r="K31" s="92"/>
      <c r="L31" s="92"/>
      <c r="M31" s="93"/>
      <c r="N31" s="116"/>
      <c r="O31" s="92"/>
    </row>
    <row r="32" spans="1:32" s="30" customFormat="1">
      <c r="A32" s="166"/>
      <c r="C32" s="290">
        <v>8</v>
      </c>
      <c r="D32" s="291">
        <v>43950</v>
      </c>
      <c r="E32" s="103" t="s">
        <v>300</v>
      </c>
      <c r="F32" s="221"/>
      <c r="G32" s="221"/>
      <c r="H32" s="192"/>
      <c r="I32" s="192"/>
      <c r="J32" s="192"/>
      <c r="K32" s="192"/>
      <c r="L32" s="193"/>
      <c r="M32" s="194"/>
      <c r="N32" s="281" t="s">
        <v>354</v>
      </c>
      <c r="O32" s="92">
        <v>11538</v>
      </c>
    </row>
    <row r="33" spans="1:15" s="30" customFormat="1">
      <c r="A33" s="167"/>
      <c r="B33" s="149"/>
      <c r="C33" s="290"/>
      <c r="D33" s="291"/>
      <c r="E33" s="103" t="s">
        <v>301</v>
      </c>
      <c r="F33" s="221"/>
      <c r="G33" s="221"/>
      <c r="H33" s="195"/>
      <c r="I33" s="192"/>
      <c r="J33" s="192"/>
      <c r="K33" s="192"/>
      <c r="L33" s="193"/>
      <c r="M33" s="194"/>
      <c r="N33" s="286" t="s">
        <v>376</v>
      </c>
      <c r="O33" s="92">
        <f>C29-O32</f>
        <v>450</v>
      </c>
    </row>
    <row r="34" spans="1:15" s="30" customFormat="1">
      <c r="A34" s="167"/>
      <c r="B34" s="149"/>
      <c r="C34" s="149"/>
      <c r="D34" s="149"/>
      <c r="E34" s="149"/>
      <c r="F34" s="149"/>
      <c r="G34" s="149"/>
      <c r="H34" s="196"/>
      <c r="I34" s="150"/>
      <c r="J34" s="197"/>
      <c r="K34" s="150"/>
      <c r="L34" s="150"/>
      <c r="M34" s="93"/>
      <c r="N34" s="286" t="s">
        <v>374</v>
      </c>
      <c r="O34" s="92">
        <f>N29</f>
        <v>15951</v>
      </c>
    </row>
    <row r="35" spans="1:15">
      <c r="A35" s="167"/>
      <c r="B35" s="148"/>
      <c r="C35" s="148"/>
      <c r="D35" s="148"/>
      <c r="E35" s="148"/>
      <c r="F35" s="148"/>
      <c r="G35" s="148"/>
      <c r="H35" s="148"/>
      <c r="I35" s="148"/>
      <c r="J35" s="151"/>
      <c r="K35" s="148"/>
      <c r="L35" s="150"/>
      <c r="N35" s="286" t="s">
        <v>375</v>
      </c>
      <c r="O35">
        <f>O29-N29</f>
        <v>353</v>
      </c>
    </row>
  </sheetData>
  <sheetProtection selectLockedCells="1" selectUnlockedCells="1"/>
  <mergeCells count="12">
    <mergeCell ref="C32:C33"/>
    <mergeCell ref="D32:D33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H4">
    <cfRule type="cellIs" dxfId="4912" priority="1" stopIfTrue="1" operator="lessThan">
      <formula>'1850'!$G$4</formula>
    </cfRule>
    <cfRule type="cellIs" dxfId="4911" priority="2" stopIfTrue="1" operator="equal">
      <formula>'1850'!$G$4</formula>
    </cfRule>
  </conditionalFormatting>
  <conditionalFormatting sqref="G7">
    <cfRule type="cellIs" dxfId="4910" priority="3" stopIfTrue="1" operator="equal">
      <formula>'1850'!$F$7</formula>
    </cfRule>
    <cfRule type="cellIs" dxfId="4909" priority="4" stopIfTrue="1" operator="lessThan">
      <formula>'1850'!$F$7</formula>
    </cfRule>
  </conditionalFormatting>
  <conditionalFormatting sqref="H5">
    <cfRule type="cellIs" dxfId="4908" priority="5" stopIfTrue="1" operator="equal">
      <formula>'1850'!$G$5</formula>
    </cfRule>
    <cfRule type="cellIs" dxfId="4907" priority="6" stopIfTrue="1" operator="lessThan">
      <formula>'1850'!$G$5</formula>
    </cfRule>
  </conditionalFormatting>
  <conditionalFormatting sqref="I5">
    <cfRule type="cellIs" dxfId="4906" priority="7" stopIfTrue="1" operator="equal">
      <formula>'1850'!$H$5</formula>
    </cfRule>
    <cfRule type="cellIs" dxfId="4905" priority="8" stopIfTrue="1" operator="lessThan">
      <formula>'1850'!$H$5</formula>
    </cfRule>
  </conditionalFormatting>
  <conditionalFormatting sqref="J5">
    <cfRule type="cellIs" dxfId="4904" priority="9" stopIfTrue="1" operator="equal">
      <formula>'1850'!$I$5</formula>
    </cfRule>
    <cfRule type="cellIs" dxfId="4903" priority="10" stopIfTrue="1" operator="lessThan">
      <formula>'1850'!$I$5</formula>
    </cfRule>
  </conditionalFormatting>
  <conditionalFormatting sqref="F4">
    <cfRule type="cellIs" dxfId="4902" priority="11" stopIfTrue="1" operator="equal">
      <formula>'1850'!$E$4</formula>
    </cfRule>
    <cfRule type="cellIs" dxfId="4901" priority="12" stopIfTrue="1" operator="lessThan">
      <formula>'1850'!$E$4</formula>
    </cfRule>
  </conditionalFormatting>
  <conditionalFormatting sqref="D4">
    <cfRule type="cellIs" dxfId="4900" priority="13" stopIfTrue="1" operator="lessThan">
      <formula>'1850'!$C$4</formula>
    </cfRule>
    <cfRule type="cellIs" dxfId="4899" priority="14" stopIfTrue="1" operator="equal">
      <formula>'1850'!$C$4</formula>
    </cfRule>
  </conditionalFormatting>
  <conditionalFormatting sqref="E4">
    <cfRule type="cellIs" dxfId="4898" priority="15" stopIfTrue="1" operator="equal">
      <formula>'1850'!$D$4</formula>
    </cfRule>
    <cfRule type="cellIs" dxfId="4897" priority="16" stopIfTrue="1" operator="lessThan">
      <formula>'1850'!$D$4</formula>
    </cfRule>
  </conditionalFormatting>
  <conditionalFormatting sqref="D5">
    <cfRule type="cellIs" dxfId="4896" priority="17" stopIfTrue="1" operator="equal">
      <formula>'1850'!$C$5</formula>
    </cfRule>
    <cfRule type="cellIs" dxfId="4895" priority="18" stopIfTrue="1" operator="lessThan">
      <formula>'1850'!$C$5</formula>
    </cfRule>
  </conditionalFormatting>
  <conditionalFormatting sqref="F5">
    <cfRule type="cellIs" dxfId="4894" priority="19" stopIfTrue="1" operator="equal">
      <formula>'1850'!$E$5</formula>
    </cfRule>
    <cfRule type="cellIs" dxfId="4893" priority="20" stopIfTrue="1" operator="lessThan">
      <formula>'1850'!$E$5</formula>
    </cfRule>
  </conditionalFormatting>
  <conditionalFormatting sqref="I4">
    <cfRule type="cellIs" dxfId="4892" priority="21" stopIfTrue="1" operator="equal">
      <formula>'1850'!$H$4</formula>
    </cfRule>
  </conditionalFormatting>
  <conditionalFormatting sqref="J4">
    <cfRule type="cellIs" dxfId="4891" priority="22" stopIfTrue="1" operator="lessThan">
      <formula>'1850'!$I$4</formula>
    </cfRule>
    <cfRule type="cellIs" dxfId="4890" priority="23" stopIfTrue="1" operator="equal">
      <formula>'1850'!$I$4</formula>
    </cfRule>
  </conditionalFormatting>
  <conditionalFormatting sqref="D6">
    <cfRule type="cellIs" dxfId="4889" priority="24" stopIfTrue="1" operator="equal">
      <formula>'1850'!$C$6</formula>
    </cfRule>
    <cfRule type="cellIs" dxfId="4888" priority="25" stopIfTrue="1" operator="lessThan">
      <formula>'1850'!$C$6</formula>
    </cfRule>
  </conditionalFormatting>
  <conditionalFormatting sqref="E6">
    <cfRule type="cellIs" dxfId="4887" priority="26" stopIfTrue="1" operator="equal">
      <formula>'1850'!$D$6</formula>
    </cfRule>
    <cfRule type="cellIs" dxfId="4886" priority="27" stopIfTrue="1" operator="lessThan">
      <formula>'1850'!$D$6</formula>
    </cfRule>
  </conditionalFormatting>
  <conditionalFormatting sqref="F6">
    <cfRule type="cellIs" dxfId="4885" priority="28" stopIfTrue="1" operator="equal">
      <formula>'1850'!$E$6</formula>
    </cfRule>
    <cfRule type="cellIs" dxfId="4884" priority="29" stopIfTrue="1" operator="lessThan">
      <formula>'1850'!$E$6</formula>
    </cfRule>
  </conditionalFormatting>
  <conditionalFormatting sqref="G6">
    <cfRule type="cellIs" dxfId="4883" priority="30" stopIfTrue="1" operator="equal">
      <formula>'1850'!$F$6</formula>
    </cfRule>
    <cfRule type="cellIs" dxfId="4882" priority="31" stopIfTrue="1" operator="lessThan">
      <formula>'1850'!$F$6</formula>
    </cfRule>
  </conditionalFormatting>
  <conditionalFormatting sqref="H6">
    <cfRule type="cellIs" dxfId="4881" priority="32" stopIfTrue="1" operator="equal">
      <formula>'1850'!$G$6</formula>
    </cfRule>
    <cfRule type="cellIs" dxfId="4880" priority="33" stopIfTrue="1" operator="lessThan">
      <formula>'1850'!$G$6</formula>
    </cfRule>
  </conditionalFormatting>
  <conditionalFormatting sqref="I6">
    <cfRule type="cellIs" dxfId="4879" priority="34" stopIfTrue="1" operator="equal">
      <formula>'1850'!$H$6</formula>
    </cfRule>
    <cfRule type="cellIs" dxfId="4878" priority="35" stopIfTrue="1" operator="lessThan">
      <formula>'1850'!$H$6</formula>
    </cfRule>
  </conditionalFormatting>
  <conditionalFormatting sqref="J6">
    <cfRule type="cellIs" dxfId="4877" priority="36" stopIfTrue="1" operator="equal">
      <formula>'1850'!$I$6</formula>
    </cfRule>
    <cfRule type="cellIs" dxfId="4876" priority="37" stopIfTrue="1" operator="lessThan">
      <formula>'1850'!$I$6</formula>
    </cfRule>
  </conditionalFormatting>
  <conditionalFormatting sqref="D7">
    <cfRule type="cellIs" dxfId="4875" priority="38" stopIfTrue="1" operator="equal">
      <formula>'1850'!$C$7</formula>
    </cfRule>
    <cfRule type="cellIs" dxfId="4874" priority="39" stopIfTrue="1" operator="lessThan">
      <formula>'1850'!$C$7</formula>
    </cfRule>
  </conditionalFormatting>
  <conditionalFormatting sqref="E7">
    <cfRule type="cellIs" dxfId="4873" priority="40" stopIfTrue="1" operator="equal">
      <formula>'1850'!$D$7</formula>
    </cfRule>
    <cfRule type="cellIs" dxfId="4872" priority="41" stopIfTrue="1" operator="lessThan">
      <formula>'1850'!$D$7</formula>
    </cfRule>
  </conditionalFormatting>
  <conditionalFormatting sqref="F7">
    <cfRule type="cellIs" dxfId="4871" priority="42" stopIfTrue="1" operator="equal">
      <formula>'1850'!$E$7</formula>
    </cfRule>
    <cfRule type="cellIs" dxfId="4870" priority="43" stopIfTrue="1" operator="lessThan">
      <formula>'1850'!$E$7</formula>
    </cfRule>
  </conditionalFormatting>
  <conditionalFormatting sqref="H7">
    <cfRule type="cellIs" dxfId="4869" priority="44" stopIfTrue="1" operator="equal">
      <formula>'1850'!$G$7</formula>
    </cfRule>
    <cfRule type="cellIs" dxfId="4868" priority="45" stopIfTrue="1" operator="lessThan">
      <formula>'1850'!$G$7</formula>
    </cfRule>
  </conditionalFormatting>
  <conditionalFormatting sqref="I7">
    <cfRule type="cellIs" dxfId="4867" priority="46" stopIfTrue="1" operator="equal">
      <formula>'1850'!$H$7</formula>
    </cfRule>
    <cfRule type="cellIs" dxfId="4866" priority="47" stopIfTrue="1" operator="lessThan">
      <formula>'1850'!$H$7</formula>
    </cfRule>
  </conditionalFormatting>
  <conditionalFormatting sqref="J7">
    <cfRule type="cellIs" dxfId="4865" priority="48" stopIfTrue="1" operator="equal">
      <formula>'1850'!$I$7</formula>
    </cfRule>
    <cfRule type="cellIs" dxfId="4864" priority="49" stopIfTrue="1" operator="lessThan">
      <formula>'1850'!$I$7</formula>
    </cfRule>
  </conditionalFormatting>
  <conditionalFormatting sqref="D8">
    <cfRule type="cellIs" dxfId="4863" priority="50" stopIfTrue="1" operator="equal">
      <formula>'1850'!$C$8</formula>
    </cfRule>
    <cfRule type="cellIs" dxfId="4862" priority="51" stopIfTrue="1" operator="lessThan">
      <formula>'1850'!$C$8</formula>
    </cfRule>
  </conditionalFormatting>
  <conditionalFormatting sqref="E8">
    <cfRule type="cellIs" dxfId="4861" priority="52" stopIfTrue="1" operator="equal">
      <formula>'1850'!$D$8</formula>
    </cfRule>
    <cfRule type="cellIs" dxfId="4860" priority="53" stopIfTrue="1" operator="lessThan">
      <formula>'1850'!$D$8</formula>
    </cfRule>
  </conditionalFormatting>
  <conditionalFormatting sqref="F8">
    <cfRule type="cellIs" dxfId="4859" priority="54" stopIfTrue="1" operator="equal">
      <formula>'1850'!$E$8</formula>
    </cfRule>
    <cfRule type="cellIs" dxfId="4858" priority="55" stopIfTrue="1" operator="lessThan">
      <formula>'1850'!$E$8</formula>
    </cfRule>
  </conditionalFormatting>
  <conditionalFormatting sqref="G8">
    <cfRule type="cellIs" dxfId="4857" priority="56" stopIfTrue="1" operator="equal">
      <formula>'1850'!$F$8</formula>
    </cfRule>
    <cfRule type="cellIs" dxfId="4856" priority="57" stopIfTrue="1" operator="lessThan">
      <formula>'1850'!$F$8</formula>
    </cfRule>
  </conditionalFormatting>
  <conditionalFormatting sqref="H8">
    <cfRule type="cellIs" dxfId="4855" priority="58" stopIfTrue="1" operator="equal">
      <formula>'1850'!$G$8</formula>
    </cfRule>
    <cfRule type="cellIs" dxfId="4854" priority="59" stopIfTrue="1" operator="lessThan">
      <formula>'1850'!$G$8</formula>
    </cfRule>
  </conditionalFormatting>
  <conditionalFormatting sqref="I8">
    <cfRule type="cellIs" dxfId="4853" priority="60" stopIfTrue="1" operator="equal">
      <formula>'1850'!$H$8</formula>
    </cfRule>
    <cfRule type="cellIs" dxfId="4852" priority="61" stopIfTrue="1" operator="lessThan">
      <formula>'1850'!$H$8</formula>
    </cfRule>
  </conditionalFormatting>
  <conditionalFormatting sqref="J8">
    <cfRule type="cellIs" dxfId="4851" priority="62" stopIfTrue="1" operator="equal">
      <formula>'1850'!$I$8</formula>
    </cfRule>
    <cfRule type="cellIs" dxfId="4850" priority="63" stopIfTrue="1" operator="lessThan">
      <formula>'1850'!$I$8</formula>
    </cfRule>
  </conditionalFormatting>
  <conditionalFormatting sqref="D9">
    <cfRule type="cellIs" dxfId="4849" priority="64" stopIfTrue="1" operator="equal">
      <formula>'1850'!$C$9</formula>
    </cfRule>
    <cfRule type="cellIs" dxfId="4848" priority="65" stopIfTrue="1" operator="lessThan">
      <formula>'1850'!$C$9</formula>
    </cfRule>
  </conditionalFormatting>
  <conditionalFormatting sqref="E9">
    <cfRule type="cellIs" dxfId="4847" priority="66" stopIfTrue="1" operator="equal">
      <formula>'1850'!$D$9</formula>
    </cfRule>
    <cfRule type="cellIs" dxfId="4846" priority="67" stopIfTrue="1" operator="lessThan">
      <formula>'1850'!$D$9</formula>
    </cfRule>
  </conditionalFormatting>
  <conditionalFormatting sqref="F9">
    <cfRule type="cellIs" dxfId="4845" priority="68" stopIfTrue="1" operator="equal">
      <formula>'1850'!$E$9</formula>
    </cfRule>
    <cfRule type="cellIs" dxfId="4844" priority="69" stopIfTrue="1" operator="lessThan">
      <formula>'1850'!$E$9</formula>
    </cfRule>
  </conditionalFormatting>
  <conditionalFormatting sqref="G9">
    <cfRule type="cellIs" dxfId="4843" priority="70" stopIfTrue="1" operator="equal">
      <formula>'1850'!$F$9</formula>
    </cfRule>
    <cfRule type="cellIs" dxfId="4842" priority="71" stopIfTrue="1" operator="lessThan">
      <formula>'1850'!$F$9</formula>
    </cfRule>
  </conditionalFormatting>
  <conditionalFormatting sqref="H9">
    <cfRule type="cellIs" dxfId="4841" priority="72" stopIfTrue="1" operator="equal">
      <formula>'1850'!$G$9</formula>
    </cfRule>
    <cfRule type="cellIs" dxfId="4840" priority="73" stopIfTrue="1" operator="lessThan">
      <formula>'1850'!$G$9</formula>
    </cfRule>
  </conditionalFormatting>
  <conditionalFormatting sqref="I9">
    <cfRule type="cellIs" dxfId="4839" priority="74" stopIfTrue="1" operator="equal">
      <formula>'1850'!$H$9</formula>
    </cfRule>
    <cfRule type="cellIs" dxfId="4838" priority="75" stopIfTrue="1" operator="lessThan">
      <formula>'1850'!$H$9</formula>
    </cfRule>
  </conditionalFormatting>
  <conditionalFormatting sqref="J9">
    <cfRule type="cellIs" dxfId="4837" priority="76" stopIfTrue="1" operator="equal">
      <formula>'1850'!$I$9</formula>
    </cfRule>
    <cfRule type="cellIs" dxfId="4836" priority="77" stopIfTrue="1" operator="lessThan">
      <formula>'1850'!$I$9</formula>
    </cfRule>
  </conditionalFormatting>
  <conditionalFormatting sqref="D10">
    <cfRule type="cellIs" dxfId="4835" priority="78" stopIfTrue="1" operator="equal">
      <formula>'1850'!$C$10</formula>
    </cfRule>
    <cfRule type="cellIs" dxfId="4834" priority="79" stopIfTrue="1" operator="lessThan">
      <formula>'1850'!$C$10</formula>
    </cfRule>
  </conditionalFormatting>
  <conditionalFormatting sqref="E10">
    <cfRule type="cellIs" dxfId="4833" priority="80" stopIfTrue="1" operator="equal">
      <formula>'1850'!$D$10</formula>
    </cfRule>
    <cfRule type="cellIs" dxfId="4832" priority="81" stopIfTrue="1" operator="lessThan">
      <formula>'1850'!$D$10</formula>
    </cfRule>
  </conditionalFormatting>
  <conditionalFormatting sqref="F10">
    <cfRule type="cellIs" dxfId="4831" priority="82" stopIfTrue="1" operator="equal">
      <formula>'1850'!$E$10</formula>
    </cfRule>
    <cfRule type="cellIs" dxfId="4830" priority="83" stopIfTrue="1" operator="lessThan">
      <formula>'1850'!$E$10</formula>
    </cfRule>
  </conditionalFormatting>
  <conditionalFormatting sqref="G10">
    <cfRule type="cellIs" dxfId="4829" priority="84" stopIfTrue="1" operator="equal">
      <formula>'1850'!$F$10</formula>
    </cfRule>
    <cfRule type="cellIs" dxfId="4828" priority="85" stopIfTrue="1" operator="lessThan">
      <formula>'1850'!$F$10</formula>
    </cfRule>
  </conditionalFormatting>
  <conditionalFormatting sqref="H10">
    <cfRule type="cellIs" dxfId="4827" priority="86" stopIfTrue="1" operator="equal">
      <formula>'1850'!$G$10</formula>
    </cfRule>
    <cfRule type="cellIs" dxfId="4826" priority="87" stopIfTrue="1" operator="lessThan">
      <formula>'1850'!$G$10</formula>
    </cfRule>
  </conditionalFormatting>
  <conditionalFormatting sqref="I10">
    <cfRule type="cellIs" dxfId="4825" priority="88" stopIfTrue="1" operator="equal">
      <formula>'1850'!$H$10</formula>
    </cfRule>
    <cfRule type="cellIs" dxfId="4824" priority="89" stopIfTrue="1" operator="lessThan">
      <formula>'1850'!$H$10</formula>
    </cfRule>
  </conditionalFormatting>
  <conditionalFormatting sqref="J10">
    <cfRule type="cellIs" dxfId="4823" priority="90" stopIfTrue="1" operator="equal">
      <formula>'1850'!$I$10</formula>
    </cfRule>
    <cfRule type="cellIs" dxfId="4822" priority="91" stopIfTrue="1" operator="lessThan">
      <formula>'1850'!$I$10</formula>
    </cfRule>
  </conditionalFormatting>
  <conditionalFormatting sqref="D11">
    <cfRule type="cellIs" dxfId="4821" priority="92" stopIfTrue="1" operator="equal">
      <formula>'1850'!$C$11</formula>
    </cfRule>
    <cfRule type="cellIs" dxfId="4820" priority="93" stopIfTrue="1" operator="lessThan">
      <formula>'1850'!$C$11</formula>
    </cfRule>
  </conditionalFormatting>
  <conditionalFormatting sqref="E11">
    <cfRule type="cellIs" dxfId="4819" priority="94" stopIfTrue="1" operator="equal">
      <formula>'1850'!$D$11</formula>
    </cfRule>
    <cfRule type="cellIs" dxfId="4818" priority="95" stopIfTrue="1" operator="lessThan">
      <formula>'1850'!$D$11</formula>
    </cfRule>
  </conditionalFormatting>
  <conditionalFormatting sqref="F11">
    <cfRule type="cellIs" dxfId="4817" priority="96" stopIfTrue="1" operator="equal">
      <formula>'1850'!$E$11</formula>
    </cfRule>
    <cfRule type="cellIs" dxfId="4816" priority="97" stopIfTrue="1" operator="lessThan">
      <formula>'1850'!$E$11</formula>
    </cfRule>
  </conditionalFormatting>
  <conditionalFormatting sqref="G11">
    <cfRule type="cellIs" dxfId="4815" priority="98" stopIfTrue="1" operator="equal">
      <formula>'1850'!$F$11</formula>
    </cfRule>
    <cfRule type="cellIs" dxfId="4814" priority="99" stopIfTrue="1" operator="lessThan">
      <formula>'1850'!$F$11</formula>
    </cfRule>
  </conditionalFormatting>
  <conditionalFormatting sqref="H11">
    <cfRule type="cellIs" dxfId="4813" priority="100" stopIfTrue="1" operator="equal">
      <formula>'1850'!$G$11</formula>
    </cfRule>
    <cfRule type="cellIs" dxfId="4812" priority="101" stopIfTrue="1" operator="lessThan">
      <formula>'1850'!$G$11</formula>
    </cfRule>
  </conditionalFormatting>
  <conditionalFormatting sqref="I11">
    <cfRule type="cellIs" dxfId="4811" priority="102" stopIfTrue="1" operator="equal">
      <formula>'1850'!$H$11</formula>
    </cfRule>
    <cfRule type="cellIs" dxfId="4810" priority="103" stopIfTrue="1" operator="lessThan">
      <formula>'1850'!$H$11</formula>
    </cfRule>
  </conditionalFormatting>
  <conditionalFormatting sqref="J11">
    <cfRule type="cellIs" dxfId="4809" priority="104" stopIfTrue="1" operator="equal">
      <formula>'1850'!$I$11</formula>
    </cfRule>
    <cfRule type="cellIs" dxfId="4808" priority="105" stopIfTrue="1" operator="lessThan">
      <formula>'1850'!$I$11</formula>
    </cfRule>
  </conditionalFormatting>
  <conditionalFormatting sqref="D12">
    <cfRule type="cellIs" dxfId="4807" priority="106" stopIfTrue="1" operator="equal">
      <formula>'1850'!$C$12</formula>
    </cfRule>
    <cfRule type="cellIs" dxfId="4806" priority="107" stopIfTrue="1" operator="lessThan">
      <formula>'1850'!$C$12</formula>
    </cfRule>
  </conditionalFormatting>
  <conditionalFormatting sqref="E12">
    <cfRule type="cellIs" dxfId="4805" priority="108" stopIfTrue="1" operator="equal">
      <formula>'1850'!$D$12</formula>
    </cfRule>
    <cfRule type="cellIs" dxfId="4804" priority="109" stopIfTrue="1" operator="lessThan">
      <formula>'1850'!$D$12</formula>
    </cfRule>
  </conditionalFormatting>
  <conditionalFormatting sqref="F12">
    <cfRule type="cellIs" dxfId="4803" priority="110" stopIfTrue="1" operator="equal">
      <formula>'1850'!$E$12</formula>
    </cfRule>
    <cfRule type="cellIs" dxfId="4802" priority="111" stopIfTrue="1" operator="lessThan">
      <formula>'1850'!$E$12</formula>
    </cfRule>
  </conditionalFormatting>
  <conditionalFormatting sqref="G12">
    <cfRule type="cellIs" dxfId="4801" priority="112" stopIfTrue="1" operator="equal">
      <formula>'1850'!$F$12</formula>
    </cfRule>
    <cfRule type="cellIs" dxfId="4800" priority="113" stopIfTrue="1" operator="lessThan">
      <formula>'1850'!$F$12</formula>
    </cfRule>
  </conditionalFormatting>
  <conditionalFormatting sqref="H12">
    <cfRule type="cellIs" dxfId="4799" priority="114" stopIfTrue="1" operator="equal">
      <formula>'1850'!$G$12</formula>
    </cfRule>
    <cfRule type="cellIs" dxfId="4798" priority="115" stopIfTrue="1" operator="lessThan">
      <formula>'1850'!$G$12</formula>
    </cfRule>
  </conditionalFormatting>
  <conditionalFormatting sqref="I12">
    <cfRule type="cellIs" dxfId="4797" priority="116" stopIfTrue="1" operator="equal">
      <formula>'1850'!$H$12</formula>
    </cfRule>
    <cfRule type="cellIs" dxfId="4796" priority="117" stopIfTrue="1" operator="lessThan">
      <formula>'1850'!$H$12</formula>
    </cfRule>
  </conditionalFormatting>
  <conditionalFormatting sqref="J12">
    <cfRule type="cellIs" dxfId="4795" priority="118" stopIfTrue="1" operator="equal">
      <formula>'1850'!$I$12</formula>
    </cfRule>
    <cfRule type="cellIs" dxfId="4794" priority="119" stopIfTrue="1" operator="lessThan">
      <formula>'1850'!$I$12</formula>
    </cfRule>
  </conditionalFormatting>
  <conditionalFormatting sqref="D14">
    <cfRule type="cellIs" dxfId="4793" priority="120" stopIfTrue="1" operator="equal">
      <formula>'1850'!$C$14</formula>
    </cfRule>
    <cfRule type="cellIs" dxfId="4792" priority="121" stopIfTrue="1" operator="lessThan">
      <formula>'1850'!$C$14</formula>
    </cfRule>
  </conditionalFormatting>
  <conditionalFormatting sqref="D15">
    <cfRule type="cellIs" dxfId="4791" priority="122" stopIfTrue="1" operator="equal">
      <formula>'1850'!$C$15</formula>
    </cfRule>
    <cfRule type="cellIs" dxfId="4790" priority="123" stopIfTrue="1" operator="lessThan">
      <formula>'1850'!$C$15</formula>
    </cfRule>
  </conditionalFormatting>
  <conditionalFormatting sqref="D16">
    <cfRule type="cellIs" dxfId="4789" priority="124" stopIfTrue="1" operator="equal">
      <formula>'1850'!$C$16</formula>
    </cfRule>
    <cfRule type="cellIs" dxfId="4788" priority="125" stopIfTrue="1" operator="lessThan">
      <formula>'1850'!$C$16</formula>
    </cfRule>
  </conditionalFormatting>
  <conditionalFormatting sqref="D17">
    <cfRule type="cellIs" dxfId="4787" priority="126" stopIfTrue="1" operator="equal">
      <formula>'1850'!$C$17</formula>
    </cfRule>
    <cfRule type="cellIs" dxfId="4786" priority="127" stopIfTrue="1" operator="lessThan">
      <formula>'1850'!$C$17</formula>
    </cfRule>
  </conditionalFormatting>
  <conditionalFormatting sqref="D18">
    <cfRule type="cellIs" dxfId="4785" priority="128" stopIfTrue="1" operator="equal">
      <formula>'1850'!$C$18</formula>
    </cfRule>
    <cfRule type="cellIs" dxfId="4784" priority="129" stopIfTrue="1" operator="lessThan">
      <formula>'1850'!$C$18</formula>
    </cfRule>
  </conditionalFormatting>
  <conditionalFormatting sqref="D19">
    <cfRule type="cellIs" dxfId="4783" priority="130" stopIfTrue="1" operator="equal">
      <formula>'1850'!$C$19</formula>
    </cfRule>
    <cfRule type="cellIs" dxfId="4782" priority="131" stopIfTrue="1" operator="lessThan">
      <formula>'1850'!$C$19</formula>
    </cfRule>
  </conditionalFormatting>
  <conditionalFormatting sqref="D20">
    <cfRule type="cellIs" dxfId="4781" priority="132" stopIfTrue="1" operator="equal">
      <formula>'1850'!$C$20</formula>
    </cfRule>
    <cfRule type="cellIs" dxfId="4780" priority="133" stopIfTrue="1" operator="lessThan">
      <formula>'1850'!$C$20</formula>
    </cfRule>
  </conditionalFormatting>
  <conditionalFormatting sqref="D21">
    <cfRule type="cellIs" dxfId="4779" priority="134" stopIfTrue="1" operator="equal">
      <formula>'1850'!$C$21</formula>
    </cfRule>
    <cfRule type="cellIs" dxfId="4778" priority="135" stopIfTrue="1" operator="lessThan">
      <formula>'1850'!$C$21</formula>
    </cfRule>
  </conditionalFormatting>
  <conditionalFormatting sqref="D22">
    <cfRule type="cellIs" dxfId="4777" priority="136" stopIfTrue="1" operator="equal">
      <formula>'1850'!$C$22</formula>
    </cfRule>
    <cfRule type="cellIs" dxfId="4776" priority="137" stopIfTrue="1" operator="lessThan">
      <formula>'1850'!$C$22</formula>
    </cfRule>
  </conditionalFormatting>
  <conditionalFormatting sqref="D23">
    <cfRule type="cellIs" dxfId="4775" priority="138" stopIfTrue="1" operator="equal">
      <formula>'1850'!$C$23</formula>
    </cfRule>
    <cfRule type="cellIs" dxfId="4774" priority="139" stopIfTrue="1" operator="lessThan">
      <formula>'1850'!$C$23</formula>
    </cfRule>
  </conditionalFormatting>
  <conditionalFormatting sqref="D25">
    <cfRule type="cellIs" dxfId="4773" priority="140" stopIfTrue="1" operator="equal">
      <formula>'1850'!$C$25</formula>
    </cfRule>
    <cfRule type="cellIs" dxfId="4772" priority="141" stopIfTrue="1" operator="lessThan">
      <formula>'1850'!$C$25</formula>
    </cfRule>
  </conditionalFormatting>
  <conditionalFormatting sqref="D26">
    <cfRule type="cellIs" dxfId="4771" priority="142" stopIfTrue="1" operator="equal">
      <formula>'1850'!$C$26</formula>
    </cfRule>
    <cfRule type="cellIs" dxfId="4770" priority="143" stopIfTrue="1" operator="lessThan">
      <formula>'1850'!$C$26</formula>
    </cfRule>
  </conditionalFormatting>
  <conditionalFormatting sqref="D27">
    <cfRule type="cellIs" dxfId="4769" priority="144" stopIfTrue="1" operator="equal">
      <formula>'1850'!$C$27</formula>
    </cfRule>
    <cfRule type="cellIs" dxfId="4768" priority="145" stopIfTrue="1" operator="lessThan">
      <formula>'1850'!$C$27</formula>
    </cfRule>
  </conditionalFormatting>
  <conditionalFormatting sqref="D28">
    <cfRule type="cellIs" dxfId="4767" priority="146" stopIfTrue="1" operator="equal">
      <formula>'1850'!$C$28</formula>
    </cfRule>
    <cfRule type="cellIs" dxfId="4766" priority="147" stopIfTrue="1" operator="lessThan">
      <formula>'1850'!$C$28</formula>
    </cfRule>
  </conditionalFormatting>
  <conditionalFormatting sqref="E13">
    <cfRule type="cellIs" dxfId="4765" priority="148" stopIfTrue="1" operator="equal">
      <formula>'1850'!$D$13</formula>
    </cfRule>
    <cfRule type="cellIs" dxfId="4764" priority="149" stopIfTrue="1" operator="lessThan">
      <formula>'1850'!$D$13</formula>
    </cfRule>
  </conditionalFormatting>
  <conditionalFormatting sqref="E14">
    <cfRule type="cellIs" dxfId="4763" priority="150" stopIfTrue="1" operator="equal">
      <formula>'1850'!$D$14</formula>
    </cfRule>
    <cfRule type="cellIs" dxfId="4762" priority="151" stopIfTrue="1" operator="lessThan">
      <formula>'1850'!$D$14</formula>
    </cfRule>
  </conditionalFormatting>
  <conditionalFormatting sqref="E15">
    <cfRule type="cellIs" dxfId="4761" priority="152" stopIfTrue="1" operator="equal">
      <formula>'1850'!$D$15</formula>
    </cfRule>
    <cfRule type="cellIs" dxfId="4760" priority="153" stopIfTrue="1" operator="lessThan">
      <formula>'1850'!$D$15</formula>
    </cfRule>
  </conditionalFormatting>
  <conditionalFormatting sqref="E16">
    <cfRule type="cellIs" dxfId="4759" priority="154" stopIfTrue="1" operator="equal">
      <formula>'1850'!$D$16</formula>
    </cfRule>
    <cfRule type="cellIs" dxfId="4758" priority="155" stopIfTrue="1" operator="lessThan">
      <formula>'1850'!$D$16</formula>
    </cfRule>
  </conditionalFormatting>
  <conditionalFormatting sqref="E17">
    <cfRule type="cellIs" dxfId="4757" priority="156" stopIfTrue="1" operator="equal">
      <formula>'1850'!$D$17</formula>
    </cfRule>
    <cfRule type="cellIs" dxfId="4756" priority="157" stopIfTrue="1" operator="lessThan">
      <formula>'1850'!$D$17</formula>
    </cfRule>
  </conditionalFormatting>
  <conditionalFormatting sqref="E18">
    <cfRule type="cellIs" dxfId="4755" priority="158" stopIfTrue="1" operator="equal">
      <formula>'1850'!$D$18</formula>
    </cfRule>
    <cfRule type="cellIs" dxfId="4754" priority="159" stopIfTrue="1" operator="lessThan">
      <formula>'1850'!$D$18</formula>
    </cfRule>
  </conditionalFormatting>
  <conditionalFormatting sqref="E19">
    <cfRule type="cellIs" dxfId="4753" priority="160" stopIfTrue="1" operator="equal">
      <formula>'1850'!$D$19</formula>
    </cfRule>
    <cfRule type="cellIs" dxfId="4752" priority="161" stopIfTrue="1" operator="lessThan">
      <formula>'1850'!$D$19</formula>
    </cfRule>
  </conditionalFormatting>
  <conditionalFormatting sqref="E20">
    <cfRule type="cellIs" dxfId="4751" priority="162" stopIfTrue="1" operator="equal">
      <formula>'1850'!$D$20</formula>
    </cfRule>
    <cfRule type="cellIs" dxfId="4750" priority="163" stopIfTrue="1" operator="lessThan">
      <formula>'1850'!$D$20</formula>
    </cfRule>
  </conditionalFormatting>
  <conditionalFormatting sqref="E21">
    <cfRule type="cellIs" dxfId="4749" priority="164" stopIfTrue="1" operator="equal">
      <formula>'1850'!$D$21</formula>
    </cfRule>
    <cfRule type="cellIs" dxfId="4748" priority="165" stopIfTrue="1" operator="lessThan">
      <formula>'1850'!$D$21</formula>
    </cfRule>
  </conditionalFormatting>
  <conditionalFormatting sqref="E22">
    <cfRule type="cellIs" dxfId="4747" priority="166" stopIfTrue="1" operator="equal">
      <formula>'1850'!$D$22</formula>
    </cfRule>
    <cfRule type="cellIs" dxfId="4746" priority="167" stopIfTrue="1" operator="lessThan">
      <formula>'1850'!$D$22</formula>
    </cfRule>
  </conditionalFormatting>
  <conditionalFormatting sqref="E23">
    <cfRule type="cellIs" dxfId="4745" priority="168" stopIfTrue="1" operator="equal">
      <formula>'1850'!$D$23</formula>
    </cfRule>
    <cfRule type="cellIs" dxfId="4744" priority="169" stopIfTrue="1" operator="lessThan">
      <formula>'1850'!$D$23</formula>
    </cfRule>
  </conditionalFormatting>
  <conditionalFormatting sqref="E25">
    <cfRule type="cellIs" dxfId="4743" priority="170" stopIfTrue="1" operator="equal">
      <formula>'1850'!$D$25</formula>
    </cfRule>
    <cfRule type="cellIs" dxfId="4742" priority="171" stopIfTrue="1" operator="lessThan">
      <formula>'1850'!$D$25</formula>
    </cfRule>
  </conditionalFormatting>
  <conditionalFormatting sqref="E26">
    <cfRule type="cellIs" dxfId="4741" priority="172" stopIfTrue="1" operator="equal">
      <formula>'1850'!$D$26</formula>
    </cfRule>
    <cfRule type="cellIs" dxfId="4740" priority="173" stopIfTrue="1" operator="lessThan">
      <formula>'1850'!$D$26</formula>
    </cfRule>
  </conditionalFormatting>
  <conditionalFormatting sqref="E27">
    <cfRule type="cellIs" dxfId="4739" priority="174" stopIfTrue="1" operator="equal">
      <formula>'1850'!$D$27</formula>
    </cfRule>
    <cfRule type="cellIs" dxfId="4738" priority="175" stopIfTrue="1" operator="lessThan">
      <formula>'1850'!$D$27</formula>
    </cfRule>
  </conditionalFormatting>
  <conditionalFormatting sqref="E28">
    <cfRule type="cellIs" dxfId="4737" priority="176" stopIfTrue="1" operator="equal">
      <formula>'1850'!$D$28</formula>
    </cfRule>
    <cfRule type="cellIs" dxfId="4736" priority="177" stopIfTrue="1" operator="lessThan">
      <formula>'1850'!$D$28</formula>
    </cfRule>
  </conditionalFormatting>
  <conditionalFormatting sqref="F13">
    <cfRule type="cellIs" dxfId="4735" priority="178" stopIfTrue="1" operator="equal">
      <formula>'1850'!$E$13</formula>
    </cfRule>
    <cfRule type="cellIs" dxfId="4734" priority="179" stopIfTrue="1" operator="lessThan">
      <formula>'1850'!$E$13</formula>
    </cfRule>
  </conditionalFormatting>
  <conditionalFormatting sqref="F14">
    <cfRule type="cellIs" dxfId="4733" priority="180" stopIfTrue="1" operator="equal">
      <formula>'1850'!$E$14</formula>
    </cfRule>
    <cfRule type="cellIs" dxfId="4732" priority="181" stopIfTrue="1" operator="lessThan">
      <formula>'1850'!$E$14</formula>
    </cfRule>
  </conditionalFormatting>
  <conditionalFormatting sqref="F15">
    <cfRule type="cellIs" dxfId="4731" priority="182" stopIfTrue="1" operator="equal">
      <formula>'1850'!$E$15</formula>
    </cfRule>
    <cfRule type="cellIs" dxfId="4730" priority="183" stopIfTrue="1" operator="lessThan">
      <formula>'1850'!$E$15</formula>
    </cfRule>
  </conditionalFormatting>
  <conditionalFormatting sqref="F16">
    <cfRule type="cellIs" dxfId="4729" priority="184" stopIfTrue="1" operator="equal">
      <formula>'1850'!$E$16</formula>
    </cfRule>
    <cfRule type="cellIs" dxfId="4728" priority="185" stopIfTrue="1" operator="lessThan">
      <formula>'1850'!$E$16</formula>
    </cfRule>
  </conditionalFormatting>
  <conditionalFormatting sqref="F17">
    <cfRule type="cellIs" dxfId="4727" priority="186" stopIfTrue="1" operator="equal">
      <formula>'1850'!$E$17</formula>
    </cfRule>
    <cfRule type="cellIs" dxfId="4726" priority="187" stopIfTrue="1" operator="lessThan">
      <formula>'1850'!$E$17</formula>
    </cfRule>
  </conditionalFormatting>
  <conditionalFormatting sqref="F18">
    <cfRule type="cellIs" dxfId="4725" priority="188" stopIfTrue="1" operator="equal">
      <formula>'1850'!$E$18</formula>
    </cfRule>
    <cfRule type="cellIs" dxfId="4724" priority="189" stopIfTrue="1" operator="lessThan">
      <formula>'1850'!$E$18</formula>
    </cfRule>
  </conditionalFormatting>
  <conditionalFormatting sqref="F19">
    <cfRule type="cellIs" dxfId="4723" priority="190" stopIfTrue="1" operator="equal">
      <formula>'1850'!$E$19</formula>
    </cfRule>
    <cfRule type="cellIs" dxfId="4722" priority="191" stopIfTrue="1" operator="lessThan">
      <formula>'1850'!$E$19</formula>
    </cfRule>
  </conditionalFormatting>
  <conditionalFormatting sqref="F20">
    <cfRule type="cellIs" dxfId="4721" priority="192" stopIfTrue="1" operator="equal">
      <formula>'1850'!$E$20</formula>
    </cfRule>
    <cfRule type="cellIs" dxfId="4720" priority="193" stopIfTrue="1" operator="lessThan">
      <formula>'1850'!$E$20</formula>
    </cfRule>
  </conditionalFormatting>
  <conditionalFormatting sqref="F21">
    <cfRule type="cellIs" dxfId="4719" priority="194" stopIfTrue="1" operator="equal">
      <formula>'1850'!$E$21</formula>
    </cfRule>
    <cfRule type="cellIs" dxfId="4718" priority="195" stopIfTrue="1" operator="lessThan">
      <formula>'1850'!$E$21</formula>
    </cfRule>
  </conditionalFormatting>
  <conditionalFormatting sqref="F22">
    <cfRule type="cellIs" dxfId="4717" priority="196" stopIfTrue="1" operator="equal">
      <formula>'1850'!$E$22</formula>
    </cfRule>
    <cfRule type="cellIs" dxfId="4716" priority="197" stopIfTrue="1" operator="lessThan">
      <formula>'1850'!$E$22</formula>
    </cfRule>
  </conditionalFormatting>
  <conditionalFormatting sqref="F23">
    <cfRule type="cellIs" dxfId="4715" priority="198" stopIfTrue="1" operator="equal">
      <formula>'1850'!$E$23</formula>
    </cfRule>
    <cfRule type="cellIs" dxfId="4714" priority="199" stopIfTrue="1" operator="lessThan">
      <formula>'1850'!$E$23</formula>
    </cfRule>
  </conditionalFormatting>
  <conditionalFormatting sqref="F25">
    <cfRule type="cellIs" dxfId="4713" priority="200" stopIfTrue="1" operator="equal">
      <formula>'1850'!$E$25</formula>
    </cfRule>
    <cfRule type="cellIs" dxfId="4712" priority="201" stopIfTrue="1" operator="lessThan">
      <formula>'1850'!$E$25</formula>
    </cfRule>
  </conditionalFormatting>
  <conditionalFormatting sqref="F26">
    <cfRule type="cellIs" dxfId="4711" priority="202" stopIfTrue="1" operator="equal">
      <formula>'1850'!$E$26</formula>
    </cfRule>
    <cfRule type="cellIs" dxfId="4710" priority="203" stopIfTrue="1" operator="lessThan">
      <formula>'1850'!$E$26</formula>
    </cfRule>
  </conditionalFormatting>
  <conditionalFormatting sqref="F27">
    <cfRule type="cellIs" dxfId="4709" priority="204" stopIfTrue="1" operator="equal">
      <formula>'1850'!$E$27</formula>
    </cfRule>
    <cfRule type="cellIs" dxfId="4708" priority="205" stopIfTrue="1" operator="lessThan">
      <formula>'1850'!$E$27</formula>
    </cfRule>
  </conditionalFormatting>
  <conditionalFormatting sqref="F28">
    <cfRule type="cellIs" dxfId="4707" priority="206" stopIfTrue="1" operator="equal">
      <formula>'1850'!$E$28</formula>
    </cfRule>
    <cfRule type="cellIs" dxfId="4706" priority="207" stopIfTrue="1" operator="lessThan">
      <formula>'1850'!$E$28</formula>
    </cfRule>
  </conditionalFormatting>
  <conditionalFormatting sqref="G13">
    <cfRule type="cellIs" dxfId="4705" priority="208" stopIfTrue="1" operator="equal">
      <formula>'1850'!$F$13</formula>
    </cfRule>
    <cfRule type="cellIs" dxfId="4704" priority="209" stopIfTrue="1" operator="lessThan">
      <formula>'1850'!$F$13</formula>
    </cfRule>
  </conditionalFormatting>
  <conditionalFormatting sqref="G14">
    <cfRule type="cellIs" dxfId="4703" priority="210" stopIfTrue="1" operator="equal">
      <formula>'1850'!$F$14</formula>
    </cfRule>
    <cfRule type="cellIs" dxfId="4702" priority="211" stopIfTrue="1" operator="lessThan">
      <formula>'1850'!$F$14</formula>
    </cfRule>
  </conditionalFormatting>
  <conditionalFormatting sqref="G15">
    <cfRule type="cellIs" dxfId="4701" priority="212" stopIfTrue="1" operator="equal">
      <formula>'1850'!$F$15</formula>
    </cfRule>
    <cfRule type="cellIs" dxfId="4700" priority="213" stopIfTrue="1" operator="lessThan">
      <formula>'1850'!$F$15</formula>
    </cfRule>
  </conditionalFormatting>
  <conditionalFormatting sqref="G16">
    <cfRule type="cellIs" dxfId="4699" priority="214" stopIfTrue="1" operator="equal">
      <formula>'1850'!$F$16</formula>
    </cfRule>
    <cfRule type="cellIs" dxfId="4698" priority="215" stopIfTrue="1" operator="lessThan">
      <formula>'1850'!$F$16</formula>
    </cfRule>
  </conditionalFormatting>
  <conditionalFormatting sqref="G17">
    <cfRule type="cellIs" dxfId="4697" priority="216" stopIfTrue="1" operator="equal">
      <formula>'1850'!$F$17</formula>
    </cfRule>
    <cfRule type="cellIs" dxfId="4696" priority="217" stopIfTrue="1" operator="lessThan">
      <formula>'1850'!$F$17</formula>
    </cfRule>
  </conditionalFormatting>
  <conditionalFormatting sqref="G18">
    <cfRule type="cellIs" dxfId="4695" priority="218" stopIfTrue="1" operator="equal">
      <formula>'1850'!$F$18</formula>
    </cfRule>
    <cfRule type="cellIs" dxfId="4694" priority="219" stopIfTrue="1" operator="lessThan">
      <formula>'1850'!$F$18</formula>
    </cfRule>
  </conditionalFormatting>
  <conditionalFormatting sqref="G19">
    <cfRule type="cellIs" dxfId="4693" priority="220" stopIfTrue="1" operator="equal">
      <formula>'1850'!$F$19</formula>
    </cfRule>
    <cfRule type="cellIs" dxfId="4692" priority="221" stopIfTrue="1" operator="lessThan">
      <formula>'1850'!$F$19</formula>
    </cfRule>
  </conditionalFormatting>
  <conditionalFormatting sqref="G20">
    <cfRule type="cellIs" dxfId="4691" priority="222" stopIfTrue="1" operator="equal">
      <formula>'1850'!$F$20</formula>
    </cfRule>
    <cfRule type="cellIs" dxfId="4690" priority="223" stopIfTrue="1" operator="lessThan">
      <formula>'1850'!$F$20</formula>
    </cfRule>
  </conditionalFormatting>
  <conditionalFormatting sqref="G21">
    <cfRule type="cellIs" dxfId="4689" priority="224" stopIfTrue="1" operator="equal">
      <formula>'1850'!$F$21</formula>
    </cfRule>
    <cfRule type="cellIs" dxfId="4688" priority="225" stopIfTrue="1" operator="lessThan">
      <formula>'1850'!$F$21</formula>
    </cfRule>
  </conditionalFormatting>
  <conditionalFormatting sqref="G22">
    <cfRule type="cellIs" dxfId="4687" priority="226" stopIfTrue="1" operator="equal">
      <formula>'1850'!$F$22</formula>
    </cfRule>
    <cfRule type="cellIs" dxfId="4686" priority="227" stopIfTrue="1" operator="lessThan">
      <formula>'1850'!$F$22</formula>
    </cfRule>
  </conditionalFormatting>
  <conditionalFormatting sqref="G23">
    <cfRule type="cellIs" dxfId="4685" priority="228" stopIfTrue="1" operator="equal">
      <formula>'1850'!$F$23</formula>
    </cfRule>
    <cfRule type="cellIs" dxfId="4684" priority="229" stopIfTrue="1" operator="lessThan">
      <formula>'1850'!$F$23</formula>
    </cfRule>
  </conditionalFormatting>
  <conditionalFormatting sqref="G25">
    <cfRule type="cellIs" dxfId="4683" priority="230" stopIfTrue="1" operator="equal">
      <formula>'1850'!$F$25</formula>
    </cfRule>
    <cfRule type="cellIs" dxfId="4682" priority="231" stopIfTrue="1" operator="lessThan">
      <formula>'1850'!$F$25</formula>
    </cfRule>
  </conditionalFormatting>
  <conditionalFormatting sqref="G26">
    <cfRule type="cellIs" dxfId="4681" priority="232" stopIfTrue="1" operator="equal">
      <formula>'1850'!$F$26</formula>
    </cfRule>
    <cfRule type="cellIs" dxfId="4680" priority="233" stopIfTrue="1" operator="lessThan">
      <formula>'1850'!$F$26</formula>
    </cfRule>
  </conditionalFormatting>
  <conditionalFormatting sqref="G27">
    <cfRule type="cellIs" dxfId="4679" priority="234" stopIfTrue="1" operator="equal">
      <formula>'1850'!$F$27</formula>
    </cfRule>
    <cfRule type="cellIs" dxfId="4678" priority="235" stopIfTrue="1" operator="lessThan">
      <formula>'1850'!$F$27</formula>
    </cfRule>
  </conditionalFormatting>
  <conditionalFormatting sqref="G28">
    <cfRule type="cellIs" dxfId="4677" priority="236" stopIfTrue="1" operator="equal">
      <formula>'1850'!$F$28</formula>
    </cfRule>
    <cfRule type="cellIs" dxfId="4676" priority="237" stopIfTrue="1" operator="lessThan">
      <formula>'1850'!$F$28</formula>
    </cfRule>
  </conditionalFormatting>
  <conditionalFormatting sqref="D13">
    <cfRule type="cellIs" dxfId="4675" priority="238" stopIfTrue="1" operator="equal">
      <formula>'1850'!$C$13</formula>
    </cfRule>
    <cfRule type="cellIs" dxfId="4674" priority="239" stopIfTrue="1" operator="lessThan">
      <formula>'1850'!$C$13</formula>
    </cfRule>
  </conditionalFormatting>
  <conditionalFormatting sqref="H13">
    <cfRule type="cellIs" dxfId="4673" priority="240" stopIfTrue="1" operator="equal">
      <formula>'1850'!$G$13</formula>
    </cfRule>
    <cfRule type="cellIs" dxfId="4672" priority="241" stopIfTrue="1" operator="lessThan">
      <formula>'1850'!$G$13</formula>
    </cfRule>
  </conditionalFormatting>
  <conditionalFormatting sqref="H14">
    <cfRule type="cellIs" dxfId="4671" priority="242" stopIfTrue="1" operator="equal">
      <formula>'1850'!$G$14</formula>
    </cfRule>
    <cfRule type="cellIs" dxfId="4670" priority="243" stopIfTrue="1" operator="lessThan">
      <formula>'1850'!$G$14</formula>
    </cfRule>
  </conditionalFormatting>
  <conditionalFormatting sqref="H15">
    <cfRule type="cellIs" dxfId="4669" priority="244" stopIfTrue="1" operator="equal">
      <formula>'1850'!$G$15</formula>
    </cfRule>
    <cfRule type="cellIs" dxfId="4668" priority="245" stopIfTrue="1" operator="lessThan">
      <formula>'1850'!$G$15</formula>
    </cfRule>
  </conditionalFormatting>
  <conditionalFormatting sqref="H16">
    <cfRule type="cellIs" dxfId="4667" priority="246" stopIfTrue="1" operator="equal">
      <formula>'1850'!$G$16</formula>
    </cfRule>
    <cfRule type="cellIs" dxfId="4666" priority="247" stopIfTrue="1" operator="lessThan">
      <formula>'1850'!$G$16</formula>
    </cfRule>
  </conditionalFormatting>
  <conditionalFormatting sqref="H17">
    <cfRule type="cellIs" dxfId="4665" priority="248" stopIfTrue="1" operator="equal">
      <formula>'1850'!$G$17</formula>
    </cfRule>
    <cfRule type="cellIs" dxfId="4664" priority="249" stopIfTrue="1" operator="lessThan">
      <formula>'1850'!$G$17</formula>
    </cfRule>
  </conditionalFormatting>
  <conditionalFormatting sqref="H18">
    <cfRule type="cellIs" dxfId="4663" priority="250" stopIfTrue="1" operator="equal">
      <formula>'1850'!$G$18</formula>
    </cfRule>
    <cfRule type="cellIs" dxfId="4662" priority="251" stopIfTrue="1" operator="lessThan">
      <formula>'1850'!$G$18</formula>
    </cfRule>
  </conditionalFormatting>
  <conditionalFormatting sqref="H19">
    <cfRule type="cellIs" dxfId="4661" priority="252" stopIfTrue="1" operator="equal">
      <formula>'1850'!$G$19</formula>
    </cfRule>
    <cfRule type="cellIs" dxfId="4660" priority="253" stopIfTrue="1" operator="lessThan">
      <formula>'1850'!$G$19</formula>
    </cfRule>
  </conditionalFormatting>
  <conditionalFormatting sqref="H20">
    <cfRule type="cellIs" dxfId="4659" priority="254" stopIfTrue="1" operator="equal">
      <formula>'1850'!$G$20</formula>
    </cfRule>
    <cfRule type="cellIs" dxfId="4658" priority="255" stopIfTrue="1" operator="lessThan">
      <formula>'1850'!$G$20</formula>
    </cfRule>
  </conditionalFormatting>
  <conditionalFormatting sqref="H21">
    <cfRule type="cellIs" dxfId="4657" priority="256" stopIfTrue="1" operator="equal">
      <formula>'1850'!$G$21</formula>
    </cfRule>
    <cfRule type="cellIs" dxfId="4656" priority="257" stopIfTrue="1" operator="lessThan">
      <formula>'1850'!$G$21</formula>
    </cfRule>
  </conditionalFormatting>
  <conditionalFormatting sqref="H22">
    <cfRule type="cellIs" dxfId="4655" priority="258" stopIfTrue="1" operator="equal">
      <formula>'1850'!$G$22</formula>
    </cfRule>
    <cfRule type="cellIs" dxfId="4654" priority="259" stopIfTrue="1" operator="lessThan">
      <formula>'1850'!$G$22</formula>
    </cfRule>
  </conditionalFormatting>
  <conditionalFormatting sqref="H23">
    <cfRule type="cellIs" dxfId="4653" priority="260" stopIfTrue="1" operator="equal">
      <formula>'1850'!$G$23</formula>
    </cfRule>
    <cfRule type="cellIs" dxfId="4652" priority="261" stopIfTrue="1" operator="lessThan">
      <formula>'1850'!$G$23</formula>
    </cfRule>
  </conditionalFormatting>
  <conditionalFormatting sqref="H25">
    <cfRule type="cellIs" dxfId="4651" priority="262" stopIfTrue="1" operator="equal">
      <formula>'1850'!$G$25</formula>
    </cfRule>
    <cfRule type="cellIs" dxfId="4650" priority="263" stopIfTrue="1" operator="lessThan">
      <formula>'1850'!$G$25</formula>
    </cfRule>
  </conditionalFormatting>
  <conditionalFormatting sqref="H26">
    <cfRule type="cellIs" dxfId="4649" priority="264" stopIfTrue="1" operator="equal">
      <formula>'1850'!$G$26</formula>
    </cfRule>
    <cfRule type="cellIs" dxfId="4648" priority="265" stopIfTrue="1" operator="lessThan">
      <formula>'1850'!$G$26</formula>
    </cfRule>
  </conditionalFormatting>
  <conditionalFormatting sqref="H27">
    <cfRule type="cellIs" dxfId="4647" priority="266" stopIfTrue="1" operator="equal">
      <formula>'1850'!$G$27</formula>
    </cfRule>
    <cfRule type="cellIs" dxfId="4646" priority="267" stopIfTrue="1" operator="lessThan">
      <formula>'1850'!$G$27</formula>
    </cfRule>
  </conditionalFormatting>
  <conditionalFormatting sqref="H28">
    <cfRule type="cellIs" dxfId="4645" priority="268" stopIfTrue="1" operator="equal">
      <formula>'1850'!$G$28</formula>
    </cfRule>
    <cfRule type="cellIs" dxfId="4644" priority="269" stopIfTrue="1" operator="lessThan">
      <formula>'1850'!$G$28</formula>
    </cfRule>
  </conditionalFormatting>
  <conditionalFormatting sqref="D24">
    <cfRule type="cellIs" dxfId="4643" priority="270" stopIfTrue="1" operator="equal">
      <formula>'1850'!$C$24</formula>
    </cfRule>
    <cfRule type="cellIs" dxfId="4642" priority="271" stopIfTrue="1" operator="lessThan">
      <formula>'1850'!$C$24</formula>
    </cfRule>
  </conditionalFormatting>
  <conditionalFormatting sqref="E24">
    <cfRule type="cellIs" dxfId="4641" priority="272" stopIfTrue="1" operator="equal">
      <formula>'1850'!$D$24</formula>
    </cfRule>
    <cfRule type="cellIs" dxfId="4640" priority="273" stopIfTrue="1" operator="lessThan">
      <formula>'1850'!$D$24</formula>
    </cfRule>
  </conditionalFormatting>
  <conditionalFormatting sqref="F24">
    <cfRule type="cellIs" dxfId="4639" priority="274" stopIfTrue="1" operator="equal">
      <formula>'1850'!$E$24</formula>
    </cfRule>
    <cfRule type="cellIs" dxfId="4638" priority="275" stopIfTrue="1" operator="lessThan">
      <formula>'1850'!$E$24</formula>
    </cfRule>
  </conditionalFormatting>
  <conditionalFormatting sqref="G24">
    <cfRule type="cellIs" dxfId="4637" priority="276" stopIfTrue="1" operator="equal">
      <formula>'1850'!$F$24</formula>
    </cfRule>
    <cfRule type="cellIs" dxfId="4636" priority="277" stopIfTrue="1" operator="lessThan">
      <formula>'1850'!$F$24</formula>
    </cfRule>
  </conditionalFormatting>
  <conditionalFormatting sqref="H24">
    <cfRule type="cellIs" dxfId="4635" priority="278" stopIfTrue="1" operator="equal">
      <formula>'1850'!$G$24</formula>
    </cfRule>
    <cfRule type="cellIs" dxfId="4634" priority="279" stopIfTrue="1" operator="lessThan">
      <formula>'1850'!$G$24</formula>
    </cfRule>
  </conditionalFormatting>
  <conditionalFormatting sqref="E5">
    <cfRule type="cellIs" dxfId="4633" priority="280" stopIfTrue="1" operator="equal">
      <formula>'1850'!$D$5</formula>
    </cfRule>
    <cfRule type="cellIs" dxfId="4632" priority="281" stopIfTrue="1" operator="lessThan">
      <formula>'1850'!$D$5</formula>
    </cfRule>
  </conditionalFormatting>
  <conditionalFormatting sqref="G5">
    <cfRule type="cellIs" dxfId="4631" priority="282" stopIfTrue="1" operator="equal">
      <formula>'1850'!$F$5</formula>
    </cfRule>
    <cfRule type="cellIs" dxfId="4630" priority="283" stopIfTrue="1" operator="lessThan">
      <formula>'1850'!$F$5</formula>
    </cfRule>
  </conditionalFormatting>
  <conditionalFormatting sqref="G4">
    <cfRule type="cellIs" dxfId="4629" priority="284" stopIfTrue="1" operator="equal">
      <formula>'1850'!$F$4</formula>
    </cfRule>
  </conditionalFormatting>
  <conditionalFormatting sqref="D29:H29 J29">
    <cfRule type="cellIs" dxfId="4628" priority="285" stopIfTrue="1" operator="equal">
      <formula>0</formula>
    </cfRule>
  </conditionalFormatting>
  <conditionalFormatting sqref="I13">
    <cfRule type="cellIs" dxfId="4627" priority="286" stopIfTrue="1" operator="equal">
      <formula>'1850'!$H$13</formula>
    </cfRule>
    <cfRule type="cellIs" dxfId="4626" priority="287" stopIfTrue="1" operator="lessThan">
      <formula>'1850'!$H$13</formula>
    </cfRule>
  </conditionalFormatting>
  <conditionalFormatting sqref="I14">
    <cfRule type="cellIs" dxfId="4625" priority="288" stopIfTrue="1" operator="equal">
      <formula>'1850'!$H$14</formula>
    </cfRule>
    <cfRule type="cellIs" dxfId="4624" priority="289" stopIfTrue="1" operator="lessThan">
      <formula>'1850'!$H$14</formula>
    </cfRule>
  </conditionalFormatting>
  <conditionalFormatting sqref="I15">
    <cfRule type="cellIs" dxfId="4623" priority="290" stopIfTrue="1" operator="equal">
      <formula>'1850'!$H$15</formula>
    </cfRule>
    <cfRule type="cellIs" dxfId="4622" priority="291" stopIfTrue="1" operator="lessThan">
      <formula>'1850'!$H$15</formula>
    </cfRule>
  </conditionalFormatting>
  <conditionalFormatting sqref="I16">
    <cfRule type="cellIs" dxfId="4621" priority="292" stopIfTrue="1" operator="equal">
      <formula>'1850'!$H$16</formula>
    </cfRule>
    <cfRule type="cellIs" dxfId="4620" priority="293" stopIfTrue="1" operator="lessThan">
      <formula>'1850'!$H$16</formula>
    </cfRule>
  </conditionalFormatting>
  <conditionalFormatting sqref="I17">
    <cfRule type="cellIs" dxfId="4619" priority="294" stopIfTrue="1" operator="equal">
      <formula>'1850'!$H$17</formula>
    </cfRule>
    <cfRule type="cellIs" dxfId="4618" priority="295" stopIfTrue="1" operator="lessThan">
      <formula>'1850'!$H$17</formula>
    </cfRule>
  </conditionalFormatting>
  <conditionalFormatting sqref="I18">
    <cfRule type="cellIs" dxfId="4617" priority="296" stopIfTrue="1" operator="equal">
      <formula>'1850'!$H$18</formula>
    </cfRule>
    <cfRule type="cellIs" dxfId="4616" priority="297" stopIfTrue="1" operator="lessThan">
      <formula>'1850'!$H$18</formula>
    </cfRule>
  </conditionalFormatting>
  <conditionalFormatting sqref="I19">
    <cfRule type="cellIs" dxfId="4615" priority="298" stopIfTrue="1" operator="equal">
      <formula>'1850'!$H$19</formula>
    </cfRule>
    <cfRule type="cellIs" dxfId="4614" priority="299" stopIfTrue="1" operator="lessThan">
      <formula>'1850'!$H$19</formula>
    </cfRule>
  </conditionalFormatting>
  <conditionalFormatting sqref="I20">
    <cfRule type="cellIs" dxfId="4613" priority="300" stopIfTrue="1" operator="equal">
      <formula>'1850'!$H$20</formula>
    </cfRule>
    <cfRule type="cellIs" dxfId="4612" priority="301" stopIfTrue="1" operator="lessThan">
      <formula>'1850'!$H$20</formula>
    </cfRule>
  </conditionalFormatting>
  <conditionalFormatting sqref="I21">
    <cfRule type="cellIs" dxfId="4611" priority="302" stopIfTrue="1" operator="equal">
      <formula>'1850'!$H$21</formula>
    </cfRule>
    <cfRule type="cellIs" dxfId="4610" priority="303" stopIfTrue="1" operator="lessThan">
      <formula>'1850'!$H$21</formula>
    </cfRule>
  </conditionalFormatting>
  <conditionalFormatting sqref="I22">
    <cfRule type="cellIs" dxfId="4609" priority="304" stopIfTrue="1" operator="equal">
      <formula>'1850'!$H$22</formula>
    </cfRule>
    <cfRule type="cellIs" dxfId="4608" priority="305" stopIfTrue="1" operator="lessThan">
      <formula>'1850'!$H$22</formula>
    </cfRule>
  </conditionalFormatting>
  <conditionalFormatting sqref="I23">
    <cfRule type="cellIs" dxfId="4607" priority="306" stopIfTrue="1" operator="equal">
      <formula>'1850'!$H$23</formula>
    </cfRule>
    <cfRule type="cellIs" dxfId="4606" priority="307" stopIfTrue="1" operator="lessThan">
      <formula>'1850'!$H$23</formula>
    </cfRule>
  </conditionalFormatting>
  <conditionalFormatting sqref="I24">
    <cfRule type="cellIs" dxfId="4605" priority="308" stopIfTrue="1" operator="equal">
      <formula>'1850'!$H$24</formula>
    </cfRule>
    <cfRule type="cellIs" dxfId="4604" priority="309" stopIfTrue="1" operator="lessThan">
      <formula>'1850'!$H$24</formula>
    </cfRule>
  </conditionalFormatting>
  <conditionalFormatting sqref="I25">
    <cfRule type="cellIs" dxfId="4603" priority="310" stopIfTrue="1" operator="equal">
      <formula>'1850'!$H$25</formula>
    </cfRule>
    <cfRule type="cellIs" dxfId="4602" priority="311" stopIfTrue="1" operator="lessThan">
      <formula>'1850'!$H$25</formula>
    </cfRule>
  </conditionalFormatting>
  <conditionalFormatting sqref="I26">
    <cfRule type="cellIs" dxfId="4601" priority="312" stopIfTrue="1" operator="equal">
      <formula>'1850'!$H$26</formula>
    </cfRule>
    <cfRule type="cellIs" dxfId="4600" priority="313" stopIfTrue="1" operator="lessThan">
      <formula>'1850'!$H$26</formula>
    </cfRule>
  </conditionalFormatting>
  <conditionalFormatting sqref="I27">
    <cfRule type="cellIs" dxfId="4599" priority="314" stopIfTrue="1" operator="equal">
      <formula>'1850'!$H$27</formula>
    </cfRule>
    <cfRule type="cellIs" dxfId="4598" priority="315" stopIfTrue="1" operator="lessThan">
      <formula>'1850'!$H$27</formula>
    </cfRule>
    <cfRule type="cellIs" dxfId="4597" priority="316" stopIfTrue="1" operator="lessThan">
      <formula>'1850'!$H$27</formula>
    </cfRule>
  </conditionalFormatting>
  <conditionalFormatting sqref="I28">
    <cfRule type="cellIs" dxfId="4596" priority="317" stopIfTrue="1" operator="equal">
      <formula>'1850'!$H$28</formula>
    </cfRule>
    <cfRule type="cellIs" dxfId="4595" priority="318" stopIfTrue="1" operator="lessThan">
      <formula>'1850'!$H$28</formula>
    </cfRule>
  </conditionalFormatting>
  <conditionalFormatting sqref="I29">
    <cfRule type="cellIs" dxfId="4594" priority="319" stopIfTrue="1" operator="equal">
      <formula>'1850'!$H$29</formula>
    </cfRule>
    <cfRule type="cellIs" dxfId="4593" priority="320" stopIfTrue="1" operator="lessThan">
      <formula>'1850'!$H$29</formula>
    </cfRule>
  </conditionalFormatting>
  <conditionalFormatting sqref="J13">
    <cfRule type="cellIs" dxfId="4592" priority="321" stopIfTrue="1" operator="equal">
      <formula>'1850'!$I$13</formula>
    </cfRule>
    <cfRule type="cellIs" dxfId="4591" priority="322" stopIfTrue="1" operator="lessThan">
      <formula>'1850'!$I$13</formula>
    </cfRule>
  </conditionalFormatting>
  <conditionalFormatting sqref="J14">
    <cfRule type="cellIs" dxfId="4590" priority="323" stopIfTrue="1" operator="equal">
      <formula>'1850'!$I$14</formula>
    </cfRule>
    <cfRule type="cellIs" dxfId="4589" priority="324" stopIfTrue="1" operator="lessThan">
      <formula>'1850'!$I$14</formula>
    </cfRule>
  </conditionalFormatting>
  <conditionalFormatting sqref="J15">
    <cfRule type="cellIs" dxfId="4588" priority="325" stopIfTrue="1" operator="equal">
      <formula>'1850'!$I$15</formula>
    </cfRule>
    <cfRule type="cellIs" dxfId="4587" priority="326" stopIfTrue="1" operator="lessThan">
      <formula>'1850'!$I$15</formula>
    </cfRule>
  </conditionalFormatting>
  <conditionalFormatting sqref="J16">
    <cfRule type="cellIs" dxfId="4586" priority="327" stopIfTrue="1" operator="equal">
      <formula>'1850'!$I$16</formula>
    </cfRule>
    <cfRule type="cellIs" dxfId="4585" priority="328" stopIfTrue="1" operator="lessThan">
      <formula>'1850'!$I$16</formula>
    </cfRule>
  </conditionalFormatting>
  <conditionalFormatting sqref="J17">
    <cfRule type="cellIs" dxfId="4584" priority="329" stopIfTrue="1" operator="equal">
      <formula>'1850'!$I$17</formula>
    </cfRule>
    <cfRule type="cellIs" dxfId="4583" priority="330" stopIfTrue="1" operator="lessThan">
      <formula>'1850'!$I$17</formula>
    </cfRule>
  </conditionalFormatting>
  <conditionalFormatting sqref="J18">
    <cfRule type="cellIs" dxfId="4582" priority="331" stopIfTrue="1" operator="equal">
      <formula>'1850'!$I$18</formula>
    </cfRule>
    <cfRule type="cellIs" dxfId="4581" priority="332" stopIfTrue="1" operator="lessThan">
      <formula>'1850'!$I$18</formula>
    </cfRule>
  </conditionalFormatting>
  <conditionalFormatting sqref="J19">
    <cfRule type="cellIs" dxfId="4580" priority="333" stopIfTrue="1" operator="equal">
      <formula>'1850'!$I$19</formula>
    </cfRule>
    <cfRule type="cellIs" dxfId="4579" priority="334" stopIfTrue="1" operator="lessThan">
      <formula>'1850'!$I$19</formula>
    </cfRule>
  </conditionalFormatting>
  <conditionalFormatting sqref="J20">
    <cfRule type="cellIs" dxfId="4578" priority="335" stopIfTrue="1" operator="equal">
      <formula>'1850'!$I$20</formula>
    </cfRule>
    <cfRule type="cellIs" dxfId="4577" priority="336" stopIfTrue="1" operator="lessThan">
      <formula>'1850'!$I$20</formula>
    </cfRule>
  </conditionalFormatting>
  <conditionalFormatting sqref="J21">
    <cfRule type="cellIs" dxfId="4576" priority="337" stopIfTrue="1" operator="equal">
      <formula>'1850'!$I$21</formula>
    </cfRule>
    <cfRule type="cellIs" dxfId="4575" priority="338" stopIfTrue="1" operator="lessThan">
      <formula>'1850'!$I$21</formula>
    </cfRule>
  </conditionalFormatting>
  <conditionalFormatting sqref="J22">
    <cfRule type="cellIs" dxfId="4574" priority="339" stopIfTrue="1" operator="equal">
      <formula>'1850'!$I$22</formula>
    </cfRule>
    <cfRule type="cellIs" dxfId="4573" priority="340" stopIfTrue="1" operator="lessThan">
      <formula>'1850'!$I$22</formula>
    </cfRule>
  </conditionalFormatting>
  <conditionalFormatting sqref="J23">
    <cfRule type="cellIs" dxfId="4572" priority="341" stopIfTrue="1" operator="equal">
      <formula>'1850'!$I$23</formula>
    </cfRule>
    <cfRule type="cellIs" dxfId="4571" priority="342" stopIfTrue="1" operator="lessThan">
      <formula>'1850'!$I$23</formula>
    </cfRule>
  </conditionalFormatting>
  <conditionalFormatting sqref="J24">
    <cfRule type="cellIs" dxfId="4570" priority="343" stopIfTrue="1" operator="equal">
      <formula>'1850'!$I$24</formula>
    </cfRule>
    <cfRule type="cellIs" dxfId="4569" priority="344" stopIfTrue="1" operator="lessThan">
      <formula>'1850'!$I$24</formula>
    </cfRule>
  </conditionalFormatting>
  <conditionalFormatting sqref="J25">
    <cfRule type="cellIs" dxfId="4568" priority="345" stopIfTrue="1" operator="equal">
      <formula>'1850'!$I$25</formula>
    </cfRule>
    <cfRule type="cellIs" dxfId="4567" priority="346" stopIfTrue="1" operator="lessThan">
      <formula>'1850'!$I$25</formula>
    </cfRule>
  </conditionalFormatting>
  <conditionalFormatting sqref="J26">
    <cfRule type="cellIs" dxfId="4566" priority="347" stopIfTrue="1" operator="equal">
      <formula>'1850'!$I$26</formula>
    </cfRule>
    <cfRule type="cellIs" dxfId="4565" priority="348" stopIfTrue="1" operator="lessThan">
      <formula>'1850'!$I$26</formula>
    </cfRule>
  </conditionalFormatting>
  <conditionalFormatting sqref="J27">
    <cfRule type="cellIs" dxfId="4564" priority="349" stopIfTrue="1" operator="equal">
      <formula>'1850'!$I$27</formula>
    </cfRule>
    <cfRule type="cellIs" dxfId="4563" priority="350" stopIfTrue="1" operator="lessThan">
      <formula>'1850'!$I$27</formula>
    </cfRule>
  </conditionalFormatting>
  <conditionalFormatting sqref="J28">
    <cfRule type="cellIs" dxfId="4562" priority="351" stopIfTrue="1" operator="equal">
      <formula>'1850'!$I$28</formula>
    </cfRule>
    <cfRule type="cellIs" dxfId="4561" priority="352" stopIfTrue="1" operator="lessThan">
      <formula>'1850'!$I$28</formula>
    </cfRule>
  </conditionalFormatting>
  <conditionalFormatting sqref="K4">
    <cfRule type="cellIs" dxfId="4560" priority="353" stopIfTrue="1" operator="equal">
      <formula>'1850'!$J$4</formula>
    </cfRule>
    <cfRule type="cellIs" dxfId="4559" priority="354" stopIfTrue="1" operator="lessThan">
      <formula>'1850'!$J$4</formula>
    </cfRule>
  </conditionalFormatting>
  <conditionalFormatting sqref="K5">
    <cfRule type="cellIs" dxfId="4558" priority="355" stopIfTrue="1" operator="equal">
      <formula>'1850'!$J$5</formula>
    </cfRule>
    <cfRule type="cellIs" dxfId="4557" priority="356" stopIfTrue="1" operator="lessThan">
      <formula>'1850'!$J$5</formula>
    </cfRule>
  </conditionalFormatting>
  <conditionalFormatting sqref="K6">
    <cfRule type="cellIs" dxfId="4556" priority="357" stopIfTrue="1" operator="equal">
      <formula>'1850'!$J$6</formula>
    </cfRule>
    <cfRule type="cellIs" dxfId="4555" priority="358" stopIfTrue="1" operator="lessThan">
      <formula>'1850'!$J$6</formula>
    </cfRule>
  </conditionalFormatting>
  <conditionalFormatting sqref="K7">
    <cfRule type="cellIs" dxfId="4554" priority="359" stopIfTrue="1" operator="equal">
      <formula>'1850'!$J$7</formula>
    </cfRule>
    <cfRule type="cellIs" dxfId="4553" priority="360" stopIfTrue="1" operator="lessThan">
      <formula>'1850'!$J$7</formula>
    </cfRule>
  </conditionalFormatting>
  <conditionalFormatting sqref="K8">
    <cfRule type="cellIs" dxfId="4552" priority="361" stopIfTrue="1" operator="equal">
      <formula>'1850'!$J$8</formula>
    </cfRule>
    <cfRule type="cellIs" dxfId="4551" priority="362" stopIfTrue="1" operator="lessThan">
      <formula>'1850'!$J$8</formula>
    </cfRule>
  </conditionalFormatting>
  <conditionalFormatting sqref="K9">
    <cfRule type="cellIs" dxfId="4550" priority="363" stopIfTrue="1" operator="equal">
      <formula>'1850'!$J$9</formula>
    </cfRule>
    <cfRule type="cellIs" dxfId="4549" priority="364" stopIfTrue="1" operator="lessThan">
      <formula>'1850'!$J$9</formula>
    </cfRule>
  </conditionalFormatting>
  <conditionalFormatting sqref="K10">
    <cfRule type="cellIs" dxfId="4548" priority="365" stopIfTrue="1" operator="equal">
      <formula>'1850'!$J$10</formula>
    </cfRule>
    <cfRule type="cellIs" dxfId="4547" priority="366" stopIfTrue="1" operator="lessThan">
      <formula>'1850'!$J$10</formula>
    </cfRule>
  </conditionalFormatting>
  <conditionalFormatting sqref="K11">
    <cfRule type="cellIs" dxfId="4546" priority="367" stopIfTrue="1" operator="equal">
      <formula>'1850'!$J$11</formula>
    </cfRule>
    <cfRule type="cellIs" dxfId="4545" priority="368" stopIfTrue="1" operator="lessThan">
      <formula>'1850'!$J$11</formula>
    </cfRule>
  </conditionalFormatting>
  <conditionalFormatting sqref="K12">
    <cfRule type="cellIs" dxfId="4544" priority="369" stopIfTrue="1" operator="equal">
      <formula>'1850'!$J$12</formula>
    </cfRule>
    <cfRule type="cellIs" dxfId="4543" priority="370" stopIfTrue="1" operator="lessThan">
      <formula>'1850'!$J$12</formula>
    </cfRule>
  </conditionalFormatting>
  <conditionalFormatting sqref="K13">
    <cfRule type="cellIs" dxfId="4542" priority="371" stopIfTrue="1" operator="equal">
      <formula>'1850'!$J$13</formula>
    </cfRule>
    <cfRule type="cellIs" dxfId="4541" priority="372" stopIfTrue="1" operator="lessThan">
      <formula>'1850'!$J$13</formula>
    </cfRule>
  </conditionalFormatting>
  <conditionalFormatting sqref="K14">
    <cfRule type="cellIs" dxfId="4540" priority="373" stopIfTrue="1" operator="equal">
      <formula>'1850'!$J$14</formula>
    </cfRule>
    <cfRule type="cellIs" dxfId="4539" priority="374" stopIfTrue="1" operator="lessThan">
      <formula>'1850'!$J$14</formula>
    </cfRule>
  </conditionalFormatting>
  <conditionalFormatting sqref="K15">
    <cfRule type="cellIs" dxfId="4538" priority="375" stopIfTrue="1" operator="equal">
      <formula>'1850'!$J$15</formula>
    </cfRule>
    <cfRule type="cellIs" dxfId="4537" priority="376" stopIfTrue="1" operator="lessThan">
      <formula>'1850'!$J$15</formula>
    </cfRule>
  </conditionalFormatting>
  <conditionalFormatting sqref="K16">
    <cfRule type="cellIs" dxfId="4536" priority="377" stopIfTrue="1" operator="equal">
      <formula>'1850'!$J$16</formula>
    </cfRule>
    <cfRule type="cellIs" dxfId="4535" priority="378" stopIfTrue="1" operator="lessThan">
      <formula>'1850'!$J$16</formula>
    </cfRule>
  </conditionalFormatting>
  <conditionalFormatting sqref="K17">
    <cfRule type="cellIs" dxfId="4534" priority="379" stopIfTrue="1" operator="equal">
      <formula>'1850'!$J$17</formula>
    </cfRule>
    <cfRule type="cellIs" dxfId="4533" priority="380" stopIfTrue="1" operator="lessThan">
      <formula>'1850'!$J$17</formula>
    </cfRule>
  </conditionalFormatting>
  <conditionalFormatting sqref="K18">
    <cfRule type="cellIs" dxfId="4532" priority="381" stopIfTrue="1" operator="equal">
      <formula>'1850'!$J$18</formula>
    </cfRule>
    <cfRule type="cellIs" dxfId="4531" priority="382" stopIfTrue="1" operator="lessThan">
      <formula>'1850'!$J$18</formula>
    </cfRule>
  </conditionalFormatting>
  <conditionalFormatting sqref="K19">
    <cfRule type="cellIs" dxfId="4530" priority="383" stopIfTrue="1" operator="equal">
      <formula>'1850'!$J$19</formula>
    </cfRule>
    <cfRule type="cellIs" dxfId="4529" priority="384" stopIfTrue="1" operator="lessThan">
      <formula>'1850'!$J$19</formula>
    </cfRule>
  </conditionalFormatting>
  <conditionalFormatting sqref="K20">
    <cfRule type="cellIs" dxfId="4528" priority="385" stopIfTrue="1" operator="equal">
      <formula>'1850'!$J$20</formula>
    </cfRule>
    <cfRule type="cellIs" dxfId="4527" priority="386" stopIfTrue="1" operator="lessThan">
      <formula>'1850'!$J$20</formula>
    </cfRule>
  </conditionalFormatting>
  <conditionalFormatting sqref="K21">
    <cfRule type="cellIs" dxfId="4526" priority="387" stopIfTrue="1" operator="equal">
      <formula>'1850'!$J$21</formula>
    </cfRule>
    <cfRule type="cellIs" dxfId="4525" priority="388" stopIfTrue="1" operator="lessThan">
      <formula>'1850'!$J$21</formula>
    </cfRule>
  </conditionalFormatting>
  <conditionalFormatting sqref="K22">
    <cfRule type="cellIs" dxfId="4524" priority="389" stopIfTrue="1" operator="equal">
      <formula>'1850'!$J$22</formula>
    </cfRule>
    <cfRule type="cellIs" dxfId="4523" priority="390" stopIfTrue="1" operator="lessThan">
      <formula>'1850'!$J$22</formula>
    </cfRule>
  </conditionalFormatting>
  <conditionalFormatting sqref="K23">
    <cfRule type="cellIs" dxfId="4522" priority="391" stopIfTrue="1" operator="equal">
      <formula>'1850'!$J$23</formula>
    </cfRule>
    <cfRule type="cellIs" dxfId="4521" priority="392" stopIfTrue="1" operator="lessThan">
      <formula>'1850'!$J$23</formula>
    </cfRule>
  </conditionalFormatting>
  <conditionalFormatting sqref="K24">
    <cfRule type="cellIs" dxfId="4520" priority="393" stopIfTrue="1" operator="equal">
      <formula>'1850'!$J$24</formula>
    </cfRule>
    <cfRule type="cellIs" dxfId="4519" priority="394" stopIfTrue="1" operator="lessThan">
      <formula>'1850'!$J$24</formula>
    </cfRule>
  </conditionalFormatting>
  <conditionalFormatting sqref="K25">
    <cfRule type="cellIs" dxfId="4518" priority="395" stopIfTrue="1" operator="equal">
      <formula>'1850'!$J$25</formula>
    </cfRule>
    <cfRule type="cellIs" dxfId="4517" priority="396" stopIfTrue="1" operator="lessThan">
      <formula>'1850'!$J$25</formula>
    </cfRule>
  </conditionalFormatting>
  <conditionalFormatting sqref="K26">
    <cfRule type="cellIs" dxfId="4516" priority="397" stopIfTrue="1" operator="equal">
      <formula>'1850'!$J$26</formula>
    </cfRule>
    <cfRule type="cellIs" dxfId="4515" priority="398" stopIfTrue="1" operator="lessThan">
      <formula>'1850'!$J$26</formula>
    </cfRule>
  </conditionalFormatting>
  <conditionalFormatting sqref="K27">
    <cfRule type="cellIs" dxfId="4514" priority="399" stopIfTrue="1" operator="equal">
      <formula>'1850'!$J$27</formula>
    </cfRule>
    <cfRule type="cellIs" dxfId="4513" priority="400" stopIfTrue="1" operator="lessThan">
      <formula>'1850'!$J$27</formula>
    </cfRule>
  </conditionalFormatting>
  <conditionalFormatting sqref="K28">
    <cfRule type="cellIs" dxfId="4512" priority="401" stopIfTrue="1" operator="lessThan">
      <formula>'1850'!$J$28</formula>
    </cfRule>
    <cfRule type="cellIs" dxfId="4511" priority="402" stopIfTrue="1" operator="equal">
      <formula>'1850'!$J$28</formula>
    </cfRule>
  </conditionalFormatting>
  <conditionalFormatting sqref="K29">
    <cfRule type="cellIs" dxfId="4510" priority="403" stopIfTrue="1" operator="equal">
      <formula>'1850'!$J$29</formula>
    </cfRule>
    <cfRule type="cellIs" dxfId="4509" priority="404" stopIfTrue="1" operator="lessThan">
      <formula>'1850'!$J$29</formula>
    </cfRule>
  </conditionalFormatting>
  <conditionalFormatting sqref="L4">
    <cfRule type="cellIs" dxfId="4508" priority="405" stopIfTrue="1" operator="equal">
      <formula>'1850'!$K$4</formula>
    </cfRule>
    <cfRule type="cellIs" dxfId="4507" priority="406" stopIfTrue="1" operator="lessThan">
      <formula>'1850'!$K$4</formula>
    </cfRule>
  </conditionalFormatting>
  <conditionalFormatting sqref="L5">
    <cfRule type="cellIs" dxfId="4506" priority="407" stopIfTrue="1" operator="equal">
      <formula>'1850'!$K$5</formula>
    </cfRule>
    <cfRule type="cellIs" dxfId="4505" priority="408" stopIfTrue="1" operator="lessThan">
      <formula>'1850'!$K$5</formula>
    </cfRule>
  </conditionalFormatting>
  <conditionalFormatting sqref="L6">
    <cfRule type="cellIs" dxfId="4504" priority="409" stopIfTrue="1" operator="equal">
      <formula>'1850'!$K$6</formula>
    </cfRule>
    <cfRule type="cellIs" dxfId="4503" priority="410" stopIfTrue="1" operator="lessThan">
      <formula>'1850'!$K$6</formula>
    </cfRule>
  </conditionalFormatting>
  <conditionalFormatting sqref="L7">
    <cfRule type="cellIs" dxfId="4502" priority="411" stopIfTrue="1" operator="equal">
      <formula>'1850'!$K$7</formula>
    </cfRule>
    <cfRule type="cellIs" dxfId="4501" priority="412" stopIfTrue="1" operator="lessThan">
      <formula>'1850'!$K$7</formula>
    </cfRule>
  </conditionalFormatting>
  <conditionalFormatting sqref="L8">
    <cfRule type="cellIs" dxfId="4500" priority="413" stopIfTrue="1" operator="equal">
      <formula>'1850'!$K$8</formula>
    </cfRule>
    <cfRule type="cellIs" dxfId="4499" priority="414" stopIfTrue="1" operator="lessThan">
      <formula>'1850'!$K$8</formula>
    </cfRule>
  </conditionalFormatting>
  <conditionalFormatting sqref="L9">
    <cfRule type="cellIs" dxfId="4498" priority="415" stopIfTrue="1" operator="equal">
      <formula>'1850'!$K$9</formula>
    </cfRule>
    <cfRule type="cellIs" dxfId="4497" priority="416" stopIfTrue="1" operator="lessThan">
      <formula>'1850'!$K$9</formula>
    </cfRule>
  </conditionalFormatting>
  <conditionalFormatting sqref="L10">
    <cfRule type="cellIs" dxfId="4496" priority="417" stopIfTrue="1" operator="equal">
      <formula>'1850'!$K$10</formula>
    </cfRule>
    <cfRule type="cellIs" dxfId="4495" priority="418" stopIfTrue="1" operator="lessThan">
      <formula>'1850'!$K$10</formula>
    </cfRule>
  </conditionalFormatting>
  <conditionalFormatting sqref="L12">
    <cfRule type="cellIs" dxfId="4494" priority="419" stopIfTrue="1" operator="equal">
      <formula>'1850'!$K$12</formula>
    </cfRule>
    <cfRule type="cellIs" dxfId="4493" priority="420" stopIfTrue="1" operator="lessThan">
      <formula>'1850'!$K$12</formula>
    </cfRule>
  </conditionalFormatting>
  <conditionalFormatting sqref="L13">
    <cfRule type="cellIs" dxfId="4492" priority="421" stopIfTrue="1" operator="equal">
      <formula>'1850'!$K$13</formula>
    </cfRule>
    <cfRule type="cellIs" dxfId="4491" priority="422" stopIfTrue="1" operator="lessThan">
      <formula>'1850'!$K$13</formula>
    </cfRule>
  </conditionalFormatting>
  <conditionalFormatting sqref="L14">
    <cfRule type="cellIs" dxfId="4490" priority="423" stopIfTrue="1" operator="equal">
      <formula>'1850'!$K$14</formula>
    </cfRule>
    <cfRule type="cellIs" dxfId="4489" priority="424" stopIfTrue="1" operator="lessThan">
      <formula>'1850'!$K$14</formula>
    </cfRule>
  </conditionalFormatting>
  <conditionalFormatting sqref="L15">
    <cfRule type="cellIs" dxfId="4488" priority="425" stopIfTrue="1" operator="equal">
      <formula>'1850'!$K$15</formula>
    </cfRule>
    <cfRule type="cellIs" dxfId="4487" priority="426" stopIfTrue="1" operator="lessThan">
      <formula>'1850'!$K$15</formula>
    </cfRule>
  </conditionalFormatting>
  <conditionalFormatting sqref="L16">
    <cfRule type="cellIs" dxfId="4486" priority="427" stopIfTrue="1" operator="equal">
      <formula>'1850'!$K$16</formula>
    </cfRule>
    <cfRule type="cellIs" dxfId="4485" priority="428" stopIfTrue="1" operator="lessThan">
      <formula>'1850'!$K$16</formula>
    </cfRule>
  </conditionalFormatting>
  <conditionalFormatting sqref="L17">
    <cfRule type="cellIs" dxfId="4484" priority="429" stopIfTrue="1" operator="equal">
      <formula>'1850'!$K$17</formula>
    </cfRule>
    <cfRule type="cellIs" dxfId="4483" priority="430" stopIfTrue="1" operator="lessThan">
      <formula>'1850'!$K$17</formula>
    </cfRule>
  </conditionalFormatting>
  <conditionalFormatting sqref="L18">
    <cfRule type="cellIs" dxfId="4482" priority="431" stopIfTrue="1" operator="equal">
      <formula>'1850'!$K$18</formula>
    </cfRule>
    <cfRule type="cellIs" dxfId="4481" priority="432" stopIfTrue="1" operator="lessThan">
      <formula>'1850'!$K$18</formula>
    </cfRule>
  </conditionalFormatting>
  <conditionalFormatting sqref="L19">
    <cfRule type="cellIs" dxfId="4480" priority="433" stopIfTrue="1" operator="equal">
      <formula>'1850'!$K$19</formula>
    </cfRule>
    <cfRule type="cellIs" dxfId="4479" priority="434" stopIfTrue="1" operator="lessThan">
      <formula>'1850'!$K$19</formula>
    </cfRule>
  </conditionalFormatting>
  <conditionalFormatting sqref="L20">
    <cfRule type="cellIs" dxfId="4478" priority="435" stopIfTrue="1" operator="equal">
      <formula>'1850'!$K$20</formula>
    </cfRule>
    <cfRule type="cellIs" dxfId="4477" priority="436" stopIfTrue="1" operator="lessThan">
      <formula>'1850'!$K$20</formula>
    </cfRule>
  </conditionalFormatting>
  <conditionalFormatting sqref="L21">
    <cfRule type="cellIs" dxfId="4476" priority="437" stopIfTrue="1" operator="equal">
      <formula>'1850'!$K$21</formula>
    </cfRule>
    <cfRule type="cellIs" dxfId="4475" priority="438" stopIfTrue="1" operator="lessThan">
      <formula>'1850'!$K$21</formula>
    </cfRule>
  </conditionalFormatting>
  <conditionalFormatting sqref="L11">
    <cfRule type="cellIs" dxfId="4474" priority="439" stopIfTrue="1" operator="equal">
      <formula>'1850'!$K$11</formula>
    </cfRule>
    <cfRule type="cellIs" dxfId="4473" priority="440" stopIfTrue="1" operator="lessThan">
      <formula>'1850'!$K$11</formula>
    </cfRule>
  </conditionalFormatting>
  <conditionalFormatting sqref="L22">
    <cfRule type="cellIs" dxfId="4472" priority="441" stopIfTrue="1" operator="equal">
      <formula>'1850'!$K$22</formula>
    </cfRule>
    <cfRule type="cellIs" dxfId="4471" priority="442" stopIfTrue="1" operator="lessThan">
      <formula>'1850'!$K$22</formula>
    </cfRule>
  </conditionalFormatting>
  <conditionalFormatting sqref="L23">
    <cfRule type="cellIs" dxfId="4470" priority="443" stopIfTrue="1" operator="equal">
      <formula>'1850'!$K$23</formula>
    </cfRule>
    <cfRule type="cellIs" dxfId="4469" priority="444" stopIfTrue="1" operator="lessThan">
      <formula>'1850'!$K$23</formula>
    </cfRule>
  </conditionalFormatting>
  <conditionalFormatting sqref="L24">
    <cfRule type="cellIs" dxfId="4468" priority="445" stopIfTrue="1" operator="equal">
      <formula>'1850'!$K$24</formula>
    </cfRule>
    <cfRule type="cellIs" dxfId="4467" priority="446" stopIfTrue="1" operator="lessThan">
      <formula>'1850'!$K$24</formula>
    </cfRule>
  </conditionalFormatting>
  <conditionalFormatting sqref="L25">
    <cfRule type="cellIs" dxfId="4466" priority="447" stopIfTrue="1" operator="equal">
      <formula>'1850'!$K$25</formula>
    </cfRule>
    <cfRule type="cellIs" dxfId="4465" priority="448" stopIfTrue="1" operator="lessThan">
      <formula>'1850'!$K$25</formula>
    </cfRule>
  </conditionalFormatting>
  <conditionalFormatting sqref="L26">
    <cfRule type="cellIs" dxfId="4464" priority="449" stopIfTrue="1" operator="equal">
      <formula>'1850'!$K$26</formula>
    </cfRule>
    <cfRule type="cellIs" dxfId="4463" priority="450" stopIfTrue="1" operator="lessThan">
      <formula>'1850'!$K$26</formula>
    </cfRule>
  </conditionalFormatting>
  <conditionalFormatting sqref="L27">
    <cfRule type="cellIs" dxfId="4462" priority="451" stopIfTrue="1" operator="equal">
      <formula>'1850'!$K$27</formula>
    </cfRule>
    <cfRule type="cellIs" dxfId="4461" priority="452" stopIfTrue="1" operator="lessThan">
      <formula>'1850'!$K$27</formula>
    </cfRule>
  </conditionalFormatting>
  <conditionalFormatting sqref="L28">
    <cfRule type="cellIs" dxfId="4460" priority="453" stopIfTrue="1" operator="equal">
      <formula>'1850'!$K$28</formula>
    </cfRule>
    <cfRule type="cellIs" dxfId="4459" priority="454" stopIfTrue="1" operator="lessThan">
      <formula>'1850'!$K$28</formula>
    </cfRule>
  </conditionalFormatting>
  <conditionalFormatting sqref="L29">
    <cfRule type="cellIs" dxfId="4458" priority="455" stopIfTrue="1" operator="equal">
      <formula>'1850'!$K$29</formula>
    </cfRule>
    <cfRule type="cellIs" dxfId="4457" priority="456" stopIfTrue="1" operator="lessThan">
      <formula>'1850'!$K$29</formula>
    </cfRule>
  </conditionalFormatting>
  <conditionalFormatting sqref="M4">
    <cfRule type="cellIs" dxfId="4456" priority="457" stopIfTrue="1" operator="lessThan">
      <formula>'1850'!$L$4</formula>
    </cfRule>
    <cfRule type="cellIs" dxfId="4455" priority="458" stopIfTrue="1" operator="equal">
      <formula>'1850'!$L$4</formula>
    </cfRule>
  </conditionalFormatting>
  <conditionalFormatting sqref="M5">
    <cfRule type="cellIs" dxfId="4454" priority="459" stopIfTrue="1" operator="equal">
      <formula>'1850'!$L$5</formula>
    </cfRule>
    <cfRule type="cellIs" dxfId="4453" priority="460" stopIfTrue="1" operator="lessThan">
      <formula>'1850'!$L$5</formula>
    </cfRule>
  </conditionalFormatting>
  <conditionalFormatting sqref="M6">
    <cfRule type="cellIs" dxfId="4452" priority="461" stopIfTrue="1" operator="equal">
      <formula>'1850'!$L$6</formula>
    </cfRule>
    <cfRule type="cellIs" dxfId="4451" priority="462" stopIfTrue="1" operator="lessThan">
      <formula>'1850'!$L$6</formula>
    </cfRule>
  </conditionalFormatting>
  <conditionalFormatting sqref="M7">
    <cfRule type="cellIs" dxfId="4450" priority="463" stopIfTrue="1" operator="equal">
      <formula>'1850'!$L$7</formula>
    </cfRule>
    <cfRule type="cellIs" dxfId="4449" priority="464" stopIfTrue="1" operator="lessThan">
      <formula>'1850'!$L$7</formula>
    </cfRule>
  </conditionalFormatting>
  <conditionalFormatting sqref="M8">
    <cfRule type="cellIs" dxfId="4448" priority="465" stopIfTrue="1" operator="equal">
      <formula>'1850'!$L$8</formula>
    </cfRule>
    <cfRule type="cellIs" dxfId="4447" priority="466" stopIfTrue="1" operator="lessThan">
      <formula>'1850'!$L$8</formula>
    </cfRule>
  </conditionalFormatting>
  <conditionalFormatting sqref="M9">
    <cfRule type="cellIs" dxfId="4446" priority="467" stopIfTrue="1" operator="equal">
      <formula>'1850'!$L$9</formula>
    </cfRule>
    <cfRule type="cellIs" dxfId="4445" priority="468" stopIfTrue="1" operator="lessThan">
      <formula>'1850'!$L$9</formula>
    </cfRule>
  </conditionalFormatting>
  <conditionalFormatting sqref="M10">
    <cfRule type="cellIs" dxfId="4444" priority="469" stopIfTrue="1" operator="equal">
      <formula>'1850'!$L$10</formula>
    </cfRule>
    <cfRule type="cellIs" dxfId="4443" priority="470" stopIfTrue="1" operator="lessThan">
      <formula>'1850'!$L$10</formula>
    </cfRule>
  </conditionalFormatting>
  <conditionalFormatting sqref="M11">
    <cfRule type="cellIs" dxfId="4442" priority="471" stopIfTrue="1" operator="equal">
      <formula>'1850'!$L$11</formula>
    </cfRule>
    <cfRule type="cellIs" dxfId="4441" priority="472" stopIfTrue="1" operator="lessThan">
      <formula>'1850'!$L$11</formula>
    </cfRule>
  </conditionalFormatting>
  <conditionalFormatting sqref="M12">
    <cfRule type="cellIs" dxfId="4440" priority="473" stopIfTrue="1" operator="equal">
      <formula>'1850'!$L$12</formula>
    </cfRule>
    <cfRule type="cellIs" dxfId="4439" priority="474" stopIfTrue="1" operator="lessThan">
      <formula>'1850'!$L$12</formula>
    </cfRule>
  </conditionalFormatting>
  <conditionalFormatting sqref="M13">
    <cfRule type="cellIs" dxfId="4438" priority="475" stopIfTrue="1" operator="equal">
      <formula>'1850'!$L$13</formula>
    </cfRule>
    <cfRule type="cellIs" dxfId="4437" priority="476" stopIfTrue="1" operator="lessThan">
      <formula>'1850'!$L$13</formula>
    </cfRule>
  </conditionalFormatting>
  <conditionalFormatting sqref="M14">
    <cfRule type="cellIs" dxfId="4436" priority="477" stopIfTrue="1" operator="equal">
      <formula>'1850'!$L$14</formula>
    </cfRule>
    <cfRule type="cellIs" dxfId="4435" priority="478" stopIfTrue="1" operator="lessThan">
      <formula>'1850'!$L$14</formula>
    </cfRule>
  </conditionalFormatting>
  <conditionalFormatting sqref="M15">
    <cfRule type="cellIs" dxfId="4434" priority="479" stopIfTrue="1" operator="equal">
      <formula>'1850'!$L$15</formula>
    </cfRule>
    <cfRule type="cellIs" dxfId="4433" priority="480" stopIfTrue="1" operator="lessThan">
      <formula>'1850'!$L$15</formula>
    </cfRule>
  </conditionalFormatting>
  <conditionalFormatting sqref="M16">
    <cfRule type="cellIs" dxfId="4432" priority="481" stopIfTrue="1" operator="equal">
      <formula>'1850'!$L$16</formula>
    </cfRule>
    <cfRule type="cellIs" dxfId="4431" priority="482" stopIfTrue="1" operator="lessThan">
      <formula>'1850'!$L$16</formula>
    </cfRule>
  </conditionalFormatting>
  <conditionalFormatting sqref="M17">
    <cfRule type="cellIs" dxfId="4430" priority="483" stopIfTrue="1" operator="equal">
      <formula>'1850'!$L$17</formula>
    </cfRule>
    <cfRule type="cellIs" dxfId="4429" priority="484" stopIfTrue="1" operator="lessThan">
      <formula>'1850'!$L$17</formula>
    </cfRule>
  </conditionalFormatting>
  <conditionalFormatting sqref="M18">
    <cfRule type="cellIs" dxfId="4428" priority="485" stopIfTrue="1" operator="equal">
      <formula>'1850'!$L$18</formula>
    </cfRule>
    <cfRule type="cellIs" dxfId="4427" priority="486" stopIfTrue="1" operator="lessThan">
      <formula>'1850'!$L$18</formula>
    </cfRule>
  </conditionalFormatting>
  <conditionalFormatting sqref="M19">
    <cfRule type="cellIs" dxfId="4426" priority="487" stopIfTrue="1" operator="equal">
      <formula>'1850'!$L$19</formula>
    </cfRule>
    <cfRule type="cellIs" dxfId="4425" priority="488" stopIfTrue="1" operator="lessThan">
      <formula>'1850'!$L$19</formula>
    </cfRule>
  </conditionalFormatting>
  <conditionalFormatting sqref="M20">
    <cfRule type="cellIs" dxfId="4424" priority="489" stopIfTrue="1" operator="equal">
      <formula>'1850'!$L$20</formula>
    </cfRule>
    <cfRule type="cellIs" dxfId="4423" priority="490" stopIfTrue="1" operator="lessThan">
      <formula>'1850'!$L$20</formula>
    </cfRule>
  </conditionalFormatting>
  <conditionalFormatting sqref="M21">
    <cfRule type="cellIs" dxfId="4422" priority="491" stopIfTrue="1" operator="equal">
      <formula>'1850'!$L$21</formula>
    </cfRule>
    <cfRule type="cellIs" dxfId="4421" priority="492" stopIfTrue="1" operator="lessThan">
      <formula>'1850'!$L$21</formula>
    </cfRule>
  </conditionalFormatting>
  <conditionalFormatting sqref="M22">
    <cfRule type="cellIs" dxfId="4420" priority="493" stopIfTrue="1" operator="equal">
      <formula>'1850'!$L$22</formula>
    </cfRule>
    <cfRule type="cellIs" dxfId="4419" priority="494" stopIfTrue="1" operator="lessThan">
      <formula>'1850'!$L$22</formula>
    </cfRule>
  </conditionalFormatting>
  <conditionalFormatting sqref="M23">
    <cfRule type="cellIs" dxfId="4418" priority="495" stopIfTrue="1" operator="equal">
      <formula>'1850'!$L$23</formula>
    </cfRule>
    <cfRule type="cellIs" dxfId="4417" priority="496" stopIfTrue="1" operator="lessThan">
      <formula>'1850'!$L$23</formula>
    </cfRule>
  </conditionalFormatting>
  <conditionalFormatting sqref="M24">
    <cfRule type="cellIs" dxfId="4416" priority="497" stopIfTrue="1" operator="equal">
      <formula>'1850'!$L$24</formula>
    </cfRule>
    <cfRule type="cellIs" dxfId="4415" priority="498" stopIfTrue="1" operator="lessThan">
      <formula>'1850'!$L$24</formula>
    </cfRule>
  </conditionalFormatting>
  <conditionalFormatting sqref="M25">
    <cfRule type="cellIs" dxfId="4414" priority="499" stopIfTrue="1" operator="equal">
      <formula>'1850'!$L$25</formula>
    </cfRule>
    <cfRule type="cellIs" dxfId="4413" priority="500" stopIfTrue="1" operator="lessThan">
      <formula>'1850'!$L$25</formula>
    </cfRule>
  </conditionalFormatting>
  <conditionalFormatting sqref="M26">
    <cfRule type="cellIs" dxfId="4412" priority="501" stopIfTrue="1" operator="equal">
      <formula>'1850'!$L$26</formula>
    </cfRule>
    <cfRule type="cellIs" dxfId="4411" priority="502" stopIfTrue="1" operator="lessThan">
      <formula>'1850'!$L$26</formula>
    </cfRule>
  </conditionalFormatting>
  <conditionalFormatting sqref="M27">
    <cfRule type="cellIs" dxfId="4410" priority="503" stopIfTrue="1" operator="equal">
      <formula>'1850'!$L$27</formula>
    </cfRule>
    <cfRule type="cellIs" dxfId="4409" priority="504" stopIfTrue="1" operator="lessThan">
      <formula>'1850'!$L$27</formula>
    </cfRule>
  </conditionalFormatting>
  <conditionalFormatting sqref="M28">
    <cfRule type="cellIs" dxfId="4408" priority="505" stopIfTrue="1" operator="equal">
      <formula>'1850'!$L$28</formula>
    </cfRule>
    <cfRule type="cellIs" dxfId="4407" priority="506" stopIfTrue="1" operator="lessThan">
      <formula>'1850'!$L$28</formula>
    </cfRule>
  </conditionalFormatting>
  <conditionalFormatting sqref="M29">
    <cfRule type="cellIs" dxfId="4406" priority="507" stopIfTrue="1" operator="equal">
      <formula>'1850'!$L$29</formula>
    </cfRule>
    <cfRule type="cellIs" dxfId="4405" priority="508" stopIfTrue="1" operator="lessThan">
      <formula>'1850'!$L$29</formula>
    </cfRule>
  </conditionalFormatting>
  <conditionalFormatting sqref="N4">
    <cfRule type="cellIs" dxfId="4404" priority="509" stopIfTrue="1" operator="equal">
      <formula>'1850'!$M$4</formula>
    </cfRule>
    <cfRule type="cellIs" dxfId="4403" priority="510" stopIfTrue="1" operator="lessThan">
      <formula>'1850'!$M$4</formula>
    </cfRule>
  </conditionalFormatting>
  <conditionalFormatting sqref="N5">
    <cfRule type="cellIs" dxfId="4402" priority="511" stopIfTrue="1" operator="equal">
      <formula>'1850'!$M$5</formula>
    </cfRule>
    <cfRule type="cellIs" dxfId="4401" priority="512" stopIfTrue="1" operator="lessThan">
      <formula>'1850'!$M$5</formula>
    </cfRule>
  </conditionalFormatting>
  <conditionalFormatting sqref="N6">
    <cfRule type="cellIs" dxfId="4400" priority="513" stopIfTrue="1" operator="equal">
      <formula>'1850'!$M$6</formula>
    </cfRule>
    <cfRule type="cellIs" dxfId="4399" priority="514" stopIfTrue="1" operator="lessThan">
      <formula>'1850'!$M$6</formula>
    </cfRule>
  </conditionalFormatting>
  <conditionalFormatting sqref="N7">
    <cfRule type="cellIs" dxfId="4398" priority="515" stopIfTrue="1" operator="equal">
      <formula>'1850'!$M$7</formula>
    </cfRule>
    <cfRule type="cellIs" dxfId="4397" priority="516" stopIfTrue="1" operator="lessThan">
      <formula>'1850'!$M$7</formula>
    </cfRule>
  </conditionalFormatting>
  <conditionalFormatting sqref="N8">
    <cfRule type="cellIs" dxfId="4396" priority="517" stopIfTrue="1" operator="equal">
      <formula>'1850'!$M$8</formula>
    </cfRule>
    <cfRule type="cellIs" dxfId="4395" priority="518" stopIfTrue="1" operator="lessThan">
      <formula>'1850'!$M$8</formula>
    </cfRule>
  </conditionalFormatting>
  <conditionalFormatting sqref="N9">
    <cfRule type="cellIs" dxfId="4394" priority="519" stopIfTrue="1" operator="equal">
      <formula>'1850'!$M$9</formula>
    </cfRule>
    <cfRule type="cellIs" dxfId="4393" priority="520" stopIfTrue="1" operator="lessThan">
      <formula>'1850'!$M$9</formula>
    </cfRule>
  </conditionalFormatting>
  <conditionalFormatting sqref="N10">
    <cfRule type="cellIs" dxfId="4392" priority="521" stopIfTrue="1" operator="equal">
      <formula>'1850'!$M$10</formula>
    </cfRule>
    <cfRule type="cellIs" dxfId="4391" priority="522" stopIfTrue="1" operator="lessThan">
      <formula>'1850'!$M$10</formula>
    </cfRule>
  </conditionalFormatting>
  <conditionalFormatting sqref="N11">
    <cfRule type="cellIs" dxfId="4390" priority="523" stopIfTrue="1" operator="equal">
      <formula>'1850'!$M$11</formula>
    </cfRule>
    <cfRule type="cellIs" dxfId="4389" priority="524" stopIfTrue="1" operator="lessThan">
      <formula>'1850'!$M$11</formula>
    </cfRule>
  </conditionalFormatting>
  <conditionalFormatting sqref="N12">
    <cfRule type="cellIs" dxfId="4388" priority="525" stopIfTrue="1" operator="equal">
      <formula>'1850'!$M$12</formula>
    </cfRule>
    <cfRule type="cellIs" dxfId="4387" priority="526" stopIfTrue="1" operator="lessThan">
      <formula>'1850'!$M$12</formula>
    </cfRule>
  </conditionalFormatting>
  <conditionalFormatting sqref="N13">
    <cfRule type="cellIs" dxfId="4386" priority="527" stopIfTrue="1" operator="equal">
      <formula>'1850'!$M$13</formula>
    </cfRule>
    <cfRule type="cellIs" dxfId="4385" priority="528" stopIfTrue="1" operator="lessThan">
      <formula>'1850'!$M$13</formula>
    </cfRule>
  </conditionalFormatting>
  <conditionalFormatting sqref="N14">
    <cfRule type="cellIs" dxfId="4384" priority="529" stopIfTrue="1" operator="equal">
      <formula>'1850'!$M$14</formula>
    </cfRule>
    <cfRule type="cellIs" dxfId="4383" priority="530" stopIfTrue="1" operator="lessThan">
      <formula>'1850'!$M$14</formula>
    </cfRule>
  </conditionalFormatting>
  <conditionalFormatting sqref="N15">
    <cfRule type="cellIs" dxfId="4382" priority="531" stopIfTrue="1" operator="equal">
      <formula>'1850'!$M$15</formula>
    </cfRule>
    <cfRule type="cellIs" dxfId="4381" priority="532" stopIfTrue="1" operator="lessThan">
      <formula>'1850'!$M$15</formula>
    </cfRule>
  </conditionalFormatting>
  <conditionalFormatting sqref="N16">
    <cfRule type="cellIs" dxfId="4380" priority="533" stopIfTrue="1" operator="equal">
      <formula>'1850'!$M$16</formula>
    </cfRule>
    <cfRule type="cellIs" dxfId="4379" priority="534" stopIfTrue="1" operator="lessThan">
      <formula>'1850'!$M$16</formula>
    </cfRule>
  </conditionalFormatting>
  <conditionalFormatting sqref="N17">
    <cfRule type="cellIs" dxfId="4378" priority="535" stopIfTrue="1" operator="equal">
      <formula>'1850'!$M$17</formula>
    </cfRule>
    <cfRule type="cellIs" dxfId="4377" priority="536" stopIfTrue="1" operator="lessThan">
      <formula>'1850'!$M$17</formula>
    </cfRule>
  </conditionalFormatting>
  <conditionalFormatting sqref="N18">
    <cfRule type="cellIs" dxfId="4376" priority="537" stopIfTrue="1" operator="equal">
      <formula>'1850'!$M$18</formula>
    </cfRule>
    <cfRule type="cellIs" dxfId="4375" priority="538" stopIfTrue="1" operator="lessThan">
      <formula>'1850'!$M$18</formula>
    </cfRule>
  </conditionalFormatting>
  <conditionalFormatting sqref="N19">
    <cfRule type="cellIs" dxfId="4374" priority="539" stopIfTrue="1" operator="equal">
      <formula>'1850'!$M$19</formula>
    </cfRule>
    <cfRule type="cellIs" dxfId="4373" priority="540" stopIfTrue="1" operator="lessThan">
      <formula>'1850'!$M$19</formula>
    </cfRule>
  </conditionalFormatting>
  <conditionalFormatting sqref="N20">
    <cfRule type="cellIs" dxfId="4372" priority="541" stopIfTrue="1" operator="equal">
      <formula>'1850'!$M$20</formula>
    </cfRule>
    <cfRule type="cellIs" dxfId="4371" priority="542" stopIfTrue="1" operator="lessThan">
      <formula>'1850'!$M$20</formula>
    </cfRule>
  </conditionalFormatting>
  <conditionalFormatting sqref="N21">
    <cfRule type="cellIs" dxfId="4370" priority="543" stopIfTrue="1" operator="equal">
      <formula>'1850'!$M$21</formula>
    </cfRule>
    <cfRule type="cellIs" dxfId="4369" priority="544" stopIfTrue="1" operator="lessThan">
      <formula>'1850'!$M$21</formula>
    </cfRule>
  </conditionalFormatting>
  <conditionalFormatting sqref="N22">
    <cfRule type="cellIs" dxfId="4368" priority="545" stopIfTrue="1" operator="equal">
      <formula>'1850'!$M$22</formula>
    </cfRule>
    <cfRule type="cellIs" dxfId="4367" priority="546" stopIfTrue="1" operator="lessThan">
      <formula>'1850'!$M$22</formula>
    </cfRule>
  </conditionalFormatting>
  <conditionalFormatting sqref="N23">
    <cfRule type="cellIs" dxfId="4366" priority="547" stopIfTrue="1" operator="equal">
      <formula>'1850'!$M$23</formula>
    </cfRule>
    <cfRule type="cellIs" dxfId="4365" priority="548" stopIfTrue="1" operator="lessThan">
      <formula>'1850'!$M$23</formula>
    </cfRule>
  </conditionalFormatting>
  <conditionalFormatting sqref="N24">
    <cfRule type="cellIs" dxfId="4364" priority="549" stopIfTrue="1" operator="equal">
      <formula>'1850'!$M$24</formula>
    </cfRule>
    <cfRule type="cellIs" dxfId="4363" priority="550" stopIfTrue="1" operator="lessThan">
      <formula>'1850'!$M$24</formula>
    </cfRule>
  </conditionalFormatting>
  <conditionalFormatting sqref="N25">
    <cfRule type="cellIs" dxfId="4362" priority="551" stopIfTrue="1" operator="equal">
      <formula>'1850'!$M$25</formula>
    </cfRule>
    <cfRule type="cellIs" dxfId="4361" priority="552" stopIfTrue="1" operator="lessThan">
      <formula>'1850'!$M$25</formula>
    </cfRule>
  </conditionalFormatting>
  <conditionalFormatting sqref="N26">
    <cfRule type="cellIs" dxfId="4360" priority="553" stopIfTrue="1" operator="equal">
      <formula>'1850'!$M$26</formula>
    </cfRule>
    <cfRule type="cellIs" dxfId="4359" priority="554" stopIfTrue="1" operator="lessThan">
      <formula>'1850'!$M$26</formula>
    </cfRule>
  </conditionalFormatting>
  <conditionalFormatting sqref="N27">
    <cfRule type="cellIs" dxfId="4358" priority="555" stopIfTrue="1" operator="equal">
      <formula>'1850'!$M$27</formula>
    </cfRule>
    <cfRule type="cellIs" dxfId="4357" priority="556" stopIfTrue="1" operator="lessThan">
      <formula>'1850'!$M$27</formula>
    </cfRule>
  </conditionalFormatting>
  <conditionalFormatting sqref="N28">
    <cfRule type="cellIs" dxfId="4356" priority="557" stopIfTrue="1" operator="equal">
      <formula>'1850'!$M$28</formula>
    </cfRule>
    <cfRule type="cellIs" dxfId="4355" priority="558" stopIfTrue="1" operator="lessThan">
      <formula>'1850'!$M$28</formula>
    </cfRule>
  </conditionalFormatting>
  <conditionalFormatting sqref="N29">
    <cfRule type="cellIs" dxfId="4354" priority="559" stopIfTrue="1" operator="equal">
      <formula>'1850'!$M$29</formula>
    </cfRule>
    <cfRule type="cellIs" dxfId="4353" priority="560" stopIfTrue="1" operator="lessThan">
      <formula>'1850'!$M$29</formula>
    </cfRule>
  </conditionalFormatting>
  <conditionalFormatting sqref="O4">
    <cfRule type="cellIs" dxfId="4352" priority="561" stopIfTrue="1" operator="equal">
      <formula>'1850'!$N$4</formula>
    </cfRule>
    <cfRule type="cellIs" dxfId="4351" priority="562" stopIfTrue="1" operator="lessThan">
      <formula>'1850'!$N$4</formula>
    </cfRule>
  </conditionalFormatting>
  <conditionalFormatting sqref="O5">
    <cfRule type="cellIs" dxfId="4350" priority="563" stopIfTrue="1" operator="equal">
      <formula>'1850'!$N$5</formula>
    </cfRule>
    <cfRule type="cellIs" dxfId="4349" priority="564" stopIfTrue="1" operator="lessThan">
      <formula>'1850'!$N$5</formula>
    </cfRule>
  </conditionalFormatting>
  <conditionalFormatting sqref="O6">
    <cfRule type="cellIs" dxfId="4348" priority="565" stopIfTrue="1" operator="equal">
      <formula>'1850'!$N$6</formula>
    </cfRule>
    <cfRule type="cellIs" dxfId="4347" priority="566" stopIfTrue="1" operator="lessThan">
      <formula>'1850'!$N$6</formula>
    </cfRule>
  </conditionalFormatting>
  <conditionalFormatting sqref="O7">
    <cfRule type="cellIs" dxfId="4346" priority="567" stopIfTrue="1" operator="equal">
      <formula>'1850'!$N$7</formula>
    </cfRule>
    <cfRule type="cellIs" dxfId="4345" priority="568" stopIfTrue="1" operator="lessThan">
      <formula>'1850'!$N$7</formula>
    </cfRule>
  </conditionalFormatting>
  <conditionalFormatting sqref="O8">
    <cfRule type="cellIs" dxfId="4344" priority="569" stopIfTrue="1" operator="equal">
      <formula>'1850'!$N$8</formula>
    </cfRule>
    <cfRule type="cellIs" dxfId="4343" priority="570" stopIfTrue="1" operator="lessThan">
      <formula>'1850'!$N$8</formula>
    </cfRule>
  </conditionalFormatting>
  <conditionalFormatting sqref="O9">
    <cfRule type="cellIs" dxfId="4342" priority="571" stopIfTrue="1" operator="equal">
      <formula>'1850'!$N$9</formula>
    </cfRule>
    <cfRule type="cellIs" dxfId="4341" priority="572" stopIfTrue="1" operator="lessThan">
      <formula>'1850'!$N$9</formula>
    </cfRule>
  </conditionalFormatting>
  <conditionalFormatting sqref="O10">
    <cfRule type="cellIs" dxfId="4340" priority="573" stopIfTrue="1" operator="equal">
      <formula>'1850'!$N$10</formula>
    </cfRule>
    <cfRule type="cellIs" dxfId="4339" priority="574" stopIfTrue="1" operator="lessThan">
      <formula>'1850'!$N$10</formula>
    </cfRule>
  </conditionalFormatting>
  <conditionalFormatting sqref="O11">
    <cfRule type="cellIs" dxfId="4338" priority="575" stopIfTrue="1" operator="equal">
      <formula>'1850'!$N$11</formula>
    </cfRule>
    <cfRule type="cellIs" dxfId="4337" priority="576" stopIfTrue="1" operator="lessThan">
      <formula>'1850'!$N$11</formula>
    </cfRule>
  </conditionalFormatting>
  <conditionalFormatting sqref="O12">
    <cfRule type="cellIs" dxfId="4336" priority="577" stopIfTrue="1" operator="equal">
      <formula>'1850'!$N$12</formula>
    </cfRule>
    <cfRule type="cellIs" dxfId="4335" priority="578" stopIfTrue="1" operator="lessThan">
      <formula>'1850'!$N$12</formula>
    </cfRule>
  </conditionalFormatting>
  <conditionalFormatting sqref="O13">
    <cfRule type="cellIs" dxfId="4334" priority="579" stopIfTrue="1" operator="equal">
      <formula>'1850'!$N$13</formula>
    </cfRule>
    <cfRule type="cellIs" dxfId="4333" priority="580" stopIfTrue="1" operator="lessThan">
      <formula>'1850'!$N$13</formula>
    </cfRule>
  </conditionalFormatting>
  <conditionalFormatting sqref="O14">
    <cfRule type="cellIs" dxfId="4332" priority="581" stopIfTrue="1" operator="equal">
      <formula>'1850'!$N$14</formula>
    </cfRule>
    <cfRule type="cellIs" dxfId="4331" priority="582" stopIfTrue="1" operator="lessThan">
      <formula>'1850'!$N$14</formula>
    </cfRule>
  </conditionalFormatting>
  <conditionalFormatting sqref="O15">
    <cfRule type="cellIs" dxfId="4330" priority="583" stopIfTrue="1" operator="equal">
      <formula>'1850'!$N$15</formula>
    </cfRule>
    <cfRule type="cellIs" dxfId="4329" priority="584" stopIfTrue="1" operator="lessThan">
      <formula>'1850'!$N$15</formula>
    </cfRule>
  </conditionalFormatting>
  <conditionalFormatting sqref="O16">
    <cfRule type="cellIs" dxfId="4328" priority="585" stopIfTrue="1" operator="equal">
      <formula>'1850'!$N$16</formula>
    </cfRule>
    <cfRule type="cellIs" dxfId="4327" priority="586" stopIfTrue="1" operator="lessThan">
      <formula>'1850'!$N$16</formula>
    </cfRule>
  </conditionalFormatting>
  <conditionalFormatting sqref="O17">
    <cfRule type="cellIs" dxfId="4326" priority="587" stopIfTrue="1" operator="equal">
      <formula>'1850'!$N$17</formula>
    </cfRule>
    <cfRule type="cellIs" dxfId="4325" priority="588" stopIfTrue="1" operator="lessThan">
      <formula>'1850'!$N$17</formula>
    </cfRule>
  </conditionalFormatting>
  <conditionalFormatting sqref="O18">
    <cfRule type="cellIs" dxfId="4324" priority="589" stopIfTrue="1" operator="equal">
      <formula>'1850'!$N$18</formula>
    </cfRule>
    <cfRule type="cellIs" dxfId="4323" priority="590" stopIfTrue="1" operator="lessThan">
      <formula>'1850'!$N$18</formula>
    </cfRule>
  </conditionalFormatting>
  <conditionalFormatting sqref="O19">
    <cfRule type="cellIs" dxfId="4322" priority="591" stopIfTrue="1" operator="equal">
      <formula>'1850'!$N$19</formula>
    </cfRule>
    <cfRule type="cellIs" dxfId="4321" priority="592" stopIfTrue="1" operator="lessThan">
      <formula>'1850'!$N$19</formula>
    </cfRule>
  </conditionalFormatting>
  <conditionalFormatting sqref="O20">
    <cfRule type="cellIs" dxfId="4320" priority="593" stopIfTrue="1" operator="equal">
      <formula>'1850'!$N$20</formula>
    </cfRule>
    <cfRule type="cellIs" dxfId="4319" priority="594" stopIfTrue="1" operator="lessThan">
      <formula>'1850'!$N$20</formula>
    </cfRule>
  </conditionalFormatting>
  <conditionalFormatting sqref="O21">
    <cfRule type="cellIs" dxfId="4318" priority="595" stopIfTrue="1" operator="equal">
      <formula>'1850'!$N$21</formula>
    </cfRule>
    <cfRule type="cellIs" dxfId="4317" priority="596" stopIfTrue="1" operator="lessThan">
      <formula>'1850'!$N$21</formula>
    </cfRule>
  </conditionalFormatting>
  <conditionalFormatting sqref="O22">
    <cfRule type="cellIs" dxfId="4316" priority="597" stopIfTrue="1" operator="equal">
      <formula>'1850'!$N$22</formula>
    </cfRule>
    <cfRule type="cellIs" dxfId="4315" priority="598" stopIfTrue="1" operator="lessThan">
      <formula>'1850'!$N$22</formula>
    </cfRule>
  </conditionalFormatting>
  <conditionalFormatting sqref="O23">
    <cfRule type="cellIs" dxfId="4314" priority="599" stopIfTrue="1" operator="equal">
      <formula>'1850'!$N$23</formula>
    </cfRule>
    <cfRule type="cellIs" dxfId="4313" priority="600" stopIfTrue="1" operator="lessThan">
      <formula>'1850'!$N$23</formula>
    </cfRule>
  </conditionalFormatting>
  <conditionalFormatting sqref="O24">
    <cfRule type="cellIs" dxfId="4312" priority="601" stopIfTrue="1" operator="equal">
      <formula>'1850'!$N$24</formula>
    </cfRule>
    <cfRule type="cellIs" dxfId="4311" priority="602" stopIfTrue="1" operator="lessThan">
      <formula>'1850'!$N$24</formula>
    </cfRule>
  </conditionalFormatting>
  <conditionalFormatting sqref="O25">
    <cfRule type="cellIs" dxfId="4310" priority="603" stopIfTrue="1" operator="equal">
      <formula>'1850'!$N$25</formula>
    </cfRule>
    <cfRule type="cellIs" dxfId="4309" priority="604" stopIfTrue="1" operator="lessThan">
      <formula>'1850'!$N$25</formula>
    </cfRule>
  </conditionalFormatting>
  <conditionalFormatting sqref="O26">
    <cfRule type="cellIs" dxfId="4308" priority="605" stopIfTrue="1" operator="equal">
      <formula>'1850'!$N$26</formula>
    </cfRule>
    <cfRule type="cellIs" dxfId="4307" priority="606" stopIfTrue="1" operator="lessThan">
      <formula>'1850'!$N$26</formula>
    </cfRule>
  </conditionalFormatting>
  <conditionalFormatting sqref="O27">
    <cfRule type="cellIs" dxfId="4306" priority="607" stopIfTrue="1" operator="equal">
      <formula>'1850'!$N$27</formula>
    </cfRule>
    <cfRule type="cellIs" dxfId="4305" priority="608" stopIfTrue="1" operator="lessThan">
      <formula>'1850'!$N$27</formula>
    </cfRule>
  </conditionalFormatting>
  <conditionalFormatting sqref="O28">
    <cfRule type="cellIs" dxfId="4304" priority="609" stopIfTrue="1" operator="equal">
      <formula>'1850'!$N$28</formula>
    </cfRule>
    <cfRule type="cellIs" dxfId="4303" priority="610" stopIfTrue="1" operator="lessThan">
      <formula>'1850'!$N$28</formula>
    </cfRule>
  </conditionalFormatting>
  <conditionalFormatting sqref="O29">
    <cfRule type="cellIs" dxfId="4302" priority="611" stopIfTrue="1" operator="equal">
      <formula>'1850'!$N$29</formula>
    </cfRule>
    <cfRule type="cellIs" dxfId="4301" priority="612" stopIfTrue="1" operator="lessThan">
      <formula>'1850'!$N$29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70"/>
  <sheetViews>
    <sheetView zoomScaleSheetLayoutView="100" workbookViewId="0">
      <selection activeCell="P2" sqref="P2"/>
    </sheetView>
  </sheetViews>
  <sheetFormatPr defaultRowHeight="15"/>
  <cols>
    <col min="1" max="1" width="8.28515625" style="174" customWidth="1"/>
    <col min="2" max="2" width="8.5703125" style="166" customWidth="1"/>
    <col min="3" max="3" width="26.140625" customWidth="1"/>
    <col min="4" max="16" width="10.140625" customWidth="1"/>
    <col min="17" max="17" width="11.85546875" bestFit="1" customWidth="1"/>
    <col min="20" max="20" width="5.5703125" customWidth="1"/>
  </cols>
  <sheetData>
    <row r="1" spans="1:34" ht="15.75" thickBot="1">
      <c r="A1" s="30"/>
      <c r="B1" s="30"/>
      <c r="AE1" s="207" t="s">
        <v>288</v>
      </c>
      <c r="AF1" s="207"/>
      <c r="AG1" s="207"/>
    </row>
    <row r="2" spans="1:34" s="1" customFormat="1" ht="21" customHeight="1" thickBot="1">
      <c r="A2" s="168" t="s">
        <v>29</v>
      </c>
      <c r="B2" s="161">
        <v>1851</v>
      </c>
      <c r="C2" s="2"/>
      <c r="D2" s="3">
        <f>'1850'!C2</f>
        <v>44197</v>
      </c>
      <c r="E2" s="3">
        <f>'1850'!D2</f>
        <v>44228</v>
      </c>
      <c r="F2" s="3">
        <f>'1850'!E2</f>
        <v>44256</v>
      </c>
      <c r="G2" s="3">
        <f>'1850'!F2</f>
        <v>44286</v>
      </c>
      <c r="H2" s="3">
        <f>'1850'!G2</f>
        <v>44316</v>
      </c>
      <c r="I2" s="3">
        <f>'1850'!H2</f>
        <v>44348</v>
      </c>
      <c r="J2" s="3">
        <f>'1850'!I2</f>
        <v>44379</v>
      </c>
      <c r="K2" s="3">
        <f>'1850'!J2</f>
        <v>44410</v>
      </c>
      <c r="L2" s="3">
        <f>'1850'!K2</f>
        <v>44441</v>
      </c>
      <c r="M2" s="3">
        <f>'1850'!L2</f>
        <v>44470</v>
      </c>
      <c r="N2" s="3">
        <f>'1850'!M2</f>
        <v>44501</v>
      </c>
      <c r="O2" s="3">
        <f>'1850'!N2</f>
        <v>44531</v>
      </c>
      <c r="P2" s="3">
        <f>'1850'!O2</f>
        <v>44562</v>
      </c>
      <c r="Q2" s="1" t="s">
        <v>0</v>
      </c>
      <c r="R2" s="1" t="s">
        <v>1</v>
      </c>
      <c r="V2" s="198"/>
      <c r="W2" s="199"/>
      <c r="X2" s="199"/>
      <c r="Y2" s="199"/>
      <c r="Z2" s="199" t="s">
        <v>287</v>
      </c>
      <c r="AA2" s="199"/>
      <c r="AB2" s="199"/>
      <c r="AC2" s="199"/>
      <c r="AD2" s="199"/>
      <c r="AE2" s="205"/>
      <c r="AF2" s="205"/>
      <c r="AG2" s="206"/>
      <c r="AH2" s="208" t="s">
        <v>298</v>
      </c>
    </row>
    <row r="3" spans="1:34" s="1" customFormat="1" ht="15.75" thickBot="1">
      <c r="A3" s="169" t="s">
        <v>30</v>
      </c>
      <c r="B3" s="162" t="s">
        <v>2</v>
      </c>
      <c r="C3" s="6"/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3</v>
      </c>
      <c r="Q3" s="1" t="s">
        <v>166</v>
      </c>
      <c r="R3" s="1" t="s">
        <v>165</v>
      </c>
      <c r="U3" s="1" t="s">
        <v>286</v>
      </c>
      <c r="V3" s="5" t="s">
        <v>4</v>
      </c>
      <c r="W3" s="5" t="s">
        <v>5</v>
      </c>
      <c r="X3" s="5" t="s">
        <v>6</v>
      </c>
      <c r="Y3" s="5" t="s">
        <v>7</v>
      </c>
      <c r="Z3" s="5" t="s">
        <v>8</v>
      </c>
      <c r="AA3" s="5" t="s">
        <v>9</v>
      </c>
      <c r="AB3" s="5" t="s">
        <v>10</v>
      </c>
      <c r="AC3" s="5" t="s">
        <v>11</v>
      </c>
      <c r="AD3" s="5" t="s">
        <v>12</v>
      </c>
      <c r="AE3" s="162" t="s">
        <v>13</v>
      </c>
      <c r="AF3" s="162" t="s">
        <v>14</v>
      </c>
      <c r="AG3" s="162" t="s">
        <v>3</v>
      </c>
      <c r="AH3" s="208" t="s">
        <v>289</v>
      </c>
    </row>
    <row r="4" spans="1:34" ht="15.75" thickBot="1">
      <c r="A4" s="294">
        <v>1</v>
      </c>
      <c r="B4" s="289">
        <v>1</v>
      </c>
      <c r="C4" s="7" t="s">
        <v>203</v>
      </c>
      <c r="D4" s="8">
        <v>205.56700000000001</v>
      </c>
      <c r="E4" s="8">
        <v>221.547</v>
      </c>
      <c r="F4" s="8">
        <v>236.76400000000001</v>
      </c>
      <c r="G4" s="8">
        <v>253.94</v>
      </c>
      <c r="H4" s="8">
        <v>270.5</v>
      </c>
      <c r="I4" s="8">
        <v>288.37</v>
      </c>
      <c r="J4" s="8">
        <v>303.36099999999999</v>
      </c>
      <c r="K4" s="8">
        <v>317.47199999999998</v>
      </c>
      <c r="L4" s="8">
        <v>333.69400000000002</v>
      </c>
      <c r="M4" s="9">
        <v>346.71699999999998</v>
      </c>
      <c r="N4" s="8">
        <v>361.68799999999999</v>
      </c>
      <c r="O4" s="8">
        <v>376.03500000000003</v>
      </c>
      <c r="P4" s="8">
        <v>391.19600000000003</v>
      </c>
      <c r="Q4" s="10">
        <f>P4-D4</f>
        <v>185.62900000000002</v>
      </c>
      <c r="U4" s="1">
        <v>1</v>
      </c>
      <c r="V4" s="200">
        <f t="shared" ref="V4:AG4" si="0">E4-D4</f>
        <v>15.97999999999999</v>
      </c>
      <c r="W4" s="200">
        <f t="shared" si="0"/>
        <v>15.217000000000013</v>
      </c>
      <c r="X4" s="200">
        <f t="shared" si="0"/>
        <v>17.175999999999988</v>
      </c>
      <c r="Y4" s="200">
        <f t="shared" si="0"/>
        <v>16.560000000000002</v>
      </c>
      <c r="Z4" s="200">
        <f t="shared" si="0"/>
        <v>17.870000000000005</v>
      </c>
      <c r="AA4" s="200">
        <f t="shared" si="0"/>
        <v>14.990999999999985</v>
      </c>
      <c r="AB4" s="200">
        <f t="shared" si="0"/>
        <v>14.11099999999999</v>
      </c>
      <c r="AC4" s="200">
        <f t="shared" si="0"/>
        <v>16.222000000000037</v>
      </c>
      <c r="AD4" s="200">
        <f t="shared" si="0"/>
        <v>13.022999999999968</v>
      </c>
      <c r="AE4" s="200">
        <f t="shared" si="0"/>
        <v>14.971000000000004</v>
      </c>
      <c r="AF4" s="200">
        <f t="shared" si="0"/>
        <v>14.347000000000037</v>
      </c>
      <c r="AG4" s="200">
        <f t="shared" si="0"/>
        <v>15.161000000000001</v>
      </c>
      <c r="AH4" s="209">
        <v>11.905222222222218</v>
      </c>
    </row>
    <row r="5" spans="1:34">
      <c r="A5" s="295"/>
      <c r="B5" s="289"/>
      <c r="C5" s="11" t="s">
        <v>31</v>
      </c>
      <c r="D5" s="12">
        <v>93.111999999999995</v>
      </c>
      <c r="E5" s="12">
        <v>99.188000000000002</v>
      </c>
      <c r="F5" s="12">
        <v>104.51300000000001</v>
      </c>
      <c r="G5" s="12">
        <v>108.54600000000001</v>
      </c>
      <c r="H5" s="12">
        <v>111.529</v>
      </c>
      <c r="I5" s="12">
        <v>113.271</v>
      </c>
      <c r="J5" s="12">
        <v>114.033</v>
      </c>
      <c r="K5" s="12">
        <v>114.63500000000001</v>
      </c>
      <c r="L5" s="12">
        <v>115.23699999999999</v>
      </c>
      <c r="M5" s="13">
        <v>115.515</v>
      </c>
      <c r="N5" s="12">
        <v>116.202</v>
      </c>
      <c r="O5" s="12">
        <v>4.51</v>
      </c>
      <c r="P5" s="12">
        <v>9.8699999999999992</v>
      </c>
      <c r="Q5" s="10"/>
      <c r="R5" s="10">
        <f>P5+N5-D5</f>
        <v>32.960000000000008</v>
      </c>
      <c r="U5" s="210" t="s">
        <v>290</v>
      </c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9"/>
    </row>
    <row r="6" spans="1:34">
      <c r="A6" s="170">
        <v>2</v>
      </c>
      <c r="B6" s="288">
        <v>2</v>
      </c>
      <c r="C6" s="11" t="s">
        <v>204</v>
      </c>
      <c r="D6" s="12">
        <v>72.046999999999997</v>
      </c>
      <c r="E6" s="12">
        <v>80.194000000000003</v>
      </c>
      <c r="F6" s="12">
        <v>88.070999999999998</v>
      </c>
      <c r="G6" s="12">
        <v>95.62</v>
      </c>
      <c r="H6" s="12">
        <v>103.93</v>
      </c>
      <c r="I6" s="12">
        <v>112.173</v>
      </c>
      <c r="J6" s="12">
        <v>122.152</v>
      </c>
      <c r="K6" s="12">
        <v>128.21600000000001</v>
      </c>
      <c r="L6" s="12">
        <v>134.82400000000001</v>
      </c>
      <c r="M6" s="12">
        <v>138.56399999999999</v>
      </c>
      <c r="N6" s="12">
        <v>138.613</v>
      </c>
      <c r="O6" s="12">
        <v>139.785</v>
      </c>
      <c r="P6" s="12">
        <v>143.99700000000001</v>
      </c>
      <c r="Q6" s="10">
        <f t="shared" ref="Q6" si="1">P6-D6</f>
        <v>71.950000000000017</v>
      </c>
      <c r="U6" s="1">
        <v>2</v>
      </c>
      <c r="V6" s="202">
        <f t="shared" ref="V6:AG6" si="2">E6-D6</f>
        <v>8.1470000000000056</v>
      </c>
      <c r="W6" s="202">
        <f t="shared" si="2"/>
        <v>7.8769999999999953</v>
      </c>
      <c r="X6" s="202">
        <f t="shared" si="2"/>
        <v>7.5490000000000066</v>
      </c>
      <c r="Y6" s="202">
        <f t="shared" si="2"/>
        <v>8.3100000000000023</v>
      </c>
      <c r="Z6" s="202">
        <f t="shared" si="2"/>
        <v>8.242999999999995</v>
      </c>
      <c r="AA6" s="202">
        <f t="shared" si="2"/>
        <v>9.9789999999999992</v>
      </c>
      <c r="AB6" s="202">
        <f t="shared" si="2"/>
        <v>6.0640000000000072</v>
      </c>
      <c r="AC6" s="202">
        <f t="shared" si="2"/>
        <v>6.6080000000000041</v>
      </c>
      <c r="AD6" s="202">
        <f t="shared" si="2"/>
        <v>3.7399999999999807</v>
      </c>
      <c r="AE6" s="202">
        <f t="shared" si="2"/>
        <v>4.9000000000006594E-2</v>
      </c>
      <c r="AF6" s="202">
        <f t="shared" si="2"/>
        <v>1.171999999999997</v>
      </c>
      <c r="AG6" s="202">
        <f t="shared" si="2"/>
        <v>4.2120000000000175</v>
      </c>
      <c r="AH6" s="209">
        <v>4.9828888888888896</v>
      </c>
    </row>
    <row r="7" spans="1:34">
      <c r="A7" s="170" t="s">
        <v>32</v>
      </c>
      <c r="B7" s="288"/>
      <c r="C7" s="11" t="s">
        <v>33</v>
      </c>
      <c r="D7" s="12">
        <v>175.328</v>
      </c>
      <c r="E7" s="12">
        <v>183.23699999999999</v>
      </c>
      <c r="F7" s="12">
        <v>190.779</v>
      </c>
      <c r="G7" s="12">
        <v>196.541</v>
      </c>
      <c r="H7" s="12">
        <v>200.35</v>
      </c>
      <c r="I7" s="12">
        <v>203.57400000000001</v>
      </c>
      <c r="J7" s="12">
        <v>205.16</v>
      </c>
      <c r="K7" s="12">
        <v>206.01</v>
      </c>
      <c r="L7" s="12">
        <v>207.22300000000001</v>
      </c>
      <c r="M7" s="12">
        <v>208.24</v>
      </c>
      <c r="N7" s="12">
        <v>210.654</v>
      </c>
      <c r="O7" s="12">
        <v>4.2329999999999997</v>
      </c>
      <c r="P7" s="12">
        <v>11.013</v>
      </c>
      <c r="Q7" s="10"/>
      <c r="R7" s="10">
        <f t="shared" ref="R7:R21" si="3">P7+N7-D7</f>
        <v>46.338999999999999</v>
      </c>
      <c r="U7" s="210" t="s">
        <v>291</v>
      </c>
      <c r="V7" s="216">
        <f t="shared" ref="V7:W7" si="4">V40</f>
        <v>4.0670000000000002</v>
      </c>
      <c r="W7" s="216">
        <f t="shared" si="4"/>
        <v>3.9059999999999988</v>
      </c>
      <c r="X7" s="216">
        <f t="shared" ref="X7:Y7" si="5">X40</f>
        <v>4.5539999999999985</v>
      </c>
      <c r="Y7" s="216">
        <f t="shared" si="5"/>
        <v>4.82</v>
      </c>
      <c r="Z7" s="216">
        <f t="shared" ref="Z7:AA7" si="6">Z40</f>
        <v>5.1189999999999998</v>
      </c>
      <c r="AA7" s="216">
        <f t="shared" si="6"/>
        <v>4.3260000000000005</v>
      </c>
      <c r="AB7" s="216">
        <f t="shared" ref="AB7:AC7" si="7">AB40</f>
        <v>1.8960000000000008</v>
      </c>
      <c r="AC7" s="216">
        <f t="shared" si="7"/>
        <v>2.7319999999999993</v>
      </c>
      <c r="AD7" s="216">
        <f t="shared" ref="AD7:AE7" si="8">AD40</f>
        <v>1.3370000000000033</v>
      </c>
      <c r="AE7" s="216">
        <f t="shared" si="8"/>
        <v>4.9999999999954525E-3</v>
      </c>
      <c r="AF7" s="216">
        <f t="shared" ref="AF7:AG7" si="9">AF40</f>
        <v>0.83100000000000307</v>
      </c>
      <c r="AG7" s="216">
        <f t="shared" si="9"/>
        <v>2.4390000000000001</v>
      </c>
      <c r="AH7" s="211">
        <v>4.4300000000000006</v>
      </c>
    </row>
    <row r="8" spans="1:34">
      <c r="A8" s="170">
        <v>5</v>
      </c>
      <c r="B8" s="296">
        <v>3</v>
      </c>
      <c r="C8" s="11" t="s">
        <v>205</v>
      </c>
      <c r="D8" s="12">
        <v>9.7289999999999992</v>
      </c>
      <c r="E8" s="12">
        <v>10.536</v>
      </c>
      <c r="F8" s="12">
        <v>11.244999999999999</v>
      </c>
      <c r="G8" s="12">
        <v>11.843999999999999</v>
      </c>
      <c r="H8" s="12">
        <v>12.409000000000001</v>
      </c>
      <c r="I8" s="12">
        <v>12.977</v>
      </c>
      <c r="J8" s="12">
        <v>13.462999999999999</v>
      </c>
      <c r="K8" s="12">
        <v>14.055</v>
      </c>
      <c r="L8" s="12">
        <v>14.589</v>
      </c>
      <c r="M8" s="12">
        <v>15.231999999999999</v>
      </c>
      <c r="N8" s="12">
        <v>15.92</v>
      </c>
      <c r="O8" s="12">
        <v>16.667999999999999</v>
      </c>
      <c r="P8" s="12">
        <v>17.463999999999999</v>
      </c>
      <c r="Q8" s="10">
        <f t="shared" ref="Q8" si="10">P8-D8</f>
        <v>7.7349999999999994</v>
      </c>
      <c r="U8" s="1">
        <v>5</v>
      </c>
      <c r="V8" s="202">
        <f t="shared" ref="V8:AG8" si="11">E8-D8</f>
        <v>0.80700000000000038</v>
      </c>
      <c r="W8" s="202">
        <f t="shared" si="11"/>
        <v>0.70899999999999963</v>
      </c>
      <c r="X8" s="202">
        <f t="shared" si="11"/>
        <v>0.5990000000000002</v>
      </c>
      <c r="Y8" s="202">
        <f t="shared" si="11"/>
        <v>0.56500000000000128</v>
      </c>
      <c r="Z8" s="202">
        <f t="shared" si="11"/>
        <v>0.56799999999999962</v>
      </c>
      <c r="AA8" s="202">
        <f t="shared" si="11"/>
        <v>0.48599999999999888</v>
      </c>
      <c r="AB8" s="202">
        <f t="shared" si="11"/>
        <v>0.59200000000000053</v>
      </c>
      <c r="AC8" s="202">
        <f t="shared" si="11"/>
        <v>0.5340000000000007</v>
      </c>
      <c r="AD8" s="202">
        <f t="shared" si="11"/>
        <v>0.64299999999999891</v>
      </c>
      <c r="AE8" s="202">
        <f t="shared" si="11"/>
        <v>0.68800000000000061</v>
      </c>
      <c r="AF8" s="202">
        <f t="shared" si="11"/>
        <v>0.74799999999999933</v>
      </c>
      <c r="AG8" s="202">
        <f t="shared" si="11"/>
        <v>0.79599999999999937</v>
      </c>
      <c r="AH8" s="209">
        <v>0.94022222222222218</v>
      </c>
    </row>
    <row r="9" spans="1:34">
      <c r="A9" s="170" t="s">
        <v>34</v>
      </c>
      <c r="B9" s="296"/>
      <c r="C9" s="11" t="s">
        <v>35</v>
      </c>
      <c r="D9" s="12">
        <v>111.321</v>
      </c>
      <c r="E9" s="12">
        <v>118.476</v>
      </c>
      <c r="F9" s="12">
        <v>123.89400000000001</v>
      </c>
      <c r="G9" s="12">
        <v>128.43799999999999</v>
      </c>
      <c r="H9" s="12">
        <v>131.97999999999999</v>
      </c>
      <c r="I9" s="12">
        <v>134.65799999999999</v>
      </c>
      <c r="J9" s="12">
        <v>136.071</v>
      </c>
      <c r="K9" s="12">
        <v>137.44300000000001</v>
      </c>
      <c r="L9" s="12">
        <v>138.471</v>
      </c>
      <c r="M9" s="12">
        <v>139.59800000000001</v>
      </c>
      <c r="N9" s="12">
        <v>142.494</v>
      </c>
      <c r="O9" s="12">
        <v>4.7519999999999998</v>
      </c>
      <c r="P9" s="12">
        <v>11.368</v>
      </c>
      <c r="Q9" s="10"/>
      <c r="R9" s="10">
        <f t="shared" ref="R9:R21" si="12">P9+N9-D9</f>
        <v>42.540999999999997</v>
      </c>
      <c r="U9" s="210" t="s">
        <v>291</v>
      </c>
      <c r="V9" s="217">
        <f t="shared" ref="V9:W9" si="13">V42</f>
        <v>0.61600000000000055</v>
      </c>
      <c r="W9" s="217">
        <f t="shared" si="13"/>
        <v>0.48099999999999987</v>
      </c>
      <c r="X9" s="217">
        <f t="shared" ref="X9:Y9" si="14">X42</f>
        <v>0.47100000000000009</v>
      </c>
      <c r="Y9" s="217">
        <f t="shared" si="14"/>
        <v>0.44799999999999951</v>
      </c>
      <c r="Z9" s="217">
        <f t="shared" ref="Z9:AA9" si="15">Z42</f>
        <v>0.56900000000000084</v>
      </c>
      <c r="AA9" s="217">
        <f t="shared" si="15"/>
        <v>0.42399999999999949</v>
      </c>
      <c r="AB9" s="217">
        <f t="shared" ref="AB9:AC9" si="16">AB42</f>
        <v>0.52800000000000047</v>
      </c>
      <c r="AC9" s="217">
        <f t="shared" si="16"/>
        <v>0.40799999999999947</v>
      </c>
      <c r="AD9" s="217">
        <f t="shared" ref="AD9:AE9" si="17">AD42</f>
        <v>0.48499999999999943</v>
      </c>
      <c r="AE9" s="217">
        <f t="shared" si="17"/>
        <v>0.76200000000000045</v>
      </c>
      <c r="AF9" s="217">
        <f t="shared" ref="AF9:AG9" si="18">AF42</f>
        <v>0.69999999999999929</v>
      </c>
      <c r="AG9" s="217">
        <f t="shared" si="18"/>
        <v>0.6590000000000007</v>
      </c>
      <c r="AH9" s="211">
        <v>0.37122222222222223</v>
      </c>
    </row>
    <row r="10" spans="1:34">
      <c r="A10" s="293">
        <v>4</v>
      </c>
      <c r="B10" s="288">
        <v>4</v>
      </c>
      <c r="C10" s="11" t="s">
        <v>206</v>
      </c>
      <c r="D10" s="12">
        <v>86.835999999999999</v>
      </c>
      <c r="E10" s="12">
        <v>95.090999999999994</v>
      </c>
      <c r="F10" s="12">
        <v>102.059</v>
      </c>
      <c r="G10" s="12">
        <v>108.961</v>
      </c>
      <c r="H10" s="12">
        <v>109.15300000000001</v>
      </c>
      <c r="I10" s="12">
        <v>109.208</v>
      </c>
      <c r="J10" s="12">
        <v>109.235</v>
      </c>
      <c r="K10" s="12">
        <v>109.26300000000001</v>
      </c>
      <c r="L10" s="12">
        <v>109.32299999999999</v>
      </c>
      <c r="M10" s="12">
        <v>109.33199999999999</v>
      </c>
      <c r="N10" s="12">
        <v>109.342</v>
      </c>
      <c r="O10" s="12">
        <v>109.342</v>
      </c>
      <c r="P10" s="12">
        <v>109.346</v>
      </c>
      <c r="Q10" s="10">
        <f t="shared" ref="Q10" si="19">P10-D10</f>
        <v>22.510000000000005</v>
      </c>
      <c r="U10" s="1">
        <v>4</v>
      </c>
      <c r="V10" s="202">
        <f t="shared" ref="V10:AG10" si="20">E10-D10</f>
        <v>8.2549999999999955</v>
      </c>
      <c r="W10" s="202">
        <f t="shared" si="20"/>
        <v>6.9680000000000035</v>
      </c>
      <c r="X10" s="202">
        <f t="shared" si="20"/>
        <v>6.902000000000001</v>
      </c>
      <c r="Y10" s="202">
        <f t="shared" si="20"/>
        <v>0.19200000000000728</v>
      </c>
      <c r="Z10" s="202">
        <f t="shared" si="20"/>
        <v>5.499999999999261E-2</v>
      </c>
      <c r="AA10" s="202">
        <f t="shared" si="20"/>
        <v>2.7000000000001023E-2</v>
      </c>
      <c r="AB10" s="202">
        <f t="shared" si="20"/>
        <v>2.8000000000005798E-2</v>
      </c>
      <c r="AC10" s="202">
        <f t="shared" si="20"/>
        <v>5.9999999999988063E-2</v>
      </c>
      <c r="AD10" s="202">
        <f t="shared" si="20"/>
        <v>9.0000000000003411E-3</v>
      </c>
      <c r="AE10" s="202">
        <f t="shared" si="20"/>
        <v>1.0000000000005116E-2</v>
      </c>
      <c r="AF10" s="202">
        <f t="shared" si="20"/>
        <v>0</v>
      </c>
      <c r="AG10" s="202">
        <f t="shared" si="20"/>
        <v>4.0000000000048885E-3</v>
      </c>
      <c r="AH10" s="209">
        <v>5.9373333333333314</v>
      </c>
    </row>
    <row r="11" spans="1:34">
      <c r="A11" s="293"/>
      <c r="B11" s="288"/>
      <c r="C11" s="11" t="s">
        <v>36</v>
      </c>
      <c r="D11" s="12">
        <v>17.991</v>
      </c>
      <c r="E11" s="12">
        <v>19.114999999999998</v>
      </c>
      <c r="F11" s="12">
        <v>19.629000000000001</v>
      </c>
      <c r="G11" s="12">
        <v>20.135000000000002</v>
      </c>
      <c r="H11" s="12">
        <v>20.783999999999999</v>
      </c>
      <c r="I11" s="12">
        <v>20.808</v>
      </c>
      <c r="J11" s="12">
        <v>20.809000000000001</v>
      </c>
      <c r="K11" s="12">
        <v>20.809000000000001</v>
      </c>
      <c r="L11" s="12">
        <v>20.812999999999999</v>
      </c>
      <c r="M11" s="12">
        <v>20.815999999999999</v>
      </c>
      <c r="N11" s="12">
        <v>20.817</v>
      </c>
      <c r="O11" s="12">
        <v>0</v>
      </c>
      <c r="P11" s="12">
        <v>0</v>
      </c>
      <c r="Q11" s="10"/>
      <c r="R11" s="10">
        <f t="shared" ref="R11:R21" si="21">P11+N11-D11</f>
        <v>2.8260000000000005</v>
      </c>
      <c r="U11" s="210" t="s">
        <v>290</v>
      </c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9"/>
    </row>
    <row r="12" spans="1:34">
      <c r="A12" s="170">
        <v>9</v>
      </c>
      <c r="B12" s="288">
        <v>5</v>
      </c>
      <c r="C12" s="11" t="s">
        <v>207</v>
      </c>
      <c r="D12" s="12">
        <v>78.603999999999999</v>
      </c>
      <c r="E12" s="12">
        <v>83.888999999999996</v>
      </c>
      <c r="F12" s="12">
        <v>88.397000000000006</v>
      </c>
      <c r="G12" s="12">
        <v>94.781000000000006</v>
      </c>
      <c r="H12" s="12">
        <v>100.684</v>
      </c>
      <c r="I12" s="12">
        <v>100.768</v>
      </c>
      <c r="J12" s="12">
        <v>100.786</v>
      </c>
      <c r="K12" s="12">
        <v>100.878</v>
      </c>
      <c r="L12" s="12">
        <v>100.878</v>
      </c>
      <c r="M12" s="12">
        <v>102.68899999999999</v>
      </c>
      <c r="N12" s="12">
        <v>107.645</v>
      </c>
      <c r="O12" s="12">
        <v>111.18899999999999</v>
      </c>
      <c r="P12" s="12">
        <v>115.676</v>
      </c>
      <c r="Q12" s="10">
        <f t="shared" ref="Q12" si="22">P12-D12</f>
        <v>37.072000000000003</v>
      </c>
      <c r="U12" s="1">
        <v>9</v>
      </c>
      <c r="V12" s="202">
        <f t="shared" ref="V12:AG12" si="23">E12-D12</f>
        <v>5.2849999999999966</v>
      </c>
      <c r="W12" s="202">
        <f t="shared" si="23"/>
        <v>4.5080000000000098</v>
      </c>
      <c r="X12" s="202">
        <f t="shared" si="23"/>
        <v>6.3840000000000003</v>
      </c>
      <c r="Y12" s="202">
        <f t="shared" si="23"/>
        <v>5.9029999999999916</v>
      </c>
      <c r="Z12" s="202">
        <f t="shared" si="23"/>
        <v>8.4000000000003183E-2</v>
      </c>
      <c r="AA12" s="202">
        <f t="shared" si="23"/>
        <v>1.8000000000000682E-2</v>
      </c>
      <c r="AB12" s="202">
        <f t="shared" si="23"/>
        <v>9.1999999999998749E-2</v>
      </c>
      <c r="AC12" s="202">
        <f t="shared" si="23"/>
        <v>0</v>
      </c>
      <c r="AD12" s="202">
        <f t="shared" si="23"/>
        <v>1.8109999999999928</v>
      </c>
      <c r="AE12" s="202">
        <f t="shared" si="23"/>
        <v>4.9560000000000031</v>
      </c>
      <c r="AF12" s="202">
        <f t="shared" si="23"/>
        <v>3.5439999999999969</v>
      </c>
      <c r="AG12" s="202">
        <f t="shared" si="23"/>
        <v>4.487000000000009</v>
      </c>
      <c r="AH12" s="209">
        <v>4.7323333333333339</v>
      </c>
    </row>
    <row r="13" spans="1:34">
      <c r="A13" s="170" t="s">
        <v>37</v>
      </c>
      <c r="B13" s="288"/>
      <c r="C13" s="11" t="s">
        <v>38</v>
      </c>
      <c r="D13" s="12">
        <v>97.694000000000003</v>
      </c>
      <c r="E13" s="12">
        <v>102.617</v>
      </c>
      <c r="F13" s="12">
        <v>107.30200000000001</v>
      </c>
      <c r="G13" s="12">
        <v>111.97199999999999</v>
      </c>
      <c r="H13" s="12">
        <v>115.35899999999999</v>
      </c>
      <c r="I13" s="12">
        <v>116.116</v>
      </c>
      <c r="J13" s="12">
        <v>116.733</v>
      </c>
      <c r="K13" s="12">
        <v>117.253</v>
      </c>
      <c r="L13" s="12">
        <v>117.85</v>
      </c>
      <c r="M13" s="12">
        <v>118.619</v>
      </c>
      <c r="N13" s="12">
        <v>120.28400000000001</v>
      </c>
      <c r="O13" s="12">
        <v>3.32</v>
      </c>
      <c r="P13" s="12">
        <v>8.3040000000000003</v>
      </c>
      <c r="Q13" s="10"/>
      <c r="R13" s="10">
        <f t="shared" ref="R13:R21" si="24">P13+N13-D13</f>
        <v>30.893999999999991</v>
      </c>
      <c r="U13" s="210" t="s">
        <v>291</v>
      </c>
      <c r="V13" s="216">
        <f t="shared" ref="V13:W13" si="25">V44</f>
        <v>2.3559999999999981</v>
      </c>
      <c r="W13" s="216">
        <f t="shared" si="25"/>
        <v>2.0990000000000002</v>
      </c>
      <c r="X13" s="216">
        <f t="shared" ref="X13:Y13" si="26">X44</f>
        <v>3.3770000000000024</v>
      </c>
      <c r="Y13" s="216">
        <f t="shared" si="26"/>
        <v>3.0649999999999977</v>
      </c>
      <c r="Z13" s="216">
        <f t="shared" ref="Z13:AA13" si="27">Z44</f>
        <v>1.1000000000002785E-2</v>
      </c>
      <c r="AA13" s="216">
        <f t="shared" si="27"/>
        <v>5.9999999999966747E-3</v>
      </c>
      <c r="AB13" s="216">
        <f t="shared" ref="AB13:AC13" si="28">AB44</f>
        <v>0.12800000000000011</v>
      </c>
      <c r="AC13" s="216">
        <f t="shared" si="28"/>
        <v>3.0000000000001137E-3</v>
      </c>
      <c r="AD13" s="216">
        <f t="shared" ref="AD13:AE13" si="29">AD44</f>
        <v>0.65600000000000236</v>
      </c>
      <c r="AE13" s="216">
        <f t="shared" si="29"/>
        <v>2.0229999999999961</v>
      </c>
      <c r="AF13" s="216">
        <f t="shared" ref="AF13:AG13" si="30">AF44</f>
        <v>1.6129999999999995</v>
      </c>
      <c r="AG13" s="216">
        <f t="shared" si="30"/>
        <v>1.9670000000000059</v>
      </c>
      <c r="AH13" s="211">
        <v>4.7182222222222219</v>
      </c>
    </row>
    <row r="14" spans="1:34">
      <c r="A14" s="170">
        <v>15</v>
      </c>
      <c r="B14" s="288">
        <v>6</v>
      </c>
      <c r="C14" s="11" t="s">
        <v>356</v>
      </c>
      <c r="D14" s="12">
        <v>34.588000000000001</v>
      </c>
      <c r="E14" s="12">
        <v>34.819000000000003</v>
      </c>
      <c r="F14" s="12">
        <v>39.176000000000002</v>
      </c>
      <c r="G14" s="12">
        <v>45.970999999999997</v>
      </c>
      <c r="H14" s="12">
        <v>50.363</v>
      </c>
      <c r="I14" s="12">
        <v>54.963999999999999</v>
      </c>
      <c r="J14" s="12">
        <v>59.066000000000003</v>
      </c>
      <c r="K14" s="12">
        <v>63.972000000000001</v>
      </c>
      <c r="L14" s="12">
        <v>68.807000000000002</v>
      </c>
      <c r="M14" s="12">
        <v>73.364999999999995</v>
      </c>
      <c r="N14" s="12">
        <v>86.968999999999994</v>
      </c>
      <c r="O14" s="12">
        <v>90.483000000000004</v>
      </c>
      <c r="P14" s="12">
        <v>95.075000000000003</v>
      </c>
      <c r="Q14" s="10">
        <f t="shared" ref="Q14" si="31">P14-D14</f>
        <v>60.487000000000002</v>
      </c>
      <c r="U14" s="1">
        <v>15</v>
      </c>
      <c r="V14" s="203">
        <f t="shared" ref="V14:AG14" si="32">E14-D14</f>
        <v>0.23100000000000165</v>
      </c>
      <c r="W14" s="203">
        <f t="shared" si="32"/>
        <v>4.3569999999999993</v>
      </c>
      <c r="X14" s="203">
        <f t="shared" si="32"/>
        <v>6.7949999999999946</v>
      </c>
      <c r="Y14" s="203">
        <f t="shared" si="32"/>
        <v>4.392000000000003</v>
      </c>
      <c r="Z14" s="203">
        <f t="shared" si="32"/>
        <v>4.6009999999999991</v>
      </c>
      <c r="AA14" s="203">
        <f t="shared" si="32"/>
        <v>4.1020000000000039</v>
      </c>
      <c r="AB14" s="203">
        <f t="shared" si="32"/>
        <v>4.9059999999999988</v>
      </c>
      <c r="AC14" s="203">
        <f t="shared" si="32"/>
        <v>4.8350000000000009</v>
      </c>
      <c r="AD14" s="203">
        <f t="shared" si="32"/>
        <v>4.5579999999999927</v>
      </c>
      <c r="AE14" s="203">
        <f t="shared" si="32"/>
        <v>13.603999999999999</v>
      </c>
      <c r="AF14" s="203">
        <f t="shared" si="32"/>
        <v>3.51400000000001</v>
      </c>
      <c r="AG14" s="203">
        <f t="shared" si="32"/>
        <v>4.5919999999999987</v>
      </c>
      <c r="AH14" s="209">
        <v>1.6821111111111091</v>
      </c>
    </row>
    <row r="15" spans="1:34">
      <c r="A15" s="170" t="s">
        <v>39</v>
      </c>
      <c r="B15" s="288"/>
      <c r="C15" s="11" t="s">
        <v>40</v>
      </c>
      <c r="D15" s="12">
        <v>65.988</v>
      </c>
      <c r="E15" s="12">
        <v>68.122</v>
      </c>
      <c r="F15" s="12">
        <v>72.849999999999994</v>
      </c>
      <c r="G15" s="12">
        <v>74.825000000000003</v>
      </c>
      <c r="H15" s="12">
        <v>76.852999999999994</v>
      </c>
      <c r="I15" s="12">
        <v>78.093000000000004</v>
      </c>
      <c r="J15" s="12">
        <v>78.69</v>
      </c>
      <c r="K15" s="12">
        <v>79.174000000000007</v>
      </c>
      <c r="L15" s="12">
        <v>79.730999999999995</v>
      </c>
      <c r="M15" s="12">
        <v>80.236000000000004</v>
      </c>
      <c r="N15" s="12">
        <v>81.588999999999999</v>
      </c>
      <c r="O15" s="12">
        <v>2.1339999999999999</v>
      </c>
      <c r="P15" s="12">
        <v>5.4740000000000002</v>
      </c>
      <c r="Q15" s="10"/>
      <c r="R15" s="10">
        <f t="shared" ref="R15:R21" si="33">P15+N15-D15</f>
        <v>21.075000000000003</v>
      </c>
      <c r="U15" s="210" t="s">
        <v>291</v>
      </c>
      <c r="V15" s="216">
        <f t="shared" ref="V15:W15" si="34">V46</f>
        <v>0.20599999999999952</v>
      </c>
      <c r="W15" s="216">
        <f t="shared" si="34"/>
        <v>3.2170000000000023</v>
      </c>
      <c r="X15" s="216">
        <f t="shared" ref="X15:Y15" si="35">X46</f>
        <v>2.5749999999999957</v>
      </c>
      <c r="Y15" s="216">
        <f t="shared" si="35"/>
        <v>2.8599999999999994</v>
      </c>
      <c r="Z15" s="216">
        <f t="shared" ref="Z15:AA15" si="36">Z46</f>
        <v>2.8310000000000031</v>
      </c>
      <c r="AA15" s="216">
        <f t="shared" si="36"/>
        <v>2.1859999999999999</v>
      </c>
      <c r="AB15" s="216">
        <f t="shared" ref="AB15:AC15" si="37">AB46</f>
        <v>2.2950000000000017</v>
      </c>
      <c r="AC15" s="216">
        <f t="shared" si="37"/>
        <v>2.4810000000000016</v>
      </c>
      <c r="AD15" s="216">
        <f t="shared" ref="AD15:AE15" si="38">AD46</f>
        <v>2.4319999999999951</v>
      </c>
      <c r="AE15" s="216">
        <f t="shared" si="38"/>
        <v>3.4059999999999988</v>
      </c>
      <c r="AF15" s="216">
        <f t="shared" ref="AF15:AG15" si="39">AF46</f>
        <v>3.0200000000000031</v>
      </c>
      <c r="AG15" s="216">
        <f t="shared" si="39"/>
        <v>4.1210000000000022</v>
      </c>
      <c r="AH15" s="211">
        <v>0.73344444444444434</v>
      </c>
    </row>
    <row r="16" spans="1:34">
      <c r="A16" s="293">
        <v>7</v>
      </c>
      <c r="B16" s="288">
        <v>7</v>
      </c>
      <c r="C16" s="11" t="s">
        <v>208</v>
      </c>
      <c r="D16" s="12">
        <v>99.093000000000004</v>
      </c>
      <c r="E16" s="12">
        <v>106.462</v>
      </c>
      <c r="F16" s="12">
        <v>113.648</v>
      </c>
      <c r="G16" s="12">
        <v>119.619</v>
      </c>
      <c r="H16" s="12">
        <v>125.66200000000001</v>
      </c>
      <c r="I16" s="12">
        <v>131.11099999999999</v>
      </c>
      <c r="J16" s="12">
        <v>136.48400000000001</v>
      </c>
      <c r="K16" s="12">
        <v>139.38999999999999</v>
      </c>
      <c r="L16" s="12">
        <v>142.792</v>
      </c>
      <c r="M16" s="12">
        <v>147.191</v>
      </c>
      <c r="N16" s="12">
        <v>153.53899999999999</v>
      </c>
      <c r="O16" s="12">
        <v>159.654</v>
      </c>
      <c r="P16" s="12">
        <v>167.571</v>
      </c>
      <c r="Q16" s="10">
        <f t="shared" ref="Q16" si="40">P16-D16</f>
        <v>68.477999999999994</v>
      </c>
      <c r="U16" s="1">
        <v>7</v>
      </c>
      <c r="V16" s="202">
        <f t="shared" ref="V16:AG16" si="41">E16-D16</f>
        <v>7.3689999999999998</v>
      </c>
      <c r="W16" s="202">
        <f t="shared" si="41"/>
        <v>7.1859999999999928</v>
      </c>
      <c r="X16" s="202">
        <f t="shared" si="41"/>
        <v>5.9710000000000036</v>
      </c>
      <c r="Y16" s="202">
        <f t="shared" si="41"/>
        <v>6.0430000000000064</v>
      </c>
      <c r="Z16" s="202">
        <f t="shared" si="41"/>
        <v>5.4489999999999839</v>
      </c>
      <c r="AA16" s="202">
        <f t="shared" si="41"/>
        <v>5.3730000000000189</v>
      </c>
      <c r="AB16" s="202">
        <f t="shared" si="41"/>
        <v>2.9059999999999775</v>
      </c>
      <c r="AC16" s="202">
        <f t="shared" si="41"/>
        <v>3.4020000000000152</v>
      </c>
      <c r="AD16" s="202">
        <f t="shared" si="41"/>
        <v>4.3990000000000009</v>
      </c>
      <c r="AE16" s="202">
        <f t="shared" si="41"/>
        <v>6.3479999999999848</v>
      </c>
      <c r="AF16" s="202">
        <f t="shared" si="41"/>
        <v>6.1150000000000091</v>
      </c>
      <c r="AG16" s="202">
        <f t="shared" si="41"/>
        <v>7.9170000000000016</v>
      </c>
      <c r="AH16" s="209">
        <v>6.2735555555555544</v>
      </c>
    </row>
    <row r="17" spans="1:34">
      <c r="A17" s="293"/>
      <c r="B17" s="288"/>
      <c r="C17" s="11" t="s">
        <v>41</v>
      </c>
      <c r="D17" s="12">
        <v>18.507999999999999</v>
      </c>
      <c r="E17" s="12">
        <v>19.117999999999999</v>
      </c>
      <c r="F17" s="12">
        <v>19.738</v>
      </c>
      <c r="G17" s="12">
        <v>20.202000000000002</v>
      </c>
      <c r="H17" s="12">
        <v>20.645</v>
      </c>
      <c r="I17" s="12">
        <v>21.059000000000001</v>
      </c>
      <c r="J17" s="12">
        <v>21.428999999999998</v>
      </c>
      <c r="K17" s="12">
        <v>21.61</v>
      </c>
      <c r="L17" s="12">
        <v>21.870999999999999</v>
      </c>
      <c r="M17" s="12">
        <v>22.145</v>
      </c>
      <c r="N17" s="12">
        <v>22.574000000000002</v>
      </c>
      <c r="O17" s="12">
        <v>0.45300000000000001</v>
      </c>
      <c r="P17" s="12">
        <v>1.141</v>
      </c>
      <c r="Q17" s="10"/>
      <c r="R17" s="10">
        <f t="shared" ref="R17:R21" si="42">P17+N17-D17</f>
        <v>5.2070000000000043</v>
      </c>
      <c r="U17" s="210" t="s">
        <v>290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9"/>
    </row>
    <row r="18" spans="1:34">
      <c r="A18" s="170">
        <v>13</v>
      </c>
      <c r="B18" s="288">
        <v>8</v>
      </c>
      <c r="C18" s="11" t="s">
        <v>209</v>
      </c>
      <c r="D18" s="12">
        <v>48.475000000000001</v>
      </c>
      <c r="E18" s="12">
        <v>52.186999999999998</v>
      </c>
      <c r="F18" s="12">
        <v>54.804000000000002</v>
      </c>
      <c r="G18" s="12">
        <v>58.063000000000002</v>
      </c>
      <c r="H18" s="12">
        <v>61.338999999999999</v>
      </c>
      <c r="I18" s="12">
        <v>64.540000000000006</v>
      </c>
      <c r="J18" s="12">
        <v>65.346999999999994</v>
      </c>
      <c r="K18" s="12">
        <v>67.489000000000004</v>
      </c>
      <c r="L18" s="12">
        <v>70.17</v>
      </c>
      <c r="M18" s="12">
        <v>74.004999999999995</v>
      </c>
      <c r="N18" s="12">
        <v>77.902000000000001</v>
      </c>
      <c r="O18" s="12">
        <v>80.837000000000003</v>
      </c>
      <c r="P18" s="12">
        <v>81.12</v>
      </c>
      <c r="Q18" s="10">
        <f t="shared" ref="Q18" si="43">P18-D18</f>
        <v>32.645000000000003</v>
      </c>
      <c r="U18" s="1">
        <v>13</v>
      </c>
      <c r="V18" s="202">
        <f t="shared" ref="V18:AG18" si="44">E18-D18</f>
        <v>3.7119999999999962</v>
      </c>
      <c r="W18" s="202">
        <f t="shared" si="44"/>
        <v>2.6170000000000044</v>
      </c>
      <c r="X18" s="202">
        <f t="shared" si="44"/>
        <v>3.2590000000000003</v>
      </c>
      <c r="Y18" s="202">
        <f t="shared" si="44"/>
        <v>3.2759999999999962</v>
      </c>
      <c r="Z18" s="202">
        <f t="shared" si="44"/>
        <v>3.2010000000000076</v>
      </c>
      <c r="AA18" s="202">
        <f t="shared" si="44"/>
        <v>0.80699999999998795</v>
      </c>
      <c r="AB18" s="202">
        <f t="shared" si="44"/>
        <v>2.1420000000000101</v>
      </c>
      <c r="AC18" s="202">
        <f t="shared" si="44"/>
        <v>2.6809999999999974</v>
      </c>
      <c r="AD18" s="202">
        <f t="shared" si="44"/>
        <v>3.8349999999999937</v>
      </c>
      <c r="AE18" s="202">
        <f t="shared" si="44"/>
        <v>3.8970000000000056</v>
      </c>
      <c r="AF18" s="202">
        <f t="shared" si="44"/>
        <v>2.9350000000000023</v>
      </c>
      <c r="AG18" s="202">
        <f t="shared" si="44"/>
        <v>0.28300000000000125</v>
      </c>
      <c r="AH18" s="209">
        <v>2.5207777777777785</v>
      </c>
    </row>
    <row r="19" spans="1:34">
      <c r="A19" s="170" t="s">
        <v>42</v>
      </c>
      <c r="B19" s="288"/>
      <c r="C19" s="11" t="s">
        <v>43</v>
      </c>
      <c r="D19" s="12">
        <v>105.54</v>
      </c>
      <c r="E19" s="12">
        <v>113.214</v>
      </c>
      <c r="F19" s="12">
        <v>119.452</v>
      </c>
      <c r="G19" s="12">
        <v>125.691</v>
      </c>
      <c r="H19" s="12">
        <v>130.393</v>
      </c>
      <c r="I19" s="12">
        <v>132.78100000000001</v>
      </c>
      <c r="J19" s="12">
        <v>133.31800000000001</v>
      </c>
      <c r="K19" s="12">
        <v>134.04</v>
      </c>
      <c r="L19" s="12">
        <v>135.124</v>
      </c>
      <c r="M19" s="12">
        <v>137.184</v>
      </c>
      <c r="N19" s="12">
        <v>140.94999999999999</v>
      </c>
      <c r="O19" s="12">
        <v>5.6580000000000004</v>
      </c>
      <c r="P19" s="12">
        <v>10.750999999999999</v>
      </c>
      <c r="Q19" s="10"/>
      <c r="R19" s="10">
        <f t="shared" ref="R19:R21" si="45">P19+N19-D19</f>
        <v>46.160999999999987</v>
      </c>
      <c r="U19" s="210" t="s">
        <v>291</v>
      </c>
      <c r="V19" s="217">
        <f t="shared" ref="V19:W19" si="46">V48</f>
        <v>2.522000000000002</v>
      </c>
      <c r="W19" s="217">
        <f t="shared" si="46"/>
        <v>1.5739999999999981</v>
      </c>
      <c r="X19" s="217">
        <f t="shared" ref="X19:Y19" si="47">X48</f>
        <v>2.1730000000000018</v>
      </c>
      <c r="Y19" s="217">
        <f t="shared" si="47"/>
        <v>2.2149999999999999</v>
      </c>
      <c r="Z19" s="217">
        <f t="shared" ref="Z19:AA19" si="48">Z48</f>
        <v>1.6480000000000032</v>
      </c>
      <c r="AA19" s="217">
        <f t="shared" si="48"/>
        <v>0.25899999999999324</v>
      </c>
      <c r="AB19" s="217">
        <f t="shared" ref="AB19:AC19" si="49">AB48</f>
        <v>0.96100000000000563</v>
      </c>
      <c r="AC19" s="217">
        <f t="shared" si="49"/>
        <v>1.2359999999999971</v>
      </c>
      <c r="AD19" s="217">
        <f t="shared" ref="AD19:AE19" si="50">AD48</f>
        <v>1.902000000000001</v>
      </c>
      <c r="AE19" s="217">
        <f t="shared" si="50"/>
        <v>2.4879999999999995</v>
      </c>
      <c r="AF19" s="217">
        <f t="shared" ref="AF19:AG19" si="51">AF48</f>
        <v>1.9690000000000012</v>
      </c>
      <c r="AG19" s="217">
        <f t="shared" si="51"/>
        <v>0.24000000000000199</v>
      </c>
      <c r="AH19" s="211">
        <v>1.2623333333333333</v>
      </c>
    </row>
    <row r="20" spans="1:34">
      <c r="A20" s="293">
        <v>14</v>
      </c>
      <c r="B20" s="288">
        <v>9</v>
      </c>
      <c r="C20" s="11" t="s">
        <v>210</v>
      </c>
      <c r="D20" s="12">
        <v>131.20599999999999</v>
      </c>
      <c r="E20" s="12">
        <v>139.01499999999999</v>
      </c>
      <c r="F20" s="12">
        <v>147.416</v>
      </c>
      <c r="G20" s="12">
        <v>159.32599999999999</v>
      </c>
      <c r="H20" s="12">
        <v>171.80699999999999</v>
      </c>
      <c r="I20" s="12">
        <v>183.642</v>
      </c>
      <c r="J20" s="12">
        <v>195.66300000000001</v>
      </c>
      <c r="K20" s="12">
        <v>203.739</v>
      </c>
      <c r="L20" s="12">
        <v>211.59899999999999</v>
      </c>
      <c r="M20" s="12">
        <v>222.48699999999999</v>
      </c>
      <c r="N20" s="12">
        <v>233.54</v>
      </c>
      <c r="O20" s="12">
        <v>244.477</v>
      </c>
      <c r="P20" s="12">
        <v>254.696</v>
      </c>
      <c r="Q20" s="10">
        <f t="shared" ref="Q20" si="52">P20-D20</f>
        <v>123.49000000000001</v>
      </c>
      <c r="U20" s="1">
        <v>14</v>
      </c>
      <c r="V20" s="202">
        <f t="shared" ref="V20:AG20" si="53">E20-D20</f>
        <v>7.8089999999999975</v>
      </c>
      <c r="W20" s="202">
        <f t="shared" si="53"/>
        <v>8.4010000000000105</v>
      </c>
      <c r="X20" s="202">
        <f t="shared" si="53"/>
        <v>11.909999999999997</v>
      </c>
      <c r="Y20" s="202">
        <f t="shared" si="53"/>
        <v>12.480999999999995</v>
      </c>
      <c r="Z20" s="202">
        <f t="shared" si="53"/>
        <v>11.835000000000008</v>
      </c>
      <c r="AA20" s="202">
        <f t="shared" si="53"/>
        <v>12.021000000000015</v>
      </c>
      <c r="AB20" s="202">
        <f t="shared" si="53"/>
        <v>8.0759999999999934</v>
      </c>
      <c r="AC20" s="202">
        <f t="shared" si="53"/>
        <v>7.8599999999999852</v>
      </c>
      <c r="AD20" s="202">
        <f t="shared" si="53"/>
        <v>10.888000000000005</v>
      </c>
      <c r="AE20" s="202">
        <f t="shared" si="53"/>
        <v>11.052999999999997</v>
      </c>
      <c r="AF20" s="202">
        <f t="shared" si="53"/>
        <v>10.937000000000012</v>
      </c>
      <c r="AG20" s="202">
        <f t="shared" si="53"/>
        <v>10.218999999999994</v>
      </c>
      <c r="AH20" s="209">
        <v>6.9983333333333348</v>
      </c>
    </row>
    <row r="21" spans="1:34">
      <c r="A21" s="293"/>
      <c r="B21" s="288"/>
      <c r="C21" s="11" t="s">
        <v>44</v>
      </c>
      <c r="D21" s="12">
        <v>86.093999999999994</v>
      </c>
      <c r="E21" s="12">
        <v>91.259</v>
      </c>
      <c r="F21" s="12">
        <v>95.114999999999995</v>
      </c>
      <c r="G21" s="12">
        <v>99.364999999999995</v>
      </c>
      <c r="H21" s="12">
        <v>102.092</v>
      </c>
      <c r="I21" s="12">
        <v>103.35599999999999</v>
      </c>
      <c r="J21" s="12">
        <v>103.97</v>
      </c>
      <c r="K21" s="12">
        <v>104.38200000000001</v>
      </c>
      <c r="L21" s="12">
        <v>104.821</v>
      </c>
      <c r="M21" s="12">
        <v>105.33</v>
      </c>
      <c r="N21" s="12">
        <v>107.107</v>
      </c>
      <c r="O21" s="12">
        <v>4.2240000000000002</v>
      </c>
      <c r="P21" s="12">
        <v>9.5020000000000007</v>
      </c>
      <c r="Q21" s="10"/>
      <c r="R21" s="10">
        <f t="shared" ref="R21" si="54">P21+N21-D21</f>
        <v>30.515000000000001</v>
      </c>
      <c r="U21" s="210" t="s">
        <v>290</v>
      </c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9"/>
    </row>
    <row r="22" spans="1:34">
      <c r="A22" s="293">
        <v>10</v>
      </c>
      <c r="B22" s="288">
        <v>10</v>
      </c>
      <c r="C22" s="11" t="s">
        <v>211</v>
      </c>
      <c r="D22" s="12">
        <v>26.794</v>
      </c>
      <c r="E22" s="12">
        <v>29.016999999999999</v>
      </c>
      <c r="F22" s="12">
        <v>31.001999999999999</v>
      </c>
      <c r="G22" s="12">
        <v>32.96</v>
      </c>
      <c r="H22" s="12">
        <v>35.090000000000003</v>
      </c>
      <c r="I22" s="12">
        <v>37.340000000000003</v>
      </c>
      <c r="J22" s="12">
        <v>39.220999999999997</v>
      </c>
      <c r="K22" s="12">
        <v>41.298999999999999</v>
      </c>
      <c r="L22" s="12">
        <v>43.21</v>
      </c>
      <c r="M22" s="12">
        <v>44.72</v>
      </c>
      <c r="N22" s="12">
        <v>46.838000000000001</v>
      </c>
      <c r="O22" s="12">
        <v>48.628</v>
      </c>
      <c r="P22" s="12">
        <v>50.704999999999998</v>
      </c>
      <c r="Q22" s="10">
        <f t="shared" ref="Q22" si="55">P22-D22</f>
        <v>23.910999999999998</v>
      </c>
      <c r="U22" s="1">
        <v>10</v>
      </c>
      <c r="V22" s="202">
        <f t="shared" ref="V22:AG22" si="56">E22-D22</f>
        <v>2.222999999999999</v>
      </c>
      <c r="W22" s="202">
        <f t="shared" si="56"/>
        <v>1.9849999999999994</v>
      </c>
      <c r="X22" s="202">
        <f t="shared" si="56"/>
        <v>1.958000000000002</v>
      </c>
      <c r="Y22" s="202">
        <f t="shared" si="56"/>
        <v>2.1300000000000026</v>
      </c>
      <c r="Z22" s="202">
        <f t="shared" si="56"/>
        <v>2.25</v>
      </c>
      <c r="AA22" s="202">
        <f t="shared" si="56"/>
        <v>1.8809999999999931</v>
      </c>
      <c r="AB22" s="202">
        <f t="shared" si="56"/>
        <v>2.078000000000003</v>
      </c>
      <c r="AC22" s="202">
        <f t="shared" si="56"/>
        <v>1.9110000000000014</v>
      </c>
      <c r="AD22" s="202">
        <f t="shared" si="56"/>
        <v>1.509999999999998</v>
      </c>
      <c r="AE22" s="202">
        <f t="shared" si="56"/>
        <v>2.1180000000000021</v>
      </c>
      <c r="AF22" s="202">
        <f t="shared" si="56"/>
        <v>1.7899999999999991</v>
      </c>
      <c r="AG22" s="202">
        <f t="shared" si="56"/>
        <v>2.0769999999999982</v>
      </c>
      <c r="AH22" s="209">
        <v>2.9007777777777779</v>
      </c>
    </row>
    <row r="23" spans="1:34">
      <c r="A23" s="293"/>
      <c r="B23" s="288"/>
      <c r="C23" s="11" t="s">
        <v>45</v>
      </c>
      <c r="D23" s="12">
        <v>55.146999999999998</v>
      </c>
      <c r="E23" s="12">
        <v>58.953000000000003</v>
      </c>
      <c r="F23" s="12">
        <v>62.427</v>
      </c>
      <c r="G23" s="12">
        <v>64.697999999999993</v>
      </c>
      <c r="H23" s="12">
        <v>65.852000000000004</v>
      </c>
      <c r="I23" s="12">
        <v>66.141000000000005</v>
      </c>
      <c r="J23" s="12">
        <v>66.347999999999999</v>
      </c>
      <c r="K23" s="12">
        <v>66.56</v>
      </c>
      <c r="L23" s="12">
        <v>66.790000000000006</v>
      </c>
      <c r="M23" s="12">
        <v>67.007000000000005</v>
      </c>
      <c r="N23" s="12">
        <v>67.954999999999998</v>
      </c>
      <c r="O23" s="12">
        <v>2.6320000000000001</v>
      </c>
      <c r="P23" s="12">
        <v>6.1619999999999999</v>
      </c>
      <c r="Q23" s="115"/>
      <c r="R23" s="136">
        <f>P23+N23-D23</f>
        <v>18.970000000000006</v>
      </c>
      <c r="U23" s="210" t="s">
        <v>290</v>
      </c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9"/>
    </row>
    <row r="24" spans="1:34">
      <c r="A24" s="30"/>
      <c r="B24" s="171" t="s">
        <v>25</v>
      </c>
      <c r="C24" s="11" t="s">
        <v>363</v>
      </c>
      <c r="D24" s="16">
        <v>2060</v>
      </c>
      <c r="E24" s="16">
        <v>2323</v>
      </c>
      <c r="F24" s="16">
        <v>2905</v>
      </c>
      <c r="G24" s="16">
        <v>3147</v>
      </c>
      <c r="H24" s="16">
        <v>3390</v>
      </c>
      <c r="I24" s="16">
        <v>3642</v>
      </c>
      <c r="J24" s="16">
        <v>3916</v>
      </c>
      <c r="K24" s="16">
        <v>4176</v>
      </c>
      <c r="L24" s="16">
        <v>4423</v>
      </c>
      <c r="M24" s="16">
        <v>4660</v>
      </c>
      <c r="N24" s="16">
        <v>4911</v>
      </c>
      <c r="O24" s="16">
        <v>5165</v>
      </c>
      <c r="P24" s="16">
        <v>5432</v>
      </c>
      <c r="Q24" s="10">
        <f>SUM(Q4:Q23)+SUM(Q33:Q49)</f>
        <v>1143.893</v>
      </c>
      <c r="R24" s="10">
        <f>SUM(R4:R23)</f>
        <v>277.488</v>
      </c>
      <c r="S24" s="19">
        <f>P24-D24</f>
        <v>3372</v>
      </c>
      <c r="U24" t="s">
        <v>292</v>
      </c>
    </row>
    <row r="25" spans="1:34">
      <c r="A25" s="30"/>
      <c r="B25" s="171"/>
      <c r="C25" s="11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0"/>
      <c r="S25" s="19"/>
    </row>
    <row r="26" spans="1:34">
      <c r="A26" s="30"/>
      <c r="B26" s="163"/>
      <c r="C26" s="11" t="s">
        <v>212</v>
      </c>
      <c r="D26" s="21">
        <v>1630.8</v>
      </c>
      <c r="E26" s="21">
        <v>1748.6</v>
      </c>
      <c r="F26" s="21">
        <v>1866.3</v>
      </c>
      <c r="G26" s="21">
        <v>1998.5</v>
      </c>
      <c r="H26" s="21">
        <v>2113.8000000000002</v>
      </c>
      <c r="I26" s="21">
        <v>2226</v>
      </c>
      <c r="J26" s="21">
        <v>2322.3000000000002</v>
      </c>
      <c r="K26" s="21">
        <v>2402.6999999999998</v>
      </c>
      <c r="L26" s="21">
        <v>2487.9</v>
      </c>
      <c r="M26" s="21">
        <v>2568.8000000000002</v>
      </c>
      <c r="N26" s="21">
        <v>2672.9</v>
      </c>
      <c r="O26" s="21">
        <v>2759.8</v>
      </c>
      <c r="P26" s="21">
        <v>2853.6</v>
      </c>
      <c r="Q26" s="10">
        <f>P26-D26</f>
        <v>1222.8</v>
      </c>
    </row>
    <row r="27" spans="1:34">
      <c r="A27" s="30"/>
      <c r="B27" s="172"/>
      <c r="C27" s="11" t="s">
        <v>46</v>
      </c>
      <c r="D27" s="22">
        <v>125.62</v>
      </c>
      <c r="E27" s="22">
        <v>139.97999999999999</v>
      </c>
      <c r="F27" s="22">
        <v>153.15</v>
      </c>
      <c r="G27" s="22">
        <v>164.24</v>
      </c>
      <c r="H27" s="22">
        <v>172.68</v>
      </c>
      <c r="I27" s="22">
        <v>177.9</v>
      </c>
      <c r="J27" s="22">
        <v>180.92</v>
      </c>
      <c r="K27" s="23">
        <v>183.55</v>
      </c>
      <c r="L27" s="23">
        <v>186.38</v>
      </c>
      <c r="M27" s="22">
        <v>189.4</v>
      </c>
      <c r="N27" s="22">
        <v>195.31</v>
      </c>
      <c r="O27" s="22">
        <v>205.15</v>
      </c>
      <c r="P27" s="22">
        <v>217.78</v>
      </c>
      <c r="Q27" s="10"/>
      <c r="R27" s="10">
        <f>(P27-D27)*3.6</f>
        <v>331.77600000000001</v>
      </c>
      <c r="S27" t="s">
        <v>165</v>
      </c>
    </row>
    <row r="28" spans="1:34" ht="15.75" thickBot="1">
      <c r="A28" s="30"/>
      <c r="B28" s="162"/>
      <c r="C28" s="31" t="s">
        <v>28</v>
      </c>
      <c r="D28" s="25">
        <v>15982</v>
      </c>
      <c r="E28" s="25">
        <v>16796</v>
      </c>
      <c r="F28" s="25">
        <v>17602</v>
      </c>
      <c r="G28" s="25">
        <v>18338</v>
      </c>
      <c r="H28" s="25">
        <v>19077</v>
      </c>
      <c r="I28" s="25">
        <v>19755</v>
      </c>
      <c r="J28" s="25">
        <v>20350</v>
      </c>
      <c r="K28" s="25">
        <v>20959</v>
      </c>
      <c r="L28" s="25">
        <v>22036</v>
      </c>
      <c r="M28" s="25">
        <v>22389</v>
      </c>
      <c r="N28" s="25">
        <v>22732</v>
      </c>
      <c r="O28" s="25">
        <v>23129</v>
      </c>
      <c r="P28" s="25">
        <v>23652</v>
      </c>
      <c r="Q28" s="10"/>
      <c r="R28" s="19">
        <f>P28-D28</f>
        <v>7670</v>
      </c>
      <c r="S28" t="s">
        <v>166</v>
      </c>
    </row>
    <row r="29" spans="1:34" ht="15.75" thickBot="1">
      <c r="A29" s="30"/>
      <c r="B29" s="164" t="str">
        <f>'1850'!A29</f>
        <v>fakturační vodoměr č.         63796</v>
      </c>
      <c r="C29" s="26"/>
      <c r="D29" s="100">
        <f>'1850'!C29</f>
        <v>11988</v>
      </c>
      <c r="E29" s="100">
        <f>'1850'!D29</f>
        <v>12374.5</v>
      </c>
      <c r="F29" s="100">
        <f>'1850'!E29</f>
        <v>12733.1</v>
      </c>
      <c r="G29" s="100">
        <f>'1850'!F29</f>
        <v>13122.2</v>
      </c>
      <c r="H29" s="100">
        <f>'1850'!G29</f>
        <v>13481.9</v>
      </c>
      <c r="I29" s="100">
        <f>'1850'!H29</f>
        <v>13859.3</v>
      </c>
      <c r="J29" s="100">
        <f>'1850'!I29</f>
        <v>14237.6</v>
      </c>
      <c r="K29" s="100">
        <f>'1850'!J29</f>
        <v>14571.1</v>
      </c>
      <c r="L29" s="100">
        <f>'1850'!K29</f>
        <v>14905.5</v>
      </c>
      <c r="M29" s="100">
        <f>'1850'!L29</f>
        <v>15230.3</v>
      </c>
      <c r="N29" s="100">
        <f>'1850'!M29</f>
        <v>15608.4</v>
      </c>
      <c r="O29" s="100">
        <f>'1850'!N29</f>
        <v>15951</v>
      </c>
      <c r="P29" s="100">
        <f>'1850'!O29</f>
        <v>16304</v>
      </c>
      <c r="Q29" s="10">
        <f>P29-D29</f>
        <v>4316</v>
      </c>
      <c r="V29" t="s">
        <v>293</v>
      </c>
    </row>
    <row r="30" spans="1:34" ht="3.75" customHeight="1">
      <c r="A30" s="30"/>
      <c r="B30" s="30"/>
    </row>
    <row r="31" spans="1:34" ht="15.75" thickBot="1">
      <c r="A31" s="30"/>
      <c r="B31" s="165"/>
      <c r="E31" s="29"/>
      <c r="U31" s="1" t="s">
        <v>286</v>
      </c>
      <c r="V31" s="5" t="s">
        <v>4</v>
      </c>
      <c r="W31" s="5" t="s">
        <v>5</v>
      </c>
      <c r="X31" s="5" t="s">
        <v>6</v>
      </c>
      <c r="Y31" s="5" t="s">
        <v>7</v>
      </c>
      <c r="Z31" s="5" t="s">
        <v>8</v>
      </c>
      <c r="AA31" s="5" t="s">
        <v>9</v>
      </c>
      <c r="AB31" s="5" t="s">
        <v>10</v>
      </c>
      <c r="AC31" s="5" t="s">
        <v>11</v>
      </c>
      <c r="AD31" s="5" t="s">
        <v>12</v>
      </c>
      <c r="AE31" s="162" t="s">
        <v>13</v>
      </c>
      <c r="AF31" s="162" t="s">
        <v>14</v>
      </c>
      <c r="AG31" s="162" t="s">
        <v>3</v>
      </c>
    </row>
    <row r="32" spans="1:34" ht="3.75" customHeight="1" thickBot="1">
      <c r="A32" s="30"/>
      <c r="B32" s="30"/>
    </row>
    <row r="33" spans="1:34" ht="15.75" thickBot="1">
      <c r="A33" s="173">
        <v>3</v>
      </c>
      <c r="B33" s="103" t="s">
        <v>160</v>
      </c>
      <c r="C33" s="7" t="s">
        <v>358</v>
      </c>
      <c r="D33" s="8">
        <v>79.951999999999998</v>
      </c>
      <c r="E33" s="8">
        <v>88.198999999999998</v>
      </c>
      <c r="F33" s="8">
        <v>96.153999999999996</v>
      </c>
      <c r="G33" s="8">
        <v>105.30800000000001</v>
      </c>
      <c r="H33" s="8">
        <v>113.57599999999999</v>
      </c>
      <c r="I33" s="8">
        <v>123.185</v>
      </c>
      <c r="J33" s="8">
        <v>130.91999999999999</v>
      </c>
      <c r="K33" s="8">
        <v>136.80699999999999</v>
      </c>
      <c r="L33" s="8">
        <v>144.65299999999999</v>
      </c>
      <c r="M33" s="9">
        <v>151.214</v>
      </c>
      <c r="N33" s="8">
        <v>159.786</v>
      </c>
      <c r="O33" s="8">
        <v>167.12899999999999</v>
      </c>
      <c r="P33" s="8">
        <v>174.75899999999999</v>
      </c>
      <c r="Q33" s="10">
        <f>P33-D33</f>
        <v>94.806999999999988</v>
      </c>
      <c r="U33" s="212">
        <v>3</v>
      </c>
      <c r="V33" s="227">
        <f t="shared" ref="V33:AG37" si="57">E33-D33</f>
        <v>8.2469999999999999</v>
      </c>
      <c r="W33" s="227">
        <f t="shared" si="57"/>
        <v>7.9549999999999983</v>
      </c>
      <c r="X33" s="227">
        <f t="shared" si="57"/>
        <v>9.1540000000000106</v>
      </c>
      <c r="Y33" s="227">
        <f t="shared" si="57"/>
        <v>8.2679999999999865</v>
      </c>
      <c r="Z33" s="227">
        <f t="shared" si="57"/>
        <v>9.6090000000000089</v>
      </c>
      <c r="AA33" s="227">
        <f t="shared" si="57"/>
        <v>7.7349999999999852</v>
      </c>
      <c r="AB33" s="227">
        <f t="shared" si="57"/>
        <v>5.8870000000000005</v>
      </c>
      <c r="AC33" s="227">
        <f t="shared" si="57"/>
        <v>7.8460000000000036</v>
      </c>
      <c r="AD33" s="227">
        <f t="shared" si="57"/>
        <v>6.561000000000007</v>
      </c>
      <c r="AE33" s="227">
        <f t="shared" si="57"/>
        <v>8.5720000000000027</v>
      </c>
      <c r="AF33" s="227">
        <f t="shared" si="57"/>
        <v>7.3429999999999893</v>
      </c>
      <c r="AG33" s="227">
        <f t="shared" si="57"/>
        <v>7.6299999999999955</v>
      </c>
      <c r="AH33" s="209">
        <v>7.9722999999999971</v>
      </c>
    </row>
    <row r="34" spans="1:34" ht="15.75" thickBot="1">
      <c r="A34" s="173">
        <v>6</v>
      </c>
      <c r="B34" s="103" t="s">
        <v>161</v>
      </c>
      <c r="C34" s="7" t="s">
        <v>213</v>
      </c>
      <c r="D34" s="12">
        <v>63.505000000000003</v>
      </c>
      <c r="E34" s="12">
        <v>68.027000000000001</v>
      </c>
      <c r="F34" s="12">
        <v>72.444000000000003</v>
      </c>
      <c r="G34" s="12">
        <v>78.209999999999994</v>
      </c>
      <c r="H34" s="12">
        <v>83.106999999999999</v>
      </c>
      <c r="I34" s="12">
        <v>89.213999999999999</v>
      </c>
      <c r="J34" s="12">
        <v>94.272000000000006</v>
      </c>
      <c r="K34" s="12">
        <v>98.86</v>
      </c>
      <c r="L34" s="12">
        <v>99.697000000000003</v>
      </c>
      <c r="M34" s="12">
        <v>100.705</v>
      </c>
      <c r="N34" s="12">
        <v>102.02200000000001</v>
      </c>
      <c r="O34" s="12">
        <v>103.03</v>
      </c>
      <c r="P34" s="12">
        <v>104.72199999999999</v>
      </c>
      <c r="Q34" s="10">
        <f>P34-D34</f>
        <v>41.216999999999992</v>
      </c>
      <c r="U34" s="212">
        <v>6</v>
      </c>
      <c r="V34" s="227">
        <f t="shared" si="57"/>
        <v>4.5219999999999985</v>
      </c>
      <c r="W34" s="227">
        <f t="shared" si="57"/>
        <v>4.4170000000000016</v>
      </c>
      <c r="X34" s="227">
        <f t="shared" si="57"/>
        <v>5.7659999999999911</v>
      </c>
      <c r="Y34" s="227">
        <f t="shared" si="57"/>
        <v>4.8970000000000056</v>
      </c>
      <c r="Z34" s="227">
        <f t="shared" si="57"/>
        <v>6.1069999999999993</v>
      </c>
      <c r="AA34" s="227">
        <f t="shared" si="57"/>
        <v>5.0580000000000069</v>
      </c>
      <c r="AB34" s="227">
        <f t="shared" si="57"/>
        <v>4.5879999999999939</v>
      </c>
      <c r="AC34" s="227">
        <f t="shared" si="57"/>
        <v>0.8370000000000033</v>
      </c>
      <c r="AD34" s="227">
        <f t="shared" si="57"/>
        <v>1.0079999999999956</v>
      </c>
      <c r="AE34" s="227">
        <f t="shared" si="57"/>
        <v>1.3170000000000073</v>
      </c>
      <c r="AF34" s="227">
        <f t="shared" si="57"/>
        <v>1.0079999999999956</v>
      </c>
      <c r="AG34" s="227">
        <f t="shared" si="57"/>
        <v>1.6919999999999931</v>
      </c>
      <c r="AH34" s="209">
        <v>2.9772999999999987</v>
      </c>
    </row>
    <row r="35" spans="1:34" ht="15.75" thickBot="1">
      <c r="A35" s="173">
        <v>8</v>
      </c>
      <c r="B35" s="103" t="s">
        <v>162</v>
      </c>
      <c r="C35" s="7" t="s">
        <v>214</v>
      </c>
      <c r="D35" s="12">
        <v>96.878</v>
      </c>
      <c r="E35" s="12">
        <v>105.39400000000001</v>
      </c>
      <c r="F35" s="12">
        <v>113.217</v>
      </c>
      <c r="G35" s="12">
        <v>121.68300000000001</v>
      </c>
      <c r="H35" s="12">
        <v>126.48099999999999</v>
      </c>
      <c r="I35" s="12">
        <v>132.26499999999999</v>
      </c>
      <c r="J35" s="12">
        <v>138.81200000000001</v>
      </c>
      <c r="K35" s="12">
        <v>144.97</v>
      </c>
      <c r="L35" s="12">
        <v>152.941</v>
      </c>
      <c r="M35" s="12">
        <v>159.19399999999999</v>
      </c>
      <c r="N35" s="12">
        <v>166.476</v>
      </c>
      <c r="O35" s="12">
        <v>172.10499999999999</v>
      </c>
      <c r="P35" s="12">
        <v>177.03299999999999</v>
      </c>
      <c r="Q35" s="10">
        <f t="shared" ref="Q35:Q37" si="58">P35-D35</f>
        <v>80.154999999999987</v>
      </c>
      <c r="U35" s="212">
        <v>8</v>
      </c>
      <c r="V35" s="227">
        <f t="shared" si="57"/>
        <v>8.5160000000000053</v>
      </c>
      <c r="W35" s="227">
        <f t="shared" si="57"/>
        <v>7.8229999999999933</v>
      </c>
      <c r="X35" s="227">
        <f t="shared" si="57"/>
        <v>8.4660000000000082</v>
      </c>
      <c r="Y35" s="227">
        <f t="shared" si="57"/>
        <v>4.7979999999999876</v>
      </c>
      <c r="Z35" s="227">
        <f t="shared" si="57"/>
        <v>5.7839999999999918</v>
      </c>
      <c r="AA35" s="227">
        <f t="shared" si="57"/>
        <v>6.5470000000000255</v>
      </c>
      <c r="AB35" s="227">
        <f t="shared" si="57"/>
        <v>6.157999999999987</v>
      </c>
      <c r="AC35" s="227">
        <f t="shared" si="57"/>
        <v>7.9710000000000036</v>
      </c>
      <c r="AD35" s="227">
        <f t="shared" si="57"/>
        <v>6.2529999999999859</v>
      </c>
      <c r="AE35" s="227">
        <f t="shared" si="57"/>
        <v>7.2820000000000107</v>
      </c>
      <c r="AF35" s="227">
        <f t="shared" si="57"/>
        <v>5.6289999999999907</v>
      </c>
      <c r="AG35" s="227">
        <f t="shared" si="57"/>
        <v>4.9279999999999973</v>
      </c>
      <c r="AH35" s="209">
        <v>5.4083999999999985</v>
      </c>
    </row>
    <row r="36" spans="1:34" ht="15.75" thickBot="1">
      <c r="A36" s="173">
        <v>11</v>
      </c>
      <c r="B36" s="103" t="s">
        <v>163</v>
      </c>
      <c r="C36" s="7" t="s">
        <v>362</v>
      </c>
      <c r="D36" s="12">
        <v>8.1470000000000002</v>
      </c>
      <c r="E36" s="12">
        <v>8.7439999999999998</v>
      </c>
      <c r="F36" s="12">
        <v>9.2170000000000005</v>
      </c>
      <c r="G36" s="12">
        <v>9.4350000000000005</v>
      </c>
      <c r="H36" s="12">
        <v>9.99</v>
      </c>
      <c r="I36" s="12">
        <v>10.343</v>
      </c>
      <c r="J36" s="12">
        <v>10.952</v>
      </c>
      <c r="K36" s="12">
        <v>11.449</v>
      </c>
      <c r="L36" s="12">
        <v>12.278</v>
      </c>
      <c r="M36" s="12">
        <v>12.465999999999999</v>
      </c>
      <c r="N36" s="12">
        <v>12.736000000000001</v>
      </c>
      <c r="O36" s="12">
        <v>12.914</v>
      </c>
      <c r="P36" s="12">
        <v>13.701000000000001</v>
      </c>
      <c r="Q36" s="10">
        <f t="shared" si="58"/>
        <v>5.5540000000000003</v>
      </c>
      <c r="U36" s="212">
        <v>11</v>
      </c>
      <c r="V36" s="227">
        <f t="shared" si="57"/>
        <v>0.59699999999999953</v>
      </c>
      <c r="W36" s="227">
        <f t="shared" si="57"/>
        <v>0.47300000000000075</v>
      </c>
      <c r="X36" s="227">
        <f t="shared" si="57"/>
        <v>0.21799999999999997</v>
      </c>
      <c r="Y36" s="227">
        <f t="shared" si="57"/>
        <v>0.55499999999999972</v>
      </c>
      <c r="Z36" s="227">
        <f t="shared" si="57"/>
        <v>0.35299999999999976</v>
      </c>
      <c r="AA36" s="227">
        <f t="shared" si="57"/>
        <v>0.60899999999999999</v>
      </c>
      <c r="AB36" s="227">
        <f t="shared" si="57"/>
        <v>0.49699999999999989</v>
      </c>
      <c r="AC36" s="227">
        <f t="shared" si="57"/>
        <v>0.82900000000000063</v>
      </c>
      <c r="AD36" s="227">
        <f t="shared" si="57"/>
        <v>0.18799999999999883</v>
      </c>
      <c r="AE36" s="227">
        <f t="shared" si="57"/>
        <v>0.27000000000000135</v>
      </c>
      <c r="AF36" s="227">
        <f t="shared" si="57"/>
        <v>0.17799999999999905</v>
      </c>
      <c r="AG36" s="227">
        <f t="shared" si="57"/>
        <v>0.78700000000000081</v>
      </c>
      <c r="AH36" s="209">
        <v>0.4723</v>
      </c>
    </row>
    <row r="37" spans="1:34">
      <c r="A37" s="173">
        <v>12</v>
      </c>
      <c r="B37" s="103" t="s">
        <v>164</v>
      </c>
      <c r="C37" s="7" t="s">
        <v>215</v>
      </c>
      <c r="D37" s="12">
        <v>28.67</v>
      </c>
      <c r="E37" s="12">
        <v>30.22</v>
      </c>
      <c r="F37" s="12">
        <v>31.622</v>
      </c>
      <c r="G37" s="12">
        <v>33.128999999999998</v>
      </c>
      <c r="H37" s="12">
        <v>35.414000000000001</v>
      </c>
      <c r="I37" s="12">
        <v>37.551000000000002</v>
      </c>
      <c r="J37" s="12">
        <v>39.374000000000002</v>
      </c>
      <c r="K37" s="12">
        <v>41.146999999999998</v>
      </c>
      <c r="L37" s="12">
        <v>42.868000000000002</v>
      </c>
      <c r="M37" s="12">
        <v>44.488999999999997</v>
      </c>
      <c r="N37" s="12">
        <v>46.26</v>
      </c>
      <c r="O37" s="12">
        <v>47.774000000000001</v>
      </c>
      <c r="P37" s="12">
        <v>49.423999999999999</v>
      </c>
      <c r="Q37" s="10">
        <f t="shared" si="58"/>
        <v>20.753999999999998</v>
      </c>
      <c r="U37" s="212">
        <v>12</v>
      </c>
      <c r="V37" s="227">
        <f t="shared" si="57"/>
        <v>1.5499999999999972</v>
      </c>
      <c r="W37" s="227">
        <f t="shared" si="57"/>
        <v>1.402000000000001</v>
      </c>
      <c r="X37" s="227">
        <f t="shared" si="57"/>
        <v>1.5069999999999979</v>
      </c>
      <c r="Y37" s="227">
        <f t="shared" si="57"/>
        <v>2.2850000000000037</v>
      </c>
      <c r="Z37" s="227">
        <f t="shared" si="57"/>
        <v>2.1370000000000005</v>
      </c>
      <c r="AA37" s="227">
        <f t="shared" si="57"/>
        <v>1.8230000000000004</v>
      </c>
      <c r="AB37" s="227">
        <f t="shared" si="57"/>
        <v>1.7729999999999961</v>
      </c>
      <c r="AC37" s="227">
        <f t="shared" si="57"/>
        <v>1.7210000000000036</v>
      </c>
      <c r="AD37" s="227">
        <f t="shared" si="57"/>
        <v>1.6209999999999951</v>
      </c>
      <c r="AE37" s="227">
        <f t="shared" si="57"/>
        <v>1.7710000000000008</v>
      </c>
      <c r="AF37" s="227">
        <f t="shared" si="57"/>
        <v>1.5140000000000029</v>
      </c>
      <c r="AG37" s="227">
        <f t="shared" si="57"/>
        <v>1.6499999999999986</v>
      </c>
      <c r="AH37" s="209">
        <v>2.143399999999998</v>
      </c>
    </row>
    <row r="38" spans="1:34">
      <c r="A38" s="30"/>
      <c r="B38" s="30"/>
      <c r="U38" s="149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</row>
    <row r="39" spans="1:34" ht="15.75" thickBot="1">
      <c r="A39" s="30"/>
      <c r="B39" s="30"/>
      <c r="C39" t="s">
        <v>47</v>
      </c>
      <c r="U39" s="149"/>
      <c r="V39" s="30" t="s">
        <v>294</v>
      </c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</row>
    <row r="40" spans="1:34" ht="15.75" thickBot="1">
      <c r="A40" s="170">
        <v>2</v>
      </c>
      <c r="B40" s="102">
        <v>2</v>
      </c>
      <c r="C40" s="32" t="s">
        <v>357</v>
      </c>
      <c r="D40" s="9">
        <v>20.754000000000001</v>
      </c>
      <c r="E40" s="9">
        <v>24.821000000000002</v>
      </c>
      <c r="F40" s="9">
        <v>28.727</v>
      </c>
      <c r="G40" s="9">
        <v>33.280999999999999</v>
      </c>
      <c r="H40" s="9">
        <v>38.100999999999999</v>
      </c>
      <c r="I40" s="9">
        <v>43.22</v>
      </c>
      <c r="J40" s="9">
        <v>47.545999999999999</v>
      </c>
      <c r="K40" s="9">
        <v>49.442</v>
      </c>
      <c r="L40" s="9">
        <v>52.173999999999999</v>
      </c>
      <c r="M40" s="9">
        <v>53.511000000000003</v>
      </c>
      <c r="N40" s="9">
        <v>53.515999999999998</v>
      </c>
      <c r="O40" s="9">
        <v>54.347000000000001</v>
      </c>
      <c r="P40" s="9">
        <v>56.786000000000001</v>
      </c>
      <c r="Q40" s="10">
        <f t="shared" ref="Q40:Q49" si="59">P40-D40</f>
        <v>36.031999999999996</v>
      </c>
      <c r="U40" s="212">
        <v>2</v>
      </c>
      <c r="V40" s="227">
        <f t="shared" ref="V40:AG49" si="60">E40-D40</f>
        <v>4.0670000000000002</v>
      </c>
      <c r="W40" s="227">
        <f t="shared" si="60"/>
        <v>3.9059999999999988</v>
      </c>
      <c r="X40" s="227">
        <f t="shared" si="60"/>
        <v>4.5539999999999985</v>
      </c>
      <c r="Y40" s="227">
        <f t="shared" si="60"/>
        <v>4.82</v>
      </c>
      <c r="Z40" s="227">
        <f t="shared" si="60"/>
        <v>5.1189999999999998</v>
      </c>
      <c r="AA40" s="227">
        <f t="shared" si="60"/>
        <v>4.3260000000000005</v>
      </c>
      <c r="AB40" s="227">
        <f t="shared" si="60"/>
        <v>1.8960000000000008</v>
      </c>
      <c r="AC40" s="227">
        <f t="shared" si="60"/>
        <v>2.7319999999999993</v>
      </c>
      <c r="AD40" s="227">
        <f t="shared" si="60"/>
        <v>1.3370000000000033</v>
      </c>
      <c r="AE40" s="227">
        <f t="shared" si="60"/>
        <v>4.9999999999954525E-3</v>
      </c>
      <c r="AF40" s="227">
        <f t="shared" si="60"/>
        <v>0.83100000000000307</v>
      </c>
      <c r="AG40" s="227">
        <f t="shared" si="60"/>
        <v>2.4390000000000001</v>
      </c>
      <c r="AH40" s="209">
        <v>4.0477000000000007</v>
      </c>
    </row>
    <row r="41" spans="1:34" ht="15.75" thickBot="1">
      <c r="A41" s="170">
        <v>3</v>
      </c>
      <c r="B41" s="102" t="s">
        <v>160</v>
      </c>
      <c r="C41" s="32" t="s">
        <v>359</v>
      </c>
      <c r="D41" s="12">
        <v>45.661000000000001</v>
      </c>
      <c r="E41" s="12">
        <v>52.39</v>
      </c>
      <c r="F41" s="12">
        <v>59.451999999999998</v>
      </c>
      <c r="G41" s="12">
        <v>66.644999999999996</v>
      </c>
      <c r="H41" s="12">
        <v>72.840999999999994</v>
      </c>
      <c r="I41" s="12">
        <v>79.725999999999999</v>
      </c>
      <c r="J41" s="12">
        <v>84.369</v>
      </c>
      <c r="K41" s="12">
        <v>87.31</v>
      </c>
      <c r="L41" s="12">
        <v>91.296000000000006</v>
      </c>
      <c r="M41" s="12">
        <v>95.537999999999997</v>
      </c>
      <c r="N41" s="12">
        <v>100.68899999999999</v>
      </c>
      <c r="O41" s="12">
        <v>106.248</v>
      </c>
      <c r="P41" s="12">
        <v>111.664</v>
      </c>
      <c r="Q41" s="10">
        <f t="shared" si="59"/>
        <v>66.003</v>
      </c>
      <c r="U41" s="212">
        <v>3</v>
      </c>
      <c r="V41" s="227">
        <f t="shared" si="60"/>
        <v>6.7289999999999992</v>
      </c>
      <c r="W41" s="227">
        <f t="shared" si="60"/>
        <v>7.0619999999999976</v>
      </c>
      <c r="X41" s="227">
        <f t="shared" si="60"/>
        <v>7.1929999999999978</v>
      </c>
      <c r="Y41" s="227">
        <f t="shared" si="60"/>
        <v>6.195999999999998</v>
      </c>
      <c r="Z41" s="227">
        <f t="shared" si="60"/>
        <v>6.8850000000000051</v>
      </c>
      <c r="AA41" s="227">
        <f t="shared" si="60"/>
        <v>4.6430000000000007</v>
      </c>
      <c r="AB41" s="227">
        <f t="shared" si="60"/>
        <v>2.9410000000000025</v>
      </c>
      <c r="AC41" s="227">
        <f t="shared" si="60"/>
        <v>3.9860000000000042</v>
      </c>
      <c r="AD41" s="227">
        <f t="shared" si="60"/>
        <v>4.2419999999999902</v>
      </c>
      <c r="AE41" s="227">
        <f t="shared" si="60"/>
        <v>5.1509999999999962</v>
      </c>
      <c r="AF41" s="227">
        <f t="shared" si="60"/>
        <v>5.5590000000000117</v>
      </c>
      <c r="AG41" s="227">
        <f t="shared" si="60"/>
        <v>5.4159999999999968</v>
      </c>
      <c r="AH41" s="209">
        <v>4.1811000000000025</v>
      </c>
    </row>
    <row r="42" spans="1:34" ht="15.75" thickBot="1">
      <c r="A42" s="170">
        <v>5</v>
      </c>
      <c r="B42" s="102">
        <v>3</v>
      </c>
      <c r="C42" s="32" t="s">
        <v>216</v>
      </c>
      <c r="D42" s="12">
        <v>6.0579999999999998</v>
      </c>
      <c r="E42" s="12">
        <v>6.6740000000000004</v>
      </c>
      <c r="F42" s="12">
        <v>7.1550000000000002</v>
      </c>
      <c r="G42" s="12">
        <v>7.6260000000000003</v>
      </c>
      <c r="H42" s="12">
        <v>8.0739999999999998</v>
      </c>
      <c r="I42" s="12">
        <v>8.6430000000000007</v>
      </c>
      <c r="J42" s="12">
        <v>9.0670000000000002</v>
      </c>
      <c r="K42" s="12">
        <v>9.5950000000000006</v>
      </c>
      <c r="L42" s="12">
        <v>10.003</v>
      </c>
      <c r="M42" s="12">
        <v>10.488</v>
      </c>
      <c r="N42" s="12">
        <v>11.25</v>
      </c>
      <c r="O42" s="12">
        <v>11.95</v>
      </c>
      <c r="P42" s="12">
        <v>12.609</v>
      </c>
      <c r="Q42" s="10">
        <f t="shared" si="59"/>
        <v>6.5510000000000002</v>
      </c>
      <c r="U42" s="212">
        <v>5</v>
      </c>
      <c r="V42" s="227">
        <f t="shared" si="60"/>
        <v>0.61600000000000055</v>
      </c>
      <c r="W42" s="227">
        <f t="shared" si="60"/>
        <v>0.48099999999999987</v>
      </c>
      <c r="X42" s="227">
        <f t="shared" si="60"/>
        <v>0.47100000000000009</v>
      </c>
      <c r="Y42" s="227">
        <f t="shared" si="60"/>
        <v>0.44799999999999951</v>
      </c>
      <c r="Z42" s="227">
        <f t="shared" si="60"/>
        <v>0.56900000000000084</v>
      </c>
      <c r="AA42" s="227">
        <f t="shared" si="60"/>
        <v>0.42399999999999949</v>
      </c>
      <c r="AB42" s="227">
        <f t="shared" si="60"/>
        <v>0.52800000000000047</v>
      </c>
      <c r="AC42" s="227">
        <f t="shared" si="60"/>
        <v>0.40799999999999947</v>
      </c>
      <c r="AD42" s="227">
        <f t="shared" si="60"/>
        <v>0.48499999999999943</v>
      </c>
      <c r="AE42" s="227">
        <f t="shared" si="60"/>
        <v>0.76200000000000045</v>
      </c>
      <c r="AF42" s="227">
        <f t="shared" si="60"/>
        <v>0.69999999999999929</v>
      </c>
      <c r="AG42" s="227">
        <f t="shared" si="60"/>
        <v>0.6590000000000007</v>
      </c>
      <c r="AH42" s="209">
        <v>0.37709999999999999</v>
      </c>
    </row>
    <row r="43" spans="1:34" ht="15.75" thickBot="1">
      <c r="A43" s="170">
        <v>6</v>
      </c>
      <c r="B43" s="102" t="s">
        <v>161</v>
      </c>
      <c r="C43" s="32" t="s">
        <v>217</v>
      </c>
      <c r="D43" s="12">
        <v>50.503999999999998</v>
      </c>
      <c r="E43" s="12">
        <v>55.02</v>
      </c>
      <c r="F43" s="12">
        <v>59.203000000000003</v>
      </c>
      <c r="G43" s="12">
        <v>63.576000000000001</v>
      </c>
      <c r="H43" s="12">
        <v>67.635000000000005</v>
      </c>
      <c r="I43" s="12">
        <v>72.055000000000007</v>
      </c>
      <c r="J43" s="12">
        <v>75.168999999999997</v>
      </c>
      <c r="K43" s="12">
        <v>77.981999999999999</v>
      </c>
      <c r="L43" s="12">
        <v>78.244</v>
      </c>
      <c r="M43" s="12">
        <v>78.837000000000003</v>
      </c>
      <c r="N43" s="12">
        <v>79.731999999999999</v>
      </c>
      <c r="O43" s="12">
        <v>80.626000000000005</v>
      </c>
      <c r="P43" s="12">
        <v>82.099000000000004</v>
      </c>
      <c r="Q43" s="10">
        <f t="shared" si="59"/>
        <v>31.595000000000006</v>
      </c>
      <c r="U43" s="212">
        <v>6</v>
      </c>
      <c r="V43" s="227">
        <f t="shared" si="60"/>
        <v>4.5160000000000053</v>
      </c>
      <c r="W43" s="227">
        <f t="shared" si="60"/>
        <v>4.1829999999999998</v>
      </c>
      <c r="X43" s="227">
        <f t="shared" si="60"/>
        <v>4.3729999999999976</v>
      </c>
      <c r="Y43" s="227">
        <f t="shared" si="60"/>
        <v>4.0590000000000046</v>
      </c>
      <c r="Z43" s="227">
        <f t="shared" si="60"/>
        <v>4.4200000000000017</v>
      </c>
      <c r="AA43" s="227">
        <f t="shared" si="60"/>
        <v>3.1139999999999901</v>
      </c>
      <c r="AB43" s="227">
        <f t="shared" si="60"/>
        <v>2.8130000000000024</v>
      </c>
      <c r="AC43" s="227">
        <f t="shared" si="60"/>
        <v>0.26200000000000045</v>
      </c>
      <c r="AD43" s="227">
        <f t="shared" si="60"/>
        <v>0.59300000000000352</v>
      </c>
      <c r="AE43" s="227">
        <f t="shared" si="60"/>
        <v>0.89499999999999602</v>
      </c>
      <c r="AF43" s="227">
        <f t="shared" si="60"/>
        <v>0.89400000000000546</v>
      </c>
      <c r="AG43" s="227">
        <f t="shared" si="60"/>
        <v>1.472999999999999</v>
      </c>
      <c r="AH43" s="209">
        <v>1.5876000000000001</v>
      </c>
    </row>
    <row r="44" spans="1:34" ht="15.75" thickBot="1">
      <c r="A44" s="170">
        <v>9</v>
      </c>
      <c r="B44" s="102">
        <v>5</v>
      </c>
      <c r="C44" s="32" t="s">
        <v>360</v>
      </c>
      <c r="D44" s="12">
        <v>19.951000000000001</v>
      </c>
      <c r="E44" s="12">
        <v>22.306999999999999</v>
      </c>
      <c r="F44" s="12">
        <v>24.405999999999999</v>
      </c>
      <c r="G44" s="12">
        <v>27.783000000000001</v>
      </c>
      <c r="H44" s="12">
        <v>30.847999999999999</v>
      </c>
      <c r="I44" s="12">
        <v>30.859000000000002</v>
      </c>
      <c r="J44" s="12">
        <v>30.864999999999998</v>
      </c>
      <c r="K44" s="12">
        <v>30.992999999999999</v>
      </c>
      <c r="L44" s="12">
        <v>30.995999999999999</v>
      </c>
      <c r="M44" s="12">
        <v>31.652000000000001</v>
      </c>
      <c r="N44" s="12">
        <v>33.674999999999997</v>
      </c>
      <c r="O44" s="12">
        <v>35.287999999999997</v>
      </c>
      <c r="P44" s="12">
        <v>37.255000000000003</v>
      </c>
      <c r="Q44" s="10">
        <f t="shared" si="59"/>
        <v>17.304000000000002</v>
      </c>
      <c r="U44" s="212">
        <v>9</v>
      </c>
      <c r="V44" s="227">
        <f t="shared" si="60"/>
        <v>2.3559999999999981</v>
      </c>
      <c r="W44" s="227">
        <f t="shared" si="60"/>
        <v>2.0990000000000002</v>
      </c>
      <c r="X44" s="227">
        <f t="shared" si="60"/>
        <v>3.3770000000000024</v>
      </c>
      <c r="Y44" s="227">
        <f t="shared" si="60"/>
        <v>3.0649999999999977</v>
      </c>
      <c r="Z44" s="227">
        <f t="shared" si="60"/>
        <v>1.1000000000002785E-2</v>
      </c>
      <c r="AA44" s="227">
        <f t="shared" si="60"/>
        <v>5.9999999999966747E-3</v>
      </c>
      <c r="AB44" s="227">
        <f t="shared" si="60"/>
        <v>0.12800000000000011</v>
      </c>
      <c r="AC44" s="227">
        <f t="shared" si="60"/>
        <v>3.0000000000001137E-3</v>
      </c>
      <c r="AD44" s="227">
        <f t="shared" si="60"/>
        <v>0.65600000000000236</v>
      </c>
      <c r="AE44" s="227">
        <f t="shared" si="60"/>
        <v>2.0229999999999961</v>
      </c>
      <c r="AF44" s="227">
        <f t="shared" si="60"/>
        <v>1.6129999999999995</v>
      </c>
      <c r="AG44" s="227">
        <f t="shared" si="60"/>
        <v>1.9670000000000059</v>
      </c>
      <c r="AH44" s="209">
        <v>4.4402999999999997</v>
      </c>
    </row>
    <row r="45" spans="1:34" ht="15.75" thickBot="1">
      <c r="A45" s="170">
        <v>8</v>
      </c>
      <c r="B45" s="102" t="s">
        <v>162</v>
      </c>
      <c r="C45" s="32" t="s">
        <v>361</v>
      </c>
      <c r="D45" s="12">
        <v>28.564</v>
      </c>
      <c r="E45" s="12">
        <v>33.14</v>
      </c>
      <c r="F45" s="12">
        <v>37.963000000000001</v>
      </c>
      <c r="G45" s="12">
        <v>42.609000000000002</v>
      </c>
      <c r="H45" s="12">
        <v>44.274999999999999</v>
      </c>
      <c r="I45" s="12">
        <v>46.832999999999998</v>
      </c>
      <c r="J45" s="12">
        <v>49.805</v>
      </c>
      <c r="K45" s="12">
        <v>52.161999999999999</v>
      </c>
      <c r="L45" s="12">
        <v>55.503999999999998</v>
      </c>
      <c r="M45" s="12">
        <v>58.563000000000002</v>
      </c>
      <c r="N45" s="12">
        <v>62.595999999999997</v>
      </c>
      <c r="O45" s="12">
        <v>66.674000000000007</v>
      </c>
      <c r="P45" s="12">
        <v>69.031000000000006</v>
      </c>
      <c r="Q45" s="10">
        <f t="shared" si="59"/>
        <v>40.467000000000006</v>
      </c>
      <c r="U45" s="212">
        <v>8</v>
      </c>
      <c r="V45" s="227">
        <f t="shared" si="60"/>
        <v>4.5760000000000005</v>
      </c>
      <c r="W45" s="227">
        <f t="shared" si="60"/>
        <v>4.8230000000000004</v>
      </c>
      <c r="X45" s="227">
        <f t="shared" si="60"/>
        <v>4.6460000000000008</v>
      </c>
      <c r="Y45" s="227">
        <f t="shared" si="60"/>
        <v>1.6659999999999968</v>
      </c>
      <c r="Z45" s="227">
        <f t="shared" si="60"/>
        <v>2.5579999999999998</v>
      </c>
      <c r="AA45" s="227">
        <f t="shared" si="60"/>
        <v>2.9720000000000013</v>
      </c>
      <c r="AB45" s="227">
        <f t="shared" si="60"/>
        <v>2.3569999999999993</v>
      </c>
      <c r="AC45" s="227">
        <f t="shared" si="60"/>
        <v>3.3419999999999987</v>
      </c>
      <c r="AD45" s="227">
        <f t="shared" si="60"/>
        <v>3.0590000000000046</v>
      </c>
      <c r="AE45" s="227">
        <f t="shared" si="60"/>
        <v>4.0329999999999941</v>
      </c>
      <c r="AF45" s="227">
        <f t="shared" si="60"/>
        <v>4.0780000000000101</v>
      </c>
      <c r="AG45" s="227">
        <f t="shared" si="60"/>
        <v>2.3569999999999993</v>
      </c>
      <c r="AH45" s="209">
        <v>2.5712999999999999</v>
      </c>
    </row>
    <row r="46" spans="1:34" ht="15.75" thickBot="1">
      <c r="A46" s="170">
        <v>15</v>
      </c>
      <c r="B46" s="102">
        <v>6</v>
      </c>
      <c r="C46" s="32" t="s">
        <v>218</v>
      </c>
      <c r="D46" s="12">
        <v>30.488</v>
      </c>
      <c r="E46" s="12">
        <v>30.693999999999999</v>
      </c>
      <c r="F46" s="12">
        <v>33.911000000000001</v>
      </c>
      <c r="G46" s="12">
        <v>36.485999999999997</v>
      </c>
      <c r="H46" s="12">
        <v>39.345999999999997</v>
      </c>
      <c r="I46" s="12">
        <v>42.177</v>
      </c>
      <c r="J46" s="12">
        <v>44.363</v>
      </c>
      <c r="K46" s="12">
        <v>46.658000000000001</v>
      </c>
      <c r="L46" s="12">
        <v>49.139000000000003</v>
      </c>
      <c r="M46" s="12">
        <v>51.570999999999998</v>
      </c>
      <c r="N46" s="12">
        <v>54.976999999999997</v>
      </c>
      <c r="O46" s="12">
        <v>57.997</v>
      </c>
      <c r="P46" s="12">
        <v>62.118000000000002</v>
      </c>
      <c r="Q46" s="10">
        <f t="shared" si="59"/>
        <v>31.630000000000003</v>
      </c>
      <c r="U46" s="212">
        <v>15</v>
      </c>
      <c r="V46" s="158">
        <f t="shared" si="60"/>
        <v>0.20599999999999952</v>
      </c>
      <c r="W46" s="158">
        <f t="shared" si="60"/>
        <v>3.2170000000000023</v>
      </c>
      <c r="X46" s="158">
        <f t="shared" si="60"/>
        <v>2.5749999999999957</v>
      </c>
      <c r="Y46" s="158">
        <f t="shared" si="60"/>
        <v>2.8599999999999994</v>
      </c>
      <c r="Z46" s="158">
        <f t="shared" si="60"/>
        <v>2.8310000000000031</v>
      </c>
      <c r="AA46" s="158">
        <f t="shared" si="60"/>
        <v>2.1859999999999999</v>
      </c>
      <c r="AB46" s="158">
        <f t="shared" si="60"/>
        <v>2.2950000000000017</v>
      </c>
      <c r="AC46" s="158">
        <f t="shared" si="60"/>
        <v>2.4810000000000016</v>
      </c>
      <c r="AD46" s="158">
        <f t="shared" si="60"/>
        <v>2.4319999999999951</v>
      </c>
      <c r="AE46" s="158">
        <f t="shared" si="60"/>
        <v>3.4059999999999988</v>
      </c>
      <c r="AF46" s="158">
        <f t="shared" si="60"/>
        <v>3.0200000000000031</v>
      </c>
      <c r="AG46" s="158">
        <f t="shared" si="60"/>
        <v>4.1210000000000022</v>
      </c>
      <c r="AH46" s="209">
        <v>0.96609999999999996</v>
      </c>
    </row>
    <row r="47" spans="1:34" ht="15.75" thickBot="1">
      <c r="A47" s="170">
        <v>11</v>
      </c>
      <c r="B47" s="102" t="s">
        <v>163</v>
      </c>
      <c r="C47" s="32" t="s">
        <v>219</v>
      </c>
      <c r="D47" s="12">
        <v>7.6</v>
      </c>
      <c r="E47" s="12">
        <v>7.9669999999999996</v>
      </c>
      <c r="F47" s="12">
        <v>8.2579999999999991</v>
      </c>
      <c r="G47" s="12">
        <v>8.4420000000000002</v>
      </c>
      <c r="H47" s="12">
        <v>8.8480000000000008</v>
      </c>
      <c r="I47" s="12">
        <v>9.0340000000000007</v>
      </c>
      <c r="J47" s="12">
        <v>9.1679999999999993</v>
      </c>
      <c r="K47" s="12">
        <v>9.391</v>
      </c>
      <c r="L47" s="12">
        <v>9.7650000000000006</v>
      </c>
      <c r="M47" s="12">
        <v>9.843</v>
      </c>
      <c r="N47" s="12">
        <v>9.9719999999999995</v>
      </c>
      <c r="O47" s="12">
        <v>10.06</v>
      </c>
      <c r="P47" s="12">
        <v>10.545999999999999</v>
      </c>
      <c r="Q47" s="10">
        <f t="shared" si="59"/>
        <v>2.9459999999999997</v>
      </c>
      <c r="U47" s="212">
        <v>11</v>
      </c>
      <c r="V47" s="158">
        <f t="shared" si="60"/>
        <v>0.36699999999999999</v>
      </c>
      <c r="W47" s="158">
        <f t="shared" si="60"/>
        <v>0.29099999999999948</v>
      </c>
      <c r="X47" s="158">
        <f t="shared" si="60"/>
        <v>0.18400000000000105</v>
      </c>
      <c r="Y47" s="158">
        <f t="shared" si="60"/>
        <v>0.40600000000000058</v>
      </c>
      <c r="Z47" s="158">
        <f t="shared" si="60"/>
        <v>0.18599999999999994</v>
      </c>
      <c r="AA47" s="158">
        <f t="shared" si="60"/>
        <v>0.13399999999999856</v>
      </c>
      <c r="AB47" s="158">
        <f t="shared" si="60"/>
        <v>0.22300000000000075</v>
      </c>
      <c r="AC47" s="158">
        <f t="shared" si="60"/>
        <v>0.37400000000000055</v>
      </c>
      <c r="AD47" s="158">
        <f t="shared" si="60"/>
        <v>7.7999999999999403E-2</v>
      </c>
      <c r="AE47" s="158">
        <f t="shared" si="60"/>
        <v>0.12899999999999956</v>
      </c>
      <c r="AF47" s="158">
        <f t="shared" si="60"/>
        <v>8.8000000000000966E-2</v>
      </c>
      <c r="AG47" s="158">
        <f t="shared" si="60"/>
        <v>0.48599999999999888</v>
      </c>
      <c r="AH47" s="209">
        <v>0.27939999999999998</v>
      </c>
    </row>
    <row r="48" spans="1:34" ht="15.75" thickBot="1">
      <c r="A48" s="170">
        <v>13</v>
      </c>
      <c r="B48" s="102">
        <v>8</v>
      </c>
      <c r="C48" s="32" t="s">
        <v>220</v>
      </c>
      <c r="D48" s="12">
        <v>23.832999999999998</v>
      </c>
      <c r="E48" s="12">
        <v>26.355</v>
      </c>
      <c r="F48" s="12">
        <v>27.928999999999998</v>
      </c>
      <c r="G48" s="12">
        <v>30.102</v>
      </c>
      <c r="H48" s="12">
        <v>32.317</v>
      </c>
      <c r="I48" s="12">
        <v>33.965000000000003</v>
      </c>
      <c r="J48" s="12">
        <v>34.223999999999997</v>
      </c>
      <c r="K48" s="12">
        <v>35.185000000000002</v>
      </c>
      <c r="L48" s="12">
        <v>36.420999999999999</v>
      </c>
      <c r="M48" s="12">
        <v>38.323</v>
      </c>
      <c r="N48" s="12">
        <v>40.811</v>
      </c>
      <c r="O48" s="12">
        <v>42.78</v>
      </c>
      <c r="P48" s="12">
        <v>43.02</v>
      </c>
      <c r="Q48" s="10">
        <f t="shared" si="59"/>
        <v>19.187000000000005</v>
      </c>
      <c r="U48" s="212">
        <v>13</v>
      </c>
      <c r="V48" s="158">
        <f t="shared" si="60"/>
        <v>2.522000000000002</v>
      </c>
      <c r="W48" s="158">
        <f t="shared" si="60"/>
        <v>1.5739999999999981</v>
      </c>
      <c r="X48" s="158">
        <f t="shared" si="60"/>
        <v>2.1730000000000018</v>
      </c>
      <c r="Y48" s="158">
        <f t="shared" si="60"/>
        <v>2.2149999999999999</v>
      </c>
      <c r="Z48" s="158">
        <f t="shared" si="60"/>
        <v>1.6480000000000032</v>
      </c>
      <c r="AA48" s="158">
        <f t="shared" si="60"/>
        <v>0.25899999999999324</v>
      </c>
      <c r="AB48" s="158">
        <f t="shared" si="60"/>
        <v>0.96100000000000563</v>
      </c>
      <c r="AC48" s="158">
        <f t="shared" si="60"/>
        <v>1.2359999999999971</v>
      </c>
      <c r="AD48" s="158">
        <f t="shared" si="60"/>
        <v>1.902000000000001</v>
      </c>
      <c r="AE48" s="158">
        <f t="shared" si="60"/>
        <v>2.4879999999999995</v>
      </c>
      <c r="AF48" s="158">
        <f t="shared" si="60"/>
        <v>1.9690000000000012</v>
      </c>
      <c r="AG48" s="158">
        <f t="shared" si="60"/>
        <v>0.24000000000000199</v>
      </c>
      <c r="AH48" s="209">
        <v>1.3252999999999999</v>
      </c>
    </row>
    <row r="49" spans="1:34">
      <c r="A49" s="170">
        <v>12</v>
      </c>
      <c r="B49" s="102" t="s">
        <v>164</v>
      </c>
      <c r="C49" s="32" t="s">
        <v>221</v>
      </c>
      <c r="D49" s="12">
        <v>22.722000000000001</v>
      </c>
      <c r="E49" s="12">
        <v>24.143999999999998</v>
      </c>
      <c r="F49" s="12">
        <v>25.367000000000001</v>
      </c>
      <c r="G49" s="12">
        <v>26.602</v>
      </c>
      <c r="H49" s="12">
        <v>27.882000000000001</v>
      </c>
      <c r="I49" s="12">
        <v>29.216000000000001</v>
      </c>
      <c r="J49" s="12">
        <v>30.225000000000001</v>
      </c>
      <c r="K49" s="12">
        <v>31.271999999999998</v>
      </c>
      <c r="L49" s="12">
        <v>32.409999999999997</v>
      </c>
      <c r="M49" s="12">
        <v>33.774000000000001</v>
      </c>
      <c r="N49" s="12">
        <v>35.32</v>
      </c>
      <c r="O49" s="12">
        <v>36.896999999999998</v>
      </c>
      <c r="P49" s="12">
        <v>38.506</v>
      </c>
      <c r="Q49" s="10">
        <f t="shared" si="59"/>
        <v>15.783999999999999</v>
      </c>
      <c r="U49" s="212">
        <v>12</v>
      </c>
      <c r="V49" s="158">
        <f t="shared" si="60"/>
        <v>1.421999999999997</v>
      </c>
      <c r="W49" s="158">
        <f t="shared" si="60"/>
        <v>1.2230000000000025</v>
      </c>
      <c r="X49" s="158">
        <f t="shared" si="60"/>
        <v>1.2349999999999994</v>
      </c>
      <c r="Y49" s="158">
        <f t="shared" si="60"/>
        <v>1.2800000000000011</v>
      </c>
      <c r="Z49" s="158">
        <f t="shared" si="60"/>
        <v>1.3339999999999996</v>
      </c>
      <c r="AA49" s="158">
        <f t="shared" si="60"/>
        <v>1.0090000000000003</v>
      </c>
      <c r="AB49" s="158">
        <f t="shared" si="60"/>
        <v>1.046999999999997</v>
      </c>
      <c r="AC49" s="158">
        <f t="shared" si="60"/>
        <v>1.1379999999999981</v>
      </c>
      <c r="AD49" s="158">
        <f t="shared" si="60"/>
        <v>1.3640000000000043</v>
      </c>
      <c r="AE49" s="158">
        <f t="shared" si="60"/>
        <v>1.5459999999999994</v>
      </c>
      <c r="AF49" s="158">
        <f t="shared" si="60"/>
        <v>1.5769999999999982</v>
      </c>
      <c r="AG49" s="158">
        <f t="shared" si="60"/>
        <v>1.6090000000000018</v>
      </c>
      <c r="AH49" s="209">
        <v>1.6964999999999999</v>
      </c>
    </row>
    <row r="50" spans="1:34">
      <c r="A50" s="30"/>
      <c r="B50" s="30"/>
      <c r="L50" s="10"/>
      <c r="M50" s="10"/>
      <c r="N50" s="10"/>
    </row>
    <row r="52" spans="1:34">
      <c r="D52" s="30"/>
      <c r="E52" s="190" t="s">
        <v>309</v>
      </c>
      <c r="F52" s="30"/>
      <c r="G52" s="191"/>
      <c r="H52" s="30"/>
      <c r="V52" t="s">
        <v>295</v>
      </c>
    </row>
    <row r="53" spans="1:34" ht="15.75" thickBot="1">
      <c r="C53" s="292">
        <v>2</v>
      </c>
      <c r="D53" s="290" t="s">
        <v>305</v>
      </c>
      <c r="E53" s="291">
        <v>43950</v>
      </c>
      <c r="F53" s="103" t="s">
        <v>300</v>
      </c>
      <c r="G53" s="221"/>
      <c r="H53" s="221"/>
      <c r="T53" s="1" t="s">
        <v>286</v>
      </c>
      <c r="U53" s="1" t="s">
        <v>296</v>
      </c>
      <c r="V53" s="5" t="s">
        <v>4</v>
      </c>
      <c r="W53" s="5" t="s">
        <v>5</v>
      </c>
      <c r="X53" s="5" t="s">
        <v>6</v>
      </c>
      <c r="Y53" s="5" t="s">
        <v>7</v>
      </c>
      <c r="Z53" s="5" t="s">
        <v>8</v>
      </c>
      <c r="AA53" s="5" t="s">
        <v>9</v>
      </c>
      <c r="AB53" s="5" t="s">
        <v>10</v>
      </c>
      <c r="AC53" s="5" t="s">
        <v>11</v>
      </c>
      <c r="AD53" s="5" t="s">
        <v>12</v>
      </c>
      <c r="AE53" s="162" t="s">
        <v>13</v>
      </c>
      <c r="AF53" s="162" t="s">
        <v>14</v>
      </c>
      <c r="AG53" s="162" t="s">
        <v>3</v>
      </c>
    </row>
    <row r="54" spans="1:34">
      <c r="C54" s="292"/>
      <c r="D54" s="290"/>
      <c r="E54" s="291"/>
      <c r="F54" s="103" t="s">
        <v>301</v>
      </c>
      <c r="G54" s="221"/>
      <c r="H54" s="221"/>
      <c r="T54" s="297">
        <v>3</v>
      </c>
      <c r="U54" s="213" t="s">
        <v>297</v>
      </c>
      <c r="V54" s="227">
        <f t="shared" ref="V54:W54" si="61">V33</f>
        <v>8.2469999999999999</v>
      </c>
      <c r="W54" s="227">
        <f t="shared" si="61"/>
        <v>7.9549999999999983</v>
      </c>
      <c r="X54" s="227">
        <f t="shared" ref="X54:Y54" si="62">X33</f>
        <v>9.1540000000000106</v>
      </c>
      <c r="Y54" s="227">
        <f t="shared" si="62"/>
        <v>8.2679999999999865</v>
      </c>
      <c r="Z54" s="227">
        <f t="shared" ref="Z54:AA54" si="63">Z33</f>
        <v>9.6090000000000089</v>
      </c>
      <c r="AA54" s="227">
        <f t="shared" si="63"/>
        <v>7.7349999999999852</v>
      </c>
      <c r="AB54" s="227">
        <f t="shared" ref="AB54:AC54" si="64">AB33</f>
        <v>5.8870000000000005</v>
      </c>
      <c r="AC54" s="227">
        <f t="shared" si="64"/>
        <v>7.8460000000000036</v>
      </c>
      <c r="AD54" s="227">
        <f t="shared" ref="AD54:AE54" si="65">AD33</f>
        <v>6.561000000000007</v>
      </c>
      <c r="AE54" s="227">
        <f t="shared" si="65"/>
        <v>8.5720000000000027</v>
      </c>
      <c r="AF54" s="227">
        <f t="shared" ref="AF54:AG54" si="66">AF33</f>
        <v>7.3429999999999893</v>
      </c>
      <c r="AG54" s="227">
        <f t="shared" si="66"/>
        <v>7.6299999999999955</v>
      </c>
      <c r="AH54" s="209">
        <v>7.9722999999999971</v>
      </c>
    </row>
    <row r="55" spans="1:34">
      <c r="C55" s="292">
        <v>3</v>
      </c>
      <c r="D55" s="290" t="s">
        <v>303</v>
      </c>
      <c r="E55" s="291">
        <v>43950</v>
      </c>
      <c r="F55" s="103" t="s">
        <v>300</v>
      </c>
      <c r="G55" s="221"/>
      <c r="H55" s="221"/>
      <c r="T55" s="298"/>
      <c r="U55" s="214" t="s">
        <v>291</v>
      </c>
      <c r="V55" s="228">
        <f t="shared" ref="V55:W55" si="67">V41</f>
        <v>6.7289999999999992</v>
      </c>
      <c r="W55" s="228">
        <f t="shared" si="67"/>
        <v>7.0619999999999976</v>
      </c>
      <c r="X55" s="228">
        <f t="shared" ref="X55:Y55" si="68">X41</f>
        <v>7.1929999999999978</v>
      </c>
      <c r="Y55" s="228">
        <f t="shared" si="68"/>
        <v>6.195999999999998</v>
      </c>
      <c r="Z55" s="228">
        <f t="shared" ref="Z55:AA55" si="69">Z41</f>
        <v>6.8850000000000051</v>
      </c>
      <c r="AA55" s="228">
        <f t="shared" si="69"/>
        <v>4.6430000000000007</v>
      </c>
      <c r="AB55" s="228">
        <f t="shared" ref="AB55:AC55" si="70">AB41</f>
        <v>2.9410000000000025</v>
      </c>
      <c r="AC55" s="228">
        <f t="shared" si="70"/>
        <v>3.9860000000000042</v>
      </c>
      <c r="AD55" s="228">
        <f t="shared" ref="AD55:AE55" si="71">AD41</f>
        <v>4.2419999999999902</v>
      </c>
      <c r="AE55" s="228">
        <f t="shared" si="71"/>
        <v>5.1509999999999962</v>
      </c>
      <c r="AF55" s="228">
        <f t="shared" ref="AF55:AG55" si="72">AF41</f>
        <v>5.5590000000000117</v>
      </c>
      <c r="AG55" s="228">
        <f t="shared" si="72"/>
        <v>5.4159999999999968</v>
      </c>
      <c r="AH55" s="209">
        <v>4.1811000000000025</v>
      </c>
    </row>
    <row r="56" spans="1:34">
      <c r="C56" s="292"/>
      <c r="D56" s="290"/>
      <c r="E56" s="291"/>
      <c r="F56" s="103" t="s">
        <v>301</v>
      </c>
      <c r="G56" s="221"/>
      <c r="H56" s="221"/>
      <c r="T56" s="297">
        <v>6</v>
      </c>
      <c r="U56" s="213" t="s">
        <v>297</v>
      </c>
      <c r="V56" s="227">
        <f t="shared" ref="V56:W56" si="73">V34</f>
        <v>4.5219999999999985</v>
      </c>
      <c r="W56" s="227">
        <f t="shared" si="73"/>
        <v>4.4170000000000016</v>
      </c>
      <c r="X56" s="227">
        <f t="shared" ref="X56:Y56" si="74">X34</f>
        <v>5.7659999999999911</v>
      </c>
      <c r="Y56" s="227">
        <f t="shared" si="74"/>
        <v>4.8970000000000056</v>
      </c>
      <c r="Z56" s="227">
        <f t="shared" ref="Z56:AA56" si="75">Z34</f>
        <v>6.1069999999999993</v>
      </c>
      <c r="AA56" s="227">
        <f t="shared" si="75"/>
        <v>5.0580000000000069</v>
      </c>
      <c r="AB56" s="227">
        <f t="shared" ref="AB56:AC56" si="76">AB34</f>
        <v>4.5879999999999939</v>
      </c>
      <c r="AC56" s="227">
        <f t="shared" si="76"/>
        <v>0.8370000000000033</v>
      </c>
      <c r="AD56" s="227">
        <f t="shared" ref="AD56:AE56" si="77">AD34</f>
        <v>1.0079999999999956</v>
      </c>
      <c r="AE56" s="227">
        <f t="shared" si="77"/>
        <v>1.3170000000000073</v>
      </c>
      <c r="AF56" s="227">
        <f t="shared" ref="AF56:AG56" si="78">AF34</f>
        <v>1.0079999999999956</v>
      </c>
      <c r="AG56" s="227">
        <f t="shared" si="78"/>
        <v>1.6919999999999931</v>
      </c>
      <c r="AH56" s="209">
        <v>2.9772999999999987</v>
      </c>
    </row>
    <row r="57" spans="1:34">
      <c r="C57" s="292">
        <v>3</v>
      </c>
      <c r="D57" s="290" t="s">
        <v>304</v>
      </c>
      <c r="E57" s="291">
        <v>43950</v>
      </c>
      <c r="F57" s="103" t="s">
        <v>300</v>
      </c>
      <c r="G57" s="221"/>
      <c r="H57" s="221"/>
      <c r="T57" s="298"/>
      <c r="U57" s="214" t="s">
        <v>291</v>
      </c>
      <c r="V57" s="228">
        <f t="shared" ref="V57:W57" si="79">V43</f>
        <v>4.5160000000000053</v>
      </c>
      <c r="W57" s="228">
        <f t="shared" si="79"/>
        <v>4.1829999999999998</v>
      </c>
      <c r="X57" s="228">
        <f t="shared" ref="X57:Y57" si="80">X43</f>
        <v>4.3729999999999976</v>
      </c>
      <c r="Y57" s="228">
        <f t="shared" si="80"/>
        <v>4.0590000000000046</v>
      </c>
      <c r="Z57" s="228">
        <f t="shared" ref="Z57:AA57" si="81">Z43</f>
        <v>4.4200000000000017</v>
      </c>
      <c r="AA57" s="228">
        <f t="shared" si="81"/>
        <v>3.1139999999999901</v>
      </c>
      <c r="AB57" s="228">
        <f t="shared" ref="AB57:AC57" si="82">AB43</f>
        <v>2.8130000000000024</v>
      </c>
      <c r="AC57" s="228">
        <f t="shared" si="82"/>
        <v>0.26200000000000045</v>
      </c>
      <c r="AD57" s="228">
        <f t="shared" ref="AD57:AE57" si="83">AD43</f>
        <v>0.59300000000000352</v>
      </c>
      <c r="AE57" s="228">
        <f t="shared" si="83"/>
        <v>0.89499999999999602</v>
      </c>
      <c r="AF57" s="228">
        <f t="shared" ref="AF57:AG57" si="84">AF43</f>
        <v>0.89400000000000546</v>
      </c>
      <c r="AG57" s="228">
        <f t="shared" si="84"/>
        <v>1.472999999999999</v>
      </c>
      <c r="AH57" s="209">
        <v>1.5876000000000001</v>
      </c>
    </row>
    <row r="58" spans="1:34">
      <c r="C58" s="292"/>
      <c r="D58" s="290"/>
      <c r="E58" s="291"/>
      <c r="F58" s="103" t="s">
        <v>301</v>
      </c>
      <c r="G58" s="221"/>
      <c r="H58" s="221"/>
      <c r="T58" s="297">
        <v>8</v>
      </c>
      <c r="U58" s="213" t="s">
        <v>297</v>
      </c>
      <c r="V58" s="227">
        <f t="shared" ref="V58:W58" si="85">V35</f>
        <v>8.5160000000000053</v>
      </c>
      <c r="W58" s="227">
        <f t="shared" si="85"/>
        <v>7.8229999999999933</v>
      </c>
      <c r="X58" s="227">
        <f t="shared" ref="X58:Y58" si="86">X35</f>
        <v>8.4660000000000082</v>
      </c>
      <c r="Y58" s="227">
        <f t="shared" si="86"/>
        <v>4.7979999999999876</v>
      </c>
      <c r="Z58" s="227">
        <f t="shared" ref="Z58:AA58" si="87">Z35</f>
        <v>5.7839999999999918</v>
      </c>
      <c r="AA58" s="227">
        <f t="shared" si="87"/>
        <v>6.5470000000000255</v>
      </c>
      <c r="AB58" s="227">
        <f t="shared" ref="AB58:AC58" si="88">AB35</f>
        <v>6.157999999999987</v>
      </c>
      <c r="AC58" s="227">
        <f t="shared" si="88"/>
        <v>7.9710000000000036</v>
      </c>
      <c r="AD58" s="227">
        <f t="shared" ref="AD58:AE58" si="89">AD35</f>
        <v>6.2529999999999859</v>
      </c>
      <c r="AE58" s="227">
        <f t="shared" si="89"/>
        <v>7.2820000000000107</v>
      </c>
      <c r="AF58" s="227">
        <f t="shared" ref="AF58:AG58" si="90">AF35</f>
        <v>5.6289999999999907</v>
      </c>
      <c r="AG58" s="227">
        <f t="shared" si="90"/>
        <v>4.9279999999999973</v>
      </c>
      <c r="AH58" s="209">
        <v>5.4083999999999985</v>
      </c>
    </row>
    <row r="59" spans="1:34">
      <c r="C59" s="292">
        <v>9</v>
      </c>
      <c r="D59" s="290" t="s">
        <v>307</v>
      </c>
      <c r="E59" s="291">
        <v>43950</v>
      </c>
      <c r="F59" s="103" t="s">
        <v>300</v>
      </c>
      <c r="G59" s="221"/>
      <c r="H59" s="221"/>
      <c r="T59" s="298"/>
      <c r="U59" s="214" t="s">
        <v>291</v>
      </c>
      <c r="V59" s="228">
        <f t="shared" ref="V59:W59" si="91">V45</f>
        <v>4.5760000000000005</v>
      </c>
      <c r="W59" s="228">
        <f t="shared" si="91"/>
        <v>4.8230000000000004</v>
      </c>
      <c r="X59" s="228">
        <f t="shared" ref="X59:Y59" si="92">X45</f>
        <v>4.6460000000000008</v>
      </c>
      <c r="Y59" s="228">
        <f t="shared" si="92"/>
        <v>1.6659999999999968</v>
      </c>
      <c r="Z59" s="228">
        <f t="shared" ref="Z59:AA59" si="93">Z45</f>
        <v>2.5579999999999998</v>
      </c>
      <c r="AA59" s="228">
        <f t="shared" si="93"/>
        <v>2.9720000000000013</v>
      </c>
      <c r="AB59" s="228">
        <f t="shared" ref="AB59:AC59" si="94">AB45</f>
        <v>2.3569999999999993</v>
      </c>
      <c r="AC59" s="228">
        <f t="shared" si="94"/>
        <v>3.3419999999999987</v>
      </c>
      <c r="AD59" s="228">
        <f t="shared" ref="AD59:AE59" si="95">AD45</f>
        <v>3.0590000000000046</v>
      </c>
      <c r="AE59" s="228">
        <f t="shared" si="95"/>
        <v>4.0329999999999941</v>
      </c>
      <c r="AF59" s="228">
        <f t="shared" ref="AF59:AG59" si="96">AF45</f>
        <v>4.0780000000000101</v>
      </c>
      <c r="AG59" s="228">
        <f t="shared" si="96"/>
        <v>2.3569999999999993</v>
      </c>
      <c r="AH59" s="209">
        <v>2.5712999999999999</v>
      </c>
    </row>
    <row r="60" spans="1:34">
      <c r="C60" s="292"/>
      <c r="D60" s="290"/>
      <c r="E60" s="291"/>
      <c r="F60" s="103" t="s">
        <v>301</v>
      </c>
      <c r="G60" s="221"/>
      <c r="H60" s="221"/>
      <c r="T60" s="297">
        <v>11</v>
      </c>
      <c r="U60" s="213" t="s">
        <v>297</v>
      </c>
      <c r="V60" s="227">
        <f t="shared" ref="V60:W60" si="97">V36</f>
        <v>0.59699999999999953</v>
      </c>
      <c r="W60" s="227">
        <f t="shared" si="97"/>
        <v>0.47300000000000075</v>
      </c>
      <c r="X60" s="227">
        <f t="shared" ref="X60:Y60" si="98">X36</f>
        <v>0.21799999999999997</v>
      </c>
      <c r="Y60" s="227">
        <f t="shared" si="98"/>
        <v>0.55499999999999972</v>
      </c>
      <c r="Z60" s="227">
        <f t="shared" ref="Z60:AA60" si="99">Z36</f>
        <v>0.35299999999999976</v>
      </c>
      <c r="AA60" s="227">
        <f t="shared" si="99"/>
        <v>0.60899999999999999</v>
      </c>
      <c r="AB60" s="227">
        <f t="shared" ref="AB60:AC60" si="100">AB36</f>
        <v>0.49699999999999989</v>
      </c>
      <c r="AC60" s="227">
        <f t="shared" si="100"/>
        <v>0.82900000000000063</v>
      </c>
      <c r="AD60" s="227">
        <f t="shared" ref="AD60:AE60" si="101">AD36</f>
        <v>0.18799999999999883</v>
      </c>
      <c r="AE60" s="227">
        <f t="shared" si="101"/>
        <v>0.27000000000000135</v>
      </c>
      <c r="AF60" s="227">
        <f t="shared" ref="AF60:AG60" si="102">AF36</f>
        <v>0.17799999999999905</v>
      </c>
      <c r="AG60" s="227">
        <f t="shared" si="102"/>
        <v>0.78700000000000081</v>
      </c>
      <c r="AH60" s="209">
        <v>0.4723</v>
      </c>
    </row>
    <row r="61" spans="1:34">
      <c r="C61" s="292">
        <v>8</v>
      </c>
      <c r="D61" s="290" t="s">
        <v>306</v>
      </c>
      <c r="E61" s="291">
        <v>43950</v>
      </c>
      <c r="F61" s="103" t="s">
        <v>300</v>
      </c>
      <c r="G61" s="221"/>
      <c r="H61" s="221"/>
      <c r="T61" s="298"/>
      <c r="U61" s="214" t="s">
        <v>291</v>
      </c>
      <c r="V61" s="215">
        <f t="shared" ref="V61:W61" si="103">V47</f>
        <v>0.36699999999999999</v>
      </c>
      <c r="W61" s="215">
        <f t="shared" si="103"/>
        <v>0.29099999999999948</v>
      </c>
      <c r="X61" s="215">
        <f t="shared" ref="X61:Y61" si="104">X47</f>
        <v>0.18400000000000105</v>
      </c>
      <c r="Y61" s="215">
        <f t="shared" si="104"/>
        <v>0.40600000000000058</v>
      </c>
      <c r="Z61" s="215">
        <f t="shared" ref="Z61:AA61" si="105">Z47</f>
        <v>0.18599999999999994</v>
      </c>
      <c r="AA61" s="215">
        <f t="shared" si="105"/>
        <v>0.13399999999999856</v>
      </c>
      <c r="AB61" s="215">
        <f t="shared" ref="AB61:AC61" si="106">AB47</f>
        <v>0.22300000000000075</v>
      </c>
      <c r="AC61" s="215">
        <f t="shared" si="106"/>
        <v>0.37400000000000055</v>
      </c>
      <c r="AD61" s="215">
        <f t="shared" ref="AD61:AE61" si="107">AD47</f>
        <v>7.7999999999999403E-2</v>
      </c>
      <c r="AE61" s="215">
        <f t="shared" si="107"/>
        <v>0.12899999999999956</v>
      </c>
      <c r="AF61" s="215">
        <f t="shared" ref="AF61:AG61" si="108">AF47</f>
        <v>8.8000000000000966E-2</v>
      </c>
      <c r="AG61" s="215">
        <f t="shared" si="108"/>
        <v>0.48599999999999888</v>
      </c>
      <c r="AH61" s="209">
        <v>0.27939999999999998</v>
      </c>
    </row>
    <row r="62" spans="1:34">
      <c r="C62" s="292"/>
      <c r="D62" s="290"/>
      <c r="E62" s="291"/>
      <c r="F62" s="103" t="s">
        <v>301</v>
      </c>
      <c r="G62" s="221"/>
      <c r="H62" s="221"/>
      <c r="T62" s="297">
        <v>12</v>
      </c>
      <c r="U62" s="213" t="s">
        <v>297</v>
      </c>
      <c r="V62" s="158">
        <f t="shared" ref="V62:W62" si="109">V37</f>
        <v>1.5499999999999972</v>
      </c>
      <c r="W62" s="158">
        <f t="shared" si="109"/>
        <v>1.402000000000001</v>
      </c>
      <c r="X62" s="158">
        <f t="shared" ref="X62:Y62" si="110">X37</f>
        <v>1.5069999999999979</v>
      </c>
      <c r="Y62" s="158">
        <f t="shared" si="110"/>
        <v>2.2850000000000037</v>
      </c>
      <c r="Z62" s="158">
        <f t="shared" ref="Z62:AA62" si="111">Z37</f>
        <v>2.1370000000000005</v>
      </c>
      <c r="AA62" s="158">
        <f t="shared" si="111"/>
        <v>1.8230000000000004</v>
      </c>
      <c r="AB62" s="158">
        <f t="shared" ref="AB62:AC62" si="112">AB37</f>
        <v>1.7729999999999961</v>
      </c>
      <c r="AC62" s="158">
        <f t="shared" si="112"/>
        <v>1.7210000000000036</v>
      </c>
      <c r="AD62" s="158">
        <f t="shared" ref="AD62:AE62" si="113">AD37</f>
        <v>1.6209999999999951</v>
      </c>
      <c r="AE62" s="158">
        <f t="shared" si="113"/>
        <v>1.7710000000000008</v>
      </c>
      <c r="AF62" s="158">
        <f t="shared" ref="AF62:AG62" si="114">AF37</f>
        <v>1.5140000000000029</v>
      </c>
      <c r="AG62" s="158">
        <f t="shared" si="114"/>
        <v>1.6499999999999986</v>
      </c>
      <c r="AH62" s="209">
        <v>2.143399999999998</v>
      </c>
    </row>
    <row r="63" spans="1:34">
      <c r="C63" s="292">
        <v>15</v>
      </c>
      <c r="D63" s="290" t="s">
        <v>302</v>
      </c>
      <c r="E63" s="291">
        <v>43950</v>
      </c>
      <c r="F63" s="103" t="s">
        <v>300</v>
      </c>
      <c r="G63" s="221"/>
      <c r="H63" s="221"/>
      <c r="T63" s="298"/>
      <c r="U63" s="214" t="s">
        <v>291</v>
      </c>
      <c r="V63" s="215">
        <f t="shared" ref="V63:W63" si="115">V49</f>
        <v>1.421999999999997</v>
      </c>
      <c r="W63" s="215">
        <f t="shared" si="115"/>
        <v>1.2230000000000025</v>
      </c>
      <c r="X63" s="215">
        <f t="shared" ref="X63:Y63" si="116">X49</f>
        <v>1.2349999999999994</v>
      </c>
      <c r="Y63" s="215">
        <f t="shared" si="116"/>
        <v>1.2800000000000011</v>
      </c>
      <c r="Z63" s="215">
        <f t="shared" ref="Z63:AA63" si="117">Z49</f>
        <v>1.3339999999999996</v>
      </c>
      <c r="AA63" s="215">
        <f t="shared" si="117"/>
        <v>1.0090000000000003</v>
      </c>
      <c r="AB63" s="215">
        <f t="shared" ref="AB63:AC63" si="118">AB49</f>
        <v>1.046999999999997</v>
      </c>
      <c r="AC63" s="215">
        <f t="shared" si="118"/>
        <v>1.1379999999999981</v>
      </c>
      <c r="AD63" s="215">
        <f t="shared" ref="AD63:AE63" si="119">AD49</f>
        <v>1.3640000000000043</v>
      </c>
      <c r="AE63" s="215">
        <f t="shared" si="119"/>
        <v>1.5459999999999994</v>
      </c>
      <c r="AF63" s="215">
        <f t="shared" ref="AF63:AG63" si="120">AF49</f>
        <v>1.5769999999999982</v>
      </c>
      <c r="AG63" s="215">
        <f t="shared" si="120"/>
        <v>1.6090000000000018</v>
      </c>
      <c r="AH63" s="209">
        <v>1.6964999999999999</v>
      </c>
    </row>
    <row r="64" spans="1:34">
      <c r="C64" s="292"/>
      <c r="D64" s="290"/>
      <c r="E64" s="291"/>
      <c r="F64" s="103" t="s">
        <v>301</v>
      </c>
      <c r="G64" s="221"/>
      <c r="H64" s="221"/>
    </row>
    <row r="65" spans="3:9">
      <c r="C65" s="292">
        <v>11</v>
      </c>
      <c r="D65" s="290" t="s">
        <v>308</v>
      </c>
      <c r="E65" s="291">
        <v>43950</v>
      </c>
      <c r="F65" s="103" t="s">
        <v>300</v>
      </c>
      <c r="G65" s="221"/>
      <c r="H65" s="221"/>
    </row>
    <row r="66" spans="3:9">
      <c r="C66" s="292"/>
      <c r="D66" s="290"/>
      <c r="E66" s="291"/>
      <c r="F66" s="103" t="s">
        <v>301</v>
      </c>
      <c r="G66" s="221"/>
      <c r="H66" s="221"/>
    </row>
    <row r="68" spans="3:9">
      <c r="E68" t="s">
        <v>317</v>
      </c>
    </row>
    <row r="69" spans="3:9">
      <c r="E69" s="291">
        <v>43956</v>
      </c>
      <c r="F69" s="103" t="s">
        <v>300</v>
      </c>
      <c r="G69" s="299"/>
      <c r="H69" s="299"/>
      <c r="I69" s="155"/>
    </row>
    <row r="70" spans="3:9">
      <c r="E70" s="291"/>
      <c r="F70" s="103" t="s">
        <v>301</v>
      </c>
      <c r="G70" s="299"/>
      <c r="H70" s="299"/>
      <c r="I70" s="155"/>
    </row>
  </sheetData>
  <sheetProtection selectLockedCells="1" selectUnlockedCells="1"/>
  <mergeCells count="44">
    <mergeCell ref="G69:H69"/>
    <mergeCell ref="G70:H70"/>
    <mergeCell ref="E69:E70"/>
    <mergeCell ref="D65:D66"/>
    <mergeCell ref="E65:E66"/>
    <mergeCell ref="D59:D60"/>
    <mergeCell ref="E59:E60"/>
    <mergeCell ref="D61:D62"/>
    <mergeCell ref="E61:E62"/>
    <mergeCell ref="D63:D64"/>
    <mergeCell ref="E63:E64"/>
    <mergeCell ref="D53:D54"/>
    <mergeCell ref="E53:E54"/>
    <mergeCell ref="D55:D56"/>
    <mergeCell ref="E55:E56"/>
    <mergeCell ref="D57:D58"/>
    <mergeCell ref="E57:E58"/>
    <mergeCell ref="T54:T55"/>
    <mergeCell ref="T56:T57"/>
    <mergeCell ref="T58:T59"/>
    <mergeCell ref="T60:T61"/>
    <mergeCell ref="T62:T63"/>
    <mergeCell ref="A4:A5"/>
    <mergeCell ref="B4:B5"/>
    <mergeCell ref="B6:B7"/>
    <mergeCell ref="B8:B9"/>
    <mergeCell ref="A10:A11"/>
    <mergeCell ref="B10:B11"/>
    <mergeCell ref="A22:A23"/>
    <mergeCell ref="B22:B23"/>
    <mergeCell ref="B12:B13"/>
    <mergeCell ref="B14:B15"/>
    <mergeCell ref="A16:A17"/>
    <mergeCell ref="B16:B17"/>
    <mergeCell ref="B18:B19"/>
    <mergeCell ref="A20:A21"/>
    <mergeCell ref="B20:B21"/>
    <mergeCell ref="C63:C64"/>
    <mergeCell ref="C65:C66"/>
    <mergeCell ref="C53:C54"/>
    <mergeCell ref="C55:C56"/>
    <mergeCell ref="C57:C58"/>
    <mergeCell ref="C59:C60"/>
    <mergeCell ref="C61:C62"/>
  </mergeCells>
  <conditionalFormatting sqref="I4">
    <cfRule type="cellIs" dxfId="4300" priority="110" stopIfTrue="1" operator="lessThan">
      <formula>'1851'!$H$4</formula>
    </cfRule>
    <cfRule type="cellIs" dxfId="4299" priority="111" stopIfTrue="1" operator="equal">
      <formula>'1851'!$H$4</formula>
    </cfRule>
  </conditionalFormatting>
  <conditionalFormatting sqref="H7">
    <cfRule type="cellIs" dxfId="4298" priority="112" stopIfTrue="1" operator="equal">
      <formula>'1851'!$G$7</formula>
    </cfRule>
    <cfRule type="cellIs" dxfId="4297" priority="113" stopIfTrue="1" operator="lessThan">
      <formula>'1851'!$G$7</formula>
    </cfRule>
  </conditionalFormatting>
  <conditionalFormatting sqref="I5">
    <cfRule type="cellIs" dxfId="4296" priority="114" stopIfTrue="1" operator="equal">
      <formula>'1851'!$H$5</formula>
    </cfRule>
    <cfRule type="cellIs" dxfId="4295" priority="115" stopIfTrue="1" operator="lessThan">
      <formula>'1851'!$H$5</formula>
    </cfRule>
  </conditionalFormatting>
  <conditionalFormatting sqref="J5">
    <cfRule type="cellIs" dxfId="4294" priority="116" stopIfTrue="1" operator="equal">
      <formula>'1851'!$I$5</formula>
    </cfRule>
    <cfRule type="cellIs" dxfId="4293" priority="117" stopIfTrue="1" operator="lessThan">
      <formula>'1851'!$I$5</formula>
    </cfRule>
  </conditionalFormatting>
  <conditionalFormatting sqref="K5">
    <cfRule type="cellIs" dxfId="4292" priority="118" stopIfTrue="1" operator="equal">
      <formula>'1851'!$J$5</formula>
    </cfRule>
    <cfRule type="cellIs" dxfId="4291" priority="119" stopIfTrue="1" operator="lessThan">
      <formula>'1851'!$J$5</formula>
    </cfRule>
  </conditionalFormatting>
  <conditionalFormatting sqref="G4">
    <cfRule type="cellIs" dxfId="4290" priority="120" stopIfTrue="1" operator="equal">
      <formula>'1851'!$F$4</formula>
    </cfRule>
    <cfRule type="cellIs" dxfId="4289" priority="121" stopIfTrue="1" operator="lessThan">
      <formula>'1851'!$F$4</formula>
    </cfRule>
  </conditionalFormatting>
  <conditionalFormatting sqref="E4">
    <cfRule type="cellIs" dxfId="4288" priority="122" stopIfTrue="1" operator="lessThan">
      <formula>'1851'!$D$4</formula>
    </cfRule>
    <cfRule type="cellIs" dxfId="4287" priority="123" stopIfTrue="1" operator="equal">
      <formula>'1851'!$D$4</formula>
    </cfRule>
  </conditionalFormatting>
  <conditionalFormatting sqref="F4">
    <cfRule type="cellIs" dxfId="4286" priority="124" stopIfTrue="1" operator="equal">
      <formula>'1851'!$E$4</formula>
    </cfRule>
    <cfRule type="cellIs" dxfId="4285" priority="125" stopIfTrue="1" operator="lessThan">
      <formula>'1851'!$E$4</formula>
    </cfRule>
  </conditionalFormatting>
  <conditionalFormatting sqref="E5">
    <cfRule type="cellIs" dxfId="4284" priority="126" stopIfTrue="1" operator="equal">
      <formula>'1851'!$D$5</formula>
    </cfRule>
    <cfRule type="cellIs" dxfId="4283" priority="127" stopIfTrue="1" operator="lessThan">
      <formula>'1851'!$D$5</formula>
    </cfRule>
  </conditionalFormatting>
  <conditionalFormatting sqref="G5">
    <cfRule type="cellIs" dxfId="4282" priority="128" stopIfTrue="1" operator="equal">
      <formula>'1851'!$F$5</formula>
    </cfRule>
    <cfRule type="cellIs" dxfId="4281" priority="129" stopIfTrue="1" operator="lessThan">
      <formula>'1851'!$F$5</formula>
    </cfRule>
  </conditionalFormatting>
  <conditionalFormatting sqref="J4">
    <cfRule type="cellIs" dxfId="4280" priority="130" stopIfTrue="1" operator="equal">
      <formula>'1851'!$I$4</formula>
    </cfRule>
  </conditionalFormatting>
  <conditionalFormatting sqref="K4">
    <cfRule type="cellIs" dxfId="4279" priority="131" stopIfTrue="1" operator="lessThan">
      <formula>'1851'!$J$4</formula>
    </cfRule>
    <cfRule type="cellIs" dxfId="4278" priority="132" stopIfTrue="1" operator="equal">
      <formula>'1851'!$J$4</formula>
    </cfRule>
  </conditionalFormatting>
  <conditionalFormatting sqref="E6">
    <cfRule type="cellIs" dxfId="4277" priority="133" stopIfTrue="1" operator="equal">
      <formula>'1851'!$D$6</formula>
    </cfRule>
    <cfRule type="cellIs" dxfId="4276" priority="134" stopIfTrue="1" operator="lessThan">
      <formula>'1851'!$D$6</formula>
    </cfRule>
  </conditionalFormatting>
  <conditionalFormatting sqref="F6">
    <cfRule type="cellIs" dxfId="4275" priority="135" stopIfTrue="1" operator="equal">
      <formula>'1851'!$E$6</formula>
    </cfRule>
    <cfRule type="cellIs" dxfId="4274" priority="136" stopIfTrue="1" operator="lessThan">
      <formula>'1851'!$E$6</formula>
    </cfRule>
  </conditionalFormatting>
  <conditionalFormatting sqref="G6">
    <cfRule type="cellIs" dxfId="4273" priority="137" stopIfTrue="1" operator="equal">
      <formula>'1851'!$F$6</formula>
    </cfRule>
    <cfRule type="cellIs" dxfId="4272" priority="138" stopIfTrue="1" operator="lessThan">
      <formula>'1851'!$F$6</formula>
    </cfRule>
  </conditionalFormatting>
  <conditionalFormatting sqref="H6">
    <cfRule type="cellIs" dxfId="4271" priority="139" stopIfTrue="1" operator="equal">
      <formula>'1851'!$G$6</formula>
    </cfRule>
    <cfRule type="cellIs" dxfId="4270" priority="140" stopIfTrue="1" operator="lessThan">
      <formula>'1851'!$G$6</formula>
    </cfRule>
  </conditionalFormatting>
  <conditionalFormatting sqref="I6">
    <cfRule type="cellIs" dxfId="4269" priority="141" stopIfTrue="1" operator="equal">
      <formula>'1851'!$H$6</formula>
    </cfRule>
    <cfRule type="cellIs" dxfId="4268" priority="142" stopIfTrue="1" operator="lessThan">
      <formula>'1851'!$H$6</formula>
    </cfRule>
  </conditionalFormatting>
  <conditionalFormatting sqref="J6">
    <cfRule type="cellIs" dxfId="4267" priority="143" stopIfTrue="1" operator="equal">
      <formula>'1851'!$I$6</formula>
    </cfRule>
    <cfRule type="cellIs" dxfId="4266" priority="144" stopIfTrue="1" operator="lessThan">
      <formula>'1851'!$I$6</formula>
    </cfRule>
  </conditionalFormatting>
  <conditionalFormatting sqref="K6">
    <cfRule type="cellIs" dxfId="4265" priority="145" stopIfTrue="1" operator="equal">
      <formula>'1851'!$J$6</formula>
    </cfRule>
    <cfRule type="cellIs" dxfId="4264" priority="146" stopIfTrue="1" operator="lessThan">
      <formula>'1851'!$J$6</formula>
    </cfRule>
  </conditionalFormatting>
  <conditionalFormatting sqref="E7">
    <cfRule type="cellIs" dxfId="4263" priority="147" stopIfTrue="1" operator="equal">
      <formula>'1851'!$D$7</formula>
    </cfRule>
    <cfRule type="cellIs" dxfId="4262" priority="148" stopIfTrue="1" operator="lessThan">
      <formula>'1851'!$D$7</formula>
    </cfRule>
  </conditionalFormatting>
  <conditionalFormatting sqref="F7">
    <cfRule type="cellIs" dxfId="4261" priority="149" stopIfTrue="1" operator="equal">
      <formula>'1851'!$E$7</formula>
    </cfRule>
    <cfRule type="cellIs" dxfId="4260" priority="150" stopIfTrue="1" operator="lessThan">
      <formula>'1851'!$E$7</formula>
    </cfRule>
  </conditionalFormatting>
  <conditionalFormatting sqref="G7">
    <cfRule type="cellIs" dxfId="4259" priority="151" stopIfTrue="1" operator="equal">
      <formula>'1851'!$F$7</formula>
    </cfRule>
    <cfRule type="cellIs" dxfId="4258" priority="152" stopIfTrue="1" operator="lessThan">
      <formula>'1851'!$F$7</formula>
    </cfRule>
  </conditionalFormatting>
  <conditionalFormatting sqref="I7">
    <cfRule type="cellIs" dxfId="4257" priority="153" stopIfTrue="1" operator="equal">
      <formula>'1851'!$H$7</formula>
    </cfRule>
    <cfRule type="cellIs" dxfId="4256" priority="154" stopIfTrue="1" operator="lessThan">
      <formula>'1851'!$H$7</formula>
    </cfRule>
  </conditionalFormatting>
  <conditionalFormatting sqref="J7">
    <cfRule type="cellIs" dxfId="4255" priority="155" stopIfTrue="1" operator="equal">
      <formula>'1851'!$I$7</formula>
    </cfRule>
    <cfRule type="cellIs" dxfId="4254" priority="156" stopIfTrue="1" operator="lessThan">
      <formula>'1851'!$I$7</formula>
    </cfRule>
  </conditionalFormatting>
  <conditionalFormatting sqref="K7">
    <cfRule type="cellIs" dxfId="4253" priority="157" stopIfTrue="1" operator="equal">
      <formula>'1851'!$J$7</formula>
    </cfRule>
    <cfRule type="cellIs" dxfId="4252" priority="158" stopIfTrue="1" operator="lessThan">
      <formula>'1851'!$J$7</formula>
    </cfRule>
  </conditionalFormatting>
  <conditionalFormatting sqref="E8">
    <cfRule type="cellIs" dxfId="4251" priority="159" stopIfTrue="1" operator="equal">
      <formula>'1851'!$D$8</formula>
    </cfRule>
    <cfRule type="cellIs" dxfId="4250" priority="160" stopIfTrue="1" operator="lessThan">
      <formula>'1851'!$D$8</formula>
    </cfRule>
  </conditionalFormatting>
  <conditionalFormatting sqref="F8">
    <cfRule type="cellIs" dxfId="4249" priority="161" stopIfTrue="1" operator="equal">
      <formula>'1851'!$E$8</formula>
    </cfRule>
    <cfRule type="cellIs" dxfId="4248" priority="162" stopIfTrue="1" operator="lessThan">
      <formula>'1851'!$E$8</formula>
    </cfRule>
  </conditionalFormatting>
  <conditionalFormatting sqref="G8">
    <cfRule type="cellIs" dxfId="4247" priority="163" stopIfTrue="1" operator="equal">
      <formula>'1851'!$F$8</formula>
    </cfRule>
    <cfRule type="cellIs" dxfId="4246" priority="164" stopIfTrue="1" operator="lessThan">
      <formula>'1851'!$F$8</formula>
    </cfRule>
  </conditionalFormatting>
  <conditionalFormatting sqref="H8">
    <cfRule type="cellIs" dxfId="4245" priority="165" stopIfTrue="1" operator="equal">
      <formula>'1851'!$G$8</formula>
    </cfRule>
    <cfRule type="cellIs" dxfId="4244" priority="166" stopIfTrue="1" operator="lessThan">
      <formula>'1851'!$G$8</formula>
    </cfRule>
  </conditionalFormatting>
  <conditionalFormatting sqref="I8">
    <cfRule type="cellIs" dxfId="4243" priority="167" stopIfTrue="1" operator="equal">
      <formula>'1851'!$H$8</formula>
    </cfRule>
    <cfRule type="cellIs" dxfId="4242" priority="168" stopIfTrue="1" operator="lessThan">
      <formula>'1851'!$H$8</formula>
    </cfRule>
  </conditionalFormatting>
  <conditionalFormatting sqref="J8">
    <cfRule type="cellIs" dxfId="4241" priority="169" stopIfTrue="1" operator="equal">
      <formula>'1851'!$I$8</formula>
    </cfRule>
    <cfRule type="cellIs" dxfId="4240" priority="170" stopIfTrue="1" operator="lessThan">
      <formula>'1851'!$I$8</formula>
    </cfRule>
  </conditionalFormatting>
  <conditionalFormatting sqref="K8">
    <cfRule type="cellIs" dxfId="4239" priority="171" stopIfTrue="1" operator="equal">
      <formula>'1851'!$J$8</formula>
    </cfRule>
    <cfRule type="cellIs" dxfId="4238" priority="172" stopIfTrue="1" operator="lessThan">
      <formula>'1851'!$J$8</formula>
    </cfRule>
  </conditionalFormatting>
  <conditionalFormatting sqref="E9">
    <cfRule type="cellIs" dxfId="4237" priority="173" stopIfTrue="1" operator="equal">
      <formula>'1851'!$D$9</formula>
    </cfRule>
    <cfRule type="cellIs" dxfId="4236" priority="174" stopIfTrue="1" operator="lessThan">
      <formula>'1851'!$D$9</formula>
    </cfRule>
  </conditionalFormatting>
  <conditionalFormatting sqref="F9">
    <cfRule type="cellIs" dxfId="4235" priority="175" stopIfTrue="1" operator="equal">
      <formula>'1851'!$E$9</formula>
    </cfRule>
    <cfRule type="cellIs" dxfId="4234" priority="176" stopIfTrue="1" operator="lessThan">
      <formula>'1851'!$E$9</formula>
    </cfRule>
  </conditionalFormatting>
  <conditionalFormatting sqref="G9">
    <cfRule type="cellIs" dxfId="4233" priority="177" stopIfTrue="1" operator="equal">
      <formula>'1851'!$F$9</formula>
    </cfRule>
    <cfRule type="cellIs" dxfId="4232" priority="178" stopIfTrue="1" operator="lessThan">
      <formula>'1851'!$F$9</formula>
    </cfRule>
  </conditionalFormatting>
  <conditionalFormatting sqref="H9">
    <cfRule type="cellIs" dxfId="4231" priority="179" stopIfTrue="1" operator="equal">
      <formula>'1851'!$G$9</formula>
    </cfRule>
    <cfRule type="cellIs" dxfId="4230" priority="180" stopIfTrue="1" operator="lessThan">
      <formula>'1851'!$G$9</formula>
    </cfRule>
  </conditionalFormatting>
  <conditionalFormatting sqref="I9">
    <cfRule type="cellIs" dxfId="4229" priority="181" stopIfTrue="1" operator="equal">
      <formula>'1851'!$H$9</formula>
    </cfRule>
    <cfRule type="cellIs" dxfId="4228" priority="182" stopIfTrue="1" operator="lessThan">
      <formula>'1851'!$H$9</formula>
    </cfRule>
  </conditionalFormatting>
  <conditionalFormatting sqref="J9">
    <cfRule type="cellIs" dxfId="4227" priority="183" stopIfTrue="1" operator="equal">
      <formula>'1851'!$I$9</formula>
    </cfRule>
    <cfRule type="cellIs" dxfId="4226" priority="184" stopIfTrue="1" operator="lessThan">
      <formula>'1851'!$I$9</formula>
    </cfRule>
  </conditionalFormatting>
  <conditionalFormatting sqref="K9">
    <cfRule type="cellIs" dxfId="4225" priority="185" stopIfTrue="1" operator="equal">
      <formula>'1851'!$J$9</formula>
    </cfRule>
    <cfRule type="cellIs" dxfId="4224" priority="186" stopIfTrue="1" operator="lessThan">
      <formula>'1851'!$J$9</formula>
    </cfRule>
  </conditionalFormatting>
  <conditionalFormatting sqref="E10">
    <cfRule type="cellIs" dxfId="4223" priority="187" stopIfTrue="1" operator="equal">
      <formula>'1851'!$D$10</formula>
    </cfRule>
    <cfRule type="cellIs" dxfId="4222" priority="188" stopIfTrue="1" operator="lessThan">
      <formula>'1851'!$D$10</formula>
    </cfRule>
  </conditionalFormatting>
  <conditionalFormatting sqref="F10">
    <cfRule type="cellIs" dxfId="4221" priority="189" stopIfTrue="1" operator="equal">
      <formula>'1851'!$E$10</formula>
    </cfRule>
    <cfRule type="cellIs" dxfId="4220" priority="190" stopIfTrue="1" operator="lessThan">
      <formula>'1851'!$E$10</formula>
    </cfRule>
  </conditionalFormatting>
  <conditionalFormatting sqref="G10">
    <cfRule type="cellIs" dxfId="4219" priority="191" stopIfTrue="1" operator="equal">
      <formula>'1851'!$F$10</formula>
    </cfRule>
    <cfRule type="cellIs" dxfId="4218" priority="192" stopIfTrue="1" operator="lessThan">
      <formula>'1851'!$F$10</formula>
    </cfRule>
  </conditionalFormatting>
  <conditionalFormatting sqref="H10">
    <cfRule type="cellIs" dxfId="4217" priority="193" stopIfTrue="1" operator="equal">
      <formula>'1851'!$G$10</formula>
    </cfRule>
    <cfRule type="cellIs" dxfId="4216" priority="194" stopIfTrue="1" operator="lessThan">
      <formula>'1851'!$G$10</formula>
    </cfRule>
  </conditionalFormatting>
  <conditionalFormatting sqref="I10">
    <cfRule type="cellIs" dxfId="4215" priority="195" stopIfTrue="1" operator="equal">
      <formula>'1851'!$H$10</formula>
    </cfRule>
    <cfRule type="cellIs" dxfId="4214" priority="196" stopIfTrue="1" operator="lessThan">
      <formula>'1851'!$H$10</formula>
    </cfRule>
  </conditionalFormatting>
  <conditionalFormatting sqref="J10">
    <cfRule type="cellIs" dxfId="4213" priority="197" stopIfTrue="1" operator="equal">
      <formula>'1851'!$I$10</formula>
    </cfRule>
    <cfRule type="cellIs" dxfId="4212" priority="198" stopIfTrue="1" operator="lessThan">
      <formula>'1851'!$I$10</formula>
    </cfRule>
  </conditionalFormatting>
  <conditionalFormatting sqref="K10">
    <cfRule type="cellIs" dxfId="4211" priority="199" stopIfTrue="1" operator="equal">
      <formula>'1851'!$J$10</formula>
    </cfRule>
    <cfRule type="cellIs" dxfId="4210" priority="200" stopIfTrue="1" operator="lessThan">
      <formula>'1851'!$J$10</formula>
    </cfRule>
  </conditionalFormatting>
  <conditionalFormatting sqref="E11">
    <cfRule type="cellIs" dxfId="4209" priority="201" stopIfTrue="1" operator="equal">
      <formula>'1851'!$D$11</formula>
    </cfRule>
    <cfRule type="cellIs" dxfId="4208" priority="202" stopIfTrue="1" operator="lessThan">
      <formula>'1851'!$D$11</formula>
    </cfRule>
  </conditionalFormatting>
  <conditionalFormatting sqref="F11">
    <cfRule type="cellIs" dxfId="4207" priority="203" stopIfTrue="1" operator="equal">
      <formula>'1851'!$E$11</formula>
    </cfRule>
    <cfRule type="cellIs" dxfId="4206" priority="204" stopIfTrue="1" operator="lessThan">
      <formula>'1851'!$E$11</formula>
    </cfRule>
  </conditionalFormatting>
  <conditionalFormatting sqref="G11">
    <cfRule type="cellIs" dxfId="4205" priority="205" stopIfTrue="1" operator="equal">
      <formula>'1851'!$F$11</formula>
    </cfRule>
    <cfRule type="cellIs" dxfId="4204" priority="206" stopIfTrue="1" operator="lessThan">
      <formula>'1851'!$F$11</formula>
    </cfRule>
  </conditionalFormatting>
  <conditionalFormatting sqref="H11">
    <cfRule type="cellIs" dxfId="4203" priority="207" stopIfTrue="1" operator="equal">
      <formula>'1851'!$G$11</formula>
    </cfRule>
    <cfRule type="cellIs" dxfId="4202" priority="208" stopIfTrue="1" operator="lessThan">
      <formula>'1851'!$G$11</formula>
    </cfRule>
  </conditionalFormatting>
  <conditionalFormatting sqref="I11">
    <cfRule type="cellIs" dxfId="4201" priority="209" stopIfTrue="1" operator="equal">
      <formula>'1851'!$H$11</formula>
    </cfRule>
    <cfRule type="cellIs" dxfId="4200" priority="210" stopIfTrue="1" operator="lessThan">
      <formula>'1851'!$H$11</formula>
    </cfRule>
  </conditionalFormatting>
  <conditionalFormatting sqref="J11">
    <cfRule type="cellIs" dxfId="4199" priority="211" stopIfTrue="1" operator="equal">
      <formula>'1851'!$I$11</formula>
    </cfRule>
    <cfRule type="cellIs" dxfId="4198" priority="212" stopIfTrue="1" operator="lessThan">
      <formula>'1851'!$I$11</formula>
    </cfRule>
  </conditionalFormatting>
  <conditionalFormatting sqref="K11">
    <cfRule type="cellIs" dxfId="4197" priority="213" stopIfTrue="1" operator="equal">
      <formula>'1851'!$J$11</formula>
    </cfRule>
    <cfRule type="cellIs" dxfId="4196" priority="214" stopIfTrue="1" operator="lessThan">
      <formula>'1851'!$J$11</formula>
    </cfRule>
  </conditionalFormatting>
  <conditionalFormatting sqref="E12">
    <cfRule type="cellIs" dxfId="4195" priority="215" stopIfTrue="1" operator="equal">
      <formula>'1851'!$D$12</formula>
    </cfRule>
    <cfRule type="cellIs" dxfId="4194" priority="216" stopIfTrue="1" operator="lessThan">
      <formula>'1851'!$D$12</formula>
    </cfRule>
  </conditionalFormatting>
  <conditionalFormatting sqref="F12">
    <cfRule type="cellIs" dxfId="4193" priority="217" stopIfTrue="1" operator="equal">
      <formula>'1851'!$E$12</formula>
    </cfRule>
    <cfRule type="cellIs" dxfId="4192" priority="218" stopIfTrue="1" operator="lessThan">
      <formula>'1851'!$E$12</formula>
    </cfRule>
  </conditionalFormatting>
  <conditionalFormatting sqref="G12">
    <cfRule type="cellIs" dxfId="4191" priority="219" stopIfTrue="1" operator="equal">
      <formula>'1851'!$F$12</formula>
    </cfRule>
    <cfRule type="cellIs" dxfId="4190" priority="220" stopIfTrue="1" operator="lessThan">
      <formula>'1851'!$F$12</formula>
    </cfRule>
  </conditionalFormatting>
  <conditionalFormatting sqref="H12">
    <cfRule type="cellIs" dxfId="4189" priority="221" stopIfTrue="1" operator="equal">
      <formula>'1851'!$G$12</formula>
    </cfRule>
    <cfRule type="cellIs" dxfId="4188" priority="222" stopIfTrue="1" operator="lessThan">
      <formula>'1851'!$G$12</formula>
    </cfRule>
  </conditionalFormatting>
  <conditionalFormatting sqref="I12">
    <cfRule type="cellIs" dxfId="4187" priority="223" stopIfTrue="1" operator="equal">
      <formula>'1851'!$H$12</formula>
    </cfRule>
    <cfRule type="cellIs" dxfId="4186" priority="224" stopIfTrue="1" operator="lessThan">
      <formula>'1851'!$H$12</formula>
    </cfRule>
  </conditionalFormatting>
  <conditionalFormatting sqref="J12">
    <cfRule type="cellIs" dxfId="4185" priority="225" stopIfTrue="1" operator="equal">
      <formula>'1851'!$I$12</formula>
    </cfRule>
    <cfRule type="cellIs" dxfId="4184" priority="226" stopIfTrue="1" operator="lessThan">
      <formula>'1851'!$I$12</formula>
    </cfRule>
  </conditionalFormatting>
  <conditionalFormatting sqref="K12">
    <cfRule type="cellIs" dxfId="4183" priority="227" stopIfTrue="1" operator="equal">
      <formula>'1851'!$J$12</formula>
    </cfRule>
    <cfRule type="cellIs" dxfId="4182" priority="228" stopIfTrue="1" operator="lessThan">
      <formula>'1851'!$J$12</formula>
    </cfRule>
  </conditionalFormatting>
  <conditionalFormatting sqref="E14">
    <cfRule type="cellIs" dxfId="4181" priority="229" stopIfTrue="1" operator="equal">
      <formula>'1851'!$D$14</formula>
    </cfRule>
    <cfRule type="cellIs" dxfId="4180" priority="230" stopIfTrue="1" operator="lessThan">
      <formula>'1851'!$D$14</formula>
    </cfRule>
  </conditionalFormatting>
  <conditionalFormatting sqref="E15">
    <cfRule type="cellIs" dxfId="4179" priority="231" stopIfTrue="1" operator="equal">
      <formula>'1851'!$D$15</formula>
    </cfRule>
    <cfRule type="cellIs" dxfId="4178" priority="232" stopIfTrue="1" operator="lessThan">
      <formula>'1851'!$D$15</formula>
    </cfRule>
  </conditionalFormatting>
  <conditionalFormatting sqref="E16">
    <cfRule type="cellIs" dxfId="4177" priority="233" stopIfTrue="1" operator="equal">
      <formula>'1851'!$D$16</formula>
    </cfRule>
    <cfRule type="cellIs" dxfId="4176" priority="234" stopIfTrue="1" operator="lessThan">
      <formula>'1851'!$D$16</formula>
    </cfRule>
  </conditionalFormatting>
  <conditionalFormatting sqref="E17">
    <cfRule type="cellIs" dxfId="4175" priority="235" stopIfTrue="1" operator="equal">
      <formula>'1851'!$D$17</formula>
    </cfRule>
    <cfRule type="cellIs" dxfId="4174" priority="236" stopIfTrue="1" operator="lessThan">
      <formula>'1851'!$D$17</formula>
    </cfRule>
  </conditionalFormatting>
  <conditionalFormatting sqref="E18">
    <cfRule type="cellIs" dxfId="4173" priority="237" stopIfTrue="1" operator="equal">
      <formula>'1851'!$D$18</formula>
    </cfRule>
    <cfRule type="cellIs" dxfId="4172" priority="238" stopIfTrue="1" operator="lessThan">
      <formula>'1851'!$D$18</formula>
    </cfRule>
  </conditionalFormatting>
  <conditionalFormatting sqref="E19">
    <cfRule type="cellIs" dxfId="4171" priority="239" stopIfTrue="1" operator="equal">
      <formula>'1851'!$D$19</formula>
    </cfRule>
    <cfRule type="cellIs" dxfId="4170" priority="240" stopIfTrue="1" operator="lessThan">
      <formula>'1851'!$D$19</formula>
    </cfRule>
  </conditionalFormatting>
  <conditionalFormatting sqref="E20">
    <cfRule type="cellIs" dxfId="4169" priority="241" stopIfTrue="1" operator="equal">
      <formula>'1851'!$D$20</formula>
    </cfRule>
    <cfRule type="cellIs" dxfId="4168" priority="242" stopIfTrue="1" operator="lessThan">
      <formula>'1851'!$D$20</formula>
    </cfRule>
  </conditionalFormatting>
  <conditionalFormatting sqref="E21">
    <cfRule type="cellIs" dxfId="4167" priority="243" stopIfTrue="1" operator="equal">
      <formula>'1851'!$D$21</formula>
    </cfRule>
    <cfRule type="cellIs" dxfId="4166" priority="244" stopIfTrue="1" operator="lessThan">
      <formula>'1851'!$D$21</formula>
    </cfRule>
  </conditionalFormatting>
  <conditionalFormatting sqref="E22">
    <cfRule type="cellIs" dxfId="4165" priority="245" stopIfTrue="1" operator="equal">
      <formula>'1851'!$D$22</formula>
    </cfRule>
    <cfRule type="cellIs" dxfId="4164" priority="246" stopIfTrue="1" operator="lessThan">
      <formula>'1851'!$D$22</formula>
    </cfRule>
  </conditionalFormatting>
  <conditionalFormatting sqref="E23">
    <cfRule type="cellIs" dxfId="4163" priority="247" stopIfTrue="1" operator="equal">
      <formula>'1851'!$D$23</formula>
    </cfRule>
    <cfRule type="cellIs" dxfId="4162" priority="248" stopIfTrue="1" operator="lessThan">
      <formula>'1851'!$D$23</formula>
    </cfRule>
  </conditionalFormatting>
  <conditionalFormatting sqref="E25">
    <cfRule type="cellIs" dxfId="4161" priority="249" stopIfTrue="1" operator="equal">
      <formula>'1851'!$D$25</formula>
    </cfRule>
    <cfRule type="cellIs" dxfId="4160" priority="250" stopIfTrue="1" operator="lessThan">
      <formula>'1851'!$D$25</formula>
    </cfRule>
  </conditionalFormatting>
  <conditionalFormatting sqref="E26">
    <cfRule type="cellIs" dxfId="4159" priority="251" stopIfTrue="1" operator="equal">
      <formula>'1851'!$D$26</formula>
    </cfRule>
    <cfRule type="cellIs" dxfId="4158" priority="252" stopIfTrue="1" operator="lessThan">
      <formula>'1851'!$D$26</formula>
    </cfRule>
  </conditionalFormatting>
  <conditionalFormatting sqref="E27">
    <cfRule type="cellIs" dxfId="4157" priority="253" stopIfTrue="1" operator="equal">
      <formula>'1851'!$D$27</formula>
    </cfRule>
    <cfRule type="cellIs" dxfId="4156" priority="254" stopIfTrue="1" operator="lessThan">
      <formula>'1851'!$D$27</formula>
    </cfRule>
  </conditionalFormatting>
  <conditionalFormatting sqref="E28">
    <cfRule type="cellIs" dxfId="4155" priority="255" stopIfTrue="1" operator="equal">
      <formula>'1851'!$D$28</formula>
    </cfRule>
    <cfRule type="cellIs" dxfId="4154" priority="256" stopIfTrue="1" operator="lessThan">
      <formula>'1851'!$D$28</formula>
    </cfRule>
  </conditionalFormatting>
  <conditionalFormatting sqref="F13">
    <cfRule type="cellIs" dxfId="4153" priority="257" stopIfTrue="1" operator="equal">
      <formula>'1851'!$E$13</formula>
    </cfRule>
    <cfRule type="cellIs" dxfId="4152" priority="258" stopIfTrue="1" operator="lessThan">
      <formula>'1851'!$E$13</formula>
    </cfRule>
  </conditionalFormatting>
  <conditionalFormatting sqref="F14">
    <cfRule type="cellIs" dxfId="4151" priority="259" stopIfTrue="1" operator="equal">
      <formula>'1851'!$E$14</formula>
    </cfRule>
    <cfRule type="cellIs" dxfId="4150" priority="260" stopIfTrue="1" operator="lessThan">
      <formula>'1851'!$E$14</formula>
    </cfRule>
  </conditionalFormatting>
  <conditionalFormatting sqref="F15">
    <cfRule type="cellIs" dxfId="4149" priority="261" stopIfTrue="1" operator="equal">
      <formula>'1851'!$E$15</formula>
    </cfRule>
    <cfRule type="cellIs" dxfId="4148" priority="262" stopIfTrue="1" operator="lessThan">
      <formula>'1851'!$E$15</formula>
    </cfRule>
  </conditionalFormatting>
  <conditionalFormatting sqref="F16">
    <cfRule type="cellIs" dxfId="4147" priority="263" stopIfTrue="1" operator="equal">
      <formula>'1851'!$E$16</formula>
    </cfRule>
    <cfRule type="cellIs" dxfId="4146" priority="264" stopIfTrue="1" operator="lessThan">
      <formula>'1851'!$E$16</formula>
    </cfRule>
  </conditionalFormatting>
  <conditionalFormatting sqref="F17">
    <cfRule type="cellIs" dxfId="4145" priority="265" stopIfTrue="1" operator="equal">
      <formula>'1851'!$E$17</formula>
    </cfRule>
    <cfRule type="cellIs" dxfId="4144" priority="266" stopIfTrue="1" operator="lessThan">
      <formula>'1851'!$E$17</formula>
    </cfRule>
  </conditionalFormatting>
  <conditionalFormatting sqref="F18">
    <cfRule type="cellIs" dxfId="4143" priority="267" stopIfTrue="1" operator="equal">
      <formula>'1851'!$E$18</formula>
    </cfRule>
    <cfRule type="cellIs" dxfId="4142" priority="268" stopIfTrue="1" operator="lessThan">
      <formula>'1851'!$E$18</formula>
    </cfRule>
  </conditionalFormatting>
  <conditionalFormatting sqref="F19">
    <cfRule type="cellIs" dxfId="4141" priority="269" stopIfTrue="1" operator="equal">
      <formula>'1851'!$E$19</formula>
    </cfRule>
    <cfRule type="cellIs" dxfId="4140" priority="270" stopIfTrue="1" operator="lessThan">
      <formula>'1851'!$E$19</formula>
    </cfRule>
  </conditionalFormatting>
  <conditionalFormatting sqref="F20">
    <cfRule type="cellIs" dxfId="4139" priority="271" stopIfTrue="1" operator="equal">
      <formula>'1851'!$E$20</formula>
    </cfRule>
    <cfRule type="cellIs" dxfId="4138" priority="272" stopIfTrue="1" operator="lessThan">
      <formula>'1851'!$E$20</formula>
    </cfRule>
  </conditionalFormatting>
  <conditionalFormatting sqref="F21">
    <cfRule type="cellIs" dxfId="4137" priority="273" stopIfTrue="1" operator="equal">
      <formula>'1851'!$E$21</formula>
    </cfRule>
    <cfRule type="cellIs" dxfId="4136" priority="274" stopIfTrue="1" operator="lessThan">
      <formula>'1851'!$E$21</formula>
    </cfRule>
  </conditionalFormatting>
  <conditionalFormatting sqref="F22">
    <cfRule type="cellIs" dxfId="4135" priority="275" stopIfTrue="1" operator="equal">
      <formula>'1851'!$E$22</formula>
    </cfRule>
    <cfRule type="cellIs" dxfId="4134" priority="276" stopIfTrue="1" operator="lessThan">
      <formula>'1851'!$E$22</formula>
    </cfRule>
  </conditionalFormatting>
  <conditionalFormatting sqref="F23">
    <cfRule type="cellIs" dxfId="4133" priority="277" stopIfTrue="1" operator="equal">
      <formula>'1851'!$E$23</formula>
    </cfRule>
    <cfRule type="cellIs" dxfId="4132" priority="278" stopIfTrue="1" operator="lessThan">
      <formula>'1851'!$E$23</formula>
    </cfRule>
  </conditionalFormatting>
  <conditionalFormatting sqref="F25">
    <cfRule type="cellIs" dxfId="4131" priority="279" stopIfTrue="1" operator="equal">
      <formula>'1851'!$E$25</formula>
    </cfRule>
    <cfRule type="cellIs" dxfId="4130" priority="280" stopIfTrue="1" operator="lessThan">
      <formula>'1851'!$E$25</formula>
    </cfRule>
  </conditionalFormatting>
  <conditionalFormatting sqref="F26">
    <cfRule type="cellIs" dxfId="4129" priority="281" stopIfTrue="1" operator="equal">
      <formula>'1851'!$E$26</formula>
    </cfRule>
    <cfRule type="cellIs" dxfId="4128" priority="282" stopIfTrue="1" operator="lessThan">
      <formula>'1851'!$E$26</formula>
    </cfRule>
  </conditionalFormatting>
  <conditionalFormatting sqref="F27">
    <cfRule type="cellIs" dxfId="4127" priority="283" stopIfTrue="1" operator="equal">
      <formula>'1851'!$E$27</formula>
    </cfRule>
    <cfRule type="cellIs" dxfId="4126" priority="284" stopIfTrue="1" operator="lessThan">
      <formula>'1851'!$E$27</formula>
    </cfRule>
  </conditionalFormatting>
  <conditionalFormatting sqref="F28">
    <cfRule type="cellIs" dxfId="4125" priority="285" stopIfTrue="1" operator="equal">
      <formula>'1851'!$E$28</formula>
    </cfRule>
    <cfRule type="cellIs" dxfId="4124" priority="286" stopIfTrue="1" operator="lessThan">
      <formula>'1851'!$E$28</formula>
    </cfRule>
  </conditionalFormatting>
  <conditionalFormatting sqref="G13">
    <cfRule type="cellIs" dxfId="4123" priority="287" stopIfTrue="1" operator="equal">
      <formula>'1851'!$F$13</formula>
    </cfRule>
    <cfRule type="cellIs" dxfId="4122" priority="288" stopIfTrue="1" operator="lessThan">
      <formula>'1851'!$F$13</formula>
    </cfRule>
  </conditionalFormatting>
  <conditionalFormatting sqref="G14">
    <cfRule type="cellIs" dxfId="4121" priority="289" stopIfTrue="1" operator="equal">
      <formula>'1851'!$F$14</formula>
    </cfRule>
    <cfRule type="cellIs" dxfId="4120" priority="290" stopIfTrue="1" operator="lessThan">
      <formula>'1851'!$F$14</formula>
    </cfRule>
  </conditionalFormatting>
  <conditionalFormatting sqref="G15">
    <cfRule type="cellIs" dxfId="4119" priority="291" stopIfTrue="1" operator="equal">
      <formula>'1851'!$F$15</formula>
    </cfRule>
    <cfRule type="cellIs" dxfId="4118" priority="292" stopIfTrue="1" operator="lessThan">
      <formula>'1851'!$F$15</formula>
    </cfRule>
  </conditionalFormatting>
  <conditionalFormatting sqref="G16">
    <cfRule type="cellIs" dxfId="4117" priority="293" stopIfTrue="1" operator="equal">
      <formula>'1851'!$F$16</formula>
    </cfRule>
    <cfRule type="cellIs" dxfId="4116" priority="294" stopIfTrue="1" operator="lessThan">
      <formula>'1851'!$F$16</formula>
    </cfRule>
  </conditionalFormatting>
  <conditionalFormatting sqref="G17">
    <cfRule type="cellIs" dxfId="4115" priority="295" stopIfTrue="1" operator="equal">
      <formula>'1851'!$F$17</formula>
    </cfRule>
    <cfRule type="cellIs" dxfId="4114" priority="296" stopIfTrue="1" operator="lessThan">
      <formula>'1851'!$F$17</formula>
    </cfRule>
  </conditionalFormatting>
  <conditionalFormatting sqref="G18">
    <cfRule type="cellIs" dxfId="4113" priority="297" stopIfTrue="1" operator="equal">
      <formula>'1851'!$F$18</formula>
    </cfRule>
    <cfRule type="cellIs" dxfId="4112" priority="298" stopIfTrue="1" operator="lessThan">
      <formula>'1851'!$F$18</formula>
    </cfRule>
  </conditionalFormatting>
  <conditionalFormatting sqref="G19">
    <cfRule type="cellIs" dxfId="4111" priority="299" stopIfTrue="1" operator="equal">
      <formula>'1851'!$F$19</formula>
    </cfRule>
    <cfRule type="cellIs" dxfId="4110" priority="300" stopIfTrue="1" operator="lessThan">
      <formula>'1851'!$F$19</formula>
    </cfRule>
  </conditionalFormatting>
  <conditionalFormatting sqref="G20">
    <cfRule type="cellIs" dxfId="4109" priority="301" stopIfTrue="1" operator="equal">
      <formula>'1851'!$F$20</formula>
    </cfRule>
    <cfRule type="cellIs" dxfId="4108" priority="302" stopIfTrue="1" operator="lessThan">
      <formula>'1851'!$F$20</formula>
    </cfRule>
  </conditionalFormatting>
  <conditionalFormatting sqref="G21">
    <cfRule type="cellIs" dxfId="4107" priority="303" stopIfTrue="1" operator="equal">
      <formula>'1851'!$F$21</formula>
    </cfRule>
    <cfRule type="cellIs" dxfId="4106" priority="304" stopIfTrue="1" operator="lessThan">
      <formula>'1851'!$F$21</formula>
    </cfRule>
  </conditionalFormatting>
  <conditionalFormatting sqref="G22">
    <cfRule type="cellIs" dxfId="4105" priority="305" stopIfTrue="1" operator="equal">
      <formula>'1851'!$F$22</formula>
    </cfRule>
    <cfRule type="cellIs" dxfId="4104" priority="306" stopIfTrue="1" operator="lessThan">
      <formula>'1851'!$F$22</formula>
    </cfRule>
  </conditionalFormatting>
  <conditionalFormatting sqref="G23">
    <cfRule type="cellIs" dxfId="4103" priority="307" stopIfTrue="1" operator="equal">
      <formula>'1851'!$F$23</formula>
    </cfRule>
    <cfRule type="cellIs" dxfId="4102" priority="308" stopIfTrue="1" operator="lessThan">
      <formula>'1851'!$F$23</formula>
    </cfRule>
  </conditionalFormatting>
  <conditionalFormatting sqref="G25">
    <cfRule type="cellIs" dxfId="4101" priority="309" stopIfTrue="1" operator="equal">
      <formula>'1851'!$F$25</formula>
    </cfRule>
    <cfRule type="cellIs" dxfId="4100" priority="310" stopIfTrue="1" operator="lessThan">
      <formula>'1851'!$F$25</formula>
    </cfRule>
  </conditionalFormatting>
  <conditionalFormatting sqref="G26">
    <cfRule type="cellIs" dxfId="4099" priority="311" stopIfTrue="1" operator="equal">
      <formula>'1851'!$F$26</formula>
    </cfRule>
    <cfRule type="cellIs" dxfId="4098" priority="312" stopIfTrue="1" operator="lessThan">
      <formula>'1851'!$F$26</formula>
    </cfRule>
  </conditionalFormatting>
  <conditionalFormatting sqref="G27">
    <cfRule type="cellIs" dxfId="4097" priority="313" stopIfTrue="1" operator="equal">
      <formula>'1851'!$F$27</formula>
    </cfRule>
    <cfRule type="cellIs" dxfId="4096" priority="314" stopIfTrue="1" operator="lessThan">
      <formula>'1851'!$F$27</formula>
    </cfRule>
  </conditionalFormatting>
  <conditionalFormatting sqref="G28">
    <cfRule type="cellIs" dxfId="4095" priority="315" stopIfTrue="1" operator="equal">
      <formula>'1851'!$F$28</formula>
    </cfRule>
    <cfRule type="cellIs" dxfId="4094" priority="316" stopIfTrue="1" operator="lessThan">
      <formula>'1851'!$F$28</formula>
    </cfRule>
  </conditionalFormatting>
  <conditionalFormatting sqref="H13">
    <cfRule type="cellIs" dxfId="4093" priority="317" stopIfTrue="1" operator="equal">
      <formula>'1851'!$G$13</formula>
    </cfRule>
    <cfRule type="cellIs" dxfId="4092" priority="318" stopIfTrue="1" operator="lessThan">
      <formula>'1851'!$G$13</formula>
    </cfRule>
  </conditionalFormatting>
  <conditionalFormatting sqref="H14">
    <cfRule type="cellIs" dxfId="4091" priority="319" stopIfTrue="1" operator="equal">
      <formula>'1851'!$G$14</formula>
    </cfRule>
    <cfRule type="cellIs" dxfId="4090" priority="320" stopIfTrue="1" operator="lessThan">
      <formula>'1851'!$G$14</formula>
    </cfRule>
  </conditionalFormatting>
  <conditionalFormatting sqref="H15">
    <cfRule type="cellIs" dxfId="4089" priority="321" stopIfTrue="1" operator="equal">
      <formula>'1851'!$G$15</formula>
    </cfRule>
    <cfRule type="cellIs" dxfId="4088" priority="322" stopIfTrue="1" operator="lessThan">
      <formula>'1851'!$G$15</formula>
    </cfRule>
  </conditionalFormatting>
  <conditionalFormatting sqref="H16">
    <cfRule type="cellIs" dxfId="4087" priority="323" stopIfTrue="1" operator="equal">
      <formula>'1851'!$G$16</formula>
    </cfRule>
    <cfRule type="cellIs" dxfId="4086" priority="324" stopIfTrue="1" operator="lessThan">
      <formula>'1851'!$G$16</formula>
    </cfRule>
  </conditionalFormatting>
  <conditionalFormatting sqref="H17">
    <cfRule type="cellIs" dxfId="4085" priority="325" stopIfTrue="1" operator="equal">
      <formula>'1851'!$G$17</formula>
    </cfRule>
    <cfRule type="cellIs" dxfId="4084" priority="326" stopIfTrue="1" operator="lessThan">
      <formula>'1851'!$G$17</formula>
    </cfRule>
  </conditionalFormatting>
  <conditionalFormatting sqref="H18">
    <cfRule type="cellIs" dxfId="4083" priority="327" stopIfTrue="1" operator="equal">
      <formula>'1851'!$G$18</formula>
    </cfRule>
    <cfRule type="cellIs" dxfId="4082" priority="328" stopIfTrue="1" operator="lessThan">
      <formula>'1851'!$G$18</formula>
    </cfRule>
  </conditionalFormatting>
  <conditionalFormatting sqref="H19">
    <cfRule type="cellIs" dxfId="4081" priority="329" stopIfTrue="1" operator="equal">
      <formula>'1851'!$G$19</formula>
    </cfRule>
    <cfRule type="cellIs" dxfId="4080" priority="330" stopIfTrue="1" operator="lessThan">
      <formula>'1851'!$G$19</formula>
    </cfRule>
  </conditionalFormatting>
  <conditionalFormatting sqref="H20">
    <cfRule type="cellIs" dxfId="4079" priority="331" stopIfTrue="1" operator="equal">
      <formula>'1851'!$G$20</formula>
    </cfRule>
    <cfRule type="cellIs" dxfId="4078" priority="332" stopIfTrue="1" operator="lessThan">
      <formula>'1851'!$G$20</formula>
    </cfRule>
  </conditionalFormatting>
  <conditionalFormatting sqref="H21">
    <cfRule type="cellIs" dxfId="4077" priority="333" stopIfTrue="1" operator="equal">
      <formula>'1851'!$G$21</formula>
    </cfRule>
    <cfRule type="cellIs" dxfId="4076" priority="334" stopIfTrue="1" operator="lessThan">
      <formula>'1851'!$G$21</formula>
    </cfRule>
  </conditionalFormatting>
  <conditionalFormatting sqref="H22">
    <cfRule type="cellIs" dxfId="4075" priority="335" stopIfTrue="1" operator="equal">
      <formula>'1851'!$G$22</formula>
    </cfRule>
    <cfRule type="cellIs" dxfId="4074" priority="336" stopIfTrue="1" operator="lessThan">
      <formula>'1851'!$G$22</formula>
    </cfRule>
  </conditionalFormatting>
  <conditionalFormatting sqref="H23">
    <cfRule type="cellIs" dxfId="4073" priority="337" stopIfTrue="1" operator="equal">
      <formula>'1851'!$G$23</formula>
    </cfRule>
    <cfRule type="cellIs" dxfId="4072" priority="338" stopIfTrue="1" operator="lessThan">
      <formula>'1851'!$G$23</formula>
    </cfRule>
  </conditionalFormatting>
  <conditionalFormatting sqref="H25">
    <cfRule type="cellIs" dxfId="4071" priority="339" stopIfTrue="1" operator="equal">
      <formula>'1851'!$G$25</formula>
    </cfRule>
    <cfRule type="cellIs" dxfId="4070" priority="340" stopIfTrue="1" operator="lessThan">
      <formula>'1851'!$G$25</formula>
    </cfRule>
  </conditionalFormatting>
  <conditionalFormatting sqref="H26">
    <cfRule type="cellIs" dxfId="4069" priority="341" stopIfTrue="1" operator="equal">
      <formula>'1851'!$G$26</formula>
    </cfRule>
    <cfRule type="cellIs" dxfId="4068" priority="342" stopIfTrue="1" operator="lessThan">
      <formula>'1851'!$G$26</formula>
    </cfRule>
  </conditionalFormatting>
  <conditionalFormatting sqref="H27">
    <cfRule type="cellIs" dxfId="4067" priority="343" stopIfTrue="1" operator="equal">
      <formula>'1851'!$G$27</formula>
    </cfRule>
    <cfRule type="cellIs" dxfId="4066" priority="344" stopIfTrue="1" operator="lessThan">
      <formula>'1851'!$G$27</formula>
    </cfRule>
  </conditionalFormatting>
  <conditionalFormatting sqref="H28">
    <cfRule type="cellIs" dxfId="4065" priority="345" stopIfTrue="1" operator="equal">
      <formula>'1851'!$G$28</formula>
    </cfRule>
    <cfRule type="cellIs" dxfId="4064" priority="346" stopIfTrue="1" operator="lessThan">
      <formula>'1851'!$G$28</formula>
    </cfRule>
  </conditionalFormatting>
  <conditionalFormatting sqref="E13">
    <cfRule type="cellIs" dxfId="4063" priority="347" stopIfTrue="1" operator="equal">
      <formula>'1851'!$D$13</formula>
    </cfRule>
    <cfRule type="cellIs" dxfId="4062" priority="348" stopIfTrue="1" operator="lessThan">
      <formula>'1851'!$D$13</formula>
    </cfRule>
  </conditionalFormatting>
  <conditionalFormatting sqref="I13">
    <cfRule type="cellIs" dxfId="4061" priority="349" stopIfTrue="1" operator="equal">
      <formula>'1851'!$H$13</formula>
    </cfRule>
    <cfRule type="cellIs" dxfId="4060" priority="350" stopIfTrue="1" operator="lessThan">
      <formula>'1851'!$H$13</formula>
    </cfRule>
  </conditionalFormatting>
  <conditionalFormatting sqref="I14">
    <cfRule type="cellIs" dxfId="4059" priority="351" stopIfTrue="1" operator="equal">
      <formula>'1851'!$H$14</formula>
    </cfRule>
    <cfRule type="cellIs" dxfId="4058" priority="352" stopIfTrue="1" operator="lessThan">
      <formula>'1851'!$H$14</formula>
    </cfRule>
  </conditionalFormatting>
  <conditionalFormatting sqref="I15">
    <cfRule type="cellIs" dxfId="4057" priority="353" stopIfTrue="1" operator="equal">
      <formula>'1851'!$H$15</formula>
    </cfRule>
    <cfRule type="cellIs" dxfId="4056" priority="354" stopIfTrue="1" operator="lessThan">
      <formula>'1851'!$H$15</formula>
    </cfRule>
  </conditionalFormatting>
  <conditionalFormatting sqref="I16">
    <cfRule type="cellIs" dxfId="4055" priority="355" stopIfTrue="1" operator="equal">
      <formula>'1851'!$H$16</formula>
    </cfRule>
    <cfRule type="cellIs" dxfId="4054" priority="356" stopIfTrue="1" operator="lessThan">
      <formula>'1851'!$H$16</formula>
    </cfRule>
  </conditionalFormatting>
  <conditionalFormatting sqref="I17">
    <cfRule type="cellIs" dxfId="4053" priority="357" stopIfTrue="1" operator="equal">
      <formula>'1851'!$H$17</formula>
    </cfRule>
    <cfRule type="cellIs" dxfId="4052" priority="358" stopIfTrue="1" operator="lessThan">
      <formula>'1851'!$H$17</formula>
    </cfRule>
  </conditionalFormatting>
  <conditionalFormatting sqref="I18">
    <cfRule type="cellIs" dxfId="4051" priority="359" stopIfTrue="1" operator="equal">
      <formula>'1851'!$H$18</formula>
    </cfRule>
    <cfRule type="cellIs" dxfId="4050" priority="360" stopIfTrue="1" operator="lessThan">
      <formula>'1851'!$H$18</formula>
    </cfRule>
  </conditionalFormatting>
  <conditionalFormatting sqref="I19">
    <cfRule type="cellIs" dxfId="4049" priority="361" stopIfTrue="1" operator="equal">
      <formula>'1851'!$H$19</formula>
    </cfRule>
    <cfRule type="cellIs" dxfId="4048" priority="362" stopIfTrue="1" operator="lessThan">
      <formula>'1851'!$H$19</formula>
    </cfRule>
  </conditionalFormatting>
  <conditionalFormatting sqref="I20">
    <cfRule type="cellIs" dxfId="4047" priority="363" stopIfTrue="1" operator="equal">
      <formula>'1851'!$H$20</formula>
    </cfRule>
    <cfRule type="cellIs" dxfId="4046" priority="364" stopIfTrue="1" operator="lessThan">
      <formula>'1851'!$H$20</formula>
    </cfRule>
  </conditionalFormatting>
  <conditionalFormatting sqref="I21">
    <cfRule type="cellIs" dxfId="4045" priority="365" stopIfTrue="1" operator="equal">
      <formula>'1851'!$H$21</formula>
    </cfRule>
    <cfRule type="cellIs" dxfId="4044" priority="366" stopIfTrue="1" operator="lessThan">
      <formula>'1851'!$H$21</formula>
    </cfRule>
  </conditionalFormatting>
  <conditionalFormatting sqref="I22">
    <cfRule type="cellIs" dxfId="4043" priority="367" stopIfTrue="1" operator="equal">
      <formula>'1851'!$H$22</formula>
    </cfRule>
    <cfRule type="cellIs" dxfId="4042" priority="368" stopIfTrue="1" operator="lessThan">
      <formula>'1851'!$H$22</formula>
    </cfRule>
  </conditionalFormatting>
  <conditionalFormatting sqref="I23">
    <cfRule type="cellIs" dxfId="4041" priority="369" stopIfTrue="1" operator="equal">
      <formula>'1851'!$H$23</formula>
    </cfRule>
    <cfRule type="cellIs" dxfId="4040" priority="370" stopIfTrue="1" operator="lessThan">
      <formula>'1851'!$H$23</formula>
    </cfRule>
  </conditionalFormatting>
  <conditionalFormatting sqref="I25">
    <cfRule type="cellIs" dxfId="4039" priority="371" stopIfTrue="1" operator="equal">
      <formula>'1851'!$H$25</formula>
    </cfRule>
    <cfRule type="cellIs" dxfId="4038" priority="372" stopIfTrue="1" operator="lessThan">
      <formula>'1851'!$H$25</formula>
    </cfRule>
  </conditionalFormatting>
  <conditionalFormatting sqref="I26">
    <cfRule type="cellIs" dxfId="4037" priority="373" stopIfTrue="1" operator="equal">
      <formula>'1851'!$H$26</formula>
    </cfRule>
    <cfRule type="cellIs" dxfId="4036" priority="374" stopIfTrue="1" operator="lessThan">
      <formula>'1851'!$H$26</formula>
    </cfRule>
  </conditionalFormatting>
  <conditionalFormatting sqref="I27">
    <cfRule type="cellIs" dxfId="4035" priority="375" stopIfTrue="1" operator="equal">
      <formula>'1851'!$H$27</formula>
    </cfRule>
    <cfRule type="cellIs" dxfId="4034" priority="376" stopIfTrue="1" operator="lessThan">
      <formula>'1851'!$H$27</formula>
    </cfRule>
  </conditionalFormatting>
  <conditionalFormatting sqref="I28">
    <cfRule type="cellIs" dxfId="4033" priority="377" stopIfTrue="1" operator="equal">
      <formula>'1851'!$H$28</formula>
    </cfRule>
    <cfRule type="cellIs" dxfId="4032" priority="378" stopIfTrue="1" operator="lessThan">
      <formula>'1851'!$H$28</formula>
    </cfRule>
  </conditionalFormatting>
  <conditionalFormatting sqref="E24">
    <cfRule type="cellIs" dxfId="4031" priority="379" stopIfTrue="1" operator="equal">
      <formula>'1851'!$D$24</formula>
    </cfRule>
    <cfRule type="cellIs" dxfId="4030" priority="380" stopIfTrue="1" operator="lessThan">
      <formula>'1851'!$D$24</formula>
    </cfRule>
  </conditionalFormatting>
  <conditionalFormatting sqref="F24">
    <cfRule type="cellIs" dxfId="4029" priority="381" stopIfTrue="1" operator="equal">
      <formula>'1851'!$E$24</formula>
    </cfRule>
    <cfRule type="cellIs" dxfId="4028" priority="382" stopIfTrue="1" operator="lessThan">
      <formula>'1851'!$E$24</formula>
    </cfRule>
  </conditionalFormatting>
  <conditionalFormatting sqref="G24">
    <cfRule type="cellIs" dxfId="4027" priority="383" stopIfTrue="1" operator="equal">
      <formula>'1851'!$F$24</formula>
    </cfRule>
    <cfRule type="cellIs" dxfId="4026" priority="384" stopIfTrue="1" operator="lessThan">
      <formula>'1851'!$F$24</formula>
    </cfRule>
  </conditionalFormatting>
  <conditionalFormatting sqref="H24">
    <cfRule type="cellIs" dxfId="4025" priority="385" stopIfTrue="1" operator="equal">
      <formula>'1851'!$G$24</formula>
    </cfRule>
    <cfRule type="cellIs" dxfId="4024" priority="386" stopIfTrue="1" operator="lessThan">
      <formula>'1851'!$G$24</formula>
    </cfRule>
  </conditionalFormatting>
  <conditionalFormatting sqref="I24">
    <cfRule type="cellIs" dxfId="4023" priority="387" stopIfTrue="1" operator="equal">
      <formula>'1851'!$H$24</formula>
    </cfRule>
    <cfRule type="cellIs" dxfId="4022" priority="388" stopIfTrue="1" operator="lessThan">
      <formula>'1851'!$H$24</formula>
    </cfRule>
  </conditionalFormatting>
  <conditionalFormatting sqref="F5">
    <cfRule type="cellIs" dxfId="4021" priority="389" stopIfTrue="1" operator="equal">
      <formula>'1851'!$E$5</formula>
    </cfRule>
    <cfRule type="cellIs" dxfId="4020" priority="390" stopIfTrue="1" operator="lessThan">
      <formula>'1851'!$E$5</formula>
    </cfRule>
  </conditionalFormatting>
  <conditionalFormatting sqref="H5">
    <cfRule type="cellIs" dxfId="4019" priority="391" stopIfTrue="1" operator="equal">
      <formula>'1851'!$G$5</formula>
    </cfRule>
    <cfRule type="cellIs" dxfId="4018" priority="392" stopIfTrue="1" operator="lessThan">
      <formula>'1851'!$G$5</formula>
    </cfRule>
  </conditionalFormatting>
  <conditionalFormatting sqref="H4">
    <cfRule type="cellIs" dxfId="4017" priority="393" stopIfTrue="1" operator="equal">
      <formula>'1851'!$G$4</formula>
    </cfRule>
  </conditionalFormatting>
  <conditionalFormatting sqref="E29:P29">
    <cfRule type="cellIs" dxfId="4016" priority="394" stopIfTrue="1" operator="equal">
      <formula>0</formula>
    </cfRule>
  </conditionalFormatting>
  <conditionalFormatting sqref="J13">
    <cfRule type="cellIs" dxfId="4015" priority="395" stopIfTrue="1" operator="equal">
      <formula>'1851'!$I$13</formula>
    </cfRule>
    <cfRule type="cellIs" dxfId="4014" priority="396" stopIfTrue="1" operator="lessThan">
      <formula>'1851'!$I$13</formula>
    </cfRule>
  </conditionalFormatting>
  <conditionalFormatting sqref="J14">
    <cfRule type="cellIs" dxfId="4013" priority="397" stopIfTrue="1" operator="equal">
      <formula>'1851'!$I$14</formula>
    </cfRule>
    <cfRule type="cellIs" dxfId="4012" priority="398" stopIfTrue="1" operator="lessThan">
      <formula>'1851'!$I$14</formula>
    </cfRule>
  </conditionalFormatting>
  <conditionalFormatting sqref="J15">
    <cfRule type="cellIs" dxfId="4011" priority="399" stopIfTrue="1" operator="equal">
      <formula>'1851'!$I$15</formula>
    </cfRule>
    <cfRule type="cellIs" dxfId="4010" priority="400" stopIfTrue="1" operator="lessThan">
      <formula>'1851'!$I$15</formula>
    </cfRule>
  </conditionalFormatting>
  <conditionalFormatting sqref="J16">
    <cfRule type="cellIs" dxfId="4009" priority="401" stopIfTrue="1" operator="equal">
      <formula>'1851'!$I$16</formula>
    </cfRule>
    <cfRule type="cellIs" dxfId="4008" priority="402" stopIfTrue="1" operator="lessThan">
      <formula>'1851'!$I$16</formula>
    </cfRule>
  </conditionalFormatting>
  <conditionalFormatting sqref="J17">
    <cfRule type="cellIs" dxfId="4007" priority="403" stopIfTrue="1" operator="equal">
      <formula>'1851'!$I$17</formula>
    </cfRule>
    <cfRule type="cellIs" dxfId="4006" priority="404" stopIfTrue="1" operator="lessThan">
      <formula>'1851'!$I$17</formula>
    </cfRule>
  </conditionalFormatting>
  <conditionalFormatting sqref="J18">
    <cfRule type="cellIs" dxfId="4005" priority="405" stopIfTrue="1" operator="equal">
      <formula>'1851'!$I$18</formula>
    </cfRule>
    <cfRule type="cellIs" dxfId="4004" priority="406" stopIfTrue="1" operator="lessThan">
      <formula>'1851'!$I$18</formula>
    </cfRule>
  </conditionalFormatting>
  <conditionalFormatting sqref="J19">
    <cfRule type="cellIs" dxfId="4003" priority="407" stopIfTrue="1" operator="equal">
      <formula>'1851'!$I$19</formula>
    </cfRule>
    <cfRule type="cellIs" dxfId="4002" priority="408" stopIfTrue="1" operator="lessThan">
      <formula>'1851'!$I$19</formula>
    </cfRule>
  </conditionalFormatting>
  <conditionalFormatting sqref="J20">
    <cfRule type="cellIs" dxfId="4001" priority="409" stopIfTrue="1" operator="equal">
      <formula>'1851'!$I$20</formula>
    </cfRule>
    <cfRule type="cellIs" dxfId="4000" priority="410" stopIfTrue="1" operator="lessThan">
      <formula>'1851'!$I$20</formula>
    </cfRule>
  </conditionalFormatting>
  <conditionalFormatting sqref="J21">
    <cfRule type="cellIs" dxfId="3999" priority="411" stopIfTrue="1" operator="equal">
      <formula>'1851'!$I$21</formula>
    </cfRule>
    <cfRule type="cellIs" dxfId="3998" priority="412" stopIfTrue="1" operator="lessThan">
      <formula>'1851'!$I$21</formula>
    </cfRule>
  </conditionalFormatting>
  <conditionalFormatting sqref="J22">
    <cfRule type="cellIs" dxfId="3997" priority="413" stopIfTrue="1" operator="equal">
      <formula>'1851'!$I$22</formula>
    </cfRule>
    <cfRule type="cellIs" dxfId="3996" priority="414" stopIfTrue="1" operator="lessThan">
      <formula>'1851'!$I$22</formula>
    </cfRule>
  </conditionalFormatting>
  <conditionalFormatting sqref="J23">
    <cfRule type="cellIs" dxfId="3995" priority="415" stopIfTrue="1" operator="equal">
      <formula>'1851'!$I$23</formula>
    </cfRule>
    <cfRule type="cellIs" dxfId="3994" priority="416" stopIfTrue="1" operator="lessThan">
      <formula>'1851'!$I$23</formula>
    </cfRule>
  </conditionalFormatting>
  <conditionalFormatting sqref="J24">
    <cfRule type="cellIs" dxfId="3993" priority="417" stopIfTrue="1" operator="equal">
      <formula>'1851'!$I$24</formula>
    </cfRule>
    <cfRule type="cellIs" dxfId="3992" priority="418" stopIfTrue="1" operator="lessThan">
      <formula>'1851'!$I$24</formula>
    </cfRule>
  </conditionalFormatting>
  <conditionalFormatting sqref="J25">
    <cfRule type="cellIs" dxfId="3991" priority="419" stopIfTrue="1" operator="equal">
      <formula>'1851'!$I$25</formula>
    </cfRule>
    <cfRule type="cellIs" dxfId="3990" priority="420" stopIfTrue="1" operator="lessThan">
      <formula>'1851'!$I$25</formula>
    </cfRule>
  </conditionalFormatting>
  <conditionalFormatting sqref="J26">
    <cfRule type="cellIs" dxfId="3989" priority="421" stopIfTrue="1" operator="equal">
      <formula>'1851'!$I$26</formula>
    </cfRule>
    <cfRule type="cellIs" dxfId="3988" priority="422" stopIfTrue="1" operator="lessThan">
      <formula>'1851'!$I$26</formula>
    </cfRule>
  </conditionalFormatting>
  <conditionalFormatting sqref="J27">
    <cfRule type="cellIs" dxfId="3987" priority="423" stopIfTrue="1" operator="equal">
      <formula>'1851'!$I$27</formula>
    </cfRule>
    <cfRule type="cellIs" dxfId="3986" priority="424" stopIfTrue="1" operator="lessThan">
      <formula>'1851'!$I$27</formula>
    </cfRule>
    <cfRule type="cellIs" dxfId="3985" priority="425" stopIfTrue="1" operator="lessThan">
      <formula>'1851'!$I$27</formula>
    </cfRule>
  </conditionalFormatting>
  <conditionalFormatting sqref="J28">
    <cfRule type="cellIs" dxfId="3984" priority="426" stopIfTrue="1" operator="equal">
      <formula>'1851'!$I$28</formula>
    </cfRule>
    <cfRule type="cellIs" dxfId="3983" priority="427" stopIfTrue="1" operator="lessThan">
      <formula>'1851'!$I$28</formula>
    </cfRule>
  </conditionalFormatting>
  <conditionalFormatting sqref="J29">
    <cfRule type="cellIs" dxfId="3982" priority="428" stopIfTrue="1" operator="equal">
      <formula>'1851'!$I$29</formula>
    </cfRule>
    <cfRule type="cellIs" dxfId="3981" priority="429" stopIfTrue="1" operator="lessThan">
      <formula>'1851'!$I$29</formula>
    </cfRule>
  </conditionalFormatting>
  <conditionalFormatting sqref="K13">
    <cfRule type="cellIs" dxfId="3980" priority="430" stopIfTrue="1" operator="equal">
      <formula>'1851'!$J$13</formula>
    </cfRule>
    <cfRule type="cellIs" dxfId="3979" priority="431" stopIfTrue="1" operator="lessThan">
      <formula>'1851'!$J$13</formula>
    </cfRule>
  </conditionalFormatting>
  <conditionalFormatting sqref="K14">
    <cfRule type="cellIs" dxfId="3978" priority="432" stopIfTrue="1" operator="equal">
      <formula>'1851'!$J$14</formula>
    </cfRule>
    <cfRule type="cellIs" dxfId="3977" priority="433" stopIfTrue="1" operator="lessThan">
      <formula>'1851'!$J$14</formula>
    </cfRule>
  </conditionalFormatting>
  <conditionalFormatting sqref="K15">
    <cfRule type="cellIs" dxfId="3976" priority="434" stopIfTrue="1" operator="equal">
      <formula>'1851'!$J$15</formula>
    </cfRule>
    <cfRule type="cellIs" dxfId="3975" priority="435" stopIfTrue="1" operator="lessThan">
      <formula>'1851'!$J$15</formula>
    </cfRule>
  </conditionalFormatting>
  <conditionalFormatting sqref="K16">
    <cfRule type="cellIs" dxfId="3974" priority="436" stopIfTrue="1" operator="equal">
      <formula>'1851'!$J$16</formula>
    </cfRule>
    <cfRule type="cellIs" dxfId="3973" priority="437" stopIfTrue="1" operator="lessThan">
      <formula>'1851'!$J$16</formula>
    </cfRule>
  </conditionalFormatting>
  <conditionalFormatting sqref="K17">
    <cfRule type="cellIs" dxfId="3972" priority="438" stopIfTrue="1" operator="equal">
      <formula>'1851'!$J$17</formula>
    </cfRule>
    <cfRule type="cellIs" dxfId="3971" priority="439" stopIfTrue="1" operator="lessThan">
      <formula>'1851'!$J$17</formula>
    </cfRule>
  </conditionalFormatting>
  <conditionalFormatting sqref="K18">
    <cfRule type="cellIs" dxfId="3970" priority="440" stopIfTrue="1" operator="equal">
      <formula>'1851'!$J$18</formula>
    </cfRule>
    <cfRule type="cellIs" dxfId="3969" priority="441" stopIfTrue="1" operator="lessThan">
      <formula>'1851'!$J$18</formula>
    </cfRule>
  </conditionalFormatting>
  <conditionalFormatting sqref="K19">
    <cfRule type="cellIs" dxfId="3968" priority="442" stopIfTrue="1" operator="equal">
      <formula>'1851'!$J$19</formula>
    </cfRule>
    <cfRule type="cellIs" dxfId="3967" priority="443" stopIfTrue="1" operator="lessThan">
      <formula>'1851'!$J$19</formula>
    </cfRule>
  </conditionalFormatting>
  <conditionalFormatting sqref="K20">
    <cfRule type="cellIs" dxfId="3966" priority="444" stopIfTrue="1" operator="equal">
      <formula>'1851'!$J$20</formula>
    </cfRule>
    <cfRule type="cellIs" dxfId="3965" priority="445" stopIfTrue="1" operator="lessThan">
      <formula>'1851'!$J$20</formula>
    </cfRule>
  </conditionalFormatting>
  <conditionalFormatting sqref="K21">
    <cfRule type="cellIs" dxfId="3964" priority="446" stopIfTrue="1" operator="equal">
      <formula>'1851'!$J$21</formula>
    </cfRule>
    <cfRule type="cellIs" dxfId="3963" priority="447" stopIfTrue="1" operator="lessThan">
      <formula>'1851'!$J$21</formula>
    </cfRule>
  </conditionalFormatting>
  <conditionalFormatting sqref="K22">
    <cfRule type="cellIs" dxfId="3962" priority="448" stopIfTrue="1" operator="equal">
      <formula>'1851'!$J$22</formula>
    </cfRule>
    <cfRule type="cellIs" dxfId="3961" priority="449" stopIfTrue="1" operator="lessThan">
      <formula>'1851'!$J$22</formula>
    </cfRule>
  </conditionalFormatting>
  <conditionalFormatting sqref="K23">
    <cfRule type="cellIs" dxfId="3960" priority="450" stopIfTrue="1" operator="equal">
      <formula>'1851'!$J$23</formula>
    </cfRule>
    <cfRule type="cellIs" dxfId="3959" priority="451" stopIfTrue="1" operator="lessThan">
      <formula>'1851'!$J$23</formula>
    </cfRule>
  </conditionalFormatting>
  <conditionalFormatting sqref="K24">
    <cfRule type="cellIs" dxfId="3958" priority="452" stopIfTrue="1" operator="equal">
      <formula>'1851'!$J$24</formula>
    </cfRule>
    <cfRule type="cellIs" dxfId="3957" priority="453" stopIfTrue="1" operator="lessThan">
      <formula>'1851'!$J$24</formula>
    </cfRule>
  </conditionalFormatting>
  <conditionalFormatting sqref="K25">
    <cfRule type="cellIs" dxfId="3956" priority="454" stopIfTrue="1" operator="equal">
      <formula>'1851'!$J$25</formula>
    </cfRule>
    <cfRule type="cellIs" dxfId="3955" priority="455" stopIfTrue="1" operator="lessThan">
      <formula>'1851'!$J$25</formula>
    </cfRule>
  </conditionalFormatting>
  <conditionalFormatting sqref="K26">
    <cfRule type="cellIs" dxfId="3954" priority="456" stopIfTrue="1" operator="equal">
      <formula>'1851'!$J$26</formula>
    </cfRule>
    <cfRule type="cellIs" dxfId="3953" priority="457" stopIfTrue="1" operator="lessThan">
      <formula>'1851'!$J$26</formula>
    </cfRule>
  </conditionalFormatting>
  <conditionalFormatting sqref="K27">
    <cfRule type="cellIs" dxfId="3952" priority="458" stopIfTrue="1" operator="equal">
      <formula>'1851'!$J$27</formula>
    </cfRule>
    <cfRule type="cellIs" dxfId="3951" priority="459" stopIfTrue="1" operator="lessThan">
      <formula>'1851'!$J$27</formula>
    </cfRule>
  </conditionalFormatting>
  <conditionalFormatting sqref="K28">
    <cfRule type="cellIs" dxfId="3950" priority="460" stopIfTrue="1" operator="equal">
      <formula>'1851'!$J$28</formula>
    </cfRule>
    <cfRule type="cellIs" dxfId="3949" priority="461" stopIfTrue="1" operator="lessThan">
      <formula>'1851'!$J$28</formula>
    </cfRule>
  </conditionalFormatting>
  <conditionalFormatting sqref="L4">
    <cfRule type="cellIs" dxfId="3948" priority="462" stopIfTrue="1" operator="equal">
      <formula>'1851'!$K$4</formula>
    </cfRule>
    <cfRule type="cellIs" dxfId="3947" priority="463" stopIfTrue="1" operator="lessThan">
      <formula>'1851'!$K$4</formula>
    </cfRule>
  </conditionalFormatting>
  <conditionalFormatting sqref="L5">
    <cfRule type="cellIs" dxfId="3946" priority="464" stopIfTrue="1" operator="equal">
      <formula>'1851'!$K$5</formula>
    </cfRule>
    <cfRule type="cellIs" dxfId="3945" priority="465" stopIfTrue="1" operator="lessThan">
      <formula>'1851'!$K$5</formula>
    </cfRule>
  </conditionalFormatting>
  <conditionalFormatting sqref="L6">
    <cfRule type="cellIs" dxfId="3944" priority="466" stopIfTrue="1" operator="equal">
      <formula>'1851'!$K$6</formula>
    </cfRule>
    <cfRule type="cellIs" dxfId="3943" priority="467" stopIfTrue="1" operator="lessThan">
      <formula>'1851'!$K$6</formula>
    </cfRule>
  </conditionalFormatting>
  <conditionalFormatting sqref="L7">
    <cfRule type="cellIs" dxfId="3942" priority="468" stopIfTrue="1" operator="equal">
      <formula>'1851'!$K$7</formula>
    </cfRule>
    <cfRule type="cellIs" dxfId="3941" priority="469" stopIfTrue="1" operator="lessThan">
      <formula>'1851'!$K$7</formula>
    </cfRule>
  </conditionalFormatting>
  <conditionalFormatting sqref="L8">
    <cfRule type="cellIs" dxfId="3940" priority="470" stopIfTrue="1" operator="equal">
      <formula>'1851'!$K$8</formula>
    </cfRule>
    <cfRule type="cellIs" dxfId="3939" priority="471" stopIfTrue="1" operator="lessThan">
      <formula>'1851'!$K$8</formula>
    </cfRule>
  </conditionalFormatting>
  <conditionalFormatting sqref="L9">
    <cfRule type="cellIs" dxfId="3938" priority="472" stopIfTrue="1" operator="equal">
      <formula>'1851'!$K$9</formula>
    </cfRule>
    <cfRule type="cellIs" dxfId="3937" priority="473" stopIfTrue="1" operator="lessThan">
      <formula>'1851'!$K$9</formula>
    </cfRule>
  </conditionalFormatting>
  <conditionalFormatting sqref="L10">
    <cfRule type="cellIs" dxfId="3936" priority="474" stopIfTrue="1" operator="equal">
      <formula>'1851'!$K$10</formula>
    </cfRule>
    <cfRule type="cellIs" dxfId="3935" priority="475" stopIfTrue="1" operator="lessThan">
      <formula>'1851'!$K$10</formula>
    </cfRule>
  </conditionalFormatting>
  <conditionalFormatting sqref="L11">
    <cfRule type="cellIs" dxfId="3934" priority="476" stopIfTrue="1" operator="equal">
      <formula>'1851'!$K$11</formula>
    </cfRule>
    <cfRule type="cellIs" dxfId="3933" priority="477" stopIfTrue="1" operator="lessThan">
      <formula>'1851'!$K$11</formula>
    </cfRule>
  </conditionalFormatting>
  <conditionalFormatting sqref="L12">
    <cfRule type="cellIs" dxfId="3932" priority="478" stopIfTrue="1" operator="equal">
      <formula>'1851'!$K$12</formula>
    </cfRule>
    <cfRule type="cellIs" dxfId="3931" priority="479" stopIfTrue="1" operator="lessThan">
      <formula>'1851'!$K$12</formula>
    </cfRule>
  </conditionalFormatting>
  <conditionalFormatting sqref="L13">
    <cfRule type="cellIs" dxfId="3930" priority="480" stopIfTrue="1" operator="equal">
      <formula>'1851'!$K$13</formula>
    </cfRule>
    <cfRule type="cellIs" dxfId="3929" priority="481" stopIfTrue="1" operator="lessThan">
      <formula>'1851'!$K$13</formula>
    </cfRule>
  </conditionalFormatting>
  <conditionalFormatting sqref="L14">
    <cfRule type="cellIs" dxfId="3928" priority="482" stopIfTrue="1" operator="equal">
      <formula>'1851'!$K$14</formula>
    </cfRule>
    <cfRule type="cellIs" dxfId="3927" priority="483" stopIfTrue="1" operator="lessThan">
      <formula>'1851'!$K$14</formula>
    </cfRule>
  </conditionalFormatting>
  <conditionalFormatting sqref="L15">
    <cfRule type="cellIs" dxfId="3926" priority="484" stopIfTrue="1" operator="equal">
      <formula>'1851'!$K$15</formula>
    </cfRule>
    <cfRule type="cellIs" dxfId="3925" priority="485" stopIfTrue="1" operator="lessThan">
      <formula>'1851'!$K$15</formula>
    </cfRule>
  </conditionalFormatting>
  <conditionalFormatting sqref="L16">
    <cfRule type="cellIs" dxfId="3924" priority="486" stopIfTrue="1" operator="equal">
      <formula>'1851'!$K$16</formula>
    </cfRule>
    <cfRule type="cellIs" dxfId="3923" priority="487" stopIfTrue="1" operator="lessThan">
      <formula>'1851'!$K$16</formula>
    </cfRule>
  </conditionalFormatting>
  <conditionalFormatting sqref="L17">
    <cfRule type="cellIs" dxfId="3922" priority="488" stopIfTrue="1" operator="equal">
      <formula>'1851'!$K$17</formula>
    </cfRule>
    <cfRule type="cellIs" dxfId="3921" priority="489" stopIfTrue="1" operator="lessThan">
      <formula>'1851'!$K$17</formula>
    </cfRule>
  </conditionalFormatting>
  <conditionalFormatting sqref="L18">
    <cfRule type="cellIs" dxfId="3920" priority="490" stopIfTrue="1" operator="equal">
      <formula>'1851'!$K$18</formula>
    </cfRule>
    <cfRule type="cellIs" dxfId="3919" priority="491" stopIfTrue="1" operator="lessThan">
      <formula>'1851'!$K$18</formula>
    </cfRule>
  </conditionalFormatting>
  <conditionalFormatting sqref="L19">
    <cfRule type="cellIs" dxfId="3918" priority="492" stopIfTrue="1" operator="equal">
      <formula>'1851'!$K$19</formula>
    </cfRule>
    <cfRule type="cellIs" dxfId="3917" priority="493" stopIfTrue="1" operator="lessThan">
      <formula>'1851'!$K$19</formula>
    </cfRule>
  </conditionalFormatting>
  <conditionalFormatting sqref="L20">
    <cfRule type="cellIs" dxfId="3916" priority="494" stopIfTrue="1" operator="equal">
      <formula>'1851'!$K$20</formula>
    </cfRule>
    <cfRule type="cellIs" dxfId="3915" priority="495" stopIfTrue="1" operator="lessThan">
      <formula>'1851'!$K$20</formula>
    </cfRule>
  </conditionalFormatting>
  <conditionalFormatting sqref="L21">
    <cfRule type="cellIs" dxfId="3914" priority="496" stopIfTrue="1" operator="equal">
      <formula>'1851'!$K$21</formula>
    </cfRule>
    <cfRule type="cellIs" dxfId="3913" priority="497" stopIfTrue="1" operator="lessThan">
      <formula>'1851'!$K$21</formula>
    </cfRule>
  </conditionalFormatting>
  <conditionalFormatting sqref="L22">
    <cfRule type="cellIs" dxfId="3912" priority="498" stopIfTrue="1" operator="equal">
      <formula>'1851'!$K$22</formula>
    </cfRule>
    <cfRule type="cellIs" dxfId="3911" priority="499" stopIfTrue="1" operator="lessThan">
      <formula>'1851'!$K$22</formula>
    </cfRule>
  </conditionalFormatting>
  <conditionalFormatting sqref="L23">
    <cfRule type="cellIs" dxfId="3910" priority="500" stopIfTrue="1" operator="equal">
      <formula>'1851'!$K$23</formula>
    </cfRule>
    <cfRule type="cellIs" dxfId="3909" priority="501" stopIfTrue="1" operator="lessThan">
      <formula>'1851'!$K$23</formula>
    </cfRule>
  </conditionalFormatting>
  <conditionalFormatting sqref="L24">
    <cfRule type="cellIs" dxfId="3908" priority="502" stopIfTrue="1" operator="equal">
      <formula>'1851'!$K$24</formula>
    </cfRule>
    <cfRule type="cellIs" dxfId="3907" priority="503" stopIfTrue="1" operator="lessThan">
      <formula>'1851'!$K$24</formula>
    </cfRule>
  </conditionalFormatting>
  <conditionalFormatting sqref="L25">
    <cfRule type="cellIs" dxfId="3906" priority="504" stopIfTrue="1" operator="equal">
      <formula>'1851'!$K$25</formula>
    </cfRule>
    <cfRule type="cellIs" dxfId="3905" priority="505" stopIfTrue="1" operator="lessThan">
      <formula>'1851'!$K$25</formula>
    </cfRule>
  </conditionalFormatting>
  <conditionalFormatting sqref="L26">
    <cfRule type="cellIs" dxfId="3904" priority="506" stopIfTrue="1" operator="equal">
      <formula>'1851'!$K$26</formula>
    </cfRule>
    <cfRule type="cellIs" dxfId="3903" priority="507" stopIfTrue="1" operator="lessThan">
      <formula>'1851'!$K$26</formula>
    </cfRule>
  </conditionalFormatting>
  <conditionalFormatting sqref="L27">
    <cfRule type="cellIs" dxfId="3902" priority="508" stopIfTrue="1" operator="equal">
      <formula>'1851'!$K$27</formula>
    </cfRule>
    <cfRule type="cellIs" dxfId="3901" priority="509" stopIfTrue="1" operator="lessThan">
      <formula>'1851'!$K$27</formula>
    </cfRule>
  </conditionalFormatting>
  <conditionalFormatting sqref="L28">
    <cfRule type="cellIs" dxfId="3900" priority="510" stopIfTrue="1" operator="lessThan">
      <formula>'1851'!$K$28</formula>
    </cfRule>
    <cfRule type="cellIs" dxfId="3899" priority="511" stopIfTrue="1" operator="equal">
      <formula>'1851'!$K$28</formula>
    </cfRule>
  </conditionalFormatting>
  <conditionalFormatting sqref="M4">
    <cfRule type="cellIs" dxfId="3898" priority="512" stopIfTrue="1" operator="equal">
      <formula>'1851'!$L$4</formula>
    </cfRule>
    <cfRule type="cellIs" dxfId="3897" priority="513" stopIfTrue="1" operator="lessThan">
      <formula>'1851'!$L$4</formula>
    </cfRule>
  </conditionalFormatting>
  <conditionalFormatting sqref="M5">
    <cfRule type="cellIs" dxfId="3896" priority="514" stopIfTrue="1" operator="equal">
      <formula>'1851'!$L$5</formula>
    </cfRule>
    <cfRule type="cellIs" dxfId="3895" priority="515" stopIfTrue="1" operator="lessThan">
      <formula>'1851'!$L$5</formula>
    </cfRule>
  </conditionalFormatting>
  <conditionalFormatting sqref="M6">
    <cfRule type="cellIs" dxfId="3894" priority="516" stopIfTrue="1" operator="equal">
      <formula>'1851'!$L$6</formula>
    </cfRule>
    <cfRule type="cellIs" dxfId="3893" priority="517" stopIfTrue="1" operator="lessThan">
      <formula>'1851'!$L$6</formula>
    </cfRule>
  </conditionalFormatting>
  <conditionalFormatting sqref="M7">
    <cfRule type="cellIs" dxfId="3892" priority="518" stopIfTrue="1" operator="equal">
      <formula>'1851'!$L$7</formula>
    </cfRule>
    <cfRule type="cellIs" dxfId="3891" priority="519" stopIfTrue="1" operator="lessThan">
      <formula>'1851'!$L$7</formula>
    </cfRule>
  </conditionalFormatting>
  <conditionalFormatting sqref="M8">
    <cfRule type="cellIs" dxfId="3890" priority="520" stopIfTrue="1" operator="equal">
      <formula>'1851'!$L$8</formula>
    </cfRule>
    <cfRule type="cellIs" dxfId="3889" priority="521" stopIfTrue="1" operator="lessThan">
      <formula>'1851'!$L$8</formula>
    </cfRule>
  </conditionalFormatting>
  <conditionalFormatting sqref="M9">
    <cfRule type="cellIs" dxfId="3888" priority="522" stopIfTrue="1" operator="equal">
      <formula>'1851'!$L$9</formula>
    </cfRule>
    <cfRule type="cellIs" dxfId="3887" priority="523" stopIfTrue="1" operator="lessThan">
      <formula>'1851'!$L$9</formula>
    </cfRule>
  </conditionalFormatting>
  <conditionalFormatting sqref="M10">
    <cfRule type="cellIs" dxfId="3886" priority="524" stopIfTrue="1" operator="equal">
      <formula>'1851'!$L$10</formula>
    </cfRule>
    <cfRule type="cellIs" dxfId="3885" priority="525" stopIfTrue="1" operator="lessThan">
      <formula>'1851'!$L$10</formula>
    </cfRule>
  </conditionalFormatting>
  <conditionalFormatting sqref="M12">
    <cfRule type="cellIs" dxfId="3884" priority="526" stopIfTrue="1" operator="equal">
      <formula>'1851'!$L$12</formula>
    </cfRule>
    <cfRule type="cellIs" dxfId="3883" priority="527" stopIfTrue="1" operator="lessThan">
      <formula>'1851'!$L$12</formula>
    </cfRule>
  </conditionalFormatting>
  <conditionalFormatting sqref="M13">
    <cfRule type="cellIs" dxfId="3882" priority="528" stopIfTrue="1" operator="equal">
      <formula>'1851'!$L$13</formula>
    </cfRule>
    <cfRule type="cellIs" dxfId="3881" priority="529" stopIfTrue="1" operator="lessThan">
      <formula>'1851'!$L$13</formula>
    </cfRule>
  </conditionalFormatting>
  <conditionalFormatting sqref="M14">
    <cfRule type="cellIs" dxfId="3880" priority="530" stopIfTrue="1" operator="equal">
      <formula>'1851'!$L$14</formula>
    </cfRule>
    <cfRule type="cellIs" dxfId="3879" priority="531" stopIfTrue="1" operator="lessThan">
      <formula>'1851'!$L$14</formula>
    </cfRule>
  </conditionalFormatting>
  <conditionalFormatting sqref="M15">
    <cfRule type="cellIs" dxfId="3878" priority="532" stopIfTrue="1" operator="equal">
      <formula>'1851'!$L$15</formula>
    </cfRule>
    <cfRule type="cellIs" dxfId="3877" priority="533" stopIfTrue="1" operator="lessThan">
      <formula>'1851'!$L$15</formula>
    </cfRule>
  </conditionalFormatting>
  <conditionalFormatting sqref="M16">
    <cfRule type="cellIs" dxfId="3876" priority="534" stopIfTrue="1" operator="equal">
      <formula>'1851'!$L$16</formula>
    </cfRule>
    <cfRule type="cellIs" dxfId="3875" priority="535" stopIfTrue="1" operator="lessThan">
      <formula>'1851'!$L$16</formula>
    </cfRule>
  </conditionalFormatting>
  <conditionalFormatting sqref="M17">
    <cfRule type="cellIs" dxfId="3874" priority="536" stopIfTrue="1" operator="equal">
      <formula>'1851'!$L$17</formula>
    </cfRule>
    <cfRule type="cellIs" dxfId="3873" priority="537" stopIfTrue="1" operator="lessThan">
      <formula>'1851'!$L$17</formula>
    </cfRule>
  </conditionalFormatting>
  <conditionalFormatting sqref="M18">
    <cfRule type="cellIs" dxfId="3872" priority="538" stopIfTrue="1" operator="equal">
      <formula>'1851'!$L$18</formula>
    </cfRule>
    <cfRule type="cellIs" dxfId="3871" priority="539" stopIfTrue="1" operator="lessThan">
      <formula>'1851'!$L$18</formula>
    </cfRule>
  </conditionalFormatting>
  <conditionalFormatting sqref="M19">
    <cfRule type="cellIs" dxfId="3870" priority="540" stopIfTrue="1" operator="equal">
      <formula>'1851'!$L$19</formula>
    </cfRule>
    <cfRule type="cellIs" dxfId="3869" priority="541" stopIfTrue="1" operator="lessThan">
      <formula>'1851'!$L$19</formula>
    </cfRule>
  </conditionalFormatting>
  <conditionalFormatting sqref="M20">
    <cfRule type="cellIs" dxfId="3868" priority="542" stopIfTrue="1" operator="equal">
      <formula>'1851'!$L$20</formula>
    </cfRule>
    <cfRule type="cellIs" dxfId="3867" priority="543" stopIfTrue="1" operator="lessThan">
      <formula>'1851'!$L$20</formula>
    </cfRule>
  </conditionalFormatting>
  <conditionalFormatting sqref="M21">
    <cfRule type="cellIs" dxfId="3866" priority="544" stopIfTrue="1" operator="equal">
      <formula>'1851'!$L$21</formula>
    </cfRule>
    <cfRule type="cellIs" dxfId="3865" priority="545" stopIfTrue="1" operator="lessThan">
      <formula>'1851'!$L$21</formula>
    </cfRule>
  </conditionalFormatting>
  <conditionalFormatting sqref="M11">
    <cfRule type="cellIs" dxfId="3864" priority="546" stopIfTrue="1" operator="equal">
      <formula>'1851'!$L$11</formula>
    </cfRule>
    <cfRule type="cellIs" dxfId="3863" priority="547" stopIfTrue="1" operator="lessThan">
      <formula>'1851'!$L$11</formula>
    </cfRule>
  </conditionalFormatting>
  <conditionalFormatting sqref="M22">
    <cfRule type="cellIs" dxfId="3862" priority="548" stopIfTrue="1" operator="equal">
      <formula>'1851'!$L$22</formula>
    </cfRule>
    <cfRule type="cellIs" dxfId="3861" priority="549" stopIfTrue="1" operator="lessThan">
      <formula>'1851'!$L$22</formula>
    </cfRule>
  </conditionalFormatting>
  <conditionalFormatting sqref="M23">
    <cfRule type="cellIs" dxfId="3860" priority="550" stopIfTrue="1" operator="equal">
      <formula>'1851'!$L$23</formula>
    </cfRule>
    <cfRule type="cellIs" dxfId="3859" priority="551" stopIfTrue="1" operator="lessThan">
      <formula>'1851'!$L$23</formula>
    </cfRule>
  </conditionalFormatting>
  <conditionalFormatting sqref="M24">
    <cfRule type="cellIs" dxfId="3858" priority="552" stopIfTrue="1" operator="equal">
      <formula>'1851'!$L$24</formula>
    </cfRule>
    <cfRule type="cellIs" dxfId="3857" priority="553" stopIfTrue="1" operator="lessThan">
      <formula>'1851'!$L$24</formula>
    </cfRule>
  </conditionalFormatting>
  <conditionalFormatting sqref="M25">
    <cfRule type="cellIs" dxfId="3856" priority="554" stopIfTrue="1" operator="equal">
      <formula>'1851'!$L$25</formula>
    </cfRule>
    <cfRule type="cellIs" dxfId="3855" priority="555" stopIfTrue="1" operator="lessThan">
      <formula>'1851'!$L$25</formula>
    </cfRule>
  </conditionalFormatting>
  <conditionalFormatting sqref="M26">
    <cfRule type="cellIs" dxfId="3854" priority="556" stopIfTrue="1" operator="equal">
      <formula>'1851'!$L$26</formula>
    </cfRule>
    <cfRule type="cellIs" dxfId="3853" priority="557" stopIfTrue="1" operator="lessThan">
      <formula>'1851'!$L$26</formula>
    </cfRule>
  </conditionalFormatting>
  <conditionalFormatting sqref="M27">
    <cfRule type="cellIs" dxfId="3852" priority="558" stopIfTrue="1" operator="equal">
      <formula>'1851'!$L$27</formula>
    </cfRule>
    <cfRule type="cellIs" dxfId="3851" priority="559" stopIfTrue="1" operator="lessThan">
      <formula>'1851'!$L$27</formula>
    </cfRule>
  </conditionalFormatting>
  <conditionalFormatting sqref="M28">
    <cfRule type="cellIs" dxfId="3850" priority="560" stopIfTrue="1" operator="equal">
      <formula>'1851'!$L$28</formula>
    </cfRule>
    <cfRule type="cellIs" dxfId="3849" priority="561" stopIfTrue="1" operator="lessThan">
      <formula>'1851'!$L$28</formula>
    </cfRule>
  </conditionalFormatting>
  <conditionalFormatting sqref="N4">
    <cfRule type="cellIs" dxfId="3848" priority="562" stopIfTrue="1" operator="lessThan">
      <formula>'1851'!$M$4</formula>
    </cfRule>
    <cfRule type="cellIs" dxfId="3847" priority="563" stopIfTrue="1" operator="equal">
      <formula>'1851'!$M$4</formula>
    </cfRule>
  </conditionalFormatting>
  <conditionalFormatting sqref="N5">
    <cfRule type="cellIs" dxfId="3846" priority="564" stopIfTrue="1" operator="equal">
      <formula>'1851'!$M$5</formula>
    </cfRule>
    <cfRule type="cellIs" dxfId="3845" priority="565" stopIfTrue="1" operator="lessThan">
      <formula>'1851'!$M$5</formula>
    </cfRule>
  </conditionalFormatting>
  <conditionalFormatting sqref="N6">
    <cfRule type="cellIs" dxfId="3844" priority="566" stopIfTrue="1" operator="equal">
      <formula>'1851'!$M$6</formula>
    </cfRule>
    <cfRule type="cellIs" dxfId="3843" priority="567" stopIfTrue="1" operator="lessThan">
      <formula>'1851'!$M$6</formula>
    </cfRule>
  </conditionalFormatting>
  <conditionalFormatting sqref="N7">
    <cfRule type="cellIs" dxfId="3842" priority="568" stopIfTrue="1" operator="equal">
      <formula>'1851'!$M$7</formula>
    </cfRule>
    <cfRule type="cellIs" dxfId="3841" priority="569" stopIfTrue="1" operator="lessThan">
      <formula>'1851'!$M$7</formula>
    </cfRule>
  </conditionalFormatting>
  <conditionalFormatting sqref="N8">
    <cfRule type="cellIs" dxfId="3840" priority="570" stopIfTrue="1" operator="equal">
      <formula>'1851'!$M$8</formula>
    </cfRule>
    <cfRule type="cellIs" dxfId="3839" priority="571" stopIfTrue="1" operator="lessThan">
      <formula>'1851'!$M$8</formula>
    </cfRule>
  </conditionalFormatting>
  <conditionalFormatting sqref="N9">
    <cfRule type="cellIs" dxfId="3838" priority="572" stopIfTrue="1" operator="equal">
      <formula>'1851'!$M$9</formula>
    </cfRule>
    <cfRule type="cellIs" dxfId="3837" priority="573" stopIfTrue="1" operator="lessThan">
      <formula>'1851'!$M$9</formula>
    </cfRule>
  </conditionalFormatting>
  <conditionalFormatting sqref="N10">
    <cfRule type="cellIs" dxfId="3836" priority="574" stopIfTrue="1" operator="equal">
      <formula>'1851'!$M$10</formula>
    </cfRule>
    <cfRule type="cellIs" dxfId="3835" priority="575" stopIfTrue="1" operator="lessThan">
      <formula>'1851'!$M$10</formula>
    </cfRule>
  </conditionalFormatting>
  <conditionalFormatting sqref="N11">
    <cfRule type="cellIs" dxfId="3834" priority="576" stopIfTrue="1" operator="equal">
      <formula>'1851'!$M$11</formula>
    </cfRule>
    <cfRule type="cellIs" dxfId="3833" priority="577" stopIfTrue="1" operator="lessThan">
      <formula>'1851'!$M$11</formula>
    </cfRule>
  </conditionalFormatting>
  <conditionalFormatting sqref="N12">
    <cfRule type="cellIs" dxfId="3832" priority="578" stopIfTrue="1" operator="equal">
      <formula>'1851'!$M$12</formula>
    </cfRule>
    <cfRule type="cellIs" dxfId="3831" priority="579" stopIfTrue="1" operator="lessThan">
      <formula>'1851'!$M$12</formula>
    </cfRule>
  </conditionalFormatting>
  <conditionalFormatting sqref="N13">
    <cfRule type="cellIs" dxfId="3830" priority="580" stopIfTrue="1" operator="equal">
      <formula>'1851'!$M$13</formula>
    </cfRule>
    <cfRule type="cellIs" dxfId="3829" priority="581" stopIfTrue="1" operator="lessThan">
      <formula>'1851'!$M$13</formula>
    </cfRule>
  </conditionalFormatting>
  <conditionalFormatting sqref="N14">
    <cfRule type="cellIs" dxfId="3828" priority="582" stopIfTrue="1" operator="equal">
      <formula>'1851'!$M$14</formula>
    </cfRule>
    <cfRule type="cellIs" dxfId="3827" priority="583" stopIfTrue="1" operator="lessThan">
      <formula>'1851'!$M$14</formula>
    </cfRule>
  </conditionalFormatting>
  <conditionalFormatting sqref="N15">
    <cfRule type="cellIs" dxfId="3826" priority="584" stopIfTrue="1" operator="equal">
      <formula>'1851'!$M$15</formula>
    </cfRule>
    <cfRule type="cellIs" dxfId="3825" priority="585" stopIfTrue="1" operator="lessThan">
      <formula>'1851'!$M$15</formula>
    </cfRule>
  </conditionalFormatting>
  <conditionalFormatting sqref="N16">
    <cfRule type="cellIs" dxfId="3824" priority="586" stopIfTrue="1" operator="equal">
      <formula>'1851'!$M$16</formula>
    </cfRule>
    <cfRule type="cellIs" dxfId="3823" priority="587" stopIfTrue="1" operator="lessThan">
      <formula>'1851'!$M$16</formula>
    </cfRule>
  </conditionalFormatting>
  <conditionalFormatting sqref="N17">
    <cfRule type="cellIs" dxfId="3822" priority="588" stopIfTrue="1" operator="equal">
      <formula>'1851'!$M$17</formula>
    </cfRule>
    <cfRule type="cellIs" dxfId="3821" priority="589" stopIfTrue="1" operator="lessThan">
      <formula>'1851'!$M$17</formula>
    </cfRule>
  </conditionalFormatting>
  <conditionalFormatting sqref="N18">
    <cfRule type="cellIs" dxfId="3820" priority="590" stopIfTrue="1" operator="equal">
      <formula>'1851'!$M$18</formula>
    </cfRule>
    <cfRule type="cellIs" dxfId="3819" priority="591" stopIfTrue="1" operator="lessThan">
      <formula>'1851'!$M$18</formula>
    </cfRule>
  </conditionalFormatting>
  <conditionalFormatting sqref="N19">
    <cfRule type="cellIs" dxfId="3818" priority="592" stopIfTrue="1" operator="equal">
      <formula>'1851'!$M$19</formula>
    </cfRule>
    <cfRule type="cellIs" dxfId="3817" priority="593" stopIfTrue="1" operator="lessThan">
      <formula>'1851'!$M$19</formula>
    </cfRule>
  </conditionalFormatting>
  <conditionalFormatting sqref="N20">
    <cfRule type="cellIs" dxfId="3816" priority="594" stopIfTrue="1" operator="equal">
      <formula>'1851'!$M$20</formula>
    </cfRule>
    <cfRule type="cellIs" dxfId="3815" priority="595" stopIfTrue="1" operator="lessThan">
      <formula>'1851'!$M$20</formula>
    </cfRule>
  </conditionalFormatting>
  <conditionalFormatting sqref="N21">
    <cfRule type="cellIs" dxfId="3814" priority="596" stopIfTrue="1" operator="equal">
      <formula>'1851'!$M$21</formula>
    </cfRule>
    <cfRule type="cellIs" dxfId="3813" priority="597" stopIfTrue="1" operator="lessThan">
      <formula>'1851'!$M$21</formula>
    </cfRule>
  </conditionalFormatting>
  <conditionalFormatting sqref="N22">
    <cfRule type="cellIs" dxfId="3812" priority="598" stopIfTrue="1" operator="equal">
      <formula>'1851'!$M$22</formula>
    </cfRule>
    <cfRule type="cellIs" dxfId="3811" priority="599" stopIfTrue="1" operator="lessThan">
      <formula>'1851'!$M$22</formula>
    </cfRule>
  </conditionalFormatting>
  <conditionalFormatting sqref="N23">
    <cfRule type="cellIs" dxfId="3810" priority="600" stopIfTrue="1" operator="equal">
      <formula>'1851'!$M$23</formula>
    </cfRule>
    <cfRule type="cellIs" dxfId="3809" priority="601" stopIfTrue="1" operator="lessThan">
      <formula>'1851'!$M$23</formula>
    </cfRule>
  </conditionalFormatting>
  <conditionalFormatting sqref="N24">
    <cfRule type="cellIs" dxfId="3808" priority="602" stopIfTrue="1" operator="equal">
      <formula>'1851'!$M$24</formula>
    </cfRule>
    <cfRule type="cellIs" dxfId="3807" priority="603" stopIfTrue="1" operator="lessThan">
      <formula>'1851'!$M$24</formula>
    </cfRule>
  </conditionalFormatting>
  <conditionalFormatting sqref="N25">
    <cfRule type="cellIs" dxfId="3806" priority="604" stopIfTrue="1" operator="equal">
      <formula>'1851'!$M$25</formula>
    </cfRule>
    <cfRule type="cellIs" dxfId="3805" priority="605" stopIfTrue="1" operator="lessThan">
      <formula>'1851'!$M$25</formula>
    </cfRule>
  </conditionalFormatting>
  <conditionalFormatting sqref="N26">
    <cfRule type="cellIs" dxfId="3804" priority="606" stopIfTrue="1" operator="equal">
      <formula>'1851'!$M$26</formula>
    </cfRule>
    <cfRule type="cellIs" dxfId="3803" priority="607" stopIfTrue="1" operator="lessThan">
      <formula>'1851'!$M$26</formula>
    </cfRule>
  </conditionalFormatting>
  <conditionalFormatting sqref="N27">
    <cfRule type="cellIs" dxfId="3802" priority="608" stopIfTrue="1" operator="equal">
      <formula>'1851'!$M$27</formula>
    </cfRule>
    <cfRule type="cellIs" dxfId="3801" priority="609" stopIfTrue="1" operator="lessThan">
      <formula>'1851'!$M$27</formula>
    </cfRule>
  </conditionalFormatting>
  <conditionalFormatting sqref="N28">
    <cfRule type="cellIs" dxfId="3800" priority="610" stopIfTrue="1" operator="equal">
      <formula>'1851'!$M$28</formula>
    </cfRule>
    <cfRule type="cellIs" dxfId="3799" priority="611" stopIfTrue="1" operator="lessThan">
      <formula>'1851'!$M$28</formula>
    </cfRule>
  </conditionalFormatting>
  <conditionalFormatting sqref="O4">
    <cfRule type="cellIs" dxfId="3798" priority="612" stopIfTrue="1" operator="equal">
      <formula>'1851'!$N$4</formula>
    </cfRule>
    <cfRule type="cellIs" dxfId="3797" priority="613" stopIfTrue="1" operator="lessThan">
      <formula>'1851'!$N$4</formula>
    </cfRule>
  </conditionalFormatting>
  <conditionalFormatting sqref="O5">
    <cfRule type="cellIs" dxfId="3796" priority="614" stopIfTrue="1" operator="equal">
      <formula>'1851'!$N$5</formula>
    </cfRule>
    <cfRule type="cellIs" dxfId="3795" priority="615" stopIfTrue="1" operator="lessThan">
      <formula>'1851'!$N$5</formula>
    </cfRule>
  </conditionalFormatting>
  <conditionalFormatting sqref="O6">
    <cfRule type="cellIs" dxfId="3794" priority="616" stopIfTrue="1" operator="equal">
      <formula>'1851'!$N$6</formula>
    </cfRule>
    <cfRule type="cellIs" dxfId="3793" priority="617" stopIfTrue="1" operator="lessThan">
      <formula>'1851'!$N$6</formula>
    </cfRule>
  </conditionalFormatting>
  <conditionalFormatting sqref="O7">
    <cfRule type="cellIs" dxfId="3792" priority="618" stopIfTrue="1" operator="equal">
      <formula>'1851'!$N$7</formula>
    </cfRule>
    <cfRule type="cellIs" dxfId="3791" priority="619" stopIfTrue="1" operator="lessThan">
      <formula>'1851'!$N$7</formula>
    </cfRule>
  </conditionalFormatting>
  <conditionalFormatting sqref="O8">
    <cfRule type="cellIs" dxfId="3790" priority="620" stopIfTrue="1" operator="equal">
      <formula>'1851'!$N$8</formula>
    </cfRule>
    <cfRule type="cellIs" dxfId="3789" priority="621" stopIfTrue="1" operator="lessThan">
      <formula>'1851'!$N$8</formula>
    </cfRule>
  </conditionalFormatting>
  <conditionalFormatting sqref="O9">
    <cfRule type="cellIs" dxfId="3788" priority="622" stopIfTrue="1" operator="equal">
      <formula>'1851'!$N$9</formula>
    </cfRule>
    <cfRule type="cellIs" dxfId="3787" priority="623" stopIfTrue="1" operator="lessThan">
      <formula>'1851'!$N$9</formula>
    </cfRule>
  </conditionalFormatting>
  <conditionalFormatting sqref="O10">
    <cfRule type="cellIs" dxfId="3786" priority="624" stopIfTrue="1" operator="equal">
      <formula>'1851'!$N$10</formula>
    </cfRule>
    <cfRule type="cellIs" dxfId="3785" priority="625" stopIfTrue="1" operator="lessThan">
      <formula>'1851'!$N$10</formula>
    </cfRule>
  </conditionalFormatting>
  <conditionalFormatting sqref="O11">
    <cfRule type="cellIs" dxfId="3784" priority="626" stopIfTrue="1" operator="equal">
      <formula>'1851'!$N$11</formula>
    </cfRule>
    <cfRule type="cellIs" dxfId="3783" priority="627" stopIfTrue="1" operator="lessThan">
      <formula>'1851'!$N$11</formula>
    </cfRule>
  </conditionalFormatting>
  <conditionalFormatting sqref="O12">
    <cfRule type="cellIs" dxfId="3782" priority="628" stopIfTrue="1" operator="equal">
      <formula>'1851'!$N$12</formula>
    </cfRule>
    <cfRule type="cellIs" dxfId="3781" priority="629" stopIfTrue="1" operator="lessThan">
      <formula>'1851'!$N$12</formula>
    </cfRule>
  </conditionalFormatting>
  <conditionalFormatting sqref="O13">
    <cfRule type="cellIs" dxfId="3780" priority="630" stopIfTrue="1" operator="equal">
      <formula>'1851'!$N$13</formula>
    </cfRule>
    <cfRule type="cellIs" dxfId="3779" priority="631" stopIfTrue="1" operator="lessThan">
      <formula>'1851'!$N$13</formula>
    </cfRule>
  </conditionalFormatting>
  <conditionalFormatting sqref="O14">
    <cfRule type="cellIs" dxfId="3778" priority="632" stopIfTrue="1" operator="equal">
      <formula>'1851'!$N$14</formula>
    </cfRule>
    <cfRule type="cellIs" dxfId="3777" priority="633" stopIfTrue="1" operator="lessThan">
      <formula>'1851'!$N$14</formula>
    </cfRule>
  </conditionalFormatting>
  <conditionalFormatting sqref="O15">
    <cfRule type="cellIs" dxfId="3776" priority="634" stopIfTrue="1" operator="equal">
      <formula>'1851'!$N$15</formula>
    </cfRule>
    <cfRule type="cellIs" dxfId="3775" priority="635" stopIfTrue="1" operator="lessThan">
      <formula>'1851'!$N$15</formula>
    </cfRule>
  </conditionalFormatting>
  <conditionalFormatting sqref="O16">
    <cfRule type="cellIs" dxfId="3774" priority="636" stopIfTrue="1" operator="equal">
      <formula>'1851'!$N$16</formula>
    </cfRule>
    <cfRule type="cellIs" dxfId="3773" priority="637" stopIfTrue="1" operator="lessThan">
      <formula>'1851'!$N$16</formula>
    </cfRule>
  </conditionalFormatting>
  <conditionalFormatting sqref="O17">
    <cfRule type="cellIs" dxfId="3772" priority="638" stopIfTrue="1" operator="equal">
      <formula>'1851'!$N$17</formula>
    </cfRule>
    <cfRule type="cellIs" dxfId="3771" priority="639" stopIfTrue="1" operator="lessThan">
      <formula>'1851'!$N$17</formula>
    </cfRule>
  </conditionalFormatting>
  <conditionalFormatting sqref="O18">
    <cfRule type="cellIs" dxfId="3770" priority="640" stopIfTrue="1" operator="equal">
      <formula>'1851'!$N$18</formula>
    </cfRule>
    <cfRule type="cellIs" dxfId="3769" priority="641" stopIfTrue="1" operator="lessThan">
      <formula>'1851'!$N$18</formula>
    </cfRule>
  </conditionalFormatting>
  <conditionalFormatting sqref="O19">
    <cfRule type="cellIs" dxfId="3768" priority="642" stopIfTrue="1" operator="equal">
      <formula>'1851'!$N$19</formula>
    </cfRule>
    <cfRule type="cellIs" dxfId="3767" priority="643" stopIfTrue="1" operator="lessThan">
      <formula>'1851'!$N$19</formula>
    </cfRule>
  </conditionalFormatting>
  <conditionalFormatting sqref="O20">
    <cfRule type="cellIs" dxfId="3766" priority="644" stopIfTrue="1" operator="equal">
      <formula>'1851'!$N$20</formula>
    </cfRule>
    <cfRule type="cellIs" dxfId="3765" priority="645" stopIfTrue="1" operator="lessThan">
      <formula>'1851'!$N$20</formula>
    </cfRule>
  </conditionalFormatting>
  <conditionalFormatting sqref="O21">
    <cfRule type="cellIs" dxfId="3764" priority="646" stopIfTrue="1" operator="equal">
      <formula>'1851'!$N$21</formula>
    </cfRule>
    <cfRule type="cellIs" dxfId="3763" priority="647" stopIfTrue="1" operator="lessThan">
      <formula>'1851'!$N$21</formula>
    </cfRule>
  </conditionalFormatting>
  <conditionalFormatting sqref="O22">
    <cfRule type="cellIs" dxfId="3762" priority="648" stopIfTrue="1" operator="equal">
      <formula>'1851'!$N$22</formula>
    </cfRule>
    <cfRule type="cellIs" dxfId="3761" priority="649" stopIfTrue="1" operator="lessThan">
      <formula>'1851'!$N$22</formula>
    </cfRule>
  </conditionalFormatting>
  <conditionalFormatting sqref="O23">
    <cfRule type="cellIs" dxfId="3760" priority="650" stopIfTrue="1" operator="equal">
      <formula>'1851'!$N$23</formula>
    </cfRule>
    <cfRule type="cellIs" dxfId="3759" priority="651" stopIfTrue="1" operator="lessThan">
      <formula>'1851'!$N$23</formula>
    </cfRule>
  </conditionalFormatting>
  <conditionalFormatting sqref="O24">
    <cfRule type="cellIs" dxfId="3758" priority="652" stopIfTrue="1" operator="equal">
      <formula>'1851'!$N$24</formula>
    </cfRule>
    <cfRule type="cellIs" dxfId="3757" priority="653" stopIfTrue="1" operator="lessThan">
      <formula>'1851'!$N$24</formula>
    </cfRule>
  </conditionalFormatting>
  <conditionalFormatting sqref="O25">
    <cfRule type="cellIs" dxfId="3756" priority="654" stopIfTrue="1" operator="equal">
      <formula>'1851'!$N$25</formula>
    </cfRule>
    <cfRule type="cellIs" dxfId="3755" priority="655" stopIfTrue="1" operator="lessThan">
      <formula>'1851'!$N$25</formula>
    </cfRule>
  </conditionalFormatting>
  <conditionalFormatting sqref="O26">
    <cfRule type="cellIs" dxfId="3754" priority="656" stopIfTrue="1" operator="equal">
      <formula>'1851'!$N$26</formula>
    </cfRule>
    <cfRule type="cellIs" dxfId="3753" priority="657" stopIfTrue="1" operator="lessThan">
      <formula>'1851'!$N$26</formula>
    </cfRule>
  </conditionalFormatting>
  <conditionalFormatting sqref="O27">
    <cfRule type="cellIs" dxfId="3752" priority="658" stopIfTrue="1" operator="equal">
      <formula>'1851'!$N$27</formula>
    </cfRule>
    <cfRule type="cellIs" dxfId="3751" priority="659" stopIfTrue="1" operator="lessThan">
      <formula>'1851'!$N$27</formula>
    </cfRule>
  </conditionalFormatting>
  <conditionalFormatting sqref="O28">
    <cfRule type="cellIs" dxfId="3750" priority="660" stopIfTrue="1" operator="equal">
      <formula>'1851'!$N$28</formula>
    </cfRule>
    <cfRule type="cellIs" dxfId="3749" priority="661" stopIfTrue="1" operator="lessThan">
      <formula>'1851'!$N$28</formula>
    </cfRule>
  </conditionalFormatting>
  <conditionalFormatting sqref="P4">
    <cfRule type="cellIs" dxfId="3748" priority="662" stopIfTrue="1" operator="equal">
      <formula>'1851'!$O$4</formula>
    </cfRule>
    <cfRule type="cellIs" dxfId="3747" priority="663" stopIfTrue="1" operator="lessThan">
      <formula>'1851'!$O$4</formula>
    </cfRule>
  </conditionalFormatting>
  <conditionalFormatting sqref="P5">
    <cfRule type="cellIs" dxfId="3746" priority="664" stopIfTrue="1" operator="equal">
      <formula>'1851'!$O$5</formula>
    </cfRule>
    <cfRule type="cellIs" dxfId="3745" priority="665" stopIfTrue="1" operator="lessThan">
      <formula>'1851'!$O$5</formula>
    </cfRule>
  </conditionalFormatting>
  <conditionalFormatting sqref="P6">
    <cfRule type="cellIs" dxfId="3744" priority="666" stopIfTrue="1" operator="equal">
      <formula>'1851'!$O$6</formula>
    </cfRule>
    <cfRule type="cellIs" dxfId="3743" priority="667" stopIfTrue="1" operator="lessThan">
      <formula>'1851'!$O$6</formula>
    </cfRule>
  </conditionalFormatting>
  <conditionalFormatting sqref="P7">
    <cfRule type="cellIs" dxfId="3742" priority="668" stopIfTrue="1" operator="equal">
      <formula>'1851'!$O$7</formula>
    </cfRule>
    <cfRule type="cellIs" dxfId="3741" priority="669" stopIfTrue="1" operator="lessThan">
      <formula>'1851'!$O$7</formula>
    </cfRule>
  </conditionalFormatting>
  <conditionalFormatting sqref="P8">
    <cfRule type="cellIs" dxfId="3740" priority="670" stopIfTrue="1" operator="equal">
      <formula>'1851'!$O$8</formula>
    </cfRule>
    <cfRule type="cellIs" dxfId="3739" priority="671" stopIfTrue="1" operator="lessThan">
      <formula>'1851'!$O$8</formula>
    </cfRule>
  </conditionalFormatting>
  <conditionalFormatting sqref="P9">
    <cfRule type="cellIs" dxfId="3738" priority="672" stopIfTrue="1" operator="equal">
      <formula>'1851'!$O$9</formula>
    </cfRule>
    <cfRule type="cellIs" dxfId="3737" priority="673" stopIfTrue="1" operator="lessThan">
      <formula>'1851'!$O$9</formula>
    </cfRule>
  </conditionalFormatting>
  <conditionalFormatting sqref="P10">
    <cfRule type="cellIs" dxfId="3736" priority="674" stopIfTrue="1" operator="equal">
      <formula>'1851'!$O$10</formula>
    </cfRule>
    <cfRule type="cellIs" dxfId="3735" priority="675" stopIfTrue="1" operator="lessThan">
      <formula>'1851'!$O$10</formula>
    </cfRule>
  </conditionalFormatting>
  <conditionalFormatting sqref="P11">
    <cfRule type="cellIs" dxfId="3734" priority="676" stopIfTrue="1" operator="equal">
      <formula>'1851'!$O$11</formula>
    </cfRule>
    <cfRule type="cellIs" dxfId="3733" priority="677" stopIfTrue="1" operator="lessThan">
      <formula>'1851'!$O$11</formula>
    </cfRule>
  </conditionalFormatting>
  <conditionalFormatting sqref="P12">
    <cfRule type="cellIs" dxfId="3732" priority="678" stopIfTrue="1" operator="equal">
      <formula>'1851'!$O$12</formula>
    </cfRule>
    <cfRule type="cellIs" dxfId="3731" priority="679" stopIfTrue="1" operator="lessThan">
      <formula>'1851'!$O$12</formula>
    </cfRule>
  </conditionalFormatting>
  <conditionalFormatting sqref="P13">
    <cfRule type="cellIs" dxfId="3730" priority="680" stopIfTrue="1" operator="equal">
      <formula>'1851'!$O$13</formula>
    </cfRule>
    <cfRule type="cellIs" dxfId="3729" priority="681" stopIfTrue="1" operator="lessThan">
      <formula>'1851'!$O$13</formula>
    </cfRule>
  </conditionalFormatting>
  <conditionalFormatting sqref="P14">
    <cfRule type="cellIs" dxfId="3728" priority="682" stopIfTrue="1" operator="equal">
      <formula>'1851'!$O$14</formula>
    </cfRule>
    <cfRule type="cellIs" dxfId="3727" priority="683" stopIfTrue="1" operator="lessThan">
      <formula>'1851'!$O$14</formula>
    </cfRule>
  </conditionalFormatting>
  <conditionalFormatting sqref="P15">
    <cfRule type="cellIs" dxfId="3726" priority="684" stopIfTrue="1" operator="equal">
      <formula>'1851'!$O$15</formula>
    </cfRule>
    <cfRule type="cellIs" dxfId="3725" priority="685" stopIfTrue="1" operator="lessThan">
      <formula>'1851'!$O$15</formula>
    </cfRule>
  </conditionalFormatting>
  <conditionalFormatting sqref="P16">
    <cfRule type="cellIs" dxfId="3724" priority="686" stopIfTrue="1" operator="equal">
      <formula>'1851'!$O$16</formula>
    </cfRule>
    <cfRule type="cellIs" dxfId="3723" priority="687" stopIfTrue="1" operator="lessThan">
      <formula>'1851'!$O$16</formula>
    </cfRule>
  </conditionalFormatting>
  <conditionalFormatting sqref="P17">
    <cfRule type="cellIs" dxfId="3722" priority="688" stopIfTrue="1" operator="equal">
      <formula>'1851'!$O$17</formula>
    </cfRule>
    <cfRule type="cellIs" dxfId="3721" priority="689" stopIfTrue="1" operator="lessThan">
      <formula>'1851'!$O$17</formula>
    </cfRule>
  </conditionalFormatting>
  <conditionalFormatting sqref="P18">
    <cfRule type="cellIs" dxfId="3720" priority="690" stopIfTrue="1" operator="equal">
      <formula>'1851'!$O$18</formula>
    </cfRule>
    <cfRule type="cellIs" dxfId="3719" priority="691" stopIfTrue="1" operator="lessThan">
      <formula>'1851'!$O$18</formula>
    </cfRule>
  </conditionalFormatting>
  <conditionalFormatting sqref="P19">
    <cfRule type="cellIs" dxfId="3718" priority="692" stopIfTrue="1" operator="equal">
      <formula>'1851'!$O$19</formula>
    </cfRule>
    <cfRule type="cellIs" dxfId="3717" priority="693" stopIfTrue="1" operator="lessThan">
      <formula>'1851'!$O$19</formula>
    </cfRule>
  </conditionalFormatting>
  <conditionalFormatting sqref="P20">
    <cfRule type="cellIs" dxfId="3716" priority="694" stopIfTrue="1" operator="equal">
      <formula>'1851'!$O$20</formula>
    </cfRule>
    <cfRule type="cellIs" dxfId="3715" priority="695" stopIfTrue="1" operator="lessThan">
      <formula>'1851'!$O$20</formula>
    </cfRule>
  </conditionalFormatting>
  <conditionalFormatting sqref="P21">
    <cfRule type="cellIs" dxfId="3714" priority="696" stopIfTrue="1" operator="equal">
      <formula>'1851'!$O$21</formula>
    </cfRule>
    <cfRule type="cellIs" dxfId="3713" priority="697" stopIfTrue="1" operator="lessThan">
      <formula>'1851'!$O$21</formula>
    </cfRule>
  </conditionalFormatting>
  <conditionalFormatting sqref="P22">
    <cfRule type="cellIs" dxfId="3712" priority="698" stopIfTrue="1" operator="equal">
      <formula>'1851'!$O$22</formula>
    </cfRule>
    <cfRule type="cellIs" dxfId="3711" priority="699" stopIfTrue="1" operator="lessThan">
      <formula>'1851'!$O$22</formula>
    </cfRule>
  </conditionalFormatting>
  <conditionalFormatting sqref="P23">
    <cfRule type="cellIs" dxfId="3710" priority="700" stopIfTrue="1" operator="equal">
      <formula>'1851'!$O$23</formula>
    </cfRule>
    <cfRule type="cellIs" dxfId="3709" priority="701" stopIfTrue="1" operator="lessThan">
      <formula>'1851'!$O$23</formula>
    </cfRule>
  </conditionalFormatting>
  <conditionalFormatting sqref="P24">
    <cfRule type="cellIs" dxfId="3708" priority="702" stopIfTrue="1" operator="equal">
      <formula>'1851'!$O$24</formula>
    </cfRule>
    <cfRule type="cellIs" dxfId="3707" priority="703" stopIfTrue="1" operator="lessThan">
      <formula>'1851'!$O$24</formula>
    </cfRule>
  </conditionalFormatting>
  <conditionalFormatting sqref="P25">
    <cfRule type="cellIs" dxfId="3706" priority="704" stopIfTrue="1" operator="equal">
      <formula>'1851'!$O$25</formula>
    </cfRule>
    <cfRule type="cellIs" dxfId="3705" priority="705" stopIfTrue="1" operator="lessThan">
      <formula>'1851'!$O$25</formula>
    </cfRule>
  </conditionalFormatting>
  <conditionalFormatting sqref="P26">
    <cfRule type="cellIs" dxfId="3704" priority="706" stopIfTrue="1" operator="equal">
      <formula>'1851'!$O$26</formula>
    </cfRule>
    <cfRule type="cellIs" dxfId="3703" priority="707" stopIfTrue="1" operator="lessThan">
      <formula>'1851'!$O$26</formula>
    </cfRule>
  </conditionalFormatting>
  <conditionalFormatting sqref="P27">
    <cfRule type="cellIs" dxfId="3702" priority="708" stopIfTrue="1" operator="equal">
      <formula>'1851'!$O$27</formula>
    </cfRule>
    <cfRule type="cellIs" dxfId="3701" priority="709" stopIfTrue="1" operator="lessThan">
      <formula>'1851'!$O$27</formula>
    </cfRule>
  </conditionalFormatting>
  <conditionalFormatting sqref="P28">
    <cfRule type="cellIs" dxfId="3700" priority="710" stopIfTrue="1" operator="equal">
      <formula>'1851'!$O$28</formula>
    </cfRule>
    <cfRule type="cellIs" dxfId="3699" priority="711" stopIfTrue="1" operator="lessThan">
      <formula>'1851'!$O$28</formula>
    </cfRule>
  </conditionalFormatting>
  <conditionalFormatting sqref="E40:P49">
    <cfRule type="expression" dxfId="3698" priority="7">
      <formula>E40=D40</formula>
    </cfRule>
    <cfRule type="expression" dxfId="3697" priority="8">
      <formula>E40&lt;D40</formula>
    </cfRule>
  </conditionalFormatting>
  <conditionalFormatting sqref="E33:P37">
    <cfRule type="expression" dxfId="3696" priority="5">
      <formula>E33=D33</formula>
    </cfRule>
    <cfRule type="expression" dxfId="3695" priority="6">
      <formula>E33&lt;D33</formula>
    </cfRule>
  </conditionalFormatting>
  <pageMargins left="0.43307086614173229" right="0.27559055118110237" top="0.27559055118110237" bottom="0.39370078740157483" header="0.51181102362204722" footer="0.51181102362204722"/>
  <pageSetup paperSize="9" firstPageNumber="0" orientation="landscape" r:id="rId1"/>
  <headerFooter alignWithMargins="0"/>
  <colBreaks count="1" manualBreakCount="1">
    <brk id="12" max="48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7"/>
  <sheetViews>
    <sheetView zoomScaleSheetLayoutView="100" workbookViewId="0">
      <selection activeCell="O2" sqref="O2"/>
    </sheetView>
  </sheetViews>
  <sheetFormatPr defaultRowHeight="15"/>
  <cols>
    <col min="1" max="1" width="8.5703125" style="166" customWidth="1"/>
    <col min="2" max="2" width="26.140625" customWidth="1"/>
    <col min="3" max="15" width="10.140625" customWidth="1"/>
    <col min="16" max="16" width="9.28515625" bestFit="1" customWidth="1"/>
    <col min="19" max="19" width="3" customWidth="1"/>
  </cols>
  <sheetData>
    <row r="1" spans="1:32" ht="15.75" thickBot="1"/>
    <row r="2" spans="1:32" s="1" customFormat="1" ht="21" customHeight="1" thickBot="1">
      <c r="A2" s="161">
        <v>1852</v>
      </c>
      <c r="B2" s="2"/>
      <c r="C2" s="3">
        <f>'1850'!C2</f>
        <v>44197</v>
      </c>
      <c r="D2" s="3">
        <f>'1850'!D2</f>
        <v>44228</v>
      </c>
      <c r="E2" s="3">
        <f>'1850'!E2</f>
        <v>44256</v>
      </c>
      <c r="F2" s="3">
        <f>'1850'!F2</f>
        <v>44286</v>
      </c>
      <c r="G2" s="3">
        <f>'1850'!G2</f>
        <v>44316</v>
      </c>
      <c r="H2" s="3">
        <f>'1850'!H2</f>
        <v>44348</v>
      </c>
      <c r="I2" s="3">
        <f>'1850'!I2</f>
        <v>44379</v>
      </c>
      <c r="J2" s="3">
        <f>'1850'!J2</f>
        <v>44410</v>
      </c>
      <c r="K2" s="3">
        <f>'1850'!K2</f>
        <v>44441</v>
      </c>
      <c r="L2" s="3">
        <f>'1850'!L2</f>
        <v>44470</v>
      </c>
      <c r="M2" s="3">
        <f>'1850'!M2</f>
        <v>44501</v>
      </c>
      <c r="N2" s="3">
        <f>'1850'!N2</f>
        <v>44531</v>
      </c>
      <c r="O2" s="3">
        <f>'1850'!O2</f>
        <v>44562</v>
      </c>
      <c r="P2" s="1" t="s">
        <v>0</v>
      </c>
      <c r="Q2" s="1" t="s">
        <v>1</v>
      </c>
      <c r="U2" s="198"/>
      <c r="V2" s="199"/>
      <c r="W2" s="199"/>
      <c r="X2" s="199"/>
      <c r="Y2" s="199" t="s">
        <v>287</v>
      </c>
      <c r="Z2" s="199"/>
      <c r="AA2" s="199"/>
      <c r="AB2" s="199"/>
      <c r="AC2" s="199"/>
      <c r="AD2" s="205"/>
      <c r="AE2" s="205"/>
      <c r="AF2" s="206"/>
    </row>
    <row r="3" spans="1:32" s="1" customFormat="1" ht="15.75" thickBot="1">
      <c r="A3" s="162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166</v>
      </c>
      <c r="Q3" s="1" t="s">
        <v>165</v>
      </c>
      <c r="T3" s="1" t="s">
        <v>286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2" t="s">
        <v>13</v>
      </c>
      <c r="AE3" s="162" t="s">
        <v>14</v>
      </c>
      <c r="AF3" s="162" t="s">
        <v>3</v>
      </c>
    </row>
    <row r="4" spans="1:32" ht="15.75" thickBot="1">
      <c r="A4" s="289">
        <v>1</v>
      </c>
      <c r="B4" s="7" t="s">
        <v>222</v>
      </c>
      <c r="C4" s="101">
        <v>187.43299999999999</v>
      </c>
      <c r="D4" s="8">
        <v>199.89699999999999</v>
      </c>
      <c r="E4" s="8">
        <v>210.16200000000001</v>
      </c>
      <c r="F4" s="8">
        <v>220.238</v>
      </c>
      <c r="G4" s="8">
        <v>231.88499999999999</v>
      </c>
      <c r="H4" s="8">
        <v>243.81200000000001</v>
      </c>
      <c r="I4" s="8">
        <v>255.006</v>
      </c>
      <c r="J4" s="8">
        <v>265.95999999999998</v>
      </c>
      <c r="K4" s="8">
        <v>276.63799999999998</v>
      </c>
      <c r="L4" s="9">
        <v>287.03800000000001</v>
      </c>
      <c r="M4" s="8">
        <v>297.64999999999998</v>
      </c>
      <c r="N4" s="8">
        <v>307.70600000000002</v>
      </c>
      <c r="O4" s="8">
        <v>317.26900000000001</v>
      </c>
      <c r="P4" s="10">
        <f>O4-C4</f>
        <v>129.83600000000001</v>
      </c>
      <c r="T4" s="1">
        <v>1</v>
      </c>
      <c r="U4" s="200">
        <f t="shared" ref="U4:AF4" si="0">D4-C4</f>
        <v>12.463999999999999</v>
      </c>
      <c r="V4" s="200">
        <f t="shared" si="0"/>
        <v>10.265000000000015</v>
      </c>
      <c r="W4" s="200">
        <f t="shared" si="0"/>
        <v>10.075999999999993</v>
      </c>
      <c r="X4" s="200">
        <f t="shared" si="0"/>
        <v>11.646999999999991</v>
      </c>
      <c r="Y4" s="200">
        <f t="shared" si="0"/>
        <v>11.927000000000021</v>
      </c>
      <c r="Z4" s="200">
        <f t="shared" si="0"/>
        <v>11.193999999999988</v>
      </c>
      <c r="AA4" s="200">
        <f t="shared" si="0"/>
        <v>10.953999999999979</v>
      </c>
      <c r="AB4" s="200">
        <f t="shared" si="0"/>
        <v>10.677999999999997</v>
      </c>
      <c r="AC4" s="200">
        <f t="shared" si="0"/>
        <v>10.400000000000034</v>
      </c>
      <c r="AD4" s="200">
        <f t="shared" si="0"/>
        <v>10.611999999999966</v>
      </c>
      <c r="AE4" s="200">
        <f t="shared" si="0"/>
        <v>10.05600000000004</v>
      </c>
      <c r="AF4" s="200">
        <f t="shared" si="0"/>
        <v>9.5629999999999882</v>
      </c>
    </row>
    <row r="5" spans="1:32">
      <c r="A5" s="289"/>
      <c r="B5" s="11" t="s">
        <v>48</v>
      </c>
      <c r="C5" s="105">
        <v>78.605999999999995</v>
      </c>
      <c r="D5" s="12">
        <v>83.646000000000001</v>
      </c>
      <c r="E5" s="12">
        <v>88.59</v>
      </c>
      <c r="F5" s="12">
        <v>92.454999999999998</v>
      </c>
      <c r="G5" s="12">
        <v>95.460999999999999</v>
      </c>
      <c r="H5" s="12">
        <v>96.962000000000003</v>
      </c>
      <c r="I5" s="12">
        <v>97.605000000000004</v>
      </c>
      <c r="J5" s="12">
        <v>98.153000000000006</v>
      </c>
      <c r="K5" s="12">
        <v>98.704999999999998</v>
      </c>
      <c r="L5" s="13">
        <v>99.510999999999996</v>
      </c>
      <c r="M5" s="12">
        <v>101.518</v>
      </c>
      <c r="N5" s="12">
        <v>3.5459999999999998</v>
      </c>
      <c r="O5" s="12">
        <v>7.6959999999999997</v>
      </c>
      <c r="P5" s="10"/>
      <c r="Q5" s="10">
        <f>O5+M5-C5</f>
        <v>30.608000000000004</v>
      </c>
      <c r="T5" s="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</row>
    <row r="6" spans="1:32">
      <c r="A6" s="288">
        <v>2</v>
      </c>
      <c r="B6" s="11" t="s">
        <v>223</v>
      </c>
      <c r="C6" s="105">
        <v>71.704999999999998</v>
      </c>
      <c r="D6" s="12">
        <v>79.867000000000004</v>
      </c>
      <c r="E6" s="12">
        <v>87.301000000000002</v>
      </c>
      <c r="F6" s="12">
        <v>93.335999999999999</v>
      </c>
      <c r="G6" s="12">
        <v>101.476</v>
      </c>
      <c r="H6" s="12">
        <v>111.48699999999999</v>
      </c>
      <c r="I6" s="12">
        <v>120.575</v>
      </c>
      <c r="J6" s="12">
        <v>128.309</v>
      </c>
      <c r="K6" s="12">
        <v>137.054</v>
      </c>
      <c r="L6" s="12">
        <v>141.25399999999999</v>
      </c>
      <c r="M6" s="12">
        <v>142.56</v>
      </c>
      <c r="N6" s="12">
        <v>147.208</v>
      </c>
      <c r="O6" s="12">
        <v>149.209</v>
      </c>
      <c r="P6" s="10">
        <f>O6-C6</f>
        <v>77.504000000000005</v>
      </c>
      <c r="T6" s="1">
        <v>2</v>
      </c>
      <c r="U6" s="203">
        <f t="shared" ref="U6:AF6" si="1">D6-C6</f>
        <v>8.1620000000000061</v>
      </c>
      <c r="V6" s="203">
        <f t="shared" si="1"/>
        <v>7.4339999999999975</v>
      </c>
      <c r="W6" s="203">
        <f t="shared" si="1"/>
        <v>6.0349999999999966</v>
      </c>
      <c r="X6" s="203">
        <f t="shared" si="1"/>
        <v>8.14</v>
      </c>
      <c r="Y6" s="203">
        <f t="shared" si="1"/>
        <v>10.010999999999996</v>
      </c>
      <c r="Z6" s="203">
        <f t="shared" si="1"/>
        <v>9.0880000000000081</v>
      </c>
      <c r="AA6" s="203">
        <f t="shared" si="1"/>
        <v>7.7339999999999947</v>
      </c>
      <c r="AB6" s="203">
        <f t="shared" si="1"/>
        <v>8.7450000000000045</v>
      </c>
      <c r="AC6" s="203">
        <f t="shared" si="1"/>
        <v>4.1999999999999886</v>
      </c>
      <c r="AD6" s="203">
        <f t="shared" si="1"/>
        <v>1.3060000000000116</v>
      </c>
      <c r="AE6" s="203">
        <f t="shared" si="1"/>
        <v>4.6479999999999961</v>
      </c>
      <c r="AF6" s="203">
        <f t="shared" si="1"/>
        <v>2.0010000000000048</v>
      </c>
    </row>
    <row r="7" spans="1:32">
      <c r="A7" s="288"/>
      <c r="B7" s="11" t="s">
        <v>49</v>
      </c>
      <c r="C7" s="105">
        <v>58.143000000000001</v>
      </c>
      <c r="D7" s="12">
        <v>60.344000000000001</v>
      </c>
      <c r="E7" s="12">
        <v>62.435000000000002</v>
      </c>
      <c r="F7" s="12">
        <v>63.762</v>
      </c>
      <c r="G7" s="12">
        <v>64.78</v>
      </c>
      <c r="H7" s="12">
        <v>65.510000000000005</v>
      </c>
      <c r="I7" s="12">
        <v>65.995000000000005</v>
      </c>
      <c r="J7" s="12">
        <v>66.352000000000004</v>
      </c>
      <c r="K7" s="12">
        <v>66.787999999999997</v>
      </c>
      <c r="L7" s="12">
        <v>67.11</v>
      </c>
      <c r="M7" s="12">
        <v>67.855999999999995</v>
      </c>
      <c r="N7" s="12">
        <v>2.2959999999999998</v>
      </c>
      <c r="O7" s="12">
        <v>4.266</v>
      </c>
      <c r="P7" s="10"/>
      <c r="Q7" s="10">
        <f t="shared" ref="Q7:Q21" si="2">O7+M7-C7</f>
        <v>13.978999999999999</v>
      </c>
      <c r="T7" s="1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</row>
    <row r="8" spans="1:32">
      <c r="A8" s="296">
        <v>3</v>
      </c>
      <c r="B8" s="11" t="s">
        <v>364</v>
      </c>
      <c r="C8" s="105">
        <v>81.528999999999996</v>
      </c>
      <c r="D8" s="12">
        <v>89.8</v>
      </c>
      <c r="E8" s="12">
        <v>97.685000000000002</v>
      </c>
      <c r="F8" s="12">
        <v>106.90600000000001</v>
      </c>
      <c r="G8" s="12">
        <v>115.855</v>
      </c>
      <c r="H8" s="12">
        <v>125.94</v>
      </c>
      <c r="I8" s="12">
        <v>137.42099999999999</v>
      </c>
      <c r="J8" s="12">
        <v>149.27500000000001</v>
      </c>
      <c r="K8" s="12">
        <v>155.726</v>
      </c>
      <c r="L8" s="12">
        <v>165.65100000000001</v>
      </c>
      <c r="M8" s="12">
        <v>177.095</v>
      </c>
      <c r="N8" s="12">
        <v>188.923</v>
      </c>
      <c r="O8" s="12">
        <v>203.86699999999999</v>
      </c>
      <c r="P8" s="10">
        <f>O8-C8</f>
        <v>122.33799999999999</v>
      </c>
      <c r="T8" s="1">
        <v>3</v>
      </c>
      <c r="U8" s="203">
        <f t="shared" ref="U8:AF8" si="3">D8-C8</f>
        <v>8.2710000000000008</v>
      </c>
      <c r="V8" s="203">
        <f t="shared" si="3"/>
        <v>7.8850000000000051</v>
      </c>
      <c r="W8" s="203">
        <f t="shared" si="3"/>
        <v>9.2210000000000036</v>
      </c>
      <c r="X8" s="203">
        <f t="shared" si="3"/>
        <v>8.9489999999999981</v>
      </c>
      <c r="Y8" s="203">
        <f t="shared" si="3"/>
        <v>10.084999999999994</v>
      </c>
      <c r="Z8" s="203">
        <f t="shared" si="3"/>
        <v>11.480999999999995</v>
      </c>
      <c r="AA8" s="203">
        <f t="shared" si="3"/>
        <v>11.854000000000013</v>
      </c>
      <c r="AB8" s="203">
        <f t="shared" si="3"/>
        <v>6.4509999999999934</v>
      </c>
      <c r="AC8" s="203">
        <f t="shared" si="3"/>
        <v>9.9250000000000114</v>
      </c>
      <c r="AD8" s="203">
        <f t="shared" si="3"/>
        <v>11.443999999999988</v>
      </c>
      <c r="AE8" s="203">
        <f t="shared" si="3"/>
        <v>11.828000000000003</v>
      </c>
      <c r="AF8" s="203">
        <f t="shared" si="3"/>
        <v>14.943999999999988</v>
      </c>
    </row>
    <row r="9" spans="1:32">
      <c r="A9" s="296"/>
      <c r="B9" s="11" t="s">
        <v>50</v>
      </c>
      <c r="C9" s="105">
        <v>96.054000000000002</v>
      </c>
      <c r="D9" s="12">
        <v>101.77800000000001</v>
      </c>
      <c r="E9" s="12">
        <v>107.32299999999999</v>
      </c>
      <c r="F9" s="12">
        <v>111.67700000000001</v>
      </c>
      <c r="G9" s="12">
        <v>115.169</v>
      </c>
      <c r="H9" s="12">
        <v>117.837</v>
      </c>
      <c r="I9" s="12">
        <v>120.017</v>
      </c>
      <c r="J9" s="12">
        <v>120.776</v>
      </c>
      <c r="K9" s="12">
        <v>121.233</v>
      </c>
      <c r="L9" s="12">
        <v>122.292</v>
      </c>
      <c r="M9" s="12">
        <v>125.583</v>
      </c>
      <c r="N9" s="12">
        <v>4.5679999999999996</v>
      </c>
      <c r="O9" s="12">
        <v>10.111000000000001</v>
      </c>
      <c r="P9" s="10"/>
      <c r="Q9" s="10">
        <f t="shared" ref="Q9:Q21" si="4">O9+M9-C9</f>
        <v>39.639999999999986</v>
      </c>
      <c r="T9" s="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</row>
    <row r="10" spans="1:32">
      <c r="A10" s="296">
        <v>4</v>
      </c>
      <c r="B10" s="11" t="s">
        <v>224</v>
      </c>
      <c r="C10" s="105">
        <v>164.97</v>
      </c>
      <c r="D10" s="12">
        <v>180.49100000000001</v>
      </c>
      <c r="E10" s="12">
        <v>193.2</v>
      </c>
      <c r="F10" s="12">
        <v>206.53700000000001</v>
      </c>
      <c r="G10" s="12">
        <v>220.88</v>
      </c>
      <c r="H10" s="12">
        <v>233.45400000000001</v>
      </c>
      <c r="I10" s="12">
        <v>244.684</v>
      </c>
      <c r="J10" s="12">
        <v>248.239</v>
      </c>
      <c r="K10" s="12">
        <v>254.006</v>
      </c>
      <c r="L10" s="12">
        <v>266.79700000000003</v>
      </c>
      <c r="M10" s="12">
        <v>283.20699999999999</v>
      </c>
      <c r="N10" s="12">
        <v>296.32100000000003</v>
      </c>
      <c r="O10" s="12">
        <v>310.61200000000002</v>
      </c>
      <c r="P10" s="10">
        <f>O10-C10</f>
        <v>145.64200000000002</v>
      </c>
      <c r="T10" s="1">
        <v>4</v>
      </c>
      <c r="U10" s="202">
        <f t="shared" ref="U10:AF10" si="5">D10-C10</f>
        <v>15.521000000000015</v>
      </c>
      <c r="V10" s="202">
        <f t="shared" si="5"/>
        <v>12.708999999999975</v>
      </c>
      <c r="W10" s="202">
        <f t="shared" si="5"/>
        <v>13.337000000000018</v>
      </c>
      <c r="X10" s="202">
        <f t="shared" si="5"/>
        <v>14.342999999999989</v>
      </c>
      <c r="Y10" s="202">
        <f t="shared" si="5"/>
        <v>12.574000000000012</v>
      </c>
      <c r="Z10" s="202">
        <f t="shared" si="5"/>
        <v>11.22999999999999</v>
      </c>
      <c r="AA10" s="202">
        <f t="shared" si="5"/>
        <v>3.5550000000000068</v>
      </c>
      <c r="AB10" s="202">
        <f t="shared" si="5"/>
        <v>5.7669999999999959</v>
      </c>
      <c r="AC10" s="202">
        <f t="shared" si="5"/>
        <v>12.791000000000025</v>
      </c>
      <c r="AD10" s="202">
        <f t="shared" si="5"/>
        <v>16.409999999999968</v>
      </c>
      <c r="AE10" s="202">
        <f t="shared" si="5"/>
        <v>13.114000000000033</v>
      </c>
      <c r="AF10" s="202">
        <f t="shared" si="5"/>
        <v>14.290999999999997</v>
      </c>
    </row>
    <row r="11" spans="1:32">
      <c r="A11" s="296"/>
      <c r="B11" s="11" t="s">
        <v>51</v>
      </c>
      <c r="C11" s="105">
        <v>105.124</v>
      </c>
      <c r="D11" s="12">
        <v>110.479</v>
      </c>
      <c r="E11" s="12">
        <v>114.917</v>
      </c>
      <c r="F11" s="12">
        <v>118.449</v>
      </c>
      <c r="G11" s="12">
        <v>121.36</v>
      </c>
      <c r="H11" s="12">
        <v>122.973</v>
      </c>
      <c r="I11" s="12">
        <v>123.596</v>
      </c>
      <c r="J11" s="12">
        <v>123.82599999999999</v>
      </c>
      <c r="K11" s="12">
        <v>124.191</v>
      </c>
      <c r="L11" s="12">
        <v>125.127</v>
      </c>
      <c r="M11" s="12">
        <v>128.28100000000001</v>
      </c>
      <c r="N11" s="12">
        <v>4.54</v>
      </c>
      <c r="O11" s="12">
        <v>9.5329999999999995</v>
      </c>
      <c r="P11" s="10"/>
      <c r="Q11" s="10">
        <f t="shared" ref="Q11:Q21" si="6">O11+M11-C11</f>
        <v>32.69</v>
      </c>
      <c r="T11" s="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</row>
    <row r="12" spans="1:32">
      <c r="A12" s="288">
        <v>5</v>
      </c>
      <c r="B12" s="11" t="s">
        <v>225</v>
      </c>
      <c r="C12" s="105">
        <v>36.779000000000003</v>
      </c>
      <c r="D12" s="12">
        <v>42.789000000000001</v>
      </c>
      <c r="E12" s="12">
        <v>49.701000000000001</v>
      </c>
      <c r="F12" s="12">
        <v>57.395000000000003</v>
      </c>
      <c r="G12" s="12">
        <v>63.68</v>
      </c>
      <c r="H12" s="12">
        <v>69.968000000000004</v>
      </c>
      <c r="I12" s="12">
        <v>77.5</v>
      </c>
      <c r="J12" s="12">
        <v>85.465999999999994</v>
      </c>
      <c r="K12" s="12">
        <v>90.525000000000006</v>
      </c>
      <c r="L12" s="12">
        <v>100.22199999999999</v>
      </c>
      <c r="M12" s="12">
        <v>111.40900000000001</v>
      </c>
      <c r="N12" s="12">
        <v>121.996</v>
      </c>
      <c r="O12" s="12">
        <v>133.155</v>
      </c>
      <c r="P12" s="10">
        <f>O12-C12</f>
        <v>96.376000000000005</v>
      </c>
      <c r="T12" s="1">
        <v>5</v>
      </c>
      <c r="U12" s="202">
        <f t="shared" ref="U12:AF12" si="7">D12-C12</f>
        <v>6.009999999999998</v>
      </c>
      <c r="V12" s="202">
        <f t="shared" si="7"/>
        <v>6.911999999999999</v>
      </c>
      <c r="W12" s="202">
        <f t="shared" si="7"/>
        <v>7.6940000000000026</v>
      </c>
      <c r="X12" s="202">
        <f t="shared" si="7"/>
        <v>6.2849999999999966</v>
      </c>
      <c r="Y12" s="202">
        <f t="shared" si="7"/>
        <v>6.2880000000000038</v>
      </c>
      <c r="Z12" s="202">
        <f t="shared" si="7"/>
        <v>7.5319999999999965</v>
      </c>
      <c r="AA12" s="202">
        <f t="shared" si="7"/>
        <v>7.965999999999994</v>
      </c>
      <c r="AB12" s="202">
        <f t="shared" si="7"/>
        <v>5.0590000000000117</v>
      </c>
      <c r="AC12" s="202">
        <f t="shared" si="7"/>
        <v>9.6969999999999885</v>
      </c>
      <c r="AD12" s="202">
        <f t="shared" si="7"/>
        <v>11.187000000000012</v>
      </c>
      <c r="AE12" s="202">
        <f t="shared" si="7"/>
        <v>10.586999999999989</v>
      </c>
      <c r="AF12" s="202">
        <f t="shared" si="7"/>
        <v>11.159000000000006</v>
      </c>
    </row>
    <row r="13" spans="1:32">
      <c r="A13" s="288"/>
      <c r="B13" s="11" t="s">
        <v>52</v>
      </c>
      <c r="C13" s="105">
        <v>21.763999999999999</v>
      </c>
      <c r="D13" s="12">
        <v>24.347999999999999</v>
      </c>
      <c r="E13" s="12">
        <v>26.423999999999999</v>
      </c>
      <c r="F13" s="12">
        <v>27.811</v>
      </c>
      <c r="G13" s="12">
        <v>28.937000000000001</v>
      </c>
      <c r="H13" s="12">
        <v>29.667000000000002</v>
      </c>
      <c r="I13" s="12">
        <v>30.196999999999999</v>
      </c>
      <c r="J13" s="12">
        <v>30.765999999999998</v>
      </c>
      <c r="K13" s="12">
        <v>31.207999999999998</v>
      </c>
      <c r="L13" s="12">
        <v>32.033000000000001</v>
      </c>
      <c r="M13" s="12">
        <v>33.415999999999997</v>
      </c>
      <c r="N13" s="12">
        <v>1.9490000000000001</v>
      </c>
      <c r="O13" s="12">
        <v>4.0640000000000001</v>
      </c>
      <c r="P13" s="10"/>
      <c r="Q13" s="10">
        <f t="shared" ref="Q13:Q21" si="8">O13+M13-C13</f>
        <v>15.715999999999998</v>
      </c>
      <c r="T13" s="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</row>
    <row r="14" spans="1:32">
      <c r="A14" s="288">
        <v>6</v>
      </c>
      <c r="B14" s="11" t="s">
        <v>226</v>
      </c>
      <c r="C14" s="105">
        <v>124.962</v>
      </c>
      <c r="D14" s="12">
        <v>133.59399999999999</v>
      </c>
      <c r="E14" s="12">
        <v>139.905</v>
      </c>
      <c r="F14" s="12">
        <v>149.52500000000001</v>
      </c>
      <c r="G14" s="12">
        <v>156.10300000000001</v>
      </c>
      <c r="H14" s="12">
        <v>165.08099999999999</v>
      </c>
      <c r="I14" s="12">
        <v>171.15100000000001</v>
      </c>
      <c r="J14" s="12">
        <v>176.65199999999999</v>
      </c>
      <c r="K14" s="12">
        <v>182.209</v>
      </c>
      <c r="L14" s="12">
        <v>190.24299999999999</v>
      </c>
      <c r="M14" s="12">
        <v>198.245</v>
      </c>
      <c r="N14" s="12">
        <v>206.95699999999999</v>
      </c>
      <c r="O14" s="12">
        <v>215.90100000000001</v>
      </c>
      <c r="P14" s="10">
        <f>O14-C14</f>
        <v>90.939000000000007</v>
      </c>
      <c r="T14" s="1">
        <v>6</v>
      </c>
      <c r="U14" s="202">
        <f t="shared" ref="U14:AF14" si="9">D14-C14</f>
        <v>8.6319999999999908</v>
      </c>
      <c r="V14" s="202">
        <f t="shared" si="9"/>
        <v>6.311000000000007</v>
      </c>
      <c r="W14" s="202">
        <f t="shared" si="9"/>
        <v>9.6200000000000045</v>
      </c>
      <c r="X14" s="202">
        <f t="shared" si="9"/>
        <v>6.578000000000003</v>
      </c>
      <c r="Y14" s="202">
        <f t="shared" si="9"/>
        <v>8.9779999999999802</v>
      </c>
      <c r="Z14" s="202">
        <f t="shared" si="9"/>
        <v>6.0700000000000216</v>
      </c>
      <c r="AA14" s="202">
        <f t="shared" si="9"/>
        <v>5.5009999999999764</v>
      </c>
      <c r="AB14" s="202">
        <f t="shared" si="9"/>
        <v>5.5570000000000164</v>
      </c>
      <c r="AC14" s="202">
        <f t="shared" si="9"/>
        <v>8.0339999999999918</v>
      </c>
      <c r="AD14" s="202">
        <f t="shared" si="9"/>
        <v>8.0020000000000095</v>
      </c>
      <c r="AE14" s="202">
        <f t="shared" si="9"/>
        <v>8.7119999999999891</v>
      </c>
      <c r="AF14" s="202">
        <f t="shared" si="9"/>
        <v>8.9440000000000168</v>
      </c>
    </row>
    <row r="15" spans="1:32">
      <c r="A15" s="288"/>
      <c r="B15" s="11" t="s">
        <v>53</v>
      </c>
      <c r="C15" s="105">
        <v>139.77199999999999</v>
      </c>
      <c r="D15" s="35">
        <v>144.76499999999999</v>
      </c>
      <c r="E15" s="12">
        <v>149.124</v>
      </c>
      <c r="F15" s="12">
        <v>153.18700000000001</v>
      </c>
      <c r="G15" s="12">
        <v>155.78399999999999</v>
      </c>
      <c r="H15" s="12">
        <v>157.529</v>
      </c>
      <c r="I15" s="12">
        <v>158.489</v>
      </c>
      <c r="J15" s="12">
        <v>159.309</v>
      </c>
      <c r="K15" s="12">
        <v>159.91900000000001</v>
      </c>
      <c r="L15" s="12">
        <v>161.12700000000001</v>
      </c>
      <c r="M15" s="12">
        <v>163.696</v>
      </c>
      <c r="N15" s="12">
        <v>2.7130000000000001</v>
      </c>
      <c r="O15" s="35">
        <v>6.6879999999999997</v>
      </c>
      <c r="P15" s="10"/>
      <c r="Q15" s="10">
        <f t="shared" ref="Q15:Q21" si="10">O15+M15-C15</f>
        <v>30.611999999999995</v>
      </c>
      <c r="T15" s="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</row>
    <row r="16" spans="1:32">
      <c r="A16" s="288">
        <v>7</v>
      </c>
      <c r="B16" s="11" t="s">
        <v>227</v>
      </c>
      <c r="C16" s="105">
        <v>17.248999999999999</v>
      </c>
      <c r="D16" s="12">
        <v>17.893000000000001</v>
      </c>
      <c r="E16" s="12">
        <v>18.308</v>
      </c>
      <c r="F16" s="12">
        <v>18.98</v>
      </c>
      <c r="G16" s="12">
        <v>19.623999999999999</v>
      </c>
      <c r="H16" s="12">
        <v>20.672000000000001</v>
      </c>
      <c r="I16" s="12">
        <v>21.446000000000002</v>
      </c>
      <c r="J16" s="12">
        <v>23.465</v>
      </c>
      <c r="K16" s="12">
        <v>25.065000000000001</v>
      </c>
      <c r="L16" s="12">
        <v>25.603999999999999</v>
      </c>
      <c r="M16" s="12">
        <v>26.971</v>
      </c>
      <c r="N16" s="12">
        <v>28.58</v>
      </c>
      <c r="O16" s="12">
        <v>29.521000000000001</v>
      </c>
      <c r="P16" s="10">
        <f>O16-C16</f>
        <v>12.272000000000002</v>
      </c>
      <c r="T16" s="1">
        <v>7</v>
      </c>
      <c r="U16" s="202">
        <f t="shared" ref="U16:AF16" si="11">D16-C16</f>
        <v>0.6440000000000019</v>
      </c>
      <c r="V16" s="202">
        <f t="shared" si="11"/>
        <v>0.41499999999999915</v>
      </c>
      <c r="W16" s="202">
        <f t="shared" si="11"/>
        <v>0.6720000000000006</v>
      </c>
      <c r="X16" s="202">
        <f t="shared" si="11"/>
        <v>0.64399999999999835</v>
      </c>
      <c r="Y16" s="202">
        <f t="shared" si="11"/>
        <v>1.0480000000000018</v>
      </c>
      <c r="Z16" s="202">
        <f t="shared" si="11"/>
        <v>0.77400000000000091</v>
      </c>
      <c r="AA16" s="202">
        <f t="shared" si="11"/>
        <v>2.0189999999999984</v>
      </c>
      <c r="AB16" s="202">
        <f t="shared" si="11"/>
        <v>1.6000000000000014</v>
      </c>
      <c r="AC16" s="202">
        <f t="shared" si="11"/>
        <v>0.53899999999999793</v>
      </c>
      <c r="AD16" s="202">
        <f t="shared" si="11"/>
        <v>1.3670000000000009</v>
      </c>
      <c r="AE16" s="202">
        <f t="shared" si="11"/>
        <v>1.6089999999999982</v>
      </c>
      <c r="AF16" s="202">
        <f t="shared" si="11"/>
        <v>0.9410000000000025</v>
      </c>
    </row>
    <row r="17" spans="1:32">
      <c r="A17" s="288"/>
      <c r="B17" s="11" t="s">
        <v>54</v>
      </c>
      <c r="C17" s="105">
        <v>39.837000000000003</v>
      </c>
      <c r="D17" s="12">
        <v>42.54</v>
      </c>
      <c r="E17" s="12">
        <v>44.369</v>
      </c>
      <c r="F17" s="12">
        <v>45.893000000000001</v>
      </c>
      <c r="G17" s="12">
        <v>46.433999999999997</v>
      </c>
      <c r="H17" s="12">
        <v>46.517000000000003</v>
      </c>
      <c r="I17" s="12">
        <v>46.533000000000001</v>
      </c>
      <c r="J17" s="12">
        <v>46.57</v>
      </c>
      <c r="K17" s="12">
        <v>46.618000000000002</v>
      </c>
      <c r="L17" s="12">
        <v>46.628999999999998</v>
      </c>
      <c r="M17" s="12">
        <v>46.719000000000001</v>
      </c>
      <c r="N17" s="12">
        <v>1.347</v>
      </c>
      <c r="O17" s="12">
        <v>3.464</v>
      </c>
      <c r="P17" s="10"/>
      <c r="Q17" s="10">
        <f t="shared" ref="Q17:Q21" si="12">O17+M17-C17</f>
        <v>10.345999999999997</v>
      </c>
      <c r="T17" s="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</row>
    <row r="18" spans="1:32">
      <c r="A18" s="288">
        <v>8</v>
      </c>
      <c r="B18" s="11" t="s">
        <v>228</v>
      </c>
      <c r="C18" s="105">
        <v>136.44900000000001</v>
      </c>
      <c r="D18" s="12">
        <v>146.32300000000001</v>
      </c>
      <c r="E18" s="12">
        <v>156.518</v>
      </c>
      <c r="F18" s="12">
        <v>167.76599999999999</v>
      </c>
      <c r="G18" s="12">
        <v>177.691</v>
      </c>
      <c r="H18" s="12">
        <v>189.34299999999999</v>
      </c>
      <c r="I18" s="12">
        <v>197.173</v>
      </c>
      <c r="J18" s="12">
        <v>204.762</v>
      </c>
      <c r="K18" s="12">
        <v>213.5</v>
      </c>
      <c r="L18" s="12">
        <v>220.53100000000001</v>
      </c>
      <c r="M18" s="12">
        <v>232.34700000000001</v>
      </c>
      <c r="N18" s="12">
        <v>242.12100000000001</v>
      </c>
      <c r="O18" s="12">
        <v>249.053</v>
      </c>
      <c r="P18" s="10">
        <f>O18-C18</f>
        <v>112.60399999999998</v>
      </c>
      <c r="T18" s="1">
        <v>8</v>
      </c>
      <c r="U18" s="202">
        <f t="shared" ref="U18:AF18" si="13">D18-C18</f>
        <v>9.8739999999999952</v>
      </c>
      <c r="V18" s="202">
        <f t="shared" si="13"/>
        <v>10.194999999999993</v>
      </c>
      <c r="W18" s="202">
        <f t="shared" si="13"/>
        <v>11.24799999999999</v>
      </c>
      <c r="X18" s="202">
        <f t="shared" si="13"/>
        <v>9.9250000000000114</v>
      </c>
      <c r="Y18" s="202">
        <f t="shared" si="13"/>
        <v>11.651999999999987</v>
      </c>
      <c r="Z18" s="202">
        <f t="shared" si="13"/>
        <v>7.8300000000000125</v>
      </c>
      <c r="AA18" s="202">
        <f t="shared" si="13"/>
        <v>7.5889999999999986</v>
      </c>
      <c r="AB18" s="202">
        <f t="shared" si="13"/>
        <v>8.7379999999999995</v>
      </c>
      <c r="AC18" s="202">
        <f t="shared" si="13"/>
        <v>7.0310000000000059</v>
      </c>
      <c r="AD18" s="202">
        <f t="shared" si="13"/>
        <v>11.816000000000003</v>
      </c>
      <c r="AE18" s="202">
        <f t="shared" si="13"/>
        <v>9.7740000000000009</v>
      </c>
      <c r="AF18" s="202">
        <f t="shared" si="13"/>
        <v>6.9319999999999879</v>
      </c>
    </row>
    <row r="19" spans="1:32">
      <c r="A19" s="288"/>
      <c r="B19" s="11" t="s">
        <v>55</v>
      </c>
      <c r="C19" s="105">
        <v>54.3</v>
      </c>
      <c r="D19" s="12">
        <v>58.427</v>
      </c>
      <c r="E19" s="12">
        <v>61.378999999999998</v>
      </c>
      <c r="F19" s="12">
        <v>63.639000000000003</v>
      </c>
      <c r="G19" s="12">
        <v>65.225999999999999</v>
      </c>
      <c r="H19" s="12">
        <v>66.057000000000002</v>
      </c>
      <c r="I19" s="12">
        <v>66.510999999999996</v>
      </c>
      <c r="J19" s="12">
        <v>66.938999999999993</v>
      </c>
      <c r="K19" s="12">
        <v>67.427000000000007</v>
      </c>
      <c r="L19" s="12">
        <v>67.858999999999995</v>
      </c>
      <c r="M19" s="12">
        <v>68.757999999999996</v>
      </c>
      <c r="N19" s="12">
        <v>2.5430000000000001</v>
      </c>
      <c r="O19" s="12">
        <v>5.1749999999999998</v>
      </c>
      <c r="P19" s="10"/>
      <c r="Q19" s="10">
        <f t="shared" ref="Q19:Q21" si="14">O19+M19-C19</f>
        <v>19.632999999999996</v>
      </c>
      <c r="T19" s="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</row>
    <row r="20" spans="1:32">
      <c r="A20" s="288">
        <v>9</v>
      </c>
      <c r="B20" s="11" t="s">
        <v>229</v>
      </c>
      <c r="C20" s="105">
        <v>106.093</v>
      </c>
      <c r="D20" s="12">
        <v>109.998</v>
      </c>
      <c r="E20" s="12">
        <v>114.59</v>
      </c>
      <c r="F20" s="12">
        <v>119.05200000000001</v>
      </c>
      <c r="G20" s="12">
        <v>122.995</v>
      </c>
      <c r="H20" s="12">
        <v>126.643</v>
      </c>
      <c r="I20" s="12">
        <v>128.59</v>
      </c>
      <c r="J20" s="12">
        <v>129.58699999999999</v>
      </c>
      <c r="K20" s="12">
        <v>131.477</v>
      </c>
      <c r="L20" s="12">
        <v>133.87700000000001</v>
      </c>
      <c r="M20" s="12">
        <v>138.17099999999999</v>
      </c>
      <c r="N20" s="12">
        <v>140.916</v>
      </c>
      <c r="O20" s="12">
        <v>143.65799999999999</v>
      </c>
      <c r="P20" s="10">
        <f>O20-C20</f>
        <v>37.564999999999984</v>
      </c>
      <c r="T20" s="1">
        <v>9</v>
      </c>
      <c r="U20" s="202">
        <f t="shared" ref="U20:AF20" si="15">D20-C20</f>
        <v>3.9050000000000011</v>
      </c>
      <c r="V20" s="202">
        <f t="shared" si="15"/>
        <v>4.5919999999999987</v>
      </c>
      <c r="W20" s="202">
        <f t="shared" si="15"/>
        <v>4.4620000000000033</v>
      </c>
      <c r="X20" s="202">
        <f t="shared" si="15"/>
        <v>3.9429999999999978</v>
      </c>
      <c r="Y20" s="202">
        <f t="shared" si="15"/>
        <v>3.6479999999999961</v>
      </c>
      <c r="Z20" s="202">
        <f t="shared" si="15"/>
        <v>1.9470000000000027</v>
      </c>
      <c r="AA20" s="202">
        <f t="shared" si="15"/>
        <v>0.99699999999998568</v>
      </c>
      <c r="AB20" s="202">
        <f t="shared" si="15"/>
        <v>1.8900000000000148</v>
      </c>
      <c r="AC20" s="202">
        <f t="shared" si="15"/>
        <v>2.4000000000000057</v>
      </c>
      <c r="AD20" s="202">
        <f t="shared" si="15"/>
        <v>4.2939999999999827</v>
      </c>
      <c r="AE20" s="202">
        <f t="shared" si="15"/>
        <v>2.7450000000000045</v>
      </c>
      <c r="AF20" s="202">
        <f t="shared" si="15"/>
        <v>2.7419999999999902</v>
      </c>
    </row>
    <row r="21" spans="1:32">
      <c r="A21" s="288"/>
      <c r="B21" s="11" t="s">
        <v>56</v>
      </c>
      <c r="C21" s="105">
        <v>107.631</v>
      </c>
      <c r="D21" s="12">
        <v>113.95399999999999</v>
      </c>
      <c r="E21" s="12">
        <v>119.379</v>
      </c>
      <c r="F21" s="12">
        <v>124.312</v>
      </c>
      <c r="G21" s="12">
        <v>127.78700000000001</v>
      </c>
      <c r="H21" s="12">
        <v>129.47499999999999</v>
      </c>
      <c r="I21" s="12">
        <v>130.12200000000001</v>
      </c>
      <c r="J21" s="12">
        <v>130.518</v>
      </c>
      <c r="K21" s="12">
        <v>131.07499999999999</v>
      </c>
      <c r="L21" s="12">
        <v>131.83000000000001</v>
      </c>
      <c r="M21" s="12">
        <v>135.27500000000001</v>
      </c>
      <c r="N21" s="12">
        <v>5.76</v>
      </c>
      <c r="O21" s="12">
        <v>11.394</v>
      </c>
      <c r="P21" s="10"/>
      <c r="Q21" s="10">
        <f t="shared" ref="Q21" si="16">O21+M21-C21</f>
        <v>39.038000000000011</v>
      </c>
      <c r="T21" s="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</row>
    <row r="22" spans="1:32">
      <c r="A22" s="288">
        <v>10</v>
      </c>
      <c r="B22" s="11" t="s">
        <v>230</v>
      </c>
      <c r="C22" s="105">
        <v>107.22799999999999</v>
      </c>
      <c r="D22" s="12">
        <v>116.851</v>
      </c>
      <c r="E22" s="12">
        <v>125.324</v>
      </c>
      <c r="F22" s="12">
        <v>134.541</v>
      </c>
      <c r="G22" s="12">
        <v>143.91999999999999</v>
      </c>
      <c r="H22" s="12">
        <v>152.62</v>
      </c>
      <c r="I22" s="12">
        <v>160.49</v>
      </c>
      <c r="J22" s="12">
        <v>166.45599999999999</v>
      </c>
      <c r="K22" s="12">
        <v>173.441</v>
      </c>
      <c r="L22" s="12">
        <v>179.76499999999999</v>
      </c>
      <c r="M22" s="12">
        <v>185.48400000000001</v>
      </c>
      <c r="N22" s="12">
        <v>193.03299999999999</v>
      </c>
      <c r="O22" s="12">
        <v>199.25399999999999</v>
      </c>
      <c r="P22" s="10">
        <f>O22-C22</f>
        <v>92.025999999999996</v>
      </c>
      <c r="T22" s="1">
        <v>10</v>
      </c>
      <c r="U22" s="202">
        <f t="shared" ref="U22:AF22" si="17">D22-C22</f>
        <v>9.6230000000000047</v>
      </c>
      <c r="V22" s="202">
        <f t="shared" si="17"/>
        <v>8.472999999999999</v>
      </c>
      <c r="W22" s="202">
        <f t="shared" si="17"/>
        <v>9.2169999999999987</v>
      </c>
      <c r="X22" s="202">
        <f t="shared" si="17"/>
        <v>9.3789999999999907</v>
      </c>
      <c r="Y22" s="202">
        <f t="shared" si="17"/>
        <v>8.7000000000000171</v>
      </c>
      <c r="Z22" s="202">
        <f t="shared" si="17"/>
        <v>7.8700000000000045</v>
      </c>
      <c r="AA22" s="202">
        <f t="shared" si="17"/>
        <v>5.9659999999999798</v>
      </c>
      <c r="AB22" s="202">
        <f t="shared" si="17"/>
        <v>6.9850000000000136</v>
      </c>
      <c r="AC22" s="202">
        <f t="shared" si="17"/>
        <v>6.3239999999999839</v>
      </c>
      <c r="AD22" s="202">
        <f t="shared" si="17"/>
        <v>5.7190000000000225</v>
      </c>
      <c r="AE22" s="202">
        <f t="shared" si="17"/>
        <v>7.5489999999999782</v>
      </c>
      <c r="AF22" s="202">
        <f t="shared" si="17"/>
        <v>6.2210000000000036</v>
      </c>
    </row>
    <row r="23" spans="1:32">
      <c r="A23" s="288"/>
      <c r="B23" s="11" t="s">
        <v>57</v>
      </c>
      <c r="C23" s="105">
        <v>51.404000000000003</v>
      </c>
      <c r="D23" s="12">
        <v>55.741</v>
      </c>
      <c r="E23" s="12">
        <v>59.389000000000003</v>
      </c>
      <c r="F23" s="12">
        <v>62.296999999999997</v>
      </c>
      <c r="G23" s="12">
        <v>63.643999999999998</v>
      </c>
      <c r="H23" s="12">
        <v>64.417000000000002</v>
      </c>
      <c r="I23" s="12">
        <v>64.938000000000002</v>
      </c>
      <c r="J23" s="12">
        <v>65.349999999999994</v>
      </c>
      <c r="K23" s="12">
        <v>65.87</v>
      </c>
      <c r="L23" s="12">
        <v>66.492999999999995</v>
      </c>
      <c r="M23" s="12">
        <v>67.650999999999996</v>
      </c>
      <c r="N23" s="12">
        <v>2.6419999999999999</v>
      </c>
      <c r="O23" s="12">
        <v>6.2839999999999998</v>
      </c>
      <c r="P23" s="14"/>
      <c r="Q23" s="136">
        <f>O23+M23-C23</f>
        <v>22.530999999999999</v>
      </c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</row>
    <row r="24" spans="1:32">
      <c r="A24" s="163"/>
      <c r="B24" s="11"/>
      <c r="C24" s="10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917.10199999999986</v>
      </c>
      <c r="Q24" s="10">
        <f>SUM(Q4:Q23)</f>
        <v>254.79300000000001</v>
      </c>
    </row>
    <row r="25" spans="1:32">
      <c r="A25" s="163" t="s">
        <v>25</v>
      </c>
      <c r="B25" s="11" t="s">
        <v>365</v>
      </c>
      <c r="C25" s="106">
        <v>1960</v>
      </c>
      <c r="D25" s="16">
        <v>2164</v>
      </c>
      <c r="E25" s="16">
        <v>3386</v>
      </c>
      <c r="F25" s="16">
        <v>3600</v>
      </c>
      <c r="G25" s="16">
        <v>3812</v>
      </c>
      <c r="H25" s="16">
        <v>4024</v>
      </c>
      <c r="I25" s="16">
        <v>4224</v>
      </c>
      <c r="J25" s="16">
        <v>4406</v>
      </c>
      <c r="K25" s="16">
        <v>4622</v>
      </c>
      <c r="L25" s="16">
        <v>4810</v>
      </c>
      <c r="M25" s="16">
        <v>4999</v>
      </c>
      <c r="N25" s="16">
        <v>5191</v>
      </c>
      <c r="O25" s="16">
        <v>5389</v>
      </c>
      <c r="P25" s="10"/>
      <c r="R25" s="19">
        <f>O25-C25</f>
        <v>3429</v>
      </c>
    </row>
    <row r="26" spans="1:32">
      <c r="A26" s="163"/>
      <c r="B26" s="11" t="s">
        <v>231</v>
      </c>
      <c r="C26" s="107">
        <v>1247.5999999999999</v>
      </c>
      <c r="D26" s="21">
        <v>1346.7</v>
      </c>
      <c r="E26" s="21">
        <v>1435.1</v>
      </c>
      <c r="F26" s="21">
        <v>1532.8</v>
      </c>
      <c r="G26" s="21">
        <v>1626.9</v>
      </c>
      <c r="H26" s="21">
        <v>1729.4</v>
      </c>
      <c r="I26" s="21">
        <v>1820.7</v>
      </c>
      <c r="J26" s="21">
        <v>1897.8</v>
      </c>
      <c r="K26" s="21">
        <v>1973.9</v>
      </c>
      <c r="L26" s="21">
        <v>2061.4</v>
      </c>
      <c r="M26" s="21">
        <v>2160</v>
      </c>
      <c r="N26" s="21">
        <v>2257.3000000000002</v>
      </c>
      <c r="O26" s="21">
        <v>2353</v>
      </c>
      <c r="P26" s="10">
        <f>O26-C26</f>
        <v>1105.4000000000001</v>
      </c>
    </row>
    <row r="27" spans="1:32">
      <c r="A27" s="163"/>
      <c r="B27" s="11" t="s">
        <v>27</v>
      </c>
      <c r="C27" s="108">
        <v>94.22</v>
      </c>
      <c r="D27" s="22">
        <v>106.89</v>
      </c>
      <c r="E27" s="22">
        <v>117.26</v>
      </c>
      <c r="F27" s="22">
        <v>125.69</v>
      </c>
      <c r="G27" s="22">
        <v>131.63</v>
      </c>
      <c r="H27" s="22">
        <v>134.96</v>
      </c>
      <c r="I27" s="22">
        <v>136.88999999999999</v>
      </c>
      <c r="J27" s="23">
        <v>137.85</v>
      </c>
      <c r="K27" s="23">
        <v>139.28</v>
      </c>
      <c r="L27" s="22">
        <v>140.74</v>
      </c>
      <c r="M27" s="22">
        <v>145.78</v>
      </c>
      <c r="N27" s="22">
        <v>154.91</v>
      </c>
      <c r="O27" s="22">
        <v>165.58</v>
      </c>
      <c r="P27" s="10"/>
      <c r="Q27" s="10">
        <f>(O27-C27)*3.6</f>
        <v>256.89600000000007</v>
      </c>
      <c r="R27" t="s">
        <v>165</v>
      </c>
    </row>
    <row r="28" spans="1:32" ht="15.75" thickBot="1">
      <c r="A28" s="162"/>
      <c r="B28" s="31" t="s">
        <v>28</v>
      </c>
      <c r="C28" s="109">
        <v>4874</v>
      </c>
      <c r="D28" s="25">
        <v>5262</v>
      </c>
      <c r="E28" s="25">
        <v>5590</v>
      </c>
      <c r="F28" s="25">
        <v>5845</v>
      </c>
      <c r="G28" s="25">
        <v>6034</v>
      </c>
      <c r="H28" s="25">
        <v>6164</v>
      </c>
      <c r="I28" s="25">
        <v>6280</v>
      </c>
      <c r="J28" s="25">
        <v>6337</v>
      </c>
      <c r="K28" s="25">
        <v>6580</v>
      </c>
      <c r="L28" s="25">
        <v>6667</v>
      </c>
      <c r="M28" s="25">
        <v>6811</v>
      </c>
      <c r="N28" s="25">
        <v>7036</v>
      </c>
      <c r="O28" s="25">
        <v>7312</v>
      </c>
      <c r="P28" s="10"/>
      <c r="Q28" s="19">
        <f>O28-C28</f>
        <v>2438</v>
      </c>
      <c r="R28" t="s">
        <v>166</v>
      </c>
    </row>
    <row r="29" spans="1:32" ht="15.75" thickBot="1">
      <c r="A29" s="164" t="str">
        <f>'1850'!A29</f>
        <v>fakturační vodoměr č.         63796</v>
      </c>
      <c r="B29" s="26"/>
      <c r="C29" s="110">
        <f>'1850'!C29</f>
        <v>11988</v>
      </c>
      <c r="D29" s="110">
        <f>'1850'!D29</f>
        <v>12374.5</v>
      </c>
      <c r="E29" s="110">
        <f>'1850'!E29</f>
        <v>12733.1</v>
      </c>
      <c r="F29" s="110">
        <f>'1850'!F29</f>
        <v>13122.2</v>
      </c>
      <c r="G29" s="110">
        <f>'1850'!G29</f>
        <v>13481.9</v>
      </c>
      <c r="H29" s="110">
        <f>'1850'!H29</f>
        <v>13859.3</v>
      </c>
      <c r="I29" s="110">
        <f>'1850'!I29</f>
        <v>14237.6</v>
      </c>
      <c r="J29" s="110">
        <f>'1850'!J29</f>
        <v>14571.1</v>
      </c>
      <c r="K29" s="110">
        <f>'1850'!K29</f>
        <v>14905.5</v>
      </c>
      <c r="L29" s="110">
        <f>'1850'!L29</f>
        <v>15230.3</v>
      </c>
      <c r="M29" s="110">
        <f>'1850'!M29</f>
        <v>15608.4</v>
      </c>
      <c r="N29" s="110">
        <f>'1850'!N29</f>
        <v>15951</v>
      </c>
      <c r="O29" s="110">
        <f>'1850'!O29</f>
        <v>16304</v>
      </c>
      <c r="P29" s="10">
        <f>O29-C29</f>
        <v>4316</v>
      </c>
    </row>
    <row r="31" spans="1:32">
      <c r="C31" s="30"/>
      <c r="D31" s="190" t="s">
        <v>309</v>
      </c>
      <c r="E31" s="30"/>
      <c r="F31" s="191"/>
      <c r="G31" s="30"/>
    </row>
    <row r="32" spans="1:32">
      <c r="C32" s="290">
        <v>3</v>
      </c>
      <c r="D32" s="291">
        <v>43950</v>
      </c>
      <c r="E32" s="103" t="s">
        <v>300</v>
      </c>
      <c r="F32" s="221"/>
      <c r="G32" s="221"/>
    </row>
    <row r="33" spans="3:8">
      <c r="C33" s="290"/>
      <c r="D33" s="291"/>
      <c r="E33" s="103" t="s">
        <v>301</v>
      </c>
      <c r="F33" s="221"/>
      <c r="G33" s="221"/>
    </row>
    <row r="35" spans="3:8">
      <c r="D35" t="s">
        <v>317</v>
      </c>
    </row>
    <row r="36" spans="3:8">
      <c r="D36" s="291">
        <v>43956</v>
      </c>
      <c r="E36" s="103" t="s">
        <v>300</v>
      </c>
      <c r="F36" s="300"/>
      <c r="G36" s="299"/>
      <c r="H36" s="155"/>
    </row>
    <row r="37" spans="3:8">
      <c r="D37" s="291"/>
      <c r="E37" s="103" t="s">
        <v>301</v>
      </c>
      <c r="F37" s="299"/>
      <c r="G37" s="299"/>
      <c r="H37" s="155"/>
    </row>
  </sheetData>
  <sheetProtection selectLockedCells="1" selectUnlockedCells="1"/>
  <mergeCells count="15">
    <mergeCell ref="D36:D37"/>
    <mergeCell ref="F36:G36"/>
    <mergeCell ref="F37:G37"/>
    <mergeCell ref="C32:C33"/>
    <mergeCell ref="D32:D33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H4">
    <cfRule type="cellIs" dxfId="3694" priority="1" stopIfTrue="1" operator="lessThan">
      <formula>'1852'!$G$4</formula>
    </cfRule>
    <cfRule type="cellIs" dxfId="3693" priority="2" stopIfTrue="1" operator="equal">
      <formula>'1852'!$G$4</formula>
    </cfRule>
  </conditionalFormatting>
  <conditionalFormatting sqref="G7">
    <cfRule type="cellIs" dxfId="3692" priority="3" stopIfTrue="1" operator="equal">
      <formula>'1852'!$F$7</formula>
    </cfRule>
    <cfRule type="cellIs" dxfId="3691" priority="4" stopIfTrue="1" operator="lessThan">
      <formula>'1852'!$F$7</formula>
    </cfRule>
  </conditionalFormatting>
  <conditionalFormatting sqref="H5">
    <cfRule type="cellIs" dxfId="3690" priority="5" stopIfTrue="1" operator="equal">
      <formula>'1852'!$G$5</formula>
    </cfRule>
    <cfRule type="cellIs" dxfId="3689" priority="6" stopIfTrue="1" operator="lessThan">
      <formula>'1852'!$G$5</formula>
    </cfRule>
  </conditionalFormatting>
  <conditionalFormatting sqref="I5">
    <cfRule type="cellIs" dxfId="3688" priority="7" stopIfTrue="1" operator="equal">
      <formula>'1852'!$H$5</formula>
    </cfRule>
    <cfRule type="cellIs" dxfId="3687" priority="8" stopIfTrue="1" operator="lessThan">
      <formula>'1852'!$H$5</formula>
    </cfRule>
  </conditionalFormatting>
  <conditionalFormatting sqref="J5">
    <cfRule type="cellIs" dxfId="3686" priority="9" stopIfTrue="1" operator="equal">
      <formula>'1852'!$I$5</formula>
    </cfRule>
    <cfRule type="cellIs" dxfId="3685" priority="10" stopIfTrue="1" operator="lessThan">
      <formula>'1852'!$I$5</formula>
    </cfRule>
  </conditionalFormatting>
  <conditionalFormatting sqref="F4">
    <cfRule type="cellIs" dxfId="3684" priority="11" stopIfTrue="1" operator="equal">
      <formula>'1852'!$E$4</formula>
    </cfRule>
    <cfRule type="cellIs" dxfId="3683" priority="12" stopIfTrue="1" operator="lessThan">
      <formula>'1852'!$E$4</formula>
    </cfRule>
  </conditionalFormatting>
  <conditionalFormatting sqref="D4">
    <cfRule type="cellIs" dxfId="3682" priority="13" stopIfTrue="1" operator="lessThan">
      <formula>'1852'!$C$4</formula>
    </cfRule>
    <cfRule type="cellIs" dxfId="3681" priority="14" stopIfTrue="1" operator="equal">
      <formula>'1852'!$C$4</formula>
    </cfRule>
  </conditionalFormatting>
  <conditionalFormatting sqref="E4">
    <cfRule type="cellIs" dxfId="3680" priority="15" stopIfTrue="1" operator="equal">
      <formula>'1852'!$D$4</formula>
    </cfRule>
    <cfRule type="cellIs" dxfId="3679" priority="16" stopIfTrue="1" operator="lessThan">
      <formula>'1852'!$D$4</formula>
    </cfRule>
  </conditionalFormatting>
  <conditionalFormatting sqref="D5">
    <cfRule type="cellIs" dxfId="3678" priority="17" stopIfTrue="1" operator="equal">
      <formula>'1852'!$C$5</formula>
    </cfRule>
    <cfRule type="cellIs" dxfId="3677" priority="18" stopIfTrue="1" operator="lessThan">
      <formula>'1852'!$C$5</formula>
    </cfRule>
  </conditionalFormatting>
  <conditionalFormatting sqref="F5">
    <cfRule type="cellIs" dxfId="3676" priority="19" stopIfTrue="1" operator="equal">
      <formula>'1852'!$E$5</formula>
    </cfRule>
    <cfRule type="cellIs" dxfId="3675" priority="20" stopIfTrue="1" operator="lessThan">
      <formula>'1852'!$E$5</formula>
    </cfRule>
  </conditionalFormatting>
  <conditionalFormatting sqref="I4">
    <cfRule type="cellIs" dxfId="3674" priority="21" stopIfTrue="1" operator="equal">
      <formula>'1852'!$H$4</formula>
    </cfRule>
  </conditionalFormatting>
  <conditionalFormatting sqref="J4">
    <cfRule type="cellIs" dxfId="3673" priority="22" stopIfTrue="1" operator="lessThan">
      <formula>'1852'!$I$4</formula>
    </cfRule>
    <cfRule type="cellIs" dxfId="3672" priority="23" stopIfTrue="1" operator="equal">
      <formula>'1852'!$I$4</formula>
    </cfRule>
  </conditionalFormatting>
  <conditionalFormatting sqref="D6">
    <cfRule type="cellIs" dxfId="3671" priority="24" stopIfTrue="1" operator="equal">
      <formula>'1852'!$C$6</formula>
    </cfRule>
    <cfRule type="cellIs" dxfId="3670" priority="25" stopIfTrue="1" operator="lessThan">
      <formula>'1852'!$C$6</formula>
    </cfRule>
  </conditionalFormatting>
  <conditionalFormatting sqref="E6">
    <cfRule type="cellIs" dxfId="3669" priority="26" stopIfTrue="1" operator="equal">
      <formula>'1852'!$D$6</formula>
    </cfRule>
    <cfRule type="cellIs" dxfId="3668" priority="27" stopIfTrue="1" operator="lessThan">
      <formula>'1852'!$D$6</formula>
    </cfRule>
  </conditionalFormatting>
  <conditionalFormatting sqref="F6">
    <cfRule type="cellIs" dxfId="3667" priority="28" stopIfTrue="1" operator="equal">
      <formula>'1852'!$E$6</formula>
    </cfRule>
    <cfRule type="cellIs" dxfId="3666" priority="29" stopIfTrue="1" operator="lessThan">
      <formula>'1852'!$E$6</formula>
    </cfRule>
  </conditionalFormatting>
  <conditionalFormatting sqref="G6">
    <cfRule type="cellIs" dxfId="3665" priority="30" stopIfTrue="1" operator="equal">
      <formula>'1852'!$F$6</formula>
    </cfRule>
    <cfRule type="cellIs" dxfId="3664" priority="31" stopIfTrue="1" operator="lessThan">
      <formula>'1852'!$F$6</formula>
    </cfRule>
  </conditionalFormatting>
  <conditionalFormatting sqref="H6">
    <cfRule type="cellIs" dxfId="3663" priority="32" stopIfTrue="1" operator="equal">
      <formula>'1852'!$G$6</formula>
    </cfRule>
    <cfRule type="cellIs" dxfId="3662" priority="33" stopIfTrue="1" operator="lessThan">
      <formula>'1852'!$G$6</formula>
    </cfRule>
  </conditionalFormatting>
  <conditionalFormatting sqref="I6">
    <cfRule type="cellIs" dxfId="3661" priority="34" stopIfTrue="1" operator="equal">
      <formula>'1852'!$H$6</formula>
    </cfRule>
    <cfRule type="cellIs" dxfId="3660" priority="35" stopIfTrue="1" operator="lessThan">
      <formula>'1852'!$H$6</formula>
    </cfRule>
  </conditionalFormatting>
  <conditionalFormatting sqref="J6">
    <cfRule type="cellIs" dxfId="3659" priority="36" stopIfTrue="1" operator="equal">
      <formula>'1852'!$I$6</formula>
    </cfRule>
    <cfRule type="cellIs" dxfId="3658" priority="37" stopIfTrue="1" operator="lessThan">
      <formula>'1852'!$I$6</formula>
    </cfRule>
  </conditionalFormatting>
  <conditionalFormatting sqref="D7">
    <cfRule type="cellIs" dxfId="3657" priority="38" stopIfTrue="1" operator="equal">
      <formula>'1852'!$C$7</formula>
    </cfRule>
    <cfRule type="cellIs" dxfId="3656" priority="39" stopIfTrue="1" operator="lessThan">
      <formula>'1852'!$C$7</formula>
    </cfRule>
  </conditionalFormatting>
  <conditionalFormatting sqref="E7">
    <cfRule type="cellIs" dxfId="3655" priority="40" stopIfTrue="1" operator="equal">
      <formula>'1852'!$D$7</formula>
    </cfRule>
    <cfRule type="cellIs" dxfId="3654" priority="41" stopIfTrue="1" operator="lessThan">
      <formula>'1852'!$D$7</formula>
    </cfRule>
  </conditionalFormatting>
  <conditionalFormatting sqref="F7">
    <cfRule type="cellIs" dxfId="3653" priority="42" stopIfTrue="1" operator="equal">
      <formula>'1852'!$E$7</formula>
    </cfRule>
    <cfRule type="cellIs" dxfId="3652" priority="43" stopIfTrue="1" operator="lessThan">
      <formula>'1852'!$E$7</formula>
    </cfRule>
  </conditionalFormatting>
  <conditionalFormatting sqref="H7">
    <cfRule type="cellIs" dxfId="3651" priority="44" stopIfTrue="1" operator="equal">
      <formula>'1852'!$G$7</formula>
    </cfRule>
    <cfRule type="cellIs" dxfId="3650" priority="45" stopIfTrue="1" operator="lessThan">
      <formula>'1852'!$G$7</formula>
    </cfRule>
  </conditionalFormatting>
  <conditionalFormatting sqref="I7">
    <cfRule type="cellIs" dxfId="3649" priority="46" stopIfTrue="1" operator="equal">
      <formula>'1852'!$H$7</formula>
    </cfRule>
    <cfRule type="cellIs" dxfId="3648" priority="47" stopIfTrue="1" operator="lessThan">
      <formula>'1852'!$H$7</formula>
    </cfRule>
  </conditionalFormatting>
  <conditionalFormatting sqref="J7">
    <cfRule type="cellIs" dxfId="3647" priority="48" stopIfTrue="1" operator="equal">
      <formula>'1852'!$I$7</formula>
    </cfRule>
    <cfRule type="cellIs" dxfId="3646" priority="49" stopIfTrue="1" operator="lessThan">
      <formula>'1852'!$I$7</formula>
    </cfRule>
  </conditionalFormatting>
  <conditionalFormatting sqref="D8">
    <cfRule type="cellIs" dxfId="3645" priority="50" stopIfTrue="1" operator="equal">
      <formula>'1852'!$C$8</formula>
    </cfRule>
    <cfRule type="cellIs" dxfId="3644" priority="51" stopIfTrue="1" operator="lessThan">
      <formula>'1852'!$C$8</formula>
    </cfRule>
  </conditionalFormatting>
  <conditionalFormatting sqref="E8">
    <cfRule type="cellIs" dxfId="3643" priority="52" stopIfTrue="1" operator="equal">
      <formula>'1852'!$D$8</formula>
    </cfRule>
    <cfRule type="cellIs" dxfId="3642" priority="53" stopIfTrue="1" operator="lessThan">
      <formula>'1852'!$D$8</formula>
    </cfRule>
  </conditionalFormatting>
  <conditionalFormatting sqref="F8">
    <cfRule type="cellIs" dxfId="3641" priority="54" stopIfTrue="1" operator="equal">
      <formula>'1852'!$E$8</formula>
    </cfRule>
    <cfRule type="cellIs" dxfId="3640" priority="55" stopIfTrue="1" operator="lessThan">
      <formula>'1852'!$E$8</formula>
    </cfRule>
  </conditionalFormatting>
  <conditionalFormatting sqref="G8">
    <cfRule type="cellIs" dxfId="3639" priority="56" stopIfTrue="1" operator="equal">
      <formula>'1852'!$F$8</formula>
    </cfRule>
    <cfRule type="cellIs" dxfId="3638" priority="57" stopIfTrue="1" operator="lessThan">
      <formula>'1852'!$F$8</formula>
    </cfRule>
  </conditionalFormatting>
  <conditionalFormatting sqref="H8">
    <cfRule type="cellIs" dxfId="3637" priority="58" stopIfTrue="1" operator="equal">
      <formula>'1852'!$G$8</formula>
    </cfRule>
    <cfRule type="cellIs" dxfId="3636" priority="59" stopIfTrue="1" operator="lessThan">
      <formula>'1852'!$G$8</formula>
    </cfRule>
  </conditionalFormatting>
  <conditionalFormatting sqref="I8">
    <cfRule type="cellIs" dxfId="3635" priority="60" stopIfTrue="1" operator="equal">
      <formula>'1852'!$H$8</formula>
    </cfRule>
    <cfRule type="cellIs" dxfId="3634" priority="61" stopIfTrue="1" operator="lessThan">
      <formula>'1852'!$H$8</formula>
    </cfRule>
  </conditionalFormatting>
  <conditionalFormatting sqref="J8">
    <cfRule type="cellIs" dxfId="3633" priority="62" stopIfTrue="1" operator="equal">
      <formula>'1852'!$I$8</formula>
    </cfRule>
    <cfRule type="cellIs" dxfId="3632" priority="63" stopIfTrue="1" operator="lessThan">
      <formula>'1852'!$I$8</formula>
    </cfRule>
  </conditionalFormatting>
  <conditionalFormatting sqref="D9">
    <cfRule type="cellIs" dxfId="3631" priority="64" stopIfTrue="1" operator="equal">
      <formula>'1852'!$C$9</formula>
    </cfRule>
    <cfRule type="cellIs" dxfId="3630" priority="65" stopIfTrue="1" operator="lessThan">
      <formula>'1852'!$C$9</formula>
    </cfRule>
  </conditionalFormatting>
  <conditionalFormatting sqref="E9">
    <cfRule type="cellIs" dxfId="3629" priority="66" stopIfTrue="1" operator="equal">
      <formula>'1852'!$D$9</formula>
    </cfRule>
    <cfRule type="cellIs" dxfId="3628" priority="67" stopIfTrue="1" operator="lessThan">
      <formula>'1852'!$D$9</formula>
    </cfRule>
  </conditionalFormatting>
  <conditionalFormatting sqref="F9">
    <cfRule type="cellIs" dxfId="3627" priority="68" stopIfTrue="1" operator="equal">
      <formula>'1852'!$E$9</formula>
    </cfRule>
    <cfRule type="cellIs" dxfId="3626" priority="69" stopIfTrue="1" operator="lessThan">
      <formula>'1852'!$E$9</formula>
    </cfRule>
  </conditionalFormatting>
  <conditionalFormatting sqref="G9">
    <cfRule type="cellIs" dxfId="3625" priority="70" stopIfTrue="1" operator="equal">
      <formula>'1852'!$F$9</formula>
    </cfRule>
    <cfRule type="cellIs" dxfId="3624" priority="71" stopIfTrue="1" operator="lessThan">
      <formula>'1852'!$F$9</formula>
    </cfRule>
  </conditionalFormatting>
  <conditionalFormatting sqref="H9">
    <cfRule type="cellIs" dxfId="3623" priority="72" stopIfTrue="1" operator="equal">
      <formula>'1852'!$G$9</formula>
    </cfRule>
    <cfRule type="cellIs" dxfId="3622" priority="73" stopIfTrue="1" operator="lessThan">
      <formula>'1852'!$G$9</formula>
    </cfRule>
  </conditionalFormatting>
  <conditionalFormatting sqref="I9">
    <cfRule type="cellIs" dxfId="3621" priority="74" stopIfTrue="1" operator="equal">
      <formula>'1852'!$H$9</formula>
    </cfRule>
    <cfRule type="cellIs" dxfId="3620" priority="75" stopIfTrue="1" operator="lessThan">
      <formula>'1852'!$H$9</formula>
    </cfRule>
  </conditionalFormatting>
  <conditionalFormatting sqref="J9">
    <cfRule type="cellIs" dxfId="3619" priority="76" stopIfTrue="1" operator="equal">
      <formula>'1852'!$I$9</formula>
    </cfRule>
    <cfRule type="cellIs" dxfId="3618" priority="77" stopIfTrue="1" operator="lessThan">
      <formula>'1852'!$I$9</formula>
    </cfRule>
  </conditionalFormatting>
  <conditionalFormatting sqref="D10">
    <cfRule type="cellIs" dxfId="3617" priority="78" stopIfTrue="1" operator="equal">
      <formula>'1852'!$C$10</formula>
    </cfRule>
    <cfRule type="cellIs" dxfId="3616" priority="79" stopIfTrue="1" operator="lessThan">
      <formula>'1852'!$C$10</formula>
    </cfRule>
  </conditionalFormatting>
  <conditionalFormatting sqref="E10">
    <cfRule type="cellIs" dxfId="3615" priority="80" stopIfTrue="1" operator="equal">
      <formula>'1852'!$D$10</formula>
    </cfRule>
    <cfRule type="cellIs" dxfId="3614" priority="81" stopIfTrue="1" operator="lessThan">
      <formula>'1852'!$D$10</formula>
    </cfRule>
  </conditionalFormatting>
  <conditionalFormatting sqref="F10">
    <cfRule type="cellIs" dxfId="3613" priority="82" stopIfTrue="1" operator="equal">
      <formula>'1852'!$E$10</formula>
    </cfRule>
    <cfRule type="cellIs" dxfId="3612" priority="83" stopIfTrue="1" operator="lessThan">
      <formula>'1852'!$E$10</formula>
    </cfRule>
  </conditionalFormatting>
  <conditionalFormatting sqref="G10">
    <cfRule type="cellIs" dxfId="3611" priority="84" stopIfTrue="1" operator="equal">
      <formula>'1852'!$F$10</formula>
    </cfRule>
    <cfRule type="cellIs" dxfId="3610" priority="85" stopIfTrue="1" operator="lessThan">
      <formula>'1852'!$F$10</formula>
    </cfRule>
  </conditionalFormatting>
  <conditionalFormatting sqref="H10">
    <cfRule type="cellIs" dxfId="3609" priority="86" stopIfTrue="1" operator="equal">
      <formula>'1852'!$G$10</formula>
    </cfRule>
    <cfRule type="cellIs" dxfId="3608" priority="87" stopIfTrue="1" operator="lessThan">
      <formula>'1852'!$G$10</formula>
    </cfRule>
  </conditionalFormatting>
  <conditionalFormatting sqref="I10">
    <cfRule type="cellIs" dxfId="3607" priority="88" stopIfTrue="1" operator="equal">
      <formula>'1852'!$H$10</formula>
    </cfRule>
    <cfRule type="cellIs" dxfId="3606" priority="89" stopIfTrue="1" operator="lessThan">
      <formula>'1852'!$H$10</formula>
    </cfRule>
  </conditionalFormatting>
  <conditionalFormatting sqref="J10">
    <cfRule type="cellIs" dxfId="3605" priority="90" stopIfTrue="1" operator="equal">
      <formula>'1852'!$I$10</formula>
    </cfRule>
    <cfRule type="cellIs" dxfId="3604" priority="91" stopIfTrue="1" operator="lessThan">
      <formula>'1852'!$I$10</formula>
    </cfRule>
  </conditionalFormatting>
  <conditionalFormatting sqref="D11">
    <cfRule type="cellIs" dxfId="3603" priority="92" stopIfTrue="1" operator="equal">
      <formula>'1852'!$C$11</formula>
    </cfRule>
    <cfRule type="cellIs" dxfId="3602" priority="93" stopIfTrue="1" operator="lessThan">
      <formula>'1852'!$C$11</formula>
    </cfRule>
  </conditionalFormatting>
  <conditionalFormatting sqref="E11">
    <cfRule type="cellIs" dxfId="3601" priority="94" stopIfTrue="1" operator="equal">
      <formula>'1852'!$D$11</formula>
    </cfRule>
    <cfRule type="cellIs" dxfId="3600" priority="95" stopIfTrue="1" operator="lessThan">
      <formula>'1852'!$D$11</formula>
    </cfRule>
  </conditionalFormatting>
  <conditionalFormatting sqref="F11">
    <cfRule type="cellIs" dxfId="3599" priority="96" stopIfTrue="1" operator="equal">
      <formula>'1852'!$E$11</formula>
    </cfRule>
    <cfRule type="cellIs" dxfId="3598" priority="97" stopIfTrue="1" operator="lessThan">
      <formula>'1852'!$E$11</formula>
    </cfRule>
  </conditionalFormatting>
  <conditionalFormatting sqref="G11">
    <cfRule type="cellIs" dxfId="3597" priority="98" stopIfTrue="1" operator="equal">
      <formula>'1852'!$F$11</formula>
    </cfRule>
    <cfRule type="cellIs" dxfId="3596" priority="99" stopIfTrue="1" operator="lessThan">
      <formula>'1852'!$F$11</formula>
    </cfRule>
  </conditionalFormatting>
  <conditionalFormatting sqref="H11">
    <cfRule type="cellIs" dxfId="3595" priority="100" stopIfTrue="1" operator="equal">
      <formula>'1852'!$G$11</formula>
    </cfRule>
    <cfRule type="cellIs" dxfId="3594" priority="101" stopIfTrue="1" operator="lessThan">
      <formula>'1852'!$G$11</formula>
    </cfRule>
  </conditionalFormatting>
  <conditionalFormatting sqref="I11">
    <cfRule type="cellIs" dxfId="3593" priority="102" stopIfTrue="1" operator="equal">
      <formula>'1852'!$H$11</formula>
    </cfRule>
    <cfRule type="cellIs" dxfId="3592" priority="103" stopIfTrue="1" operator="lessThan">
      <formula>'1852'!$H$11</formula>
    </cfRule>
  </conditionalFormatting>
  <conditionalFormatting sqref="J11">
    <cfRule type="cellIs" dxfId="3591" priority="104" stopIfTrue="1" operator="equal">
      <formula>'1852'!$I$11</formula>
    </cfRule>
    <cfRule type="cellIs" dxfId="3590" priority="105" stopIfTrue="1" operator="lessThan">
      <formula>'1852'!$I$11</formula>
    </cfRule>
  </conditionalFormatting>
  <conditionalFormatting sqref="D12">
    <cfRule type="cellIs" dxfId="3589" priority="106" stopIfTrue="1" operator="equal">
      <formula>'1852'!$C$12</formula>
    </cfRule>
    <cfRule type="cellIs" dxfId="3588" priority="107" stopIfTrue="1" operator="lessThan">
      <formula>'1852'!$C$12</formula>
    </cfRule>
  </conditionalFormatting>
  <conditionalFormatting sqref="E12">
    <cfRule type="cellIs" dxfId="3587" priority="108" stopIfTrue="1" operator="equal">
      <formula>'1852'!$D$12</formula>
    </cfRule>
    <cfRule type="cellIs" dxfId="3586" priority="109" stopIfTrue="1" operator="lessThan">
      <formula>'1852'!$D$12</formula>
    </cfRule>
  </conditionalFormatting>
  <conditionalFormatting sqref="F12">
    <cfRule type="cellIs" dxfId="3585" priority="110" stopIfTrue="1" operator="equal">
      <formula>'1852'!$E$12</formula>
    </cfRule>
    <cfRule type="cellIs" dxfId="3584" priority="111" stopIfTrue="1" operator="lessThan">
      <formula>'1852'!$E$12</formula>
    </cfRule>
  </conditionalFormatting>
  <conditionalFormatting sqref="G12">
    <cfRule type="cellIs" dxfId="3583" priority="112" stopIfTrue="1" operator="equal">
      <formula>'1852'!$F$12</formula>
    </cfRule>
    <cfRule type="cellIs" dxfId="3582" priority="113" stopIfTrue="1" operator="lessThan">
      <formula>'1852'!$F$12</formula>
    </cfRule>
  </conditionalFormatting>
  <conditionalFormatting sqref="H12">
    <cfRule type="cellIs" dxfId="3581" priority="114" stopIfTrue="1" operator="equal">
      <formula>'1852'!$G$12</formula>
    </cfRule>
    <cfRule type="cellIs" dxfId="3580" priority="115" stopIfTrue="1" operator="lessThan">
      <formula>'1852'!$G$12</formula>
    </cfRule>
  </conditionalFormatting>
  <conditionalFormatting sqref="I12">
    <cfRule type="cellIs" dxfId="3579" priority="116" stopIfTrue="1" operator="equal">
      <formula>'1852'!$H$12</formula>
    </cfRule>
    <cfRule type="cellIs" dxfId="3578" priority="117" stopIfTrue="1" operator="lessThan">
      <formula>'1852'!$H$12</formula>
    </cfRule>
  </conditionalFormatting>
  <conditionalFormatting sqref="J12">
    <cfRule type="cellIs" dxfId="3577" priority="118" stopIfTrue="1" operator="equal">
      <formula>'1852'!$I$12</formula>
    </cfRule>
    <cfRule type="cellIs" dxfId="3576" priority="119" stopIfTrue="1" operator="lessThan">
      <formula>'1852'!$I$12</formula>
    </cfRule>
  </conditionalFormatting>
  <conditionalFormatting sqref="D14">
    <cfRule type="cellIs" dxfId="3575" priority="120" stopIfTrue="1" operator="equal">
      <formula>'1852'!$C$14</formula>
    </cfRule>
    <cfRule type="cellIs" dxfId="3574" priority="121" stopIfTrue="1" operator="lessThan">
      <formula>'1852'!$C$14</formula>
    </cfRule>
  </conditionalFormatting>
  <conditionalFormatting sqref="D15">
    <cfRule type="cellIs" dxfId="3573" priority="122" stopIfTrue="1" operator="equal">
      <formula>'1852'!$C$15</formula>
    </cfRule>
    <cfRule type="cellIs" dxfId="3572" priority="123" stopIfTrue="1" operator="lessThan">
      <formula>'1852'!$C$15</formula>
    </cfRule>
  </conditionalFormatting>
  <conditionalFormatting sqref="D16">
    <cfRule type="cellIs" dxfId="3571" priority="124" stopIfTrue="1" operator="equal">
      <formula>'1852'!$C$16</formula>
    </cfRule>
    <cfRule type="cellIs" dxfId="3570" priority="125" stopIfTrue="1" operator="lessThan">
      <formula>'1852'!$C$16</formula>
    </cfRule>
  </conditionalFormatting>
  <conditionalFormatting sqref="D17">
    <cfRule type="cellIs" dxfId="3569" priority="126" stopIfTrue="1" operator="equal">
      <formula>'1852'!$C$17</formula>
    </cfRule>
    <cfRule type="cellIs" dxfId="3568" priority="127" stopIfTrue="1" operator="lessThan">
      <formula>'1852'!$C$17</formula>
    </cfRule>
  </conditionalFormatting>
  <conditionalFormatting sqref="D18">
    <cfRule type="cellIs" dxfId="3567" priority="128" stopIfTrue="1" operator="equal">
      <formula>'1852'!$C$18</formula>
    </cfRule>
    <cfRule type="cellIs" dxfId="3566" priority="129" stopIfTrue="1" operator="lessThan">
      <formula>'1852'!$C$18</formula>
    </cfRule>
  </conditionalFormatting>
  <conditionalFormatting sqref="D19">
    <cfRule type="cellIs" dxfId="3565" priority="130" stopIfTrue="1" operator="equal">
      <formula>'1852'!$C$19</formula>
    </cfRule>
    <cfRule type="cellIs" dxfId="3564" priority="131" stopIfTrue="1" operator="lessThan">
      <formula>'1852'!$C$19</formula>
    </cfRule>
  </conditionalFormatting>
  <conditionalFormatting sqref="D20">
    <cfRule type="cellIs" dxfId="3563" priority="132" stopIfTrue="1" operator="equal">
      <formula>'1852'!$C$20</formula>
    </cfRule>
    <cfRule type="cellIs" dxfId="3562" priority="133" stopIfTrue="1" operator="lessThan">
      <formula>'1852'!$C$20</formula>
    </cfRule>
  </conditionalFormatting>
  <conditionalFormatting sqref="D21">
    <cfRule type="cellIs" dxfId="3561" priority="134" stopIfTrue="1" operator="equal">
      <formula>'1852'!$C$21</formula>
    </cfRule>
    <cfRule type="cellIs" dxfId="3560" priority="135" stopIfTrue="1" operator="lessThan">
      <formula>'1852'!$C$21</formula>
    </cfRule>
  </conditionalFormatting>
  <conditionalFormatting sqref="D22">
    <cfRule type="cellIs" dxfId="3559" priority="136" stopIfTrue="1" operator="equal">
      <formula>'1852'!$C$22</formula>
    </cfRule>
    <cfRule type="cellIs" dxfId="3558" priority="137" stopIfTrue="1" operator="lessThan">
      <formula>'1852'!$C$22</formula>
    </cfRule>
  </conditionalFormatting>
  <conditionalFormatting sqref="D23">
    <cfRule type="cellIs" dxfId="3557" priority="138" stopIfTrue="1" operator="equal">
      <formula>'1852'!$C$23</formula>
    </cfRule>
    <cfRule type="cellIs" dxfId="3556" priority="139" stopIfTrue="1" operator="lessThan">
      <formula>'1852'!$C$23</formula>
    </cfRule>
  </conditionalFormatting>
  <conditionalFormatting sqref="D25">
    <cfRule type="cellIs" dxfId="3555" priority="140" stopIfTrue="1" operator="equal">
      <formula>'1852'!$C$25</formula>
    </cfRule>
    <cfRule type="cellIs" dxfId="3554" priority="141" stopIfTrue="1" operator="lessThan">
      <formula>'1852'!$C$25</formula>
    </cfRule>
  </conditionalFormatting>
  <conditionalFormatting sqref="D26">
    <cfRule type="cellIs" dxfId="3553" priority="142" stopIfTrue="1" operator="equal">
      <formula>'1852'!$C$26</formula>
    </cfRule>
    <cfRule type="cellIs" dxfId="3552" priority="143" stopIfTrue="1" operator="lessThan">
      <formula>'1852'!$C$26</formula>
    </cfRule>
  </conditionalFormatting>
  <conditionalFormatting sqref="D27">
    <cfRule type="cellIs" dxfId="3551" priority="144" stopIfTrue="1" operator="equal">
      <formula>'1852'!$C$27</formula>
    </cfRule>
    <cfRule type="cellIs" dxfId="3550" priority="145" stopIfTrue="1" operator="lessThan">
      <formula>'1852'!$C$27</formula>
    </cfRule>
  </conditionalFormatting>
  <conditionalFormatting sqref="D28">
    <cfRule type="cellIs" dxfId="3549" priority="146" stopIfTrue="1" operator="equal">
      <formula>'1852'!$C$28</formula>
    </cfRule>
    <cfRule type="cellIs" dxfId="3548" priority="147" stopIfTrue="1" operator="lessThan">
      <formula>'1852'!$C$28</formula>
    </cfRule>
  </conditionalFormatting>
  <conditionalFormatting sqref="E13">
    <cfRule type="cellIs" dxfId="3547" priority="148" stopIfTrue="1" operator="equal">
      <formula>'1852'!$D$13</formula>
    </cfRule>
    <cfRule type="cellIs" dxfId="3546" priority="149" stopIfTrue="1" operator="lessThan">
      <formula>'1852'!$D$13</formula>
    </cfRule>
  </conditionalFormatting>
  <conditionalFormatting sqref="E14">
    <cfRule type="cellIs" dxfId="3545" priority="150" stopIfTrue="1" operator="equal">
      <formula>'1852'!$D$14</formula>
    </cfRule>
    <cfRule type="cellIs" dxfId="3544" priority="151" stopIfTrue="1" operator="lessThan">
      <formula>'1852'!$D$14</formula>
    </cfRule>
  </conditionalFormatting>
  <conditionalFormatting sqref="E15">
    <cfRule type="cellIs" dxfId="3543" priority="152" stopIfTrue="1" operator="equal">
      <formula>'1852'!$D$15</formula>
    </cfRule>
    <cfRule type="cellIs" dxfId="3542" priority="153" stopIfTrue="1" operator="lessThan">
      <formula>'1852'!$D$15</formula>
    </cfRule>
  </conditionalFormatting>
  <conditionalFormatting sqref="E16">
    <cfRule type="cellIs" dxfId="3541" priority="154" stopIfTrue="1" operator="equal">
      <formula>'1852'!$D$16</formula>
    </cfRule>
    <cfRule type="cellIs" dxfId="3540" priority="155" stopIfTrue="1" operator="lessThan">
      <formula>'1852'!$D$16</formula>
    </cfRule>
  </conditionalFormatting>
  <conditionalFormatting sqref="E17">
    <cfRule type="cellIs" dxfId="3539" priority="156" stopIfTrue="1" operator="equal">
      <formula>'1852'!$D$17</formula>
    </cfRule>
    <cfRule type="cellIs" dxfId="3538" priority="157" stopIfTrue="1" operator="lessThan">
      <formula>'1852'!$D$17</formula>
    </cfRule>
  </conditionalFormatting>
  <conditionalFormatting sqref="E18">
    <cfRule type="cellIs" dxfId="3537" priority="158" stopIfTrue="1" operator="equal">
      <formula>'1852'!$D$18</formula>
    </cfRule>
    <cfRule type="cellIs" dxfId="3536" priority="159" stopIfTrue="1" operator="lessThan">
      <formula>'1852'!$D$18</formula>
    </cfRule>
  </conditionalFormatting>
  <conditionalFormatting sqref="E19">
    <cfRule type="cellIs" dxfId="3535" priority="160" stopIfTrue="1" operator="equal">
      <formula>'1852'!$D$19</formula>
    </cfRule>
    <cfRule type="cellIs" dxfId="3534" priority="161" stopIfTrue="1" operator="lessThan">
      <formula>'1852'!$D$19</formula>
    </cfRule>
  </conditionalFormatting>
  <conditionalFormatting sqref="E20">
    <cfRule type="cellIs" dxfId="3533" priority="162" stopIfTrue="1" operator="equal">
      <formula>'1852'!$D$20</formula>
    </cfRule>
    <cfRule type="cellIs" dxfId="3532" priority="163" stopIfTrue="1" operator="lessThan">
      <formula>'1852'!$D$20</formula>
    </cfRule>
  </conditionalFormatting>
  <conditionalFormatting sqref="E21">
    <cfRule type="cellIs" dxfId="3531" priority="164" stopIfTrue="1" operator="equal">
      <formula>'1852'!$D$21</formula>
    </cfRule>
    <cfRule type="cellIs" dxfId="3530" priority="165" stopIfTrue="1" operator="lessThan">
      <formula>'1852'!$D$21</formula>
    </cfRule>
  </conditionalFormatting>
  <conditionalFormatting sqref="E22">
    <cfRule type="cellIs" dxfId="3529" priority="166" stopIfTrue="1" operator="equal">
      <formula>'1852'!$D$22</formula>
    </cfRule>
    <cfRule type="cellIs" dxfId="3528" priority="167" stopIfTrue="1" operator="lessThan">
      <formula>'1852'!$D$22</formula>
    </cfRule>
  </conditionalFormatting>
  <conditionalFormatting sqref="E23">
    <cfRule type="cellIs" dxfId="3527" priority="168" stopIfTrue="1" operator="equal">
      <formula>'1852'!$D$23</formula>
    </cfRule>
    <cfRule type="cellIs" dxfId="3526" priority="169" stopIfTrue="1" operator="lessThan">
      <formula>'1852'!$D$23</formula>
    </cfRule>
  </conditionalFormatting>
  <conditionalFormatting sqref="E25">
    <cfRule type="cellIs" dxfId="3525" priority="170" stopIfTrue="1" operator="equal">
      <formula>'1852'!$D$25</formula>
    </cfRule>
    <cfRule type="cellIs" dxfId="3524" priority="171" stopIfTrue="1" operator="lessThan">
      <formula>'1852'!$D$25</formula>
    </cfRule>
  </conditionalFormatting>
  <conditionalFormatting sqref="E26">
    <cfRule type="cellIs" dxfId="3523" priority="172" stopIfTrue="1" operator="equal">
      <formula>'1852'!$D$26</formula>
    </cfRule>
    <cfRule type="cellIs" dxfId="3522" priority="173" stopIfTrue="1" operator="lessThan">
      <formula>'1852'!$D$26</formula>
    </cfRule>
  </conditionalFormatting>
  <conditionalFormatting sqref="E27">
    <cfRule type="cellIs" dxfId="3521" priority="174" stopIfTrue="1" operator="equal">
      <formula>'1852'!$D$27</formula>
    </cfRule>
    <cfRule type="cellIs" dxfId="3520" priority="175" stopIfTrue="1" operator="lessThan">
      <formula>'1852'!$D$27</formula>
    </cfRule>
  </conditionalFormatting>
  <conditionalFormatting sqref="E28">
    <cfRule type="cellIs" dxfId="3519" priority="176" stopIfTrue="1" operator="equal">
      <formula>'1852'!$D$28</formula>
    </cfRule>
    <cfRule type="cellIs" dxfId="3518" priority="177" stopIfTrue="1" operator="lessThan">
      <formula>'1852'!$D$28</formula>
    </cfRule>
  </conditionalFormatting>
  <conditionalFormatting sqref="F13">
    <cfRule type="cellIs" dxfId="3517" priority="178" stopIfTrue="1" operator="equal">
      <formula>'1852'!$E$13</formula>
    </cfRule>
    <cfRule type="cellIs" dxfId="3516" priority="179" stopIfTrue="1" operator="lessThan">
      <formula>'1852'!$E$13</formula>
    </cfRule>
  </conditionalFormatting>
  <conditionalFormatting sqref="F14">
    <cfRule type="cellIs" dxfId="3515" priority="180" stopIfTrue="1" operator="equal">
      <formula>'1852'!$E$14</formula>
    </cfRule>
    <cfRule type="cellIs" dxfId="3514" priority="181" stopIfTrue="1" operator="lessThan">
      <formula>'1852'!$E$14</formula>
    </cfRule>
  </conditionalFormatting>
  <conditionalFormatting sqref="F15">
    <cfRule type="cellIs" dxfId="3513" priority="182" stopIfTrue="1" operator="equal">
      <formula>'1852'!$E$15</formula>
    </cfRule>
    <cfRule type="cellIs" dxfId="3512" priority="183" stopIfTrue="1" operator="lessThan">
      <formula>'1852'!$E$15</formula>
    </cfRule>
  </conditionalFormatting>
  <conditionalFormatting sqref="F16">
    <cfRule type="cellIs" dxfId="3511" priority="184" stopIfTrue="1" operator="equal">
      <formula>'1852'!$E$16</formula>
    </cfRule>
    <cfRule type="cellIs" dxfId="3510" priority="185" stopIfTrue="1" operator="lessThan">
      <formula>'1852'!$E$16</formula>
    </cfRule>
  </conditionalFormatting>
  <conditionalFormatting sqref="F17">
    <cfRule type="cellIs" dxfId="3509" priority="186" stopIfTrue="1" operator="equal">
      <formula>'1852'!$E$17</formula>
    </cfRule>
    <cfRule type="cellIs" dxfId="3508" priority="187" stopIfTrue="1" operator="lessThan">
      <formula>'1852'!$E$17</formula>
    </cfRule>
  </conditionalFormatting>
  <conditionalFormatting sqref="F18">
    <cfRule type="cellIs" dxfId="3507" priority="188" stopIfTrue="1" operator="equal">
      <formula>'1852'!$E$18</formula>
    </cfRule>
    <cfRule type="cellIs" dxfId="3506" priority="189" stopIfTrue="1" operator="lessThan">
      <formula>'1852'!$E$18</formula>
    </cfRule>
  </conditionalFormatting>
  <conditionalFormatting sqref="F19">
    <cfRule type="cellIs" dxfId="3505" priority="190" stopIfTrue="1" operator="equal">
      <formula>'1852'!$E$19</formula>
    </cfRule>
    <cfRule type="cellIs" dxfId="3504" priority="191" stopIfTrue="1" operator="lessThan">
      <formula>'1852'!$E$19</formula>
    </cfRule>
  </conditionalFormatting>
  <conditionalFormatting sqref="F20">
    <cfRule type="cellIs" dxfId="3503" priority="192" stopIfTrue="1" operator="equal">
      <formula>'1852'!$E$20</formula>
    </cfRule>
    <cfRule type="cellIs" dxfId="3502" priority="193" stopIfTrue="1" operator="lessThan">
      <formula>'1852'!$E$20</formula>
    </cfRule>
  </conditionalFormatting>
  <conditionalFormatting sqref="F21">
    <cfRule type="cellIs" dxfId="3501" priority="194" stopIfTrue="1" operator="equal">
      <formula>'1852'!$E$21</formula>
    </cfRule>
    <cfRule type="cellIs" dxfId="3500" priority="195" stopIfTrue="1" operator="lessThan">
      <formula>'1852'!$E$21</formula>
    </cfRule>
  </conditionalFormatting>
  <conditionalFormatting sqref="F22">
    <cfRule type="cellIs" dxfId="3499" priority="196" stopIfTrue="1" operator="equal">
      <formula>'1852'!$E$22</formula>
    </cfRule>
    <cfRule type="cellIs" dxfId="3498" priority="197" stopIfTrue="1" operator="lessThan">
      <formula>'1852'!$E$22</formula>
    </cfRule>
  </conditionalFormatting>
  <conditionalFormatting sqref="F23">
    <cfRule type="cellIs" dxfId="3497" priority="198" stopIfTrue="1" operator="equal">
      <formula>'1852'!$E$23</formula>
    </cfRule>
    <cfRule type="cellIs" dxfId="3496" priority="199" stopIfTrue="1" operator="lessThan">
      <formula>'1852'!$E$23</formula>
    </cfRule>
  </conditionalFormatting>
  <conditionalFormatting sqref="F25">
    <cfRule type="cellIs" dxfId="3495" priority="200" stopIfTrue="1" operator="equal">
      <formula>'1852'!$E$25</formula>
    </cfRule>
    <cfRule type="cellIs" dxfId="3494" priority="201" stopIfTrue="1" operator="lessThan">
      <formula>'1852'!$E$25</formula>
    </cfRule>
  </conditionalFormatting>
  <conditionalFormatting sqref="F26">
    <cfRule type="cellIs" dxfId="3493" priority="202" stopIfTrue="1" operator="equal">
      <formula>'1852'!$E$26</formula>
    </cfRule>
    <cfRule type="cellIs" dxfId="3492" priority="203" stopIfTrue="1" operator="lessThan">
      <formula>'1852'!$E$26</formula>
    </cfRule>
  </conditionalFormatting>
  <conditionalFormatting sqref="F27">
    <cfRule type="cellIs" dxfId="3491" priority="204" stopIfTrue="1" operator="equal">
      <formula>'1852'!$E$27</formula>
    </cfRule>
    <cfRule type="cellIs" dxfId="3490" priority="205" stopIfTrue="1" operator="lessThan">
      <formula>'1852'!$E$27</formula>
    </cfRule>
  </conditionalFormatting>
  <conditionalFormatting sqref="F28">
    <cfRule type="cellIs" dxfId="3489" priority="206" stopIfTrue="1" operator="equal">
      <formula>'1852'!$E$28</formula>
    </cfRule>
    <cfRule type="cellIs" dxfId="3488" priority="207" stopIfTrue="1" operator="lessThan">
      <formula>'1852'!$E$28</formula>
    </cfRule>
  </conditionalFormatting>
  <conditionalFormatting sqref="G13">
    <cfRule type="cellIs" dxfId="3487" priority="208" stopIfTrue="1" operator="equal">
      <formula>'1852'!$F$13</formula>
    </cfRule>
    <cfRule type="cellIs" dxfId="3486" priority="209" stopIfTrue="1" operator="lessThan">
      <formula>'1852'!$F$13</formula>
    </cfRule>
  </conditionalFormatting>
  <conditionalFormatting sqref="G14">
    <cfRule type="cellIs" dxfId="3485" priority="210" stopIfTrue="1" operator="equal">
      <formula>'1852'!$F$14</formula>
    </cfRule>
    <cfRule type="cellIs" dxfId="3484" priority="211" stopIfTrue="1" operator="lessThan">
      <formula>'1852'!$F$14</formula>
    </cfRule>
  </conditionalFormatting>
  <conditionalFormatting sqref="G15">
    <cfRule type="cellIs" dxfId="3483" priority="212" stopIfTrue="1" operator="equal">
      <formula>'1852'!$F$15</formula>
    </cfRule>
    <cfRule type="cellIs" dxfId="3482" priority="213" stopIfTrue="1" operator="lessThan">
      <formula>'1852'!$F$15</formula>
    </cfRule>
  </conditionalFormatting>
  <conditionalFormatting sqref="G16">
    <cfRule type="cellIs" dxfId="3481" priority="214" stopIfTrue="1" operator="equal">
      <formula>'1852'!$F$16</formula>
    </cfRule>
    <cfRule type="cellIs" dxfId="3480" priority="215" stopIfTrue="1" operator="lessThan">
      <formula>'1852'!$F$16</formula>
    </cfRule>
  </conditionalFormatting>
  <conditionalFormatting sqref="G17">
    <cfRule type="cellIs" dxfId="3479" priority="216" stopIfTrue="1" operator="equal">
      <formula>'1852'!$F$17</formula>
    </cfRule>
    <cfRule type="cellIs" dxfId="3478" priority="217" stopIfTrue="1" operator="lessThan">
      <formula>'1852'!$F$17</formula>
    </cfRule>
  </conditionalFormatting>
  <conditionalFormatting sqref="G18">
    <cfRule type="cellIs" dxfId="3477" priority="218" stopIfTrue="1" operator="equal">
      <formula>'1852'!$F$18</formula>
    </cfRule>
    <cfRule type="cellIs" dxfId="3476" priority="219" stopIfTrue="1" operator="lessThan">
      <formula>'1852'!$F$18</formula>
    </cfRule>
  </conditionalFormatting>
  <conditionalFormatting sqref="G19">
    <cfRule type="cellIs" dxfId="3475" priority="220" stopIfTrue="1" operator="equal">
      <formula>'1852'!$F$19</formula>
    </cfRule>
    <cfRule type="cellIs" dxfId="3474" priority="221" stopIfTrue="1" operator="lessThan">
      <formula>'1852'!$F$19</formula>
    </cfRule>
  </conditionalFormatting>
  <conditionalFormatting sqref="G20">
    <cfRule type="cellIs" dxfId="3473" priority="222" stopIfTrue="1" operator="equal">
      <formula>'1852'!$F$20</formula>
    </cfRule>
    <cfRule type="cellIs" dxfId="3472" priority="223" stopIfTrue="1" operator="lessThan">
      <formula>'1852'!$F$20</formula>
    </cfRule>
  </conditionalFormatting>
  <conditionalFormatting sqref="G21">
    <cfRule type="cellIs" dxfId="3471" priority="224" stopIfTrue="1" operator="equal">
      <formula>'1852'!$F$21</formula>
    </cfRule>
    <cfRule type="cellIs" dxfId="3470" priority="225" stopIfTrue="1" operator="lessThan">
      <formula>'1852'!$F$21</formula>
    </cfRule>
  </conditionalFormatting>
  <conditionalFormatting sqref="G22">
    <cfRule type="cellIs" dxfId="3469" priority="226" stopIfTrue="1" operator="equal">
      <formula>'1852'!$F$22</formula>
    </cfRule>
    <cfRule type="cellIs" dxfId="3468" priority="227" stopIfTrue="1" operator="lessThan">
      <formula>'1852'!$F$22</formula>
    </cfRule>
  </conditionalFormatting>
  <conditionalFormatting sqref="G23">
    <cfRule type="cellIs" dxfId="3467" priority="228" stopIfTrue="1" operator="equal">
      <formula>'1852'!$F$23</formula>
    </cfRule>
    <cfRule type="cellIs" dxfId="3466" priority="229" stopIfTrue="1" operator="lessThan">
      <formula>'1852'!$F$23</formula>
    </cfRule>
  </conditionalFormatting>
  <conditionalFormatting sqref="G25">
    <cfRule type="cellIs" dxfId="3465" priority="230" stopIfTrue="1" operator="equal">
      <formula>'1852'!$F$25</formula>
    </cfRule>
    <cfRule type="cellIs" dxfId="3464" priority="231" stopIfTrue="1" operator="lessThan">
      <formula>'1852'!$F$25</formula>
    </cfRule>
  </conditionalFormatting>
  <conditionalFormatting sqref="G26">
    <cfRule type="cellIs" dxfId="3463" priority="232" stopIfTrue="1" operator="equal">
      <formula>'1852'!$F$26</formula>
    </cfRule>
    <cfRule type="cellIs" dxfId="3462" priority="233" stopIfTrue="1" operator="lessThan">
      <formula>'1852'!$F$26</formula>
    </cfRule>
  </conditionalFormatting>
  <conditionalFormatting sqref="G27">
    <cfRule type="cellIs" dxfId="3461" priority="234" stopIfTrue="1" operator="equal">
      <formula>'1852'!$F$27</formula>
    </cfRule>
    <cfRule type="cellIs" dxfId="3460" priority="235" stopIfTrue="1" operator="lessThan">
      <formula>'1852'!$F$27</formula>
    </cfRule>
  </conditionalFormatting>
  <conditionalFormatting sqref="G28">
    <cfRule type="cellIs" dxfId="3459" priority="236" stopIfTrue="1" operator="equal">
      <formula>'1852'!$F$28</formula>
    </cfRule>
    <cfRule type="cellIs" dxfId="3458" priority="237" stopIfTrue="1" operator="lessThan">
      <formula>'1852'!$F$28</formula>
    </cfRule>
  </conditionalFormatting>
  <conditionalFormatting sqref="D13">
    <cfRule type="cellIs" dxfId="3457" priority="238" stopIfTrue="1" operator="equal">
      <formula>'1852'!$C$13</formula>
    </cfRule>
    <cfRule type="cellIs" dxfId="3456" priority="239" stopIfTrue="1" operator="lessThan">
      <formula>'1852'!$C$13</formula>
    </cfRule>
  </conditionalFormatting>
  <conditionalFormatting sqref="H13">
    <cfRule type="cellIs" dxfId="3455" priority="240" stopIfTrue="1" operator="equal">
      <formula>'1852'!$G$13</formula>
    </cfRule>
    <cfRule type="cellIs" dxfId="3454" priority="241" stopIfTrue="1" operator="lessThan">
      <formula>'1852'!$G$13</formula>
    </cfRule>
  </conditionalFormatting>
  <conditionalFormatting sqref="H14">
    <cfRule type="cellIs" dxfId="3453" priority="242" stopIfTrue="1" operator="equal">
      <formula>'1852'!$G$14</formula>
    </cfRule>
    <cfRule type="cellIs" dxfId="3452" priority="243" stopIfTrue="1" operator="lessThan">
      <formula>'1852'!$G$14</formula>
    </cfRule>
  </conditionalFormatting>
  <conditionalFormatting sqref="H15">
    <cfRule type="cellIs" dxfId="3451" priority="244" stopIfTrue="1" operator="equal">
      <formula>'1852'!$G$15</formula>
    </cfRule>
    <cfRule type="cellIs" dxfId="3450" priority="245" stopIfTrue="1" operator="lessThan">
      <formula>'1852'!$G$15</formula>
    </cfRule>
  </conditionalFormatting>
  <conditionalFormatting sqref="H16">
    <cfRule type="cellIs" dxfId="3449" priority="246" stopIfTrue="1" operator="equal">
      <formula>'1852'!$G$16</formula>
    </cfRule>
    <cfRule type="cellIs" dxfId="3448" priority="247" stopIfTrue="1" operator="lessThan">
      <formula>'1852'!$G$16</formula>
    </cfRule>
  </conditionalFormatting>
  <conditionalFormatting sqref="H17">
    <cfRule type="cellIs" dxfId="3447" priority="248" stopIfTrue="1" operator="equal">
      <formula>'1852'!$G$17</formula>
    </cfRule>
    <cfRule type="cellIs" dxfId="3446" priority="249" stopIfTrue="1" operator="lessThan">
      <formula>'1852'!$G$17</formula>
    </cfRule>
  </conditionalFormatting>
  <conditionalFormatting sqref="H18">
    <cfRule type="cellIs" dxfId="3445" priority="250" stopIfTrue="1" operator="equal">
      <formula>'1852'!$G$18</formula>
    </cfRule>
    <cfRule type="cellIs" dxfId="3444" priority="251" stopIfTrue="1" operator="lessThan">
      <formula>'1852'!$G$18</formula>
    </cfRule>
  </conditionalFormatting>
  <conditionalFormatting sqref="H19">
    <cfRule type="cellIs" dxfId="3443" priority="252" stopIfTrue="1" operator="equal">
      <formula>'1852'!$G$19</formula>
    </cfRule>
    <cfRule type="cellIs" dxfId="3442" priority="253" stopIfTrue="1" operator="lessThan">
      <formula>'1852'!$G$19</formula>
    </cfRule>
  </conditionalFormatting>
  <conditionalFormatting sqref="H20">
    <cfRule type="cellIs" dxfId="3441" priority="254" stopIfTrue="1" operator="equal">
      <formula>'1852'!$G$20</formula>
    </cfRule>
    <cfRule type="cellIs" dxfId="3440" priority="255" stopIfTrue="1" operator="lessThan">
      <formula>'1852'!$G$20</formula>
    </cfRule>
  </conditionalFormatting>
  <conditionalFormatting sqref="H21">
    <cfRule type="cellIs" dxfId="3439" priority="256" stopIfTrue="1" operator="equal">
      <formula>'1852'!$G$21</formula>
    </cfRule>
    <cfRule type="cellIs" dxfId="3438" priority="257" stopIfTrue="1" operator="lessThan">
      <formula>'1852'!$G$21</formula>
    </cfRule>
  </conditionalFormatting>
  <conditionalFormatting sqref="H22">
    <cfRule type="cellIs" dxfId="3437" priority="258" stopIfTrue="1" operator="equal">
      <formula>'1852'!$G$22</formula>
    </cfRule>
    <cfRule type="cellIs" dxfId="3436" priority="259" stopIfTrue="1" operator="lessThan">
      <formula>'1852'!$G$22</formula>
    </cfRule>
  </conditionalFormatting>
  <conditionalFormatting sqref="H23">
    <cfRule type="cellIs" dxfId="3435" priority="260" stopIfTrue="1" operator="equal">
      <formula>'1852'!$G$23</formula>
    </cfRule>
    <cfRule type="cellIs" dxfId="3434" priority="261" stopIfTrue="1" operator="lessThan">
      <formula>'1852'!$G$23</formula>
    </cfRule>
  </conditionalFormatting>
  <conditionalFormatting sqref="H25">
    <cfRule type="cellIs" dxfId="3433" priority="262" stopIfTrue="1" operator="equal">
      <formula>'1852'!$G$25</formula>
    </cfRule>
    <cfRule type="cellIs" dxfId="3432" priority="263" stopIfTrue="1" operator="lessThan">
      <formula>'1852'!$G$25</formula>
    </cfRule>
  </conditionalFormatting>
  <conditionalFormatting sqref="H26">
    <cfRule type="cellIs" dxfId="3431" priority="264" stopIfTrue="1" operator="equal">
      <formula>'1852'!$G$26</formula>
    </cfRule>
    <cfRule type="cellIs" dxfId="3430" priority="265" stopIfTrue="1" operator="lessThan">
      <formula>'1852'!$G$26</formula>
    </cfRule>
  </conditionalFormatting>
  <conditionalFormatting sqref="H27">
    <cfRule type="cellIs" dxfId="3429" priority="266" stopIfTrue="1" operator="equal">
      <formula>'1852'!$G$27</formula>
    </cfRule>
    <cfRule type="cellIs" dxfId="3428" priority="267" stopIfTrue="1" operator="lessThan">
      <formula>'1852'!$G$27</formula>
    </cfRule>
  </conditionalFormatting>
  <conditionalFormatting sqref="H28">
    <cfRule type="cellIs" dxfId="3427" priority="268" stopIfTrue="1" operator="equal">
      <formula>'1852'!$G$28</formula>
    </cfRule>
    <cfRule type="cellIs" dxfId="3426" priority="269" stopIfTrue="1" operator="lessThan">
      <formula>'1852'!$G$28</formula>
    </cfRule>
  </conditionalFormatting>
  <conditionalFormatting sqref="D24">
    <cfRule type="cellIs" dxfId="3425" priority="270" stopIfTrue="1" operator="equal">
      <formula>'1852'!$C$24</formula>
    </cfRule>
    <cfRule type="cellIs" dxfId="3424" priority="271" stopIfTrue="1" operator="lessThan">
      <formula>'1852'!$C$24</formula>
    </cfRule>
  </conditionalFormatting>
  <conditionalFormatting sqref="E24">
    <cfRule type="cellIs" dxfId="3423" priority="272" stopIfTrue="1" operator="equal">
      <formula>'1852'!$D$24</formula>
    </cfRule>
    <cfRule type="cellIs" dxfId="3422" priority="273" stopIfTrue="1" operator="lessThan">
      <formula>'1852'!$D$24</formula>
    </cfRule>
  </conditionalFormatting>
  <conditionalFormatting sqref="F24">
    <cfRule type="cellIs" dxfId="3421" priority="274" stopIfTrue="1" operator="equal">
      <formula>'1852'!$E$24</formula>
    </cfRule>
    <cfRule type="cellIs" dxfId="3420" priority="275" stopIfTrue="1" operator="lessThan">
      <formula>'1852'!$E$24</formula>
    </cfRule>
  </conditionalFormatting>
  <conditionalFormatting sqref="G24">
    <cfRule type="cellIs" dxfId="3419" priority="276" stopIfTrue="1" operator="equal">
      <formula>'1852'!$F$24</formula>
    </cfRule>
    <cfRule type="cellIs" dxfId="3418" priority="277" stopIfTrue="1" operator="lessThan">
      <formula>'1852'!$F$24</formula>
    </cfRule>
  </conditionalFormatting>
  <conditionalFormatting sqref="H24">
    <cfRule type="cellIs" dxfId="3417" priority="278" stopIfTrue="1" operator="equal">
      <formula>'1852'!$G$24</formula>
    </cfRule>
    <cfRule type="cellIs" dxfId="3416" priority="279" stopIfTrue="1" operator="lessThan">
      <formula>'1852'!$G$24</formula>
    </cfRule>
  </conditionalFormatting>
  <conditionalFormatting sqref="E5">
    <cfRule type="cellIs" dxfId="3415" priority="280" stopIfTrue="1" operator="equal">
      <formula>'1852'!$D$5</formula>
    </cfRule>
    <cfRule type="cellIs" dxfId="3414" priority="281" stopIfTrue="1" operator="lessThan">
      <formula>'1852'!$D$5</formula>
    </cfRule>
  </conditionalFormatting>
  <conditionalFormatting sqref="G5">
    <cfRule type="cellIs" dxfId="3413" priority="282" stopIfTrue="1" operator="equal">
      <formula>'1852'!$F$5</formula>
    </cfRule>
    <cfRule type="cellIs" dxfId="3412" priority="283" stopIfTrue="1" operator="lessThan">
      <formula>'1852'!$F$5</formula>
    </cfRule>
  </conditionalFormatting>
  <conditionalFormatting sqref="G4">
    <cfRule type="cellIs" dxfId="3411" priority="284" stopIfTrue="1" operator="equal">
      <formula>'1852'!$F$4</formula>
    </cfRule>
  </conditionalFormatting>
  <conditionalFormatting sqref="D29:O29">
    <cfRule type="cellIs" dxfId="3410" priority="285" stopIfTrue="1" operator="equal">
      <formula>0</formula>
    </cfRule>
  </conditionalFormatting>
  <conditionalFormatting sqref="I13">
    <cfRule type="cellIs" dxfId="3409" priority="286" stopIfTrue="1" operator="equal">
      <formula>'1852'!$H$13</formula>
    </cfRule>
    <cfRule type="cellIs" dxfId="3408" priority="287" stopIfTrue="1" operator="lessThan">
      <formula>'1852'!$H$13</formula>
    </cfRule>
  </conditionalFormatting>
  <conditionalFormatting sqref="I14">
    <cfRule type="cellIs" dxfId="3407" priority="288" stopIfTrue="1" operator="equal">
      <formula>'1852'!$H$14</formula>
    </cfRule>
    <cfRule type="cellIs" dxfId="3406" priority="289" stopIfTrue="1" operator="lessThan">
      <formula>'1852'!$H$14</formula>
    </cfRule>
  </conditionalFormatting>
  <conditionalFormatting sqref="I15">
    <cfRule type="cellIs" dxfId="3405" priority="290" stopIfTrue="1" operator="equal">
      <formula>'1852'!$H$15</formula>
    </cfRule>
    <cfRule type="cellIs" dxfId="3404" priority="291" stopIfTrue="1" operator="lessThan">
      <formula>'1852'!$H$15</formula>
    </cfRule>
  </conditionalFormatting>
  <conditionalFormatting sqref="I16">
    <cfRule type="cellIs" dxfId="3403" priority="292" stopIfTrue="1" operator="equal">
      <formula>'1852'!$H$16</formula>
    </cfRule>
    <cfRule type="cellIs" dxfId="3402" priority="293" stopIfTrue="1" operator="lessThan">
      <formula>'1852'!$H$16</formula>
    </cfRule>
  </conditionalFormatting>
  <conditionalFormatting sqref="I17">
    <cfRule type="cellIs" dxfId="3401" priority="294" stopIfTrue="1" operator="equal">
      <formula>'1852'!$H$17</formula>
    </cfRule>
    <cfRule type="cellIs" dxfId="3400" priority="295" stopIfTrue="1" operator="lessThan">
      <formula>'1852'!$H$17</formula>
    </cfRule>
  </conditionalFormatting>
  <conditionalFormatting sqref="I18">
    <cfRule type="cellIs" dxfId="3399" priority="296" stopIfTrue="1" operator="equal">
      <formula>'1852'!$H$18</formula>
    </cfRule>
    <cfRule type="cellIs" dxfId="3398" priority="297" stopIfTrue="1" operator="lessThan">
      <formula>'1852'!$H$18</formula>
    </cfRule>
  </conditionalFormatting>
  <conditionalFormatting sqref="I19">
    <cfRule type="cellIs" dxfId="3397" priority="298" stopIfTrue="1" operator="equal">
      <formula>'1852'!$H$19</formula>
    </cfRule>
    <cfRule type="cellIs" dxfId="3396" priority="299" stopIfTrue="1" operator="lessThan">
      <formula>'1852'!$H$19</formula>
    </cfRule>
  </conditionalFormatting>
  <conditionalFormatting sqref="I20">
    <cfRule type="cellIs" dxfId="3395" priority="300" stopIfTrue="1" operator="equal">
      <formula>'1852'!$H$20</formula>
    </cfRule>
    <cfRule type="cellIs" dxfId="3394" priority="301" stopIfTrue="1" operator="lessThan">
      <formula>'1852'!$H$20</formula>
    </cfRule>
  </conditionalFormatting>
  <conditionalFormatting sqref="I21">
    <cfRule type="cellIs" dxfId="3393" priority="302" stopIfTrue="1" operator="equal">
      <formula>'1852'!$H$21</formula>
    </cfRule>
    <cfRule type="cellIs" dxfId="3392" priority="303" stopIfTrue="1" operator="lessThan">
      <formula>'1852'!$H$21</formula>
    </cfRule>
  </conditionalFormatting>
  <conditionalFormatting sqref="I22">
    <cfRule type="cellIs" dxfId="3391" priority="304" stopIfTrue="1" operator="equal">
      <formula>'1852'!$H$22</formula>
    </cfRule>
    <cfRule type="cellIs" dxfId="3390" priority="305" stopIfTrue="1" operator="lessThan">
      <formula>'1852'!$H$22</formula>
    </cfRule>
  </conditionalFormatting>
  <conditionalFormatting sqref="I23">
    <cfRule type="cellIs" dxfId="3389" priority="306" stopIfTrue="1" operator="equal">
      <formula>'1852'!$H$23</formula>
    </cfRule>
    <cfRule type="cellIs" dxfId="3388" priority="307" stopIfTrue="1" operator="lessThan">
      <formula>'1852'!$H$23</formula>
    </cfRule>
  </conditionalFormatting>
  <conditionalFormatting sqref="I24">
    <cfRule type="cellIs" dxfId="3387" priority="308" stopIfTrue="1" operator="equal">
      <formula>'1852'!$H$24</formula>
    </cfRule>
    <cfRule type="cellIs" dxfId="3386" priority="309" stopIfTrue="1" operator="lessThan">
      <formula>'1852'!$H$24</formula>
    </cfRule>
  </conditionalFormatting>
  <conditionalFormatting sqref="I25">
    <cfRule type="cellIs" dxfId="3385" priority="310" stopIfTrue="1" operator="equal">
      <formula>'1852'!$H$25</formula>
    </cfRule>
    <cfRule type="cellIs" dxfId="3384" priority="311" stopIfTrue="1" operator="lessThan">
      <formula>'1852'!$H$25</formula>
    </cfRule>
  </conditionalFormatting>
  <conditionalFormatting sqref="I26">
    <cfRule type="cellIs" dxfId="3383" priority="312" stopIfTrue="1" operator="equal">
      <formula>'1852'!$H$26</formula>
    </cfRule>
    <cfRule type="cellIs" dxfId="3382" priority="313" stopIfTrue="1" operator="lessThan">
      <formula>'1852'!$H$26</formula>
    </cfRule>
  </conditionalFormatting>
  <conditionalFormatting sqref="I27">
    <cfRule type="cellIs" dxfId="3381" priority="314" stopIfTrue="1" operator="equal">
      <formula>'1852'!$H$27</formula>
    </cfRule>
    <cfRule type="cellIs" dxfId="3380" priority="315" stopIfTrue="1" operator="lessThan">
      <formula>'1852'!$H$27</formula>
    </cfRule>
    <cfRule type="cellIs" dxfId="3379" priority="316" stopIfTrue="1" operator="lessThan">
      <formula>'1852'!$H$27</formula>
    </cfRule>
  </conditionalFormatting>
  <conditionalFormatting sqref="I28">
    <cfRule type="cellIs" dxfId="3378" priority="317" stopIfTrue="1" operator="equal">
      <formula>'1852'!$H$28</formula>
    </cfRule>
    <cfRule type="cellIs" dxfId="3377" priority="318" stopIfTrue="1" operator="lessThan">
      <formula>'1852'!$H$28</formula>
    </cfRule>
  </conditionalFormatting>
  <conditionalFormatting sqref="I29">
    <cfRule type="cellIs" dxfId="3376" priority="319" stopIfTrue="1" operator="equal">
      <formula>'1852'!$H$29</formula>
    </cfRule>
    <cfRule type="cellIs" dxfId="3375" priority="320" stopIfTrue="1" operator="lessThan">
      <formula>'1852'!$H$29</formula>
    </cfRule>
  </conditionalFormatting>
  <conditionalFormatting sqref="J13">
    <cfRule type="cellIs" dxfId="3374" priority="321" stopIfTrue="1" operator="equal">
      <formula>'1852'!$I$13</formula>
    </cfRule>
    <cfRule type="cellIs" dxfId="3373" priority="322" stopIfTrue="1" operator="lessThan">
      <formula>'1852'!$I$13</formula>
    </cfRule>
  </conditionalFormatting>
  <conditionalFormatting sqref="J14">
    <cfRule type="cellIs" dxfId="3372" priority="323" stopIfTrue="1" operator="equal">
      <formula>'1852'!$I$14</formula>
    </cfRule>
    <cfRule type="cellIs" dxfId="3371" priority="324" stopIfTrue="1" operator="lessThan">
      <formula>'1852'!$I$14</formula>
    </cfRule>
  </conditionalFormatting>
  <conditionalFormatting sqref="J15">
    <cfRule type="cellIs" dxfId="3370" priority="325" stopIfTrue="1" operator="equal">
      <formula>'1852'!$I$15</formula>
    </cfRule>
    <cfRule type="cellIs" dxfId="3369" priority="326" stopIfTrue="1" operator="lessThan">
      <formula>'1852'!$I$15</formula>
    </cfRule>
  </conditionalFormatting>
  <conditionalFormatting sqref="J16">
    <cfRule type="cellIs" dxfId="3368" priority="327" stopIfTrue="1" operator="equal">
      <formula>'1852'!$I$16</formula>
    </cfRule>
    <cfRule type="cellIs" dxfId="3367" priority="328" stopIfTrue="1" operator="lessThan">
      <formula>'1852'!$I$16</formula>
    </cfRule>
  </conditionalFormatting>
  <conditionalFormatting sqref="J17">
    <cfRule type="cellIs" dxfId="3366" priority="329" stopIfTrue="1" operator="equal">
      <formula>'1852'!$I$17</formula>
    </cfRule>
    <cfRule type="cellIs" dxfId="3365" priority="330" stopIfTrue="1" operator="lessThan">
      <formula>'1852'!$I$17</formula>
    </cfRule>
  </conditionalFormatting>
  <conditionalFormatting sqref="J18">
    <cfRule type="cellIs" dxfId="3364" priority="331" stopIfTrue="1" operator="equal">
      <formula>'1852'!$I$18</formula>
    </cfRule>
    <cfRule type="cellIs" dxfId="3363" priority="332" stopIfTrue="1" operator="lessThan">
      <formula>'1852'!$I$18</formula>
    </cfRule>
  </conditionalFormatting>
  <conditionalFormatting sqref="J19">
    <cfRule type="cellIs" dxfId="3362" priority="333" stopIfTrue="1" operator="equal">
      <formula>'1852'!$I$19</formula>
    </cfRule>
    <cfRule type="cellIs" dxfId="3361" priority="334" stopIfTrue="1" operator="lessThan">
      <formula>'1852'!$I$19</formula>
    </cfRule>
  </conditionalFormatting>
  <conditionalFormatting sqref="J20">
    <cfRule type="cellIs" dxfId="3360" priority="335" stopIfTrue="1" operator="equal">
      <formula>'1852'!$I$20</formula>
    </cfRule>
    <cfRule type="cellIs" dxfId="3359" priority="336" stopIfTrue="1" operator="lessThan">
      <formula>'1852'!$I$20</formula>
    </cfRule>
  </conditionalFormatting>
  <conditionalFormatting sqref="J21">
    <cfRule type="cellIs" dxfId="3358" priority="337" stopIfTrue="1" operator="equal">
      <formula>'1852'!$I$21</formula>
    </cfRule>
    <cfRule type="cellIs" dxfId="3357" priority="338" stopIfTrue="1" operator="lessThan">
      <formula>'1852'!$I$21</formula>
    </cfRule>
  </conditionalFormatting>
  <conditionalFormatting sqref="J22">
    <cfRule type="cellIs" dxfId="3356" priority="339" stopIfTrue="1" operator="equal">
      <formula>'1852'!$I$22</formula>
    </cfRule>
    <cfRule type="cellIs" dxfId="3355" priority="340" stopIfTrue="1" operator="lessThan">
      <formula>'1852'!$I$22</formula>
    </cfRule>
  </conditionalFormatting>
  <conditionalFormatting sqref="J23">
    <cfRule type="cellIs" dxfId="3354" priority="341" stopIfTrue="1" operator="equal">
      <formula>'1852'!$I$23</formula>
    </cfRule>
    <cfRule type="cellIs" dxfId="3353" priority="342" stopIfTrue="1" operator="lessThan">
      <formula>'1852'!$I$23</formula>
    </cfRule>
  </conditionalFormatting>
  <conditionalFormatting sqref="J24">
    <cfRule type="cellIs" dxfId="3352" priority="343" stopIfTrue="1" operator="equal">
      <formula>'1852'!$I$24</formula>
    </cfRule>
    <cfRule type="cellIs" dxfId="3351" priority="344" stopIfTrue="1" operator="lessThan">
      <formula>'1852'!$I$24</formula>
    </cfRule>
  </conditionalFormatting>
  <conditionalFormatting sqref="J25">
    <cfRule type="cellIs" dxfId="3350" priority="345" stopIfTrue="1" operator="equal">
      <formula>'1852'!$I$25</formula>
    </cfRule>
    <cfRule type="cellIs" dxfId="3349" priority="346" stopIfTrue="1" operator="lessThan">
      <formula>'1852'!$I$25</formula>
    </cfRule>
  </conditionalFormatting>
  <conditionalFormatting sqref="J26">
    <cfRule type="cellIs" dxfId="3348" priority="347" stopIfTrue="1" operator="equal">
      <formula>'1852'!$I$26</formula>
    </cfRule>
    <cfRule type="cellIs" dxfId="3347" priority="348" stopIfTrue="1" operator="lessThan">
      <formula>'1852'!$I$26</formula>
    </cfRule>
  </conditionalFormatting>
  <conditionalFormatting sqref="J27">
    <cfRule type="cellIs" dxfId="3346" priority="349" stopIfTrue="1" operator="equal">
      <formula>'1852'!$I$27</formula>
    </cfRule>
    <cfRule type="cellIs" dxfId="3345" priority="350" stopIfTrue="1" operator="lessThan">
      <formula>'1852'!$I$27</formula>
    </cfRule>
  </conditionalFormatting>
  <conditionalFormatting sqref="J28">
    <cfRule type="cellIs" dxfId="3344" priority="351" stopIfTrue="1" operator="equal">
      <formula>'1852'!$I$28</formula>
    </cfRule>
    <cfRule type="cellIs" dxfId="3343" priority="352" stopIfTrue="1" operator="lessThan">
      <formula>'1852'!$I$28</formula>
    </cfRule>
  </conditionalFormatting>
  <conditionalFormatting sqref="K4">
    <cfRule type="cellIs" dxfId="3342" priority="353" stopIfTrue="1" operator="equal">
      <formula>'1852'!$J$4</formula>
    </cfRule>
    <cfRule type="cellIs" dxfId="3341" priority="354" stopIfTrue="1" operator="lessThan">
      <formula>'1852'!$J$4</formula>
    </cfRule>
  </conditionalFormatting>
  <conditionalFormatting sqref="K5">
    <cfRule type="cellIs" dxfId="3340" priority="355" stopIfTrue="1" operator="equal">
      <formula>'1852'!$J$5</formula>
    </cfRule>
    <cfRule type="cellIs" dxfId="3339" priority="356" stopIfTrue="1" operator="lessThan">
      <formula>'1852'!$J$5</formula>
    </cfRule>
  </conditionalFormatting>
  <conditionalFormatting sqref="K6">
    <cfRule type="cellIs" dxfId="3338" priority="357" stopIfTrue="1" operator="equal">
      <formula>'1852'!$J$6</formula>
    </cfRule>
    <cfRule type="cellIs" dxfId="3337" priority="358" stopIfTrue="1" operator="lessThan">
      <formula>'1852'!$J$6</formula>
    </cfRule>
  </conditionalFormatting>
  <conditionalFormatting sqref="K7">
    <cfRule type="cellIs" dxfId="3336" priority="359" stopIfTrue="1" operator="equal">
      <formula>'1852'!$J$7</formula>
    </cfRule>
    <cfRule type="cellIs" dxfId="3335" priority="360" stopIfTrue="1" operator="lessThan">
      <formula>'1852'!$J$7</formula>
    </cfRule>
  </conditionalFormatting>
  <conditionalFormatting sqref="K8">
    <cfRule type="cellIs" dxfId="3334" priority="361" stopIfTrue="1" operator="equal">
      <formula>'1852'!$J$8</formula>
    </cfRule>
    <cfRule type="cellIs" dxfId="3333" priority="362" stopIfTrue="1" operator="lessThan">
      <formula>'1852'!$J$8</formula>
    </cfRule>
  </conditionalFormatting>
  <conditionalFormatting sqref="K9">
    <cfRule type="cellIs" dxfId="3332" priority="363" stopIfTrue="1" operator="equal">
      <formula>'1852'!$J$9</formula>
    </cfRule>
    <cfRule type="cellIs" dxfId="3331" priority="364" stopIfTrue="1" operator="lessThan">
      <formula>'1852'!$J$9</formula>
    </cfRule>
  </conditionalFormatting>
  <conditionalFormatting sqref="K10">
    <cfRule type="cellIs" dxfId="3330" priority="365" stopIfTrue="1" operator="equal">
      <formula>'1852'!$J$10</formula>
    </cfRule>
    <cfRule type="cellIs" dxfId="3329" priority="366" stopIfTrue="1" operator="lessThan">
      <formula>'1852'!$J$10</formula>
    </cfRule>
  </conditionalFormatting>
  <conditionalFormatting sqref="K11">
    <cfRule type="cellIs" dxfId="3328" priority="367" stopIfTrue="1" operator="equal">
      <formula>'1852'!$J$11</formula>
    </cfRule>
    <cfRule type="cellIs" dxfId="3327" priority="368" stopIfTrue="1" operator="lessThan">
      <formula>'1852'!$J$11</formula>
    </cfRule>
  </conditionalFormatting>
  <conditionalFormatting sqref="K12">
    <cfRule type="cellIs" dxfId="3326" priority="369" stopIfTrue="1" operator="equal">
      <formula>'1852'!$J$12</formula>
    </cfRule>
    <cfRule type="cellIs" dxfId="3325" priority="370" stopIfTrue="1" operator="lessThan">
      <formula>'1852'!$J$12</formula>
    </cfRule>
  </conditionalFormatting>
  <conditionalFormatting sqref="K13">
    <cfRule type="cellIs" dxfId="3324" priority="371" stopIfTrue="1" operator="equal">
      <formula>'1852'!$J$13</formula>
    </cfRule>
    <cfRule type="cellIs" dxfId="3323" priority="372" stopIfTrue="1" operator="lessThan">
      <formula>'1852'!$J$13</formula>
    </cfRule>
  </conditionalFormatting>
  <conditionalFormatting sqref="K14">
    <cfRule type="cellIs" dxfId="3322" priority="373" stopIfTrue="1" operator="equal">
      <formula>'1852'!$J$14</formula>
    </cfRule>
    <cfRule type="cellIs" dxfId="3321" priority="374" stopIfTrue="1" operator="lessThan">
      <formula>'1852'!$J$14</formula>
    </cfRule>
  </conditionalFormatting>
  <conditionalFormatting sqref="K15">
    <cfRule type="cellIs" dxfId="3320" priority="375" stopIfTrue="1" operator="equal">
      <formula>'1852'!$J$15</formula>
    </cfRule>
    <cfRule type="cellIs" dxfId="3319" priority="376" stopIfTrue="1" operator="lessThan">
      <formula>'1852'!$J$15</formula>
    </cfRule>
  </conditionalFormatting>
  <conditionalFormatting sqref="K16">
    <cfRule type="cellIs" dxfId="3318" priority="377" stopIfTrue="1" operator="equal">
      <formula>'1852'!$J$16</formula>
    </cfRule>
    <cfRule type="cellIs" dxfId="3317" priority="378" stopIfTrue="1" operator="lessThan">
      <formula>'1852'!$J$16</formula>
    </cfRule>
  </conditionalFormatting>
  <conditionalFormatting sqref="K17">
    <cfRule type="cellIs" dxfId="3316" priority="379" stopIfTrue="1" operator="equal">
      <formula>'1852'!$J$17</formula>
    </cfRule>
    <cfRule type="cellIs" dxfId="3315" priority="380" stopIfTrue="1" operator="lessThan">
      <formula>'1852'!$J$17</formula>
    </cfRule>
  </conditionalFormatting>
  <conditionalFormatting sqref="K18">
    <cfRule type="cellIs" dxfId="3314" priority="381" stopIfTrue="1" operator="equal">
      <formula>'1852'!$J$18</formula>
    </cfRule>
    <cfRule type="cellIs" dxfId="3313" priority="382" stopIfTrue="1" operator="lessThan">
      <formula>'1852'!$J$18</formula>
    </cfRule>
  </conditionalFormatting>
  <conditionalFormatting sqref="K19">
    <cfRule type="cellIs" dxfId="3312" priority="383" stopIfTrue="1" operator="equal">
      <formula>'1852'!$J$19</formula>
    </cfRule>
    <cfRule type="cellIs" dxfId="3311" priority="384" stopIfTrue="1" operator="lessThan">
      <formula>'1852'!$J$19</formula>
    </cfRule>
  </conditionalFormatting>
  <conditionalFormatting sqref="K20">
    <cfRule type="cellIs" dxfId="3310" priority="385" stopIfTrue="1" operator="equal">
      <formula>'1852'!$J$20</formula>
    </cfRule>
    <cfRule type="cellIs" dxfId="3309" priority="386" stopIfTrue="1" operator="lessThan">
      <formula>'1852'!$J$20</formula>
    </cfRule>
  </conditionalFormatting>
  <conditionalFormatting sqref="K21">
    <cfRule type="cellIs" dxfId="3308" priority="387" stopIfTrue="1" operator="equal">
      <formula>'1852'!$J$21</formula>
    </cfRule>
    <cfRule type="cellIs" dxfId="3307" priority="388" stopIfTrue="1" operator="lessThan">
      <formula>'1852'!$J$21</formula>
    </cfRule>
  </conditionalFormatting>
  <conditionalFormatting sqref="K22">
    <cfRule type="cellIs" dxfId="3306" priority="389" stopIfTrue="1" operator="equal">
      <formula>'1852'!$J$22</formula>
    </cfRule>
    <cfRule type="cellIs" dxfId="3305" priority="390" stopIfTrue="1" operator="lessThan">
      <formula>'1852'!$J$22</formula>
    </cfRule>
  </conditionalFormatting>
  <conditionalFormatting sqref="K23">
    <cfRule type="cellIs" dxfId="3304" priority="391" stopIfTrue="1" operator="equal">
      <formula>'1852'!$J$23</formula>
    </cfRule>
    <cfRule type="cellIs" dxfId="3303" priority="392" stopIfTrue="1" operator="lessThan">
      <formula>'1852'!$J$23</formula>
    </cfRule>
  </conditionalFormatting>
  <conditionalFormatting sqref="K24">
    <cfRule type="cellIs" dxfId="3302" priority="393" stopIfTrue="1" operator="equal">
      <formula>'1852'!$J$24</formula>
    </cfRule>
    <cfRule type="cellIs" dxfId="3301" priority="394" stopIfTrue="1" operator="lessThan">
      <formula>'1852'!$J$24</formula>
    </cfRule>
  </conditionalFormatting>
  <conditionalFormatting sqref="K25">
    <cfRule type="cellIs" dxfId="3300" priority="395" stopIfTrue="1" operator="equal">
      <formula>'1852'!$J$25</formula>
    </cfRule>
    <cfRule type="cellIs" dxfId="3299" priority="396" stopIfTrue="1" operator="lessThan">
      <formula>'1852'!$J$25</formula>
    </cfRule>
  </conditionalFormatting>
  <conditionalFormatting sqref="K26">
    <cfRule type="cellIs" dxfId="3298" priority="397" stopIfTrue="1" operator="equal">
      <formula>'1852'!$J$26</formula>
    </cfRule>
    <cfRule type="cellIs" dxfId="3297" priority="398" stopIfTrue="1" operator="lessThan">
      <formula>'1852'!$J$26</formula>
    </cfRule>
  </conditionalFormatting>
  <conditionalFormatting sqref="K27">
    <cfRule type="cellIs" dxfId="3296" priority="399" stopIfTrue="1" operator="equal">
      <formula>'1852'!$J$27</formula>
    </cfRule>
    <cfRule type="cellIs" dxfId="3295" priority="400" stopIfTrue="1" operator="lessThan">
      <formula>'1852'!$J$27</formula>
    </cfRule>
  </conditionalFormatting>
  <conditionalFormatting sqref="K28">
    <cfRule type="cellIs" dxfId="3294" priority="401" stopIfTrue="1" operator="lessThan">
      <formula>'1852'!$J$28</formula>
    </cfRule>
    <cfRule type="cellIs" dxfId="3293" priority="402" stopIfTrue="1" operator="equal">
      <formula>'1852'!$J$28</formula>
    </cfRule>
  </conditionalFormatting>
  <conditionalFormatting sqref="L4">
    <cfRule type="cellIs" dxfId="3292" priority="403" stopIfTrue="1" operator="equal">
      <formula>'1852'!$K$4</formula>
    </cfRule>
    <cfRule type="cellIs" dxfId="3291" priority="404" stopIfTrue="1" operator="lessThan">
      <formula>'1852'!$K$4</formula>
    </cfRule>
  </conditionalFormatting>
  <conditionalFormatting sqref="L5">
    <cfRule type="cellIs" dxfId="3290" priority="405" stopIfTrue="1" operator="equal">
      <formula>'1852'!$K$5</formula>
    </cfRule>
    <cfRule type="cellIs" dxfId="3289" priority="406" stopIfTrue="1" operator="lessThan">
      <formula>'1852'!$K$5</formula>
    </cfRule>
  </conditionalFormatting>
  <conditionalFormatting sqref="L6">
    <cfRule type="cellIs" dxfId="3288" priority="407" stopIfTrue="1" operator="equal">
      <formula>'1852'!$K$6</formula>
    </cfRule>
    <cfRule type="cellIs" dxfId="3287" priority="408" stopIfTrue="1" operator="lessThan">
      <formula>'1852'!$K$6</formula>
    </cfRule>
  </conditionalFormatting>
  <conditionalFormatting sqref="L7">
    <cfRule type="cellIs" dxfId="3286" priority="409" stopIfTrue="1" operator="equal">
      <formula>'1852'!$K$7</formula>
    </cfRule>
    <cfRule type="cellIs" dxfId="3285" priority="410" stopIfTrue="1" operator="lessThan">
      <formula>'1852'!$K$7</formula>
    </cfRule>
  </conditionalFormatting>
  <conditionalFormatting sqref="L8">
    <cfRule type="cellIs" dxfId="3284" priority="411" stopIfTrue="1" operator="equal">
      <formula>'1852'!$K$8</formula>
    </cfRule>
    <cfRule type="cellIs" dxfId="3283" priority="412" stopIfTrue="1" operator="lessThan">
      <formula>'1852'!$K$8</formula>
    </cfRule>
  </conditionalFormatting>
  <conditionalFormatting sqref="L9">
    <cfRule type="cellIs" dxfId="3282" priority="413" stopIfTrue="1" operator="equal">
      <formula>'1852'!$K$9</formula>
    </cfRule>
    <cfRule type="cellIs" dxfId="3281" priority="414" stopIfTrue="1" operator="lessThan">
      <formula>'1852'!$K$9</formula>
    </cfRule>
  </conditionalFormatting>
  <conditionalFormatting sqref="L10">
    <cfRule type="cellIs" dxfId="3280" priority="415" stopIfTrue="1" operator="equal">
      <formula>'1852'!$K$10</formula>
    </cfRule>
    <cfRule type="cellIs" dxfId="3279" priority="416" stopIfTrue="1" operator="lessThan">
      <formula>'1852'!$K$10</formula>
    </cfRule>
  </conditionalFormatting>
  <conditionalFormatting sqref="L12">
    <cfRule type="cellIs" dxfId="3278" priority="417" stopIfTrue="1" operator="equal">
      <formula>'1852'!$K$12</formula>
    </cfRule>
    <cfRule type="cellIs" dxfId="3277" priority="418" stopIfTrue="1" operator="lessThan">
      <formula>'1852'!$K$12</formula>
    </cfRule>
  </conditionalFormatting>
  <conditionalFormatting sqref="L13">
    <cfRule type="cellIs" dxfId="3276" priority="419" stopIfTrue="1" operator="equal">
      <formula>'1852'!$K$13</formula>
    </cfRule>
    <cfRule type="cellIs" dxfId="3275" priority="420" stopIfTrue="1" operator="lessThan">
      <formula>'1852'!$K$13</formula>
    </cfRule>
  </conditionalFormatting>
  <conditionalFormatting sqref="L14">
    <cfRule type="cellIs" dxfId="3274" priority="421" stopIfTrue="1" operator="equal">
      <formula>'1852'!$K$14</formula>
    </cfRule>
    <cfRule type="cellIs" dxfId="3273" priority="422" stopIfTrue="1" operator="lessThan">
      <formula>'1852'!$K$14</formula>
    </cfRule>
  </conditionalFormatting>
  <conditionalFormatting sqref="L15">
    <cfRule type="cellIs" dxfId="3272" priority="423" stopIfTrue="1" operator="equal">
      <formula>'1852'!$K$15</formula>
    </cfRule>
    <cfRule type="cellIs" dxfId="3271" priority="424" stopIfTrue="1" operator="lessThan">
      <formula>'1852'!$K$15</formula>
    </cfRule>
  </conditionalFormatting>
  <conditionalFormatting sqref="L16">
    <cfRule type="cellIs" dxfId="3270" priority="425" stopIfTrue="1" operator="equal">
      <formula>'1852'!$K$16</formula>
    </cfRule>
    <cfRule type="cellIs" dxfId="3269" priority="426" stopIfTrue="1" operator="lessThan">
      <formula>'1852'!$K$16</formula>
    </cfRule>
  </conditionalFormatting>
  <conditionalFormatting sqref="L17">
    <cfRule type="cellIs" dxfId="3268" priority="427" stopIfTrue="1" operator="equal">
      <formula>'1852'!$K$17</formula>
    </cfRule>
    <cfRule type="cellIs" dxfId="3267" priority="428" stopIfTrue="1" operator="lessThan">
      <formula>'1852'!$K$17</formula>
    </cfRule>
  </conditionalFormatting>
  <conditionalFormatting sqref="L18">
    <cfRule type="cellIs" dxfId="3266" priority="429" stopIfTrue="1" operator="equal">
      <formula>'1852'!$K$18</formula>
    </cfRule>
    <cfRule type="cellIs" dxfId="3265" priority="430" stopIfTrue="1" operator="lessThan">
      <formula>'1852'!$K$18</formula>
    </cfRule>
  </conditionalFormatting>
  <conditionalFormatting sqref="L19">
    <cfRule type="cellIs" dxfId="3264" priority="431" stopIfTrue="1" operator="equal">
      <formula>'1852'!$K$19</formula>
    </cfRule>
    <cfRule type="cellIs" dxfId="3263" priority="432" stopIfTrue="1" operator="lessThan">
      <formula>'1852'!$K$19</formula>
    </cfRule>
  </conditionalFormatting>
  <conditionalFormatting sqref="L20">
    <cfRule type="cellIs" dxfId="3262" priority="433" stopIfTrue="1" operator="equal">
      <formula>'1852'!$K$20</formula>
    </cfRule>
    <cfRule type="cellIs" dxfId="3261" priority="434" stopIfTrue="1" operator="lessThan">
      <formula>'1852'!$K$20</formula>
    </cfRule>
  </conditionalFormatting>
  <conditionalFormatting sqref="L21">
    <cfRule type="cellIs" dxfId="3260" priority="435" stopIfTrue="1" operator="equal">
      <formula>'1852'!$K$21</formula>
    </cfRule>
    <cfRule type="cellIs" dxfId="3259" priority="436" stopIfTrue="1" operator="lessThan">
      <formula>'1852'!$K$21</formula>
    </cfRule>
  </conditionalFormatting>
  <conditionalFormatting sqref="L11">
    <cfRule type="cellIs" dxfId="3258" priority="437" stopIfTrue="1" operator="equal">
      <formula>'1852'!$K$11</formula>
    </cfRule>
    <cfRule type="cellIs" dxfId="3257" priority="438" stopIfTrue="1" operator="lessThan">
      <formula>'1852'!$K$11</formula>
    </cfRule>
  </conditionalFormatting>
  <conditionalFormatting sqref="L22">
    <cfRule type="cellIs" dxfId="3256" priority="439" stopIfTrue="1" operator="equal">
      <formula>'1852'!$K$22</formula>
    </cfRule>
    <cfRule type="cellIs" dxfId="3255" priority="440" stopIfTrue="1" operator="lessThan">
      <formula>'1852'!$K$22</formula>
    </cfRule>
  </conditionalFormatting>
  <conditionalFormatting sqref="L23">
    <cfRule type="cellIs" dxfId="3254" priority="441" stopIfTrue="1" operator="equal">
      <formula>'1852'!$K$23</formula>
    </cfRule>
    <cfRule type="cellIs" dxfId="3253" priority="442" stopIfTrue="1" operator="lessThan">
      <formula>'1852'!$K$23</formula>
    </cfRule>
  </conditionalFormatting>
  <conditionalFormatting sqref="L24">
    <cfRule type="cellIs" dxfId="3252" priority="443" stopIfTrue="1" operator="equal">
      <formula>'1852'!$K$24</formula>
    </cfRule>
    <cfRule type="cellIs" dxfId="3251" priority="444" stopIfTrue="1" operator="lessThan">
      <formula>'1852'!$K$24</formula>
    </cfRule>
  </conditionalFormatting>
  <conditionalFormatting sqref="L25">
    <cfRule type="cellIs" dxfId="3250" priority="445" stopIfTrue="1" operator="equal">
      <formula>'1852'!$K$25</formula>
    </cfRule>
    <cfRule type="cellIs" dxfId="3249" priority="446" stopIfTrue="1" operator="lessThan">
      <formula>'1852'!$K$25</formula>
    </cfRule>
  </conditionalFormatting>
  <conditionalFormatting sqref="L26">
    <cfRule type="cellIs" dxfId="3248" priority="447" stopIfTrue="1" operator="equal">
      <formula>'1852'!$K$26</formula>
    </cfRule>
    <cfRule type="cellIs" dxfId="3247" priority="448" stopIfTrue="1" operator="lessThan">
      <formula>'1852'!$K$26</formula>
    </cfRule>
  </conditionalFormatting>
  <conditionalFormatting sqref="L27">
    <cfRule type="cellIs" dxfId="3246" priority="449" stopIfTrue="1" operator="equal">
      <formula>'1852'!$K$27</formula>
    </cfRule>
    <cfRule type="cellIs" dxfId="3245" priority="450" stopIfTrue="1" operator="lessThan">
      <formula>'1852'!$K$27</formula>
    </cfRule>
  </conditionalFormatting>
  <conditionalFormatting sqref="L28">
    <cfRule type="cellIs" dxfId="3244" priority="451" stopIfTrue="1" operator="equal">
      <formula>'1852'!$K$28</formula>
    </cfRule>
    <cfRule type="cellIs" dxfId="3243" priority="452" stopIfTrue="1" operator="lessThan">
      <formula>'1852'!$K$28</formula>
    </cfRule>
  </conditionalFormatting>
  <conditionalFormatting sqref="M4">
    <cfRule type="cellIs" dxfId="3242" priority="453" stopIfTrue="1" operator="lessThan">
      <formula>'1852'!$L$4</formula>
    </cfRule>
    <cfRule type="cellIs" dxfId="3241" priority="454" stopIfTrue="1" operator="equal">
      <formula>'1852'!$L$4</formula>
    </cfRule>
  </conditionalFormatting>
  <conditionalFormatting sqref="M5">
    <cfRule type="cellIs" dxfId="3240" priority="455" stopIfTrue="1" operator="equal">
      <formula>'1852'!$L$5</formula>
    </cfRule>
    <cfRule type="cellIs" dxfId="3239" priority="456" stopIfTrue="1" operator="lessThan">
      <formula>'1852'!$L$5</formula>
    </cfRule>
  </conditionalFormatting>
  <conditionalFormatting sqref="M6">
    <cfRule type="cellIs" dxfId="3238" priority="457" stopIfTrue="1" operator="equal">
      <formula>'1852'!$L$6</formula>
    </cfRule>
    <cfRule type="cellIs" dxfId="3237" priority="458" stopIfTrue="1" operator="lessThan">
      <formula>'1852'!$L$6</formula>
    </cfRule>
  </conditionalFormatting>
  <conditionalFormatting sqref="M7">
    <cfRule type="cellIs" dxfId="3236" priority="459" stopIfTrue="1" operator="equal">
      <formula>'1852'!$L$7</formula>
    </cfRule>
    <cfRule type="cellIs" dxfId="3235" priority="460" stopIfTrue="1" operator="lessThan">
      <formula>'1852'!$L$7</formula>
    </cfRule>
  </conditionalFormatting>
  <conditionalFormatting sqref="M8">
    <cfRule type="cellIs" dxfId="3234" priority="461" stopIfTrue="1" operator="equal">
      <formula>'1852'!$L$8</formula>
    </cfRule>
    <cfRule type="cellIs" dxfId="3233" priority="462" stopIfTrue="1" operator="lessThan">
      <formula>'1852'!$L$8</formula>
    </cfRule>
  </conditionalFormatting>
  <conditionalFormatting sqref="M9">
    <cfRule type="cellIs" dxfId="3232" priority="463" stopIfTrue="1" operator="equal">
      <formula>'1852'!$L$9</formula>
    </cfRule>
    <cfRule type="cellIs" dxfId="3231" priority="464" stopIfTrue="1" operator="lessThan">
      <formula>'1852'!$L$9</formula>
    </cfRule>
  </conditionalFormatting>
  <conditionalFormatting sqref="M10">
    <cfRule type="cellIs" dxfId="3230" priority="465" stopIfTrue="1" operator="equal">
      <formula>'1852'!$L$10</formula>
    </cfRule>
    <cfRule type="cellIs" dxfId="3229" priority="466" stopIfTrue="1" operator="lessThan">
      <formula>'1852'!$L$10</formula>
    </cfRule>
  </conditionalFormatting>
  <conditionalFormatting sqref="M11">
    <cfRule type="cellIs" dxfId="3228" priority="467" stopIfTrue="1" operator="equal">
      <formula>'1852'!$L$11</formula>
    </cfRule>
    <cfRule type="cellIs" dxfId="3227" priority="468" stopIfTrue="1" operator="lessThan">
      <formula>'1852'!$L$11</formula>
    </cfRule>
  </conditionalFormatting>
  <conditionalFormatting sqref="M12">
    <cfRule type="cellIs" dxfId="3226" priority="469" stopIfTrue="1" operator="equal">
      <formula>'1852'!$L$12</formula>
    </cfRule>
    <cfRule type="cellIs" dxfId="3225" priority="470" stopIfTrue="1" operator="lessThan">
      <formula>'1852'!$L$12</formula>
    </cfRule>
  </conditionalFormatting>
  <conditionalFormatting sqref="M13">
    <cfRule type="cellIs" dxfId="3224" priority="471" stopIfTrue="1" operator="equal">
      <formula>'1852'!$L$13</formula>
    </cfRule>
    <cfRule type="cellIs" dxfId="3223" priority="472" stopIfTrue="1" operator="lessThan">
      <formula>'1852'!$L$13</formula>
    </cfRule>
  </conditionalFormatting>
  <conditionalFormatting sqref="M14">
    <cfRule type="cellIs" dxfId="3222" priority="473" stopIfTrue="1" operator="equal">
      <formula>'1852'!$L$14</formula>
    </cfRule>
    <cfRule type="cellIs" dxfId="3221" priority="474" stopIfTrue="1" operator="lessThan">
      <formula>'1852'!$L$14</formula>
    </cfRule>
  </conditionalFormatting>
  <conditionalFormatting sqref="M15">
    <cfRule type="cellIs" dxfId="3220" priority="475" stopIfTrue="1" operator="equal">
      <formula>'1852'!$L$15</formula>
    </cfRule>
    <cfRule type="cellIs" dxfId="3219" priority="476" stopIfTrue="1" operator="lessThan">
      <formula>'1852'!$L$15</formula>
    </cfRule>
  </conditionalFormatting>
  <conditionalFormatting sqref="M16">
    <cfRule type="cellIs" dxfId="3218" priority="477" stopIfTrue="1" operator="equal">
      <formula>'1852'!$L$16</formula>
    </cfRule>
    <cfRule type="cellIs" dxfId="3217" priority="478" stopIfTrue="1" operator="lessThan">
      <formula>'1852'!$L$16</formula>
    </cfRule>
  </conditionalFormatting>
  <conditionalFormatting sqref="M17">
    <cfRule type="cellIs" dxfId="3216" priority="479" stopIfTrue="1" operator="equal">
      <formula>'1852'!$L$17</formula>
    </cfRule>
    <cfRule type="cellIs" dxfId="3215" priority="480" stopIfTrue="1" operator="lessThan">
      <formula>'1852'!$L$17</formula>
    </cfRule>
  </conditionalFormatting>
  <conditionalFormatting sqref="M18">
    <cfRule type="cellIs" dxfId="3214" priority="481" stopIfTrue="1" operator="equal">
      <formula>'1852'!$L$18</formula>
    </cfRule>
    <cfRule type="cellIs" dxfId="3213" priority="482" stopIfTrue="1" operator="lessThan">
      <formula>'1852'!$L$18</formula>
    </cfRule>
  </conditionalFormatting>
  <conditionalFormatting sqref="M19">
    <cfRule type="cellIs" dxfId="3212" priority="483" stopIfTrue="1" operator="equal">
      <formula>'1852'!$L$19</formula>
    </cfRule>
    <cfRule type="cellIs" dxfId="3211" priority="484" stopIfTrue="1" operator="lessThan">
      <formula>'1852'!$L$19</formula>
    </cfRule>
  </conditionalFormatting>
  <conditionalFormatting sqref="M20">
    <cfRule type="cellIs" dxfId="3210" priority="485" stopIfTrue="1" operator="equal">
      <formula>'1852'!$L$20</formula>
    </cfRule>
    <cfRule type="cellIs" dxfId="3209" priority="486" stopIfTrue="1" operator="lessThan">
      <formula>'1852'!$L$20</formula>
    </cfRule>
  </conditionalFormatting>
  <conditionalFormatting sqref="M21">
    <cfRule type="cellIs" dxfId="3208" priority="487" stopIfTrue="1" operator="equal">
      <formula>'1852'!$L$21</formula>
    </cfRule>
    <cfRule type="cellIs" dxfId="3207" priority="488" stopIfTrue="1" operator="lessThan">
      <formula>'1852'!$L$21</formula>
    </cfRule>
  </conditionalFormatting>
  <conditionalFormatting sqref="M22">
    <cfRule type="cellIs" dxfId="3206" priority="489" stopIfTrue="1" operator="equal">
      <formula>'1852'!$L$22</formula>
    </cfRule>
    <cfRule type="cellIs" dxfId="3205" priority="490" stopIfTrue="1" operator="lessThan">
      <formula>'1852'!$L$22</formula>
    </cfRule>
  </conditionalFormatting>
  <conditionalFormatting sqref="M23">
    <cfRule type="cellIs" dxfId="3204" priority="491" stopIfTrue="1" operator="equal">
      <formula>'1852'!$L$23</formula>
    </cfRule>
    <cfRule type="cellIs" dxfId="3203" priority="492" stopIfTrue="1" operator="lessThan">
      <formula>'1852'!$L$23</formula>
    </cfRule>
  </conditionalFormatting>
  <conditionalFormatting sqref="M24">
    <cfRule type="cellIs" dxfId="3202" priority="493" stopIfTrue="1" operator="equal">
      <formula>'1852'!$L$24</formula>
    </cfRule>
    <cfRule type="cellIs" dxfId="3201" priority="494" stopIfTrue="1" operator="lessThan">
      <formula>'1852'!$L$24</formula>
    </cfRule>
  </conditionalFormatting>
  <conditionalFormatting sqref="M25">
    <cfRule type="cellIs" dxfId="3200" priority="495" stopIfTrue="1" operator="equal">
      <formula>'1852'!$L$25</formula>
    </cfRule>
    <cfRule type="cellIs" dxfId="3199" priority="496" stopIfTrue="1" operator="lessThan">
      <formula>'1852'!$L$25</formula>
    </cfRule>
  </conditionalFormatting>
  <conditionalFormatting sqref="M26">
    <cfRule type="cellIs" dxfId="3198" priority="497" stopIfTrue="1" operator="equal">
      <formula>'1852'!$L$26</formula>
    </cfRule>
    <cfRule type="cellIs" dxfId="3197" priority="498" stopIfTrue="1" operator="lessThan">
      <formula>'1852'!$L$26</formula>
    </cfRule>
  </conditionalFormatting>
  <conditionalFormatting sqref="M27">
    <cfRule type="cellIs" dxfId="3196" priority="499" stopIfTrue="1" operator="equal">
      <formula>'1852'!$L$27</formula>
    </cfRule>
    <cfRule type="cellIs" dxfId="3195" priority="500" stopIfTrue="1" operator="lessThan">
      <formula>'1852'!$L$27</formula>
    </cfRule>
  </conditionalFormatting>
  <conditionalFormatting sqref="M28">
    <cfRule type="cellIs" dxfId="3194" priority="501" stopIfTrue="1" operator="equal">
      <formula>'1852'!$L$28</formula>
    </cfRule>
    <cfRule type="cellIs" dxfId="3193" priority="502" stopIfTrue="1" operator="lessThan">
      <formula>'1852'!$L$28</formula>
    </cfRule>
  </conditionalFormatting>
  <conditionalFormatting sqref="N4">
    <cfRule type="cellIs" dxfId="3192" priority="503" stopIfTrue="1" operator="equal">
      <formula>'1852'!$M$4</formula>
    </cfRule>
    <cfRule type="cellIs" dxfId="3191" priority="504" stopIfTrue="1" operator="lessThan">
      <formula>'1852'!$M$4</formula>
    </cfRule>
  </conditionalFormatting>
  <conditionalFormatting sqref="N5">
    <cfRule type="cellIs" dxfId="3190" priority="505" stopIfTrue="1" operator="equal">
      <formula>'1852'!$M$5</formula>
    </cfRule>
    <cfRule type="cellIs" dxfId="3189" priority="506" stopIfTrue="1" operator="lessThan">
      <formula>'1852'!$M$5</formula>
    </cfRule>
  </conditionalFormatting>
  <conditionalFormatting sqref="N6">
    <cfRule type="cellIs" dxfId="3188" priority="507" stopIfTrue="1" operator="equal">
      <formula>'1852'!$M$6</formula>
    </cfRule>
    <cfRule type="cellIs" dxfId="3187" priority="508" stopIfTrue="1" operator="lessThan">
      <formula>'1852'!$M$6</formula>
    </cfRule>
  </conditionalFormatting>
  <conditionalFormatting sqref="N7">
    <cfRule type="cellIs" dxfId="3186" priority="509" stopIfTrue="1" operator="equal">
      <formula>'1852'!$M$7</formula>
    </cfRule>
    <cfRule type="cellIs" dxfId="3185" priority="510" stopIfTrue="1" operator="lessThan">
      <formula>'1852'!$M$7</formula>
    </cfRule>
  </conditionalFormatting>
  <conditionalFormatting sqref="N8">
    <cfRule type="cellIs" dxfId="3184" priority="511" stopIfTrue="1" operator="equal">
      <formula>'1852'!$M$8</formula>
    </cfRule>
    <cfRule type="cellIs" dxfId="3183" priority="512" stopIfTrue="1" operator="lessThan">
      <formula>'1852'!$M$8</formula>
    </cfRule>
  </conditionalFormatting>
  <conditionalFormatting sqref="N9">
    <cfRule type="cellIs" dxfId="3182" priority="513" stopIfTrue="1" operator="equal">
      <formula>'1852'!$M$9</formula>
    </cfRule>
    <cfRule type="cellIs" dxfId="3181" priority="514" stopIfTrue="1" operator="lessThan">
      <formula>'1852'!$M$9</formula>
    </cfRule>
  </conditionalFormatting>
  <conditionalFormatting sqref="N10">
    <cfRule type="cellIs" dxfId="3180" priority="515" stopIfTrue="1" operator="equal">
      <formula>'1852'!$M$10</formula>
    </cfRule>
    <cfRule type="cellIs" dxfId="3179" priority="516" stopIfTrue="1" operator="lessThan">
      <formula>'1852'!$M$10</formula>
    </cfRule>
  </conditionalFormatting>
  <conditionalFormatting sqref="N11">
    <cfRule type="cellIs" dxfId="3178" priority="517" stopIfTrue="1" operator="equal">
      <formula>'1852'!$M$11</formula>
    </cfRule>
    <cfRule type="cellIs" dxfId="3177" priority="518" stopIfTrue="1" operator="lessThan">
      <formula>'1852'!$M$11</formula>
    </cfRule>
  </conditionalFormatting>
  <conditionalFormatting sqref="N12">
    <cfRule type="cellIs" dxfId="3176" priority="519" stopIfTrue="1" operator="equal">
      <formula>'1852'!$M$12</formula>
    </cfRule>
    <cfRule type="cellIs" dxfId="3175" priority="520" stopIfTrue="1" operator="lessThan">
      <formula>'1852'!$M$12</formula>
    </cfRule>
  </conditionalFormatting>
  <conditionalFormatting sqref="N13">
    <cfRule type="cellIs" dxfId="3174" priority="521" stopIfTrue="1" operator="equal">
      <formula>'1852'!$M$13</formula>
    </cfRule>
    <cfRule type="cellIs" dxfId="3173" priority="522" stopIfTrue="1" operator="lessThan">
      <formula>'1852'!$M$13</formula>
    </cfRule>
  </conditionalFormatting>
  <conditionalFormatting sqref="N14">
    <cfRule type="cellIs" dxfId="3172" priority="523" stopIfTrue="1" operator="equal">
      <formula>'1852'!$M$14</formula>
    </cfRule>
    <cfRule type="cellIs" dxfId="3171" priority="524" stopIfTrue="1" operator="lessThan">
      <formula>'1852'!$M$14</formula>
    </cfRule>
  </conditionalFormatting>
  <conditionalFormatting sqref="N15">
    <cfRule type="cellIs" dxfId="3170" priority="525" stopIfTrue="1" operator="equal">
      <formula>'1852'!$M$15</formula>
    </cfRule>
    <cfRule type="cellIs" dxfId="3169" priority="526" stopIfTrue="1" operator="lessThan">
      <formula>'1852'!$M$15</formula>
    </cfRule>
  </conditionalFormatting>
  <conditionalFormatting sqref="N16">
    <cfRule type="cellIs" dxfId="3168" priority="527" stopIfTrue="1" operator="equal">
      <formula>'1852'!$M$16</formula>
    </cfRule>
    <cfRule type="cellIs" dxfId="3167" priority="528" stopIfTrue="1" operator="lessThan">
      <formula>'1852'!$M$16</formula>
    </cfRule>
  </conditionalFormatting>
  <conditionalFormatting sqref="N17">
    <cfRule type="cellIs" dxfId="3166" priority="529" stopIfTrue="1" operator="equal">
      <formula>'1852'!$M$17</formula>
    </cfRule>
    <cfRule type="cellIs" dxfId="3165" priority="530" stopIfTrue="1" operator="lessThan">
      <formula>'1852'!$M$17</formula>
    </cfRule>
  </conditionalFormatting>
  <conditionalFormatting sqref="N18">
    <cfRule type="cellIs" dxfId="3164" priority="531" stopIfTrue="1" operator="equal">
      <formula>'1852'!$M$18</formula>
    </cfRule>
    <cfRule type="cellIs" dxfId="3163" priority="532" stopIfTrue="1" operator="lessThan">
      <formula>'1852'!$M$18</formula>
    </cfRule>
  </conditionalFormatting>
  <conditionalFormatting sqref="N19">
    <cfRule type="cellIs" dxfId="3162" priority="533" stopIfTrue="1" operator="equal">
      <formula>'1852'!$M$19</formula>
    </cfRule>
    <cfRule type="cellIs" dxfId="3161" priority="534" stopIfTrue="1" operator="lessThan">
      <formula>'1852'!$M$19</formula>
    </cfRule>
  </conditionalFormatting>
  <conditionalFormatting sqref="N20">
    <cfRule type="cellIs" dxfId="3160" priority="535" stopIfTrue="1" operator="equal">
      <formula>'1852'!$M$20</formula>
    </cfRule>
    <cfRule type="cellIs" dxfId="3159" priority="536" stopIfTrue="1" operator="lessThan">
      <formula>'1852'!$M$20</formula>
    </cfRule>
  </conditionalFormatting>
  <conditionalFormatting sqref="N21">
    <cfRule type="cellIs" dxfId="3158" priority="537" stopIfTrue="1" operator="equal">
      <formula>'1852'!$M$21</formula>
    </cfRule>
    <cfRule type="cellIs" dxfId="3157" priority="538" stopIfTrue="1" operator="lessThan">
      <formula>'1852'!$M$21</formula>
    </cfRule>
  </conditionalFormatting>
  <conditionalFormatting sqref="N22">
    <cfRule type="cellIs" dxfId="3156" priority="539" stopIfTrue="1" operator="equal">
      <formula>'1852'!$M$22</formula>
    </cfRule>
    <cfRule type="cellIs" dxfId="3155" priority="540" stopIfTrue="1" operator="lessThan">
      <formula>'1852'!$M$22</formula>
    </cfRule>
  </conditionalFormatting>
  <conditionalFormatting sqref="N23">
    <cfRule type="cellIs" dxfId="3154" priority="541" stopIfTrue="1" operator="equal">
      <formula>'1852'!$M$23</formula>
    </cfRule>
    <cfRule type="cellIs" dxfId="3153" priority="542" stopIfTrue="1" operator="lessThan">
      <formula>'1852'!$M$23</formula>
    </cfRule>
  </conditionalFormatting>
  <conditionalFormatting sqref="N24">
    <cfRule type="cellIs" dxfId="3152" priority="543" stopIfTrue="1" operator="equal">
      <formula>'1852'!$M$24</formula>
    </cfRule>
    <cfRule type="cellIs" dxfId="3151" priority="544" stopIfTrue="1" operator="lessThan">
      <formula>'1852'!$M$24</formula>
    </cfRule>
  </conditionalFormatting>
  <conditionalFormatting sqref="N25">
    <cfRule type="cellIs" dxfId="3150" priority="545" stopIfTrue="1" operator="equal">
      <formula>'1852'!$M$25</formula>
    </cfRule>
    <cfRule type="cellIs" dxfId="3149" priority="546" stopIfTrue="1" operator="lessThan">
      <formula>'1852'!$M$25</formula>
    </cfRule>
  </conditionalFormatting>
  <conditionalFormatting sqref="N26">
    <cfRule type="cellIs" dxfId="3148" priority="547" stopIfTrue="1" operator="equal">
      <formula>'1852'!$M$26</formula>
    </cfRule>
    <cfRule type="cellIs" dxfId="3147" priority="548" stopIfTrue="1" operator="lessThan">
      <formula>'1852'!$M$26</formula>
    </cfRule>
  </conditionalFormatting>
  <conditionalFormatting sqref="N27">
    <cfRule type="cellIs" dxfId="3146" priority="549" stopIfTrue="1" operator="equal">
      <formula>'1852'!$M$27</formula>
    </cfRule>
    <cfRule type="cellIs" dxfId="3145" priority="550" stopIfTrue="1" operator="lessThan">
      <formula>'1852'!$M$27</formula>
    </cfRule>
  </conditionalFormatting>
  <conditionalFormatting sqref="N28">
    <cfRule type="cellIs" dxfId="3144" priority="551" stopIfTrue="1" operator="equal">
      <formula>'1852'!$M$28</formula>
    </cfRule>
    <cfRule type="cellIs" dxfId="3143" priority="552" stopIfTrue="1" operator="lessThan">
      <formula>'1852'!$M$28</formula>
    </cfRule>
  </conditionalFormatting>
  <conditionalFormatting sqref="O4">
    <cfRule type="cellIs" dxfId="3142" priority="553" stopIfTrue="1" operator="equal">
      <formula>'1852'!$N$4</formula>
    </cfRule>
    <cfRule type="cellIs" dxfId="3141" priority="554" stopIfTrue="1" operator="lessThan">
      <formula>'1852'!$N$4</formula>
    </cfRule>
  </conditionalFormatting>
  <conditionalFormatting sqref="O5">
    <cfRule type="cellIs" dxfId="3140" priority="555" stopIfTrue="1" operator="equal">
      <formula>'1852'!$N$5</formula>
    </cfRule>
    <cfRule type="cellIs" dxfId="3139" priority="556" stopIfTrue="1" operator="lessThan">
      <formula>'1852'!$N$5</formula>
    </cfRule>
  </conditionalFormatting>
  <conditionalFormatting sqref="O6">
    <cfRule type="cellIs" dxfId="3138" priority="557" stopIfTrue="1" operator="equal">
      <formula>'1852'!$N$6</formula>
    </cfRule>
    <cfRule type="cellIs" dxfId="3137" priority="558" stopIfTrue="1" operator="lessThan">
      <formula>'1852'!$N$6</formula>
    </cfRule>
  </conditionalFormatting>
  <conditionalFormatting sqref="O7">
    <cfRule type="cellIs" dxfId="3136" priority="559" stopIfTrue="1" operator="equal">
      <formula>'1852'!$N$7</formula>
    </cfRule>
    <cfRule type="cellIs" dxfId="3135" priority="560" stopIfTrue="1" operator="lessThan">
      <formula>'1852'!$N$7</formula>
    </cfRule>
  </conditionalFormatting>
  <conditionalFormatting sqref="O8">
    <cfRule type="cellIs" dxfId="3134" priority="561" stopIfTrue="1" operator="equal">
      <formula>'1852'!$N$8</formula>
    </cfRule>
    <cfRule type="cellIs" dxfId="3133" priority="562" stopIfTrue="1" operator="lessThan">
      <formula>'1852'!$N$8</formula>
    </cfRule>
  </conditionalFormatting>
  <conditionalFormatting sqref="O9">
    <cfRule type="cellIs" dxfId="3132" priority="563" stopIfTrue="1" operator="equal">
      <formula>'1852'!$N$9</formula>
    </cfRule>
    <cfRule type="cellIs" dxfId="3131" priority="564" stopIfTrue="1" operator="lessThan">
      <formula>'1852'!$N$9</formula>
    </cfRule>
  </conditionalFormatting>
  <conditionalFormatting sqref="O10">
    <cfRule type="cellIs" dxfId="3130" priority="565" stopIfTrue="1" operator="equal">
      <formula>'1852'!$N$10</formula>
    </cfRule>
    <cfRule type="cellIs" dxfId="3129" priority="566" stopIfTrue="1" operator="lessThan">
      <formula>'1852'!$N$10</formula>
    </cfRule>
  </conditionalFormatting>
  <conditionalFormatting sqref="O11">
    <cfRule type="cellIs" dxfId="3128" priority="567" stopIfTrue="1" operator="equal">
      <formula>'1852'!$N$11</formula>
    </cfRule>
    <cfRule type="cellIs" dxfId="3127" priority="568" stopIfTrue="1" operator="lessThan">
      <formula>'1852'!$N$11</formula>
    </cfRule>
  </conditionalFormatting>
  <conditionalFormatting sqref="O12">
    <cfRule type="cellIs" dxfId="3126" priority="569" stopIfTrue="1" operator="equal">
      <formula>'1852'!$N$12</formula>
    </cfRule>
    <cfRule type="cellIs" dxfId="3125" priority="570" stopIfTrue="1" operator="lessThan">
      <formula>'1852'!$N$12</formula>
    </cfRule>
  </conditionalFormatting>
  <conditionalFormatting sqref="O13">
    <cfRule type="cellIs" dxfId="3124" priority="571" stopIfTrue="1" operator="equal">
      <formula>'1852'!$N$13</formula>
    </cfRule>
    <cfRule type="cellIs" dxfId="3123" priority="572" stopIfTrue="1" operator="lessThan">
      <formula>'1852'!$N$13</formula>
    </cfRule>
  </conditionalFormatting>
  <conditionalFormatting sqref="O14">
    <cfRule type="cellIs" dxfId="3122" priority="573" stopIfTrue="1" operator="equal">
      <formula>'1852'!$N$14</formula>
    </cfRule>
    <cfRule type="cellIs" dxfId="3121" priority="574" stopIfTrue="1" operator="lessThan">
      <formula>'1852'!$N$14</formula>
    </cfRule>
  </conditionalFormatting>
  <conditionalFormatting sqref="O15">
    <cfRule type="cellIs" dxfId="3120" priority="575" stopIfTrue="1" operator="equal">
      <formula>'1852'!$N$15</formula>
    </cfRule>
    <cfRule type="cellIs" dxfId="3119" priority="576" stopIfTrue="1" operator="lessThan">
      <formula>'1852'!$N$15</formula>
    </cfRule>
  </conditionalFormatting>
  <conditionalFormatting sqref="O16">
    <cfRule type="cellIs" dxfId="3118" priority="577" stopIfTrue="1" operator="equal">
      <formula>'1852'!$N$16</formula>
    </cfRule>
    <cfRule type="cellIs" dxfId="3117" priority="578" stopIfTrue="1" operator="lessThan">
      <formula>'1852'!$N$16</formula>
    </cfRule>
  </conditionalFormatting>
  <conditionalFormatting sqref="O17">
    <cfRule type="cellIs" dxfId="3116" priority="579" stopIfTrue="1" operator="equal">
      <formula>'1852'!$N$17</formula>
    </cfRule>
    <cfRule type="cellIs" dxfId="3115" priority="580" stopIfTrue="1" operator="lessThan">
      <formula>'1852'!$N$17</formula>
    </cfRule>
  </conditionalFormatting>
  <conditionalFormatting sqref="O18">
    <cfRule type="cellIs" dxfId="3114" priority="581" stopIfTrue="1" operator="equal">
      <formula>'1852'!$N$18</formula>
    </cfRule>
    <cfRule type="cellIs" dxfId="3113" priority="582" stopIfTrue="1" operator="lessThan">
      <formula>'1852'!$N$18</formula>
    </cfRule>
  </conditionalFormatting>
  <conditionalFormatting sqref="O19">
    <cfRule type="cellIs" dxfId="3112" priority="583" stopIfTrue="1" operator="equal">
      <formula>'1852'!$N$19</formula>
    </cfRule>
    <cfRule type="cellIs" dxfId="3111" priority="584" stopIfTrue="1" operator="lessThan">
      <formula>'1852'!$N$19</formula>
    </cfRule>
  </conditionalFormatting>
  <conditionalFormatting sqref="O20">
    <cfRule type="cellIs" dxfId="3110" priority="585" stopIfTrue="1" operator="equal">
      <formula>'1852'!$N$20</formula>
    </cfRule>
    <cfRule type="cellIs" dxfId="3109" priority="586" stopIfTrue="1" operator="lessThan">
      <formula>'1852'!$N$20</formula>
    </cfRule>
  </conditionalFormatting>
  <conditionalFormatting sqref="O21">
    <cfRule type="cellIs" dxfId="3108" priority="587" stopIfTrue="1" operator="equal">
      <formula>'1852'!$N$21</formula>
    </cfRule>
    <cfRule type="cellIs" dxfId="3107" priority="588" stopIfTrue="1" operator="lessThan">
      <formula>'1852'!$N$21</formula>
    </cfRule>
  </conditionalFormatting>
  <conditionalFormatting sqref="O22">
    <cfRule type="cellIs" dxfId="3106" priority="589" stopIfTrue="1" operator="equal">
      <formula>'1852'!$N$22</formula>
    </cfRule>
    <cfRule type="cellIs" dxfId="3105" priority="590" stopIfTrue="1" operator="lessThan">
      <formula>'1852'!$N$22</formula>
    </cfRule>
  </conditionalFormatting>
  <conditionalFormatting sqref="O23">
    <cfRule type="cellIs" dxfId="3104" priority="591" stopIfTrue="1" operator="equal">
      <formula>'1852'!$N$23</formula>
    </cfRule>
    <cfRule type="cellIs" dxfId="3103" priority="592" stopIfTrue="1" operator="lessThan">
      <formula>'1852'!$N$23</formula>
    </cfRule>
  </conditionalFormatting>
  <conditionalFormatting sqref="O24">
    <cfRule type="cellIs" dxfId="3102" priority="593" stopIfTrue="1" operator="equal">
      <formula>'1852'!$N$24</formula>
    </cfRule>
    <cfRule type="cellIs" dxfId="3101" priority="594" stopIfTrue="1" operator="lessThan">
      <formula>'1852'!$N$24</formula>
    </cfRule>
  </conditionalFormatting>
  <conditionalFormatting sqref="O25">
    <cfRule type="cellIs" dxfId="3100" priority="595" stopIfTrue="1" operator="equal">
      <formula>'1852'!$N$25</formula>
    </cfRule>
    <cfRule type="cellIs" dxfId="3099" priority="596" stopIfTrue="1" operator="lessThan">
      <formula>'1852'!$N$25</formula>
    </cfRule>
  </conditionalFormatting>
  <conditionalFormatting sqref="O26">
    <cfRule type="cellIs" dxfId="3098" priority="597" stopIfTrue="1" operator="equal">
      <formula>'1852'!$N$26</formula>
    </cfRule>
    <cfRule type="cellIs" dxfId="3097" priority="598" stopIfTrue="1" operator="lessThan">
      <formula>'1852'!$N$26</formula>
    </cfRule>
  </conditionalFormatting>
  <conditionalFormatting sqref="O27">
    <cfRule type="cellIs" dxfId="3096" priority="599" stopIfTrue="1" operator="equal">
      <formula>'1852'!$N$27</formula>
    </cfRule>
    <cfRule type="cellIs" dxfId="3095" priority="600" stopIfTrue="1" operator="lessThan">
      <formula>'1852'!$N$27</formula>
    </cfRule>
  </conditionalFormatting>
  <conditionalFormatting sqref="O28">
    <cfRule type="cellIs" dxfId="3094" priority="601" stopIfTrue="1" operator="equal">
      <formula>'1852'!$N$28</formula>
    </cfRule>
    <cfRule type="cellIs" dxfId="3093" priority="602" stopIfTrue="1" operator="lessThan">
      <formula>'1852'!$N$28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0"/>
  <sheetViews>
    <sheetView topLeftCell="A7" zoomScaleSheetLayoutView="100" workbookViewId="0">
      <selection activeCell="T29" sqref="T29"/>
    </sheetView>
  </sheetViews>
  <sheetFormatPr defaultRowHeight="15"/>
  <cols>
    <col min="1" max="1" width="8.5703125" style="30" customWidth="1"/>
    <col min="2" max="2" width="26.5703125" customWidth="1"/>
    <col min="3" max="15" width="10.140625" customWidth="1"/>
    <col min="16" max="16" width="9.28515625" bestFit="1" customWidth="1"/>
    <col min="19" max="19" width="3.5703125" customWidth="1"/>
  </cols>
  <sheetData>
    <row r="1" spans="1:32" ht="15.75" thickBot="1"/>
    <row r="2" spans="1:32" s="1" customFormat="1" ht="21" customHeight="1" thickBot="1">
      <c r="A2" s="161">
        <v>1853</v>
      </c>
      <c r="B2" s="2"/>
      <c r="C2" s="3">
        <f>'1850'!C2</f>
        <v>44197</v>
      </c>
      <c r="D2" s="3">
        <f>'1850'!D2</f>
        <v>44228</v>
      </c>
      <c r="E2" s="3">
        <f>'1850'!E2</f>
        <v>44256</v>
      </c>
      <c r="F2" s="3">
        <f>'1850'!F2</f>
        <v>44286</v>
      </c>
      <c r="G2" s="3">
        <f>'1850'!G2</f>
        <v>44316</v>
      </c>
      <c r="H2" s="3">
        <f>'1850'!H2</f>
        <v>44348</v>
      </c>
      <c r="I2" s="3">
        <f>'1850'!I2</f>
        <v>44379</v>
      </c>
      <c r="J2" s="3">
        <f>'1850'!J2</f>
        <v>44410</v>
      </c>
      <c r="K2" s="3">
        <f>'1850'!K2</f>
        <v>44441</v>
      </c>
      <c r="L2" s="3">
        <f>'1850'!L2</f>
        <v>44470</v>
      </c>
      <c r="M2" s="3">
        <f>'1850'!M2</f>
        <v>44501</v>
      </c>
      <c r="N2" s="3">
        <f>'1850'!N2</f>
        <v>44531</v>
      </c>
      <c r="O2" s="3">
        <f>'1850'!O2</f>
        <v>44562</v>
      </c>
      <c r="P2" s="1" t="s">
        <v>58</v>
      </c>
      <c r="Q2" s="1" t="s">
        <v>59</v>
      </c>
      <c r="R2" s="1" t="s">
        <v>60</v>
      </c>
      <c r="U2" s="198"/>
      <c r="V2" s="199"/>
      <c r="W2" s="199"/>
      <c r="X2" s="199"/>
      <c r="Y2" s="199" t="s">
        <v>287</v>
      </c>
      <c r="Z2" s="199"/>
      <c r="AA2" s="199"/>
      <c r="AB2" s="199"/>
      <c r="AC2" s="199"/>
      <c r="AD2" s="205"/>
      <c r="AE2" s="205"/>
      <c r="AF2" s="206"/>
    </row>
    <row r="3" spans="1:32" s="1" customFormat="1" ht="15.75" thickBot="1">
      <c r="A3" s="162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166</v>
      </c>
      <c r="Q3" s="1" t="s">
        <v>165</v>
      </c>
      <c r="R3" s="1" t="s">
        <v>167</v>
      </c>
      <c r="T3" s="1" t="s">
        <v>286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2" t="s">
        <v>13</v>
      </c>
      <c r="AE3" s="162" t="s">
        <v>14</v>
      </c>
      <c r="AF3" s="162" t="s">
        <v>3</v>
      </c>
    </row>
    <row r="4" spans="1:32" ht="15.75" thickBot="1">
      <c r="A4" s="289">
        <v>1</v>
      </c>
      <c r="B4" s="7" t="s">
        <v>232</v>
      </c>
      <c r="C4" s="8">
        <v>210.13399999999999</v>
      </c>
      <c r="D4" s="8">
        <v>225.19</v>
      </c>
      <c r="E4" s="8">
        <v>240.626</v>
      </c>
      <c r="F4" s="8">
        <v>256.46899999999999</v>
      </c>
      <c r="G4" s="8">
        <v>270.57100000000003</v>
      </c>
      <c r="H4" s="8">
        <v>284.83699999999999</v>
      </c>
      <c r="I4" s="8">
        <v>298.90199999999999</v>
      </c>
      <c r="J4" s="8">
        <v>312.33999999999997</v>
      </c>
      <c r="K4" s="8">
        <v>325.85899999999998</v>
      </c>
      <c r="L4" s="9">
        <v>338.55</v>
      </c>
      <c r="M4" s="8">
        <v>352.80799999999999</v>
      </c>
      <c r="N4" s="8">
        <v>366.43400000000003</v>
      </c>
      <c r="O4" s="8">
        <v>380.50900000000001</v>
      </c>
      <c r="P4" s="10">
        <f>O4-C4</f>
        <v>170.37500000000003</v>
      </c>
      <c r="T4" s="1">
        <v>1</v>
      </c>
      <c r="U4" s="200">
        <f t="shared" ref="U4:AF4" si="0">D4-C4</f>
        <v>15.056000000000012</v>
      </c>
      <c r="V4" s="200">
        <f t="shared" si="0"/>
        <v>15.436000000000007</v>
      </c>
      <c r="W4" s="200">
        <f t="shared" si="0"/>
        <v>15.842999999999989</v>
      </c>
      <c r="X4" s="200">
        <f t="shared" si="0"/>
        <v>14.102000000000032</v>
      </c>
      <c r="Y4" s="200">
        <f t="shared" si="0"/>
        <v>14.265999999999963</v>
      </c>
      <c r="Z4" s="200">
        <f t="shared" si="0"/>
        <v>14.064999999999998</v>
      </c>
      <c r="AA4" s="200">
        <f t="shared" si="0"/>
        <v>13.437999999999988</v>
      </c>
      <c r="AB4" s="200">
        <f t="shared" si="0"/>
        <v>13.519000000000005</v>
      </c>
      <c r="AC4" s="200">
        <f t="shared" si="0"/>
        <v>12.691000000000031</v>
      </c>
      <c r="AD4" s="200">
        <f t="shared" si="0"/>
        <v>14.257999999999981</v>
      </c>
      <c r="AE4" s="200">
        <f t="shared" si="0"/>
        <v>13.626000000000033</v>
      </c>
      <c r="AF4" s="200">
        <f t="shared" si="0"/>
        <v>14.074999999999989</v>
      </c>
    </row>
    <row r="5" spans="1:32">
      <c r="A5" s="289"/>
      <c r="B5" s="11" t="s">
        <v>61</v>
      </c>
      <c r="C5" s="12">
        <v>124.038</v>
      </c>
      <c r="D5" s="12">
        <v>129.636</v>
      </c>
      <c r="E5" s="12">
        <v>135.173</v>
      </c>
      <c r="F5" s="12">
        <v>139.923</v>
      </c>
      <c r="G5" s="12">
        <v>143.03</v>
      </c>
      <c r="H5" s="12">
        <v>144.66399999999999</v>
      </c>
      <c r="I5" s="12">
        <v>145.70400000000001</v>
      </c>
      <c r="J5" s="12">
        <v>146.62700000000001</v>
      </c>
      <c r="K5" s="12">
        <v>147.57400000000001</v>
      </c>
      <c r="L5" s="13">
        <v>148.512</v>
      </c>
      <c r="M5" s="12">
        <v>150.41300000000001</v>
      </c>
      <c r="N5" s="12">
        <v>3.83</v>
      </c>
      <c r="O5" s="12">
        <v>9.5280000000000005</v>
      </c>
      <c r="P5" s="10"/>
      <c r="Q5" s="10">
        <f>O5+M5-C5</f>
        <v>35.903000000000006</v>
      </c>
      <c r="T5" s="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</row>
    <row r="6" spans="1:32">
      <c r="A6" s="288">
        <v>2</v>
      </c>
      <c r="B6" s="11" t="s">
        <v>233</v>
      </c>
      <c r="C6" s="12">
        <v>116.709</v>
      </c>
      <c r="D6" s="12">
        <v>124.70699999999999</v>
      </c>
      <c r="E6" s="12">
        <v>133.27699999999999</v>
      </c>
      <c r="F6" s="12">
        <v>141.49799999999999</v>
      </c>
      <c r="G6" s="12">
        <v>151.197</v>
      </c>
      <c r="H6" s="12">
        <v>158.655</v>
      </c>
      <c r="I6" s="12">
        <v>166.78299999999999</v>
      </c>
      <c r="J6" s="12">
        <v>174.839</v>
      </c>
      <c r="K6" s="12">
        <v>183.011</v>
      </c>
      <c r="L6" s="12">
        <v>189.59</v>
      </c>
      <c r="M6" s="12">
        <v>196.96100000000001</v>
      </c>
      <c r="N6" s="12">
        <v>204.595</v>
      </c>
      <c r="O6" s="12">
        <v>212.804</v>
      </c>
      <c r="P6" s="10">
        <f>O6-C6</f>
        <v>96.094999999999999</v>
      </c>
      <c r="T6" s="1">
        <v>2</v>
      </c>
      <c r="U6" s="202">
        <f t="shared" ref="U6:AF6" si="1">D6-C6</f>
        <v>7.9979999999999905</v>
      </c>
      <c r="V6" s="202">
        <f t="shared" si="1"/>
        <v>8.5699999999999932</v>
      </c>
      <c r="W6" s="202">
        <f t="shared" si="1"/>
        <v>8.2210000000000036</v>
      </c>
      <c r="X6" s="202">
        <f t="shared" si="1"/>
        <v>9.6990000000000123</v>
      </c>
      <c r="Y6" s="202">
        <f t="shared" si="1"/>
        <v>7.4579999999999984</v>
      </c>
      <c r="Z6" s="202">
        <f t="shared" si="1"/>
        <v>8.1279999999999859</v>
      </c>
      <c r="AA6" s="202">
        <f t="shared" si="1"/>
        <v>8.0560000000000116</v>
      </c>
      <c r="AB6" s="202">
        <f t="shared" si="1"/>
        <v>8.171999999999997</v>
      </c>
      <c r="AC6" s="202">
        <f t="shared" si="1"/>
        <v>6.5790000000000077</v>
      </c>
      <c r="AD6" s="202">
        <f t="shared" si="1"/>
        <v>7.3710000000000093</v>
      </c>
      <c r="AE6" s="202">
        <f t="shared" si="1"/>
        <v>7.6339999999999861</v>
      </c>
      <c r="AF6" s="202">
        <f t="shared" si="1"/>
        <v>8.2090000000000032</v>
      </c>
    </row>
    <row r="7" spans="1:32">
      <c r="A7" s="288"/>
      <c r="B7" s="11" t="s">
        <v>62</v>
      </c>
      <c r="C7" s="12">
        <v>38.301000000000002</v>
      </c>
      <c r="D7" s="12">
        <v>39.968000000000004</v>
      </c>
      <c r="E7" s="12">
        <v>41.661999999999999</v>
      </c>
      <c r="F7" s="12">
        <v>43.006999999999998</v>
      </c>
      <c r="G7" s="12">
        <v>43.881999999999998</v>
      </c>
      <c r="H7" s="12">
        <v>44.482999999999997</v>
      </c>
      <c r="I7" s="12">
        <v>45.036000000000001</v>
      </c>
      <c r="J7" s="12">
        <v>45.561999999999998</v>
      </c>
      <c r="K7" s="12">
        <v>46.125</v>
      </c>
      <c r="L7" s="12">
        <v>46.656999999999996</v>
      </c>
      <c r="M7" s="12">
        <v>47.343000000000004</v>
      </c>
      <c r="N7" s="12">
        <v>1.121</v>
      </c>
      <c r="O7" s="12">
        <v>2.4260000000000002</v>
      </c>
      <c r="P7" s="10"/>
      <c r="Q7" s="10">
        <f t="shared" ref="Q7:Q21" si="2">O7+M7-C7</f>
        <v>11.468000000000004</v>
      </c>
      <c r="T7" s="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</row>
    <row r="8" spans="1:32">
      <c r="A8" s="296">
        <v>3</v>
      </c>
      <c r="B8" s="11" t="s">
        <v>234</v>
      </c>
      <c r="C8" s="12">
        <v>35.335000000000001</v>
      </c>
      <c r="D8" s="12">
        <v>39.35</v>
      </c>
      <c r="E8" s="12">
        <v>42.505000000000003</v>
      </c>
      <c r="F8" s="12">
        <v>46.640999999999998</v>
      </c>
      <c r="G8" s="12">
        <v>50.573</v>
      </c>
      <c r="H8" s="12">
        <v>55.072000000000003</v>
      </c>
      <c r="I8" s="12">
        <v>59.552999999999997</v>
      </c>
      <c r="J8" s="12">
        <v>65.587999999999994</v>
      </c>
      <c r="K8" s="12">
        <v>73.322999999999993</v>
      </c>
      <c r="L8" s="12">
        <v>78.349000000000004</v>
      </c>
      <c r="M8" s="12">
        <v>82.463999999999999</v>
      </c>
      <c r="N8" s="12">
        <v>88.016000000000005</v>
      </c>
      <c r="O8" s="12">
        <v>93.933000000000007</v>
      </c>
      <c r="P8" s="10">
        <f>O8-C8</f>
        <v>58.598000000000006</v>
      </c>
      <c r="T8" s="1">
        <v>3</v>
      </c>
      <c r="U8" s="202">
        <f t="shared" ref="U8:AF8" si="3">D8-C8</f>
        <v>4.0150000000000006</v>
      </c>
      <c r="V8" s="202">
        <f t="shared" si="3"/>
        <v>3.1550000000000011</v>
      </c>
      <c r="W8" s="202">
        <f t="shared" si="3"/>
        <v>4.1359999999999957</v>
      </c>
      <c r="X8" s="202">
        <f t="shared" si="3"/>
        <v>3.9320000000000022</v>
      </c>
      <c r="Y8" s="202">
        <f t="shared" si="3"/>
        <v>4.4990000000000023</v>
      </c>
      <c r="Z8" s="202">
        <f t="shared" si="3"/>
        <v>4.4809999999999945</v>
      </c>
      <c r="AA8" s="202">
        <f t="shared" si="3"/>
        <v>6.0349999999999966</v>
      </c>
      <c r="AB8" s="202">
        <f t="shared" si="3"/>
        <v>7.7349999999999994</v>
      </c>
      <c r="AC8" s="202">
        <f t="shared" si="3"/>
        <v>5.0260000000000105</v>
      </c>
      <c r="AD8" s="202">
        <f t="shared" si="3"/>
        <v>4.1149999999999949</v>
      </c>
      <c r="AE8" s="202">
        <f t="shared" si="3"/>
        <v>5.5520000000000067</v>
      </c>
      <c r="AF8" s="202">
        <f t="shared" si="3"/>
        <v>5.9170000000000016</v>
      </c>
    </row>
    <row r="9" spans="1:32">
      <c r="A9" s="296"/>
      <c r="B9" s="11" t="s">
        <v>63</v>
      </c>
      <c r="C9" s="12">
        <v>26.763999999999999</v>
      </c>
      <c r="D9" s="12">
        <v>31.254999999999999</v>
      </c>
      <c r="E9" s="12">
        <v>35.56</v>
      </c>
      <c r="F9" s="12">
        <v>38.966000000000001</v>
      </c>
      <c r="G9" s="12">
        <v>41.158999999999999</v>
      </c>
      <c r="H9" s="12">
        <v>41.924999999999997</v>
      </c>
      <c r="I9" s="12">
        <v>42.116999999999997</v>
      </c>
      <c r="J9" s="12">
        <v>42.323</v>
      </c>
      <c r="K9" s="12">
        <v>42.585000000000001</v>
      </c>
      <c r="L9" s="12">
        <v>42.898000000000003</v>
      </c>
      <c r="M9" s="12">
        <v>44.365000000000002</v>
      </c>
      <c r="N9" s="12">
        <v>2.7090000000000001</v>
      </c>
      <c r="O9" s="12">
        <v>6.53</v>
      </c>
      <c r="P9" s="10"/>
      <c r="Q9" s="10">
        <f t="shared" ref="Q9:Q21" si="4">O9+M9-C9</f>
        <v>24.131000000000004</v>
      </c>
      <c r="T9" s="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</row>
    <row r="10" spans="1:32">
      <c r="A10" s="288">
        <v>4</v>
      </c>
      <c r="B10" s="11" t="s">
        <v>235</v>
      </c>
      <c r="C10" s="12">
        <v>87.346999999999994</v>
      </c>
      <c r="D10" s="12">
        <v>94.292000000000002</v>
      </c>
      <c r="E10" s="12">
        <v>100.373</v>
      </c>
      <c r="F10" s="12">
        <v>108.31100000000001</v>
      </c>
      <c r="G10" s="12">
        <v>108.345</v>
      </c>
      <c r="H10" s="12">
        <v>111.922</v>
      </c>
      <c r="I10" s="12">
        <v>116.917</v>
      </c>
      <c r="J10" s="12">
        <v>119.67400000000001</v>
      </c>
      <c r="K10" s="12">
        <v>125.285</v>
      </c>
      <c r="L10" s="12">
        <v>130.50299999999999</v>
      </c>
      <c r="M10" s="12">
        <v>136.102</v>
      </c>
      <c r="N10" s="12">
        <v>140.904</v>
      </c>
      <c r="O10" s="12">
        <v>146.76900000000001</v>
      </c>
      <c r="P10" s="10">
        <f>O10-C10</f>
        <v>59.422000000000011</v>
      </c>
      <c r="T10" s="1">
        <v>4</v>
      </c>
      <c r="U10" s="202">
        <f t="shared" ref="U10:AF10" si="5">D10-C10</f>
        <v>6.9450000000000074</v>
      </c>
      <c r="V10" s="202">
        <f t="shared" si="5"/>
        <v>6.0810000000000031</v>
      </c>
      <c r="W10" s="202">
        <f t="shared" si="5"/>
        <v>7.9380000000000024</v>
      </c>
      <c r="X10" s="202">
        <f t="shared" si="5"/>
        <v>3.3999999999991815E-2</v>
      </c>
      <c r="Y10" s="202">
        <f t="shared" si="5"/>
        <v>3.5769999999999982</v>
      </c>
      <c r="Z10" s="202">
        <f t="shared" si="5"/>
        <v>4.9950000000000045</v>
      </c>
      <c r="AA10" s="202">
        <f t="shared" si="5"/>
        <v>2.757000000000005</v>
      </c>
      <c r="AB10" s="202">
        <f t="shared" si="5"/>
        <v>5.61099999999999</v>
      </c>
      <c r="AC10" s="202">
        <f t="shared" si="5"/>
        <v>5.2179999999999893</v>
      </c>
      <c r="AD10" s="202">
        <f t="shared" si="5"/>
        <v>5.599000000000018</v>
      </c>
      <c r="AE10" s="202">
        <f t="shared" si="5"/>
        <v>4.8019999999999925</v>
      </c>
      <c r="AF10" s="202">
        <f t="shared" si="5"/>
        <v>5.8650000000000091</v>
      </c>
    </row>
    <row r="11" spans="1:32">
      <c r="A11" s="288"/>
      <c r="B11" s="11" t="s">
        <v>64</v>
      </c>
      <c r="C11" s="12">
        <v>53.180999999999997</v>
      </c>
      <c r="D11" s="12">
        <v>56.515000000000001</v>
      </c>
      <c r="E11" s="12">
        <v>59.625999999999998</v>
      </c>
      <c r="F11" s="12">
        <v>61.731999999999999</v>
      </c>
      <c r="G11" s="12">
        <v>61.78</v>
      </c>
      <c r="H11" s="12">
        <v>62.009</v>
      </c>
      <c r="I11" s="12">
        <v>62.276000000000003</v>
      </c>
      <c r="J11" s="12">
        <v>62.399000000000001</v>
      </c>
      <c r="K11" s="12">
        <v>62.639000000000003</v>
      </c>
      <c r="L11" s="12">
        <v>63</v>
      </c>
      <c r="M11" s="12">
        <v>63.784999999999997</v>
      </c>
      <c r="N11" s="12">
        <v>1.663</v>
      </c>
      <c r="O11" s="12">
        <v>3.3879999999999999</v>
      </c>
      <c r="P11" s="10"/>
      <c r="Q11" s="10">
        <f t="shared" ref="Q11:Q21" si="6">O11+M11-C11</f>
        <v>13.992000000000004</v>
      </c>
      <c r="T11" s="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</row>
    <row r="12" spans="1:32">
      <c r="A12" s="288">
        <v>5</v>
      </c>
      <c r="B12" s="11" t="s">
        <v>236</v>
      </c>
      <c r="C12" s="12">
        <v>129.352</v>
      </c>
      <c r="D12" s="12">
        <v>138.89099999999999</v>
      </c>
      <c r="E12" s="12">
        <v>146.33600000000001</v>
      </c>
      <c r="F12" s="12">
        <v>154.096</v>
      </c>
      <c r="G12" s="12">
        <v>162.636</v>
      </c>
      <c r="H12" s="12">
        <v>170.83</v>
      </c>
      <c r="I12" s="12">
        <v>179.15899999999999</v>
      </c>
      <c r="J12" s="12">
        <v>187.25800000000001</v>
      </c>
      <c r="K12" s="12">
        <v>195.17500000000001</v>
      </c>
      <c r="L12" s="12">
        <v>202.595</v>
      </c>
      <c r="M12" s="12">
        <v>210.84399999999999</v>
      </c>
      <c r="N12" s="12">
        <v>218.33099999999999</v>
      </c>
      <c r="O12" s="12">
        <v>226.91399999999999</v>
      </c>
      <c r="P12" s="10">
        <f>O12-C12</f>
        <v>97.561999999999983</v>
      </c>
      <c r="T12" s="1">
        <v>5</v>
      </c>
      <c r="U12" s="202">
        <f t="shared" ref="U12:AF12" si="7">D12-C12</f>
        <v>9.5389999999999873</v>
      </c>
      <c r="V12" s="202">
        <f t="shared" si="7"/>
        <v>7.4450000000000216</v>
      </c>
      <c r="W12" s="202">
        <f t="shared" si="7"/>
        <v>7.7599999999999909</v>
      </c>
      <c r="X12" s="202">
        <f t="shared" si="7"/>
        <v>8.539999999999992</v>
      </c>
      <c r="Y12" s="202">
        <f t="shared" si="7"/>
        <v>8.1940000000000168</v>
      </c>
      <c r="Z12" s="202">
        <f t="shared" si="7"/>
        <v>8.3289999999999793</v>
      </c>
      <c r="AA12" s="202">
        <f t="shared" si="7"/>
        <v>8.099000000000018</v>
      </c>
      <c r="AB12" s="202">
        <f t="shared" si="7"/>
        <v>7.9170000000000016</v>
      </c>
      <c r="AC12" s="202">
        <f t="shared" si="7"/>
        <v>7.4199999999999875</v>
      </c>
      <c r="AD12" s="202">
        <f t="shared" si="7"/>
        <v>8.2489999999999952</v>
      </c>
      <c r="AE12" s="202">
        <f t="shared" si="7"/>
        <v>7.4869999999999948</v>
      </c>
      <c r="AF12" s="202">
        <f t="shared" si="7"/>
        <v>8.5829999999999984</v>
      </c>
    </row>
    <row r="13" spans="1:32">
      <c r="A13" s="288"/>
      <c r="B13" s="11" t="s">
        <v>65</v>
      </c>
      <c r="C13" s="12">
        <v>47.353999999999999</v>
      </c>
      <c r="D13" s="12">
        <v>49.682000000000002</v>
      </c>
      <c r="E13" s="12">
        <v>51.606999999999999</v>
      </c>
      <c r="F13" s="12">
        <v>53.192999999999998</v>
      </c>
      <c r="G13" s="12">
        <v>54.326999999999998</v>
      </c>
      <c r="H13" s="12">
        <v>54.921999999999997</v>
      </c>
      <c r="I13" s="12">
        <v>55.247</v>
      </c>
      <c r="J13" s="12">
        <v>55.539000000000001</v>
      </c>
      <c r="K13" s="12">
        <v>55.838999999999999</v>
      </c>
      <c r="L13" s="12">
        <v>56.212000000000003</v>
      </c>
      <c r="M13" s="12">
        <v>57.073999999999998</v>
      </c>
      <c r="N13" s="12">
        <v>1.4550000000000001</v>
      </c>
      <c r="O13" s="12">
        <v>3.1869999999999998</v>
      </c>
      <c r="P13" s="10"/>
      <c r="Q13" s="10">
        <f t="shared" ref="Q13:Q21" si="8">O13+M13-C13</f>
        <v>12.906999999999996</v>
      </c>
      <c r="T13" s="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</row>
    <row r="14" spans="1:32">
      <c r="A14" s="288">
        <v>6</v>
      </c>
      <c r="B14" s="11" t="s">
        <v>237</v>
      </c>
      <c r="C14" s="12">
        <v>70.471999999999994</v>
      </c>
      <c r="D14" s="12">
        <v>76.081999999999994</v>
      </c>
      <c r="E14" s="12">
        <v>80.361000000000004</v>
      </c>
      <c r="F14" s="12">
        <v>85.260999999999996</v>
      </c>
      <c r="G14" s="12">
        <v>89.974999999999994</v>
      </c>
      <c r="H14" s="12">
        <v>95.403999999999996</v>
      </c>
      <c r="I14" s="12">
        <v>98.632000000000005</v>
      </c>
      <c r="J14" s="12">
        <v>103.69799999999999</v>
      </c>
      <c r="K14" s="12">
        <v>107.937</v>
      </c>
      <c r="L14" s="12">
        <v>112.042</v>
      </c>
      <c r="M14" s="12">
        <v>117.07299999999999</v>
      </c>
      <c r="N14" s="12">
        <v>121.721</v>
      </c>
      <c r="O14" s="12">
        <v>126.23699999999999</v>
      </c>
      <c r="P14" s="10">
        <f>O14-C14</f>
        <v>55.765000000000001</v>
      </c>
      <c r="T14" s="1">
        <v>6</v>
      </c>
      <c r="U14" s="202">
        <f t="shared" ref="U14:AF14" si="9">D14-C14</f>
        <v>5.6099999999999994</v>
      </c>
      <c r="V14" s="202">
        <f t="shared" si="9"/>
        <v>4.2790000000000106</v>
      </c>
      <c r="W14" s="202">
        <f t="shared" si="9"/>
        <v>4.8999999999999915</v>
      </c>
      <c r="X14" s="202">
        <f t="shared" si="9"/>
        <v>4.7139999999999986</v>
      </c>
      <c r="Y14" s="202">
        <f t="shared" si="9"/>
        <v>5.429000000000002</v>
      </c>
      <c r="Z14" s="202">
        <f t="shared" si="9"/>
        <v>3.2280000000000086</v>
      </c>
      <c r="AA14" s="202">
        <f t="shared" si="9"/>
        <v>5.0659999999999883</v>
      </c>
      <c r="AB14" s="202">
        <f t="shared" si="9"/>
        <v>4.2390000000000043</v>
      </c>
      <c r="AC14" s="202">
        <f t="shared" si="9"/>
        <v>4.105000000000004</v>
      </c>
      <c r="AD14" s="202">
        <f t="shared" si="9"/>
        <v>5.0309999999999917</v>
      </c>
      <c r="AE14" s="202">
        <f t="shared" si="9"/>
        <v>4.6480000000000103</v>
      </c>
      <c r="AF14" s="202">
        <f t="shared" si="9"/>
        <v>4.5159999999999911</v>
      </c>
    </row>
    <row r="15" spans="1:32">
      <c r="A15" s="288"/>
      <c r="B15" s="11" t="s">
        <v>66</v>
      </c>
      <c r="C15" s="12">
        <v>61.158999999999999</v>
      </c>
      <c r="D15" s="12">
        <v>63.314999999999998</v>
      </c>
      <c r="E15" s="12">
        <v>65.272999999999996</v>
      </c>
      <c r="F15" s="12">
        <v>66.837000000000003</v>
      </c>
      <c r="G15" s="12">
        <v>67.698999999999998</v>
      </c>
      <c r="H15" s="12">
        <v>68.052000000000007</v>
      </c>
      <c r="I15" s="12">
        <v>68.129000000000005</v>
      </c>
      <c r="J15" s="12">
        <v>68.218999999999994</v>
      </c>
      <c r="K15" s="12">
        <v>68.313000000000002</v>
      </c>
      <c r="L15" s="12">
        <v>68.415000000000006</v>
      </c>
      <c r="M15" s="12">
        <v>69.275000000000006</v>
      </c>
      <c r="N15" s="12">
        <v>2.4910000000000001</v>
      </c>
      <c r="O15" s="12">
        <v>5.6420000000000003</v>
      </c>
      <c r="P15" s="10"/>
      <c r="Q15" s="10">
        <f t="shared" ref="Q15:Q21" si="10">O15+M15-C15</f>
        <v>13.758000000000003</v>
      </c>
      <c r="T15" s="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</row>
    <row r="16" spans="1:32">
      <c r="A16" s="288">
        <v>7</v>
      </c>
      <c r="B16" s="11" t="s">
        <v>238</v>
      </c>
      <c r="C16" s="12">
        <v>153.77600000000001</v>
      </c>
      <c r="D16" s="12">
        <v>165.57</v>
      </c>
      <c r="E16" s="12">
        <v>176.52799999999999</v>
      </c>
      <c r="F16" s="12">
        <v>188.613</v>
      </c>
      <c r="G16" s="12">
        <v>199.702</v>
      </c>
      <c r="H16" s="12">
        <v>211.68799999999999</v>
      </c>
      <c r="I16" s="12">
        <v>221.08500000000001</v>
      </c>
      <c r="J16" s="12">
        <v>228.75700000000001</v>
      </c>
      <c r="K16" s="12">
        <v>238.38</v>
      </c>
      <c r="L16" s="12">
        <v>249.268</v>
      </c>
      <c r="M16" s="12">
        <v>262.98</v>
      </c>
      <c r="N16" s="12">
        <v>275.76</v>
      </c>
      <c r="O16" s="12">
        <v>287.97000000000003</v>
      </c>
      <c r="P16" s="10">
        <f>O16-C16</f>
        <v>134.19400000000002</v>
      </c>
      <c r="T16" s="1">
        <v>7</v>
      </c>
      <c r="U16" s="202">
        <f t="shared" ref="U16:AF16" si="11">D16-C16</f>
        <v>11.793999999999983</v>
      </c>
      <c r="V16" s="202">
        <f t="shared" si="11"/>
        <v>10.957999999999998</v>
      </c>
      <c r="W16" s="202">
        <f t="shared" si="11"/>
        <v>12.085000000000008</v>
      </c>
      <c r="X16" s="202">
        <f t="shared" si="11"/>
        <v>11.088999999999999</v>
      </c>
      <c r="Y16" s="202">
        <f t="shared" si="11"/>
        <v>11.98599999999999</v>
      </c>
      <c r="Z16" s="202">
        <f t="shared" si="11"/>
        <v>9.3970000000000198</v>
      </c>
      <c r="AA16" s="202">
        <f t="shared" si="11"/>
        <v>7.671999999999997</v>
      </c>
      <c r="AB16" s="202">
        <f t="shared" si="11"/>
        <v>9.6229999999999905</v>
      </c>
      <c r="AC16" s="202">
        <f t="shared" si="11"/>
        <v>10.888000000000005</v>
      </c>
      <c r="AD16" s="202">
        <f t="shared" si="11"/>
        <v>13.712000000000018</v>
      </c>
      <c r="AE16" s="202">
        <f t="shared" si="11"/>
        <v>12.779999999999973</v>
      </c>
      <c r="AF16" s="202">
        <f t="shared" si="11"/>
        <v>12.210000000000036</v>
      </c>
    </row>
    <row r="17" spans="1:32">
      <c r="A17" s="288"/>
      <c r="B17" s="11" t="s">
        <v>67</v>
      </c>
      <c r="C17" s="12">
        <v>65.016000000000005</v>
      </c>
      <c r="D17" s="12">
        <v>69.918999999999997</v>
      </c>
      <c r="E17" s="12">
        <v>73.881</v>
      </c>
      <c r="F17" s="12">
        <v>77.087000000000003</v>
      </c>
      <c r="G17" s="12">
        <v>79.644000000000005</v>
      </c>
      <c r="H17" s="12">
        <v>81.212999999999994</v>
      </c>
      <c r="I17" s="12">
        <v>81.8</v>
      </c>
      <c r="J17" s="12">
        <v>82.25</v>
      </c>
      <c r="K17" s="12">
        <v>82.84</v>
      </c>
      <c r="L17" s="12">
        <v>83.638999999999996</v>
      </c>
      <c r="M17" s="12">
        <v>86.055000000000007</v>
      </c>
      <c r="N17" s="12">
        <v>4.1440000000000001</v>
      </c>
      <c r="O17" s="12">
        <v>8.7270000000000003</v>
      </c>
      <c r="P17" s="10"/>
      <c r="Q17" s="10">
        <f t="shared" ref="Q17:Q21" si="12">O17+M17-C17</f>
        <v>29.766000000000005</v>
      </c>
      <c r="T17" s="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</row>
    <row r="18" spans="1:32">
      <c r="A18" s="288">
        <v>8</v>
      </c>
      <c r="B18" s="11" t="s">
        <v>239</v>
      </c>
      <c r="C18" s="12">
        <v>100.621</v>
      </c>
      <c r="D18" s="12">
        <v>109.833</v>
      </c>
      <c r="E18" s="12">
        <v>116.94499999999999</v>
      </c>
      <c r="F18" s="12">
        <v>124.578</v>
      </c>
      <c r="G18" s="12">
        <v>132.565</v>
      </c>
      <c r="H18" s="12">
        <v>139.81899999999999</v>
      </c>
      <c r="I18" s="12">
        <v>146.52699999999999</v>
      </c>
      <c r="J18" s="12">
        <v>152.428</v>
      </c>
      <c r="K18" s="12">
        <v>157.72200000000001</v>
      </c>
      <c r="L18" s="12">
        <v>163.68899999999999</v>
      </c>
      <c r="M18" s="12">
        <v>170.613</v>
      </c>
      <c r="N18" s="12">
        <v>176.929</v>
      </c>
      <c r="O18" s="12">
        <v>184.43700000000001</v>
      </c>
      <c r="P18" s="10">
        <f>O18-C18</f>
        <v>83.816000000000017</v>
      </c>
      <c r="T18" s="1">
        <v>8</v>
      </c>
      <c r="U18" s="202">
        <f t="shared" ref="U18:AF18" si="13">D18-C18</f>
        <v>9.2120000000000033</v>
      </c>
      <c r="V18" s="202">
        <f t="shared" si="13"/>
        <v>7.1119999999999948</v>
      </c>
      <c r="W18" s="202">
        <f t="shared" si="13"/>
        <v>7.6330000000000098</v>
      </c>
      <c r="X18" s="202">
        <f t="shared" si="13"/>
        <v>7.9869999999999948</v>
      </c>
      <c r="Y18" s="202">
        <f t="shared" si="13"/>
        <v>7.2539999999999907</v>
      </c>
      <c r="Z18" s="202">
        <f t="shared" si="13"/>
        <v>6.7079999999999984</v>
      </c>
      <c r="AA18" s="202">
        <f t="shared" si="13"/>
        <v>5.9010000000000105</v>
      </c>
      <c r="AB18" s="202">
        <f t="shared" si="13"/>
        <v>5.2940000000000111</v>
      </c>
      <c r="AC18" s="202">
        <f t="shared" si="13"/>
        <v>5.9669999999999845</v>
      </c>
      <c r="AD18" s="202">
        <f t="shared" si="13"/>
        <v>6.9240000000000066</v>
      </c>
      <c r="AE18" s="202">
        <f t="shared" si="13"/>
        <v>6.3160000000000025</v>
      </c>
      <c r="AF18" s="202">
        <f t="shared" si="13"/>
        <v>7.5080000000000098</v>
      </c>
    </row>
    <row r="19" spans="1:32">
      <c r="A19" s="288"/>
      <c r="B19" s="11" t="s">
        <v>68</v>
      </c>
      <c r="C19" s="12">
        <v>51.585000000000001</v>
      </c>
      <c r="D19" s="12">
        <v>56.377000000000002</v>
      </c>
      <c r="E19" s="12">
        <v>60.377000000000002</v>
      </c>
      <c r="F19" s="12">
        <v>63.328000000000003</v>
      </c>
      <c r="G19" s="12">
        <v>65.052000000000007</v>
      </c>
      <c r="H19" s="12">
        <v>65.661000000000001</v>
      </c>
      <c r="I19" s="12">
        <v>65.959999999999994</v>
      </c>
      <c r="J19" s="12">
        <v>66.222999999999999</v>
      </c>
      <c r="K19" s="12">
        <v>66.546999999999997</v>
      </c>
      <c r="L19" s="12">
        <v>66.872</v>
      </c>
      <c r="M19" s="12">
        <v>68.135999999999996</v>
      </c>
      <c r="N19" s="12">
        <v>3.331</v>
      </c>
      <c r="O19" s="12">
        <v>6.7679999999999998</v>
      </c>
      <c r="P19" s="10"/>
      <c r="Q19" s="10">
        <f t="shared" ref="Q19:Q21" si="14">O19+M19-C19</f>
        <v>23.318999999999996</v>
      </c>
      <c r="T19" s="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</row>
    <row r="20" spans="1:32">
      <c r="A20" s="288">
        <v>9</v>
      </c>
      <c r="B20" s="11" t="s">
        <v>240</v>
      </c>
      <c r="C20" s="12">
        <v>56.466999999999999</v>
      </c>
      <c r="D20" s="12">
        <v>60.734000000000002</v>
      </c>
      <c r="E20" s="12">
        <v>64.62</v>
      </c>
      <c r="F20" s="12">
        <v>68.852000000000004</v>
      </c>
      <c r="G20" s="12">
        <v>72.319000000000003</v>
      </c>
      <c r="H20" s="12">
        <v>76.582999999999998</v>
      </c>
      <c r="I20" s="12">
        <v>80.778999999999996</v>
      </c>
      <c r="J20" s="12">
        <v>84.337999999999994</v>
      </c>
      <c r="K20" s="12">
        <v>88.07</v>
      </c>
      <c r="L20" s="12">
        <v>91.677000000000007</v>
      </c>
      <c r="M20" s="12">
        <v>95.506</v>
      </c>
      <c r="N20" s="12">
        <v>99.525000000000006</v>
      </c>
      <c r="O20" s="12">
        <v>103.43600000000001</v>
      </c>
      <c r="P20" s="10">
        <f>O20-C20</f>
        <v>46.969000000000008</v>
      </c>
      <c r="T20" s="1">
        <v>9</v>
      </c>
      <c r="U20" s="202">
        <f t="shared" ref="U20:AF20" si="15">D20-C20</f>
        <v>4.267000000000003</v>
      </c>
      <c r="V20" s="202">
        <f t="shared" si="15"/>
        <v>3.8860000000000028</v>
      </c>
      <c r="W20" s="202">
        <f t="shared" si="15"/>
        <v>4.2319999999999993</v>
      </c>
      <c r="X20" s="202">
        <f t="shared" si="15"/>
        <v>3.4669999999999987</v>
      </c>
      <c r="Y20" s="202">
        <f t="shared" si="15"/>
        <v>4.2639999999999958</v>
      </c>
      <c r="Z20" s="202">
        <f t="shared" si="15"/>
        <v>4.195999999999998</v>
      </c>
      <c r="AA20" s="202">
        <f t="shared" si="15"/>
        <v>3.5589999999999975</v>
      </c>
      <c r="AB20" s="202">
        <f t="shared" si="15"/>
        <v>3.7319999999999993</v>
      </c>
      <c r="AC20" s="202">
        <f t="shared" si="15"/>
        <v>3.6070000000000135</v>
      </c>
      <c r="AD20" s="202">
        <f t="shared" si="15"/>
        <v>3.8289999999999935</v>
      </c>
      <c r="AE20" s="202">
        <f t="shared" si="15"/>
        <v>4.0190000000000055</v>
      </c>
      <c r="AF20" s="202">
        <f t="shared" si="15"/>
        <v>3.9110000000000014</v>
      </c>
    </row>
    <row r="21" spans="1:32">
      <c r="A21" s="288"/>
      <c r="B21" s="11" t="s">
        <v>69</v>
      </c>
      <c r="C21" s="12">
        <v>72.236999999999995</v>
      </c>
      <c r="D21" s="12">
        <v>76.582999999999998</v>
      </c>
      <c r="E21" s="12">
        <v>79.712999999999994</v>
      </c>
      <c r="F21" s="12">
        <v>82.198999999999998</v>
      </c>
      <c r="G21" s="12">
        <v>83.504000000000005</v>
      </c>
      <c r="H21" s="12">
        <v>84.087999999999994</v>
      </c>
      <c r="I21" s="12">
        <v>84.429000000000002</v>
      </c>
      <c r="J21" s="12">
        <v>84.721000000000004</v>
      </c>
      <c r="K21" s="12">
        <v>85.034999999999997</v>
      </c>
      <c r="L21" s="12">
        <v>85.367000000000004</v>
      </c>
      <c r="M21" s="12">
        <v>86.295000000000002</v>
      </c>
      <c r="N21" s="12">
        <v>2.6589999999999998</v>
      </c>
      <c r="O21" s="12">
        <v>6.7709999999999999</v>
      </c>
      <c r="P21" s="10"/>
      <c r="Q21" s="10">
        <f t="shared" ref="Q21" si="16">O21+M21-C21</f>
        <v>20.829000000000008</v>
      </c>
      <c r="T21" s="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</row>
    <row r="22" spans="1:32">
      <c r="A22" s="288">
        <v>10</v>
      </c>
      <c r="B22" s="11" t="s">
        <v>241</v>
      </c>
      <c r="C22" s="12">
        <v>76.906999999999996</v>
      </c>
      <c r="D22" s="12">
        <v>83.498000000000005</v>
      </c>
      <c r="E22" s="12">
        <v>89.534000000000006</v>
      </c>
      <c r="F22" s="12">
        <v>95.227999999999994</v>
      </c>
      <c r="G22" s="12">
        <v>99.578999999999994</v>
      </c>
      <c r="H22" s="12">
        <v>103.456</v>
      </c>
      <c r="I22" s="12">
        <v>107.55500000000001</v>
      </c>
      <c r="J22" s="12">
        <v>112.803</v>
      </c>
      <c r="K22" s="12">
        <v>116.072</v>
      </c>
      <c r="L22" s="12">
        <v>119.57</v>
      </c>
      <c r="M22" s="12">
        <v>123.563</v>
      </c>
      <c r="N22" s="12">
        <v>126.08</v>
      </c>
      <c r="O22" s="12">
        <v>129.32400000000001</v>
      </c>
      <c r="P22" s="10">
        <f>O22-C22</f>
        <v>52.417000000000016</v>
      </c>
      <c r="T22" s="1">
        <v>10</v>
      </c>
      <c r="U22" s="202">
        <f t="shared" ref="U22:AF22" si="17">D22-C22</f>
        <v>6.5910000000000082</v>
      </c>
      <c r="V22" s="202">
        <f t="shared" si="17"/>
        <v>6.0360000000000014</v>
      </c>
      <c r="W22" s="202">
        <f t="shared" si="17"/>
        <v>5.6939999999999884</v>
      </c>
      <c r="X22" s="202">
        <f t="shared" si="17"/>
        <v>4.3509999999999991</v>
      </c>
      <c r="Y22" s="202">
        <f t="shared" si="17"/>
        <v>3.8770000000000095</v>
      </c>
      <c r="Z22" s="202">
        <f t="shared" si="17"/>
        <v>4.0990000000000038</v>
      </c>
      <c r="AA22" s="202">
        <f t="shared" si="17"/>
        <v>5.2479999999999905</v>
      </c>
      <c r="AB22" s="202">
        <f t="shared" si="17"/>
        <v>3.2690000000000055</v>
      </c>
      <c r="AC22" s="202">
        <f t="shared" si="17"/>
        <v>3.4979999999999905</v>
      </c>
      <c r="AD22" s="202">
        <f t="shared" si="17"/>
        <v>3.9930000000000092</v>
      </c>
      <c r="AE22" s="202">
        <f t="shared" si="17"/>
        <v>2.5169999999999959</v>
      </c>
      <c r="AF22" s="202">
        <f t="shared" si="17"/>
        <v>3.244000000000014</v>
      </c>
    </row>
    <row r="23" spans="1:32">
      <c r="A23" s="288"/>
      <c r="B23" s="11" t="s">
        <v>70</v>
      </c>
      <c r="C23" s="12">
        <v>74.498000000000005</v>
      </c>
      <c r="D23" s="12">
        <v>78.33</v>
      </c>
      <c r="E23" s="12">
        <v>81.408000000000001</v>
      </c>
      <c r="F23" s="12">
        <v>83.831999999999994</v>
      </c>
      <c r="G23" s="12">
        <v>85.174000000000007</v>
      </c>
      <c r="H23" s="12">
        <v>85.694999999999993</v>
      </c>
      <c r="I23" s="12">
        <v>85.804000000000002</v>
      </c>
      <c r="J23" s="12">
        <v>85.953000000000003</v>
      </c>
      <c r="K23" s="12">
        <v>86.039000000000001</v>
      </c>
      <c r="L23" s="12">
        <v>86.147000000000006</v>
      </c>
      <c r="M23" s="12">
        <v>87.257000000000005</v>
      </c>
      <c r="N23" s="12">
        <v>2.8980000000000001</v>
      </c>
      <c r="O23" s="12">
        <v>7.3570000000000002</v>
      </c>
      <c r="P23" s="15"/>
      <c r="Q23" s="136">
        <f>O23+M23-C23</f>
        <v>20.116</v>
      </c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</row>
    <row r="24" spans="1:32">
      <c r="A24" s="163"/>
      <c r="B24" s="11" t="s">
        <v>366</v>
      </c>
      <c r="C24" s="16">
        <v>1993</v>
      </c>
      <c r="D24" s="16">
        <v>2177</v>
      </c>
      <c r="E24" s="16">
        <v>2343</v>
      </c>
      <c r="F24" s="16">
        <v>2552</v>
      </c>
      <c r="G24" s="16">
        <v>2727</v>
      </c>
      <c r="H24" s="16">
        <v>2922</v>
      </c>
      <c r="I24" s="16">
        <v>3122</v>
      </c>
      <c r="J24" s="16">
        <v>3295</v>
      </c>
      <c r="K24" s="16">
        <v>3480</v>
      </c>
      <c r="L24" s="16">
        <v>3646</v>
      </c>
      <c r="M24" s="16">
        <v>3827</v>
      </c>
      <c r="N24" s="16">
        <v>4003</v>
      </c>
      <c r="O24" s="16">
        <v>4181</v>
      </c>
      <c r="P24" s="10">
        <f>SUM(P4:P23)</f>
        <v>855.21300000000008</v>
      </c>
      <c r="Q24" s="10">
        <f>SUM(Q4:Q23)</f>
        <v>206.18900000000002</v>
      </c>
      <c r="R24" s="33">
        <f>O24-C24</f>
        <v>2188</v>
      </c>
    </row>
    <row r="25" spans="1:32">
      <c r="A25" s="163" t="s">
        <v>25</v>
      </c>
      <c r="B25" s="11" t="s">
        <v>367</v>
      </c>
      <c r="C25" s="16">
        <v>2654</v>
      </c>
      <c r="D25" s="16">
        <v>3101</v>
      </c>
      <c r="E25" s="16">
        <v>3442</v>
      </c>
      <c r="F25" s="16">
        <v>3764</v>
      </c>
      <c r="G25" s="16">
        <v>4047</v>
      </c>
      <c r="H25" s="16">
        <v>4312</v>
      </c>
      <c r="I25" s="16">
        <v>4551</v>
      </c>
      <c r="J25" s="16">
        <v>4791</v>
      </c>
      <c r="K25" s="16">
        <v>5066</v>
      </c>
      <c r="L25" s="16">
        <v>5356</v>
      </c>
      <c r="M25" s="16">
        <v>5702</v>
      </c>
      <c r="N25" s="16">
        <v>6093</v>
      </c>
      <c r="O25" s="16">
        <v>6580</v>
      </c>
      <c r="R25" s="33">
        <f>O25-C25</f>
        <v>3926</v>
      </c>
      <c r="T25" s="1" t="s">
        <v>310</v>
      </c>
      <c r="U25" s="158">
        <f t="shared" ref="U25:AF25" si="18">D26-C26</f>
        <v>0</v>
      </c>
      <c r="V25" s="158">
        <f t="shared" si="18"/>
        <v>0</v>
      </c>
      <c r="W25" s="158">
        <f t="shared" si="18"/>
        <v>0</v>
      </c>
      <c r="X25" s="158">
        <f t="shared" si="18"/>
        <v>4.9999999999954525E-3</v>
      </c>
      <c r="Y25" s="158">
        <f t="shared" si="18"/>
        <v>6.6949999999999932</v>
      </c>
      <c r="Z25" s="158">
        <f t="shared" si="18"/>
        <v>31.899000000000001</v>
      </c>
      <c r="AA25" s="158">
        <f t="shared" si="18"/>
        <v>24.052000000000021</v>
      </c>
      <c r="AB25" s="158">
        <f t="shared" si="18"/>
        <v>14.407999999999959</v>
      </c>
      <c r="AC25" s="158">
        <f t="shared" si="18"/>
        <v>9.1280000000000427</v>
      </c>
      <c r="AD25" s="158">
        <f t="shared" si="18"/>
        <v>5.4889999999999759</v>
      </c>
      <c r="AE25" s="158">
        <f t="shared" si="18"/>
        <v>0</v>
      </c>
      <c r="AF25" s="158">
        <f t="shared" si="18"/>
        <v>0</v>
      </c>
    </row>
    <row r="26" spans="1:32">
      <c r="A26" s="163"/>
      <c r="B26" s="34" t="s">
        <v>299</v>
      </c>
      <c r="C26" s="12">
        <v>227.23500000000001</v>
      </c>
      <c r="D26" s="35">
        <v>227.23500000000001</v>
      </c>
      <c r="E26" s="12">
        <v>227.23500000000001</v>
      </c>
      <c r="F26" s="12">
        <v>227.23500000000001</v>
      </c>
      <c r="G26" s="12">
        <v>227.24</v>
      </c>
      <c r="H26" s="12">
        <v>233.935</v>
      </c>
      <c r="I26" s="12">
        <v>265.834</v>
      </c>
      <c r="J26" s="12">
        <v>289.88600000000002</v>
      </c>
      <c r="K26" s="12">
        <v>304.29399999999998</v>
      </c>
      <c r="L26" s="12">
        <v>313.42200000000003</v>
      </c>
      <c r="M26" s="12">
        <v>318.911</v>
      </c>
      <c r="N26" s="12">
        <v>318.911</v>
      </c>
      <c r="O26" s="12">
        <v>318.911</v>
      </c>
      <c r="P26" s="10">
        <f>O26-C26</f>
        <v>91.675999999999988</v>
      </c>
      <c r="Q26" s="340">
        <f>ROUND(P26,0)</f>
        <v>92</v>
      </c>
      <c r="R26" s="341" t="s">
        <v>382</v>
      </c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</row>
    <row r="27" spans="1:32">
      <c r="A27" s="163"/>
      <c r="B27" s="11" t="s">
        <v>242</v>
      </c>
      <c r="C27" s="21">
        <v>1315</v>
      </c>
      <c r="D27" s="21">
        <v>1403.9</v>
      </c>
      <c r="E27" s="21">
        <v>1484.5</v>
      </c>
      <c r="F27" s="21">
        <v>1570.9</v>
      </c>
      <c r="G27" s="21">
        <v>1645.5</v>
      </c>
      <c r="H27" s="21">
        <v>1729.5</v>
      </c>
      <c r="I27" s="21">
        <v>1834.9</v>
      </c>
      <c r="J27" s="21">
        <v>1930.6</v>
      </c>
      <c r="K27" s="21">
        <v>2020.8</v>
      </c>
      <c r="L27" s="21">
        <v>2101.1999999999998</v>
      </c>
      <c r="M27" s="21">
        <v>2188.3000000000002</v>
      </c>
      <c r="N27" s="21">
        <v>2263.9</v>
      </c>
      <c r="O27" s="21">
        <v>2345.1999999999998</v>
      </c>
      <c r="P27" s="10">
        <f>O27-C27</f>
        <v>1030.1999999999998</v>
      </c>
      <c r="Q27" s="340">
        <f>P27-Q26</f>
        <v>938.19999999999982</v>
      </c>
      <c r="R27" s="341" t="s">
        <v>383</v>
      </c>
    </row>
    <row r="28" spans="1:32">
      <c r="A28" s="163"/>
      <c r="B28" s="11" t="s">
        <v>71</v>
      </c>
      <c r="C28" s="22">
        <v>86.8</v>
      </c>
      <c r="D28" s="22">
        <v>98.56</v>
      </c>
      <c r="E28" s="22">
        <v>108.85</v>
      </c>
      <c r="F28" s="22">
        <v>117.21</v>
      </c>
      <c r="G28" s="22">
        <v>122.54</v>
      </c>
      <c r="H28" s="22">
        <v>125.79</v>
      </c>
      <c r="I28" s="22">
        <v>127.8</v>
      </c>
      <c r="J28" s="23">
        <v>129.66999999999999</v>
      </c>
      <c r="K28" s="23">
        <v>131.61000000000001</v>
      </c>
      <c r="L28" s="22">
        <v>133.51</v>
      </c>
      <c r="M28" s="22">
        <v>137.6</v>
      </c>
      <c r="N28" s="22">
        <v>145.30000000000001</v>
      </c>
      <c r="O28" s="22">
        <v>155.36000000000001</v>
      </c>
      <c r="Q28" s="10">
        <f>(O28-C28)*3.6</f>
        <v>246.81600000000006</v>
      </c>
      <c r="R28" t="s">
        <v>165</v>
      </c>
    </row>
    <row r="29" spans="1:32" ht="15.75" thickBot="1">
      <c r="A29" s="162"/>
      <c r="B29" s="31" t="s">
        <v>72</v>
      </c>
      <c r="C29" s="36">
        <v>7965</v>
      </c>
      <c r="D29" s="36">
        <v>8353</v>
      </c>
      <c r="E29" s="36">
        <v>8727</v>
      </c>
      <c r="F29" s="36">
        <v>9078</v>
      </c>
      <c r="G29" s="36">
        <v>9380</v>
      </c>
      <c r="H29" s="36">
        <v>9715</v>
      </c>
      <c r="I29" s="36">
        <v>10051</v>
      </c>
      <c r="J29" s="36">
        <v>10392</v>
      </c>
      <c r="K29" s="36">
        <v>10934</v>
      </c>
      <c r="L29" s="36">
        <v>11114</v>
      </c>
      <c r="M29" s="36">
        <v>11279</v>
      </c>
      <c r="N29" s="36">
        <v>11484</v>
      </c>
      <c r="O29" s="36">
        <v>11759</v>
      </c>
      <c r="Q29" s="19">
        <f>O29-C29</f>
        <v>3794</v>
      </c>
      <c r="R29" t="s">
        <v>166</v>
      </c>
    </row>
    <row r="30" spans="1:32" ht="15.75" thickBot="1">
      <c r="A30" s="164" t="str">
        <f>'1850'!A29</f>
        <v>fakturační vodoměr č.         63796</v>
      </c>
      <c r="B30" s="26"/>
      <c r="C30" s="27">
        <f>'1850'!C29</f>
        <v>11988</v>
      </c>
      <c r="D30" s="27">
        <f>'1850'!D29</f>
        <v>12374.5</v>
      </c>
      <c r="E30" s="27">
        <f>'1850'!E29</f>
        <v>12733.1</v>
      </c>
      <c r="F30" s="27">
        <f>'1850'!F29</f>
        <v>13122.2</v>
      </c>
      <c r="G30" s="27">
        <f>'1850'!G29</f>
        <v>13481.9</v>
      </c>
      <c r="H30" s="27">
        <f>'1850'!H29</f>
        <v>13859.3</v>
      </c>
      <c r="I30" s="27">
        <f>'1850'!I29</f>
        <v>14237.6</v>
      </c>
      <c r="J30" s="27">
        <f>'1850'!J29</f>
        <v>14571.1</v>
      </c>
      <c r="K30" s="27">
        <f>'1850'!K29</f>
        <v>14905.5</v>
      </c>
      <c r="L30" s="27">
        <f>'1850'!L29</f>
        <v>15230.3</v>
      </c>
      <c r="M30" s="27">
        <f>'1850'!M29</f>
        <v>15608.4</v>
      </c>
      <c r="N30" s="91">
        <f>'1850'!N29</f>
        <v>15951</v>
      </c>
      <c r="O30" s="27">
        <f>'1850'!O29</f>
        <v>16304</v>
      </c>
      <c r="P30" s="10">
        <f>O30-C30</f>
        <v>4316</v>
      </c>
    </row>
    <row r="31" spans="1:32" ht="15.75" thickBot="1">
      <c r="B31" s="37"/>
    </row>
    <row r="32" spans="1:32">
      <c r="A32" s="301">
        <v>11</v>
      </c>
      <c r="B32" s="229" t="s">
        <v>315</v>
      </c>
      <c r="C32" s="230">
        <v>4.74</v>
      </c>
      <c r="D32" s="230">
        <v>5.0999999999999996</v>
      </c>
      <c r="E32" s="230">
        <v>5.3390000000000004</v>
      </c>
      <c r="F32" s="230">
        <v>5.742</v>
      </c>
      <c r="G32" s="230">
        <v>6.1210000000000004</v>
      </c>
      <c r="H32" s="230">
        <v>6.5170000000000003</v>
      </c>
      <c r="I32" s="230">
        <v>6.9489999999999998</v>
      </c>
      <c r="J32" s="230">
        <v>7.26</v>
      </c>
      <c r="K32" s="230">
        <v>7.7430000000000003</v>
      </c>
      <c r="L32" s="230">
        <v>8.1140000000000008</v>
      </c>
      <c r="M32" s="230">
        <v>8.5410000000000004</v>
      </c>
      <c r="N32" s="230">
        <v>8.9649999999999999</v>
      </c>
      <c r="O32" s="231">
        <v>9.3689999999999998</v>
      </c>
      <c r="P32" s="10">
        <f>O32-C32</f>
        <v>4.6289999999999996</v>
      </c>
      <c r="S32" t="s">
        <v>297</v>
      </c>
      <c r="T32" s="303">
        <v>11</v>
      </c>
      <c r="U32" s="158">
        <f t="shared" ref="U32:AF32" si="19">D32-C32</f>
        <v>0.35999999999999943</v>
      </c>
      <c r="V32" s="158">
        <f t="shared" si="19"/>
        <v>0.23900000000000077</v>
      </c>
      <c r="W32" s="158">
        <f t="shared" si="19"/>
        <v>0.40299999999999958</v>
      </c>
      <c r="X32" s="158">
        <f t="shared" si="19"/>
        <v>0.37900000000000045</v>
      </c>
      <c r="Y32" s="158">
        <f t="shared" si="19"/>
        <v>0.39599999999999991</v>
      </c>
      <c r="Z32" s="158">
        <f t="shared" si="19"/>
        <v>0.4319999999999995</v>
      </c>
      <c r="AA32" s="158">
        <f t="shared" si="19"/>
        <v>0.31099999999999994</v>
      </c>
      <c r="AB32" s="158">
        <f t="shared" si="19"/>
        <v>0.48300000000000054</v>
      </c>
      <c r="AC32" s="158">
        <f t="shared" si="19"/>
        <v>0.37100000000000044</v>
      </c>
      <c r="AD32" s="158">
        <f t="shared" si="19"/>
        <v>0.4269999999999996</v>
      </c>
      <c r="AE32" s="158">
        <f t="shared" si="19"/>
        <v>0.42399999999999949</v>
      </c>
      <c r="AF32" s="158">
        <f t="shared" si="19"/>
        <v>0.40399999999999991</v>
      </c>
    </row>
    <row r="33" spans="1:32" ht="15.75" thickBot="1">
      <c r="A33" s="302"/>
      <c r="B33" s="232" t="s">
        <v>316</v>
      </c>
      <c r="C33" s="233">
        <v>0.19900000000000001</v>
      </c>
      <c r="D33" s="233">
        <v>0.20599999999999999</v>
      </c>
      <c r="E33" s="233">
        <v>0.20599999999999999</v>
      </c>
      <c r="F33" s="233">
        <v>0.22900000000000001</v>
      </c>
      <c r="G33" s="233">
        <v>0.27</v>
      </c>
      <c r="H33" s="233">
        <v>0.309</v>
      </c>
      <c r="I33" s="233">
        <v>0.318</v>
      </c>
      <c r="J33" s="233">
        <v>0.32200000000000001</v>
      </c>
      <c r="K33" s="233">
        <v>0.33600000000000002</v>
      </c>
      <c r="L33" s="233">
        <v>0.35899999999999999</v>
      </c>
      <c r="M33" s="233">
        <v>0.38700000000000001</v>
      </c>
      <c r="N33" s="233">
        <v>0.56499999999999995</v>
      </c>
      <c r="O33" s="234">
        <v>0.59399999999999997</v>
      </c>
      <c r="P33" s="10">
        <f>O33-C33</f>
        <v>0.39499999999999996</v>
      </c>
      <c r="S33" t="s">
        <v>291</v>
      </c>
      <c r="T33" s="303"/>
      <c r="U33" s="158">
        <f t="shared" ref="U33:AF33" si="20">D33-C33</f>
        <v>6.9999999999999785E-3</v>
      </c>
      <c r="V33" s="158">
        <f t="shared" si="20"/>
        <v>0</v>
      </c>
      <c r="W33" s="158">
        <f t="shared" si="20"/>
        <v>2.300000000000002E-2</v>
      </c>
      <c r="X33" s="158">
        <f t="shared" si="20"/>
        <v>4.1000000000000009E-2</v>
      </c>
      <c r="Y33" s="158">
        <f t="shared" si="20"/>
        <v>3.8999999999999979E-2</v>
      </c>
      <c r="Z33" s="158">
        <f t="shared" si="20"/>
        <v>9.000000000000008E-3</v>
      </c>
      <c r="AA33" s="158">
        <f t="shared" si="20"/>
        <v>4.0000000000000036E-3</v>
      </c>
      <c r="AB33" s="158">
        <f t="shared" si="20"/>
        <v>1.4000000000000012E-2</v>
      </c>
      <c r="AC33" s="158">
        <f t="shared" si="20"/>
        <v>2.2999999999999965E-2</v>
      </c>
      <c r="AD33" s="158">
        <f t="shared" si="20"/>
        <v>2.8000000000000025E-2</v>
      </c>
      <c r="AE33" s="158">
        <f t="shared" si="20"/>
        <v>0.17799999999999994</v>
      </c>
      <c r="AF33" s="158">
        <f t="shared" si="20"/>
        <v>2.9000000000000026E-2</v>
      </c>
    </row>
    <row r="34" spans="1:32">
      <c r="K34" s="176"/>
    </row>
    <row r="35" spans="1:32">
      <c r="A35" s="166"/>
      <c r="D35" t="s">
        <v>319</v>
      </c>
      <c r="K35" s="176"/>
    </row>
    <row r="36" spans="1:32">
      <c r="A36" s="166"/>
      <c r="D36" s="291">
        <v>43956</v>
      </c>
      <c r="E36" s="103" t="s">
        <v>300</v>
      </c>
      <c r="F36" s="299"/>
      <c r="G36" s="299"/>
      <c r="H36" s="155"/>
    </row>
    <row r="37" spans="1:32">
      <c r="A37" s="166"/>
      <c r="D37" s="291"/>
      <c r="E37" s="103" t="s">
        <v>301</v>
      </c>
      <c r="F37" s="299"/>
      <c r="G37" s="299"/>
      <c r="H37" s="155"/>
    </row>
    <row r="38" spans="1:32">
      <c r="A38" s="166"/>
      <c r="D38" t="s">
        <v>318</v>
      </c>
    </row>
    <row r="39" spans="1:32">
      <c r="A39" s="166"/>
      <c r="D39" s="291">
        <v>43956</v>
      </c>
      <c r="E39" s="103" t="s">
        <v>300</v>
      </c>
      <c r="F39" s="299"/>
      <c r="G39" s="299"/>
      <c r="H39" s="155"/>
    </row>
    <row r="40" spans="1:32">
      <c r="A40" s="166"/>
      <c r="D40" s="291"/>
      <c r="E40" s="103" t="s">
        <v>301</v>
      </c>
      <c r="F40" s="299"/>
      <c r="G40" s="299"/>
      <c r="H40" s="155"/>
    </row>
  </sheetData>
  <sheetProtection selectLockedCells="1" selectUnlockedCells="1"/>
  <mergeCells count="18">
    <mergeCell ref="D39:D40"/>
    <mergeCell ref="F39:G39"/>
    <mergeCell ref="F40:G40"/>
    <mergeCell ref="A32:A33"/>
    <mergeCell ref="T32:T33"/>
    <mergeCell ref="D36:D37"/>
    <mergeCell ref="F36:G36"/>
    <mergeCell ref="F37:G37"/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E29">
    <cfRule type="cellIs" dxfId="3092" priority="101" stopIfTrue="1" operator="lessThan">
      <formula>'1853'!$D$29</formula>
    </cfRule>
    <cfRule type="cellIs" dxfId="3091" priority="102" stopIfTrue="1" operator="equal">
      <formula>'1853'!$D$29</formula>
    </cfRule>
  </conditionalFormatting>
  <conditionalFormatting sqref="D29">
    <cfRule type="cellIs" dxfId="3090" priority="103" stopIfTrue="1" operator="lessThan">
      <formula>'1853'!$C$29</formula>
    </cfRule>
    <cfRule type="cellIs" dxfId="3089" priority="104" stopIfTrue="1" operator="equal">
      <formula>'1853'!$C$29</formula>
    </cfRule>
  </conditionalFormatting>
  <conditionalFormatting sqref="I29">
    <cfRule type="cellIs" dxfId="3088" priority="106" stopIfTrue="1" operator="equal">
      <formula>'1853'!$H$29</formula>
    </cfRule>
    <cfRule type="cellIs" dxfId="3087" priority="107" stopIfTrue="1" operator="lessThan">
      <formula>'1853'!$H$29</formula>
    </cfRule>
  </conditionalFormatting>
  <conditionalFormatting sqref="J29">
    <cfRule type="cellIs" dxfId="3086" priority="108" stopIfTrue="1" operator="equal">
      <formula>'1853'!$I$29</formula>
    </cfRule>
    <cfRule type="cellIs" dxfId="3085" priority="109" stopIfTrue="1" operator="lessThan">
      <formula>'1853'!$I$29</formula>
    </cfRule>
  </conditionalFormatting>
  <conditionalFormatting sqref="H4">
    <cfRule type="cellIs" dxfId="3084" priority="110" stopIfTrue="1" operator="lessThan">
      <formula>'1853'!$G$4</formula>
    </cfRule>
    <cfRule type="cellIs" dxfId="3083" priority="111" stopIfTrue="1" operator="equal">
      <formula>'1853'!$G$4</formula>
    </cfRule>
  </conditionalFormatting>
  <conditionalFormatting sqref="G7">
    <cfRule type="cellIs" dxfId="3082" priority="112" stopIfTrue="1" operator="equal">
      <formula>'1853'!$F$7</formula>
    </cfRule>
    <cfRule type="cellIs" dxfId="3081" priority="113" stopIfTrue="1" operator="lessThan">
      <formula>'1853'!$F$7</formula>
    </cfRule>
  </conditionalFormatting>
  <conditionalFormatting sqref="H5">
    <cfRule type="cellIs" dxfId="3080" priority="114" stopIfTrue="1" operator="equal">
      <formula>'1853'!$G$5</formula>
    </cfRule>
    <cfRule type="cellIs" dxfId="3079" priority="115" stopIfTrue="1" operator="lessThan">
      <formula>'1853'!$G$5</formula>
    </cfRule>
  </conditionalFormatting>
  <conditionalFormatting sqref="I5">
    <cfRule type="cellIs" dxfId="3078" priority="116" stopIfTrue="1" operator="equal">
      <formula>'1853'!$H$5</formula>
    </cfRule>
    <cfRule type="cellIs" dxfId="3077" priority="117" stopIfTrue="1" operator="lessThan">
      <formula>'1853'!$H$5</formula>
    </cfRule>
  </conditionalFormatting>
  <conditionalFormatting sqref="J5">
    <cfRule type="cellIs" dxfId="3076" priority="118" stopIfTrue="1" operator="equal">
      <formula>'1853'!$I$5</formula>
    </cfRule>
    <cfRule type="cellIs" dxfId="3075" priority="119" stopIfTrue="1" operator="lessThan">
      <formula>'1853'!$I$5</formula>
    </cfRule>
  </conditionalFormatting>
  <conditionalFormatting sqref="F4">
    <cfRule type="cellIs" dxfId="3074" priority="120" stopIfTrue="1" operator="equal">
      <formula>'1853'!$E$4</formula>
    </cfRule>
    <cfRule type="cellIs" dxfId="3073" priority="121" stopIfTrue="1" operator="lessThan">
      <formula>'1853'!$E$4</formula>
    </cfRule>
  </conditionalFormatting>
  <conditionalFormatting sqref="D4">
    <cfRule type="cellIs" dxfId="3072" priority="122" stopIfTrue="1" operator="lessThan">
      <formula>'1853'!$C$4</formula>
    </cfRule>
    <cfRule type="cellIs" dxfId="3071" priority="123" stopIfTrue="1" operator="equal">
      <formula>'1853'!$C$4</formula>
    </cfRule>
  </conditionalFormatting>
  <conditionalFormatting sqref="E4">
    <cfRule type="cellIs" dxfId="3070" priority="124" stopIfTrue="1" operator="equal">
      <formula>'1853'!$D$4</formula>
    </cfRule>
    <cfRule type="cellIs" dxfId="3069" priority="125" stopIfTrue="1" operator="lessThan">
      <formula>'1853'!$D$4</formula>
    </cfRule>
  </conditionalFormatting>
  <conditionalFormatting sqref="D5">
    <cfRule type="cellIs" dxfId="3068" priority="126" stopIfTrue="1" operator="equal">
      <formula>'1853'!$C$5</formula>
    </cfRule>
    <cfRule type="cellIs" dxfId="3067" priority="127" stopIfTrue="1" operator="lessThan">
      <formula>'1853'!$C$5</formula>
    </cfRule>
  </conditionalFormatting>
  <conditionalFormatting sqref="F5">
    <cfRule type="cellIs" dxfId="3066" priority="128" stopIfTrue="1" operator="equal">
      <formula>'1853'!$E$5</formula>
    </cfRule>
    <cfRule type="cellIs" dxfId="3065" priority="129" stopIfTrue="1" operator="lessThan">
      <formula>'1853'!$E$5</formula>
    </cfRule>
  </conditionalFormatting>
  <conditionalFormatting sqref="I4">
    <cfRule type="cellIs" dxfId="3064" priority="130" stopIfTrue="1" operator="equal">
      <formula>'1853'!$H$4</formula>
    </cfRule>
  </conditionalFormatting>
  <conditionalFormatting sqref="J4">
    <cfRule type="cellIs" dxfId="3063" priority="131" stopIfTrue="1" operator="lessThan">
      <formula>'1853'!$I$4</formula>
    </cfRule>
    <cfRule type="cellIs" dxfId="3062" priority="132" stopIfTrue="1" operator="equal">
      <formula>'1853'!$I$4</formula>
    </cfRule>
  </conditionalFormatting>
  <conditionalFormatting sqref="D6">
    <cfRule type="cellIs" dxfId="3061" priority="133" stopIfTrue="1" operator="equal">
      <formula>'1853'!$C$6</formula>
    </cfRule>
    <cfRule type="cellIs" dxfId="3060" priority="134" stopIfTrue="1" operator="lessThan">
      <formula>'1853'!$C$6</formula>
    </cfRule>
  </conditionalFormatting>
  <conditionalFormatting sqref="E6">
    <cfRule type="cellIs" dxfId="3059" priority="135" stopIfTrue="1" operator="equal">
      <formula>'1853'!$D$6</formula>
    </cfRule>
    <cfRule type="cellIs" dxfId="3058" priority="136" stopIfTrue="1" operator="lessThan">
      <formula>'1853'!$D$6</formula>
    </cfRule>
  </conditionalFormatting>
  <conditionalFormatting sqref="F6">
    <cfRule type="cellIs" dxfId="3057" priority="137" stopIfTrue="1" operator="equal">
      <formula>'1853'!$E$6</formula>
    </cfRule>
    <cfRule type="cellIs" dxfId="3056" priority="138" stopIfTrue="1" operator="lessThan">
      <formula>'1853'!$E$6</formula>
    </cfRule>
  </conditionalFormatting>
  <conditionalFormatting sqref="G6">
    <cfRule type="cellIs" dxfId="3055" priority="139" stopIfTrue="1" operator="equal">
      <formula>'1853'!$F$6</formula>
    </cfRule>
    <cfRule type="cellIs" dxfId="3054" priority="140" stopIfTrue="1" operator="lessThan">
      <formula>'1853'!$F$6</formula>
    </cfRule>
  </conditionalFormatting>
  <conditionalFormatting sqref="H6">
    <cfRule type="cellIs" dxfId="3053" priority="141" stopIfTrue="1" operator="equal">
      <formula>'1853'!$G$6</formula>
    </cfRule>
    <cfRule type="cellIs" dxfId="3052" priority="142" stopIfTrue="1" operator="lessThan">
      <formula>'1853'!$G$6</formula>
    </cfRule>
  </conditionalFormatting>
  <conditionalFormatting sqref="I6">
    <cfRule type="cellIs" dxfId="3051" priority="143" stopIfTrue="1" operator="equal">
      <formula>'1853'!$H$6</formula>
    </cfRule>
    <cfRule type="cellIs" dxfId="3050" priority="144" stopIfTrue="1" operator="lessThan">
      <formula>'1853'!$H$6</formula>
    </cfRule>
  </conditionalFormatting>
  <conditionalFormatting sqref="J6">
    <cfRule type="cellIs" dxfId="3049" priority="145" stopIfTrue="1" operator="equal">
      <formula>'1853'!$I$6</formula>
    </cfRule>
    <cfRule type="cellIs" dxfId="3048" priority="146" stopIfTrue="1" operator="lessThan">
      <formula>'1853'!$I$6</formula>
    </cfRule>
  </conditionalFormatting>
  <conditionalFormatting sqref="D7">
    <cfRule type="cellIs" dxfId="3047" priority="147" stopIfTrue="1" operator="equal">
      <formula>'1853'!$C$7</formula>
    </cfRule>
    <cfRule type="cellIs" dxfId="3046" priority="148" stopIfTrue="1" operator="lessThan">
      <formula>'1853'!$C$7</formula>
    </cfRule>
  </conditionalFormatting>
  <conditionalFormatting sqref="E7">
    <cfRule type="cellIs" dxfId="3045" priority="149" stopIfTrue="1" operator="equal">
      <formula>'1853'!$D$7</formula>
    </cfRule>
    <cfRule type="cellIs" dxfId="3044" priority="150" stopIfTrue="1" operator="lessThan">
      <formula>'1853'!$D$7</formula>
    </cfRule>
  </conditionalFormatting>
  <conditionalFormatting sqref="F7">
    <cfRule type="cellIs" dxfId="3043" priority="151" stopIfTrue="1" operator="equal">
      <formula>'1853'!$E$7</formula>
    </cfRule>
    <cfRule type="cellIs" dxfId="3042" priority="152" stopIfTrue="1" operator="lessThan">
      <formula>'1853'!$E$7</formula>
    </cfRule>
  </conditionalFormatting>
  <conditionalFormatting sqref="H7">
    <cfRule type="cellIs" dxfId="3041" priority="153" stopIfTrue="1" operator="equal">
      <formula>'1853'!$G$7</formula>
    </cfRule>
    <cfRule type="cellIs" dxfId="3040" priority="154" stopIfTrue="1" operator="lessThan">
      <formula>'1853'!$G$7</formula>
    </cfRule>
  </conditionalFormatting>
  <conditionalFormatting sqref="I7">
    <cfRule type="cellIs" dxfId="3039" priority="155" stopIfTrue="1" operator="equal">
      <formula>'1853'!$H$7</formula>
    </cfRule>
    <cfRule type="cellIs" dxfId="3038" priority="156" stopIfTrue="1" operator="lessThan">
      <formula>'1853'!$H$7</formula>
    </cfRule>
  </conditionalFormatting>
  <conditionalFormatting sqref="J7">
    <cfRule type="cellIs" dxfId="3037" priority="157" stopIfTrue="1" operator="equal">
      <formula>'1853'!$I$7</formula>
    </cfRule>
    <cfRule type="cellIs" dxfId="3036" priority="158" stopIfTrue="1" operator="lessThan">
      <formula>'1853'!$I$7</formula>
    </cfRule>
  </conditionalFormatting>
  <conditionalFormatting sqref="D8">
    <cfRule type="cellIs" dxfId="3035" priority="159" stopIfTrue="1" operator="equal">
      <formula>'1853'!$C$8</formula>
    </cfRule>
    <cfRule type="cellIs" dxfId="3034" priority="160" stopIfTrue="1" operator="lessThan">
      <formula>'1853'!$C$8</formula>
    </cfRule>
  </conditionalFormatting>
  <conditionalFormatting sqref="E8">
    <cfRule type="cellIs" dxfId="3033" priority="161" stopIfTrue="1" operator="equal">
      <formula>'1853'!$D$8</formula>
    </cfRule>
    <cfRule type="cellIs" dxfId="3032" priority="162" stopIfTrue="1" operator="lessThan">
      <formula>'1853'!$D$8</formula>
    </cfRule>
  </conditionalFormatting>
  <conditionalFormatting sqref="F8">
    <cfRule type="cellIs" dxfId="3031" priority="163" stopIfTrue="1" operator="equal">
      <formula>'1853'!$E$8</formula>
    </cfRule>
    <cfRule type="cellIs" dxfId="3030" priority="164" stopIfTrue="1" operator="lessThan">
      <formula>'1853'!$E$8</formula>
    </cfRule>
  </conditionalFormatting>
  <conditionalFormatting sqref="G8">
    <cfRule type="cellIs" dxfId="3029" priority="165" stopIfTrue="1" operator="equal">
      <formula>'1853'!$F$8</formula>
    </cfRule>
    <cfRule type="cellIs" dxfId="3028" priority="166" stopIfTrue="1" operator="lessThan">
      <formula>'1853'!$F$8</formula>
    </cfRule>
  </conditionalFormatting>
  <conditionalFormatting sqref="H8">
    <cfRule type="cellIs" dxfId="3027" priority="167" stopIfTrue="1" operator="equal">
      <formula>'1853'!$G$8</formula>
    </cfRule>
    <cfRule type="cellIs" dxfId="3026" priority="168" stopIfTrue="1" operator="lessThan">
      <formula>'1853'!$G$8</formula>
    </cfRule>
  </conditionalFormatting>
  <conditionalFormatting sqref="I8">
    <cfRule type="cellIs" dxfId="3025" priority="169" stopIfTrue="1" operator="equal">
      <formula>'1853'!$H$8</formula>
    </cfRule>
    <cfRule type="cellIs" dxfId="3024" priority="170" stopIfTrue="1" operator="lessThan">
      <formula>'1853'!$H$8</formula>
    </cfRule>
  </conditionalFormatting>
  <conditionalFormatting sqref="J8">
    <cfRule type="cellIs" dxfId="3023" priority="171" stopIfTrue="1" operator="equal">
      <formula>'1853'!$I$8</formula>
    </cfRule>
    <cfRule type="cellIs" dxfId="3022" priority="172" stopIfTrue="1" operator="lessThan">
      <formula>'1853'!$I$8</formula>
    </cfRule>
  </conditionalFormatting>
  <conditionalFormatting sqref="D9">
    <cfRule type="cellIs" dxfId="3021" priority="173" stopIfTrue="1" operator="equal">
      <formula>'1853'!$C$9</formula>
    </cfRule>
    <cfRule type="cellIs" dxfId="3020" priority="174" stopIfTrue="1" operator="lessThan">
      <formula>'1853'!$C$9</formula>
    </cfRule>
  </conditionalFormatting>
  <conditionalFormatting sqref="E9">
    <cfRule type="cellIs" dxfId="3019" priority="175" stopIfTrue="1" operator="equal">
      <formula>'1853'!$D$9</formula>
    </cfRule>
    <cfRule type="cellIs" dxfId="3018" priority="176" stopIfTrue="1" operator="lessThan">
      <formula>'1853'!$D$9</formula>
    </cfRule>
  </conditionalFormatting>
  <conditionalFormatting sqref="F9">
    <cfRule type="cellIs" dxfId="3017" priority="177" stopIfTrue="1" operator="equal">
      <formula>'1853'!$E$9</formula>
    </cfRule>
    <cfRule type="cellIs" dxfId="3016" priority="178" stopIfTrue="1" operator="lessThan">
      <formula>'1853'!$E$9</formula>
    </cfRule>
  </conditionalFormatting>
  <conditionalFormatting sqref="G9">
    <cfRule type="cellIs" dxfId="3015" priority="179" stopIfTrue="1" operator="equal">
      <formula>'1853'!$F$9</formula>
    </cfRule>
    <cfRule type="cellIs" dxfId="3014" priority="180" stopIfTrue="1" operator="lessThan">
      <formula>'1853'!$F$9</formula>
    </cfRule>
  </conditionalFormatting>
  <conditionalFormatting sqref="H9">
    <cfRule type="cellIs" dxfId="3013" priority="181" stopIfTrue="1" operator="equal">
      <formula>'1853'!$G$9</formula>
    </cfRule>
    <cfRule type="cellIs" dxfId="3012" priority="182" stopIfTrue="1" operator="lessThan">
      <formula>'1853'!$G$9</formula>
    </cfRule>
  </conditionalFormatting>
  <conditionalFormatting sqref="I9">
    <cfRule type="cellIs" dxfId="3011" priority="183" stopIfTrue="1" operator="equal">
      <formula>'1853'!$H$9</formula>
    </cfRule>
    <cfRule type="cellIs" dxfId="3010" priority="184" stopIfTrue="1" operator="lessThan">
      <formula>'1853'!$H$9</formula>
    </cfRule>
  </conditionalFormatting>
  <conditionalFormatting sqref="J9">
    <cfRule type="cellIs" dxfId="3009" priority="185" stopIfTrue="1" operator="equal">
      <formula>'1853'!$I$9</formula>
    </cfRule>
    <cfRule type="cellIs" dxfId="3008" priority="186" stopIfTrue="1" operator="lessThan">
      <formula>'1853'!$I$9</formula>
    </cfRule>
  </conditionalFormatting>
  <conditionalFormatting sqref="D10">
    <cfRule type="cellIs" dxfId="3007" priority="187" stopIfTrue="1" operator="equal">
      <formula>'1853'!$C$10</formula>
    </cfRule>
    <cfRule type="cellIs" dxfId="3006" priority="188" stopIfTrue="1" operator="lessThan">
      <formula>'1853'!$C$10</formula>
    </cfRule>
  </conditionalFormatting>
  <conditionalFormatting sqref="E10">
    <cfRule type="cellIs" dxfId="3005" priority="189" stopIfTrue="1" operator="equal">
      <formula>'1853'!$D$10</formula>
    </cfRule>
    <cfRule type="cellIs" dxfId="3004" priority="190" stopIfTrue="1" operator="lessThan">
      <formula>'1853'!$D$10</formula>
    </cfRule>
  </conditionalFormatting>
  <conditionalFormatting sqref="F10">
    <cfRule type="cellIs" dxfId="3003" priority="191" stopIfTrue="1" operator="equal">
      <formula>'1853'!$E$10</formula>
    </cfRule>
    <cfRule type="cellIs" dxfId="3002" priority="192" stopIfTrue="1" operator="lessThan">
      <formula>'1853'!$E$10</formula>
    </cfRule>
  </conditionalFormatting>
  <conditionalFormatting sqref="G10">
    <cfRule type="cellIs" dxfId="3001" priority="193" stopIfTrue="1" operator="equal">
      <formula>'1853'!$F$10</formula>
    </cfRule>
    <cfRule type="cellIs" dxfId="3000" priority="194" stopIfTrue="1" operator="lessThan">
      <formula>'1853'!$F$10</formula>
    </cfRule>
  </conditionalFormatting>
  <conditionalFormatting sqref="H10">
    <cfRule type="cellIs" dxfId="2999" priority="195" stopIfTrue="1" operator="equal">
      <formula>'1853'!$G$10</formula>
    </cfRule>
    <cfRule type="cellIs" dxfId="2998" priority="196" stopIfTrue="1" operator="lessThan">
      <formula>'1853'!$G$10</formula>
    </cfRule>
  </conditionalFormatting>
  <conditionalFormatting sqref="I10">
    <cfRule type="cellIs" dxfId="2997" priority="197" stopIfTrue="1" operator="equal">
      <formula>'1853'!$H$10</formula>
    </cfRule>
    <cfRule type="cellIs" dxfId="2996" priority="198" stopIfTrue="1" operator="lessThan">
      <formula>'1853'!$H$10</formula>
    </cfRule>
  </conditionalFormatting>
  <conditionalFormatting sqref="J10">
    <cfRule type="cellIs" dxfId="2995" priority="199" stopIfTrue="1" operator="equal">
      <formula>'1853'!$I$10</formula>
    </cfRule>
    <cfRule type="cellIs" dxfId="2994" priority="200" stopIfTrue="1" operator="lessThan">
      <formula>'1853'!$I$10</formula>
    </cfRule>
  </conditionalFormatting>
  <conditionalFormatting sqref="D11">
    <cfRule type="cellIs" dxfId="2993" priority="201" stopIfTrue="1" operator="equal">
      <formula>'1853'!$C$11</formula>
    </cfRule>
    <cfRule type="cellIs" dxfId="2992" priority="202" stopIfTrue="1" operator="lessThan">
      <formula>'1853'!$C$11</formula>
    </cfRule>
  </conditionalFormatting>
  <conditionalFormatting sqref="E11">
    <cfRule type="cellIs" dxfId="2991" priority="203" stopIfTrue="1" operator="equal">
      <formula>'1853'!$D$11</formula>
    </cfRule>
    <cfRule type="cellIs" dxfId="2990" priority="204" stopIfTrue="1" operator="lessThan">
      <formula>'1853'!$D$11</formula>
    </cfRule>
  </conditionalFormatting>
  <conditionalFormatting sqref="F11">
    <cfRule type="cellIs" dxfId="2989" priority="205" stopIfTrue="1" operator="equal">
      <formula>'1853'!$E$11</formula>
    </cfRule>
    <cfRule type="cellIs" dxfId="2988" priority="206" stopIfTrue="1" operator="lessThan">
      <formula>'1853'!$E$11</formula>
    </cfRule>
  </conditionalFormatting>
  <conditionalFormatting sqref="G11">
    <cfRule type="cellIs" dxfId="2987" priority="207" stopIfTrue="1" operator="equal">
      <formula>'1853'!$F$11</formula>
    </cfRule>
    <cfRule type="cellIs" dxfId="2986" priority="208" stopIfTrue="1" operator="lessThan">
      <formula>'1853'!$F$11</formula>
    </cfRule>
  </conditionalFormatting>
  <conditionalFormatting sqref="H11">
    <cfRule type="cellIs" dxfId="2985" priority="209" stopIfTrue="1" operator="equal">
      <formula>'1853'!$G$11</formula>
    </cfRule>
    <cfRule type="cellIs" dxfId="2984" priority="210" stopIfTrue="1" operator="lessThan">
      <formula>'1853'!$G$11</formula>
    </cfRule>
  </conditionalFormatting>
  <conditionalFormatting sqref="I11">
    <cfRule type="cellIs" dxfId="2983" priority="211" stopIfTrue="1" operator="equal">
      <formula>'1853'!$H$11</formula>
    </cfRule>
    <cfRule type="cellIs" dxfId="2982" priority="212" stopIfTrue="1" operator="lessThan">
      <formula>'1853'!$H$11</formula>
    </cfRule>
  </conditionalFormatting>
  <conditionalFormatting sqref="J11">
    <cfRule type="cellIs" dxfId="2981" priority="213" stopIfTrue="1" operator="equal">
      <formula>'1853'!$I$11</formula>
    </cfRule>
    <cfRule type="cellIs" dxfId="2980" priority="214" stopIfTrue="1" operator="lessThan">
      <formula>'1853'!$I$11</formula>
    </cfRule>
  </conditionalFormatting>
  <conditionalFormatting sqref="D12">
    <cfRule type="cellIs" dxfId="2979" priority="215" stopIfTrue="1" operator="equal">
      <formula>'1853'!$C$12</formula>
    </cfRule>
    <cfRule type="cellIs" dxfId="2978" priority="216" stopIfTrue="1" operator="lessThan">
      <formula>'1853'!$C$12</formula>
    </cfRule>
  </conditionalFormatting>
  <conditionalFormatting sqref="E12">
    <cfRule type="cellIs" dxfId="2977" priority="217" stopIfTrue="1" operator="equal">
      <formula>'1853'!$D$12</formula>
    </cfRule>
    <cfRule type="cellIs" dxfId="2976" priority="218" stopIfTrue="1" operator="lessThan">
      <formula>'1853'!$D$12</formula>
    </cfRule>
  </conditionalFormatting>
  <conditionalFormatting sqref="F12">
    <cfRule type="cellIs" dxfId="2975" priority="219" stopIfTrue="1" operator="equal">
      <formula>'1853'!$E$12</formula>
    </cfRule>
    <cfRule type="cellIs" dxfId="2974" priority="220" stopIfTrue="1" operator="lessThan">
      <formula>'1853'!$E$12</formula>
    </cfRule>
  </conditionalFormatting>
  <conditionalFormatting sqref="G12">
    <cfRule type="cellIs" dxfId="2973" priority="221" stopIfTrue="1" operator="equal">
      <formula>'1853'!$F$12</formula>
    </cfRule>
    <cfRule type="cellIs" dxfId="2972" priority="222" stopIfTrue="1" operator="lessThan">
      <formula>'1853'!$F$12</formula>
    </cfRule>
  </conditionalFormatting>
  <conditionalFormatting sqref="H12">
    <cfRule type="cellIs" dxfId="2971" priority="223" stopIfTrue="1" operator="equal">
      <formula>'1853'!$G$12</formula>
    </cfRule>
    <cfRule type="cellIs" dxfId="2970" priority="224" stopIfTrue="1" operator="lessThan">
      <formula>'1853'!$G$12</formula>
    </cfRule>
  </conditionalFormatting>
  <conditionalFormatting sqref="I12">
    <cfRule type="cellIs" dxfId="2969" priority="225" stopIfTrue="1" operator="equal">
      <formula>'1853'!$H$12</formula>
    </cfRule>
    <cfRule type="cellIs" dxfId="2968" priority="226" stopIfTrue="1" operator="lessThan">
      <formula>'1853'!$H$12</formula>
    </cfRule>
  </conditionalFormatting>
  <conditionalFormatting sqref="J12">
    <cfRule type="cellIs" dxfId="2967" priority="227" stopIfTrue="1" operator="equal">
      <formula>'1853'!$I$12</formula>
    </cfRule>
    <cfRule type="cellIs" dxfId="2966" priority="228" stopIfTrue="1" operator="lessThan">
      <formula>'1853'!$I$12</formula>
    </cfRule>
  </conditionalFormatting>
  <conditionalFormatting sqref="D14">
    <cfRule type="cellIs" dxfId="2965" priority="229" stopIfTrue="1" operator="equal">
      <formula>'1853'!$C$14</formula>
    </cfRule>
    <cfRule type="cellIs" dxfId="2964" priority="230" stopIfTrue="1" operator="lessThan">
      <formula>'1853'!$C$14</formula>
    </cfRule>
  </conditionalFormatting>
  <conditionalFormatting sqref="D15">
    <cfRule type="cellIs" dxfId="2963" priority="231" stopIfTrue="1" operator="equal">
      <formula>'1853'!$C$15</formula>
    </cfRule>
    <cfRule type="cellIs" dxfId="2962" priority="232" stopIfTrue="1" operator="lessThan">
      <formula>'1853'!$C$15</formula>
    </cfRule>
  </conditionalFormatting>
  <conditionalFormatting sqref="D16">
    <cfRule type="cellIs" dxfId="2961" priority="233" stopIfTrue="1" operator="equal">
      <formula>'1853'!$C$16</formula>
    </cfRule>
    <cfRule type="cellIs" dxfId="2960" priority="234" stopIfTrue="1" operator="lessThan">
      <formula>'1853'!$C$16</formula>
    </cfRule>
  </conditionalFormatting>
  <conditionalFormatting sqref="D17">
    <cfRule type="cellIs" dxfId="2959" priority="235" stopIfTrue="1" operator="equal">
      <formula>'1853'!$C$17</formula>
    </cfRule>
    <cfRule type="cellIs" dxfId="2958" priority="236" stopIfTrue="1" operator="lessThan">
      <formula>'1853'!$C$17</formula>
    </cfRule>
  </conditionalFormatting>
  <conditionalFormatting sqref="D18">
    <cfRule type="cellIs" dxfId="2957" priority="237" stopIfTrue="1" operator="equal">
      <formula>'1853'!$C$18</formula>
    </cfRule>
    <cfRule type="cellIs" dxfId="2956" priority="238" stopIfTrue="1" operator="lessThan">
      <formula>'1853'!$C$18</formula>
    </cfRule>
  </conditionalFormatting>
  <conditionalFormatting sqref="D19">
    <cfRule type="cellIs" dxfId="2955" priority="239" stopIfTrue="1" operator="equal">
      <formula>'1853'!$C$19</formula>
    </cfRule>
    <cfRule type="cellIs" dxfId="2954" priority="240" stopIfTrue="1" operator="lessThan">
      <formula>'1853'!$C$19</formula>
    </cfRule>
  </conditionalFormatting>
  <conditionalFormatting sqref="D20">
    <cfRule type="cellIs" dxfId="2953" priority="241" stopIfTrue="1" operator="equal">
      <formula>'1853'!$C$20</formula>
    </cfRule>
    <cfRule type="cellIs" dxfId="2952" priority="242" stopIfTrue="1" operator="lessThan">
      <formula>'1853'!$C$20</formula>
    </cfRule>
  </conditionalFormatting>
  <conditionalFormatting sqref="D21">
    <cfRule type="cellIs" dxfId="2951" priority="243" stopIfTrue="1" operator="equal">
      <formula>'1853'!$C$21</formula>
    </cfRule>
    <cfRule type="cellIs" dxfId="2950" priority="244" stopIfTrue="1" operator="lessThan">
      <formula>'1853'!$C$21</formula>
    </cfRule>
  </conditionalFormatting>
  <conditionalFormatting sqref="D22">
    <cfRule type="cellIs" dxfId="2949" priority="245" stopIfTrue="1" operator="equal">
      <formula>'1853'!$C$22</formula>
    </cfRule>
    <cfRule type="cellIs" dxfId="2948" priority="246" stopIfTrue="1" operator="lessThan">
      <formula>'1853'!$C$22</formula>
    </cfRule>
  </conditionalFormatting>
  <conditionalFormatting sqref="D23">
    <cfRule type="cellIs" dxfId="2947" priority="247" stopIfTrue="1" operator="equal">
      <formula>'1853'!$C$23</formula>
    </cfRule>
    <cfRule type="cellIs" dxfId="2946" priority="248" stopIfTrue="1" operator="lessThan">
      <formula>'1853'!$C$23</formula>
    </cfRule>
  </conditionalFormatting>
  <conditionalFormatting sqref="D25">
    <cfRule type="cellIs" dxfId="2945" priority="249" stopIfTrue="1" operator="equal">
      <formula>'1853'!$C$25</formula>
    </cfRule>
    <cfRule type="cellIs" dxfId="2944" priority="250" stopIfTrue="1" operator="lessThan">
      <formula>'1853'!$C$25</formula>
    </cfRule>
  </conditionalFormatting>
  <conditionalFormatting sqref="D26">
    <cfRule type="cellIs" dxfId="2943" priority="251" stopIfTrue="1" operator="equal">
      <formula>'1853'!$C$26</formula>
    </cfRule>
    <cfRule type="cellIs" dxfId="2942" priority="252" stopIfTrue="1" operator="lessThan">
      <formula>'1853'!$C$26</formula>
    </cfRule>
  </conditionalFormatting>
  <conditionalFormatting sqref="D27">
    <cfRule type="cellIs" dxfId="2941" priority="253" stopIfTrue="1" operator="equal">
      <formula>'1853'!$C$27</formula>
    </cfRule>
    <cfRule type="cellIs" dxfId="2940" priority="254" stopIfTrue="1" operator="lessThan">
      <formula>'1853'!$C$27</formula>
    </cfRule>
  </conditionalFormatting>
  <conditionalFormatting sqref="D28">
    <cfRule type="cellIs" dxfId="2939" priority="255" stopIfTrue="1" operator="equal">
      <formula>'1853'!$C$28</formula>
    </cfRule>
    <cfRule type="cellIs" dxfId="2938" priority="256" stopIfTrue="1" operator="lessThan">
      <formula>'1853'!$C$28</formula>
    </cfRule>
  </conditionalFormatting>
  <conditionalFormatting sqref="E13">
    <cfRule type="cellIs" dxfId="2937" priority="257" stopIfTrue="1" operator="equal">
      <formula>'1853'!$D$13</formula>
    </cfRule>
    <cfRule type="cellIs" dxfId="2936" priority="258" stopIfTrue="1" operator="lessThan">
      <formula>'1853'!$D$13</formula>
    </cfRule>
  </conditionalFormatting>
  <conditionalFormatting sqref="E14">
    <cfRule type="cellIs" dxfId="2935" priority="259" stopIfTrue="1" operator="equal">
      <formula>'1853'!$D$14</formula>
    </cfRule>
    <cfRule type="cellIs" dxfId="2934" priority="260" stopIfTrue="1" operator="lessThan">
      <formula>'1853'!$D$14</formula>
    </cfRule>
  </conditionalFormatting>
  <conditionalFormatting sqref="E15">
    <cfRule type="cellIs" dxfId="2933" priority="261" stopIfTrue="1" operator="equal">
      <formula>'1853'!$D$15</formula>
    </cfRule>
    <cfRule type="cellIs" dxfId="2932" priority="262" stopIfTrue="1" operator="lessThan">
      <formula>'1853'!$D$15</formula>
    </cfRule>
  </conditionalFormatting>
  <conditionalFormatting sqref="E16">
    <cfRule type="cellIs" dxfId="2931" priority="263" stopIfTrue="1" operator="equal">
      <formula>'1853'!$D$16</formula>
    </cfRule>
    <cfRule type="cellIs" dxfId="2930" priority="264" stopIfTrue="1" operator="lessThan">
      <formula>'1853'!$D$16</formula>
    </cfRule>
  </conditionalFormatting>
  <conditionalFormatting sqref="E17">
    <cfRule type="cellIs" dxfId="2929" priority="265" stopIfTrue="1" operator="equal">
      <formula>'1853'!$D$17</formula>
    </cfRule>
    <cfRule type="cellIs" dxfId="2928" priority="266" stopIfTrue="1" operator="lessThan">
      <formula>'1853'!$D$17</formula>
    </cfRule>
  </conditionalFormatting>
  <conditionalFormatting sqref="E18">
    <cfRule type="cellIs" dxfId="2927" priority="267" stopIfTrue="1" operator="equal">
      <formula>'1853'!$D$18</formula>
    </cfRule>
    <cfRule type="cellIs" dxfId="2926" priority="268" stopIfTrue="1" operator="lessThan">
      <formula>'1853'!$D$18</formula>
    </cfRule>
  </conditionalFormatting>
  <conditionalFormatting sqref="E19">
    <cfRule type="cellIs" dxfId="2925" priority="269" stopIfTrue="1" operator="equal">
      <formula>'1853'!$D$19</formula>
    </cfRule>
    <cfRule type="cellIs" dxfId="2924" priority="270" stopIfTrue="1" operator="lessThan">
      <formula>'1853'!$D$19</formula>
    </cfRule>
  </conditionalFormatting>
  <conditionalFormatting sqref="E20">
    <cfRule type="cellIs" dxfId="2923" priority="271" stopIfTrue="1" operator="equal">
      <formula>'1853'!$D$20</formula>
    </cfRule>
    <cfRule type="cellIs" dxfId="2922" priority="272" stopIfTrue="1" operator="lessThan">
      <formula>'1853'!$D$20</formula>
    </cfRule>
  </conditionalFormatting>
  <conditionalFormatting sqref="E21">
    <cfRule type="cellIs" dxfId="2921" priority="273" stopIfTrue="1" operator="equal">
      <formula>'1853'!$D$21</formula>
    </cfRule>
    <cfRule type="cellIs" dxfId="2920" priority="274" stopIfTrue="1" operator="lessThan">
      <formula>'1853'!$D$21</formula>
    </cfRule>
  </conditionalFormatting>
  <conditionalFormatting sqref="E22">
    <cfRule type="cellIs" dxfId="2919" priority="275" stopIfTrue="1" operator="equal">
      <formula>'1853'!$D$22</formula>
    </cfRule>
    <cfRule type="cellIs" dxfId="2918" priority="276" stopIfTrue="1" operator="lessThan">
      <formula>'1853'!$D$22</formula>
    </cfRule>
  </conditionalFormatting>
  <conditionalFormatting sqref="E23">
    <cfRule type="cellIs" dxfId="2917" priority="277" stopIfTrue="1" operator="equal">
      <formula>'1853'!$D$23</formula>
    </cfRule>
    <cfRule type="cellIs" dxfId="2916" priority="278" stopIfTrue="1" operator="lessThan">
      <formula>'1853'!$D$23</formula>
    </cfRule>
  </conditionalFormatting>
  <conditionalFormatting sqref="E25">
    <cfRule type="cellIs" dxfId="2915" priority="279" stopIfTrue="1" operator="equal">
      <formula>'1853'!$D$25</formula>
    </cfRule>
    <cfRule type="cellIs" dxfId="2914" priority="280" stopIfTrue="1" operator="lessThan">
      <formula>'1853'!$D$25</formula>
    </cfRule>
  </conditionalFormatting>
  <conditionalFormatting sqref="E26">
    <cfRule type="cellIs" dxfId="2913" priority="281" stopIfTrue="1" operator="equal">
      <formula>'1853'!$D$26</formula>
    </cfRule>
    <cfRule type="cellIs" dxfId="2912" priority="282" stopIfTrue="1" operator="lessThan">
      <formula>'1853'!$D$26</formula>
    </cfRule>
  </conditionalFormatting>
  <conditionalFormatting sqref="E27">
    <cfRule type="cellIs" dxfId="2911" priority="283" stopIfTrue="1" operator="equal">
      <formula>'1853'!$D$27</formula>
    </cfRule>
    <cfRule type="cellIs" dxfId="2910" priority="284" stopIfTrue="1" operator="lessThan">
      <formula>'1853'!$D$27</formula>
    </cfRule>
  </conditionalFormatting>
  <conditionalFormatting sqref="E28">
    <cfRule type="cellIs" dxfId="2909" priority="285" stopIfTrue="1" operator="equal">
      <formula>'1853'!$D$28</formula>
    </cfRule>
    <cfRule type="cellIs" dxfId="2908" priority="286" stopIfTrue="1" operator="lessThan">
      <formula>'1853'!$D$28</formula>
    </cfRule>
  </conditionalFormatting>
  <conditionalFormatting sqref="F13">
    <cfRule type="cellIs" dxfId="2907" priority="287" stopIfTrue="1" operator="equal">
      <formula>'1853'!$E$13</formula>
    </cfRule>
    <cfRule type="cellIs" dxfId="2906" priority="288" stopIfTrue="1" operator="lessThan">
      <formula>'1853'!$E$13</formula>
    </cfRule>
  </conditionalFormatting>
  <conditionalFormatting sqref="F14">
    <cfRule type="cellIs" dxfId="2905" priority="289" stopIfTrue="1" operator="equal">
      <formula>'1853'!$E$14</formula>
    </cfRule>
    <cfRule type="cellIs" dxfId="2904" priority="290" stopIfTrue="1" operator="lessThan">
      <formula>'1853'!$E$14</formula>
    </cfRule>
  </conditionalFormatting>
  <conditionalFormatting sqref="F15">
    <cfRule type="cellIs" dxfId="2903" priority="291" stopIfTrue="1" operator="equal">
      <formula>'1853'!$E$15</formula>
    </cfRule>
    <cfRule type="cellIs" dxfId="2902" priority="292" stopIfTrue="1" operator="lessThan">
      <formula>'1853'!$E$15</formula>
    </cfRule>
  </conditionalFormatting>
  <conditionalFormatting sqref="F16">
    <cfRule type="cellIs" dxfId="2901" priority="293" stopIfTrue="1" operator="equal">
      <formula>'1853'!$E$16</formula>
    </cfRule>
    <cfRule type="cellIs" dxfId="2900" priority="294" stopIfTrue="1" operator="lessThan">
      <formula>'1853'!$E$16</formula>
    </cfRule>
  </conditionalFormatting>
  <conditionalFormatting sqref="F17">
    <cfRule type="cellIs" dxfId="2899" priority="295" stopIfTrue="1" operator="equal">
      <formula>'1853'!$E$17</formula>
    </cfRule>
    <cfRule type="cellIs" dxfId="2898" priority="296" stopIfTrue="1" operator="lessThan">
      <formula>'1853'!$E$17</formula>
    </cfRule>
  </conditionalFormatting>
  <conditionalFormatting sqref="F18">
    <cfRule type="cellIs" dxfId="2897" priority="297" stopIfTrue="1" operator="equal">
      <formula>'1853'!$E$18</formula>
    </cfRule>
    <cfRule type="cellIs" dxfId="2896" priority="298" stopIfTrue="1" operator="lessThan">
      <formula>'1853'!$E$18</formula>
    </cfRule>
  </conditionalFormatting>
  <conditionalFormatting sqref="F19">
    <cfRule type="cellIs" dxfId="2895" priority="299" stopIfTrue="1" operator="equal">
      <formula>'1853'!$E$19</formula>
    </cfRule>
    <cfRule type="cellIs" dxfId="2894" priority="300" stopIfTrue="1" operator="lessThan">
      <formula>'1853'!$E$19</formula>
    </cfRule>
  </conditionalFormatting>
  <conditionalFormatting sqref="F20">
    <cfRule type="cellIs" dxfId="2893" priority="301" stopIfTrue="1" operator="equal">
      <formula>'1853'!$E$20</formula>
    </cfRule>
    <cfRule type="cellIs" dxfId="2892" priority="302" stopIfTrue="1" operator="lessThan">
      <formula>'1853'!$E$20</formula>
    </cfRule>
  </conditionalFormatting>
  <conditionalFormatting sqref="F21">
    <cfRule type="cellIs" dxfId="2891" priority="303" stopIfTrue="1" operator="equal">
      <formula>'1853'!$E$21</formula>
    </cfRule>
    <cfRule type="cellIs" dxfId="2890" priority="304" stopIfTrue="1" operator="lessThan">
      <formula>'1853'!$E$21</formula>
    </cfRule>
  </conditionalFormatting>
  <conditionalFormatting sqref="F22">
    <cfRule type="cellIs" dxfId="2889" priority="305" stopIfTrue="1" operator="equal">
      <formula>'1853'!$E$22</formula>
    </cfRule>
    <cfRule type="cellIs" dxfId="2888" priority="306" stopIfTrue="1" operator="lessThan">
      <formula>'1853'!$E$22</formula>
    </cfRule>
  </conditionalFormatting>
  <conditionalFormatting sqref="F23">
    <cfRule type="cellIs" dxfId="2887" priority="307" stopIfTrue="1" operator="equal">
      <formula>'1853'!$E$23</formula>
    </cfRule>
    <cfRule type="cellIs" dxfId="2886" priority="308" stopIfTrue="1" operator="lessThan">
      <formula>'1853'!$E$23</formula>
    </cfRule>
  </conditionalFormatting>
  <conditionalFormatting sqref="F25">
    <cfRule type="cellIs" dxfId="2885" priority="309" stopIfTrue="1" operator="equal">
      <formula>'1853'!$E$25</formula>
    </cfRule>
    <cfRule type="cellIs" dxfId="2884" priority="310" stopIfTrue="1" operator="lessThan">
      <formula>'1853'!$E$25</formula>
    </cfRule>
  </conditionalFormatting>
  <conditionalFormatting sqref="F26">
    <cfRule type="cellIs" dxfId="2883" priority="311" stopIfTrue="1" operator="equal">
      <formula>'1853'!$E$26</formula>
    </cfRule>
    <cfRule type="cellIs" dxfId="2882" priority="312" stopIfTrue="1" operator="lessThan">
      <formula>'1853'!$E$26</formula>
    </cfRule>
  </conditionalFormatting>
  <conditionalFormatting sqref="F27">
    <cfRule type="cellIs" dxfId="2881" priority="313" stopIfTrue="1" operator="equal">
      <formula>'1853'!$E$27</formula>
    </cfRule>
    <cfRule type="cellIs" dxfId="2880" priority="314" stopIfTrue="1" operator="lessThan">
      <formula>'1853'!$E$27</formula>
    </cfRule>
  </conditionalFormatting>
  <conditionalFormatting sqref="F28">
    <cfRule type="cellIs" dxfId="2879" priority="315" stopIfTrue="1" operator="equal">
      <formula>'1853'!$E$28</formula>
    </cfRule>
    <cfRule type="cellIs" dxfId="2878" priority="316" stopIfTrue="1" operator="lessThan">
      <formula>'1853'!$E$28</formula>
    </cfRule>
  </conditionalFormatting>
  <conditionalFormatting sqref="G13">
    <cfRule type="cellIs" dxfId="2877" priority="317" stopIfTrue="1" operator="equal">
      <formula>'1853'!$F$13</formula>
    </cfRule>
    <cfRule type="cellIs" dxfId="2876" priority="318" stopIfTrue="1" operator="lessThan">
      <formula>'1853'!$F$13</formula>
    </cfRule>
  </conditionalFormatting>
  <conditionalFormatting sqref="G14">
    <cfRule type="cellIs" dxfId="2875" priority="319" stopIfTrue="1" operator="equal">
      <formula>'1853'!$F$14</formula>
    </cfRule>
    <cfRule type="cellIs" dxfId="2874" priority="320" stopIfTrue="1" operator="lessThan">
      <formula>'1853'!$F$14</formula>
    </cfRule>
  </conditionalFormatting>
  <conditionalFormatting sqref="G15">
    <cfRule type="cellIs" dxfId="2873" priority="321" stopIfTrue="1" operator="equal">
      <formula>'1853'!$F$15</formula>
    </cfRule>
    <cfRule type="cellIs" dxfId="2872" priority="322" stopIfTrue="1" operator="lessThan">
      <formula>'1853'!$F$15</formula>
    </cfRule>
  </conditionalFormatting>
  <conditionalFormatting sqref="G16">
    <cfRule type="cellIs" dxfId="2871" priority="323" stopIfTrue="1" operator="equal">
      <formula>'1853'!$F$16</formula>
    </cfRule>
    <cfRule type="cellIs" dxfId="2870" priority="324" stopIfTrue="1" operator="lessThan">
      <formula>'1853'!$F$16</formula>
    </cfRule>
  </conditionalFormatting>
  <conditionalFormatting sqref="G17">
    <cfRule type="cellIs" dxfId="2869" priority="325" stopIfTrue="1" operator="equal">
      <formula>'1853'!$F$17</formula>
    </cfRule>
    <cfRule type="cellIs" dxfId="2868" priority="326" stopIfTrue="1" operator="lessThan">
      <formula>'1853'!$F$17</formula>
    </cfRule>
  </conditionalFormatting>
  <conditionalFormatting sqref="G18">
    <cfRule type="cellIs" dxfId="2867" priority="327" stopIfTrue="1" operator="equal">
      <formula>'1853'!$F$18</formula>
    </cfRule>
    <cfRule type="cellIs" dxfId="2866" priority="328" stopIfTrue="1" operator="lessThan">
      <formula>'1853'!$F$18</formula>
    </cfRule>
  </conditionalFormatting>
  <conditionalFormatting sqref="G19">
    <cfRule type="cellIs" dxfId="2865" priority="329" stopIfTrue="1" operator="equal">
      <formula>'1853'!$F$19</formula>
    </cfRule>
    <cfRule type="cellIs" dxfId="2864" priority="330" stopIfTrue="1" operator="lessThan">
      <formula>'1853'!$F$19</formula>
    </cfRule>
  </conditionalFormatting>
  <conditionalFormatting sqref="G20">
    <cfRule type="cellIs" dxfId="2863" priority="331" stopIfTrue="1" operator="equal">
      <formula>'1853'!$F$20</formula>
    </cfRule>
    <cfRule type="cellIs" dxfId="2862" priority="332" stopIfTrue="1" operator="lessThan">
      <formula>'1853'!$F$20</formula>
    </cfRule>
  </conditionalFormatting>
  <conditionalFormatting sqref="G21">
    <cfRule type="cellIs" dxfId="2861" priority="333" stopIfTrue="1" operator="equal">
      <formula>'1853'!$F$21</formula>
    </cfRule>
    <cfRule type="cellIs" dxfId="2860" priority="334" stopIfTrue="1" operator="lessThan">
      <formula>'1853'!$F$21</formula>
    </cfRule>
  </conditionalFormatting>
  <conditionalFormatting sqref="G22">
    <cfRule type="cellIs" dxfId="2859" priority="335" stopIfTrue="1" operator="equal">
      <formula>'1853'!$F$22</formula>
    </cfRule>
    <cfRule type="cellIs" dxfId="2858" priority="336" stopIfTrue="1" operator="lessThan">
      <formula>'1853'!$F$22</formula>
    </cfRule>
  </conditionalFormatting>
  <conditionalFormatting sqref="G23">
    <cfRule type="cellIs" dxfId="2857" priority="337" stopIfTrue="1" operator="equal">
      <formula>'1853'!$F$23</formula>
    </cfRule>
    <cfRule type="cellIs" dxfId="2856" priority="338" stopIfTrue="1" operator="lessThan">
      <formula>'1853'!$F$23</formula>
    </cfRule>
  </conditionalFormatting>
  <conditionalFormatting sqref="G25">
    <cfRule type="cellIs" dxfId="2855" priority="339" stopIfTrue="1" operator="equal">
      <formula>'1853'!$F$25</formula>
    </cfRule>
    <cfRule type="cellIs" dxfId="2854" priority="340" stopIfTrue="1" operator="lessThan">
      <formula>'1853'!$F$25</formula>
    </cfRule>
  </conditionalFormatting>
  <conditionalFormatting sqref="G26">
    <cfRule type="cellIs" dxfId="2853" priority="341" stopIfTrue="1" operator="equal">
      <formula>'1853'!$F$26</formula>
    </cfRule>
    <cfRule type="cellIs" dxfId="2852" priority="342" stopIfTrue="1" operator="lessThan">
      <formula>'1853'!$F$26</formula>
    </cfRule>
  </conditionalFormatting>
  <conditionalFormatting sqref="G27">
    <cfRule type="cellIs" dxfId="2851" priority="343" stopIfTrue="1" operator="equal">
      <formula>'1853'!$F$27</formula>
    </cfRule>
    <cfRule type="cellIs" dxfId="2850" priority="344" stopIfTrue="1" operator="lessThan">
      <formula>'1853'!$F$27</formula>
    </cfRule>
  </conditionalFormatting>
  <conditionalFormatting sqref="G28">
    <cfRule type="cellIs" dxfId="2849" priority="345" stopIfTrue="1" operator="equal">
      <formula>'1853'!$F$28</formula>
    </cfRule>
    <cfRule type="cellIs" dxfId="2848" priority="346" stopIfTrue="1" operator="lessThan">
      <formula>'1853'!$F$28</formula>
    </cfRule>
  </conditionalFormatting>
  <conditionalFormatting sqref="D13">
    <cfRule type="cellIs" dxfId="2847" priority="347" stopIfTrue="1" operator="equal">
      <formula>'1853'!$C$13</formula>
    </cfRule>
    <cfRule type="cellIs" dxfId="2846" priority="348" stopIfTrue="1" operator="lessThan">
      <formula>'1853'!$C$13</formula>
    </cfRule>
  </conditionalFormatting>
  <conditionalFormatting sqref="H13">
    <cfRule type="cellIs" dxfId="2845" priority="349" stopIfTrue="1" operator="equal">
      <formula>'1853'!$G$13</formula>
    </cfRule>
    <cfRule type="cellIs" dxfId="2844" priority="350" stopIfTrue="1" operator="lessThan">
      <formula>'1853'!$G$13</formula>
    </cfRule>
  </conditionalFormatting>
  <conditionalFormatting sqref="H14">
    <cfRule type="cellIs" dxfId="2843" priority="351" stopIfTrue="1" operator="equal">
      <formula>'1853'!$G$14</formula>
    </cfRule>
    <cfRule type="cellIs" dxfId="2842" priority="352" stopIfTrue="1" operator="lessThan">
      <formula>'1853'!$G$14</formula>
    </cfRule>
  </conditionalFormatting>
  <conditionalFormatting sqref="H15">
    <cfRule type="cellIs" dxfId="2841" priority="353" stopIfTrue="1" operator="equal">
      <formula>'1853'!$G$15</formula>
    </cfRule>
    <cfRule type="cellIs" dxfId="2840" priority="354" stopIfTrue="1" operator="lessThan">
      <formula>'1853'!$G$15</formula>
    </cfRule>
  </conditionalFormatting>
  <conditionalFormatting sqref="H16">
    <cfRule type="cellIs" dxfId="2839" priority="355" stopIfTrue="1" operator="equal">
      <formula>'1853'!$G$16</formula>
    </cfRule>
    <cfRule type="cellIs" dxfId="2838" priority="356" stopIfTrue="1" operator="lessThan">
      <formula>'1853'!$G$16</formula>
    </cfRule>
  </conditionalFormatting>
  <conditionalFormatting sqref="H17">
    <cfRule type="cellIs" dxfId="2837" priority="357" stopIfTrue="1" operator="equal">
      <formula>'1853'!$G$17</formula>
    </cfRule>
    <cfRule type="cellIs" dxfId="2836" priority="358" stopIfTrue="1" operator="lessThan">
      <formula>'1853'!$G$17</formula>
    </cfRule>
  </conditionalFormatting>
  <conditionalFormatting sqref="H18">
    <cfRule type="cellIs" dxfId="2835" priority="359" stopIfTrue="1" operator="equal">
      <formula>'1853'!$G$18</formula>
    </cfRule>
    <cfRule type="cellIs" dxfId="2834" priority="360" stopIfTrue="1" operator="lessThan">
      <formula>'1853'!$G$18</formula>
    </cfRule>
  </conditionalFormatting>
  <conditionalFormatting sqref="H19">
    <cfRule type="cellIs" dxfId="2833" priority="361" stopIfTrue="1" operator="equal">
      <formula>'1853'!$G$19</formula>
    </cfRule>
    <cfRule type="cellIs" dxfId="2832" priority="362" stopIfTrue="1" operator="lessThan">
      <formula>'1853'!$G$19</formula>
    </cfRule>
  </conditionalFormatting>
  <conditionalFormatting sqref="H20">
    <cfRule type="cellIs" dxfId="2831" priority="363" stopIfTrue="1" operator="equal">
      <formula>'1853'!$G$20</formula>
    </cfRule>
    <cfRule type="cellIs" dxfId="2830" priority="364" stopIfTrue="1" operator="lessThan">
      <formula>'1853'!$G$20</formula>
    </cfRule>
  </conditionalFormatting>
  <conditionalFormatting sqref="H21">
    <cfRule type="cellIs" dxfId="2829" priority="365" stopIfTrue="1" operator="equal">
      <formula>'1853'!$G$21</formula>
    </cfRule>
    <cfRule type="cellIs" dxfId="2828" priority="366" stopIfTrue="1" operator="lessThan">
      <formula>'1853'!$G$21</formula>
    </cfRule>
  </conditionalFormatting>
  <conditionalFormatting sqref="H22">
    <cfRule type="cellIs" dxfId="2827" priority="367" stopIfTrue="1" operator="equal">
      <formula>'1853'!$G$22</formula>
    </cfRule>
    <cfRule type="cellIs" dxfId="2826" priority="368" stopIfTrue="1" operator="lessThan">
      <formula>'1853'!$G$22</formula>
    </cfRule>
  </conditionalFormatting>
  <conditionalFormatting sqref="H23">
    <cfRule type="cellIs" dxfId="2825" priority="369" stopIfTrue="1" operator="equal">
      <formula>'1853'!$G$23</formula>
    </cfRule>
    <cfRule type="cellIs" dxfId="2824" priority="370" stopIfTrue="1" operator="lessThan">
      <formula>'1853'!$G$23</formula>
    </cfRule>
  </conditionalFormatting>
  <conditionalFormatting sqref="H25">
    <cfRule type="cellIs" dxfId="2823" priority="371" stopIfTrue="1" operator="equal">
      <formula>'1853'!$G$25</formula>
    </cfRule>
    <cfRule type="cellIs" dxfId="2822" priority="372" stopIfTrue="1" operator="lessThan">
      <formula>'1853'!$G$25</formula>
    </cfRule>
  </conditionalFormatting>
  <conditionalFormatting sqref="H26">
    <cfRule type="cellIs" dxfId="2821" priority="373" stopIfTrue="1" operator="equal">
      <formula>'1853'!$G$26</formula>
    </cfRule>
    <cfRule type="cellIs" dxfId="2820" priority="374" stopIfTrue="1" operator="lessThan">
      <formula>'1853'!$G$26</formula>
    </cfRule>
  </conditionalFormatting>
  <conditionalFormatting sqref="H27">
    <cfRule type="cellIs" dxfId="2819" priority="375" stopIfTrue="1" operator="equal">
      <formula>'1853'!$G$27</formula>
    </cfRule>
    <cfRule type="cellIs" dxfId="2818" priority="376" stopIfTrue="1" operator="lessThan">
      <formula>'1853'!$G$27</formula>
    </cfRule>
  </conditionalFormatting>
  <conditionalFormatting sqref="H28">
    <cfRule type="cellIs" dxfId="2817" priority="377" stopIfTrue="1" operator="equal">
      <formula>'1853'!$G$28</formula>
    </cfRule>
    <cfRule type="cellIs" dxfId="2816" priority="378" stopIfTrue="1" operator="lessThan">
      <formula>'1853'!$G$28</formula>
    </cfRule>
  </conditionalFormatting>
  <conditionalFormatting sqref="D24">
    <cfRule type="cellIs" dxfId="2815" priority="379" stopIfTrue="1" operator="equal">
      <formula>'1853'!$C$24</formula>
    </cfRule>
    <cfRule type="cellIs" dxfId="2814" priority="380" stopIfTrue="1" operator="lessThan">
      <formula>'1853'!$C$24</formula>
    </cfRule>
  </conditionalFormatting>
  <conditionalFormatting sqref="E24">
    <cfRule type="cellIs" dxfId="2813" priority="381" stopIfTrue="1" operator="equal">
      <formula>'1853'!$D$24</formula>
    </cfRule>
    <cfRule type="cellIs" dxfId="2812" priority="382" stopIfTrue="1" operator="lessThan">
      <formula>'1853'!$D$24</formula>
    </cfRule>
  </conditionalFormatting>
  <conditionalFormatting sqref="F24">
    <cfRule type="cellIs" dxfId="2811" priority="383" stopIfTrue="1" operator="equal">
      <formula>'1853'!$E$24</formula>
    </cfRule>
    <cfRule type="cellIs" dxfId="2810" priority="384" stopIfTrue="1" operator="lessThan">
      <formula>'1853'!$E$24</formula>
    </cfRule>
  </conditionalFormatting>
  <conditionalFormatting sqref="G24">
    <cfRule type="cellIs" dxfId="2809" priority="385" stopIfTrue="1" operator="equal">
      <formula>'1853'!$F$24</formula>
    </cfRule>
    <cfRule type="cellIs" dxfId="2808" priority="386" stopIfTrue="1" operator="lessThan">
      <formula>'1853'!$F$24</formula>
    </cfRule>
  </conditionalFormatting>
  <conditionalFormatting sqref="H24">
    <cfRule type="cellIs" dxfId="2807" priority="387" stopIfTrue="1" operator="equal">
      <formula>'1853'!$G$24</formula>
    </cfRule>
    <cfRule type="cellIs" dxfId="2806" priority="388" stopIfTrue="1" operator="lessThan">
      <formula>'1853'!$G$24</formula>
    </cfRule>
  </conditionalFormatting>
  <conditionalFormatting sqref="E5">
    <cfRule type="cellIs" dxfId="2805" priority="389" stopIfTrue="1" operator="equal">
      <formula>'1853'!$D$5</formula>
    </cfRule>
    <cfRule type="cellIs" dxfId="2804" priority="390" stopIfTrue="1" operator="lessThan">
      <formula>'1853'!$D$5</formula>
    </cfRule>
  </conditionalFormatting>
  <conditionalFormatting sqref="G5">
    <cfRule type="cellIs" dxfId="2803" priority="391" stopIfTrue="1" operator="equal">
      <formula>'1853'!$F$5</formula>
    </cfRule>
    <cfRule type="cellIs" dxfId="2802" priority="392" stopIfTrue="1" operator="lessThan">
      <formula>'1853'!$F$5</formula>
    </cfRule>
  </conditionalFormatting>
  <conditionalFormatting sqref="G4">
    <cfRule type="cellIs" dxfId="2801" priority="393" stopIfTrue="1" operator="equal">
      <formula>'1853'!$F$4</formula>
    </cfRule>
  </conditionalFormatting>
  <conditionalFormatting sqref="I13">
    <cfRule type="cellIs" dxfId="2800" priority="394" stopIfTrue="1" operator="equal">
      <formula>'1853'!$H$13</formula>
    </cfRule>
    <cfRule type="cellIs" dxfId="2799" priority="395" stopIfTrue="1" operator="lessThan">
      <formula>'1853'!$H$13</formula>
    </cfRule>
  </conditionalFormatting>
  <conditionalFormatting sqref="I14">
    <cfRule type="cellIs" dxfId="2798" priority="396" stopIfTrue="1" operator="equal">
      <formula>'1853'!$H$14</formula>
    </cfRule>
    <cfRule type="cellIs" dxfId="2797" priority="397" stopIfTrue="1" operator="lessThan">
      <formula>'1853'!$H$14</formula>
    </cfRule>
  </conditionalFormatting>
  <conditionalFormatting sqref="I15">
    <cfRule type="cellIs" dxfId="2796" priority="398" stopIfTrue="1" operator="equal">
      <formula>'1853'!$H$15</formula>
    </cfRule>
    <cfRule type="cellIs" dxfId="2795" priority="399" stopIfTrue="1" operator="lessThan">
      <formula>'1853'!$H$15</formula>
    </cfRule>
  </conditionalFormatting>
  <conditionalFormatting sqref="I16">
    <cfRule type="cellIs" dxfId="2794" priority="400" stopIfTrue="1" operator="equal">
      <formula>'1853'!$H$16</formula>
    </cfRule>
    <cfRule type="cellIs" dxfId="2793" priority="401" stopIfTrue="1" operator="lessThan">
      <formula>'1853'!$H$16</formula>
    </cfRule>
  </conditionalFormatting>
  <conditionalFormatting sqref="I17">
    <cfRule type="cellIs" dxfId="2792" priority="402" stopIfTrue="1" operator="equal">
      <formula>'1853'!$H$17</formula>
    </cfRule>
    <cfRule type="cellIs" dxfId="2791" priority="403" stopIfTrue="1" operator="lessThan">
      <formula>'1853'!$H$17</formula>
    </cfRule>
  </conditionalFormatting>
  <conditionalFormatting sqref="I18">
    <cfRule type="cellIs" dxfId="2790" priority="404" stopIfTrue="1" operator="equal">
      <formula>'1853'!$H$18</formula>
    </cfRule>
    <cfRule type="cellIs" dxfId="2789" priority="405" stopIfTrue="1" operator="lessThan">
      <formula>'1853'!$H$18</formula>
    </cfRule>
  </conditionalFormatting>
  <conditionalFormatting sqref="I19">
    <cfRule type="cellIs" dxfId="2788" priority="406" stopIfTrue="1" operator="equal">
      <formula>'1853'!$H$19</formula>
    </cfRule>
    <cfRule type="cellIs" dxfId="2787" priority="407" stopIfTrue="1" operator="lessThan">
      <formula>'1853'!$H$19</formula>
    </cfRule>
  </conditionalFormatting>
  <conditionalFormatting sqref="I20">
    <cfRule type="cellIs" dxfId="2786" priority="408" stopIfTrue="1" operator="equal">
      <formula>'1853'!$H$20</formula>
    </cfRule>
    <cfRule type="cellIs" dxfId="2785" priority="409" stopIfTrue="1" operator="lessThan">
      <formula>'1853'!$H$20</formula>
    </cfRule>
  </conditionalFormatting>
  <conditionalFormatting sqref="I21">
    <cfRule type="cellIs" dxfId="2784" priority="410" stopIfTrue="1" operator="equal">
      <formula>'1853'!$H$21</formula>
    </cfRule>
    <cfRule type="cellIs" dxfId="2783" priority="411" stopIfTrue="1" operator="lessThan">
      <formula>'1853'!$H$21</formula>
    </cfRule>
  </conditionalFormatting>
  <conditionalFormatting sqref="I22">
    <cfRule type="cellIs" dxfId="2782" priority="412" stopIfTrue="1" operator="equal">
      <formula>'1853'!$H$22</formula>
    </cfRule>
    <cfRule type="cellIs" dxfId="2781" priority="413" stopIfTrue="1" operator="lessThan">
      <formula>'1853'!$H$22</formula>
    </cfRule>
  </conditionalFormatting>
  <conditionalFormatting sqref="I23">
    <cfRule type="cellIs" dxfId="2780" priority="414" stopIfTrue="1" operator="equal">
      <formula>'1853'!$H$23</formula>
    </cfRule>
    <cfRule type="cellIs" dxfId="2779" priority="415" stopIfTrue="1" operator="lessThan">
      <formula>'1853'!$H$23</formula>
    </cfRule>
  </conditionalFormatting>
  <conditionalFormatting sqref="I24">
    <cfRule type="cellIs" dxfId="2778" priority="416" stopIfTrue="1" operator="equal">
      <formula>'1853'!$H$24</formula>
    </cfRule>
    <cfRule type="cellIs" dxfId="2777" priority="417" stopIfTrue="1" operator="lessThan">
      <formula>'1853'!$H$24</formula>
    </cfRule>
  </conditionalFormatting>
  <conditionalFormatting sqref="I25">
    <cfRule type="cellIs" dxfId="2776" priority="418" stopIfTrue="1" operator="equal">
      <formula>'1853'!$H$25</formula>
    </cfRule>
    <cfRule type="cellIs" dxfId="2775" priority="419" stopIfTrue="1" operator="lessThan">
      <formula>'1853'!$H$25</formula>
    </cfRule>
  </conditionalFormatting>
  <conditionalFormatting sqref="I26">
    <cfRule type="cellIs" dxfId="2774" priority="420" stopIfTrue="1" operator="equal">
      <formula>'1853'!$H$26</formula>
    </cfRule>
    <cfRule type="cellIs" dxfId="2773" priority="421" stopIfTrue="1" operator="lessThan">
      <formula>'1853'!$H$26</formula>
    </cfRule>
  </conditionalFormatting>
  <conditionalFormatting sqref="I27">
    <cfRule type="cellIs" dxfId="2772" priority="422" stopIfTrue="1" operator="equal">
      <formula>'1853'!$H$27</formula>
    </cfRule>
    <cfRule type="cellIs" dxfId="2771" priority="423" stopIfTrue="1" operator="lessThan">
      <formula>'1853'!$H$27</formula>
    </cfRule>
    <cfRule type="cellIs" dxfId="2770" priority="424" stopIfTrue="1" operator="lessThan">
      <formula>'1853'!$H$27</formula>
    </cfRule>
  </conditionalFormatting>
  <conditionalFormatting sqref="I28">
    <cfRule type="cellIs" dxfId="2769" priority="425" stopIfTrue="1" operator="equal">
      <formula>'1853'!$H$28</formula>
    </cfRule>
    <cfRule type="cellIs" dxfId="2768" priority="426" stopIfTrue="1" operator="lessThan">
      <formula>'1853'!$H$28</formula>
    </cfRule>
  </conditionalFormatting>
  <conditionalFormatting sqref="J13">
    <cfRule type="cellIs" dxfId="2767" priority="427" stopIfTrue="1" operator="equal">
      <formula>'1853'!$I$13</formula>
    </cfRule>
    <cfRule type="cellIs" dxfId="2766" priority="428" stopIfTrue="1" operator="lessThan">
      <formula>'1853'!$I$13</formula>
    </cfRule>
  </conditionalFormatting>
  <conditionalFormatting sqref="J14">
    <cfRule type="cellIs" dxfId="2765" priority="429" stopIfTrue="1" operator="equal">
      <formula>'1853'!$I$14</formula>
    </cfRule>
    <cfRule type="cellIs" dxfId="2764" priority="430" stopIfTrue="1" operator="lessThan">
      <formula>'1853'!$I$14</formula>
    </cfRule>
  </conditionalFormatting>
  <conditionalFormatting sqref="J15">
    <cfRule type="cellIs" dxfId="2763" priority="431" stopIfTrue="1" operator="equal">
      <formula>'1853'!$I$15</formula>
    </cfRule>
    <cfRule type="cellIs" dxfId="2762" priority="432" stopIfTrue="1" operator="lessThan">
      <formula>'1853'!$I$15</formula>
    </cfRule>
  </conditionalFormatting>
  <conditionalFormatting sqref="J16">
    <cfRule type="cellIs" dxfId="2761" priority="433" stopIfTrue="1" operator="equal">
      <formula>'1853'!$I$16</formula>
    </cfRule>
    <cfRule type="cellIs" dxfId="2760" priority="434" stopIfTrue="1" operator="lessThan">
      <formula>'1853'!$I$16</formula>
    </cfRule>
  </conditionalFormatting>
  <conditionalFormatting sqref="J17">
    <cfRule type="cellIs" dxfId="2759" priority="435" stopIfTrue="1" operator="equal">
      <formula>'1853'!$I$17</formula>
    </cfRule>
    <cfRule type="cellIs" dxfId="2758" priority="436" stopIfTrue="1" operator="lessThan">
      <formula>'1853'!$I$17</formula>
    </cfRule>
  </conditionalFormatting>
  <conditionalFormatting sqref="J18">
    <cfRule type="cellIs" dxfId="2757" priority="437" stopIfTrue="1" operator="equal">
      <formula>'1853'!$I$18</formula>
    </cfRule>
    <cfRule type="cellIs" dxfId="2756" priority="438" stopIfTrue="1" operator="lessThan">
      <formula>'1853'!$I$18</formula>
    </cfRule>
  </conditionalFormatting>
  <conditionalFormatting sqref="J19">
    <cfRule type="cellIs" dxfId="2755" priority="439" stopIfTrue="1" operator="equal">
      <formula>'1853'!$I$19</formula>
    </cfRule>
    <cfRule type="cellIs" dxfId="2754" priority="440" stopIfTrue="1" operator="lessThan">
      <formula>'1853'!$I$19</formula>
    </cfRule>
  </conditionalFormatting>
  <conditionalFormatting sqref="J20">
    <cfRule type="cellIs" dxfId="2753" priority="441" stopIfTrue="1" operator="equal">
      <formula>'1853'!$I$20</formula>
    </cfRule>
    <cfRule type="cellIs" dxfId="2752" priority="442" stopIfTrue="1" operator="lessThan">
      <formula>'1853'!$I$20</formula>
    </cfRule>
  </conditionalFormatting>
  <conditionalFormatting sqref="J21">
    <cfRule type="cellIs" dxfId="2751" priority="443" stopIfTrue="1" operator="equal">
      <formula>'1853'!$I$21</formula>
    </cfRule>
    <cfRule type="cellIs" dxfId="2750" priority="444" stopIfTrue="1" operator="lessThan">
      <formula>'1853'!$I$21</formula>
    </cfRule>
  </conditionalFormatting>
  <conditionalFormatting sqref="J22">
    <cfRule type="cellIs" dxfId="2749" priority="445" stopIfTrue="1" operator="equal">
      <formula>'1853'!$I$22</formula>
    </cfRule>
    <cfRule type="cellIs" dxfId="2748" priority="446" stopIfTrue="1" operator="lessThan">
      <formula>'1853'!$I$22</formula>
    </cfRule>
  </conditionalFormatting>
  <conditionalFormatting sqref="J23">
    <cfRule type="cellIs" dxfId="2747" priority="447" stopIfTrue="1" operator="equal">
      <formula>'1853'!$I$23</formula>
    </cfRule>
    <cfRule type="cellIs" dxfId="2746" priority="448" stopIfTrue="1" operator="lessThan">
      <formula>'1853'!$I$23</formula>
    </cfRule>
  </conditionalFormatting>
  <conditionalFormatting sqref="J24">
    <cfRule type="cellIs" dxfId="2745" priority="449" stopIfTrue="1" operator="equal">
      <formula>'1853'!$I$24</formula>
    </cfRule>
    <cfRule type="cellIs" dxfId="2744" priority="450" stopIfTrue="1" operator="lessThan">
      <formula>'1853'!$I$24</formula>
    </cfRule>
  </conditionalFormatting>
  <conditionalFormatting sqref="J25">
    <cfRule type="cellIs" dxfId="2743" priority="451" stopIfTrue="1" operator="equal">
      <formula>'1853'!$I$25</formula>
    </cfRule>
    <cfRule type="cellIs" dxfId="2742" priority="452" stopIfTrue="1" operator="lessThan">
      <formula>'1853'!$I$25</formula>
    </cfRule>
  </conditionalFormatting>
  <conditionalFormatting sqref="J26">
    <cfRule type="cellIs" dxfId="2741" priority="453" stopIfTrue="1" operator="equal">
      <formula>'1853'!$I$26</formula>
    </cfRule>
    <cfRule type="cellIs" dxfId="2740" priority="454" stopIfTrue="1" operator="lessThan">
      <formula>'1853'!$I$26</formula>
    </cfRule>
  </conditionalFormatting>
  <conditionalFormatting sqref="J27">
    <cfRule type="cellIs" dxfId="2739" priority="455" stopIfTrue="1" operator="equal">
      <formula>'1853'!$I$27</formula>
    </cfRule>
    <cfRule type="cellIs" dxfId="2738" priority="456" stopIfTrue="1" operator="lessThan">
      <formula>'1853'!$I$27</formula>
    </cfRule>
  </conditionalFormatting>
  <conditionalFormatting sqref="J28">
    <cfRule type="cellIs" dxfId="2737" priority="457" stopIfTrue="1" operator="equal">
      <formula>'1853'!$I$28</formula>
    </cfRule>
    <cfRule type="cellIs" dxfId="2736" priority="458" stopIfTrue="1" operator="lessThan">
      <formula>'1853'!$I$28</formula>
    </cfRule>
  </conditionalFormatting>
  <conditionalFormatting sqref="F29">
    <cfRule type="cellIs" dxfId="2735" priority="459" stopIfTrue="1" operator="equal">
      <formula>'1853'!$E$29</formula>
    </cfRule>
    <cfRule type="cellIs" dxfId="2734" priority="460" stopIfTrue="1" operator="lessThan">
      <formula>'1853'!$E$29</formula>
    </cfRule>
  </conditionalFormatting>
  <conditionalFormatting sqref="G29">
    <cfRule type="cellIs" dxfId="2733" priority="461" stopIfTrue="1" operator="equal">
      <formula>'1853'!$F$29</formula>
    </cfRule>
    <cfRule type="cellIs" dxfId="2732" priority="462" stopIfTrue="1" operator="lessThan">
      <formula>'1853'!$F$29</formula>
    </cfRule>
  </conditionalFormatting>
  <conditionalFormatting sqref="H29">
    <cfRule type="cellIs" dxfId="2731" priority="463" stopIfTrue="1" operator="equal">
      <formula>'1853'!$G$29</formula>
    </cfRule>
    <cfRule type="cellIs" dxfId="2730" priority="464" stopIfTrue="1" operator="lessThan">
      <formula>'1853'!$G$29</formula>
    </cfRule>
  </conditionalFormatting>
  <conditionalFormatting sqref="K4">
    <cfRule type="cellIs" dxfId="2729" priority="465" stopIfTrue="1" operator="equal">
      <formula>'1853'!$J$4</formula>
    </cfRule>
    <cfRule type="cellIs" dxfId="2728" priority="466" stopIfTrue="1" operator="lessThan">
      <formula>'1853'!$J$4</formula>
    </cfRule>
  </conditionalFormatting>
  <conditionalFormatting sqref="K5">
    <cfRule type="cellIs" dxfId="2727" priority="467" stopIfTrue="1" operator="equal">
      <formula>'1853'!$J$5</formula>
    </cfRule>
    <cfRule type="cellIs" dxfId="2726" priority="468" stopIfTrue="1" operator="lessThan">
      <formula>'1853'!$J$5</formula>
    </cfRule>
  </conditionalFormatting>
  <conditionalFormatting sqref="K6">
    <cfRule type="cellIs" dxfId="2725" priority="469" stopIfTrue="1" operator="equal">
      <formula>'1853'!$J$6</formula>
    </cfRule>
    <cfRule type="cellIs" dxfId="2724" priority="470" stopIfTrue="1" operator="lessThan">
      <formula>'1853'!$J$6</formula>
    </cfRule>
  </conditionalFormatting>
  <conditionalFormatting sqref="K7">
    <cfRule type="cellIs" dxfId="2723" priority="471" stopIfTrue="1" operator="equal">
      <formula>'1853'!$J$7</formula>
    </cfRule>
    <cfRule type="cellIs" dxfId="2722" priority="472" stopIfTrue="1" operator="lessThan">
      <formula>'1853'!$J$7</formula>
    </cfRule>
  </conditionalFormatting>
  <conditionalFormatting sqref="K8">
    <cfRule type="cellIs" dxfId="2721" priority="473" stopIfTrue="1" operator="equal">
      <formula>'1853'!$J$8</formula>
    </cfRule>
    <cfRule type="cellIs" dxfId="2720" priority="474" stopIfTrue="1" operator="lessThan">
      <formula>'1853'!$J$8</formula>
    </cfRule>
  </conditionalFormatting>
  <conditionalFormatting sqref="K9">
    <cfRule type="cellIs" dxfId="2719" priority="475" stopIfTrue="1" operator="equal">
      <formula>'1853'!$J$9</formula>
    </cfRule>
    <cfRule type="cellIs" dxfId="2718" priority="476" stopIfTrue="1" operator="lessThan">
      <formula>'1853'!$J$9</formula>
    </cfRule>
  </conditionalFormatting>
  <conditionalFormatting sqref="K10">
    <cfRule type="cellIs" dxfId="2717" priority="477" stopIfTrue="1" operator="equal">
      <formula>'1853'!$J$10</formula>
    </cfRule>
    <cfRule type="cellIs" dxfId="2716" priority="478" stopIfTrue="1" operator="lessThan">
      <formula>'1853'!$J$10</formula>
    </cfRule>
  </conditionalFormatting>
  <conditionalFormatting sqref="K11">
    <cfRule type="cellIs" dxfId="2715" priority="479" stopIfTrue="1" operator="equal">
      <formula>'1853'!$J$11</formula>
    </cfRule>
    <cfRule type="cellIs" dxfId="2714" priority="480" stopIfTrue="1" operator="lessThan">
      <formula>'1853'!$J$11</formula>
    </cfRule>
  </conditionalFormatting>
  <conditionalFormatting sqref="K12">
    <cfRule type="cellIs" dxfId="2713" priority="481" stopIfTrue="1" operator="equal">
      <formula>'1853'!$J$12</formula>
    </cfRule>
    <cfRule type="cellIs" dxfId="2712" priority="482" stopIfTrue="1" operator="lessThan">
      <formula>'1853'!$J$12</formula>
    </cfRule>
  </conditionalFormatting>
  <conditionalFormatting sqref="K13">
    <cfRule type="cellIs" dxfId="2711" priority="483" stopIfTrue="1" operator="equal">
      <formula>'1853'!$J$13</formula>
    </cfRule>
    <cfRule type="cellIs" dxfId="2710" priority="484" stopIfTrue="1" operator="lessThan">
      <formula>'1853'!$J$13</formula>
    </cfRule>
  </conditionalFormatting>
  <conditionalFormatting sqref="K14">
    <cfRule type="cellIs" dxfId="2709" priority="485" stopIfTrue="1" operator="equal">
      <formula>'1853'!$J$14</formula>
    </cfRule>
    <cfRule type="cellIs" dxfId="2708" priority="486" stopIfTrue="1" operator="lessThan">
      <formula>'1853'!$J$14</formula>
    </cfRule>
  </conditionalFormatting>
  <conditionalFormatting sqref="K15">
    <cfRule type="cellIs" dxfId="2707" priority="487" stopIfTrue="1" operator="equal">
      <formula>'1853'!$J$15</formula>
    </cfRule>
    <cfRule type="cellIs" dxfId="2706" priority="488" stopIfTrue="1" operator="lessThan">
      <formula>'1853'!$J$15</formula>
    </cfRule>
  </conditionalFormatting>
  <conditionalFormatting sqref="K16">
    <cfRule type="cellIs" dxfId="2705" priority="489" stopIfTrue="1" operator="equal">
      <formula>'1853'!$J$16</formula>
    </cfRule>
    <cfRule type="cellIs" dxfId="2704" priority="490" stopIfTrue="1" operator="lessThan">
      <formula>'1853'!$J$16</formula>
    </cfRule>
  </conditionalFormatting>
  <conditionalFormatting sqref="K17">
    <cfRule type="cellIs" dxfId="2703" priority="491" stopIfTrue="1" operator="equal">
      <formula>'1853'!$J$17</formula>
    </cfRule>
    <cfRule type="cellIs" dxfId="2702" priority="492" stopIfTrue="1" operator="lessThan">
      <formula>'1853'!$J$17</formula>
    </cfRule>
  </conditionalFormatting>
  <conditionalFormatting sqref="K18">
    <cfRule type="cellIs" dxfId="2701" priority="493" stopIfTrue="1" operator="equal">
      <formula>'1853'!$J$18</formula>
    </cfRule>
    <cfRule type="cellIs" dxfId="2700" priority="494" stopIfTrue="1" operator="lessThan">
      <formula>'1853'!$J$18</formula>
    </cfRule>
  </conditionalFormatting>
  <conditionalFormatting sqref="K19">
    <cfRule type="cellIs" dxfId="2699" priority="495" stopIfTrue="1" operator="equal">
      <formula>'1853'!$J$19</formula>
    </cfRule>
    <cfRule type="cellIs" dxfId="2698" priority="496" stopIfTrue="1" operator="lessThan">
      <formula>'1853'!$J$19</formula>
    </cfRule>
  </conditionalFormatting>
  <conditionalFormatting sqref="K20">
    <cfRule type="cellIs" dxfId="2697" priority="497" stopIfTrue="1" operator="equal">
      <formula>'1853'!$J$20</formula>
    </cfRule>
    <cfRule type="cellIs" dxfId="2696" priority="498" stopIfTrue="1" operator="lessThan">
      <formula>'1853'!$J$20</formula>
    </cfRule>
  </conditionalFormatting>
  <conditionalFormatting sqref="K21">
    <cfRule type="cellIs" dxfId="2695" priority="499" stopIfTrue="1" operator="equal">
      <formula>'1853'!$J$21</formula>
    </cfRule>
    <cfRule type="cellIs" dxfId="2694" priority="500" stopIfTrue="1" operator="lessThan">
      <formula>'1853'!$J$21</formula>
    </cfRule>
  </conditionalFormatting>
  <conditionalFormatting sqref="K22">
    <cfRule type="cellIs" dxfId="2693" priority="501" stopIfTrue="1" operator="equal">
      <formula>'1853'!$J$22</formula>
    </cfRule>
    <cfRule type="cellIs" dxfId="2692" priority="502" stopIfTrue="1" operator="lessThan">
      <formula>'1853'!$J$22</formula>
    </cfRule>
  </conditionalFormatting>
  <conditionalFormatting sqref="K23">
    <cfRule type="cellIs" dxfId="2691" priority="503" stopIfTrue="1" operator="equal">
      <formula>'1853'!$J$23</formula>
    </cfRule>
    <cfRule type="cellIs" dxfId="2690" priority="504" stopIfTrue="1" operator="lessThan">
      <formula>'1853'!$J$23</formula>
    </cfRule>
  </conditionalFormatting>
  <conditionalFormatting sqref="K24">
    <cfRule type="cellIs" dxfId="2689" priority="505" stopIfTrue="1" operator="equal">
      <formula>'1853'!$J$24</formula>
    </cfRule>
    <cfRule type="cellIs" dxfId="2688" priority="506" stopIfTrue="1" operator="lessThan">
      <formula>'1853'!$J$24</formula>
    </cfRule>
  </conditionalFormatting>
  <conditionalFormatting sqref="K25">
    <cfRule type="cellIs" dxfId="2687" priority="507" stopIfTrue="1" operator="equal">
      <formula>'1853'!$J$25</formula>
    </cfRule>
    <cfRule type="cellIs" dxfId="2686" priority="508" stopIfTrue="1" operator="lessThan">
      <formula>'1853'!$J$25</formula>
    </cfRule>
  </conditionalFormatting>
  <conditionalFormatting sqref="K26">
    <cfRule type="cellIs" dxfId="2685" priority="509" stopIfTrue="1" operator="equal">
      <formula>'1853'!$J$26</formula>
    </cfRule>
    <cfRule type="cellIs" dxfId="2684" priority="510" stopIfTrue="1" operator="lessThan">
      <formula>'1853'!$J$26</formula>
    </cfRule>
  </conditionalFormatting>
  <conditionalFormatting sqref="K27">
    <cfRule type="cellIs" dxfId="2683" priority="511" stopIfTrue="1" operator="equal">
      <formula>'1853'!$J$27</formula>
    </cfRule>
    <cfRule type="cellIs" dxfId="2682" priority="512" stopIfTrue="1" operator="lessThan">
      <formula>'1853'!$J$27</formula>
    </cfRule>
  </conditionalFormatting>
  <conditionalFormatting sqref="K28">
    <cfRule type="cellIs" dxfId="2681" priority="513" stopIfTrue="1" operator="lessThan">
      <formula>'1853'!$J$28</formula>
    </cfRule>
    <cfRule type="cellIs" dxfId="2680" priority="514" stopIfTrue="1" operator="equal">
      <formula>'1853'!$J$28</formula>
    </cfRule>
  </conditionalFormatting>
  <conditionalFormatting sqref="K29">
    <cfRule type="cellIs" dxfId="2679" priority="515" stopIfTrue="1" operator="equal">
      <formula>'1853'!$J$29</formula>
    </cfRule>
    <cfRule type="cellIs" dxfId="2678" priority="516" stopIfTrue="1" operator="lessThan">
      <formula>'1853'!$J$29</formula>
    </cfRule>
  </conditionalFormatting>
  <conditionalFormatting sqref="L4">
    <cfRule type="cellIs" dxfId="2677" priority="517" stopIfTrue="1" operator="equal">
      <formula>'1853'!$K$4</formula>
    </cfRule>
    <cfRule type="cellIs" dxfId="2676" priority="518" stopIfTrue="1" operator="lessThan">
      <formula>'1853'!$K$4</formula>
    </cfRule>
  </conditionalFormatting>
  <conditionalFormatting sqref="L5">
    <cfRule type="cellIs" dxfId="2675" priority="519" stopIfTrue="1" operator="equal">
      <formula>'1853'!$K$5</formula>
    </cfRule>
    <cfRule type="cellIs" dxfId="2674" priority="520" stopIfTrue="1" operator="lessThan">
      <formula>'1853'!$K$5</formula>
    </cfRule>
  </conditionalFormatting>
  <conditionalFormatting sqref="L6">
    <cfRule type="cellIs" dxfId="2673" priority="521" stopIfTrue="1" operator="equal">
      <formula>'1853'!$K$6</formula>
    </cfRule>
    <cfRule type="cellIs" dxfId="2672" priority="522" stopIfTrue="1" operator="lessThan">
      <formula>'1853'!$K$6</formula>
    </cfRule>
  </conditionalFormatting>
  <conditionalFormatting sqref="L7">
    <cfRule type="cellIs" dxfId="2671" priority="523" stopIfTrue="1" operator="equal">
      <formula>'1853'!$K$7</formula>
    </cfRule>
    <cfRule type="cellIs" dxfId="2670" priority="524" stopIfTrue="1" operator="lessThan">
      <formula>'1853'!$K$7</formula>
    </cfRule>
  </conditionalFormatting>
  <conditionalFormatting sqref="L8">
    <cfRule type="cellIs" dxfId="2669" priority="525" stopIfTrue="1" operator="equal">
      <formula>'1853'!$K$8</formula>
    </cfRule>
    <cfRule type="cellIs" dxfId="2668" priority="526" stopIfTrue="1" operator="lessThan">
      <formula>'1853'!$K$8</formula>
    </cfRule>
  </conditionalFormatting>
  <conditionalFormatting sqref="L9">
    <cfRule type="cellIs" dxfId="2667" priority="527" stopIfTrue="1" operator="equal">
      <formula>'1853'!$K$9</formula>
    </cfRule>
    <cfRule type="cellIs" dxfId="2666" priority="528" stopIfTrue="1" operator="lessThan">
      <formula>'1853'!$K$9</formula>
    </cfRule>
  </conditionalFormatting>
  <conditionalFormatting sqref="L10">
    <cfRule type="cellIs" dxfId="2665" priority="529" stopIfTrue="1" operator="equal">
      <formula>'1853'!$K$10</formula>
    </cfRule>
    <cfRule type="cellIs" dxfId="2664" priority="530" stopIfTrue="1" operator="lessThan">
      <formula>'1853'!$K$10</formula>
    </cfRule>
  </conditionalFormatting>
  <conditionalFormatting sqref="L12">
    <cfRule type="cellIs" dxfId="2663" priority="531" stopIfTrue="1" operator="equal">
      <formula>'1853'!$K$12</formula>
    </cfRule>
    <cfRule type="cellIs" dxfId="2662" priority="532" stopIfTrue="1" operator="lessThan">
      <formula>'1853'!$K$12</formula>
    </cfRule>
  </conditionalFormatting>
  <conditionalFormatting sqref="L13">
    <cfRule type="cellIs" dxfId="2661" priority="533" stopIfTrue="1" operator="equal">
      <formula>'1853'!$K$13</formula>
    </cfRule>
    <cfRule type="cellIs" dxfId="2660" priority="534" stopIfTrue="1" operator="lessThan">
      <formula>'1853'!$K$13</formula>
    </cfRule>
  </conditionalFormatting>
  <conditionalFormatting sqref="L14">
    <cfRule type="cellIs" dxfId="2659" priority="535" stopIfTrue="1" operator="equal">
      <formula>'1853'!$K$14</formula>
    </cfRule>
    <cfRule type="cellIs" dxfId="2658" priority="536" stopIfTrue="1" operator="lessThan">
      <formula>'1853'!$K$14</formula>
    </cfRule>
  </conditionalFormatting>
  <conditionalFormatting sqref="L15">
    <cfRule type="cellIs" dxfId="2657" priority="537" stopIfTrue="1" operator="equal">
      <formula>'1853'!$K$15</formula>
    </cfRule>
    <cfRule type="cellIs" dxfId="2656" priority="538" stopIfTrue="1" operator="lessThan">
      <formula>'1853'!$K$15</formula>
    </cfRule>
  </conditionalFormatting>
  <conditionalFormatting sqref="L16">
    <cfRule type="cellIs" dxfId="2655" priority="539" stopIfTrue="1" operator="equal">
      <formula>'1853'!$K$16</formula>
    </cfRule>
    <cfRule type="cellIs" dxfId="2654" priority="540" stopIfTrue="1" operator="lessThan">
      <formula>'1853'!$K$16</formula>
    </cfRule>
  </conditionalFormatting>
  <conditionalFormatting sqref="L17">
    <cfRule type="cellIs" dxfId="2653" priority="541" stopIfTrue="1" operator="equal">
      <formula>'1853'!$K$17</formula>
    </cfRule>
    <cfRule type="cellIs" dxfId="2652" priority="542" stopIfTrue="1" operator="lessThan">
      <formula>'1853'!$K$17</formula>
    </cfRule>
  </conditionalFormatting>
  <conditionalFormatting sqref="L18">
    <cfRule type="cellIs" dxfId="2651" priority="543" stopIfTrue="1" operator="equal">
      <formula>'1853'!$K$18</formula>
    </cfRule>
    <cfRule type="cellIs" dxfId="2650" priority="544" stopIfTrue="1" operator="lessThan">
      <formula>'1853'!$K$18</formula>
    </cfRule>
  </conditionalFormatting>
  <conditionalFormatting sqref="L19">
    <cfRule type="cellIs" dxfId="2649" priority="545" stopIfTrue="1" operator="equal">
      <formula>'1853'!$K$19</formula>
    </cfRule>
    <cfRule type="cellIs" dxfId="2648" priority="546" stopIfTrue="1" operator="lessThan">
      <formula>'1853'!$K$19</formula>
    </cfRule>
  </conditionalFormatting>
  <conditionalFormatting sqref="L20">
    <cfRule type="cellIs" dxfId="2647" priority="547" stopIfTrue="1" operator="equal">
      <formula>'1853'!$K$20</formula>
    </cfRule>
    <cfRule type="cellIs" dxfId="2646" priority="548" stopIfTrue="1" operator="lessThan">
      <formula>'1853'!$K$20</formula>
    </cfRule>
  </conditionalFormatting>
  <conditionalFormatting sqref="L21">
    <cfRule type="cellIs" dxfId="2645" priority="549" stopIfTrue="1" operator="equal">
      <formula>'1853'!$K$21</formula>
    </cfRule>
    <cfRule type="cellIs" dxfId="2644" priority="550" stopIfTrue="1" operator="lessThan">
      <formula>'1853'!$K$21</formula>
    </cfRule>
  </conditionalFormatting>
  <conditionalFormatting sqref="L11">
    <cfRule type="cellIs" dxfId="2643" priority="551" stopIfTrue="1" operator="equal">
      <formula>'1853'!$K$11</formula>
    </cfRule>
    <cfRule type="cellIs" dxfId="2642" priority="552" stopIfTrue="1" operator="lessThan">
      <formula>'1853'!$K$11</formula>
    </cfRule>
  </conditionalFormatting>
  <conditionalFormatting sqref="L22">
    <cfRule type="cellIs" dxfId="2641" priority="553" stopIfTrue="1" operator="equal">
      <formula>'1853'!$K$22</formula>
    </cfRule>
    <cfRule type="cellIs" dxfId="2640" priority="554" stopIfTrue="1" operator="lessThan">
      <formula>'1853'!$K$22</formula>
    </cfRule>
  </conditionalFormatting>
  <conditionalFormatting sqref="L23">
    <cfRule type="cellIs" dxfId="2639" priority="555" stopIfTrue="1" operator="equal">
      <formula>'1853'!$K$23</formula>
    </cfRule>
    <cfRule type="cellIs" dxfId="2638" priority="556" stopIfTrue="1" operator="lessThan">
      <formula>'1853'!$K$23</formula>
    </cfRule>
  </conditionalFormatting>
  <conditionalFormatting sqref="L24">
    <cfRule type="cellIs" dxfId="2637" priority="557" stopIfTrue="1" operator="equal">
      <formula>'1853'!$K$24</formula>
    </cfRule>
    <cfRule type="cellIs" dxfId="2636" priority="558" stopIfTrue="1" operator="lessThan">
      <formula>'1853'!$K$24</formula>
    </cfRule>
  </conditionalFormatting>
  <conditionalFormatting sqref="L25">
    <cfRule type="cellIs" dxfId="2635" priority="559" stopIfTrue="1" operator="equal">
      <formula>'1853'!$K$25</formula>
    </cfRule>
    <cfRule type="cellIs" dxfId="2634" priority="560" stopIfTrue="1" operator="lessThan">
      <formula>'1853'!$K$25</formula>
    </cfRule>
  </conditionalFormatting>
  <conditionalFormatting sqref="L26">
    <cfRule type="cellIs" dxfId="2633" priority="561" stopIfTrue="1" operator="equal">
      <formula>'1853'!$K$26</formula>
    </cfRule>
    <cfRule type="cellIs" dxfId="2632" priority="562" stopIfTrue="1" operator="lessThan">
      <formula>'1853'!$K$26</formula>
    </cfRule>
  </conditionalFormatting>
  <conditionalFormatting sqref="L27">
    <cfRule type="cellIs" dxfId="2631" priority="563" stopIfTrue="1" operator="equal">
      <formula>'1853'!$K$27</formula>
    </cfRule>
    <cfRule type="cellIs" dxfId="2630" priority="564" stopIfTrue="1" operator="lessThan">
      <formula>'1853'!$K$27</formula>
    </cfRule>
  </conditionalFormatting>
  <conditionalFormatting sqref="L28">
    <cfRule type="cellIs" dxfId="2629" priority="565" stopIfTrue="1" operator="equal">
      <formula>'1853'!$K$28</formula>
    </cfRule>
    <cfRule type="cellIs" dxfId="2628" priority="566" stopIfTrue="1" operator="lessThan">
      <formula>'1853'!$K$28</formula>
    </cfRule>
  </conditionalFormatting>
  <conditionalFormatting sqref="L29">
    <cfRule type="cellIs" dxfId="2627" priority="567" stopIfTrue="1" operator="equal">
      <formula>'1853'!$K$29</formula>
    </cfRule>
    <cfRule type="cellIs" dxfId="2626" priority="568" stopIfTrue="1" operator="lessThan">
      <formula>'1853'!$K$29</formula>
    </cfRule>
  </conditionalFormatting>
  <conditionalFormatting sqref="M4">
    <cfRule type="cellIs" dxfId="2625" priority="569" stopIfTrue="1" operator="lessThan">
      <formula>'1853'!$L$4</formula>
    </cfRule>
    <cfRule type="cellIs" dxfId="2624" priority="570" stopIfTrue="1" operator="equal">
      <formula>'1853'!$L$4</formula>
    </cfRule>
  </conditionalFormatting>
  <conditionalFormatting sqref="M5">
    <cfRule type="cellIs" dxfId="2623" priority="571" stopIfTrue="1" operator="equal">
      <formula>'1853'!$L$5</formula>
    </cfRule>
    <cfRule type="cellIs" dxfId="2622" priority="572" stopIfTrue="1" operator="lessThan">
      <formula>'1853'!$L$5</formula>
    </cfRule>
  </conditionalFormatting>
  <conditionalFormatting sqref="M6">
    <cfRule type="cellIs" dxfId="2621" priority="573" stopIfTrue="1" operator="equal">
      <formula>'1853'!$L$6</formula>
    </cfRule>
    <cfRule type="cellIs" dxfId="2620" priority="574" stopIfTrue="1" operator="lessThan">
      <formula>'1853'!$L$6</formula>
    </cfRule>
  </conditionalFormatting>
  <conditionalFormatting sqref="M7">
    <cfRule type="cellIs" dxfId="2619" priority="575" stopIfTrue="1" operator="equal">
      <formula>'1853'!$L$7</formula>
    </cfRule>
    <cfRule type="cellIs" dxfId="2618" priority="576" stopIfTrue="1" operator="lessThan">
      <formula>'1853'!$L$7</formula>
    </cfRule>
  </conditionalFormatting>
  <conditionalFormatting sqref="M8">
    <cfRule type="cellIs" dxfId="2617" priority="577" stopIfTrue="1" operator="equal">
      <formula>'1853'!$L$8</formula>
    </cfRule>
    <cfRule type="cellIs" dxfId="2616" priority="578" stopIfTrue="1" operator="lessThan">
      <formula>'1853'!$L$8</formula>
    </cfRule>
  </conditionalFormatting>
  <conditionalFormatting sqref="M9">
    <cfRule type="cellIs" dxfId="2615" priority="579" stopIfTrue="1" operator="equal">
      <formula>'1853'!$L$9</formula>
    </cfRule>
    <cfRule type="cellIs" dxfId="2614" priority="580" stopIfTrue="1" operator="lessThan">
      <formula>'1853'!$L$9</formula>
    </cfRule>
  </conditionalFormatting>
  <conditionalFormatting sqref="M10">
    <cfRule type="cellIs" dxfId="2613" priority="581" stopIfTrue="1" operator="equal">
      <formula>'1853'!$L$10</formula>
    </cfRule>
    <cfRule type="cellIs" dxfId="2612" priority="582" stopIfTrue="1" operator="lessThan">
      <formula>'1853'!$L$10</formula>
    </cfRule>
  </conditionalFormatting>
  <conditionalFormatting sqref="M11">
    <cfRule type="cellIs" dxfId="2611" priority="583" stopIfTrue="1" operator="equal">
      <formula>'1853'!$L$11</formula>
    </cfRule>
    <cfRule type="cellIs" dxfId="2610" priority="584" stopIfTrue="1" operator="lessThan">
      <formula>'1853'!$L$11</formula>
    </cfRule>
  </conditionalFormatting>
  <conditionalFormatting sqref="M12">
    <cfRule type="cellIs" dxfId="2609" priority="585" stopIfTrue="1" operator="equal">
      <formula>'1853'!$L$12</formula>
    </cfRule>
    <cfRule type="cellIs" dxfId="2608" priority="586" stopIfTrue="1" operator="lessThan">
      <formula>'1853'!$L$12</formula>
    </cfRule>
  </conditionalFormatting>
  <conditionalFormatting sqref="M13">
    <cfRule type="cellIs" dxfId="2607" priority="587" stopIfTrue="1" operator="equal">
      <formula>'1853'!$L$13</formula>
    </cfRule>
    <cfRule type="cellIs" dxfId="2606" priority="588" stopIfTrue="1" operator="lessThan">
      <formula>'1853'!$L$13</formula>
    </cfRule>
  </conditionalFormatting>
  <conditionalFormatting sqref="M14">
    <cfRule type="cellIs" dxfId="2605" priority="589" stopIfTrue="1" operator="equal">
      <formula>'1853'!$L$14</formula>
    </cfRule>
    <cfRule type="cellIs" dxfId="2604" priority="590" stopIfTrue="1" operator="lessThan">
      <formula>'1853'!$L$14</formula>
    </cfRule>
  </conditionalFormatting>
  <conditionalFormatting sqref="M15">
    <cfRule type="cellIs" dxfId="2603" priority="591" stopIfTrue="1" operator="equal">
      <formula>'1853'!$L$15</formula>
    </cfRule>
    <cfRule type="cellIs" dxfId="2602" priority="592" stopIfTrue="1" operator="lessThan">
      <formula>'1853'!$L$15</formula>
    </cfRule>
  </conditionalFormatting>
  <conditionalFormatting sqref="M16">
    <cfRule type="cellIs" dxfId="2601" priority="593" stopIfTrue="1" operator="equal">
      <formula>'1853'!$L$16</formula>
    </cfRule>
    <cfRule type="cellIs" dxfId="2600" priority="594" stopIfTrue="1" operator="lessThan">
      <formula>'1853'!$L$16</formula>
    </cfRule>
  </conditionalFormatting>
  <conditionalFormatting sqref="M17">
    <cfRule type="cellIs" dxfId="2599" priority="595" stopIfTrue="1" operator="equal">
      <formula>'1853'!$L$17</formula>
    </cfRule>
    <cfRule type="cellIs" dxfId="2598" priority="596" stopIfTrue="1" operator="lessThan">
      <formula>'1853'!$L$17</formula>
    </cfRule>
  </conditionalFormatting>
  <conditionalFormatting sqref="M18">
    <cfRule type="cellIs" dxfId="2597" priority="597" stopIfTrue="1" operator="equal">
      <formula>'1853'!$L$18</formula>
    </cfRule>
    <cfRule type="cellIs" dxfId="2596" priority="598" stopIfTrue="1" operator="lessThan">
      <formula>'1853'!$L$18</formula>
    </cfRule>
  </conditionalFormatting>
  <conditionalFormatting sqref="M19">
    <cfRule type="cellIs" dxfId="2595" priority="599" stopIfTrue="1" operator="equal">
      <formula>'1853'!$L$19</formula>
    </cfRule>
    <cfRule type="cellIs" dxfId="2594" priority="600" stopIfTrue="1" operator="lessThan">
      <formula>'1853'!$L$19</formula>
    </cfRule>
  </conditionalFormatting>
  <conditionalFormatting sqref="M20">
    <cfRule type="cellIs" dxfId="2593" priority="601" stopIfTrue="1" operator="equal">
      <formula>'1853'!$L$20</formula>
    </cfRule>
    <cfRule type="cellIs" dxfId="2592" priority="602" stopIfTrue="1" operator="lessThan">
      <formula>'1853'!$L$20</formula>
    </cfRule>
  </conditionalFormatting>
  <conditionalFormatting sqref="M21">
    <cfRule type="cellIs" dxfId="2591" priority="603" stopIfTrue="1" operator="equal">
      <formula>'1853'!$L$21</formula>
    </cfRule>
    <cfRule type="cellIs" dxfId="2590" priority="604" stopIfTrue="1" operator="lessThan">
      <formula>'1853'!$L$21</formula>
    </cfRule>
  </conditionalFormatting>
  <conditionalFormatting sqref="M22">
    <cfRule type="cellIs" dxfId="2589" priority="605" stopIfTrue="1" operator="equal">
      <formula>'1853'!$L$22</formula>
    </cfRule>
    <cfRule type="cellIs" dxfId="2588" priority="606" stopIfTrue="1" operator="lessThan">
      <formula>'1853'!$L$22</formula>
    </cfRule>
  </conditionalFormatting>
  <conditionalFormatting sqref="M23">
    <cfRule type="cellIs" dxfId="2587" priority="607" stopIfTrue="1" operator="equal">
      <formula>'1853'!$L$23</formula>
    </cfRule>
    <cfRule type="cellIs" dxfId="2586" priority="608" stopIfTrue="1" operator="lessThan">
      <formula>'1853'!$L$23</formula>
    </cfRule>
  </conditionalFormatting>
  <conditionalFormatting sqref="M24">
    <cfRule type="cellIs" dxfId="2585" priority="609" stopIfTrue="1" operator="equal">
      <formula>'1853'!$L$24</formula>
    </cfRule>
    <cfRule type="cellIs" dxfId="2584" priority="610" stopIfTrue="1" operator="lessThan">
      <formula>'1853'!$L$24</formula>
    </cfRule>
  </conditionalFormatting>
  <conditionalFormatting sqref="M25">
    <cfRule type="cellIs" dxfId="2583" priority="611" stopIfTrue="1" operator="equal">
      <formula>'1853'!$L$25</formula>
    </cfRule>
    <cfRule type="cellIs" dxfId="2582" priority="612" stopIfTrue="1" operator="lessThan">
      <formula>'1853'!$L$25</formula>
    </cfRule>
  </conditionalFormatting>
  <conditionalFormatting sqref="M26">
    <cfRule type="cellIs" dxfId="2581" priority="613" stopIfTrue="1" operator="equal">
      <formula>'1853'!$L$26</formula>
    </cfRule>
    <cfRule type="cellIs" dxfId="2580" priority="614" stopIfTrue="1" operator="lessThan">
      <formula>'1853'!$L$26</formula>
    </cfRule>
  </conditionalFormatting>
  <conditionalFormatting sqref="M27">
    <cfRule type="cellIs" dxfId="2579" priority="615" stopIfTrue="1" operator="equal">
      <formula>'1853'!$L$27</formula>
    </cfRule>
    <cfRule type="cellIs" dxfId="2578" priority="616" stopIfTrue="1" operator="lessThan">
      <formula>'1853'!$L$27</formula>
    </cfRule>
  </conditionalFormatting>
  <conditionalFormatting sqref="M28">
    <cfRule type="cellIs" dxfId="2577" priority="617" stopIfTrue="1" operator="equal">
      <formula>'1853'!$L$28</formula>
    </cfRule>
    <cfRule type="cellIs" dxfId="2576" priority="618" stopIfTrue="1" operator="lessThan">
      <formula>'1853'!$L$28</formula>
    </cfRule>
  </conditionalFormatting>
  <conditionalFormatting sqref="M29">
    <cfRule type="cellIs" dxfId="2575" priority="619" stopIfTrue="1" operator="equal">
      <formula>'1853'!$L$29</formula>
    </cfRule>
    <cfRule type="cellIs" dxfId="2574" priority="620" stopIfTrue="1" operator="lessThan">
      <formula>'1853'!$L$29</formula>
    </cfRule>
  </conditionalFormatting>
  <conditionalFormatting sqref="N4">
    <cfRule type="cellIs" dxfId="2573" priority="621" stopIfTrue="1" operator="equal">
      <formula>'1853'!$M$4</formula>
    </cfRule>
    <cfRule type="cellIs" dxfId="2572" priority="622" stopIfTrue="1" operator="lessThan">
      <formula>'1853'!$M$4</formula>
    </cfRule>
  </conditionalFormatting>
  <conditionalFormatting sqref="N5">
    <cfRule type="cellIs" dxfId="2571" priority="623" stopIfTrue="1" operator="equal">
      <formula>'1853'!$M$5</formula>
    </cfRule>
    <cfRule type="cellIs" dxfId="2570" priority="624" stopIfTrue="1" operator="lessThan">
      <formula>'1853'!$M$5</formula>
    </cfRule>
  </conditionalFormatting>
  <conditionalFormatting sqref="N6">
    <cfRule type="cellIs" dxfId="2569" priority="625" stopIfTrue="1" operator="equal">
      <formula>'1853'!$M$6</formula>
    </cfRule>
    <cfRule type="cellIs" dxfId="2568" priority="626" stopIfTrue="1" operator="lessThan">
      <formula>'1853'!$M$6</formula>
    </cfRule>
  </conditionalFormatting>
  <conditionalFormatting sqref="N7">
    <cfRule type="cellIs" dxfId="2567" priority="627" stopIfTrue="1" operator="equal">
      <formula>'1853'!$M$7</formula>
    </cfRule>
    <cfRule type="cellIs" dxfId="2566" priority="628" stopIfTrue="1" operator="lessThan">
      <formula>'1853'!$M$7</formula>
    </cfRule>
  </conditionalFormatting>
  <conditionalFormatting sqref="N8">
    <cfRule type="cellIs" dxfId="2565" priority="629" stopIfTrue="1" operator="equal">
      <formula>'1853'!$M$8</formula>
    </cfRule>
    <cfRule type="cellIs" dxfId="2564" priority="630" stopIfTrue="1" operator="lessThan">
      <formula>'1853'!$M$8</formula>
    </cfRule>
  </conditionalFormatting>
  <conditionalFormatting sqref="N9">
    <cfRule type="cellIs" dxfId="2563" priority="631" stopIfTrue="1" operator="equal">
      <formula>'1853'!$M$9</formula>
    </cfRule>
    <cfRule type="cellIs" dxfId="2562" priority="632" stopIfTrue="1" operator="lessThan">
      <formula>'1853'!$M$9</formula>
    </cfRule>
  </conditionalFormatting>
  <conditionalFormatting sqref="N10">
    <cfRule type="cellIs" dxfId="2561" priority="633" stopIfTrue="1" operator="equal">
      <formula>'1853'!$M$10</formula>
    </cfRule>
    <cfRule type="cellIs" dxfId="2560" priority="634" stopIfTrue="1" operator="lessThan">
      <formula>'1853'!$M$10</formula>
    </cfRule>
  </conditionalFormatting>
  <conditionalFormatting sqref="N11">
    <cfRule type="cellIs" dxfId="2559" priority="635" stopIfTrue="1" operator="equal">
      <formula>'1853'!$M$11</formula>
    </cfRule>
    <cfRule type="cellIs" dxfId="2558" priority="636" stopIfTrue="1" operator="lessThan">
      <formula>'1853'!$M$11</formula>
    </cfRule>
  </conditionalFormatting>
  <conditionalFormatting sqref="N12">
    <cfRule type="cellIs" dxfId="2557" priority="637" stopIfTrue="1" operator="equal">
      <formula>'1853'!$M$12</formula>
    </cfRule>
    <cfRule type="cellIs" dxfId="2556" priority="638" stopIfTrue="1" operator="lessThan">
      <formula>'1853'!$M$12</formula>
    </cfRule>
  </conditionalFormatting>
  <conditionalFormatting sqref="N13">
    <cfRule type="cellIs" dxfId="2555" priority="639" stopIfTrue="1" operator="equal">
      <formula>'1853'!$M$13</formula>
    </cfRule>
    <cfRule type="cellIs" dxfId="2554" priority="640" stopIfTrue="1" operator="lessThan">
      <formula>'1853'!$M$13</formula>
    </cfRule>
  </conditionalFormatting>
  <conditionalFormatting sqref="N14">
    <cfRule type="cellIs" dxfId="2553" priority="641" stopIfTrue="1" operator="equal">
      <formula>'1853'!$M$14</formula>
    </cfRule>
    <cfRule type="cellIs" dxfId="2552" priority="642" stopIfTrue="1" operator="lessThan">
      <formula>'1853'!$M$14</formula>
    </cfRule>
  </conditionalFormatting>
  <conditionalFormatting sqref="N15">
    <cfRule type="cellIs" dxfId="2551" priority="643" stopIfTrue="1" operator="equal">
      <formula>'1853'!$M$15</formula>
    </cfRule>
    <cfRule type="cellIs" dxfId="2550" priority="644" stopIfTrue="1" operator="lessThan">
      <formula>'1853'!$M$15</formula>
    </cfRule>
  </conditionalFormatting>
  <conditionalFormatting sqref="N16">
    <cfRule type="cellIs" dxfId="2549" priority="645" stopIfTrue="1" operator="equal">
      <formula>'1853'!$M$16</formula>
    </cfRule>
    <cfRule type="cellIs" dxfId="2548" priority="646" stopIfTrue="1" operator="lessThan">
      <formula>'1853'!$M$16</formula>
    </cfRule>
  </conditionalFormatting>
  <conditionalFormatting sqref="N17">
    <cfRule type="cellIs" dxfId="2547" priority="647" stopIfTrue="1" operator="equal">
      <formula>'1853'!$M$17</formula>
    </cfRule>
    <cfRule type="cellIs" dxfId="2546" priority="648" stopIfTrue="1" operator="lessThan">
      <formula>'1853'!$M$17</formula>
    </cfRule>
  </conditionalFormatting>
  <conditionalFormatting sqref="N18">
    <cfRule type="cellIs" dxfId="2545" priority="649" stopIfTrue="1" operator="equal">
      <formula>'1853'!$M$18</formula>
    </cfRule>
    <cfRule type="cellIs" dxfId="2544" priority="650" stopIfTrue="1" operator="lessThan">
      <formula>'1853'!$M$18</formula>
    </cfRule>
  </conditionalFormatting>
  <conditionalFormatting sqref="N19">
    <cfRule type="cellIs" dxfId="2543" priority="651" stopIfTrue="1" operator="equal">
      <formula>'1853'!$M$19</formula>
    </cfRule>
    <cfRule type="cellIs" dxfId="2542" priority="652" stopIfTrue="1" operator="lessThan">
      <formula>'1853'!$M$19</formula>
    </cfRule>
  </conditionalFormatting>
  <conditionalFormatting sqref="N20">
    <cfRule type="cellIs" dxfId="2541" priority="653" stopIfTrue="1" operator="equal">
      <formula>'1853'!$M$20</formula>
    </cfRule>
    <cfRule type="cellIs" dxfId="2540" priority="654" stopIfTrue="1" operator="lessThan">
      <formula>'1853'!$M$20</formula>
    </cfRule>
  </conditionalFormatting>
  <conditionalFormatting sqref="N21">
    <cfRule type="cellIs" dxfId="2539" priority="655" stopIfTrue="1" operator="equal">
      <formula>'1853'!$M$21</formula>
    </cfRule>
    <cfRule type="cellIs" dxfId="2538" priority="656" stopIfTrue="1" operator="lessThan">
      <formula>'1853'!$M$21</formula>
    </cfRule>
  </conditionalFormatting>
  <conditionalFormatting sqref="N22">
    <cfRule type="cellIs" dxfId="2537" priority="657" stopIfTrue="1" operator="equal">
      <formula>'1853'!$M$22</formula>
    </cfRule>
    <cfRule type="cellIs" dxfId="2536" priority="658" stopIfTrue="1" operator="lessThan">
      <formula>'1853'!$M$22</formula>
    </cfRule>
  </conditionalFormatting>
  <conditionalFormatting sqref="N23">
    <cfRule type="cellIs" dxfId="2535" priority="659" stopIfTrue="1" operator="equal">
      <formula>'1853'!$M$23</formula>
    </cfRule>
    <cfRule type="cellIs" dxfId="2534" priority="660" stopIfTrue="1" operator="lessThan">
      <formula>'1853'!$M$23</formula>
    </cfRule>
  </conditionalFormatting>
  <conditionalFormatting sqref="N24">
    <cfRule type="cellIs" dxfId="2533" priority="661" stopIfTrue="1" operator="equal">
      <formula>'1853'!$M$24</formula>
    </cfRule>
    <cfRule type="cellIs" dxfId="2532" priority="662" stopIfTrue="1" operator="lessThan">
      <formula>'1853'!$M$24</formula>
    </cfRule>
  </conditionalFormatting>
  <conditionalFormatting sqref="N25">
    <cfRule type="cellIs" dxfId="2531" priority="663" stopIfTrue="1" operator="equal">
      <formula>'1853'!$M$25</formula>
    </cfRule>
    <cfRule type="cellIs" dxfId="2530" priority="664" stopIfTrue="1" operator="lessThan">
      <formula>'1853'!$M$25</formula>
    </cfRule>
  </conditionalFormatting>
  <conditionalFormatting sqref="N26">
    <cfRule type="cellIs" dxfId="2529" priority="665" stopIfTrue="1" operator="equal">
      <formula>'1853'!$M$26</formula>
    </cfRule>
    <cfRule type="cellIs" dxfId="2528" priority="666" stopIfTrue="1" operator="lessThan">
      <formula>'1853'!$M$26</formula>
    </cfRule>
  </conditionalFormatting>
  <conditionalFormatting sqref="N27">
    <cfRule type="cellIs" dxfId="2527" priority="667" stopIfTrue="1" operator="equal">
      <formula>'1853'!$M$27</formula>
    </cfRule>
    <cfRule type="cellIs" dxfId="2526" priority="668" stopIfTrue="1" operator="lessThan">
      <formula>'1853'!$M$27</formula>
    </cfRule>
  </conditionalFormatting>
  <conditionalFormatting sqref="N28">
    <cfRule type="cellIs" dxfId="2525" priority="669" stopIfTrue="1" operator="equal">
      <formula>'1853'!$M$28</formula>
    </cfRule>
    <cfRule type="cellIs" dxfId="2524" priority="670" stopIfTrue="1" operator="lessThan">
      <formula>'1853'!$M$28</formula>
    </cfRule>
  </conditionalFormatting>
  <conditionalFormatting sqref="N29">
    <cfRule type="cellIs" dxfId="2523" priority="671" stopIfTrue="1" operator="equal">
      <formula>'1853'!$M$29</formula>
    </cfRule>
    <cfRule type="cellIs" dxfId="2522" priority="672" stopIfTrue="1" operator="lessThan">
      <formula>'1853'!$M$29</formula>
    </cfRule>
  </conditionalFormatting>
  <conditionalFormatting sqref="O4">
    <cfRule type="cellIs" dxfId="2521" priority="674" stopIfTrue="1" operator="lessThan">
      <formula>'1853'!$N$4</formula>
    </cfRule>
  </conditionalFormatting>
  <conditionalFormatting sqref="O5">
    <cfRule type="cellIs" dxfId="2520" priority="675" stopIfTrue="1" operator="equal">
      <formula>'1853'!$N$5</formula>
    </cfRule>
    <cfRule type="cellIs" dxfId="2519" priority="676" stopIfTrue="1" operator="lessThan">
      <formula>'1853'!$N$5</formula>
    </cfRule>
  </conditionalFormatting>
  <conditionalFormatting sqref="O6">
    <cfRule type="cellIs" dxfId="2518" priority="677" stopIfTrue="1" operator="equal">
      <formula>'1853'!$N$6</formula>
    </cfRule>
    <cfRule type="cellIs" dxfId="2517" priority="678" stopIfTrue="1" operator="lessThan">
      <formula>'1853'!$N$6</formula>
    </cfRule>
  </conditionalFormatting>
  <conditionalFormatting sqref="O7">
    <cfRule type="cellIs" dxfId="2516" priority="679" stopIfTrue="1" operator="equal">
      <formula>'1853'!$N$7</formula>
    </cfRule>
    <cfRule type="cellIs" dxfId="2515" priority="680" stopIfTrue="1" operator="lessThan">
      <formula>'1853'!$N$7</formula>
    </cfRule>
  </conditionalFormatting>
  <conditionalFormatting sqref="O8">
    <cfRule type="cellIs" dxfId="2514" priority="681" stopIfTrue="1" operator="equal">
      <formula>'1853'!$N$8</formula>
    </cfRule>
    <cfRule type="cellIs" dxfId="2513" priority="682" stopIfTrue="1" operator="lessThan">
      <formula>'1853'!$N$8</formula>
    </cfRule>
  </conditionalFormatting>
  <conditionalFormatting sqref="O9">
    <cfRule type="cellIs" dxfId="2512" priority="683" stopIfTrue="1" operator="equal">
      <formula>'1853'!$N$9</formula>
    </cfRule>
    <cfRule type="cellIs" dxfId="2511" priority="684" stopIfTrue="1" operator="lessThan">
      <formula>'1853'!$N$9</formula>
    </cfRule>
  </conditionalFormatting>
  <conditionalFormatting sqref="O10">
    <cfRule type="cellIs" dxfId="2510" priority="685" stopIfTrue="1" operator="equal">
      <formula>'1853'!$N$10</formula>
    </cfRule>
    <cfRule type="cellIs" dxfId="2509" priority="686" stopIfTrue="1" operator="lessThan">
      <formula>'1853'!$N$10</formula>
    </cfRule>
  </conditionalFormatting>
  <conditionalFormatting sqref="O11">
    <cfRule type="cellIs" dxfId="2508" priority="687" stopIfTrue="1" operator="equal">
      <formula>'1853'!$N$11</formula>
    </cfRule>
    <cfRule type="cellIs" dxfId="2507" priority="688" stopIfTrue="1" operator="lessThan">
      <formula>'1853'!$N$11</formula>
    </cfRule>
  </conditionalFormatting>
  <conditionalFormatting sqref="O12">
    <cfRule type="cellIs" dxfId="2506" priority="689" stopIfTrue="1" operator="equal">
      <formula>'1853'!$N$12</formula>
    </cfRule>
    <cfRule type="cellIs" dxfId="2505" priority="690" stopIfTrue="1" operator="lessThan">
      <formula>'1853'!$N$12</formula>
    </cfRule>
  </conditionalFormatting>
  <conditionalFormatting sqref="O13">
    <cfRule type="cellIs" dxfId="2504" priority="691" stopIfTrue="1" operator="equal">
      <formula>'1853'!$N$13</formula>
    </cfRule>
    <cfRule type="cellIs" dxfId="2503" priority="692" stopIfTrue="1" operator="lessThan">
      <formula>'1853'!$N$13</formula>
    </cfRule>
  </conditionalFormatting>
  <conditionalFormatting sqref="O14">
    <cfRule type="cellIs" dxfId="2502" priority="693" stopIfTrue="1" operator="equal">
      <formula>'1853'!$N$14</formula>
    </cfRule>
    <cfRule type="cellIs" dxfId="2501" priority="694" stopIfTrue="1" operator="lessThan">
      <formula>'1853'!$N$14</formula>
    </cfRule>
  </conditionalFormatting>
  <conditionalFormatting sqref="O15">
    <cfRule type="cellIs" dxfId="2500" priority="695" stopIfTrue="1" operator="equal">
      <formula>'1853'!$N$15</formula>
    </cfRule>
    <cfRule type="cellIs" dxfId="2499" priority="696" stopIfTrue="1" operator="lessThan">
      <formula>'1853'!$N$15</formula>
    </cfRule>
  </conditionalFormatting>
  <conditionalFormatting sqref="O16">
    <cfRule type="cellIs" dxfId="2498" priority="697" stopIfTrue="1" operator="equal">
      <formula>'1853'!$N$16</formula>
    </cfRule>
    <cfRule type="cellIs" dxfId="2497" priority="698" stopIfTrue="1" operator="lessThan">
      <formula>'1853'!$N$16</formula>
    </cfRule>
  </conditionalFormatting>
  <conditionalFormatting sqref="O17">
    <cfRule type="cellIs" dxfId="2496" priority="699" stopIfTrue="1" operator="equal">
      <formula>'1853'!$N$17</formula>
    </cfRule>
    <cfRule type="cellIs" dxfId="2495" priority="700" stopIfTrue="1" operator="lessThan">
      <formula>'1853'!$N$17</formula>
    </cfRule>
  </conditionalFormatting>
  <conditionalFormatting sqref="O18">
    <cfRule type="cellIs" dxfId="2494" priority="701" stopIfTrue="1" operator="equal">
      <formula>'1853'!$N$18</formula>
    </cfRule>
    <cfRule type="cellIs" dxfId="2493" priority="702" stopIfTrue="1" operator="lessThan">
      <formula>'1853'!$N$18</formula>
    </cfRule>
  </conditionalFormatting>
  <conditionalFormatting sqref="O19">
    <cfRule type="cellIs" dxfId="2492" priority="703" stopIfTrue="1" operator="equal">
      <formula>'1853'!$N$19</formula>
    </cfRule>
    <cfRule type="cellIs" dxfId="2491" priority="704" stopIfTrue="1" operator="lessThan">
      <formula>'1853'!$N$19</formula>
    </cfRule>
  </conditionalFormatting>
  <conditionalFormatting sqref="O20">
    <cfRule type="cellIs" dxfId="2490" priority="705" stopIfTrue="1" operator="equal">
      <formula>'1853'!$N$20</formula>
    </cfRule>
    <cfRule type="cellIs" dxfId="2489" priority="706" stopIfTrue="1" operator="lessThan">
      <formula>'1853'!$N$20</formula>
    </cfRule>
  </conditionalFormatting>
  <conditionalFormatting sqref="O21">
    <cfRule type="cellIs" dxfId="2488" priority="707" stopIfTrue="1" operator="equal">
      <formula>'1853'!$N$21</formula>
    </cfRule>
    <cfRule type="cellIs" dxfId="2487" priority="708" stopIfTrue="1" operator="lessThan">
      <formula>'1853'!$N$21</formula>
    </cfRule>
  </conditionalFormatting>
  <conditionalFormatting sqref="O22">
    <cfRule type="cellIs" dxfId="2486" priority="709" stopIfTrue="1" operator="equal">
      <formula>'1853'!$N$22</formula>
    </cfRule>
    <cfRule type="cellIs" dxfId="2485" priority="710" stopIfTrue="1" operator="lessThan">
      <formula>'1853'!$N$22</formula>
    </cfRule>
  </conditionalFormatting>
  <conditionalFormatting sqref="O23">
    <cfRule type="cellIs" dxfId="2484" priority="711" stopIfTrue="1" operator="equal">
      <formula>'1853'!$N$23</formula>
    </cfRule>
    <cfRule type="cellIs" dxfId="2483" priority="712" stopIfTrue="1" operator="lessThan">
      <formula>'1853'!$N$23</formula>
    </cfRule>
  </conditionalFormatting>
  <conditionalFormatting sqref="O24">
    <cfRule type="cellIs" dxfId="2482" priority="713" stopIfTrue="1" operator="equal">
      <formula>'1853'!$N$24</formula>
    </cfRule>
    <cfRule type="cellIs" dxfId="2481" priority="714" stopIfTrue="1" operator="lessThan">
      <formula>'1853'!$N$24</formula>
    </cfRule>
  </conditionalFormatting>
  <conditionalFormatting sqref="O25">
    <cfRule type="cellIs" dxfId="2480" priority="715" stopIfTrue="1" operator="equal">
      <formula>'1853'!$N$25</formula>
    </cfRule>
    <cfRule type="cellIs" dxfId="2479" priority="716" stopIfTrue="1" operator="lessThan">
      <formula>'1853'!$N$25</formula>
    </cfRule>
  </conditionalFormatting>
  <conditionalFormatting sqref="O26">
    <cfRule type="cellIs" dxfId="2478" priority="717" stopIfTrue="1" operator="equal">
      <formula>'1853'!$N$26</formula>
    </cfRule>
    <cfRule type="cellIs" dxfId="2477" priority="718" stopIfTrue="1" operator="lessThan">
      <formula>'1853'!$N$26</formula>
    </cfRule>
  </conditionalFormatting>
  <conditionalFormatting sqref="O27">
    <cfRule type="cellIs" dxfId="2476" priority="719" stopIfTrue="1" operator="equal">
      <formula>'1853'!$N$27</formula>
    </cfRule>
    <cfRule type="cellIs" dxfId="2475" priority="720" stopIfTrue="1" operator="lessThan">
      <formula>'1853'!$N$27</formula>
    </cfRule>
  </conditionalFormatting>
  <conditionalFormatting sqref="O28">
    <cfRule type="cellIs" dxfId="2474" priority="721" stopIfTrue="1" operator="equal">
      <formula>'1853'!$N$28</formula>
    </cfRule>
    <cfRule type="cellIs" dxfId="2473" priority="722" stopIfTrue="1" operator="lessThan">
      <formula>'1853'!$N$28</formula>
    </cfRule>
  </conditionalFormatting>
  <conditionalFormatting sqref="O29">
    <cfRule type="cellIs" dxfId="2472" priority="723" stopIfTrue="1" operator="equal">
      <formula>'1853'!$N$29</formula>
    </cfRule>
    <cfRule type="cellIs" dxfId="2471" priority="724" stopIfTrue="1" operator="lessThan">
      <formula>'1853'!$N$29</formula>
    </cfRule>
  </conditionalFormatting>
  <pageMargins left="0.70866141732283472" right="0.70866141732283472" top="0.78740157480314965" bottom="0.78740157480314965" header="0.51181102362204722" footer="0.51181102362204722"/>
  <pageSetup paperSize="9" scale="97" firstPageNumber="0" orientation="landscape" r:id="rId1"/>
  <headerFooter alignWithMargins="0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AF41"/>
  <sheetViews>
    <sheetView workbookViewId="0">
      <selection activeCell="O2" sqref="O2"/>
    </sheetView>
  </sheetViews>
  <sheetFormatPr defaultRowHeight="15"/>
  <cols>
    <col min="1" max="1" width="8.5703125" style="30" customWidth="1"/>
    <col min="2" max="2" width="26.140625" customWidth="1"/>
    <col min="3" max="12" width="10.140625" customWidth="1"/>
    <col min="13" max="13" width="12" bestFit="1" customWidth="1"/>
    <col min="14" max="15" width="10.140625" customWidth="1"/>
    <col min="16" max="16" width="9.5703125" customWidth="1"/>
    <col min="17" max="17" width="9.85546875" bestFit="1" customWidth="1"/>
    <col min="18" max="18" width="9.28515625" bestFit="1" customWidth="1"/>
    <col min="19" max="19" width="4" customWidth="1"/>
  </cols>
  <sheetData>
    <row r="1" spans="1:32" ht="15.75" thickBot="1"/>
    <row r="2" spans="1:32" s="1" customFormat="1" ht="21" customHeight="1" thickBot="1">
      <c r="A2" s="161">
        <v>1854</v>
      </c>
      <c r="B2" s="2"/>
      <c r="C2" s="3">
        <f>'1850'!C2</f>
        <v>44197</v>
      </c>
      <c r="D2" s="3">
        <f>'1850'!D2</f>
        <v>44228</v>
      </c>
      <c r="E2" s="3">
        <f>'1850'!E2</f>
        <v>44256</v>
      </c>
      <c r="F2" s="3">
        <f>'1850'!F2</f>
        <v>44286</v>
      </c>
      <c r="G2" s="3">
        <f>'1850'!G2</f>
        <v>44316</v>
      </c>
      <c r="H2" s="3">
        <f>'1850'!H2</f>
        <v>44348</v>
      </c>
      <c r="I2" s="3">
        <f>'1850'!I2</f>
        <v>44379</v>
      </c>
      <c r="J2" s="3">
        <f>'1850'!J2</f>
        <v>44410</v>
      </c>
      <c r="K2" s="3">
        <f>'1850'!K2</f>
        <v>44441</v>
      </c>
      <c r="L2" s="3">
        <f>'1850'!L2</f>
        <v>44470</v>
      </c>
      <c r="M2" s="3">
        <f>'1850'!M2</f>
        <v>44501</v>
      </c>
      <c r="N2" s="3">
        <f>'1850'!N2</f>
        <v>44531</v>
      </c>
      <c r="O2" s="3">
        <f>'1850'!O2</f>
        <v>44562</v>
      </c>
      <c r="P2" s="1" t="s">
        <v>0</v>
      </c>
      <c r="Q2" s="1" t="s">
        <v>1</v>
      </c>
      <c r="U2" s="198"/>
      <c r="V2" s="199"/>
      <c r="W2" s="199"/>
      <c r="X2" s="199"/>
      <c r="Y2" s="199" t="s">
        <v>287</v>
      </c>
      <c r="Z2" s="199"/>
      <c r="AA2" s="199"/>
      <c r="AB2" s="199"/>
      <c r="AC2" s="199"/>
      <c r="AD2" s="205"/>
      <c r="AE2" s="205"/>
      <c r="AF2" s="206"/>
    </row>
    <row r="3" spans="1:32" s="1" customFormat="1" ht="15.75" thickBot="1">
      <c r="A3" s="162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166</v>
      </c>
      <c r="Q3" s="1" t="s">
        <v>165</v>
      </c>
      <c r="T3" s="1" t="s">
        <v>286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2" t="s">
        <v>13</v>
      </c>
      <c r="AE3" s="162" t="s">
        <v>14</v>
      </c>
      <c r="AF3" s="162" t="s">
        <v>3</v>
      </c>
    </row>
    <row r="4" spans="1:32" ht="15.75" thickBot="1">
      <c r="A4" s="289">
        <v>1</v>
      </c>
      <c r="B4" s="7" t="s">
        <v>243</v>
      </c>
      <c r="C4" s="111">
        <v>108.29600000000001</v>
      </c>
      <c r="D4" s="111">
        <v>117.934</v>
      </c>
      <c r="E4" s="111">
        <v>126.371</v>
      </c>
      <c r="F4" s="111">
        <v>137.142</v>
      </c>
      <c r="G4" s="111">
        <v>143.57300000000001</v>
      </c>
      <c r="H4" s="111">
        <v>151.36799999999999</v>
      </c>
      <c r="I4" s="111">
        <v>156.89099999999999</v>
      </c>
      <c r="J4" s="111">
        <v>160.63499999999999</v>
      </c>
      <c r="K4" s="111">
        <v>163.49799999999999</v>
      </c>
      <c r="L4" s="112">
        <v>170.96</v>
      </c>
      <c r="M4" s="111">
        <v>178.41499999999999</v>
      </c>
      <c r="N4" s="111">
        <v>186.131</v>
      </c>
      <c r="O4" s="111">
        <v>190.77</v>
      </c>
      <c r="P4" s="10">
        <f>O4-C4</f>
        <v>82.474000000000004</v>
      </c>
      <c r="T4" s="1">
        <v>1</v>
      </c>
      <c r="U4" s="200">
        <f t="shared" ref="U4:AF4" si="0">D4-C4</f>
        <v>9.637999999999991</v>
      </c>
      <c r="V4" s="200">
        <f t="shared" si="0"/>
        <v>8.4369999999999976</v>
      </c>
      <c r="W4" s="200">
        <f t="shared" si="0"/>
        <v>10.771000000000001</v>
      </c>
      <c r="X4" s="200">
        <f t="shared" si="0"/>
        <v>6.4310000000000116</v>
      </c>
      <c r="Y4" s="200">
        <f t="shared" si="0"/>
        <v>7.7949999999999875</v>
      </c>
      <c r="Z4" s="200">
        <f t="shared" si="0"/>
        <v>5.5229999999999961</v>
      </c>
      <c r="AA4" s="200">
        <f t="shared" si="0"/>
        <v>3.7439999999999998</v>
      </c>
      <c r="AB4" s="200">
        <f t="shared" si="0"/>
        <v>2.8629999999999995</v>
      </c>
      <c r="AC4" s="200">
        <f t="shared" si="0"/>
        <v>7.4620000000000175</v>
      </c>
      <c r="AD4" s="200">
        <f t="shared" si="0"/>
        <v>7.4549999999999841</v>
      </c>
      <c r="AE4" s="200">
        <f t="shared" si="0"/>
        <v>7.7160000000000082</v>
      </c>
      <c r="AF4" s="200">
        <f t="shared" si="0"/>
        <v>4.63900000000001</v>
      </c>
    </row>
    <row r="5" spans="1:32">
      <c r="A5" s="289"/>
      <c r="B5" s="11" t="s">
        <v>73</v>
      </c>
      <c r="C5" s="35">
        <v>55.872999999999998</v>
      </c>
      <c r="D5" s="35">
        <v>60.558999999999997</v>
      </c>
      <c r="E5" s="35">
        <v>64.611999999999995</v>
      </c>
      <c r="F5" s="35">
        <v>68.171000000000006</v>
      </c>
      <c r="G5" s="35">
        <v>70.575000000000003</v>
      </c>
      <c r="H5" s="35">
        <v>71.721999999999994</v>
      </c>
      <c r="I5" s="35">
        <v>72.069999999999993</v>
      </c>
      <c r="J5" s="35">
        <v>72.355000000000004</v>
      </c>
      <c r="K5" s="35">
        <v>72.597999999999999</v>
      </c>
      <c r="L5" s="113">
        <v>73.034000000000006</v>
      </c>
      <c r="M5" s="35">
        <v>74.462999999999994</v>
      </c>
      <c r="N5" s="35">
        <v>2.8149999999999999</v>
      </c>
      <c r="O5" s="35">
        <v>6.7919999999999998</v>
      </c>
      <c r="P5" s="10"/>
      <c r="Q5" s="10">
        <f>O5+M5-C5</f>
        <v>25.381999999999998</v>
      </c>
      <c r="T5" s="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</row>
    <row r="6" spans="1:32">
      <c r="A6" s="288">
        <v>2</v>
      </c>
      <c r="B6" s="11" t="s">
        <v>244</v>
      </c>
      <c r="C6" s="35">
        <v>69.331000000000003</v>
      </c>
      <c r="D6" s="35">
        <v>74.159000000000006</v>
      </c>
      <c r="E6" s="35">
        <v>78.521000000000001</v>
      </c>
      <c r="F6" s="35">
        <v>82.637</v>
      </c>
      <c r="G6" s="35">
        <v>86.875</v>
      </c>
      <c r="H6" s="35">
        <v>92.6</v>
      </c>
      <c r="I6" s="35">
        <v>98.444999999999993</v>
      </c>
      <c r="J6" s="35">
        <v>103.959</v>
      </c>
      <c r="K6" s="35">
        <v>108.19</v>
      </c>
      <c r="L6" s="35">
        <v>114.812</v>
      </c>
      <c r="M6" s="35">
        <v>119.84099999999999</v>
      </c>
      <c r="N6" s="35">
        <v>125.586</v>
      </c>
      <c r="O6" s="35">
        <v>130.154</v>
      </c>
      <c r="P6" s="10">
        <f>O6-C6</f>
        <v>60.822999999999993</v>
      </c>
      <c r="T6" s="1">
        <v>2</v>
      </c>
      <c r="U6" s="202">
        <f t="shared" ref="U6:AF6" si="1">D6-C6</f>
        <v>4.828000000000003</v>
      </c>
      <c r="V6" s="202">
        <f t="shared" si="1"/>
        <v>4.3619999999999948</v>
      </c>
      <c r="W6" s="202">
        <f t="shared" si="1"/>
        <v>4.1159999999999997</v>
      </c>
      <c r="X6" s="202">
        <f t="shared" si="1"/>
        <v>4.2379999999999995</v>
      </c>
      <c r="Y6" s="202">
        <f t="shared" si="1"/>
        <v>5.7249999999999943</v>
      </c>
      <c r="Z6" s="202">
        <f t="shared" si="1"/>
        <v>5.8449999999999989</v>
      </c>
      <c r="AA6" s="202">
        <f t="shared" si="1"/>
        <v>5.51400000000001</v>
      </c>
      <c r="AB6" s="202">
        <f t="shared" si="1"/>
        <v>4.2309999999999945</v>
      </c>
      <c r="AC6" s="202">
        <f t="shared" si="1"/>
        <v>6.6219999999999999</v>
      </c>
      <c r="AD6" s="202">
        <f t="shared" si="1"/>
        <v>5.0289999999999964</v>
      </c>
      <c r="AE6" s="202">
        <f t="shared" si="1"/>
        <v>5.7450000000000045</v>
      </c>
      <c r="AF6" s="202">
        <f t="shared" si="1"/>
        <v>4.5679999999999978</v>
      </c>
    </row>
    <row r="7" spans="1:32">
      <c r="A7" s="288"/>
      <c r="B7" s="11" t="s">
        <v>74</v>
      </c>
      <c r="C7" s="35">
        <v>120</v>
      </c>
      <c r="D7" s="35">
        <v>126.143</v>
      </c>
      <c r="E7" s="35">
        <v>131.767</v>
      </c>
      <c r="F7" s="35">
        <v>136.23699999999999</v>
      </c>
      <c r="G7" s="35">
        <v>139.33799999999999</v>
      </c>
      <c r="H7" s="35">
        <v>141.11500000000001</v>
      </c>
      <c r="I7" s="35">
        <v>141.51900000000001</v>
      </c>
      <c r="J7" s="35">
        <v>141.94399999999999</v>
      </c>
      <c r="K7" s="35">
        <v>142.28</v>
      </c>
      <c r="L7" s="35">
        <v>142.834</v>
      </c>
      <c r="M7" s="35">
        <v>144.52099999999999</v>
      </c>
      <c r="N7" s="35">
        <v>3.8919999999999999</v>
      </c>
      <c r="O7" s="35">
        <v>9.4109999999999996</v>
      </c>
      <c r="P7" s="10"/>
      <c r="Q7" s="10">
        <f t="shared" ref="Q7:Q21" si="2">O7+M7-C7</f>
        <v>33.931999999999988</v>
      </c>
      <c r="T7" s="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</row>
    <row r="8" spans="1:32">
      <c r="A8" s="288">
        <v>3</v>
      </c>
      <c r="B8" s="11" t="s">
        <v>245</v>
      </c>
      <c r="C8" s="35">
        <v>101.518</v>
      </c>
      <c r="D8" s="35">
        <v>108.33199999999999</v>
      </c>
      <c r="E8" s="35">
        <v>115.32299999999999</v>
      </c>
      <c r="F8" s="35">
        <v>122.072</v>
      </c>
      <c r="G8" s="35">
        <v>128.964</v>
      </c>
      <c r="H8" s="35">
        <v>136.83099999999999</v>
      </c>
      <c r="I8" s="35">
        <v>145.71899999999999</v>
      </c>
      <c r="J8" s="35">
        <v>153.25</v>
      </c>
      <c r="K8" s="35">
        <v>161.73099999999999</v>
      </c>
      <c r="L8" s="35">
        <v>168.76300000000001</v>
      </c>
      <c r="M8" s="35">
        <v>175.98699999999999</v>
      </c>
      <c r="N8" s="35">
        <v>182.69399999999999</v>
      </c>
      <c r="O8" s="35">
        <v>190.74</v>
      </c>
      <c r="P8" s="10">
        <f>O8-C8</f>
        <v>89.222000000000008</v>
      </c>
      <c r="T8" s="1">
        <v>3</v>
      </c>
      <c r="U8" s="202">
        <f t="shared" ref="U8:AF8" si="3">D8-C8</f>
        <v>6.813999999999993</v>
      </c>
      <c r="V8" s="202">
        <f t="shared" si="3"/>
        <v>6.9909999999999997</v>
      </c>
      <c r="W8" s="202">
        <f t="shared" si="3"/>
        <v>6.7490000000000094</v>
      </c>
      <c r="X8" s="202">
        <f t="shared" si="3"/>
        <v>6.8919999999999959</v>
      </c>
      <c r="Y8" s="202">
        <f t="shared" si="3"/>
        <v>7.8669999999999902</v>
      </c>
      <c r="Z8" s="202">
        <f t="shared" si="3"/>
        <v>8.8880000000000052</v>
      </c>
      <c r="AA8" s="202">
        <f t="shared" si="3"/>
        <v>7.5310000000000059</v>
      </c>
      <c r="AB8" s="202">
        <f t="shared" si="3"/>
        <v>8.4809999999999945</v>
      </c>
      <c r="AC8" s="202">
        <f t="shared" si="3"/>
        <v>7.0320000000000107</v>
      </c>
      <c r="AD8" s="202">
        <f t="shared" si="3"/>
        <v>7.2239999999999895</v>
      </c>
      <c r="AE8" s="202">
        <f t="shared" si="3"/>
        <v>6.7069999999999936</v>
      </c>
      <c r="AF8" s="202">
        <f t="shared" si="3"/>
        <v>8.0460000000000207</v>
      </c>
    </row>
    <row r="9" spans="1:32">
      <c r="A9" s="288"/>
      <c r="B9" s="11" t="s">
        <v>75</v>
      </c>
      <c r="C9" s="35">
        <v>120.42100000000001</v>
      </c>
      <c r="D9" s="35">
        <v>126.754</v>
      </c>
      <c r="E9" s="35">
        <v>132.548</v>
      </c>
      <c r="F9" s="35">
        <v>137.48099999999999</v>
      </c>
      <c r="G9" s="35">
        <v>142.24100000000001</v>
      </c>
      <c r="H9" s="35">
        <v>145.10300000000001</v>
      </c>
      <c r="I9" s="35">
        <v>145.40299999999999</v>
      </c>
      <c r="J9" s="35">
        <v>145.63200000000001</v>
      </c>
      <c r="K9" s="35">
        <v>146.18899999999999</v>
      </c>
      <c r="L9" s="35">
        <v>146.87799999999999</v>
      </c>
      <c r="M9" s="35">
        <v>149.51900000000001</v>
      </c>
      <c r="N9" s="35">
        <v>5.1970000000000001</v>
      </c>
      <c r="O9" s="35">
        <v>11.59</v>
      </c>
      <c r="P9" s="10"/>
      <c r="Q9" s="10">
        <f t="shared" ref="Q9:Q21" si="4">O9+M9-C9</f>
        <v>40.688000000000002</v>
      </c>
      <c r="T9" s="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</row>
    <row r="10" spans="1:32">
      <c r="A10" s="288">
        <v>4</v>
      </c>
      <c r="B10" s="11" t="s">
        <v>246</v>
      </c>
      <c r="C10" s="35">
        <v>70.197999999999993</v>
      </c>
      <c r="D10" s="35">
        <v>74.825000000000003</v>
      </c>
      <c r="E10" s="35">
        <v>78.215999999999994</v>
      </c>
      <c r="F10" s="35">
        <v>81.361000000000004</v>
      </c>
      <c r="G10" s="35">
        <v>84.888000000000005</v>
      </c>
      <c r="H10" s="35">
        <v>89.820999999999998</v>
      </c>
      <c r="I10" s="35">
        <v>93.736999999999995</v>
      </c>
      <c r="J10" s="35">
        <v>97.617000000000004</v>
      </c>
      <c r="K10" s="35">
        <v>101.23399999999999</v>
      </c>
      <c r="L10" s="35">
        <v>105.38</v>
      </c>
      <c r="M10" s="35">
        <v>110.009</v>
      </c>
      <c r="N10" s="35">
        <v>116.852</v>
      </c>
      <c r="O10" s="35">
        <v>125.285</v>
      </c>
      <c r="P10" s="10">
        <f>O10-C10</f>
        <v>55.087000000000003</v>
      </c>
      <c r="T10" s="1">
        <v>4</v>
      </c>
      <c r="U10" s="202">
        <f t="shared" ref="U10:AF10" si="5">D10-C10</f>
        <v>4.6270000000000095</v>
      </c>
      <c r="V10" s="202">
        <f t="shared" si="5"/>
        <v>3.3909999999999911</v>
      </c>
      <c r="W10" s="202">
        <f t="shared" si="5"/>
        <v>3.1450000000000102</v>
      </c>
      <c r="X10" s="202">
        <f t="shared" si="5"/>
        <v>3.527000000000001</v>
      </c>
      <c r="Y10" s="202">
        <f t="shared" si="5"/>
        <v>4.9329999999999927</v>
      </c>
      <c r="Z10" s="202">
        <f t="shared" si="5"/>
        <v>3.9159999999999968</v>
      </c>
      <c r="AA10" s="202">
        <f t="shared" si="5"/>
        <v>3.8800000000000097</v>
      </c>
      <c r="AB10" s="202">
        <f t="shared" si="5"/>
        <v>3.6169999999999902</v>
      </c>
      <c r="AC10" s="202">
        <f t="shared" si="5"/>
        <v>4.1460000000000008</v>
      </c>
      <c r="AD10" s="202">
        <f t="shared" si="5"/>
        <v>4.6290000000000049</v>
      </c>
      <c r="AE10" s="202">
        <f t="shared" si="5"/>
        <v>6.8430000000000035</v>
      </c>
      <c r="AF10" s="202">
        <f t="shared" si="5"/>
        <v>8.4329999999999927</v>
      </c>
    </row>
    <row r="11" spans="1:32">
      <c r="A11" s="288"/>
      <c r="B11" s="11" t="s">
        <v>179</v>
      </c>
      <c r="C11" s="35">
        <v>50.563000000000002</v>
      </c>
      <c r="D11" s="35">
        <v>53.795999999999999</v>
      </c>
      <c r="E11" s="35">
        <v>55.883000000000003</v>
      </c>
      <c r="F11" s="35">
        <v>57.771000000000001</v>
      </c>
      <c r="G11" s="35">
        <v>59.018000000000001</v>
      </c>
      <c r="H11" s="35">
        <v>60.432000000000002</v>
      </c>
      <c r="I11" s="35">
        <v>60.804000000000002</v>
      </c>
      <c r="J11" s="35">
        <v>61.1</v>
      </c>
      <c r="K11" s="35">
        <v>61.430999999999997</v>
      </c>
      <c r="L11" s="35">
        <v>61.774000000000001</v>
      </c>
      <c r="M11" s="35">
        <v>62.689</v>
      </c>
      <c r="N11" s="35">
        <v>1.8009999999999999</v>
      </c>
      <c r="O11" s="35">
        <v>3.734</v>
      </c>
      <c r="P11" s="10"/>
      <c r="Q11" s="10">
        <f t="shared" ref="Q11:Q21" si="6">O11+M11-C11</f>
        <v>15.86</v>
      </c>
      <c r="T11" s="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</row>
    <row r="12" spans="1:32">
      <c r="A12" s="288">
        <v>5</v>
      </c>
      <c r="B12" s="11" t="s">
        <v>247</v>
      </c>
      <c r="C12" s="35">
        <v>0.35099999999999998</v>
      </c>
      <c r="D12" s="35">
        <v>0.35099999999999998</v>
      </c>
      <c r="E12" s="35">
        <v>0.39400000000000002</v>
      </c>
      <c r="F12" s="35">
        <v>0.39400000000000002</v>
      </c>
      <c r="G12" s="35">
        <v>0.4</v>
      </c>
      <c r="H12" s="35">
        <v>0.40600000000000003</v>
      </c>
      <c r="I12" s="35">
        <v>0.433</v>
      </c>
      <c r="J12" s="35">
        <v>0.433</v>
      </c>
      <c r="K12" s="35">
        <v>0.44600000000000001</v>
      </c>
      <c r="L12" s="35">
        <v>0.45900000000000002</v>
      </c>
      <c r="M12" s="35">
        <v>0.48799999999999999</v>
      </c>
      <c r="N12" s="35">
        <v>0.49</v>
      </c>
      <c r="O12" s="35">
        <v>0.5</v>
      </c>
      <c r="P12" s="10">
        <f>O12-C12</f>
        <v>0.14900000000000002</v>
      </c>
      <c r="T12" s="1">
        <v>5</v>
      </c>
      <c r="U12" s="202">
        <f t="shared" ref="U12:AF12" si="7">D12-C12</f>
        <v>0</v>
      </c>
      <c r="V12" s="202">
        <f t="shared" si="7"/>
        <v>4.3000000000000038E-2</v>
      </c>
      <c r="W12" s="202">
        <f t="shared" si="7"/>
        <v>0</v>
      </c>
      <c r="X12" s="202">
        <f t="shared" si="7"/>
        <v>6.0000000000000053E-3</v>
      </c>
      <c r="Y12" s="202">
        <f t="shared" si="7"/>
        <v>6.0000000000000053E-3</v>
      </c>
      <c r="Z12" s="202">
        <f t="shared" si="7"/>
        <v>2.6999999999999968E-2</v>
      </c>
      <c r="AA12" s="202">
        <f t="shared" si="7"/>
        <v>0</v>
      </c>
      <c r="AB12" s="202">
        <f t="shared" si="7"/>
        <v>1.3000000000000012E-2</v>
      </c>
      <c r="AC12" s="202">
        <f t="shared" si="7"/>
        <v>1.3000000000000012E-2</v>
      </c>
      <c r="AD12" s="202">
        <f t="shared" si="7"/>
        <v>2.899999999999997E-2</v>
      </c>
      <c r="AE12" s="202">
        <f t="shared" si="7"/>
        <v>2.0000000000000018E-3</v>
      </c>
      <c r="AF12" s="202">
        <f t="shared" si="7"/>
        <v>1.0000000000000009E-2</v>
      </c>
    </row>
    <row r="13" spans="1:32">
      <c r="A13" s="288"/>
      <c r="B13" s="11" t="s">
        <v>76</v>
      </c>
      <c r="C13" s="35">
        <v>16.744</v>
      </c>
      <c r="D13" s="35">
        <v>16.795999999999999</v>
      </c>
      <c r="E13" s="35">
        <v>17.823</v>
      </c>
      <c r="F13" s="35">
        <v>17.957000000000001</v>
      </c>
      <c r="G13" s="35">
        <v>18.128</v>
      </c>
      <c r="H13" s="35">
        <v>18.295000000000002</v>
      </c>
      <c r="I13" s="35">
        <v>18.422999999999998</v>
      </c>
      <c r="J13" s="35">
        <v>18.548999999999999</v>
      </c>
      <c r="K13" s="35">
        <v>18.68</v>
      </c>
      <c r="L13" s="35">
        <v>18.812000000000001</v>
      </c>
      <c r="M13" s="35">
        <v>19.756</v>
      </c>
      <c r="N13" s="35">
        <v>1.5349999999999999</v>
      </c>
      <c r="O13" s="35">
        <v>1.7310000000000001</v>
      </c>
      <c r="P13" s="10"/>
      <c r="Q13" s="10">
        <f t="shared" ref="Q13:Q21" si="8">O13+M13-C13</f>
        <v>4.7430000000000021</v>
      </c>
      <c r="T13" s="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</row>
    <row r="14" spans="1:32">
      <c r="A14" s="288">
        <v>6</v>
      </c>
      <c r="B14" s="11" t="s">
        <v>248</v>
      </c>
      <c r="C14" s="35">
        <v>141.535</v>
      </c>
      <c r="D14" s="35">
        <v>151.572</v>
      </c>
      <c r="E14" s="35">
        <v>160.36099999999999</v>
      </c>
      <c r="F14" s="35">
        <v>169.755</v>
      </c>
      <c r="G14" s="35">
        <v>171.005</v>
      </c>
      <c r="H14" s="35">
        <v>176.65</v>
      </c>
      <c r="I14" s="35">
        <v>184.17699999999999</v>
      </c>
      <c r="J14" s="35">
        <v>191.53399999999999</v>
      </c>
      <c r="K14" s="35">
        <v>200.078</v>
      </c>
      <c r="L14" s="35">
        <v>208.774</v>
      </c>
      <c r="M14" s="35">
        <v>216.67</v>
      </c>
      <c r="N14" s="35">
        <v>225.03</v>
      </c>
      <c r="O14" s="35">
        <v>233.66900000000001</v>
      </c>
      <c r="P14" s="10">
        <f>O14-C14</f>
        <v>92.134000000000015</v>
      </c>
      <c r="T14" s="1">
        <v>6</v>
      </c>
      <c r="U14" s="202">
        <f t="shared" ref="U14:AF14" si="9">D14-C14</f>
        <v>10.037000000000006</v>
      </c>
      <c r="V14" s="202">
        <f t="shared" si="9"/>
        <v>8.7889999999999873</v>
      </c>
      <c r="W14" s="202">
        <f t="shared" si="9"/>
        <v>9.3940000000000055</v>
      </c>
      <c r="X14" s="202">
        <f t="shared" si="9"/>
        <v>1.25</v>
      </c>
      <c r="Y14" s="202">
        <f t="shared" si="9"/>
        <v>5.6450000000000102</v>
      </c>
      <c r="Z14" s="202">
        <f t="shared" si="9"/>
        <v>7.5269999999999868</v>
      </c>
      <c r="AA14" s="202">
        <f t="shared" si="9"/>
        <v>7.3569999999999993</v>
      </c>
      <c r="AB14" s="202">
        <f t="shared" si="9"/>
        <v>8.5440000000000111</v>
      </c>
      <c r="AC14" s="202">
        <f t="shared" si="9"/>
        <v>8.695999999999998</v>
      </c>
      <c r="AD14" s="202">
        <f t="shared" si="9"/>
        <v>7.8959999999999866</v>
      </c>
      <c r="AE14" s="202">
        <f t="shared" si="9"/>
        <v>8.3600000000000136</v>
      </c>
      <c r="AF14" s="202">
        <f t="shared" si="9"/>
        <v>8.63900000000001</v>
      </c>
    </row>
    <row r="15" spans="1:32">
      <c r="A15" s="288"/>
      <c r="B15" s="11" t="s">
        <v>77</v>
      </c>
      <c r="C15" s="35">
        <v>78.856999999999999</v>
      </c>
      <c r="D15" s="35">
        <v>81.944999999999993</v>
      </c>
      <c r="E15" s="35">
        <v>84.347999999999999</v>
      </c>
      <c r="F15" s="35">
        <v>86.491</v>
      </c>
      <c r="G15" s="35">
        <v>86.881</v>
      </c>
      <c r="H15" s="35">
        <v>87.32</v>
      </c>
      <c r="I15" s="35">
        <v>87.792000000000002</v>
      </c>
      <c r="J15" s="35">
        <v>88.195999999999998</v>
      </c>
      <c r="K15" s="35">
        <v>88.596000000000004</v>
      </c>
      <c r="L15" s="35">
        <v>89.094999999999999</v>
      </c>
      <c r="M15" s="35">
        <v>89.722999999999999</v>
      </c>
      <c r="N15" s="35">
        <v>1.079</v>
      </c>
      <c r="O15" s="35">
        <v>2.625</v>
      </c>
      <c r="P15" s="10"/>
      <c r="Q15" s="10">
        <f t="shared" ref="Q15:Q21" si="10">O15+M15-C15</f>
        <v>13.491</v>
      </c>
      <c r="T15" s="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</row>
    <row r="16" spans="1:32">
      <c r="A16" s="288">
        <v>7</v>
      </c>
      <c r="B16" s="11" t="s">
        <v>249</v>
      </c>
      <c r="C16" s="35">
        <v>51.225000000000001</v>
      </c>
      <c r="D16" s="35">
        <v>55.634</v>
      </c>
      <c r="E16" s="35">
        <v>59.594000000000001</v>
      </c>
      <c r="F16" s="35">
        <v>63.798999999999999</v>
      </c>
      <c r="G16" s="35">
        <v>67.822999999999993</v>
      </c>
      <c r="H16" s="35">
        <v>71.991</v>
      </c>
      <c r="I16" s="35">
        <v>76.224000000000004</v>
      </c>
      <c r="J16" s="35">
        <v>80.807000000000002</v>
      </c>
      <c r="K16" s="35">
        <v>85.22</v>
      </c>
      <c r="L16" s="35">
        <v>89.016999999999996</v>
      </c>
      <c r="M16" s="35">
        <v>92.745000000000005</v>
      </c>
      <c r="N16" s="35">
        <v>97.034000000000006</v>
      </c>
      <c r="O16" s="35">
        <v>101.134</v>
      </c>
      <c r="P16" s="10">
        <f>O16-C16</f>
        <v>49.908999999999999</v>
      </c>
      <c r="T16" s="1">
        <v>7</v>
      </c>
      <c r="U16" s="202">
        <f t="shared" ref="U16:AF16" si="11">D16-C16</f>
        <v>4.4089999999999989</v>
      </c>
      <c r="V16" s="202">
        <f t="shared" si="11"/>
        <v>3.9600000000000009</v>
      </c>
      <c r="W16" s="202">
        <f t="shared" si="11"/>
        <v>4.2049999999999983</v>
      </c>
      <c r="X16" s="202">
        <f t="shared" si="11"/>
        <v>4.0239999999999938</v>
      </c>
      <c r="Y16" s="202">
        <f t="shared" si="11"/>
        <v>4.1680000000000064</v>
      </c>
      <c r="Z16" s="202">
        <f t="shared" si="11"/>
        <v>4.2330000000000041</v>
      </c>
      <c r="AA16" s="202">
        <f t="shared" si="11"/>
        <v>4.5829999999999984</v>
      </c>
      <c r="AB16" s="202">
        <f t="shared" si="11"/>
        <v>4.4129999999999967</v>
      </c>
      <c r="AC16" s="202">
        <f t="shared" si="11"/>
        <v>3.796999999999997</v>
      </c>
      <c r="AD16" s="202">
        <f t="shared" si="11"/>
        <v>3.7280000000000086</v>
      </c>
      <c r="AE16" s="202">
        <f t="shared" si="11"/>
        <v>4.2890000000000015</v>
      </c>
      <c r="AF16" s="202">
        <f t="shared" si="11"/>
        <v>4.0999999999999943</v>
      </c>
    </row>
    <row r="17" spans="1:32">
      <c r="A17" s="288"/>
      <c r="B17" s="11" t="s">
        <v>78</v>
      </c>
      <c r="C17" s="35">
        <v>19.596</v>
      </c>
      <c r="D17" s="35">
        <v>20.82</v>
      </c>
      <c r="E17" s="35">
        <v>21.83</v>
      </c>
      <c r="F17" s="35">
        <v>22.48</v>
      </c>
      <c r="G17" s="35">
        <v>23.085000000000001</v>
      </c>
      <c r="H17" s="35">
        <v>23.53</v>
      </c>
      <c r="I17" s="35">
        <v>23.831</v>
      </c>
      <c r="J17" s="35">
        <v>24.163</v>
      </c>
      <c r="K17" s="35">
        <v>24.643999999999998</v>
      </c>
      <c r="L17" s="35">
        <v>25.091000000000001</v>
      </c>
      <c r="M17" s="35">
        <v>25.625</v>
      </c>
      <c r="N17" s="35">
        <v>0.875</v>
      </c>
      <c r="O17" s="35">
        <v>2.488</v>
      </c>
      <c r="P17" s="10"/>
      <c r="Q17" s="10">
        <f t="shared" ref="Q17:Q21" si="12">O17+M17-C17</f>
        <v>8.5169999999999995</v>
      </c>
      <c r="T17" s="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</row>
    <row r="18" spans="1:32">
      <c r="A18" s="288">
        <v>8</v>
      </c>
      <c r="B18" s="11" t="s">
        <v>250</v>
      </c>
      <c r="C18" s="35">
        <v>90.084999999999994</v>
      </c>
      <c r="D18" s="35">
        <v>97.704999999999998</v>
      </c>
      <c r="E18" s="35">
        <v>104.86</v>
      </c>
      <c r="F18" s="35">
        <v>112.267</v>
      </c>
      <c r="G18" s="35">
        <v>119.468</v>
      </c>
      <c r="H18" s="35">
        <v>127.056</v>
      </c>
      <c r="I18" s="35">
        <v>133.733</v>
      </c>
      <c r="J18" s="35">
        <v>140.57400000000001</v>
      </c>
      <c r="K18" s="35">
        <v>146.238</v>
      </c>
      <c r="L18" s="35">
        <v>152.066</v>
      </c>
      <c r="M18" s="35">
        <v>160.083</v>
      </c>
      <c r="N18" s="35">
        <v>167.19399999999999</v>
      </c>
      <c r="O18" s="35">
        <v>175.04400000000001</v>
      </c>
      <c r="P18" s="10">
        <f>O18-C18</f>
        <v>84.959000000000017</v>
      </c>
      <c r="T18" s="1">
        <v>8</v>
      </c>
      <c r="U18" s="202">
        <f t="shared" ref="U18:AF18" si="13">D18-C18</f>
        <v>7.6200000000000045</v>
      </c>
      <c r="V18" s="202">
        <f t="shared" si="13"/>
        <v>7.1550000000000011</v>
      </c>
      <c r="W18" s="202">
        <f t="shared" si="13"/>
        <v>7.4069999999999965</v>
      </c>
      <c r="X18" s="202">
        <f t="shared" si="13"/>
        <v>7.2010000000000076</v>
      </c>
      <c r="Y18" s="202">
        <f t="shared" si="13"/>
        <v>7.5879999999999939</v>
      </c>
      <c r="Z18" s="202">
        <f t="shared" si="13"/>
        <v>6.6770000000000067</v>
      </c>
      <c r="AA18" s="202">
        <f t="shared" si="13"/>
        <v>6.8410000000000082</v>
      </c>
      <c r="AB18" s="202">
        <f t="shared" si="13"/>
        <v>5.6639999999999873</v>
      </c>
      <c r="AC18" s="202">
        <f t="shared" si="13"/>
        <v>5.828000000000003</v>
      </c>
      <c r="AD18" s="202">
        <f t="shared" si="13"/>
        <v>8.0169999999999959</v>
      </c>
      <c r="AE18" s="202">
        <f t="shared" si="13"/>
        <v>7.11099999999999</v>
      </c>
      <c r="AF18" s="202">
        <f t="shared" si="13"/>
        <v>7.8500000000000227</v>
      </c>
    </row>
    <row r="19" spans="1:32">
      <c r="A19" s="288"/>
      <c r="B19" s="11" t="s">
        <v>79</v>
      </c>
      <c r="C19" s="35">
        <v>99.643000000000001</v>
      </c>
      <c r="D19" s="35">
        <v>106.39400000000001</v>
      </c>
      <c r="E19" s="35">
        <v>112.071</v>
      </c>
      <c r="F19" s="35">
        <v>116.55500000000001</v>
      </c>
      <c r="G19" s="35">
        <v>119.253</v>
      </c>
      <c r="H19" s="35">
        <v>120.688</v>
      </c>
      <c r="I19" s="35">
        <v>121.152</v>
      </c>
      <c r="J19" s="35">
        <v>121.586</v>
      </c>
      <c r="K19" s="35">
        <v>121.979</v>
      </c>
      <c r="L19" s="35">
        <v>122.392</v>
      </c>
      <c r="M19" s="35">
        <v>124.129</v>
      </c>
      <c r="N19" s="35">
        <v>3.8650000000000002</v>
      </c>
      <c r="O19" s="35">
        <v>9.7799999999999994</v>
      </c>
      <c r="P19" s="10"/>
      <c r="Q19" s="10">
        <f t="shared" ref="Q19:Q21" si="14">O19+M19-C19</f>
        <v>34.265999999999991</v>
      </c>
      <c r="T19" s="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</row>
    <row r="20" spans="1:32">
      <c r="A20" s="288">
        <v>9</v>
      </c>
      <c r="B20" s="11" t="s">
        <v>251</v>
      </c>
      <c r="C20" s="35">
        <v>180.18100000000001</v>
      </c>
      <c r="D20" s="35">
        <v>194.155</v>
      </c>
      <c r="E20" s="35">
        <v>205.785</v>
      </c>
      <c r="F20" s="35">
        <v>218.92599999999999</v>
      </c>
      <c r="G20" s="35">
        <v>232.15</v>
      </c>
      <c r="H20" s="35">
        <v>245.726</v>
      </c>
      <c r="I20" s="35">
        <v>257.798</v>
      </c>
      <c r="J20" s="35">
        <v>269.32</v>
      </c>
      <c r="K20" s="35">
        <v>279.29199999999997</v>
      </c>
      <c r="L20" s="35">
        <v>289.52800000000002</v>
      </c>
      <c r="M20" s="35">
        <v>301.17399999999998</v>
      </c>
      <c r="N20" s="35">
        <v>314.48899999999998</v>
      </c>
      <c r="O20" s="35">
        <v>327.76</v>
      </c>
      <c r="P20" s="10">
        <f>O20-C20</f>
        <v>147.57899999999998</v>
      </c>
      <c r="T20" s="1">
        <v>9</v>
      </c>
      <c r="U20" s="202">
        <f t="shared" ref="U20:AF20" si="15">D20-C20</f>
        <v>13.97399999999999</v>
      </c>
      <c r="V20" s="202">
        <f t="shared" si="15"/>
        <v>11.629999999999995</v>
      </c>
      <c r="W20" s="202">
        <f t="shared" si="15"/>
        <v>13.140999999999991</v>
      </c>
      <c r="X20" s="202">
        <f t="shared" si="15"/>
        <v>13.224000000000018</v>
      </c>
      <c r="Y20" s="202">
        <f t="shared" si="15"/>
        <v>13.575999999999993</v>
      </c>
      <c r="Z20" s="202">
        <f t="shared" si="15"/>
        <v>12.072000000000003</v>
      </c>
      <c r="AA20" s="202">
        <f t="shared" si="15"/>
        <v>11.521999999999991</v>
      </c>
      <c r="AB20" s="202">
        <f t="shared" si="15"/>
        <v>9.97199999999998</v>
      </c>
      <c r="AC20" s="202">
        <f t="shared" si="15"/>
        <v>10.236000000000047</v>
      </c>
      <c r="AD20" s="202">
        <f t="shared" si="15"/>
        <v>11.645999999999958</v>
      </c>
      <c r="AE20" s="202">
        <f t="shared" si="15"/>
        <v>13.314999999999998</v>
      </c>
      <c r="AF20" s="202">
        <f t="shared" si="15"/>
        <v>13.271000000000015</v>
      </c>
    </row>
    <row r="21" spans="1:32">
      <c r="A21" s="288"/>
      <c r="B21" s="11" t="s">
        <v>80</v>
      </c>
      <c r="C21" s="35">
        <v>115.84699999999999</v>
      </c>
      <c r="D21" s="35">
        <v>122.559</v>
      </c>
      <c r="E21" s="35">
        <v>127.78700000000001</v>
      </c>
      <c r="F21" s="35">
        <v>132.05099999999999</v>
      </c>
      <c r="G21" s="35">
        <v>135.375</v>
      </c>
      <c r="H21" s="35">
        <v>136.66999999999999</v>
      </c>
      <c r="I21" s="35">
        <v>137.322</v>
      </c>
      <c r="J21" s="35">
        <v>137.96299999999999</v>
      </c>
      <c r="K21" s="35">
        <v>138.59800000000001</v>
      </c>
      <c r="L21" s="35">
        <v>139.292</v>
      </c>
      <c r="M21" s="35">
        <v>141.21299999999999</v>
      </c>
      <c r="N21" s="35">
        <v>4.2649999999999997</v>
      </c>
      <c r="O21" s="35">
        <v>9.923</v>
      </c>
      <c r="P21" s="10"/>
      <c r="Q21" s="10">
        <f t="shared" ref="Q21" si="16">O21+M21-C21</f>
        <v>35.289000000000001</v>
      </c>
      <c r="T21" s="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</row>
    <row r="22" spans="1:32">
      <c r="A22" s="288">
        <v>10</v>
      </c>
      <c r="B22" s="11" t="s">
        <v>252</v>
      </c>
      <c r="C22" s="35">
        <v>0.23899999999999999</v>
      </c>
      <c r="D22" s="35">
        <v>0.24299999999999999</v>
      </c>
      <c r="E22" s="35">
        <v>0.246</v>
      </c>
      <c r="F22" s="35">
        <v>0.249</v>
      </c>
      <c r="G22" s="35">
        <v>0.253</v>
      </c>
      <c r="H22" s="35">
        <v>0.25900000000000001</v>
      </c>
      <c r="I22" s="35">
        <v>0.27100000000000002</v>
      </c>
      <c r="J22" s="35">
        <v>0.27900000000000003</v>
      </c>
      <c r="K22" s="35">
        <v>0.28499999999999998</v>
      </c>
      <c r="L22" s="35">
        <v>0.30199999999999999</v>
      </c>
      <c r="M22" s="35">
        <v>0.32100000000000001</v>
      </c>
      <c r="N22" s="35">
        <v>0.32500000000000001</v>
      </c>
      <c r="O22" s="35">
        <v>0.32500000000000001</v>
      </c>
      <c r="P22" s="10">
        <f>O22-C22</f>
        <v>8.6000000000000021E-2</v>
      </c>
      <c r="T22" s="1">
        <v>10</v>
      </c>
      <c r="U22" s="202">
        <f t="shared" ref="U22:AF22" si="17">D22-C22</f>
        <v>4.0000000000000036E-3</v>
      </c>
      <c r="V22" s="202">
        <f t="shared" si="17"/>
        <v>3.0000000000000027E-3</v>
      </c>
      <c r="W22" s="202">
        <f t="shared" si="17"/>
        <v>3.0000000000000027E-3</v>
      </c>
      <c r="X22" s="202">
        <f t="shared" si="17"/>
        <v>4.0000000000000036E-3</v>
      </c>
      <c r="Y22" s="202">
        <f t="shared" si="17"/>
        <v>6.0000000000000053E-3</v>
      </c>
      <c r="Z22" s="202">
        <f t="shared" si="17"/>
        <v>1.2000000000000011E-2</v>
      </c>
      <c r="AA22" s="202">
        <f t="shared" si="17"/>
        <v>8.0000000000000071E-3</v>
      </c>
      <c r="AB22" s="202">
        <f t="shared" si="17"/>
        <v>5.9999999999999498E-3</v>
      </c>
      <c r="AC22" s="202">
        <f t="shared" si="17"/>
        <v>1.7000000000000015E-2</v>
      </c>
      <c r="AD22" s="202">
        <f t="shared" si="17"/>
        <v>1.9000000000000017E-2</v>
      </c>
      <c r="AE22" s="202">
        <f t="shared" si="17"/>
        <v>4.0000000000000036E-3</v>
      </c>
      <c r="AF22" s="202">
        <f t="shared" si="17"/>
        <v>0</v>
      </c>
    </row>
    <row r="23" spans="1:32">
      <c r="A23" s="288"/>
      <c r="B23" s="11" t="s">
        <v>81</v>
      </c>
      <c r="C23" s="35">
        <v>1.417</v>
      </c>
      <c r="D23" s="35">
        <v>1.4339999999999999</v>
      </c>
      <c r="E23" s="35">
        <v>1.458</v>
      </c>
      <c r="F23" s="35">
        <v>1.4850000000000001</v>
      </c>
      <c r="G23" s="35">
        <v>1.5189999999999999</v>
      </c>
      <c r="H23" s="35">
        <v>1.5720000000000001</v>
      </c>
      <c r="I23" s="35">
        <v>1.6</v>
      </c>
      <c r="J23" s="35">
        <v>1.6180000000000001</v>
      </c>
      <c r="K23" s="35">
        <v>1.6579999999999999</v>
      </c>
      <c r="L23" s="35">
        <v>1.7070000000000001</v>
      </c>
      <c r="M23" s="35">
        <v>1.768</v>
      </c>
      <c r="N23" s="35">
        <v>0</v>
      </c>
      <c r="O23" s="35">
        <v>4.0000000000000001E-3</v>
      </c>
      <c r="P23" s="14"/>
      <c r="Q23" s="136">
        <f>O23+M23-C23</f>
        <v>0.35499999999999998</v>
      </c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</row>
    <row r="24" spans="1:32">
      <c r="A24" s="163"/>
      <c r="B24" s="11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0">
        <f>SUM(P4:P23)</f>
        <v>662.42200000000003</v>
      </c>
      <c r="Q24" s="10">
        <f>SUM(Q4:Q23)</f>
        <v>212.523</v>
      </c>
    </row>
    <row r="25" spans="1:32">
      <c r="A25" s="163" t="s">
        <v>25</v>
      </c>
      <c r="B25" s="11" t="s">
        <v>82</v>
      </c>
      <c r="C25" s="18">
        <v>50228</v>
      </c>
      <c r="D25" s="18">
        <v>50474</v>
      </c>
      <c r="E25" s="18">
        <v>50709</v>
      </c>
      <c r="F25" s="18">
        <v>50963</v>
      </c>
      <c r="G25" s="18">
        <v>51152</v>
      </c>
      <c r="H25" s="18">
        <v>51366</v>
      </c>
      <c r="I25" s="18">
        <v>51586</v>
      </c>
      <c r="J25" s="18">
        <v>51782</v>
      </c>
      <c r="K25" s="18">
        <v>51995</v>
      </c>
      <c r="L25" s="18">
        <v>52184</v>
      </c>
      <c r="M25" s="18">
        <v>52363</v>
      </c>
      <c r="N25" s="18">
        <v>52545</v>
      </c>
      <c r="O25" s="18">
        <v>52736</v>
      </c>
      <c r="P25" s="10"/>
      <c r="R25" s="19">
        <f>O25-C25</f>
        <v>2508</v>
      </c>
    </row>
    <row r="26" spans="1:32">
      <c r="A26" s="163"/>
      <c r="B26" s="11" t="s">
        <v>253</v>
      </c>
      <c r="C26" s="114">
        <v>896.1</v>
      </c>
      <c r="D26" s="114">
        <v>963</v>
      </c>
      <c r="E26" s="114">
        <v>1022.8</v>
      </c>
      <c r="F26" s="114">
        <v>1086.8</v>
      </c>
      <c r="G26" s="114">
        <v>1138.3</v>
      </c>
      <c r="H26" s="114">
        <v>1200.4000000000001</v>
      </c>
      <c r="I26" s="114">
        <v>1260.9000000000001</v>
      </c>
      <c r="J26" s="114">
        <v>1316.5</v>
      </c>
      <c r="K26" s="114">
        <v>1368.7</v>
      </c>
      <c r="L26" s="114">
        <v>1427.7</v>
      </c>
      <c r="M26" s="114">
        <v>1487.9</v>
      </c>
      <c r="N26" s="114">
        <v>1553.4</v>
      </c>
      <c r="O26" s="114">
        <v>1618.4</v>
      </c>
      <c r="P26" s="10">
        <f>O26-C26</f>
        <v>722.30000000000007</v>
      </c>
    </row>
    <row r="27" spans="1:32">
      <c r="A27" s="172"/>
      <c r="B27" s="285" t="s">
        <v>369</v>
      </c>
      <c r="C27" s="23">
        <v>90.5</v>
      </c>
      <c r="D27" s="23">
        <v>130.9</v>
      </c>
      <c r="E27" s="23">
        <v>165.97</v>
      </c>
      <c r="F27" s="23">
        <v>194.05</v>
      </c>
      <c r="G27" s="23">
        <v>213.76</v>
      </c>
      <c r="H27" s="23">
        <v>225.19</v>
      </c>
      <c r="I27" s="23">
        <v>228.65</v>
      </c>
      <c r="J27" s="23">
        <v>231.7</v>
      </c>
      <c r="K27" s="23">
        <v>236.36</v>
      </c>
      <c r="L27" s="23">
        <v>240.08</v>
      </c>
      <c r="M27" s="23">
        <v>252.41</v>
      </c>
      <c r="N27" s="23">
        <v>279.14</v>
      </c>
      <c r="O27" s="23">
        <v>313.67</v>
      </c>
      <c r="P27" s="10"/>
      <c r="Q27" s="10">
        <f>O27-C27</f>
        <v>223.17000000000002</v>
      </c>
      <c r="R27" t="s">
        <v>165</v>
      </c>
    </row>
    <row r="28" spans="1:32" ht="15.75" thickBot="1">
      <c r="A28" s="162"/>
      <c r="B28" s="31" t="s">
        <v>83</v>
      </c>
      <c r="C28" s="38">
        <v>787</v>
      </c>
      <c r="D28" s="38">
        <v>1134</v>
      </c>
      <c r="E28" s="38">
        <v>1418</v>
      </c>
      <c r="F28" s="38">
        <v>1660</v>
      </c>
      <c r="G28" s="38">
        <v>1822</v>
      </c>
      <c r="H28" s="38">
        <v>1923</v>
      </c>
      <c r="I28" s="38">
        <v>1973</v>
      </c>
      <c r="J28" s="38">
        <v>2017</v>
      </c>
      <c r="K28" s="38">
        <v>2171</v>
      </c>
      <c r="L28" s="38">
        <v>2230</v>
      </c>
      <c r="M28" s="38">
        <v>2321</v>
      </c>
      <c r="N28" s="38">
        <v>2498</v>
      </c>
      <c r="O28" s="38">
        <v>2751</v>
      </c>
      <c r="P28" s="10"/>
      <c r="Q28" s="19">
        <f>O28-C28</f>
        <v>1964</v>
      </c>
      <c r="R28" t="s">
        <v>166</v>
      </c>
    </row>
    <row r="29" spans="1:32" ht="15.75" thickBot="1">
      <c r="A29" s="175" t="s">
        <v>368</v>
      </c>
      <c r="B29" s="26"/>
      <c r="C29" s="27">
        <v>1085</v>
      </c>
      <c r="D29" s="27">
        <v>1404.3</v>
      </c>
      <c r="E29" s="27">
        <v>1696</v>
      </c>
      <c r="F29" s="27">
        <v>2013.8</v>
      </c>
      <c r="G29" s="27">
        <v>2336.4</v>
      </c>
      <c r="H29" s="27">
        <v>2664.8</v>
      </c>
      <c r="I29" s="27">
        <v>2958.3</v>
      </c>
      <c r="J29" s="27">
        <v>3200.4</v>
      </c>
      <c r="K29" s="27">
        <v>3449.5</v>
      </c>
      <c r="L29" s="27">
        <v>3713.1</v>
      </c>
      <c r="M29" s="27">
        <v>4002.8</v>
      </c>
      <c r="N29" s="27">
        <v>4300</v>
      </c>
      <c r="O29" s="27">
        <v>4605</v>
      </c>
      <c r="P29" s="10">
        <f>O29-C29</f>
        <v>3520</v>
      </c>
    </row>
    <row r="32" spans="1:32">
      <c r="E32" t="s">
        <v>320</v>
      </c>
      <c r="H32" s="241" t="s">
        <v>321</v>
      </c>
      <c r="I32" s="1" t="s">
        <v>166</v>
      </c>
      <c r="K32" t="s">
        <v>329</v>
      </c>
      <c r="N32" s="1" t="s">
        <v>166</v>
      </c>
    </row>
    <row r="33" spans="4:15">
      <c r="D33" t="s">
        <v>323</v>
      </c>
      <c r="E33" s="226">
        <v>43984</v>
      </c>
      <c r="F33" s="103" t="s">
        <v>300</v>
      </c>
      <c r="G33" s="104"/>
      <c r="H33" s="235"/>
      <c r="I33" s="157"/>
      <c r="K33" s="251">
        <v>44095</v>
      </c>
      <c r="L33" s="246" t="s">
        <v>300</v>
      </c>
      <c r="M33" s="246"/>
      <c r="N33" s="246"/>
    </row>
    <row r="34" spans="4:15">
      <c r="E34" s="236"/>
      <c r="F34" s="237"/>
      <c r="G34" s="238" t="s">
        <v>322</v>
      </c>
      <c r="H34" s="240" t="s">
        <v>165</v>
      </c>
      <c r="I34" s="239" t="s">
        <v>166</v>
      </c>
      <c r="L34" s="1"/>
      <c r="M34" s="238" t="s">
        <v>322</v>
      </c>
      <c r="N34" s="239" t="s">
        <v>166</v>
      </c>
    </row>
    <row r="35" spans="4:15">
      <c r="D35" t="s">
        <v>324</v>
      </c>
      <c r="E35" s="226">
        <v>43986</v>
      </c>
      <c r="F35" s="103" t="s">
        <v>301</v>
      </c>
      <c r="G35" s="104"/>
      <c r="H35" s="235"/>
      <c r="I35" s="157"/>
      <c r="K35" s="251">
        <v>44095</v>
      </c>
      <c r="L35" s="246" t="s">
        <v>301</v>
      </c>
      <c r="M35" s="246"/>
      <c r="N35" s="246"/>
    </row>
    <row r="38" spans="4:15">
      <c r="N38" s="281" t="s">
        <v>354</v>
      </c>
      <c r="O38" s="92">
        <v>701</v>
      </c>
    </row>
    <row r="39" spans="4:15">
      <c r="N39" s="286" t="s">
        <v>376</v>
      </c>
      <c r="O39" s="92">
        <f>C29-O38</f>
        <v>384</v>
      </c>
    </row>
    <row r="40" spans="4:15">
      <c r="N40" s="286" t="s">
        <v>374</v>
      </c>
      <c r="O40">
        <f>N29</f>
        <v>4300</v>
      </c>
    </row>
    <row r="41" spans="4:15">
      <c r="N41" s="286" t="s">
        <v>375</v>
      </c>
      <c r="O41">
        <f>O29-N29</f>
        <v>305</v>
      </c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2470" priority="52" stopIfTrue="1" operator="lessThan">
      <formula>'1854'!$G$4</formula>
    </cfRule>
    <cfRule type="cellIs" dxfId="2469" priority="53" stopIfTrue="1" operator="equal">
      <formula>'1854'!$G$4</formula>
    </cfRule>
  </conditionalFormatting>
  <conditionalFormatting sqref="G7">
    <cfRule type="cellIs" dxfId="2468" priority="54" stopIfTrue="1" operator="equal">
      <formula>'1854'!$F$7</formula>
    </cfRule>
    <cfRule type="cellIs" dxfId="2467" priority="55" stopIfTrue="1" operator="lessThan">
      <formula>'1854'!$F$7</formula>
    </cfRule>
  </conditionalFormatting>
  <conditionalFormatting sqref="H5">
    <cfRule type="cellIs" dxfId="2466" priority="56" stopIfTrue="1" operator="equal">
      <formula>'1854'!$G$5</formula>
    </cfRule>
    <cfRule type="cellIs" dxfId="2465" priority="57" stopIfTrue="1" operator="lessThan">
      <formula>'1854'!$G$5</formula>
    </cfRule>
  </conditionalFormatting>
  <conditionalFormatting sqref="I5">
    <cfRule type="cellIs" dxfId="2464" priority="58" stopIfTrue="1" operator="equal">
      <formula>'1854'!$H$5</formula>
    </cfRule>
    <cfRule type="cellIs" dxfId="2463" priority="59" stopIfTrue="1" operator="lessThan">
      <formula>'1854'!$H$5</formula>
    </cfRule>
  </conditionalFormatting>
  <conditionalFormatting sqref="J5">
    <cfRule type="cellIs" dxfId="2462" priority="60" stopIfTrue="1" operator="equal">
      <formula>'1854'!$I$5</formula>
    </cfRule>
    <cfRule type="cellIs" dxfId="2461" priority="61" stopIfTrue="1" operator="lessThan">
      <formula>'1854'!$I$5</formula>
    </cfRule>
  </conditionalFormatting>
  <conditionalFormatting sqref="F4">
    <cfRule type="cellIs" dxfId="2460" priority="62" stopIfTrue="1" operator="equal">
      <formula>'1854'!$E$4</formula>
    </cfRule>
    <cfRule type="cellIs" dxfId="2459" priority="63" stopIfTrue="1" operator="lessThan">
      <formula>'1854'!$E$4</formula>
    </cfRule>
  </conditionalFormatting>
  <conditionalFormatting sqref="D4">
    <cfRule type="cellIs" dxfId="2458" priority="64" stopIfTrue="1" operator="lessThan">
      <formula>'1854'!$C$4</formula>
    </cfRule>
    <cfRule type="cellIs" dxfId="2457" priority="65" stopIfTrue="1" operator="equal">
      <formula>'1854'!$C$4</formula>
    </cfRule>
  </conditionalFormatting>
  <conditionalFormatting sqref="E4">
    <cfRule type="cellIs" dxfId="2456" priority="66" stopIfTrue="1" operator="equal">
      <formula>'1854'!$D$4</formula>
    </cfRule>
    <cfRule type="cellIs" dxfId="2455" priority="67" stopIfTrue="1" operator="lessThan">
      <formula>'1854'!$D$4</formula>
    </cfRule>
  </conditionalFormatting>
  <conditionalFormatting sqref="D5">
    <cfRule type="cellIs" dxfId="2454" priority="68" stopIfTrue="1" operator="equal">
      <formula>'1854'!$C$5</formula>
    </cfRule>
    <cfRule type="cellIs" dxfId="2453" priority="69" stopIfTrue="1" operator="lessThan">
      <formula>'1854'!$C$5</formula>
    </cfRule>
  </conditionalFormatting>
  <conditionalFormatting sqref="F5">
    <cfRule type="cellIs" dxfId="2452" priority="70" stopIfTrue="1" operator="equal">
      <formula>'1854'!$E$5</formula>
    </cfRule>
    <cfRule type="cellIs" dxfId="2451" priority="71" stopIfTrue="1" operator="lessThan">
      <formula>'1854'!$E$5</formula>
    </cfRule>
  </conditionalFormatting>
  <conditionalFormatting sqref="I4">
    <cfRule type="cellIs" dxfId="2450" priority="72" stopIfTrue="1" operator="equal">
      <formula>'1854'!$H$4</formula>
    </cfRule>
  </conditionalFormatting>
  <conditionalFormatting sqref="J4">
    <cfRule type="cellIs" dxfId="2449" priority="73" stopIfTrue="1" operator="lessThan">
      <formula>'1854'!$I$4</formula>
    </cfRule>
    <cfRule type="cellIs" dxfId="2448" priority="74" stopIfTrue="1" operator="equal">
      <formula>'1854'!$I$4</formula>
    </cfRule>
  </conditionalFormatting>
  <conditionalFormatting sqref="D6">
    <cfRule type="cellIs" dxfId="2447" priority="75" stopIfTrue="1" operator="equal">
      <formula>'1854'!$C$6</formula>
    </cfRule>
    <cfRule type="cellIs" dxfId="2446" priority="76" stopIfTrue="1" operator="lessThan">
      <formula>'1854'!$C$6</formula>
    </cfRule>
  </conditionalFormatting>
  <conditionalFormatting sqref="E6">
    <cfRule type="cellIs" dxfId="2445" priority="77" stopIfTrue="1" operator="equal">
      <formula>'1854'!$D$6</formula>
    </cfRule>
    <cfRule type="cellIs" dxfId="2444" priority="78" stopIfTrue="1" operator="lessThan">
      <formula>'1854'!$D$6</formula>
    </cfRule>
  </conditionalFormatting>
  <conditionalFormatting sqref="F6">
    <cfRule type="cellIs" dxfId="2443" priority="79" stopIfTrue="1" operator="equal">
      <formula>'1854'!$E$6</formula>
    </cfRule>
    <cfRule type="cellIs" dxfId="2442" priority="80" stopIfTrue="1" operator="lessThan">
      <formula>'1854'!$E$6</formula>
    </cfRule>
  </conditionalFormatting>
  <conditionalFormatting sqref="G6">
    <cfRule type="cellIs" dxfId="2441" priority="81" stopIfTrue="1" operator="equal">
      <formula>'1854'!$F$6</formula>
    </cfRule>
    <cfRule type="cellIs" dxfId="2440" priority="82" stopIfTrue="1" operator="lessThan">
      <formula>'1854'!$F$6</formula>
    </cfRule>
  </conditionalFormatting>
  <conditionalFormatting sqref="H6">
    <cfRule type="cellIs" dxfId="2439" priority="83" stopIfTrue="1" operator="equal">
      <formula>'1854'!$G$6</formula>
    </cfRule>
    <cfRule type="cellIs" dxfId="2438" priority="84" stopIfTrue="1" operator="lessThan">
      <formula>'1854'!$G$6</formula>
    </cfRule>
  </conditionalFormatting>
  <conditionalFormatting sqref="I6">
    <cfRule type="cellIs" dxfId="2437" priority="85" stopIfTrue="1" operator="equal">
      <formula>'1854'!$H$6</formula>
    </cfRule>
    <cfRule type="cellIs" dxfId="2436" priority="86" stopIfTrue="1" operator="lessThan">
      <formula>'1854'!$H$6</formula>
    </cfRule>
  </conditionalFormatting>
  <conditionalFormatting sqref="J6">
    <cfRule type="cellIs" dxfId="2435" priority="87" stopIfTrue="1" operator="equal">
      <formula>'1854'!$I$6</formula>
    </cfRule>
    <cfRule type="cellIs" dxfId="2434" priority="88" stopIfTrue="1" operator="lessThan">
      <formula>'1854'!$I$6</formula>
    </cfRule>
  </conditionalFormatting>
  <conditionalFormatting sqref="D7">
    <cfRule type="cellIs" dxfId="2433" priority="89" stopIfTrue="1" operator="equal">
      <formula>'1854'!$C$7</formula>
    </cfRule>
    <cfRule type="cellIs" dxfId="2432" priority="90" stopIfTrue="1" operator="lessThan">
      <formula>'1854'!$C$7</formula>
    </cfRule>
  </conditionalFormatting>
  <conditionalFormatting sqref="E7">
    <cfRule type="cellIs" dxfId="2431" priority="91" stopIfTrue="1" operator="equal">
      <formula>'1854'!$D$7</formula>
    </cfRule>
    <cfRule type="cellIs" dxfId="2430" priority="92" stopIfTrue="1" operator="lessThan">
      <formula>'1854'!$D$7</formula>
    </cfRule>
  </conditionalFormatting>
  <conditionalFormatting sqref="F7">
    <cfRule type="cellIs" dxfId="2429" priority="93" stopIfTrue="1" operator="equal">
      <formula>'1854'!$E$7</formula>
    </cfRule>
    <cfRule type="cellIs" dxfId="2428" priority="94" stopIfTrue="1" operator="lessThan">
      <formula>'1854'!$E$7</formula>
    </cfRule>
  </conditionalFormatting>
  <conditionalFormatting sqref="H7">
    <cfRule type="cellIs" dxfId="2427" priority="95" stopIfTrue="1" operator="equal">
      <formula>'1854'!$G$7</formula>
    </cfRule>
    <cfRule type="cellIs" dxfId="2426" priority="96" stopIfTrue="1" operator="lessThan">
      <formula>'1854'!$G$7</formula>
    </cfRule>
  </conditionalFormatting>
  <conditionalFormatting sqref="I7">
    <cfRule type="cellIs" dxfId="2425" priority="97" stopIfTrue="1" operator="equal">
      <formula>'1854'!$H$7</formula>
    </cfRule>
    <cfRule type="cellIs" dxfId="2424" priority="98" stopIfTrue="1" operator="lessThan">
      <formula>'1854'!$H$7</formula>
    </cfRule>
  </conditionalFormatting>
  <conditionalFormatting sqref="J7">
    <cfRule type="cellIs" dxfId="2423" priority="99" stopIfTrue="1" operator="equal">
      <formula>'1854'!$I$7</formula>
    </cfRule>
    <cfRule type="cellIs" dxfId="2422" priority="100" stopIfTrue="1" operator="lessThan">
      <formula>'1854'!$I$7</formula>
    </cfRule>
  </conditionalFormatting>
  <conditionalFormatting sqref="D8">
    <cfRule type="cellIs" dxfId="2421" priority="101" stopIfTrue="1" operator="equal">
      <formula>'1854'!$C$8</formula>
    </cfRule>
    <cfRule type="cellIs" dxfId="2420" priority="102" stopIfTrue="1" operator="lessThan">
      <formula>'1854'!$C$8</formula>
    </cfRule>
  </conditionalFormatting>
  <conditionalFormatting sqref="E8">
    <cfRule type="cellIs" dxfId="2419" priority="103" stopIfTrue="1" operator="equal">
      <formula>'1854'!$D$8</formula>
    </cfRule>
    <cfRule type="cellIs" dxfId="2418" priority="104" stopIfTrue="1" operator="lessThan">
      <formula>'1854'!$D$8</formula>
    </cfRule>
  </conditionalFormatting>
  <conditionalFormatting sqref="F8">
    <cfRule type="cellIs" dxfId="2417" priority="105" stopIfTrue="1" operator="equal">
      <formula>'1854'!$E$8</formula>
    </cfRule>
    <cfRule type="cellIs" dxfId="2416" priority="106" stopIfTrue="1" operator="lessThan">
      <formula>'1854'!$E$8</formula>
    </cfRule>
  </conditionalFormatting>
  <conditionalFormatting sqref="G8">
    <cfRule type="cellIs" dxfId="2415" priority="107" stopIfTrue="1" operator="equal">
      <formula>'1854'!$F$8</formula>
    </cfRule>
    <cfRule type="cellIs" dxfId="2414" priority="108" stopIfTrue="1" operator="lessThan">
      <formula>'1854'!$F$8</formula>
    </cfRule>
  </conditionalFormatting>
  <conditionalFormatting sqref="H8">
    <cfRule type="cellIs" dxfId="2413" priority="109" stopIfTrue="1" operator="equal">
      <formula>'1854'!$G$8</formula>
    </cfRule>
    <cfRule type="cellIs" dxfId="2412" priority="110" stopIfTrue="1" operator="lessThan">
      <formula>'1854'!$G$8</formula>
    </cfRule>
  </conditionalFormatting>
  <conditionalFormatting sqref="I8">
    <cfRule type="cellIs" dxfId="2411" priority="111" stopIfTrue="1" operator="equal">
      <formula>'1854'!$H$8</formula>
    </cfRule>
    <cfRule type="cellIs" dxfId="2410" priority="112" stopIfTrue="1" operator="lessThan">
      <formula>'1854'!$H$8</formula>
    </cfRule>
  </conditionalFormatting>
  <conditionalFormatting sqref="J8">
    <cfRule type="cellIs" dxfId="2409" priority="113" stopIfTrue="1" operator="equal">
      <formula>'1854'!$I$8</formula>
    </cfRule>
    <cfRule type="cellIs" dxfId="2408" priority="114" stopIfTrue="1" operator="lessThan">
      <formula>'1854'!$I$8</formula>
    </cfRule>
  </conditionalFormatting>
  <conditionalFormatting sqref="D9">
    <cfRule type="cellIs" dxfId="2407" priority="115" stopIfTrue="1" operator="equal">
      <formula>'1854'!$C$9</formula>
    </cfRule>
    <cfRule type="cellIs" dxfId="2406" priority="116" stopIfTrue="1" operator="lessThan">
      <formula>'1854'!$C$9</formula>
    </cfRule>
  </conditionalFormatting>
  <conditionalFormatting sqref="E9">
    <cfRule type="cellIs" dxfId="2405" priority="117" stopIfTrue="1" operator="equal">
      <formula>'1854'!$D$9</formula>
    </cfRule>
    <cfRule type="cellIs" dxfId="2404" priority="118" stopIfTrue="1" operator="lessThan">
      <formula>'1854'!$D$9</formula>
    </cfRule>
  </conditionalFormatting>
  <conditionalFormatting sqref="F9">
    <cfRule type="cellIs" dxfId="2403" priority="119" stopIfTrue="1" operator="equal">
      <formula>'1854'!$E$9</formula>
    </cfRule>
    <cfRule type="cellIs" dxfId="2402" priority="120" stopIfTrue="1" operator="lessThan">
      <formula>'1854'!$E$9</formula>
    </cfRule>
  </conditionalFormatting>
  <conditionalFormatting sqref="G9">
    <cfRule type="cellIs" dxfId="2401" priority="121" stopIfTrue="1" operator="equal">
      <formula>'1854'!$F$9</formula>
    </cfRule>
    <cfRule type="cellIs" dxfId="2400" priority="122" stopIfTrue="1" operator="lessThan">
      <formula>'1854'!$F$9</formula>
    </cfRule>
  </conditionalFormatting>
  <conditionalFormatting sqref="H9">
    <cfRule type="cellIs" dxfId="2399" priority="123" stopIfTrue="1" operator="equal">
      <formula>'1854'!$G$9</formula>
    </cfRule>
    <cfRule type="cellIs" dxfId="2398" priority="124" stopIfTrue="1" operator="lessThan">
      <formula>'1854'!$G$9</formula>
    </cfRule>
  </conditionalFormatting>
  <conditionalFormatting sqref="I9">
    <cfRule type="cellIs" dxfId="2397" priority="125" stopIfTrue="1" operator="equal">
      <formula>'1854'!$H$9</formula>
    </cfRule>
    <cfRule type="cellIs" dxfId="2396" priority="126" stopIfTrue="1" operator="lessThan">
      <formula>'1854'!$H$9</formula>
    </cfRule>
  </conditionalFormatting>
  <conditionalFormatting sqref="J9">
    <cfRule type="cellIs" dxfId="2395" priority="127" stopIfTrue="1" operator="equal">
      <formula>'1854'!$I$9</formula>
    </cfRule>
    <cfRule type="cellIs" dxfId="2394" priority="128" stopIfTrue="1" operator="lessThan">
      <formula>'1854'!$I$9</formula>
    </cfRule>
  </conditionalFormatting>
  <conditionalFormatting sqref="D10">
    <cfRule type="cellIs" dxfId="2393" priority="129" stopIfTrue="1" operator="equal">
      <formula>'1854'!$C$10</formula>
    </cfRule>
    <cfRule type="cellIs" dxfId="2392" priority="130" stopIfTrue="1" operator="lessThan">
      <formula>'1854'!$C$10</formula>
    </cfRule>
  </conditionalFormatting>
  <conditionalFormatting sqref="E10">
    <cfRule type="cellIs" dxfId="2391" priority="131" stopIfTrue="1" operator="equal">
      <formula>'1854'!$D$10</formula>
    </cfRule>
    <cfRule type="cellIs" dxfId="2390" priority="132" stopIfTrue="1" operator="lessThan">
      <formula>'1854'!$D$10</formula>
    </cfRule>
  </conditionalFormatting>
  <conditionalFormatting sqref="F10">
    <cfRule type="cellIs" dxfId="2389" priority="133" stopIfTrue="1" operator="equal">
      <formula>'1854'!$E$10</formula>
    </cfRule>
    <cfRule type="cellIs" dxfId="2388" priority="134" stopIfTrue="1" operator="lessThan">
      <formula>'1854'!$E$10</formula>
    </cfRule>
  </conditionalFormatting>
  <conditionalFormatting sqref="G10">
    <cfRule type="cellIs" dxfId="2387" priority="135" stopIfTrue="1" operator="equal">
      <formula>'1854'!$F$10</formula>
    </cfRule>
    <cfRule type="cellIs" dxfId="2386" priority="136" stopIfTrue="1" operator="lessThan">
      <formula>'1854'!$F$10</formula>
    </cfRule>
  </conditionalFormatting>
  <conditionalFormatting sqref="H10">
    <cfRule type="cellIs" dxfId="2385" priority="137" stopIfTrue="1" operator="equal">
      <formula>'1854'!$G$10</formula>
    </cfRule>
    <cfRule type="cellIs" dxfId="2384" priority="138" stopIfTrue="1" operator="lessThan">
      <formula>'1854'!$G$10</formula>
    </cfRule>
  </conditionalFormatting>
  <conditionalFormatting sqref="I10">
    <cfRule type="cellIs" dxfId="2383" priority="139" stopIfTrue="1" operator="equal">
      <formula>'1854'!$H$10</formula>
    </cfRule>
    <cfRule type="cellIs" dxfId="2382" priority="140" stopIfTrue="1" operator="lessThan">
      <formula>'1854'!$H$10</formula>
    </cfRule>
  </conditionalFormatting>
  <conditionalFormatting sqref="J10">
    <cfRule type="cellIs" dxfId="2381" priority="141" stopIfTrue="1" operator="equal">
      <formula>'1854'!$I$10</formula>
    </cfRule>
    <cfRule type="cellIs" dxfId="2380" priority="142" stopIfTrue="1" operator="lessThan">
      <formula>'1854'!$I$10</formula>
    </cfRule>
  </conditionalFormatting>
  <conditionalFormatting sqref="D11">
    <cfRule type="cellIs" dxfId="2379" priority="143" stopIfTrue="1" operator="equal">
      <formula>'1854'!$C$11</formula>
    </cfRule>
    <cfRule type="cellIs" dxfId="2378" priority="144" stopIfTrue="1" operator="lessThan">
      <formula>'1854'!$C$11</formula>
    </cfRule>
  </conditionalFormatting>
  <conditionalFormatting sqref="E11">
    <cfRule type="cellIs" dxfId="2377" priority="145" stopIfTrue="1" operator="equal">
      <formula>'1854'!$D$11</formula>
    </cfRule>
    <cfRule type="cellIs" dxfId="2376" priority="146" stopIfTrue="1" operator="lessThan">
      <formula>'1854'!$D$11</formula>
    </cfRule>
  </conditionalFormatting>
  <conditionalFormatting sqref="F11">
    <cfRule type="cellIs" dxfId="2375" priority="147" stopIfTrue="1" operator="equal">
      <formula>'1854'!$E$11</formula>
    </cfRule>
    <cfRule type="cellIs" dxfId="2374" priority="148" stopIfTrue="1" operator="lessThan">
      <formula>'1854'!$E$11</formula>
    </cfRule>
  </conditionalFormatting>
  <conditionalFormatting sqref="G11">
    <cfRule type="cellIs" dxfId="2373" priority="149" stopIfTrue="1" operator="equal">
      <formula>'1854'!$F$11</formula>
    </cfRule>
    <cfRule type="cellIs" dxfId="2372" priority="150" stopIfTrue="1" operator="lessThan">
      <formula>'1854'!$F$11</formula>
    </cfRule>
  </conditionalFormatting>
  <conditionalFormatting sqref="H11">
    <cfRule type="cellIs" dxfId="2371" priority="151" stopIfTrue="1" operator="equal">
      <formula>'1854'!$G$11</formula>
    </cfRule>
    <cfRule type="cellIs" dxfId="2370" priority="152" stopIfTrue="1" operator="lessThan">
      <formula>'1854'!$G$11</formula>
    </cfRule>
  </conditionalFormatting>
  <conditionalFormatting sqref="I11">
    <cfRule type="cellIs" dxfId="2369" priority="153" stopIfTrue="1" operator="equal">
      <formula>'1854'!$H$11</formula>
    </cfRule>
    <cfRule type="cellIs" dxfId="2368" priority="154" stopIfTrue="1" operator="lessThan">
      <formula>'1854'!$H$11</formula>
    </cfRule>
  </conditionalFormatting>
  <conditionalFormatting sqref="J11">
    <cfRule type="cellIs" dxfId="2367" priority="155" stopIfTrue="1" operator="equal">
      <formula>'1854'!$I$11</formula>
    </cfRule>
    <cfRule type="cellIs" dxfId="2366" priority="156" stopIfTrue="1" operator="lessThan">
      <formula>'1854'!$I$11</formula>
    </cfRule>
  </conditionalFormatting>
  <conditionalFormatting sqref="D12">
    <cfRule type="cellIs" dxfId="2365" priority="157" stopIfTrue="1" operator="equal">
      <formula>'1854'!$C$12</formula>
    </cfRule>
    <cfRule type="cellIs" dxfId="2364" priority="158" stopIfTrue="1" operator="lessThan">
      <formula>'1854'!$C$12</formula>
    </cfRule>
  </conditionalFormatting>
  <conditionalFormatting sqref="E12">
    <cfRule type="cellIs" dxfId="2363" priority="159" stopIfTrue="1" operator="equal">
      <formula>'1854'!$D$12</formula>
    </cfRule>
    <cfRule type="cellIs" dxfId="2362" priority="160" stopIfTrue="1" operator="lessThan">
      <formula>'1854'!$D$12</formula>
    </cfRule>
  </conditionalFormatting>
  <conditionalFormatting sqref="F12">
    <cfRule type="cellIs" dxfId="2361" priority="161" stopIfTrue="1" operator="equal">
      <formula>'1854'!$E$12</formula>
    </cfRule>
    <cfRule type="cellIs" dxfId="2360" priority="162" stopIfTrue="1" operator="lessThan">
      <formula>'1854'!$E$12</formula>
    </cfRule>
  </conditionalFormatting>
  <conditionalFormatting sqref="G12">
    <cfRule type="cellIs" dxfId="2359" priority="163" stopIfTrue="1" operator="equal">
      <formula>'1854'!$F$12</formula>
    </cfRule>
    <cfRule type="cellIs" dxfId="2358" priority="164" stopIfTrue="1" operator="lessThan">
      <formula>'1854'!$F$12</formula>
    </cfRule>
  </conditionalFormatting>
  <conditionalFormatting sqref="H12">
    <cfRule type="cellIs" dxfId="2357" priority="165" stopIfTrue="1" operator="equal">
      <formula>'1854'!$G$12</formula>
    </cfRule>
    <cfRule type="cellIs" dxfId="2356" priority="166" stopIfTrue="1" operator="lessThan">
      <formula>'1854'!$G$12</formula>
    </cfRule>
  </conditionalFormatting>
  <conditionalFormatting sqref="I12">
    <cfRule type="cellIs" dxfId="2355" priority="167" stopIfTrue="1" operator="equal">
      <formula>'1854'!$H$12</formula>
    </cfRule>
    <cfRule type="cellIs" dxfId="2354" priority="168" stopIfTrue="1" operator="lessThan">
      <formula>'1854'!$H$12</formula>
    </cfRule>
  </conditionalFormatting>
  <conditionalFormatting sqref="J12">
    <cfRule type="cellIs" dxfId="2353" priority="169" stopIfTrue="1" operator="equal">
      <formula>'1854'!$I$12</formula>
    </cfRule>
    <cfRule type="cellIs" dxfId="2352" priority="170" stopIfTrue="1" operator="lessThan">
      <formula>'1854'!$I$12</formula>
    </cfRule>
  </conditionalFormatting>
  <conditionalFormatting sqref="D14">
    <cfRule type="cellIs" dxfId="2351" priority="171" stopIfTrue="1" operator="equal">
      <formula>'1854'!$C$14</formula>
    </cfRule>
    <cfRule type="cellIs" dxfId="2350" priority="172" stopIfTrue="1" operator="lessThan">
      <formula>'1854'!$C$14</formula>
    </cfRule>
  </conditionalFormatting>
  <conditionalFormatting sqref="D15">
    <cfRule type="cellIs" dxfId="2349" priority="173" stopIfTrue="1" operator="equal">
      <formula>'1854'!$C$15</formula>
    </cfRule>
    <cfRule type="cellIs" dxfId="2348" priority="174" stopIfTrue="1" operator="lessThan">
      <formula>'1854'!$C$15</formula>
    </cfRule>
  </conditionalFormatting>
  <conditionalFormatting sqref="D16">
    <cfRule type="cellIs" dxfId="2347" priority="175" stopIfTrue="1" operator="equal">
      <formula>'1854'!$C$16</formula>
    </cfRule>
    <cfRule type="cellIs" dxfId="2346" priority="176" stopIfTrue="1" operator="lessThan">
      <formula>'1854'!$C$16</formula>
    </cfRule>
  </conditionalFormatting>
  <conditionalFormatting sqref="D17">
    <cfRule type="cellIs" dxfId="2345" priority="177" stopIfTrue="1" operator="equal">
      <formula>'1854'!$C$17</formula>
    </cfRule>
    <cfRule type="cellIs" dxfId="2344" priority="178" stopIfTrue="1" operator="lessThan">
      <formula>'1854'!$C$17</formula>
    </cfRule>
  </conditionalFormatting>
  <conditionalFormatting sqref="D18">
    <cfRule type="cellIs" dxfId="2343" priority="179" stopIfTrue="1" operator="equal">
      <formula>'1854'!$C$18</formula>
    </cfRule>
    <cfRule type="cellIs" dxfId="2342" priority="180" stopIfTrue="1" operator="lessThan">
      <formula>'1854'!$C$18</formula>
    </cfRule>
  </conditionalFormatting>
  <conditionalFormatting sqref="D19">
    <cfRule type="cellIs" dxfId="2341" priority="181" stopIfTrue="1" operator="equal">
      <formula>'1854'!$C$19</formula>
    </cfRule>
    <cfRule type="cellIs" dxfId="2340" priority="182" stopIfTrue="1" operator="lessThan">
      <formula>'1854'!$C$19</formula>
    </cfRule>
  </conditionalFormatting>
  <conditionalFormatting sqref="D20">
    <cfRule type="cellIs" dxfId="2339" priority="183" stopIfTrue="1" operator="equal">
      <formula>'1854'!$C$20</formula>
    </cfRule>
    <cfRule type="cellIs" dxfId="2338" priority="184" stopIfTrue="1" operator="lessThan">
      <formula>'1854'!$C$20</formula>
    </cfRule>
  </conditionalFormatting>
  <conditionalFormatting sqref="D21">
    <cfRule type="cellIs" dxfId="2337" priority="185" stopIfTrue="1" operator="equal">
      <formula>'1854'!$C$21</formula>
    </cfRule>
    <cfRule type="cellIs" dxfId="2336" priority="186" stopIfTrue="1" operator="lessThan">
      <formula>'1854'!$C$21</formula>
    </cfRule>
  </conditionalFormatting>
  <conditionalFormatting sqref="D22">
    <cfRule type="cellIs" dxfId="2335" priority="187" stopIfTrue="1" operator="equal">
      <formula>'1854'!$C$22</formula>
    </cfRule>
    <cfRule type="cellIs" dxfId="2334" priority="188" stopIfTrue="1" operator="lessThan">
      <formula>'1854'!$C$22</formula>
    </cfRule>
  </conditionalFormatting>
  <conditionalFormatting sqref="D23">
    <cfRule type="cellIs" dxfId="2333" priority="189" stopIfTrue="1" operator="equal">
      <formula>'1854'!$C$23</formula>
    </cfRule>
    <cfRule type="cellIs" dxfId="2332" priority="190" stopIfTrue="1" operator="lessThan">
      <formula>'1854'!$C$23</formula>
    </cfRule>
  </conditionalFormatting>
  <conditionalFormatting sqref="D25">
    <cfRule type="cellIs" dxfId="2331" priority="191" stopIfTrue="1" operator="equal">
      <formula>'1854'!$C$25</formula>
    </cfRule>
    <cfRule type="cellIs" dxfId="2330" priority="192" stopIfTrue="1" operator="lessThan">
      <formula>'1854'!$C$25</formula>
    </cfRule>
  </conditionalFormatting>
  <conditionalFormatting sqref="D26">
    <cfRule type="cellIs" dxfId="2329" priority="193" stopIfTrue="1" operator="equal">
      <formula>'1854'!$C$26</formula>
    </cfRule>
    <cfRule type="cellIs" dxfId="2328" priority="194" stopIfTrue="1" operator="lessThan">
      <formula>'1854'!$C$26</formula>
    </cfRule>
  </conditionalFormatting>
  <conditionalFormatting sqref="D27">
    <cfRule type="cellIs" dxfId="2327" priority="195" stopIfTrue="1" operator="equal">
      <formula>'1854'!$C$27</formula>
    </cfRule>
    <cfRule type="cellIs" dxfId="2326" priority="196" stopIfTrue="1" operator="lessThan">
      <formula>'1854'!$C$27</formula>
    </cfRule>
  </conditionalFormatting>
  <conditionalFormatting sqref="D28">
    <cfRule type="cellIs" dxfId="2325" priority="197" stopIfTrue="1" operator="equal">
      <formula>'1854'!$C$28</formula>
    </cfRule>
    <cfRule type="cellIs" dxfId="2324" priority="198" stopIfTrue="1" operator="lessThan">
      <formula>'1854'!$C$28</formula>
    </cfRule>
  </conditionalFormatting>
  <conditionalFormatting sqref="E13">
    <cfRule type="cellIs" dxfId="2323" priority="199" stopIfTrue="1" operator="equal">
      <formula>'1854'!$D$13</formula>
    </cfRule>
    <cfRule type="cellIs" dxfId="2322" priority="200" stopIfTrue="1" operator="lessThan">
      <formula>'1854'!$D$13</formula>
    </cfRule>
  </conditionalFormatting>
  <conditionalFormatting sqref="E14">
    <cfRule type="cellIs" dxfId="2321" priority="201" stopIfTrue="1" operator="equal">
      <formula>'1854'!$D$14</formula>
    </cfRule>
    <cfRule type="cellIs" dxfId="2320" priority="202" stopIfTrue="1" operator="lessThan">
      <formula>'1854'!$D$14</formula>
    </cfRule>
  </conditionalFormatting>
  <conditionalFormatting sqref="E15">
    <cfRule type="cellIs" dxfId="2319" priority="203" stopIfTrue="1" operator="equal">
      <formula>'1854'!$D$15</formula>
    </cfRule>
    <cfRule type="cellIs" dxfId="2318" priority="204" stopIfTrue="1" operator="lessThan">
      <formula>'1854'!$D$15</formula>
    </cfRule>
  </conditionalFormatting>
  <conditionalFormatting sqref="E16">
    <cfRule type="cellIs" dxfId="2317" priority="205" stopIfTrue="1" operator="equal">
      <formula>'1854'!$D$16</formula>
    </cfRule>
    <cfRule type="cellIs" dxfId="2316" priority="206" stopIfTrue="1" operator="lessThan">
      <formula>'1854'!$D$16</formula>
    </cfRule>
  </conditionalFormatting>
  <conditionalFormatting sqref="E17">
    <cfRule type="cellIs" dxfId="2315" priority="207" stopIfTrue="1" operator="equal">
      <formula>'1854'!$D$17</formula>
    </cfRule>
    <cfRule type="cellIs" dxfId="2314" priority="208" stopIfTrue="1" operator="lessThan">
      <formula>'1854'!$D$17</formula>
    </cfRule>
  </conditionalFormatting>
  <conditionalFormatting sqref="E18">
    <cfRule type="cellIs" dxfId="2313" priority="209" stopIfTrue="1" operator="equal">
      <formula>'1854'!$D$18</formula>
    </cfRule>
    <cfRule type="cellIs" dxfId="2312" priority="210" stopIfTrue="1" operator="lessThan">
      <formula>'1854'!$D$18</formula>
    </cfRule>
  </conditionalFormatting>
  <conditionalFormatting sqref="E19">
    <cfRule type="cellIs" dxfId="2311" priority="211" stopIfTrue="1" operator="equal">
      <formula>'1854'!$D$19</formula>
    </cfRule>
    <cfRule type="cellIs" dxfId="2310" priority="212" stopIfTrue="1" operator="lessThan">
      <formula>'1854'!$D$19</formula>
    </cfRule>
  </conditionalFormatting>
  <conditionalFormatting sqref="E20">
    <cfRule type="cellIs" dxfId="2309" priority="213" stopIfTrue="1" operator="equal">
      <formula>'1854'!$D$20</formula>
    </cfRule>
    <cfRule type="cellIs" dxfId="2308" priority="214" stopIfTrue="1" operator="lessThan">
      <formula>'1854'!$D$20</formula>
    </cfRule>
  </conditionalFormatting>
  <conditionalFormatting sqref="E21">
    <cfRule type="cellIs" dxfId="2307" priority="215" stopIfTrue="1" operator="equal">
      <formula>'1854'!$D$21</formula>
    </cfRule>
    <cfRule type="cellIs" dxfId="2306" priority="216" stopIfTrue="1" operator="lessThan">
      <formula>'1854'!$D$21</formula>
    </cfRule>
  </conditionalFormatting>
  <conditionalFormatting sqref="E22">
    <cfRule type="cellIs" dxfId="2305" priority="217" stopIfTrue="1" operator="equal">
      <formula>'1854'!$D$22</formula>
    </cfRule>
    <cfRule type="cellIs" dxfId="2304" priority="218" stopIfTrue="1" operator="lessThan">
      <formula>'1854'!$D$22</formula>
    </cfRule>
  </conditionalFormatting>
  <conditionalFormatting sqref="E23">
    <cfRule type="cellIs" dxfId="2303" priority="219" stopIfTrue="1" operator="equal">
      <formula>'1854'!$D$23</formula>
    </cfRule>
    <cfRule type="cellIs" dxfId="2302" priority="220" stopIfTrue="1" operator="lessThan">
      <formula>'1854'!$D$23</formula>
    </cfRule>
  </conditionalFormatting>
  <conditionalFormatting sqref="E25">
    <cfRule type="cellIs" dxfId="2301" priority="221" stopIfTrue="1" operator="equal">
      <formula>'1854'!$D$25</formula>
    </cfRule>
    <cfRule type="cellIs" dxfId="2300" priority="222" stopIfTrue="1" operator="lessThan">
      <formula>'1854'!$D$25</formula>
    </cfRule>
  </conditionalFormatting>
  <conditionalFormatting sqref="E26">
    <cfRule type="cellIs" dxfId="2299" priority="223" stopIfTrue="1" operator="equal">
      <formula>'1854'!$D$26</formula>
    </cfRule>
    <cfRule type="cellIs" dxfId="2298" priority="224" stopIfTrue="1" operator="lessThan">
      <formula>'1854'!$D$26</formula>
    </cfRule>
  </conditionalFormatting>
  <conditionalFormatting sqref="E27">
    <cfRule type="cellIs" dxfId="2297" priority="225" stopIfTrue="1" operator="equal">
      <formula>'1854'!$D$27</formula>
    </cfRule>
    <cfRule type="cellIs" dxfId="2296" priority="226" stopIfTrue="1" operator="lessThan">
      <formula>'1854'!$D$27</formula>
    </cfRule>
  </conditionalFormatting>
  <conditionalFormatting sqref="E28">
    <cfRule type="cellIs" dxfId="2295" priority="227" stopIfTrue="1" operator="equal">
      <formula>'1854'!$D$28</formula>
    </cfRule>
    <cfRule type="cellIs" dxfId="2294" priority="228" stopIfTrue="1" operator="lessThan">
      <formula>'1854'!$D$28</formula>
    </cfRule>
  </conditionalFormatting>
  <conditionalFormatting sqref="F13">
    <cfRule type="cellIs" dxfId="2293" priority="229" stopIfTrue="1" operator="equal">
      <formula>'1854'!$E$13</formula>
    </cfRule>
    <cfRule type="cellIs" dxfId="2292" priority="230" stopIfTrue="1" operator="lessThan">
      <formula>'1854'!$E$13</formula>
    </cfRule>
  </conditionalFormatting>
  <conditionalFormatting sqref="F14">
    <cfRule type="cellIs" dxfId="2291" priority="231" stopIfTrue="1" operator="equal">
      <formula>'1854'!$E$14</formula>
    </cfRule>
    <cfRule type="cellIs" dxfId="2290" priority="232" stopIfTrue="1" operator="lessThan">
      <formula>'1854'!$E$14</formula>
    </cfRule>
  </conditionalFormatting>
  <conditionalFormatting sqref="F15">
    <cfRule type="cellIs" dxfId="2289" priority="233" stopIfTrue="1" operator="equal">
      <formula>'1854'!$E$15</formula>
    </cfRule>
    <cfRule type="cellIs" dxfId="2288" priority="234" stopIfTrue="1" operator="lessThan">
      <formula>'1854'!$E$15</formula>
    </cfRule>
  </conditionalFormatting>
  <conditionalFormatting sqref="F16">
    <cfRule type="cellIs" dxfId="2287" priority="235" stopIfTrue="1" operator="equal">
      <formula>'1854'!$E$16</formula>
    </cfRule>
    <cfRule type="cellIs" dxfId="2286" priority="236" stopIfTrue="1" operator="lessThan">
      <formula>'1854'!$E$16</formula>
    </cfRule>
  </conditionalFormatting>
  <conditionalFormatting sqref="F17">
    <cfRule type="cellIs" dxfId="2285" priority="237" stopIfTrue="1" operator="equal">
      <formula>'1854'!$E$17</formula>
    </cfRule>
    <cfRule type="cellIs" dxfId="2284" priority="238" stopIfTrue="1" operator="lessThan">
      <formula>'1854'!$E$17</formula>
    </cfRule>
  </conditionalFormatting>
  <conditionalFormatting sqref="F18">
    <cfRule type="cellIs" dxfId="2283" priority="239" stopIfTrue="1" operator="equal">
      <formula>'1854'!$E$18</formula>
    </cfRule>
    <cfRule type="cellIs" dxfId="2282" priority="240" stopIfTrue="1" operator="lessThan">
      <formula>'1854'!$E$18</formula>
    </cfRule>
  </conditionalFormatting>
  <conditionalFormatting sqref="F19">
    <cfRule type="cellIs" dxfId="2281" priority="241" stopIfTrue="1" operator="equal">
      <formula>'1854'!$E$19</formula>
    </cfRule>
    <cfRule type="cellIs" dxfId="2280" priority="242" stopIfTrue="1" operator="lessThan">
      <formula>'1854'!$E$19</formula>
    </cfRule>
  </conditionalFormatting>
  <conditionalFormatting sqref="F20">
    <cfRule type="cellIs" dxfId="2279" priority="243" stopIfTrue="1" operator="equal">
      <formula>'1854'!$E$20</formula>
    </cfRule>
    <cfRule type="cellIs" dxfId="2278" priority="244" stopIfTrue="1" operator="lessThan">
      <formula>'1854'!$E$20</formula>
    </cfRule>
  </conditionalFormatting>
  <conditionalFormatting sqref="F21">
    <cfRule type="cellIs" dxfId="2277" priority="245" stopIfTrue="1" operator="equal">
      <formula>'1854'!$E$21</formula>
    </cfRule>
    <cfRule type="cellIs" dxfId="2276" priority="246" stopIfTrue="1" operator="lessThan">
      <formula>'1854'!$E$21</formula>
    </cfRule>
  </conditionalFormatting>
  <conditionalFormatting sqref="F22">
    <cfRule type="cellIs" dxfId="2275" priority="247" stopIfTrue="1" operator="equal">
      <formula>'1854'!$E$22</formula>
    </cfRule>
    <cfRule type="cellIs" dxfId="2274" priority="248" stopIfTrue="1" operator="lessThan">
      <formula>'1854'!$E$22</formula>
    </cfRule>
  </conditionalFormatting>
  <conditionalFormatting sqref="F23">
    <cfRule type="cellIs" dxfId="2273" priority="249" stopIfTrue="1" operator="equal">
      <formula>'1854'!$E$23</formula>
    </cfRule>
    <cfRule type="cellIs" dxfId="2272" priority="250" stopIfTrue="1" operator="lessThan">
      <formula>'1854'!$E$23</formula>
    </cfRule>
  </conditionalFormatting>
  <conditionalFormatting sqref="F25">
    <cfRule type="cellIs" dxfId="2271" priority="251" stopIfTrue="1" operator="equal">
      <formula>'1854'!$E$25</formula>
    </cfRule>
    <cfRule type="cellIs" dxfId="2270" priority="252" stopIfTrue="1" operator="lessThan">
      <formula>'1854'!$E$25</formula>
    </cfRule>
  </conditionalFormatting>
  <conditionalFormatting sqref="F26">
    <cfRule type="cellIs" dxfId="2269" priority="253" stopIfTrue="1" operator="equal">
      <formula>'1854'!$E$26</formula>
    </cfRule>
    <cfRule type="cellIs" dxfId="2268" priority="254" stopIfTrue="1" operator="lessThan">
      <formula>'1854'!$E$26</formula>
    </cfRule>
  </conditionalFormatting>
  <conditionalFormatting sqref="F27">
    <cfRule type="cellIs" dxfId="2267" priority="255" stopIfTrue="1" operator="equal">
      <formula>'1854'!$E$27</formula>
    </cfRule>
    <cfRule type="cellIs" dxfId="2266" priority="256" stopIfTrue="1" operator="lessThan">
      <formula>'1854'!$E$27</formula>
    </cfRule>
  </conditionalFormatting>
  <conditionalFormatting sqref="F28">
    <cfRule type="cellIs" dxfId="2265" priority="257" stopIfTrue="1" operator="equal">
      <formula>'1854'!$E$28</formula>
    </cfRule>
    <cfRule type="cellIs" dxfId="2264" priority="258" stopIfTrue="1" operator="lessThan">
      <formula>'1854'!$E$28</formula>
    </cfRule>
  </conditionalFormatting>
  <conditionalFormatting sqref="G13">
    <cfRule type="cellIs" dxfId="2263" priority="259" stopIfTrue="1" operator="equal">
      <formula>'1854'!$F$13</formula>
    </cfRule>
    <cfRule type="cellIs" dxfId="2262" priority="260" stopIfTrue="1" operator="lessThan">
      <formula>'1854'!$F$13</formula>
    </cfRule>
  </conditionalFormatting>
  <conditionalFormatting sqref="G14">
    <cfRule type="cellIs" dxfId="2261" priority="261" stopIfTrue="1" operator="equal">
      <formula>'1854'!$F$14</formula>
    </cfRule>
    <cfRule type="cellIs" dxfId="2260" priority="262" stopIfTrue="1" operator="lessThan">
      <formula>'1854'!$F$14</formula>
    </cfRule>
  </conditionalFormatting>
  <conditionalFormatting sqref="G15">
    <cfRule type="cellIs" dxfId="2259" priority="263" stopIfTrue="1" operator="equal">
      <formula>'1854'!$F$15</formula>
    </cfRule>
    <cfRule type="cellIs" dxfId="2258" priority="264" stopIfTrue="1" operator="lessThan">
      <formula>'1854'!$F$15</formula>
    </cfRule>
  </conditionalFormatting>
  <conditionalFormatting sqref="G16">
    <cfRule type="cellIs" dxfId="2257" priority="265" stopIfTrue="1" operator="equal">
      <formula>'1854'!$F$16</formula>
    </cfRule>
    <cfRule type="cellIs" dxfId="2256" priority="266" stopIfTrue="1" operator="lessThan">
      <formula>'1854'!$F$16</formula>
    </cfRule>
  </conditionalFormatting>
  <conditionalFormatting sqref="G17">
    <cfRule type="cellIs" dxfId="2255" priority="267" stopIfTrue="1" operator="equal">
      <formula>'1854'!$F$17</formula>
    </cfRule>
    <cfRule type="cellIs" dxfId="2254" priority="268" stopIfTrue="1" operator="lessThan">
      <formula>'1854'!$F$17</formula>
    </cfRule>
  </conditionalFormatting>
  <conditionalFormatting sqref="G18">
    <cfRule type="cellIs" dxfId="2253" priority="269" stopIfTrue="1" operator="equal">
      <formula>'1854'!$F$18</formula>
    </cfRule>
    <cfRule type="cellIs" dxfId="2252" priority="270" stopIfTrue="1" operator="lessThan">
      <formula>'1854'!$F$18</formula>
    </cfRule>
  </conditionalFormatting>
  <conditionalFormatting sqref="G19">
    <cfRule type="cellIs" dxfId="2251" priority="271" stopIfTrue="1" operator="equal">
      <formula>'1854'!$F$19</formula>
    </cfRule>
    <cfRule type="cellIs" dxfId="2250" priority="272" stopIfTrue="1" operator="lessThan">
      <formula>'1854'!$F$19</formula>
    </cfRule>
  </conditionalFormatting>
  <conditionalFormatting sqref="G20">
    <cfRule type="cellIs" dxfId="2249" priority="273" stopIfTrue="1" operator="equal">
      <formula>'1854'!$F$20</formula>
    </cfRule>
    <cfRule type="cellIs" dxfId="2248" priority="274" stopIfTrue="1" operator="lessThan">
      <formula>'1854'!$F$20</formula>
    </cfRule>
  </conditionalFormatting>
  <conditionalFormatting sqref="G21">
    <cfRule type="cellIs" dxfId="2247" priority="275" stopIfTrue="1" operator="equal">
      <formula>'1854'!$F$21</formula>
    </cfRule>
    <cfRule type="cellIs" dxfId="2246" priority="276" stopIfTrue="1" operator="lessThan">
      <formula>'1854'!$F$21</formula>
    </cfRule>
  </conditionalFormatting>
  <conditionalFormatting sqref="G22">
    <cfRule type="cellIs" dxfId="2245" priority="277" stopIfTrue="1" operator="equal">
      <formula>'1854'!$F$22</formula>
    </cfRule>
    <cfRule type="cellIs" dxfId="2244" priority="278" stopIfTrue="1" operator="lessThan">
      <formula>'1854'!$F$22</formula>
    </cfRule>
  </conditionalFormatting>
  <conditionalFormatting sqref="G23">
    <cfRule type="cellIs" dxfId="2243" priority="279" stopIfTrue="1" operator="equal">
      <formula>'1854'!$F$23</formula>
    </cfRule>
    <cfRule type="cellIs" dxfId="2242" priority="280" stopIfTrue="1" operator="lessThan">
      <formula>'1854'!$F$23</formula>
    </cfRule>
  </conditionalFormatting>
  <conditionalFormatting sqref="G25">
    <cfRule type="cellIs" dxfId="2241" priority="281" stopIfTrue="1" operator="equal">
      <formula>'1854'!$F$25</formula>
    </cfRule>
    <cfRule type="cellIs" dxfId="2240" priority="282" stopIfTrue="1" operator="lessThan">
      <formula>'1854'!$F$25</formula>
    </cfRule>
  </conditionalFormatting>
  <conditionalFormatting sqref="G26">
    <cfRule type="cellIs" dxfId="2239" priority="283" stopIfTrue="1" operator="equal">
      <formula>'1854'!$F$26</formula>
    </cfRule>
    <cfRule type="cellIs" dxfId="2238" priority="284" stopIfTrue="1" operator="lessThan">
      <formula>'1854'!$F$26</formula>
    </cfRule>
  </conditionalFormatting>
  <conditionalFormatting sqref="G27">
    <cfRule type="cellIs" dxfId="2237" priority="285" stopIfTrue="1" operator="equal">
      <formula>'1854'!$F$27</formula>
    </cfRule>
    <cfRule type="cellIs" dxfId="2236" priority="286" stopIfTrue="1" operator="lessThan">
      <formula>'1854'!$F$27</formula>
    </cfRule>
  </conditionalFormatting>
  <conditionalFormatting sqref="G28">
    <cfRule type="cellIs" dxfId="2235" priority="287" stopIfTrue="1" operator="equal">
      <formula>'1854'!$F$28</formula>
    </cfRule>
    <cfRule type="cellIs" dxfId="2234" priority="288" stopIfTrue="1" operator="lessThan">
      <formula>'1854'!$F$28</formula>
    </cfRule>
  </conditionalFormatting>
  <conditionalFormatting sqref="D13">
    <cfRule type="cellIs" dxfId="2233" priority="289" stopIfTrue="1" operator="equal">
      <formula>'1854'!$C$13</formula>
    </cfRule>
    <cfRule type="cellIs" dxfId="2232" priority="290" stopIfTrue="1" operator="lessThan">
      <formula>'1854'!$C$13</formula>
    </cfRule>
  </conditionalFormatting>
  <conditionalFormatting sqref="H13">
    <cfRule type="cellIs" dxfId="2231" priority="291" stopIfTrue="1" operator="equal">
      <formula>'1854'!$G$13</formula>
    </cfRule>
    <cfRule type="cellIs" dxfId="2230" priority="292" stopIfTrue="1" operator="lessThan">
      <formula>'1854'!$G$13</formula>
    </cfRule>
  </conditionalFormatting>
  <conditionalFormatting sqref="H14">
    <cfRule type="cellIs" dxfId="2229" priority="293" stopIfTrue="1" operator="equal">
      <formula>'1854'!$G$14</formula>
    </cfRule>
    <cfRule type="cellIs" dxfId="2228" priority="294" stopIfTrue="1" operator="lessThan">
      <formula>'1854'!$G$14</formula>
    </cfRule>
  </conditionalFormatting>
  <conditionalFormatting sqref="H15">
    <cfRule type="cellIs" dxfId="2227" priority="295" stopIfTrue="1" operator="equal">
      <formula>'1854'!$G$15</formula>
    </cfRule>
    <cfRule type="cellIs" dxfId="2226" priority="296" stopIfTrue="1" operator="lessThan">
      <formula>'1854'!$G$15</formula>
    </cfRule>
  </conditionalFormatting>
  <conditionalFormatting sqref="H16">
    <cfRule type="cellIs" dxfId="2225" priority="297" stopIfTrue="1" operator="equal">
      <formula>'1854'!$G$16</formula>
    </cfRule>
    <cfRule type="cellIs" dxfId="2224" priority="298" stopIfTrue="1" operator="lessThan">
      <formula>'1854'!$G$16</formula>
    </cfRule>
  </conditionalFormatting>
  <conditionalFormatting sqref="H17">
    <cfRule type="cellIs" dxfId="2223" priority="299" stopIfTrue="1" operator="equal">
      <formula>'1854'!$G$17</formula>
    </cfRule>
    <cfRule type="cellIs" dxfId="2222" priority="300" stopIfTrue="1" operator="lessThan">
      <formula>'1854'!$G$17</formula>
    </cfRule>
  </conditionalFormatting>
  <conditionalFormatting sqref="H18">
    <cfRule type="cellIs" dxfId="2221" priority="301" stopIfTrue="1" operator="equal">
      <formula>'1854'!$G$18</formula>
    </cfRule>
    <cfRule type="cellIs" dxfId="2220" priority="302" stopIfTrue="1" operator="lessThan">
      <formula>'1854'!$G$18</formula>
    </cfRule>
  </conditionalFormatting>
  <conditionalFormatting sqref="H19">
    <cfRule type="cellIs" dxfId="2219" priority="303" stopIfTrue="1" operator="equal">
      <formula>'1854'!$G$19</formula>
    </cfRule>
    <cfRule type="cellIs" dxfId="2218" priority="304" stopIfTrue="1" operator="lessThan">
      <formula>'1854'!$G$19</formula>
    </cfRule>
  </conditionalFormatting>
  <conditionalFormatting sqref="H20">
    <cfRule type="cellIs" dxfId="2217" priority="305" stopIfTrue="1" operator="equal">
      <formula>'1854'!$G$20</formula>
    </cfRule>
    <cfRule type="cellIs" dxfId="2216" priority="306" stopIfTrue="1" operator="lessThan">
      <formula>'1854'!$G$20</formula>
    </cfRule>
  </conditionalFormatting>
  <conditionalFormatting sqref="H21">
    <cfRule type="cellIs" dxfId="2215" priority="307" stopIfTrue="1" operator="equal">
      <formula>'1854'!$G$21</formula>
    </cfRule>
    <cfRule type="cellIs" dxfId="2214" priority="308" stopIfTrue="1" operator="lessThan">
      <formula>'1854'!$G$21</formula>
    </cfRule>
  </conditionalFormatting>
  <conditionalFormatting sqref="H22">
    <cfRule type="cellIs" dxfId="2213" priority="309" stopIfTrue="1" operator="equal">
      <formula>'1854'!$G$22</formula>
    </cfRule>
    <cfRule type="cellIs" dxfId="2212" priority="310" stopIfTrue="1" operator="lessThan">
      <formula>'1854'!$G$22</formula>
    </cfRule>
  </conditionalFormatting>
  <conditionalFormatting sqref="H23">
    <cfRule type="cellIs" dxfId="2211" priority="311" stopIfTrue="1" operator="equal">
      <formula>'1854'!$G$23</formula>
    </cfRule>
    <cfRule type="cellIs" dxfId="2210" priority="312" stopIfTrue="1" operator="lessThan">
      <formula>'1854'!$G$23</formula>
    </cfRule>
  </conditionalFormatting>
  <conditionalFormatting sqref="H25">
    <cfRule type="cellIs" dxfId="2209" priority="313" stopIfTrue="1" operator="equal">
      <formula>'1854'!$G$25</formula>
    </cfRule>
    <cfRule type="cellIs" dxfId="2208" priority="314" stopIfTrue="1" operator="lessThan">
      <formula>'1854'!$G$25</formula>
    </cfRule>
  </conditionalFormatting>
  <conditionalFormatting sqref="H26">
    <cfRule type="cellIs" dxfId="2207" priority="315" stopIfTrue="1" operator="equal">
      <formula>'1854'!$G$26</formula>
    </cfRule>
    <cfRule type="cellIs" dxfId="2206" priority="316" stopIfTrue="1" operator="lessThan">
      <formula>'1854'!$G$26</formula>
    </cfRule>
  </conditionalFormatting>
  <conditionalFormatting sqref="H27">
    <cfRule type="cellIs" dxfId="2205" priority="317" stopIfTrue="1" operator="equal">
      <formula>'1854'!$G$27</formula>
    </cfRule>
    <cfRule type="cellIs" dxfId="2204" priority="318" stopIfTrue="1" operator="lessThan">
      <formula>'1854'!$G$27</formula>
    </cfRule>
  </conditionalFormatting>
  <conditionalFormatting sqref="H28">
    <cfRule type="cellIs" dxfId="2203" priority="319" stopIfTrue="1" operator="equal">
      <formula>'1854'!$G$28</formula>
    </cfRule>
    <cfRule type="cellIs" dxfId="2202" priority="320" stopIfTrue="1" operator="lessThan">
      <formula>'1854'!$G$28</formula>
    </cfRule>
  </conditionalFormatting>
  <conditionalFormatting sqref="D24">
    <cfRule type="cellIs" dxfId="2201" priority="321" stopIfTrue="1" operator="equal">
      <formula>'1854'!$C$24</formula>
    </cfRule>
    <cfRule type="cellIs" dxfId="2200" priority="322" stopIfTrue="1" operator="lessThan">
      <formula>'1854'!$C$24</formula>
    </cfRule>
  </conditionalFormatting>
  <conditionalFormatting sqref="E24">
    <cfRule type="cellIs" dxfId="2199" priority="323" stopIfTrue="1" operator="equal">
      <formula>'1854'!$D$24</formula>
    </cfRule>
    <cfRule type="cellIs" dxfId="2198" priority="324" stopIfTrue="1" operator="lessThan">
      <formula>'1854'!$D$24</formula>
    </cfRule>
  </conditionalFormatting>
  <conditionalFormatting sqref="F24">
    <cfRule type="cellIs" dxfId="2197" priority="325" stopIfTrue="1" operator="equal">
      <formula>'1854'!$E$24</formula>
    </cfRule>
    <cfRule type="cellIs" dxfId="2196" priority="326" stopIfTrue="1" operator="lessThan">
      <formula>'1854'!$E$24</formula>
    </cfRule>
  </conditionalFormatting>
  <conditionalFormatting sqref="G24">
    <cfRule type="cellIs" dxfId="2195" priority="327" stopIfTrue="1" operator="equal">
      <formula>'1854'!$F$24</formula>
    </cfRule>
    <cfRule type="cellIs" dxfId="2194" priority="328" stopIfTrue="1" operator="lessThan">
      <formula>'1854'!$F$24</formula>
    </cfRule>
  </conditionalFormatting>
  <conditionalFormatting sqref="H24">
    <cfRule type="cellIs" dxfId="2193" priority="329" stopIfTrue="1" operator="equal">
      <formula>'1854'!$G$24</formula>
    </cfRule>
    <cfRule type="cellIs" dxfId="2192" priority="330" stopIfTrue="1" operator="lessThan">
      <formula>'1854'!$G$24</formula>
    </cfRule>
  </conditionalFormatting>
  <conditionalFormatting sqref="E5">
    <cfRule type="cellIs" dxfId="2191" priority="331" stopIfTrue="1" operator="equal">
      <formula>'1854'!$D$5</formula>
    </cfRule>
    <cfRule type="cellIs" dxfId="2190" priority="332" stopIfTrue="1" operator="lessThan">
      <formula>'1854'!$D$5</formula>
    </cfRule>
  </conditionalFormatting>
  <conditionalFormatting sqref="G5">
    <cfRule type="cellIs" dxfId="2189" priority="333" stopIfTrue="1" operator="equal">
      <formula>'1854'!$F$5</formula>
    </cfRule>
    <cfRule type="cellIs" dxfId="2188" priority="334" stopIfTrue="1" operator="lessThan">
      <formula>'1854'!$F$5</formula>
    </cfRule>
  </conditionalFormatting>
  <conditionalFormatting sqref="G4">
    <cfRule type="cellIs" dxfId="2187" priority="335" stopIfTrue="1" operator="equal">
      <formula>'1854'!$F$4</formula>
    </cfRule>
  </conditionalFormatting>
  <conditionalFormatting sqref="L29:O29 J29 D29:H29">
    <cfRule type="cellIs" dxfId="2186" priority="336" stopIfTrue="1" operator="equal">
      <formula>0</formula>
    </cfRule>
  </conditionalFormatting>
  <conditionalFormatting sqref="I13">
    <cfRule type="cellIs" dxfId="2185" priority="337" stopIfTrue="1" operator="equal">
      <formula>'1854'!$H$13</formula>
    </cfRule>
    <cfRule type="cellIs" dxfId="2184" priority="338" stopIfTrue="1" operator="lessThan">
      <formula>'1854'!$H$13</formula>
    </cfRule>
  </conditionalFormatting>
  <conditionalFormatting sqref="I14">
    <cfRule type="cellIs" dxfId="2183" priority="339" stopIfTrue="1" operator="equal">
      <formula>'1854'!$H$14</formula>
    </cfRule>
    <cfRule type="cellIs" dxfId="2182" priority="340" stopIfTrue="1" operator="lessThan">
      <formula>'1854'!$H$14</formula>
    </cfRule>
  </conditionalFormatting>
  <conditionalFormatting sqref="I15">
    <cfRule type="cellIs" dxfId="2181" priority="341" stopIfTrue="1" operator="equal">
      <formula>'1854'!$H$15</formula>
    </cfRule>
    <cfRule type="cellIs" dxfId="2180" priority="342" stopIfTrue="1" operator="lessThan">
      <formula>'1854'!$H$15</formula>
    </cfRule>
  </conditionalFormatting>
  <conditionalFormatting sqref="I16">
    <cfRule type="cellIs" dxfId="2179" priority="343" stopIfTrue="1" operator="equal">
      <formula>'1854'!$H$16</formula>
    </cfRule>
    <cfRule type="cellIs" dxfId="2178" priority="344" stopIfTrue="1" operator="lessThan">
      <formula>'1854'!$H$16</formula>
    </cfRule>
  </conditionalFormatting>
  <conditionalFormatting sqref="I17">
    <cfRule type="cellIs" dxfId="2177" priority="345" stopIfTrue="1" operator="equal">
      <formula>'1854'!$H$17</formula>
    </cfRule>
    <cfRule type="cellIs" dxfId="2176" priority="346" stopIfTrue="1" operator="lessThan">
      <formula>'1854'!$H$17</formula>
    </cfRule>
  </conditionalFormatting>
  <conditionalFormatting sqref="I18">
    <cfRule type="cellIs" dxfId="2175" priority="347" stopIfTrue="1" operator="equal">
      <formula>'1854'!$H$18</formula>
    </cfRule>
    <cfRule type="cellIs" dxfId="2174" priority="348" stopIfTrue="1" operator="lessThan">
      <formula>'1854'!$H$18</formula>
    </cfRule>
  </conditionalFormatting>
  <conditionalFormatting sqref="I19">
    <cfRule type="cellIs" dxfId="2173" priority="349" stopIfTrue="1" operator="equal">
      <formula>'1854'!$H$19</formula>
    </cfRule>
    <cfRule type="cellIs" dxfId="2172" priority="350" stopIfTrue="1" operator="lessThan">
      <formula>'1854'!$H$19</formula>
    </cfRule>
  </conditionalFormatting>
  <conditionalFormatting sqref="I20">
    <cfRule type="cellIs" dxfId="2171" priority="351" stopIfTrue="1" operator="equal">
      <formula>'1854'!$H$20</formula>
    </cfRule>
    <cfRule type="cellIs" dxfId="2170" priority="352" stopIfTrue="1" operator="lessThan">
      <formula>'1854'!$H$20</formula>
    </cfRule>
  </conditionalFormatting>
  <conditionalFormatting sqref="I21">
    <cfRule type="cellIs" dxfId="2169" priority="353" stopIfTrue="1" operator="equal">
      <formula>'1854'!$H$21</formula>
    </cfRule>
    <cfRule type="cellIs" dxfId="2168" priority="354" stopIfTrue="1" operator="lessThan">
      <formula>'1854'!$H$21</formula>
    </cfRule>
  </conditionalFormatting>
  <conditionalFormatting sqref="I22">
    <cfRule type="cellIs" dxfId="2167" priority="355" stopIfTrue="1" operator="equal">
      <formula>'1854'!$H$22</formula>
    </cfRule>
    <cfRule type="cellIs" dxfId="2166" priority="356" stopIfTrue="1" operator="lessThan">
      <formula>'1854'!$H$22</formula>
    </cfRule>
  </conditionalFormatting>
  <conditionalFormatting sqref="I23">
    <cfRule type="cellIs" dxfId="2165" priority="357" stopIfTrue="1" operator="equal">
      <formula>'1854'!$H$23</formula>
    </cfRule>
    <cfRule type="cellIs" dxfId="2164" priority="358" stopIfTrue="1" operator="lessThan">
      <formula>'1854'!$H$23</formula>
    </cfRule>
  </conditionalFormatting>
  <conditionalFormatting sqref="I24">
    <cfRule type="cellIs" dxfId="2163" priority="359" stopIfTrue="1" operator="equal">
      <formula>'1854'!$H$24</formula>
    </cfRule>
    <cfRule type="cellIs" dxfId="2162" priority="360" stopIfTrue="1" operator="lessThan">
      <formula>'1854'!$H$24</formula>
    </cfRule>
  </conditionalFormatting>
  <conditionalFormatting sqref="I25">
    <cfRule type="cellIs" dxfId="2161" priority="361" stopIfTrue="1" operator="equal">
      <formula>'1854'!$H$25</formula>
    </cfRule>
    <cfRule type="cellIs" dxfId="2160" priority="362" stopIfTrue="1" operator="lessThan">
      <formula>'1854'!$H$25</formula>
    </cfRule>
  </conditionalFormatting>
  <conditionalFormatting sqref="I26">
    <cfRule type="cellIs" dxfId="2159" priority="363" stopIfTrue="1" operator="equal">
      <formula>'1854'!$H$26</formula>
    </cfRule>
    <cfRule type="cellIs" dxfId="2158" priority="364" stopIfTrue="1" operator="lessThan">
      <formula>'1854'!$H$26</formula>
    </cfRule>
  </conditionalFormatting>
  <conditionalFormatting sqref="I27">
    <cfRule type="cellIs" dxfId="2157" priority="365" stopIfTrue="1" operator="equal">
      <formula>'1854'!$H$27</formula>
    </cfRule>
    <cfRule type="cellIs" dxfId="2156" priority="366" stopIfTrue="1" operator="lessThan">
      <formula>'1854'!$H$27</formula>
    </cfRule>
    <cfRule type="cellIs" dxfId="2155" priority="367" stopIfTrue="1" operator="lessThan">
      <formula>'1854'!$H$27</formula>
    </cfRule>
  </conditionalFormatting>
  <conditionalFormatting sqref="I28">
    <cfRule type="cellIs" dxfId="2154" priority="368" stopIfTrue="1" operator="equal">
      <formula>'1854'!$H$28</formula>
    </cfRule>
    <cfRule type="cellIs" dxfId="2153" priority="369" stopIfTrue="1" operator="lessThan">
      <formula>'1854'!$H$28</formula>
    </cfRule>
  </conditionalFormatting>
  <conditionalFormatting sqref="I29">
    <cfRule type="cellIs" dxfId="2152" priority="370" stopIfTrue="1" operator="equal">
      <formula>'1854'!$H$29</formula>
    </cfRule>
    <cfRule type="cellIs" dxfId="2151" priority="371" stopIfTrue="1" operator="lessThan">
      <formula>'1854'!$H$29</formula>
    </cfRule>
  </conditionalFormatting>
  <conditionalFormatting sqref="J13">
    <cfRule type="cellIs" dxfId="2150" priority="372" stopIfTrue="1" operator="equal">
      <formula>'1854'!$I$13</formula>
    </cfRule>
    <cfRule type="cellIs" dxfId="2149" priority="373" stopIfTrue="1" operator="lessThan">
      <formula>'1854'!$I$13</formula>
    </cfRule>
  </conditionalFormatting>
  <conditionalFormatting sqref="J14">
    <cfRule type="cellIs" dxfId="2148" priority="374" stopIfTrue="1" operator="equal">
      <formula>'1854'!$I$14</formula>
    </cfRule>
    <cfRule type="cellIs" dxfId="2147" priority="375" stopIfTrue="1" operator="lessThan">
      <formula>'1854'!$I$14</formula>
    </cfRule>
  </conditionalFormatting>
  <conditionalFormatting sqref="J15">
    <cfRule type="cellIs" dxfId="2146" priority="376" stopIfTrue="1" operator="equal">
      <formula>'1854'!$I$15</formula>
    </cfRule>
    <cfRule type="cellIs" dxfId="2145" priority="377" stopIfTrue="1" operator="lessThan">
      <formula>'1854'!$I$15</formula>
    </cfRule>
  </conditionalFormatting>
  <conditionalFormatting sqref="J16">
    <cfRule type="cellIs" dxfId="2144" priority="378" stopIfTrue="1" operator="equal">
      <formula>'1854'!$I$16</formula>
    </cfRule>
    <cfRule type="cellIs" dxfId="2143" priority="379" stopIfTrue="1" operator="lessThan">
      <formula>'1854'!$I$16</formula>
    </cfRule>
  </conditionalFormatting>
  <conditionalFormatting sqref="J17">
    <cfRule type="cellIs" dxfId="2142" priority="380" stopIfTrue="1" operator="equal">
      <formula>'1854'!$I$17</formula>
    </cfRule>
    <cfRule type="cellIs" dxfId="2141" priority="381" stopIfTrue="1" operator="lessThan">
      <formula>'1854'!$I$17</formula>
    </cfRule>
  </conditionalFormatting>
  <conditionalFormatting sqref="J18">
    <cfRule type="cellIs" dxfId="2140" priority="382" stopIfTrue="1" operator="equal">
      <formula>'1854'!$I$18</formula>
    </cfRule>
    <cfRule type="cellIs" dxfId="2139" priority="383" stopIfTrue="1" operator="lessThan">
      <formula>'1854'!$I$18</formula>
    </cfRule>
  </conditionalFormatting>
  <conditionalFormatting sqref="J19">
    <cfRule type="cellIs" dxfId="2138" priority="384" stopIfTrue="1" operator="equal">
      <formula>'1854'!$I$19</formula>
    </cfRule>
    <cfRule type="cellIs" dxfId="2137" priority="385" stopIfTrue="1" operator="lessThan">
      <formula>'1854'!$I$19</formula>
    </cfRule>
  </conditionalFormatting>
  <conditionalFormatting sqref="J20">
    <cfRule type="cellIs" dxfId="2136" priority="386" stopIfTrue="1" operator="equal">
      <formula>'1854'!$I$20</formula>
    </cfRule>
    <cfRule type="cellIs" dxfId="2135" priority="387" stopIfTrue="1" operator="lessThan">
      <formula>'1854'!$I$20</formula>
    </cfRule>
  </conditionalFormatting>
  <conditionalFormatting sqref="J21">
    <cfRule type="cellIs" dxfId="2134" priority="388" stopIfTrue="1" operator="equal">
      <formula>'1854'!$I$21</formula>
    </cfRule>
    <cfRule type="cellIs" dxfId="2133" priority="389" stopIfTrue="1" operator="lessThan">
      <formula>'1854'!$I$21</formula>
    </cfRule>
  </conditionalFormatting>
  <conditionalFormatting sqref="J22">
    <cfRule type="cellIs" dxfId="2132" priority="390" stopIfTrue="1" operator="equal">
      <formula>'1854'!$I$22</formula>
    </cfRule>
    <cfRule type="cellIs" dxfId="2131" priority="391" stopIfTrue="1" operator="lessThan">
      <formula>'1854'!$I$22</formula>
    </cfRule>
  </conditionalFormatting>
  <conditionalFormatting sqref="J23">
    <cfRule type="cellIs" dxfId="2130" priority="392" stopIfTrue="1" operator="equal">
      <formula>'1854'!$I$23</formula>
    </cfRule>
    <cfRule type="cellIs" dxfId="2129" priority="393" stopIfTrue="1" operator="lessThan">
      <formula>'1854'!$I$23</formula>
    </cfRule>
  </conditionalFormatting>
  <conditionalFormatting sqref="J24">
    <cfRule type="cellIs" dxfId="2128" priority="394" stopIfTrue="1" operator="equal">
      <formula>'1854'!$I$24</formula>
    </cfRule>
    <cfRule type="cellIs" dxfId="2127" priority="395" stopIfTrue="1" operator="lessThan">
      <formula>'1854'!$I$24</formula>
    </cfRule>
  </conditionalFormatting>
  <conditionalFormatting sqref="J25">
    <cfRule type="cellIs" dxfId="2126" priority="396" stopIfTrue="1" operator="equal">
      <formula>'1854'!$I$25</formula>
    </cfRule>
    <cfRule type="cellIs" dxfId="2125" priority="397" stopIfTrue="1" operator="lessThan">
      <formula>'1854'!$I$25</formula>
    </cfRule>
  </conditionalFormatting>
  <conditionalFormatting sqref="J26">
    <cfRule type="cellIs" dxfId="2124" priority="398" stopIfTrue="1" operator="equal">
      <formula>'1854'!$I$26</formula>
    </cfRule>
    <cfRule type="cellIs" dxfId="2123" priority="399" stopIfTrue="1" operator="lessThan">
      <formula>'1854'!$I$26</formula>
    </cfRule>
  </conditionalFormatting>
  <conditionalFormatting sqref="J27">
    <cfRule type="cellIs" dxfId="2122" priority="400" stopIfTrue="1" operator="equal">
      <formula>'1854'!$I$27</formula>
    </cfRule>
    <cfRule type="cellIs" dxfId="2121" priority="401" stopIfTrue="1" operator="lessThan">
      <formula>'1854'!$I$27</formula>
    </cfRule>
  </conditionalFormatting>
  <conditionalFormatting sqref="J28">
    <cfRule type="cellIs" dxfId="2120" priority="402" stopIfTrue="1" operator="equal">
      <formula>'1854'!$I$28</formula>
    </cfRule>
    <cfRule type="cellIs" dxfId="2119" priority="403" stopIfTrue="1" operator="lessThan">
      <formula>'1854'!$I$28</formula>
    </cfRule>
  </conditionalFormatting>
  <conditionalFormatting sqref="K4">
    <cfRule type="cellIs" dxfId="2118" priority="404" stopIfTrue="1" operator="equal">
      <formula>'1854'!$J$4</formula>
    </cfRule>
    <cfRule type="cellIs" dxfId="2117" priority="405" stopIfTrue="1" operator="lessThan">
      <formula>'1854'!$J$4</formula>
    </cfRule>
  </conditionalFormatting>
  <conditionalFormatting sqref="K5">
    <cfRule type="cellIs" dxfId="2116" priority="406" stopIfTrue="1" operator="equal">
      <formula>'1854'!$J$5</formula>
    </cfRule>
    <cfRule type="cellIs" dxfId="2115" priority="407" stopIfTrue="1" operator="lessThan">
      <formula>'1854'!$J$5</formula>
    </cfRule>
  </conditionalFormatting>
  <conditionalFormatting sqref="K6">
    <cfRule type="cellIs" dxfId="2114" priority="408" stopIfTrue="1" operator="equal">
      <formula>'1854'!$J$6</formula>
    </cfRule>
    <cfRule type="cellIs" dxfId="2113" priority="409" stopIfTrue="1" operator="lessThan">
      <formula>'1854'!$J$6</formula>
    </cfRule>
  </conditionalFormatting>
  <conditionalFormatting sqref="K7">
    <cfRule type="cellIs" dxfId="2112" priority="410" stopIfTrue="1" operator="equal">
      <formula>'1854'!$J$7</formula>
    </cfRule>
    <cfRule type="cellIs" dxfId="2111" priority="411" stopIfTrue="1" operator="lessThan">
      <formula>'1854'!$J$7</formula>
    </cfRule>
  </conditionalFormatting>
  <conditionalFormatting sqref="K8">
    <cfRule type="cellIs" dxfId="2110" priority="412" stopIfTrue="1" operator="equal">
      <formula>'1854'!$J$8</formula>
    </cfRule>
    <cfRule type="cellIs" dxfId="2109" priority="413" stopIfTrue="1" operator="lessThan">
      <formula>'1854'!$J$8</formula>
    </cfRule>
  </conditionalFormatting>
  <conditionalFormatting sqref="K9">
    <cfRule type="cellIs" dxfId="2108" priority="414" stopIfTrue="1" operator="equal">
      <formula>'1854'!$J$9</formula>
    </cfRule>
    <cfRule type="cellIs" dxfId="2107" priority="415" stopIfTrue="1" operator="lessThan">
      <formula>'1854'!$J$9</formula>
    </cfRule>
  </conditionalFormatting>
  <conditionalFormatting sqref="K10">
    <cfRule type="cellIs" dxfId="2106" priority="416" stopIfTrue="1" operator="equal">
      <formula>'1854'!$J$10</formula>
    </cfRule>
    <cfRule type="cellIs" dxfId="2105" priority="417" stopIfTrue="1" operator="lessThan">
      <formula>'1854'!$J$10</formula>
    </cfRule>
  </conditionalFormatting>
  <conditionalFormatting sqref="K11">
    <cfRule type="cellIs" dxfId="2104" priority="418" stopIfTrue="1" operator="equal">
      <formula>'1854'!$J$11</formula>
    </cfRule>
    <cfRule type="cellIs" dxfId="2103" priority="419" stopIfTrue="1" operator="lessThan">
      <formula>'1854'!$J$11</formula>
    </cfRule>
  </conditionalFormatting>
  <conditionalFormatting sqref="K12">
    <cfRule type="cellIs" dxfId="2102" priority="420" stopIfTrue="1" operator="equal">
      <formula>'1854'!$J$12</formula>
    </cfRule>
    <cfRule type="cellIs" dxfId="2101" priority="421" stopIfTrue="1" operator="lessThan">
      <formula>'1854'!$J$12</formula>
    </cfRule>
  </conditionalFormatting>
  <conditionalFormatting sqref="K13">
    <cfRule type="cellIs" dxfId="2100" priority="422" stopIfTrue="1" operator="equal">
      <formula>'1854'!$J$13</formula>
    </cfRule>
    <cfRule type="cellIs" dxfId="2099" priority="423" stopIfTrue="1" operator="lessThan">
      <formula>'1854'!$J$13</formula>
    </cfRule>
  </conditionalFormatting>
  <conditionalFormatting sqref="K14">
    <cfRule type="cellIs" dxfId="2098" priority="424" stopIfTrue="1" operator="equal">
      <formula>'1854'!$J$14</formula>
    </cfRule>
    <cfRule type="cellIs" dxfId="2097" priority="425" stopIfTrue="1" operator="lessThan">
      <formula>'1854'!$J$14</formula>
    </cfRule>
  </conditionalFormatting>
  <conditionalFormatting sqref="K15">
    <cfRule type="cellIs" dxfId="2096" priority="426" stopIfTrue="1" operator="equal">
      <formula>'1854'!$J$15</formula>
    </cfRule>
    <cfRule type="cellIs" dxfId="2095" priority="427" stopIfTrue="1" operator="lessThan">
      <formula>'1854'!$J$15</formula>
    </cfRule>
  </conditionalFormatting>
  <conditionalFormatting sqref="K16">
    <cfRule type="cellIs" dxfId="2094" priority="428" stopIfTrue="1" operator="equal">
      <formula>'1854'!$J$16</formula>
    </cfRule>
    <cfRule type="cellIs" dxfId="2093" priority="429" stopIfTrue="1" operator="lessThan">
      <formula>'1854'!$J$16</formula>
    </cfRule>
  </conditionalFormatting>
  <conditionalFormatting sqref="K17">
    <cfRule type="cellIs" dxfId="2092" priority="430" stopIfTrue="1" operator="equal">
      <formula>'1854'!$J$17</formula>
    </cfRule>
    <cfRule type="cellIs" dxfId="2091" priority="431" stopIfTrue="1" operator="lessThan">
      <formula>'1854'!$J$17</formula>
    </cfRule>
  </conditionalFormatting>
  <conditionalFormatting sqref="K18">
    <cfRule type="cellIs" dxfId="2090" priority="432" stopIfTrue="1" operator="equal">
      <formula>'1854'!$J$18</formula>
    </cfRule>
    <cfRule type="cellIs" dxfId="2089" priority="433" stopIfTrue="1" operator="lessThan">
      <formula>'1854'!$J$18</formula>
    </cfRule>
  </conditionalFormatting>
  <conditionalFormatting sqref="K19">
    <cfRule type="cellIs" dxfId="2088" priority="434" stopIfTrue="1" operator="equal">
      <formula>'1854'!$J$19</formula>
    </cfRule>
    <cfRule type="cellIs" dxfId="2087" priority="435" stopIfTrue="1" operator="lessThan">
      <formula>'1854'!$J$19</formula>
    </cfRule>
  </conditionalFormatting>
  <conditionalFormatting sqref="K20">
    <cfRule type="cellIs" dxfId="2086" priority="436" stopIfTrue="1" operator="equal">
      <formula>'1854'!$J$20</formula>
    </cfRule>
    <cfRule type="cellIs" dxfId="2085" priority="437" stopIfTrue="1" operator="lessThan">
      <formula>'1854'!$J$20</formula>
    </cfRule>
  </conditionalFormatting>
  <conditionalFormatting sqref="K21">
    <cfRule type="cellIs" dxfId="2084" priority="438" stopIfTrue="1" operator="equal">
      <formula>'1854'!$J$21</formula>
    </cfRule>
    <cfRule type="cellIs" dxfId="2083" priority="439" stopIfTrue="1" operator="lessThan">
      <formula>'1854'!$J$21</formula>
    </cfRule>
  </conditionalFormatting>
  <conditionalFormatting sqref="K22">
    <cfRule type="cellIs" dxfId="2082" priority="440" stopIfTrue="1" operator="equal">
      <formula>'1854'!$J$22</formula>
    </cfRule>
    <cfRule type="cellIs" dxfId="2081" priority="441" stopIfTrue="1" operator="lessThan">
      <formula>'1854'!$J$22</formula>
    </cfRule>
  </conditionalFormatting>
  <conditionalFormatting sqref="K23">
    <cfRule type="cellIs" dxfId="2080" priority="442" stopIfTrue="1" operator="equal">
      <formula>'1854'!$J$23</formula>
    </cfRule>
    <cfRule type="cellIs" dxfId="2079" priority="443" stopIfTrue="1" operator="lessThan">
      <formula>'1854'!$J$23</formula>
    </cfRule>
  </conditionalFormatting>
  <conditionalFormatting sqref="K24">
    <cfRule type="cellIs" dxfId="2078" priority="444" stopIfTrue="1" operator="equal">
      <formula>'1854'!$J$24</formula>
    </cfRule>
    <cfRule type="cellIs" dxfId="2077" priority="445" stopIfTrue="1" operator="lessThan">
      <formula>'1854'!$J$24</formula>
    </cfRule>
  </conditionalFormatting>
  <conditionalFormatting sqref="K25">
    <cfRule type="cellIs" dxfId="2076" priority="446" stopIfTrue="1" operator="equal">
      <formula>'1854'!$J$25</formula>
    </cfRule>
    <cfRule type="cellIs" dxfId="2075" priority="447" stopIfTrue="1" operator="lessThan">
      <formula>'1854'!$J$25</formula>
    </cfRule>
  </conditionalFormatting>
  <conditionalFormatting sqref="K26">
    <cfRule type="cellIs" dxfId="2074" priority="448" stopIfTrue="1" operator="equal">
      <formula>'1854'!$J$26</formula>
    </cfRule>
    <cfRule type="cellIs" dxfId="2073" priority="449" stopIfTrue="1" operator="lessThan">
      <formula>'1854'!$J$26</formula>
    </cfRule>
  </conditionalFormatting>
  <conditionalFormatting sqref="K27">
    <cfRule type="cellIs" dxfId="2072" priority="450" stopIfTrue="1" operator="equal">
      <formula>'1854'!$J$27</formula>
    </cfRule>
    <cfRule type="cellIs" dxfId="2071" priority="451" stopIfTrue="1" operator="lessThan">
      <formula>'1854'!$J$27</formula>
    </cfRule>
  </conditionalFormatting>
  <conditionalFormatting sqref="K28">
    <cfRule type="cellIs" dxfId="2070" priority="452" stopIfTrue="1" operator="lessThan">
      <formula>'1854'!$J$28</formula>
    </cfRule>
    <cfRule type="cellIs" dxfId="2069" priority="453" stopIfTrue="1" operator="equal">
      <formula>'1854'!$J$28</formula>
    </cfRule>
  </conditionalFormatting>
  <conditionalFormatting sqref="K29">
    <cfRule type="cellIs" dxfId="2068" priority="454" stopIfTrue="1" operator="equal">
      <formula>'1854'!$J$29</formula>
    </cfRule>
    <cfRule type="cellIs" dxfId="2067" priority="455" stopIfTrue="1" operator="lessThan">
      <formula>'1854'!$J$29</formula>
    </cfRule>
  </conditionalFormatting>
  <conditionalFormatting sqref="L4">
    <cfRule type="cellIs" dxfId="2066" priority="456" stopIfTrue="1" operator="equal">
      <formula>'1854'!$K$4</formula>
    </cfRule>
    <cfRule type="cellIs" dxfId="2065" priority="457" stopIfTrue="1" operator="lessThan">
      <formula>'1854'!$K$4</formula>
    </cfRule>
  </conditionalFormatting>
  <conditionalFormatting sqref="L5">
    <cfRule type="cellIs" dxfId="2064" priority="458" stopIfTrue="1" operator="equal">
      <formula>'1854'!$K$5</formula>
    </cfRule>
    <cfRule type="cellIs" dxfId="2063" priority="459" stopIfTrue="1" operator="lessThan">
      <formula>'1854'!$K$5</formula>
    </cfRule>
  </conditionalFormatting>
  <conditionalFormatting sqref="L6">
    <cfRule type="cellIs" dxfId="2062" priority="460" stopIfTrue="1" operator="equal">
      <formula>'1854'!$K$6</formula>
    </cfRule>
    <cfRule type="cellIs" dxfId="2061" priority="461" stopIfTrue="1" operator="lessThan">
      <formula>'1854'!$K$6</formula>
    </cfRule>
  </conditionalFormatting>
  <conditionalFormatting sqref="L7">
    <cfRule type="cellIs" dxfId="2060" priority="462" stopIfTrue="1" operator="equal">
      <formula>'1854'!$K$7</formula>
    </cfRule>
    <cfRule type="cellIs" dxfId="2059" priority="463" stopIfTrue="1" operator="lessThan">
      <formula>'1854'!$K$7</formula>
    </cfRule>
  </conditionalFormatting>
  <conditionalFormatting sqref="L8">
    <cfRule type="cellIs" dxfId="2058" priority="464" stopIfTrue="1" operator="equal">
      <formula>'1854'!$K$8</formula>
    </cfRule>
    <cfRule type="cellIs" dxfId="2057" priority="465" stopIfTrue="1" operator="lessThan">
      <formula>'1854'!$K$8</formula>
    </cfRule>
  </conditionalFormatting>
  <conditionalFormatting sqref="L9">
    <cfRule type="cellIs" dxfId="2056" priority="466" stopIfTrue="1" operator="equal">
      <formula>'1854'!$K$9</formula>
    </cfRule>
    <cfRule type="cellIs" dxfId="2055" priority="467" stopIfTrue="1" operator="lessThan">
      <formula>'1854'!$K$9</formula>
    </cfRule>
  </conditionalFormatting>
  <conditionalFormatting sqref="L10">
    <cfRule type="cellIs" dxfId="2054" priority="468" stopIfTrue="1" operator="equal">
      <formula>'1854'!$K$10</formula>
    </cfRule>
    <cfRule type="cellIs" dxfId="2053" priority="469" stopIfTrue="1" operator="lessThan">
      <formula>'1854'!$K$10</formula>
    </cfRule>
  </conditionalFormatting>
  <conditionalFormatting sqref="L12">
    <cfRule type="cellIs" dxfId="2052" priority="470" stopIfTrue="1" operator="equal">
      <formula>'1854'!$K$12</formula>
    </cfRule>
    <cfRule type="cellIs" dxfId="2051" priority="471" stopIfTrue="1" operator="lessThan">
      <formula>'1854'!$K$12</formula>
    </cfRule>
  </conditionalFormatting>
  <conditionalFormatting sqref="L13">
    <cfRule type="cellIs" dxfId="2050" priority="472" stopIfTrue="1" operator="equal">
      <formula>'1854'!$K$13</formula>
    </cfRule>
    <cfRule type="cellIs" dxfId="2049" priority="473" stopIfTrue="1" operator="lessThan">
      <formula>'1854'!$K$13</formula>
    </cfRule>
  </conditionalFormatting>
  <conditionalFormatting sqref="L14">
    <cfRule type="cellIs" dxfId="2048" priority="474" stopIfTrue="1" operator="equal">
      <formula>'1854'!$K$14</formula>
    </cfRule>
    <cfRule type="cellIs" dxfId="2047" priority="475" stopIfTrue="1" operator="lessThan">
      <formula>'1854'!$K$14</formula>
    </cfRule>
  </conditionalFormatting>
  <conditionalFormatting sqref="L15">
    <cfRule type="cellIs" dxfId="2046" priority="476" stopIfTrue="1" operator="equal">
      <formula>'1854'!$K$15</formula>
    </cfRule>
    <cfRule type="cellIs" dxfId="2045" priority="477" stopIfTrue="1" operator="lessThan">
      <formula>'1854'!$K$15</formula>
    </cfRule>
  </conditionalFormatting>
  <conditionalFormatting sqref="L16">
    <cfRule type="cellIs" dxfId="2044" priority="478" stopIfTrue="1" operator="equal">
      <formula>'1854'!$K$16</formula>
    </cfRule>
    <cfRule type="cellIs" dxfId="2043" priority="479" stopIfTrue="1" operator="lessThan">
      <formula>'1854'!$K$16</formula>
    </cfRule>
  </conditionalFormatting>
  <conditionalFormatting sqref="L17">
    <cfRule type="cellIs" dxfId="2042" priority="480" stopIfTrue="1" operator="equal">
      <formula>'1854'!$K$17</formula>
    </cfRule>
    <cfRule type="cellIs" dxfId="2041" priority="481" stopIfTrue="1" operator="lessThan">
      <formula>'1854'!$K$17</formula>
    </cfRule>
  </conditionalFormatting>
  <conditionalFormatting sqref="L18">
    <cfRule type="cellIs" dxfId="2040" priority="482" stopIfTrue="1" operator="equal">
      <formula>'1854'!$K$18</formula>
    </cfRule>
    <cfRule type="cellIs" dxfId="2039" priority="483" stopIfTrue="1" operator="lessThan">
      <formula>'1854'!$K$18</formula>
    </cfRule>
  </conditionalFormatting>
  <conditionalFormatting sqref="L19">
    <cfRule type="cellIs" dxfId="2038" priority="484" stopIfTrue="1" operator="equal">
      <formula>'1854'!$K$19</formula>
    </cfRule>
    <cfRule type="cellIs" dxfId="2037" priority="485" stopIfTrue="1" operator="lessThan">
      <formula>'1854'!$K$19</formula>
    </cfRule>
  </conditionalFormatting>
  <conditionalFormatting sqref="L20">
    <cfRule type="cellIs" dxfId="2036" priority="486" stopIfTrue="1" operator="equal">
      <formula>'1854'!$K$20</formula>
    </cfRule>
    <cfRule type="cellIs" dxfId="2035" priority="487" stopIfTrue="1" operator="lessThan">
      <formula>'1854'!$K$20</formula>
    </cfRule>
  </conditionalFormatting>
  <conditionalFormatting sqref="L21">
    <cfRule type="cellIs" dxfId="2034" priority="488" stopIfTrue="1" operator="equal">
      <formula>'1854'!$K$21</formula>
    </cfRule>
    <cfRule type="cellIs" dxfId="2033" priority="489" stopIfTrue="1" operator="lessThan">
      <formula>'1854'!$K$21</formula>
    </cfRule>
  </conditionalFormatting>
  <conditionalFormatting sqref="L11">
    <cfRule type="cellIs" dxfId="2032" priority="490" stopIfTrue="1" operator="equal">
      <formula>'1854'!$K$11</formula>
    </cfRule>
    <cfRule type="cellIs" dxfId="2031" priority="491" stopIfTrue="1" operator="lessThan">
      <formula>'1854'!$K$11</formula>
    </cfRule>
  </conditionalFormatting>
  <conditionalFormatting sqref="L22">
    <cfRule type="cellIs" dxfId="2030" priority="492" stopIfTrue="1" operator="equal">
      <formula>'1854'!$K$22</formula>
    </cfRule>
    <cfRule type="cellIs" dxfId="2029" priority="493" stopIfTrue="1" operator="lessThan">
      <formula>'1854'!$K$22</formula>
    </cfRule>
  </conditionalFormatting>
  <conditionalFormatting sqref="L23">
    <cfRule type="cellIs" dxfId="2028" priority="494" stopIfTrue="1" operator="equal">
      <formula>'1854'!$K$23</formula>
    </cfRule>
    <cfRule type="cellIs" dxfId="2027" priority="495" stopIfTrue="1" operator="lessThan">
      <formula>'1854'!$K$23</formula>
    </cfRule>
  </conditionalFormatting>
  <conditionalFormatting sqref="L24">
    <cfRule type="cellIs" dxfId="2026" priority="496" stopIfTrue="1" operator="equal">
      <formula>'1854'!$K$24</formula>
    </cfRule>
    <cfRule type="cellIs" dxfId="2025" priority="497" stopIfTrue="1" operator="lessThan">
      <formula>'1854'!$K$24</formula>
    </cfRule>
  </conditionalFormatting>
  <conditionalFormatting sqref="L25">
    <cfRule type="cellIs" dxfId="2024" priority="498" stopIfTrue="1" operator="equal">
      <formula>'1854'!$K$25</formula>
    </cfRule>
    <cfRule type="cellIs" dxfId="2023" priority="499" stopIfTrue="1" operator="lessThan">
      <formula>'1854'!$K$25</formula>
    </cfRule>
  </conditionalFormatting>
  <conditionalFormatting sqref="L26">
    <cfRule type="cellIs" dxfId="2022" priority="500" stopIfTrue="1" operator="equal">
      <formula>'1854'!$K$26</formula>
    </cfRule>
    <cfRule type="cellIs" dxfId="2021" priority="501" stopIfTrue="1" operator="lessThan">
      <formula>'1854'!$K$26</formula>
    </cfRule>
  </conditionalFormatting>
  <conditionalFormatting sqref="L27">
    <cfRule type="cellIs" dxfId="2020" priority="502" stopIfTrue="1" operator="equal">
      <formula>'1854'!$K$27</formula>
    </cfRule>
    <cfRule type="cellIs" dxfId="2019" priority="503" stopIfTrue="1" operator="lessThan">
      <formula>'1854'!$K$27</formula>
    </cfRule>
  </conditionalFormatting>
  <conditionalFormatting sqref="L28">
    <cfRule type="cellIs" dxfId="2018" priority="504" stopIfTrue="1" operator="equal">
      <formula>'1854'!$K$28</formula>
    </cfRule>
    <cfRule type="cellIs" dxfId="2017" priority="505" stopIfTrue="1" operator="lessThan">
      <formula>'1854'!$K$28</formula>
    </cfRule>
  </conditionalFormatting>
  <conditionalFormatting sqref="M4">
    <cfRule type="cellIs" dxfId="2016" priority="506" stopIfTrue="1" operator="lessThan">
      <formula>'1854'!$L$4</formula>
    </cfRule>
    <cfRule type="cellIs" dxfId="2015" priority="507" stopIfTrue="1" operator="equal">
      <formula>'1854'!$L$4</formula>
    </cfRule>
  </conditionalFormatting>
  <conditionalFormatting sqref="M5">
    <cfRule type="cellIs" dxfId="2014" priority="508" stopIfTrue="1" operator="equal">
      <formula>'1854'!$L$5</formula>
    </cfRule>
    <cfRule type="cellIs" dxfId="2013" priority="509" stopIfTrue="1" operator="lessThan">
      <formula>'1854'!$L$5</formula>
    </cfRule>
  </conditionalFormatting>
  <conditionalFormatting sqref="M6">
    <cfRule type="cellIs" dxfId="2012" priority="510" stopIfTrue="1" operator="equal">
      <formula>'1854'!$L$6</formula>
    </cfRule>
    <cfRule type="cellIs" dxfId="2011" priority="511" stopIfTrue="1" operator="lessThan">
      <formula>'1854'!$L$6</formula>
    </cfRule>
  </conditionalFormatting>
  <conditionalFormatting sqref="M7">
    <cfRule type="cellIs" dxfId="2010" priority="512" stopIfTrue="1" operator="equal">
      <formula>'1854'!$L$7</formula>
    </cfRule>
    <cfRule type="cellIs" dxfId="2009" priority="513" stopIfTrue="1" operator="lessThan">
      <formula>'1854'!$L$7</formula>
    </cfRule>
  </conditionalFormatting>
  <conditionalFormatting sqref="M8">
    <cfRule type="cellIs" dxfId="2008" priority="514" stopIfTrue="1" operator="equal">
      <formula>'1854'!$L$8</formula>
    </cfRule>
    <cfRule type="cellIs" dxfId="2007" priority="515" stopIfTrue="1" operator="lessThan">
      <formula>'1854'!$L$8</formula>
    </cfRule>
  </conditionalFormatting>
  <conditionalFormatting sqref="M9">
    <cfRule type="cellIs" dxfId="2006" priority="516" stopIfTrue="1" operator="equal">
      <formula>'1854'!$L$9</formula>
    </cfRule>
    <cfRule type="cellIs" dxfId="2005" priority="517" stopIfTrue="1" operator="lessThan">
      <formula>'1854'!$L$9</formula>
    </cfRule>
  </conditionalFormatting>
  <conditionalFormatting sqref="M10">
    <cfRule type="cellIs" dxfId="2004" priority="518" stopIfTrue="1" operator="equal">
      <formula>'1854'!$L$10</formula>
    </cfRule>
    <cfRule type="cellIs" dxfId="2003" priority="519" stopIfTrue="1" operator="lessThan">
      <formula>'1854'!$L$10</formula>
    </cfRule>
  </conditionalFormatting>
  <conditionalFormatting sqref="M11">
    <cfRule type="cellIs" dxfId="2002" priority="520" stopIfTrue="1" operator="equal">
      <formula>'1854'!$L$11</formula>
    </cfRule>
    <cfRule type="cellIs" dxfId="2001" priority="521" stopIfTrue="1" operator="lessThan">
      <formula>'1854'!$L$11</formula>
    </cfRule>
  </conditionalFormatting>
  <conditionalFormatting sqref="M12">
    <cfRule type="cellIs" dxfId="2000" priority="522" stopIfTrue="1" operator="equal">
      <formula>'1854'!$L$12</formula>
    </cfRule>
    <cfRule type="cellIs" dxfId="1999" priority="523" stopIfTrue="1" operator="lessThan">
      <formula>'1854'!$L$12</formula>
    </cfRule>
  </conditionalFormatting>
  <conditionalFormatting sqref="M13">
    <cfRule type="cellIs" dxfId="1998" priority="524" stopIfTrue="1" operator="equal">
      <formula>'1854'!$L$13</formula>
    </cfRule>
    <cfRule type="cellIs" dxfId="1997" priority="525" stopIfTrue="1" operator="lessThan">
      <formula>'1854'!$L$13</formula>
    </cfRule>
  </conditionalFormatting>
  <conditionalFormatting sqref="M14">
    <cfRule type="cellIs" dxfId="1996" priority="526" stopIfTrue="1" operator="equal">
      <formula>'1854'!$L$14</formula>
    </cfRule>
    <cfRule type="cellIs" dxfId="1995" priority="527" stopIfTrue="1" operator="lessThan">
      <formula>'1854'!$L$14</formula>
    </cfRule>
  </conditionalFormatting>
  <conditionalFormatting sqref="M15">
    <cfRule type="cellIs" dxfId="1994" priority="528" stopIfTrue="1" operator="equal">
      <formula>'1854'!$L$15</formula>
    </cfRule>
    <cfRule type="cellIs" dxfId="1993" priority="529" stopIfTrue="1" operator="lessThan">
      <formula>'1854'!$L$15</formula>
    </cfRule>
  </conditionalFormatting>
  <conditionalFormatting sqref="M16">
    <cfRule type="cellIs" dxfId="1992" priority="530" stopIfTrue="1" operator="equal">
      <formula>'1854'!$L$16</formula>
    </cfRule>
    <cfRule type="cellIs" dxfId="1991" priority="531" stopIfTrue="1" operator="lessThan">
      <formula>'1854'!$L$16</formula>
    </cfRule>
  </conditionalFormatting>
  <conditionalFormatting sqref="M17">
    <cfRule type="cellIs" dxfId="1990" priority="532" stopIfTrue="1" operator="equal">
      <formula>'1854'!$L$17</formula>
    </cfRule>
    <cfRule type="cellIs" dxfId="1989" priority="533" stopIfTrue="1" operator="lessThan">
      <formula>'1854'!$L$17</formula>
    </cfRule>
  </conditionalFormatting>
  <conditionalFormatting sqref="M18">
    <cfRule type="cellIs" dxfId="1988" priority="534" stopIfTrue="1" operator="equal">
      <formula>'1854'!$L$18</formula>
    </cfRule>
    <cfRule type="cellIs" dxfId="1987" priority="535" stopIfTrue="1" operator="lessThan">
      <formula>'1854'!$L$18</formula>
    </cfRule>
  </conditionalFormatting>
  <conditionalFormatting sqref="M19">
    <cfRule type="cellIs" dxfId="1986" priority="536" stopIfTrue="1" operator="equal">
      <formula>'1854'!$L$19</formula>
    </cfRule>
    <cfRule type="cellIs" dxfId="1985" priority="537" stopIfTrue="1" operator="lessThan">
      <formula>'1854'!$L$19</formula>
    </cfRule>
  </conditionalFormatting>
  <conditionalFormatting sqref="M20">
    <cfRule type="cellIs" dxfId="1984" priority="538" stopIfTrue="1" operator="equal">
      <formula>'1854'!$L$20</formula>
    </cfRule>
    <cfRule type="cellIs" dxfId="1983" priority="539" stopIfTrue="1" operator="lessThan">
      <formula>'1854'!$L$20</formula>
    </cfRule>
  </conditionalFormatting>
  <conditionalFormatting sqref="M21">
    <cfRule type="cellIs" dxfId="1982" priority="540" stopIfTrue="1" operator="equal">
      <formula>'1854'!$L$21</formula>
    </cfRule>
    <cfRule type="cellIs" dxfId="1981" priority="541" stopIfTrue="1" operator="lessThan">
      <formula>'1854'!$L$21</formula>
    </cfRule>
  </conditionalFormatting>
  <conditionalFormatting sqref="M22">
    <cfRule type="cellIs" dxfId="1980" priority="542" stopIfTrue="1" operator="equal">
      <formula>'1854'!$L$22</formula>
    </cfRule>
    <cfRule type="cellIs" dxfId="1979" priority="543" stopIfTrue="1" operator="lessThan">
      <formula>'1854'!$L$22</formula>
    </cfRule>
  </conditionalFormatting>
  <conditionalFormatting sqref="M23">
    <cfRule type="cellIs" dxfId="1978" priority="544" stopIfTrue="1" operator="equal">
      <formula>'1854'!$L$23</formula>
    </cfRule>
    <cfRule type="cellIs" dxfId="1977" priority="545" stopIfTrue="1" operator="lessThan">
      <formula>'1854'!$L$23</formula>
    </cfRule>
  </conditionalFormatting>
  <conditionalFormatting sqref="M24">
    <cfRule type="cellIs" dxfId="1976" priority="546" stopIfTrue="1" operator="equal">
      <formula>'1854'!$L$24</formula>
    </cfRule>
    <cfRule type="cellIs" dxfId="1975" priority="547" stopIfTrue="1" operator="lessThan">
      <formula>'1854'!$L$24</formula>
    </cfRule>
  </conditionalFormatting>
  <conditionalFormatting sqref="M25">
    <cfRule type="cellIs" dxfId="1974" priority="548" stopIfTrue="1" operator="equal">
      <formula>'1854'!$L$25</formula>
    </cfRule>
    <cfRule type="cellIs" dxfId="1973" priority="549" stopIfTrue="1" operator="lessThan">
      <formula>'1854'!$L$25</formula>
    </cfRule>
  </conditionalFormatting>
  <conditionalFormatting sqref="M26">
    <cfRule type="cellIs" dxfId="1972" priority="550" stopIfTrue="1" operator="equal">
      <formula>'1854'!$L$26</formula>
    </cfRule>
    <cfRule type="cellIs" dxfId="1971" priority="551" stopIfTrue="1" operator="lessThan">
      <formula>'1854'!$L$26</formula>
    </cfRule>
  </conditionalFormatting>
  <conditionalFormatting sqref="M27">
    <cfRule type="cellIs" dxfId="1970" priority="552" stopIfTrue="1" operator="equal">
      <formula>'1854'!$L$27</formula>
    </cfRule>
    <cfRule type="cellIs" dxfId="1969" priority="553" stopIfTrue="1" operator="lessThan">
      <formula>'1854'!$L$27</formula>
    </cfRule>
  </conditionalFormatting>
  <conditionalFormatting sqref="M28">
    <cfRule type="cellIs" dxfId="1968" priority="554" stopIfTrue="1" operator="equal">
      <formula>'1854'!$L$28</formula>
    </cfRule>
    <cfRule type="cellIs" dxfId="1967" priority="555" stopIfTrue="1" operator="lessThan">
      <formula>'1854'!$L$28</formula>
    </cfRule>
  </conditionalFormatting>
  <conditionalFormatting sqref="N4">
    <cfRule type="cellIs" dxfId="1966" priority="556" stopIfTrue="1" operator="equal">
      <formula>'1854'!$M$4</formula>
    </cfRule>
    <cfRule type="cellIs" dxfId="1965" priority="557" stopIfTrue="1" operator="lessThan">
      <formula>'1854'!$M$4</formula>
    </cfRule>
  </conditionalFormatting>
  <conditionalFormatting sqref="N5">
    <cfRule type="cellIs" dxfId="1964" priority="558" stopIfTrue="1" operator="equal">
      <formula>'1854'!$M$5</formula>
    </cfRule>
    <cfRule type="cellIs" dxfId="1963" priority="559" stopIfTrue="1" operator="lessThan">
      <formula>'1854'!$M$5</formula>
    </cfRule>
  </conditionalFormatting>
  <conditionalFormatting sqref="N6">
    <cfRule type="cellIs" dxfId="1962" priority="560" stopIfTrue="1" operator="equal">
      <formula>'1854'!$M$6</formula>
    </cfRule>
    <cfRule type="cellIs" dxfId="1961" priority="561" stopIfTrue="1" operator="lessThan">
      <formula>'1854'!$M$6</formula>
    </cfRule>
  </conditionalFormatting>
  <conditionalFormatting sqref="N7">
    <cfRule type="cellIs" dxfId="1960" priority="562" stopIfTrue="1" operator="equal">
      <formula>'1854'!$M$7</formula>
    </cfRule>
    <cfRule type="cellIs" dxfId="1959" priority="563" stopIfTrue="1" operator="lessThan">
      <formula>'1854'!$M$7</formula>
    </cfRule>
  </conditionalFormatting>
  <conditionalFormatting sqref="N8">
    <cfRule type="cellIs" dxfId="1958" priority="564" stopIfTrue="1" operator="equal">
      <formula>'1854'!$M$8</formula>
    </cfRule>
    <cfRule type="cellIs" dxfId="1957" priority="565" stopIfTrue="1" operator="lessThan">
      <formula>'1854'!$M$8</formula>
    </cfRule>
  </conditionalFormatting>
  <conditionalFormatting sqref="N9">
    <cfRule type="cellIs" dxfId="1956" priority="566" stopIfTrue="1" operator="equal">
      <formula>'1854'!$M$9</formula>
    </cfRule>
    <cfRule type="cellIs" dxfId="1955" priority="567" stopIfTrue="1" operator="lessThan">
      <formula>'1854'!$M$9</formula>
    </cfRule>
  </conditionalFormatting>
  <conditionalFormatting sqref="N10">
    <cfRule type="cellIs" dxfId="1954" priority="568" stopIfTrue="1" operator="equal">
      <formula>'1854'!$M$10</formula>
    </cfRule>
    <cfRule type="cellIs" dxfId="1953" priority="569" stopIfTrue="1" operator="lessThan">
      <formula>'1854'!$M$10</formula>
    </cfRule>
  </conditionalFormatting>
  <conditionalFormatting sqref="N11">
    <cfRule type="cellIs" dxfId="1952" priority="570" stopIfTrue="1" operator="equal">
      <formula>'1854'!$M$11</formula>
    </cfRule>
    <cfRule type="cellIs" dxfId="1951" priority="571" stopIfTrue="1" operator="lessThan">
      <formula>'1854'!$M$11</formula>
    </cfRule>
  </conditionalFormatting>
  <conditionalFormatting sqref="N12">
    <cfRule type="cellIs" dxfId="1950" priority="572" stopIfTrue="1" operator="equal">
      <formula>'1854'!$M$12</formula>
    </cfRule>
    <cfRule type="cellIs" dxfId="1949" priority="573" stopIfTrue="1" operator="lessThan">
      <formula>'1854'!$M$12</formula>
    </cfRule>
  </conditionalFormatting>
  <conditionalFormatting sqref="N13">
    <cfRule type="cellIs" dxfId="1948" priority="574" stopIfTrue="1" operator="equal">
      <formula>'1854'!$M$13</formula>
    </cfRule>
    <cfRule type="cellIs" dxfId="1947" priority="575" stopIfTrue="1" operator="lessThan">
      <formula>'1854'!$M$13</formula>
    </cfRule>
  </conditionalFormatting>
  <conditionalFormatting sqref="N14">
    <cfRule type="cellIs" dxfId="1946" priority="576" stopIfTrue="1" operator="equal">
      <formula>'1854'!$M$14</formula>
    </cfRule>
    <cfRule type="cellIs" dxfId="1945" priority="577" stopIfTrue="1" operator="lessThan">
      <formula>'1854'!$M$14</formula>
    </cfRule>
  </conditionalFormatting>
  <conditionalFormatting sqref="N15">
    <cfRule type="cellIs" dxfId="1944" priority="578" stopIfTrue="1" operator="equal">
      <formula>'1854'!$M$15</formula>
    </cfRule>
    <cfRule type="cellIs" dxfId="1943" priority="579" stopIfTrue="1" operator="lessThan">
      <formula>'1854'!$M$15</formula>
    </cfRule>
  </conditionalFormatting>
  <conditionalFormatting sqref="N16">
    <cfRule type="cellIs" dxfId="1942" priority="580" stopIfTrue="1" operator="equal">
      <formula>'1854'!$M$16</formula>
    </cfRule>
    <cfRule type="cellIs" dxfId="1941" priority="581" stopIfTrue="1" operator="lessThan">
      <formula>'1854'!$M$16</formula>
    </cfRule>
  </conditionalFormatting>
  <conditionalFormatting sqref="N17">
    <cfRule type="cellIs" dxfId="1940" priority="582" stopIfTrue="1" operator="equal">
      <formula>'1854'!$M$17</formula>
    </cfRule>
    <cfRule type="cellIs" dxfId="1939" priority="583" stopIfTrue="1" operator="lessThan">
      <formula>'1854'!$M$17</formula>
    </cfRule>
  </conditionalFormatting>
  <conditionalFormatting sqref="N18">
    <cfRule type="cellIs" dxfId="1938" priority="584" stopIfTrue="1" operator="equal">
      <formula>'1854'!$M$18</formula>
    </cfRule>
    <cfRule type="cellIs" dxfId="1937" priority="585" stopIfTrue="1" operator="lessThan">
      <formula>'1854'!$M$18</formula>
    </cfRule>
  </conditionalFormatting>
  <conditionalFormatting sqref="N19">
    <cfRule type="cellIs" dxfId="1936" priority="586" stopIfTrue="1" operator="equal">
      <formula>'1854'!$M$19</formula>
    </cfRule>
    <cfRule type="cellIs" dxfId="1935" priority="587" stopIfTrue="1" operator="lessThan">
      <formula>'1854'!$M$19</formula>
    </cfRule>
  </conditionalFormatting>
  <conditionalFormatting sqref="N20">
    <cfRule type="cellIs" dxfId="1934" priority="588" stopIfTrue="1" operator="equal">
      <formula>'1854'!$M$20</formula>
    </cfRule>
    <cfRule type="cellIs" dxfId="1933" priority="589" stopIfTrue="1" operator="lessThan">
      <formula>'1854'!$M$20</formula>
    </cfRule>
  </conditionalFormatting>
  <conditionalFormatting sqref="N21">
    <cfRule type="cellIs" dxfId="1932" priority="590" stopIfTrue="1" operator="equal">
      <formula>'1854'!$M$21</formula>
    </cfRule>
    <cfRule type="cellIs" dxfId="1931" priority="591" stopIfTrue="1" operator="lessThan">
      <formula>'1854'!$M$21</formula>
    </cfRule>
  </conditionalFormatting>
  <conditionalFormatting sqref="N22">
    <cfRule type="cellIs" dxfId="1930" priority="592" stopIfTrue="1" operator="equal">
      <formula>'1854'!$M$22</formula>
    </cfRule>
    <cfRule type="cellIs" dxfId="1929" priority="593" stopIfTrue="1" operator="lessThan">
      <formula>'1854'!$M$22</formula>
    </cfRule>
  </conditionalFormatting>
  <conditionalFormatting sqref="N23">
    <cfRule type="cellIs" dxfId="1928" priority="594" stopIfTrue="1" operator="equal">
      <formula>'1854'!$M$23</formula>
    </cfRule>
    <cfRule type="cellIs" dxfId="1927" priority="595" stopIfTrue="1" operator="lessThan">
      <formula>'1854'!$M$23</formula>
    </cfRule>
  </conditionalFormatting>
  <conditionalFormatting sqref="N24">
    <cfRule type="cellIs" dxfId="1926" priority="596" stopIfTrue="1" operator="equal">
      <formula>'1854'!$M$24</formula>
    </cfRule>
    <cfRule type="cellIs" dxfId="1925" priority="597" stopIfTrue="1" operator="lessThan">
      <formula>'1854'!$M$24</formula>
    </cfRule>
  </conditionalFormatting>
  <conditionalFormatting sqref="N25">
    <cfRule type="cellIs" dxfId="1924" priority="598" stopIfTrue="1" operator="equal">
      <formula>'1854'!$M$25</formula>
    </cfRule>
    <cfRule type="cellIs" dxfId="1923" priority="599" stopIfTrue="1" operator="lessThan">
      <formula>'1854'!$M$25</formula>
    </cfRule>
  </conditionalFormatting>
  <conditionalFormatting sqref="N26">
    <cfRule type="cellIs" dxfId="1922" priority="600" stopIfTrue="1" operator="equal">
      <formula>'1854'!$M$26</formula>
    </cfRule>
    <cfRule type="cellIs" dxfId="1921" priority="601" stopIfTrue="1" operator="lessThan">
      <formula>'1854'!$M$26</formula>
    </cfRule>
  </conditionalFormatting>
  <conditionalFormatting sqref="N27">
    <cfRule type="cellIs" dxfId="1920" priority="602" stopIfTrue="1" operator="equal">
      <formula>'1854'!$M$27</formula>
    </cfRule>
    <cfRule type="cellIs" dxfId="1919" priority="603" stopIfTrue="1" operator="lessThan">
      <formula>'1854'!$M$27</formula>
    </cfRule>
  </conditionalFormatting>
  <conditionalFormatting sqref="N28">
    <cfRule type="cellIs" dxfId="1918" priority="604" stopIfTrue="1" operator="equal">
      <formula>'1854'!$M$28</formula>
    </cfRule>
    <cfRule type="cellIs" dxfId="1917" priority="605" stopIfTrue="1" operator="lessThan">
      <formula>'1854'!$M$28</formula>
    </cfRule>
  </conditionalFormatting>
  <conditionalFormatting sqref="O4">
    <cfRule type="cellIs" dxfId="1916" priority="606" stopIfTrue="1" operator="equal">
      <formula>'1854'!$N$4</formula>
    </cfRule>
    <cfRule type="cellIs" dxfId="1915" priority="607" stopIfTrue="1" operator="lessThan">
      <formula>'1854'!$N$4</formula>
    </cfRule>
  </conditionalFormatting>
  <conditionalFormatting sqref="O5">
    <cfRule type="cellIs" dxfId="1914" priority="608" stopIfTrue="1" operator="equal">
      <formula>'1854'!$N$5</formula>
    </cfRule>
    <cfRule type="cellIs" dxfId="1913" priority="609" stopIfTrue="1" operator="lessThan">
      <formula>'1854'!$N$5</formula>
    </cfRule>
  </conditionalFormatting>
  <conditionalFormatting sqref="O6">
    <cfRule type="cellIs" dxfId="1912" priority="610" stopIfTrue="1" operator="equal">
      <formula>'1854'!$N$6</formula>
    </cfRule>
    <cfRule type="cellIs" dxfId="1911" priority="611" stopIfTrue="1" operator="lessThan">
      <formula>'1854'!$N$6</formula>
    </cfRule>
  </conditionalFormatting>
  <conditionalFormatting sqref="O7">
    <cfRule type="cellIs" dxfId="1910" priority="612" stopIfTrue="1" operator="equal">
      <formula>'1854'!$N$7</formula>
    </cfRule>
    <cfRule type="cellIs" dxfId="1909" priority="613" stopIfTrue="1" operator="lessThan">
      <formula>'1854'!$N$7</formula>
    </cfRule>
  </conditionalFormatting>
  <conditionalFormatting sqref="O8">
    <cfRule type="cellIs" dxfId="1908" priority="614" stopIfTrue="1" operator="equal">
      <formula>'1854'!$N$8</formula>
    </cfRule>
    <cfRule type="cellIs" dxfId="1907" priority="615" stopIfTrue="1" operator="lessThan">
      <formula>'1854'!$N$8</formula>
    </cfRule>
  </conditionalFormatting>
  <conditionalFormatting sqref="O9">
    <cfRule type="cellIs" dxfId="1906" priority="616" stopIfTrue="1" operator="equal">
      <formula>'1854'!$N$9</formula>
    </cfRule>
    <cfRule type="cellIs" dxfId="1905" priority="617" stopIfTrue="1" operator="lessThan">
      <formula>'1854'!$N$9</formula>
    </cfRule>
  </conditionalFormatting>
  <conditionalFormatting sqref="O10">
    <cfRule type="cellIs" dxfId="1904" priority="618" stopIfTrue="1" operator="equal">
      <formula>'1854'!$N$10</formula>
    </cfRule>
    <cfRule type="cellIs" dxfId="1903" priority="619" stopIfTrue="1" operator="lessThan">
      <formula>'1854'!$N$10</formula>
    </cfRule>
  </conditionalFormatting>
  <conditionalFormatting sqref="O11">
    <cfRule type="cellIs" dxfId="1902" priority="620" stopIfTrue="1" operator="equal">
      <formula>'1854'!$N$11</formula>
    </cfRule>
    <cfRule type="cellIs" dxfId="1901" priority="621" stopIfTrue="1" operator="lessThan">
      <formula>'1854'!$N$11</formula>
    </cfRule>
  </conditionalFormatting>
  <conditionalFormatting sqref="O12">
    <cfRule type="cellIs" dxfId="1900" priority="622" stopIfTrue="1" operator="equal">
      <formula>'1854'!$N$12</formula>
    </cfRule>
    <cfRule type="cellIs" dxfId="1899" priority="623" stopIfTrue="1" operator="lessThan">
      <formula>'1854'!$N$12</formula>
    </cfRule>
  </conditionalFormatting>
  <conditionalFormatting sqref="O13">
    <cfRule type="cellIs" dxfId="1898" priority="624" stopIfTrue="1" operator="equal">
      <formula>'1854'!$N$13</formula>
    </cfRule>
    <cfRule type="cellIs" dxfId="1897" priority="625" stopIfTrue="1" operator="lessThan">
      <formula>'1854'!$N$13</formula>
    </cfRule>
  </conditionalFormatting>
  <conditionalFormatting sqref="O14">
    <cfRule type="cellIs" dxfId="1896" priority="626" stopIfTrue="1" operator="equal">
      <formula>'1854'!$N$14</formula>
    </cfRule>
    <cfRule type="cellIs" dxfId="1895" priority="627" stopIfTrue="1" operator="lessThan">
      <formula>'1854'!$N$14</formula>
    </cfRule>
  </conditionalFormatting>
  <conditionalFormatting sqref="O15">
    <cfRule type="cellIs" dxfId="1894" priority="628" stopIfTrue="1" operator="equal">
      <formula>'1854'!$N$15</formula>
    </cfRule>
    <cfRule type="cellIs" dxfId="1893" priority="629" stopIfTrue="1" operator="lessThan">
      <formula>'1854'!$N$15</formula>
    </cfRule>
  </conditionalFormatting>
  <conditionalFormatting sqref="O16">
    <cfRule type="cellIs" dxfId="1892" priority="630" stopIfTrue="1" operator="equal">
      <formula>'1854'!$N$16</formula>
    </cfRule>
    <cfRule type="cellIs" dxfId="1891" priority="631" stopIfTrue="1" operator="lessThan">
      <formula>'1854'!$N$16</formula>
    </cfRule>
  </conditionalFormatting>
  <conditionalFormatting sqref="O17">
    <cfRule type="cellIs" dxfId="1890" priority="632" stopIfTrue="1" operator="equal">
      <formula>'1854'!$N$17</formula>
    </cfRule>
    <cfRule type="cellIs" dxfId="1889" priority="633" stopIfTrue="1" operator="lessThan">
      <formula>'1854'!$N$17</formula>
    </cfRule>
  </conditionalFormatting>
  <conditionalFormatting sqref="O18">
    <cfRule type="cellIs" dxfId="1888" priority="634" stopIfTrue="1" operator="equal">
      <formula>'1854'!$N$18</formula>
    </cfRule>
    <cfRule type="cellIs" dxfId="1887" priority="635" stopIfTrue="1" operator="lessThan">
      <formula>'1854'!$N$18</formula>
    </cfRule>
  </conditionalFormatting>
  <conditionalFormatting sqref="O19">
    <cfRule type="cellIs" dxfId="1886" priority="636" stopIfTrue="1" operator="equal">
      <formula>'1854'!$N$19</formula>
    </cfRule>
    <cfRule type="cellIs" dxfId="1885" priority="637" stopIfTrue="1" operator="lessThan">
      <formula>'1854'!$N$19</formula>
    </cfRule>
  </conditionalFormatting>
  <conditionalFormatting sqref="O20">
    <cfRule type="cellIs" dxfId="1884" priority="638" stopIfTrue="1" operator="equal">
      <formula>'1854'!$N$20</formula>
    </cfRule>
    <cfRule type="cellIs" dxfId="1883" priority="639" stopIfTrue="1" operator="lessThan">
      <formula>'1854'!$N$20</formula>
    </cfRule>
  </conditionalFormatting>
  <conditionalFormatting sqref="O21">
    <cfRule type="cellIs" dxfId="1882" priority="640" stopIfTrue="1" operator="equal">
      <formula>'1854'!$N$21</formula>
    </cfRule>
    <cfRule type="cellIs" dxfId="1881" priority="641" stopIfTrue="1" operator="lessThan">
      <formula>'1854'!$N$21</formula>
    </cfRule>
  </conditionalFormatting>
  <conditionalFormatting sqref="O22">
    <cfRule type="cellIs" dxfId="1880" priority="642" stopIfTrue="1" operator="equal">
      <formula>'1854'!$N$22</formula>
    </cfRule>
    <cfRule type="cellIs" dxfId="1879" priority="643" stopIfTrue="1" operator="lessThan">
      <formula>'1854'!$N$22</formula>
    </cfRule>
  </conditionalFormatting>
  <conditionalFormatting sqref="O23">
    <cfRule type="cellIs" dxfId="1878" priority="644" stopIfTrue="1" operator="equal">
      <formula>'1854'!$N$23</formula>
    </cfRule>
    <cfRule type="cellIs" dxfId="1877" priority="645" stopIfTrue="1" operator="lessThan">
      <formula>'1854'!$N$23</formula>
    </cfRule>
  </conditionalFormatting>
  <conditionalFormatting sqref="O24">
    <cfRule type="cellIs" dxfId="1876" priority="646" stopIfTrue="1" operator="equal">
      <formula>'1854'!$N$24</formula>
    </cfRule>
    <cfRule type="cellIs" dxfId="1875" priority="647" stopIfTrue="1" operator="lessThan">
      <formula>'1854'!$N$24</formula>
    </cfRule>
  </conditionalFormatting>
  <conditionalFormatting sqref="O25">
    <cfRule type="cellIs" dxfId="1874" priority="648" stopIfTrue="1" operator="equal">
      <formula>'1854'!$N$25</formula>
    </cfRule>
    <cfRule type="cellIs" dxfId="1873" priority="649" stopIfTrue="1" operator="lessThan">
      <formula>'1854'!$N$25</formula>
    </cfRule>
  </conditionalFormatting>
  <conditionalFormatting sqref="O26">
    <cfRule type="cellIs" dxfId="1872" priority="650" stopIfTrue="1" operator="equal">
      <formula>'1854'!$N$26</formula>
    </cfRule>
    <cfRule type="cellIs" dxfId="1871" priority="651" stopIfTrue="1" operator="lessThan">
      <formula>'1854'!$N$26</formula>
    </cfRule>
  </conditionalFormatting>
  <conditionalFormatting sqref="O27">
    <cfRule type="cellIs" dxfId="1870" priority="652" stopIfTrue="1" operator="equal">
      <formula>'1854'!$N$27</formula>
    </cfRule>
    <cfRule type="cellIs" dxfId="1869" priority="653" stopIfTrue="1" operator="lessThan">
      <formula>'1854'!$N$27</formula>
    </cfRule>
  </conditionalFormatting>
  <conditionalFormatting sqref="O28">
    <cfRule type="cellIs" dxfId="1868" priority="654" stopIfTrue="1" operator="equal">
      <formula>'1854'!$N$28</formula>
    </cfRule>
    <cfRule type="cellIs" dxfId="1867" priority="655" stopIfTrue="1" operator="lessThan">
      <formula>'1854'!$N$28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5"/>
  <sheetViews>
    <sheetView workbookViewId="0">
      <selection activeCell="O2" sqref="O2"/>
    </sheetView>
  </sheetViews>
  <sheetFormatPr defaultRowHeight="15"/>
  <cols>
    <col min="1" max="1" width="8.5703125" style="30" customWidth="1"/>
    <col min="2" max="2" width="26.28515625" customWidth="1"/>
    <col min="3" max="12" width="10.140625" customWidth="1"/>
    <col min="13" max="13" width="12" bestFit="1" customWidth="1"/>
    <col min="14" max="15" width="10.140625" customWidth="1"/>
    <col min="16" max="16" width="10" customWidth="1"/>
    <col min="17" max="17" width="11.140625" bestFit="1" customWidth="1"/>
    <col min="18" max="18" width="9.28515625" bestFit="1" customWidth="1"/>
    <col min="19" max="19" width="3.42578125" customWidth="1"/>
  </cols>
  <sheetData>
    <row r="1" spans="1:32" ht="15.75" thickBot="1"/>
    <row r="2" spans="1:32" s="1" customFormat="1" ht="21" customHeight="1" thickBot="1">
      <c r="A2" s="161">
        <v>1855</v>
      </c>
      <c r="B2" s="2"/>
      <c r="C2" s="3">
        <f>'1850'!C2</f>
        <v>44197</v>
      </c>
      <c r="D2" s="3">
        <f>'1850'!D2</f>
        <v>44228</v>
      </c>
      <c r="E2" s="3">
        <f>'1850'!E2</f>
        <v>44256</v>
      </c>
      <c r="F2" s="3">
        <f>'1850'!F2</f>
        <v>44286</v>
      </c>
      <c r="G2" s="3">
        <f>'1850'!G2</f>
        <v>44316</v>
      </c>
      <c r="H2" s="3">
        <f>'1850'!H2</f>
        <v>44348</v>
      </c>
      <c r="I2" s="3">
        <f>'1850'!I2</f>
        <v>44379</v>
      </c>
      <c r="J2" s="3">
        <f>'1850'!J2</f>
        <v>44410</v>
      </c>
      <c r="K2" s="3">
        <f>'1850'!K2</f>
        <v>44441</v>
      </c>
      <c r="L2" s="3">
        <f>'1850'!L2</f>
        <v>44470</v>
      </c>
      <c r="M2" s="3">
        <f>'1850'!M2</f>
        <v>44501</v>
      </c>
      <c r="N2" s="3">
        <f>'1850'!N2</f>
        <v>44531</v>
      </c>
      <c r="O2" s="3">
        <f>'1850'!O2</f>
        <v>44562</v>
      </c>
      <c r="P2" s="1" t="s">
        <v>0</v>
      </c>
      <c r="Q2" s="1" t="s">
        <v>1</v>
      </c>
      <c r="R2" s="1" t="s">
        <v>168</v>
      </c>
      <c r="U2" s="198"/>
      <c r="V2" s="199"/>
      <c r="W2" s="199"/>
      <c r="X2" s="199"/>
      <c r="Y2" s="199" t="s">
        <v>287</v>
      </c>
      <c r="Z2" s="199"/>
      <c r="AA2" s="199"/>
      <c r="AB2" s="199"/>
      <c r="AC2" s="199"/>
      <c r="AD2" s="205"/>
      <c r="AE2" s="205"/>
      <c r="AF2" s="206"/>
    </row>
    <row r="3" spans="1:32" s="1" customFormat="1" ht="15.75" thickBot="1">
      <c r="A3" s="162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166</v>
      </c>
      <c r="Q3" s="1" t="s">
        <v>165</v>
      </c>
      <c r="R3" s="1" t="s">
        <v>167</v>
      </c>
      <c r="T3" s="1" t="s">
        <v>286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2" t="s">
        <v>13</v>
      </c>
      <c r="AE3" s="162" t="s">
        <v>14</v>
      </c>
      <c r="AF3" s="162" t="s">
        <v>3</v>
      </c>
    </row>
    <row r="4" spans="1:32" ht="15.75" thickBot="1">
      <c r="A4" s="289">
        <v>1</v>
      </c>
      <c r="B4" s="7" t="s">
        <v>254</v>
      </c>
      <c r="C4" s="94">
        <v>183.17400000000001</v>
      </c>
      <c r="D4" s="8">
        <v>198.851</v>
      </c>
      <c r="E4" s="8">
        <v>213.97</v>
      </c>
      <c r="F4" s="8">
        <v>231.036</v>
      </c>
      <c r="G4" s="8">
        <v>247.36799999999999</v>
      </c>
      <c r="H4" s="8">
        <v>266.76100000000002</v>
      </c>
      <c r="I4" s="8">
        <v>282.67399999999998</v>
      </c>
      <c r="J4" s="8">
        <v>296.255</v>
      </c>
      <c r="K4" s="8">
        <v>307.94499999999999</v>
      </c>
      <c r="L4" s="9">
        <v>321.815</v>
      </c>
      <c r="M4" s="8">
        <v>336.012</v>
      </c>
      <c r="N4" s="8">
        <v>349.73</v>
      </c>
      <c r="O4" s="8">
        <v>363.84199999999998</v>
      </c>
      <c r="P4" s="10">
        <f>O4-C4</f>
        <v>180.66799999999998</v>
      </c>
      <c r="T4" s="1">
        <v>1</v>
      </c>
      <c r="U4" s="200">
        <f t="shared" ref="U4:AF5" si="0">D4-C4</f>
        <v>15.676999999999992</v>
      </c>
      <c r="V4" s="200">
        <f t="shared" si="0"/>
        <v>15.119</v>
      </c>
      <c r="W4" s="200">
        <f t="shared" si="0"/>
        <v>17.066000000000003</v>
      </c>
      <c r="X4" s="200">
        <f t="shared" si="0"/>
        <v>16.331999999999994</v>
      </c>
      <c r="Y4" s="200">
        <f t="shared" si="0"/>
        <v>19.393000000000029</v>
      </c>
      <c r="Z4" s="200">
        <f t="shared" si="0"/>
        <v>15.912999999999954</v>
      </c>
      <c r="AA4" s="200">
        <f t="shared" si="0"/>
        <v>13.581000000000017</v>
      </c>
      <c r="AB4" s="200">
        <f t="shared" si="0"/>
        <v>11.689999999999998</v>
      </c>
      <c r="AC4" s="200">
        <f t="shared" si="0"/>
        <v>13.870000000000005</v>
      </c>
      <c r="AD4" s="200">
        <f t="shared" si="0"/>
        <v>14.197000000000003</v>
      </c>
      <c r="AE4" s="200">
        <f t="shared" si="0"/>
        <v>13.718000000000018</v>
      </c>
      <c r="AF4" s="200">
        <f t="shared" si="0"/>
        <v>14.111999999999966</v>
      </c>
    </row>
    <row r="5" spans="1:32">
      <c r="A5" s="289"/>
      <c r="B5" s="11" t="s">
        <v>84</v>
      </c>
      <c r="C5" s="95">
        <v>118.241</v>
      </c>
      <c r="D5" s="12">
        <v>127.175</v>
      </c>
      <c r="E5" s="12">
        <v>135.46899999999999</v>
      </c>
      <c r="F5" s="12">
        <v>142.95400000000001</v>
      </c>
      <c r="G5" s="12">
        <v>149.63900000000001</v>
      </c>
      <c r="H5" s="12">
        <v>155.09899999999999</v>
      </c>
      <c r="I5" s="12">
        <v>156.34299999999999</v>
      </c>
      <c r="J5" s="12">
        <v>157.238</v>
      </c>
      <c r="K5" s="12">
        <v>158.66300000000001</v>
      </c>
      <c r="L5" s="13">
        <v>160.15199999999999</v>
      </c>
      <c r="M5" s="12">
        <v>164.92099999999999</v>
      </c>
      <c r="N5" s="12">
        <v>6.069</v>
      </c>
      <c r="O5" s="12">
        <v>14.103</v>
      </c>
      <c r="P5" s="10"/>
      <c r="Q5" s="10">
        <f>O5+M5-C5</f>
        <v>60.783000000000001</v>
      </c>
      <c r="T5" s="220" t="s">
        <v>1</v>
      </c>
      <c r="U5" s="219">
        <f t="shared" si="0"/>
        <v>8.9339999999999975</v>
      </c>
      <c r="V5" s="219">
        <f t="shared" si="0"/>
        <v>8.2939999999999969</v>
      </c>
      <c r="W5" s="219">
        <f t="shared" si="0"/>
        <v>7.4850000000000136</v>
      </c>
      <c r="X5" s="219">
        <f t="shared" si="0"/>
        <v>6.6850000000000023</v>
      </c>
      <c r="Y5" s="219">
        <f t="shared" si="0"/>
        <v>5.4599999999999795</v>
      </c>
      <c r="Z5" s="219">
        <f t="shared" si="0"/>
        <v>1.2439999999999998</v>
      </c>
      <c r="AA5" s="219">
        <f t="shared" si="0"/>
        <v>0.89500000000001023</v>
      </c>
      <c r="AB5" s="219">
        <f t="shared" si="0"/>
        <v>1.4250000000000114</v>
      </c>
      <c r="AC5" s="219">
        <f t="shared" si="0"/>
        <v>1.4889999999999759</v>
      </c>
      <c r="AD5" s="219">
        <f t="shared" si="0"/>
        <v>4.7690000000000055</v>
      </c>
      <c r="AE5" s="219">
        <f>N5</f>
        <v>6.069</v>
      </c>
      <c r="AF5" s="219">
        <f>O5</f>
        <v>14.103</v>
      </c>
    </row>
    <row r="6" spans="1:32">
      <c r="A6" s="288">
        <v>2</v>
      </c>
      <c r="B6" s="11" t="s">
        <v>255</v>
      </c>
      <c r="C6" s="95">
        <v>233.73400000000001</v>
      </c>
      <c r="D6" s="12">
        <v>255.691</v>
      </c>
      <c r="E6" s="12">
        <v>274.66500000000002</v>
      </c>
      <c r="F6" s="12">
        <v>295.48599999999999</v>
      </c>
      <c r="G6" s="12">
        <v>317.12900000000002</v>
      </c>
      <c r="H6" s="12">
        <v>337.87900000000002</v>
      </c>
      <c r="I6" s="12">
        <v>353.98099999999999</v>
      </c>
      <c r="J6" s="12">
        <v>359.02300000000002</v>
      </c>
      <c r="K6" s="12">
        <v>378.09399999999999</v>
      </c>
      <c r="L6" s="12">
        <v>393.58199999999999</v>
      </c>
      <c r="M6" s="12">
        <v>411.54500000000002</v>
      </c>
      <c r="N6" s="12">
        <v>428.31799999999998</v>
      </c>
      <c r="O6" s="12">
        <v>442.61500000000001</v>
      </c>
      <c r="P6" s="10">
        <f>O6-C6</f>
        <v>208.881</v>
      </c>
      <c r="T6" s="1">
        <v>2</v>
      </c>
      <c r="U6" s="202">
        <f t="shared" ref="U6:AF21" si="1">D6-C6</f>
        <v>21.956999999999994</v>
      </c>
      <c r="V6" s="202">
        <f t="shared" si="1"/>
        <v>18.974000000000018</v>
      </c>
      <c r="W6" s="202">
        <f t="shared" si="1"/>
        <v>20.82099999999997</v>
      </c>
      <c r="X6" s="202">
        <f t="shared" si="1"/>
        <v>21.643000000000029</v>
      </c>
      <c r="Y6" s="202">
        <f t="shared" si="1"/>
        <v>20.75</v>
      </c>
      <c r="Z6" s="202">
        <f t="shared" si="1"/>
        <v>16.101999999999975</v>
      </c>
      <c r="AA6" s="202">
        <f t="shared" si="1"/>
        <v>5.04200000000003</v>
      </c>
      <c r="AB6" s="202">
        <f t="shared" si="1"/>
        <v>19.07099999999997</v>
      </c>
      <c r="AC6" s="202">
        <f t="shared" si="1"/>
        <v>15.488</v>
      </c>
      <c r="AD6" s="202">
        <f t="shared" si="1"/>
        <v>17.963000000000022</v>
      </c>
      <c r="AE6" s="202">
        <f t="shared" si="1"/>
        <v>16.772999999999968</v>
      </c>
      <c r="AF6" s="202">
        <f t="shared" si="1"/>
        <v>14.297000000000025</v>
      </c>
    </row>
    <row r="7" spans="1:32">
      <c r="A7" s="288"/>
      <c r="B7" s="11" t="s">
        <v>85</v>
      </c>
      <c r="C7" s="95">
        <v>135.148</v>
      </c>
      <c r="D7" s="12">
        <v>142.37799999999999</v>
      </c>
      <c r="E7" s="12">
        <v>149.18100000000001</v>
      </c>
      <c r="F7" s="12">
        <v>155.12200000000001</v>
      </c>
      <c r="G7" s="12">
        <v>160.096</v>
      </c>
      <c r="H7" s="12">
        <v>163.24100000000001</v>
      </c>
      <c r="I7" s="12">
        <v>164.41</v>
      </c>
      <c r="J7" s="12">
        <v>164.86199999999999</v>
      </c>
      <c r="K7" s="12">
        <v>166.02500000000001</v>
      </c>
      <c r="L7" s="12">
        <v>167.14400000000001</v>
      </c>
      <c r="M7" s="12">
        <v>169.80600000000001</v>
      </c>
      <c r="N7" s="12">
        <v>4.048</v>
      </c>
      <c r="O7" s="12">
        <v>9.68</v>
      </c>
      <c r="P7" s="10"/>
      <c r="Q7" s="10">
        <f t="shared" ref="Q7:Q23" si="2">O7+M7-C7</f>
        <v>44.338000000000022</v>
      </c>
      <c r="T7" s="220"/>
      <c r="U7" s="219">
        <f t="shared" ref="U7:AD7" si="3">D7-C7</f>
        <v>7.2299999999999898</v>
      </c>
      <c r="V7" s="219">
        <f t="shared" si="3"/>
        <v>6.8030000000000257</v>
      </c>
      <c r="W7" s="219">
        <f t="shared" si="3"/>
        <v>5.9410000000000025</v>
      </c>
      <c r="X7" s="219">
        <f t="shared" si="3"/>
        <v>4.9739999999999895</v>
      </c>
      <c r="Y7" s="219">
        <f t="shared" si="3"/>
        <v>3.1450000000000102</v>
      </c>
      <c r="Z7" s="219">
        <f t="shared" si="3"/>
        <v>1.1689999999999827</v>
      </c>
      <c r="AA7" s="219">
        <f t="shared" si="3"/>
        <v>0.45199999999999818</v>
      </c>
      <c r="AB7" s="219">
        <f t="shared" si="3"/>
        <v>1.1630000000000109</v>
      </c>
      <c r="AC7" s="219">
        <f t="shared" si="3"/>
        <v>1.1189999999999998</v>
      </c>
      <c r="AD7" s="219">
        <f t="shared" si="3"/>
        <v>2.6620000000000061</v>
      </c>
      <c r="AE7" s="219">
        <f>N7</f>
        <v>4.048</v>
      </c>
      <c r="AF7" s="219">
        <f>O7</f>
        <v>9.68</v>
      </c>
    </row>
    <row r="8" spans="1:32">
      <c r="A8" s="288">
        <v>3</v>
      </c>
      <c r="B8" s="11" t="s">
        <v>256</v>
      </c>
      <c r="C8" s="95">
        <v>63.121000000000002</v>
      </c>
      <c r="D8" s="12">
        <v>66.650000000000006</v>
      </c>
      <c r="E8" s="12">
        <v>70.412000000000006</v>
      </c>
      <c r="F8" s="12">
        <v>74.866</v>
      </c>
      <c r="G8" s="12">
        <v>79.213999999999999</v>
      </c>
      <c r="H8" s="12">
        <v>83.787000000000006</v>
      </c>
      <c r="I8" s="12">
        <v>87.992999999999995</v>
      </c>
      <c r="J8" s="12">
        <v>91.718999999999994</v>
      </c>
      <c r="K8" s="12">
        <v>95.608999999999995</v>
      </c>
      <c r="L8" s="12">
        <v>99.912000000000006</v>
      </c>
      <c r="M8" s="12">
        <v>104.358</v>
      </c>
      <c r="N8" s="12">
        <v>108.636</v>
      </c>
      <c r="O8" s="12">
        <v>110.651</v>
      </c>
      <c r="P8" s="10">
        <f>O8-C8</f>
        <v>47.529999999999994</v>
      </c>
      <c r="T8" s="1">
        <v>3</v>
      </c>
      <c r="U8" s="202">
        <f t="shared" si="1"/>
        <v>3.5290000000000035</v>
      </c>
      <c r="V8" s="202">
        <f t="shared" si="1"/>
        <v>3.7620000000000005</v>
      </c>
      <c r="W8" s="202">
        <f t="shared" si="1"/>
        <v>4.4539999999999935</v>
      </c>
      <c r="X8" s="202">
        <f t="shared" si="1"/>
        <v>4.347999999999999</v>
      </c>
      <c r="Y8" s="202">
        <f t="shared" si="1"/>
        <v>4.5730000000000075</v>
      </c>
      <c r="Z8" s="202">
        <f t="shared" si="1"/>
        <v>4.2059999999999889</v>
      </c>
      <c r="AA8" s="202">
        <f t="shared" si="1"/>
        <v>3.7259999999999991</v>
      </c>
      <c r="AB8" s="202">
        <f t="shared" si="1"/>
        <v>3.8900000000000006</v>
      </c>
      <c r="AC8" s="202">
        <f t="shared" si="1"/>
        <v>4.3030000000000115</v>
      </c>
      <c r="AD8" s="202">
        <f t="shared" si="1"/>
        <v>4.445999999999998</v>
      </c>
      <c r="AE8" s="202">
        <f t="shared" si="1"/>
        <v>4.2779999999999916</v>
      </c>
      <c r="AF8" s="202">
        <f t="shared" si="1"/>
        <v>2.0150000000000006</v>
      </c>
    </row>
    <row r="9" spans="1:32">
      <c r="A9" s="288"/>
      <c r="B9" s="11" t="s">
        <v>86</v>
      </c>
      <c r="C9" s="95">
        <v>92.497</v>
      </c>
      <c r="D9" s="12">
        <v>96.87</v>
      </c>
      <c r="E9" s="12">
        <v>100.974</v>
      </c>
      <c r="F9" s="12">
        <v>104.20699999999999</v>
      </c>
      <c r="G9" s="12">
        <v>106.62</v>
      </c>
      <c r="H9" s="12">
        <v>107.337</v>
      </c>
      <c r="I9" s="12">
        <v>107.64700000000001</v>
      </c>
      <c r="J9" s="12">
        <v>107.922</v>
      </c>
      <c r="K9" s="12">
        <v>108.235</v>
      </c>
      <c r="L9" s="12">
        <v>108.584</v>
      </c>
      <c r="M9" s="12">
        <v>109.74</v>
      </c>
      <c r="N9" s="12">
        <v>2.5110000000000001</v>
      </c>
      <c r="O9" s="12">
        <v>4.5019999999999998</v>
      </c>
      <c r="P9" s="10"/>
      <c r="Q9" s="10">
        <f t="shared" ref="Q9:Q23" si="4">O9+M9-C9</f>
        <v>21.74499999999999</v>
      </c>
      <c r="T9" s="220"/>
      <c r="U9" s="219">
        <f t="shared" si="1"/>
        <v>4.3730000000000047</v>
      </c>
      <c r="V9" s="219">
        <f t="shared" si="1"/>
        <v>4.1039999999999992</v>
      </c>
      <c r="W9" s="219">
        <f t="shared" si="1"/>
        <v>3.2329999999999899</v>
      </c>
      <c r="X9" s="219">
        <f t="shared" si="1"/>
        <v>2.4130000000000109</v>
      </c>
      <c r="Y9" s="219">
        <f t="shared" si="1"/>
        <v>0.71699999999999875</v>
      </c>
      <c r="Z9" s="219">
        <f t="shared" si="1"/>
        <v>0.31000000000000227</v>
      </c>
      <c r="AA9" s="219">
        <f t="shared" si="1"/>
        <v>0.27499999999999147</v>
      </c>
      <c r="AB9" s="219">
        <f t="shared" si="1"/>
        <v>0.31300000000000239</v>
      </c>
      <c r="AC9" s="219">
        <f t="shared" si="1"/>
        <v>0.34900000000000375</v>
      </c>
      <c r="AD9" s="219">
        <f t="shared" si="1"/>
        <v>1.1559999999999917</v>
      </c>
      <c r="AE9" s="219">
        <f>N9</f>
        <v>2.5110000000000001</v>
      </c>
      <c r="AF9" s="219">
        <f>O9</f>
        <v>4.5019999999999998</v>
      </c>
    </row>
    <row r="10" spans="1:32">
      <c r="A10" s="288">
        <v>4</v>
      </c>
      <c r="B10" s="11" t="s">
        <v>257</v>
      </c>
      <c r="C10" s="95">
        <v>14.175000000000001</v>
      </c>
      <c r="D10" s="12">
        <v>14.994999999999999</v>
      </c>
      <c r="E10" s="12">
        <v>15.884</v>
      </c>
      <c r="F10" s="12">
        <v>17.030999999999999</v>
      </c>
      <c r="G10" s="12">
        <v>17.829999999999998</v>
      </c>
      <c r="H10" s="12">
        <v>18.683</v>
      </c>
      <c r="I10" s="12">
        <v>19.715</v>
      </c>
      <c r="J10" s="12">
        <v>20.622</v>
      </c>
      <c r="K10" s="12">
        <v>21.606999999999999</v>
      </c>
      <c r="L10" s="12">
        <v>22.765000000000001</v>
      </c>
      <c r="M10" s="12">
        <v>24.027000000000001</v>
      </c>
      <c r="N10" s="12">
        <v>25.042000000000002</v>
      </c>
      <c r="O10" s="12">
        <v>25.942</v>
      </c>
      <c r="P10" s="10">
        <f>O10-C10</f>
        <v>11.766999999999999</v>
      </c>
      <c r="T10" s="1">
        <v>4</v>
      </c>
      <c r="U10" s="202">
        <f t="shared" si="1"/>
        <v>0.81999999999999851</v>
      </c>
      <c r="V10" s="202">
        <f t="shared" si="1"/>
        <v>0.88900000000000112</v>
      </c>
      <c r="W10" s="202">
        <f t="shared" si="1"/>
        <v>1.1469999999999985</v>
      </c>
      <c r="X10" s="202">
        <f t="shared" si="1"/>
        <v>0.79899999999999949</v>
      </c>
      <c r="Y10" s="202">
        <f t="shared" si="1"/>
        <v>0.85300000000000153</v>
      </c>
      <c r="Z10" s="202">
        <f t="shared" si="1"/>
        <v>1.032</v>
      </c>
      <c r="AA10" s="202">
        <f t="shared" si="1"/>
        <v>0.90700000000000003</v>
      </c>
      <c r="AB10" s="202">
        <f t="shared" si="1"/>
        <v>0.98499999999999943</v>
      </c>
      <c r="AC10" s="202">
        <f t="shared" si="1"/>
        <v>1.1580000000000013</v>
      </c>
      <c r="AD10" s="202">
        <f t="shared" si="1"/>
        <v>1.2620000000000005</v>
      </c>
      <c r="AE10" s="202">
        <f t="shared" si="1"/>
        <v>1.0150000000000006</v>
      </c>
      <c r="AF10" s="202">
        <f t="shared" si="1"/>
        <v>0.89999999999999858</v>
      </c>
    </row>
    <row r="11" spans="1:32">
      <c r="A11" s="288"/>
      <c r="B11" s="11" t="s">
        <v>87</v>
      </c>
      <c r="C11" s="95">
        <v>10.086</v>
      </c>
      <c r="D11" s="12">
        <v>10.711</v>
      </c>
      <c r="E11" s="12">
        <v>11.145</v>
      </c>
      <c r="F11" s="12">
        <v>11.173999999999999</v>
      </c>
      <c r="G11" s="12">
        <v>11.189</v>
      </c>
      <c r="H11" s="12">
        <v>11.199</v>
      </c>
      <c r="I11" s="12">
        <v>11.214</v>
      </c>
      <c r="J11" s="12">
        <v>11.225</v>
      </c>
      <c r="K11" s="12">
        <v>11.234999999999999</v>
      </c>
      <c r="L11" s="12">
        <v>11.246</v>
      </c>
      <c r="M11" s="12">
        <v>11.266</v>
      </c>
      <c r="N11" s="12">
        <v>0.13100000000000001</v>
      </c>
      <c r="O11" s="12">
        <v>0.49299999999999999</v>
      </c>
      <c r="P11" s="10"/>
      <c r="Q11" s="10">
        <f t="shared" ref="Q11:Q23" si="5">O11+M11-C11</f>
        <v>1.673</v>
      </c>
      <c r="T11" s="1"/>
      <c r="U11" s="219">
        <f t="shared" si="1"/>
        <v>0.625</v>
      </c>
      <c r="V11" s="219">
        <f t="shared" si="1"/>
        <v>0.43399999999999928</v>
      </c>
      <c r="W11" s="219">
        <f t="shared" si="1"/>
        <v>2.8999999999999915E-2</v>
      </c>
      <c r="X11" s="219">
        <f t="shared" si="1"/>
        <v>1.5000000000000568E-2</v>
      </c>
      <c r="Y11" s="219">
        <f t="shared" si="1"/>
        <v>9.9999999999997868E-3</v>
      </c>
      <c r="Z11" s="219">
        <f t="shared" si="1"/>
        <v>1.5000000000000568E-2</v>
      </c>
      <c r="AA11" s="219">
        <f t="shared" si="1"/>
        <v>1.0999999999999233E-2</v>
      </c>
      <c r="AB11" s="219">
        <f t="shared" si="1"/>
        <v>9.9999999999997868E-3</v>
      </c>
      <c r="AC11" s="219">
        <f t="shared" si="1"/>
        <v>1.1000000000001009E-2</v>
      </c>
      <c r="AD11" s="219">
        <f t="shared" si="1"/>
        <v>1.9999999999999574E-2</v>
      </c>
      <c r="AE11" s="219">
        <f>N11</f>
        <v>0.13100000000000001</v>
      </c>
      <c r="AF11" s="219">
        <f>O11</f>
        <v>0.49299999999999999</v>
      </c>
    </row>
    <row r="12" spans="1:32">
      <c r="A12" s="288">
        <v>5</v>
      </c>
      <c r="B12" s="11" t="s">
        <v>258</v>
      </c>
      <c r="C12" s="95">
        <v>92.284000000000006</v>
      </c>
      <c r="D12" s="12">
        <v>98.43</v>
      </c>
      <c r="E12" s="12">
        <v>104.633</v>
      </c>
      <c r="F12" s="12">
        <v>110.824</v>
      </c>
      <c r="G12" s="12">
        <v>116.8</v>
      </c>
      <c r="H12" s="12">
        <v>124.1</v>
      </c>
      <c r="I12" s="12">
        <v>128.84</v>
      </c>
      <c r="J12" s="12">
        <v>135.053</v>
      </c>
      <c r="K12" s="12">
        <v>140.965</v>
      </c>
      <c r="L12" s="12">
        <v>146.851</v>
      </c>
      <c r="M12" s="12">
        <v>153.16</v>
      </c>
      <c r="N12" s="12">
        <v>158.917</v>
      </c>
      <c r="O12" s="12">
        <v>165.31</v>
      </c>
      <c r="P12" s="10">
        <f>O12-C12</f>
        <v>73.025999999999996</v>
      </c>
      <c r="T12" s="1">
        <v>5</v>
      </c>
      <c r="U12" s="202">
        <f t="shared" si="1"/>
        <v>6.1460000000000008</v>
      </c>
      <c r="V12" s="202">
        <f t="shared" si="1"/>
        <v>6.2029999999999887</v>
      </c>
      <c r="W12" s="202">
        <f t="shared" si="1"/>
        <v>6.1910000000000025</v>
      </c>
      <c r="X12" s="202">
        <f t="shared" si="1"/>
        <v>5.9759999999999991</v>
      </c>
      <c r="Y12" s="202">
        <f t="shared" si="1"/>
        <v>7.2999999999999972</v>
      </c>
      <c r="Z12" s="202">
        <f t="shared" si="1"/>
        <v>4.7400000000000091</v>
      </c>
      <c r="AA12" s="202">
        <f t="shared" si="1"/>
        <v>6.2129999999999939</v>
      </c>
      <c r="AB12" s="202">
        <f t="shared" si="1"/>
        <v>5.9120000000000061</v>
      </c>
      <c r="AC12" s="202">
        <f t="shared" si="1"/>
        <v>5.8859999999999957</v>
      </c>
      <c r="AD12" s="202">
        <f t="shared" si="1"/>
        <v>6.3089999999999975</v>
      </c>
      <c r="AE12" s="202">
        <f t="shared" si="1"/>
        <v>5.757000000000005</v>
      </c>
      <c r="AF12" s="202">
        <f t="shared" si="1"/>
        <v>6.3930000000000007</v>
      </c>
    </row>
    <row r="13" spans="1:32">
      <c r="A13" s="288"/>
      <c r="B13" s="11" t="s">
        <v>88</v>
      </c>
      <c r="C13" s="95">
        <v>40.314999999999998</v>
      </c>
      <c r="D13" s="12">
        <v>44.029000000000003</v>
      </c>
      <c r="E13" s="12">
        <v>47.28</v>
      </c>
      <c r="F13" s="12">
        <v>49.863999999999997</v>
      </c>
      <c r="G13" s="12">
        <v>51.585999999999999</v>
      </c>
      <c r="H13" s="12">
        <v>52.624000000000002</v>
      </c>
      <c r="I13" s="12">
        <v>52.892000000000003</v>
      </c>
      <c r="J13" s="12">
        <v>53.107999999999997</v>
      </c>
      <c r="K13" s="12">
        <v>53.323</v>
      </c>
      <c r="L13" s="12">
        <v>53.634</v>
      </c>
      <c r="M13" s="12">
        <v>54.956000000000003</v>
      </c>
      <c r="N13" s="12">
        <v>2.7069999999999999</v>
      </c>
      <c r="O13" s="12">
        <v>6.4740000000000002</v>
      </c>
      <c r="P13" s="10"/>
      <c r="Q13" s="10">
        <f t="shared" ref="Q13:Q23" si="6">O13+M13-C13</f>
        <v>21.115000000000009</v>
      </c>
      <c r="T13" s="1"/>
      <c r="U13" s="219">
        <f t="shared" si="1"/>
        <v>3.7140000000000057</v>
      </c>
      <c r="V13" s="219">
        <f t="shared" si="1"/>
        <v>3.2509999999999977</v>
      </c>
      <c r="W13" s="219">
        <f t="shared" si="1"/>
        <v>2.5839999999999961</v>
      </c>
      <c r="X13" s="219">
        <f t="shared" si="1"/>
        <v>1.7220000000000013</v>
      </c>
      <c r="Y13" s="219">
        <f t="shared" si="1"/>
        <v>1.0380000000000038</v>
      </c>
      <c r="Z13" s="219">
        <f t="shared" si="1"/>
        <v>0.26800000000000068</v>
      </c>
      <c r="AA13" s="219">
        <f t="shared" si="1"/>
        <v>0.21599999999999397</v>
      </c>
      <c r="AB13" s="219">
        <f t="shared" si="1"/>
        <v>0.21500000000000341</v>
      </c>
      <c r="AC13" s="219">
        <f t="shared" si="1"/>
        <v>0.31099999999999994</v>
      </c>
      <c r="AD13" s="219">
        <f t="shared" si="1"/>
        <v>1.3220000000000027</v>
      </c>
      <c r="AE13" s="219">
        <f>N13</f>
        <v>2.7069999999999999</v>
      </c>
      <c r="AF13" s="219">
        <f>O13</f>
        <v>6.4740000000000002</v>
      </c>
    </row>
    <row r="14" spans="1:32">
      <c r="A14" s="288">
        <v>6</v>
      </c>
      <c r="B14" s="11" t="s">
        <v>259</v>
      </c>
      <c r="C14" s="95">
        <v>44.787999999999997</v>
      </c>
      <c r="D14" s="12">
        <v>47.247999999999998</v>
      </c>
      <c r="E14" s="12">
        <v>49.706000000000003</v>
      </c>
      <c r="F14" s="12">
        <v>52.789000000000001</v>
      </c>
      <c r="G14" s="12">
        <v>55.917000000000002</v>
      </c>
      <c r="H14" s="12">
        <v>59.454999999999998</v>
      </c>
      <c r="I14" s="12">
        <v>61.188000000000002</v>
      </c>
      <c r="J14" s="12">
        <v>63.612000000000002</v>
      </c>
      <c r="K14" s="12">
        <v>65.534999999999997</v>
      </c>
      <c r="L14" s="12">
        <v>68.356999999999999</v>
      </c>
      <c r="M14" s="12">
        <v>71.581000000000003</v>
      </c>
      <c r="N14" s="12">
        <v>75.424000000000007</v>
      </c>
      <c r="O14" s="12">
        <v>79.34</v>
      </c>
      <c r="P14" s="10">
        <f>O14-C14</f>
        <v>34.552000000000007</v>
      </c>
      <c r="T14" s="1">
        <v>6</v>
      </c>
      <c r="U14" s="202">
        <f t="shared" si="1"/>
        <v>2.4600000000000009</v>
      </c>
      <c r="V14" s="202">
        <f t="shared" si="1"/>
        <v>2.4580000000000055</v>
      </c>
      <c r="W14" s="202">
        <f t="shared" si="1"/>
        <v>3.0829999999999984</v>
      </c>
      <c r="X14" s="202">
        <f t="shared" si="1"/>
        <v>3.1280000000000001</v>
      </c>
      <c r="Y14" s="202">
        <f t="shared" si="1"/>
        <v>3.5379999999999967</v>
      </c>
      <c r="Z14" s="202">
        <f t="shared" si="1"/>
        <v>1.7330000000000041</v>
      </c>
      <c r="AA14" s="202">
        <f t="shared" si="1"/>
        <v>2.4239999999999995</v>
      </c>
      <c r="AB14" s="202">
        <f t="shared" si="1"/>
        <v>1.9229999999999947</v>
      </c>
      <c r="AC14" s="202">
        <f t="shared" si="1"/>
        <v>2.8220000000000027</v>
      </c>
      <c r="AD14" s="202">
        <f t="shared" si="1"/>
        <v>3.2240000000000038</v>
      </c>
      <c r="AE14" s="202">
        <f t="shared" si="1"/>
        <v>3.8430000000000035</v>
      </c>
      <c r="AF14" s="202">
        <f t="shared" si="1"/>
        <v>3.9159999999999968</v>
      </c>
    </row>
    <row r="15" spans="1:32">
      <c r="A15" s="288"/>
      <c r="B15" s="11" t="s">
        <v>89</v>
      </c>
      <c r="C15" s="95">
        <v>86.296999999999997</v>
      </c>
      <c r="D15" s="12">
        <v>92.167000000000002</v>
      </c>
      <c r="E15" s="12">
        <v>96.820999999999998</v>
      </c>
      <c r="F15" s="12">
        <v>101.136</v>
      </c>
      <c r="G15" s="12">
        <v>104.967</v>
      </c>
      <c r="H15" s="12">
        <v>107.733</v>
      </c>
      <c r="I15" s="12">
        <v>107.99</v>
      </c>
      <c r="J15" s="12">
        <v>108.27500000000001</v>
      </c>
      <c r="K15" s="12">
        <v>108.562</v>
      </c>
      <c r="L15" s="12">
        <v>109.48399999999999</v>
      </c>
      <c r="M15" s="12">
        <v>112.352</v>
      </c>
      <c r="N15" s="12">
        <v>4.3209999999999997</v>
      </c>
      <c r="O15" s="12">
        <v>9.9280000000000008</v>
      </c>
      <c r="P15" s="10"/>
      <c r="Q15" s="10">
        <f t="shared" ref="Q15:Q23" si="7">O15+M15-C15</f>
        <v>35.983000000000004</v>
      </c>
      <c r="T15" s="1"/>
      <c r="U15" s="219">
        <f t="shared" si="1"/>
        <v>5.8700000000000045</v>
      </c>
      <c r="V15" s="219">
        <f t="shared" si="1"/>
        <v>4.6539999999999964</v>
      </c>
      <c r="W15" s="219">
        <f t="shared" si="1"/>
        <v>4.3149999999999977</v>
      </c>
      <c r="X15" s="219">
        <f t="shared" si="1"/>
        <v>3.8310000000000031</v>
      </c>
      <c r="Y15" s="219">
        <f t="shared" si="1"/>
        <v>2.7660000000000053</v>
      </c>
      <c r="Z15" s="219">
        <f t="shared" si="1"/>
        <v>0.25699999999999079</v>
      </c>
      <c r="AA15" s="219">
        <f t="shared" si="1"/>
        <v>0.2850000000000108</v>
      </c>
      <c r="AB15" s="219">
        <f t="shared" si="1"/>
        <v>0.28699999999999193</v>
      </c>
      <c r="AC15" s="219">
        <f t="shared" si="1"/>
        <v>0.92199999999999704</v>
      </c>
      <c r="AD15" s="219">
        <f t="shared" si="1"/>
        <v>2.8680000000000092</v>
      </c>
      <c r="AE15" s="219">
        <f>N15</f>
        <v>4.3209999999999997</v>
      </c>
      <c r="AF15" s="219">
        <f>O15</f>
        <v>9.9280000000000008</v>
      </c>
    </row>
    <row r="16" spans="1:32">
      <c r="A16" s="288">
        <v>7</v>
      </c>
      <c r="B16" s="11" t="s">
        <v>260</v>
      </c>
      <c r="C16" s="95">
        <v>29.015000000000001</v>
      </c>
      <c r="D16" s="12">
        <v>30.963000000000001</v>
      </c>
      <c r="E16" s="12">
        <v>32.261000000000003</v>
      </c>
      <c r="F16" s="12">
        <v>34.177999999999997</v>
      </c>
      <c r="G16" s="12">
        <v>36.277000000000001</v>
      </c>
      <c r="H16" s="12">
        <v>38.808</v>
      </c>
      <c r="I16" s="12">
        <v>41.186999999999998</v>
      </c>
      <c r="J16" s="12">
        <v>43.207000000000001</v>
      </c>
      <c r="K16" s="12">
        <v>45.203000000000003</v>
      </c>
      <c r="L16" s="12">
        <v>46.761000000000003</v>
      </c>
      <c r="M16" s="12">
        <v>48.472999999999999</v>
      </c>
      <c r="N16" s="12">
        <v>50.323999999999998</v>
      </c>
      <c r="O16" s="12">
        <v>51.722999999999999</v>
      </c>
      <c r="P16" s="10">
        <f>O16-C16</f>
        <v>22.707999999999998</v>
      </c>
      <c r="T16" s="1">
        <v>7</v>
      </c>
      <c r="U16" s="202">
        <f t="shared" si="1"/>
        <v>1.9480000000000004</v>
      </c>
      <c r="V16" s="202">
        <f t="shared" si="1"/>
        <v>1.2980000000000018</v>
      </c>
      <c r="W16" s="202">
        <f t="shared" si="1"/>
        <v>1.9169999999999945</v>
      </c>
      <c r="X16" s="202">
        <f t="shared" si="1"/>
        <v>2.0990000000000038</v>
      </c>
      <c r="Y16" s="202">
        <f t="shared" si="1"/>
        <v>2.5309999999999988</v>
      </c>
      <c r="Z16" s="202">
        <f t="shared" si="1"/>
        <v>2.3789999999999978</v>
      </c>
      <c r="AA16" s="202">
        <f t="shared" si="1"/>
        <v>2.0200000000000031</v>
      </c>
      <c r="AB16" s="202">
        <f t="shared" si="1"/>
        <v>1.9960000000000022</v>
      </c>
      <c r="AC16" s="202">
        <f t="shared" si="1"/>
        <v>1.5579999999999998</v>
      </c>
      <c r="AD16" s="202">
        <f t="shared" si="1"/>
        <v>1.7119999999999962</v>
      </c>
      <c r="AE16" s="202">
        <f t="shared" si="1"/>
        <v>1.8509999999999991</v>
      </c>
      <c r="AF16" s="202">
        <f t="shared" si="1"/>
        <v>1.3990000000000009</v>
      </c>
    </row>
    <row r="17" spans="1:32">
      <c r="A17" s="288"/>
      <c r="B17" s="11" t="s">
        <v>90</v>
      </c>
      <c r="C17" s="95">
        <v>6.149</v>
      </c>
      <c r="D17" s="12">
        <v>6.3449999999999998</v>
      </c>
      <c r="E17" s="12">
        <v>6.5380000000000003</v>
      </c>
      <c r="F17" s="12">
        <v>6.74</v>
      </c>
      <c r="G17" s="12">
        <v>6.9050000000000002</v>
      </c>
      <c r="H17" s="12">
        <v>7.1219999999999999</v>
      </c>
      <c r="I17" s="35">
        <v>7.2510000000000003</v>
      </c>
      <c r="J17" s="12">
        <v>7.3609999999999998</v>
      </c>
      <c r="K17" s="12">
        <v>7.4889999999999999</v>
      </c>
      <c r="L17" s="12">
        <v>7.5880000000000001</v>
      </c>
      <c r="M17" s="12">
        <v>7.694</v>
      </c>
      <c r="N17" s="12">
        <v>0.189</v>
      </c>
      <c r="O17" s="12">
        <v>0.33300000000000002</v>
      </c>
      <c r="P17" s="10"/>
      <c r="Q17" s="10">
        <f t="shared" ref="Q17:Q23" si="8">O17+M17-C17</f>
        <v>1.8779999999999992</v>
      </c>
      <c r="T17" s="1"/>
      <c r="U17" s="219">
        <f t="shared" si="1"/>
        <v>0.19599999999999973</v>
      </c>
      <c r="V17" s="219">
        <f t="shared" si="1"/>
        <v>0.1930000000000005</v>
      </c>
      <c r="W17" s="219">
        <f t="shared" si="1"/>
        <v>0.20199999999999996</v>
      </c>
      <c r="X17" s="219">
        <f t="shared" si="1"/>
        <v>0.16500000000000004</v>
      </c>
      <c r="Y17" s="219">
        <f t="shared" si="1"/>
        <v>0.21699999999999964</v>
      </c>
      <c r="Z17" s="219">
        <f t="shared" si="1"/>
        <v>0.12900000000000045</v>
      </c>
      <c r="AA17" s="219">
        <f t="shared" si="1"/>
        <v>0.10999999999999943</v>
      </c>
      <c r="AB17" s="219">
        <f t="shared" si="1"/>
        <v>0.12800000000000011</v>
      </c>
      <c r="AC17" s="219">
        <f t="shared" si="1"/>
        <v>9.9000000000000199E-2</v>
      </c>
      <c r="AD17" s="219">
        <f t="shared" si="1"/>
        <v>0.10599999999999987</v>
      </c>
      <c r="AE17" s="219">
        <f>N17</f>
        <v>0.189</v>
      </c>
      <c r="AF17" s="219">
        <f>O17</f>
        <v>0.33300000000000002</v>
      </c>
    </row>
    <row r="18" spans="1:32">
      <c r="A18" s="288">
        <v>8</v>
      </c>
      <c r="B18" s="11" t="s">
        <v>261</v>
      </c>
      <c r="C18" s="95">
        <v>30.968</v>
      </c>
      <c r="D18" s="12">
        <v>32.06</v>
      </c>
      <c r="E18" s="12">
        <v>33.381</v>
      </c>
      <c r="F18" s="12">
        <v>35.783999999999999</v>
      </c>
      <c r="G18" s="12">
        <v>37.787999999999997</v>
      </c>
      <c r="H18" s="12">
        <v>39.847000000000001</v>
      </c>
      <c r="I18" s="12">
        <v>41.906999999999996</v>
      </c>
      <c r="J18" s="12">
        <v>43.375</v>
      </c>
      <c r="K18" s="12">
        <v>45.41</v>
      </c>
      <c r="L18" s="12">
        <v>46.725999999999999</v>
      </c>
      <c r="M18" s="12">
        <v>48.295999999999999</v>
      </c>
      <c r="N18" s="12">
        <v>50.271000000000001</v>
      </c>
      <c r="O18" s="12">
        <v>52.148000000000003</v>
      </c>
      <c r="P18" s="10">
        <f>O18-C18</f>
        <v>21.180000000000003</v>
      </c>
      <c r="T18" s="1">
        <v>8</v>
      </c>
      <c r="U18" s="202">
        <f t="shared" si="1"/>
        <v>1.0920000000000023</v>
      </c>
      <c r="V18" s="202">
        <f t="shared" si="1"/>
        <v>1.320999999999998</v>
      </c>
      <c r="W18" s="202">
        <f t="shared" si="1"/>
        <v>2.4029999999999987</v>
      </c>
      <c r="X18" s="202">
        <f t="shared" si="1"/>
        <v>2.0039999999999978</v>
      </c>
      <c r="Y18" s="202">
        <f t="shared" si="1"/>
        <v>2.0590000000000046</v>
      </c>
      <c r="Z18" s="202">
        <f t="shared" si="1"/>
        <v>2.0599999999999952</v>
      </c>
      <c r="AA18" s="202">
        <f t="shared" si="1"/>
        <v>1.4680000000000035</v>
      </c>
      <c r="AB18" s="202">
        <f t="shared" si="1"/>
        <v>2.0349999999999966</v>
      </c>
      <c r="AC18" s="202">
        <f t="shared" si="1"/>
        <v>1.3160000000000025</v>
      </c>
      <c r="AD18" s="202">
        <f t="shared" si="1"/>
        <v>1.5700000000000003</v>
      </c>
      <c r="AE18" s="202">
        <f t="shared" si="1"/>
        <v>1.9750000000000014</v>
      </c>
      <c r="AF18" s="202">
        <f t="shared" si="1"/>
        <v>1.8770000000000024</v>
      </c>
    </row>
    <row r="19" spans="1:32">
      <c r="A19" s="288"/>
      <c r="B19" s="11" t="s">
        <v>91</v>
      </c>
      <c r="C19" s="95">
        <v>112.608</v>
      </c>
      <c r="D19" s="12">
        <v>115.73099999999999</v>
      </c>
      <c r="E19" s="12">
        <v>118.779</v>
      </c>
      <c r="F19" s="12">
        <v>120.946</v>
      </c>
      <c r="G19" s="12">
        <v>122.245</v>
      </c>
      <c r="H19" s="12">
        <v>122.88200000000001</v>
      </c>
      <c r="I19" s="12">
        <v>123.12</v>
      </c>
      <c r="J19" s="12">
        <v>123.40600000000001</v>
      </c>
      <c r="K19" s="12">
        <v>123.902</v>
      </c>
      <c r="L19" s="12">
        <v>124.10599999999999</v>
      </c>
      <c r="M19" s="12">
        <v>124.76</v>
      </c>
      <c r="N19" s="12">
        <v>2.601</v>
      </c>
      <c r="O19" s="12">
        <v>5.327</v>
      </c>
      <c r="P19" s="10"/>
      <c r="Q19" s="10">
        <f t="shared" ref="Q19:Q23" si="9">O19+M19-C19</f>
        <v>17.479000000000013</v>
      </c>
      <c r="T19" s="1"/>
      <c r="U19" s="219">
        <f t="shared" si="1"/>
        <v>3.1229999999999905</v>
      </c>
      <c r="V19" s="219">
        <f t="shared" si="1"/>
        <v>3.0480000000000018</v>
      </c>
      <c r="W19" s="219">
        <f t="shared" si="1"/>
        <v>2.1670000000000016</v>
      </c>
      <c r="X19" s="219">
        <f t="shared" si="1"/>
        <v>1.2990000000000066</v>
      </c>
      <c r="Y19" s="219">
        <f t="shared" si="1"/>
        <v>0.63700000000000045</v>
      </c>
      <c r="Z19" s="219">
        <f t="shared" si="1"/>
        <v>0.23799999999999955</v>
      </c>
      <c r="AA19" s="219">
        <f t="shared" si="1"/>
        <v>0.28600000000000136</v>
      </c>
      <c r="AB19" s="219">
        <f t="shared" si="1"/>
        <v>0.49599999999999511</v>
      </c>
      <c r="AC19" s="219">
        <f t="shared" si="1"/>
        <v>0.20399999999999352</v>
      </c>
      <c r="AD19" s="219">
        <f t="shared" si="1"/>
        <v>0.65400000000001057</v>
      </c>
      <c r="AE19" s="219">
        <f>N19</f>
        <v>2.601</v>
      </c>
      <c r="AF19" s="219">
        <f>O19</f>
        <v>5.327</v>
      </c>
    </row>
    <row r="20" spans="1:32">
      <c r="A20" s="288">
        <v>9</v>
      </c>
      <c r="B20" s="11" t="s">
        <v>262</v>
      </c>
      <c r="C20" s="95">
        <v>93.855999999999995</v>
      </c>
      <c r="D20" s="12">
        <v>101.185</v>
      </c>
      <c r="E20" s="12">
        <v>106.998</v>
      </c>
      <c r="F20" s="12">
        <v>114.517</v>
      </c>
      <c r="G20" s="12">
        <v>121.039</v>
      </c>
      <c r="H20" s="12">
        <v>127.611</v>
      </c>
      <c r="I20" s="12">
        <v>136.54</v>
      </c>
      <c r="J20" s="12">
        <v>146.84899999999999</v>
      </c>
      <c r="K20" s="12">
        <v>153.83699999999999</v>
      </c>
      <c r="L20" s="12">
        <v>160.79300000000001</v>
      </c>
      <c r="M20" s="12">
        <v>166.18700000000001</v>
      </c>
      <c r="N20" s="12">
        <v>172.08799999999999</v>
      </c>
      <c r="O20" s="12">
        <v>178.863</v>
      </c>
      <c r="P20" s="10">
        <f>O20-C20</f>
        <v>85.007000000000005</v>
      </c>
      <c r="T20" s="1">
        <v>9</v>
      </c>
      <c r="U20" s="202">
        <f t="shared" si="1"/>
        <v>7.3290000000000077</v>
      </c>
      <c r="V20" s="202">
        <f t="shared" si="1"/>
        <v>5.8130000000000024</v>
      </c>
      <c r="W20" s="202">
        <f t="shared" si="1"/>
        <v>7.5189999999999912</v>
      </c>
      <c r="X20" s="202">
        <f t="shared" si="1"/>
        <v>6.5220000000000056</v>
      </c>
      <c r="Y20" s="202">
        <f t="shared" si="1"/>
        <v>6.5720000000000027</v>
      </c>
      <c r="Z20" s="202">
        <f t="shared" si="1"/>
        <v>8.9289999999999878</v>
      </c>
      <c r="AA20" s="202">
        <f t="shared" si="1"/>
        <v>10.308999999999997</v>
      </c>
      <c r="AB20" s="202">
        <f t="shared" si="1"/>
        <v>6.9879999999999995</v>
      </c>
      <c r="AC20" s="202">
        <f t="shared" si="1"/>
        <v>6.9560000000000173</v>
      </c>
      <c r="AD20" s="202">
        <f t="shared" si="1"/>
        <v>5.3940000000000055</v>
      </c>
      <c r="AE20" s="202">
        <f t="shared" si="1"/>
        <v>5.900999999999982</v>
      </c>
      <c r="AF20" s="202">
        <f t="shared" si="1"/>
        <v>6.7750000000000057</v>
      </c>
    </row>
    <row r="21" spans="1:32">
      <c r="A21" s="288"/>
      <c r="B21" s="11" t="s">
        <v>92</v>
      </c>
      <c r="C21" s="95">
        <v>83.918999999999997</v>
      </c>
      <c r="D21" s="12">
        <v>89.944999999999993</v>
      </c>
      <c r="E21" s="12">
        <v>94.646000000000001</v>
      </c>
      <c r="F21" s="12">
        <v>98.626000000000005</v>
      </c>
      <c r="G21" s="12">
        <v>101.02800000000001</v>
      </c>
      <c r="H21" s="12">
        <v>101.937</v>
      </c>
      <c r="I21" s="12">
        <v>102.383</v>
      </c>
      <c r="J21" s="12">
        <v>102.861</v>
      </c>
      <c r="K21" s="12">
        <v>103.23399999999999</v>
      </c>
      <c r="L21" s="12">
        <v>103.94799999999999</v>
      </c>
      <c r="M21" s="12">
        <v>105.846</v>
      </c>
      <c r="N21" s="12">
        <v>3.8490000000000002</v>
      </c>
      <c r="O21" s="12">
        <v>8.8320000000000007</v>
      </c>
      <c r="P21" s="10"/>
      <c r="Q21" s="10">
        <f t="shared" ref="Q21:Q23" si="10">O21+M21-C21</f>
        <v>30.759</v>
      </c>
      <c r="T21" s="1"/>
      <c r="U21" s="219">
        <f t="shared" si="1"/>
        <v>6.0259999999999962</v>
      </c>
      <c r="V21" s="219">
        <f t="shared" si="1"/>
        <v>4.7010000000000076</v>
      </c>
      <c r="W21" s="219">
        <f t="shared" si="1"/>
        <v>3.980000000000004</v>
      </c>
      <c r="X21" s="219">
        <f t="shared" si="1"/>
        <v>2.402000000000001</v>
      </c>
      <c r="Y21" s="219">
        <f t="shared" si="1"/>
        <v>0.90899999999999181</v>
      </c>
      <c r="Z21" s="219">
        <f t="shared" si="1"/>
        <v>0.44599999999999795</v>
      </c>
      <c r="AA21" s="219">
        <f t="shared" si="1"/>
        <v>0.47800000000000864</v>
      </c>
      <c r="AB21" s="219">
        <f t="shared" si="1"/>
        <v>0.37299999999999045</v>
      </c>
      <c r="AC21" s="219">
        <f t="shared" si="1"/>
        <v>0.71399999999999864</v>
      </c>
      <c r="AD21" s="219">
        <f t="shared" si="1"/>
        <v>1.8980000000000103</v>
      </c>
      <c r="AE21" s="219">
        <f>N21</f>
        <v>3.8490000000000002</v>
      </c>
      <c r="AF21" s="219">
        <f>O21</f>
        <v>8.8320000000000007</v>
      </c>
    </row>
    <row r="22" spans="1:32">
      <c r="A22" s="288">
        <v>10</v>
      </c>
      <c r="B22" s="11" t="s">
        <v>263</v>
      </c>
      <c r="C22" s="95">
        <v>309.66800000000001</v>
      </c>
      <c r="D22" s="12">
        <v>324.661</v>
      </c>
      <c r="E22" s="12">
        <v>342.87700000000001</v>
      </c>
      <c r="F22" s="12">
        <v>359.108</v>
      </c>
      <c r="G22" s="12">
        <v>377.85</v>
      </c>
      <c r="H22" s="12">
        <v>399.00700000000001</v>
      </c>
      <c r="I22" s="12">
        <v>416.94900000000001</v>
      </c>
      <c r="J22" s="12">
        <v>435.11900000000003</v>
      </c>
      <c r="K22" s="12">
        <v>453.04700000000003</v>
      </c>
      <c r="L22" s="12">
        <v>470.233</v>
      </c>
      <c r="M22" s="12">
        <v>489.94299999999998</v>
      </c>
      <c r="N22" s="12">
        <v>508.75599999999997</v>
      </c>
      <c r="O22" s="12">
        <v>528.65</v>
      </c>
      <c r="P22" s="10">
        <f>O22-C22</f>
        <v>218.98199999999997</v>
      </c>
      <c r="T22" s="1">
        <v>10</v>
      </c>
      <c r="U22" s="202">
        <f t="shared" ref="U22:AF23" si="11">D22-C22</f>
        <v>14.992999999999995</v>
      </c>
      <c r="V22" s="202">
        <f t="shared" si="11"/>
        <v>18.216000000000008</v>
      </c>
      <c r="W22" s="202">
        <f t="shared" si="11"/>
        <v>16.230999999999995</v>
      </c>
      <c r="X22" s="202">
        <f t="shared" si="11"/>
        <v>18.742000000000019</v>
      </c>
      <c r="Y22" s="202">
        <f t="shared" si="11"/>
        <v>21.156999999999982</v>
      </c>
      <c r="Z22" s="202">
        <f t="shared" si="11"/>
        <v>17.942000000000007</v>
      </c>
      <c r="AA22" s="202">
        <f t="shared" si="11"/>
        <v>18.170000000000016</v>
      </c>
      <c r="AB22" s="202">
        <f t="shared" si="11"/>
        <v>17.927999999999997</v>
      </c>
      <c r="AC22" s="202">
        <f t="shared" si="11"/>
        <v>17.185999999999979</v>
      </c>
      <c r="AD22" s="202">
        <f t="shared" si="11"/>
        <v>19.70999999999998</v>
      </c>
      <c r="AE22" s="202">
        <f t="shared" si="11"/>
        <v>18.812999999999988</v>
      </c>
      <c r="AF22" s="202">
        <f t="shared" si="11"/>
        <v>19.894000000000005</v>
      </c>
    </row>
    <row r="23" spans="1:32">
      <c r="A23" s="288"/>
      <c r="B23" s="11" t="s">
        <v>93</v>
      </c>
      <c r="C23" s="95">
        <v>90.123999999999995</v>
      </c>
      <c r="D23" s="12">
        <v>94.74</v>
      </c>
      <c r="E23" s="12">
        <v>99.575000000000003</v>
      </c>
      <c r="F23" s="12">
        <v>103</v>
      </c>
      <c r="G23" s="12">
        <v>105.148</v>
      </c>
      <c r="H23" s="12">
        <v>106.779</v>
      </c>
      <c r="I23" s="12">
        <v>107.803</v>
      </c>
      <c r="J23" s="12">
        <v>108.73099999999999</v>
      </c>
      <c r="K23" s="12">
        <v>109.71299999999999</v>
      </c>
      <c r="L23" s="12">
        <v>110.759</v>
      </c>
      <c r="M23" s="12">
        <v>112.21899999999999</v>
      </c>
      <c r="N23" s="12">
        <v>3.0150000000000001</v>
      </c>
      <c r="O23" s="12">
        <v>7.2779999999999996</v>
      </c>
      <c r="P23" s="14"/>
      <c r="Q23" s="136">
        <f t="shared" ref="Q23" si="12">O23+M23-C23</f>
        <v>29.373000000000005</v>
      </c>
      <c r="U23" s="219">
        <f t="shared" si="11"/>
        <v>4.6159999999999997</v>
      </c>
      <c r="V23" s="219">
        <f t="shared" si="11"/>
        <v>4.835000000000008</v>
      </c>
      <c r="W23" s="219">
        <f t="shared" si="11"/>
        <v>3.4249999999999972</v>
      </c>
      <c r="X23" s="219">
        <f t="shared" si="11"/>
        <v>2.1479999999999961</v>
      </c>
      <c r="Y23" s="219">
        <f t="shared" si="11"/>
        <v>1.6310000000000002</v>
      </c>
      <c r="Z23" s="219">
        <f t="shared" si="11"/>
        <v>1.0240000000000009</v>
      </c>
      <c r="AA23" s="219">
        <f t="shared" si="11"/>
        <v>0.92799999999999727</v>
      </c>
      <c r="AB23" s="219">
        <f t="shared" si="11"/>
        <v>0.98199999999999932</v>
      </c>
      <c r="AC23" s="219">
        <f t="shared" si="11"/>
        <v>1.0460000000000065</v>
      </c>
      <c r="AD23" s="219">
        <f t="shared" si="11"/>
        <v>1.4599999999999937</v>
      </c>
      <c r="AE23" s="219">
        <f>N23</f>
        <v>3.0150000000000001</v>
      </c>
      <c r="AF23" s="219">
        <f>O23</f>
        <v>7.2779999999999996</v>
      </c>
    </row>
    <row r="24" spans="1:32">
      <c r="A24" s="163"/>
      <c r="B24" s="11"/>
      <c r="C24" s="9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904.30099999999993</v>
      </c>
      <c r="Q24" s="10">
        <f>SUM(Q4:Q23)</f>
        <v>265.12600000000003</v>
      </c>
    </row>
    <row r="25" spans="1:32">
      <c r="A25" s="163" t="s">
        <v>25</v>
      </c>
      <c r="B25" s="11" t="s">
        <v>94</v>
      </c>
      <c r="C25" s="96">
        <v>37691</v>
      </c>
      <c r="D25" s="16">
        <v>37998</v>
      </c>
      <c r="E25" s="16">
        <v>38385</v>
      </c>
      <c r="F25" s="16">
        <v>38594</v>
      </c>
      <c r="G25" s="16">
        <v>38811</v>
      </c>
      <c r="H25" s="16">
        <v>39055</v>
      </c>
      <c r="I25" s="16">
        <v>39287</v>
      </c>
      <c r="J25" s="16">
        <v>39521</v>
      </c>
      <c r="K25" s="16">
        <v>39758</v>
      </c>
      <c r="L25" s="16">
        <v>39959</v>
      </c>
      <c r="M25" s="16">
        <v>40191</v>
      </c>
      <c r="N25" s="16">
        <v>40434</v>
      </c>
      <c r="O25" s="16">
        <v>40777</v>
      </c>
      <c r="P25" s="10"/>
      <c r="R25" s="19">
        <f>O25-C25</f>
        <v>3086</v>
      </c>
    </row>
    <row r="26" spans="1:32">
      <c r="A26" s="163"/>
      <c r="B26" s="11" t="s">
        <v>264</v>
      </c>
      <c r="C26" s="97">
        <v>1323.8</v>
      </c>
      <c r="D26" s="21">
        <v>1411.6</v>
      </c>
      <c r="E26" s="21">
        <v>1497</v>
      </c>
      <c r="F26" s="21">
        <v>1590.1</v>
      </c>
      <c r="G26" s="21">
        <v>1683.8</v>
      </c>
      <c r="H26" s="21">
        <v>1786.9</v>
      </c>
      <c r="I26" s="21">
        <v>1871</v>
      </c>
      <c r="J26" s="21">
        <v>1944.5</v>
      </c>
      <c r="K26" s="21">
        <v>2026.1</v>
      </c>
      <c r="L26" s="21">
        <v>2105.6999999999998</v>
      </c>
      <c r="M26" s="21">
        <v>2190.1</v>
      </c>
      <c r="N26" s="21">
        <v>2273.1999999999998</v>
      </c>
      <c r="O26" s="21">
        <v>2353.9</v>
      </c>
      <c r="P26" s="10">
        <f>O26-C26</f>
        <v>1030.1000000000001</v>
      </c>
    </row>
    <row r="27" spans="1:32">
      <c r="A27" s="172"/>
      <c r="B27" s="285" t="s">
        <v>371</v>
      </c>
      <c r="C27" s="98">
        <v>121.23</v>
      </c>
      <c r="D27" s="22">
        <v>168.97</v>
      </c>
      <c r="E27" s="22">
        <v>212.25</v>
      </c>
      <c r="F27" s="22">
        <v>247.62</v>
      </c>
      <c r="G27" s="22">
        <v>274.73</v>
      </c>
      <c r="H27" s="22">
        <v>291.79000000000002</v>
      </c>
      <c r="I27" s="22">
        <v>296.13</v>
      </c>
      <c r="J27" s="22">
        <v>299.19</v>
      </c>
      <c r="K27" s="23">
        <v>304.39999999999998</v>
      </c>
      <c r="L27" s="22">
        <v>310.24</v>
      </c>
      <c r="M27" s="22">
        <v>327.52</v>
      </c>
      <c r="N27" s="22">
        <v>359.21</v>
      </c>
      <c r="O27" s="22">
        <v>399.63</v>
      </c>
      <c r="P27" s="10"/>
      <c r="Q27" s="10">
        <f>O27-C27</f>
        <v>278.39999999999998</v>
      </c>
      <c r="R27" t="s">
        <v>165</v>
      </c>
    </row>
    <row r="28" spans="1:32" ht="15.75" thickBot="1">
      <c r="A28" s="162"/>
      <c r="B28" s="31" t="s">
        <v>28</v>
      </c>
      <c r="C28" s="99">
        <v>871</v>
      </c>
      <c r="D28" s="25">
        <v>1221</v>
      </c>
      <c r="E28" s="25">
        <v>1540</v>
      </c>
      <c r="F28" s="25">
        <v>1791</v>
      </c>
      <c r="G28" s="25">
        <v>1983</v>
      </c>
      <c r="H28" s="25">
        <v>2101</v>
      </c>
      <c r="I28" s="25">
        <v>2139</v>
      </c>
      <c r="J28" s="25">
        <v>2167</v>
      </c>
      <c r="K28" s="38">
        <v>2253</v>
      </c>
      <c r="L28" s="25">
        <v>2305</v>
      </c>
      <c r="M28" s="25">
        <v>2413</v>
      </c>
      <c r="N28" s="25">
        <v>2606</v>
      </c>
      <c r="O28" s="25">
        <v>2861</v>
      </c>
      <c r="P28" s="10"/>
      <c r="Q28" s="19">
        <f>O28-C28</f>
        <v>1990</v>
      </c>
      <c r="R28" t="s">
        <v>166</v>
      </c>
    </row>
    <row r="29" spans="1:32" ht="15.75" thickBot="1">
      <c r="A29" s="175" t="str">
        <f>'1854'!A29</f>
        <v>Fakturační vodoměr:      42012114941</v>
      </c>
      <c r="B29" s="26"/>
      <c r="C29" s="27">
        <f>'1854'!C29</f>
        <v>1085</v>
      </c>
      <c r="D29" s="27">
        <f>'1854'!D29</f>
        <v>1404.3</v>
      </c>
      <c r="E29" s="27">
        <f>'1854'!E29</f>
        <v>1696</v>
      </c>
      <c r="F29" s="27">
        <f>'1854'!F29</f>
        <v>2013.8</v>
      </c>
      <c r="G29" s="27">
        <f>'1854'!G29</f>
        <v>2336.4</v>
      </c>
      <c r="H29" s="27">
        <f>'1854'!H29</f>
        <v>2664.8</v>
      </c>
      <c r="I29" s="27">
        <f>'1854'!I29</f>
        <v>2958.3</v>
      </c>
      <c r="J29" s="27">
        <f>'1854'!J29</f>
        <v>3200.4</v>
      </c>
      <c r="K29" s="27">
        <f>'1854'!K29</f>
        <v>3449.5</v>
      </c>
      <c r="L29" s="27">
        <f>'1854'!L29</f>
        <v>3713.1</v>
      </c>
      <c r="M29" s="27">
        <f>'1854'!M29</f>
        <v>4002.8</v>
      </c>
      <c r="N29" s="27">
        <f>'1854'!N29</f>
        <v>4300</v>
      </c>
      <c r="O29" s="27">
        <f>'1854'!O29</f>
        <v>4605</v>
      </c>
      <c r="P29" s="10">
        <f>O29-N35+N33-C29</f>
        <v>3520</v>
      </c>
    </row>
    <row r="32" spans="1:32">
      <c r="E32" t="s">
        <v>320</v>
      </c>
      <c r="H32" s="241" t="s">
        <v>321</v>
      </c>
      <c r="I32" s="1" t="s">
        <v>166</v>
      </c>
      <c r="K32" t="s">
        <v>329</v>
      </c>
      <c r="N32" s="1" t="s">
        <v>166</v>
      </c>
    </row>
    <row r="33" spans="4:14">
      <c r="D33" t="s">
        <v>323</v>
      </c>
      <c r="E33" s="226">
        <v>43984</v>
      </c>
      <c r="F33" s="103" t="s">
        <v>300</v>
      </c>
      <c r="G33" s="104"/>
      <c r="H33" s="235"/>
      <c r="I33" s="157"/>
      <c r="K33" s="251">
        <v>44095</v>
      </c>
      <c r="L33" s="246" t="s">
        <v>300</v>
      </c>
      <c r="M33" s="246"/>
      <c r="N33" s="246"/>
    </row>
    <row r="34" spans="4:14">
      <c r="E34" s="236"/>
      <c r="F34" s="237"/>
      <c r="G34" s="238" t="s">
        <v>322</v>
      </c>
      <c r="H34" s="240" t="s">
        <v>165</v>
      </c>
      <c r="I34" s="239" t="s">
        <v>166</v>
      </c>
      <c r="L34" s="1"/>
      <c r="M34" s="238" t="s">
        <v>322</v>
      </c>
      <c r="N34" s="239" t="s">
        <v>166</v>
      </c>
    </row>
    <row r="35" spans="4:14">
      <c r="D35" t="s">
        <v>324</v>
      </c>
      <c r="E35" s="226">
        <v>43986</v>
      </c>
      <c r="F35" s="103" t="s">
        <v>301</v>
      </c>
      <c r="G35" s="104"/>
      <c r="H35" s="235"/>
      <c r="I35" s="157"/>
      <c r="K35" s="251">
        <v>44095</v>
      </c>
      <c r="L35" s="246" t="s">
        <v>301</v>
      </c>
      <c r="M35" s="246"/>
      <c r="N35" s="246"/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1866" priority="1" stopIfTrue="1" operator="lessThan">
      <formula>'1855'!$G$4</formula>
    </cfRule>
    <cfRule type="cellIs" dxfId="1865" priority="2" stopIfTrue="1" operator="equal">
      <formula>'1855'!$G$4</formula>
    </cfRule>
  </conditionalFormatting>
  <conditionalFormatting sqref="G7">
    <cfRule type="cellIs" dxfId="1864" priority="3" stopIfTrue="1" operator="equal">
      <formula>'1855'!$F$7</formula>
    </cfRule>
    <cfRule type="cellIs" dxfId="1863" priority="4" stopIfTrue="1" operator="lessThan">
      <formula>'1855'!$F$7</formula>
    </cfRule>
  </conditionalFormatting>
  <conditionalFormatting sqref="H5">
    <cfRule type="cellIs" dxfId="1862" priority="5" stopIfTrue="1" operator="equal">
      <formula>'1855'!$G$5</formula>
    </cfRule>
    <cfRule type="cellIs" dxfId="1861" priority="6" stopIfTrue="1" operator="lessThan">
      <formula>'1855'!$G$5</formula>
    </cfRule>
  </conditionalFormatting>
  <conditionalFormatting sqref="I5">
    <cfRule type="cellIs" dxfId="1860" priority="7" stopIfTrue="1" operator="equal">
      <formula>'1855'!$H$5</formula>
    </cfRule>
    <cfRule type="cellIs" dxfId="1859" priority="8" stopIfTrue="1" operator="lessThan">
      <formula>'1855'!$H$5</formula>
    </cfRule>
  </conditionalFormatting>
  <conditionalFormatting sqref="J5">
    <cfRule type="cellIs" dxfId="1858" priority="9" stopIfTrue="1" operator="equal">
      <formula>'1855'!$I$5</formula>
    </cfRule>
    <cfRule type="cellIs" dxfId="1857" priority="10" stopIfTrue="1" operator="lessThan">
      <formula>'1855'!$I$5</formula>
    </cfRule>
  </conditionalFormatting>
  <conditionalFormatting sqref="F4">
    <cfRule type="cellIs" dxfId="1856" priority="11" stopIfTrue="1" operator="equal">
      <formula>'1855'!$E$4</formula>
    </cfRule>
    <cfRule type="cellIs" dxfId="1855" priority="12" stopIfTrue="1" operator="lessThan">
      <formula>'1855'!$E$4</formula>
    </cfRule>
  </conditionalFormatting>
  <conditionalFormatting sqref="D4">
    <cfRule type="cellIs" dxfId="1854" priority="13" stopIfTrue="1" operator="lessThan">
      <formula>'1855'!$C$4</formula>
    </cfRule>
    <cfRule type="cellIs" dxfId="1853" priority="14" stopIfTrue="1" operator="equal">
      <formula>'1855'!$C$4</formula>
    </cfRule>
  </conditionalFormatting>
  <conditionalFormatting sqref="E4">
    <cfRule type="cellIs" dxfId="1852" priority="15" stopIfTrue="1" operator="equal">
      <formula>'1855'!$D$4</formula>
    </cfRule>
    <cfRule type="cellIs" dxfId="1851" priority="16" stopIfTrue="1" operator="lessThan">
      <formula>'1855'!$D$4</formula>
    </cfRule>
  </conditionalFormatting>
  <conditionalFormatting sqref="D5">
    <cfRule type="cellIs" dxfId="1850" priority="17" stopIfTrue="1" operator="equal">
      <formula>'1855'!$C$5</formula>
    </cfRule>
    <cfRule type="cellIs" dxfId="1849" priority="18" stopIfTrue="1" operator="lessThan">
      <formula>'1855'!$C$5</formula>
    </cfRule>
  </conditionalFormatting>
  <conditionalFormatting sqref="F5">
    <cfRule type="cellIs" dxfId="1848" priority="19" stopIfTrue="1" operator="equal">
      <formula>'1855'!$E$5</formula>
    </cfRule>
    <cfRule type="cellIs" dxfId="1847" priority="20" stopIfTrue="1" operator="lessThan">
      <formula>'1855'!$E$5</formula>
    </cfRule>
  </conditionalFormatting>
  <conditionalFormatting sqref="I4">
    <cfRule type="cellIs" dxfId="1846" priority="21" stopIfTrue="1" operator="equal">
      <formula>'1855'!$H$4</formula>
    </cfRule>
  </conditionalFormatting>
  <conditionalFormatting sqref="J4">
    <cfRule type="cellIs" dxfId="1845" priority="22" stopIfTrue="1" operator="lessThan">
      <formula>'1855'!$I$4</formula>
    </cfRule>
    <cfRule type="cellIs" dxfId="1844" priority="23" stopIfTrue="1" operator="equal">
      <formula>'1855'!$I$4</formula>
    </cfRule>
  </conditionalFormatting>
  <conditionalFormatting sqref="D6">
    <cfRule type="cellIs" dxfId="1843" priority="24" stopIfTrue="1" operator="equal">
      <formula>'1855'!$C$6</formula>
    </cfRule>
    <cfRule type="cellIs" dxfId="1842" priority="25" stopIfTrue="1" operator="lessThan">
      <formula>'1855'!$C$6</formula>
    </cfRule>
  </conditionalFormatting>
  <conditionalFormatting sqref="E6">
    <cfRule type="cellIs" dxfId="1841" priority="26" stopIfTrue="1" operator="equal">
      <formula>'1855'!$D$6</formula>
    </cfRule>
    <cfRule type="cellIs" dxfId="1840" priority="27" stopIfTrue="1" operator="lessThan">
      <formula>'1855'!$D$6</formula>
    </cfRule>
  </conditionalFormatting>
  <conditionalFormatting sqref="F6">
    <cfRule type="cellIs" dxfId="1839" priority="28" stopIfTrue="1" operator="equal">
      <formula>'1855'!$E$6</formula>
    </cfRule>
    <cfRule type="cellIs" dxfId="1838" priority="29" stopIfTrue="1" operator="lessThan">
      <formula>'1855'!$E$6</formula>
    </cfRule>
  </conditionalFormatting>
  <conditionalFormatting sqref="G6">
    <cfRule type="cellIs" dxfId="1837" priority="30" stopIfTrue="1" operator="equal">
      <formula>'1855'!$F$6</formula>
    </cfRule>
    <cfRule type="cellIs" dxfId="1836" priority="31" stopIfTrue="1" operator="lessThan">
      <formula>'1855'!$F$6</formula>
    </cfRule>
  </conditionalFormatting>
  <conditionalFormatting sqref="H6">
    <cfRule type="cellIs" dxfId="1835" priority="32" stopIfTrue="1" operator="equal">
      <formula>'1855'!$G$6</formula>
    </cfRule>
    <cfRule type="cellIs" dxfId="1834" priority="33" stopIfTrue="1" operator="lessThan">
      <formula>'1855'!$G$6</formula>
    </cfRule>
  </conditionalFormatting>
  <conditionalFormatting sqref="I6">
    <cfRule type="cellIs" dxfId="1833" priority="34" stopIfTrue="1" operator="equal">
      <formula>'1855'!$H$6</formula>
    </cfRule>
    <cfRule type="cellIs" dxfId="1832" priority="35" stopIfTrue="1" operator="lessThan">
      <formula>'1855'!$H$6</formula>
    </cfRule>
  </conditionalFormatting>
  <conditionalFormatting sqref="J6">
    <cfRule type="cellIs" dxfId="1831" priority="36" stopIfTrue="1" operator="equal">
      <formula>'1855'!$I$6</formula>
    </cfRule>
    <cfRule type="cellIs" dxfId="1830" priority="37" stopIfTrue="1" operator="lessThan">
      <formula>'1855'!$I$6</formula>
    </cfRule>
  </conditionalFormatting>
  <conditionalFormatting sqref="D7">
    <cfRule type="cellIs" dxfId="1829" priority="38" stopIfTrue="1" operator="equal">
      <formula>'1855'!$C$7</formula>
    </cfRule>
    <cfRule type="cellIs" dxfId="1828" priority="39" stopIfTrue="1" operator="lessThan">
      <formula>'1855'!$C$7</formula>
    </cfRule>
  </conditionalFormatting>
  <conditionalFormatting sqref="E7">
    <cfRule type="cellIs" dxfId="1827" priority="40" stopIfTrue="1" operator="equal">
      <formula>'1855'!$D$7</formula>
    </cfRule>
    <cfRule type="cellIs" dxfId="1826" priority="41" stopIfTrue="1" operator="lessThan">
      <formula>'1855'!$D$7</formula>
    </cfRule>
  </conditionalFormatting>
  <conditionalFormatting sqref="F7">
    <cfRule type="cellIs" dxfId="1825" priority="42" stopIfTrue="1" operator="equal">
      <formula>'1855'!$E$7</formula>
    </cfRule>
    <cfRule type="cellIs" dxfId="1824" priority="43" stopIfTrue="1" operator="lessThan">
      <formula>'1855'!$E$7</formula>
    </cfRule>
  </conditionalFormatting>
  <conditionalFormatting sqref="H7">
    <cfRule type="cellIs" dxfId="1823" priority="44" stopIfTrue="1" operator="equal">
      <formula>'1855'!$G$7</formula>
    </cfRule>
    <cfRule type="cellIs" dxfId="1822" priority="45" stopIfTrue="1" operator="lessThan">
      <formula>'1855'!$G$7</formula>
    </cfRule>
  </conditionalFormatting>
  <conditionalFormatting sqref="I7">
    <cfRule type="cellIs" dxfId="1821" priority="46" stopIfTrue="1" operator="equal">
      <formula>'1855'!$H$7</formula>
    </cfRule>
    <cfRule type="cellIs" dxfId="1820" priority="47" stopIfTrue="1" operator="lessThan">
      <formula>'1855'!$H$7</formula>
    </cfRule>
  </conditionalFormatting>
  <conditionalFormatting sqref="J7">
    <cfRule type="cellIs" dxfId="1819" priority="48" stopIfTrue="1" operator="equal">
      <formula>'1855'!$I$7</formula>
    </cfRule>
    <cfRule type="cellIs" dxfId="1818" priority="49" stopIfTrue="1" operator="lessThan">
      <formula>'1855'!$I$7</formula>
    </cfRule>
  </conditionalFormatting>
  <conditionalFormatting sqref="D8">
    <cfRule type="cellIs" dxfId="1817" priority="50" stopIfTrue="1" operator="equal">
      <formula>'1855'!$C$8</formula>
    </cfRule>
    <cfRule type="cellIs" dxfId="1816" priority="51" stopIfTrue="1" operator="lessThan">
      <formula>'1855'!$C$8</formula>
    </cfRule>
  </conditionalFormatting>
  <conditionalFormatting sqref="E8">
    <cfRule type="cellIs" dxfId="1815" priority="52" stopIfTrue="1" operator="equal">
      <formula>'1855'!$D$8</formula>
    </cfRule>
    <cfRule type="cellIs" dxfId="1814" priority="53" stopIfTrue="1" operator="lessThan">
      <formula>'1855'!$D$8</formula>
    </cfRule>
  </conditionalFormatting>
  <conditionalFormatting sqref="F8">
    <cfRule type="cellIs" dxfId="1813" priority="54" stopIfTrue="1" operator="equal">
      <formula>'1855'!$E$8</formula>
    </cfRule>
    <cfRule type="cellIs" dxfId="1812" priority="55" stopIfTrue="1" operator="lessThan">
      <formula>'1855'!$E$8</formula>
    </cfRule>
  </conditionalFormatting>
  <conditionalFormatting sqref="G8">
    <cfRule type="cellIs" dxfId="1811" priority="56" stopIfTrue="1" operator="equal">
      <formula>'1855'!$F$8</formula>
    </cfRule>
    <cfRule type="cellIs" dxfId="1810" priority="57" stopIfTrue="1" operator="lessThan">
      <formula>'1855'!$F$8</formula>
    </cfRule>
  </conditionalFormatting>
  <conditionalFormatting sqref="H8">
    <cfRule type="cellIs" dxfId="1809" priority="58" stopIfTrue="1" operator="equal">
      <formula>'1855'!$G$8</formula>
    </cfRule>
    <cfRule type="cellIs" dxfId="1808" priority="59" stopIfTrue="1" operator="lessThan">
      <formula>'1855'!$G$8</formula>
    </cfRule>
  </conditionalFormatting>
  <conditionalFormatting sqref="I8">
    <cfRule type="cellIs" dxfId="1807" priority="60" stopIfTrue="1" operator="equal">
      <formula>'1855'!$H$8</formula>
    </cfRule>
    <cfRule type="cellIs" dxfId="1806" priority="61" stopIfTrue="1" operator="lessThan">
      <formula>'1855'!$H$8</formula>
    </cfRule>
  </conditionalFormatting>
  <conditionalFormatting sqref="J8">
    <cfRule type="cellIs" dxfId="1805" priority="62" stopIfTrue="1" operator="equal">
      <formula>'1855'!$I$8</formula>
    </cfRule>
    <cfRule type="cellIs" dxfId="1804" priority="63" stopIfTrue="1" operator="lessThan">
      <formula>'1855'!$I$8</formula>
    </cfRule>
  </conditionalFormatting>
  <conditionalFormatting sqref="D9">
    <cfRule type="cellIs" dxfId="1803" priority="64" stopIfTrue="1" operator="equal">
      <formula>'1855'!$C$9</formula>
    </cfRule>
    <cfRule type="cellIs" dxfId="1802" priority="65" stopIfTrue="1" operator="lessThan">
      <formula>'1855'!$C$9</formula>
    </cfRule>
  </conditionalFormatting>
  <conditionalFormatting sqref="E9">
    <cfRule type="cellIs" dxfId="1801" priority="66" stopIfTrue="1" operator="equal">
      <formula>'1855'!$D$9</formula>
    </cfRule>
    <cfRule type="cellIs" dxfId="1800" priority="67" stopIfTrue="1" operator="lessThan">
      <formula>'1855'!$D$9</formula>
    </cfRule>
  </conditionalFormatting>
  <conditionalFormatting sqref="F9">
    <cfRule type="cellIs" dxfId="1799" priority="68" stopIfTrue="1" operator="equal">
      <formula>'1855'!$E$9</formula>
    </cfRule>
    <cfRule type="cellIs" dxfId="1798" priority="69" stopIfTrue="1" operator="lessThan">
      <formula>'1855'!$E$9</formula>
    </cfRule>
  </conditionalFormatting>
  <conditionalFormatting sqref="G9">
    <cfRule type="cellIs" dxfId="1797" priority="70" stopIfTrue="1" operator="equal">
      <formula>'1855'!$F$9</formula>
    </cfRule>
    <cfRule type="cellIs" dxfId="1796" priority="71" stopIfTrue="1" operator="lessThan">
      <formula>'1855'!$F$9</formula>
    </cfRule>
  </conditionalFormatting>
  <conditionalFormatting sqref="H9">
    <cfRule type="cellIs" dxfId="1795" priority="72" stopIfTrue="1" operator="equal">
      <formula>'1855'!$G$9</formula>
    </cfRule>
    <cfRule type="cellIs" dxfId="1794" priority="73" stopIfTrue="1" operator="lessThan">
      <formula>'1855'!$G$9</formula>
    </cfRule>
  </conditionalFormatting>
  <conditionalFormatting sqref="I9">
    <cfRule type="cellIs" dxfId="1793" priority="74" stopIfTrue="1" operator="equal">
      <formula>'1855'!$H$9</formula>
    </cfRule>
    <cfRule type="cellIs" dxfId="1792" priority="75" stopIfTrue="1" operator="lessThan">
      <formula>'1855'!$H$9</formula>
    </cfRule>
  </conditionalFormatting>
  <conditionalFormatting sqref="J9">
    <cfRule type="cellIs" dxfId="1791" priority="76" stopIfTrue="1" operator="equal">
      <formula>'1855'!$I$9</formula>
    </cfRule>
    <cfRule type="cellIs" dxfId="1790" priority="77" stopIfTrue="1" operator="lessThan">
      <formula>'1855'!$I$9</formula>
    </cfRule>
  </conditionalFormatting>
  <conditionalFormatting sqref="D10">
    <cfRule type="cellIs" dxfId="1789" priority="78" stopIfTrue="1" operator="equal">
      <formula>'1855'!$C$10</formula>
    </cfRule>
    <cfRule type="cellIs" dxfId="1788" priority="79" stopIfTrue="1" operator="lessThan">
      <formula>'1855'!$C$10</formula>
    </cfRule>
  </conditionalFormatting>
  <conditionalFormatting sqref="E10">
    <cfRule type="cellIs" dxfId="1787" priority="80" stopIfTrue="1" operator="equal">
      <formula>'1855'!$D$10</formula>
    </cfRule>
    <cfRule type="cellIs" dxfId="1786" priority="81" stopIfTrue="1" operator="lessThan">
      <formula>'1855'!$D$10</formula>
    </cfRule>
  </conditionalFormatting>
  <conditionalFormatting sqref="F10">
    <cfRule type="cellIs" dxfId="1785" priority="82" stopIfTrue="1" operator="equal">
      <formula>'1855'!$E$10</formula>
    </cfRule>
    <cfRule type="cellIs" dxfId="1784" priority="83" stopIfTrue="1" operator="lessThan">
      <formula>'1855'!$E$10</formula>
    </cfRule>
  </conditionalFormatting>
  <conditionalFormatting sqref="G10">
    <cfRule type="cellIs" dxfId="1783" priority="84" stopIfTrue="1" operator="equal">
      <formula>'1855'!$F$10</formula>
    </cfRule>
    <cfRule type="cellIs" dxfId="1782" priority="85" stopIfTrue="1" operator="lessThan">
      <formula>'1855'!$F$10</formula>
    </cfRule>
  </conditionalFormatting>
  <conditionalFormatting sqref="H10">
    <cfRule type="cellIs" dxfId="1781" priority="86" stopIfTrue="1" operator="equal">
      <formula>'1855'!$G$10</formula>
    </cfRule>
    <cfRule type="cellIs" dxfId="1780" priority="87" stopIfTrue="1" operator="lessThan">
      <formula>'1855'!$G$10</formula>
    </cfRule>
  </conditionalFormatting>
  <conditionalFormatting sqref="I10">
    <cfRule type="cellIs" dxfId="1779" priority="88" stopIfTrue="1" operator="equal">
      <formula>'1855'!$H$10</formula>
    </cfRule>
    <cfRule type="cellIs" dxfId="1778" priority="89" stopIfTrue="1" operator="lessThan">
      <formula>'1855'!$H$10</formula>
    </cfRule>
  </conditionalFormatting>
  <conditionalFormatting sqref="J10">
    <cfRule type="cellIs" dxfId="1777" priority="90" stopIfTrue="1" operator="equal">
      <formula>'1855'!$I$10</formula>
    </cfRule>
    <cfRule type="cellIs" dxfId="1776" priority="91" stopIfTrue="1" operator="lessThan">
      <formula>'1855'!$I$10</formula>
    </cfRule>
  </conditionalFormatting>
  <conditionalFormatting sqref="D11">
    <cfRule type="cellIs" dxfId="1775" priority="92" stopIfTrue="1" operator="equal">
      <formula>'1855'!$C$11</formula>
    </cfRule>
    <cfRule type="cellIs" dxfId="1774" priority="93" stopIfTrue="1" operator="lessThan">
      <formula>'1855'!$C$11</formula>
    </cfRule>
  </conditionalFormatting>
  <conditionalFormatting sqref="E11">
    <cfRule type="cellIs" dxfId="1773" priority="94" stopIfTrue="1" operator="equal">
      <formula>'1855'!$D$11</formula>
    </cfRule>
    <cfRule type="cellIs" dxfId="1772" priority="95" stopIfTrue="1" operator="lessThan">
      <formula>'1855'!$D$11</formula>
    </cfRule>
  </conditionalFormatting>
  <conditionalFormatting sqref="F11">
    <cfRule type="cellIs" dxfId="1771" priority="96" stopIfTrue="1" operator="equal">
      <formula>'1855'!$E$11</formula>
    </cfRule>
    <cfRule type="cellIs" dxfId="1770" priority="97" stopIfTrue="1" operator="lessThan">
      <formula>'1855'!$E$11</formula>
    </cfRule>
  </conditionalFormatting>
  <conditionalFormatting sqref="G11">
    <cfRule type="cellIs" dxfId="1769" priority="98" stopIfTrue="1" operator="equal">
      <formula>'1855'!$F$11</formula>
    </cfRule>
    <cfRule type="cellIs" dxfId="1768" priority="99" stopIfTrue="1" operator="lessThan">
      <formula>'1855'!$F$11</formula>
    </cfRule>
  </conditionalFormatting>
  <conditionalFormatting sqref="H11">
    <cfRule type="cellIs" dxfId="1767" priority="100" stopIfTrue="1" operator="equal">
      <formula>'1855'!$G$11</formula>
    </cfRule>
    <cfRule type="cellIs" dxfId="1766" priority="101" stopIfTrue="1" operator="lessThan">
      <formula>'1855'!$G$11</formula>
    </cfRule>
  </conditionalFormatting>
  <conditionalFormatting sqref="I11">
    <cfRule type="cellIs" dxfId="1765" priority="102" stopIfTrue="1" operator="equal">
      <formula>'1855'!$H$11</formula>
    </cfRule>
    <cfRule type="cellIs" dxfId="1764" priority="103" stopIfTrue="1" operator="lessThan">
      <formula>'1855'!$H$11</formula>
    </cfRule>
  </conditionalFormatting>
  <conditionalFormatting sqref="J11">
    <cfRule type="cellIs" dxfId="1763" priority="104" stopIfTrue="1" operator="equal">
      <formula>'1855'!$I$11</formula>
    </cfRule>
    <cfRule type="cellIs" dxfId="1762" priority="105" stopIfTrue="1" operator="lessThan">
      <formula>'1855'!$I$11</formula>
    </cfRule>
  </conditionalFormatting>
  <conditionalFormatting sqref="D12">
    <cfRule type="cellIs" dxfId="1761" priority="106" stopIfTrue="1" operator="equal">
      <formula>'1855'!$C$12</formula>
    </cfRule>
    <cfRule type="cellIs" dxfId="1760" priority="107" stopIfTrue="1" operator="lessThan">
      <formula>'1855'!$C$12</formula>
    </cfRule>
  </conditionalFormatting>
  <conditionalFormatting sqref="E12">
    <cfRule type="cellIs" dxfId="1759" priority="108" stopIfTrue="1" operator="equal">
      <formula>'1855'!$D$12</formula>
    </cfRule>
    <cfRule type="cellIs" dxfId="1758" priority="109" stopIfTrue="1" operator="lessThan">
      <formula>'1855'!$D$12</formula>
    </cfRule>
  </conditionalFormatting>
  <conditionalFormatting sqref="F12">
    <cfRule type="cellIs" dxfId="1757" priority="110" stopIfTrue="1" operator="equal">
      <formula>'1855'!$E$12</formula>
    </cfRule>
    <cfRule type="cellIs" dxfId="1756" priority="111" stopIfTrue="1" operator="lessThan">
      <formula>'1855'!$E$12</formula>
    </cfRule>
  </conditionalFormatting>
  <conditionalFormatting sqref="G12">
    <cfRule type="cellIs" dxfId="1755" priority="112" stopIfTrue="1" operator="equal">
      <formula>'1855'!$F$12</formula>
    </cfRule>
    <cfRule type="cellIs" dxfId="1754" priority="113" stopIfTrue="1" operator="lessThan">
      <formula>'1855'!$F$12</formula>
    </cfRule>
  </conditionalFormatting>
  <conditionalFormatting sqref="H12">
    <cfRule type="cellIs" dxfId="1753" priority="114" stopIfTrue="1" operator="equal">
      <formula>'1855'!$G$12</formula>
    </cfRule>
    <cfRule type="cellIs" dxfId="1752" priority="115" stopIfTrue="1" operator="lessThan">
      <formula>'1855'!$G$12</formula>
    </cfRule>
  </conditionalFormatting>
  <conditionalFormatting sqref="I12">
    <cfRule type="cellIs" dxfId="1751" priority="116" stopIfTrue="1" operator="equal">
      <formula>'1855'!$H$12</formula>
    </cfRule>
    <cfRule type="cellIs" dxfId="1750" priority="117" stopIfTrue="1" operator="lessThan">
      <formula>'1855'!$H$12</formula>
    </cfRule>
  </conditionalFormatting>
  <conditionalFormatting sqref="J12">
    <cfRule type="cellIs" dxfId="1749" priority="118" stopIfTrue="1" operator="equal">
      <formula>'1855'!$I$12</formula>
    </cfRule>
    <cfRule type="cellIs" dxfId="1748" priority="119" stopIfTrue="1" operator="lessThan">
      <formula>'1855'!$I$12</formula>
    </cfRule>
  </conditionalFormatting>
  <conditionalFormatting sqref="D14">
    <cfRule type="cellIs" dxfId="1747" priority="120" stopIfTrue="1" operator="equal">
      <formula>'1855'!$C$14</formula>
    </cfRule>
    <cfRule type="cellIs" dxfId="1746" priority="121" stopIfTrue="1" operator="lessThan">
      <formula>'1855'!$C$14</formula>
    </cfRule>
  </conditionalFormatting>
  <conditionalFormatting sqref="D15">
    <cfRule type="cellIs" dxfId="1745" priority="122" stopIfTrue="1" operator="equal">
      <formula>'1855'!$C$15</formula>
    </cfRule>
    <cfRule type="cellIs" dxfId="1744" priority="123" stopIfTrue="1" operator="lessThan">
      <formula>'1855'!$C$15</formula>
    </cfRule>
  </conditionalFormatting>
  <conditionalFormatting sqref="D16">
    <cfRule type="cellIs" dxfId="1743" priority="124" stopIfTrue="1" operator="equal">
      <formula>'1855'!$C$16</formula>
    </cfRule>
    <cfRule type="cellIs" dxfId="1742" priority="125" stopIfTrue="1" operator="lessThan">
      <formula>'1855'!$C$16</formula>
    </cfRule>
  </conditionalFormatting>
  <conditionalFormatting sqref="D17">
    <cfRule type="cellIs" dxfId="1741" priority="126" stopIfTrue="1" operator="equal">
      <formula>'1855'!$C$17</formula>
    </cfRule>
    <cfRule type="cellIs" dxfId="1740" priority="127" stopIfTrue="1" operator="lessThan">
      <formula>'1855'!$C$17</formula>
    </cfRule>
  </conditionalFormatting>
  <conditionalFormatting sqref="D18">
    <cfRule type="cellIs" dxfId="1739" priority="128" stopIfTrue="1" operator="equal">
      <formula>'1855'!$C$18</formula>
    </cfRule>
    <cfRule type="cellIs" dxfId="1738" priority="129" stopIfTrue="1" operator="lessThan">
      <formula>'1855'!$C$18</formula>
    </cfRule>
  </conditionalFormatting>
  <conditionalFormatting sqref="D19">
    <cfRule type="cellIs" dxfId="1737" priority="130" stopIfTrue="1" operator="equal">
      <formula>'1855'!$C$19</formula>
    </cfRule>
    <cfRule type="cellIs" dxfId="1736" priority="131" stopIfTrue="1" operator="lessThan">
      <formula>'1855'!$C$19</formula>
    </cfRule>
  </conditionalFormatting>
  <conditionalFormatting sqref="D20">
    <cfRule type="cellIs" dxfId="1735" priority="132" stopIfTrue="1" operator="equal">
      <formula>'1855'!$C$20</formula>
    </cfRule>
    <cfRule type="cellIs" dxfId="1734" priority="133" stopIfTrue="1" operator="lessThan">
      <formula>'1855'!$C$20</formula>
    </cfRule>
  </conditionalFormatting>
  <conditionalFormatting sqref="D21">
    <cfRule type="cellIs" dxfId="1733" priority="134" stopIfTrue="1" operator="equal">
      <formula>'1855'!$C$21</formula>
    </cfRule>
    <cfRule type="cellIs" dxfId="1732" priority="135" stopIfTrue="1" operator="lessThan">
      <formula>'1855'!$C$21</formula>
    </cfRule>
  </conditionalFormatting>
  <conditionalFormatting sqref="D22">
    <cfRule type="cellIs" dxfId="1731" priority="136" stopIfTrue="1" operator="equal">
      <formula>'1855'!$C$22</formula>
    </cfRule>
    <cfRule type="cellIs" dxfId="1730" priority="137" stopIfTrue="1" operator="lessThan">
      <formula>'1855'!$C$22</formula>
    </cfRule>
  </conditionalFormatting>
  <conditionalFormatting sqref="D23">
    <cfRule type="cellIs" dxfId="1729" priority="138" stopIfTrue="1" operator="equal">
      <formula>'1855'!$C$23</formula>
    </cfRule>
    <cfRule type="cellIs" dxfId="1728" priority="139" stopIfTrue="1" operator="lessThan">
      <formula>'1855'!$C$23</formula>
    </cfRule>
  </conditionalFormatting>
  <conditionalFormatting sqref="D25">
    <cfRule type="cellIs" dxfId="1727" priority="140" stopIfTrue="1" operator="equal">
      <formula>'1855'!$C$25</formula>
    </cfRule>
    <cfRule type="cellIs" dxfId="1726" priority="141" stopIfTrue="1" operator="lessThan">
      <formula>'1855'!$C$25</formula>
    </cfRule>
  </conditionalFormatting>
  <conditionalFormatting sqref="D26">
    <cfRule type="cellIs" dxfId="1725" priority="142" stopIfTrue="1" operator="equal">
      <formula>'1855'!$C$26</formula>
    </cfRule>
    <cfRule type="cellIs" dxfId="1724" priority="143" stopIfTrue="1" operator="lessThan">
      <formula>'1855'!$C$26</formula>
    </cfRule>
  </conditionalFormatting>
  <conditionalFormatting sqref="D27">
    <cfRule type="cellIs" dxfId="1723" priority="144" stopIfTrue="1" operator="equal">
      <formula>'1855'!$C$27</formula>
    </cfRule>
    <cfRule type="cellIs" dxfId="1722" priority="145" stopIfTrue="1" operator="lessThan">
      <formula>'1855'!$C$27</formula>
    </cfRule>
  </conditionalFormatting>
  <conditionalFormatting sqref="D28">
    <cfRule type="cellIs" dxfId="1721" priority="146" stopIfTrue="1" operator="equal">
      <formula>'1855'!$C$28</formula>
    </cfRule>
    <cfRule type="cellIs" dxfId="1720" priority="147" stopIfTrue="1" operator="lessThan">
      <formula>'1855'!$C$28</formula>
    </cfRule>
  </conditionalFormatting>
  <conditionalFormatting sqref="E13">
    <cfRule type="cellIs" dxfId="1719" priority="148" stopIfTrue="1" operator="equal">
      <formula>'1855'!$D$13</formula>
    </cfRule>
    <cfRule type="cellIs" dxfId="1718" priority="149" stopIfTrue="1" operator="lessThan">
      <formula>'1855'!$D$13</formula>
    </cfRule>
  </conditionalFormatting>
  <conditionalFormatting sqref="E14">
    <cfRule type="cellIs" dxfId="1717" priority="150" stopIfTrue="1" operator="equal">
      <formula>'1855'!$D$14</formula>
    </cfRule>
    <cfRule type="cellIs" dxfId="1716" priority="151" stopIfTrue="1" operator="lessThan">
      <formula>'1855'!$D$14</formula>
    </cfRule>
  </conditionalFormatting>
  <conditionalFormatting sqref="E15">
    <cfRule type="cellIs" dxfId="1715" priority="152" stopIfTrue="1" operator="equal">
      <formula>'1855'!$D$15</formula>
    </cfRule>
    <cfRule type="cellIs" dxfId="1714" priority="153" stopIfTrue="1" operator="lessThan">
      <formula>'1855'!$D$15</formula>
    </cfRule>
  </conditionalFormatting>
  <conditionalFormatting sqref="E16">
    <cfRule type="cellIs" dxfId="1713" priority="154" stopIfTrue="1" operator="equal">
      <formula>'1855'!$D$16</formula>
    </cfRule>
    <cfRule type="cellIs" dxfId="1712" priority="155" stopIfTrue="1" operator="lessThan">
      <formula>'1855'!$D$16</formula>
    </cfRule>
  </conditionalFormatting>
  <conditionalFormatting sqref="E17">
    <cfRule type="cellIs" dxfId="1711" priority="156" stopIfTrue="1" operator="equal">
      <formula>'1855'!$D$17</formula>
    </cfRule>
    <cfRule type="cellIs" dxfId="1710" priority="157" stopIfTrue="1" operator="lessThan">
      <formula>'1855'!$D$17</formula>
    </cfRule>
  </conditionalFormatting>
  <conditionalFormatting sqref="E18">
    <cfRule type="cellIs" dxfId="1709" priority="158" stopIfTrue="1" operator="equal">
      <formula>'1855'!$D$18</formula>
    </cfRule>
    <cfRule type="cellIs" dxfId="1708" priority="159" stopIfTrue="1" operator="lessThan">
      <formula>'1855'!$D$18</formula>
    </cfRule>
  </conditionalFormatting>
  <conditionalFormatting sqref="E19">
    <cfRule type="cellIs" dxfId="1707" priority="160" stopIfTrue="1" operator="equal">
      <formula>'1855'!$D$19</formula>
    </cfRule>
    <cfRule type="cellIs" dxfId="1706" priority="161" stopIfTrue="1" operator="lessThan">
      <formula>'1855'!$D$19</formula>
    </cfRule>
  </conditionalFormatting>
  <conditionalFormatting sqref="E20">
    <cfRule type="cellIs" dxfId="1705" priority="162" stopIfTrue="1" operator="equal">
      <formula>'1855'!$D$20</formula>
    </cfRule>
    <cfRule type="cellIs" dxfId="1704" priority="163" stopIfTrue="1" operator="lessThan">
      <formula>'1855'!$D$20</formula>
    </cfRule>
  </conditionalFormatting>
  <conditionalFormatting sqref="E21">
    <cfRule type="cellIs" dxfId="1703" priority="164" stopIfTrue="1" operator="equal">
      <formula>'1855'!$D$21</formula>
    </cfRule>
    <cfRule type="cellIs" dxfId="1702" priority="165" stopIfTrue="1" operator="lessThan">
      <formula>'1855'!$D$21</formula>
    </cfRule>
  </conditionalFormatting>
  <conditionalFormatting sqref="E22">
    <cfRule type="cellIs" dxfId="1701" priority="166" stopIfTrue="1" operator="equal">
      <formula>'1855'!$D$22</formula>
    </cfRule>
    <cfRule type="cellIs" dxfId="1700" priority="167" stopIfTrue="1" operator="lessThan">
      <formula>'1855'!$D$22</formula>
    </cfRule>
  </conditionalFormatting>
  <conditionalFormatting sqref="E23">
    <cfRule type="cellIs" dxfId="1699" priority="168" stopIfTrue="1" operator="equal">
      <formula>'1855'!$D$23</formula>
    </cfRule>
    <cfRule type="cellIs" dxfId="1698" priority="169" stopIfTrue="1" operator="lessThan">
      <formula>'1855'!$D$23</formula>
    </cfRule>
  </conditionalFormatting>
  <conditionalFormatting sqref="E25">
    <cfRule type="cellIs" dxfId="1697" priority="170" stopIfTrue="1" operator="equal">
      <formula>'1855'!$D$25</formula>
    </cfRule>
    <cfRule type="cellIs" dxfId="1696" priority="171" stopIfTrue="1" operator="lessThan">
      <formula>'1855'!$D$25</formula>
    </cfRule>
  </conditionalFormatting>
  <conditionalFormatting sqref="E26">
    <cfRule type="cellIs" dxfId="1695" priority="172" stopIfTrue="1" operator="equal">
      <formula>'1855'!$D$26</formula>
    </cfRule>
    <cfRule type="cellIs" dxfId="1694" priority="173" stopIfTrue="1" operator="lessThan">
      <formula>'1855'!$D$26</formula>
    </cfRule>
  </conditionalFormatting>
  <conditionalFormatting sqref="E27">
    <cfRule type="cellIs" dxfId="1693" priority="174" stopIfTrue="1" operator="equal">
      <formula>'1855'!$D$27</formula>
    </cfRule>
    <cfRule type="cellIs" dxfId="1692" priority="175" stopIfTrue="1" operator="lessThan">
      <formula>'1855'!$D$27</formula>
    </cfRule>
  </conditionalFormatting>
  <conditionalFormatting sqref="E28">
    <cfRule type="cellIs" dxfId="1691" priority="176" stopIfTrue="1" operator="equal">
      <formula>'1855'!$D$28</formula>
    </cfRule>
    <cfRule type="cellIs" dxfId="1690" priority="177" stopIfTrue="1" operator="lessThan">
      <formula>'1855'!$D$28</formula>
    </cfRule>
  </conditionalFormatting>
  <conditionalFormatting sqref="F13">
    <cfRule type="cellIs" dxfId="1689" priority="178" stopIfTrue="1" operator="equal">
      <formula>'1855'!$E$13</formula>
    </cfRule>
    <cfRule type="cellIs" dxfId="1688" priority="179" stopIfTrue="1" operator="lessThan">
      <formula>'1855'!$E$13</formula>
    </cfRule>
  </conditionalFormatting>
  <conditionalFormatting sqref="F14">
    <cfRule type="cellIs" dxfId="1687" priority="180" stopIfTrue="1" operator="equal">
      <formula>'1855'!$E$14</formula>
    </cfRule>
    <cfRule type="cellIs" dxfId="1686" priority="181" stopIfTrue="1" operator="lessThan">
      <formula>'1855'!$E$14</formula>
    </cfRule>
  </conditionalFormatting>
  <conditionalFormatting sqref="F15">
    <cfRule type="cellIs" dxfId="1685" priority="182" stopIfTrue="1" operator="equal">
      <formula>'1855'!$E$15</formula>
    </cfRule>
    <cfRule type="cellIs" dxfId="1684" priority="183" stopIfTrue="1" operator="lessThan">
      <formula>'1855'!$E$15</formula>
    </cfRule>
  </conditionalFormatting>
  <conditionalFormatting sqref="F16">
    <cfRule type="cellIs" dxfId="1683" priority="184" stopIfTrue="1" operator="equal">
      <formula>'1855'!$E$16</formula>
    </cfRule>
    <cfRule type="cellIs" dxfId="1682" priority="185" stopIfTrue="1" operator="lessThan">
      <formula>'1855'!$E$16</formula>
    </cfRule>
  </conditionalFormatting>
  <conditionalFormatting sqref="F17">
    <cfRule type="cellIs" dxfId="1681" priority="186" stopIfTrue="1" operator="equal">
      <formula>'1855'!$E$17</formula>
    </cfRule>
    <cfRule type="cellIs" dxfId="1680" priority="187" stopIfTrue="1" operator="lessThan">
      <formula>'1855'!$E$17</formula>
    </cfRule>
  </conditionalFormatting>
  <conditionalFormatting sqref="F18">
    <cfRule type="cellIs" dxfId="1679" priority="188" stopIfTrue="1" operator="equal">
      <formula>'1855'!$E$18</formula>
    </cfRule>
    <cfRule type="cellIs" dxfId="1678" priority="189" stopIfTrue="1" operator="lessThan">
      <formula>'1855'!$E$18</formula>
    </cfRule>
  </conditionalFormatting>
  <conditionalFormatting sqref="F19">
    <cfRule type="cellIs" dxfId="1677" priority="190" stopIfTrue="1" operator="equal">
      <formula>'1855'!$E$19</formula>
    </cfRule>
    <cfRule type="cellIs" dxfId="1676" priority="191" stopIfTrue="1" operator="lessThan">
      <formula>'1855'!$E$19</formula>
    </cfRule>
  </conditionalFormatting>
  <conditionalFormatting sqref="F20">
    <cfRule type="cellIs" dxfId="1675" priority="192" stopIfTrue="1" operator="equal">
      <formula>'1855'!$E$20</formula>
    </cfRule>
    <cfRule type="cellIs" dxfId="1674" priority="193" stopIfTrue="1" operator="lessThan">
      <formula>'1855'!$E$20</formula>
    </cfRule>
  </conditionalFormatting>
  <conditionalFormatting sqref="F21">
    <cfRule type="cellIs" dxfId="1673" priority="194" stopIfTrue="1" operator="equal">
      <formula>'1855'!$E$21</formula>
    </cfRule>
    <cfRule type="cellIs" dxfId="1672" priority="195" stopIfTrue="1" operator="lessThan">
      <formula>'1855'!$E$21</formula>
    </cfRule>
  </conditionalFormatting>
  <conditionalFormatting sqref="F22">
    <cfRule type="cellIs" dxfId="1671" priority="196" stopIfTrue="1" operator="equal">
      <formula>'1855'!$E$22</formula>
    </cfRule>
    <cfRule type="cellIs" dxfId="1670" priority="197" stopIfTrue="1" operator="lessThan">
      <formula>'1855'!$E$22</formula>
    </cfRule>
  </conditionalFormatting>
  <conditionalFormatting sqref="F23">
    <cfRule type="cellIs" dxfId="1669" priority="198" stopIfTrue="1" operator="equal">
      <formula>'1855'!$E$23</formula>
    </cfRule>
    <cfRule type="cellIs" dxfId="1668" priority="199" stopIfTrue="1" operator="lessThan">
      <formula>'1855'!$E$23</formula>
    </cfRule>
  </conditionalFormatting>
  <conditionalFormatting sqref="F25">
    <cfRule type="cellIs" dxfId="1667" priority="200" stopIfTrue="1" operator="equal">
      <formula>'1855'!$E$25</formula>
    </cfRule>
    <cfRule type="cellIs" dxfId="1666" priority="201" stopIfTrue="1" operator="lessThan">
      <formula>'1855'!$E$25</formula>
    </cfRule>
  </conditionalFormatting>
  <conditionalFormatting sqref="F26">
    <cfRule type="cellIs" dxfId="1665" priority="202" stopIfTrue="1" operator="equal">
      <formula>'1855'!$E$26</formula>
    </cfRule>
    <cfRule type="cellIs" dxfId="1664" priority="203" stopIfTrue="1" operator="lessThan">
      <formula>'1855'!$E$26</formula>
    </cfRule>
  </conditionalFormatting>
  <conditionalFormatting sqref="F27">
    <cfRule type="cellIs" dxfId="1663" priority="204" stopIfTrue="1" operator="equal">
      <formula>'1855'!$E$27</formula>
    </cfRule>
    <cfRule type="cellIs" dxfId="1662" priority="205" stopIfTrue="1" operator="lessThan">
      <formula>'1855'!$E$27</formula>
    </cfRule>
  </conditionalFormatting>
  <conditionalFormatting sqref="F28">
    <cfRule type="cellIs" dxfId="1661" priority="206" stopIfTrue="1" operator="equal">
      <formula>'1855'!$E$28</formula>
    </cfRule>
    <cfRule type="cellIs" dxfId="1660" priority="207" stopIfTrue="1" operator="lessThan">
      <formula>'1855'!$E$28</formula>
    </cfRule>
  </conditionalFormatting>
  <conditionalFormatting sqref="G13">
    <cfRule type="cellIs" dxfId="1659" priority="208" stopIfTrue="1" operator="equal">
      <formula>'1855'!$F$13</formula>
    </cfRule>
    <cfRule type="cellIs" dxfId="1658" priority="209" stopIfTrue="1" operator="lessThan">
      <formula>'1855'!$F$13</formula>
    </cfRule>
  </conditionalFormatting>
  <conditionalFormatting sqref="G14">
    <cfRule type="cellIs" dxfId="1657" priority="210" stopIfTrue="1" operator="equal">
      <formula>'1855'!$F$14</formula>
    </cfRule>
    <cfRule type="cellIs" dxfId="1656" priority="211" stopIfTrue="1" operator="lessThan">
      <formula>'1855'!$F$14</formula>
    </cfRule>
  </conditionalFormatting>
  <conditionalFormatting sqref="G15">
    <cfRule type="cellIs" dxfId="1655" priority="212" stopIfTrue="1" operator="equal">
      <formula>'1855'!$F$15</formula>
    </cfRule>
    <cfRule type="cellIs" dxfId="1654" priority="213" stopIfTrue="1" operator="lessThan">
      <formula>'1855'!$F$15</formula>
    </cfRule>
  </conditionalFormatting>
  <conditionalFormatting sqref="G16">
    <cfRule type="cellIs" dxfId="1653" priority="214" stopIfTrue="1" operator="equal">
      <formula>'1855'!$F$16</formula>
    </cfRule>
    <cfRule type="cellIs" dxfId="1652" priority="215" stopIfTrue="1" operator="lessThan">
      <formula>'1855'!$F$16</formula>
    </cfRule>
  </conditionalFormatting>
  <conditionalFormatting sqref="G17">
    <cfRule type="cellIs" dxfId="1651" priority="216" stopIfTrue="1" operator="equal">
      <formula>'1855'!$F$17</formula>
    </cfRule>
    <cfRule type="cellIs" dxfId="1650" priority="217" stopIfTrue="1" operator="lessThan">
      <formula>'1855'!$F$17</formula>
    </cfRule>
  </conditionalFormatting>
  <conditionalFormatting sqref="G18">
    <cfRule type="cellIs" dxfId="1649" priority="218" stopIfTrue="1" operator="equal">
      <formula>'1855'!$F$18</formula>
    </cfRule>
    <cfRule type="cellIs" dxfId="1648" priority="219" stopIfTrue="1" operator="lessThan">
      <formula>'1855'!$F$18</formula>
    </cfRule>
  </conditionalFormatting>
  <conditionalFormatting sqref="G19">
    <cfRule type="cellIs" dxfId="1647" priority="220" stopIfTrue="1" operator="equal">
      <formula>'1855'!$F$19</formula>
    </cfRule>
    <cfRule type="cellIs" dxfId="1646" priority="221" stopIfTrue="1" operator="lessThan">
      <formula>'1855'!$F$19</formula>
    </cfRule>
  </conditionalFormatting>
  <conditionalFormatting sqref="G20">
    <cfRule type="cellIs" dxfId="1645" priority="222" stopIfTrue="1" operator="equal">
      <formula>'1855'!$F$20</formula>
    </cfRule>
    <cfRule type="cellIs" dxfId="1644" priority="223" stopIfTrue="1" operator="lessThan">
      <formula>'1855'!$F$20</formula>
    </cfRule>
  </conditionalFormatting>
  <conditionalFormatting sqref="G21">
    <cfRule type="cellIs" dxfId="1643" priority="224" stopIfTrue="1" operator="equal">
      <formula>'1855'!$F$21</formula>
    </cfRule>
    <cfRule type="cellIs" dxfId="1642" priority="225" stopIfTrue="1" operator="lessThan">
      <formula>'1855'!$F$21</formula>
    </cfRule>
  </conditionalFormatting>
  <conditionalFormatting sqref="G22">
    <cfRule type="cellIs" dxfId="1641" priority="226" stopIfTrue="1" operator="equal">
      <formula>'1855'!$F$22</formula>
    </cfRule>
    <cfRule type="cellIs" dxfId="1640" priority="227" stopIfTrue="1" operator="lessThan">
      <formula>'1855'!$F$22</formula>
    </cfRule>
  </conditionalFormatting>
  <conditionalFormatting sqref="G23">
    <cfRule type="cellIs" dxfId="1639" priority="228" stopIfTrue="1" operator="equal">
      <formula>'1855'!$F$23</formula>
    </cfRule>
    <cfRule type="cellIs" dxfId="1638" priority="229" stopIfTrue="1" operator="lessThan">
      <formula>'1855'!$F$23</formula>
    </cfRule>
  </conditionalFormatting>
  <conditionalFormatting sqref="G25">
    <cfRule type="cellIs" dxfId="1637" priority="230" stopIfTrue="1" operator="equal">
      <formula>'1855'!$F$25</formula>
    </cfRule>
    <cfRule type="cellIs" dxfId="1636" priority="231" stopIfTrue="1" operator="lessThan">
      <formula>'1855'!$F$25</formula>
    </cfRule>
  </conditionalFormatting>
  <conditionalFormatting sqref="G26">
    <cfRule type="cellIs" dxfId="1635" priority="232" stopIfTrue="1" operator="equal">
      <formula>'1855'!$F$26</formula>
    </cfRule>
    <cfRule type="cellIs" dxfId="1634" priority="233" stopIfTrue="1" operator="lessThan">
      <formula>'1855'!$F$26</formula>
    </cfRule>
  </conditionalFormatting>
  <conditionalFormatting sqref="G27">
    <cfRule type="cellIs" dxfId="1633" priority="234" stopIfTrue="1" operator="equal">
      <formula>'1855'!$F$27</formula>
    </cfRule>
    <cfRule type="cellIs" dxfId="1632" priority="235" stopIfTrue="1" operator="lessThan">
      <formula>'1855'!$F$27</formula>
    </cfRule>
  </conditionalFormatting>
  <conditionalFormatting sqref="G28">
    <cfRule type="cellIs" dxfId="1631" priority="236" stopIfTrue="1" operator="equal">
      <formula>'1855'!$F$28</formula>
    </cfRule>
    <cfRule type="cellIs" dxfId="1630" priority="237" stopIfTrue="1" operator="lessThan">
      <formula>'1855'!$F$28</formula>
    </cfRule>
  </conditionalFormatting>
  <conditionalFormatting sqref="D13">
    <cfRule type="cellIs" dxfId="1629" priority="238" stopIfTrue="1" operator="equal">
      <formula>'1855'!$C$13</formula>
    </cfRule>
    <cfRule type="cellIs" dxfId="1628" priority="239" stopIfTrue="1" operator="lessThan">
      <formula>'1855'!$C$13</formula>
    </cfRule>
  </conditionalFormatting>
  <conditionalFormatting sqref="H13">
    <cfRule type="cellIs" dxfId="1627" priority="240" stopIfTrue="1" operator="equal">
      <formula>'1855'!$G$13</formula>
    </cfRule>
    <cfRule type="cellIs" dxfId="1626" priority="241" stopIfTrue="1" operator="lessThan">
      <formula>'1855'!$G$13</formula>
    </cfRule>
  </conditionalFormatting>
  <conditionalFormatting sqref="H14">
    <cfRule type="cellIs" dxfId="1625" priority="242" stopIfTrue="1" operator="equal">
      <formula>'1855'!$G$14</formula>
    </cfRule>
    <cfRule type="cellIs" dxfId="1624" priority="243" stopIfTrue="1" operator="lessThan">
      <formula>'1855'!$G$14</formula>
    </cfRule>
  </conditionalFormatting>
  <conditionalFormatting sqref="H15">
    <cfRule type="cellIs" dxfId="1623" priority="244" stopIfTrue="1" operator="equal">
      <formula>'1855'!$G$15</formula>
    </cfRule>
    <cfRule type="cellIs" dxfId="1622" priority="245" stopIfTrue="1" operator="lessThan">
      <formula>'1855'!$G$15</formula>
    </cfRule>
  </conditionalFormatting>
  <conditionalFormatting sqref="H16">
    <cfRule type="cellIs" dxfId="1621" priority="246" stopIfTrue="1" operator="equal">
      <formula>'1855'!$G$16</formula>
    </cfRule>
    <cfRule type="cellIs" dxfId="1620" priority="247" stopIfTrue="1" operator="lessThan">
      <formula>'1855'!$G$16</formula>
    </cfRule>
  </conditionalFormatting>
  <conditionalFormatting sqref="H17">
    <cfRule type="cellIs" dxfId="1619" priority="248" stopIfTrue="1" operator="equal">
      <formula>'1855'!$G$17</formula>
    </cfRule>
    <cfRule type="cellIs" dxfId="1618" priority="249" stopIfTrue="1" operator="lessThan">
      <formula>'1855'!$G$17</formula>
    </cfRule>
  </conditionalFormatting>
  <conditionalFormatting sqref="H18">
    <cfRule type="cellIs" dxfId="1617" priority="250" stopIfTrue="1" operator="equal">
      <formula>'1855'!$G$18</formula>
    </cfRule>
    <cfRule type="cellIs" dxfId="1616" priority="251" stopIfTrue="1" operator="lessThan">
      <formula>'1855'!$G$18</formula>
    </cfRule>
  </conditionalFormatting>
  <conditionalFormatting sqref="H19">
    <cfRule type="cellIs" dxfId="1615" priority="252" stopIfTrue="1" operator="equal">
      <formula>'1855'!$G$19</formula>
    </cfRule>
    <cfRule type="cellIs" dxfId="1614" priority="253" stopIfTrue="1" operator="lessThan">
      <formula>'1855'!$G$19</formula>
    </cfRule>
  </conditionalFormatting>
  <conditionalFormatting sqref="H20">
    <cfRule type="cellIs" dxfId="1613" priority="254" stopIfTrue="1" operator="equal">
      <formula>'1855'!$G$20</formula>
    </cfRule>
    <cfRule type="cellIs" dxfId="1612" priority="255" stopIfTrue="1" operator="lessThan">
      <formula>'1855'!$G$20</formula>
    </cfRule>
  </conditionalFormatting>
  <conditionalFormatting sqref="H21">
    <cfRule type="cellIs" dxfId="1611" priority="256" stopIfTrue="1" operator="equal">
      <formula>'1855'!$G$21</formula>
    </cfRule>
    <cfRule type="cellIs" dxfId="1610" priority="257" stopIfTrue="1" operator="lessThan">
      <formula>'1855'!$G$21</formula>
    </cfRule>
  </conditionalFormatting>
  <conditionalFormatting sqref="H22">
    <cfRule type="cellIs" dxfId="1609" priority="258" stopIfTrue="1" operator="equal">
      <formula>'1855'!$G$22</formula>
    </cfRule>
    <cfRule type="cellIs" dxfId="1608" priority="259" stopIfTrue="1" operator="lessThan">
      <formula>'1855'!$G$22</formula>
    </cfRule>
  </conditionalFormatting>
  <conditionalFormatting sqref="H23">
    <cfRule type="cellIs" dxfId="1607" priority="260" stopIfTrue="1" operator="equal">
      <formula>'1855'!$G$23</formula>
    </cfRule>
    <cfRule type="cellIs" dxfId="1606" priority="261" stopIfTrue="1" operator="lessThan">
      <formula>'1855'!$G$23</formula>
    </cfRule>
  </conditionalFormatting>
  <conditionalFormatting sqref="H25">
    <cfRule type="cellIs" dxfId="1605" priority="262" stopIfTrue="1" operator="equal">
      <formula>'1855'!$G$25</formula>
    </cfRule>
    <cfRule type="cellIs" dxfId="1604" priority="263" stopIfTrue="1" operator="lessThan">
      <formula>'1855'!$G$25</formula>
    </cfRule>
  </conditionalFormatting>
  <conditionalFormatting sqref="H26">
    <cfRule type="cellIs" dxfId="1603" priority="264" stopIfTrue="1" operator="equal">
      <formula>'1855'!$G$26</formula>
    </cfRule>
    <cfRule type="cellIs" dxfId="1602" priority="265" stopIfTrue="1" operator="lessThan">
      <formula>'1855'!$G$26</formula>
    </cfRule>
  </conditionalFormatting>
  <conditionalFormatting sqref="H27">
    <cfRule type="cellIs" dxfId="1601" priority="266" stopIfTrue="1" operator="equal">
      <formula>'1855'!$G$27</formula>
    </cfRule>
    <cfRule type="cellIs" dxfId="1600" priority="267" stopIfTrue="1" operator="lessThan">
      <formula>'1855'!$G$27</formula>
    </cfRule>
  </conditionalFormatting>
  <conditionalFormatting sqref="H28">
    <cfRule type="cellIs" dxfId="1599" priority="268" stopIfTrue="1" operator="equal">
      <formula>'1855'!$G$28</formula>
    </cfRule>
    <cfRule type="cellIs" dxfId="1598" priority="269" stopIfTrue="1" operator="lessThan">
      <formula>'1855'!$G$28</formula>
    </cfRule>
  </conditionalFormatting>
  <conditionalFormatting sqref="D24">
    <cfRule type="cellIs" dxfId="1597" priority="270" stopIfTrue="1" operator="equal">
      <formula>'1855'!$C$24</formula>
    </cfRule>
    <cfRule type="cellIs" dxfId="1596" priority="271" stopIfTrue="1" operator="lessThan">
      <formula>'1855'!$C$24</formula>
    </cfRule>
  </conditionalFormatting>
  <conditionalFormatting sqref="E24">
    <cfRule type="cellIs" dxfId="1595" priority="272" stopIfTrue="1" operator="equal">
      <formula>'1855'!$D$24</formula>
    </cfRule>
    <cfRule type="cellIs" dxfId="1594" priority="273" stopIfTrue="1" operator="lessThan">
      <formula>'1855'!$D$24</formula>
    </cfRule>
  </conditionalFormatting>
  <conditionalFormatting sqref="F24">
    <cfRule type="cellIs" dxfId="1593" priority="274" stopIfTrue="1" operator="equal">
      <formula>'1855'!$E$24</formula>
    </cfRule>
    <cfRule type="cellIs" dxfId="1592" priority="275" stopIfTrue="1" operator="lessThan">
      <formula>'1855'!$E$24</formula>
    </cfRule>
  </conditionalFormatting>
  <conditionalFormatting sqref="G24">
    <cfRule type="cellIs" dxfId="1591" priority="276" stopIfTrue="1" operator="equal">
      <formula>'1855'!$F$24</formula>
    </cfRule>
    <cfRule type="cellIs" dxfId="1590" priority="277" stopIfTrue="1" operator="lessThan">
      <formula>'1855'!$F$24</formula>
    </cfRule>
  </conditionalFormatting>
  <conditionalFormatting sqref="H24">
    <cfRule type="cellIs" dxfId="1589" priority="278" stopIfTrue="1" operator="equal">
      <formula>'1855'!$G$24</formula>
    </cfRule>
    <cfRule type="cellIs" dxfId="1588" priority="279" stopIfTrue="1" operator="lessThan">
      <formula>'1855'!$G$24</formula>
    </cfRule>
  </conditionalFormatting>
  <conditionalFormatting sqref="E5">
    <cfRule type="cellIs" dxfId="1587" priority="280" stopIfTrue="1" operator="equal">
      <formula>'1855'!$D$5</formula>
    </cfRule>
    <cfRule type="cellIs" dxfId="1586" priority="281" stopIfTrue="1" operator="lessThan">
      <formula>'1855'!$D$5</formula>
    </cfRule>
  </conditionalFormatting>
  <conditionalFormatting sqref="G5">
    <cfRule type="cellIs" dxfId="1585" priority="282" stopIfTrue="1" operator="equal">
      <formula>'1855'!$F$5</formula>
    </cfRule>
    <cfRule type="cellIs" dxfId="1584" priority="283" stopIfTrue="1" operator="lessThan">
      <formula>'1855'!$F$5</formula>
    </cfRule>
  </conditionalFormatting>
  <conditionalFormatting sqref="G4">
    <cfRule type="cellIs" dxfId="1583" priority="284" stopIfTrue="1" operator="equal">
      <formula>'1855'!$F$4</formula>
    </cfRule>
  </conditionalFormatting>
  <conditionalFormatting sqref="J29:O29 D29:H29">
    <cfRule type="cellIs" dxfId="1582" priority="285" stopIfTrue="1" operator="equal">
      <formula>0</formula>
    </cfRule>
  </conditionalFormatting>
  <conditionalFormatting sqref="I13">
    <cfRule type="cellIs" dxfId="1581" priority="286" stopIfTrue="1" operator="equal">
      <formula>'1855'!$H$13</formula>
    </cfRule>
    <cfRule type="cellIs" dxfId="1580" priority="287" stopIfTrue="1" operator="lessThan">
      <formula>'1855'!$H$13</formula>
    </cfRule>
  </conditionalFormatting>
  <conditionalFormatting sqref="I14">
    <cfRule type="cellIs" dxfId="1579" priority="288" stopIfTrue="1" operator="equal">
      <formula>'1855'!$H$14</formula>
    </cfRule>
    <cfRule type="cellIs" dxfId="1578" priority="289" stopIfTrue="1" operator="lessThan">
      <formula>'1855'!$H$14</formula>
    </cfRule>
  </conditionalFormatting>
  <conditionalFormatting sqref="I15">
    <cfRule type="cellIs" dxfId="1577" priority="290" stopIfTrue="1" operator="equal">
      <formula>'1855'!$H$15</formula>
    </cfRule>
    <cfRule type="cellIs" dxfId="1576" priority="291" stopIfTrue="1" operator="lessThan">
      <formula>'1855'!$H$15</formula>
    </cfRule>
  </conditionalFormatting>
  <conditionalFormatting sqref="I16">
    <cfRule type="cellIs" dxfId="1575" priority="292" stopIfTrue="1" operator="equal">
      <formula>'1855'!$H$16</formula>
    </cfRule>
    <cfRule type="cellIs" dxfId="1574" priority="293" stopIfTrue="1" operator="lessThan">
      <formula>'1855'!$H$16</formula>
    </cfRule>
  </conditionalFormatting>
  <conditionalFormatting sqref="I17">
    <cfRule type="cellIs" dxfId="1573" priority="294" stopIfTrue="1" operator="equal">
      <formula>'1855'!$H$17</formula>
    </cfRule>
    <cfRule type="cellIs" dxfId="1572" priority="295" stopIfTrue="1" operator="lessThan">
      <formula>'1855'!$H$17</formula>
    </cfRule>
  </conditionalFormatting>
  <conditionalFormatting sqref="I18">
    <cfRule type="cellIs" dxfId="1571" priority="296" stopIfTrue="1" operator="equal">
      <formula>'1855'!$H$18</formula>
    </cfRule>
    <cfRule type="cellIs" dxfId="1570" priority="297" stopIfTrue="1" operator="lessThan">
      <formula>'1855'!$H$18</formula>
    </cfRule>
  </conditionalFormatting>
  <conditionalFormatting sqref="I19">
    <cfRule type="cellIs" dxfId="1569" priority="298" stopIfTrue="1" operator="equal">
      <formula>'1855'!$H$19</formula>
    </cfRule>
    <cfRule type="cellIs" dxfId="1568" priority="299" stopIfTrue="1" operator="lessThan">
      <formula>'1855'!$H$19</formula>
    </cfRule>
  </conditionalFormatting>
  <conditionalFormatting sqref="I20">
    <cfRule type="cellIs" dxfId="1567" priority="300" stopIfTrue="1" operator="equal">
      <formula>'1855'!$H$20</formula>
    </cfRule>
    <cfRule type="cellIs" dxfId="1566" priority="301" stopIfTrue="1" operator="lessThan">
      <formula>'1855'!$H$20</formula>
    </cfRule>
  </conditionalFormatting>
  <conditionalFormatting sqref="I21">
    <cfRule type="cellIs" dxfId="1565" priority="302" stopIfTrue="1" operator="equal">
      <formula>'1855'!$H$21</formula>
    </cfRule>
    <cfRule type="cellIs" dxfId="1564" priority="303" stopIfTrue="1" operator="lessThan">
      <formula>'1855'!$H$21</formula>
    </cfRule>
  </conditionalFormatting>
  <conditionalFormatting sqref="I22">
    <cfRule type="cellIs" dxfId="1563" priority="304" stopIfTrue="1" operator="equal">
      <formula>'1855'!$H$22</formula>
    </cfRule>
    <cfRule type="cellIs" dxfId="1562" priority="305" stopIfTrue="1" operator="lessThan">
      <formula>'1855'!$H$22</formula>
    </cfRule>
  </conditionalFormatting>
  <conditionalFormatting sqref="I23">
    <cfRule type="cellIs" dxfId="1561" priority="306" stopIfTrue="1" operator="equal">
      <formula>'1855'!$H$23</formula>
    </cfRule>
    <cfRule type="cellIs" dxfId="1560" priority="307" stopIfTrue="1" operator="lessThan">
      <formula>'1855'!$H$23</formula>
    </cfRule>
  </conditionalFormatting>
  <conditionalFormatting sqref="I24">
    <cfRule type="cellIs" dxfId="1559" priority="308" stopIfTrue="1" operator="equal">
      <formula>'1855'!$H$24</formula>
    </cfRule>
    <cfRule type="cellIs" dxfId="1558" priority="309" stopIfTrue="1" operator="lessThan">
      <formula>'1855'!$H$24</formula>
    </cfRule>
  </conditionalFormatting>
  <conditionalFormatting sqref="I25">
    <cfRule type="cellIs" dxfId="1557" priority="310" stopIfTrue="1" operator="equal">
      <formula>'1855'!$H$25</formula>
    </cfRule>
    <cfRule type="cellIs" dxfId="1556" priority="311" stopIfTrue="1" operator="lessThan">
      <formula>'1855'!$H$25</formula>
    </cfRule>
  </conditionalFormatting>
  <conditionalFormatting sqref="I26">
    <cfRule type="cellIs" dxfId="1555" priority="312" stopIfTrue="1" operator="equal">
      <formula>'1855'!$H$26</formula>
    </cfRule>
    <cfRule type="cellIs" dxfId="1554" priority="313" stopIfTrue="1" operator="lessThan">
      <formula>'1855'!$H$26</formula>
    </cfRule>
  </conditionalFormatting>
  <conditionalFormatting sqref="I27">
    <cfRule type="cellIs" dxfId="1553" priority="314" stopIfTrue="1" operator="equal">
      <formula>'1855'!$H$27</formula>
    </cfRule>
    <cfRule type="cellIs" dxfId="1552" priority="315" stopIfTrue="1" operator="lessThan">
      <formula>'1855'!$H$27</formula>
    </cfRule>
    <cfRule type="cellIs" dxfId="1551" priority="316" stopIfTrue="1" operator="lessThan">
      <formula>'1855'!$H$27</formula>
    </cfRule>
  </conditionalFormatting>
  <conditionalFormatting sqref="I28">
    <cfRule type="cellIs" dxfId="1550" priority="317" stopIfTrue="1" operator="equal">
      <formula>'1855'!$H$28</formula>
    </cfRule>
    <cfRule type="cellIs" dxfId="1549" priority="318" stopIfTrue="1" operator="lessThan">
      <formula>'1855'!$H$28</formula>
    </cfRule>
  </conditionalFormatting>
  <conditionalFormatting sqref="I29">
    <cfRule type="cellIs" dxfId="1548" priority="319" stopIfTrue="1" operator="equal">
      <formula>'1855'!$H$29</formula>
    </cfRule>
    <cfRule type="cellIs" dxfId="1547" priority="320" stopIfTrue="1" operator="lessThan">
      <formula>'1855'!$H$29</formula>
    </cfRule>
  </conditionalFormatting>
  <conditionalFormatting sqref="J13">
    <cfRule type="cellIs" dxfId="1546" priority="321" stopIfTrue="1" operator="equal">
      <formula>'1855'!$I$13</formula>
    </cfRule>
    <cfRule type="cellIs" dxfId="1545" priority="322" stopIfTrue="1" operator="lessThan">
      <formula>'1855'!$I$13</formula>
    </cfRule>
  </conditionalFormatting>
  <conditionalFormatting sqref="J14">
    <cfRule type="cellIs" dxfId="1544" priority="323" stopIfTrue="1" operator="equal">
      <formula>'1855'!$I$14</formula>
    </cfRule>
    <cfRule type="cellIs" dxfId="1543" priority="324" stopIfTrue="1" operator="lessThan">
      <formula>'1855'!$I$14</formula>
    </cfRule>
  </conditionalFormatting>
  <conditionalFormatting sqref="J15">
    <cfRule type="cellIs" dxfId="1542" priority="325" stopIfTrue="1" operator="equal">
      <formula>'1855'!$I$15</formula>
    </cfRule>
    <cfRule type="cellIs" dxfId="1541" priority="326" stopIfTrue="1" operator="lessThan">
      <formula>'1855'!$I$15</formula>
    </cfRule>
  </conditionalFormatting>
  <conditionalFormatting sqref="J16">
    <cfRule type="cellIs" dxfId="1540" priority="327" stopIfTrue="1" operator="equal">
      <formula>'1855'!$I$16</formula>
    </cfRule>
    <cfRule type="cellIs" dxfId="1539" priority="328" stopIfTrue="1" operator="lessThan">
      <formula>'1855'!$I$16</formula>
    </cfRule>
  </conditionalFormatting>
  <conditionalFormatting sqref="J17">
    <cfRule type="cellIs" dxfId="1538" priority="329" stopIfTrue="1" operator="equal">
      <formula>'1855'!$I$17</formula>
    </cfRule>
    <cfRule type="cellIs" dxfId="1537" priority="330" stopIfTrue="1" operator="lessThan">
      <formula>'1855'!$I$17</formula>
    </cfRule>
  </conditionalFormatting>
  <conditionalFormatting sqref="J18">
    <cfRule type="cellIs" dxfId="1536" priority="331" stopIfTrue="1" operator="equal">
      <formula>'1855'!$I$18</formula>
    </cfRule>
    <cfRule type="cellIs" dxfId="1535" priority="332" stopIfTrue="1" operator="lessThan">
      <formula>'1855'!$I$18</formula>
    </cfRule>
  </conditionalFormatting>
  <conditionalFormatting sqref="J19">
    <cfRule type="cellIs" dxfId="1534" priority="333" stopIfTrue="1" operator="equal">
      <formula>'1855'!$I$19</formula>
    </cfRule>
    <cfRule type="cellIs" dxfId="1533" priority="334" stopIfTrue="1" operator="lessThan">
      <formula>'1855'!$I$19</formula>
    </cfRule>
  </conditionalFormatting>
  <conditionalFormatting sqref="J20">
    <cfRule type="cellIs" dxfId="1532" priority="335" stopIfTrue="1" operator="equal">
      <formula>'1855'!$I$20</formula>
    </cfRule>
    <cfRule type="cellIs" dxfId="1531" priority="336" stopIfTrue="1" operator="lessThan">
      <formula>'1855'!$I$20</formula>
    </cfRule>
  </conditionalFormatting>
  <conditionalFormatting sqref="J21">
    <cfRule type="cellIs" dxfId="1530" priority="337" stopIfTrue="1" operator="equal">
      <formula>'1855'!$I$21</formula>
    </cfRule>
    <cfRule type="cellIs" dxfId="1529" priority="338" stopIfTrue="1" operator="lessThan">
      <formula>'1855'!$I$21</formula>
    </cfRule>
  </conditionalFormatting>
  <conditionalFormatting sqref="J22">
    <cfRule type="cellIs" dxfId="1528" priority="339" stopIfTrue="1" operator="equal">
      <formula>'1855'!$I$22</formula>
    </cfRule>
    <cfRule type="cellIs" dxfId="1527" priority="340" stopIfTrue="1" operator="lessThan">
      <formula>'1855'!$I$22</formula>
    </cfRule>
  </conditionalFormatting>
  <conditionalFormatting sqref="J23">
    <cfRule type="cellIs" dxfId="1526" priority="341" stopIfTrue="1" operator="equal">
      <formula>'1855'!$I$23</formula>
    </cfRule>
    <cfRule type="cellIs" dxfId="1525" priority="342" stopIfTrue="1" operator="lessThan">
      <formula>'1855'!$I$23</formula>
    </cfRule>
  </conditionalFormatting>
  <conditionalFormatting sqref="J24">
    <cfRule type="cellIs" dxfId="1524" priority="343" stopIfTrue="1" operator="equal">
      <formula>'1855'!$I$24</formula>
    </cfRule>
    <cfRule type="cellIs" dxfId="1523" priority="344" stopIfTrue="1" operator="lessThan">
      <formula>'1855'!$I$24</formula>
    </cfRule>
  </conditionalFormatting>
  <conditionalFormatting sqref="J25">
    <cfRule type="cellIs" dxfId="1522" priority="345" stopIfTrue="1" operator="equal">
      <formula>'1855'!$I$25</formula>
    </cfRule>
    <cfRule type="cellIs" dxfId="1521" priority="346" stopIfTrue="1" operator="lessThan">
      <formula>'1855'!$I$25</formula>
    </cfRule>
  </conditionalFormatting>
  <conditionalFormatting sqref="J26">
    <cfRule type="cellIs" dxfId="1520" priority="347" stopIfTrue="1" operator="equal">
      <formula>'1855'!$I$26</formula>
    </cfRule>
    <cfRule type="cellIs" dxfId="1519" priority="348" stopIfTrue="1" operator="lessThan">
      <formula>'1855'!$I$26</formula>
    </cfRule>
  </conditionalFormatting>
  <conditionalFormatting sqref="J27">
    <cfRule type="cellIs" dxfId="1518" priority="349" stopIfTrue="1" operator="equal">
      <formula>'1855'!$I$27</formula>
    </cfRule>
    <cfRule type="cellIs" dxfId="1517" priority="350" stopIfTrue="1" operator="lessThan">
      <formula>'1855'!$I$27</formula>
    </cfRule>
  </conditionalFormatting>
  <conditionalFormatting sqref="J28">
    <cfRule type="cellIs" dxfId="1516" priority="351" stopIfTrue="1" operator="equal">
      <formula>'1855'!$I$28</formula>
    </cfRule>
    <cfRule type="cellIs" dxfId="1515" priority="352" stopIfTrue="1" operator="lessThan">
      <formula>'1855'!$I$28</formula>
    </cfRule>
  </conditionalFormatting>
  <conditionalFormatting sqref="K4">
    <cfRule type="cellIs" dxfId="1514" priority="353" stopIfTrue="1" operator="equal">
      <formula>'1855'!$J$4</formula>
    </cfRule>
    <cfRule type="cellIs" dxfId="1513" priority="354" stopIfTrue="1" operator="lessThan">
      <formula>'1855'!$J$4</formula>
    </cfRule>
  </conditionalFormatting>
  <conditionalFormatting sqref="K5">
    <cfRule type="cellIs" dxfId="1512" priority="355" stopIfTrue="1" operator="equal">
      <formula>'1855'!$J$5</formula>
    </cfRule>
    <cfRule type="cellIs" dxfId="1511" priority="356" stopIfTrue="1" operator="lessThan">
      <formula>'1855'!$J$5</formula>
    </cfRule>
  </conditionalFormatting>
  <conditionalFormatting sqref="K6">
    <cfRule type="cellIs" dxfId="1510" priority="357" stopIfTrue="1" operator="equal">
      <formula>'1855'!$J$6</formula>
    </cfRule>
    <cfRule type="cellIs" dxfId="1509" priority="358" stopIfTrue="1" operator="lessThan">
      <formula>'1855'!$J$6</formula>
    </cfRule>
  </conditionalFormatting>
  <conditionalFormatting sqref="K7">
    <cfRule type="cellIs" dxfId="1508" priority="359" stopIfTrue="1" operator="equal">
      <formula>'1855'!$J$7</formula>
    </cfRule>
    <cfRule type="cellIs" dxfId="1507" priority="360" stopIfTrue="1" operator="lessThan">
      <formula>'1855'!$J$7</formula>
    </cfRule>
  </conditionalFormatting>
  <conditionalFormatting sqref="K8">
    <cfRule type="cellIs" dxfId="1506" priority="361" stopIfTrue="1" operator="equal">
      <formula>'1855'!$J$8</formula>
    </cfRule>
    <cfRule type="cellIs" dxfId="1505" priority="362" stopIfTrue="1" operator="lessThan">
      <formula>'1855'!$J$8</formula>
    </cfRule>
  </conditionalFormatting>
  <conditionalFormatting sqref="K9">
    <cfRule type="cellIs" dxfId="1504" priority="363" stopIfTrue="1" operator="equal">
      <formula>'1855'!$J$9</formula>
    </cfRule>
    <cfRule type="cellIs" dxfId="1503" priority="364" stopIfTrue="1" operator="lessThan">
      <formula>'1855'!$J$9</formula>
    </cfRule>
  </conditionalFormatting>
  <conditionalFormatting sqref="K10">
    <cfRule type="cellIs" dxfId="1502" priority="365" stopIfTrue="1" operator="equal">
      <formula>'1855'!$J$10</formula>
    </cfRule>
    <cfRule type="cellIs" dxfId="1501" priority="366" stopIfTrue="1" operator="lessThan">
      <formula>'1855'!$J$10</formula>
    </cfRule>
  </conditionalFormatting>
  <conditionalFormatting sqref="K11">
    <cfRule type="cellIs" dxfId="1500" priority="367" stopIfTrue="1" operator="equal">
      <formula>'1855'!$J$11</formula>
    </cfRule>
    <cfRule type="cellIs" dxfId="1499" priority="368" stopIfTrue="1" operator="lessThan">
      <formula>'1855'!$J$11</formula>
    </cfRule>
  </conditionalFormatting>
  <conditionalFormatting sqref="K12">
    <cfRule type="cellIs" dxfId="1498" priority="369" stopIfTrue="1" operator="equal">
      <formula>'1855'!$J$12</formula>
    </cfRule>
    <cfRule type="cellIs" dxfId="1497" priority="370" stopIfTrue="1" operator="lessThan">
      <formula>'1855'!$J$12</formula>
    </cfRule>
  </conditionalFormatting>
  <conditionalFormatting sqref="K13">
    <cfRule type="cellIs" dxfId="1496" priority="371" stopIfTrue="1" operator="equal">
      <formula>'1855'!$J$13</formula>
    </cfRule>
    <cfRule type="cellIs" dxfId="1495" priority="372" stopIfTrue="1" operator="lessThan">
      <formula>'1855'!$J$13</formula>
    </cfRule>
  </conditionalFormatting>
  <conditionalFormatting sqref="K14">
    <cfRule type="cellIs" dxfId="1494" priority="373" stopIfTrue="1" operator="equal">
      <formula>'1855'!$J$14</formula>
    </cfRule>
    <cfRule type="cellIs" dxfId="1493" priority="374" stopIfTrue="1" operator="lessThan">
      <formula>'1855'!$J$14</formula>
    </cfRule>
  </conditionalFormatting>
  <conditionalFormatting sqref="K15">
    <cfRule type="cellIs" dxfId="1492" priority="375" stopIfTrue="1" operator="equal">
      <formula>'1855'!$J$15</formula>
    </cfRule>
    <cfRule type="cellIs" dxfId="1491" priority="376" stopIfTrue="1" operator="lessThan">
      <formula>'1855'!$J$15</formula>
    </cfRule>
  </conditionalFormatting>
  <conditionalFormatting sqref="K16">
    <cfRule type="cellIs" dxfId="1490" priority="377" stopIfTrue="1" operator="equal">
      <formula>'1855'!$J$16</formula>
    </cfRule>
    <cfRule type="cellIs" dxfId="1489" priority="378" stopIfTrue="1" operator="lessThan">
      <formula>'1855'!$J$16</formula>
    </cfRule>
  </conditionalFormatting>
  <conditionalFormatting sqref="K17">
    <cfRule type="cellIs" dxfId="1488" priority="379" stopIfTrue="1" operator="equal">
      <formula>'1855'!$J$17</formula>
    </cfRule>
    <cfRule type="cellIs" dxfId="1487" priority="380" stopIfTrue="1" operator="lessThan">
      <formula>'1855'!$J$17</formula>
    </cfRule>
  </conditionalFormatting>
  <conditionalFormatting sqref="K18">
    <cfRule type="cellIs" dxfId="1486" priority="381" stopIfTrue="1" operator="equal">
      <formula>'1855'!$J$18</formula>
    </cfRule>
    <cfRule type="cellIs" dxfId="1485" priority="382" stopIfTrue="1" operator="lessThan">
      <formula>'1855'!$J$18</formula>
    </cfRule>
  </conditionalFormatting>
  <conditionalFormatting sqref="K19">
    <cfRule type="cellIs" dxfId="1484" priority="383" stopIfTrue="1" operator="equal">
      <formula>'1855'!$J$19</formula>
    </cfRule>
    <cfRule type="cellIs" dxfId="1483" priority="384" stopIfTrue="1" operator="lessThan">
      <formula>'1855'!$J$19</formula>
    </cfRule>
  </conditionalFormatting>
  <conditionalFormatting sqref="K20">
    <cfRule type="cellIs" dxfId="1482" priority="385" stopIfTrue="1" operator="equal">
      <formula>'1855'!$J$20</formula>
    </cfRule>
    <cfRule type="cellIs" dxfId="1481" priority="386" stopIfTrue="1" operator="lessThan">
      <formula>'1855'!$J$20</formula>
    </cfRule>
  </conditionalFormatting>
  <conditionalFormatting sqref="K21">
    <cfRule type="cellIs" dxfId="1480" priority="387" stopIfTrue="1" operator="equal">
      <formula>'1855'!$J$21</formula>
    </cfRule>
    <cfRule type="cellIs" dxfId="1479" priority="388" stopIfTrue="1" operator="lessThan">
      <formula>'1855'!$J$21</formula>
    </cfRule>
  </conditionalFormatting>
  <conditionalFormatting sqref="K22">
    <cfRule type="cellIs" dxfId="1478" priority="389" stopIfTrue="1" operator="equal">
      <formula>'1855'!$J$22</formula>
    </cfRule>
    <cfRule type="cellIs" dxfId="1477" priority="390" stopIfTrue="1" operator="lessThan">
      <formula>'1855'!$J$22</formula>
    </cfRule>
  </conditionalFormatting>
  <conditionalFormatting sqref="K23">
    <cfRule type="cellIs" dxfId="1476" priority="391" stopIfTrue="1" operator="equal">
      <formula>'1855'!$J$23</formula>
    </cfRule>
    <cfRule type="cellIs" dxfId="1475" priority="392" stopIfTrue="1" operator="lessThan">
      <formula>'1855'!$J$23</formula>
    </cfRule>
  </conditionalFormatting>
  <conditionalFormatting sqref="K24">
    <cfRule type="cellIs" dxfId="1474" priority="393" stopIfTrue="1" operator="equal">
      <formula>'1855'!$J$24</formula>
    </cfRule>
    <cfRule type="cellIs" dxfId="1473" priority="394" stopIfTrue="1" operator="lessThan">
      <formula>'1855'!$J$24</formula>
    </cfRule>
  </conditionalFormatting>
  <conditionalFormatting sqref="K25">
    <cfRule type="cellIs" dxfId="1472" priority="395" stopIfTrue="1" operator="equal">
      <formula>'1855'!$J$25</formula>
    </cfRule>
    <cfRule type="cellIs" dxfId="1471" priority="396" stopIfTrue="1" operator="lessThan">
      <formula>'1855'!$J$25</formula>
    </cfRule>
  </conditionalFormatting>
  <conditionalFormatting sqref="K26">
    <cfRule type="cellIs" dxfId="1470" priority="397" stopIfTrue="1" operator="equal">
      <formula>'1855'!$J$26</formula>
    </cfRule>
    <cfRule type="cellIs" dxfId="1469" priority="398" stopIfTrue="1" operator="lessThan">
      <formula>'1855'!$J$26</formula>
    </cfRule>
  </conditionalFormatting>
  <conditionalFormatting sqref="K27">
    <cfRule type="cellIs" dxfId="1468" priority="399" stopIfTrue="1" operator="equal">
      <formula>'1855'!$J$27</formula>
    </cfRule>
    <cfRule type="cellIs" dxfId="1467" priority="400" stopIfTrue="1" operator="lessThan">
      <formula>'1855'!$J$27</formula>
    </cfRule>
  </conditionalFormatting>
  <conditionalFormatting sqref="K28">
    <cfRule type="cellIs" dxfId="1466" priority="401" stopIfTrue="1" operator="lessThan">
      <formula>'1855'!$J$28</formula>
    </cfRule>
    <cfRule type="cellIs" dxfId="1465" priority="402" stopIfTrue="1" operator="equal">
      <formula>'1855'!$J$28</formula>
    </cfRule>
  </conditionalFormatting>
  <conditionalFormatting sqref="L4">
    <cfRule type="cellIs" dxfId="1464" priority="403" stopIfTrue="1" operator="equal">
      <formula>'1855'!$K$4</formula>
    </cfRule>
    <cfRule type="cellIs" dxfId="1463" priority="404" stopIfTrue="1" operator="lessThan">
      <formula>'1855'!$K$4</formula>
    </cfRule>
  </conditionalFormatting>
  <conditionalFormatting sqref="L5">
    <cfRule type="cellIs" dxfId="1462" priority="405" stopIfTrue="1" operator="equal">
      <formula>'1855'!$K$5</formula>
    </cfRule>
    <cfRule type="cellIs" dxfId="1461" priority="406" stopIfTrue="1" operator="lessThan">
      <formula>'1855'!$K$5</formula>
    </cfRule>
  </conditionalFormatting>
  <conditionalFormatting sqref="L6">
    <cfRule type="cellIs" dxfId="1460" priority="407" stopIfTrue="1" operator="equal">
      <formula>'1855'!$K$6</formula>
    </cfRule>
    <cfRule type="cellIs" dxfId="1459" priority="408" stopIfTrue="1" operator="lessThan">
      <formula>'1855'!$K$6</formula>
    </cfRule>
  </conditionalFormatting>
  <conditionalFormatting sqref="L7">
    <cfRule type="cellIs" dxfId="1458" priority="409" stopIfTrue="1" operator="equal">
      <formula>'1855'!$K$7</formula>
    </cfRule>
    <cfRule type="cellIs" dxfId="1457" priority="410" stopIfTrue="1" operator="lessThan">
      <formula>'1855'!$K$7</formula>
    </cfRule>
  </conditionalFormatting>
  <conditionalFormatting sqref="L8">
    <cfRule type="cellIs" dxfId="1456" priority="411" stopIfTrue="1" operator="equal">
      <formula>'1855'!$K$8</formula>
    </cfRule>
    <cfRule type="cellIs" dxfId="1455" priority="412" stopIfTrue="1" operator="lessThan">
      <formula>'1855'!$K$8</formula>
    </cfRule>
  </conditionalFormatting>
  <conditionalFormatting sqref="L9">
    <cfRule type="cellIs" dxfId="1454" priority="413" stopIfTrue="1" operator="equal">
      <formula>'1855'!$K$9</formula>
    </cfRule>
    <cfRule type="cellIs" dxfId="1453" priority="414" stopIfTrue="1" operator="lessThan">
      <formula>'1855'!$K$9</formula>
    </cfRule>
  </conditionalFormatting>
  <conditionalFormatting sqref="L10">
    <cfRule type="cellIs" dxfId="1452" priority="415" stopIfTrue="1" operator="equal">
      <formula>'1855'!$K$10</formula>
    </cfRule>
    <cfRule type="cellIs" dxfId="1451" priority="416" stopIfTrue="1" operator="lessThan">
      <formula>'1855'!$K$10</formula>
    </cfRule>
  </conditionalFormatting>
  <conditionalFormatting sqref="L12">
    <cfRule type="cellIs" dxfId="1450" priority="417" stopIfTrue="1" operator="equal">
      <formula>'1855'!$K$12</formula>
    </cfRule>
    <cfRule type="cellIs" dxfId="1449" priority="418" stopIfTrue="1" operator="lessThan">
      <formula>'1855'!$K$12</formula>
    </cfRule>
  </conditionalFormatting>
  <conditionalFormatting sqref="L13">
    <cfRule type="cellIs" dxfId="1448" priority="419" stopIfTrue="1" operator="equal">
      <formula>'1855'!$K$13</formula>
    </cfRule>
    <cfRule type="cellIs" dxfId="1447" priority="420" stopIfTrue="1" operator="lessThan">
      <formula>'1855'!$K$13</formula>
    </cfRule>
  </conditionalFormatting>
  <conditionalFormatting sqref="L14">
    <cfRule type="cellIs" dxfId="1446" priority="421" stopIfTrue="1" operator="equal">
      <formula>'1855'!$K$14</formula>
    </cfRule>
    <cfRule type="cellIs" dxfId="1445" priority="422" stopIfTrue="1" operator="lessThan">
      <formula>'1855'!$K$14</formula>
    </cfRule>
  </conditionalFormatting>
  <conditionalFormatting sqref="L15">
    <cfRule type="cellIs" dxfId="1444" priority="423" stopIfTrue="1" operator="equal">
      <formula>'1855'!$K$15</formula>
    </cfRule>
    <cfRule type="cellIs" dxfId="1443" priority="424" stopIfTrue="1" operator="lessThan">
      <formula>'1855'!$K$15</formula>
    </cfRule>
  </conditionalFormatting>
  <conditionalFormatting sqref="L16">
    <cfRule type="cellIs" dxfId="1442" priority="425" stopIfTrue="1" operator="equal">
      <formula>'1855'!$K$16</formula>
    </cfRule>
    <cfRule type="cellIs" dxfId="1441" priority="426" stopIfTrue="1" operator="lessThan">
      <formula>'1855'!$K$16</formula>
    </cfRule>
  </conditionalFormatting>
  <conditionalFormatting sqref="L17">
    <cfRule type="cellIs" dxfId="1440" priority="427" stopIfTrue="1" operator="equal">
      <formula>'1855'!$K$17</formula>
    </cfRule>
    <cfRule type="cellIs" dxfId="1439" priority="428" stopIfTrue="1" operator="lessThan">
      <formula>'1855'!$K$17</formula>
    </cfRule>
  </conditionalFormatting>
  <conditionalFormatting sqref="L18">
    <cfRule type="cellIs" dxfId="1438" priority="429" stopIfTrue="1" operator="equal">
      <formula>'1855'!$K$18</formula>
    </cfRule>
    <cfRule type="cellIs" dxfId="1437" priority="430" stopIfTrue="1" operator="lessThan">
      <formula>'1855'!$K$18</formula>
    </cfRule>
  </conditionalFormatting>
  <conditionalFormatting sqref="L19">
    <cfRule type="cellIs" dxfId="1436" priority="431" stopIfTrue="1" operator="equal">
      <formula>'1855'!$K$19</formula>
    </cfRule>
    <cfRule type="cellIs" dxfId="1435" priority="432" stopIfTrue="1" operator="lessThan">
      <formula>'1855'!$K$19</formula>
    </cfRule>
  </conditionalFormatting>
  <conditionalFormatting sqref="L20">
    <cfRule type="cellIs" dxfId="1434" priority="433" stopIfTrue="1" operator="equal">
      <formula>'1855'!$K$20</formula>
    </cfRule>
    <cfRule type="cellIs" dxfId="1433" priority="434" stopIfTrue="1" operator="lessThan">
      <formula>'1855'!$K$20</formula>
    </cfRule>
  </conditionalFormatting>
  <conditionalFormatting sqref="L21">
    <cfRule type="cellIs" dxfId="1432" priority="435" stopIfTrue="1" operator="equal">
      <formula>'1855'!$K$21</formula>
    </cfRule>
    <cfRule type="cellIs" dxfId="1431" priority="436" stopIfTrue="1" operator="lessThan">
      <formula>'1855'!$K$21</formula>
    </cfRule>
  </conditionalFormatting>
  <conditionalFormatting sqref="L11">
    <cfRule type="cellIs" dxfId="1430" priority="437" stopIfTrue="1" operator="equal">
      <formula>'1855'!$K$11</formula>
    </cfRule>
    <cfRule type="cellIs" dxfId="1429" priority="438" stopIfTrue="1" operator="lessThan">
      <formula>'1855'!$K$11</formula>
    </cfRule>
  </conditionalFormatting>
  <conditionalFormatting sqref="L22">
    <cfRule type="cellIs" dxfId="1428" priority="439" stopIfTrue="1" operator="equal">
      <formula>'1855'!$K$22</formula>
    </cfRule>
    <cfRule type="cellIs" dxfId="1427" priority="440" stopIfTrue="1" operator="lessThan">
      <formula>'1855'!$K$22</formula>
    </cfRule>
  </conditionalFormatting>
  <conditionalFormatting sqref="L23">
    <cfRule type="cellIs" dxfId="1426" priority="441" stopIfTrue="1" operator="equal">
      <formula>'1855'!$K$23</formula>
    </cfRule>
    <cfRule type="cellIs" dxfId="1425" priority="442" stopIfTrue="1" operator="lessThan">
      <formula>'1855'!$K$23</formula>
    </cfRule>
  </conditionalFormatting>
  <conditionalFormatting sqref="L24">
    <cfRule type="cellIs" dxfId="1424" priority="443" stopIfTrue="1" operator="equal">
      <formula>'1855'!$K$24</formula>
    </cfRule>
    <cfRule type="cellIs" dxfId="1423" priority="444" stopIfTrue="1" operator="lessThan">
      <formula>'1855'!$K$24</formula>
    </cfRule>
  </conditionalFormatting>
  <conditionalFormatting sqref="L25">
    <cfRule type="cellIs" dxfId="1422" priority="445" stopIfTrue="1" operator="equal">
      <formula>'1855'!$K$25</formula>
    </cfRule>
    <cfRule type="cellIs" dxfId="1421" priority="446" stopIfTrue="1" operator="lessThan">
      <formula>'1855'!$K$25</formula>
    </cfRule>
  </conditionalFormatting>
  <conditionalFormatting sqref="L26">
    <cfRule type="cellIs" dxfId="1420" priority="447" stopIfTrue="1" operator="equal">
      <formula>'1855'!$K$26</formula>
    </cfRule>
    <cfRule type="cellIs" dxfId="1419" priority="448" stopIfTrue="1" operator="lessThan">
      <formula>'1855'!$K$26</formula>
    </cfRule>
  </conditionalFormatting>
  <conditionalFormatting sqref="L27">
    <cfRule type="cellIs" dxfId="1418" priority="449" stopIfTrue="1" operator="equal">
      <formula>'1855'!$K$27</formula>
    </cfRule>
    <cfRule type="cellIs" dxfId="1417" priority="450" stopIfTrue="1" operator="lessThan">
      <formula>'1855'!$K$27</formula>
    </cfRule>
  </conditionalFormatting>
  <conditionalFormatting sqref="L28">
    <cfRule type="cellIs" dxfId="1416" priority="451" stopIfTrue="1" operator="equal">
      <formula>'1855'!$K$28</formula>
    </cfRule>
    <cfRule type="cellIs" dxfId="1415" priority="452" stopIfTrue="1" operator="lessThan">
      <formula>'1855'!$K$28</formula>
    </cfRule>
  </conditionalFormatting>
  <conditionalFormatting sqref="M4">
    <cfRule type="cellIs" dxfId="1414" priority="453" stopIfTrue="1" operator="lessThan">
      <formula>'1855'!$L$4</formula>
    </cfRule>
    <cfRule type="cellIs" dxfId="1413" priority="454" stopIfTrue="1" operator="equal">
      <formula>'1855'!$L$4</formula>
    </cfRule>
  </conditionalFormatting>
  <conditionalFormatting sqref="M5">
    <cfRule type="cellIs" dxfId="1412" priority="455" stopIfTrue="1" operator="equal">
      <formula>'1855'!$L$5</formula>
    </cfRule>
    <cfRule type="cellIs" dxfId="1411" priority="456" stopIfTrue="1" operator="lessThan">
      <formula>'1855'!$L$5</formula>
    </cfRule>
  </conditionalFormatting>
  <conditionalFormatting sqref="M6">
    <cfRule type="cellIs" dxfId="1410" priority="457" stopIfTrue="1" operator="equal">
      <formula>'1855'!$L$6</formula>
    </cfRule>
    <cfRule type="cellIs" dxfId="1409" priority="458" stopIfTrue="1" operator="lessThan">
      <formula>'1855'!$L$6</formula>
    </cfRule>
  </conditionalFormatting>
  <conditionalFormatting sqref="M7">
    <cfRule type="cellIs" dxfId="1408" priority="459" stopIfTrue="1" operator="equal">
      <formula>'1855'!$L$7</formula>
    </cfRule>
    <cfRule type="cellIs" dxfId="1407" priority="460" stopIfTrue="1" operator="lessThan">
      <formula>'1855'!$L$7</formula>
    </cfRule>
  </conditionalFormatting>
  <conditionalFormatting sqref="M8">
    <cfRule type="cellIs" dxfId="1406" priority="461" stopIfTrue="1" operator="equal">
      <formula>'1855'!$L$8</formula>
    </cfRule>
    <cfRule type="cellIs" dxfId="1405" priority="462" stopIfTrue="1" operator="lessThan">
      <formula>'1855'!$L$8</formula>
    </cfRule>
  </conditionalFormatting>
  <conditionalFormatting sqref="M9">
    <cfRule type="cellIs" dxfId="1404" priority="463" stopIfTrue="1" operator="equal">
      <formula>'1855'!$L$9</formula>
    </cfRule>
    <cfRule type="cellIs" dxfId="1403" priority="464" stopIfTrue="1" operator="lessThan">
      <formula>'1855'!$L$9</formula>
    </cfRule>
  </conditionalFormatting>
  <conditionalFormatting sqref="M10">
    <cfRule type="cellIs" dxfId="1402" priority="465" stopIfTrue="1" operator="equal">
      <formula>'1855'!$L$10</formula>
    </cfRule>
    <cfRule type="cellIs" dxfId="1401" priority="466" stopIfTrue="1" operator="lessThan">
      <formula>'1855'!$L$10</formula>
    </cfRule>
  </conditionalFormatting>
  <conditionalFormatting sqref="M11">
    <cfRule type="cellIs" dxfId="1400" priority="467" stopIfTrue="1" operator="equal">
      <formula>'1855'!$L$11</formula>
    </cfRule>
    <cfRule type="cellIs" dxfId="1399" priority="468" stopIfTrue="1" operator="lessThan">
      <formula>'1855'!$L$11</formula>
    </cfRule>
  </conditionalFormatting>
  <conditionalFormatting sqref="M12">
    <cfRule type="cellIs" dxfId="1398" priority="469" stopIfTrue="1" operator="equal">
      <formula>'1855'!$L$12</formula>
    </cfRule>
    <cfRule type="cellIs" dxfId="1397" priority="470" stopIfTrue="1" operator="lessThan">
      <formula>'1855'!$L$12</formula>
    </cfRule>
  </conditionalFormatting>
  <conditionalFormatting sqref="M13">
    <cfRule type="cellIs" dxfId="1396" priority="471" stopIfTrue="1" operator="equal">
      <formula>'1855'!$L$13</formula>
    </cfRule>
    <cfRule type="cellIs" dxfId="1395" priority="472" stopIfTrue="1" operator="lessThan">
      <formula>'1855'!$L$13</formula>
    </cfRule>
  </conditionalFormatting>
  <conditionalFormatting sqref="M14">
    <cfRule type="cellIs" dxfId="1394" priority="473" stopIfTrue="1" operator="equal">
      <formula>'1855'!$L$14</formula>
    </cfRule>
    <cfRule type="cellIs" dxfId="1393" priority="474" stopIfTrue="1" operator="lessThan">
      <formula>'1855'!$L$14</formula>
    </cfRule>
  </conditionalFormatting>
  <conditionalFormatting sqref="M15">
    <cfRule type="cellIs" dxfId="1392" priority="475" stopIfTrue="1" operator="equal">
      <formula>'1855'!$L$15</formula>
    </cfRule>
    <cfRule type="cellIs" dxfId="1391" priority="476" stopIfTrue="1" operator="lessThan">
      <formula>'1855'!$L$15</formula>
    </cfRule>
  </conditionalFormatting>
  <conditionalFormatting sqref="M16">
    <cfRule type="cellIs" dxfId="1390" priority="477" stopIfTrue="1" operator="equal">
      <formula>'1855'!$L$16</formula>
    </cfRule>
    <cfRule type="cellIs" dxfId="1389" priority="478" stopIfTrue="1" operator="lessThan">
      <formula>'1855'!$L$16</formula>
    </cfRule>
  </conditionalFormatting>
  <conditionalFormatting sqref="M17">
    <cfRule type="cellIs" dxfId="1388" priority="479" stopIfTrue="1" operator="equal">
      <formula>'1855'!$L$17</formula>
    </cfRule>
    <cfRule type="cellIs" dxfId="1387" priority="480" stopIfTrue="1" operator="lessThan">
      <formula>'1855'!$L$17</formula>
    </cfRule>
  </conditionalFormatting>
  <conditionalFormatting sqref="M18">
    <cfRule type="cellIs" dxfId="1386" priority="481" stopIfTrue="1" operator="equal">
      <formula>'1855'!$L$18</formula>
    </cfRule>
    <cfRule type="cellIs" dxfId="1385" priority="482" stopIfTrue="1" operator="lessThan">
      <formula>'1855'!$L$18</formula>
    </cfRule>
  </conditionalFormatting>
  <conditionalFormatting sqref="M19">
    <cfRule type="cellIs" dxfId="1384" priority="483" stopIfTrue="1" operator="equal">
      <formula>'1855'!$L$19</formula>
    </cfRule>
    <cfRule type="cellIs" dxfId="1383" priority="484" stopIfTrue="1" operator="lessThan">
      <formula>'1855'!$L$19</formula>
    </cfRule>
  </conditionalFormatting>
  <conditionalFormatting sqref="M20">
    <cfRule type="cellIs" dxfId="1382" priority="485" stopIfTrue="1" operator="equal">
      <formula>'1855'!$L$20</formula>
    </cfRule>
    <cfRule type="cellIs" dxfId="1381" priority="486" stopIfTrue="1" operator="lessThan">
      <formula>'1855'!$L$20</formula>
    </cfRule>
  </conditionalFormatting>
  <conditionalFormatting sqref="M21">
    <cfRule type="cellIs" dxfId="1380" priority="487" stopIfTrue="1" operator="equal">
      <formula>'1855'!$L$21</formula>
    </cfRule>
    <cfRule type="cellIs" dxfId="1379" priority="488" stopIfTrue="1" operator="lessThan">
      <formula>'1855'!$L$21</formula>
    </cfRule>
  </conditionalFormatting>
  <conditionalFormatting sqref="M22">
    <cfRule type="cellIs" dxfId="1378" priority="489" stopIfTrue="1" operator="equal">
      <formula>'1855'!$L$22</formula>
    </cfRule>
    <cfRule type="cellIs" dxfId="1377" priority="490" stopIfTrue="1" operator="lessThan">
      <formula>'1855'!$L$22</formula>
    </cfRule>
  </conditionalFormatting>
  <conditionalFormatting sqref="M23">
    <cfRule type="cellIs" dxfId="1376" priority="491" stopIfTrue="1" operator="equal">
      <formula>'1855'!$L$23</formula>
    </cfRule>
    <cfRule type="cellIs" dxfId="1375" priority="492" stopIfTrue="1" operator="lessThan">
      <formula>'1855'!$L$23</formula>
    </cfRule>
  </conditionalFormatting>
  <conditionalFormatting sqref="M24">
    <cfRule type="cellIs" dxfId="1374" priority="493" stopIfTrue="1" operator="equal">
      <formula>'1855'!$L$24</formula>
    </cfRule>
    <cfRule type="cellIs" dxfId="1373" priority="494" stopIfTrue="1" operator="lessThan">
      <formula>'1855'!$L$24</formula>
    </cfRule>
  </conditionalFormatting>
  <conditionalFormatting sqref="M25">
    <cfRule type="cellIs" dxfId="1372" priority="495" stopIfTrue="1" operator="equal">
      <formula>'1855'!$L$25</formula>
    </cfRule>
    <cfRule type="cellIs" dxfId="1371" priority="496" stopIfTrue="1" operator="lessThan">
      <formula>'1855'!$L$25</formula>
    </cfRule>
  </conditionalFormatting>
  <conditionalFormatting sqref="M26">
    <cfRule type="cellIs" dxfId="1370" priority="497" stopIfTrue="1" operator="equal">
      <formula>'1855'!$L$26</formula>
    </cfRule>
    <cfRule type="cellIs" dxfId="1369" priority="498" stopIfTrue="1" operator="lessThan">
      <formula>'1855'!$L$26</formula>
    </cfRule>
  </conditionalFormatting>
  <conditionalFormatting sqref="M27">
    <cfRule type="cellIs" dxfId="1368" priority="499" stopIfTrue="1" operator="equal">
      <formula>'1855'!$L$27</formula>
    </cfRule>
    <cfRule type="cellIs" dxfId="1367" priority="500" stopIfTrue="1" operator="lessThan">
      <formula>'1855'!$L$27</formula>
    </cfRule>
  </conditionalFormatting>
  <conditionalFormatting sqref="M28">
    <cfRule type="cellIs" dxfId="1366" priority="501" stopIfTrue="1" operator="equal">
      <formula>'1855'!$L$28</formula>
    </cfRule>
    <cfRule type="cellIs" dxfId="1365" priority="502" stopIfTrue="1" operator="lessThan">
      <formula>'1855'!$L$28</formula>
    </cfRule>
  </conditionalFormatting>
  <conditionalFormatting sqref="N4">
    <cfRule type="cellIs" dxfId="1364" priority="503" stopIfTrue="1" operator="equal">
      <formula>'1855'!$M$4</formula>
    </cfRule>
    <cfRule type="cellIs" dxfId="1363" priority="504" stopIfTrue="1" operator="lessThan">
      <formula>'1855'!$M$4</formula>
    </cfRule>
  </conditionalFormatting>
  <conditionalFormatting sqref="N5">
    <cfRule type="cellIs" dxfId="1362" priority="505" stopIfTrue="1" operator="equal">
      <formula>'1855'!$M$5</formula>
    </cfRule>
    <cfRule type="cellIs" dxfId="1361" priority="506" stopIfTrue="1" operator="lessThan">
      <formula>'1855'!$M$5</formula>
    </cfRule>
  </conditionalFormatting>
  <conditionalFormatting sqref="N6">
    <cfRule type="cellIs" dxfId="1360" priority="507" stopIfTrue="1" operator="equal">
      <formula>'1855'!$M$6</formula>
    </cfRule>
    <cfRule type="cellIs" dxfId="1359" priority="508" stopIfTrue="1" operator="lessThan">
      <formula>'1855'!$M$6</formula>
    </cfRule>
  </conditionalFormatting>
  <conditionalFormatting sqref="N7">
    <cfRule type="cellIs" dxfId="1358" priority="509" stopIfTrue="1" operator="equal">
      <formula>'1855'!$M$7</formula>
    </cfRule>
    <cfRule type="cellIs" dxfId="1357" priority="510" stopIfTrue="1" operator="lessThan">
      <formula>'1855'!$M$7</formula>
    </cfRule>
  </conditionalFormatting>
  <conditionalFormatting sqref="N8">
    <cfRule type="cellIs" dxfId="1356" priority="511" stopIfTrue="1" operator="equal">
      <formula>'1855'!$M$8</formula>
    </cfRule>
    <cfRule type="cellIs" dxfId="1355" priority="512" stopIfTrue="1" operator="lessThan">
      <formula>'1855'!$M$8</formula>
    </cfRule>
  </conditionalFormatting>
  <conditionalFormatting sqref="N9">
    <cfRule type="cellIs" dxfId="1354" priority="513" stopIfTrue="1" operator="equal">
      <formula>'1855'!$M$9</formula>
    </cfRule>
    <cfRule type="cellIs" dxfId="1353" priority="514" stopIfTrue="1" operator="lessThan">
      <formula>'1855'!$M$9</formula>
    </cfRule>
  </conditionalFormatting>
  <conditionalFormatting sqref="N10">
    <cfRule type="cellIs" dxfId="1352" priority="515" stopIfTrue="1" operator="equal">
      <formula>'1855'!$M$10</formula>
    </cfRule>
    <cfRule type="cellIs" dxfId="1351" priority="516" stopIfTrue="1" operator="lessThan">
      <formula>'1855'!$M$10</formula>
    </cfRule>
  </conditionalFormatting>
  <conditionalFormatting sqref="N11">
    <cfRule type="cellIs" dxfId="1350" priority="517" stopIfTrue="1" operator="equal">
      <formula>'1855'!$M$11</formula>
    </cfRule>
    <cfRule type="cellIs" dxfId="1349" priority="518" stopIfTrue="1" operator="lessThan">
      <formula>'1855'!$M$11</formula>
    </cfRule>
  </conditionalFormatting>
  <conditionalFormatting sqref="N12">
    <cfRule type="cellIs" dxfId="1348" priority="519" stopIfTrue="1" operator="equal">
      <formula>'1855'!$M$12</formula>
    </cfRule>
    <cfRule type="cellIs" dxfId="1347" priority="520" stopIfTrue="1" operator="lessThan">
      <formula>'1855'!$M$12</formula>
    </cfRule>
  </conditionalFormatting>
  <conditionalFormatting sqref="N13">
    <cfRule type="cellIs" dxfId="1346" priority="521" stopIfTrue="1" operator="equal">
      <formula>'1855'!$M$13</formula>
    </cfRule>
    <cfRule type="cellIs" dxfId="1345" priority="522" stopIfTrue="1" operator="lessThan">
      <formula>'1855'!$M$13</formula>
    </cfRule>
  </conditionalFormatting>
  <conditionalFormatting sqref="N14">
    <cfRule type="cellIs" dxfId="1344" priority="523" stopIfTrue="1" operator="equal">
      <formula>'1855'!$M$14</formula>
    </cfRule>
    <cfRule type="cellIs" dxfId="1343" priority="524" stopIfTrue="1" operator="lessThan">
      <formula>'1855'!$M$14</formula>
    </cfRule>
  </conditionalFormatting>
  <conditionalFormatting sqref="N15">
    <cfRule type="cellIs" dxfId="1342" priority="525" stopIfTrue="1" operator="equal">
      <formula>'1855'!$M$15</formula>
    </cfRule>
    <cfRule type="cellIs" dxfId="1341" priority="526" stopIfTrue="1" operator="lessThan">
      <formula>'1855'!$M$15</formula>
    </cfRule>
  </conditionalFormatting>
  <conditionalFormatting sqref="N16">
    <cfRule type="cellIs" dxfId="1340" priority="527" stopIfTrue="1" operator="equal">
      <formula>'1855'!$M$16</formula>
    </cfRule>
    <cfRule type="cellIs" dxfId="1339" priority="528" stopIfTrue="1" operator="lessThan">
      <formula>'1855'!$M$16</formula>
    </cfRule>
  </conditionalFormatting>
  <conditionalFormatting sqref="N17">
    <cfRule type="cellIs" dxfId="1338" priority="529" stopIfTrue="1" operator="equal">
      <formula>'1855'!$M$17</formula>
    </cfRule>
    <cfRule type="cellIs" dxfId="1337" priority="530" stopIfTrue="1" operator="lessThan">
      <formula>'1855'!$M$17</formula>
    </cfRule>
  </conditionalFormatting>
  <conditionalFormatting sqref="N18">
    <cfRule type="cellIs" dxfId="1336" priority="531" stopIfTrue="1" operator="equal">
      <formula>'1855'!$M$18</formula>
    </cfRule>
    <cfRule type="cellIs" dxfId="1335" priority="532" stopIfTrue="1" operator="lessThan">
      <formula>'1855'!$M$18</formula>
    </cfRule>
  </conditionalFormatting>
  <conditionalFormatting sqref="N19">
    <cfRule type="cellIs" dxfId="1334" priority="533" stopIfTrue="1" operator="equal">
      <formula>'1855'!$M$19</formula>
    </cfRule>
    <cfRule type="cellIs" dxfId="1333" priority="534" stopIfTrue="1" operator="lessThan">
      <formula>'1855'!$M$19</formula>
    </cfRule>
  </conditionalFormatting>
  <conditionalFormatting sqref="N20">
    <cfRule type="cellIs" dxfId="1332" priority="535" stopIfTrue="1" operator="equal">
      <formula>'1855'!$M$20</formula>
    </cfRule>
    <cfRule type="cellIs" dxfId="1331" priority="536" stopIfTrue="1" operator="lessThan">
      <formula>'1855'!$M$20</formula>
    </cfRule>
  </conditionalFormatting>
  <conditionalFormatting sqref="N21">
    <cfRule type="cellIs" dxfId="1330" priority="537" stopIfTrue="1" operator="equal">
      <formula>'1855'!$M$21</formula>
    </cfRule>
    <cfRule type="cellIs" dxfId="1329" priority="538" stopIfTrue="1" operator="lessThan">
      <formula>'1855'!$M$21</formula>
    </cfRule>
  </conditionalFormatting>
  <conditionalFormatting sqref="N22">
    <cfRule type="cellIs" dxfId="1328" priority="539" stopIfTrue="1" operator="equal">
      <formula>'1855'!$M$22</formula>
    </cfRule>
    <cfRule type="cellIs" dxfId="1327" priority="540" stopIfTrue="1" operator="lessThan">
      <formula>'1855'!$M$22</formula>
    </cfRule>
  </conditionalFormatting>
  <conditionalFormatting sqref="N23">
    <cfRule type="cellIs" dxfId="1326" priority="541" stopIfTrue="1" operator="equal">
      <formula>'1855'!$M$23</formula>
    </cfRule>
    <cfRule type="cellIs" dxfId="1325" priority="542" stopIfTrue="1" operator="lessThan">
      <formula>'1855'!$M$23</formula>
    </cfRule>
  </conditionalFormatting>
  <conditionalFormatting sqref="N24">
    <cfRule type="cellIs" dxfId="1324" priority="543" stopIfTrue="1" operator="equal">
      <formula>'1855'!$M$24</formula>
    </cfRule>
    <cfRule type="cellIs" dxfId="1323" priority="544" stopIfTrue="1" operator="lessThan">
      <formula>'1855'!$M$24</formula>
    </cfRule>
  </conditionalFormatting>
  <conditionalFormatting sqref="N25">
    <cfRule type="cellIs" dxfId="1322" priority="545" stopIfTrue="1" operator="equal">
      <formula>'1855'!$M$25</formula>
    </cfRule>
    <cfRule type="cellIs" dxfId="1321" priority="546" stopIfTrue="1" operator="lessThan">
      <formula>'1855'!$M$25</formula>
    </cfRule>
  </conditionalFormatting>
  <conditionalFormatting sqref="N26">
    <cfRule type="cellIs" dxfId="1320" priority="547" stopIfTrue="1" operator="equal">
      <formula>'1855'!$M$26</formula>
    </cfRule>
    <cfRule type="cellIs" dxfId="1319" priority="548" stopIfTrue="1" operator="lessThan">
      <formula>'1855'!$M$26</formula>
    </cfRule>
  </conditionalFormatting>
  <conditionalFormatting sqref="N27">
    <cfRule type="cellIs" dxfId="1318" priority="549" stopIfTrue="1" operator="equal">
      <formula>'1855'!$M$27</formula>
    </cfRule>
    <cfRule type="cellIs" dxfId="1317" priority="550" stopIfTrue="1" operator="lessThan">
      <formula>'1855'!$M$27</formula>
    </cfRule>
  </conditionalFormatting>
  <conditionalFormatting sqref="N28">
    <cfRule type="cellIs" dxfId="1316" priority="551" stopIfTrue="1" operator="equal">
      <formula>'1855'!$M$28</formula>
    </cfRule>
    <cfRule type="cellIs" dxfId="1315" priority="552" stopIfTrue="1" operator="lessThan">
      <formula>'1855'!$M$28</formula>
    </cfRule>
  </conditionalFormatting>
  <conditionalFormatting sqref="O4">
    <cfRule type="cellIs" dxfId="1314" priority="553" stopIfTrue="1" operator="equal">
      <formula>'1855'!$N$4</formula>
    </cfRule>
    <cfRule type="cellIs" dxfId="1313" priority="554" stopIfTrue="1" operator="lessThan">
      <formula>'1855'!$N$4</formula>
    </cfRule>
  </conditionalFormatting>
  <conditionalFormatting sqref="O5">
    <cfRule type="cellIs" dxfId="1312" priority="555" stopIfTrue="1" operator="equal">
      <formula>'1855'!$N$5</formula>
    </cfRule>
    <cfRule type="cellIs" dxfId="1311" priority="556" stopIfTrue="1" operator="lessThan">
      <formula>'1855'!$N$5</formula>
    </cfRule>
  </conditionalFormatting>
  <conditionalFormatting sqref="O6">
    <cfRule type="cellIs" dxfId="1310" priority="557" stopIfTrue="1" operator="equal">
      <formula>'1855'!$N$6</formula>
    </cfRule>
    <cfRule type="cellIs" dxfId="1309" priority="558" stopIfTrue="1" operator="lessThan">
      <formula>'1855'!$N$6</formula>
    </cfRule>
  </conditionalFormatting>
  <conditionalFormatting sqref="O7">
    <cfRule type="cellIs" dxfId="1308" priority="559" stopIfTrue="1" operator="equal">
      <formula>'1855'!$N$7</formula>
    </cfRule>
    <cfRule type="cellIs" dxfId="1307" priority="560" stopIfTrue="1" operator="lessThan">
      <formula>'1855'!$N$7</formula>
    </cfRule>
  </conditionalFormatting>
  <conditionalFormatting sqref="O8">
    <cfRule type="cellIs" dxfId="1306" priority="561" stopIfTrue="1" operator="equal">
      <formula>'1855'!$N$8</formula>
    </cfRule>
    <cfRule type="cellIs" dxfId="1305" priority="562" stopIfTrue="1" operator="lessThan">
      <formula>'1855'!$N$8</formula>
    </cfRule>
  </conditionalFormatting>
  <conditionalFormatting sqref="O9">
    <cfRule type="cellIs" dxfId="1304" priority="563" stopIfTrue="1" operator="equal">
      <formula>'1855'!$N$9</formula>
    </cfRule>
    <cfRule type="cellIs" dxfId="1303" priority="564" stopIfTrue="1" operator="lessThan">
      <formula>'1855'!$N$9</formula>
    </cfRule>
  </conditionalFormatting>
  <conditionalFormatting sqref="O10">
    <cfRule type="cellIs" dxfId="1302" priority="565" stopIfTrue="1" operator="equal">
      <formula>'1855'!$N$10</formula>
    </cfRule>
    <cfRule type="cellIs" dxfId="1301" priority="566" stopIfTrue="1" operator="lessThan">
      <formula>'1855'!$N$10</formula>
    </cfRule>
  </conditionalFormatting>
  <conditionalFormatting sqref="O11">
    <cfRule type="cellIs" dxfId="1300" priority="567" stopIfTrue="1" operator="equal">
      <formula>'1855'!$N$11</formula>
    </cfRule>
    <cfRule type="cellIs" dxfId="1299" priority="568" stopIfTrue="1" operator="lessThan">
      <formula>'1855'!$N$11</formula>
    </cfRule>
  </conditionalFormatting>
  <conditionalFormatting sqref="O12">
    <cfRule type="cellIs" dxfId="1298" priority="569" stopIfTrue="1" operator="equal">
      <formula>'1855'!$N$12</formula>
    </cfRule>
    <cfRule type="cellIs" dxfId="1297" priority="570" stopIfTrue="1" operator="lessThan">
      <formula>'1855'!$N$12</formula>
    </cfRule>
  </conditionalFormatting>
  <conditionalFormatting sqref="O13">
    <cfRule type="cellIs" dxfId="1296" priority="571" stopIfTrue="1" operator="equal">
      <formula>'1855'!$N$13</formula>
    </cfRule>
    <cfRule type="cellIs" dxfId="1295" priority="572" stopIfTrue="1" operator="lessThan">
      <formula>'1855'!$N$13</formula>
    </cfRule>
  </conditionalFormatting>
  <conditionalFormatting sqref="O14">
    <cfRule type="cellIs" dxfId="1294" priority="573" stopIfTrue="1" operator="equal">
      <formula>'1855'!$N$14</formula>
    </cfRule>
    <cfRule type="cellIs" dxfId="1293" priority="574" stopIfTrue="1" operator="lessThan">
      <formula>'1855'!$N$14</formula>
    </cfRule>
  </conditionalFormatting>
  <conditionalFormatting sqref="O15">
    <cfRule type="cellIs" dxfId="1292" priority="575" stopIfTrue="1" operator="equal">
      <formula>'1855'!$N$15</formula>
    </cfRule>
    <cfRule type="cellIs" dxfId="1291" priority="576" stopIfTrue="1" operator="lessThan">
      <formula>'1855'!$N$15</formula>
    </cfRule>
  </conditionalFormatting>
  <conditionalFormatting sqref="O16">
    <cfRule type="cellIs" dxfId="1290" priority="577" stopIfTrue="1" operator="equal">
      <formula>'1855'!$N$16</formula>
    </cfRule>
    <cfRule type="cellIs" dxfId="1289" priority="578" stopIfTrue="1" operator="lessThan">
      <formula>'1855'!$N$16</formula>
    </cfRule>
  </conditionalFormatting>
  <conditionalFormatting sqref="O17">
    <cfRule type="cellIs" dxfId="1288" priority="579" stopIfTrue="1" operator="equal">
      <formula>'1855'!$N$17</formula>
    </cfRule>
    <cfRule type="cellIs" dxfId="1287" priority="580" stopIfTrue="1" operator="lessThan">
      <formula>'1855'!$N$17</formula>
    </cfRule>
  </conditionalFormatting>
  <conditionalFormatting sqref="O18">
    <cfRule type="cellIs" dxfId="1286" priority="581" stopIfTrue="1" operator="equal">
      <formula>'1855'!$N$18</formula>
    </cfRule>
    <cfRule type="cellIs" dxfId="1285" priority="582" stopIfTrue="1" operator="lessThan">
      <formula>'1855'!$N$18</formula>
    </cfRule>
  </conditionalFormatting>
  <conditionalFormatting sqref="O19">
    <cfRule type="cellIs" dxfId="1284" priority="583" stopIfTrue="1" operator="equal">
      <formula>'1855'!$N$19</formula>
    </cfRule>
    <cfRule type="cellIs" dxfId="1283" priority="584" stopIfTrue="1" operator="lessThan">
      <formula>'1855'!$N$19</formula>
    </cfRule>
  </conditionalFormatting>
  <conditionalFormatting sqref="O20">
    <cfRule type="cellIs" dxfId="1282" priority="585" stopIfTrue="1" operator="equal">
      <formula>'1855'!$N$20</formula>
    </cfRule>
    <cfRule type="cellIs" dxfId="1281" priority="586" stopIfTrue="1" operator="lessThan">
      <formula>'1855'!$N$20</formula>
    </cfRule>
  </conditionalFormatting>
  <conditionalFormatting sqref="O21">
    <cfRule type="cellIs" dxfId="1280" priority="587" stopIfTrue="1" operator="equal">
      <formula>'1855'!$N$21</formula>
    </cfRule>
    <cfRule type="cellIs" dxfId="1279" priority="588" stopIfTrue="1" operator="lessThan">
      <formula>'1855'!$N$21</formula>
    </cfRule>
  </conditionalFormatting>
  <conditionalFormatting sqref="O22">
    <cfRule type="cellIs" dxfId="1278" priority="589" stopIfTrue="1" operator="equal">
      <formula>'1855'!$N$22</formula>
    </cfRule>
    <cfRule type="cellIs" dxfId="1277" priority="590" stopIfTrue="1" operator="lessThan">
      <formula>'1855'!$N$22</formula>
    </cfRule>
  </conditionalFormatting>
  <conditionalFormatting sqref="O23">
    <cfRule type="cellIs" dxfId="1276" priority="591" stopIfTrue="1" operator="equal">
      <formula>'1855'!$N$23</formula>
    </cfRule>
    <cfRule type="cellIs" dxfId="1275" priority="592" stopIfTrue="1" operator="lessThan">
      <formula>'1855'!$N$23</formula>
    </cfRule>
  </conditionalFormatting>
  <conditionalFormatting sqref="O24">
    <cfRule type="cellIs" dxfId="1274" priority="593" stopIfTrue="1" operator="equal">
      <formula>'1855'!$N$24</formula>
    </cfRule>
    <cfRule type="cellIs" dxfId="1273" priority="594" stopIfTrue="1" operator="lessThan">
      <formula>'1855'!$N$24</formula>
    </cfRule>
  </conditionalFormatting>
  <conditionalFormatting sqref="O25">
    <cfRule type="cellIs" dxfId="1272" priority="595" stopIfTrue="1" operator="equal">
      <formula>'1855'!$N$25</formula>
    </cfRule>
    <cfRule type="cellIs" dxfId="1271" priority="596" stopIfTrue="1" operator="lessThan">
      <formula>'1855'!$N$25</formula>
    </cfRule>
  </conditionalFormatting>
  <conditionalFormatting sqref="O26">
    <cfRule type="cellIs" dxfId="1270" priority="597" stopIfTrue="1" operator="equal">
      <formula>'1855'!$N$26</formula>
    </cfRule>
    <cfRule type="cellIs" dxfId="1269" priority="598" stopIfTrue="1" operator="lessThan">
      <formula>'1855'!$N$26</formula>
    </cfRule>
  </conditionalFormatting>
  <conditionalFormatting sqref="O27">
    <cfRule type="cellIs" dxfId="1268" priority="599" stopIfTrue="1" operator="equal">
      <formula>'1855'!$N$27</formula>
    </cfRule>
    <cfRule type="cellIs" dxfId="1267" priority="600" stopIfTrue="1" operator="lessThan">
      <formula>'1855'!$N$27</formula>
    </cfRule>
  </conditionalFormatting>
  <conditionalFormatting sqref="O28">
    <cfRule type="cellIs" dxfId="1266" priority="601" stopIfTrue="1" operator="equal">
      <formula>'1855'!$N$28</formula>
    </cfRule>
    <cfRule type="cellIs" dxfId="1265" priority="602" stopIfTrue="1" operator="lessThan">
      <formula>'1855'!$N$28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35"/>
  <sheetViews>
    <sheetView workbookViewId="0">
      <selection activeCell="O2" sqref="O2"/>
    </sheetView>
  </sheetViews>
  <sheetFormatPr defaultRowHeight="15"/>
  <cols>
    <col min="1" max="1" width="8.5703125" style="166" customWidth="1"/>
    <col min="2" max="2" width="26.140625" customWidth="1"/>
    <col min="3" max="12" width="10.140625" customWidth="1"/>
    <col min="13" max="13" width="12" bestFit="1" customWidth="1"/>
    <col min="14" max="15" width="10.140625" customWidth="1"/>
    <col min="16" max="16" width="9.85546875" bestFit="1" customWidth="1"/>
    <col min="17" max="17" width="11.140625" bestFit="1" customWidth="1"/>
    <col min="18" max="18" width="9.28515625" bestFit="1" customWidth="1"/>
    <col min="19" max="19" width="3.5703125" customWidth="1"/>
  </cols>
  <sheetData>
    <row r="1" spans="1:32" ht="15.75" thickBot="1"/>
    <row r="2" spans="1:32" s="1" customFormat="1" ht="21" customHeight="1" thickBot="1">
      <c r="A2" s="161">
        <v>1856</v>
      </c>
      <c r="B2" s="2"/>
      <c r="C2" s="3">
        <f>'1850'!C2</f>
        <v>44197</v>
      </c>
      <c r="D2" s="3">
        <f>'1850'!D2</f>
        <v>44228</v>
      </c>
      <c r="E2" s="3">
        <f>'1850'!E2</f>
        <v>44256</v>
      </c>
      <c r="F2" s="3">
        <f>'1850'!F2</f>
        <v>44286</v>
      </c>
      <c r="G2" s="3">
        <f>'1850'!G2</f>
        <v>44316</v>
      </c>
      <c r="H2" s="3">
        <f>'1850'!H2</f>
        <v>44348</v>
      </c>
      <c r="I2" s="3">
        <f>'1850'!I2</f>
        <v>44379</v>
      </c>
      <c r="J2" s="3">
        <f>'1850'!J2</f>
        <v>44410</v>
      </c>
      <c r="K2" s="3">
        <f>'1850'!K2</f>
        <v>44441</v>
      </c>
      <c r="L2" s="3">
        <f>'1850'!L2</f>
        <v>44470</v>
      </c>
      <c r="M2" s="3">
        <f>'1850'!M2</f>
        <v>44501</v>
      </c>
      <c r="N2" s="3">
        <f>'1850'!N2</f>
        <v>44531</v>
      </c>
      <c r="O2" s="3">
        <f>'1850'!O2</f>
        <v>44562</v>
      </c>
      <c r="P2" s="1" t="s">
        <v>58</v>
      </c>
      <c r="Q2" s="1" t="s">
        <v>59</v>
      </c>
      <c r="R2" s="1" t="s">
        <v>60</v>
      </c>
      <c r="U2" s="198"/>
      <c r="V2" s="199"/>
      <c r="W2" s="199"/>
      <c r="X2" s="199"/>
      <c r="Y2" s="199" t="s">
        <v>287</v>
      </c>
      <c r="Z2" s="199"/>
      <c r="AA2" s="199"/>
      <c r="AB2" s="199"/>
      <c r="AC2" s="199"/>
      <c r="AD2" s="205"/>
      <c r="AE2" s="205"/>
      <c r="AF2" s="206"/>
    </row>
    <row r="3" spans="1:32" s="1" customFormat="1" ht="15.75" thickBot="1">
      <c r="A3" s="162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166</v>
      </c>
      <c r="Q3" s="1" t="s">
        <v>165</v>
      </c>
      <c r="R3" s="1" t="s">
        <v>167</v>
      </c>
      <c r="T3" s="1" t="s">
        <v>286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2" t="s">
        <v>13</v>
      </c>
      <c r="AE3" s="162" t="s">
        <v>14</v>
      </c>
      <c r="AF3" s="162" t="s">
        <v>3</v>
      </c>
    </row>
    <row r="4" spans="1:32" ht="15.75" thickBot="1">
      <c r="A4" s="289">
        <v>1</v>
      </c>
      <c r="B4" s="7" t="s">
        <v>265</v>
      </c>
      <c r="C4" s="94">
        <v>208.15799999999999</v>
      </c>
      <c r="D4" s="8">
        <v>222.798</v>
      </c>
      <c r="E4" s="8">
        <v>236.113</v>
      </c>
      <c r="F4" s="8">
        <v>251.80099999999999</v>
      </c>
      <c r="G4" s="8">
        <v>267.98200000000003</v>
      </c>
      <c r="H4" s="8">
        <v>283.33300000000003</v>
      </c>
      <c r="I4" s="8">
        <v>296.36599999999999</v>
      </c>
      <c r="J4" s="8">
        <v>309.16699999999997</v>
      </c>
      <c r="K4" s="8">
        <v>322.62700000000001</v>
      </c>
      <c r="L4" s="9">
        <v>337.04300000000001</v>
      </c>
      <c r="M4" s="8">
        <v>355.53</v>
      </c>
      <c r="N4" s="8">
        <v>373.666</v>
      </c>
      <c r="O4" s="8">
        <v>391.79199999999997</v>
      </c>
      <c r="P4" s="10">
        <f>O4-C4</f>
        <v>183.63399999999999</v>
      </c>
      <c r="Q4" s="10"/>
      <c r="T4" s="1">
        <v>1</v>
      </c>
      <c r="U4" s="200">
        <f t="shared" ref="U4:AF4" si="0">D4-C4</f>
        <v>14.640000000000015</v>
      </c>
      <c r="V4" s="200">
        <f t="shared" si="0"/>
        <v>13.314999999999998</v>
      </c>
      <c r="W4" s="200">
        <f t="shared" si="0"/>
        <v>15.687999999999988</v>
      </c>
      <c r="X4" s="200">
        <f t="shared" si="0"/>
        <v>16.18100000000004</v>
      </c>
      <c r="Y4" s="200">
        <f t="shared" si="0"/>
        <v>15.350999999999999</v>
      </c>
      <c r="Z4" s="200">
        <f t="shared" si="0"/>
        <v>13.032999999999959</v>
      </c>
      <c r="AA4" s="200">
        <f t="shared" si="0"/>
        <v>12.800999999999988</v>
      </c>
      <c r="AB4" s="200">
        <f t="shared" si="0"/>
        <v>13.460000000000036</v>
      </c>
      <c r="AC4" s="200">
        <f t="shared" si="0"/>
        <v>14.415999999999997</v>
      </c>
      <c r="AD4" s="200">
        <f t="shared" si="0"/>
        <v>18.486999999999966</v>
      </c>
      <c r="AE4" s="200">
        <f t="shared" si="0"/>
        <v>18.136000000000024</v>
      </c>
      <c r="AF4" s="200">
        <f t="shared" si="0"/>
        <v>18.125999999999976</v>
      </c>
    </row>
    <row r="5" spans="1:32">
      <c r="A5" s="289"/>
      <c r="B5" s="11" t="s">
        <v>95</v>
      </c>
      <c r="C5" s="95">
        <v>101.435</v>
      </c>
      <c r="D5" s="12">
        <v>107.923</v>
      </c>
      <c r="E5" s="12">
        <v>114.45699999999999</v>
      </c>
      <c r="F5" s="12">
        <v>119.782</v>
      </c>
      <c r="G5" s="12">
        <v>123.64700000000001</v>
      </c>
      <c r="H5" s="12">
        <v>125.697</v>
      </c>
      <c r="I5" s="12">
        <v>126.40600000000001</v>
      </c>
      <c r="J5" s="12">
        <v>126.995</v>
      </c>
      <c r="K5" s="12">
        <v>127.619</v>
      </c>
      <c r="L5" s="13">
        <v>128.67099999999999</v>
      </c>
      <c r="M5" s="12">
        <v>132.00700000000001</v>
      </c>
      <c r="N5" s="12">
        <v>136.66900000000001</v>
      </c>
      <c r="O5" s="12">
        <v>142.31</v>
      </c>
      <c r="Q5" s="10">
        <f>O5-C5</f>
        <v>40.875</v>
      </c>
      <c r="T5" s="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</row>
    <row r="6" spans="1:32">
      <c r="A6" s="288">
        <v>2</v>
      </c>
      <c r="B6" s="11" t="s">
        <v>266</v>
      </c>
      <c r="C6" s="95">
        <v>78.504999999999995</v>
      </c>
      <c r="D6" s="12">
        <v>84.784999999999997</v>
      </c>
      <c r="E6" s="12">
        <v>90.584999999999994</v>
      </c>
      <c r="F6" s="12">
        <v>96.355000000000004</v>
      </c>
      <c r="G6" s="12">
        <v>103.012</v>
      </c>
      <c r="H6" s="12">
        <v>109.40600000000001</v>
      </c>
      <c r="I6" s="12">
        <v>116.381</v>
      </c>
      <c r="J6" s="12">
        <v>122.242</v>
      </c>
      <c r="K6" s="12">
        <v>128.58199999999999</v>
      </c>
      <c r="L6" s="12">
        <v>133.61699999999999</v>
      </c>
      <c r="M6" s="12">
        <v>139.417</v>
      </c>
      <c r="N6" s="12">
        <v>145.726</v>
      </c>
      <c r="O6" s="12">
        <v>152.505</v>
      </c>
      <c r="P6" s="10">
        <f>O6-C6</f>
        <v>74</v>
      </c>
      <c r="Q6" s="10"/>
      <c r="T6" s="1">
        <v>2</v>
      </c>
      <c r="U6" s="202">
        <f t="shared" ref="U6:AF6" si="1">D6-C6</f>
        <v>6.2800000000000011</v>
      </c>
      <c r="V6" s="202">
        <f t="shared" si="1"/>
        <v>5.7999999999999972</v>
      </c>
      <c r="W6" s="202">
        <f t="shared" si="1"/>
        <v>5.7700000000000102</v>
      </c>
      <c r="X6" s="202">
        <f t="shared" si="1"/>
        <v>6.6569999999999965</v>
      </c>
      <c r="Y6" s="202">
        <f t="shared" si="1"/>
        <v>6.3940000000000055</v>
      </c>
      <c r="Z6" s="202">
        <f t="shared" si="1"/>
        <v>6.9749999999999943</v>
      </c>
      <c r="AA6" s="202">
        <f t="shared" si="1"/>
        <v>5.8610000000000042</v>
      </c>
      <c r="AB6" s="202">
        <f t="shared" si="1"/>
        <v>6.3399999999999892</v>
      </c>
      <c r="AC6" s="202">
        <f t="shared" si="1"/>
        <v>5.0349999999999966</v>
      </c>
      <c r="AD6" s="202">
        <f t="shared" si="1"/>
        <v>5.8000000000000114</v>
      </c>
      <c r="AE6" s="202">
        <f t="shared" si="1"/>
        <v>6.3089999999999975</v>
      </c>
      <c r="AF6" s="202">
        <f t="shared" si="1"/>
        <v>6.7789999999999964</v>
      </c>
    </row>
    <row r="7" spans="1:32">
      <c r="A7" s="288"/>
      <c r="B7" s="11" t="s">
        <v>96</v>
      </c>
      <c r="C7" s="95">
        <v>35.551000000000002</v>
      </c>
      <c r="D7" s="12">
        <v>37.709000000000003</v>
      </c>
      <c r="E7" s="12">
        <v>39.621000000000002</v>
      </c>
      <c r="F7" s="12">
        <v>41.075000000000003</v>
      </c>
      <c r="G7" s="12">
        <v>42.206000000000003</v>
      </c>
      <c r="H7" s="12">
        <v>42.905999999999999</v>
      </c>
      <c r="I7" s="12">
        <v>43.372999999999998</v>
      </c>
      <c r="J7" s="12">
        <v>43.732999999999997</v>
      </c>
      <c r="K7" s="12">
        <v>44.085000000000001</v>
      </c>
      <c r="L7" s="12">
        <v>44.463999999999999</v>
      </c>
      <c r="M7" s="12">
        <v>45.139000000000003</v>
      </c>
      <c r="N7" s="12">
        <v>46.65</v>
      </c>
      <c r="O7" s="12">
        <v>48.460999999999999</v>
      </c>
      <c r="Q7" s="10">
        <f>O7-C7</f>
        <v>12.909999999999997</v>
      </c>
      <c r="T7" s="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</row>
    <row r="8" spans="1:32">
      <c r="A8" s="288">
        <v>3</v>
      </c>
      <c r="B8" s="11" t="s">
        <v>267</v>
      </c>
      <c r="C8" s="95">
        <v>70.387</v>
      </c>
      <c r="D8" s="12">
        <v>76.447000000000003</v>
      </c>
      <c r="E8" s="12">
        <v>82.158000000000001</v>
      </c>
      <c r="F8" s="12">
        <v>88.516000000000005</v>
      </c>
      <c r="G8" s="12">
        <v>94.575999999999993</v>
      </c>
      <c r="H8" s="12">
        <v>100.39</v>
      </c>
      <c r="I8" s="12">
        <v>104.285</v>
      </c>
      <c r="J8" s="12">
        <v>108.179</v>
      </c>
      <c r="K8" s="12">
        <v>112.39400000000001</v>
      </c>
      <c r="L8" s="12">
        <v>116.67700000000001</v>
      </c>
      <c r="M8" s="12">
        <v>120.64</v>
      </c>
      <c r="N8" s="12">
        <v>124.58199999999999</v>
      </c>
      <c r="O8" s="12">
        <v>129.30699999999999</v>
      </c>
      <c r="P8" s="10">
        <f>O8-C8</f>
        <v>58.919999999999987</v>
      </c>
      <c r="Q8" s="10"/>
      <c r="T8" s="1">
        <v>3</v>
      </c>
      <c r="U8" s="202">
        <f t="shared" ref="U8:AF8" si="2">D8-C8</f>
        <v>6.0600000000000023</v>
      </c>
      <c r="V8" s="202">
        <f t="shared" si="2"/>
        <v>5.7109999999999985</v>
      </c>
      <c r="W8" s="202">
        <f t="shared" si="2"/>
        <v>6.3580000000000041</v>
      </c>
      <c r="X8" s="202">
        <f t="shared" si="2"/>
        <v>6.0599999999999881</v>
      </c>
      <c r="Y8" s="202">
        <f t="shared" si="2"/>
        <v>5.8140000000000072</v>
      </c>
      <c r="Z8" s="202">
        <f t="shared" si="2"/>
        <v>3.894999999999996</v>
      </c>
      <c r="AA8" s="202">
        <f t="shared" si="2"/>
        <v>3.8940000000000055</v>
      </c>
      <c r="AB8" s="202">
        <f t="shared" si="2"/>
        <v>4.2150000000000034</v>
      </c>
      <c r="AC8" s="202">
        <f t="shared" si="2"/>
        <v>4.2830000000000013</v>
      </c>
      <c r="AD8" s="202">
        <f t="shared" si="2"/>
        <v>3.9629999999999939</v>
      </c>
      <c r="AE8" s="202">
        <f t="shared" si="2"/>
        <v>3.9419999999999931</v>
      </c>
      <c r="AF8" s="202">
        <f t="shared" si="2"/>
        <v>4.7249999999999943</v>
      </c>
    </row>
    <row r="9" spans="1:32">
      <c r="A9" s="288"/>
      <c r="B9" s="11" t="s">
        <v>97</v>
      </c>
      <c r="C9" s="95">
        <v>92.087999999999994</v>
      </c>
      <c r="D9" s="12">
        <v>97.534000000000006</v>
      </c>
      <c r="E9" s="12">
        <v>102.69799999999999</v>
      </c>
      <c r="F9" s="12">
        <v>106.36499999999999</v>
      </c>
      <c r="G9" s="12">
        <v>108.71</v>
      </c>
      <c r="H9" s="12">
        <v>109.64100000000001</v>
      </c>
      <c r="I9" s="12">
        <v>109.96</v>
      </c>
      <c r="J9" s="12">
        <v>110.2</v>
      </c>
      <c r="K9" s="12">
        <v>110.55</v>
      </c>
      <c r="L9" s="12">
        <v>111.048</v>
      </c>
      <c r="M9" s="12">
        <v>112.511</v>
      </c>
      <c r="N9" s="12">
        <v>115.43899999999999</v>
      </c>
      <c r="O9" s="12">
        <v>119.68</v>
      </c>
      <c r="Q9" s="10">
        <f>O9-C9</f>
        <v>27.592000000000013</v>
      </c>
      <c r="T9" s="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</row>
    <row r="10" spans="1:32">
      <c r="A10" s="288">
        <v>4</v>
      </c>
      <c r="B10" s="11" t="s">
        <v>268</v>
      </c>
      <c r="C10" s="95">
        <v>92.95</v>
      </c>
      <c r="D10" s="12">
        <v>101.765</v>
      </c>
      <c r="E10" s="12">
        <v>109.456</v>
      </c>
      <c r="F10" s="12">
        <v>118.20099999999999</v>
      </c>
      <c r="G10" s="12">
        <v>126.304</v>
      </c>
      <c r="H10" s="12">
        <v>134.51</v>
      </c>
      <c r="I10" s="12">
        <v>141.13399999999999</v>
      </c>
      <c r="J10" s="12">
        <v>146.66300000000001</v>
      </c>
      <c r="K10" s="12">
        <v>146.68199999999999</v>
      </c>
      <c r="L10" s="12">
        <v>148.55799999999999</v>
      </c>
      <c r="M10" s="12">
        <v>155.846</v>
      </c>
      <c r="N10" s="12">
        <v>160.67599999999999</v>
      </c>
      <c r="O10" s="12">
        <v>166.976</v>
      </c>
      <c r="P10" s="10">
        <f>O10-C10</f>
        <v>74.025999999999996</v>
      </c>
      <c r="Q10" s="10"/>
      <c r="T10" s="1">
        <v>4</v>
      </c>
      <c r="U10" s="202">
        <f t="shared" ref="U10:AF10" si="3">D10-C10</f>
        <v>8.8149999999999977</v>
      </c>
      <c r="V10" s="202">
        <f t="shared" si="3"/>
        <v>7.6910000000000025</v>
      </c>
      <c r="W10" s="202">
        <f t="shared" si="3"/>
        <v>8.7449999999999903</v>
      </c>
      <c r="X10" s="202">
        <f t="shared" si="3"/>
        <v>8.1030000000000086</v>
      </c>
      <c r="Y10" s="202">
        <f t="shared" si="3"/>
        <v>8.2059999999999889</v>
      </c>
      <c r="Z10" s="202">
        <f t="shared" si="3"/>
        <v>6.6239999999999952</v>
      </c>
      <c r="AA10" s="202">
        <f t="shared" si="3"/>
        <v>5.5290000000000248</v>
      </c>
      <c r="AB10" s="202">
        <f t="shared" si="3"/>
        <v>1.8999999999977035E-2</v>
      </c>
      <c r="AC10" s="202">
        <f t="shared" si="3"/>
        <v>1.8760000000000048</v>
      </c>
      <c r="AD10" s="202">
        <f t="shared" si="3"/>
        <v>7.2880000000000109</v>
      </c>
      <c r="AE10" s="202">
        <f t="shared" si="3"/>
        <v>4.8299999999999841</v>
      </c>
      <c r="AF10" s="202">
        <f t="shared" si="3"/>
        <v>6.3000000000000114</v>
      </c>
    </row>
    <row r="11" spans="1:32">
      <c r="A11" s="288"/>
      <c r="B11" s="11" t="s">
        <v>98</v>
      </c>
      <c r="C11" s="95">
        <v>55.183</v>
      </c>
      <c r="D11" s="12">
        <v>57.883000000000003</v>
      </c>
      <c r="E11" s="12">
        <v>59.834000000000003</v>
      </c>
      <c r="F11" s="12">
        <v>61.289000000000001</v>
      </c>
      <c r="G11" s="12">
        <v>62.405000000000001</v>
      </c>
      <c r="H11" s="12">
        <v>63.326999999999998</v>
      </c>
      <c r="I11" s="12">
        <v>63.912999999999997</v>
      </c>
      <c r="J11" s="12">
        <v>64.385000000000005</v>
      </c>
      <c r="K11" s="12">
        <v>64.488</v>
      </c>
      <c r="L11" s="12">
        <v>64.680999999999997</v>
      </c>
      <c r="M11" s="12">
        <v>65.341999999999999</v>
      </c>
      <c r="N11" s="12">
        <v>67.061000000000007</v>
      </c>
      <c r="O11" s="12">
        <v>69.016999999999996</v>
      </c>
      <c r="Q11" s="10">
        <f>O11-C11</f>
        <v>13.833999999999996</v>
      </c>
      <c r="T11" s="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</row>
    <row r="12" spans="1:32">
      <c r="A12" s="288">
        <v>5</v>
      </c>
      <c r="B12" s="11" t="s">
        <v>269</v>
      </c>
      <c r="C12" s="95">
        <v>11.763999999999999</v>
      </c>
      <c r="D12" s="12">
        <v>12.236000000000001</v>
      </c>
      <c r="E12" s="12">
        <v>12.782999999999999</v>
      </c>
      <c r="F12" s="12">
        <v>13.776999999999999</v>
      </c>
      <c r="G12" s="12">
        <v>14.68</v>
      </c>
      <c r="H12" s="12">
        <v>16.178999999999998</v>
      </c>
      <c r="I12" s="12">
        <v>16.766999999999999</v>
      </c>
      <c r="J12" s="12">
        <v>17.151</v>
      </c>
      <c r="K12" s="12">
        <v>17.524000000000001</v>
      </c>
      <c r="L12" s="12">
        <v>18.079999999999998</v>
      </c>
      <c r="M12" s="12">
        <v>21.390999999999998</v>
      </c>
      <c r="N12" s="12">
        <v>24.521999999999998</v>
      </c>
      <c r="O12" s="12">
        <v>27.463999999999999</v>
      </c>
      <c r="P12" s="10">
        <f>O12-C12</f>
        <v>15.7</v>
      </c>
      <c r="Q12" s="10"/>
      <c r="T12" s="1">
        <v>5</v>
      </c>
      <c r="U12" s="202">
        <f t="shared" ref="U12:AF12" si="4">D12-C12</f>
        <v>0.47200000000000131</v>
      </c>
      <c r="V12" s="202">
        <f t="shared" si="4"/>
        <v>0.54699999999999882</v>
      </c>
      <c r="W12" s="202">
        <f t="shared" si="4"/>
        <v>0.99399999999999977</v>
      </c>
      <c r="X12" s="202">
        <f t="shared" si="4"/>
        <v>0.90300000000000047</v>
      </c>
      <c r="Y12" s="202">
        <f t="shared" si="4"/>
        <v>1.4989999999999988</v>
      </c>
      <c r="Z12" s="202">
        <f t="shared" si="4"/>
        <v>0.58800000000000097</v>
      </c>
      <c r="AA12" s="202">
        <f t="shared" si="4"/>
        <v>0.38400000000000034</v>
      </c>
      <c r="AB12" s="202">
        <f t="shared" si="4"/>
        <v>0.37300000000000111</v>
      </c>
      <c r="AC12" s="202">
        <f t="shared" si="4"/>
        <v>0.55599999999999739</v>
      </c>
      <c r="AD12" s="202">
        <f t="shared" si="4"/>
        <v>3.3109999999999999</v>
      </c>
      <c r="AE12" s="202">
        <f t="shared" si="4"/>
        <v>3.1310000000000002</v>
      </c>
      <c r="AF12" s="202">
        <f t="shared" si="4"/>
        <v>2.9420000000000002</v>
      </c>
    </row>
    <row r="13" spans="1:32">
      <c r="A13" s="288"/>
      <c r="B13" s="11" t="s">
        <v>99</v>
      </c>
      <c r="C13" s="95">
        <v>13.022</v>
      </c>
      <c r="D13" s="12">
        <v>14.000999999999999</v>
      </c>
      <c r="E13" s="12">
        <v>14.803000000000001</v>
      </c>
      <c r="F13" s="12">
        <v>15.351000000000001</v>
      </c>
      <c r="G13" s="12">
        <v>15.396000000000001</v>
      </c>
      <c r="H13" s="12">
        <v>15.458</v>
      </c>
      <c r="I13" s="12">
        <v>15.477</v>
      </c>
      <c r="J13" s="12">
        <v>15.488</v>
      </c>
      <c r="K13" s="12">
        <v>15.505000000000001</v>
      </c>
      <c r="L13" s="12">
        <v>15.53</v>
      </c>
      <c r="M13" s="12">
        <v>15.728</v>
      </c>
      <c r="N13" s="12">
        <v>16.420000000000002</v>
      </c>
      <c r="O13" s="12">
        <v>17.919</v>
      </c>
      <c r="Q13" s="10">
        <f>O13-C13</f>
        <v>4.8970000000000002</v>
      </c>
      <c r="T13" s="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</row>
    <row r="14" spans="1:32">
      <c r="A14" s="288">
        <v>6</v>
      </c>
      <c r="B14" s="11" t="s">
        <v>270</v>
      </c>
      <c r="C14" s="95">
        <v>89.415000000000006</v>
      </c>
      <c r="D14" s="12">
        <v>95.62</v>
      </c>
      <c r="E14" s="12">
        <v>101.057</v>
      </c>
      <c r="F14" s="12">
        <v>107.29</v>
      </c>
      <c r="G14" s="12">
        <v>113.83499999999999</v>
      </c>
      <c r="H14" s="12">
        <v>120.444</v>
      </c>
      <c r="I14" s="12">
        <v>126.869</v>
      </c>
      <c r="J14" s="12">
        <v>132.51599999999999</v>
      </c>
      <c r="K14" s="12">
        <v>137.976</v>
      </c>
      <c r="L14" s="12">
        <v>142.91200000000001</v>
      </c>
      <c r="M14" s="12">
        <v>149.09</v>
      </c>
      <c r="N14" s="12">
        <v>155.048</v>
      </c>
      <c r="O14" s="12">
        <v>161.63300000000001</v>
      </c>
      <c r="P14" s="10">
        <f>O14-C14</f>
        <v>72.218000000000004</v>
      </c>
      <c r="Q14" s="10"/>
      <c r="T14" s="1">
        <v>6</v>
      </c>
      <c r="U14" s="202">
        <f t="shared" ref="U14:AF14" si="5">D14-C14</f>
        <v>6.2049999999999983</v>
      </c>
      <c r="V14" s="202">
        <f t="shared" si="5"/>
        <v>5.4369999999999976</v>
      </c>
      <c r="W14" s="202">
        <f t="shared" si="5"/>
        <v>6.2330000000000041</v>
      </c>
      <c r="X14" s="202">
        <f t="shared" si="5"/>
        <v>6.5449999999999875</v>
      </c>
      <c r="Y14" s="202">
        <f t="shared" si="5"/>
        <v>6.6090000000000089</v>
      </c>
      <c r="Z14" s="202">
        <f t="shared" si="5"/>
        <v>6.4249999999999972</v>
      </c>
      <c r="AA14" s="202">
        <f t="shared" si="5"/>
        <v>5.6469999999999914</v>
      </c>
      <c r="AB14" s="202">
        <f t="shared" si="5"/>
        <v>5.460000000000008</v>
      </c>
      <c r="AC14" s="202">
        <f t="shared" si="5"/>
        <v>4.936000000000007</v>
      </c>
      <c r="AD14" s="202">
        <f t="shared" si="5"/>
        <v>6.1779999999999973</v>
      </c>
      <c r="AE14" s="202">
        <f t="shared" si="5"/>
        <v>5.9579999999999984</v>
      </c>
      <c r="AF14" s="202">
        <f t="shared" si="5"/>
        <v>6.585000000000008</v>
      </c>
    </row>
    <row r="15" spans="1:32">
      <c r="A15" s="288"/>
      <c r="B15" s="11" t="s">
        <v>100</v>
      </c>
      <c r="C15" s="95">
        <v>35.045000000000002</v>
      </c>
      <c r="D15" s="12">
        <v>37.701999999999998</v>
      </c>
      <c r="E15" s="12">
        <v>40.570999999999998</v>
      </c>
      <c r="F15" s="12">
        <v>43.003999999999998</v>
      </c>
      <c r="G15" s="12">
        <v>44.823</v>
      </c>
      <c r="H15" s="12">
        <v>45.963000000000001</v>
      </c>
      <c r="I15" s="12">
        <v>46.353999999999999</v>
      </c>
      <c r="J15" s="12">
        <v>46.651000000000003</v>
      </c>
      <c r="K15" s="12">
        <v>46.96</v>
      </c>
      <c r="L15" s="12">
        <v>47.192</v>
      </c>
      <c r="M15" s="12">
        <v>47.97</v>
      </c>
      <c r="N15" s="12">
        <v>49.56</v>
      </c>
      <c r="O15" s="12">
        <v>51.612000000000002</v>
      </c>
      <c r="Q15" s="10">
        <f>O15-C15</f>
        <v>16.567</v>
      </c>
      <c r="T15" s="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</row>
    <row r="16" spans="1:32">
      <c r="A16" s="288">
        <v>7</v>
      </c>
      <c r="B16" s="11" t="s">
        <v>271</v>
      </c>
      <c r="C16" s="95">
        <v>61.8</v>
      </c>
      <c r="D16" s="12">
        <v>67.144999999999996</v>
      </c>
      <c r="E16" s="12">
        <v>71.418999999999997</v>
      </c>
      <c r="F16" s="12">
        <v>76.501999999999995</v>
      </c>
      <c r="G16" s="12">
        <v>81.602999999999994</v>
      </c>
      <c r="H16" s="12">
        <v>87.316000000000003</v>
      </c>
      <c r="I16" s="12">
        <v>92.412000000000006</v>
      </c>
      <c r="J16" s="12">
        <v>96.881</v>
      </c>
      <c r="K16" s="12">
        <v>102.223</v>
      </c>
      <c r="L16" s="12">
        <v>107.178</v>
      </c>
      <c r="M16" s="12">
        <v>112.49299999999999</v>
      </c>
      <c r="N16" s="12">
        <v>117.661</v>
      </c>
      <c r="O16" s="12">
        <v>123.133</v>
      </c>
      <c r="P16" s="10">
        <f>O16-C16</f>
        <v>61.332999999999998</v>
      </c>
      <c r="Q16" s="10"/>
      <c r="T16" s="1">
        <v>7</v>
      </c>
      <c r="U16" s="202">
        <f t="shared" ref="U16:AF16" si="6">D16-C16</f>
        <v>5.3449999999999989</v>
      </c>
      <c r="V16" s="202">
        <f t="shared" si="6"/>
        <v>4.2740000000000009</v>
      </c>
      <c r="W16" s="202">
        <f t="shared" si="6"/>
        <v>5.0829999999999984</v>
      </c>
      <c r="X16" s="202">
        <f t="shared" si="6"/>
        <v>5.1009999999999991</v>
      </c>
      <c r="Y16" s="202">
        <f t="shared" si="6"/>
        <v>5.7130000000000081</v>
      </c>
      <c r="Z16" s="202">
        <f t="shared" si="6"/>
        <v>5.0960000000000036</v>
      </c>
      <c r="AA16" s="202">
        <f t="shared" si="6"/>
        <v>4.4689999999999941</v>
      </c>
      <c r="AB16" s="202">
        <f t="shared" si="6"/>
        <v>5.3419999999999987</v>
      </c>
      <c r="AC16" s="202">
        <f t="shared" si="6"/>
        <v>4.9549999999999983</v>
      </c>
      <c r="AD16" s="202">
        <f t="shared" si="6"/>
        <v>5.3149999999999977</v>
      </c>
      <c r="AE16" s="202">
        <f t="shared" si="6"/>
        <v>5.1680000000000064</v>
      </c>
      <c r="AF16" s="202">
        <f t="shared" si="6"/>
        <v>5.4719999999999942</v>
      </c>
    </row>
    <row r="17" spans="1:32">
      <c r="A17" s="288"/>
      <c r="B17" s="11" t="s">
        <v>101</v>
      </c>
      <c r="C17" s="95">
        <v>42.198</v>
      </c>
      <c r="D17" s="12">
        <v>45.817</v>
      </c>
      <c r="E17" s="12">
        <v>48.326999999999998</v>
      </c>
      <c r="F17" s="12">
        <v>50.131999999999998</v>
      </c>
      <c r="G17" s="12">
        <v>51.164000000000001</v>
      </c>
      <c r="H17" s="12">
        <v>51.726999999999997</v>
      </c>
      <c r="I17" s="12">
        <v>52.067999999999998</v>
      </c>
      <c r="J17" s="12">
        <v>52.360999999999997</v>
      </c>
      <c r="K17" s="12">
        <v>52.712000000000003</v>
      </c>
      <c r="L17" s="12">
        <v>53.051000000000002</v>
      </c>
      <c r="M17" s="12">
        <v>53.643000000000001</v>
      </c>
      <c r="N17" s="12">
        <v>56.262999999999998</v>
      </c>
      <c r="O17" s="12">
        <v>59.402999999999999</v>
      </c>
      <c r="Q17" s="10">
        <f>O17-C17</f>
        <v>17.204999999999998</v>
      </c>
      <c r="T17" s="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</row>
    <row r="18" spans="1:32">
      <c r="A18" s="288">
        <v>8</v>
      </c>
      <c r="B18" s="11" t="s">
        <v>272</v>
      </c>
      <c r="C18" s="95">
        <v>163.32900000000001</v>
      </c>
      <c r="D18" s="12">
        <v>172.994</v>
      </c>
      <c r="E18" s="12">
        <v>183.411</v>
      </c>
      <c r="F18" s="12">
        <v>192.48</v>
      </c>
      <c r="G18" s="12">
        <v>201.49199999999999</v>
      </c>
      <c r="H18" s="12">
        <v>212.809</v>
      </c>
      <c r="I18" s="12">
        <v>222.65100000000001</v>
      </c>
      <c r="J18" s="12">
        <v>229.614</v>
      </c>
      <c r="K18" s="12">
        <v>237.24</v>
      </c>
      <c r="L18" s="12">
        <v>245.52099999999999</v>
      </c>
      <c r="M18" s="12">
        <v>255.54900000000001</v>
      </c>
      <c r="N18" s="12">
        <v>266.98099999999999</v>
      </c>
      <c r="O18" s="12">
        <v>278.03199999999998</v>
      </c>
      <c r="P18" s="10">
        <f>O18-C18</f>
        <v>114.70299999999997</v>
      </c>
      <c r="Q18" s="10"/>
      <c r="T18" s="1">
        <v>8</v>
      </c>
      <c r="U18" s="202">
        <f t="shared" ref="U18:AF18" si="7">D18-C18</f>
        <v>9.664999999999992</v>
      </c>
      <c r="V18" s="202">
        <f t="shared" si="7"/>
        <v>10.417000000000002</v>
      </c>
      <c r="W18" s="202">
        <f t="shared" si="7"/>
        <v>9.0689999999999884</v>
      </c>
      <c r="X18" s="202">
        <f t="shared" si="7"/>
        <v>9.0120000000000005</v>
      </c>
      <c r="Y18" s="202">
        <f t="shared" si="7"/>
        <v>11.317000000000007</v>
      </c>
      <c r="Z18" s="202">
        <f t="shared" si="7"/>
        <v>9.842000000000013</v>
      </c>
      <c r="AA18" s="202">
        <f t="shared" si="7"/>
        <v>6.9629999999999939</v>
      </c>
      <c r="AB18" s="202">
        <f t="shared" si="7"/>
        <v>7.6260000000000048</v>
      </c>
      <c r="AC18" s="202">
        <f t="shared" si="7"/>
        <v>8.2809999999999775</v>
      </c>
      <c r="AD18" s="202">
        <f t="shared" si="7"/>
        <v>10.02800000000002</v>
      </c>
      <c r="AE18" s="202">
        <f t="shared" si="7"/>
        <v>11.431999999999988</v>
      </c>
      <c r="AF18" s="202">
        <f t="shared" si="7"/>
        <v>11.050999999999988</v>
      </c>
    </row>
    <row r="19" spans="1:32">
      <c r="A19" s="288"/>
      <c r="B19" s="11" t="s">
        <v>102</v>
      </c>
      <c r="C19" s="95">
        <v>123.504</v>
      </c>
      <c r="D19" s="12">
        <v>128.87299999999999</v>
      </c>
      <c r="E19" s="12">
        <v>133.44</v>
      </c>
      <c r="F19" s="12">
        <v>136.423</v>
      </c>
      <c r="G19" s="12">
        <v>138.077</v>
      </c>
      <c r="H19" s="12">
        <v>138.88</v>
      </c>
      <c r="I19" s="12">
        <v>139.244</v>
      </c>
      <c r="J19" s="12">
        <v>139.488</v>
      </c>
      <c r="K19" s="12">
        <v>139.84399999999999</v>
      </c>
      <c r="L19" s="12">
        <v>140.44999999999999</v>
      </c>
      <c r="M19" s="12">
        <v>143.96799999999999</v>
      </c>
      <c r="N19" s="12">
        <v>149.84</v>
      </c>
      <c r="O19" s="12">
        <v>156.84200000000001</v>
      </c>
      <c r="Q19" s="10">
        <f>O19-C19</f>
        <v>33.338000000000008</v>
      </c>
      <c r="T19" s="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</row>
    <row r="20" spans="1:32">
      <c r="A20" s="288">
        <v>9</v>
      </c>
      <c r="B20" s="11" t="s">
        <v>273</v>
      </c>
      <c r="C20" s="95">
        <v>83.396000000000001</v>
      </c>
      <c r="D20" s="12">
        <v>90.478999999999999</v>
      </c>
      <c r="E20" s="12">
        <v>99.734999999999999</v>
      </c>
      <c r="F20" s="12">
        <v>106.05200000000001</v>
      </c>
      <c r="G20" s="12">
        <v>115.432</v>
      </c>
      <c r="H20" s="12">
        <v>123.96299999999999</v>
      </c>
      <c r="I20" s="12">
        <v>129.179</v>
      </c>
      <c r="J20" s="12">
        <v>133.1</v>
      </c>
      <c r="K20" s="12">
        <v>137.95599999999999</v>
      </c>
      <c r="L20" s="12">
        <v>141.905</v>
      </c>
      <c r="M20" s="12">
        <v>148.40299999999999</v>
      </c>
      <c r="N20" s="12">
        <v>155.267</v>
      </c>
      <c r="O20" s="12">
        <v>164.49199999999999</v>
      </c>
      <c r="P20" s="10">
        <f>O20-C20</f>
        <v>81.095999999999989</v>
      </c>
      <c r="Q20" s="10"/>
      <c r="T20" s="1">
        <v>9</v>
      </c>
      <c r="U20" s="202">
        <f t="shared" ref="U20:AF20" si="8">D20-C20</f>
        <v>7.0829999999999984</v>
      </c>
      <c r="V20" s="202">
        <f t="shared" si="8"/>
        <v>9.2560000000000002</v>
      </c>
      <c r="W20" s="202">
        <f t="shared" si="8"/>
        <v>6.3170000000000073</v>
      </c>
      <c r="X20" s="202">
        <f t="shared" si="8"/>
        <v>9.3799999999999955</v>
      </c>
      <c r="Y20" s="202">
        <f t="shared" si="8"/>
        <v>8.5309999999999917</v>
      </c>
      <c r="Z20" s="202">
        <f t="shared" si="8"/>
        <v>5.2160000000000082</v>
      </c>
      <c r="AA20" s="202">
        <f t="shared" si="8"/>
        <v>3.9209999999999923</v>
      </c>
      <c r="AB20" s="202">
        <f t="shared" si="8"/>
        <v>4.8559999999999945</v>
      </c>
      <c r="AC20" s="202">
        <f t="shared" si="8"/>
        <v>3.9490000000000123</v>
      </c>
      <c r="AD20" s="202">
        <f t="shared" si="8"/>
        <v>6.4979999999999905</v>
      </c>
      <c r="AE20" s="202">
        <f t="shared" si="8"/>
        <v>6.8640000000000043</v>
      </c>
      <c r="AF20" s="202">
        <f t="shared" si="8"/>
        <v>9.2249999999999943</v>
      </c>
    </row>
    <row r="21" spans="1:32">
      <c r="A21" s="288"/>
      <c r="B21" s="11" t="s">
        <v>103</v>
      </c>
      <c r="C21" s="95">
        <v>81.575999999999993</v>
      </c>
      <c r="D21" s="12">
        <v>86.649000000000001</v>
      </c>
      <c r="E21" s="12">
        <v>90.757000000000005</v>
      </c>
      <c r="F21" s="12">
        <v>94.119</v>
      </c>
      <c r="G21" s="12">
        <v>96.305000000000007</v>
      </c>
      <c r="H21" s="12">
        <v>97.65</v>
      </c>
      <c r="I21" s="12">
        <v>97.991</v>
      </c>
      <c r="J21" s="12">
        <v>98.274000000000001</v>
      </c>
      <c r="K21" s="12">
        <v>98.614000000000004</v>
      </c>
      <c r="L21" s="12">
        <v>98.91</v>
      </c>
      <c r="M21" s="12">
        <v>100.524</v>
      </c>
      <c r="N21" s="12">
        <v>104.173</v>
      </c>
      <c r="O21" s="12">
        <v>108.70699999999999</v>
      </c>
      <c r="Q21" s="10">
        <f>O21-C21</f>
        <v>27.131</v>
      </c>
      <c r="T21" s="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</row>
    <row r="22" spans="1:32">
      <c r="A22" s="288">
        <v>10</v>
      </c>
      <c r="B22" s="11" t="s">
        <v>274</v>
      </c>
      <c r="C22" s="95">
        <v>112.962</v>
      </c>
      <c r="D22" s="12">
        <v>119.333</v>
      </c>
      <c r="E22" s="12">
        <v>124.68</v>
      </c>
      <c r="F22" s="12">
        <v>130.452</v>
      </c>
      <c r="G22" s="12">
        <v>144.43700000000001</v>
      </c>
      <c r="H22" s="12">
        <v>151.08699999999999</v>
      </c>
      <c r="I22" s="12">
        <v>156.50399999999999</v>
      </c>
      <c r="J22" s="12">
        <v>160.792</v>
      </c>
      <c r="K22" s="12">
        <v>165.77</v>
      </c>
      <c r="L22" s="12">
        <v>172.74</v>
      </c>
      <c r="M22" s="12">
        <v>181.76300000000001</v>
      </c>
      <c r="N22" s="12">
        <v>190.072</v>
      </c>
      <c r="O22" s="12">
        <v>199.113</v>
      </c>
      <c r="P22" s="10">
        <f>O22-C22</f>
        <v>86.150999999999996</v>
      </c>
      <c r="Q22" s="10"/>
      <c r="T22" s="1">
        <v>10</v>
      </c>
      <c r="U22" s="202">
        <f t="shared" ref="U22:AF22" si="9">D22-C22</f>
        <v>6.3709999999999951</v>
      </c>
      <c r="V22" s="202">
        <f t="shared" si="9"/>
        <v>5.3470000000000084</v>
      </c>
      <c r="W22" s="202">
        <f t="shared" si="9"/>
        <v>5.7719999999999914</v>
      </c>
      <c r="X22" s="202">
        <f t="shared" si="9"/>
        <v>13.985000000000014</v>
      </c>
      <c r="Y22" s="202">
        <f t="shared" si="9"/>
        <v>6.6499999999999773</v>
      </c>
      <c r="Z22" s="202">
        <f t="shared" si="9"/>
        <v>5.4170000000000016</v>
      </c>
      <c r="AA22" s="202">
        <f t="shared" si="9"/>
        <v>4.2880000000000109</v>
      </c>
      <c r="AB22" s="202">
        <f t="shared" si="9"/>
        <v>4.9780000000000086</v>
      </c>
      <c r="AC22" s="202">
        <f t="shared" si="9"/>
        <v>6.9699999999999989</v>
      </c>
      <c r="AD22" s="202">
        <f t="shared" si="9"/>
        <v>9.0229999999999961</v>
      </c>
      <c r="AE22" s="202">
        <f t="shared" si="9"/>
        <v>8.3089999999999975</v>
      </c>
      <c r="AF22" s="202">
        <f t="shared" si="9"/>
        <v>9.0409999999999968</v>
      </c>
    </row>
    <row r="23" spans="1:32">
      <c r="A23" s="288"/>
      <c r="B23" s="11" t="s">
        <v>104</v>
      </c>
      <c r="C23" s="95">
        <v>65.641999999999996</v>
      </c>
      <c r="D23" s="12">
        <v>69.924000000000007</v>
      </c>
      <c r="E23" s="12">
        <v>73.474999999999994</v>
      </c>
      <c r="F23" s="12">
        <v>76.061000000000007</v>
      </c>
      <c r="G23" s="12">
        <v>77.686999999999998</v>
      </c>
      <c r="H23" s="12">
        <v>78.126000000000005</v>
      </c>
      <c r="I23" s="12">
        <v>78.373999999999995</v>
      </c>
      <c r="J23" s="12">
        <v>78.539000000000001</v>
      </c>
      <c r="K23" s="12">
        <v>78.768000000000001</v>
      </c>
      <c r="L23" s="12">
        <v>79.093999999999994</v>
      </c>
      <c r="M23" s="12">
        <v>79.712999999999994</v>
      </c>
      <c r="N23" s="12">
        <v>82.143000000000001</v>
      </c>
      <c r="O23" s="12">
        <v>85.393000000000001</v>
      </c>
      <c r="P23" s="39"/>
      <c r="Q23" s="136">
        <f>O23-C23</f>
        <v>19.751000000000005</v>
      </c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</row>
    <row r="24" spans="1:32">
      <c r="A24" s="163"/>
      <c r="B24" s="11"/>
      <c r="C24" s="9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821.78099999999995</v>
      </c>
      <c r="Q24" s="10">
        <f>SUM(Q4:Q23)</f>
        <v>214.10000000000002</v>
      </c>
    </row>
    <row r="25" spans="1:32">
      <c r="A25" s="163" t="s">
        <v>25</v>
      </c>
      <c r="B25" s="11" t="s">
        <v>105</v>
      </c>
      <c r="C25" s="96">
        <v>39498</v>
      </c>
      <c r="D25" s="16">
        <v>39678</v>
      </c>
      <c r="E25" s="16">
        <v>40084</v>
      </c>
      <c r="F25" s="16">
        <v>40261</v>
      </c>
      <c r="G25" s="16">
        <v>40446</v>
      </c>
      <c r="H25" s="16">
        <v>40670</v>
      </c>
      <c r="I25" s="16">
        <v>40892</v>
      </c>
      <c r="J25" s="16">
        <v>41097</v>
      </c>
      <c r="K25" s="16">
        <v>41283</v>
      </c>
      <c r="L25" s="16">
        <v>41482</v>
      </c>
      <c r="M25" s="16">
        <v>41686</v>
      </c>
      <c r="N25" s="16">
        <v>41872</v>
      </c>
      <c r="O25" s="16">
        <v>42073</v>
      </c>
      <c r="Q25" s="10"/>
      <c r="R25" s="19">
        <f>O25-C25</f>
        <v>2575</v>
      </c>
    </row>
    <row r="26" spans="1:32">
      <c r="A26" s="163"/>
      <c r="B26" s="11" t="s">
        <v>275</v>
      </c>
      <c r="C26" s="97">
        <v>1102.8</v>
      </c>
      <c r="D26" s="21">
        <v>1180.9000000000001</v>
      </c>
      <c r="E26" s="21">
        <v>1255.9000000000001</v>
      </c>
      <c r="F26" s="21">
        <v>1332.8</v>
      </c>
      <c r="G26" s="21">
        <v>1422.2</v>
      </c>
      <c r="H26" s="21">
        <v>1506.4</v>
      </c>
      <c r="I26" s="21">
        <v>1576.7</v>
      </c>
      <c r="J26" s="21">
        <v>1636</v>
      </c>
      <c r="K26" s="21">
        <v>1694.4</v>
      </c>
      <c r="L26" s="21">
        <v>1755.5</v>
      </c>
      <c r="M26" s="21">
        <v>1838.2</v>
      </c>
      <c r="N26" s="21">
        <v>1919.8</v>
      </c>
      <c r="O26" s="21">
        <v>2007</v>
      </c>
      <c r="P26" s="40">
        <f>O26-C26</f>
        <v>904.2</v>
      </c>
      <c r="Q26" s="10"/>
    </row>
    <row r="27" spans="1:32">
      <c r="A27" s="172"/>
      <c r="B27" s="285" t="s">
        <v>372</v>
      </c>
      <c r="C27" s="98">
        <v>90.25</v>
      </c>
      <c r="D27" s="22">
        <v>132.30000000000001</v>
      </c>
      <c r="E27" s="22">
        <v>169.3</v>
      </c>
      <c r="F27" s="22">
        <v>197.18</v>
      </c>
      <c r="G27" s="22">
        <v>215.37</v>
      </c>
      <c r="H27" s="22">
        <v>224.48</v>
      </c>
      <c r="I27" s="22">
        <v>227.62</v>
      </c>
      <c r="J27" s="22">
        <v>230.08</v>
      </c>
      <c r="K27" s="23">
        <v>234.18</v>
      </c>
      <c r="L27" s="22">
        <v>237.58</v>
      </c>
      <c r="M27" s="22">
        <v>251.63</v>
      </c>
      <c r="N27" s="22">
        <v>281.58999999999997</v>
      </c>
      <c r="O27" s="22">
        <v>319.73</v>
      </c>
      <c r="Q27" s="10">
        <f>O27-C27</f>
        <v>229.48000000000002</v>
      </c>
      <c r="R27" t="s">
        <v>165</v>
      </c>
    </row>
    <row r="28" spans="1:32" ht="15.75" thickBot="1">
      <c r="A28" s="162"/>
      <c r="B28" s="31" t="s">
        <v>28</v>
      </c>
      <c r="C28" s="99">
        <v>665</v>
      </c>
      <c r="D28" s="25">
        <v>956</v>
      </c>
      <c r="E28" s="25">
        <v>1218</v>
      </c>
      <c r="F28" s="25">
        <v>1407</v>
      </c>
      <c r="G28" s="25">
        <v>1537</v>
      </c>
      <c r="H28" s="25">
        <v>1610</v>
      </c>
      <c r="I28" s="25">
        <v>1647</v>
      </c>
      <c r="J28" s="25">
        <v>1675</v>
      </c>
      <c r="K28" s="38">
        <v>1795</v>
      </c>
      <c r="L28" s="25">
        <v>1847</v>
      </c>
      <c r="M28" s="25">
        <v>1939</v>
      </c>
      <c r="N28" s="25">
        <v>2123</v>
      </c>
      <c r="O28" s="25">
        <v>2371</v>
      </c>
      <c r="Q28" s="19">
        <f>O28-C28</f>
        <v>1706</v>
      </c>
      <c r="R28" t="s">
        <v>166</v>
      </c>
    </row>
    <row r="29" spans="1:32" ht="15.75" thickBot="1">
      <c r="A29" s="175" t="str">
        <f>'1854'!A29</f>
        <v>Fakturační vodoměr:      42012114941</v>
      </c>
      <c r="B29" s="26"/>
      <c r="C29" s="27">
        <f>'1854'!C29</f>
        <v>1085</v>
      </c>
      <c r="D29" s="27">
        <f>'1854'!D29</f>
        <v>1404.3</v>
      </c>
      <c r="E29" s="27">
        <f>'1854'!E29</f>
        <v>1696</v>
      </c>
      <c r="F29" s="27">
        <f>'1854'!F29</f>
        <v>2013.8</v>
      </c>
      <c r="G29" s="27">
        <f>'1854'!G29</f>
        <v>2336.4</v>
      </c>
      <c r="H29" s="27">
        <f>'1854'!H29</f>
        <v>2664.8</v>
      </c>
      <c r="I29" s="27">
        <f>'1854'!I29</f>
        <v>2958.3</v>
      </c>
      <c r="J29" s="27">
        <f>'1854'!J29</f>
        <v>3200.4</v>
      </c>
      <c r="K29" s="27">
        <f>'1854'!K29</f>
        <v>3449.5</v>
      </c>
      <c r="L29" s="27">
        <f>'1854'!L29</f>
        <v>3713.1</v>
      </c>
      <c r="M29" s="27">
        <f>'1854'!M29</f>
        <v>4002.8</v>
      </c>
      <c r="N29" s="27">
        <f>'1854'!N29</f>
        <v>4300</v>
      </c>
      <c r="O29" s="27">
        <f>'1854'!O29</f>
        <v>4605</v>
      </c>
      <c r="P29">
        <f>O29-N35+N33-C29</f>
        <v>3520</v>
      </c>
      <c r="Q29" s="10"/>
    </row>
    <row r="32" spans="1:32">
      <c r="E32" t="s">
        <v>320</v>
      </c>
      <c r="H32" s="241" t="s">
        <v>321</v>
      </c>
      <c r="I32" s="1" t="s">
        <v>166</v>
      </c>
      <c r="K32" t="s">
        <v>329</v>
      </c>
      <c r="N32" s="1" t="s">
        <v>166</v>
      </c>
    </row>
    <row r="33" spans="4:14">
      <c r="D33" t="s">
        <v>323</v>
      </c>
      <c r="E33" s="226">
        <v>43984</v>
      </c>
      <c r="F33" s="103" t="s">
        <v>300</v>
      </c>
      <c r="G33" s="104"/>
      <c r="H33" s="235"/>
      <c r="I33" s="157"/>
      <c r="K33" s="251">
        <v>44095</v>
      </c>
      <c r="L33" s="246" t="s">
        <v>300</v>
      </c>
      <c r="M33" s="246"/>
      <c r="N33" s="246"/>
    </row>
    <row r="34" spans="4:14">
      <c r="E34" s="236"/>
      <c r="F34" s="237"/>
      <c r="G34" s="238" t="s">
        <v>322</v>
      </c>
      <c r="H34" s="240" t="s">
        <v>165</v>
      </c>
      <c r="I34" s="239" t="s">
        <v>166</v>
      </c>
      <c r="L34" s="1"/>
      <c r="M34" s="238" t="s">
        <v>322</v>
      </c>
      <c r="N34" s="239" t="s">
        <v>166</v>
      </c>
    </row>
    <row r="35" spans="4:14">
      <c r="D35" t="s">
        <v>324</v>
      </c>
      <c r="E35" s="226">
        <v>43986</v>
      </c>
      <c r="F35" s="103" t="s">
        <v>301</v>
      </c>
      <c r="G35" s="104"/>
      <c r="H35" s="235"/>
      <c r="I35" s="157"/>
      <c r="K35" s="251">
        <v>44095</v>
      </c>
      <c r="L35" s="246" t="s">
        <v>301</v>
      </c>
      <c r="M35" s="246"/>
      <c r="N35" s="246"/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1264" priority="1" stopIfTrue="1" operator="lessThan">
      <formula>'1856'!$G$4</formula>
    </cfRule>
    <cfRule type="cellIs" dxfId="1263" priority="2" stopIfTrue="1" operator="equal">
      <formula>'1856'!$G$4</formula>
    </cfRule>
  </conditionalFormatting>
  <conditionalFormatting sqref="G7">
    <cfRule type="cellIs" dxfId="1262" priority="3" stopIfTrue="1" operator="equal">
      <formula>'1856'!$F$7</formula>
    </cfRule>
    <cfRule type="cellIs" dxfId="1261" priority="4" stopIfTrue="1" operator="lessThan">
      <formula>'1856'!$F$7</formula>
    </cfRule>
  </conditionalFormatting>
  <conditionalFormatting sqref="H5">
    <cfRule type="cellIs" dxfId="1260" priority="5" stopIfTrue="1" operator="equal">
      <formula>'1856'!$G$5</formula>
    </cfRule>
    <cfRule type="cellIs" dxfId="1259" priority="6" stopIfTrue="1" operator="lessThan">
      <formula>'1856'!$G$5</formula>
    </cfRule>
  </conditionalFormatting>
  <conditionalFormatting sqref="I5">
    <cfRule type="cellIs" dxfId="1258" priority="7" stopIfTrue="1" operator="equal">
      <formula>'1856'!$H$5</formula>
    </cfRule>
    <cfRule type="cellIs" dxfId="1257" priority="8" stopIfTrue="1" operator="lessThan">
      <formula>'1856'!$H$5</formula>
    </cfRule>
  </conditionalFormatting>
  <conditionalFormatting sqref="J5">
    <cfRule type="cellIs" dxfId="1256" priority="9" stopIfTrue="1" operator="equal">
      <formula>'1856'!$I$5</formula>
    </cfRule>
    <cfRule type="cellIs" dxfId="1255" priority="10" stopIfTrue="1" operator="lessThan">
      <formula>'1856'!$I$5</formula>
    </cfRule>
  </conditionalFormatting>
  <conditionalFormatting sqref="F4">
    <cfRule type="cellIs" dxfId="1254" priority="11" stopIfTrue="1" operator="equal">
      <formula>'1856'!$E$4</formula>
    </cfRule>
    <cfRule type="cellIs" dxfId="1253" priority="12" stopIfTrue="1" operator="lessThan">
      <formula>'1856'!$E$4</formula>
    </cfRule>
  </conditionalFormatting>
  <conditionalFormatting sqref="D4">
    <cfRule type="cellIs" dxfId="1252" priority="13" stopIfTrue="1" operator="lessThan">
      <formula>'1856'!$C$4</formula>
    </cfRule>
    <cfRule type="cellIs" dxfId="1251" priority="14" stopIfTrue="1" operator="equal">
      <formula>'1856'!$C$4</formula>
    </cfRule>
  </conditionalFormatting>
  <conditionalFormatting sqref="E4">
    <cfRule type="cellIs" dxfId="1250" priority="15" stopIfTrue="1" operator="equal">
      <formula>'1856'!$D$4</formula>
    </cfRule>
    <cfRule type="cellIs" dxfId="1249" priority="16" stopIfTrue="1" operator="lessThan">
      <formula>'1856'!$D$4</formula>
    </cfRule>
  </conditionalFormatting>
  <conditionalFormatting sqref="D5">
    <cfRule type="cellIs" dxfId="1248" priority="17" stopIfTrue="1" operator="equal">
      <formula>'1856'!$C$5</formula>
    </cfRule>
    <cfRule type="cellIs" dxfId="1247" priority="18" stopIfTrue="1" operator="lessThan">
      <formula>'1856'!$C$5</formula>
    </cfRule>
  </conditionalFormatting>
  <conditionalFormatting sqref="F5">
    <cfRule type="cellIs" dxfId="1246" priority="19" stopIfTrue="1" operator="equal">
      <formula>'1856'!$E$5</formula>
    </cfRule>
    <cfRule type="cellIs" dxfId="1245" priority="20" stopIfTrue="1" operator="lessThan">
      <formula>'1856'!$E$5</formula>
    </cfRule>
  </conditionalFormatting>
  <conditionalFormatting sqref="I4">
    <cfRule type="cellIs" dxfId="1244" priority="21" stopIfTrue="1" operator="equal">
      <formula>'1856'!$H$4</formula>
    </cfRule>
  </conditionalFormatting>
  <conditionalFormatting sqref="J4">
    <cfRule type="cellIs" dxfId="1243" priority="22" stopIfTrue="1" operator="lessThan">
      <formula>'1856'!$I$4</formula>
    </cfRule>
    <cfRule type="cellIs" dxfId="1242" priority="23" stopIfTrue="1" operator="equal">
      <formula>'1856'!$I$4</formula>
    </cfRule>
  </conditionalFormatting>
  <conditionalFormatting sqref="D6">
    <cfRule type="cellIs" dxfId="1241" priority="24" stopIfTrue="1" operator="equal">
      <formula>'1856'!$C$6</formula>
    </cfRule>
    <cfRule type="cellIs" dxfId="1240" priority="25" stopIfTrue="1" operator="lessThan">
      <formula>'1856'!$C$6</formula>
    </cfRule>
  </conditionalFormatting>
  <conditionalFormatting sqref="E6">
    <cfRule type="cellIs" dxfId="1239" priority="26" stopIfTrue="1" operator="equal">
      <formula>'1856'!$D$6</formula>
    </cfRule>
    <cfRule type="cellIs" dxfId="1238" priority="27" stopIfTrue="1" operator="lessThan">
      <formula>'1856'!$D$6</formula>
    </cfRule>
  </conditionalFormatting>
  <conditionalFormatting sqref="F6">
    <cfRule type="cellIs" dxfId="1237" priority="28" stopIfTrue="1" operator="equal">
      <formula>'1856'!$E$6</formula>
    </cfRule>
    <cfRule type="cellIs" dxfId="1236" priority="29" stopIfTrue="1" operator="lessThan">
      <formula>'1856'!$E$6</formula>
    </cfRule>
  </conditionalFormatting>
  <conditionalFormatting sqref="G6">
    <cfRule type="cellIs" dxfId="1235" priority="30" stopIfTrue="1" operator="equal">
      <formula>'1856'!$F$6</formula>
    </cfRule>
    <cfRule type="cellIs" dxfId="1234" priority="31" stopIfTrue="1" operator="lessThan">
      <formula>'1856'!$F$6</formula>
    </cfRule>
  </conditionalFormatting>
  <conditionalFormatting sqref="H6">
    <cfRule type="cellIs" dxfId="1233" priority="32" stopIfTrue="1" operator="equal">
      <formula>'1856'!$G$6</formula>
    </cfRule>
    <cfRule type="cellIs" dxfId="1232" priority="33" stopIfTrue="1" operator="lessThan">
      <formula>'1856'!$G$6</formula>
    </cfRule>
  </conditionalFormatting>
  <conditionalFormatting sqref="I6">
    <cfRule type="cellIs" dxfId="1231" priority="34" stopIfTrue="1" operator="equal">
      <formula>'1856'!$H$6</formula>
    </cfRule>
    <cfRule type="cellIs" dxfId="1230" priority="35" stopIfTrue="1" operator="lessThan">
      <formula>'1856'!$H$6</formula>
    </cfRule>
  </conditionalFormatting>
  <conditionalFormatting sqref="J6">
    <cfRule type="cellIs" dxfId="1229" priority="36" stopIfTrue="1" operator="equal">
      <formula>'1856'!$I$6</formula>
    </cfRule>
    <cfRule type="cellIs" dxfId="1228" priority="37" stopIfTrue="1" operator="lessThan">
      <formula>'1856'!$I$6</formula>
    </cfRule>
  </conditionalFormatting>
  <conditionalFormatting sqref="D7">
    <cfRule type="cellIs" dxfId="1227" priority="38" stopIfTrue="1" operator="equal">
      <formula>'1856'!$C$7</formula>
    </cfRule>
    <cfRule type="cellIs" dxfId="1226" priority="39" stopIfTrue="1" operator="lessThan">
      <formula>'1856'!$C$7</formula>
    </cfRule>
  </conditionalFormatting>
  <conditionalFormatting sqref="E7">
    <cfRule type="cellIs" dxfId="1225" priority="40" stopIfTrue="1" operator="equal">
      <formula>'1856'!$D$7</formula>
    </cfRule>
    <cfRule type="cellIs" dxfId="1224" priority="41" stopIfTrue="1" operator="lessThan">
      <formula>'1856'!$D$7</formula>
    </cfRule>
  </conditionalFormatting>
  <conditionalFormatting sqref="F7">
    <cfRule type="cellIs" dxfId="1223" priority="42" stopIfTrue="1" operator="equal">
      <formula>'1856'!$E$7</formula>
    </cfRule>
    <cfRule type="cellIs" dxfId="1222" priority="43" stopIfTrue="1" operator="lessThan">
      <formula>'1856'!$E$7</formula>
    </cfRule>
  </conditionalFormatting>
  <conditionalFormatting sqref="H7">
    <cfRule type="cellIs" dxfId="1221" priority="44" stopIfTrue="1" operator="equal">
      <formula>'1856'!$G$7</formula>
    </cfRule>
    <cfRule type="cellIs" dxfId="1220" priority="45" stopIfTrue="1" operator="lessThan">
      <formula>'1856'!$G$7</formula>
    </cfRule>
  </conditionalFormatting>
  <conditionalFormatting sqref="I7">
    <cfRule type="cellIs" dxfId="1219" priority="46" stopIfTrue="1" operator="equal">
      <formula>'1856'!$H$7</formula>
    </cfRule>
    <cfRule type="cellIs" dxfId="1218" priority="47" stopIfTrue="1" operator="lessThan">
      <formula>'1856'!$H$7</formula>
    </cfRule>
  </conditionalFormatting>
  <conditionalFormatting sqref="J7">
    <cfRule type="cellIs" dxfId="1217" priority="48" stopIfTrue="1" operator="equal">
      <formula>'1856'!$I$7</formula>
    </cfRule>
    <cfRule type="cellIs" dxfId="1216" priority="49" stopIfTrue="1" operator="lessThan">
      <formula>'1856'!$I$7</formula>
    </cfRule>
  </conditionalFormatting>
  <conditionalFormatting sqref="D8">
    <cfRule type="cellIs" dxfId="1215" priority="50" stopIfTrue="1" operator="equal">
      <formula>'1856'!$C$8</formula>
    </cfRule>
    <cfRule type="cellIs" dxfId="1214" priority="51" stopIfTrue="1" operator="lessThan">
      <formula>'1856'!$C$8</formula>
    </cfRule>
  </conditionalFormatting>
  <conditionalFormatting sqref="E8">
    <cfRule type="cellIs" dxfId="1213" priority="52" stopIfTrue="1" operator="equal">
      <formula>'1856'!$D$8</formula>
    </cfRule>
    <cfRule type="cellIs" dxfId="1212" priority="53" stopIfTrue="1" operator="lessThan">
      <formula>'1856'!$D$8</formula>
    </cfRule>
  </conditionalFormatting>
  <conditionalFormatting sqref="F8">
    <cfRule type="cellIs" dxfId="1211" priority="54" stopIfTrue="1" operator="equal">
      <formula>'1856'!$E$8</formula>
    </cfRule>
    <cfRule type="cellIs" dxfId="1210" priority="55" stopIfTrue="1" operator="lessThan">
      <formula>'1856'!$E$8</formula>
    </cfRule>
  </conditionalFormatting>
  <conditionalFormatting sqref="G8">
    <cfRule type="cellIs" dxfId="1209" priority="56" stopIfTrue="1" operator="equal">
      <formula>'1856'!$F$8</formula>
    </cfRule>
    <cfRule type="cellIs" dxfId="1208" priority="57" stopIfTrue="1" operator="lessThan">
      <formula>'1856'!$F$8</formula>
    </cfRule>
  </conditionalFormatting>
  <conditionalFormatting sqref="H8">
    <cfRule type="cellIs" dxfId="1207" priority="58" stopIfTrue="1" operator="equal">
      <formula>'1856'!$G$8</formula>
    </cfRule>
    <cfRule type="cellIs" dxfId="1206" priority="59" stopIfTrue="1" operator="lessThan">
      <formula>'1856'!$G$8</formula>
    </cfRule>
  </conditionalFormatting>
  <conditionalFormatting sqref="I8">
    <cfRule type="cellIs" dxfId="1205" priority="60" stopIfTrue="1" operator="equal">
      <formula>'1856'!$H$8</formula>
    </cfRule>
    <cfRule type="cellIs" dxfId="1204" priority="61" stopIfTrue="1" operator="lessThan">
      <formula>'1856'!$H$8</formula>
    </cfRule>
  </conditionalFormatting>
  <conditionalFormatting sqref="J8">
    <cfRule type="cellIs" dxfId="1203" priority="62" stopIfTrue="1" operator="equal">
      <formula>'1856'!$I$8</formula>
    </cfRule>
    <cfRule type="cellIs" dxfId="1202" priority="63" stopIfTrue="1" operator="lessThan">
      <formula>'1856'!$I$8</formula>
    </cfRule>
  </conditionalFormatting>
  <conditionalFormatting sqref="D9">
    <cfRule type="cellIs" dxfId="1201" priority="64" stopIfTrue="1" operator="equal">
      <formula>'1856'!$C$9</formula>
    </cfRule>
    <cfRule type="cellIs" dxfId="1200" priority="65" stopIfTrue="1" operator="lessThan">
      <formula>'1856'!$C$9</formula>
    </cfRule>
  </conditionalFormatting>
  <conditionalFormatting sqref="E9">
    <cfRule type="cellIs" dxfId="1199" priority="66" stopIfTrue="1" operator="equal">
      <formula>'1856'!$D$9</formula>
    </cfRule>
    <cfRule type="cellIs" dxfId="1198" priority="67" stopIfTrue="1" operator="lessThan">
      <formula>'1856'!$D$9</formula>
    </cfRule>
  </conditionalFormatting>
  <conditionalFormatting sqref="F9">
    <cfRule type="cellIs" dxfId="1197" priority="68" stopIfTrue="1" operator="equal">
      <formula>'1856'!$E$9</formula>
    </cfRule>
    <cfRule type="cellIs" dxfId="1196" priority="69" stopIfTrue="1" operator="lessThan">
      <formula>'1856'!$E$9</formula>
    </cfRule>
  </conditionalFormatting>
  <conditionalFormatting sqref="G9">
    <cfRule type="cellIs" dxfId="1195" priority="70" stopIfTrue="1" operator="equal">
      <formula>'1856'!$F$9</formula>
    </cfRule>
    <cfRule type="cellIs" dxfId="1194" priority="71" stopIfTrue="1" operator="lessThan">
      <formula>'1856'!$F$9</formula>
    </cfRule>
  </conditionalFormatting>
  <conditionalFormatting sqref="H9">
    <cfRule type="cellIs" dxfId="1193" priority="72" stopIfTrue="1" operator="equal">
      <formula>'1856'!$G$9</formula>
    </cfRule>
    <cfRule type="cellIs" dxfId="1192" priority="73" stopIfTrue="1" operator="lessThan">
      <formula>'1856'!$G$9</formula>
    </cfRule>
  </conditionalFormatting>
  <conditionalFormatting sqref="I9">
    <cfRule type="cellIs" dxfId="1191" priority="74" stopIfTrue="1" operator="equal">
      <formula>'1856'!$H$9</formula>
    </cfRule>
    <cfRule type="cellIs" dxfId="1190" priority="75" stopIfTrue="1" operator="lessThan">
      <formula>'1856'!$H$9</formula>
    </cfRule>
  </conditionalFormatting>
  <conditionalFormatting sqref="J9">
    <cfRule type="cellIs" dxfId="1189" priority="76" stopIfTrue="1" operator="equal">
      <formula>'1856'!$I$9</formula>
    </cfRule>
    <cfRule type="cellIs" dxfId="1188" priority="77" stopIfTrue="1" operator="lessThan">
      <formula>'1856'!$I$9</formula>
    </cfRule>
  </conditionalFormatting>
  <conditionalFormatting sqref="D10">
    <cfRule type="cellIs" dxfId="1187" priority="78" stopIfTrue="1" operator="equal">
      <formula>'1856'!$C$10</formula>
    </cfRule>
    <cfRule type="cellIs" dxfId="1186" priority="79" stopIfTrue="1" operator="lessThan">
      <formula>'1856'!$C$10</formula>
    </cfRule>
  </conditionalFormatting>
  <conditionalFormatting sqref="E10">
    <cfRule type="cellIs" dxfId="1185" priority="80" stopIfTrue="1" operator="equal">
      <formula>'1856'!$D$10</formula>
    </cfRule>
    <cfRule type="cellIs" dxfId="1184" priority="81" stopIfTrue="1" operator="lessThan">
      <formula>'1856'!$D$10</formula>
    </cfRule>
  </conditionalFormatting>
  <conditionalFormatting sqref="F10">
    <cfRule type="cellIs" dxfId="1183" priority="82" stopIfTrue="1" operator="equal">
      <formula>'1856'!$E$10</formula>
    </cfRule>
    <cfRule type="cellIs" dxfId="1182" priority="83" stopIfTrue="1" operator="lessThan">
      <formula>'1856'!$E$10</formula>
    </cfRule>
  </conditionalFormatting>
  <conditionalFormatting sqref="G10">
    <cfRule type="cellIs" dxfId="1181" priority="84" stopIfTrue="1" operator="equal">
      <formula>'1856'!$F$10</formula>
    </cfRule>
    <cfRule type="cellIs" dxfId="1180" priority="85" stopIfTrue="1" operator="lessThan">
      <formula>'1856'!$F$10</formula>
    </cfRule>
  </conditionalFormatting>
  <conditionalFormatting sqref="H10">
    <cfRule type="cellIs" dxfId="1179" priority="86" stopIfTrue="1" operator="equal">
      <formula>'1856'!$G$10</formula>
    </cfRule>
    <cfRule type="cellIs" dxfId="1178" priority="87" stopIfTrue="1" operator="lessThan">
      <formula>'1856'!$G$10</formula>
    </cfRule>
  </conditionalFormatting>
  <conditionalFormatting sqref="I10">
    <cfRule type="cellIs" dxfId="1177" priority="88" stopIfTrue="1" operator="equal">
      <formula>'1856'!$H$10</formula>
    </cfRule>
    <cfRule type="cellIs" dxfId="1176" priority="89" stopIfTrue="1" operator="lessThan">
      <formula>'1856'!$H$10</formula>
    </cfRule>
  </conditionalFormatting>
  <conditionalFormatting sqref="J10">
    <cfRule type="cellIs" dxfId="1175" priority="90" stopIfTrue="1" operator="equal">
      <formula>'1856'!$I$10</formula>
    </cfRule>
    <cfRule type="cellIs" dxfId="1174" priority="91" stopIfTrue="1" operator="lessThan">
      <formula>'1856'!$I$10</formula>
    </cfRule>
  </conditionalFormatting>
  <conditionalFormatting sqref="D11">
    <cfRule type="cellIs" dxfId="1173" priority="92" stopIfTrue="1" operator="equal">
      <formula>'1856'!$C$11</formula>
    </cfRule>
    <cfRule type="cellIs" dxfId="1172" priority="93" stopIfTrue="1" operator="lessThan">
      <formula>'1856'!$C$11</formula>
    </cfRule>
  </conditionalFormatting>
  <conditionalFormatting sqref="E11">
    <cfRule type="cellIs" dxfId="1171" priority="94" stopIfTrue="1" operator="equal">
      <formula>'1856'!$D$11</formula>
    </cfRule>
    <cfRule type="cellIs" dxfId="1170" priority="95" stopIfTrue="1" operator="lessThan">
      <formula>'1856'!$D$11</formula>
    </cfRule>
  </conditionalFormatting>
  <conditionalFormatting sqref="F11">
    <cfRule type="cellIs" dxfId="1169" priority="96" stopIfTrue="1" operator="equal">
      <formula>'1856'!$E$11</formula>
    </cfRule>
    <cfRule type="cellIs" dxfId="1168" priority="97" stopIfTrue="1" operator="lessThan">
      <formula>'1856'!$E$11</formula>
    </cfRule>
  </conditionalFormatting>
  <conditionalFormatting sqref="G11">
    <cfRule type="cellIs" dxfId="1167" priority="98" stopIfTrue="1" operator="equal">
      <formula>'1856'!$F$11</formula>
    </cfRule>
    <cfRule type="cellIs" dxfId="1166" priority="99" stopIfTrue="1" operator="lessThan">
      <formula>'1856'!$F$11</formula>
    </cfRule>
  </conditionalFormatting>
  <conditionalFormatting sqref="H11">
    <cfRule type="cellIs" dxfId="1165" priority="100" stopIfTrue="1" operator="equal">
      <formula>'1856'!$G$11</formula>
    </cfRule>
    <cfRule type="cellIs" dxfId="1164" priority="101" stopIfTrue="1" operator="lessThan">
      <formula>'1856'!$G$11</formula>
    </cfRule>
  </conditionalFormatting>
  <conditionalFormatting sqref="I11">
    <cfRule type="cellIs" dxfId="1163" priority="102" stopIfTrue="1" operator="equal">
      <formula>'1856'!$H$11</formula>
    </cfRule>
    <cfRule type="cellIs" dxfId="1162" priority="103" stopIfTrue="1" operator="lessThan">
      <formula>'1856'!$H$11</formula>
    </cfRule>
  </conditionalFormatting>
  <conditionalFormatting sqref="J11">
    <cfRule type="cellIs" dxfId="1161" priority="104" stopIfTrue="1" operator="equal">
      <formula>'1856'!$I$11</formula>
    </cfRule>
    <cfRule type="cellIs" dxfId="1160" priority="105" stopIfTrue="1" operator="lessThan">
      <formula>'1856'!$I$11</formula>
    </cfRule>
  </conditionalFormatting>
  <conditionalFormatting sqref="D12">
    <cfRule type="cellIs" dxfId="1159" priority="106" stopIfTrue="1" operator="equal">
      <formula>'1856'!$C$12</formula>
    </cfRule>
    <cfRule type="cellIs" dxfId="1158" priority="107" stopIfTrue="1" operator="lessThan">
      <formula>'1856'!$C$12</formula>
    </cfRule>
  </conditionalFormatting>
  <conditionalFormatting sqref="E12">
    <cfRule type="cellIs" dxfId="1157" priority="108" stopIfTrue="1" operator="equal">
      <formula>'1856'!$D$12</formula>
    </cfRule>
    <cfRule type="cellIs" dxfId="1156" priority="109" stopIfTrue="1" operator="lessThan">
      <formula>'1856'!$D$12</formula>
    </cfRule>
  </conditionalFormatting>
  <conditionalFormatting sqref="F12">
    <cfRule type="cellIs" dxfId="1155" priority="110" stopIfTrue="1" operator="equal">
      <formula>'1856'!$E$12</formula>
    </cfRule>
    <cfRule type="cellIs" dxfId="1154" priority="111" stopIfTrue="1" operator="lessThan">
      <formula>'1856'!$E$12</formula>
    </cfRule>
  </conditionalFormatting>
  <conditionalFormatting sqref="G12">
    <cfRule type="cellIs" dxfId="1153" priority="112" stopIfTrue="1" operator="equal">
      <formula>'1856'!$F$12</formula>
    </cfRule>
    <cfRule type="cellIs" dxfId="1152" priority="113" stopIfTrue="1" operator="lessThan">
      <formula>'1856'!$F$12</formula>
    </cfRule>
  </conditionalFormatting>
  <conditionalFormatting sqref="H12">
    <cfRule type="cellIs" dxfId="1151" priority="114" stopIfTrue="1" operator="equal">
      <formula>'1856'!$G$12</formula>
    </cfRule>
    <cfRule type="cellIs" dxfId="1150" priority="115" stopIfTrue="1" operator="lessThan">
      <formula>'1856'!$G$12</formula>
    </cfRule>
  </conditionalFormatting>
  <conditionalFormatting sqref="I12">
    <cfRule type="cellIs" dxfId="1149" priority="116" stopIfTrue="1" operator="equal">
      <formula>'1856'!$H$12</formula>
    </cfRule>
    <cfRule type="cellIs" dxfId="1148" priority="117" stopIfTrue="1" operator="lessThan">
      <formula>'1856'!$H$12</formula>
    </cfRule>
  </conditionalFormatting>
  <conditionalFormatting sqref="J12">
    <cfRule type="cellIs" dxfId="1147" priority="118" stopIfTrue="1" operator="equal">
      <formula>'1856'!$I$12</formula>
    </cfRule>
    <cfRule type="cellIs" dxfId="1146" priority="119" stopIfTrue="1" operator="lessThan">
      <formula>'1856'!$I$12</formula>
    </cfRule>
  </conditionalFormatting>
  <conditionalFormatting sqref="D14">
    <cfRule type="cellIs" dxfId="1145" priority="120" stopIfTrue="1" operator="equal">
      <formula>'1856'!$C$14</formula>
    </cfRule>
    <cfRule type="cellIs" dxfId="1144" priority="121" stopIfTrue="1" operator="lessThan">
      <formula>'1856'!$C$14</formula>
    </cfRule>
  </conditionalFormatting>
  <conditionalFormatting sqref="D15">
    <cfRule type="cellIs" dxfId="1143" priority="122" stopIfTrue="1" operator="equal">
      <formula>'1856'!$C$15</formula>
    </cfRule>
    <cfRule type="cellIs" dxfId="1142" priority="123" stopIfTrue="1" operator="lessThan">
      <formula>'1856'!$C$15</formula>
    </cfRule>
  </conditionalFormatting>
  <conditionalFormatting sqref="D16">
    <cfRule type="cellIs" dxfId="1141" priority="124" stopIfTrue="1" operator="equal">
      <formula>'1856'!$C$16</formula>
    </cfRule>
    <cfRule type="cellIs" dxfId="1140" priority="125" stopIfTrue="1" operator="lessThan">
      <formula>'1856'!$C$16</formula>
    </cfRule>
  </conditionalFormatting>
  <conditionalFormatting sqref="D17">
    <cfRule type="cellIs" dxfId="1139" priority="126" stopIfTrue="1" operator="equal">
      <formula>'1856'!$C$17</formula>
    </cfRule>
    <cfRule type="cellIs" dxfId="1138" priority="127" stopIfTrue="1" operator="lessThan">
      <formula>'1856'!$C$17</formula>
    </cfRule>
  </conditionalFormatting>
  <conditionalFormatting sqref="D18">
    <cfRule type="cellIs" dxfId="1137" priority="128" stopIfTrue="1" operator="equal">
      <formula>'1856'!$C$18</formula>
    </cfRule>
    <cfRule type="cellIs" dxfId="1136" priority="129" stopIfTrue="1" operator="lessThan">
      <formula>'1856'!$C$18</formula>
    </cfRule>
  </conditionalFormatting>
  <conditionalFormatting sqref="D19">
    <cfRule type="cellIs" dxfId="1135" priority="130" stopIfTrue="1" operator="equal">
      <formula>'1856'!$C$19</formula>
    </cfRule>
    <cfRule type="cellIs" dxfId="1134" priority="131" stopIfTrue="1" operator="lessThan">
      <formula>'1856'!$C$19</formula>
    </cfRule>
  </conditionalFormatting>
  <conditionalFormatting sqref="D20">
    <cfRule type="cellIs" dxfId="1133" priority="132" stopIfTrue="1" operator="equal">
      <formula>'1856'!$C$20</formula>
    </cfRule>
    <cfRule type="cellIs" dxfId="1132" priority="133" stopIfTrue="1" operator="lessThan">
      <formula>'1856'!$C$20</formula>
    </cfRule>
  </conditionalFormatting>
  <conditionalFormatting sqref="D21">
    <cfRule type="cellIs" dxfId="1131" priority="134" stopIfTrue="1" operator="equal">
      <formula>'1856'!$C$21</formula>
    </cfRule>
    <cfRule type="cellIs" dxfId="1130" priority="135" stopIfTrue="1" operator="lessThan">
      <formula>'1856'!$C$21</formula>
    </cfRule>
  </conditionalFormatting>
  <conditionalFormatting sqref="D22">
    <cfRule type="cellIs" dxfId="1129" priority="136" stopIfTrue="1" operator="equal">
      <formula>'1856'!$C$22</formula>
    </cfRule>
    <cfRule type="cellIs" dxfId="1128" priority="137" stopIfTrue="1" operator="lessThan">
      <formula>'1856'!$C$22</formula>
    </cfRule>
  </conditionalFormatting>
  <conditionalFormatting sqref="D23">
    <cfRule type="cellIs" dxfId="1127" priority="138" stopIfTrue="1" operator="equal">
      <formula>'1856'!$C$23</formula>
    </cfRule>
    <cfRule type="cellIs" dxfId="1126" priority="139" stopIfTrue="1" operator="lessThan">
      <formula>'1856'!$C$23</formula>
    </cfRule>
  </conditionalFormatting>
  <conditionalFormatting sqref="D25">
    <cfRule type="cellIs" dxfId="1125" priority="140" stopIfTrue="1" operator="equal">
      <formula>'1856'!$C$25</formula>
    </cfRule>
    <cfRule type="cellIs" dxfId="1124" priority="141" stopIfTrue="1" operator="lessThan">
      <formula>'1856'!$C$25</formula>
    </cfRule>
  </conditionalFormatting>
  <conditionalFormatting sqref="D26">
    <cfRule type="cellIs" dxfId="1123" priority="142" stopIfTrue="1" operator="equal">
      <formula>'1856'!$C$26</formula>
    </cfRule>
    <cfRule type="cellIs" dxfId="1122" priority="143" stopIfTrue="1" operator="lessThan">
      <formula>'1856'!$C$26</formula>
    </cfRule>
  </conditionalFormatting>
  <conditionalFormatting sqref="D27">
    <cfRule type="cellIs" dxfId="1121" priority="144" stopIfTrue="1" operator="equal">
      <formula>'1856'!$C$27</formula>
    </cfRule>
    <cfRule type="cellIs" dxfId="1120" priority="145" stopIfTrue="1" operator="lessThan">
      <formula>'1856'!$C$27</formula>
    </cfRule>
  </conditionalFormatting>
  <conditionalFormatting sqref="D28">
    <cfRule type="cellIs" dxfId="1119" priority="146" stopIfTrue="1" operator="equal">
      <formula>'1856'!$C$28</formula>
    </cfRule>
    <cfRule type="cellIs" dxfId="1118" priority="147" stopIfTrue="1" operator="lessThan">
      <formula>'1856'!$C$28</formula>
    </cfRule>
  </conditionalFormatting>
  <conditionalFormatting sqref="E13">
    <cfRule type="cellIs" dxfId="1117" priority="148" stopIfTrue="1" operator="equal">
      <formula>'1856'!$D$13</formula>
    </cfRule>
    <cfRule type="cellIs" dxfId="1116" priority="149" stopIfTrue="1" operator="lessThan">
      <formula>'1856'!$D$13</formula>
    </cfRule>
  </conditionalFormatting>
  <conditionalFormatting sqref="E14">
    <cfRule type="cellIs" dxfId="1115" priority="150" stopIfTrue="1" operator="equal">
      <formula>'1856'!$D$14</formula>
    </cfRule>
    <cfRule type="cellIs" dxfId="1114" priority="151" stopIfTrue="1" operator="lessThan">
      <formula>'1856'!$D$14</formula>
    </cfRule>
  </conditionalFormatting>
  <conditionalFormatting sqref="E15">
    <cfRule type="cellIs" dxfId="1113" priority="152" stopIfTrue="1" operator="equal">
      <formula>'1856'!$D$15</formula>
    </cfRule>
    <cfRule type="cellIs" dxfId="1112" priority="153" stopIfTrue="1" operator="lessThan">
      <formula>'1856'!$D$15</formula>
    </cfRule>
  </conditionalFormatting>
  <conditionalFormatting sqref="E16">
    <cfRule type="cellIs" dxfId="1111" priority="154" stopIfTrue="1" operator="equal">
      <formula>'1856'!$D$16</formula>
    </cfRule>
    <cfRule type="cellIs" dxfId="1110" priority="155" stopIfTrue="1" operator="lessThan">
      <formula>'1856'!$D$16</formula>
    </cfRule>
  </conditionalFormatting>
  <conditionalFormatting sqref="E17">
    <cfRule type="cellIs" dxfId="1109" priority="156" stopIfTrue="1" operator="equal">
      <formula>'1856'!$D$17</formula>
    </cfRule>
    <cfRule type="cellIs" dxfId="1108" priority="157" stopIfTrue="1" operator="lessThan">
      <formula>'1856'!$D$17</formula>
    </cfRule>
  </conditionalFormatting>
  <conditionalFormatting sqref="E18">
    <cfRule type="cellIs" dxfId="1107" priority="158" stopIfTrue="1" operator="equal">
      <formula>'1856'!$D$18</formula>
    </cfRule>
    <cfRule type="cellIs" dxfId="1106" priority="159" stopIfTrue="1" operator="lessThan">
      <formula>'1856'!$D$18</formula>
    </cfRule>
  </conditionalFormatting>
  <conditionalFormatting sqref="E19">
    <cfRule type="cellIs" dxfId="1105" priority="160" stopIfTrue="1" operator="equal">
      <formula>'1856'!$D$19</formula>
    </cfRule>
    <cfRule type="cellIs" dxfId="1104" priority="161" stopIfTrue="1" operator="lessThan">
      <formula>'1856'!$D$19</formula>
    </cfRule>
  </conditionalFormatting>
  <conditionalFormatting sqref="E20">
    <cfRule type="cellIs" dxfId="1103" priority="162" stopIfTrue="1" operator="equal">
      <formula>'1856'!$D$20</formula>
    </cfRule>
    <cfRule type="cellIs" dxfId="1102" priority="163" stopIfTrue="1" operator="lessThan">
      <formula>'1856'!$D$20</formula>
    </cfRule>
  </conditionalFormatting>
  <conditionalFormatting sqref="E21">
    <cfRule type="cellIs" dxfId="1101" priority="164" stopIfTrue="1" operator="equal">
      <formula>'1856'!$D$21</formula>
    </cfRule>
    <cfRule type="cellIs" dxfId="1100" priority="165" stopIfTrue="1" operator="lessThan">
      <formula>'1856'!$D$21</formula>
    </cfRule>
  </conditionalFormatting>
  <conditionalFormatting sqref="E22">
    <cfRule type="cellIs" dxfId="1099" priority="166" stopIfTrue="1" operator="equal">
      <formula>'1856'!$D$22</formula>
    </cfRule>
    <cfRule type="cellIs" dxfId="1098" priority="167" stopIfTrue="1" operator="lessThan">
      <formula>'1856'!$D$22</formula>
    </cfRule>
  </conditionalFormatting>
  <conditionalFormatting sqref="E23">
    <cfRule type="cellIs" dxfId="1097" priority="168" stopIfTrue="1" operator="equal">
      <formula>'1856'!$D$23</formula>
    </cfRule>
    <cfRule type="cellIs" dxfId="1096" priority="169" stopIfTrue="1" operator="lessThan">
      <formula>'1856'!$D$23</formula>
    </cfRule>
  </conditionalFormatting>
  <conditionalFormatting sqref="E25">
    <cfRule type="cellIs" dxfId="1095" priority="170" stopIfTrue="1" operator="equal">
      <formula>'1856'!$D$25</formula>
    </cfRule>
    <cfRule type="cellIs" dxfId="1094" priority="171" stopIfTrue="1" operator="lessThan">
      <formula>'1856'!$D$25</formula>
    </cfRule>
  </conditionalFormatting>
  <conditionalFormatting sqref="E26">
    <cfRule type="cellIs" dxfId="1093" priority="172" stopIfTrue="1" operator="equal">
      <formula>'1856'!$D$26</formula>
    </cfRule>
    <cfRule type="cellIs" dxfId="1092" priority="173" stopIfTrue="1" operator="lessThan">
      <formula>'1856'!$D$26</formula>
    </cfRule>
  </conditionalFormatting>
  <conditionalFormatting sqref="E27">
    <cfRule type="cellIs" dxfId="1091" priority="174" stopIfTrue="1" operator="equal">
      <formula>'1856'!$D$27</formula>
    </cfRule>
    <cfRule type="cellIs" dxfId="1090" priority="175" stopIfTrue="1" operator="lessThan">
      <formula>'1856'!$D$27</formula>
    </cfRule>
  </conditionalFormatting>
  <conditionalFormatting sqref="E28">
    <cfRule type="cellIs" dxfId="1089" priority="176" stopIfTrue="1" operator="equal">
      <formula>'1856'!$D$28</formula>
    </cfRule>
    <cfRule type="cellIs" dxfId="1088" priority="177" stopIfTrue="1" operator="lessThan">
      <formula>'1856'!$D$28</formula>
    </cfRule>
  </conditionalFormatting>
  <conditionalFormatting sqref="F13">
    <cfRule type="cellIs" dxfId="1087" priority="178" stopIfTrue="1" operator="equal">
      <formula>'1856'!$E$13</formula>
    </cfRule>
    <cfRule type="cellIs" dxfId="1086" priority="179" stopIfTrue="1" operator="lessThan">
      <formula>'1856'!$E$13</formula>
    </cfRule>
  </conditionalFormatting>
  <conditionalFormatting sqref="F14">
    <cfRule type="cellIs" dxfId="1085" priority="180" stopIfTrue="1" operator="equal">
      <formula>'1856'!$E$14</formula>
    </cfRule>
    <cfRule type="cellIs" dxfId="1084" priority="181" stopIfTrue="1" operator="lessThan">
      <formula>'1856'!$E$14</formula>
    </cfRule>
  </conditionalFormatting>
  <conditionalFormatting sqref="F15">
    <cfRule type="cellIs" dxfId="1083" priority="182" stopIfTrue="1" operator="equal">
      <formula>'1856'!$E$15</formula>
    </cfRule>
    <cfRule type="cellIs" dxfId="1082" priority="183" stopIfTrue="1" operator="lessThan">
      <formula>'1856'!$E$15</formula>
    </cfRule>
  </conditionalFormatting>
  <conditionalFormatting sqref="F16">
    <cfRule type="cellIs" dxfId="1081" priority="184" stopIfTrue="1" operator="equal">
      <formula>'1856'!$E$16</formula>
    </cfRule>
    <cfRule type="cellIs" dxfId="1080" priority="185" stopIfTrue="1" operator="lessThan">
      <formula>'1856'!$E$16</formula>
    </cfRule>
  </conditionalFormatting>
  <conditionalFormatting sqref="F17">
    <cfRule type="cellIs" dxfId="1079" priority="186" stopIfTrue="1" operator="equal">
      <formula>'1856'!$E$17</formula>
    </cfRule>
    <cfRule type="cellIs" dxfId="1078" priority="187" stopIfTrue="1" operator="lessThan">
      <formula>'1856'!$E$17</formula>
    </cfRule>
  </conditionalFormatting>
  <conditionalFormatting sqref="F18">
    <cfRule type="cellIs" dxfId="1077" priority="188" stopIfTrue="1" operator="equal">
      <formula>'1856'!$E$18</formula>
    </cfRule>
    <cfRule type="cellIs" dxfId="1076" priority="189" stopIfTrue="1" operator="lessThan">
      <formula>'1856'!$E$18</formula>
    </cfRule>
  </conditionalFormatting>
  <conditionalFormatting sqref="F19">
    <cfRule type="cellIs" dxfId="1075" priority="190" stopIfTrue="1" operator="equal">
      <formula>'1856'!$E$19</formula>
    </cfRule>
    <cfRule type="cellIs" dxfId="1074" priority="191" stopIfTrue="1" operator="lessThan">
      <formula>'1856'!$E$19</formula>
    </cfRule>
  </conditionalFormatting>
  <conditionalFormatting sqref="F20">
    <cfRule type="cellIs" dxfId="1073" priority="192" stopIfTrue="1" operator="equal">
      <formula>'1856'!$E$20</formula>
    </cfRule>
    <cfRule type="cellIs" dxfId="1072" priority="193" stopIfTrue="1" operator="lessThan">
      <formula>'1856'!$E$20</formula>
    </cfRule>
  </conditionalFormatting>
  <conditionalFormatting sqref="F21">
    <cfRule type="cellIs" dxfId="1071" priority="194" stopIfTrue="1" operator="equal">
      <formula>'1856'!$E$21</formula>
    </cfRule>
    <cfRule type="cellIs" dxfId="1070" priority="195" stopIfTrue="1" operator="lessThan">
      <formula>'1856'!$E$21</formula>
    </cfRule>
  </conditionalFormatting>
  <conditionalFormatting sqref="F22">
    <cfRule type="cellIs" dxfId="1069" priority="196" stopIfTrue="1" operator="equal">
      <formula>'1856'!$E$22</formula>
    </cfRule>
    <cfRule type="cellIs" dxfId="1068" priority="197" stopIfTrue="1" operator="lessThan">
      <formula>'1856'!$E$22</formula>
    </cfRule>
  </conditionalFormatting>
  <conditionalFormatting sqref="F23">
    <cfRule type="cellIs" dxfId="1067" priority="198" stopIfTrue="1" operator="equal">
      <formula>'1856'!$E$23</formula>
    </cfRule>
    <cfRule type="cellIs" dxfId="1066" priority="199" stopIfTrue="1" operator="lessThan">
      <formula>'1856'!$E$23</formula>
    </cfRule>
  </conditionalFormatting>
  <conditionalFormatting sqref="F25">
    <cfRule type="cellIs" dxfId="1065" priority="200" stopIfTrue="1" operator="equal">
      <formula>'1856'!$E$25</formula>
    </cfRule>
    <cfRule type="cellIs" dxfId="1064" priority="201" stopIfTrue="1" operator="lessThan">
      <formula>'1856'!$E$25</formula>
    </cfRule>
  </conditionalFormatting>
  <conditionalFormatting sqref="F26">
    <cfRule type="cellIs" dxfId="1063" priority="202" stopIfTrue="1" operator="equal">
      <formula>'1856'!$E$26</formula>
    </cfRule>
    <cfRule type="cellIs" dxfId="1062" priority="203" stopIfTrue="1" operator="lessThan">
      <formula>'1856'!$E$26</formula>
    </cfRule>
  </conditionalFormatting>
  <conditionalFormatting sqref="F27">
    <cfRule type="cellIs" dxfId="1061" priority="204" stopIfTrue="1" operator="equal">
      <formula>'1856'!$E$27</formula>
    </cfRule>
    <cfRule type="cellIs" dxfId="1060" priority="205" stopIfTrue="1" operator="lessThan">
      <formula>'1856'!$E$27</formula>
    </cfRule>
  </conditionalFormatting>
  <conditionalFormatting sqref="F28">
    <cfRule type="cellIs" dxfId="1059" priority="206" stopIfTrue="1" operator="equal">
      <formula>'1856'!$E$28</formula>
    </cfRule>
    <cfRule type="cellIs" dxfId="1058" priority="207" stopIfTrue="1" operator="lessThan">
      <formula>'1856'!$E$28</formula>
    </cfRule>
  </conditionalFormatting>
  <conditionalFormatting sqref="G13">
    <cfRule type="cellIs" dxfId="1057" priority="208" stopIfTrue="1" operator="equal">
      <formula>'1856'!$F$13</formula>
    </cfRule>
    <cfRule type="cellIs" dxfId="1056" priority="209" stopIfTrue="1" operator="lessThan">
      <formula>'1856'!$F$13</formula>
    </cfRule>
  </conditionalFormatting>
  <conditionalFormatting sqref="G14">
    <cfRule type="cellIs" dxfId="1055" priority="210" stopIfTrue="1" operator="equal">
      <formula>'1856'!$F$14</formula>
    </cfRule>
    <cfRule type="cellIs" dxfId="1054" priority="211" stopIfTrue="1" operator="lessThan">
      <formula>'1856'!$F$14</formula>
    </cfRule>
  </conditionalFormatting>
  <conditionalFormatting sqref="G15">
    <cfRule type="cellIs" dxfId="1053" priority="212" stopIfTrue="1" operator="equal">
      <formula>'1856'!$F$15</formula>
    </cfRule>
    <cfRule type="cellIs" dxfId="1052" priority="213" stopIfTrue="1" operator="lessThan">
      <formula>'1856'!$F$15</formula>
    </cfRule>
  </conditionalFormatting>
  <conditionalFormatting sqref="G16">
    <cfRule type="cellIs" dxfId="1051" priority="214" stopIfTrue="1" operator="equal">
      <formula>'1856'!$F$16</formula>
    </cfRule>
    <cfRule type="cellIs" dxfId="1050" priority="215" stopIfTrue="1" operator="lessThan">
      <formula>'1856'!$F$16</formula>
    </cfRule>
  </conditionalFormatting>
  <conditionalFormatting sqref="G17">
    <cfRule type="cellIs" dxfId="1049" priority="216" stopIfTrue="1" operator="equal">
      <formula>'1856'!$F$17</formula>
    </cfRule>
    <cfRule type="cellIs" dxfId="1048" priority="217" stopIfTrue="1" operator="lessThan">
      <formula>'1856'!$F$17</formula>
    </cfRule>
  </conditionalFormatting>
  <conditionalFormatting sqref="G18">
    <cfRule type="cellIs" dxfId="1047" priority="218" stopIfTrue="1" operator="equal">
      <formula>'1856'!$F$18</formula>
    </cfRule>
    <cfRule type="cellIs" dxfId="1046" priority="219" stopIfTrue="1" operator="lessThan">
      <formula>'1856'!$F$18</formula>
    </cfRule>
  </conditionalFormatting>
  <conditionalFormatting sqref="G19">
    <cfRule type="cellIs" dxfId="1045" priority="220" stopIfTrue="1" operator="equal">
      <formula>'1856'!$F$19</formula>
    </cfRule>
    <cfRule type="cellIs" dxfId="1044" priority="221" stopIfTrue="1" operator="lessThan">
      <formula>'1856'!$F$19</formula>
    </cfRule>
  </conditionalFormatting>
  <conditionalFormatting sqref="G20">
    <cfRule type="cellIs" dxfId="1043" priority="222" stopIfTrue="1" operator="equal">
      <formula>'1856'!$F$20</formula>
    </cfRule>
    <cfRule type="cellIs" dxfId="1042" priority="223" stopIfTrue="1" operator="lessThan">
      <formula>'1856'!$F$20</formula>
    </cfRule>
  </conditionalFormatting>
  <conditionalFormatting sqref="G21">
    <cfRule type="cellIs" dxfId="1041" priority="224" stopIfTrue="1" operator="equal">
      <formula>'1856'!$F$21</formula>
    </cfRule>
    <cfRule type="cellIs" dxfId="1040" priority="225" stopIfTrue="1" operator="lessThan">
      <formula>'1856'!$F$21</formula>
    </cfRule>
  </conditionalFormatting>
  <conditionalFormatting sqref="G22">
    <cfRule type="cellIs" dxfId="1039" priority="226" stopIfTrue="1" operator="equal">
      <formula>'1856'!$F$22</formula>
    </cfRule>
    <cfRule type="cellIs" dxfId="1038" priority="227" stopIfTrue="1" operator="lessThan">
      <formula>'1856'!$F$22</formula>
    </cfRule>
  </conditionalFormatting>
  <conditionalFormatting sqref="G23">
    <cfRule type="cellIs" dxfId="1037" priority="228" stopIfTrue="1" operator="equal">
      <formula>'1856'!$F$23</formula>
    </cfRule>
    <cfRule type="cellIs" dxfId="1036" priority="229" stopIfTrue="1" operator="lessThan">
      <formula>'1856'!$F$23</formula>
    </cfRule>
  </conditionalFormatting>
  <conditionalFormatting sqref="G25">
    <cfRule type="cellIs" dxfId="1035" priority="230" stopIfTrue="1" operator="equal">
      <formula>'1856'!$F$25</formula>
    </cfRule>
    <cfRule type="cellIs" dxfId="1034" priority="231" stopIfTrue="1" operator="lessThan">
      <formula>'1856'!$F$25</formula>
    </cfRule>
  </conditionalFormatting>
  <conditionalFormatting sqref="G26">
    <cfRule type="cellIs" dxfId="1033" priority="232" stopIfTrue="1" operator="equal">
      <formula>'1856'!$F$26</formula>
    </cfRule>
    <cfRule type="cellIs" dxfId="1032" priority="233" stopIfTrue="1" operator="lessThan">
      <formula>'1856'!$F$26</formula>
    </cfRule>
  </conditionalFormatting>
  <conditionalFormatting sqref="G27">
    <cfRule type="cellIs" dxfId="1031" priority="234" stopIfTrue="1" operator="equal">
      <formula>'1856'!$F$27</formula>
    </cfRule>
    <cfRule type="cellIs" dxfId="1030" priority="235" stopIfTrue="1" operator="lessThan">
      <formula>'1856'!$F$27</formula>
    </cfRule>
  </conditionalFormatting>
  <conditionalFormatting sqref="G28">
    <cfRule type="cellIs" dxfId="1029" priority="236" stopIfTrue="1" operator="equal">
      <formula>'1856'!$F$28</formula>
    </cfRule>
    <cfRule type="cellIs" dxfId="1028" priority="237" stopIfTrue="1" operator="lessThan">
      <formula>'1856'!$F$28</formula>
    </cfRule>
  </conditionalFormatting>
  <conditionalFormatting sqref="D13">
    <cfRule type="cellIs" dxfId="1027" priority="238" stopIfTrue="1" operator="equal">
      <formula>'1856'!$C$13</formula>
    </cfRule>
    <cfRule type="cellIs" dxfId="1026" priority="239" stopIfTrue="1" operator="lessThan">
      <formula>'1856'!$C$13</formula>
    </cfRule>
  </conditionalFormatting>
  <conditionalFormatting sqref="H13">
    <cfRule type="cellIs" dxfId="1025" priority="240" stopIfTrue="1" operator="equal">
      <formula>'1856'!$G$13</formula>
    </cfRule>
    <cfRule type="cellIs" dxfId="1024" priority="241" stopIfTrue="1" operator="lessThan">
      <formula>'1856'!$G$13</formula>
    </cfRule>
  </conditionalFormatting>
  <conditionalFormatting sqref="H14">
    <cfRule type="cellIs" dxfId="1023" priority="242" stopIfTrue="1" operator="equal">
      <formula>'1856'!$G$14</formula>
    </cfRule>
    <cfRule type="cellIs" dxfId="1022" priority="243" stopIfTrue="1" operator="lessThan">
      <formula>'1856'!$G$14</formula>
    </cfRule>
  </conditionalFormatting>
  <conditionalFormatting sqref="H15">
    <cfRule type="cellIs" dxfId="1021" priority="244" stopIfTrue="1" operator="equal">
      <formula>'1856'!$G$15</formula>
    </cfRule>
    <cfRule type="cellIs" dxfId="1020" priority="245" stopIfTrue="1" operator="lessThan">
      <formula>'1856'!$G$15</formula>
    </cfRule>
  </conditionalFormatting>
  <conditionalFormatting sqref="H16">
    <cfRule type="cellIs" dxfId="1019" priority="246" stopIfTrue="1" operator="equal">
      <formula>'1856'!$G$16</formula>
    </cfRule>
    <cfRule type="cellIs" dxfId="1018" priority="247" stopIfTrue="1" operator="lessThan">
      <formula>'1856'!$G$16</formula>
    </cfRule>
  </conditionalFormatting>
  <conditionalFormatting sqref="H17">
    <cfRule type="cellIs" dxfId="1017" priority="248" stopIfTrue="1" operator="equal">
      <formula>'1856'!$G$17</formula>
    </cfRule>
    <cfRule type="cellIs" dxfId="1016" priority="249" stopIfTrue="1" operator="lessThan">
      <formula>'1856'!$G$17</formula>
    </cfRule>
  </conditionalFormatting>
  <conditionalFormatting sqref="H18">
    <cfRule type="cellIs" dxfId="1015" priority="250" stopIfTrue="1" operator="equal">
      <formula>'1856'!$G$18</formula>
    </cfRule>
    <cfRule type="cellIs" dxfId="1014" priority="251" stopIfTrue="1" operator="lessThan">
      <formula>'1856'!$G$18</formula>
    </cfRule>
  </conditionalFormatting>
  <conditionalFormatting sqref="H19">
    <cfRule type="cellIs" dxfId="1013" priority="252" stopIfTrue="1" operator="equal">
      <formula>'1856'!$G$19</formula>
    </cfRule>
    <cfRule type="cellIs" dxfId="1012" priority="253" stopIfTrue="1" operator="lessThan">
      <formula>'1856'!$G$19</formula>
    </cfRule>
  </conditionalFormatting>
  <conditionalFormatting sqref="H20">
    <cfRule type="cellIs" dxfId="1011" priority="254" stopIfTrue="1" operator="equal">
      <formula>'1856'!$G$20</formula>
    </cfRule>
    <cfRule type="cellIs" dxfId="1010" priority="255" stopIfTrue="1" operator="lessThan">
      <formula>'1856'!$G$20</formula>
    </cfRule>
  </conditionalFormatting>
  <conditionalFormatting sqref="H21">
    <cfRule type="cellIs" dxfId="1009" priority="256" stopIfTrue="1" operator="equal">
      <formula>'1856'!$G$21</formula>
    </cfRule>
    <cfRule type="cellIs" dxfId="1008" priority="257" stopIfTrue="1" operator="lessThan">
      <formula>'1856'!$G$21</formula>
    </cfRule>
  </conditionalFormatting>
  <conditionalFormatting sqref="H22">
    <cfRule type="cellIs" dxfId="1007" priority="258" stopIfTrue="1" operator="equal">
      <formula>'1856'!$G$22</formula>
    </cfRule>
    <cfRule type="cellIs" dxfId="1006" priority="259" stopIfTrue="1" operator="lessThan">
      <formula>'1856'!$G$22</formula>
    </cfRule>
  </conditionalFormatting>
  <conditionalFormatting sqref="H23">
    <cfRule type="cellIs" dxfId="1005" priority="260" stopIfTrue="1" operator="equal">
      <formula>'1856'!$G$23</formula>
    </cfRule>
    <cfRule type="cellIs" dxfId="1004" priority="261" stopIfTrue="1" operator="lessThan">
      <formula>'1856'!$G$23</formula>
    </cfRule>
  </conditionalFormatting>
  <conditionalFormatting sqref="H25">
    <cfRule type="cellIs" dxfId="1003" priority="262" stopIfTrue="1" operator="equal">
      <formula>'1856'!$G$25</formula>
    </cfRule>
    <cfRule type="cellIs" dxfId="1002" priority="263" stopIfTrue="1" operator="lessThan">
      <formula>'1856'!$G$25</formula>
    </cfRule>
  </conditionalFormatting>
  <conditionalFormatting sqref="H26">
    <cfRule type="cellIs" dxfId="1001" priority="264" stopIfTrue="1" operator="equal">
      <formula>'1856'!$G$26</formula>
    </cfRule>
    <cfRule type="cellIs" dxfId="1000" priority="265" stopIfTrue="1" operator="lessThan">
      <formula>'1856'!$G$26</formula>
    </cfRule>
  </conditionalFormatting>
  <conditionalFormatting sqref="H27">
    <cfRule type="cellIs" dxfId="999" priority="266" stopIfTrue="1" operator="equal">
      <formula>'1856'!$G$27</formula>
    </cfRule>
    <cfRule type="cellIs" dxfId="998" priority="267" stopIfTrue="1" operator="lessThan">
      <formula>'1856'!$G$27</formula>
    </cfRule>
  </conditionalFormatting>
  <conditionalFormatting sqref="H28">
    <cfRule type="cellIs" dxfId="997" priority="268" stopIfTrue="1" operator="equal">
      <formula>'1856'!$G$28</formula>
    </cfRule>
    <cfRule type="cellIs" dxfId="996" priority="269" stopIfTrue="1" operator="lessThan">
      <formula>'1856'!$G$28</formula>
    </cfRule>
  </conditionalFormatting>
  <conditionalFormatting sqref="D24">
    <cfRule type="cellIs" dxfId="995" priority="270" stopIfTrue="1" operator="equal">
      <formula>'1856'!$C$24</formula>
    </cfRule>
    <cfRule type="cellIs" dxfId="994" priority="271" stopIfTrue="1" operator="lessThan">
      <formula>'1856'!$C$24</formula>
    </cfRule>
  </conditionalFormatting>
  <conditionalFormatting sqref="E24">
    <cfRule type="cellIs" dxfId="993" priority="272" stopIfTrue="1" operator="equal">
      <formula>'1856'!$D$24</formula>
    </cfRule>
    <cfRule type="cellIs" dxfId="992" priority="273" stopIfTrue="1" operator="lessThan">
      <formula>'1856'!$D$24</formula>
    </cfRule>
  </conditionalFormatting>
  <conditionalFormatting sqref="F24">
    <cfRule type="cellIs" dxfId="991" priority="274" stopIfTrue="1" operator="equal">
      <formula>'1856'!$E$24</formula>
    </cfRule>
    <cfRule type="cellIs" dxfId="990" priority="275" stopIfTrue="1" operator="lessThan">
      <formula>'1856'!$E$24</formula>
    </cfRule>
  </conditionalFormatting>
  <conditionalFormatting sqref="G24">
    <cfRule type="cellIs" dxfId="989" priority="276" stopIfTrue="1" operator="equal">
      <formula>'1856'!$F$24</formula>
    </cfRule>
    <cfRule type="cellIs" dxfId="988" priority="277" stopIfTrue="1" operator="lessThan">
      <formula>'1856'!$F$24</formula>
    </cfRule>
  </conditionalFormatting>
  <conditionalFormatting sqref="H24">
    <cfRule type="cellIs" dxfId="987" priority="278" stopIfTrue="1" operator="equal">
      <formula>'1856'!$G$24</formula>
    </cfRule>
    <cfRule type="cellIs" dxfId="986" priority="279" stopIfTrue="1" operator="lessThan">
      <formula>'1856'!$G$24</formula>
    </cfRule>
  </conditionalFormatting>
  <conditionalFormatting sqref="E5">
    <cfRule type="cellIs" dxfId="985" priority="280" stopIfTrue="1" operator="equal">
      <formula>'1856'!$D$5</formula>
    </cfRule>
    <cfRule type="cellIs" dxfId="984" priority="281" stopIfTrue="1" operator="lessThan">
      <formula>'1856'!$D$5</formula>
    </cfRule>
  </conditionalFormatting>
  <conditionalFormatting sqref="G5">
    <cfRule type="cellIs" dxfId="983" priority="282" stopIfTrue="1" operator="equal">
      <formula>'1856'!$F$5</formula>
    </cfRule>
    <cfRule type="cellIs" dxfId="982" priority="283" stopIfTrue="1" operator="lessThan">
      <formula>'1856'!$F$5</formula>
    </cfRule>
  </conditionalFormatting>
  <conditionalFormatting sqref="G4">
    <cfRule type="cellIs" dxfId="981" priority="284" stopIfTrue="1" operator="equal">
      <formula>'1856'!$F$4</formula>
    </cfRule>
  </conditionalFormatting>
  <conditionalFormatting sqref="J29:O29 D29:H29">
    <cfRule type="cellIs" dxfId="980" priority="285" stopIfTrue="1" operator="equal">
      <formula>0</formula>
    </cfRule>
  </conditionalFormatting>
  <conditionalFormatting sqref="I13">
    <cfRule type="cellIs" dxfId="979" priority="286" stopIfTrue="1" operator="equal">
      <formula>'1856'!$H$13</formula>
    </cfRule>
    <cfRule type="cellIs" dxfId="978" priority="287" stopIfTrue="1" operator="lessThan">
      <formula>'1856'!$H$13</formula>
    </cfRule>
  </conditionalFormatting>
  <conditionalFormatting sqref="I14">
    <cfRule type="cellIs" dxfId="977" priority="288" stopIfTrue="1" operator="equal">
      <formula>'1856'!$H$14</formula>
    </cfRule>
    <cfRule type="cellIs" dxfId="976" priority="289" stopIfTrue="1" operator="lessThan">
      <formula>'1856'!$H$14</formula>
    </cfRule>
  </conditionalFormatting>
  <conditionalFormatting sqref="I15">
    <cfRule type="cellIs" dxfId="975" priority="290" stopIfTrue="1" operator="equal">
      <formula>'1856'!$H$15</formula>
    </cfRule>
    <cfRule type="cellIs" dxfId="974" priority="291" stopIfTrue="1" operator="lessThan">
      <formula>'1856'!$H$15</formula>
    </cfRule>
  </conditionalFormatting>
  <conditionalFormatting sqref="I16">
    <cfRule type="cellIs" dxfId="973" priority="292" stopIfTrue="1" operator="equal">
      <formula>'1856'!$H$16</formula>
    </cfRule>
    <cfRule type="cellIs" dxfId="972" priority="293" stopIfTrue="1" operator="lessThan">
      <formula>'1856'!$H$16</formula>
    </cfRule>
  </conditionalFormatting>
  <conditionalFormatting sqref="I17">
    <cfRule type="cellIs" dxfId="971" priority="294" stopIfTrue="1" operator="equal">
      <formula>'1856'!$H$17</formula>
    </cfRule>
    <cfRule type="cellIs" dxfId="970" priority="295" stopIfTrue="1" operator="lessThan">
      <formula>'1856'!$H$17</formula>
    </cfRule>
  </conditionalFormatting>
  <conditionalFormatting sqref="I18">
    <cfRule type="cellIs" dxfId="969" priority="296" stopIfTrue="1" operator="equal">
      <formula>'1856'!$H$18</formula>
    </cfRule>
    <cfRule type="cellIs" dxfId="968" priority="297" stopIfTrue="1" operator="lessThan">
      <formula>'1856'!$H$18</formula>
    </cfRule>
  </conditionalFormatting>
  <conditionalFormatting sqref="I19">
    <cfRule type="cellIs" dxfId="967" priority="298" stopIfTrue="1" operator="equal">
      <formula>'1856'!$H$19</formula>
    </cfRule>
    <cfRule type="cellIs" dxfId="966" priority="299" stopIfTrue="1" operator="lessThan">
      <formula>'1856'!$H$19</formula>
    </cfRule>
  </conditionalFormatting>
  <conditionalFormatting sqref="I20">
    <cfRule type="cellIs" dxfId="965" priority="300" stopIfTrue="1" operator="equal">
      <formula>'1856'!$H$20</formula>
    </cfRule>
    <cfRule type="cellIs" dxfId="964" priority="301" stopIfTrue="1" operator="lessThan">
      <formula>'1856'!$H$20</formula>
    </cfRule>
  </conditionalFormatting>
  <conditionalFormatting sqref="I21">
    <cfRule type="cellIs" dxfId="963" priority="302" stopIfTrue="1" operator="equal">
      <formula>'1856'!$H$21</formula>
    </cfRule>
    <cfRule type="cellIs" dxfId="962" priority="303" stopIfTrue="1" operator="lessThan">
      <formula>'1856'!$H$21</formula>
    </cfRule>
  </conditionalFormatting>
  <conditionalFormatting sqref="I22">
    <cfRule type="cellIs" dxfId="961" priority="304" stopIfTrue="1" operator="equal">
      <formula>'1856'!$H$22</formula>
    </cfRule>
    <cfRule type="cellIs" dxfId="960" priority="305" stopIfTrue="1" operator="lessThan">
      <formula>'1856'!$H$22</formula>
    </cfRule>
  </conditionalFormatting>
  <conditionalFormatting sqref="I23">
    <cfRule type="cellIs" dxfId="959" priority="306" stopIfTrue="1" operator="equal">
      <formula>'1856'!$H$23</formula>
    </cfRule>
    <cfRule type="cellIs" dxfId="958" priority="307" stopIfTrue="1" operator="lessThan">
      <formula>'1856'!$H$23</formula>
    </cfRule>
  </conditionalFormatting>
  <conditionalFormatting sqref="I24">
    <cfRule type="cellIs" dxfId="957" priority="308" stopIfTrue="1" operator="equal">
      <formula>'1856'!$H$24</formula>
    </cfRule>
    <cfRule type="cellIs" dxfId="956" priority="309" stopIfTrue="1" operator="lessThan">
      <formula>'1856'!$H$24</formula>
    </cfRule>
  </conditionalFormatting>
  <conditionalFormatting sqref="I25">
    <cfRule type="cellIs" dxfId="955" priority="310" stopIfTrue="1" operator="equal">
      <formula>'1856'!$H$25</formula>
    </cfRule>
    <cfRule type="cellIs" dxfId="954" priority="311" stopIfTrue="1" operator="lessThan">
      <formula>'1856'!$H$25</formula>
    </cfRule>
  </conditionalFormatting>
  <conditionalFormatting sqref="I26">
    <cfRule type="cellIs" dxfId="953" priority="312" stopIfTrue="1" operator="equal">
      <formula>'1856'!$H$26</formula>
    </cfRule>
    <cfRule type="cellIs" dxfId="952" priority="313" stopIfTrue="1" operator="lessThan">
      <formula>'1856'!$H$26</formula>
    </cfRule>
  </conditionalFormatting>
  <conditionalFormatting sqref="I27">
    <cfRule type="cellIs" dxfId="951" priority="314" stopIfTrue="1" operator="equal">
      <formula>'1856'!$H$27</formula>
    </cfRule>
    <cfRule type="cellIs" dxfId="950" priority="315" stopIfTrue="1" operator="lessThan">
      <formula>'1856'!$H$27</formula>
    </cfRule>
    <cfRule type="cellIs" dxfId="949" priority="316" stopIfTrue="1" operator="lessThan">
      <formula>'1856'!$H$27</formula>
    </cfRule>
  </conditionalFormatting>
  <conditionalFormatting sqref="I28">
    <cfRule type="cellIs" dxfId="948" priority="317" stopIfTrue="1" operator="equal">
      <formula>'1856'!$H$28</formula>
    </cfRule>
    <cfRule type="cellIs" dxfId="947" priority="318" stopIfTrue="1" operator="lessThan">
      <formula>'1856'!$H$28</formula>
    </cfRule>
  </conditionalFormatting>
  <conditionalFormatting sqref="I29">
    <cfRule type="cellIs" dxfId="946" priority="319" stopIfTrue="1" operator="equal">
      <formula>'1856'!$H$29</formula>
    </cfRule>
    <cfRule type="cellIs" dxfId="945" priority="320" stopIfTrue="1" operator="lessThan">
      <formula>'1856'!$H$29</formula>
    </cfRule>
  </conditionalFormatting>
  <conditionalFormatting sqref="J13">
    <cfRule type="cellIs" dxfId="944" priority="321" stopIfTrue="1" operator="equal">
      <formula>'1856'!$I$13</formula>
    </cfRule>
    <cfRule type="cellIs" dxfId="943" priority="322" stopIfTrue="1" operator="lessThan">
      <formula>'1856'!$I$13</formula>
    </cfRule>
  </conditionalFormatting>
  <conditionalFormatting sqref="J14">
    <cfRule type="cellIs" dxfId="942" priority="323" stopIfTrue="1" operator="equal">
      <formula>'1856'!$I$14</formula>
    </cfRule>
    <cfRule type="cellIs" dxfId="941" priority="324" stopIfTrue="1" operator="lessThan">
      <formula>'1856'!$I$14</formula>
    </cfRule>
  </conditionalFormatting>
  <conditionalFormatting sqref="J15">
    <cfRule type="cellIs" dxfId="940" priority="325" stopIfTrue="1" operator="equal">
      <formula>'1856'!$I$15</formula>
    </cfRule>
    <cfRule type="cellIs" dxfId="939" priority="326" stopIfTrue="1" operator="lessThan">
      <formula>'1856'!$I$15</formula>
    </cfRule>
  </conditionalFormatting>
  <conditionalFormatting sqref="J16">
    <cfRule type="cellIs" dxfId="938" priority="327" stopIfTrue="1" operator="equal">
      <formula>'1856'!$I$16</formula>
    </cfRule>
    <cfRule type="cellIs" dxfId="937" priority="328" stopIfTrue="1" operator="lessThan">
      <formula>'1856'!$I$16</formula>
    </cfRule>
  </conditionalFormatting>
  <conditionalFormatting sqref="J17">
    <cfRule type="cellIs" dxfId="936" priority="329" stopIfTrue="1" operator="equal">
      <formula>'1856'!$I$17</formula>
    </cfRule>
    <cfRule type="cellIs" dxfId="935" priority="330" stopIfTrue="1" operator="lessThan">
      <formula>'1856'!$I$17</formula>
    </cfRule>
  </conditionalFormatting>
  <conditionalFormatting sqref="J18">
    <cfRule type="cellIs" dxfId="934" priority="331" stopIfTrue="1" operator="equal">
      <formula>'1856'!$I$18</formula>
    </cfRule>
    <cfRule type="cellIs" dxfId="933" priority="332" stopIfTrue="1" operator="lessThan">
      <formula>'1856'!$I$18</formula>
    </cfRule>
  </conditionalFormatting>
  <conditionalFormatting sqref="J19">
    <cfRule type="cellIs" dxfId="932" priority="333" stopIfTrue="1" operator="equal">
      <formula>'1856'!$I$19</formula>
    </cfRule>
    <cfRule type="cellIs" dxfId="931" priority="334" stopIfTrue="1" operator="lessThan">
      <formula>'1856'!$I$19</formula>
    </cfRule>
  </conditionalFormatting>
  <conditionalFormatting sqref="J20">
    <cfRule type="cellIs" dxfId="930" priority="335" stopIfTrue="1" operator="equal">
      <formula>'1856'!$I$20</formula>
    </cfRule>
    <cfRule type="cellIs" dxfId="929" priority="336" stopIfTrue="1" operator="lessThan">
      <formula>'1856'!$I$20</formula>
    </cfRule>
  </conditionalFormatting>
  <conditionalFormatting sqref="J21">
    <cfRule type="cellIs" dxfId="928" priority="337" stopIfTrue="1" operator="equal">
      <formula>'1856'!$I$21</formula>
    </cfRule>
    <cfRule type="cellIs" dxfId="927" priority="338" stopIfTrue="1" operator="lessThan">
      <formula>'1856'!$I$21</formula>
    </cfRule>
  </conditionalFormatting>
  <conditionalFormatting sqref="J22">
    <cfRule type="cellIs" dxfId="926" priority="339" stopIfTrue="1" operator="equal">
      <formula>'1856'!$I$22</formula>
    </cfRule>
    <cfRule type="cellIs" dxfId="925" priority="340" stopIfTrue="1" operator="lessThan">
      <formula>'1856'!$I$22</formula>
    </cfRule>
  </conditionalFormatting>
  <conditionalFormatting sqref="J23">
    <cfRule type="cellIs" dxfId="924" priority="341" stopIfTrue="1" operator="equal">
      <formula>'1856'!$I$23</formula>
    </cfRule>
    <cfRule type="cellIs" dxfId="923" priority="342" stopIfTrue="1" operator="lessThan">
      <formula>'1856'!$I$23</formula>
    </cfRule>
  </conditionalFormatting>
  <conditionalFormatting sqref="J24">
    <cfRule type="cellIs" dxfId="922" priority="343" stopIfTrue="1" operator="equal">
      <formula>'1856'!$I$24</formula>
    </cfRule>
    <cfRule type="cellIs" dxfId="921" priority="344" stopIfTrue="1" operator="lessThan">
      <formula>'1856'!$I$24</formula>
    </cfRule>
  </conditionalFormatting>
  <conditionalFormatting sqref="J25">
    <cfRule type="cellIs" dxfId="920" priority="345" stopIfTrue="1" operator="equal">
      <formula>'1856'!$I$25</formula>
    </cfRule>
    <cfRule type="cellIs" dxfId="919" priority="346" stopIfTrue="1" operator="lessThan">
      <formula>'1856'!$I$25</formula>
    </cfRule>
  </conditionalFormatting>
  <conditionalFormatting sqref="J26">
    <cfRule type="cellIs" dxfId="918" priority="347" stopIfTrue="1" operator="equal">
      <formula>'1856'!$I$26</formula>
    </cfRule>
    <cfRule type="cellIs" dxfId="917" priority="348" stopIfTrue="1" operator="lessThan">
      <formula>'1856'!$I$26</formula>
    </cfRule>
  </conditionalFormatting>
  <conditionalFormatting sqref="J27">
    <cfRule type="cellIs" dxfId="916" priority="349" stopIfTrue="1" operator="equal">
      <formula>'1856'!$I$27</formula>
    </cfRule>
    <cfRule type="cellIs" dxfId="915" priority="350" stopIfTrue="1" operator="lessThan">
      <formula>'1856'!$I$27</formula>
    </cfRule>
  </conditionalFormatting>
  <conditionalFormatting sqref="J28">
    <cfRule type="cellIs" dxfId="914" priority="351" stopIfTrue="1" operator="equal">
      <formula>'1856'!$I$28</formula>
    </cfRule>
    <cfRule type="cellIs" dxfId="913" priority="352" stopIfTrue="1" operator="lessThan">
      <formula>'1856'!$I$28</formula>
    </cfRule>
  </conditionalFormatting>
  <conditionalFormatting sqref="K4">
    <cfRule type="cellIs" dxfId="912" priority="353" stopIfTrue="1" operator="equal">
      <formula>'1856'!$J$4</formula>
    </cfRule>
    <cfRule type="cellIs" dxfId="911" priority="354" stopIfTrue="1" operator="lessThan">
      <formula>'1856'!$J$4</formula>
    </cfRule>
  </conditionalFormatting>
  <conditionalFormatting sqref="K5">
    <cfRule type="cellIs" dxfId="910" priority="355" stopIfTrue="1" operator="equal">
      <formula>'1856'!$J$5</formula>
    </cfRule>
    <cfRule type="cellIs" dxfId="909" priority="356" stopIfTrue="1" operator="lessThan">
      <formula>'1856'!$J$5</formula>
    </cfRule>
  </conditionalFormatting>
  <conditionalFormatting sqref="K6">
    <cfRule type="cellIs" dxfId="908" priority="357" stopIfTrue="1" operator="equal">
      <formula>'1856'!$J$6</formula>
    </cfRule>
    <cfRule type="cellIs" dxfId="907" priority="358" stopIfTrue="1" operator="lessThan">
      <formula>'1856'!$J$6</formula>
    </cfRule>
  </conditionalFormatting>
  <conditionalFormatting sqref="K7">
    <cfRule type="cellIs" dxfId="906" priority="359" stopIfTrue="1" operator="equal">
      <formula>'1856'!$J$7</formula>
    </cfRule>
    <cfRule type="cellIs" dxfId="905" priority="360" stopIfTrue="1" operator="lessThan">
      <formula>'1856'!$J$7</formula>
    </cfRule>
  </conditionalFormatting>
  <conditionalFormatting sqref="K8">
    <cfRule type="cellIs" dxfId="904" priority="361" stopIfTrue="1" operator="equal">
      <formula>'1856'!$J$8</formula>
    </cfRule>
    <cfRule type="cellIs" dxfId="903" priority="362" stopIfTrue="1" operator="lessThan">
      <formula>'1856'!$J$8</formula>
    </cfRule>
  </conditionalFormatting>
  <conditionalFormatting sqref="K9">
    <cfRule type="cellIs" dxfId="902" priority="363" stopIfTrue="1" operator="equal">
      <formula>'1856'!$J$9</formula>
    </cfRule>
    <cfRule type="cellIs" dxfId="901" priority="364" stopIfTrue="1" operator="lessThan">
      <formula>'1856'!$J$9</formula>
    </cfRule>
  </conditionalFormatting>
  <conditionalFormatting sqref="K10">
    <cfRule type="cellIs" dxfId="900" priority="365" stopIfTrue="1" operator="equal">
      <formula>'1856'!$J$10</formula>
    </cfRule>
    <cfRule type="cellIs" dxfId="899" priority="366" stopIfTrue="1" operator="lessThan">
      <formula>'1856'!$J$10</formula>
    </cfRule>
  </conditionalFormatting>
  <conditionalFormatting sqref="K11">
    <cfRule type="cellIs" dxfId="898" priority="367" stopIfTrue="1" operator="equal">
      <formula>'1856'!$J$11</formula>
    </cfRule>
    <cfRule type="cellIs" dxfId="897" priority="368" stopIfTrue="1" operator="lessThan">
      <formula>'1856'!$J$11</formula>
    </cfRule>
  </conditionalFormatting>
  <conditionalFormatting sqref="K12">
    <cfRule type="cellIs" dxfId="896" priority="369" stopIfTrue="1" operator="equal">
      <formula>'1856'!$J$12</formula>
    </cfRule>
    <cfRule type="cellIs" dxfId="895" priority="370" stopIfTrue="1" operator="lessThan">
      <formula>'1856'!$J$12</formula>
    </cfRule>
  </conditionalFormatting>
  <conditionalFormatting sqref="K13">
    <cfRule type="cellIs" dxfId="894" priority="371" stopIfTrue="1" operator="equal">
      <formula>'1856'!$J$13</formula>
    </cfRule>
    <cfRule type="cellIs" dxfId="893" priority="372" stopIfTrue="1" operator="lessThan">
      <formula>'1856'!$J$13</formula>
    </cfRule>
  </conditionalFormatting>
  <conditionalFormatting sqref="K14">
    <cfRule type="cellIs" dxfId="892" priority="373" stopIfTrue="1" operator="equal">
      <formula>'1856'!$J$14</formula>
    </cfRule>
    <cfRule type="cellIs" dxfId="891" priority="374" stopIfTrue="1" operator="lessThan">
      <formula>'1856'!$J$14</formula>
    </cfRule>
  </conditionalFormatting>
  <conditionalFormatting sqref="K15">
    <cfRule type="cellIs" dxfId="890" priority="375" stopIfTrue="1" operator="equal">
      <formula>'1856'!$J$15</formula>
    </cfRule>
    <cfRule type="cellIs" dxfId="889" priority="376" stopIfTrue="1" operator="lessThan">
      <formula>'1856'!$J$15</formula>
    </cfRule>
  </conditionalFormatting>
  <conditionalFormatting sqref="K16">
    <cfRule type="cellIs" dxfId="888" priority="377" stopIfTrue="1" operator="equal">
      <formula>'1856'!$J$16</formula>
    </cfRule>
    <cfRule type="cellIs" dxfId="887" priority="378" stopIfTrue="1" operator="lessThan">
      <formula>'1856'!$J$16</formula>
    </cfRule>
  </conditionalFormatting>
  <conditionalFormatting sqref="K17">
    <cfRule type="cellIs" dxfId="886" priority="379" stopIfTrue="1" operator="equal">
      <formula>'1856'!$J$17</formula>
    </cfRule>
    <cfRule type="cellIs" dxfId="885" priority="380" stopIfTrue="1" operator="lessThan">
      <formula>'1856'!$J$17</formula>
    </cfRule>
  </conditionalFormatting>
  <conditionalFormatting sqref="K18">
    <cfRule type="cellIs" dxfId="884" priority="381" stopIfTrue="1" operator="equal">
      <formula>'1856'!$J$18</formula>
    </cfRule>
    <cfRule type="cellIs" dxfId="883" priority="382" stopIfTrue="1" operator="lessThan">
      <formula>'1856'!$J$18</formula>
    </cfRule>
  </conditionalFormatting>
  <conditionalFormatting sqref="K19">
    <cfRule type="cellIs" dxfId="882" priority="383" stopIfTrue="1" operator="equal">
      <formula>'1856'!$J$19</formula>
    </cfRule>
    <cfRule type="cellIs" dxfId="881" priority="384" stopIfTrue="1" operator="lessThan">
      <formula>'1856'!$J$19</formula>
    </cfRule>
  </conditionalFormatting>
  <conditionalFormatting sqref="K20">
    <cfRule type="cellIs" dxfId="880" priority="385" stopIfTrue="1" operator="equal">
      <formula>'1856'!$J$20</formula>
    </cfRule>
    <cfRule type="cellIs" dxfId="879" priority="386" stopIfTrue="1" operator="lessThan">
      <formula>'1856'!$J$20</formula>
    </cfRule>
  </conditionalFormatting>
  <conditionalFormatting sqref="K21">
    <cfRule type="cellIs" dxfId="878" priority="387" stopIfTrue="1" operator="equal">
      <formula>'1856'!$J$21</formula>
    </cfRule>
    <cfRule type="cellIs" dxfId="877" priority="388" stopIfTrue="1" operator="lessThan">
      <formula>'1856'!$J$21</formula>
    </cfRule>
  </conditionalFormatting>
  <conditionalFormatting sqref="K22">
    <cfRule type="cellIs" dxfId="876" priority="389" stopIfTrue="1" operator="equal">
      <formula>'1856'!$J$22</formula>
    </cfRule>
    <cfRule type="cellIs" dxfId="875" priority="390" stopIfTrue="1" operator="lessThan">
      <formula>'1856'!$J$22</formula>
    </cfRule>
  </conditionalFormatting>
  <conditionalFormatting sqref="K23">
    <cfRule type="cellIs" dxfId="874" priority="391" stopIfTrue="1" operator="equal">
      <formula>'1856'!$J$23</formula>
    </cfRule>
    <cfRule type="cellIs" dxfId="873" priority="392" stopIfTrue="1" operator="lessThan">
      <formula>'1856'!$J$23</formula>
    </cfRule>
  </conditionalFormatting>
  <conditionalFormatting sqref="K24">
    <cfRule type="cellIs" dxfId="872" priority="393" stopIfTrue="1" operator="equal">
      <formula>'1856'!$J$24</formula>
    </cfRule>
    <cfRule type="cellIs" dxfId="871" priority="394" stopIfTrue="1" operator="lessThan">
      <formula>'1856'!$J$24</formula>
    </cfRule>
  </conditionalFormatting>
  <conditionalFormatting sqref="K25">
    <cfRule type="cellIs" dxfId="870" priority="395" stopIfTrue="1" operator="equal">
      <formula>'1856'!$J$25</formula>
    </cfRule>
    <cfRule type="cellIs" dxfId="869" priority="396" stopIfTrue="1" operator="lessThan">
      <formula>'1856'!$J$25</formula>
    </cfRule>
  </conditionalFormatting>
  <conditionalFormatting sqref="K26">
    <cfRule type="cellIs" dxfId="868" priority="397" stopIfTrue="1" operator="equal">
      <formula>'1856'!$J$26</formula>
    </cfRule>
    <cfRule type="cellIs" dxfId="867" priority="398" stopIfTrue="1" operator="lessThan">
      <formula>'1856'!$J$26</formula>
    </cfRule>
  </conditionalFormatting>
  <conditionalFormatting sqref="K27">
    <cfRule type="cellIs" dxfId="866" priority="399" stopIfTrue="1" operator="equal">
      <formula>'1856'!$J$27</formula>
    </cfRule>
    <cfRule type="cellIs" dxfId="865" priority="400" stopIfTrue="1" operator="lessThan">
      <formula>'1856'!$J$27</formula>
    </cfRule>
  </conditionalFormatting>
  <conditionalFormatting sqref="K28">
    <cfRule type="cellIs" dxfId="864" priority="401" stopIfTrue="1" operator="lessThan">
      <formula>'1856'!$J$28</formula>
    </cfRule>
    <cfRule type="cellIs" dxfId="863" priority="402" stopIfTrue="1" operator="equal">
      <formula>'1856'!$J$28</formula>
    </cfRule>
  </conditionalFormatting>
  <conditionalFormatting sqref="L4">
    <cfRule type="cellIs" dxfId="862" priority="403" stopIfTrue="1" operator="equal">
      <formula>'1856'!$K$4</formula>
    </cfRule>
    <cfRule type="cellIs" dxfId="861" priority="404" stopIfTrue="1" operator="lessThan">
      <formula>'1856'!$K$4</formula>
    </cfRule>
  </conditionalFormatting>
  <conditionalFormatting sqref="L5">
    <cfRule type="cellIs" dxfId="860" priority="405" stopIfTrue="1" operator="equal">
      <formula>'1856'!$K$5</formula>
    </cfRule>
    <cfRule type="cellIs" dxfId="859" priority="406" stopIfTrue="1" operator="lessThan">
      <formula>'1856'!$K$5</formula>
    </cfRule>
  </conditionalFormatting>
  <conditionalFormatting sqref="L6">
    <cfRule type="cellIs" dxfId="858" priority="407" stopIfTrue="1" operator="equal">
      <formula>'1856'!$K$6</formula>
    </cfRule>
    <cfRule type="cellIs" dxfId="857" priority="408" stopIfTrue="1" operator="lessThan">
      <formula>'1856'!$K$6</formula>
    </cfRule>
  </conditionalFormatting>
  <conditionalFormatting sqref="L7">
    <cfRule type="cellIs" dxfId="856" priority="409" stopIfTrue="1" operator="equal">
      <formula>'1856'!$K$7</formula>
    </cfRule>
    <cfRule type="cellIs" dxfId="855" priority="410" stopIfTrue="1" operator="lessThan">
      <formula>'1856'!$K$7</formula>
    </cfRule>
  </conditionalFormatting>
  <conditionalFormatting sqref="L8">
    <cfRule type="cellIs" dxfId="854" priority="411" stopIfTrue="1" operator="equal">
      <formula>'1856'!$K$8</formula>
    </cfRule>
    <cfRule type="cellIs" dxfId="853" priority="412" stopIfTrue="1" operator="lessThan">
      <formula>'1856'!$K$8</formula>
    </cfRule>
  </conditionalFormatting>
  <conditionalFormatting sqref="L9">
    <cfRule type="cellIs" dxfId="852" priority="413" stopIfTrue="1" operator="equal">
      <formula>'1856'!$K$9</formula>
    </cfRule>
    <cfRule type="cellIs" dxfId="851" priority="414" stopIfTrue="1" operator="lessThan">
      <formula>'1856'!$K$9</formula>
    </cfRule>
  </conditionalFormatting>
  <conditionalFormatting sqref="L10">
    <cfRule type="cellIs" dxfId="850" priority="415" stopIfTrue="1" operator="equal">
      <formula>'1856'!$K$10</formula>
    </cfRule>
    <cfRule type="cellIs" dxfId="849" priority="416" stopIfTrue="1" operator="lessThan">
      <formula>'1856'!$K$10</formula>
    </cfRule>
  </conditionalFormatting>
  <conditionalFormatting sqref="L12">
    <cfRule type="cellIs" dxfId="848" priority="417" stopIfTrue="1" operator="equal">
      <formula>'1856'!$K$12</formula>
    </cfRule>
    <cfRule type="cellIs" dxfId="847" priority="418" stopIfTrue="1" operator="lessThan">
      <formula>'1856'!$K$12</formula>
    </cfRule>
  </conditionalFormatting>
  <conditionalFormatting sqref="L13">
    <cfRule type="cellIs" dxfId="846" priority="419" stopIfTrue="1" operator="equal">
      <formula>'1856'!$K$13</formula>
    </cfRule>
    <cfRule type="cellIs" dxfId="845" priority="420" stopIfTrue="1" operator="lessThan">
      <formula>'1856'!$K$13</formula>
    </cfRule>
  </conditionalFormatting>
  <conditionalFormatting sqref="L14">
    <cfRule type="cellIs" dxfId="844" priority="421" stopIfTrue="1" operator="equal">
      <formula>'1856'!$K$14</formula>
    </cfRule>
    <cfRule type="cellIs" dxfId="843" priority="422" stopIfTrue="1" operator="lessThan">
      <formula>'1856'!$K$14</formula>
    </cfRule>
  </conditionalFormatting>
  <conditionalFormatting sqref="L15">
    <cfRule type="cellIs" dxfId="842" priority="423" stopIfTrue="1" operator="equal">
      <formula>'1856'!$K$15</formula>
    </cfRule>
    <cfRule type="cellIs" dxfId="841" priority="424" stopIfTrue="1" operator="lessThan">
      <formula>'1856'!$K$15</formula>
    </cfRule>
  </conditionalFormatting>
  <conditionalFormatting sqref="L16">
    <cfRule type="cellIs" dxfId="840" priority="425" stopIfTrue="1" operator="equal">
      <formula>'1856'!$K$16</formula>
    </cfRule>
    <cfRule type="cellIs" dxfId="839" priority="426" stopIfTrue="1" operator="lessThan">
      <formula>'1856'!$K$16</formula>
    </cfRule>
  </conditionalFormatting>
  <conditionalFormatting sqref="L17">
    <cfRule type="cellIs" dxfId="838" priority="427" stopIfTrue="1" operator="equal">
      <formula>'1856'!$K$17</formula>
    </cfRule>
    <cfRule type="cellIs" dxfId="837" priority="428" stopIfTrue="1" operator="lessThan">
      <formula>'1856'!$K$17</formula>
    </cfRule>
  </conditionalFormatting>
  <conditionalFormatting sqref="L18">
    <cfRule type="cellIs" dxfId="836" priority="429" stopIfTrue="1" operator="equal">
      <formula>'1856'!$K$18</formula>
    </cfRule>
    <cfRule type="cellIs" dxfId="835" priority="430" stopIfTrue="1" operator="lessThan">
      <formula>'1856'!$K$18</formula>
    </cfRule>
  </conditionalFormatting>
  <conditionalFormatting sqref="L19">
    <cfRule type="cellIs" dxfId="834" priority="431" stopIfTrue="1" operator="equal">
      <formula>'1856'!$K$19</formula>
    </cfRule>
    <cfRule type="cellIs" dxfId="833" priority="432" stopIfTrue="1" operator="lessThan">
      <formula>'1856'!$K$19</formula>
    </cfRule>
  </conditionalFormatting>
  <conditionalFormatting sqref="L20">
    <cfRule type="cellIs" dxfId="832" priority="433" stopIfTrue="1" operator="equal">
      <formula>'1856'!$K$20</formula>
    </cfRule>
    <cfRule type="cellIs" dxfId="831" priority="434" stopIfTrue="1" operator="lessThan">
      <formula>'1856'!$K$20</formula>
    </cfRule>
  </conditionalFormatting>
  <conditionalFormatting sqref="L21">
    <cfRule type="cellIs" dxfId="830" priority="435" stopIfTrue="1" operator="equal">
      <formula>'1856'!$K$21</formula>
    </cfRule>
    <cfRule type="cellIs" dxfId="829" priority="436" stopIfTrue="1" operator="lessThan">
      <formula>'1856'!$K$21</formula>
    </cfRule>
  </conditionalFormatting>
  <conditionalFormatting sqref="L11">
    <cfRule type="cellIs" dxfId="828" priority="437" stopIfTrue="1" operator="equal">
      <formula>'1856'!$K$11</formula>
    </cfRule>
    <cfRule type="cellIs" dxfId="827" priority="438" stopIfTrue="1" operator="lessThan">
      <formula>'1856'!$K$11</formula>
    </cfRule>
  </conditionalFormatting>
  <conditionalFormatting sqref="L22">
    <cfRule type="cellIs" dxfId="826" priority="439" stopIfTrue="1" operator="equal">
      <formula>'1856'!$K$22</formula>
    </cfRule>
    <cfRule type="cellIs" dxfId="825" priority="440" stopIfTrue="1" operator="lessThan">
      <formula>'1856'!$K$22</formula>
    </cfRule>
  </conditionalFormatting>
  <conditionalFormatting sqref="L23">
    <cfRule type="cellIs" dxfId="824" priority="441" stopIfTrue="1" operator="equal">
      <formula>'1856'!$K$23</formula>
    </cfRule>
    <cfRule type="cellIs" dxfId="823" priority="442" stopIfTrue="1" operator="lessThan">
      <formula>'1856'!$K$23</formula>
    </cfRule>
  </conditionalFormatting>
  <conditionalFormatting sqref="L24">
    <cfRule type="cellIs" dxfId="822" priority="443" stopIfTrue="1" operator="equal">
      <formula>'1856'!$K$24</formula>
    </cfRule>
    <cfRule type="cellIs" dxfId="821" priority="444" stopIfTrue="1" operator="lessThan">
      <formula>'1856'!$K$24</formula>
    </cfRule>
  </conditionalFormatting>
  <conditionalFormatting sqref="L25">
    <cfRule type="cellIs" dxfId="820" priority="445" stopIfTrue="1" operator="equal">
      <formula>'1856'!$K$25</formula>
    </cfRule>
    <cfRule type="cellIs" dxfId="819" priority="446" stopIfTrue="1" operator="lessThan">
      <formula>'1856'!$K$25</formula>
    </cfRule>
  </conditionalFormatting>
  <conditionalFormatting sqref="L26">
    <cfRule type="cellIs" dxfId="818" priority="447" stopIfTrue="1" operator="equal">
      <formula>'1856'!$K$26</formula>
    </cfRule>
    <cfRule type="cellIs" dxfId="817" priority="448" stopIfTrue="1" operator="lessThan">
      <formula>'1856'!$K$26</formula>
    </cfRule>
  </conditionalFormatting>
  <conditionalFormatting sqref="L27">
    <cfRule type="cellIs" dxfId="816" priority="449" stopIfTrue="1" operator="equal">
      <formula>'1856'!$K$27</formula>
    </cfRule>
    <cfRule type="cellIs" dxfId="815" priority="450" stopIfTrue="1" operator="lessThan">
      <formula>'1856'!$K$27</formula>
    </cfRule>
  </conditionalFormatting>
  <conditionalFormatting sqref="L28">
    <cfRule type="cellIs" dxfId="814" priority="451" stopIfTrue="1" operator="equal">
      <formula>'1856'!$K$28</formula>
    </cfRule>
    <cfRule type="cellIs" dxfId="813" priority="452" stopIfTrue="1" operator="lessThan">
      <formula>'1856'!$K$28</formula>
    </cfRule>
  </conditionalFormatting>
  <conditionalFormatting sqref="M4">
    <cfRule type="cellIs" dxfId="812" priority="453" stopIfTrue="1" operator="lessThan">
      <formula>'1856'!$L$4</formula>
    </cfRule>
    <cfRule type="cellIs" dxfId="811" priority="454" stopIfTrue="1" operator="equal">
      <formula>'1856'!$L$4</formula>
    </cfRule>
  </conditionalFormatting>
  <conditionalFormatting sqref="M5">
    <cfRule type="cellIs" dxfId="810" priority="455" stopIfTrue="1" operator="equal">
      <formula>'1856'!$L$5</formula>
    </cfRule>
    <cfRule type="cellIs" dxfId="809" priority="456" stopIfTrue="1" operator="lessThan">
      <formula>'1856'!$L$5</formula>
    </cfRule>
  </conditionalFormatting>
  <conditionalFormatting sqref="M6">
    <cfRule type="cellIs" dxfId="808" priority="457" stopIfTrue="1" operator="equal">
      <formula>'1856'!$L$6</formula>
    </cfRule>
    <cfRule type="cellIs" dxfId="807" priority="458" stopIfTrue="1" operator="lessThan">
      <formula>'1856'!$L$6</formula>
    </cfRule>
  </conditionalFormatting>
  <conditionalFormatting sqref="M7">
    <cfRule type="cellIs" dxfId="806" priority="459" stopIfTrue="1" operator="equal">
      <formula>'1856'!$L$7</formula>
    </cfRule>
    <cfRule type="cellIs" dxfId="805" priority="460" stopIfTrue="1" operator="lessThan">
      <formula>'1856'!$L$7</formula>
    </cfRule>
  </conditionalFormatting>
  <conditionalFormatting sqref="M8">
    <cfRule type="cellIs" dxfId="804" priority="461" stopIfTrue="1" operator="equal">
      <formula>'1856'!$L$8</formula>
    </cfRule>
    <cfRule type="cellIs" dxfId="803" priority="462" stopIfTrue="1" operator="lessThan">
      <formula>'1856'!$L$8</formula>
    </cfRule>
  </conditionalFormatting>
  <conditionalFormatting sqref="M9">
    <cfRule type="cellIs" dxfId="802" priority="463" stopIfTrue="1" operator="equal">
      <formula>'1856'!$L$9</formula>
    </cfRule>
    <cfRule type="cellIs" dxfId="801" priority="464" stopIfTrue="1" operator="lessThan">
      <formula>'1856'!$L$9</formula>
    </cfRule>
  </conditionalFormatting>
  <conditionalFormatting sqref="M10">
    <cfRule type="cellIs" dxfId="800" priority="465" stopIfTrue="1" operator="equal">
      <formula>'1856'!$L$10</formula>
    </cfRule>
    <cfRule type="cellIs" dxfId="799" priority="466" stopIfTrue="1" operator="lessThan">
      <formula>'1856'!$L$10</formula>
    </cfRule>
  </conditionalFormatting>
  <conditionalFormatting sqref="M11">
    <cfRule type="cellIs" dxfId="798" priority="467" stopIfTrue="1" operator="equal">
      <formula>'1856'!$L$11</formula>
    </cfRule>
    <cfRule type="cellIs" dxfId="797" priority="468" stopIfTrue="1" operator="lessThan">
      <formula>'1856'!$L$11</formula>
    </cfRule>
  </conditionalFormatting>
  <conditionalFormatting sqref="M12">
    <cfRule type="cellIs" dxfId="796" priority="469" stopIfTrue="1" operator="equal">
      <formula>'1856'!$L$12</formula>
    </cfRule>
    <cfRule type="cellIs" dxfId="795" priority="470" stopIfTrue="1" operator="lessThan">
      <formula>'1856'!$L$12</formula>
    </cfRule>
  </conditionalFormatting>
  <conditionalFormatting sqref="M13">
    <cfRule type="cellIs" dxfId="794" priority="471" stopIfTrue="1" operator="equal">
      <formula>'1856'!$L$13</formula>
    </cfRule>
    <cfRule type="cellIs" dxfId="793" priority="472" stopIfTrue="1" operator="lessThan">
      <formula>'1856'!$L$13</formula>
    </cfRule>
  </conditionalFormatting>
  <conditionalFormatting sqref="M14">
    <cfRule type="cellIs" dxfId="792" priority="473" stopIfTrue="1" operator="equal">
      <formula>'1856'!$L$14</formula>
    </cfRule>
    <cfRule type="cellIs" dxfId="791" priority="474" stopIfTrue="1" operator="lessThan">
      <formula>'1856'!$L$14</formula>
    </cfRule>
  </conditionalFormatting>
  <conditionalFormatting sqref="M15">
    <cfRule type="cellIs" dxfId="790" priority="475" stopIfTrue="1" operator="equal">
      <formula>'1856'!$L$15</formula>
    </cfRule>
    <cfRule type="cellIs" dxfId="789" priority="476" stopIfTrue="1" operator="lessThan">
      <formula>'1856'!$L$15</formula>
    </cfRule>
  </conditionalFormatting>
  <conditionalFormatting sqref="M16">
    <cfRule type="cellIs" dxfId="788" priority="477" stopIfTrue="1" operator="equal">
      <formula>'1856'!$L$16</formula>
    </cfRule>
    <cfRule type="cellIs" dxfId="787" priority="478" stopIfTrue="1" operator="lessThan">
      <formula>'1856'!$L$16</formula>
    </cfRule>
  </conditionalFormatting>
  <conditionalFormatting sqref="M17">
    <cfRule type="cellIs" dxfId="786" priority="479" stopIfTrue="1" operator="equal">
      <formula>'1856'!$L$17</formula>
    </cfRule>
    <cfRule type="cellIs" dxfId="785" priority="480" stopIfTrue="1" operator="lessThan">
      <formula>'1856'!$L$17</formula>
    </cfRule>
  </conditionalFormatting>
  <conditionalFormatting sqref="M18">
    <cfRule type="cellIs" dxfId="784" priority="481" stopIfTrue="1" operator="equal">
      <formula>'1856'!$L$18</formula>
    </cfRule>
    <cfRule type="cellIs" dxfId="783" priority="482" stopIfTrue="1" operator="lessThan">
      <formula>'1856'!$L$18</formula>
    </cfRule>
  </conditionalFormatting>
  <conditionalFormatting sqref="M19">
    <cfRule type="cellIs" dxfId="782" priority="483" stopIfTrue="1" operator="equal">
      <formula>'1856'!$L$19</formula>
    </cfRule>
    <cfRule type="cellIs" dxfId="781" priority="484" stopIfTrue="1" operator="lessThan">
      <formula>'1856'!$L$19</formula>
    </cfRule>
  </conditionalFormatting>
  <conditionalFormatting sqref="M20">
    <cfRule type="cellIs" dxfId="780" priority="485" stopIfTrue="1" operator="equal">
      <formula>'1856'!$L$20</formula>
    </cfRule>
    <cfRule type="cellIs" dxfId="779" priority="486" stopIfTrue="1" operator="lessThan">
      <formula>'1856'!$L$20</formula>
    </cfRule>
  </conditionalFormatting>
  <conditionalFormatting sqref="M21">
    <cfRule type="cellIs" dxfId="778" priority="487" stopIfTrue="1" operator="equal">
      <formula>'1856'!$L$21</formula>
    </cfRule>
    <cfRule type="cellIs" dxfId="777" priority="488" stopIfTrue="1" operator="lessThan">
      <formula>'1856'!$L$21</formula>
    </cfRule>
  </conditionalFormatting>
  <conditionalFormatting sqref="M22">
    <cfRule type="cellIs" dxfId="776" priority="489" stopIfTrue="1" operator="equal">
      <formula>'1856'!$L$22</formula>
    </cfRule>
    <cfRule type="cellIs" dxfId="775" priority="490" stopIfTrue="1" operator="lessThan">
      <formula>'1856'!$L$22</formula>
    </cfRule>
  </conditionalFormatting>
  <conditionalFormatting sqref="M23">
    <cfRule type="cellIs" dxfId="774" priority="491" stopIfTrue="1" operator="equal">
      <formula>'1856'!$L$23</formula>
    </cfRule>
    <cfRule type="cellIs" dxfId="773" priority="492" stopIfTrue="1" operator="lessThan">
      <formula>'1856'!$L$23</formula>
    </cfRule>
  </conditionalFormatting>
  <conditionalFormatting sqref="M24">
    <cfRule type="cellIs" dxfId="772" priority="493" stopIfTrue="1" operator="equal">
      <formula>'1856'!$L$24</formula>
    </cfRule>
    <cfRule type="cellIs" dxfId="771" priority="494" stopIfTrue="1" operator="lessThan">
      <formula>'1856'!$L$24</formula>
    </cfRule>
  </conditionalFormatting>
  <conditionalFormatting sqref="M25">
    <cfRule type="cellIs" dxfId="770" priority="495" stopIfTrue="1" operator="equal">
      <formula>'1856'!$L$25</formula>
    </cfRule>
    <cfRule type="cellIs" dxfId="769" priority="496" stopIfTrue="1" operator="lessThan">
      <formula>'1856'!$L$25</formula>
    </cfRule>
  </conditionalFormatting>
  <conditionalFormatting sqref="M26">
    <cfRule type="cellIs" dxfId="768" priority="497" stopIfTrue="1" operator="equal">
      <formula>'1856'!$L$26</formula>
    </cfRule>
    <cfRule type="cellIs" dxfId="767" priority="498" stopIfTrue="1" operator="lessThan">
      <formula>'1856'!$L$26</formula>
    </cfRule>
  </conditionalFormatting>
  <conditionalFormatting sqref="M27">
    <cfRule type="cellIs" dxfId="766" priority="499" stopIfTrue="1" operator="equal">
      <formula>'1856'!$L$27</formula>
    </cfRule>
    <cfRule type="cellIs" dxfId="765" priority="500" stopIfTrue="1" operator="lessThan">
      <formula>'1856'!$L$27</formula>
    </cfRule>
  </conditionalFormatting>
  <conditionalFormatting sqref="M28">
    <cfRule type="cellIs" dxfId="764" priority="501" stopIfTrue="1" operator="equal">
      <formula>'1856'!$L$28</formula>
    </cfRule>
    <cfRule type="cellIs" dxfId="763" priority="502" stopIfTrue="1" operator="lessThan">
      <formula>'1856'!$L$28</formula>
    </cfRule>
  </conditionalFormatting>
  <conditionalFormatting sqref="N4">
    <cfRule type="cellIs" dxfId="762" priority="503" stopIfTrue="1" operator="equal">
      <formula>'1856'!$M$4</formula>
    </cfRule>
    <cfRule type="cellIs" dxfId="761" priority="504" stopIfTrue="1" operator="lessThan">
      <formula>'1856'!$M$4</formula>
    </cfRule>
  </conditionalFormatting>
  <conditionalFormatting sqref="N5">
    <cfRule type="cellIs" dxfId="760" priority="505" stopIfTrue="1" operator="equal">
      <formula>'1856'!$M$5</formula>
    </cfRule>
    <cfRule type="cellIs" dxfId="759" priority="506" stopIfTrue="1" operator="lessThan">
      <formula>'1856'!$M$5</formula>
    </cfRule>
  </conditionalFormatting>
  <conditionalFormatting sqref="N6">
    <cfRule type="cellIs" dxfId="758" priority="507" stopIfTrue="1" operator="equal">
      <formula>'1856'!$M$6</formula>
    </cfRule>
    <cfRule type="cellIs" dxfId="757" priority="508" stopIfTrue="1" operator="lessThan">
      <formula>'1856'!$M$6</formula>
    </cfRule>
  </conditionalFormatting>
  <conditionalFormatting sqref="N7">
    <cfRule type="cellIs" dxfId="756" priority="509" stopIfTrue="1" operator="equal">
      <formula>'1856'!$M$7</formula>
    </cfRule>
    <cfRule type="cellIs" dxfId="755" priority="510" stopIfTrue="1" operator="lessThan">
      <formula>'1856'!$M$7</formula>
    </cfRule>
  </conditionalFormatting>
  <conditionalFormatting sqref="N8">
    <cfRule type="cellIs" dxfId="754" priority="511" stopIfTrue="1" operator="equal">
      <formula>'1856'!$M$8</formula>
    </cfRule>
    <cfRule type="cellIs" dxfId="753" priority="512" stopIfTrue="1" operator="lessThan">
      <formula>'1856'!$M$8</formula>
    </cfRule>
  </conditionalFormatting>
  <conditionalFormatting sqref="N9">
    <cfRule type="cellIs" dxfId="752" priority="513" stopIfTrue="1" operator="equal">
      <formula>'1856'!$M$9</formula>
    </cfRule>
    <cfRule type="cellIs" dxfId="751" priority="514" stopIfTrue="1" operator="lessThan">
      <formula>'1856'!$M$9</formula>
    </cfRule>
  </conditionalFormatting>
  <conditionalFormatting sqref="N10">
    <cfRule type="cellIs" dxfId="750" priority="515" stopIfTrue="1" operator="equal">
      <formula>'1856'!$M$10</formula>
    </cfRule>
    <cfRule type="cellIs" dxfId="749" priority="516" stopIfTrue="1" operator="lessThan">
      <formula>'1856'!$M$10</formula>
    </cfRule>
  </conditionalFormatting>
  <conditionalFormatting sqref="N11">
    <cfRule type="cellIs" dxfId="748" priority="517" stopIfTrue="1" operator="equal">
      <formula>'1856'!$M$11</formula>
    </cfRule>
    <cfRule type="cellIs" dxfId="747" priority="518" stopIfTrue="1" operator="lessThan">
      <formula>'1856'!$M$11</formula>
    </cfRule>
  </conditionalFormatting>
  <conditionalFormatting sqref="N12">
    <cfRule type="cellIs" dxfId="746" priority="519" stopIfTrue="1" operator="equal">
      <formula>'1856'!$M$12</formula>
    </cfRule>
    <cfRule type="cellIs" dxfId="745" priority="520" stopIfTrue="1" operator="lessThan">
      <formula>'1856'!$M$12</formula>
    </cfRule>
  </conditionalFormatting>
  <conditionalFormatting sqref="N13">
    <cfRule type="cellIs" dxfId="744" priority="521" stopIfTrue="1" operator="equal">
      <formula>'1856'!$M$13</formula>
    </cfRule>
    <cfRule type="cellIs" dxfId="743" priority="522" stopIfTrue="1" operator="lessThan">
      <formula>'1856'!$M$13</formula>
    </cfRule>
  </conditionalFormatting>
  <conditionalFormatting sqref="N14">
    <cfRule type="cellIs" dxfId="742" priority="523" stopIfTrue="1" operator="equal">
      <formula>'1856'!$M$14</formula>
    </cfRule>
    <cfRule type="cellIs" dxfId="741" priority="524" stopIfTrue="1" operator="lessThan">
      <formula>'1856'!$M$14</formula>
    </cfRule>
  </conditionalFormatting>
  <conditionalFormatting sqref="N15">
    <cfRule type="cellIs" dxfId="740" priority="525" stopIfTrue="1" operator="equal">
      <formula>'1856'!$M$15</formula>
    </cfRule>
    <cfRule type="cellIs" dxfId="739" priority="526" stopIfTrue="1" operator="lessThan">
      <formula>'1856'!$M$15</formula>
    </cfRule>
  </conditionalFormatting>
  <conditionalFormatting sqref="N16">
    <cfRule type="cellIs" dxfId="738" priority="527" stopIfTrue="1" operator="equal">
      <formula>'1856'!$M$16</formula>
    </cfRule>
    <cfRule type="cellIs" dxfId="737" priority="528" stopIfTrue="1" operator="lessThan">
      <formula>'1856'!$M$16</formula>
    </cfRule>
  </conditionalFormatting>
  <conditionalFormatting sqref="N17">
    <cfRule type="cellIs" dxfId="736" priority="529" stopIfTrue="1" operator="equal">
      <formula>'1856'!$M$17</formula>
    </cfRule>
    <cfRule type="cellIs" dxfId="735" priority="530" stopIfTrue="1" operator="lessThan">
      <formula>'1856'!$M$17</formula>
    </cfRule>
  </conditionalFormatting>
  <conditionalFormatting sqref="N18">
    <cfRule type="cellIs" dxfId="734" priority="531" stopIfTrue="1" operator="equal">
      <formula>'1856'!$M$18</formula>
    </cfRule>
    <cfRule type="cellIs" dxfId="733" priority="532" stopIfTrue="1" operator="lessThan">
      <formula>'1856'!$M$18</formula>
    </cfRule>
  </conditionalFormatting>
  <conditionalFormatting sqref="N19">
    <cfRule type="cellIs" dxfId="732" priority="533" stopIfTrue="1" operator="equal">
      <formula>'1856'!$M$19</formula>
    </cfRule>
    <cfRule type="cellIs" dxfId="731" priority="534" stopIfTrue="1" operator="lessThan">
      <formula>'1856'!$M$19</formula>
    </cfRule>
  </conditionalFormatting>
  <conditionalFormatting sqref="N20">
    <cfRule type="cellIs" dxfId="730" priority="535" stopIfTrue="1" operator="equal">
      <formula>'1856'!$M$20</formula>
    </cfRule>
    <cfRule type="cellIs" dxfId="729" priority="536" stopIfTrue="1" operator="lessThan">
      <formula>'1856'!$M$20</formula>
    </cfRule>
  </conditionalFormatting>
  <conditionalFormatting sqref="N21">
    <cfRule type="cellIs" dxfId="728" priority="537" stopIfTrue="1" operator="equal">
      <formula>'1856'!$M$21</formula>
    </cfRule>
    <cfRule type="cellIs" dxfId="727" priority="538" stopIfTrue="1" operator="lessThan">
      <formula>'1856'!$M$21</formula>
    </cfRule>
  </conditionalFormatting>
  <conditionalFormatting sqref="N22">
    <cfRule type="cellIs" dxfId="726" priority="539" stopIfTrue="1" operator="equal">
      <formula>'1856'!$M$22</formula>
    </cfRule>
    <cfRule type="cellIs" dxfId="725" priority="540" stopIfTrue="1" operator="lessThan">
      <formula>'1856'!$M$22</formula>
    </cfRule>
  </conditionalFormatting>
  <conditionalFormatting sqref="N23">
    <cfRule type="cellIs" dxfId="724" priority="541" stopIfTrue="1" operator="equal">
      <formula>'1856'!$M$23</formula>
    </cfRule>
    <cfRule type="cellIs" dxfId="723" priority="542" stopIfTrue="1" operator="lessThan">
      <formula>'1856'!$M$23</formula>
    </cfRule>
  </conditionalFormatting>
  <conditionalFormatting sqref="N24">
    <cfRule type="cellIs" dxfId="722" priority="543" stopIfTrue="1" operator="equal">
      <formula>'1856'!$M$24</formula>
    </cfRule>
    <cfRule type="cellIs" dxfId="721" priority="544" stopIfTrue="1" operator="lessThan">
      <formula>'1856'!$M$24</formula>
    </cfRule>
  </conditionalFormatting>
  <conditionalFormatting sqref="N25">
    <cfRule type="cellIs" dxfId="720" priority="545" stopIfTrue="1" operator="equal">
      <formula>'1856'!$M$25</formula>
    </cfRule>
    <cfRule type="cellIs" dxfId="719" priority="546" stopIfTrue="1" operator="lessThan">
      <formula>'1856'!$M$25</formula>
    </cfRule>
  </conditionalFormatting>
  <conditionalFormatting sqref="N26">
    <cfRule type="cellIs" dxfId="718" priority="547" stopIfTrue="1" operator="equal">
      <formula>'1856'!$M$26</formula>
    </cfRule>
    <cfRule type="cellIs" dxfId="717" priority="548" stopIfTrue="1" operator="lessThan">
      <formula>'1856'!$M$26</formula>
    </cfRule>
  </conditionalFormatting>
  <conditionalFormatting sqref="N27">
    <cfRule type="cellIs" dxfId="716" priority="549" stopIfTrue="1" operator="equal">
      <formula>'1856'!$M$27</formula>
    </cfRule>
    <cfRule type="cellIs" dxfId="715" priority="550" stopIfTrue="1" operator="lessThan">
      <formula>'1856'!$M$27</formula>
    </cfRule>
  </conditionalFormatting>
  <conditionalFormatting sqref="N28">
    <cfRule type="cellIs" dxfId="714" priority="551" stopIfTrue="1" operator="equal">
      <formula>'1856'!$M$28</formula>
    </cfRule>
    <cfRule type="cellIs" dxfId="713" priority="552" stopIfTrue="1" operator="lessThan">
      <formula>'1856'!$M$28</formula>
    </cfRule>
  </conditionalFormatting>
  <conditionalFormatting sqref="O4">
    <cfRule type="cellIs" dxfId="712" priority="553" stopIfTrue="1" operator="equal">
      <formula>'1856'!$N$4</formula>
    </cfRule>
    <cfRule type="cellIs" dxfId="711" priority="554" stopIfTrue="1" operator="lessThan">
      <formula>'1856'!$N$4</formula>
    </cfRule>
  </conditionalFormatting>
  <conditionalFormatting sqref="O5">
    <cfRule type="cellIs" dxfId="710" priority="555" stopIfTrue="1" operator="equal">
      <formula>'1856'!$N$5</formula>
    </cfRule>
    <cfRule type="cellIs" dxfId="709" priority="556" stopIfTrue="1" operator="lessThan">
      <formula>'1856'!$N$5</formula>
    </cfRule>
  </conditionalFormatting>
  <conditionalFormatting sqref="O6">
    <cfRule type="cellIs" dxfId="708" priority="557" stopIfTrue="1" operator="equal">
      <formula>'1856'!$N$6</formula>
    </cfRule>
    <cfRule type="cellIs" dxfId="707" priority="558" stopIfTrue="1" operator="lessThan">
      <formula>'1856'!$N$6</formula>
    </cfRule>
  </conditionalFormatting>
  <conditionalFormatting sqref="O7">
    <cfRule type="cellIs" dxfId="706" priority="559" stopIfTrue="1" operator="equal">
      <formula>'1856'!$N$7</formula>
    </cfRule>
    <cfRule type="cellIs" dxfId="705" priority="560" stopIfTrue="1" operator="lessThan">
      <formula>'1856'!$N$7</formula>
    </cfRule>
  </conditionalFormatting>
  <conditionalFormatting sqref="O8">
    <cfRule type="cellIs" dxfId="704" priority="561" stopIfTrue="1" operator="equal">
      <formula>'1856'!$N$8</formula>
    </cfRule>
    <cfRule type="cellIs" dxfId="703" priority="562" stopIfTrue="1" operator="lessThan">
      <formula>'1856'!$N$8</formula>
    </cfRule>
  </conditionalFormatting>
  <conditionalFormatting sqref="O9">
    <cfRule type="cellIs" dxfId="702" priority="563" stopIfTrue="1" operator="equal">
      <formula>'1856'!$N$9</formula>
    </cfRule>
    <cfRule type="cellIs" dxfId="701" priority="564" stopIfTrue="1" operator="lessThan">
      <formula>'1856'!$N$9</formula>
    </cfRule>
  </conditionalFormatting>
  <conditionalFormatting sqref="O10">
    <cfRule type="cellIs" dxfId="700" priority="565" stopIfTrue="1" operator="equal">
      <formula>'1856'!$N$10</formula>
    </cfRule>
    <cfRule type="cellIs" dxfId="699" priority="566" stopIfTrue="1" operator="lessThan">
      <formula>'1856'!$N$10</formula>
    </cfRule>
  </conditionalFormatting>
  <conditionalFormatting sqref="O11">
    <cfRule type="cellIs" dxfId="698" priority="567" stopIfTrue="1" operator="equal">
      <formula>'1856'!$N$11</formula>
    </cfRule>
    <cfRule type="cellIs" dxfId="697" priority="568" stopIfTrue="1" operator="lessThan">
      <formula>'1856'!$N$11</formula>
    </cfRule>
  </conditionalFormatting>
  <conditionalFormatting sqref="O12">
    <cfRule type="cellIs" dxfId="696" priority="569" stopIfTrue="1" operator="equal">
      <formula>'1856'!$N$12</formula>
    </cfRule>
    <cfRule type="cellIs" dxfId="695" priority="570" stopIfTrue="1" operator="lessThan">
      <formula>'1856'!$N$12</formula>
    </cfRule>
  </conditionalFormatting>
  <conditionalFormatting sqref="O13">
    <cfRule type="cellIs" dxfId="694" priority="571" stopIfTrue="1" operator="equal">
      <formula>'1856'!$N$13</formula>
    </cfRule>
    <cfRule type="cellIs" dxfId="693" priority="572" stopIfTrue="1" operator="lessThan">
      <formula>'1856'!$N$13</formula>
    </cfRule>
  </conditionalFormatting>
  <conditionalFormatting sqref="O14">
    <cfRule type="cellIs" dxfId="692" priority="573" stopIfTrue="1" operator="equal">
      <formula>'1856'!$N$14</formula>
    </cfRule>
    <cfRule type="cellIs" dxfId="691" priority="574" stopIfTrue="1" operator="lessThan">
      <formula>'1856'!$N$14</formula>
    </cfRule>
  </conditionalFormatting>
  <conditionalFormatting sqref="O15">
    <cfRule type="cellIs" dxfId="690" priority="575" stopIfTrue="1" operator="equal">
      <formula>'1856'!$N$15</formula>
    </cfRule>
    <cfRule type="cellIs" dxfId="689" priority="576" stopIfTrue="1" operator="lessThan">
      <formula>'1856'!$N$15</formula>
    </cfRule>
  </conditionalFormatting>
  <conditionalFormatting sqref="O16">
    <cfRule type="cellIs" dxfId="688" priority="577" stopIfTrue="1" operator="equal">
      <formula>'1856'!$N$16</formula>
    </cfRule>
    <cfRule type="cellIs" dxfId="687" priority="578" stopIfTrue="1" operator="lessThan">
      <formula>'1856'!$N$16</formula>
    </cfRule>
  </conditionalFormatting>
  <conditionalFormatting sqref="O17">
    <cfRule type="cellIs" dxfId="686" priority="579" stopIfTrue="1" operator="equal">
      <formula>'1856'!$N$17</formula>
    </cfRule>
    <cfRule type="cellIs" dxfId="685" priority="580" stopIfTrue="1" operator="lessThan">
      <formula>'1856'!$N$17</formula>
    </cfRule>
  </conditionalFormatting>
  <conditionalFormatting sqref="O18">
    <cfRule type="cellIs" dxfId="684" priority="581" stopIfTrue="1" operator="equal">
      <formula>'1856'!$N$18</formula>
    </cfRule>
    <cfRule type="cellIs" dxfId="683" priority="582" stopIfTrue="1" operator="lessThan">
      <formula>'1856'!$N$18</formula>
    </cfRule>
  </conditionalFormatting>
  <conditionalFormatting sqref="O19">
    <cfRule type="cellIs" dxfId="682" priority="583" stopIfTrue="1" operator="equal">
      <formula>'1856'!$N$19</formula>
    </cfRule>
    <cfRule type="cellIs" dxfId="681" priority="584" stopIfTrue="1" operator="lessThan">
      <formula>'1856'!$N$19</formula>
    </cfRule>
  </conditionalFormatting>
  <conditionalFormatting sqref="O20">
    <cfRule type="cellIs" dxfId="680" priority="585" stopIfTrue="1" operator="equal">
      <formula>'1856'!$N$20</formula>
    </cfRule>
    <cfRule type="cellIs" dxfId="679" priority="586" stopIfTrue="1" operator="lessThan">
      <formula>'1856'!$N$20</formula>
    </cfRule>
  </conditionalFormatting>
  <conditionalFormatting sqref="O21">
    <cfRule type="cellIs" dxfId="678" priority="587" stopIfTrue="1" operator="equal">
      <formula>'1856'!$N$21</formula>
    </cfRule>
    <cfRule type="cellIs" dxfId="677" priority="588" stopIfTrue="1" operator="lessThan">
      <formula>'1856'!$N$21</formula>
    </cfRule>
  </conditionalFormatting>
  <conditionalFormatting sqref="O22">
    <cfRule type="cellIs" dxfId="676" priority="589" stopIfTrue="1" operator="equal">
      <formula>'1856'!$N$22</formula>
    </cfRule>
    <cfRule type="cellIs" dxfId="675" priority="590" stopIfTrue="1" operator="lessThan">
      <formula>'1856'!$N$22</formula>
    </cfRule>
  </conditionalFormatting>
  <conditionalFormatting sqref="O23">
    <cfRule type="cellIs" dxfId="674" priority="591" stopIfTrue="1" operator="equal">
      <formula>'1856'!$N$23</formula>
    </cfRule>
    <cfRule type="cellIs" dxfId="673" priority="592" stopIfTrue="1" operator="lessThan">
      <formula>'1856'!$N$23</formula>
    </cfRule>
  </conditionalFormatting>
  <conditionalFormatting sqref="O24">
    <cfRule type="cellIs" dxfId="672" priority="593" stopIfTrue="1" operator="equal">
      <formula>'1856'!$N$24</formula>
    </cfRule>
    <cfRule type="cellIs" dxfId="671" priority="594" stopIfTrue="1" operator="lessThan">
      <formula>'1856'!$N$24</formula>
    </cfRule>
  </conditionalFormatting>
  <conditionalFormatting sqref="O25">
    <cfRule type="cellIs" dxfId="670" priority="595" stopIfTrue="1" operator="equal">
      <formula>'1856'!$N$25</formula>
    </cfRule>
    <cfRule type="cellIs" dxfId="669" priority="596" stopIfTrue="1" operator="lessThan">
      <formula>'1856'!$N$25</formula>
    </cfRule>
  </conditionalFormatting>
  <conditionalFormatting sqref="O26">
    <cfRule type="cellIs" dxfId="668" priority="597" stopIfTrue="1" operator="equal">
      <formula>'1856'!$N$26</formula>
    </cfRule>
    <cfRule type="cellIs" dxfId="667" priority="598" stopIfTrue="1" operator="lessThan">
      <formula>'1856'!$N$26</formula>
    </cfRule>
  </conditionalFormatting>
  <conditionalFormatting sqref="O27">
    <cfRule type="cellIs" dxfId="666" priority="599" stopIfTrue="1" operator="equal">
      <formula>'1856'!$N$27</formula>
    </cfRule>
    <cfRule type="cellIs" dxfId="665" priority="600" stopIfTrue="1" operator="lessThan">
      <formula>'1856'!$N$27</formula>
    </cfRule>
  </conditionalFormatting>
  <conditionalFormatting sqref="O28">
    <cfRule type="cellIs" dxfId="664" priority="601" stopIfTrue="1" operator="equal">
      <formula>'1856'!$N$28</formula>
    </cfRule>
    <cfRule type="cellIs" dxfId="663" priority="602" stopIfTrue="1" operator="lessThan">
      <formula>'1856'!$N$28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38"/>
  <sheetViews>
    <sheetView workbookViewId="0">
      <selection activeCell="O2" sqref="O2"/>
    </sheetView>
  </sheetViews>
  <sheetFormatPr defaultRowHeight="15"/>
  <cols>
    <col min="1" max="1" width="8.5703125" style="166" customWidth="1"/>
    <col min="2" max="2" width="26.140625" customWidth="1"/>
    <col min="3" max="12" width="10.140625" customWidth="1"/>
    <col min="13" max="13" width="12" bestFit="1" customWidth="1"/>
    <col min="14" max="15" width="10.140625" customWidth="1"/>
    <col min="16" max="17" width="11.140625" bestFit="1" customWidth="1"/>
    <col min="18" max="18" width="9.28515625" bestFit="1" customWidth="1"/>
    <col min="19" max="19" width="3.5703125" customWidth="1"/>
  </cols>
  <sheetData>
    <row r="1" spans="1:32" ht="15.75" thickBot="1"/>
    <row r="2" spans="1:32" s="1" customFormat="1" ht="21" customHeight="1" thickBot="1">
      <c r="A2" s="161">
        <v>1857</v>
      </c>
      <c r="B2" s="2"/>
      <c r="C2" s="3">
        <f>'1850'!C2</f>
        <v>44197</v>
      </c>
      <c r="D2" s="3">
        <f>'1850'!D2</f>
        <v>44228</v>
      </c>
      <c r="E2" s="3">
        <f>'1850'!E2</f>
        <v>44256</v>
      </c>
      <c r="F2" s="3">
        <f>'1850'!F2</f>
        <v>44286</v>
      </c>
      <c r="G2" s="3">
        <f>'1850'!G2</f>
        <v>44316</v>
      </c>
      <c r="H2" s="3">
        <f>'1850'!H2</f>
        <v>44348</v>
      </c>
      <c r="I2" s="3">
        <f>'1850'!I2</f>
        <v>44379</v>
      </c>
      <c r="J2" s="3">
        <f>'1850'!J2</f>
        <v>44410</v>
      </c>
      <c r="K2" s="3">
        <f>'1850'!K2</f>
        <v>44441</v>
      </c>
      <c r="L2" s="3">
        <f>'1850'!L2</f>
        <v>44470</v>
      </c>
      <c r="M2" s="3">
        <f>'1850'!M2</f>
        <v>44501</v>
      </c>
      <c r="N2" s="3">
        <f>'1850'!N2</f>
        <v>44531</v>
      </c>
      <c r="O2" s="3">
        <f>'1850'!O2</f>
        <v>44562</v>
      </c>
      <c r="P2" s="1" t="s">
        <v>0</v>
      </c>
      <c r="Q2" s="1" t="s">
        <v>1</v>
      </c>
      <c r="R2" s="1" t="s">
        <v>168</v>
      </c>
      <c r="U2" s="198"/>
      <c r="V2" s="199"/>
      <c r="W2" s="199"/>
      <c r="X2" s="199"/>
      <c r="Y2" s="199" t="s">
        <v>287</v>
      </c>
      <c r="Z2" s="199"/>
      <c r="AA2" s="199"/>
      <c r="AB2" s="199"/>
      <c r="AC2" s="199"/>
      <c r="AD2" s="205"/>
      <c r="AE2" s="205"/>
      <c r="AF2" s="206"/>
    </row>
    <row r="3" spans="1:32" s="1" customFormat="1" ht="15.75" thickBot="1">
      <c r="A3" s="162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166</v>
      </c>
      <c r="Q3" s="1" t="s">
        <v>165</v>
      </c>
      <c r="R3" s="1" t="s">
        <v>167</v>
      </c>
      <c r="T3" s="1" t="s">
        <v>286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2" t="s">
        <v>13</v>
      </c>
      <c r="AE3" s="162" t="s">
        <v>14</v>
      </c>
      <c r="AF3" s="162" t="s">
        <v>3</v>
      </c>
    </row>
    <row r="4" spans="1:32" ht="15.75" thickBot="1">
      <c r="A4" s="289">
        <v>1</v>
      </c>
      <c r="B4" s="7" t="s">
        <v>276</v>
      </c>
      <c r="C4" s="94">
        <v>69.817999999999998</v>
      </c>
      <c r="D4" s="8">
        <v>75.995000000000005</v>
      </c>
      <c r="E4" s="8">
        <v>79.316000000000003</v>
      </c>
      <c r="F4" s="8">
        <v>82.692999999999998</v>
      </c>
      <c r="G4" s="8">
        <v>88.385999999999996</v>
      </c>
      <c r="H4" s="8">
        <v>95.207999999999998</v>
      </c>
      <c r="I4" s="8">
        <v>99.603999999999999</v>
      </c>
      <c r="J4" s="8">
        <v>103.426</v>
      </c>
      <c r="K4" s="8">
        <v>108.842</v>
      </c>
      <c r="L4" s="9">
        <v>112.759</v>
      </c>
      <c r="M4" s="8">
        <v>117.11</v>
      </c>
      <c r="N4" s="8">
        <v>121.524</v>
      </c>
      <c r="O4" s="8">
        <v>126.745</v>
      </c>
      <c r="P4" s="10">
        <f>O4-C4</f>
        <v>56.927000000000007</v>
      </c>
      <c r="T4" s="1">
        <v>1</v>
      </c>
      <c r="U4" s="200">
        <f t="shared" ref="U4:AF4" si="0">D4-C4</f>
        <v>6.1770000000000067</v>
      </c>
      <c r="V4" s="200">
        <f t="shared" si="0"/>
        <v>3.320999999999998</v>
      </c>
      <c r="W4" s="200">
        <f t="shared" si="0"/>
        <v>3.3769999999999953</v>
      </c>
      <c r="X4" s="200">
        <f t="shared" si="0"/>
        <v>5.6929999999999978</v>
      </c>
      <c r="Y4" s="200">
        <f t="shared" si="0"/>
        <v>6.8220000000000027</v>
      </c>
      <c r="Z4" s="200">
        <f t="shared" si="0"/>
        <v>4.3960000000000008</v>
      </c>
      <c r="AA4" s="200">
        <f t="shared" si="0"/>
        <v>3.8220000000000027</v>
      </c>
      <c r="AB4" s="200">
        <f t="shared" si="0"/>
        <v>5.4159999999999968</v>
      </c>
      <c r="AC4" s="200">
        <f t="shared" si="0"/>
        <v>3.9170000000000016</v>
      </c>
      <c r="AD4" s="200">
        <f t="shared" si="0"/>
        <v>4.3509999999999991</v>
      </c>
      <c r="AE4" s="200">
        <f t="shared" si="0"/>
        <v>4.4140000000000015</v>
      </c>
      <c r="AF4" s="200">
        <f t="shared" si="0"/>
        <v>5.2210000000000036</v>
      </c>
    </row>
    <row r="5" spans="1:32">
      <c r="A5" s="289"/>
      <c r="B5" s="11" t="s">
        <v>106</v>
      </c>
      <c r="C5" s="95">
        <v>106.09</v>
      </c>
      <c r="D5" s="12">
        <v>111.203</v>
      </c>
      <c r="E5" s="12">
        <v>115.694</v>
      </c>
      <c r="F5" s="12">
        <v>120.139</v>
      </c>
      <c r="G5" s="12">
        <v>123.617</v>
      </c>
      <c r="H5" s="12">
        <v>125.285</v>
      </c>
      <c r="I5" s="12">
        <v>125.634</v>
      </c>
      <c r="J5" s="12">
        <v>125.94</v>
      </c>
      <c r="K5" s="12">
        <v>126.17100000000001</v>
      </c>
      <c r="L5" s="13">
        <v>126.8</v>
      </c>
      <c r="M5" s="12">
        <v>129.505</v>
      </c>
      <c r="N5" s="12">
        <v>3.7010000000000001</v>
      </c>
      <c r="O5" s="12">
        <v>9.1989999999999998</v>
      </c>
      <c r="P5" s="10"/>
      <c r="Q5" s="10">
        <f>O5+M5-C5</f>
        <v>32.614000000000004</v>
      </c>
      <c r="T5" s="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</row>
    <row r="6" spans="1:32">
      <c r="A6" s="288">
        <v>2</v>
      </c>
      <c r="B6" s="11" t="s">
        <v>277</v>
      </c>
      <c r="C6" s="95">
        <v>46.115000000000002</v>
      </c>
      <c r="D6" s="12">
        <v>49.845999999999997</v>
      </c>
      <c r="E6" s="12">
        <v>53.073</v>
      </c>
      <c r="F6" s="12">
        <v>55.66</v>
      </c>
      <c r="G6" s="12">
        <v>60.95</v>
      </c>
      <c r="H6" s="12">
        <v>64.971999999999994</v>
      </c>
      <c r="I6" s="12">
        <v>69.334000000000003</v>
      </c>
      <c r="J6" s="12">
        <v>73.159000000000006</v>
      </c>
      <c r="K6" s="12">
        <v>77.393000000000001</v>
      </c>
      <c r="L6" s="12">
        <v>81.179000000000002</v>
      </c>
      <c r="M6" s="12">
        <v>85.576999999999998</v>
      </c>
      <c r="N6" s="12">
        <v>89.241</v>
      </c>
      <c r="O6" s="12">
        <v>93.554000000000002</v>
      </c>
      <c r="P6" s="10">
        <f>O6-C6</f>
        <v>47.439</v>
      </c>
      <c r="T6" s="1">
        <v>2</v>
      </c>
      <c r="U6" s="202">
        <f t="shared" ref="U6:AF6" si="1">D6-C6</f>
        <v>3.7309999999999945</v>
      </c>
      <c r="V6" s="202">
        <f t="shared" si="1"/>
        <v>3.2270000000000039</v>
      </c>
      <c r="W6" s="202">
        <f t="shared" si="1"/>
        <v>2.5869999999999962</v>
      </c>
      <c r="X6" s="202">
        <f t="shared" si="1"/>
        <v>5.2900000000000063</v>
      </c>
      <c r="Y6" s="202">
        <f t="shared" si="1"/>
        <v>4.0219999999999914</v>
      </c>
      <c r="Z6" s="202">
        <f t="shared" si="1"/>
        <v>4.362000000000009</v>
      </c>
      <c r="AA6" s="202">
        <f t="shared" si="1"/>
        <v>3.8250000000000028</v>
      </c>
      <c r="AB6" s="202">
        <f t="shared" si="1"/>
        <v>4.2339999999999947</v>
      </c>
      <c r="AC6" s="202">
        <f t="shared" si="1"/>
        <v>3.7860000000000014</v>
      </c>
      <c r="AD6" s="202">
        <f t="shared" si="1"/>
        <v>4.3979999999999961</v>
      </c>
      <c r="AE6" s="202">
        <f t="shared" si="1"/>
        <v>3.6640000000000015</v>
      </c>
      <c r="AF6" s="202">
        <f t="shared" si="1"/>
        <v>4.3130000000000024</v>
      </c>
    </row>
    <row r="7" spans="1:32">
      <c r="A7" s="288"/>
      <c r="B7" s="11" t="s">
        <v>107</v>
      </c>
      <c r="C7" s="95">
        <v>23.597999999999999</v>
      </c>
      <c r="D7" s="12">
        <v>25.227</v>
      </c>
      <c r="E7" s="12">
        <v>26.800999999999998</v>
      </c>
      <c r="F7" s="12">
        <v>28.085999999999999</v>
      </c>
      <c r="G7" s="12">
        <v>28.975000000000001</v>
      </c>
      <c r="H7" s="12">
        <v>29.468</v>
      </c>
      <c r="I7" s="12">
        <v>29.783000000000001</v>
      </c>
      <c r="J7" s="12">
        <v>30.048999999999999</v>
      </c>
      <c r="K7" s="12">
        <v>30.332999999999998</v>
      </c>
      <c r="L7" s="12">
        <v>30.655000000000001</v>
      </c>
      <c r="M7" s="12">
        <v>31.41</v>
      </c>
      <c r="N7" s="12">
        <v>1.246</v>
      </c>
      <c r="O7" s="12">
        <v>2.7650000000000001</v>
      </c>
      <c r="P7" s="10"/>
      <c r="Q7" s="10">
        <f t="shared" ref="Q7:Q23" si="2">O7+M7-C7</f>
        <v>10.576999999999998</v>
      </c>
      <c r="T7" s="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</row>
    <row r="8" spans="1:32">
      <c r="A8" s="296">
        <v>3</v>
      </c>
      <c r="B8" s="11" t="s">
        <v>278</v>
      </c>
      <c r="C8" s="95">
        <v>215.35900000000001</v>
      </c>
      <c r="D8" s="12">
        <v>233.83600000000001</v>
      </c>
      <c r="E8" s="12">
        <v>247.006</v>
      </c>
      <c r="F8" s="12">
        <v>263.86</v>
      </c>
      <c r="G8" s="12">
        <v>282.03500000000003</v>
      </c>
      <c r="H8" s="12">
        <v>301.24400000000003</v>
      </c>
      <c r="I8" s="12">
        <v>319.95600000000002</v>
      </c>
      <c r="J8" s="12">
        <v>329.66699999999997</v>
      </c>
      <c r="K8" s="12">
        <v>338.803</v>
      </c>
      <c r="L8" s="12">
        <v>355.78800000000001</v>
      </c>
      <c r="M8" s="12">
        <v>373.00299999999999</v>
      </c>
      <c r="N8" s="12">
        <v>389.70699999999999</v>
      </c>
      <c r="O8" s="12">
        <v>405.96300000000002</v>
      </c>
      <c r="P8" s="10">
        <f>O8-C8</f>
        <v>190.60400000000001</v>
      </c>
      <c r="T8" s="1">
        <v>3</v>
      </c>
      <c r="U8" s="202">
        <f t="shared" ref="U8:AF8" si="3">D8-C8</f>
        <v>18.477000000000004</v>
      </c>
      <c r="V8" s="202">
        <f t="shared" si="3"/>
        <v>13.169999999999987</v>
      </c>
      <c r="W8" s="202">
        <f t="shared" si="3"/>
        <v>16.854000000000013</v>
      </c>
      <c r="X8" s="202">
        <f t="shared" si="3"/>
        <v>18.175000000000011</v>
      </c>
      <c r="Y8" s="202">
        <f t="shared" si="3"/>
        <v>19.209000000000003</v>
      </c>
      <c r="Z8" s="202">
        <f t="shared" si="3"/>
        <v>18.711999999999989</v>
      </c>
      <c r="AA8" s="202">
        <f t="shared" si="3"/>
        <v>9.7109999999999559</v>
      </c>
      <c r="AB8" s="202">
        <f t="shared" si="3"/>
        <v>9.1360000000000241</v>
      </c>
      <c r="AC8" s="202">
        <f t="shared" si="3"/>
        <v>16.985000000000014</v>
      </c>
      <c r="AD8" s="202">
        <f t="shared" si="3"/>
        <v>17.214999999999975</v>
      </c>
      <c r="AE8" s="202">
        <f t="shared" si="3"/>
        <v>16.704000000000008</v>
      </c>
      <c r="AF8" s="202">
        <f t="shared" si="3"/>
        <v>16.256000000000029</v>
      </c>
    </row>
    <row r="9" spans="1:32">
      <c r="A9" s="296"/>
      <c r="B9" s="11" t="s">
        <v>108</v>
      </c>
      <c r="C9" s="95">
        <v>101.831</v>
      </c>
      <c r="D9" s="12">
        <v>106.922</v>
      </c>
      <c r="E9" s="12">
        <v>111.595</v>
      </c>
      <c r="F9" s="12">
        <v>115.93</v>
      </c>
      <c r="G9" s="12">
        <v>119.33799999999999</v>
      </c>
      <c r="H9" s="12">
        <v>121.682</v>
      </c>
      <c r="I9" s="12">
        <v>122.471</v>
      </c>
      <c r="J9" s="12">
        <v>122.851</v>
      </c>
      <c r="K9" s="12">
        <v>123.214</v>
      </c>
      <c r="L9" s="12">
        <v>124.05200000000001</v>
      </c>
      <c r="M9" s="12">
        <v>126.529</v>
      </c>
      <c r="N9" s="12">
        <v>3.7909999999999999</v>
      </c>
      <c r="O9" s="12">
        <v>8.6829999999999998</v>
      </c>
      <c r="P9" s="10"/>
      <c r="Q9" s="10">
        <f t="shared" ref="Q9:Q23" si="4">O9+M9-C9</f>
        <v>33.380999999999986</v>
      </c>
      <c r="T9" s="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</row>
    <row r="10" spans="1:32">
      <c r="A10" s="296">
        <v>4</v>
      </c>
      <c r="B10" s="11" t="s">
        <v>373</v>
      </c>
      <c r="C10" s="95">
        <v>30.198</v>
      </c>
      <c r="D10" s="12">
        <v>34.314</v>
      </c>
      <c r="E10" s="12">
        <v>37.68</v>
      </c>
      <c r="F10" s="12">
        <v>41.677999999999997</v>
      </c>
      <c r="G10" s="12">
        <v>46.21</v>
      </c>
      <c r="H10" s="12">
        <v>49.106000000000002</v>
      </c>
      <c r="I10" s="12">
        <v>53.551000000000002</v>
      </c>
      <c r="J10" s="12">
        <v>57.875999999999998</v>
      </c>
      <c r="K10" s="12">
        <v>60.149000000000001</v>
      </c>
      <c r="L10" s="12">
        <v>63.353000000000002</v>
      </c>
      <c r="M10" s="12">
        <v>66.010999999999996</v>
      </c>
      <c r="N10" s="12">
        <v>70.204999999999998</v>
      </c>
      <c r="O10" s="12">
        <v>74.096000000000004</v>
      </c>
      <c r="P10" s="10">
        <f>O10-C10</f>
        <v>43.898000000000003</v>
      </c>
      <c r="T10" s="1">
        <v>4</v>
      </c>
      <c r="U10" s="203">
        <f t="shared" ref="U10:AF10" si="5">D10-C10</f>
        <v>4.1159999999999997</v>
      </c>
      <c r="V10" s="203">
        <f t="shared" si="5"/>
        <v>3.3659999999999997</v>
      </c>
      <c r="W10" s="203">
        <f t="shared" si="5"/>
        <v>3.9979999999999976</v>
      </c>
      <c r="X10" s="203">
        <f t="shared" si="5"/>
        <v>4.5320000000000036</v>
      </c>
      <c r="Y10" s="203">
        <f t="shared" si="5"/>
        <v>2.8960000000000008</v>
      </c>
      <c r="Z10" s="203">
        <f t="shared" si="5"/>
        <v>4.4450000000000003</v>
      </c>
      <c r="AA10" s="203">
        <f t="shared" si="5"/>
        <v>4.3249999999999957</v>
      </c>
      <c r="AB10" s="203">
        <f t="shared" si="5"/>
        <v>2.2730000000000032</v>
      </c>
      <c r="AC10" s="203">
        <f t="shared" si="5"/>
        <v>3.2040000000000006</v>
      </c>
      <c r="AD10" s="203">
        <f t="shared" si="5"/>
        <v>2.6579999999999941</v>
      </c>
      <c r="AE10" s="203">
        <f t="shared" si="5"/>
        <v>4.1940000000000026</v>
      </c>
      <c r="AF10" s="203">
        <f t="shared" si="5"/>
        <v>3.8910000000000053</v>
      </c>
    </row>
    <row r="11" spans="1:32">
      <c r="A11" s="296"/>
      <c r="B11" s="11" t="s">
        <v>109</v>
      </c>
      <c r="C11" s="95">
        <v>35.365000000000002</v>
      </c>
      <c r="D11" s="12">
        <v>37.256999999999998</v>
      </c>
      <c r="E11" s="12">
        <v>38.292999999999999</v>
      </c>
      <c r="F11" s="12">
        <v>38.906999999999996</v>
      </c>
      <c r="G11" s="12">
        <v>39.378999999999998</v>
      </c>
      <c r="H11" s="12">
        <v>39.639000000000003</v>
      </c>
      <c r="I11" s="12">
        <v>39.991999999999997</v>
      </c>
      <c r="J11" s="12">
        <v>40.256</v>
      </c>
      <c r="K11" s="12">
        <v>40.43</v>
      </c>
      <c r="L11" s="12">
        <v>40.68</v>
      </c>
      <c r="M11" s="12">
        <v>40.951000000000001</v>
      </c>
      <c r="N11" s="12">
        <v>1.323</v>
      </c>
      <c r="O11" s="12">
        <v>2.8650000000000002</v>
      </c>
      <c r="P11" s="10"/>
      <c r="Q11" s="10">
        <f t="shared" ref="Q11:Q23" si="6">O11+M11-C11</f>
        <v>8.4510000000000005</v>
      </c>
      <c r="T11" s="1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</row>
    <row r="12" spans="1:32">
      <c r="A12" s="288">
        <v>5</v>
      </c>
      <c r="B12" s="11" t="s">
        <v>279</v>
      </c>
      <c r="C12" s="95">
        <v>95.144000000000005</v>
      </c>
      <c r="D12" s="12">
        <v>102.69799999999999</v>
      </c>
      <c r="E12" s="12">
        <v>110.93600000000001</v>
      </c>
      <c r="F12" s="12">
        <v>119.629</v>
      </c>
      <c r="G12" s="12">
        <v>128.05600000000001</v>
      </c>
      <c r="H12" s="12">
        <v>136.37700000000001</v>
      </c>
      <c r="I12" s="12">
        <v>145.977</v>
      </c>
      <c r="J12" s="12">
        <v>155.41300000000001</v>
      </c>
      <c r="K12" s="12">
        <v>164.238</v>
      </c>
      <c r="L12" s="12">
        <v>172.059</v>
      </c>
      <c r="M12" s="12">
        <v>180.792</v>
      </c>
      <c r="N12" s="12">
        <v>189.75399999999999</v>
      </c>
      <c r="O12" s="12">
        <v>198.733</v>
      </c>
      <c r="P12" s="10">
        <f>O12-C12</f>
        <v>103.589</v>
      </c>
      <c r="T12" s="1">
        <v>5</v>
      </c>
      <c r="U12" s="202">
        <f t="shared" ref="U12:AF12" si="7">D12-C12</f>
        <v>7.5539999999999878</v>
      </c>
      <c r="V12" s="202">
        <f t="shared" si="7"/>
        <v>8.2380000000000138</v>
      </c>
      <c r="W12" s="202">
        <f t="shared" si="7"/>
        <v>8.6929999999999978</v>
      </c>
      <c r="X12" s="202">
        <f t="shared" si="7"/>
        <v>8.4270000000000067</v>
      </c>
      <c r="Y12" s="202">
        <f t="shared" si="7"/>
        <v>8.320999999999998</v>
      </c>
      <c r="Z12" s="202">
        <f t="shared" si="7"/>
        <v>9.5999999999999943</v>
      </c>
      <c r="AA12" s="202">
        <f t="shared" si="7"/>
        <v>9.436000000000007</v>
      </c>
      <c r="AB12" s="202">
        <f t="shared" si="7"/>
        <v>8.8249999999999886</v>
      </c>
      <c r="AC12" s="202">
        <f t="shared" si="7"/>
        <v>7.820999999999998</v>
      </c>
      <c r="AD12" s="202">
        <f t="shared" si="7"/>
        <v>8.7330000000000041</v>
      </c>
      <c r="AE12" s="202">
        <f t="shared" si="7"/>
        <v>8.9619999999999891</v>
      </c>
      <c r="AF12" s="202">
        <f t="shared" si="7"/>
        <v>8.9790000000000134</v>
      </c>
    </row>
    <row r="13" spans="1:32">
      <c r="A13" s="288"/>
      <c r="B13" s="11" t="s">
        <v>110</v>
      </c>
      <c r="C13" s="95">
        <v>55.557000000000002</v>
      </c>
      <c r="D13" s="12">
        <v>58.610999999999997</v>
      </c>
      <c r="E13" s="12">
        <v>61.218000000000004</v>
      </c>
      <c r="F13" s="12">
        <v>62.747999999999998</v>
      </c>
      <c r="G13" s="12">
        <v>64.063999999999993</v>
      </c>
      <c r="H13" s="12">
        <v>65.088999999999999</v>
      </c>
      <c r="I13" s="12">
        <v>65.656999999999996</v>
      </c>
      <c r="J13" s="12">
        <v>66.150999999999996</v>
      </c>
      <c r="K13" s="12">
        <v>66.656000000000006</v>
      </c>
      <c r="L13" s="12">
        <v>67.174000000000007</v>
      </c>
      <c r="M13" s="12">
        <v>67.947999999999993</v>
      </c>
      <c r="N13" s="12">
        <v>1.542</v>
      </c>
      <c r="O13" s="12">
        <v>3.8730000000000002</v>
      </c>
      <c r="P13" s="10"/>
      <c r="Q13" s="10">
        <f t="shared" ref="Q13:Q23" si="8">O13+M13-C13</f>
        <v>16.263999999999996</v>
      </c>
      <c r="T13" s="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</row>
    <row r="14" spans="1:32">
      <c r="A14" s="288">
        <v>6</v>
      </c>
      <c r="B14" s="11" t="s">
        <v>280</v>
      </c>
      <c r="C14" s="95">
        <v>80.876999999999995</v>
      </c>
      <c r="D14" s="12">
        <v>97.14</v>
      </c>
      <c r="E14" s="12">
        <v>111.911</v>
      </c>
      <c r="F14" s="12">
        <v>127.86799999999999</v>
      </c>
      <c r="G14" s="12">
        <v>143.161</v>
      </c>
      <c r="H14" s="12">
        <v>154.51400000000001</v>
      </c>
      <c r="I14" s="12">
        <v>163.53200000000001</v>
      </c>
      <c r="J14" s="12">
        <v>168.94300000000001</v>
      </c>
      <c r="K14" s="12">
        <v>177.84100000000001</v>
      </c>
      <c r="L14" s="12">
        <v>181.80699999999999</v>
      </c>
      <c r="M14" s="12">
        <v>184.453</v>
      </c>
      <c r="N14" s="12">
        <v>186.93700000000001</v>
      </c>
      <c r="O14" s="12">
        <v>189.93</v>
      </c>
      <c r="P14" s="10">
        <f>O14-C14</f>
        <v>109.05300000000001</v>
      </c>
      <c r="T14" s="1">
        <v>6</v>
      </c>
      <c r="U14" s="202">
        <f t="shared" ref="U14:AF14" si="9">D14-C14</f>
        <v>16.263000000000005</v>
      </c>
      <c r="V14" s="202">
        <f t="shared" si="9"/>
        <v>14.771000000000001</v>
      </c>
      <c r="W14" s="202">
        <f t="shared" si="9"/>
        <v>15.956999999999994</v>
      </c>
      <c r="X14" s="202">
        <f t="shared" si="9"/>
        <v>15.293000000000006</v>
      </c>
      <c r="Y14" s="202">
        <f t="shared" si="9"/>
        <v>11.353000000000009</v>
      </c>
      <c r="Z14" s="202">
        <f t="shared" si="9"/>
        <v>9.0180000000000007</v>
      </c>
      <c r="AA14" s="202">
        <f t="shared" si="9"/>
        <v>5.4110000000000014</v>
      </c>
      <c r="AB14" s="202">
        <f t="shared" si="9"/>
        <v>8.8979999999999961</v>
      </c>
      <c r="AC14" s="202">
        <f t="shared" si="9"/>
        <v>3.9659999999999798</v>
      </c>
      <c r="AD14" s="202">
        <f t="shared" si="9"/>
        <v>2.646000000000015</v>
      </c>
      <c r="AE14" s="202">
        <f t="shared" si="9"/>
        <v>2.4840000000000089</v>
      </c>
      <c r="AF14" s="202">
        <f t="shared" si="9"/>
        <v>2.992999999999995</v>
      </c>
    </row>
    <row r="15" spans="1:32">
      <c r="A15" s="288"/>
      <c r="B15" s="11" t="s">
        <v>111</v>
      </c>
      <c r="C15" s="95">
        <v>54.3</v>
      </c>
      <c r="D15" s="12">
        <v>59.438000000000002</v>
      </c>
      <c r="E15" s="12">
        <v>63.543999999999997</v>
      </c>
      <c r="F15" s="12">
        <v>66.822999999999993</v>
      </c>
      <c r="G15" s="12">
        <v>69.486000000000004</v>
      </c>
      <c r="H15" s="12">
        <v>70.855999999999995</v>
      </c>
      <c r="I15" s="12">
        <v>71.611999999999995</v>
      </c>
      <c r="J15" s="12">
        <v>72.141999999999996</v>
      </c>
      <c r="K15" s="12">
        <v>72.936000000000007</v>
      </c>
      <c r="L15" s="12">
        <v>73.358999999999995</v>
      </c>
      <c r="M15" s="12">
        <v>74.47</v>
      </c>
      <c r="N15" s="12">
        <v>3.3359999999999999</v>
      </c>
      <c r="O15" s="12">
        <v>7.5140000000000002</v>
      </c>
      <c r="P15" s="10"/>
      <c r="Q15" s="10">
        <f t="shared" ref="Q15:Q23" si="10">O15+M15-C15</f>
        <v>27.683999999999997</v>
      </c>
      <c r="T15" s="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</row>
    <row r="16" spans="1:32">
      <c r="A16" s="288">
        <v>7</v>
      </c>
      <c r="B16" s="11" t="s">
        <v>281</v>
      </c>
      <c r="C16" s="95">
        <v>163.30600000000001</v>
      </c>
      <c r="D16" s="12">
        <v>177.672</v>
      </c>
      <c r="E16" s="12">
        <v>189.24600000000001</v>
      </c>
      <c r="F16" s="12">
        <v>202.72399999999999</v>
      </c>
      <c r="G16" s="12">
        <v>217.65199999999999</v>
      </c>
      <c r="H16" s="12">
        <v>229.72499999999999</v>
      </c>
      <c r="I16" s="12">
        <v>242.12799999999999</v>
      </c>
      <c r="J16" s="12">
        <v>250.678</v>
      </c>
      <c r="K16" s="12">
        <v>259.68299999999999</v>
      </c>
      <c r="L16" s="12">
        <v>271.78100000000001</v>
      </c>
      <c r="M16" s="12">
        <v>282.666</v>
      </c>
      <c r="N16" s="12">
        <v>296.46100000000001</v>
      </c>
      <c r="O16" s="12">
        <v>310.04199999999997</v>
      </c>
      <c r="P16" s="10">
        <f>O16-C16</f>
        <v>146.73599999999996</v>
      </c>
      <c r="T16" s="1">
        <v>7</v>
      </c>
      <c r="U16" s="202">
        <f t="shared" ref="U16:AF16" si="11">D16-C16</f>
        <v>14.365999999999985</v>
      </c>
      <c r="V16" s="202">
        <f t="shared" si="11"/>
        <v>11.574000000000012</v>
      </c>
      <c r="W16" s="202">
        <f t="shared" si="11"/>
        <v>13.47799999999998</v>
      </c>
      <c r="X16" s="202">
        <f t="shared" si="11"/>
        <v>14.927999999999997</v>
      </c>
      <c r="Y16" s="202">
        <f t="shared" si="11"/>
        <v>12.073000000000008</v>
      </c>
      <c r="Z16" s="202">
        <f t="shared" si="11"/>
        <v>12.402999999999992</v>
      </c>
      <c r="AA16" s="202">
        <f t="shared" si="11"/>
        <v>8.5500000000000114</v>
      </c>
      <c r="AB16" s="202">
        <f t="shared" si="11"/>
        <v>9.0049999999999955</v>
      </c>
      <c r="AC16" s="202">
        <f t="shared" si="11"/>
        <v>12.098000000000013</v>
      </c>
      <c r="AD16" s="202">
        <f t="shared" si="11"/>
        <v>10.884999999999991</v>
      </c>
      <c r="AE16" s="202">
        <f t="shared" si="11"/>
        <v>13.795000000000016</v>
      </c>
      <c r="AF16" s="202">
        <f t="shared" si="11"/>
        <v>13.58099999999996</v>
      </c>
    </row>
    <row r="17" spans="1:32">
      <c r="A17" s="288"/>
      <c r="B17" s="11" t="s">
        <v>112</v>
      </c>
      <c r="C17" s="95">
        <v>130.30199999999999</v>
      </c>
      <c r="D17" s="12">
        <v>137.214</v>
      </c>
      <c r="E17" s="12">
        <v>143.226</v>
      </c>
      <c r="F17" s="12">
        <v>148.733</v>
      </c>
      <c r="G17" s="12">
        <v>152.905</v>
      </c>
      <c r="H17" s="12">
        <v>154.40899999999999</v>
      </c>
      <c r="I17" s="12">
        <v>155.58699999999999</v>
      </c>
      <c r="J17" s="12">
        <v>156.10499999999999</v>
      </c>
      <c r="K17" s="12">
        <v>156.66399999999999</v>
      </c>
      <c r="L17" s="12">
        <v>157.636</v>
      </c>
      <c r="M17" s="12">
        <v>160.34399999999999</v>
      </c>
      <c r="N17" s="12">
        <v>5.5579999999999998</v>
      </c>
      <c r="O17" s="12">
        <v>11.538</v>
      </c>
      <c r="P17" s="10"/>
      <c r="Q17" s="10">
        <f t="shared" ref="Q17:Q23" si="12">O17+M17-C17</f>
        <v>41.580000000000013</v>
      </c>
      <c r="T17" s="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</row>
    <row r="18" spans="1:32">
      <c r="A18" s="288">
        <v>8</v>
      </c>
      <c r="B18" s="11" t="s">
        <v>282</v>
      </c>
      <c r="C18" s="95">
        <v>113.977</v>
      </c>
      <c r="D18" s="12">
        <v>121.57899999999999</v>
      </c>
      <c r="E18" s="12">
        <v>129.471</v>
      </c>
      <c r="F18" s="12">
        <v>136.72399999999999</v>
      </c>
      <c r="G18" s="12">
        <v>144.459</v>
      </c>
      <c r="H18" s="12">
        <v>152.05600000000001</v>
      </c>
      <c r="I18" s="12">
        <v>158.79599999999999</v>
      </c>
      <c r="J18" s="12">
        <v>165.309</v>
      </c>
      <c r="K18" s="12">
        <v>170.40600000000001</v>
      </c>
      <c r="L18" s="12">
        <v>176.70099999999999</v>
      </c>
      <c r="M18" s="12">
        <v>182.76300000000001</v>
      </c>
      <c r="N18" s="12">
        <v>188.40600000000001</v>
      </c>
      <c r="O18" s="12">
        <v>195.28800000000001</v>
      </c>
      <c r="P18" s="10">
        <f>O18-C18</f>
        <v>81.311000000000007</v>
      </c>
      <c r="T18" s="1">
        <v>8</v>
      </c>
      <c r="U18" s="202">
        <f t="shared" ref="U18:AF18" si="13">D18-C18</f>
        <v>7.6019999999999897</v>
      </c>
      <c r="V18" s="202">
        <f t="shared" si="13"/>
        <v>7.8920000000000101</v>
      </c>
      <c r="W18" s="202">
        <f t="shared" si="13"/>
        <v>7.2529999999999859</v>
      </c>
      <c r="X18" s="202">
        <f t="shared" si="13"/>
        <v>7.7350000000000136</v>
      </c>
      <c r="Y18" s="202">
        <f t="shared" si="13"/>
        <v>7.5970000000000084</v>
      </c>
      <c r="Z18" s="202">
        <f t="shared" si="13"/>
        <v>6.7399999999999807</v>
      </c>
      <c r="AA18" s="202">
        <f t="shared" si="13"/>
        <v>6.5130000000000052</v>
      </c>
      <c r="AB18" s="202">
        <f t="shared" si="13"/>
        <v>5.0970000000000084</v>
      </c>
      <c r="AC18" s="202">
        <f t="shared" si="13"/>
        <v>6.2949999999999875</v>
      </c>
      <c r="AD18" s="202">
        <f t="shared" si="13"/>
        <v>6.0620000000000118</v>
      </c>
      <c r="AE18" s="202">
        <f t="shared" si="13"/>
        <v>5.6430000000000007</v>
      </c>
      <c r="AF18" s="202">
        <f t="shared" si="13"/>
        <v>6.882000000000005</v>
      </c>
    </row>
    <row r="19" spans="1:32">
      <c r="A19" s="288"/>
      <c r="B19" s="11" t="s">
        <v>113</v>
      </c>
      <c r="C19" s="95">
        <v>40.427</v>
      </c>
      <c r="D19" s="12">
        <v>43.179000000000002</v>
      </c>
      <c r="E19" s="12">
        <v>45.834000000000003</v>
      </c>
      <c r="F19" s="12">
        <v>47.668999999999997</v>
      </c>
      <c r="G19" s="12">
        <v>48.604999999999997</v>
      </c>
      <c r="H19" s="12">
        <v>49.100999999999999</v>
      </c>
      <c r="I19" s="12">
        <v>49.393000000000001</v>
      </c>
      <c r="J19" s="12">
        <v>49.66</v>
      </c>
      <c r="K19" s="12">
        <v>49.923000000000002</v>
      </c>
      <c r="L19" s="12">
        <v>50.265000000000001</v>
      </c>
      <c r="M19" s="12">
        <v>50.942</v>
      </c>
      <c r="N19" s="12">
        <v>2.226</v>
      </c>
      <c r="O19" s="12">
        <v>4.9260000000000002</v>
      </c>
      <c r="P19" s="10"/>
      <c r="Q19" s="10">
        <f t="shared" ref="Q19:Q23" si="14">O19+M19-C19</f>
        <v>15.441000000000003</v>
      </c>
      <c r="T19" s="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</row>
    <row r="20" spans="1:32">
      <c r="A20" s="288">
        <v>9</v>
      </c>
      <c r="B20" s="11" t="s">
        <v>283</v>
      </c>
      <c r="C20" s="95">
        <v>33.466000000000001</v>
      </c>
      <c r="D20" s="12">
        <v>35.673999999999999</v>
      </c>
      <c r="E20" s="12">
        <v>37.97</v>
      </c>
      <c r="F20" s="12">
        <v>40.402999999999999</v>
      </c>
      <c r="G20" s="12">
        <v>42.677999999999997</v>
      </c>
      <c r="H20" s="12">
        <v>44.933999999999997</v>
      </c>
      <c r="I20" s="12">
        <v>47.201999999999998</v>
      </c>
      <c r="J20" s="12">
        <v>49.33</v>
      </c>
      <c r="K20" s="12">
        <v>51.210999999999999</v>
      </c>
      <c r="L20" s="12">
        <v>53.497999999999998</v>
      </c>
      <c r="M20" s="12">
        <v>55.226999999999997</v>
      </c>
      <c r="N20" s="12">
        <v>57.243000000000002</v>
      </c>
      <c r="O20" s="12">
        <v>59.795000000000002</v>
      </c>
      <c r="P20" s="10">
        <f>O20-C20</f>
        <v>26.329000000000001</v>
      </c>
      <c r="T20" s="1">
        <v>9</v>
      </c>
      <c r="U20" s="202">
        <f t="shared" ref="U20:AF20" si="15">D20-C20</f>
        <v>2.2079999999999984</v>
      </c>
      <c r="V20" s="202">
        <f t="shared" si="15"/>
        <v>2.2959999999999994</v>
      </c>
      <c r="W20" s="202">
        <f t="shared" si="15"/>
        <v>2.4329999999999998</v>
      </c>
      <c r="X20" s="202">
        <f t="shared" si="15"/>
        <v>2.2749999999999986</v>
      </c>
      <c r="Y20" s="202">
        <f t="shared" si="15"/>
        <v>2.2560000000000002</v>
      </c>
      <c r="Z20" s="202">
        <f t="shared" si="15"/>
        <v>2.2680000000000007</v>
      </c>
      <c r="AA20" s="202">
        <f t="shared" si="15"/>
        <v>2.1280000000000001</v>
      </c>
      <c r="AB20" s="202">
        <f t="shared" si="15"/>
        <v>1.8810000000000002</v>
      </c>
      <c r="AC20" s="202">
        <f t="shared" si="15"/>
        <v>2.286999999999999</v>
      </c>
      <c r="AD20" s="202">
        <f t="shared" si="15"/>
        <v>1.7289999999999992</v>
      </c>
      <c r="AE20" s="202">
        <f t="shared" si="15"/>
        <v>2.0160000000000053</v>
      </c>
      <c r="AF20" s="202">
        <f t="shared" si="15"/>
        <v>2.5519999999999996</v>
      </c>
    </row>
    <row r="21" spans="1:32">
      <c r="A21" s="288"/>
      <c r="B21" s="11" t="s">
        <v>114</v>
      </c>
      <c r="C21" s="95">
        <v>53.628999999999998</v>
      </c>
      <c r="D21" s="12">
        <v>57.622999999999998</v>
      </c>
      <c r="E21" s="12">
        <v>60.393000000000001</v>
      </c>
      <c r="F21" s="12">
        <v>62.847000000000001</v>
      </c>
      <c r="G21" s="12">
        <v>64.063000000000002</v>
      </c>
      <c r="H21" s="12">
        <v>64.403000000000006</v>
      </c>
      <c r="I21" s="12">
        <v>64.507999999999996</v>
      </c>
      <c r="J21" s="12">
        <v>64.600999999999999</v>
      </c>
      <c r="K21" s="12">
        <v>64.777000000000001</v>
      </c>
      <c r="L21" s="12">
        <v>64.938999999999993</v>
      </c>
      <c r="M21" s="12">
        <v>65.828000000000003</v>
      </c>
      <c r="N21" s="12">
        <v>2.5070000000000001</v>
      </c>
      <c r="O21" s="12">
        <v>5.6760000000000002</v>
      </c>
      <c r="P21" s="10"/>
      <c r="Q21" s="10">
        <f t="shared" ref="Q21:Q23" si="16">O21+M21-C21</f>
        <v>17.875000000000007</v>
      </c>
      <c r="T21" s="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</row>
    <row r="22" spans="1:32">
      <c r="A22" s="288">
        <v>10</v>
      </c>
      <c r="B22" s="11" t="s">
        <v>284</v>
      </c>
      <c r="C22" s="95">
        <v>135.44300000000001</v>
      </c>
      <c r="D22" s="12">
        <v>146.38399999999999</v>
      </c>
      <c r="E22" s="12">
        <v>155.494</v>
      </c>
      <c r="F22" s="12">
        <v>167.64</v>
      </c>
      <c r="G22" s="12">
        <v>178.95699999999999</v>
      </c>
      <c r="H22" s="12">
        <v>190.06700000000001</v>
      </c>
      <c r="I22" s="12">
        <v>201.477</v>
      </c>
      <c r="J22" s="12">
        <v>206.26499999999999</v>
      </c>
      <c r="K22" s="12">
        <v>213.20500000000001</v>
      </c>
      <c r="L22" s="12">
        <v>222.41300000000001</v>
      </c>
      <c r="M22" s="12">
        <v>232.078</v>
      </c>
      <c r="N22" s="12">
        <v>243.226</v>
      </c>
      <c r="O22" s="12">
        <v>254.36600000000001</v>
      </c>
      <c r="P22" s="10">
        <f>O22-C22</f>
        <v>118.923</v>
      </c>
      <c r="T22" s="1">
        <v>10</v>
      </c>
      <c r="U22" s="202">
        <f t="shared" ref="U22:AF22" si="17">D22-C22</f>
        <v>10.940999999999974</v>
      </c>
      <c r="V22" s="202">
        <f t="shared" si="17"/>
        <v>9.1100000000000136</v>
      </c>
      <c r="W22" s="202">
        <f t="shared" si="17"/>
        <v>12.145999999999987</v>
      </c>
      <c r="X22" s="202">
        <f t="shared" si="17"/>
        <v>11.317000000000007</v>
      </c>
      <c r="Y22" s="202">
        <f t="shared" si="17"/>
        <v>11.110000000000014</v>
      </c>
      <c r="Z22" s="202">
        <f t="shared" si="17"/>
        <v>11.409999999999997</v>
      </c>
      <c r="AA22" s="202">
        <f t="shared" si="17"/>
        <v>4.7879999999999825</v>
      </c>
      <c r="AB22" s="202">
        <f t="shared" si="17"/>
        <v>6.9400000000000261</v>
      </c>
      <c r="AC22" s="202">
        <f t="shared" si="17"/>
        <v>9.2079999999999984</v>
      </c>
      <c r="AD22" s="202">
        <f t="shared" si="17"/>
        <v>9.664999999999992</v>
      </c>
      <c r="AE22" s="202">
        <f t="shared" si="17"/>
        <v>11.147999999999996</v>
      </c>
      <c r="AF22" s="202">
        <f t="shared" si="17"/>
        <v>11.140000000000015</v>
      </c>
    </row>
    <row r="23" spans="1:32">
      <c r="A23" s="288"/>
      <c r="B23" s="11" t="s">
        <v>115</v>
      </c>
      <c r="C23" s="95">
        <v>76.921000000000006</v>
      </c>
      <c r="D23" s="12">
        <v>81.233999999999995</v>
      </c>
      <c r="E23" s="12">
        <v>84.822999999999993</v>
      </c>
      <c r="F23" s="12">
        <v>87.393000000000001</v>
      </c>
      <c r="G23" s="12">
        <v>88.688000000000002</v>
      </c>
      <c r="H23" s="12">
        <v>89.287000000000006</v>
      </c>
      <c r="I23" s="12">
        <v>89.653999999999996</v>
      </c>
      <c r="J23" s="12">
        <v>89.819000000000003</v>
      </c>
      <c r="K23" s="12">
        <v>90.066999999999993</v>
      </c>
      <c r="L23" s="12">
        <v>90.436999999999998</v>
      </c>
      <c r="M23" s="12">
        <v>91.617999999999995</v>
      </c>
      <c r="N23" s="12">
        <v>2.976</v>
      </c>
      <c r="O23" s="12">
        <v>7.0170000000000003</v>
      </c>
      <c r="P23" s="14"/>
      <c r="Q23" s="136">
        <f t="shared" ref="Q23" si="18">O23+M23-C23</f>
        <v>21.713999999999984</v>
      </c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</row>
    <row r="24" spans="1:32">
      <c r="A24" s="163"/>
      <c r="B24" s="11"/>
      <c r="C24" s="9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924.80900000000008</v>
      </c>
      <c r="Q24" s="10">
        <f>SUM(Q4:Q23)</f>
        <v>225.58100000000002</v>
      </c>
    </row>
    <row r="25" spans="1:32">
      <c r="A25" s="163" t="s">
        <v>25</v>
      </c>
      <c r="B25" s="11" t="s">
        <v>116</v>
      </c>
      <c r="C25" s="96">
        <v>44544</v>
      </c>
      <c r="D25" s="16">
        <v>44756</v>
      </c>
      <c r="E25" s="16">
        <v>45135</v>
      </c>
      <c r="F25" s="16">
        <v>45332</v>
      </c>
      <c r="G25" s="16">
        <v>45517</v>
      </c>
      <c r="H25" s="16">
        <v>45741</v>
      </c>
      <c r="I25" s="16">
        <v>45951</v>
      </c>
      <c r="J25" s="16">
        <v>46144</v>
      </c>
      <c r="K25" s="16">
        <v>46357</v>
      </c>
      <c r="L25" s="16">
        <v>46559</v>
      </c>
      <c r="M25" s="16">
        <v>46759</v>
      </c>
      <c r="N25" s="16">
        <v>46951</v>
      </c>
      <c r="O25" s="16">
        <v>47149</v>
      </c>
      <c r="P25" s="10"/>
      <c r="R25" s="19">
        <f>O25-C25</f>
        <v>2605</v>
      </c>
    </row>
    <row r="26" spans="1:32">
      <c r="A26" s="163"/>
      <c r="B26" s="11" t="s">
        <v>285</v>
      </c>
      <c r="C26" s="97">
        <v>1207</v>
      </c>
      <c r="D26" s="21">
        <v>1306.8</v>
      </c>
      <c r="E26" s="21">
        <v>1390.9</v>
      </c>
      <c r="F26" s="21">
        <v>1487.6</v>
      </c>
      <c r="G26" s="21">
        <v>1589.2</v>
      </c>
      <c r="H26" s="21">
        <v>1684.2</v>
      </c>
      <c r="I26" s="21">
        <v>1776</v>
      </c>
      <c r="J26" s="21">
        <v>1840.7</v>
      </c>
      <c r="K26" s="21">
        <v>1908.6</v>
      </c>
      <c r="L26" s="21">
        <v>1984.5</v>
      </c>
      <c r="M26" s="21">
        <v>2059.9</v>
      </c>
      <c r="N26" s="21">
        <v>2139.5</v>
      </c>
      <c r="O26" s="21">
        <v>2222.9</v>
      </c>
      <c r="P26" s="10">
        <f>O26-C26</f>
        <v>1015.9000000000001</v>
      </c>
    </row>
    <row r="27" spans="1:32">
      <c r="A27" s="172"/>
      <c r="B27" s="285" t="s">
        <v>370</v>
      </c>
      <c r="C27" s="98">
        <v>106.96</v>
      </c>
      <c r="D27" s="22">
        <v>151.71</v>
      </c>
      <c r="E27" s="22">
        <v>190.25</v>
      </c>
      <c r="F27" s="22">
        <v>221.53</v>
      </c>
      <c r="G27" s="22">
        <v>243.51</v>
      </c>
      <c r="H27" s="22">
        <v>254.94</v>
      </c>
      <c r="I27" s="22">
        <v>259.97000000000003</v>
      </c>
      <c r="J27" s="22">
        <v>263.85000000000002</v>
      </c>
      <c r="K27" s="23">
        <v>269.63</v>
      </c>
      <c r="L27" s="22">
        <v>274.29000000000002</v>
      </c>
      <c r="M27" s="22">
        <v>288.37</v>
      </c>
      <c r="N27" s="22">
        <v>319.08</v>
      </c>
      <c r="O27" s="22">
        <v>358.21</v>
      </c>
      <c r="P27" s="10"/>
      <c r="Q27" s="10">
        <f>O27-C27</f>
        <v>251.25</v>
      </c>
      <c r="R27" t="s">
        <v>165</v>
      </c>
    </row>
    <row r="28" spans="1:32" ht="15.75" thickBot="1">
      <c r="A28" s="162"/>
      <c r="B28" s="31" t="s">
        <v>28</v>
      </c>
      <c r="C28" s="99">
        <v>870</v>
      </c>
      <c r="D28" s="25">
        <v>1202</v>
      </c>
      <c r="E28" s="25">
        <v>1500</v>
      </c>
      <c r="F28" s="25">
        <v>1740</v>
      </c>
      <c r="G28" s="25">
        <v>1911</v>
      </c>
      <c r="H28" s="25">
        <v>2011</v>
      </c>
      <c r="I28" s="25">
        <v>2081</v>
      </c>
      <c r="J28" s="25">
        <v>2147</v>
      </c>
      <c r="K28" s="38">
        <v>2361</v>
      </c>
      <c r="L28" s="25">
        <v>2435</v>
      </c>
      <c r="M28" s="25">
        <v>2536</v>
      </c>
      <c r="N28" s="25">
        <v>2752</v>
      </c>
      <c r="O28" s="25">
        <v>3022</v>
      </c>
      <c r="P28" s="10"/>
      <c r="Q28" s="19">
        <f>O28-C28</f>
        <v>2152</v>
      </c>
      <c r="R28" t="s">
        <v>166</v>
      </c>
    </row>
    <row r="29" spans="1:32" ht="15.75" thickBot="1">
      <c r="A29" s="175" t="str">
        <f>'1854'!A29</f>
        <v>Fakturační vodoměr:      42012114941</v>
      </c>
      <c r="B29" s="26"/>
      <c r="C29" s="27">
        <f>'1854'!C29</f>
        <v>1085</v>
      </c>
      <c r="D29" s="27">
        <f>'1854'!D29</f>
        <v>1404.3</v>
      </c>
      <c r="E29" s="27">
        <f>'1854'!E29</f>
        <v>1696</v>
      </c>
      <c r="F29" s="27">
        <f>'1854'!F29</f>
        <v>2013.8</v>
      </c>
      <c r="G29" s="27">
        <f>'1854'!G29</f>
        <v>2336.4</v>
      </c>
      <c r="H29" s="27">
        <f>'1854'!H29</f>
        <v>2664.8</v>
      </c>
      <c r="I29" s="27">
        <f>'1854'!I29</f>
        <v>2958.3</v>
      </c>
      <c r="J29" s="27">
        <f>'1854'!J29</f>
        <v>3200.4</v>
      </c>
      <c r="K29" s="27">
        <f>'1854'!K29</f>
        <v>3449.5</v>
      </c>
      <c r="L29" s="27">
        <f>'1854'!L29</f>
        <v>3713.1</v>
      </c>
      <c r="M29" s="27">
        <f>'1854'!M29</f>
        <v>4002.8</v>
      </c>
      <c r="N29" s="27">
        <f>'1854'!N29</f>
        <v>4300</v>
      </c>
      <c r="O29" s="27">
        <f>'1854'!O29</f>
        <v>4605</v>
      </c>
      <c r="P29" s="10">
        <f>O29--C29</f>
        <v>5690</v>
      </c>
    </row>
    <row r="31" spans="1:32">
      <c r="C31" s="30"/>
      <c r="D31" s="190" t="s">
        <v>309</v>
      </c>
      <c r="E31" s="30"/>
      <c r="F31" s="191"/>
      <c r="G31" s="30"/>
    </row>
    <row r="32" spans="1:32">
      <c r="C32" s="290">
        <v>4</v>
      </c>
      <c r="D32" s="291">
        <v>43950</v>
      </c>
      <c r="E32" s="103" t="s">
        <v>300</v>
      </c>
      <c r="F32" s="221"/>
      <c r="G32" s="221"/>
      <c r="K32" t="s">
        <v>329</v>
      </c>
      <c r="N32" s="1" t="s">
        <v>166</v>
      </c>
    </row>
    <row r="33" spans="3:14">
      <c r="C33" s="290"/>
      <c r="D33" s="291"/>
      <c r="E33" s="103" t="s">
        <v>301</v>
      </c>
      <c r="F33" s="221"/>
      <c r="G33" s="221"/>
      <c r="K33" s="251">
        <v>44095</v>
      </c>
      <c r="L33" s="246" t="s">
        <v>300</v>
      </c>
      <c r="M33" s="246"/>
      <c r="N33" s="246"/>
    </row>
    <row r="34" spans="3:14">
      <c r="L34" s="1"/>
      <c r="M34" s="238" t="s">
        <v>322</v>
      </c>
      <c r="N34" s="239" t="s">
        <v>166</v>
      </c>
    </row>
    <row r="35" spans="3:14">
      <c r="E35" t="s">
        <v>320</v>
      </c>
      <c r="H35" s="241" t="s">
        <v>321</v>
      </c>
      <c r="I35" s="1" t="s">
        <v>166</v>
      </c>
      <c r="K35" s="251">
        <v>44095</v>
      </c>
      <c r="L35" s="246" t="s">
        <v>301</v>
      </c>
      <c r="M35" s="246"/>
      <c r="N35" s="246"/>
    </row>
    <row r="36" spans="3:14">
      <c r="D36" t="s">
        <v>323</v>
      </c>
      <c r="E36" s="226">
        <v>43984</v>
      </c>
      <c r="F36" s="103" t="s">
        <v>300</v>
      </c>
      <c r="G36" s="104"/>
      <c r="H36" s="235"/>
      <c r="I36" s="157"/>
    </row>
    <row r="37" spans="3:14">
      <c r="E37" s="236"/>
      <c r="F37" s="237"/>
      <c r="G37" s="238" t="s">
        <v>322</v>
      </c>
      <c r="H37" s="240" t="s">
        <v>165</v>
      </c>
      <c r="I37" s="239" t="s">
        <v>166</v>
      </c>
    </row>
    <row r="38" spans="3:14">
      <c r="D38" t="s">
        <v>324</v>
      </c>
      <c r="E38" s="226">
        <v>43986</v>
      </c>
      <c r="F38" s="103" t="s">
        <v>301</v>
      </c>
      <c r="G38" s="104"/>
      <c r="H38" s="235"/>
      <c r="I38" s="157"/>
    </row>
  </sheetData>
  <sheetProtection selectLockedCells="1" selectUnlockedCells="1"/>
  <mergeCells count="12">
    <mergeCell ref="C32:C33"/>
    <mergeCell ref="D32:D33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H4">
    <cfRule type="cellIs" dxfId="662" priority="51" stopIfTrue="1" operator="lessThan">
      <formula>'1857'!$G$4</formula>
    </cfRule>
    <cfRule type="cellIs" dxfId="661" priority="52" stopIfTrue="1" operator="equal">
      <formula>'1857'!$G$4</formula>
    </cfRule>
  </conditionalFormatting>
  <conditionalFormatting sqref="G7">
    <cfRule type="cellIs" dxfId="660" priority="53" stopIfTrue="1" operator="equal">
      <formula>'1857'!$F$7</formula>
    </cfRule>
    <cfRule type="cellIs" dxfId="659" priority="54" stopIfTrue="1" operator="lessThan">
      <formula>'1857'!$F$7</formula>
    </cfRule>
  </conditionalFormatting>
  <conditionalFormatting sqref="H5">
    <cfRule type="cellIs" dxfId="658" priority="55" stopIfTrue="1" operator="equal">
      <formula>'1857'!$G$5</formula>
    </cfRule>
    <cfRule type="cellIs" dxfId="657" priority="56" stopIfTrue="1" operator="lessThan">
      <formula>'1857'!$G$5</formula>
    </cfRule>
  </conditionalFormatting>
  <conditionalFormatting sqref="I5">
    <cfRule type="cellIs" dxfId="656" priority="57" stopIfTrue="1" operator="equal">
      <formula>'1857'!$H$5</formula>
    </cfRule>
    <cfRule type="cellIs" dxfId="655" priority="58" stopIfTrue="1" operator="lessThan">
      <formula>'1857'!$H$5</formula>
    </cfRule>
  </conditionalFormatting>
  <conditionalFormatting sqref="J5">
    <cfRule type="cellIs" dxfId="654" priority="59" stopIfTrue="1" operator="equal">
      <formula>'1857'!$I$5</formula>
    </cfRule>
    <cfRule type="cellIs" dxfId="653" priority="60" stopIfTrue="1" operator="lessThan">
      <formula>'1857'!$I$5</formula>
    </cfRule>
  </conditionalFormatting>
  <conditionalFormatting sqref="F4">
    <cfRule type="cellIs" dxfId="652" priority="61" stopIfTrue="1" operator="equal">
      <formula>'1857'!$E$4</formula>
    </cfRule>
    <cfRule type="cellIs" dxfId="651" priority="62" stopIfTrue="1" operator="lessThan">
      <formula>'1857'!$E$4</formula>
    </cfRule>
  </conditionalFormatting>
  <conditionalFormatting sqref="D4">
    <cfRule type="cellIs" dxfId="650" priority="63" stopIfTrue="1" operator="lessThan">
      <formula>'1857'!$C$4</formula>
    </cfRule>
    <cfRule type="cellIs" dxfId="649" priority="64" stopIfTrue="1" operator="equal">
      <formula>'1857'!$C$4</formula>
    </cfRule>
  </conditionalFormatting>
  <conditionalFormatting sqref="E4">
    <cfRule type="cellIs" dxfId="648" priority="65" stopIfTrue="1" operator="equal">
      <formula>'1857'!$D$4</formula>
    </cfRule>
    <cfRule type="cellIs" dxfId="647" priority="66" stopIfTrue="1" operator="lessThan">
      <formula>'1857'!$D$4</formula>
    </cfRule>
  </conditionalFormatting>
  <conditionalFormatting sqref="D5">
    <cfRule type="cellIs" dxfId="646" priority="67" stopIfTrue="1" operator="equal">
      <formula>'1857'!$C$5</formula>
    </cfRule>
    <cfRule type="cellIs" dxfId="645" priority="68" stopIfTrue="1" operator="lessThan">
      <formula>'1857'!$C$5</formula>
    </cfRule>
  </conditionalFormatting>
  <conditionalFormatting sqref="F5">
    <cfRule type="cellIs" dxfId="644" priority="69" stopIfTrue="1" operator="equal">
      <formula>'1857'!$E$5</formula>
    </cfRule>
    <cfRule type="cellIs" dxfId="643" priority="70" stopIfTrue="1" operator="lessThan">
      <formula>'1857'!$E$5</formula>
    </cfRule>
  </conditionalFormatting>
  <conditionalFormatting sqref="I4">
    <cfRule type="cellIs" dxfId="642" priority="71" stopIfTrue="1" operator="equal">
      <formula>'1857'!$H$4</formula>
    </cfRule>
  </conditionalFormatting>
  <conditionalFormatting sqref="J4">
    <cfRule type="cellIs" dxfId="641" priority="72" stopIfTrue="1" operator="lessThan">
      <formula>'1857'!$I$4</formula>
    </cfRule>
    <cfRule type="cellIs" dxfId="640" priority="73" stopIfTrue="1" operator="equal">
      <formula>'1857'!$I$4</formula>
    </cfRule>
  </conditionalFormatting>
  <conditionalFormatting sqref="D6">
    <cfRule type="cellIs" dxfId="639" priority="74" stopIfTrue="1" operator="equal">
      <formula>'1857'!$C$6</formula>
    </cfRule>
    <cfRule type="cellIs" dxfId="638" priority="75" stopIfTrue="1" operator="lessThan">
      <formula>'1857'!$C$6</formula>
    </cfRule>
  </conditionalFormatting>
  <conditionalFormatting sqref="E6">
    <cfRule type="cellIs" dxfId="637" priority="76" stopIfTrue="1" operator="equal">
      <formula>'1857'!$D$6</formula>
    </cfRule>
    <cfRule type="cellIs" dxfId="636" priority="77" stopIfTrue="1" operator="lessThan">
      <formula>'1857'!$D$6</formula>
    </cfRule>
  </conditionalFormatting>
  <conditionalFormatting sqref="F6">
    <cfRule type="cellIs" dxfId="635" priority="78" stopIfTrue="1" operator="equal">
      <formula>'1857'!$E$6</formula>
    </cfRule>
    <cfRule type="cellIs" dxfId="634" priority="79" stopIfTrue="1" operator="lessThan">
      <formula>'1857'!$E$6</formula>
    </cfRule>
  </conditionalFormatting>
  <conditionalFormatting sqref="G6">
    <cfRule type="cellIs" dxfId="633" priority="80" stopIfTrue="1" operator="equal">
      <formula>'1857'!$F$6</formula>
    </cfRule>
    <cfRule type="cellIs" dxfId="632" priority="81" stopIfTrue="1" operator="lessThan">
      <formula>'1857'!$F$6</formula>
    </cfRule>
  </conditionalFormatting>
  <conditionalFormatting sqref="H6">
    <cfRule type="cellIs" dxfId="631" priority="82" stopIfTrue="1" operator="equal">
      <formula>'1857'!$G$6</formula>
    </cfRule>
    <cfRule type="cellIs" dxfId="630" priority="83" stopIfTrue="1" operator="lessThan">
      <formula>'1857'!$G$6</formula>
    </cfRule>
  </conditionalFormatting>
  <conditionalFormatting sqref="I6">
    <cfRule type="cellIs" dxfId="629" priority="84" stopIfTrue="1" operator="equal">
      <formula>'1857'!$H$6</formula>
    </cfRule>
    <cfRule type="cellIs" dxfId="628" priority="85" stopIfTrue="1" operator="lessThan">
      <formula>'1857'!$H$6</formula>
    </cfRule>
  </conditionalFormatting>
  <conditionalFormatting sqref="J6">
    <cfRule type="cellIs" dxfId="627" priority="86" stopIfTrue="1" operator="equal">
      <formula>'1857'!$I$6</formula>
    </cfRule>
    <cfRule type="cellIs" dxfId="626" priority="87" stopIfTrue="1" operator="lessThan">
      <formula>'1857'!$I$6</formula>
    </cfRule>
  </conditionalFormatting>
  <conditionalFormatting sqref="D7">
    <cfRule type="cellIs" dxfId="625" priority="88" stopIfTrue="1" operator="equal">
      <formula>'1857'!$C$7</formula>
    </cfRule>
    <cfRule type="cellIs" dxfId="624" priority="89" stopIfTrue="1" operator="lessThan">
      <formula>'1857'!$C$7</formula>
    </cfRule>
  </conditionalFormatting>
  <conditionalFormatting sqref="E7">
    <cfRule type="cellIs" dxfId="623" priority="90" stopIfTrue="1" operator="equal">
      <formula>'1857'!$D$7</formula>
    </cfRule>
    <cfRule type="cellIs" dxfId="622" priority="91" stopIfTrue="1" operator="lessThan">
      <formula>'1857'!$D$7</formula>
    </cfRule>
  </conditionalFormatting>
  <conditionalFormatting sqref="F7">
    <cfRule type="cellIs" dxfId="621" priority="92" stopIfTrue="1" operator="equal">
      <formula>'1857'!$E$7</formula>
    </cfRule>
    <cfRule type="cellIs" dxfId="620" priority="93" stopIfTrue="1" operator="lessThan">
      <formula>'1857'!$E$7</formula>
    </cfRule>
  </conditionalFormatting>
  <conditionalFormatting sqref="H7">
    <cfRule type="cellIs" dxfId="619" priority="94" stopIfTrue="1" operator="equal">
      <formula>'1857'!$G$7</formula>
    </cfRule>
    <cfRule type="cellIs" dxfId="618" priority="95" stopIfTrue="1" operator="lessThan">
      <formula>'1857'!$G$7</formula>
    </cfRule>
  </conditionalFormatting>
  <conditionalFormatting sqref="I7">
    <cfRule type="cellIs" dxfId="617" priority="96" stopIfTrue="1" operator="equal">
      <formula>'1857'!$H$7</formula>
    </cfRule>
    <cfRule type="cellIs" dxfId="616" priority="97" stopIfTrue="1" operator="lessThan">
      <formula>'1857'!$H$7</formula>
    </cfRule>
  </conditionalFormatting>
  <conditionalFormatting sqref="J7">
    <cfRule type="cellIs" dxfId="615" priority="98" stopIfTrue="1" operator="equal">
      <formula>'1857'!$I$7</formula>
    </cfRule>
    <cfRule type="cellIs" dxfId="614" priority="99" stopIfTrue="1" operator="lessThan">
      <formula>'1857'!$I$7</formula>
    </cfRule>
  </conditionalFormatting>
  <conditionalFormatting sqref="D8">
    <cfRule type="cellIs" dxfId="613" priority="100" stopIfTrue="1" operator="equal">
      <formula>'1857'!$C$8</formula>
    </cfRule>
    <cfRule type="cellIs" dxfId="612" priority="101" stopIfTrue="1" operator="lessThan">
      <formula>'1857'!$C$8</formula>
    </cfRule>
  </conditionalFormatting>
  <conditionalFormatting sqref="E8">
    <cfRule type="cellIs" dxfId="611" priority="102" stopIfTrue="1" operator="equal">
      <formula>'1857'!$D$8</formula>
    </cfRule>
    <cfRule type="cellIs" dxfId="610" priority="103" stopIfTrue="1" operator="lessThan">
      <formula>'1857'!$D$8</formula>
    </cfRule>
  </conditionalFormatting>
  <conditionalFormatting sqref="F8">
    <cfRule type="cellIs" dxfId="609" priority="104" stopIfTrue="1" operator="equal">
      <formula>'1857'!$E$8</formula>
    </cfRule>
    <cfRule type="cellIs" dxfId="608" priority="105" stopIfTrue="1" operator="lessThan">
      <formula>'1857'!$E$8</formula>
    </cfRule>
  </conditionalFormatting>
  <conditionalFormatting sqref="G8">
    <cfRule type="cellIs" dxfId="607" priority="106" stopIfTrue="1" operator="equal">
      <formula>'1857'!$F$8</formula>
    </cfRule>
    <cfRule type="cellIs" dxfId="606" priority="107" stopIfTrue="1" operator="lessThan">
      <formula>'1857'!$F$8</formula>
    </cfRule>
  </conditionalFormatting>
  <conditionalFormatting sqref="H8">
    <cfRule type="cellIs" dxfId="605" priority="108" stopIfTrue="1" operator="equal">
      <formula>'1857'!$G$8</formula>
    </cfRule>
    <cfRule type="cellIs" dxfId="604" priority="109" stopIfTrue="1" operator="lessThan">
      <formula>'1857'!$G$8</formula>
    </cfRule>
  </conditionalFormatting>
  <conditionalFormatting sqref="I8">
    <cfRule type="cellIs" dxfId="603" priority="110" stopIfTrue="1" operator="equal">
      <formula>'1857'!$H$8</formula>
    </cfRule>
    <cfRule type="cellIs" dxfId="602" priority="111" stopIfTrue="1" operator="lessThan">
      <formula>'1857'!$H$8</formula>
    </cfRule>
  </conditionalFormatting>
  <conditionalFormatting sqref="J8">
    <cfRule type="cellIs" dxfId="601" priority="112" stopIfTrue="1" operator="equal">
      <formula>'1857'!$I$8</formula>
    </cfRule>
    <cfRule type="cellIs" dxfId="600" priority="113" stopIfTrue="1" operator="lessThan">
      <formula>'1857'!$I$8</formula>
    </cfRule>
  </conditionalFormatting>
  <conditionalFormatting sqref="D9">
    <cfRule type="cellIs" dxfId="599" priority="114" stopIfTrue="1" operator="equal">
      <formula>'1857'!$C$9</formula>
    </cfRule>
    <cfRule type="cellIs" dxfId="598" priority="115" stopIfTrue="1" operator="lessThan">
      <formula>'1857'!$C$9</formula>
    </cfRule>
  </conditionalFormatting>
  <conditionalFormatting sqref="E9">
    <cfRule type="cellIs" dxfId="597" priority="116" stopIfTrue="1" operator="equal">
      <formula>'1857'!$D$9</formula>
    </cfRule>
    <cfRule type="cellIs" dxfId="596" priority="117" stopIfTrue="1" operator="lessThan">
      <formula>'1857'!$D$9</formula>
    </cfRule>
  </conditionalFormatting>
  <conditionalFormatting sqref="F9">
    <cfRule type="cellIs" dxfId="595" priority="118" stopIfTrue="1" operator="equal">
      <formula>'1857'!$E$9</formula>
    </cfRule>
    <cfRule type="cellIs" dxfId="594" priority="119" stopIfTrue="1" operator="lessThan">
      <formula>'1857'!$E$9</formula>
    </cfRule>
  </conditionalFormatting>
  <conditionalFormatting sqref="G9">
    <cfRule type="cellIs" dxfId="593" priority="120" stopIfTrue="1" operator="equal">
      <formula>'1857'!$F$9</formula>
    </cfRule>
    <cfRule type="cellIs" dxfId="592" priority="121" stopIfTrue="1" operator="lessThan">
      <formula>'1857'!$F$9</formula>
    </cfRule>
  </conditionalFormatting>
  <conditionalFormatting sqref="H9">
    <cfRule type="cellIs" dxfId="591" priority="122" stopIfTrue="1" operator="equal">
      <formula>'1857'!$G$9</formula>
    </cfRule>
    <cfRule type="cellIs" dxfId="590" priority="123" stopIfTrue="1" operator="lessThan">
      <formula>'1857'!$G$9</formula>
    </cfRule>
  </conditionalFormatting>
  <conditionalFormatting sqref="I9">
    <cfRule type="cellIs" dxfId="589" priority="124" stopIfTrue="1" operator="equal">
      <formula>'1857'!$H$9</formula>
    </cfRule>
    <cfRule type="cellIs" dxfId="588" priority="125" stopIfTrue="1" operator="lessThan">
      <formula>'1857'!$H$9</formula>
    </cfRule>
  </conditionalFormatting>
  <conditionalFormatting sqref="J9">
    <cfRule type="cellIs" dxfId="587" priority="126" stopIfTrue="1" operator="equal">
      <formula>'1857'!$I$9</formula>
    </cfRule>
    <cfRule type="cellIs" dxfId="586" priority="127" stopIfTrue="1" operator="lessThan">
      <formula>'1857'!$I$9</formula>
    </cfRule>
  </conditionalFormatting>
  <conditionalFormatting sqref="D10">
    <cfRule type="cellIs" dxfId="585" priority="128" stopIfTrue="1" operator="equal">
      <formula>'1857'!$C$10</formula>
    </cfRule>
    <cfRule type="cellIs" dxfId="584" priority="129" stopIfTrue="1" operator="lessThan">
      <formula>'1857'!$C$10</formula>
    </cfRule>
  </conditionalFormatting>
  <conditionalFormatting sqref="E10">
    <cfRule type="cellIs" dxfId="583" priority="130" stopIfTrue="1" operator="equal">
      <formula>'1857'!$D$10</formula>
    </cfRule>
    <cfRule type="cellIs" dxfId="582" priority="131" stopIfTrue="1" operator="lessThan">
      <formula>'1857'!$D$10</formula>
    </cfRule>
  </conditionalFormatting>
  <conditionalFormatting sqref="F10">
    <cfRule type="cellIs" dxfId="581" priority="132" stopIfTrue="1" operator="equal">
      <formula>'1857'!$E$10</formula>
    </cfRule>
    <cfRule type="cellIs" dxfId="580" priority="133" stopIfTrue="1" operator="lessThan">
      <formula>'1857'!$E$10</formula>
    </cfRule>
  </conditionalFormatting>
  <conditionalFormatting sqref="G10">
    <cfRule type="cellIs" dxfId="579" priority="134" stopIfTrue="1" operator="equal">
      <formula>'1857'!$F$10</formula>
    </cfRule>
    <cfRule type="cellIs" dxfId="578" priority="135" stopIfTrue="1" operator="lessThan">
      <formula>'1857'!$F$10</formula>
    </cfRule>
  </conditionalFormatting>
  <conditionalFormatting sqref="H10">
    <cfRule type="cellIs" dxfId="577" priority="136" stopIfTrue="1" operator="equal">
      <formula>'1857'!$G$10</formula>
    </cfRule>
    <cfRule type="cellIs" dxfId="576" priority="137" stopIfTrue="1" operator="lessThan">
      <formula>'1857'!$G$10</formula>
    </cfRule>
  </conditionalFormatting>
  <conditionalFormatting sqref="I10">
    <cfRule type="cellIs" dxfId="575" priority="138" stopIfTrue="1" operator="equal">
      <formula>'1857'!$H$10</formula>
    </cfRule>
    <cfRule type="cellIs" dxfId="574" priority="139" stopIfTrue="1" operator="lessThan">
      <formula>'1857'!$H$10</formula>
    </cfRule>
  </conditionalFormatting>
  <conditionalFormatting sqref="J10">
    <cfRule type="cellIs" dxfId="573" priority="140" stopIfTrue="1" operator="equal">
      <formula>'1857'!$I$10</formula>
    </cfRule>
    <cfRule type="cellIs" dxfId="572" priority="141" stopIfTrue="1" operator="lessThan">
      <formula>'1857'!$I$10</formula>
    </cfRule>
  </conditionalFormatting>
  <conditionalFormatting sqref="D11">
    <cfRule type="cellIs" dxfId="571" priority="142" stopIfTrue="1" operator="equal">
      <formula>'1857'!$C$11</formula>
    </cfRule>
    <cfRule type="cellIs" dxfId="570" priority="143" stopIfTrue="1" operator="lessThan">
      <formula>'1857'!$C$11</formula>
    </cfRule>
  </conditionalFormatting>
  <conditionalFormatting sqref="E11">
    <cfRule type="cellIs" dxfId="569" priority="144" stopIfTrue="1" operator="equal">
      <formula>'1857'!$D$11</formula>
    </cfRule>
    <cfRule type="cellIs" dxfId="568" priority="145" stopIfTrue="1" operator="lessThan">
      <formula>'1857'!$D$11</formula>
    </cfRule>
  </conditionalFormatting>
  <conditionalFormatting sqref="F11">
    <cfRule type="cellIs" dxfId="567" priority="146" stopIfTrue="1" operator="equal">
      <formula>'1857'!$E$11</formula>
    </cfRule>
    <cfRule type="cellIs" dxfId="566" priority="147" stopIfTrue="1" operator="lessThan">
      <formula>'1857'!$E$11</formula>
    </cfRule>
  </conditionalFormatting>
  <conditionalFormatting sqref="G11">
    <cfRule type="cellIs" dxfId="565" priority="148" stopIfTrue="1" operator="equal">
      <formula>'1857'!$F$11</formula>
    </cfRule>
    <cfRule type="cellIs" dxfId="564" priority="149" stopIfTrue="1" operator="lessThan">
      <formula>'1857'!$F$11</formula>
    </cfRule>
  </conditionalFormatting>
  <conditionalFormatting sqref="H11">
    <cfRule type="cellIs" dxfId="563" priority="150" stopIfTrue="1" operator="equal">
      <formula>'1857'!$G$11</formula>
    </cfRule>
    <cfRule type="cellIs" dxfId="562" priority="151" stopIfTrue="1" operator="lessThan">
      <formula>'1857'!$G$11</formula>
    </cfRule>
  </conditionalFormatting>
  <conditionalFormatting sqref="I11">
    <cfRule type="cellIs" dxfId="561" priority="152" stopIfTrue="1" operator="equal">
      <formula>'1857'!$H$11</formula>
    </cfRule>
    <cfRule type="cellIs" dxfId="560" priority="153" stopIfTrue="1" operator="lessThan">
      <formula>'1857'!$H$11</formula>
    </cfRule>
  </conditionalFormatting>
  <conditionalFormatting sqref="J11">
    <cfRule type="cellIs" dxfId="559" priority="154" stopIfTrue="1" operator="equal">
      <formula>'1857'!$I$11</formula>
    </cfRule>
    <cfRule type="cellIs" dxfId="558" priority="155" stopIfTrue="1" operator="lessThan">
      <formula>'1857'!$I$11</formula>
    </cfRule>
  </conditionalFormatting>
  <conditionalFormatting sqref="D12">
    <cfRule type="cellIs" dxfId="557" priority="156" stopIfTrue="1" operator="equal">
      <formula>'1857'!$C$12</formula>
    </cfRule>
    <cfRule type="cellIs" dxfId="556" priority="157" stopIfTrue="1" operator="lessThan">
      <formula>'1857'!$C$12</formula>
    </cfRule>
  </conditionalFormatting>
  <conditionalFormatting sqref="E12">
    <cfRule type="cellIs" dxfId="555" priority="158" stopIfTrue="1" operator="equal">
      <formula>'1857'!$D$12</formula>
    </cfRule>
    <cfRule type="cellIs" dxfId="554" priority="159" stopIfTrue="1" operator="lessThan">
      <formula>'1857'!$D$12</formula>
    </cfRule>
  </conditionalFormatting>
  <conditionalFormatting sqref="F12">
    <cfRule type="cellIs" dxfId="553" priority="160" stopIfTrue="1" operator="equal">
      <formula>'1857'!$E$12</formula>
    </cfRule>
    <cfRule type="cellIs" dxfId="552" priority="161" stopIfTrue="1" operator="lessThan">
      <formula>'1857'!$E$12</formula>
    </cfRule>
  </conditionalFormatting>
  <conditionalFormatting sqref="G12">
    <cfRule type="cellIs" dxfId="551" priority="162" stopIfTrue="1" operator="equal">
      <formula>'1857'!$F$12</formula>
    </cfRule>
    <cfRule type="cellIs" dxfId="550" priority="163" stopIfTrue="1" operator="lessThan">
      <formula>'1857'!$F$12</formula>
    </cfRule>
  </conditionalFormatting>
  <conditionalFormatting sqref="H12">
    <cfRule type="cellIs" dxfId="549" priority="164" stopIfTrue="1" operator="equal">
      <formula>'1857'!$G$12</formula>
    </cfRule>
    <cfRule type="cellIs" dxfId="548" priority="165" stopIfTrue="1" operator="lessThan">
      <formula>'1857'!$G$12</formula>
    </cfRule>
  </conditionalFormatting>
  <conditionalFormatting sqref="I12">
    <cfRule type="cellIs" dxfId="547" priority="166" stopIfTrue="1" operator="equal">
      <formula>'1857'!$H$12</formula>
    </cfRule>
    <cfRule type="cellIs" dxfId="546" priority="167" stopIfTrue="1" operator="lessThan">
      <formula>'1857'!$H$12</formula>
    </cfRule>
  </conditionalFormatting>
  <conditionalFormatting sqref="J12">
    <cfRule type="cellIs" dxfId="545" priority="168" stopIfTrue="1" operator="equal">
      <formula>'1857'!$I$12</formula>
    </cfRule>
    <cfRule type="cellIs" dxfId="544" priority="169" stopIfTrue="1" operator="lessThan">
      <formula>'1857'!$I$12</formula>
    </cfRule>
  </conditionalFormatting>
  <conditionalFormatting sqref="D14">
    <cfRule type="cellIs" dxfId="543" priority="170" stopIfTrue="1" operator="equal">
      <formula>'1857'!$C$14</formula>
    </cfRule>
    <cfRule type="cellIs" dxfId="542" priority="171" stopIfTrue="1" operator="lessThan">
      <formula>'1857'!$C$14</formula>
    </cfRule>
  </conditionalFormatting>
  <conditionalFormatting sqref="D15">
    <cfRule type="cellIs" dxfId="541" priority="172" stopIfTrue="1" operator="equal">
      <formula>'1857'!$C$15</formula>
    </cfRule>
    <cfRule type="cellIs" dxfId="540" priority="173" stopIfTrue="1" operator="lessThan">
      <formula>'1857'!$C$15</formula>
    </cfRule>
  </conditionalFormatting>
  <conditionalFormatting sqref="D16">
    <cfRule type="cellIs" dxfId="539" priority="174" stopIfTrue="1" operator="equal">
      <formula>'1857'!$C$16</formula>
    </cfRule>
    <cfRule type="cellIs" dxfId="538" priority="175" stopIfTrue="1" operator="lessThan">
      <formula>'1857'!$C$16</formula>
    </cfRule>
  </conditionalFormatting>
  <conditionalFormatting sqref="D17">
    <cfRule type="cellIs" dxfId="537" priority="176" stopIfTrue="1" operator="equal">
      <formula>'1857'!$C$17</formula>
    </cfRule>
    <cfRule type="cellIs" dxfId="536" priority="177" stopIfTrue="1" operator="lessThan">
      <formula>'1857'!$C$17</formula>
    </cfRule>
  </conditionalFormatting>
  <conditionalFormatting sqref="D18">
    <cfRule type="cellIs" dxfId="535" priority="178" stopIfTrue="1" operator="equal">
      <formula>'1857'!$C$18</formula>
    </cfRule>
    <cfRule type="cellIs" dxfId="534" priority="179" stopIfTrue="1" operator="lessThan">
      <formula>'1857'!$C$18</formula>
    </cfRule>
  </conditionalFormatting>
  <conditionalFormatting sqref="D19">
    <cfRule type="cellIs" dxfId="533" priority="180" stopIfTrue="1" operator="equal">
      <formula>'1857'!$C$19</formula>
    </cfRule>
    <cfRule type="cellIs" dxfId="532" priority="181" stopIfTrue="1" operator="lessThan">
      <formula>'1857'!$C$19</formula>
    </cfRule>
  </conditionalFormatting>
  <conditionalFormatting sqref="D20">
    <cfRule type="cellIs" dxfId="531" priority="182" stopIfTrue="1" operator="equal">
      <formula>'1857'!$C$20</formula>
    </cfRule>
    <cfRule type="cellIs" dxfId="530" priority="183" stopIfTrue="1" operator="lessThan">
      <formula>'1857'!$C$20</formula>
    </cfRule>
  </conditionalFormatting>
  <conditionalFormatting sqref="D21">
    <cfRule type="cellIs" dxfId="529" priority="184" stopIfTrue="1" operator="equal">
      <formula>'1857'!$C$21</formula>
    </cfRule>
    <cfRule type="cellIs" dxfId="528" priority="185" stopIfTrue="1" operator="lessThan">
      <formula>'1857'!$C$21</formula>
    </cfRule>
  </conditionalFormatting>
  <conditionalFormatting sqref="D22">
    <cfRule type="cellIs" dxfId="527" priority="186" stopIfTrue="1" operator="equal">
      <formula>'1857'!$C$22</formula>
    </cfRule>
    <cfRule type="cellIs" dxfId="526" priority="187" stopIfTrue="1" operator="lessThan">
      <formula>'1857'!$C$22</formula>
    </cfRule>
  </conditionalFormatting>
  <conditionalFormatting sqref="D23">
    <cfRule type="cellIs" dxfId="525" priority="188" stopIfTrue="1" operator="equal">
      <formula>'1857'!$C$23</formula>
    </cfRule>
    <cfRule type="cellIs" dxfId="524" priority="189" stopIfTrue="1" operator="lessThan">
      <formula>'1857'!$C$23</formula>
    </cfRule>
  </conditionalFormatting>
  <conditionalFormatting sqref="D25">
    <cfRule type="cellIs" dxfId="523" priority="190" stopIfTrue="1" operator="equal">
      <formula>'1857'!$C$25</formula>
    </cfRule>
    <cfRule type="cellIs" dxfId="522" priority="191" stopIfTrue="1" operator="lessThan">
      <formula>'1857'!$C$25</formula>
    </cfRule>
  </conditionalFormatting>
  <conditionalFormatting sqref="D26">
    <cfRule type="cellIs" dxfId="521" priority="192" stopIfTrue="1" operator="equal">
      <formula>'1857'!$C$26</formula>
    </cfRule>
    <cfRule type="cellIs" dxfId="520" priority="193" stopIfTrue="1" operator="lessThan">
      <formula>'1857'!$C$26</formula>
    </cfRule>
  </conditionalFormatting>
  <conditionalFormatting sqref="D27">
    <cfRule type="cellIs" dxfId="519" priority="194" stopIfTrue="1" operator="equal">
      <formula>'1857'!$C$27</formula>
    </cfRule>
    <cfRule type="cellIs" dxfId="518" priority="195" stopIfTrue="1" operator="lessThan">
      <formula>'1857'!$C$27</formula>
    </cfRule>
  </conditionalFormatting>
  <conditionalFormatting sqref="D28">
    <cfRule type="cellIs" dxfId="517" priority="196" stopIfTrue="1" operator="equal">
      <formula>'1857'!$C$28</formula>
    </cfRule>
    <cfRule type="cellIs" dxfId="516" priority="197" stopIfTrue="1" operator="lessThan">
      <formula>'1857'!$C$28</formula>
    </cfRule>
  </conditionalFormatting>
  <conditionalFormatting sqref="E13">
    <cfRule type="cellIs" dxfId="515" priority="198" stopIfTrue="1" operator="equal">
      <formula>'1857'!$D$13</formula>
    </cfRule>
    <cfRule type="cellIs" dxfId="514" priority="199" stopIfTrue="1" operator="lessThan">
      <formula>'1857'!$D$13</formula>
    </cfRule>
  </conditionalFormatting>
  <conditionalFormatting sqref="E14">
    <cfRule type="cellIs" dxfId="513" priority="200" stopIfTrue="1" operator="equal">
      <formula>'1857'!$D$14</formula>
    </cfRule>
    <cfRule type="cellIs" dxfId="512" priority="201" stopIfTrue="1" operator="lessThan">
      <formula>'1857'!$D$14</formula>
    </cfRule>
  </conditionalFormatting>
  <conditionalFormatting sqref="E15">
    <cfRule type="cellIs" dxfId="511" priority="202" stopIfTrue="1" operator="equal">
      <formula>'1857'!$D$15</formula>
    </cfRule>
    <cfRule type="cellIs" dxfId="510" priority="203" stopIfTrue="1" operator="lessThan">
      <formula>'1857'!$D$15</formula>
    </cfRule>
  </conditionalFormatting>
  <conditionalFormatting sqref="E16">
    <cfRule type="cellIs" dxfId="509" priority="204" stopIfTrue="1" operator="equal">
      <formula>'1857'!$D$16</formula>
    </cfRule>
    <cfRule type="cellIs" dxfId="508" priority="205" stopIfTrue="1" operator="lessThan">
      <formula>'1857'!$D$16</formula>
    </cfRule>
  </conditionalFormatting>
  <conditionalFormatting sqref="E17">
    <cfRule type="cellIs" dxfId="507" priority="206" stopIfTrue="1" operator="equal">
      <formula>'1857'!$D$17</formula>
    </cfRule>
    <cfRule type="cellIs" dxfId="506" priority="207" stopIfTrue="1" operator="lessThan">
      <formula>'1857'!$D$17</formula>
    </cfRule>
  </conditionalFormatting>
  <conditionalFormatting sqref="E18">
    <cfRule type="cellIs" dxfId="505" priority="208" stopIfTrue="1" operator="equal">
      <formula>'1857'!$D$18</formula>
    </cfRule>
    <cfRule type="cellIs" dxfId="504" priority="209" stopIfTrue="1" operator="lessThan">
      <formula>'1857'!$D$18</formula>
    </cfRule>
  </conditionalFormatting>
  <conditionalFormatting sqref="E19">
    <cfRule type="cellIs" dxfId="503" priority="210" stopIfTrue="1" operator="equal">
      <formula>'1857'!$D$19</formula>
    </cfRule>
    <cfRule type="cellIs" dxfId="502" priority="211" stopIfTrue="1" operator="lessThan">
      <formula>'1857'!$D$19</formula>
    </cfRule>
  </conditionalFormatting>
  <conditionalFormatting sqref="E20">
    <cfRule type="cellIs" dxfId="501" priority="212" stopIfTrue="1" operator="equal">
      <formula>'1857'!$D$20</formula>
    </cfRule>
    <cfRule type="cellIs" dxfId="500" priority="213" stopIfTrue="1" operator="lessThan">
      <formula>'1857'!$D$20</formula>
    </cfRule>
  </conditionalFormatting>
  <conditionalFormatting sqref="E21">
    <cfRule type="cellIs" dxfId="499" priority="214" stopIfTrue="1" operator="equal">
      <formula>'1857'!$D$21</formula>
    </cfRule>
    <cfRule type="cellIs" dxfId="498" priority="215" stopIfTrue="1" operator="lessThan">
      <formula>'1857'!$D$21</formula>
    </cfRule>
  </conditionalFormatting>
  <conditionalFormatting sqref="E22">
    <cfRule type="cellIs" dxfId="497" priority="216" stopIfTrue="1" operator="equal">
      <formula>'1857'!$D$22</formula>
    </cfRule>
    <cfRule type="cellIs" dxfId="496" priority="217" stopIfTrue="1" operator="lessThan">
      <formula>'1857'!$D$22</formula>
    </cfRule>
  </conditionalFormatting>
  <conditionalFormatting sqref="E23">
    <cfRule type="cellIs" dxfId="495" priority="218" stopIfTrue="1" operator="equal">
      <formula>'1857'!$D$23</formula>
    </cfRule>
    <cfRule type="cellIs" dxfId="494" priority="219" stopIfTrue="1" operator="lessThan">
      <formula>'1857'!$D$23</formula>
    </cfRule>
  </conditionalFormatting>
  <conditionalFormatting sqref="E25">
    <cfRule type="cellIs" dxfId="493" priority="220" stopIfTrue="1" operator="equal">
      <formula>'1857'!$D$25</formula>
    </cfRule>
    <cfRule type="cellIs" dxfId="492" priority="221" stopIfTrue="1" operator="lessThan">
      <formula>'1857'!$D$25</formula>
    </cfRule>
  </conditionalFormatting>
  <conditionalFormatting sqref="E26">
    <cfRule type="cellIs" dxfId="491" priority="222" stopIfTrue="1" operator="equal">
      <formula>'1857'!$D$26</formula>
    </cfRule>
    <cfRule type="cellIs" dxfId="490" priority="223" stopIfTrue="1" operator="lessThan">
      <formula>'1857'!$D$26</formula>
    </cfRule>
  </conditionalFormatting>
  <conditionalFormatting sqref="E27">
    <cfRule type="cellIs" dxfId="489" priority="224" stopIfTrue="1" operator="equal">
      <formula>'1857'!$D$27</formula>
    </cfRule>
    <cfRule type="cellIs" dxfId="488" priority="225" stopIfTrue="1" operator="lessThan">
      <formula>'1857'!$D$27</formula>
    </cfRule>
  </conditionalFormatting>
  <conditionalFormatting sqref="E28">
    <cfRule type="cellIs" dxfId="487" priority="226" stopIfTrue="1" operator="equal">
      <formula>'1857'!$D$28</formula>
    </cfRule>
    <cfRule type="cellIs" dxfId="486" priority="227" stopIfTrue="1" operator="lessThan">
      <formula>'1857'!$D$28</formula>
    </cfRule>
  </conditionalFormatting>
  <conditionalFormatting sqref="F13">
    <cfRule type="cellIs" dxfId="485" priority="228" stopIfTrue="1" operator="equal">
      <formula>'1857'!$E$13</formula>
    </cfRule>
    <cfRule type="cellIs" dxfId="484" priority="229" stopIfTrue="1" operator="lessThan">
      <formula>'1857'!$E$13</formula>
    </cfRule>
  </conditionalFormatting>
  <conditionalFormatting sqref="F14">
    <cfRule type="cellIs" dxfId="483" priority="230" stopIfTrue="1" operator="equal">
      <formula>'1857'!$E$14</formula>
    </cfRule>
    <cfRule type="cellIs" dxfId="482" priority="231" stopIfTrue="1" operator="lessThan">
      <formula>'1857'!$E$14</formula>
    </cfRule>
  </conditionalFormatting>
  <conditionalFormatting sqref="F15">
    <cfRule type="cellIs" dxfId="481" priority="232" stopIfTrue="1" operator="equal">
      <formula>'1857'!$E$15</formula>
    </cfRule>
    <cfRule type="cellIs" dxfId="480" priority="233" stopIfTrue="1" operator="lessThan">
      <formula>'1857'!$E$15</formula>
    </cfRule>
  </conditionalFormatting>
  <conditionalFormatting sqref="F16">
    <cfRule type="cellIs" dxfId="479" priority="234" stopIfTrue="1" operator="equal">
      <formula>'1857'!$E$16</formula>
    </cfRule>
    <cfRule type="cellIs" dxfId="478" priority="235" stopIfTrue="1" operator="lessThan">
      <formula>'1857'!$E$16</formula>
    </cfRule>
  </conditionalFormatting>
  <conditionalFormatting sqref="F17">
    <cfRule type="cellIs" dxfId="477" priority="236" stopIfTrue="1" operator="equal">
      <formula>'1857'!$E$17</formula>
    </cfRule>
    <cfRule type="cellIs" dxfId="476" priority="237" stopIfTrue="1" operator="lessThan">
      <formula>'1857'!$E$17</formula>
    </cfRule>
  </conditionalFormatting>
  <conditionalFormatting sqref="F18">
    <cfRule type="cellIs" dxfId="475" priority="238" stopIfTrue="1" operator="equal">
      <formula>'1857'!$E$18</formula>
    </cfRule>
    <cfRule type="cellIs" dxfId="474" priority="239" stopIfTrue="1" operator="lessThan">
      <formula>'1857'!$E$18</formula>
    </cfRule>
  </conditionalFormatting>
  <conditionalFormatting sqref="F19">
    <cfRule type="cellIs" dxfId="473" priority="240" stopIfTrue="1" operator="equal">
      <formula>'1857'!$E$19</formula>
    </cfRule>
    <cfRule type="cellIs" dxfId="472" priority="241" stopIfTrue="1" operator="lessThan">
      <formula>'1857'!$E$19</formula>
    </cfRule>
  </conditionalFormatting>
  <conditionalFormatting sqref="F20">
    <cfRule type="cellIs" dxfId="471" priority="242" stopIfTrue="1" operator="equal">
      <formula>'1857'!$E$20</formula>
    </cfRule>
    <cfRule type="cellIs" dxfId="470" priority="243" stopIfTrue="1" operator="lessThan">
      <formula>'1857'!$E$20</formula>
    </cfRule>
  </conditionalFormatting>
  <conditionalFormatting sqref="F21">
    <cfRule type="cellIs" dxfId="469" priority="244" stopIfTrue="1" operator="equal">
      <formula>'1857'!$E$21</formula>
    </cfRule>
    <cfRule type="cellIs" dxfId="468" priority="245" stopIfTrue="1" operator="lessThan">
      <formula>'1857'!$E$21</formula>
    </cfRule>
  </conditionalFormatting>
  <conditionalFormatting sqref="F22">
    <cfRule type="cellIs" dxfId="467" priority="246" stopIfTrue="1" operator="equal">
      <formula>'1857'!$E$22</formula>
    </cfRule>
    <cfRule type="cellIs" dxfId="466" priority="247" stopIfTrue="1" operator="lessThan">
      <formula>'1857'!$E$22</formula>
    </cfRule>
  </conditionalFormatting>
  <conditionalFormatting sqref="F23">
    <cfRule type="cellIs" dxfId="465" priority="248" stopIfTrue="1" operator="equal">
      <formula>'1857'!$E$23</formula>
    </cfRule>
    <cfRule type="cellIs" dxfId="464" priority="249" stopIfTrue="1" operator="lessThan">
      <formula>'1857'!$E$23</formula>
    </cfRule>
  </conditionalFormatting>
  <conditionalFormatting sqref="F25">
    <cfRule type="cellIs" dxfId="463" priority="250" stopIfTrue="1" operator="equal">
      <formula>'1857'!$E$25</formula>
    </cfRule>
    <cfRule type="cellIs" dxfId="462" priority="251" stopIfTrue="1" operator="lessThan">
      <formula>'1857'!$E$25</formula>
    </cfRule>
  </conditionalFormatting>
  <conditionalFormatting sqref="F26">
    <cfRule type="cellIs" dxfId="461" priority="252" stopIfTrue="1" operator="equal">
      <formula>'1857'!$E$26</formula>
    </cfRule>
    <cfRule type="cellIs" dxfId="460" priority="253" stopIfTrue="1" operator="lessThan">
      <formula>'1857'!$E$26</formula>
    </cfRule>
  </conditionalFormatting>
  <conditionalFormatting sqref="F27">
    <cfRule type="cellIs" dxfId="459" priority="254" stopIfTrue="1" operator="equal">
      <formula>'1857'!$E$27</formula>
    </cfRule>
    <cfRule type="cellIs" dxfId="458" priority="255" stopIfTrue="1" operator="lessThan">
      <formula>'1857'!$E$27</formula>
    </cfRule>
  </conditionalFormatting>
  <conditionalFormatting sqref="F28">
    <cfRule type="cellIs" dxfId="457" priority="256" stopIfTrue="1" operator="equal">
      <formula>'1857'!$E$28</formula>
    </cfRule>
    <cfRule type="cellIs" dxfId="456" priority="257" stopIfTrue="1" operator="lessThan">
      <formula>'1857'!$E$28</formula>
    </cfRule>
  </conditionalFormatting>
  <conditionalFormatting sqref="G13">
    <cfRule type="cellIs" dxfId="455" priority="258" stopIfTrue="1" operator="equal">
      <formula>'1857'!$F$13</formula>
    </cfRule>
    <cfRule type="cellIs" dxfId="454" priority="259" stopIfTrue="1" operator="lessThan">
      <formula>'1857'!$F$13</formula>
    </cfRule>
  </conditionalFormatting>
  <conditionalFormatting sqref="G14">
    <cfRule type="cellIs" dxfId="453" priority="260" stopIfTrue="1" operator="equal">
      <formula>'1857'!$F$14</formula>
    </cfRule>
    <cfRule type="cellIs" dxfId="452" priority="261" stopIfTrue="1" operator="lessThan">
      <formula>'1857'!$F$14</formula>
    </cfRule>
  </conditionalFormatting>
  <conditionalFormatting sqref="G15">
    <cfRule type="cellIs" dxfId="451" priority="262" stopIfTrue="1" operator="equal">
      <formula>'1857'!$F$15</formula>
    </cfRule>
    <cfRule type="cellIs" dxfId="450" priority="263" stopIfTrue="1" operator="lessThan">
      <formula>'1857'!$F$15</formula>
    </cfRule>
  </conditionalFormatting>
  <conditionalFormatting sqref="G16">
    <cfRule type="cellIs" dxfId="449" priority="264" stopIfTrue="1" operator="equal">
      <formula>'1857'!$F$16</formula>
    </cfRule>
    <cfRule type="cellIs" dxfId="448" priority="265" stopIfTrue="1" operator="lessThan">
      <formula>'1857'!$F$16</formula>
    </cfRule>
  </conditionalFormatting>
  <conditionalFormatting sqref="G17">
    <cfRule type="cellIs" dxfId="447" priority="266" stopIfTrue="1" operator="equal">
      <formula>'1857'!$F$17</formula>
    </cfRule>
    <cfRule type="cellIs" dxfId="446" priority="267" stopIfTrue="1" operator="lessThan">
      <formula>'1857'!$F$17</formula>
    </cfRule>
  </conditionalFormatting>
  <conditionalFormatting sqref="G18">
    <cfRule type="cellIs" dxfId="445" priority="268" stopIfTrue="1" operator="equal">
      <formula>'1857'!$F$18</formula>
    </cfRule>
    <cfRule type="cellIs" dxfId="444" priority="269" stopIfTrue="1" operator="lessThan">
      <formula>'1857'!$F$18</formula>
    </cfRule>
  </conditionalFormatting>
  <conditionalFormatting sqref="G19">
    <cfRule type="cellIs" dxfId="443" priority="270" stopIfTrue="1" operator="equal">
      <formula>'1857'!$F$19</formula>
    </cfRule>
    <cfRule type="cellIs" dxfId="442" priority="271" stopIfTrue="1" operator="lessThan">
      <formula>'1857'!$F$19</formula>
    </cfRule>
  </conditionalFormatting>
  <conditionalFormatting sqref="G20">
    <cfRule type="cellIs" dxfId="441" priority="272" stopIfTrue="1" operator="equal">
      <formula>'1857'!$F$20</formula>
    </cfRule>
    <cfRule type="cellIs" dxfId="440" priority="273" stopIfTrue="1" operator="lessThan">
      <formula>'1857'!$F$20</formula>
    </cfRule>
  </conditionalFormatting>
  <conditionalFormatting sqref="G21">
    <cfRule type="cellIs" dxfId="439" priority="274" stopIfTrue="1" operator="equal">
      <formula>'1857'!$F$21</formula>
    </cfRule>
    <cfRule type="cellIs" dxfId="438" priority="275" stopIfTrue="1" operator="lessThan">
      <formula>'1857'!$F$21</formula>
    </cfRule>
  </conditionalFormatting>
  <conditionalFormatting sqref="G22">
    <cfRule type="cellIs" dxfId="437" priority="276" stopIfTrue="1" operator="equal">
      <formula>'1857'!$F$22</formula>
    </cfRule>
    <cfRule type="cellIs" dxfId="436" priority="277" stopIfTrue="1" operator="lessThan">
      <formula>'1857'!$F$22</formula>
    </cfRule>
  </conditionalFormatting>
  <conditionalFormatting sqref="G23">
    <cfRule type="cellIs" dxfId="435" priority="278" stopIfTrue="1" operator="equal">
      <formula>'1857'!$F$23</formula>
    </cfRule>
    <cfRule type="cellIs" dxfId="434" priority="279" stopIfTrue="1" operator="lessThan">
      <formula>'1857'!$F$23</formula>
    </cfRule>
  </conditionalFormatting>
  <conditionalFormatting sqref="G25">
    <cfRule type="cellIs" dxfId="433" priority="280" stopIfTrue="1" operator="equal">
      <formula>'1857'!$F$25</formula>
    </cfRule>
    <cfRule type="cellIs" dxfId="432" priority="281" stopIfTrue="1" operator="lessThan">
      <formula>'1857'!$F$25</formula>
    </cfRule>
  </conditionalFormatting>
  <conditionalFormatting sqref="G26">
    <cfRule type="cellIs" dxfId="431" priority="282" stopIfTrue="1" operator="equal">
      <formula>'1857'!$F$26</formula>
    </cfRule>
    <cfRule type="cellIs" dxfId="430" priority="283" stopIfTrue="1" operator="lessThan">
      <formula>'1857'!$F$26</formula>
    </cfRule>
  </conditionalFormatting>
  <conditionalFormatting sqref="G27">
    <cfRule type="cellIs" dxfId="429" priority="284" stopIfTrue="1" operator="equal">
      <formula>'1857'!$F$27</formula>
    </cfRule>
    <cfRule type="cellIs" dxfId="428" priority="285" stopIfTrue="1" operator="lessThan">
      <formula>'1857'!$F$27</formula>
    </cfRule>
  </conditionalFormatting>
  <conditionalFormatting sqref="G28">
    <cfRule type="cellIs" dxfId="427" priority="286" stopIfTrue="1" operator="equal">
      <formula>'1857'!$F$28</formula>
    </cfRule>
    <cfRule type="cellIs" dxfId="426" priority="287" stopIfTrue="1" operator="lessThan">
      <formula>'1857'!$F$28</formula>
    </cfRule>
  </conditionalFormatting>
  <conditionalFormatting sqref="D13">
    <cfRule type="cellIs" dxfId="425" priority="288" stopIfTrue="1" operator="equal">
      <formula>'1857'!$C$13</formula>
    </cfRule>
    <cfRule type="cellIs" dxfId="424" priority="289" stopIfTrue="1" operator="lessThan">
      <formula>'1857'!$C$13</formula>
    </cfRule>
  </conditionalFormatting>
  <conditionalFormatting sqref="H13">
    <cfRule type="cellIs" dxfId="423" priority="290" stopIfTrue="1" operator="equal">
      <formula>'1857'!$G$13</formula>
    </cfRule>
    <cfRule type="cellIs" dxfId="422" priority="291" stopIfTrue="1" operator="lessThan">
      <formula>'1857'!$G$13</formula>
    </cfRule>
  </conditionalFormatting>
  <conditionalFormatting sqref="H14">
    <cfRule type="cellIs" dxfId="421" priority="292" stopIfTrue="1" operator="equal">
      <formula>'1857'!$G$14</formula>
    </cfRule>
    <cfRule type="cellIs" dxfId="420" priority="293" stopIfTrue="1" operator="lessThan">
      <formula>'1857'!$G$14</formula>
    </cfRule>
  </conditionalFormatting>
  <conditionalFormatting sqref="H15">
    <cfRule type="cellIs" dxfId="419" priority="294" stopIfTrue="1" operator="equal">
      <formula>'1857'!$G$15</formula>
    </cfRule>
    <cfRule type="cellIs" dxfId="418" priority="295" stopIfTrue="1" operator="lessThan">
      <formula>'1857'!$G$15</formula>
    </cfRule>
  </conditionalFormatting>
  <conditionalFormatting sqref="H16">
    <cfRule type="cellIs" dxfId="417" priority="296" stopIfTrue="1" operator="equal">
      <formula>'1857'!$G$16</formula>
    </cfRule>
    <cfRule type="cellIs" dxfId="416" priority="297" stopIfTrue="1" operator="lessThan">
      <formula>'1857'!$G$16</formula>
    </cfRule>
  </conditionalFormatting>
  <conditionalFormatting sqref="H17">
    <cfRule type="cellIs" dxfId="415" priority="298" stopIfTrue="1" operator="equal">
      <formula>'1857'!$G$17</formula>
    </cfRule>
    <cfRule type="cellIs" dxfId="414" priority="299" stopIfTrue="1" operator="lessThan">
      <formula>'1857'!$G$17</formula>
    </cfRule>
  </conditionalFormatting>
  <conditionalFormatting sqref="H18">
    <cfRule type="cellIs" dxfId="413" priority="300" stopIfTrue="1" operator="equal">
      <formula>'1857'!$G$18</formula>
    </cfRule>
    <cfRule type="cellIs" dxfId="412" priority="301" stopIfTrue="1" operator="lessThan">
      <formula>'1857'!$G$18</formula>
    </cfRule>
  </conditionalFormatting>
  <conditionalFormatting sqref="H19">
    <cfRule type="cellIs" dxfId="411" priority="302" stopIfTrue="1" operator="equal">
      <formula>'1857'!$G$19</formula>
    </cfRule>
    <cfRule type="cellIs" dxfId="410" priority="303" stopIfTrue="1" operator="lessThan">
      <formula>'1857'!$G$19</formula>
    </cfRule>
  </conditionalFormatting>
  <conditionalFormatting sqref="H20">
    <cfRule type="cellIs" dxfId="409" priority="304" stopIfTrue="1" operator="equal">
      <formula>'1857'!$G$20</formula>
    </cfRule>
    <cfRule type="cellIs" dxfId="408" priority="305" stopIfTrue="1" operator="lessThan">
      <formula>'1857'!$G$20</formula>
    </cfRule>
  </conditionalFormatting>
  <conditionalFormatting sqref="H21">
    <cfRule type="cellIs" dxfId="407" priority="306" stopIfTrue="1" operator="equal">
      <formula>'1857'!$G$21</formula>
    </cfRule>
    <cfRule type="cellIs" dxfId="406" priority="307" stopIfTrue="1" operator="lessThan">
      <formula>'1857'!$G$21</formula>
    </cfRule>
  </conditionalFormatting>
  <conditionalFormatting sqref="H22">
    <cfRule type="cellIs" dxfId="405" priority="308" stopIfTrue="1" operator="equal">
      <formula>'1857'!$G$22</formula>
    </cfRule>
    <cfRule type="cellIs" dxfId="404" priority="309" stopIfTrue="1" operator="lessThan">
      <formula>'1857'!$G$22</formula>
    </cfRule>
  </conditionalFormatting>
  <conditionalFormatting sqref="H23">
    <cfRule type="cellIs" dxfId="403" priority="310" stopIfTrue="1" operator="equal">
      <formula>'1857'!$G$23</formula>
    </cfRule>
    <cfRule type="cellIs" dxfId="402" priority="311" stopIfTrue="1" operator="lessThan">
      <formula>'1857'!$G$23</formula>
    </cfRule>
  </conditionalFormatting>
  <conditionalFormatting sqref="H25">
    <cfRule type="cellIs" dxfId="401" priority="312" stopIfTrue="1" operator="equal">
      <formula>'1857'!$G$25</formula>
    </cfRule>
    <cfRule type="cellIs" dxfId="400" priority="313" stopIfTrue="1" operator="lessThan">
      <formula>'1857'!$G$25</formula>
    </cfRule>
  </conditionalFormatting>
  <conditionalFormatting sqref="H26">
    <cfRule type="cellIs" dxfId="399" priority="314" stopIfTrue="1" operator="equal">
      <formula>'1857'!$G$26</formula>
    </cfRule>
    <cfRule type="cellIs" dxfId="398" priority="315" stopIfTrue="1" operator="lessThan">
      <formula>'1857'!$G$26</formula>
    </cfRule>
  </conditionalFormatting>
  <conditionalFormatting sqref="H27">
    <cfRule type="cellIs" dxfId="397" priority="316" stopIfTrue="1" operator="equal">
      <formula>'1857'!$G$27</formula>
    </cfRule>
    <cfRule type="cellIs" dxfId="396" priority="317" stopIfTrue="1" operator="lessThan">
      <formula>'1857'!$G$27</formula>
    </cfRule>
  </conditionalFormatting>
  <conditionalFormatting sqref="H28">
    <cfRule type="cellIs" dxfId="395" priority="318" stopIfTrue="1" operator="equal">
      <formula>'1857'!$G$28</formula>
    </cfRule>
    <cfRule type="cellIs" dxfId="394" priority="319" stopIfTrue="1" operator="lessThan">
      <formula>'1857'!$G$28</formula>
    </cfRule>
  </conditionalFormatting>
  <conditionalFormatting sqref="D24">
    <cfRule type="cellIs" dxfId="393" priority="320" stopIfTrue="1" operator="equal">
      <formula>'1857'!$C$24</formula>
    </cfRule>
    <cfRule type="cellIs" dxfId="392" priority="321" stopIfTrue="1" operator="lessThan">
      <formula>'1857'!$C$24</formula>
    </cfRule>
  </conditionalFormatting>
  <conditionalFormatting sqref="E24">
    <cfRule type="cellIs" dxfId="391" priority="322" stopIfTrue="1" operator="equal">
      <formula>'1857'!$D$24</formula>
    </cfRule>
    <cfRule type="cellIs" dxfId="390" priority="323" stopIfTrue="1" operator="lessThan">
      <formula>'1857'!$D$24</formula>
    </cfRule>
  </conditionalFormatting>
  <conditionalFormatting sqref="F24">
    <cfRule type="cellIs" dxfId="389" priority="324" stopIfTrue="1" operator="equal">
      <formula>'1857'!$E$24</formula>
    </cfRule>
    <cfRule type="cellIs" dxfId="388" priority="325" stopIfTrue="1" operator="lessThan">
      <formula>'1857'!$E$24</formula>
    </cfRule>
  </conditionalFormatting>
  <conditionalFormatting sqref="G24">
    <cfRule type="cellIs" dxfId="387" priority="326" stopIfTrue="1" operator="equal">
      <formula>'1857'!$F$24</formula>
    </cfRule>
    <cfRule type="cellIs" dxfId="386" priority="327" stopIfTrue="1" operator="lessThan">
      <formula>'1857'!$F$24</formula>
    </cfRule>
  </conditionalFormatting>
  <conditionalFormatting sqref="H24">
    <cfRule type="cellIs" dxfId="385" priority="328" stopIfTrue="1" operator="equal">
      <formula>'1857'!$G$24</formula>
    </cfRule>
    <cfRule type="cellIs" dxfId="384" priority="329" stopIfTrue="1" operator="lessThan">
      <formula>'1857'!$G$24</formula>
    </cfRule>
  </conditionalFormatting>
  <conditionalFormatting sqref="E5">
    <cfRule type="cellIs" dxfId="383" priority="330" stopIfTrue="1" operator="equal">
      <formula>'1857'!$D$5</formula>
    </cfRule>
    <cfRule type="cellIs" dxfId="382" priority="331" stopIfTrue="1" operator="lessThan">
      <formula>'1857'!$D$5</formula>
    </cfRule>
  </conditionalFormatting>
  <conditionalFormatting sqref="G5">
    <cfRule type="cellIs" dxfId="381" priority="332" stopIfTrue="1" operator="equal">
      <formula>'1857'!$F$5</formula>
    </cfRule>
    <cfRule type="cellIs" dxfId="380" priority="333" stopIfTrue="1" operator="lessThan">
      <formula>'1857'!$F$5</formula>
    </cfRule>
  </conditionalFormatting>
  <conditionalFormatting sqref="G4">
    <cfRule type="cellIs" dxfId="379" priority="334" stopIfTrue="1" operator="equal">
      <formula>'1857'!$F$4</formula>
    </cfRule>
  </conditionalFormatting>
  <conditionalFormatting sqref="J29:O29 D29:H29">
    <cfRule type="cellIs" dxfId="378" priority="335" stopIfTrue="1" operator="equal">
      <formula>0</formula>
    </cfRule>
  </conditionalFormatting>
  <conditionalFormatting sqref="I13">
    <cfRule type="cellIs" dxfId="377" priority="336" stopIfTrue="1" operator="equal">
      <formula>'1857'!$H$13</formula>
    </cfRule>
    <cfRule type="cellIs" dxfId="376" priority="337" stopIfTrue="1" operator="lessThan">
      <formula>'1857'!$H$13</formula>
    </cfRule>
  </conditionalFormatting>
  <conditionalFormatting sqref="I14">
    <cfRule type="cellIs" dxfId="375" priority="338" stopIfTrue="1" operator="equal">
      <formula>'1857'!$H$14</formula>
    </cfRule>
    <cfRule type="cellIs" dxfId="374" priority="339" stopIfTrue="1" operator="lessThan">
      <formula>'1857'!$H$14</formula>
    </cfRule>
  </conditionalFormatting>
  <conditionalFormatting sqref="I15">
    <cfRule type="cellIs" dxfId="373" priority="340" stopIfTrue="1" operator="equal">
      <formula>'1857'!$H$15</formula>
    </cfRule>
    <cfRule type="cellIs" dxfId="372" priority="341" stopIfTrue="1" operator="lessThan">
      <formula>'1857'!$H$15</formula>
    </cfRule>
  </conditionalFormatting>
  <conditionalFormatting sqref="I16">
    <cfRule type="cellIs" dxfId="371" priority="342" stopIfTrue="1" operator="equal">
      <formula>'1857'!$H$16</formula>
    </cfRule>
    <cfRule type="cellIs" dxfId="370" priority="343" stopIfTrue="1" operator="lessThan">
      <formula>'1857'!$H$16</formula>
    </cfRule>
  </conditionalFormatting>
  <conditionalFormatting sqref="I17">
    <cfRule type="cellIs" dxfId="369" priority="344" stopIfTrue="1" operator="equal">
      <formula>'1857'!$H$17</formula>
    </cfRule>
    <cfRule type="cellIs" dxfId="368" priority="345" stopIfTrue="1" operator="lessThan">
      <formula>'1857'!$H$17</formula>
    </cfRule>
  </conditionalFormatting>
  <conditionalFormatting sqref="I18">
    <cfRule type="cellIs" dxfId="367" priority="346" stopIfTrue="1" operator="equal">
      <formula>'1857'!$H$18</formula>
    </cfRule>
    <cfRule type="cellIs" dxfId="366" priority="347" stopIfTrue="1" operator="lessThan">
      <formula>'1857'!$H$18</formula>
    </cfRule>
  </conditionalFormatting>
  <conditionalFormatting sqref="I19">
    <cfRule type="cellIs" dxfId="365" priority="348" stopIfTrue="1" operator="equal">
      <formula>'1857'!$H$19</formula>
    </cfRule>
    <cfRule type="cellIs" dxfId="364" priority="349" stopIfTrue="1" operator="lessThan">
      <formula>'1857'!$H$19</formula>
    </cfRule>
  </conditionalFormatting>
  <conditionalFormatting sqref="I20">
    <cfRule type="cellIs" dxfId="363" priority="350" stopIfTrue="1" operator="equal">
      <formula>'1857'!$H$20</formula>
    </cfRule>
    <cfRule type="cellIs" dxfId="362" priority="351" stopIfTrue="1" operator="lessThan">
      <formula>'1857'!$H$20</formula>
    </cfRule>
  </conditionalFormatting>
  <conditionalFormatting sqref="I21">
    <cfRule type="cellIs" dxfId="361" priority="352" stopIfTrue="1" operator="equal">
      <formula>'1857'!$H$21</formula>
    </cfRule>
    <cfRule type="cellIs" dxfId="360" priority="353" stopIfTrue="1" operator="lessThan">
      <formula>'1857'!$H$21</formula>
    </cfRule>
  </conditionalFormatting>
  <conditionalFormatting sqref="I22">
    <cfRule type="cellIs" dxfId="359" priority="354" stopIfTrue="1" operator="equal">
      <formula>'1857'!$H$22</formula>
    </cfRule>
    <cfRule type="cellIs" dxfId="358" priority="355" stopIfTrue="1" operator="lessThan">
      <formula>'1857'!$H$22</formula>
    </cfRule>
  </conditionalFormatting>
  <conditionalFormatting sqref="I23">
    <cfRule type="cellIs" dxfId="357" priority="356" stopIfTrue="1" operator="equal">
      <formula>'1857'!$H$23</formula>
    </cfRule>
    <cfRule type="cellIs" dxfId="356" priority="357" stopIfTrue="1" operator="lessThan">
      <formula>'1857'!$H$23</formula>
    </cfRule>
  </conditionalFormatting>
  <conditionalFormatting sqref="I24">
    <cfRule type="cellIs" dxfId="355" priority="358" stopIfTrue="1" operator="equal">
      <formula>'1857'!$H$24</formula>
    </cfRule>
    <cfRule type="cellIs" dxfId="354" priority="359" stopIfTrue="1" operator="lessThan">
      <formula>'1857'!$H$24</formula>
    </cfRule>
  </conditionalFormatting>
  <conditionalFormatting sqref="I25">
    <cfRule type="cellIs" dxfId="353" priority="360" stopIfTrue="1" operator="equal">
      <formula>'1857'!$H$25</formula>
    </cfRule>
    <cfRule type="cellIs" dxfId="352" priority="361" stopIfTrue="1" operator="lessThan">
      <formula>'1857'!$H$25</formula>
    </cfRule>
  </conditionalFormatting>
  <conditionalFormatting sqref="I26">
    <cfRule type="cellIs" dxfId="351" priority="362" stopIfTrue="1" operator="equal">
      <formula>'1857'!$H$26</formula>
    </cfRule>
    <cfRule type="cellIs" dxfId="350" priority="363" stopIfTrue="1" operator="lessThan">
      <formula>'1857'!$H$26</formula>
    </cfRule>
  </conditionalFormatting>
  <conditionalFormatting sqref="I27">
    <cfRule type="cellIs" dxfId="349" priority="364" stopIfTrue="1" operator="equal">
      <formula>'1857'!$H$27</formula>
    </cfRule>
    <cfRule type="cellIs" dxfId="348" priority="365" stopIfTrue="1" operator="lessThan">
      <formula>'1857'!$H$27</formula>
    </cfRule>
    <cfRule type="cellIs" dxfId="347" priority="366" stopIfTrue="1" operator="lessThan">
      <formula>'1857'!$H$27</formula>
    </cfRule>
  </conditionalFormatting>
  <conditionalFormatting sqref="I28">
    <cfRule type="cellIs" dxfId="346" priority="367" stopIfTrue="1" operator="equal">
      <formula>'1857'!$H$28</formula>
    </cfRule>
    <cfRule type="cellIs" dxfId="345" priority="368" stopIfTrue="1" operator="lessThan">
      <formula>'1857'!$H$28</formula>
    </cfRule>
  </conditionalFormatting>
  <conditionalFormatting sqref="I29">
    <cfRule type="cellIs" dxfId="344" priority="369" stopIfTrue="1" operator="equal">
      <formula>'1857'!$H$29</formula>
    </cfRule>
    <cfRule type="cellIs" dxfId="343" priority="370" stopIfTrue="1" operator="lessThan">
      <formula>'1857'!$H$29</formula>
    </cfRule>
  </conditionalFormatting>
  <conditionalFormatting sqref="J13">
    <cfRule type="cellIs" dxfId="342" priority="371" stopIfTrue="1" operator="equal">
      <formula>'1857'!$I$13</formula>
    </cfRule>
    <cfRule type="cellIs" dxfId="341" priority="372" stopIfTrue="1" operator="lessThan">
      <formula>'1857'!$I$13</formula>
    </cfRule>
  </conditionalFormatting>
  <conditionalFormatting sqref="J14">
    <cfRule type="cellIs" dxfId="340" priority="373" stopIfTrue="1" operator="equal">
      <formula>'1857'!$I$14</formula>
    </cfRule>
    <cfRule type="cellIs" dxfId="339" priority="374" stopIfTrue="1" operator="lessThan">
      <formula>'1857'!$I$14</formula>
    </cfRule>
  </conditionalFormatting>
  <conditionalFormatting sqref="J15">
    <cfRule type="cellIs" dxfId="338" priority="375" stopIfTrue="1" operator="equal">
      <formula>'1857'!$I$15</formula>
    </cfRule>
    <cfRule type="cellIs" dxfId="337" priority="376" stopIfTrue="1" operator="lessThan">
      <formula>'1857'!$I$15</formula>
    </cfRule>
  </conditionalFormatting>
  <conditionalFormatting sqref="J16">
    <cfRule type="cellIs" dxfId="336" priority="377" stopIfTrue="1" operator="equal">
      <formula>'1857'!$I$16</formula>
    </cfRule>
    <cfRule type="cellIs" dxfId="335" priority="378" stopIfTrue="1" operator="lessThan">
      <formula>'1857'!$I$16</formula>
    </cfRule>
  </conditionalFormatting>
  <conditionalFormatting sqref="J17">
    <cfRule type="cellIs" dxfId="334" priority="379" stopIfTrue="1" operator="equal">
      <formula>'1857'!$I$17</formula>
    </cfRule>
    <cfRule type="cellIs" dxfId="333" priority="380" stopIfTrue="1" operator="lessThan">
      <formula>'1857'!$I$17</formula>
    </cfRule>
  </conditionalFormatting>
  <conditionalFormatting sqref="J18">
    <cfRule type="cellIs" dxfId="332" priority="381" stopIfTrue="1" operator="equal">
      <formula>'1857'!$I$18</formula>
    </cfRule>
    <cfRule type="cellIs" dxfId="331" priority="382" stopIfTrue="1" operator="lessThan">
      <formula>'1857'!$I$18</formula>
    </cfRule>
  </conditionalFormatting>
  <conditionalFormatting sqref="J19">
    <cfRule type="cellIs" dxfId="330" priority="383" stopIfTrue="1" operator="equal">
      <formula>'1857'!$I$19</formula>
    </cfRule>
    <cfRule type="cellIs" dxfId="329" priority="384" stopIfTrue="1" operator="lessThan">
      <formula>'1857'!$I$19</formula>
    </cfRule>
  </conditionalFormatting>
  <conditionalFormatting sqref="J20">
    <cfRule type="cellIs" dxfId="328" priority="385" stopIfTrue="1" operator="equal">
      <formula>'1857'!$I$20</formula>
    </cfRule>
    <cfRule type="cellIs" dxfId="327" priority="386" stopIfTrue="1" operator="lessThan">
      <formula>'1857'!$I$20</formula>
    </cfRule>
  </conditionalFormatting>
  <conditionalFormatting sqref="J21">
    <cfRule type="cellIs" dxfId="326" priority="387" stopIfTrue="1" operator="equal">
      <formula>'1857'!$I$21</formula>
    </cfRule>
    <cfRule type="cellIs" dxfId="325" priority="388" stopIfTrue="1" operator="lessThan">
      <formula>'1857'!$I$21</formula>
    </cfRule>
  </conditionalFormatting>
  <conditionalFormatting sqref="J22">
    <cfRule type="cellIs" dxfId="324" priority="389" stopIfTrue="1" operator="equal">
      <formula>'1857'!$I$22</formula>
    </cfRule>
    <cfRule type="cellIs" dxfId="323" priority="390" stopIfTrue="1" operator="lessThan">
      <formula>'1857'!$I$22</formula>
    </cfRule>
  </conditionalFormatting>
  <conditionalFormatting sqref="J23">
    <cfRule type="cellIs" dxfId="322" priority="391" stopIfTrue="1" operator="equal">
      <formula>'1857'!$I$23</formula>
    </cfRule>
    <cfRule type="cellIs" dxfId="321" priority="392" stopIfTrue="1" operator="lessThan">
      <formula>'1857'!$I$23</formula>
    </cfRule>
  </conditionalFormatting>
  <conditionalFormatting sqref="J24">
    <cfRule type="cellIs" dxfId="320" priority="393" stopIfTrue="1" operator="equal">
      <formula>'1857'!$I$24</formula>
    </cfRule>
    <cfRule type="cellIs" dxfId="319" priority="394" stopIfTrue="1" operator="lessThan">
      <formula>'1857'!$I$24</formula>
    </cfRule>
  </conditionalFormatting>
  <conditionalFormatting sqref="J25">
    <cfRule type="cellIs" dxfId="318" priority="395" stopIfTrue="1" operator="equal">
      <formula>'1857'!$I$25</formula>
    </cfRule>
    <cfRule type="cellIs" dxfId="317" priority="396" stopIfTrue="1" operator="lessThan">
      <formula>'1857'!$I$25</formula>
    </cfRule>
  </conditionalFormatting>
  <conditionalFormatting sqref="J26">
    <cfRule type="cellIs" dxfId="316" priority="397" stopIfTrue="1" operator="equal">
      <formula>'1857'!$I$26</formula>
    </cfRule>
    <cfRule type="cellIs" dxfId="315" priority="398" stopIfTrue="1" operator="lessThan">
      <formula>'1857'!$I$26</formula>
    </cfRule>
  </conditionalFormatting>
  <conditionalFormatting sqref="J27">
    <cfRule type="cellIs" dxfId="314" priority="399" stopIfTrue="1" operator="equal">
      <formula>'1857'!$I$27</formula>
    </cfRule>
    <cfRule type="cellIs" dxfId="313" priority="400" stopIfTrue="1" operator="lessThan">
      <formula>'1857'!$I$27</formula>
    </cfRule>
  </conditionalFormatting>
  <conditionalFormatting sqref="J28">
    <cfRule type="cellIs" dxfId="312" priority="401" stopIfTrue="1" operator="equal">
      <formula>'1857'!$I$28</formula>
    </cfRule>
    <cfRule type="cellIs" dxfId="311" priority="402" stopIfTrue="1" operator="lessThan">
      <formula>'1857'!$I$28</formula>
    </cfRule>
  </conditionalFormatting>
  <conditionalFormatting sqref="K4">
    <cfRule type="cellIs" dxfId="310" priority="403" stopIfTrue="1" operator="equal">
      <formula>'1857'!$J$4</formula>
    </cfRule>
    <cfRule type="cellIs" dxfId="309" priority="404" stopIfTrue="1" operator="lessThan">
      <formula>'1857'!$J$4</formula>
    </cfRule>
  </conditionalFormatting>
  <conditionalFormatting sqref="K5">
    <cfRule type="cellIs" dxfId="308" priority="405" stopIfTrue="1" operator="equal">
      <formula>'1857'!$J$5</formula>
    </cfRule>
    <cfRule type="cellIs" dxfId="307" priority="406" stopIfTrue="1" operator="lessThan">
      <formula>'1857'!$J$5</formula>
    </cfRule>
  </conditionalFormatting>
  <conditionalFormatting sqref="K6">
    <cfRule type="cellIs" dxfId="306" priority="407" stopIfTrue="1" operator="equal">
      <formula>'1857'!$J$6</formula>
    </cfRule>
    <cfRule type="cellIs" dxfId="305" priority="408" stopIfTrue="1" operator="lessThan">
      <formula>'1857'!$J$6</formula>
    </cfRule>
  </conditionalFormatting>
  <conditionalFormatting sqref="K7">
    <cfRule type="cellIs" dxfId="304" priority="409" stopIfTrue="1" operator="equal">
      <formula>'1857'!$J$7</formula>
    </cfRule>
    <cfRule type="cellIs" dxfId="303" priority="410" stopIfTrue="1" operator="lessThan">
      <formula>'1857'!$J$7</formula>
    </cfRule>
  </conditionalFormatting>
  <conditionalFormatting sqref="K8">
    <cfRule type="cellIs" dxfId="302" priority="411" stopIfTrue="1" operator="equal">
      <formula>'1857'!$J$8</formula>
    </cfRule>
    <cfRule type="cellIs" dxfId="301" priority="412" stopIfTrue="1" operator="lessThan">
      <formula>'1857'!$J$8</formula>
    </cfRule>
  </conditionalFormatting>
  <conditionalFormatting sqref="K9">
    <cfRule type="cellIs" dxfId="300" priority="413" stopIfTrue="1" operator="equal">
      <formula>'1857'!$J$9</formula>
    </cfRule>
    <cfRule type="cellIs" dxfId="299" priority="414" stopIfTrue="1" operator="lessThan">
      <formula>'1857'!$J$9</formula>
    </cfRule>
  </conditionalFormatting>
  <conditionalFormatting sqref="K10">
    <cfRule type="cellIs" dxfId="298" priority="415" stopIfTrue="1" operator="equal">
      <formula>'1857'!$J$10</formula>
    </cfRule>
    <cfRule type="cellIs" dxfId="297" priority="416" stopIfTrue="1" operator="lessThan">
      <formula>'1857'!$J$10</formula>
    </cfRule>
  </conditionalFormatting>
  <conditionalFormatting sqref="K11">
    <cfRule type="cellIs" dxfId="296" priority="417" stopIfTrue="1" operator="equal">
      <formula>'1857'!$J$11</formula>
    </cfRule>
    <cfRule type="cellIs" dxfId="295" priority="418" stopIfTrue="1" operator="lessThan">
      <formula>'1857'!$J$11</formula>
    </cfRule>
  </conditionalFormatting>
  <conditionalFormatting sqref="K12">
    <cfRule type="cellIs" dxfId="294" priority="419" stopIfTrue="1" operator="equal">
      <formula>'1857'!$J$12</formula>
    </cfRule>
    <cfRule type="cellIs" dxfId="293" priority="420" stopIfTrue="1" operator="lessThan">
      <formula>'1857'!$J$12</formula>
    </cfRule>
  </conditionalFormatting>
  <conditionalFormatting sqref="K13">
    <cfRule type="cellIs" dxfId="292" priority="421" stopIfTrue="1" operator="equal">
      <formula>'1857'!$J$13</formula>
    </cfRule>
    <cfRule type="cellIs" dxfId="291" priority="422" stopIfTrue="1" operator="lessThan">
      <formula>'1857'!$J$13</formula>
    </cfRule>
  </conditionalFormatting>
  <conditionalFormatting sqref="K14">
    <cfRule type="cellIs" dxfId="290" priority="423" stopIfTrue="1" operator="equal">
      <formula>'1857'!$J$14</formula>
    </cfRule>
    <cfRule type="cellIs" dxfId="289" priority="424" stopIfTrue="1" operator="lessThan">
      <formula>'1857'!$J$14</formula>
    </cfRule>
  </conditionalFormatting>
  <conditionalFormatting sqref="K15">
    <cfRule type="cellIs" dxfId="288" priority="425" stopIfTrue="1" operator="equal">
      <formula>'1857'!$J$15</formula>
    </cfRule>
    <cfRule type="cellIs" dxfId="287" priority="426" stopIfTrue="1" operator="lessThan">
      <formula>'1857'!$J$15</formula>
    </cfRule>
  </conditionalFormatting>
  <conditionalFormatting sqref="K16">
    <cfRule type="cellIs" dxfId="286" priority="427" stopIfTrue="1" operator="equal">
      <formula>'1857'!$J$16</formula>
    </cfRule>
    <cfRule type="cellIs" dxfId="285" priority="428" stopIfTrue="1" operator="lessThan">
      <formula>'1857'!$J$16</formula>
    </cfRule>
  </conditionalFormatting>
  <conditionalFormatting sqref="K17">
    <cfRule type="cellIs" dxfId="284" priority="429" stopIfTrue="1" operator="equal">
      <formula>'1857'!$J$17</formula>
    </cfRule>
    <cfRule type="cellIs" dxfId="283" priority="430" stopIfTrue="1" operator="lessThan">
      <formula>'1857'!$J$17</formula>
    </cfRule>
  </conditionalFormatting>
  <conditionalFormatting sqref="K18">
    <cfRule type="cellIs" dxfId="282" priority="431" stopIfTrue="1" operator="equal">
      <formula>'1857'!$J$18</formula>
    </cfRule>
    <cfRule type="cellIs" dxfId="281" priority="432" stopIfTrue="1" operator="lessThan">
      <formula>'1857'!$J$18</formula>
    </cfRule>
  </conditionalFormatting>
  <conditionalFormatting sqref="K19">
    <cfRule type="cellIs" dxfId="280" priority="433" stopIfTrue="1" operator="equal">
      <formula>'1857'!$J$19</formula>
    </cfRule>
    <cfRule type="cellIs" dxfId="279" priority="434" stopIfTrue="1" operator="lessThan">
      <formula>'1857'!$J$19</formula>
    </cfRule>
  </conditionalFormatting>
  <conditionalFormatting sqref="K20">
    <cfRule type="cellIs" dxfId="278" priority="435" stopIfTrue="1" operator="equal">
      <formula>'1857'!$J$20</formula>
    </cfRule>
    <cfRule type="cellIs" dxfId="277" priority="436" stopIfTrue="1" operator="lessThan">
      <formula>'1857'!$J$20</formula>
    </cfRule>
  </conditionalFormatting>
  <conditionalFormatting sqref="K21">
    <cfRule type="cellIs" dxfId="276" priority="437" stopIfTrue="1" operator="equal">
      <formula>'1857'!$J$21</formula>
    </cfRule>
    <cfRule type="cellIs" dxfId="275" priority="438" stopIfTrue="1" operator="lessThan">
      <formula>'1857'!$J$21</formula>
    </cfRule>
  </conditionalFormatting>
  <conditionalFormatting sqref="K22">
    <cfRule type="cellIs" dxfId="274" priority="439" stopIfTrue="1" operator="equal">
      <formula>'1857'!$J$22</formula>
    </cfRule>
    <cfRule type="cellIs" dxfId="273" priority="440" stopIfTrue="1" operator="lessThan">
      <formula>'1857'!$J$22</formula>
    </cfRule>
  </conditionalFormatting>
  <conditionalFormatting sqref="K23">
    <cfRule type="cellIs" dxfId="272" priority="441" stopIfTrue="1" operator="equal">
      <formula>'1857'!$J$23</formula>
    </cfRule>
    <cfRule type="cellIs" dxfId="271" priority="442" stopIfTrue="1" operator="lessThan">
      <formula>'1857'!$J$23</formula>
    </cfRule>
  </conditionalFormatting>
  <conditionalFormatting sqref="K24">
    <cfRule type="cellIs" dxfId="270" priority="443" stopIfTrue="1" operator="equal">
      <formula>'1857'!$J$24</formula>
    </cfRule>
    <cfRule type="cellIs" dxfId="269" priority="444" stopIfTrue="1" operator="lessThan">
      <formula>'1857'!$J$24</formula>
    </cfRule>
  </conditionalFormatting>
  <conditionalFormatting sqref="K25">
    <cfRule type="cellIs" dxfId="268" priority="445" stopIfTrue="1" operator="equal">
      <formula>'1857'!$J$25</formula>
    </cfRule>
    <cfRule type="cellIs" dxfId="267" priority="446" stopIfTrue="1" operator="lessThan">
      <formula>'1857'!$J$25</formula>
    </cfRule>
  </conditionalFormatting>
  <conditionalFormatting sqref="K26">
    <cfRule type="cellIs" dxfId="266" priority="447" stopIfTrue="1" operator="equal">
      <formula>'1857'!$J$26</formula>
    </cfRule>
    <cfRule type="cellIs" dxfId="265" priority="448" stopIfTrue="1" operator="lessThan">
      <formula>'1857'!$J$26</formula>
    </cfRule>
  </conditionalFormatting>
  <conditionalFormatting sqref="K27">
    <cfRule type="cellIs" dxfId="264" priority="449" stopIfTrue="1" operator="equal">
      <formula>'1857'!$J$27</formula>
    </cfRule>
    <cfRule type="cellIs" dxfId="263" priority="450" stopIfTrue="1" operator="lessThan">
      <formula>'1857'!$J$27</formula>
    </cfRule>
  </conditionalFormatting>
  <conditionalFormatting sqref="K28">
    <cfRule type="cellIs" dxfId="262" priority="451" stopIfTrue="1" operator="lessThan">
      <formula>'1857'!$J$28</formula>
    </cfRule>
    <cfRule type="cellIs" dxfId="261" priority="452" stopIfTrue="1" operator="equal">
      <formula>'1857'!$J$28</formula>
    </cfRule>
  </conditionalFormatting>
  <conditionalFormatting sqref="L4">
    <cfRule type="cellIs" dxfId="260" priority="453" stopIfTrue="1" operator="equal">
      <formula>'1857'!$K$4</formula>
    </cfRule>
    <cfRule type="cellIs" dxfId="259" priority="454" stopIfTrue="1" operator="lessThan">
      <formula>'1857'!$K$4</formula>
    </cfRule>
  </conditionalFormatting>
  <conditionalFormatting sqref="L5">
    <cfRule type="cellIs" dxfId="258" priority="455" stopIfTrue="1" operator="equal">
      <formula>'1857'!$K$5</formula>
    </cfRule>
    <cfRule type="cellIs" dxfId="257" priority="456" stopIfTrue="1" operator="lessThan">
      <formula>'1857'!$K$5</formula>
    </cfRule>
  </conditionalFormatting>
  <conditionalFormatting sqref="L6">
    <cfRule type="cellIs" dxfId="256" priority="457" stopIfTrue="1" operator="equal">
      <formula>'1857'!$K$6</formula>
    </cfRule>
    <cfRule type="cellIs" dxfId="255" priority="458" stopIfTrue="1" operator="lessThan">
      <formula>'1857'!$K$6</formula>
    </cfRule>
  </conditionalFormatting>
  <conditionalFormatting sqref="L7">
    <cfRule type="cellIs" dxfId="254" priority="459" stopIfTrue="1" operator="equal">
      <formula>'1857'!$K$7</formula>
    </cfRule>
    <cfRule type="cellIs" dxfId="253" priority="460" stopIfTrue="1" operator="lessThan">
      <formula>'1857'!$K$7</formula>
    </cfRule>
  </conditionalFormatting>
  <conditionalFormatting sqref="L8">
    <cfRule type="cellIs" dxfId="252" priority="461" stopIfTrue="1" operator="equal">
      <formula>'1857'!$K$8</formula>
    </cfRule>
    <cfRule type="cellIs" dxfId="251" priority="462" stopIfTrue="1" operator="lessThan">
      <formula>'1857'!$K$8</formula>
    </cfRule>
  </conditionalFormatting>
  <conditionalFormatting sqref="L9">
    <cfRule type="cellIs" dxfId="250" priority="463" stopIfTrue="1" operator="equal">
      <formula>'1857'!$K$9</formula>
    </cfRule>
    <cfRule type="cellIs" dxfId="249" priority="464" stopIfTrue="1" operator="lessThan">
      <formula>'1857'!$K$9</formula>
    </cfRule>
  </conditionalFormatting>
  <conditionalFormatting sqref="L10">
    <cfRule type="cellIs" dxfId="248" priority="465" stopIfTrue="1" operator="equal">
      <formula>'1857'!$K$10</formula>
    </cfRule>
    <cfRule type="cellIs" dxfId="247" priority="466" stopIfTrue="1" operator="lessThan">
      <formula>'1857'!$K$10</formula>
    </cfRule>
  </conditionalFormatting>
  <conditionalFormatting sqref="L12">
    <cfRule type="cellIs" dxfId="246" priority="467" stopIfTrue="1" operator="equal">
      <formula>'1857'!$K$12</formula>
    </cfRule>
    <cfRule type="cellIs" dxfId="245" priority="468" stopIfTrue="1" operator="lessThan">
      <formula>'1857'!$K$12</formula>
    </cfRule>
  </conditionalFormatting>
  <conditionalFormatting sqref="L13">
    <cfRule type="cellIs" dxfId="244" priority="469" stopIfTrue="1" operator="equal">
      <formula>'1857'!$K$13</formula>
    </cfRule>
    <cfRule type="cellIs" dxfId="243" priority="470" stopIfTrue="1" operator="lessThan">
      <formula>'1857'!$K$13</formula>
    </cfRule>
  </conditionalFormatting>
  <conditionalFormatting sqref="L14">
    <cfRule type="cellIs" dxfId="242" priority="471" stopIfTrue="1" operator="equal">
      <formula>'1857'!$K$14</formula>
    </cfRule>
    <cfRule type="cellIs" dxfId="241" priority="472" stopIfTrue="1" operator="lessThan">
      <formula>'1857'!$K$14</formula>
    </cfRule>
  </conditionalFormatting>
  <conditionalFormatting sqref="L15">
    <cfRule type="cellIs" dxfId="240" priority="473" stopIfTrue="1" operator="equal">
      <formula>'1857'!$K$15</formula>
    </cfRule>
    <cfRule type="cellIs" dxfId="239" priority="474" stopIfTrue="1" operator="lessThan">
      <formula>'1857'!$K$15</formula>
    </cfRule>
  </conditionalFormatting>
  <conditionalFormatting sqref="L16">
    <cfRule type="cellIs" dxfId="238" priority="475" stopIfTrue="1" operator="equal">
      <formula>'1857'!$K$16</formula>
    </cfRule>
    <cfRule type="cellIs" dxfId="237" priority="476" stopIfTrue="1" operator="lessThan">
      <formula>'1857'!$K$16</formula>
    </cfRule>
  </conditionalFormatting>
  <conditionalFormatting sqref="L17">
    <cfRule type="cellIs" dxfId="236" priority="477" stopIfTrue="1" operator="equal">
      <formula>'1857'!$K$17</formula>
    </cfRule>
    <cfRule type="cellIs" dxfId="235" priority="478" stopIfTrue="1" operator="lessThan">
      <formula>'1857'!$K$17</formula>
    </cfRule>
  </conditionalFormatting>
  <conditionalFormatting sqref="L18">
    <cfRule type="cellIs" dxfId="234" priority="479" stopIfTrue="1" operator="equal">
      <formula>'1857'!$K$18</formula>
    </cfRule>
    <cfRule type="cellIs" dxfId="233" priority="480" stopIfTrue="1" operator="lessThan">
      <formula>'1857'!$K$18</formula>
    </cfRule>
  </conditionalFormatting>
  <conditionalFormatting sqref="L19">
    <cfRule type="cellIs" dxfId="232" priority="481" stopIfTrue="1" operator="equal">
      <formula>'1857'!$K$19</formula>
    </cfRule>
    <cfRule type="cellIs" dxfId="231" priority="482" stopIfTrue="1" operator="lessThan">
      <formula>'1857'!$K$19</formula>
    </cfRule>
  </conditionalFormatting>
  <conditionalFormatting sqref="L20">
    <cfRule type="cellIs" dxfId="230" priority="483" stopIfTrue="1" operator="equal">
      <formula>'1857'!$K$20</formula>
    </cfRule>
    <cfRule type="cellIs" dxfId="229" priority="484" stopIfTrue="1" operator="lessThan">
      <formula>'1857'!$K$20</formula>
    </cfRule>
  </conditionalFormatting>
  <conditionalFormatting sqref="L21">
    <cfRule type="cellIs" dxfId="228" priority="485" stopIfTrue="1" operator="equal">
      <formula>'1857'!$K$21</formula>
    </cfRule>
    <cfRule type="cellIs" dxfId="227" priority="486" stopIfTrue="1" operator="lessThan">
      <formula>'1857'!$K$21</formula>
    </cfRule>
  </conditionalFormatting>
  <conditionalFormatting sqref="L11">
    <cfRule type="cellIs" dxfId="226" priority="487" stopIfTrue="1" operator="equal">
      <formula>'1857'!$K$11</formula>
    </cfRule>
    <cfRule type="cellIs" dxfId="225" priority="488" stopIfTrue="1" operator="lessThan">
      <formula>'1857'!$K$11</formula>
    </cfRule>
  </conditionalFormatting>
  <conditionalFormatting sqref="L22">
    <cfRule type="cellIs" dxfId="224" priority="489" stopIfTrue="1" operator="equal">
      <formula>'1857'!$K$22</formula>
    </cfRule>
    <cfRule type="cellIs" dxfId="223" priority="490" stopIfTrue="1" operator="lessThan">
      <formula>'1857'!$K$22</formula>
    </cfRule>
  </conditionalFormatting>
  <conditionalFormatting sqref="L23">
    <cfRule type="cellIs" dxfId="222" priority="491" stopIfTrue="1" operator="equal">
      <formula>'1857'!$K$23</formula>
    </cfRule>
    <cfRule type="cellIs" dxfId="221" priority="492" stopIfTrue="1" operator="lessThan">
      <formula>'1857'!$K$23</formula>
    </cfRule>
  </conditionalFormatting>
  <conditionalFormatting sqref="L24">
    <cfRule type="cellIs" dxfId="220" priority="493" stopIfTrue="1" operator="equal">
      <formula>'1857'!$K$24</formula>
    </cfRule>
    <cfRule type="cellIs" dxfId="219" priority="494" stopIfTrue="1" operator="lessThan">
      <formula>'1857'!$K$24</formula>
    </cfRule>
  </conditionalFormatting>
  <conditionalFormatting sqref="L25">
    <cfRule type="cellIs" dxfId="218" priority="495" stopIfTrue="1" operator="equal">
      <formula>'1857'!$K$25</formula>
    </cfRule>
    <cfRule type="cellIs" dxfId="217" priority="496" stopIfTrue="1" operator="lessThan">
      <formula>'1857'!$K$25</formula>
    </cfRule>
  </conditionalFormatting>
  <conditionalFormatting sqref="L26">
    <cfRule type="cellIs" dxfId="216" priority="497" stopIfTrue="1" operator="equal">
      <formula>'1857'!$K$26</formula>
    </cfRule>
    <cfRule type="cellIs" dxfId="215" priority="498" stopIfTrue="1" operator="lessThan">
      <formula>'1857'!$K$26</formula>
    </cfRule>
  </conditionalFormatting>
  <conditionalFormatting sqref="L27">
    <cfRule type="cellIs" dxfId="214" priority="499" stopIfTrue="1" operator="equal">
      <formula>'1857'!$K$27</formula>
    </cfRule>
    <cfRule type="cellIs" dxfId="213" priority="500" stopIfTrue="1" operator="lessThan">
      <formula>'1857'!$K$27</formula>
    </cfRule>
  </conditionalFormatting>
  <conditionalFormatting sqref="L28">
    <cfRule type="cellIs" dxfId="212" priority="501" stopIfTrue="1" operator="equal">
      <formula>'1857'!$K$28</formula>
    </cfRule>
    <cfRule type="cellIs" dxfId="211" priority="502" stopIfTrue="1" operator="lessThan">
      <formula>'1857'!$K$28</formula>
    </cfRule>
  </conditionalFormatting>
  <conditionalFormatting sqref="M4">
    <cfRule type="cellIs" dxfId="210" priority="503" stopIfTrue="1" operator="lessThan">
      <formula>'1857'!$L$4</formula>
    </cfRule>
    <cfRule type="cellIs" dxfId="209" priority="504" stopIfTrue="1" operator="equal">
      <formula>'1857'!$L$4</formula>
    </cfRule>
  </conditionalFormatting>
  <conditionalFormatting sqref="M5">
    <cfRule type="cellIs" dxfId="208" priority="505" stopIfTrue="1" operator="equal">
      <formula>'1857'!$L$5</formula>
    </cfRule>
    <cfRule type="cellIs" dxfId="207" priority="506" stopIfTrue="1" operator="lessThan">
      <formula>'1857'!$L$5</formula>
    </cfRule>
  </conditionalFormatting>
  <conditionalFormatting sqref="M6">
    <cfRule type="cellIs" dxfId="206" priority="507" stopIfTrue="1" operator="equal">
      <formula>'1857'!$L$6</formula>
    </cfRule>
    <cfRule type="cellIs" dxfId="205" priority="508" stopIfTrue="1" operator="lessThan">
      <formula>'1857'!$L$6</formula>
    </cfRule>
  </conditionalFormatting>
  <conditionalFormatting sqref="M7">
    <cfRule type="cellIs" dxfId="204" priority="509" stopIfTrue="1" operator="equal">
      <formula>'1857'!$L$7</formula>
    </cfRule>
    <cfRule type="cellIs" dxfId="203" priority="510" stopIfTrue="1" operator="lessThan">
      <formula>'1857'!$L$7</formula>
    </cfRule>
  </conditionalFormatting>
  <conditionalFormatting sqref="M8">
    <cfRule type="cellIs" dxfId="202" priority="511" stopIfTrue="1" operator="equal">
      <formula>'1857'!$L$8</formula>
    </cfRule>
    <cfRule type="cellIs" dxfId="201" priority="512" stopIfTrue="1" operator="lessThan">
      <formula>'1857'!$L$8</formula>
    </cfRule>
  </conditionalFormatting>
  <conditionalFormatting sqref="M9">
    <cfRule type="cellIs" dxfId="200" priority="513" stopIfTrue="1" operator="equal">
      <formula>'1857'!$L$9</formula>
    </cfRule>
    <cfRule type="cellIs" dxfId="199" priority="514" stopIfTrue="1" operator="lessThan">
      <formula>'1857'!$L$9</formula>
    </cfRule>
  </conditionalFormatting>
  <conditionalFormatting sqref="M10">
    <cfRule type="cellIs" dxfId="198" priority="515" stopIfTrue="1" operator="equal">
      <formula>'1857'!$L$10</formula>
    </cfRule>
    <cfRule type="cellIs" dxfId="197" priority="516" stopIfTrue="1" operator="lessThan">
      <formula>'1857'!$L$10</formula>
    </cfRule>
  </conditionalFormatting>
  <conditionalFormatting sqref="M11">
    <cfRule type="cellIs" dxfId="196" priority="517" stopIfTrue="1" operator="equal">
      <formula>'1857'!$L$11</formula>
    </cfRule>
    <cfRule type="cellIs" dxfId="195" priority="518" stopIfTrue="1" operator="lessThan">
      <formula>'1857'!$L$11</formula>
    </cfRule>
  </conditionalFormatting>
  <conditionalFormatting sqref="M12">
    <cfRule type="cellIs" dxfId="194" priority="519" stopIfTrue="1" operator="equal">
      <formula>'1857'!$L$12</formula>
    </cfRule>
    <cfRule type="cellIs" dxfId="193" priority="520" stopIfTrue="1" operator="lessThan">
      <formula>'1857'!$L$12</formula>
    </cfRule>
  </conditionalFormatting>
  <conditionalFormatting sqref="M13">
    <cfRule type="cellIs" dxfId="192" priority="521" stopIfTrue="1" operator="equal">
      <formula>'1857'!$L$13</formula>
    </cfRule>
    <cfRule type="cellIs" dxfId="191" priority="522" stopIfTrue="1" operator="lessThan">
      <formula>'1857'!$L$13</formula>
    </cfRule>
  </conditionalFormatting>
  <conditionalFormatting sqref="M14">
    <cfRule type="cellIs" dxfId="190" priority="523" stopIfTrue="1" operator="equal">
      <formula>'1857'!$L$14</formula>
    </cfRule>
    <cfRule type="cellIs" dxfId="189" priority="524" stopIfTrue="1" operator="lessThan">
      <formula>'1857'!$L$14</formula>
    </cfRule>
  </conditionalFormatting>
  <conditionalFormatting sqref="M15">
    <cfRule type="cellIs" dxfId="188" priority="525" stopIfTrue="1" operator="equal">
      <formula>'1857'!$L$15</formula>
    </cfRule>
    <cfRule type="cellIs" dxfId="187" priority="526" stopIfTrue="1" operator="lessThan">
      <formula>'1857'!$L$15</formula>
    </cfRule>
  </conditionalFormatting>
  <conditionalFormatting sqref="M16">
    <cfRule type="cellIs" dxfId="186" priority="527" stopIfTrue="1" operator="equal">
      <formula>'1857'!$L$16</formula>
    </cfRule>
    <cfRule type="cellIs" dxfId="185" priority="528" stopIfTrue="1" operator="lessThan">
      <formula>'1857'!$L$16</formula>
    </cfRule>
  </conditionalFormatting>
  <conditionalFormatting sqref="M17">
    <cfRule type="cellIs" dxfId="184" priority="529" stopIfTrue="1" operator="equal">
      <formula>'1857'!$L$17</formula>
    </cfRule>
    <cfRule type="cellIs" dxfId="183" priority="530" stopIfTrue="1" operator="lessThan">
      <formula>'1857'!$L$17</formula>
    </cfRule>
  </conditionalFormatting>
  <conditionalFormatting sqref="M18">
    <cfRule type="cellIs" dxfId="182" priority="531" stopIfTrue="1" operator="equal">
      <formula>'1857'!$L$18</formula>
    </cfRule>
    <cfRule type="cellIs" dxfId="181" priority="532" stopIfTrue="1" operator="lessThan">
      <formula>'1857'!$L$18</formula>
    </cfRule>
  </conditionalFormatting>
  <conditionalFormatting sqref="M19">
    <cfRule type="cellIs" dxfId="180" priority="533" stopIfTrue="1" operator="equal">
      <formula>'1857'!$L$19</formula>
    </cfRule>
    <cfRule type="cellIs" dxfId="179" priority="534" stopIfTrue="1" operator="lessThan">
      <formula>'1857'!$L$19</formula>
    </cfRule>
  </conditionalFormatting>
  <conditionalFormatting sqref="M20">
    <cfRule type="cellIs" dxfId="178" priority="535" stopIfTrue="1" operator="equal">
      <formula>'1857'!$L$20</formula>
    </cfRule>
    <cfRule type="cellIs" dxfId="177" priority="536" stopIfTrue="1" operator="lessThan">
      <formula>'1857'!$L$20</formula>
    </cfRule>
  </conditionalFormatting>
  <conditionalFormatting sqref="M21">
    <cfRule type="cellIs" dxfId="176" priority="537" stopIfTrue="1" operator="equal">
      <formula>'1857'!$L$21</formula>
    </cfRule>
    <cfRule type="cellIs" dxfId="175" priority="538" stopIfTrue="1" operator="lessThan">
      <formula>'1857'!$L$21</formula>
    </cfRule>
  </conditionalFormatting>
  <conditionalFormatting sqref="M22">
    <cfRule type="cellIs" dxfId="174" priority="539" stopIfTrue="1" operator="equal">
      <formula>'1857'!$L$22</formula>
    </cfRule>
    <cfRule type="cellIs" dxfId="173" priority="540" stopIfTrue="1" operator="lessThan">
      <formula>'1857'!$L$22</formula>
    </cfRule>
  </conditionalFormatting>
  <conditionalFormatting sqref="M23">
    <cfRule type="cellIs" dxfId="172" priority="541" stopIfTrue="1" operator="equal">
      <formula>'1857'!$L$23</formula>
    </cfRule>
    <cfRule type="cellIs" dxfId="171" priority="542" stopIfTrue="1" operator="lessThan">
      <formula>'1857'!$L$23</formula>
    </cfRule>
  </conditionalFormatting>
  <conditionalFormatting sqref="M24">
    <cfRule type="cellIs" dxfId="170" priority="543" stopIfTrue="1" operator="equal">
      <formula>'1857'!$L$24</formula>
    </cfRule>
    <cfRule type="cellIs" dxfId="169" priority="544" stopIfTrue="1" operator="lessThan">
      <formula>'1857'!$L$24</formula>
    </cfRule>
  </conditionalFormatting>
  <conditionalFormatting sqref="M25">
    <cfRule type="cellIs" dxfId="168" priority="545" stopIfTrue="1" operator="equal">
      <formula>'1857'!$L$25</formula>
    </cfRule>
    <cfRule type="cellIs" dxfId="167" priority="546" stopIfTrue="1" operator="lessThan">
      <formula>'1857'!$L$25</formula>
    </cfRule>
  </conditionalFormatting>
  <conditionalFormatting sqref="M26">
    <cfRule type="cellIs" dxfId="166" priority="547" stopIfTrue="1" operator="equal">
      <formula>'1857'!$L$26</formula>
    </cfRule>
    <cfRule type="cellIs" dxfId="165" priority="548" stopIfTrue="1" operator="lessThan">
      <formula>'1857'!$L$26</formula>
    </cfRule>
  </conditionalFormatting>
  <conditionalFormatting sqref="M27">
    <cfRule type="cellIs" dxfId="164" priority="549" stopIfTrue="1" operator="equal">
      <formula>'1857'!$L$27</formula>
    </cfRule>
    <cfRule type="cellIs" dxfId="163" priority="550" stopIfTrue="1" operator="lessThan">
      <formula>'1857'!$L$27</formula>
    </cfRule>
  </conditionalFormatting>
  <conditionalFormatting sqref="M28">
    <cfRule type="cellIs" dxfId="162" priority="551" stopIfTrue="1" operator="equal">
      <formula>'1857'!$L$28</formula>
    </cfRule>
    <cfRule type="cellIs" dxfId="161" priority="552" stopIfTrue="1" operator="lessThan">
      <formula>'1857'!$L$28</formula>
    </cfRule>
  </conditionalFormatting>
  <conditionalFormatting sqref="N4">
    <cfRule type="cellIs" dxfId="160" priority="553" stopIfTrue="1" operator="equal">
      <formula>'1857'!$M$4</formula>
    </cfRule>
    <cfRule type="cellIs" dxfId="159" priority="554" stopIfTrue="1" operator="lessThan">
      <formula>'1857'!$M$4</formula>
    </cfRule>
  </conditionalFormatting>
  <conditionalFormatting sqref="N5">
    <cfRule type="cellIs" dxfId="158" priority="555" stopIfTrue="1" operator="equal">
      <formula>'1857'!$M$5</formula>
    </cfRule>
    <cfRule type="cellIs" dxfId="157" priority="556" stopIfTrue="1" operator="lessThan">
      <formula>'1857'!$M$5</formula>
    </cfRule>
  </conditionalFormatting>
  <conditionalFormatting sqref="N6">
    <cfRule type="cellIs" dxfId="156" priority="557" stopIfTrue="1" operator="equal">
      <formula>'1857'!$M$6</formula>
    </cfRule>
    <cfRule type="cellIs" dxfId="155" priority="558" stopIfTrue="1" operator="lessThan">
      <formula>'1857'!$M$6</formula>
    </cfRule>
  </conditionalFormatting>
  <conditionalFormatting sqref="N7">
    <cfRule type="cellIs" dxfId="154" priority="559" stopIfTrue="1" operator="equal">
      <formula>'1857'!$M$7</formula>
    </cfRule>
    <cfRule type="cellIs" dxfId="153" priority="560" stopIfTrue="1" operator="lessThan">
      <formula>'1857'!$M$7</formula>
    </cfRule>
  </conditionalFormatting>
  <conditionalFormatting sqref="N8">
    <cfRule type="cellIs" dxfId="152" priority="561" stopIfTrue="1" operator="equal">
      <formula>'1857'!$M$8</formula>
    </cfRule>
    <cfRule type="cellIs" dxfId="151" priority="562" stopIfTrue="1" operator="lessThan">
      <formula>'1857'!$M$8</formula>
    </cfRule>
  </conditionalFormatting>
  <conditionalFormatting sqref="N9">
    <cfRule type="cellIs" dxfId="150" priority="563" stopIfTrue="1" operator="equal">
      <formula>'1857'!$M$9</formula>
    </cfRule>
    <cfRule type="cellIs" dxfId="149" priority="564" stopIfTrue="1" operator="lessThan">
      <formula>'1857'!$M$9</formula>
    </cfRule>
  </conditionalFormatting>
  <conditionalFormatting sqref="N10">
    <cfRule type="cellIs" dxfId="148" priority="565" stopIfTrue="1" operator="equal">
      <formula>'1857'!$M$10</formula>
    </cfRule>
    <cfRule type="cellIs" dxfId="147" priority="566" stopIfTrue="1" operator="lessThan">
      <formula>'1857'!$M$10</formula>
    </cfRule>
  </conditionalFormatting>
  <conditionalFormatting sqref="N11">
    <cfRule type="cellIs" dxfId="146" priority="567" stopIfTrue="1" operator="equal">
      <formula>'1857'!$M$11</formula>
    </cfRule>
    <cfRule type="cellIs" dxfId="145" priority="568" stopIfTrue="1" operator="lessThan">
      <formula>'1857'!$M$11</formula>
    </cfRule>
  </conditionalFormatting>
  <conditionalFormatting sqref="N12">
    <cfRule type="cellIs" dxfId="144" priority="569" stopIfTrue="1" operator="equal">
      <formula>'1857'!$M$12</formula>
    </cfRule>
    <cfRule type="cellIs" dxfId="143" priority="570" stopIfTrue="1" operator="lessThan">
      <formula>'1857'!$M$12</formula>
    </cfRule>
  </conditionalFormatting>
  <conditionalFormatting sqref="N13">
    <cfRule type="cellIs" dxfId="142" priority="571" stopIfTrue="1" operator="equal">
      <formula>'1857'!$M$13</formula>
    </cfRule>
    <cfRule type="cellIs" dxfId="141" priority="572" stopIfTrue="1" operator="lessThan">
      <formula>'1857'!$M$13</formula>
    </cfRule>
  </conditionalFormatting>
  <conditionalFormatting sqref="N14">
    <cfRule type="cellIs" dxfId="140" priority="573" stopIfTrue="1" operator="equal">
      <formula>'1857'!$M$14</formula>
    </cfRule>
    <cfRule type="cellIs" dxfId="139" priority="574" stopIfTrue="1" operator="lessThan">
      <formula>'1857'!$M$14</formula>
    </cfRule>
  </conditionalFormatting>
  <conditionalFormatting sqref="N15">
    <cfRule type="cellIs" dxfId="138" priority="575" stopIfTrue="1" operator="equal">
      <formula>'1857'!$M$15</formula>
    </cfRule>
    <cfRule type="cellIs" dxfId="137" priority="576" stopIfTrue="1" operator="lessThan">
      <formula>'1857'!$M$15</formula>
    </cfRule>
  </conditionalFormatting>
  <conditionalFormatting sqref="N16">
    <cfRule type="cellIs" dxfId="136" priority="577" stopIfTrue="1" operator="equal">
      <formula>'1857'!$M$16</formula>
    </cfRule>
    <cfRule type="cellIs" dxfId="135" priority="578" stopIfTrue="1" operator="lessThan">
      <formula>'1857'!$M$16</formula>
    </cfRule>
  </conditionalFormatting>
  <conditionalFormatting sqref="N17">
    <cfRule type="cellIs" dxfId="134" priority="579" stopIfTrue="1" operator="equal">
      <formula>'1857'!$M$17</formula>
    </cfRule>
    <cfRule type="cellIs" dxfId="133" priority="580" stopIfTrue="1" operator="lessThan">
      <formula>'1857'!$M$17</formula>
    </cfRule>
  </conditionalFormatting>
  <conditionalFormatting sqref="N18">
    <cfRule type="cellIs" dxfId="132" priority="581" stopIfTrue="1" operator="equal">
      <formula>'1857'!$M$18</formula>
    </cfRule>
    <cfRule type="cellIs" dxfId="131" priority="582" stopIfTrue="1" operator="lessThan">
      <formula>'1857'!$M$18</formula>
    </cfRule>
  </conditionalFormatting>
  <conditionalFormatting sqref="N19">
    <cfRule type="cellIs" dxfId="130" priority="583" stopIfTrue="1" operator="equal">
      <formula>'1857'!$M$19</formula>
    </cfRule>
    <cfRule type="cellIs" dxfId="129" priority="584" stopIfTrue="1" operator="lessThan">
      <formula>'1857'!$M$19</formula>
    </cfRule>
  </conditionalFormatting>
  <conditionalFormatting sqref="N20">
    <cfRule type="cellIs" dxfId="128" priority="585" stopIfTrue="1" operator="equal">
      <formula>'1857'!$M$20</formula>
    </cfRule>
    <cfRule type="cellIs" dxfId="127" priority="586" stopIfTrue="1" operator="lessThan">
      <formula>'1857'!$M$20</formula>
    </cfRule>
  </conditionalFormatting>
  <conditionalFormatting sqref="N21">
    <cfRule type="cellIs" dxfId="126" priority="587" stopIfTrue="1" operator="equal">
      <formula>'1857'!$M$21</formula>
    </cfRule>
    <cfRule type="cellIs" dxfId="125" priority="588" stopIfTrue="1" operator="lessThan">
      <formula>'1857'!$M$21</formula>
    </cfRule>
  </conditionalFormatting>
  <conditionalFormatting sqref="N22">
    <cfRule type="cellIs" dxfId="124" priority="589" stopIfTrue="1" operator="equal">
      <formula>'1857'!$M$22</formula>
    </cfRule>
    <cfRule type="cellIs" dxfId="123" priority="590" stopIfTrue="1" operator="lessThan">
      <formula>'1857'!$M$22</formula>
    </cfRule>
  </conditionalFormatting>
  <conditionalFormatting sqref="N23">
    <cfRule type="cellIs" dxfId="122" priority="591" stopIfTrue="1" operator="equal">
      <formula>'1857'!$M$23</formula>
    </cfRule>
    <cfRule type="cellIs" dxfId="121" priority="592" stopIfTrue="1" operator="lessThan">
      <formula>'1857'!$M$23</formula>
    </cfRule>
  </conditionalFormatting>
  <conditionalFormatting sqref="N24">
    <cfRule type="cellIs" dxfId="120" priority="593" stopIfTrue="1" operator="equal">
      <formula>'1857'!$M$24</formula>
    </cfRule>
    <cfRule type="cellIs" dxfId="119" priority="594" stopIfTrue="1" operator="lessThan">
      <formula>'1857'!$M$24</formula>
    </cfRule>
  </conditionalFormatting>
  <conditionalFormatting sqref="N25">
    <cfRule type="cellIs" dxfId="118" priority="595" stopIfTrue="1" operator="equal">
      <formula>'1857'!$M$25</formula>
    </cfRule>
    <cfRule type="cellIs" dxfId="117" priority="596" stopIfTrue="1" operator="lessThan">
      <formula>'1857'!$M$25</formula>
    </cfRule>
  </conditionalFormatting>
  <conditionalFormatting sqref="N26">
    <cfRule type="cellIs" dxfId="116" priority="597" stopIfTrue="1" operator="equal">
      <formula>'1857'!$M$26</formula>
    </cfRule>
    <cfRule type="cellIs" dxfId="115" priority="598" stopIfTrue="1" operator="lessThan">
      <formula>'1857'!$M$26</formula>
    </cfRule>
  </conditionalFormatting>
  <conditionalFormatting sqref="N27">
    <cfRule type="cellIs" dxfId="114" priority="599" stopIfTrue="1" operator="equal">
      <formula>'1857'!$M$27</formula>
    </cfRule>
    <cfRule type="cellIs" dxfId="113" priority="600" stopIfTrue="1" operator="lessThan">
      <formula>'1857'!$M$27</formula>
    </cfRule>
  </conditionalFormatting>
  <conditionalFormatting sqref="N28">
    <cfRule type="cellIs" dxfId="112" priority="601" stopIfTrue="1" operator="equal">
      <formula>'1857'!$M$28</formula>
    </cfRule>
    <cfRule type="cellIs" dxfId="111" priority="602" stopIfTrue="1" operator="lessThan">
      <formula>'1857'!$M$28</formula>
    </cfRule>
  </conditionalFormatting>
  <conditionalFormatting sqref="O4">
    <cfRule type="cellIs" dxfId="110" priority="603" stopIfTrue="1" operator="equal">
      <formula>'1857'!$N$4</formula>
    </cfRule>
    <cfRule type="cellIs" dxfId="109" priority="604" stopIfTrue="1" operator="lessThan">
      <formula>'1857'!$N$4</formula>
    </cfRule>
  </conditionalFormatting>
  <conditionalFormatting sqref="O5">
    <cfRule type="cellIs" dxfId="108" priority="605" stopIfTrue="1" operator="equal">
      <formula>'1857'!$N$5</formula>
    </cfRule>
    <cfRule type="cellIs" dxfId="107" priority="606" stopIfTrue="1" operator="lessThan">
      <formula>'1857'!$N$5</formula>
    </cfRule>
  </conditionalFormatting>
  <conditionalFormatting sqref="O6">
    <cfRule type="cellIs" dxfId="106" priority="607" stopIfTrue="1" operator="equal">
      <formula>'1857'!$N$6</formula>
    </cfRule>
    <cfRule type="cellIs" dxfId="105" priority="608" stopIfTrue="1" operator="lessThan">
      <formula>'1857'!$N$6</formula>
    </cfRule>
  </conditionalFormatting>
  <conditionalFormatting sqref="O7">
    <cfRule type="cellIs" dxfId="104" priority="609" stopIfTrue="1" operator="equal">
      <formula>'1857'!$N$7</formula>
    </cfRule>
    <cfRule type="cellIs" dxfId="103" priority="610" stopIfTrue="1" operator="lessThan">
      <formula>'1857'!$N$7</formula>
    </cfRule>
  </conditionalFormatting>
  <conditionalFormatting sqref="O8">
    <cfRule type="cellIs" dxfId="102" priority="611" stopIfTrue="1" operator="equal">
      <formula>'1857'!$N$8</formula>
    </cfRule>
    <cfRule type="cellIs" dxfId="101" priority="612" stopIfTrue="1" operator="lessThan">
      <formula>'1857'!$N$8</formula>
    </cfRule>
  </conditionalFormatting>
  <conditionalFormatting sqref="O9">
    <cfRule type="cellIs" dxfId="100" priority="613" stopIfTrue="1" operator="equal">
      <formula>'1857'!$N$9</formula>
    </cfRule>
    <cfRule type="cellIs" dxfId="99" priority="614" stopIfTrue="1" operator="lessThan">
      <formula>'1857'!$N$9</formula>
    </cfRule>
  </conditionalFormatting>
  <conditionalFormatting sqref="O10">
    <cfRule type="cellIs" dxfId="98" priority="615" stopIfTrue="1" operator="equal">
      <formula>'1857'!$N$10</formula>
    </cfRule>
    <cfRule type="cellIs" dxfId="97" priority="616" stopIfTrue="1" operator="lessThan">
      <formula>'1857'!$N$10</formula>
    </cfRule>
  </conditionalFormatting>
  <conditionalFormatting sqref="O11">
    <cfRule type="cellIs" dxfId="96" priority="617" stopIfTrue="1" operator="equal">
      <formula>'1857'!$N$11</formula>
    </cfRule>
    <cfRule type="cellIs" dxfId="95" priority="618" stopIfTrue="1" operator="lessThan">
      <formula>'1857'!$N$11</formula>
    </cfRule>
  </conditionalFormatting>
  <conditionalFormatting sqref="O12">
    <cfRule type="cellIs" dxfId="94" priority="619" stopIfTrue="1" operator="equal">
      <formula>'1857'!$N$12</formula>
    </cfRule>
    <cfRule type="cellIs" dxfId="93" priority="620" stopIfTrue="1" operator="lessThan">
      <formula>'1857'!$N$12</formula>
    </cfRule>
  </conditionalFormatting>
  <conditionalFormatting sqref="O13">
    <cfRule type="cellIs" dxfId="92" priority="621" stopIfTrue="1" operator="equal">
      <formula>'1857'!$N$13</formula>
    </cfRule>
    <cfRule type="cellIs" dxfId="91" priority="622" stopIfTrue="1" operator="lessThan">
      <formula>'1857'!$N$13</formula>
    </cfRule>
  </conditionalFormatting>
  <conditionalFormatting sqref="O14">
    <cfRule type="cellIs" dxfId="90" priority="623" stopIfTrue="1" operator="equal">
      <formula>'1857'!$N$14</formula>
    </cfRule>
    <cfRule type="cellIs" dxfId="89" priority="624" stopIfTrue="1" operator="lessThan">
      <formula>'1857'!$N$14</formula>
    </cfRule>
  </conditionalFormatting>
  <conditionalFormatting sqref="O15">
    <cfRule type="cellIs" dxfId="88" priority="625" stopIfTrue="1" operator="equal">
      <formula>'1857'!$N$15</formula>
    </cfRule>
    <cfRule type="cellIs" dxfId="87" priority="626" stopIfTrue="1" operator="lessThan">
      <formula>'1857'!$N$15</formula>
    </cfRule>
  </conditionalFormatting>
  <conditionalFormatting sqref="O16">
    <cfRule type="cellIs" dxfId="86" priority="627" stopIfTrue="1" operator="equal">
      <formula>'1857'!$N$16</formula>
    </cfRule>
    <cfRule type="cellIs" dxfId="85" priority="628" stopIfTrue="1" operator="lessThan">
      <formula>'1857'!$N$16</formula>
    </cfRule>
  </conditionalFormatting>
  <conditionalFormatting sqref="O17">
    <cfRule type="cellIs" dxfId="84" priority="629" stopIfTrue="1" operator="equal">
      <formula>'1857'!$N$17</formula>
    </cfRule>
    <cfRule type="cellIs" dxfId="83" priority="630" stopIfTrue="1" operator="lessThan">
      <formula>'1857'!$N$17</formula>
    </cfRule>
  </conditionalFormatting>
  <conditionalFormatting sqref="O18">
    <cfRule type="cellIs" dxfId="82" priority="631" stopIfTrue="1" operator="equal">
      <formula>'1857'!$N$18</formula>
    </cfRule>
    <cfRule type="cellIs" dxfId="81" priority="632" stopIfTrue="1" operator="lessThan">
      <formula>'1857'!$N$18</formula>
    </cfRule>
  </conditionalFormatting>
  <conditionalFormatting sqref="O19">
    <cfRule type="cellIs" dxfId="80" priority="633" stopIfTrue="1" operator="equal">
      <formula>'1857'!$N$19</formula>
    </cfRule>
    <cfRule type="cellIs" dxfId="79" priority="634" stopIfTrue="1" operator="lessThan">
      <formula>'1857'!$N$19</formula>
    </cfRule>
  </conditionalFormatting>
  <conditionalFormatting sqref="O20">
    <cfRule type="cellIs" dxfId="78" priority="635" stopIfTrue="1" operator="equal">
      <formula>'1857'!$N$20</formula>
    </cfRule>
    <cfRule type="cellIs" dxfId="77" priority="636" stopIfTrue="1" operator="lessThan">
      <formula>'1857'!$N$20</formula>
    </cfRule>
  </conditionalFormatting>
  <conditionalFormatting sqref="O21">
    <cfRule type="cellIs" dxfId="76" priority="637" stopIfTrue="1" operator="equal">
      <formula>'1857'!$N$21</formula>
    </cfRule>
    <cfRule type="cellIs" dxfId="75" priority="638" stopIfTrue="1" operator="lessThan">
      <formula>'1857'!$N$21</formula>
    </cfRule>
  </conditionalFormatting>
  <conditionalFormatting sqref="O22">
    <cfRule type="cellIs" dxfId="74" priority="639" stopIfTrue="1" operator="equal">
      <formula>'1857'!$N$22</formula>
    </cfRule>
    <cfRule type="cellIs" dxfId="73" priority="640" stopIfTrue="1" operator="lessThan">
      <formula>'1857'!$N$22</formula>
    </cfRule>
  </conditionalFormatting>
  <conditionalFormatting sqref="O23">
    <cfRule type="cellIs" dxfId="72" priority="641" stopIfTrue="1" operator="equal">
      <formula>'1857'!$N$23</formula>
    </cfRule>
    <cfRule type="cellIs" dxfId="71" priority="642" stopIfTrue="1" operator="lessThan">
      <formula>'1857'!$N$23</formula>
    </cfRule>
  </conditionalFormatting>
  <conditionalFormatting sqref="O24">
    <cfRule type="cellIs" dxfId="70" priority="643" stopIfTrue="1" operator="equal">
      <formula>'1857'!$N$24</formula>
    </cfRule>
    <cfRule type="cellIs" dxfId="69" priority="644" stopIfTrue="1" operator="lessThan">
      <formula>'1857'!$N$24</formula>
    </cfRule>
  </conditionalFormatting>
  <conditionalFormatting sqref="O25">
    <cfRule type="cellIs" dxfId="68" priority="645" stopIfTrue="1" operator="equal">
      <formula>'1857'!$N$25</formula>
    </cfRule>
    <cfRule type="cellIs" dxfId="67" priority="646" stopIfTrue="1" operator="lessThan">
      <formula>'1857'!$N$25</formula>
    </cfRule>
  </conditionalFormatting>
  <conditionalFormatting sqref="O26">
    <cfRule type="cellIs" dxfId="66" priority="647" stopIfTrue="1" operator="equal">
      <formula>'1857'!$N$26</formula>
    </cfRule>
    <cfRule type="cellIs" dxfId="65" priority="648" stopIfTrue="1" operator="lessThan">
      <formula>'1857'!$N$26</formula>
    </cfRule>
  </conditionalFormatting>
  <conditionalFormatting sqref="O27">
    <cfRule type="cellIs" dxfId="64" priority="649" stopIfTrue="1" operator="equal">
      <formula>'1857'!$N$27</formula>
    </cfRule>
    <cfRule type="cellIs" dxfId="63" priority="650" stopIfTrue="1" operator="lessThan">
      <formula>'1857'!$N$27</formula>
    </cfRule>
  </conditionalFormatting>
  <conditionalFormatting sqref="O28">
    <cfRule type="cellIs" dxfId="62" priority="651" stopIfTrue="1" operator="equal">
      <formula>'1857'!$N$28</formula>
    </cfRule>
    <cfRule type="cellIs" dxfId="61" priority="652" stopIfTrue="1" operator="lessThan">
      <formula>'1857'!$N$28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C4" sqref="C4"/>
    </sheetView>
  </sheetViews>
  <sheetFormatPr defaultColWidth="9" defaultRowHeight="18"/>
  <cols>
    <col min="1" max="1" width="35" style="41" customWidth="1"/>
    <col min="2" max="5" width="11.42578125" style="41" customWidth="1"/>
    <col min="6" max="6" width="6.42578125" style="41" customWidth="1"/>
    <col min="7" max="10" width="11.42578125" style="41" customWidth="1"/>
    <col min="11" max="16384" width="9" style="41"/>
  </cols>
  <sheetData>
    <row r="1" spans="1:14">
      <c r="A1" s="42" t="s">
        <v>117</v>
      </c>
      <c r="B1" s="43">
        <v>2021</v>
      </c>
    </row>
    <row r="3" spans="1:14">
      <c r="A3" s="177" t="s">
        <v>118</v>
      </c>
      <c r="B3" s="178">
        <v>1850</v>
      </c>
      <c r="C3" s="178">
        <v>1851</v>
      </c>
      <c r="D3" s="178">
        <v>1852</v>
      </c>
      <c r="E3" s="178">
        <v>1853</v>
      </c>
      <c r="G3" s="137"/>
      <c r="H3" s="137"/>
      <c r="I3" s="137"/>
    </row>
    <row r="4" spans="1:14">
      <c r="A4" s="44" t="s">
        <v>119</v>
      </c>
      <c r="B4" s="44">
        <f>'1850'!D4-'1850'!C4+'1850'!D6-'1850'!C6+'1850'!D8-'1850'!C8+'1850'!D10-'1850'!C10+'1850'!D12-'1850'!C12+'1850'!D14-'1850'!C14+'1850'!D16-'1850'!C16+'1850'!D18-'1850'!C18+'1850'!D20-'1850'!C20+'1850'!D22-'1850'!C22</f>
        <v>59.615000000000023</v>
      </c>
      <c r="C4" s="44">
        <f>'1851'!E4-'1851'!D4+'1851'!E6-'1851'!D6+'1851'!E8-'1851'!D8+'1851'!E10-'1851'!D10+'1851'!E12-'1851'!D12+'1851'!E14-'1851'!D14+'1851'!E16-'1851'!D16+'1851'!E18-'1851'!D18+'1851'!E20-'1851'!D20+'1851'!E22-'1851'!D22+'1851'!E33-'1851'!D33+'1851'!E34-'1851'!D34+'1851'!E35-'1851'!D35+'1851'!E36-'1851'!D36+'1851'!E37-'1851'!D37+'1851'!E40-'1851'!D40+'1851'!E41-'1851'!D41+'1851'!E42-'1851'!D42+'1851'!E43-'1851'!D43+'1851'!E44-'1851'!D44+'1851'!E45-'1851'!D45+'1851'!E46-'1851'!D46+'1851'!E47-'1851'!D47+'1851'!E48-'1851'!D48+'1851'!E49-'1851'!D49</f>
        <v>110.62700000000004</v>
      </c>
      <c r="D4" s="44">
        <f>'1852'!D4-'1852'!C4+'1852'!D6-'1852'!C6+'1852'!D8-'1852'!C8+'1852'!D10-'1852'!C10+'1852'!D12-'1852'!C12+'1852'!D14-'1852'!C14+'1852'!D16-'1852'!C16+'1852'!D18-'1852'!C18+'1852'!D20-'1852'!C20+'1852'!D22-'1852'!C22</f>
        <v>83.106000000000009</v>
      </c>
      <c r="E4" s="44">
        <f>'1853'!D4-'1853'!C4+'1853'!D6-'1853'!C6+'1853'!D8-'1853'!C8+'1853'!D10-'1853'!C10+'1853'!D12-'1853'!C12+'1853'!D14-'1853'!C14+'1853'!D16-'1853'!C16+'1853'!D18-'1853'!C18+'1853'!D20-'1853'!C20+'1853'!D22-'1853'!C22+'1853'!D26-'1853'!C26</f>
        <v>81.026999999999987</v>
      </c>
      <c r="G4" s="283">
        <f>1-B4/B5</f>
        <v>0.12843567251461929</v>
      </c>
      <c r="H4" s="283">
        <f t="shared" ref="H4:J4" si="0">1-C4/C5</f>
        <v>6.0891341256366083E-2</v>
      </c>
      <c r="I4" s="283">
        <f t="shared" si="0"/>
        <v>0.16139253279515753</v>
      </c>
      <c r="J4" s="283">
        <f t="shared" si="0"/>
        <v>8.8560179977503872E-2</v>
      </c>
    </row>
    <row r="5" spans="1:14">
      <c r="A5" s="44" t="s">
        <v>120</v>
      </c>
      <c r="B5" s="44">
        <f>'1850'!D26-'1850'!C26</f>
        <v>68.399999999999977</v>
      </c>
      <c r="C5" s="44">
        <f>'1851'!E26-'1851'!D26</f>
        <v>117.79999999999995</v>
      </c>
      <c r="D5" s="45">
        <f>'1852'!D26-'1852'!C26</f>
        <v>99.100000000000136</v>
      </c>
      <c r="E5" s="44">
        <f>'1853'!D27-'1853'!C27</f>
        <v>88.900000000000091</v>
      </c>
    </row>
    <row r="6" spans="1:14">
      <c r="A6" s="44" t="s">
        <v>121</v>
      </c>
      <c r="B6" s="304">
        <f>B5+C5+D5+E5</f>
        <v>374.20000000000016</v>
      </c>
      <c r="C6" s="304"/>
      <c r="D6" s="304"/>
      <c r="E6" s="304"/>
      <c r="G6" s="187">
        <f>1-B6/B7</f>
        <v>3.1824062095730521E-2</v>
      </c>
    </row>
    <row r="7" spans="1:14">
      <c r="A7" s="44" t="s">
        <v>122</v>
      </c>
      <c r="B7" s="304">
        <f>'1850'!D29-'1850'!C29</f>
        <v>386.5</v>
      </c>
      <c r="C7" s="304"/>
      <c r="D7" s="304"/>
      <c r="E7" s="304"/>
    </row>
    <row r="8" spans="1:14">
      <c r="A8" s="179" t="s">
        <v>123</v>
      </c>
      <c r="B8" s="180"/>
      <c r="C8" s="180"/>
      <c r="D8" s="180"/>
      <c r="E8" s="181"/>
    </row>
    <row r="9" spans="1:14">
      <c r="A9" s="44" t="s">
        <v>124</v>
      </c>
      <c r="B9" s="44">
        <f>'1850'!D5-'1850'!C5+'1850'!D7-'1850'!C7+'1850'!D9-'1850'!C9+'1850'!D11-'1850'!C11+'1850'!D13-'1850'!C13+'1850'!D15-'1850'!C15+'1850'!D17-'1850'!C17+'1850'!D19-'1850'!C19+'1850'!D21-'1850'!C21+'1850'!D23-'1850'!C23</f>
        <v>34.28</v>
      </c>
      <c r="C9" s="44">
        <f>'1851'!E5-'1851'!D5+'1851'!E7-'1851'!D7+'1851'!E9-'1851'!D9+'1851'!E11-'1851'!D11+'1851'!E13-'1851'!D13+'1851'!E15-'1851'!D15+'1851'!E17-'1851'!D17+'1851'!E19-'1851'!D19+'1851'!E21-'1851'!D21+'1851'!E23-'1851'!D23</f>
        <v>46.575999999999986</v>
      </c>
      <c r="D9" s="44">
        <f>'1852'!D5-'1852'!C5+'1852'!D7-'1852'!C7+'1852'!D9-'1852'!C9+'1852'!D11-'1852'!C11+'1852'!D13-'1852'!C13+'1852'!D15-'1852'!C15+'1852'!D17-'1852'!C17+'1852'!D19-'1852'!C19+'1852'!D21-'1852'!C21+'1852'!D23-'1852'!C23</f>
        <v>43.387000000000008</v>
      </c>
      <c r="E9" s="44">
        <f>'1853'!D5-'1853'!C5+'1853'!D7-'1853'!C7+'1853'!D9-'1853'!C9+'1853'!D11-'1853'!C11+'1853'!D13-'1853'!C13+'1853'!D15-'1853'!C15+'1853'!D17-'1853'!C17+'1853'!D19-'1853'!C19+'1853'!D21-'1853'!C21+'1853'!D23-'1853'!C23</f>
        <v>37.446999999999974</v>
      </c>
      <c r="G9" s="187">
        <f>1-B9/B10</f>
        <v>0.12640163098878743</v>
      </c>
      <c r="H9" s="187">
        <f t="shared" ref="H9:J9" si="1">1-C9/C10</f>
        <v>9.9040544722995394E-2</v>
      </c>
      <c r="I9" s="187">
        <f t="shared" si="1"/>
        <v>4.8781022537928598E-2</v>
      </c>
      <c r="J9" s="187">
        <f t="shared" si="1"/>
        <v>0.11548091458805843</v>
      </c>
    </row>
    <row r="10" spans="1:14">
      <c r="A10" s="44" t="s">
        <v>125</v>
      </c>
      <c r="B10" s="46">
        <f>('1850'!D27-'1850'!C27)*3.6</f>
        <v>39.240000000000023</v>
      </c>
      <c r="C10" s="44">
        <f>('1851'!E27-'1851'!D27)*3.6</f>
        <v>51.695999999999948</v>
      </c>
      <c r="D10" s="44">
        <f>('1852'!D27-'1852'!C27)*3.6</f>
        <v>45.612000000000009</v>
      </c>
      <c r="E10" s="44">
        <f>('1853'!D28-'1853'!C28)*3.6</f>
        <v>42.33600000000002</v>
      </c>
    </row>
    <row r="11" spans="1:14">
      <c r="A11" s="179" t="s">
        <v>126</v>
      </c>
      <c r="B11" s="180"/>
      <c r="C11" s="180"/>
      <c r="D11" s="180"/>
      <c r="E11" s="181"/>
    </row>
    <row r="12" spans="1:14">
      <c r="A12" s="44" t="s">
        <v>127</v>
      </c>
      <c r="B12" s="47">
        <f>'1850'!D25-'1850'!C25</f>
        <v>216</v>
      </c>
      <c r="C12" s="47">
        <f>'1851'!E24-'1851'!D24</f>
        <v>263</v>
      </c>
      <c r="D12" s="47">
        <f>'1852'!D25-'1852'!C25</f>
        <v>204</v>
      </c>
      <c r="E12" s="47">
        <f>'1853'!D24-'1853'!C24</f>
        <v>184</v>
      </c>
    </row>
    <row r="13" spans="1:14">
      <c r="A13" s="48"/>
      <c r="B13" s="49"/>
      <c r="C13" s="49"/>
      <c r="D13" s="49"/>
      <c r="E13" s="49"/>
      <c r="G13" s="49"/>
      <c r="H13" s="49"/>
      <c r="I13" s="49"/>
      <c r="J13" s="49"/>
    </row>
    <row r="14" spans="1:14">
      <c r="A14" s="48" t="s">
        <v>128</v>
      </c>
      <c r="B14" s="49">
        <f>'1853'!D25-'1853'!C25</f>
        <v>447</v>
      </c>
      <c r="C14" s="49"/>
      <c r="D14" s="49"/>
      <c r="E14" s="49"/>
      <c r="G14" s="49"/>
      <c r="H14" s="49"/>
      <c r="I14" s="284"/>
      <c r="J14" s="284"/>
      <c r="K14" s="137"/>
      <c r="L14" s="137"/>
      <c r="M14" s="137"/>
      <c r="N14" s="137"/>
    </row>
    <row r="15" spans="1:14">
      <c r="A15" s="48" t="s">
        <v>129</v>
      </c>
      <c r="B15" s="50">
        <f>'1853'!D26-'1853'!C26</f>
        <v>0</v>
      </c>
      <c r="C15" s="49"/>
      <c r="D15" s="49"/>
      <c r="E15" s="49"/>
      <c r="G15" s="49"/>
      <c r="H15" s="49"/>
      <c r="I15" s="284"/>
      <c r="J15" s="284"/>
      <c r="K15" s="137"/>
      <c r="L15" s="137"/>
      <c r="M15" s="137"/>
      <c r="N15" s="137"/>
    </row>
    <row r="16" spans="1:14">
      <c r="A16" s="48"/>
      <c r="B16" s="49"/>
      <c r="C16" s="49"/>
      <c r="D16" s="49"/>
      <c r="E16" s="49"/>
      <c r="G16" s="49"/>
      <c r="H16" s="49"/>
      <c r="I16" s="49"/>
      <c r="J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55">
        <f>'1854'!D4-'1854'!C4+'1854'!D6-'1854'!C6+'1854'!D8-'1854'!C8+'1854'!D10-'1854'!C10+'1854'!D12-'1854'!C12+'1854'!D14-'1854'!C14+'1854'!D16-'1854'!C16+'1854'!D18-'1854'!C18+'1854'!D20-'1854'!C20+'1854'!D22-'1854'!C22</f>
        <v>61.950999999999979</v>
      </c>
      <c r="C19" s="55">
        <f>'1855'!D4-'1855'!C4+'1855'!D6-'1855'!C6+'1855'!D8-'1855'!C8+'1855'!D10-'1855'!C10+'1855'!D12-'1855'!C12+'1855'!D14-'1855'!C14+'1855'!D16-'1855'!C16+'1855'!D18-'1855'!C18+'1855'!D20-'1855'!C20+'1855'!D22-'1855'!C22</f>
        <v>75.951000000000022</v>
      </c>
      <c r="D19" s="55">
        <f>'1856'!D4-'1856'!C4+'1856'!D6-'1856'!C6+'1856'!D8-'1856'!C8+'1856'!D10-'1856'!C10+'1856'!D12-'1856'!C12+'1856'!D14-'1856'!C14+'1856'!D16-'1856'!C16+'1856'!D18-'1856'!C18+'1856'!D20-'1856'!C20+'1856'!D22-'1856'!C22</f>
        <v>70.935999999999964</v>
      </c>
      <c r="E19" s="55">
        <f>'1857'!D4-'1857'!C4+'1857'!D6-'1857'!C6+'1857'!D8-'1857'!C8+'1857'!D10-'1857'!C10+'1857'!D12-'1857'!C12+'1857'!D14-'1857'!C14+'1857'!D16-'1857'!C16+'1857'!D18-'1857'!C18+'1857'!D20-'1857'!C20+'1857'!D22-'1857'!C22</f>
        <v>91.434999999999945</v>
      </c>
      <c r="F19" s="137"/>
      <c r="G19" s="283">
        <f>1-B19/B20</f>
        <v>7.3976083707025353E-2</v>
      </c>
      <c r="H19" s="283">
        <f t="shared" ref="H19:J19" si="2">1-C19/C20</f>
        <v>0.13495444191343897</v>
      </c>
      <c r="I19" s="283">
        <f t="shared" si="2"/>
        <v>9.1728553137005897E-2</v>
      </c>
      <c r="J19" s="283">
        <f t="shared" si="2"/>
        <v>8.3817635270541202E-2</v>
      </c>
    </row>
    <row r="20" spans="1:10">
      <c r="A20" s="44" t="s">
        <v>120</v>
      </c>
      <c r="B20" s="55">
        <f>'1854'!D26-'1854'!C26</f>
        <v>66.899999999999977</v>
      </c>
      <c r="C20" s="55">
        <f>'1855'!D26-'1855'!C26</f>
        <v>87.799999999999955</v>
      </c>
      <c r="D20" s="55">
        <f>'1856'!D26-'1856'!C26</f>
        <v>78.100000000000136</v>
      </c>
      <c r="E20" s="55">
        <f>'1857'!D26-'1857'!C26</f>
        <v>99.799999999999955</v>
      </c>
      <c r="F20" s="137"/>
    </row>
    <row r="21" spans="1:10">
      <c r="A21" s="44" t="s">
        <v>121</v>
      </c>
      <c r="B21" s="304">
        <f>B20+C20+D20+E20</f>
        <v>332.6</v>
      </c>
      <c r="C21" s="304"/>
      <c r="D21" s="304"/>
      <c r="E21" s="304"/>
      <c r="G21" s="187">
        <f>1-B21/B22</f>
        <v>-4.1653617287817246E-2</v>
      </c>
    </row>
    <row r="22" spans="1:10">
      <c r="A22" s="44" t="s">
        <v>122</v>
      </c>
      <c r="B22" s="304">
        <f>'1854'!D29-'1854'!C29</f>
        <v>319.29999999999995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'1854'!D5-'1854'!C5+'1854'!D7-'1854'!C7+'1854'!D9-'1854'!C9+'1854'!D11-'1854'!C11+'1854'!D13-'1854'!C13+'1854'!D15-'1854'!C15+'1854'!D17-'1854'!C17+'1854'!D19-'1854'!C19+'1854'!D21-'1854'!C21+'1854'!D23-'1854'!C23</f>
        <v>38.239000000000019</v>
      </c>
      <c r="C24" s="44">
        <f>'1855'!D5-'1855'!C5+'1855'!D7-'1855'!C7+'1855'!D9-'1855'!C9+'1855'!D11-'1855'!C11+'1855'!D13-'1855'!C13+'1855'!D15-'1855'!C15+'1855'!D17-'1855'!C17+'1855'!D19-'1855'!C19+'1855'!D21-'1855'!C21+'1855'!D23-'1855'!C23</f>
        <v>44.706999999999994</v>
      </c>
      <c r="D24" s="44">
        <f>'1856'!D5-'1856'!C5+'1856'!D7-'1856'!C7+'1856'!D9-'1856'!C9+'1856'!D11-'1856'!C11+'1856'!D13-'1856'!C13+'1856'!D15-'1856'!C15+'1856'!D17-'1856'!C17+'1856'!D19-'1856'!C19+'1856'!D21-'1856'!C21+'1856'!D23-'1856'!C23</f>
        <v>38.771000000000029</v>
      </c>
      <c r="E24" s="44">
        <f>'1857'!D5-'1857'!C5+'1857'!D7-'1857'!C7+'1857'!D9-'1857'!C9+'1857'!D11-'1857'!C11+'1857'!D13-'1857'!C13+'1857'!D15-'1857'!C15+'1857'!D17-'1857'!C17+'1857'!D19-'1857'!C19+'1857'!D21-'1857'!C21+'1857'!D23-'1857'!C23</f>
        <v>39.887999999999963</v>
      </c>
      <c r="G24" s="187">
        <f>1-B24/B25</f>
        <v>5.3490099009900649E-2</v>
      </c>
      <c r="H24" s="187">
        <f t="shared" ref="H24:J24" si="3">1-C24/C25</f>
        <v>6.3531629660661948E-2</v>
      </c>
      <c r="I24" s="187">
        <f t="shared" si="3"/>
        <v>7.7978596908441888E-2</v>
      </c>
      <c r="J24" s="187">
        <f t="shared" si="3"/>
        <v>0.10864804469273859</v>
      </c>
    </row>
    <row r="25" spans="1:10">
      <c r="A25" s="44" t="s">
        <v>125</v>
      </c>
      <c r="B25" s="52">
        <f>('1854'!D27-'1854'!C27)</f>
        <v>40.400000000000006</v>
      </c>
      <c r="C25" s="247">
        <f>('1855'!D27-'1855'!C27)</f>
        <v>47.739999999999995</v>
      </c>
      <c r="D25" s="52">
        <f>('1856'!D27-'1856'!C27)</f>
        <v>42.050000000000011</v>
      </c>
      <c r="E25" s="52">
        <f>('1857'!D27-'1857'!C27)</f>
        <v>44.750000000000014</v>
      </c>
    </row>
    <row r="26" spans="1:10">
      <c r="A26" s="179" t="s">
        <v>126</v>
      </c>
      <c r="B26" s="180"/>
      <c r="C26" s="180"/>
      <c r="D26" s="180"/>
      <c r="E26" s="181"/>
    </row>
    <row r="27" spans="1:10">
      <c r="A27" s="44" t="s">
        <v>127</v>
      </c>
      <c r="B27" s="47">
        <f>'1854'!D25-'1854'!C25</f>
        <v>246</v>
      </c>
      <c r="C27" s="47">
        <f>'1855'!D25-'1855'!C25</f>
        <v>307</v>
      </c>
      <c r="D27" s="47">
        <f>'1856'!D25-'1856'!C25</f>
        <v>180</v>
      </c>
      <c r="E27" s="47">
        <f>'1857'!D25-'1857'!C25</f>
        <v>212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G13:J17 G28:J65536">
    <cfRule type="cellIs" dxfId="60" priority="2" stopIfTrue="1" operator="lessThan">
      <formula>0</formula>
    </cfRule>
  </conditionalFormatting>
  <conditionalFormatting sqref="G1:J2 G13:H17 G28:J65536 I13:J13 I16:J17">
    <cfRule type="cellIs" dxfId="59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E26" sqref="E26"/>
    </sheetView>
  </sheetViews>
  <sheetFormatPr defaultColWidth="9" defaultRowHeight="18"/>
  <cols>
    <col min="1" max="1" width="35" style="41" customWidth="1"/>
    <col min="2" max="5" width="11.42578125" style="41" customWidth="1"/>
    <col min="6" max="6" width="6.7109375" style="41" customWidth="1"/>
    <col min="7" max="10" width="11.42578125" style="137" customWidth="1"/>
    <col min="11" max="12" width="9" style="137" customWidth="1"/>
    <col min="13" max="14" width="9" style="137"/>
    <col min="15" max="16384" width="9" style="41"/>
  </cols>
  <sheetData>
    <row r="1" spans="1:10">
      <c r="A1" s="42" t="s">
        <v>130</v>
      </c>
      <c r="B1" s="43">
        <f>'S1'!B1</f>
        <v>2021</v>
      </c>
    </row>
    <row r="3" spans="1:10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10">
      <c r="A4" s="51" t="s">
        <v>119</v>
      </c>
      <c r="B4" s="44">
        <f>'1850'!E4-'1850'!D4+'1850'!E6-'1850'!D6+'1850'!E8-'1850'!D8+'1850'!E10-'1850'!D10+'1850'!E12-'1850'!D12+'1850'!E14-'1850'!D14+'1850'!E16-'1850'!D16+'1850'!E18-'1850'!D18+'1850'!E20-'1850'!D20+'1850'!E22-'1850'!D22</f>
        <v>54.760000000000019</v>
      </c>
      <c r="C4" s="44">
        <f>'1851'!F4-'1851'!E4+'1851'!F6-'1851'!E6+'1851'!F8-'1851'!E8+'1851'!F10-'1851'!E10+'1851'!F12-'1851'!E12+'1851'!F14-'1851'!E14+'1851'!F16-'1851'!E16+'1851'!F18-'1851'!E18+'1851'!F20-'1851'!E20+'1851'!F22-'1851'!E22+'1851'!F33-'1851'!E33+'1851'!F34-'1851'!E34+'1851'!F35-'1851'!E35+'1851'!F36-'1851'!E36+'1851'!F37-'1851'!E37+'1851'!F40-'1851'!E40+'1851'!F41-'1851'!E41+'1851'!F42-'1851'!E42+'1851'!F43-'1851'!E43+'1851'!F44-'1851'!E44+'1851'!F45-'1851'!E45+'1851'!F46-'1851'!E46+'1851'!F47-'1851'!E47+'1851'!F48-'1851'!E48+'1851'!F49-'1851'!E49</f>
        <v>110.75399999999993</v>
      </c>
      <c r="D4" s="44">
        <f>'1852'!E4-'1852'!D4+'1852'!E6-'1852'!D6+'1852'!E8-'1852'!D8+'1852'!E10-'1852'!D10+'1852'!E12-'1852'!D12+'1852'!E14-'1852'!D14+'1852'!E16-'1852'!D16+'1852'!E18-'1852'!D18+'1852'!E20-'1852'!D20+'1852'!E22-'1852'!D22</f>
        <v>75.190999999999946</v>
      </c>
      <c r="E4" s="44">
        <f>'1853'!E4-'1853'!D4+'1853'!E6-'1853'!D6+'1853'!E8-'1853'!D8+'1853'!E10-'1853'!D10+'1853'!E12-'1853'!D12+'1853'!E14-'1853'!D14+'1853'!E16-'1853'!D16+'1853'!E18-'1853'!D18+'1853'!E20-'1853'!D20+'1853'!E22-'1853'!D22+'1853'!E26-'1853'!D26</f>
        <v>72.958000000000027</v>
      </c>
      <c r="G4" s="283">
        <f>1-B4/B5</f>
        <v>0.10668841761826986</v>
      </c>
      <c r="H4" s="283">
        <f t="shared" ref="H4:J4" si="0">1-C4/C5</f>
        <v>5.9014443500425728E-2</v>
      </c>
      <c r="I4" s="283">
        <f t="shared" si="0"/>
        <v>0.14942307692307621</v>
      </c>
      <c r="J4" s="283">
        <f t="shared" si="0"/>
        <v>9.4813895781636348E-2</v>
      </c>
    </row>
    <row r="5" spans="1:10">
      <c r="A5" s="51" t="s">
        <v>120</v>
      </c>
      <c r="B5" s="44">
        <f>'1850'!E26-'1850'!D26</f>
        <v>61.299999999999955</v>
      </c>
      <c r="C5" s="44">
        <f>'1851'!F26-'1851'!E26</f>
        <v>117.70000000000005</v>
      </c>
      <c r="D5" s="44">
        <f>'1852'!E26-'1852'!D26</f>
        <v>88.399999999999864</v>
      </c>
      <c r="E5" s="44">
        <f>'1853'!E27-'1853'!D27</f>
        <v>80.599999999999909</v>
      </c>
    </row>
    <row r="6" spans="1:10">
      <c r="A6" s="51" t="s">
        <v>121</v>
      </c>
      <c r="B6" s="304">
        <f>SUM(B5:E5)</f>
        <v>347.99999999999977</v>
      </c>
      <c r="C6" s="304"/>
      <c r="D6" s="304"/>
      <c r="E6" s="304"/>
      <c r="G6" s="283">
        <f>1-B6/B7</f>
        <v>2.9559397657558772E-2</v>
      </c>
    </row>
    <row r="7" spans="1:10">
      <c r="A7" s="51" t="s">
        <v>122</v>
      </c>
      <c r="B7" s="304">
        <f>'1850'!E29-'1850'!D29</f>
        <v>358.60000000000036</v>
      </c>
      <c r="C7" s="304"/>
      <c r="D7" s="304"/>
      <c r="E7" s="304"/>
    </row>
    <row r="8" spans="1:10">
      <c r="A8" s="179" t="s">
        <v>123</v>
      </c>
      <c r="B8" s="182"/>
      <c r="C8" s="180"/>
      <c r="D8" s="180"/>
      <c r="E8" s="181"/>
    </row>
    <row r="9" spans="1:10">
      <c r="A9" s="44" t="s">
        <v>124</v>
      </c>
      <c r="B9" s="44">
        <f>'1850'!E5-'1850'!D5+'1850'!E7-'1850'!D7+'1850'!E9-'1850'!D9+'1850'!E11-'1850'!D11+'1850'!E13-'1850'!D13+'1850'!E15-'1850'!D15+'1850'!E17-'1850'!D17+'1850'!E19-'1850'!D19+'1850'!E21-'1850'!D21+'1850'!E23-'1850'!D23</f>
        <v>29.429000000000002</v>
      </c>
      <c r="C9" s="44">
        <f>'1851'!F5-'1851'!E5+'1851'!F7-'1851'!E7+'1851'!F9-'1851'!E9+'1851'!F11-'1851'!E11+'1851'!F13-'1851'!E13+'1851'!F15-'1851'!E15+'1851'!F17-'1851'!E17+'1851'!F19-'1851'!E19+'1851'!F21-'1851'!E21+'1851'!F23-'1851'!E23</f>
        <v>42.400000000000006</v>
      </c>
      <c r="D9" s="44">
        <f>'1852'!E5-'1852'!D5+'1852'!E7-'1852'!D7+'1852'!E9-'1852'!D9+'1852'!E11-'1852'!D11+'1852'!E13-'1852'!D13+'1852'!E15-'1852'!D15+'1852'!E17-'1852'!D17+'1852'!E19-'1852'!D19+'1852'!E21-'1852'!D21+'1852'!E23-'1852'!D23</f>
        <v>37.307000000000002</v>
      </c>
      <c r="E9" s="44">
        <f>'1853'!E5-'1853'!D5+'1853'!E7-'1853'!D7+'1853'!E9-'1853'!D9+'1853'!E11-'1853'!D11+'1853'!E13-'1853'!D13+'1853'!E15-'1853'!D15+'1853'!E17-'1853'!D17+'1853'!E19-'1853'!D19+'1853'!E21-'1853'!D21+'1853'!E23-'1853'!D23</f>
        <v>32.699999999999989</v>
      </c>
      <c r="G9" s="283">
        <f>1-B9/B10</f>
        <v>0.11815294258659914</v>
      </c>
      <c r="H9" s="283">
        <f t="shared" ref="H9:J9" si="1">1-C9/C10</f>
        <v>0.10571163418543927</v>
      </c>
      <c r="I9" s="283">
        <f t="shared" si="1"/>
        <v>6.6966677381363748E-4</v>
      </c>
      <c r="J9" s="283">
        <f t="shared" si="1"/>
        <v>0.11726595400064765</v>
      </c>
    </row>
    <row r="10" spans="1:10">
      <c r="A10" s="44" t="s">
        <v>125</v>
      </c>
      <c r="B10" s="52">
        <f>('1850'!E27-'1850'!D27)*3.6</f>
        <v>33.371999999999986</v>
      </c>
      <c r="C10" s="44">
        <f>('1851'!F27-'1851'!E27)*3.6</f>
        <v>47.412000000000056</v>
      </c>
      <c r="D10" s="44">
        <f>('1852'!E27-'1852'!D27)*3.6</f>
        <v>37.332000000000015</v>
      </c>
      <c r="E10" s="44">
        <f>('1853'!E28-'1853'!D28)*3.6</f>
        <v>37.043999999999976</v>
      </c>
    </row>
    <row r="11" spans="1:10">
      <c r="A11" s="179" t="s">
        <v>131</v>
      </c>
      <c r="B11" s="180"/>
      <c r="C11" s="180"/>
      <c r="D11" s="180"/>
      <c r="E11" s="181"/>
    </row>
    <row r="12" spans="1:10">
      <c r="A12" s="44" t="s">
        <v>127</v>
      </c>
      <c r="B12" s="47">
        <f>'1850'!E25-'1850'!D25</f>
        <v>422</v>
      </c>
      <c r="C12" s="47">
        <f>'1851'!F24-'1851'!E24</f>
        <v>582</v>
      </c>
      <c r="D12" s="47">
        <f>'1852'!E25-'1852'!D25</f>
        <v>1222</v>
      </c>
      <c r="E12" s="47">
        <f>'1853'!E24-'1853'!D24</f>
        <v>166</v>
      </c>
    </row>
    <row r="13" spans="1:10">
      <c r="A13" s="48"/>
      <c r="B13" s="49"/>
      <c r="C13" s="49"/>
      <c r="D13" s="49"/>
      <c r="E13" s="49"/>
      <c r="F13" s="49"/>
      <c r="G13" s="284"/>
      <c r="H13" s="284"/>
      <c r="I13" s="284"/>
      <c r="J13" s="284"/>
    </row>
    <row r="14" spans="1:10">
      <c r="A14" s="48" t="s">
        <v>128</v>
      </c>
      <c r="B14" s="49">
        <f>'1853'!E25-'1853'!D25</f>
        <v>341</v>
      </c>
      <c r="C14" s="49"/>
      <c r="D14" s="49"/>
      <c r="E14" s="49"/>
      <c r="F14" s="49"/>
      <c r="G14" s="284"/>
      <c r="H14" s="284"/>
      <c r="I14" s="284"/>
      <c r="J14" s="284"/>
    </row>
    <row r="15" spans="1:10">
      <c r="A15" s="48" t="s">
        <v>129</v>
      </c>
      <c r="B15" s="50">
        <f>'1853'!E26-'1853'!D26</f>
        <v>0</v>
      </c>
      <c r="C15" s="49"/>
      <c r="D15" s="49"/>
      <c r="E15" s="49"/>
      <c r="F15" s="49"/>
      <c r="G15" s="284"/>
      <c r="H15" s="284"/>
      <c r="I15" s="284"/>
      <c r="J15" s="284"/>
    </row>
    <row r="16" spans="1:10">
      <c r="A16" s="48"/>
      <c r="B16" s="49"/>
      <c r="C16" s="49"/>
      <c r="D16" s="49"/>
      <c r="E16" s="49"/>
      <c r="F16" s="49"/>
      <c r="G16" s="284"/>
      <c r="H16" s="284"/>
      <c r="I16" s="284"/>
      <c r="J16" s="284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55">
        <f>'1854'!E4-'1854'!D4+'1854'!E6-'1854'!D6+'1854'!E8-'1854'!D8+'1854'!E10-'1854'!D10+'1854'!E12-'1854'!D12+'1854'!E14-'1854'!D14+'1854'!E16-'1854'!D16+'1854'!E18-'1854'!D18+'1854'!E20-'1854'!D20+'1854'!E22-'1854'!D22</f>
        <v>54.760999999999953</v>
      </c>
      <c r="C19" s="55">
        <f>'1855'!E4-'1855'!D4+'1855'!E6-'1855'!D6+'1855'!E8-'1855'!D8+'1855'!E10-'1855'!D10+'1855'!E12-'1855'!D12+'1855'!E14-'1855'!D14+'1855'!E16-'1855'!D16+'1855'!E18-'1855'!D18+'1855'!E20-'1855'!D20+'1855'!E22-'1855'!D22</f>
        <v>74.052999999999997</v>
      </c>
      <c r="D19" s="55">
        <f>'1856'!E4-'1856'!D4+'1856'!E6-'1856'!D6+'1856'!E8-'1856'!D8+'1856'!E10-'1856'!D10+'1856'!E12-'1856'!D12+'1856'!E14-'1856'!D14+'1856'!E16-'1856'!D16+'1856'!E18-'1856'!D18+'1856'!E20-'1856'!D20+'1856'!E22-'1856'!D22</f>
        <v>67.794999999999987</v>
      </c>
      <c r="E19" s="55">
        <f>'1857'!E4-'1857'!D4+'1857'!E6-'1857'!D6+'1857'!E8-'1857'!D8+'1857'!E10-'1857'!D10+'1857'!E12-'1857'!D12+'1857'!E14-'1857'!D14+'1857'!E16-'1857'!D16+'1857'!E18-'1857'!D18+'1857'!E20-'1857'!D20+'1857'!E22-'1857'!D22</f>
        <v>76.965000000000032</v>
      </c>
      <c r="F19" s="137"/>
      <c r="G19" s="283">
        <f>1-B19/B20</f>
        <v>8.4264214046822827E-2</v>
      </c>
      <c r="H19" s="283">
        <f t="shared" ref="H19:J19" si="2">1-C19/C20</f>
        <v>0.13286885245901736</v>
      </c>
      <c r="I19" s="283">
        <f t="shared" si="2"/>
        <v>9.6066666666666856E-2</v>
      </c>
      <c r="J19" s="283">
        <f t="shared" si="2"/>
        <v>8.4839476813318604E-2</v>
      </c>
    </row>
    <row r="20" spans="1:10">
      <c r="A20" s="44" t="s">
        <v>120</v>
      </c>
      <c r="B20" s="55">
        <f>'1854'!E26-'1854'!D26</f>
        <v>59.799999999999955</v>
      </c>
      <c r="C20" s="55">
        <f>'1855'!E26-'1855'!D26</f>
        <v>85.400000000000091</v>
      </c>
      <c r="D20" s="55">
        <f>'1856'!E26-'1856'!D26</f>
        <v>75</v>
      </c>
      <c r="E20" s="55">
        <f>'1857'!E26-'1857'!D26</f>
        <v>84.100000000000136</v>
      </c>
      <c r="F20" s="137"/>
    </row>
    <row r="21" spans="1:10">
      <c r="A21" s="44" t="s">
        <v>121</v>
      </c>
      <c r="B21" s="304">
        <f>SUM(B20:E20)</f>
        <v>304.30000000000018</v>
      </c>
      <c r="C21" s="304"/>
      <c r="D21" s="304"/>
      <c r="E21" s="304"/>
      <c r="G21" s="283">
        <f>1-B21/B22</f>
        <v>-4.3195063421323843E-2</v>
      </c>
    </row>
    <row r="22" spans="1:10">
      <c r="A22" s="44" t="s">
        <v>122</v>
      </c>
      <c r="B22" s="304">
        <f>'1854'!E29-'1854'!D29</f>
        <v>291.70000000000005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'1854'!E5-'1854'!D5+'1854'!E7-'1854'!D7+'1854'!E9-'1854'!D9+'1854'!E11-'1854'!D11+'1854'!E13-'1854'!D13+'1854'!E15-'1854'!D15+'1854'!E17-'1854'!D17+'1854'!E19-'1854'!D19+'1854'!E21-'1854'!D21+'1854'!E23-'1854'!D23</f>
        <v>32.926999999999992</v>
      </c>
      <c r="C24" s="44">
        <f>'1855'!E5-'1855'!D5+'1855'!E7-'1855'!D7+'1855'!E9-'1855'!D9+'1855'!E11-'1855'!D11+'1855'!E13-'1855'!D13+'1855'!E15-'1855'!D15+'1855'!E17-'1855'!D17+'1855'!E19-'1855'!D19+'1855'!E21-'1855'!D21+'1855'!E23-'1855'!D23</f>
        <v>40.317000000000021</v>
      </c>
      <c r="D24" s="44">
        <f>'1856'!E5-'1856'!D5+'1856'!E7-'1856'!D7+'1856'!E9-'1856'!D9+'1856'!E11-'1856'!D11+'1856'!E13-'1856'!D13+'1856'!E15-'1856'!D15+'1856'!E17-'1856'!D17+'1856'!E19-'1856'!D19+'1856'!E21-'1856'!D21+'1856'!E23-'1856'!D23</f>
        <v>33.967999999999961</v>
      </c>
      <c r="E24" s="44">
        <f>'1857'!E5-'1857'!D5+'1857'!E7-'1857'!D7+'1857'!E9-'1857'!D9+'1857'!E11-'1857'!D11+'1857'!E13-'1857'!D13+'1857'!E15-'1857'!D15+'1857'!E17-'1857'!D17+'1857'!E19-'1857'!D19+'1857'!E21-'1857'!D21+'1857'!E23-'1857'!D23</f>
        <v>33.513000000000019</v>
      </c>
      <c r="G24" s="283">
        <f>1-B24/B25</f>
        <v>6.1106358711149111E-2</v>
      </c>
      <c r="H24" s="283">
        <f t="shared" ref="H24:J24" si="3">1-C24/C25</f>
        <v>6.846118299445425E-2</v>
      </c>
      <c r="I24" s="283">
        <f t="shared" si="3"/>
        <v>8.1945945945946952E-2</v>
      </c>
      <c r="J24" s="283">
        <f t="shared" si="3"/>
        <v>0.13043591074208549</v>
      </c>
    </row>
    <row r="25" spans="1:10">
      <c r="A25" s="44" t="s">
        <v>125</v>
      </c>
      <c r="B25" s="52">
        <f>('1854'!E27-'1854'!D27)</f>
        <v>35.069999999999993</v>
      </c>
      <c r="C25" s="52">
        <f>('1855'!E27-'1855'!D27)</f>
        <v>43.28</v>
      </c>
      <c r="D25" s="52">
        <f>('1856'!E27-'1856'!D27)</f>
        <v>37</v>
      </c>
      <c r="E25" s="52">
        <f>('1857'!E27-'1857'!D27)</f>
        <v>38.539999999999992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'1854'!E25-'1854'!D25</f>
        <v>235</v>
      </c>
      <c r="C27" s="47">
        <f>'1855'!E25-'1855'!D25</f>
        <v>387</v>
      </c>
      <c r="D27" s="47">
        <f>'1856'!E25-'1856'!D25</f>
        <v>406</v>
      </c>
      <c r="E27" s="47">
        <f>'1857'!E25-'1857'!D25</f>
        <v>379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I2 G13:I13 G16:I17 G28:I65536">
    <cfRule type="cellIs" dxfId="58" priority="4" stopIfTrue="1" operator="lessThan">
      <formula>0</formula>
    </cfRule>
  </conditionalFormatting>
  <conditionalFormatting sqref="G1:J2 G13:J17 G28:J65536">
    <cfRule type="cellIs" dxfId="57" priority="3" stopIfTrue="1" operator="lessThan">
      <formula>0</formula>
    </cfRule>
  </conditionalFormatting>
  <conditionalFormatting sqref="G1:J2 G13:H17 G28:J65536 I13:J13 I16:J17">
    <cfRule type="cellIs" dxfId="56" priority="2" stopIfTrue="1" operator="lessThan">
      <formula>0</formula>
    </cfRule>
  </conditionalFormatting>
  <conditionalFormatting sqref="I14:J15">
    <cfRule type="cellIs" dxfId="55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D30" sqref="D30"/>
    </sheetView>
  </sheetViews>
  <sheetFormatPr defaultColWidth="9" defaultRowHeight="18"/>
  <cols>
    <col min="1" max="1" width="35" style="41" customWidth="1"/>
    <col min="2" max="5" width="11.42578125" style="41" customWidth="1"/>
    <col min="6" max="6" width="9.85546875" style="41" customWidth="1"/>
    <col min="7" max="10" width="11.42578125" style="137" customWidth="1"/>
    <col min="11" max="15" width="6.42578125" style="41" customWidth="1"/>
    <col min="16" max="16384" width="9" style="41"/>
  </cols>
  <sheetData>
    <row r="1" spans="1:11">
      <c r="A1" s="42" t="s">
        <v>132</v>
      </c>
      <c r="B1" s="43">
        <f>'S1'!B1</f>
        <v>2021</v>
      </c>
    </row>
    <row r="3" spans="1:11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11">
      <c r="A4" s="51" t="s">
        <v>119</v>
      </c>
      <c r="B4" s="44">
        <f>'1850'!F4-'1850'!E4+'1850'!F6-'1850'!E6+'1850'!F8-'1850'!E8+'1850'!F10-'1850'!E10+'1850'!F12-'1850'!E12+'1850'!F14-'1850'!E14+'1850'!F16-'1850'!E16+'1850'!F18-'1850'!E18+'1850'!F20-'1850'!E20+'1850'!F22-'1850'!E22</f>
        <v>55.133999999999929</v>
      </c>
      <c r="C4" s="44">
        <f>'1851'!G4-'1851'!F4+'1851'!G6-'1851'!F6+'1851'!G8-'1851'!F8+'1851'!G10-'1851'!F10+'1851'!G12-'1851'!F12+'1851'!G14-'1851'!F14+'1851'!G16-'1851'!F16+'1851'!G18-'1851'!F18+'1851'!G20-'1851'!F20+'1851'!G22-'1851'!F22+'1851'!G33-'1851'!F33+'1851'!G34-'1851'!F34+'1851'!G35-'1851'!F35+'1851'!G36-'1851'!F36+'1851'!G37-'1851'!F37+'1851'!G40-'1851'!F40+'1851'!G41-'1851'!F41+'1851'!G42-'1851'!F42+'1851'!G43-'1851'!F43+'1851'!G44-'1851'!F44+'1851'!G45-'1851'!F45+'1851'!G46-'1851'!F46+'1851'!G47-'1851'!F47+'1851'!G48-'1851'!F48+'1851'!G49-'1851'!F49</f>
        <v>124.395</v>
      </c>
      <c r="D4" s="44">
        <f>'1852'!F4-'1852'!E4+'1852'!F6-'1852'!E6+'1852'!F8-'1852'!E8+'1852'!F10-'1852'!E10+'1852'!F12-'1852'!E12+'1852'!F14-'1852'!E14+'1852'!F16-'1852'!E16+'1852'!F18-'1852'!E18+'1852'!F20-'1852'!E20+'1852'!F22-'1852'!E22</f>
        <v>81.582000000000036</v>
      </c>
      <c r="E4" s="44">
        <f>'1853'!F4-'1853'!E4+'1853'!F6-'1853'!E6+'1853'!F8-'1853'!E8+'1853'!F10-'1853'!E10+'1853'!F12-'1853'!E12+'1853'!F14-'1853'!E14+'1853'!F16-'1853'!E16+'1853'!F18-'1853'!E18+'1853'!F20-'1853'!E20+'1853'!F22-'1853'!E22+'1853'!F26-'1853'!E26</f>
        <v>78.44199999999995</v>
      </c>
      <c r="G4" s="283">
        <f>1-B4/B5</f>
        <v>0.11502407704654949</v>
      </c>
      <c r="H4" s="283">
        <f t="shared" ref="H4:J4" si="0">1-C4/C5</f>
        <v>5.9039334341906557E-2</v>
      </c>
      <c r="I4" s="283">
        <f t="shared" si="0"/>
        <v>0.16497441146366432</v>
      </c>
      <c r="J4" s="283">
        <f t="shared" si="0"/>
        <v>9.2106481481483038E-2</v>
      </c>
    </row>
    <row r="5" spans="1:11">
      <c r="A5" s="51" t="s">
        <v>120</v>
      </c>
      <c r="B5" s="44">
        <f>'1850'!F26-'1850'!E26</f>
        <v>62.299999999999955</v>
      </c>
      <c r="C5" s="44">
        <f>'1851'!G26-'1851'!F26</f>
        <v>132.20000000000005</v>
      </c>
      <c r="D5" s="44">
        <f>'1852'!F26-'1852'!E26</f>
        <v>97.700000000000045</v>
      </c>
      <c r="E5" s="44">
        <f>'1853'!F27-'1853'!E27</f>
        <v>86.400000000000091</v>
      </c>
    </row>
    <row r="6" spans="1:11">
      <c r="A6" s="51" t="s">
        <v>121</v>
      </c>
      <c r="B6" s="304">
        <f>SUM(B5:E5)</f>
        <v>378.60000000000014</v>
      </c>
      <c r="C6" s="304"/>
      <c r="D6" s="304"/>
      <c r="E6" s="304"/>
      <c r="G6" s="283">
        <f>1-B6/B7</f>
        <v>2.6985350809561104E-2</v>
      </c>
    </row>
    <row r="7" spans="1:11">
      <c r="A7" s="51" t="s">
        <v>122</v>
      </c>
      <c r="B7" s="304">
        <f>'1850'!F29-'1850'!E29</f>
        <v>389.10000000000036</v>
      </c>
      <c r="C7" s="304"/>
      <c r="D7" s="304"/>
      <c r="E7" s="304"/>
    </row>
    <row r="8" spans="1:11">
      <c r="A8" s="179" t="s">
        <v>123</v>
      </c>
      <c r="B8" s="182"/>
      <c r="C8" s="180"/>
      <c r="D8" s="180"/>
      <c r="E8" s="181"/>
    </row>
    <row r="9" spans="1:11">
      <c r="A9" s="44" t="s">
        <v>124</v>
      </c>
      <c r="B9" s="44">
        <f>'1850'!F5-'1850'!E5+'1850'!F7-'1850'!E7+'1850'!F9-'1850'!E9+'1850'!F11-'1850'!E11+'1850'!F13-'1850'!E13+'1850'!F15-'1850'!E15+'1850'!F17-'1850'!E17+'1850'!F19-'1850'!E19+'1850'!F21-'1850'!E21+'1850'!F23-'1850'!E23</f>
        <v>23.475000000000009</v>
      </c>
      <c r="C9" s="44">
        <f>'1851'!G5-'1851'!F5+'1851'!G7-'1851'!F7+'1851'!G9-'1851'!F9+'1851'!G11-'1851'!F11+'1851'!G13-'1851'!F13+'1851'!G15-'1851'!F15+'1851'!G17-'1851'!F17+'1851'!G19-'1851'!F19+'1851'!G21-'1851'!F21+'1851'!G23-'1851'!F23</f>
        <v>34.713999999999977</v>
      </c>
      <c r="D9" s="44">
        <f>'1852'!F5-'1852'!E5+'1852'!F7-'1852'!E7+'1852'!F9-'1852'!E9+'1852'!F11-'1852'!E11+'1852'!F13-'1852'!E13+'1852'!F15-'1852'!E15+'1852'!F17-'1852'!E17+'1852'!F19-'1852'!E19+'1852'!F21-'1852'!E21+'1852'!F23-'1852'!E23</f>
        <v>30.153000000000013</v>
      </c>
      <c r="E9" s="44">
        <f>'1853'!F5-'1853'!E5+'1853'!F7-'1853'!E7+'1853'!F9-'1853'!E9+'1853'!F11-'1853'!E11+'1853'!F13-'1853'!E13+'1853'!F15-'1853'!E15+'1853'!F17-'1853'!E17+'1853'!F19-'1853'!E19+'1853'!F21-'1853'!E21+'1853'!F23-'1853'!E23</f>
        <v>25.824000000000026</v>
      </c>
      <c r="G9" s="283">
        <f>1-B9/B10</f>
        <v>0.13401947764497546</v>
      </c>
      <c r="H9" s="283">
        <f t="shared" ref="H9:J9" si="1">1-C9/C10</f>
        <v>0.13049794609758625</v>
      </c>
      <c r="I9" s="283">
        <f t="shared" si="1"/>
        <v>6.4254646105167401E-3</v>
      </c>
      <c r="J9" s="283">
        <f t="shared" si="1"/>
        <v>0.14194577352472004</v>
      </c>
    </row>
    <row r="10" spans="1:11">
      <c r="A10" s="44" t="s">
        <v>125</v>
      </c>
      <c r="B10" s="52">
        <f>('1850'!F27-'1850'!E27)*3.6</f>
        <v>27.108000000000004</v>
      </c>
      <c r="C10" s="44">
        <f>('1851'!G27-'1851'!F27)*3.6</f>
        <v>39.924000000000014</v>
      </c>
      <c r="D10" s="44">
        <f>('1852'!F27-'1852'!E27)*3.6</f>
        <v>30.347999999999974</v>
      </c>
      <c r="E10" s="44">
        <f>('1853'!F28-'1853'!E28)*3.6</f>
        <v>30.096</v>
      </c>
    </row>
    <row r="11" spans="1:11">
      <c r="A11" s="179" t="s">
        <v>131</v>
      </c>
      <c r="B11" s="180"/>
      <c r="C11" s="180"/>
      <c r="D11" s="180"/>
      <c r="E11" s="181"/>
    </row>
    <row r="12" spans="1:11">
      <c r="A12" s="44" t="s">
        <v>127</v>
      </c>
      <c r="B12" s="53">
        <f>'1850'!F25-'1850'!E25</f>
        <v>197</v>
      </c>
      <c r="C12" s="47">
        <f>'1851'!G24-'1851'!F24</f>
        <v>242</v>
      </c>
      <c r="D12" s="47">
        <f>'1852'!F25-'1852'!E25</f>
        <v>214</v>
      </c>
      <c r="E12" s="47">
        <f>'1853'!F24-'1853'!E24</f>
        <v>209</v>
      </c>
    </row>
    <row r="13" spans="1:11">
      <c r="A13" s="48"/>
      <c r="B13" s="49"/>
      <c r="C13" s="49"/>
      <c r="D13" s="49"/>
      <c r="E13" s="49"/>
      <c r="F13" s="49"/>
      <c r="G13" s="284"/>
      <c r="H13" s="284"/>
      <c r="I13" s="284"/>
      <c r="J13" s="284"/>
      <c r="K13" s="49"/>
    </row>
    <row r="14" spans="1:11">
      <c r="A14" s="48" t="s">
        <v>128</v>
      </c>
      <c r="B14" s="49">
        <f>'1853'!F25-'1853'!E25</f>
        <v>322</v>
      </c>
      <c r="C14" s="49"/>
      <c r="D14" s="49"/>
      <c r="E14" s="49"/>
      <c r="F14" s="49"/>
      <c r="G14" s="284"/>
      <c r="H14" s="284"/>
      <c r="I14" s="284"/>
      <c r="J14" s="284"/>
    </row>
    <row r="15" spans="1:11">
      <c r="A15" s="48" t="s">
        <v>129</v>
      </c>
      <c r="B15" s="50">
        <f>'1853'!F26-'1853'!E26</f>
        <v>0</v>
      </c>
      <c r="C15" s="49"/>
      <c r="D15" s="49"/>
      <c r="E15" s="49"/>
      <c r="F15" s="49"/>
      <c r="G15" s="284"/>
      <c r="H15" s="284"/>
      <c r="I15" s="284"/>
      <c r="J15" s="284"/>
    </row>
    <row r="16" spans="1:11">
      <c r="A16" s="48"/>
      <c r="B16" s="49"/>
      <c r="C16" s="49"/>
      <c r="D16" s="49"/>
      <c r="E16" s="49"/>
      <c r="F16" s="49"/>
      <c r="G16" s="284"/>
      <c r="H16" s="284"/>
      <c r="I16" s="284"/>
      <c r="J16" s="284"/>
      <c r="K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55">
        <f>'1854'!F4-'1854'!E4+'1854'!F6-'1854'!E6+'1854'!F8-'1854'!E8+'1854'!F10-'1854'!E10+'1854'!F12-'1854'!E12+'1854'!F14-'1854'!E14+'1854'!F16-'1854'!E16+'1854'!F18-'1854'!E18+'1854'!F20-'1854'!E20+'1854'!F22-'1854'!E22</f>
        <v>58.931000000000026</v>
      </c>
      <c r="C19" s="55">
        <f>'1855'!F4-'1855'!E4+'1855'!F6-'1855'!E6+'1855'!F8-'1855'!E8+'1855'!F10-'1855'!E10+'1855'!F12-'1855'!E12+'1855'!F14-'1855'!E14+'1855'!F16-'1855'!E16+'1855'!F18-'1855'!E18+'1855'!F20-'1855'!E20+'1855'!F22-'1855'!E22</f>
        <v>80.831999999999994</v>
      </c>
      <c r="D19" s="55">
        <f>'1856'!F4-'1856'!E4+'1856'!F6-'1856'!E6+'1856'!F8-'1856'!E8+'1856'!F10-'1856'!E10+'1856'!F12-'1856'!E12+'1856'!F14-'1856'!E14+'1856'!F16-'1856'!E16+'1856'!F18-'1856'!E18+'1856'!F20-'1856'!E20+'1856'!F22-'1856'!E22</f>
        <v>70.028999999999996</v>
      </c>
      <c r="E19" s="55">
        <f>'1857'!F4-'1857'!E4+'1857'!F6-'1857'!E6+'1857'!F8-'1857'!E8+'1857'!F10-'1857'!E10+'1857'!F12-'1857'!E12+'1857'!F14-'1857'!E14+'1857'!F16-'1857'!E16+'1857'!F18-'1857'!E18+'1857'!F20-'1857'!E20+'1857'!F22-'1857'!E22</f>
        <v>86.775999999999954</v>
      </c>
      <c r="F19" s="137"/>
      <c r="G19" s="283">
        <f>1-B19/B20</f>
        <v>7.9203124999999597E-2</v>
      </c>
      <c r="H19" s="283">
        <f t="shared" ref="H19:J19" si="2">1-C19/C20</f>
        <v>0.1317722878625126</v>
      </c>
      <c r="I19" s="283">
        <f t="shared" si="2"/>
        <v>8.9349804941480926E-2</v>
      </c>
      <c r="J19" s="283">
        <f t="shared" si="2"/>
        <v>0.10262668045501433</v>
      </c>
    </row>
    <row r="20" spans="1:10">
      <c r="A20" s="44" t="s">
        <v>120</v>
      </c>
      <c r="B20" s="55">
        <f>'1854'!F26-'1854'!E26</f>
        <v>64</v>
      </c>
      <c r="C20" s="55">
        <f>'1855'!F26-'1855'!E26</f>
        <v>93.099999999999909</v>
      </c>
      <c r="D20" s="55">
        <f>'1856'!F26-'1856'!E26</f>
        <v>76.899999999999864</v>
      </c>
      <c r="E20" s="55">
        <f>'1857'!F26-'1857'!E26</f>
        <v>96.699999999999818</v>
      </c>
      <c r="F20" s="137"/>
    </row>
    <row r="21" spans="1:10">
      <c r="A21" s="44" t="s">
        <v>121</v>
      </c>
      <c r="B21" s="304">
        <f>SUM(B20:E20)</f>
        <v>330.69999999999959</v>
      </c>
      <c r="C21" s="304"/>
      <c r="D21" s="304"/>
      <c r="E21" s="304"/>
      <c r="G21" s="283">
        <f>1-B21/B22</f>
        <v>-4.0591567023283925E-2</v>
      </c>
    </row>
    <row r="22" spans="1:10">
      <c r="A22" s="44" t="s">
        <v>122</v>
      </c>
      <c r="B22" s="304">
        <f>'1854'!F29-'1854'!E29</f>
        <v>317.79999999999995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'1854'!F5-'1854'!E5+'1854'!F7-'1854'!E7+'1854'!F9-'1854'!E9+'1854'!F11-'1854'!E11+'1854'!F13-'1854'!E13+'1854'!F15-'1854'!E15+'1854'!F17-'1854'!E17+'1854'!F19-'1854'!E19+'1854'!F21-'1854'!E21+'1854'!F23-'1854'!E23</f>
        <v>26.551999999999978</v>
      </c>
      <c r="C24" s="44">
        <f>'1855'!F5-'1855'!E5+'1855'!F7-'1855'!E7+'1855'!F9-'1855'!E9+'1855'!F11-'1855'!E11+'1855'!F13-'1855'!E13+'1855'!F15-'1855'!E15+'1855'!F17-'1855'!E17+'1855'!F19-'1855'!E19+'1855'!F21-'1855'!E21+'1855'!F23-'1855'!E23</f>
        <v>33.361000000000033</v>
      </c>
      <c r="D24" s="44">
        <f>'1856'!F5-'1856'!E5+'1856'!F7-'1856'!E7+'1856'!F9-'1856'!E9+'1856'!F11-'1856'!E11+'1856'!F13-'1856'!E13+'1856'!F15-'1856'!E15+'1856'!F17-'1856'!E17+'1856'!F19-'1856'!E19+'1856'!F21-'1856'!E21+'1856'!F23-'1856'!E23</f>
        <v>25.618000000000023</v>
      </c>
      <c r="E24" s="44">
        <f>'1857'!F5-'1857'!E5+'1857'!F7-'1857'!E7+'1857'!F9-'1857'!E9+'1857'!F11-'1857'!E11+'1857'!F13-'1857'!E13+'1857'!F15-'1857'!E15+'1857'!F17-'1857'!E17+'1857'!F19-'1857'!E19+'1857'!F21-'1857'!E21+'1857'!F23-'1857'!E23</f>
        <v>27.853999999999999</v>
      </c>
      <c r="G24" s="283">
        <f>1-B24/B25</f>
        <v>5.4415954415955592E-2</v>
      </c>
      <c r="H24" s="283">
        <f t="shared" ref="H24:J24" si="3">1-C24/C25</f>
        <v>5.6799547639241443E-2</v>
      </c>
      <c r="I24" s="283">
        <f t="shared" si="3"/>
        <v>8.1133428981347677E-2</v>
      </c>
      <c r="J24" s="283">
        <f t="shared" si="3"/>
        <v>0.1095268542199489</v>
      </c>
    </row>
    <row r="25" spans="1:10">
      <c r="A25" s="44" t="s">
        <v>125</v>
      </c>
      <c r="B25" s="52">
        <f>('1854'!F27-'1854'!E27)</f>
        <v>28.080000000000013</v>
      </c>
      <c r="C25" s="52">
        <f>('1855'!F27-'1855'!E27)</f>
        <v>35.370000000000005</v>
      </c>
      <c r="D25" s="52">
        <f>('1856'!F27-'1856'!E27)</f>
        <v>27.879999999999995</v>
      </c>
      <c r="E25" s="52">
        <f>('1857'!F27-'1857'!E27)</f>
        <v>31.28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'1854'!F25-'1854'!E25</f>
        <v>254</v>
      </c>
      <c r="C27" s="47">
        <f>'1855'!F25-'1855'!E25</f>
        <v>209</v>
      </c>
      <c r="D27" s="47">
        <f>'1856'!F25-'1856'!E25</f>
        <v>177</v>
      </c>
      <c r="E27" s="47">
        <f>'1857'!F25-'1857'!E25</f>
        <v>197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G13:J17 G28:J65536">
    <cfRule type="cellIs" dxfId="54" priority="2" stopIfTrue="1" operator="lessThan">
      <formula>0</formula>
    </cfRule>
  </conditionalFormatting>
  <conditionalFormatting sqref="G1:J2 G13:H17 G28:J65536 I13:J13 I16:J17">
    <cfRule type="cellIs" dxfId="53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G6" sqref="G6"/>
    </sheetView>
  </sheetViews>
  <sheetFormatPr defaultColWidth="9" defaultRowHeight="18"/>
  <cols>
    <col min="1" max="1" width="35" style="41" customWidth="1"/>
    <col min="2" max="5" width="11.42578125" style="41" customWidth="1"/>
    <col min="6" max="6" width="9.85546875" style="41" customWidth="1"/>
    <col min="7" max="10" width="11.42578125" style="41" customWidth="1"/>
    <col min="11" max="14" width="9.85546875" style="41" customWidth="1"/>
    <col min="15" max="18" width="6.42578125" style="41" customWidth="1"/>
    <col min="19" max="16384" width="9" style="41"/>
  </cols>
  <sheetData>
    <row r="1" spans="1:14">
      <c r="A1" s="42" t="s">
        <v>133</v>
      </c>
      <c r="B1" s="43">
        <f>'S1'!B1</f>
        <v>2021</v>
      </c>
    </row>
    <row r="3" spans="1:14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14">
      <c r="A4" s="51" t="s">
        <v>119</v>
      </c>
      <c r="B4" s="44">
        <f>'1850'!G4-'1850'!F4+'1850'!G6-'1850'!F6+'1850'!G8-'1850'!F8+'1850'!G10-'1850'!F10+'1850'!G12-'1850'!F12+'1850'!G14-'1850'!F14+'1850'!G16-'1850'!F16+'1850'!G18-'1850'!F18+'1850'!G20-'1850'!F20+'1850'!G22-'1850'!F22</f>
        <v>57.064000000000107</v>
      </c>
      <c r="C4" s="44">
        <f>'1851'!H4-'1851'!G4+'1851'!H6-'1851'!G6+'1851'!H8-'1851'!G8+'1851'!H10-'1851'!G10+'1851'!H12-'1851'!G12+'1851'!H14-'1851'!G14+'1851'!H16-'1851'!G16+'1851'!H18-'1851'!G18+'1851'!H20-'1851'!G20+'1851'!H22-'1851'!G22+'1851'!H33-'1851'!G33+'1851'!H34-'1851'!G34+'1851'!H35-'1851'!G35+'1851'!H36-'1851'!G36+'1851'!H37-'1851'!G37+'1851'!H40-'1851'!G40+'1851'!H41-'1851'!G41+'1851'!H42-'1851'!G42+'1851'!H43-'1851'!G43+'1851'!H44-'1851'!G44+'1851'!H45-'1851'!G45+'1851'!H46-'1851'!G46+'1851'!H47-'1851'!G47+'1851'!H48-'1851'!G48+'1851'!H49-'1851'!G49</f>
        <v>107.66999999999999</v>
      </c>
      <c r="D4" s="44">
        <f>'1852'!G4-'1852'!F4+'1852'!G6-'1852'!F6+'1852'!G8-'1852'!F8+'1852'!G10-'1852'!F10+'1852'!G12-'1852'!F12+'1852'!G14-'1852'!F14+'1852'!G16-'1852'!F16+'1852'!G18-'1852'!F18+'1852'!G20-'1852'!F20+'1852'!G22-'1852'!F22</f>
        <v>79.83299999999997</v>
      </c>
      <c r="E4" s="44">
        <f>'1853'!G4-'1853'!F4+'1853'!G6-'1853'!F6+'1853'!G8-'1853'!F8+'1853'!G10-'1853'!F10+'1853'!G12-'1853'!F12+'1853'!G14-'1853'!F14+'1853'!G16-'1853'!F16+'1853'!G18-'1853'!F18+'1853'!G20-'1853'!F20+'1853'!G22-'1853'!F22+'1853'!G26-'1853'!F26</f>
        <v>67.920000000000016</v>
      </c>
      <c r="G4" s="187">
        <f>1-B4/B5</f>
        <v>0.10976599063962578</v>
      </c>
      <c r="H4" s="187">
        <f t="shared" ref="H4:J4" si="0">1-C4/C5</f>
        <v>6.6175195143106547E-2</v>
      </c>
      <c r="I4" s="187">
        <f t="shared" si="0"/>
        <v>0.15161530286928959</v>
      </c>
      <c r="J4" s="187">
        <f t="shared" si="0"/>
        <v>8.9544235924931659E-2</v>
      </c>
    </row>
    <row r="5" spans="1:14">
      <c r="A5" s="51" t="s">
        <v>120</v>
      </c>
      <c r="B5" s="44">
        <f>'1850'!G26-'1850'!F26</f>
        <v>64.100000000000136</v>
      </c>
      <c r="C5" s="44">
        <f>'1851'!H26-'1851'!G26</f>
        <v>115.30000000000018</v>
      </c>
      <c r="D5" s="44">
        <f>'1852'!G26-'1852'!F26</f>
        <v>94.100000000000136</v>
      </c>
      <c r="E5" s="44">
        <f>'1853'!G27-'1853'!F27</f>
        <v>74.599999999999909</v>
      </c>
    </row>
    <row r="6" spans="1:14">
      <c r="A6" s="51" t="s">
        <v>121</v>
      </c>
      <c r="B6" s="304">
        <f>SUM(B5:E5)</f>
        <v>348.10000000000036</v>
      </c>
      <c r="C6" s="304"/>
      <c r="D6" s="304"/>
      <c r="E6" s="304"/>
      <c r="G6" s="187">
        <f>1-B6/B7</f>
        <v>3.2249096469275984E-2</v>
      </c>
    </row>
    <row r="7" spans="1:14">
      <c r="A7" s="51" t="s">
        <v>122</v>
      </c>
      <c r="B7" s="304">
        <f>'1850'!G29-'1850'!F29</f>
        <v>359.69999999999891</v>
      </c>
      <c r="C7" s="304"/>
      <c r="D7" s="304"/>
      <c r="E7" s="304"/>
    </row>
    <row r="8" spans="1:14">
      <c r="A8" s="179" t="s">
        <v>123</v>
      </c>
      <c r="B8" s="182"/>
      <c r="C8" s="180"/>
      <c r="D8" s="180"/>
      <c r="E8" s="181"/>
    </row>
    <row r="9" spans="1:14">
      <c r="A9" s="44" t="s">
        <v>124</v>
      </c>
      <c r="B9" s="44">
        <f>'1850'!G5-'1850'!F5+'1850'!G7-'1850'!F7+'1850'!G9-'1850'!F9+'1850'!G11-'1850'!F11+'1850'!G13-'1850'!F13+'1850'!G15-'1850'!F15+'1850'!G17-'1850'!F17+'1850'!G19-'1850'!F19+'1850'!G21-'1850'!F21+'1850'!G23-'1850'!F23</f>
        <v>15.599000000000018</v>
      </c>
      <c r="C9" s="44">
        <f>'1851'!H5-'1851'!G5+'1851'!H7-'1851'!G7+'1851'!H9-'1851'!G9+'1851'!H11-'1851'!G11+'1851'!H13-'1851'!G13+'1851'!H15-'1851'!G15+'1851'!H17-'1851'!G17+'1851'!H19-'1851'!G19+'1851'!H21-'1851'!G21+'1851'!H23-'1851'!G23</f>
        <v>25.423999999999964</v>
      </c>
      <c r="D9" s="44">
        <f>'1852'!G5-'1852'!F5+'1852'!G7-'1852'!F7+'1852'!G9-'1852'!F9+'1852'!G11-'1852'!F11+'1852'!G13-'1852'!F13+'1852'!G15-'1852'!F15+'1852'!G17-'1852'!F17+'1852'!G19-'1852'!F19+'1852'!G21-'1852'!F21+'1852'!G23-'1852'!F23</f>
        <v>21.099999999999937</v>
      </c>
      <c r="E9" s="44">
        <f>'1853'!G5-'1853'!F5+'1853'!G7-'1853'!F7+'1853'!G9-'1853'!F9+'1853'!G11-'1853'!F11+'1853'!G13-'1853'!F13+'1853'!G15-'1853'!F15+'1853'!G17-'1853'!F17+'1853'!G19-'1853'!F19+'1853'!G21-'1853'!F21+'1853'!G23-'1853'!F23</f>
        <v>15.14700000000002</v>
      </c>
      <c r="G9" s="187">
        <f>1-B9/B10</f>
        <v>0.12463524130190751</v>
      </c>
      <c r="H9" s="187">
        <f t="shared" ref="H9:J9" si="1">1-C9/C10</f>
        <v>0.16324381253291309</v>
      </c>
      <c r="I9" s="187">
        <f t="shared" si="1"/>
        <v>1.3280957725404829E-2</v>
      </c>
      <c r="J9" s="187">
        <f t="shared" si="1"/>
        <v>0.21060037523452235</v>
      </c>
    </row>
    <row r="10" spans="1:14">
      <c r="A10" s="44" t="s">
        <v>125</v>
      </c>
      <c r="B10" s="52">
        <f>('1850'!G27-'1850'!F27)*3.6</f>
        <v>17.820000000000011</v>
      </c>
      <c r="C10" s="44">
        <f>('1851'!H27-'1851'!G27)*3.6</f>
        <v>30.383999999999993</v>
      </c>
      <c r="D10" s="44">
        <f>('1852'!G27-'1852'!F27)*3.6</f>
        <v>21.383999999999993</v>
      </c>
      <c r="E10" s="44">
        <f>('1853'!G28-'1853'!F28)*3.6</f>
        <v>19.188000000000045</v>
      </c>
    </row>
    <row r="11" spans="1:14">
      <c r="A11" s="179" t="s">
        <v>131</v>
      </c>
      <c r="B11" s="180"/>
      <c r="C11" s="180"/>
      <c r="D11" s="180"/>
      <c r="E11" s="181"/>
    </row>
    <row r="12" spans="1:14">
      <c r="A12" s="44" t="s">
        <v>127</v>
      </c>
      <c r="B12" s="47">
        <f>'1850'!G25-'1850'!F25</f>
        <v>214</v>
      </c>
      <c r="C12" s="47">
        <f>'1851'!H24-'1851'!G24</f>
        <v>243</v>
      </c>
      <c r="D12" s="47">
        <f>'1852'!G25-'1852'!F25</f>
        <v>212</v>
      </c>
      <c r="E12" s="47">
        <f>'1853'!G24-'1853'!F24</f>
        <v>175</v>
      </c>
    </row>
    <row r="13" spans="1:14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</row>
    <row r="14" spans="1:14">
      <c r="A14" s="48" t="s">
        <v>128</v>
      </c>
      <c r="B14" s="49">
        <f>'1853'!G25-'1853'!F25</f>
        <v>283</v>
      </c>
      <c r="C14" s="49"/>
      <c r="D14" s="49"/>
      <c r="E14" s="49"/>
      <c r="F14" s="49"/>
      <c r="G14" s="49"/>
      <c r="H14" s="49"/>
      <c r="I14" s="49"/>
      <c r="J14" s="49"/>
    </row>
    <row r="15" spans="1:14">
      <c r="A15" s="48" t="s">
        <v>129</v>
      </c>
      <c r="B15" s="50">
        <f>'1853'!G26-'1853'!F26</f>
        <v>4.9999999999954525E-3</v>
      </c>
      <c r="C15" s="49"/>
      <c r="D15" s="49"/>
      <c r="E15" s="49"/>
      <c r="F15" s="49"/>
      <c r="G15" s="49"/>
      <c r="H15" s="49"/>
      <c r="I15" s="49"/>
      <c r="J15" s="49"/>
      <c r="K15" s="49"/>
    </row>
    <row r="16" spans="1:14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55">
        <f>'1854'!G4-'1854'!F4+'1854'!G6-'1854'!F6+'1854'!G8-'1854'!F8+'1854'!G10-'1854'!F10+'1854'!G12-'1854'!F12+'1854'!G14-'1854'!F14+'1854'!G16-'1854'!F16+'1854'!G18-'1854'!F18+'1854'!G20-'1854'!F20+'1854'!G22-'1854'!F22</f>
        <v>46.797000000000004</v>
      </c>
      <c r="C19" s="55">
        <f>'1855'!G4-'1855'!F4+'1855'!G6-'1855'!F6+'1855'!G8-'1855'!F8+'1855'!G10-'1855'!F10+'1855'!G12-'1855'!F12+'1855'!G14-'1855'!F14+'1855'!G16-'1855'!F16+'1855'!G18-'1855'!F18+'1855'!G20-'1855'!F20+'1855'!G22-'1855'!F22</f>
        <v>81.593000000000018</v>
      </c>
      <c r="D19" s="55">
        <f>'1856'!G4-'1856'!F4+'1856'!G6-'1856'!F6+'1856'!G8-'1856'!F8+'1856'!G10-'1856'!F10+'1856'!G12-'1856'!F12+'1856'!G14-'1856'!F14+'1856'!G16-'1856'!F16+'1856'!G18-'1856'!F18+'1856'!G20-'1856'!F20+'1856'!G22-'1856'!F22</f>
        <v>81.927000000000021</v>
      </c>
      <c r="E19" s="55">
        <f>'1857'!G4-'1857'!F4+'1857'!G6-'1857'!F6+'1857'!G8-'1857'!F8+'1857'!G10-'1857'!F10+'1857'!G12-'1857'!F12+'1857'!G14-'1857'!F14+'1857'!G16-'1857'!F16+'1857'!G18-'1857'!F18+'1857'!G20-'1857'!F20+'1857'!G22-'1857'!F22</f>
        <v>93.665000000000077</v>
      </c>
      <c r="F19" s="137"/>
      <c r="G19" s="187">
        <f>1-B19/B20</f>
        <v>9.1320388349514503E-2</v>
      </c>
      <c r="H19" s="187">
        <f t="shared" ref="H19:J19" si="2">1-C19/C20</f>
        <v>0.12921024546424786</v>
      </c>
      <c r="I19" s="187">
        <f t="shared" si="2"/>
        <v>8.3590604026846371E-2</v>
      </c>
      <c r="J19" s="187">
        <f t="shared" si="2"/>
        <v>7.8100393700787918E-2</v>
      </c>
    </row>
    <row r="20" spans="1:10">
      <c r="A20" s="44" t="s">
        <v>120</v>
      </c>
      <c r="B20" s="55">
        <f>'1854'!G26-'1854'!F26</f>
        <v>51.5</v>
      </c>
      <c r="C20" s="55">
        <f>'1855'!G26-'1855'!F26</f>
        <v>93.700000000000045</v>
      </c>
      <c r="D20" s="55">
        <f>'1856'!G26-'1856'!F26</f>
        <v>89.400000000000091</v>
      </c>
      <c r="E20" s="55">
        <f>'1857'!G26-'1857'!F26</f>
        <v>101.60000000000014</v>
      </c>
      <c r="F20" s="137"/>
    </row>
    <row r="21" spans="1:10">
      <c r="A21" s="44" t="s">
        <v>121</v>
      </c>
      <c r="B21" s="304">
        <f>SUM(B20:E20)</f>
        <v>336.20000000000027</v>
      </c>
      <c r="C21" s="304"/>
      <c r="D21" s="304"/>
      <c r="E21" s="304"/>
      <c r="G21" s="187">
        <f>1-B21/B22</f>
        <v>-4.2157470551767329E-2</v>
      </c>
    </row>
    <row r="22" spans="1:10">
      <c r="A22" s="44" t="s">
        <v>122</v>
      </c>
      <c r="B22" s="304">
        <f>'1854'!G29-'1854'!F29</f>
        <v>322.60000000000014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'1854'!G5-'1854'!F5+'1854'!G7-'1854'!F7+'1854'!G9-'1854'!F9+'1854'!G11-'1854'!F11+'1854'!G13-'1854'!F13+'1854'!G15-'1854'!F15+'1854'!G17-'1854'!F17+'1854'!G19-'1854'!F19+'1854'!G21-'1854'!F21+'1854'!G23-'1854'!F23</f>
        <v>18.734000000000016</v>
      </c>
      <c r="C24" s="44">
        <f>'1855'!G5-'1855'!F5+'1855'!G7-'1855'!F7+'1855'!G9-'1855'!F9+'1855'!G11-'1855'!F11+'1855'!G13-'1855'!F13+'1855'!G15-'1855'!F15+'1855'!G17-'1855'!F17+'1855'!G19-'1855'!F19+'1855'!G21-'1855'!F21+'1855'!G23-'1855'!F23</f>
        <v>25.653999999999996</v>
      </c>
      <c r="D24" s="44">
        <f>'1856'!G5-'1856'!F5+'1856'!G7-'1856'!F7+'1856'!G9-'1856'!F9+'1856'!G11-'1856'!F11+'1856'!G13-'1856'!F13+'1856'!G15-'1856'!F15+'1856'!G17-'1856'!F17+'1856'!G19-'1856'!F19+'1856'!G21-'1856'!F21+'1856'!G23-'1856'!F23</f>
        <v>16.819000000000003</v>
      </c>
      <c r="E24" s="44">
        <f>'1857'!G5-'1857'!F5+'1857'!G7-'1857'!F7+'1857'!G9-'1857'!F9+'1857'!G11-'1857'!F11+'1857'!G13-'1857'!F13+'1857'!G15-'1857'!F15+'1857'!G17-'1857'!F17+'1857'!G19-'1857'!F19+'1857'!G21-'1857'!F21+'1857'!G23-'1857'!F23</f>
        <v>19.845000000000027</v>
      </c>
      <c r="G24" s="187">
        <f>1-B24/B25</f>
        <v>4.9518011161844955E-2</v>
      </c>
      <c r="H24" s="187">
        <f t="shared" ref="H24:J24" si="3">1-C24/C25</f>
        <v>5.3707119144227877E-2</v>
      </c>
      <c r="I24" s="187">
        <f t="shared" si="3"/>
        <v>7.5371083012644058E-2</v>
      </c>
      <c r="J24" s="187">
        <f t="shared" si="3"/>
        <v>9.7133757961781808E-2</v>
      </c>
    </row>
    <row r="25" spans="1:10">
      <c r="A25" s="44" t="s">
        <v>125</v>
      </c>
      <c r="B25" s="52">
        <f>('1854'!G27-'1854'!F27)</f>
        <v>19.70999999999998</v>
      </c>
      <c r="C25" s="52">
        <f>('1855'!G27-'1855'!F27)</f>
        <v>27.110000000000014</v>
      </c>
      <c r="D25" s="52">
        <f>('1856'!G27-'1856'!F27)</f>
        <v>18.189999999999998</v>
      </c>
      <c r="E25" s="52">
        <f>('1857'!G27-'1857'!F27)</f>
        <v>21.97999999999999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'1854'!G25-'1854'!F25</f>
        <v>189</v>
      </c>
      <c r="C27" s="47">
        <f>'1855'!G25-'1855'!F25</f>
        <v>217</v>
      </c>
      <c r="D27" s="47">
        <f>'1856'!G25-'1856'!F25</f>
        <v>185</v>
      </c>
      <c r="E27" s="47">
        <f>'1857'!G25-'1857'!F25</f>
        <v>185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13 C16:E20 C23:E65536">
    <cfRule type="cellIs" dxfId="52" priority="3" stopIfTrue="1" operator="lessThan">
      <formula>0</formula>
    </cfRule>
  </conditionalFormatting>
  <conditionalFormatting sqref="G1:J2 G13:J17 G28:J65536">
    <cfRule type="cellIs" dxfId="51" priority="2" stopIfTrue="1" operator="lessThan">
      <formula>0</formula>
    </cfRule>
  </conditionalFormatting>
  <conditionalFormatting sqref="G1:J2 G13:H17 G28:J65536 I13:J13 I16:J17">
    <cfRule type="cellIs" dxfId="5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7"/>
  <sheetViews>
    <sheetView workbookViewId="0">
      <selection activeCell="G7" sqref="G7"/>
    </sheetView>
  </sheetViews>
  <sheetFormatPr defaultColWidth="9" defaultRowHeight="18"/>
  <cols>
    <col min="1" max="1" width="35" style="41" customWidth="1"/>
    <col min="2" max="10" width="11.42578125" style="41" customWidth="1"/>
    <col min="11" max="17" width="9.85546875" style="41" customWidth="1"/>
    <col min="18" max="21" width="6.42578125" style="41" customWidth="1"/>
    <col min="22" max="16384" width="9" style="41"/>
  </cols>
  <sheetData>
    <row r="1" spans="1:17">
      <c r="A1" s="42" t="s">
        <v>134</v>
      </c>
      <c r="B1" s="43">
        <f>'S1'!B1</f>
        <v>2021</v>
      </c>
    </row>
    <row r="3" spans="1:17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17">
      <c r="A4" s="51" t="s">
        <v>119</v>
      </c>
      <c r="B4" s="44">
        <f>'1850'!H4-'1850'!G4+'1850'!H6-'1850'!G6+'1850'!H8-'1850'!G8+'1850'!H10-'1850'!G10+'1850'!H12-'1850'!G12+'1850'!H14-'1850'!G14+'1850'!H16-'1850'!G16+'1850'!H18-'1850'!G18+'1850'!H20-'1850'!G20+'1850'!H22-'1850'!G22</f>
        <v>53.982999999999947</v>
      </c>
      <c r="C4" s="44">
        <f>'1851'!I4-'1851'!H4+'1851'!I6-'1851'!H6+'1851'!I8-'1851'!H8+'1851'!I10-'1851'!H10+'1851'!I12-'1851'!H12+'1851'!I14-'1851'!H14+'1851'!I16-'1851'!H16+'1851'!I18-'1851'!H18+'1851'!I20-'1851'!H20+'1851'!I22-'1851'!H22+'1851'!I33-'1851'!H33+'1851'!I34-'1851'!H34+'1851'!I35-'1851'!H35+'1851'!I36-'1851'!H36+'1851'!I37-'1851'!H37+'1851'!I40-'1851'!H40+'1851'!I41-'1851'!H41+'1851'!I42-'1851'!H42+'1851'!I43-'1851'!H43+'1851'!I44-'1851'!H44+'1851'!I45-'1851'!H45+'1851'!I46-'1851'!H46+'1851'!I47-'1851'!H47+'1851'!I48-'1851'!H48+'1851'!I49-'1851'!H49</f>
        <v>103.70699999999999</v>
      </c>
      <c r="D4" s="44">
        <f>'1852'!H4-'1852'!G4+'1852'!H6-'1852'!G6+'1852'!H8-'1852'!G8+'1852'!H10-'1852'!G10+'1852'!H12-'1852'!G12+'1852'!H14-'1852'!G14+'1852'!H16-'1852'!G16+'1852'!H18-'1852'!G18+'1852'!H20-'1852'!G20+'1852'!H22-'1852'!G22</f>
        <v>84.91100000000003</v>
      </c>
      <c r="E4" s="44">
        <f>'1853'!H4-'1853'!G4+'1853'!H6-'1853'!G6+'1853'!H8-'1853'!G8+'1853'!H10-'1853'!G10+'1853'!H12-'1853'!G12+'1853'!H14-'1853'!G14+'1853'!H16-'1853'!G16+'1853'!H18-'1853'!G18+'1853'!H20-'1853'!G20+'1853'!H22-'1853'!G22+'1853'!H26-'1853'!G26</f>
        <v>77.498999999999967</v>
      </c>
      <c r="G4" s="187">
        <f>1-B4/B5</f>
        <v>0.12222764227642358</v>
      </c>
      <c r="H4" s="187">
        <f t="shared" ref="H4:J4" si="0">1-C4/C5</f>
        <v>7.5695187165773947E-2</v>
      </c>
      <c r="I4" s="187">
        <f t="shared" si="0"/>
        <v>0.17159999999999975</v>
      </c>
      <c r="J4" s="187">
        <f t="shared" si="0"/>
        <v>7.7392857142857485E-2</v>
      </c>
    </row>
    <row r="5" spans="1:17">
      <c r="A5" s="51" t="s">
        <v>120</v>
      </c>
      <c r="B5" s="44">
        <f>'1850'!H26-'1850'!G26</f>
        <v>61.5</v>
      </c>
      <c r="C5" s="44">
        <f>'1851'!I26-'1851'!H26</f>
        <v>112.19999999999982</v>
      </c>
      <c r="D5" s="44">
        <f>'1852'!H26-'1852'!G26</f>
        <v>102.5</v>
      </c>
      <c r="E5" s="44">
        <f>'1853'!H27-'1853'!G27</f>
        <v>84</v>
      </c>
    </row>
    <row r="6" spans="1:17">
      <c r="A6" s="51" t="s">
        <v>121</v>
      </c>
      <c r="B6" s="304">
        <f>SUM(B5:E5)</f>
        <v>360.19999999999982</v>
      </c>
      <c r="C6" s="304"/>
      <c r="D6" s="304"/>
      <c r="E6" s="304"/>
      <c r="G6" s="187">
        <f>1-B6/B7</f>
        <v>4.5574986751456881E-2</v>
      </c>
    </row>
    <row r="7" spans="1:17">
      <c r="A7" s="51" t="s">
        <v>122</v>
      </c>
      <c r="B7" s="304">
        <f>'1850'!H29-'1850'!G29</f>
        <v>377.39999999999964</v>
      </c>
      <c r="C7" s="304"/>
      <c r="D7" s="304"/>
      <c r="E7" s="304"/>
    </row>
    <row r="8" spans="1:17">
      <c r="A8" s="179" t="s">
        <v>123</v>
      </c>
      <c r="B8" s="182"/>
      <c r="C8" s="182"/>
      <c r="D8" s="180"/>
      <c r="E8" s="181"/>
    </row>
    <row r="9" spans="1:17">
      <c r="A9" s="44" t="s">
        <v>124</v>
      </c>
      <c r="B9" s="44">
        <f>'1850'!H5-'1850'!G5+'1850'!H7-'1850'!G7+'1850'!H9-'1850'!G9+'1850'!H11-'1850'!G11+'1850'!H13-'1850'!G13+'1850'!H15-'1850'!G15+'1850'!H17-'1850'!G17+'1850'!H19-'1850'!G19+'1850'!H21-'1850'!G21+'1850'!H23-'1850'!G23</f>
        <v>6.5789999999999935</v>
      </c>
      <c r="C9" s="44">
        <f>'1851'!I5-'1851'!H5+'1851'!I7-'1851'!H7+'1851'!I9-'1851'!H9+'1851'!I11-'1851'!H11+'1851'!I13-'1851'!H13+'1851'!I15-'1851'!H15+'1851'!I17-'1851'!H17+'1851'!I19-'1851'!H19+'1851'!I21-'1851'!H21+'1851'!I23-'1851'!H23</f>
        <v>14.020000000000067</v>
      </c>
      <c r="D9" s="44">
        <f>'1852'!H5-'1852'!G5+'1852'!H7-'1852'!G7+'1852'!H9-'1852'!G9+'1852'!H11-'1852'!G11+'1852'!H13-'1852'!G13+'1852'!H15-'1852'!G15+'1852'!H17-'1852'!G17+'1852'!H19-'1852'!G19+'1852'!H21-'1852'!G21+'1852'!H23-'1852'!G23</f>
        <v>12.36200000000003</v>
      </c>
      <c r="E9" s="44">
        <f>'1853'!H5-'1853'!G5+'1853'!H7-'1853'!G7+'1853'!H9-'1853'!G9+'1853'!H11-'1853'!G11+'1853'!H13-'1853'!G13+'1853'!H15-'1853'!G15+'1853'!H17-'1853'!G17+'1853'!H19-'1853'!G19+'1853'!H21-'1853'!G21+'1853'!H23-'1853'!G23</f>
        <v>7.4609999999999559</v>
      </c>
      <c r="G9" s="187">
        <f>1-B9/B10</f>
        <v>0.15783410138248999</v>
      </c>
      <c r="H9" s="187">
        <f t="shared" ref="H9:J9" si="1">1-C9/C10</f>
        <v>0.25393784589186519</v>
      </c>
      <c r="I9" s="187">
        <f t="shared" si="1"/>
        <v>-3.1197864531196551E-2</v>
      </c>
      <c r="J9" s="187">
        <f t="shared" si="1"/>
        <v>0.36230769230769611</v>
      </c>
    </row>
    <row r="10" spans="1:17">
      <c r="A10" s="44" t="s">
        <v>125</v>
      </c>
      <c r="B10" s="52">
        <f>('1850'!H27-'1850'!G27)*3.6</f>
        <v>7.8120000000000065</v>
      </c>
      <c r="C10" s="44">
        <f>('1851'!I27-'1851'!H27)*3.6</f>
        <v>18.791999999999998</v>
      </c>
      <c r="D10" s="44">
        <f>('1852'!H27-'1852'!G27)*3.6</f>
        <v>11.988000000000046</v>
      </c>
      <c r="E10" s="44">
        <f>('1853'!H28-'1853'!G28)*3.6</f>
        <v>11.700000000000001</v>
      </c>
    </row>
    <row r="11" spans="1:17">
      <c r="A11" s="179" t="s">
        <v>131</v>
      </c>
      <c r="B11" s="180"/>
      <c r="C11" s="180"/>
      <c r="D11" s="180"/>
      <c r="E11" s="181"/>
    </row>
    <row r="12" spans="1:17">
      <c r="A12" s="44" t="s">
        <v>127</v>
      </c>
      <c r="B12" s="47">
        <f>'1850'!H25-'1850'!G25</f>
        <v>231</v>
      </c>
      <c r="C12" s="47">
        <f>'1851'!I24-'1851'!H24</f>
        <v>252</v>
      </c>
      <c r="D12" s="47">
        <f>'1852'!H25-'1852'!G25</f>
        <v>212</v>
      </c>
      <c r="E12" s="47">
        <f>'1853'!H24-'1853'!G24</f>
        <v>195</v>
      </c>
    </row>
    <row r="13" spans="1:17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</row>
    <row r="14" spans="1:17">
      <c r="A14" s="48" t="s">
        <v>128</v>
      </c>
      <c r="B14" s="49">
        <f>'1853'!H25-'1853'!G25</f>
        <v>265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7">
      <c r="A15" s="48" t="s">
        <v>129</v>
      </c>
      <c r="B15" s="50">
        <f>'1853'!H26-'1853'!G26</f>
        <v>6.6949999999999932</v>
      </c>
      <c r="C15" s="50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</row>
    <row r="16" spans="1:17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44">
        <f>'1854'!H4-'1854'!G4+'1854'!H6-'1854'!G6+'1854'!H8-'1854'!G8+'1854'!H10-'1854'!G10+'1854'!H12-'1854'!G12+'1854'!H14-'1854'!G14+'1854'!H16-'1854'!G16+'1854'!H18-'1854'!G18+'1854'!H20-'1854'!G20+'1854'!H22-'1854'!G22</f>
        <v>57.308999999999969</v>
      </c>
      <c r="C19" s="44">
        <f>'1855'!H4-'1855'!G4+'1855'!H6-'1855'!G6+'1855'!H8-'1855'!G8+'1855'!H10-'1855'!G10+'1855'!H12-'1855'!G12+'1855'!H14-'1855'!G14+'1855'!H16-'1855'!G16+'1855'!H18-'1855'!G18+'1855'!H20-'1855'!G20+'1855'!H22-'1855'!G22</f>
        <v>88.725999999999999</v>
      </c>
      <c r="D19" s="44">
        <f>'1856'!H4-'1856'!G4+'1856'!H6-'1856'!G6+'1856'!H8-'1856'!G8+'1856'!H10-'1856'!G10+'1856'!H12-'1856'!G12+'1856'!H14-'1856'!G14+'1856'!H16-'1856'!G16+'1856'!H18-'1856'!G18+'1856'!H20-'1856'!G20+'1856'!H22-'1856'!G22</f>
        <v>76.084000000000003</v>
      </c>
      <c r="E19" s="44">
        <f>'1857'!H4-'1857'!G4+'1857'!H6-'1857'!G6+'1857'!H8-'1857'!G8+'1857'!H10-'1857'!G10+'1857'!H12-'1857'!G12+'1857'!H14-'1857'!G14+'1857'!H16-'1857'!G16+'1857'!H18-'1857'!G18+'1857'!H20-'1857'!G20+'1857'!H22-'1857'!G22</f>
        <v>85.658999999999992</v>
      </c>
      <c r="G19" s="187">
        <f>1-B19/B20</f>
        <v>7.7149758454108763E-2</v>
      </c>
      <c r="H19" s="187">
        <f t="shared" ref="H19:J19" si="2">1-C19/C20</f>
        <v>0.13941804073714958</v>
      </c>
      <c r="I19" s="187">
        <f t="shared" si="2"/>
        <v>9.6389548693587179E-2</v>
      </c>
      <c r="J19" s="187">
        <f t="shared" si="2"/>
        <v>9.8326315789473817E-2</v>
      </c>
    </row>
    <row r="20" spans="1:10">
      <c r="A20" s="44" t="s">
        <v>120</v>
      </c>
      <c r="B20" s="44">
        <f>'1854'!H26-'1854'!G26</f>
        <v>62.100000000000136</v>
      </c>
      <c r="C20" s="44">
        <f>'1855'!H26-'1855'!G26</f>
        <v>103.10000000000014</v>
      </c>
      <c r="D20" s="44">
        <f>'1856'!H26-'1856'!G26</f>
        <v>84.200000000000045</v>
      </c>
      <c r="E20" s="44">
        <f>'1857'!H26-'1857'!G26</f>
        <v>95</v>
      </c>
    </row>
    <row r="21" spans="1:10">
      <c r="A21" s="44" t="s">
        <v>121</v>
      </c>
      <c r="B21" s="304">
        <f>SUM(B20:E20)</f>
        <v>344.40000000000032</v>
      </c>
      <c r="C21" s="304"/>
      <c r="D21" s="304"/>
      <c r="E21" s="304"/>
      <c r="G21" s="187">
        <f>1-B21/B22</f>
        <v>-4.8721071863581766E-2</v>
      </c>
    </row>
    <row r="22" spans="1:10">
      <c r="A22" s="44" t="s">
        <v>122</v>
      </c>
      <c r="B22" s="304">
        <f>'1854'!H29-'1854'!G29</f>
        <v>328.40000000000009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'1854'!H5-'1854'!G5+'1854'!H7-'1854'!G7+'1854'!H9-'1854'!G9+'1854'!H11-'1854'!G11+'1854'!H13-'1854'!G13+'1854'!H15-'1854'!G15+'1854'!H17-'1854'!G17+'1854'!H19-'1854'!G19+'1854'!H21-'1854'!G21+'1854'!H23-'1854'!G23</f>
        <v>11.033999999999994</v>
      </c>
      <c r="C24" s="44">
        <f>'1855'!H5-'1855'!G5+'1855'!H7-'1855'!G7+'1855'!H9-'1855'!G9+'1855'!H11-'1855'!G11+'1855'!H13-'1855'!G13+'1855'!H15-'1855'!G15+'1855'!H17-'1855'!G17+'1855'!H19-'1855'!G19+'1855'!H21-'1855'!G21+'1855'!H23-'1855'!G23</f>
        <v>16.53</v>
      </c>
      <c r="D24" s="44">
        <f>'1856'!H5-'1856'!G5+'1856'!H7-'1856'!G7+'1856'!H9-'1856'!G9+'1856'!H11-'1856'!G11+'1856'!H13-'1856'!G13+'1856'!H15-'1856'!G15+'1856'!H17-'1856'!G17+'1856'!H19-'1856'!G19+'1856'!H21-'1856'!G21+'1856'!H23-'1856'!G23</f>
        <v>8.9549999999999983</v>
      </c>
      <c r="E24" s="44">
        <f>'1857'!H5-'1857'!G5+'1857'!H7-'1857'!G7+'1857'!H9-'1857'!G9+'1857'!H11-'1857'!G11+'1857'!H13-'1857'!G13+'1857'!H15-'1857'!G15+'1857'!H17-'1857'!G17+'1857'!H19-'1857'!G19+'1857'!H21-'1857'!G21+'1857'!H23-'1857'!G23</f>
        <v>10.09899999999999</v>
      </c>
      <c r="G24" s="187">
        <f>1-B24/B25</f>
        <v>3.464566929133972E-2</v>
      </c>
      <c r="H24" s="187">
        <f t="shared" ref="H24:J24" si="3">1-C24/C25</f>
        <v>3.1066822977725783E-2</v>
      </c>
      <c r="I24" s="187">
        <f t="shared" si="3"/>
        <v>1.7014270032929435E-2</v>
      </c>
      <c r="J24" s="187">
        <f t="shared" si="3"/>
        <v>0.11644794400700054</v>
      </c>
    </row>
    <row r="25" spans="1:10">
      <c r="A25" s="44" t="s">
        <v>125</v>
      </c>
      <c r="B25" s="52">
        <f>('1854'!H27-'1854'!G27)</f>
        <v>11.430000000000007</v>
      </c>
      <c r="C25" s="52">
        <f>('1855'!H27-'1855'!G27)</f>
        <v>17.060000000000002</v>
      </c>
      <c r="D25" s="52">
        <f>('1856'!H27-'1856'!G27)</f>
        <v>9.1099999999999852</v>
      </c>
      <c r="E25" s="52">
        <f>('1857'!H27-'1857'!G27)</f>
        <v>11.430000000000007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'1854'!H25-'1854'!G25</f>
        <v>214</v>
      </c>
      <c r="C27" s="47">
        <f>'1855'!H25-'1855'!G25</f>
        <v>244</v>
      </c>
      <c r="D27" s="47">
        <f>'1856'!H25-'1856'!G25</f>
        <v>224</v>
      </c>
      <c r="E27" s="47">
        <f>'1857'!H25-'1857'!G25</f>
        <v>224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F1:I2 F13:I13 F16:I17 F27:F65536 G28:I65536">
    <cfRule type="cellIs" dxfId="49" priority="3" stopIfTrue="1" operator="lessThan">
      <formula>0</formula>
    </cfRule>
  </conditionalFormatting>
  <conditionalFormatting sqref="G1:J2 G13:J17 G28:J65536">
    <cfRule type="cellIs" dxfId="48" priority="2" stopIfTrue="1" operator="lessThan">
      <formula>0</formula>
    </cfRule>
  </conditionalFormatting>
  <conditionalFormatting sqref="G1:J2 G13:H17 G28:J65536 I13:J13 I16:J17">
    <cfRule type="cellIs" dxfId="47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27"/>
  <sheetViews>
    <sheetView workbookViewId="0">
      <selection activeCell="E25" sqref="E25"/>
    </sheetView>
  </sheetViews>
  <sheetFormatPr defaultColWidth="9" defaultRowHeight="18"/>
  <cols>
    <col min="1" max="1" width="35" style="41" customWidth="1"/>
    <col min="2" max="12" width="11.42578125" style="41" customWidth="1"/>
    <col min="13" max="20" width="9.85546875" style="41" customWidth="1"/>
    <col min="21" max="24" width="6.42578125" style="41" customWidth="1"/>
    <col min="25" max="16384" width="9" style="41"/>
  </cols>
  <sheetData>
    <row r="1" spans="1:20">
      <c r="A1" s="42" t="s">
        <v>135</v>
      </c>
      <c r="B1" s="43">
        <f>'S1'!B1</f>
        <v>2021</v>
      </c>
    </row>
    <row r="3" spans="1:20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20">
      <c r="A4" s="51" t="s">
        <v>119</v>
      </c>
      <c r="B4" s="44">
        <f>'1850'!I4-'1850'!H4+'1850'!I6-'1850'!H6+'1850'!I8-'1850'!H8+'1850'!I10-'1850'!H10+'1850'!I12-'1850'!H12+'1850'!I14-'1850'!H14+'1850'!I16-'1850'!H16+'1850'!I18-'1850'!H18+'1850'!I20-'1850'!H20+'1850'!I22-'1850'!H22</f>
        <v>53.102000000000004</v>
      </c>
      <c r="C4" s="44">
        <f>'1851'!J4-'1851'!I4+'1851'!J6-'1851'!I6+'1851'!J8-'1851'!I8+'1851'!J10-'1851'!I10+'1851'!J12-'1851'!I12+'1851'!J14-'1851'!I14+'1851'!J16-'1851'!I16+'1851'!J18-'1851'!I18+'1851'!J20-'1851'!I20+'1851'!J22-'1851'!I22+'1851'!J33-'1851'!I33+'1851'!J34-'1851'!I34+'1851'!J35-'1851'!I35+'1851'!J36-'1851'!I36+'1851'!J37-'1851'!I37+'1851'!J40-'1851'!I40+'1851'!J41-'1851'!I41+'1851'!J42-'1851'!I42+'1851'!J43-'1851'!I43+'1851'!J44-'1851'!I44+'1851'!J45-'1851'!I45+'1851'!J46-'1851'!I46+'1851'!J47-'1851'!I47+'1851'!J48-'1851'!I48+'1851'!J49-'1851'!I49</f>
        <v>90.530000000000058</v>
      </c>
      <c r="D4" s="44">
        <f>'1852'!I4-'1852'!H4+'1852'!I6-'1852'!H6+'1852'!I8-'1852'!H8+'1852'!I10-'1852'!H10+'1852'!I12-'1852'!H12+'1852'!I14-'1852'!H14+'1852'!I16-'1852'!H16+'1852'!I18-'1852'!H18+'1852'!I20-'1852'!H20+'1852'!I22-'1852'!H22</f>
        <v>75.01600000000002</v>
      </c>
      <c r="E4" s="44">
        <f>'1853'!I4-'1853'!H4+'1853'!I6-'1853'!H6+'1853'!I8-'1853'!H8+'1853'!I10-'1853'!H10+'1853'!I12-'1853'!H12+'1853'!I14-'1853'!H14+'1853'!I16-'1853'!H16+'1853'!I18-'1853'!H18+'1853'!I20-'1853'!H20+'1853'!I22-'1853'!H22+'1853'!I26-'1853'!H26</f>
        <v>99.524999999999977</v>
      </c>
      <c r="G4" s="187">
        <f>1-B4/B5</f>
        <v>0.11051926298157511</v>
      </c>
      <c r="H4" s="187">
        <f t="shared" ref="H4:J4" si="0">1-C4/C5</f>
        <v>5.9916926272067683E-2</v>
      </c>
      <c r="I4" s="187">
        <f t="shared" si="0"/>
        <v>0.1783570646221242</v>
      </c>
      <c r="J4" s="187">
        <f t="shared" si="0"/>
        <v>5.5740037950665178E-2</v>
      </c>
    </row>
    <row r="5" spans="1:20">
      <c r="A5" s="51" t="s">
        <v>120</v>
      </c>
      <c r="B5" s="44">
        <f>'1850'!I26-'1850'!H26</f>
        <v>59.700000000000045</v>
      </c>
      <c r="C5" s="44">
        <f>'1851'!J26-'1851'!I26</f>
        <v>96.300000000000182</v>
      </c>
      <c r="D5" s="44">
        <f>'1852'!I26-'1852'!H26</f>
        <v>91.299999999999955</v>
      </c>
      <c r="E5" s="44">
        <f>'1853'!I27-'1853'!H27</f>
        <v>105.40000000000009</v>
      </c>
    </row>
    <row r="6" spans="1:20">
      <c r="A6" s="51" t="s">
        <v>121</v>
      </c>
      <c r="B6" s="304">
        <f>SUM(B5:E5)</f>
        <v>352.70000000000027</v>
      </c>
      <c r="C6" s="304"/>
      <c r="D6" s="304"/>
      <c r="E6" s="304"/>
      <c r="G6" s="187">
        <f>1-B6/B7</f>
        <v>6.7671160454667589E-2</v>
      </c>
    </row>
    <row r="7" spans="1:20">
      <c r="A7" s="51" t="s">
        <v>122</v>
      </c>
      <c r="B7" s="304">
        <f>'1850'!I29-'1850'!H29</f>
        <v>378.30000000000109</v>
      </c>
      <c r="C7" s="304"/>
      <c r="D7" s="304"/>
      <c r="E7" s="304"/>
    </row>
    <row r="8" spans="1:20">
      <c r="A8" s="179" t="s">
        <v>123</v>
      </c>
      <c r="B8" s="180"/>
      <c r="C8" s="180"/>
      <c r="D8" s="180"/>
      <c r="E8" s="181"/>
    </row>
    <row r="9" spans="1:20">
      <c r="A9" s="44" t="s">
        <v>124</v>
      </c>
      <c r="B9" s="44">
        <f>'1850'!I5-'1850'!H5+'1850'!I7-'1850'!H7+'1850'!I9-'1850'!H9+'1850'!I11-'1850'!H11+'1850'!I13-'1850'!H13+'1850'!I15-'1850'!H15+'1850'!I17-'1850'!H17+'1850'!I19-'1850'!H19+'1850'!I21-'1850'!H21+'1850'!I23-'1850'!H23</f>
        <v>3.5019999999999953</v>
      </c>
      <c r="C9" s="44">
        <f>'1851'!J5-'1851'!I5+'1851'!J7-'1851'!I7+'1851'!J9-'1851'!I9+'1851'!J11-'1851'!I11+'1851'!J13-'1851'!I13+'1851'!J15-'1851'!I15+'1851'!J17-'1851'!I17+'1851'!J19-'1851'!I19+'1851'!J21-'1851'!I21+'1851'!J23-'1851'!I23</f>
        <v>6.7040000000000077</v>
      </c>
      <c r="D9" s="44">
        <f>'1852'!I5-'1852'!H5+'1852'!I7-'1852'!H7+'1852'!I9-'1852'!H9+'1852'!I11-'1852'!H11+'1852'!I13-'1852'!H13+'1852'!I15-'1852'!H15+'1852'!I17-'1852'!H17+'1852'!I19-'1852'!H19+'1852'!I21-'1852'!H21+'1852'!I23-'1852'!H23</f>
        <v>7.0589999999999833</v>
      </c>
      <c r="E9" s="44">
        <f>'1853'!I5-'1853'!H5+'1853'!I7-'1853'!H7+'1853'!I9-'1853'!H9+'1853'!I11-'1853'!H11+'1853'!I13-'1853'!H13+'1853'!I15-'1853'!H15+'1853'!I17-'1853'!H17+'1853'!I19-'1853'!H19+'1853'!I21-'1853'!H21+'1853'!I23-'1853'!H23</f>
        <v>3.7900000000000489</v>
      </c>
      <c r="G9" s="187">
        <f>1-B9/B10</f>
        <v>0.18253968253968211</v>
      </c>
      <c r="H9" s="187">
        <f t="shared" ref="H9:J9" si="1">1-C9/C10</f>
        <v>0.38337012509197499</v>
      </c>
      <c r="I9" s="187">
        <f t="shared" si="1"/>
        <v>-1.597582037997447E-2</v>
      </c>
      <c r="J9" s="187">
        <f t="shared" si="1"/>
        <v>0.47622996130457906</v>
      </c>
    </row>
    <row r="10" spans="1:20">
      <c r="A10" s="44" t="s">
        <v>125</v>
      </c>
      <c r="B10" s="46">
        <f>('1850'!I27-'1850'!H27)*3.6</f>
        <v>4.2839999999999918</v>
      </c>
      <c r="C10" s="44">
        <f>('1851'!J27-'1851'!I27)*3.6</f>
        <v>10.871999999999934</v>
      </c>
      <c r="D10" s="44">
        <f>('1852'!I27-'1852'!H27)*3.6</f>
        <v>6.9479999999999222</v>
      </c>
      <c r="E10" s="44">
        <f>('1853'!I28-'1853'!H28)*3.6</f>
        <v>7.2359999999999678</v>
      </c>
    </row>
    <row r="11" spans="1:20">
      <c r="A11" s="179" t="s">
        <v>131</v>
      </c>
      <c r="B11" s="180"/>
      <c r="C11" s="180"/>
      <c r="D11" s="180"/>
      <c r="E11" s="181"/>
    </row>
    <row r="12" spans="1:20">
      <c r="A12" s="44" t="s">
        <v>127</v>
      </c>
      <c r="B12" s="47">
        <f>'1850'!I25-'1850'!H25</f>
        <v>233</v>
      </c>
      <c r="C12" s="47">
        <f>'1851'!J24-'1851'!I24</f>
        <v>274</v>
      </c>
      <c r="D12" s="47">
        <f>'1852'!I25-'1852'!H25</f>
        <v>200</v>
      </c>
      <c r="E12" s="47">
        <f>'1853'!I24-'1853'!H24</f>
        <v>200</v>
      </c>
    </row>
    <row r="13" spans="1:20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 spans="1:20">
      <c r="A14" s="48" t="s">
        <v>128</v>
      </c>
      <c r="B14" s="49">
        <f>'1853'!I25-'1853'!H25</f>
        <v>239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</row>
    <row r="15" spans="1:20">
      <c r="A15" s="48" t="s">
        <v>129</v>
      </c>
      <c r="B15" s="50">
        <f>'1853'!I26-'1853'!H26</f>
        <v>31.899000000000001</v>
      </c>
      <c r="C15" s="50"/>
      <c r="D15" s="50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20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44">
        <f>'1854'!I4-'1854'!H4+'1854'!I6-'1854'!H6+'1854'!I8-'1854'!H8+'1854'!I10-'1854'!H10+'1854'!I12-'1854'!H12+'1854'!I14-'1854'!H14+'1854'!I16-'1854'!H16+'1854'!I18-'1854'!H18+'1854'!I20-'1854'!H20+'1854'!I22-'1854'!H22</f>
        <v>54.71999999999997</v>
      </c>
      <c r="C19" s="44">
        <f>'1855'!I4-'1855'!H4+'1855'!I6-'1855'!H6+'1855'!I8-'1855'!H8+'1855'!I10-'1855'!H10+'1855'!I12-'1855'!H12+'1855'!I14-'1855'!H14+'1855'!I16-'1855'!H16+'1855'!I18-'1855'!H18+'1855'!I20-'1855'!H20+'1855'!I22-'1855'!H22</f>
        <v>75.035999999999945</v>
      </c>
      <c r="D19" s="44">
        <f>'1856'!I4-'1856'!H4+'1856'!I6-'1856'!H6+'1856'!I8-'1856'!H8+'1856'!I10-'1856'!H10+'1856'!I12-'1856'!H12+'1856'!I14-'1856'!H14+'1856'!I16-'1856'!H16+'1856'!I18-'1856'!H18+'1856'!I20-'1856'!H20+'1856'!I22-'1856'!H22</f>
        <v>63.110999999999933</v>
      </c>
      <c r="E19" s="44">
        <f>'1857'!I4-'1857'!H4+'1857'!I6-'1857'!H6+'1857'!I8-'1857'!H8+'1857'!I10-'1857'!H10+'1857'!I12-'1857'!H12+'1857'!I14-'1857'!H14+'1857'!I16-'1857'!H16+'1857'!I18-'1857'!H18+'1857'!I20-'1857'!H20+'1857'!I22-'1857'!H22</f>
        <v>83.353999999999985</v>
      </c>
      <c r="G19" s="187">
        <f>1-B19/B20</f>
        <v>9.5537190082645163E-2</v>
      </c>
      <c r="H19" s="187">
        <f t="shared" ref="H19:J19" si="2">1-C19/C20</f>
        <v>0.10777645659928625</v>
      </c>
      <c r="I19" s="187">
        <f t="shared" si="2"/>
        <v>0.10226173541963057</v>
      </c>
      <c r="J19" s="187">
        <f t="shared" si="2"/>
        <v>9.200435729847467E-2</v>
      </c>
    </row>
    <row r="20" spans="1:10">
      <c r="A20" s="44" t="s">
        <v>120</v>
      </c>
      <c r="B20" s="44">
        <f>'1854'!I26-'1854'!H26</f>
        <v>60.5</v>
      </c>
      <c r="C20" s="45">
        <f>'1855'!I26-'1855'!H26</f>
        <v>84.099999999999909</v>
      </c>
      <c r="D20" s="44">
        <f>'1856'!I26-'1856'!H26</f>
        <v>70.299999999999955</v>
      </c>
      <c r="E20" s="44">
        <f>'1857'!I26-'1857'!H26</f>
        <v>91.799999999999955</v>
      </c>
    </row>
    <row r="21" spans="1:10">
      <c r="A21" s="44" t="s">
        <v>121</v>
      </c>
      <c r="B21" s="304">
        <f>SUM(B20:E20)</f>
        <v>306.69999999999982</v>
      </c>
      <c r="C21" s="304"/>
      <c r="D21" s="304"/>
      <c r="E21" s="304"/>
      <c r="G21" s="187">
        <f>1-B21/B22</f>
        <v>-4.4974446337307628E-2</v>
      </c>
    </row>
    <row r="22" spans="1:10">
      <c r="A22" s="44" t="s">
        <v>122</v>
      </c>
      <c r="B22" s="304">
        <f>'1854'!I29-'1854'!H29</f>
        <v>293.5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'1854'!I5-'1854'!H5+'1854'!I7-'1854'!H7+'1854'!I9-'1854'!H9+'1854'!I11-'1854'!H11+'1854'!I13-'1854'!H13+'1854'!I15-'1854'!H15+'1854'!I17-'1854'!H17+'1854'!I19-'1854'!H19+'1854'!I21-'1854'!H21+'1854'!I23-'1854'!H23</f>
        <v>3.4690000000000021</v>
      </c>
      <c r="C24" s="44">
        <f>'1855'!I5-'1855'!H5+'1855'!I7-'1855'!H7+'1855'!I9-'1855'!H9+'1855'!I11-'1855'!H11+'1855'!I13-'1855'!H13+'1855'!I15-'1855'!H15+'1855'!I17-'1855'!H17+'1855'!I19-'1855'!H19+'1855'!I21-'1855'!H21+'1855'!I23-'1855'!H23</f>
        <v>5.0999999999999801</v>
      </c>
      <c r="D24" s="44">
        <f>'1856'!I5-'1856'!H5+'1856'!I7-'1856'!H7+'1856'!I9-'1856'!H9+'1856'!I11-'1856'!H11+'1856'!I13-'1856'!H13+'1856'!I15-'1856'!H15+'1856'!I17-'1856'!H17+'1856'!I19-'1856'!H19+'1856'!I21-'1856'!H21+'1856'!I23-'1856'!H23</f>
        <v>3.7849999999999824</v>
      </c>
      <c r="E24" s="44">
        <f>'1857'!I5-'1857'!H5+'1857'!I7-'1857'!H7+'1857'!I9-'1857'!H9+'1857'!I11-'1857'!H11+'1857'!I13-'1857'!H13+'1857'!I15-'1857'!H15+'1857'!I17-'1857'!H17+'1857'!I19-'1857'!H19+'1857'!I21-'1857'!H21+'1857'!I23-'1857'!H23</f>
        <v>5.0719999999999743</v>
      </c>
      <c r="G24" s="187">
        <f>1-B24/B25</f>
        <v>-2.6011560693623981E-3</v>
      </c>
      <c r="H24" s="187">
        <f t="shared" ref="H24:J24" si="3">1-C24/C25</f>
        <v>-0.17511520737327402</v>
      </c>
      <c r="I24" s="187">
        <f t="shared" si="3"/>
        <v>-0.20541401273884219</v>
      </c>
      <c r="J24" s="187">
        <f t="shared" si="3"/>
        <v>-8.3499005964104978E-3</v>
      </c>
    </row>
    <row r="25" spans="1:10">
      <c r="A25" s="44" t="s">
        <v>125</v>
      </c>
      <c r="B25" s="52">
        <f>'1854'!I27-'1854'!H27</f>
        <v>3.460000000000008</v>
      </c>
      <c r="C25" s="52">
        <f>'1855'!I27-'1855'!H27</f>
        <v>4.339999999999975</v>
      </c>
      <c r="D25" s="52">
        <f>'1856'!I27-'1856'!H27</f>
        <v>3.1400000000000148</v>
      </c>
      <c r="E25" s="52">
        <f>'1857'!I27-'1857'!H27</f>
        <v>5.0300000000000296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'1854'!I25-'1854'!H25</f>
        <v>220</v>
      </c>
      <c r="C27" s="47">
        <f>'1855'!I25-'1855'!H25</f>
        <v>232</v>
      </c>
      <c r="D27" s="47">
        <f>'1856'!I25-'1856'!H25</f>
        <v>222</v>
      </c>
      <c r="E27" s="47">
        <f>'1857'!I25-'1857'!H25</f>
        <v>210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L2 F13:H17 F28:L65536 I13:L13 I16:L17">
    <cfRule type="cellIs" dxfId="46" priority="1" stopIfTrue="1" operator="lessThan">
      <formula>0</formula>
    </cfRule>
  </conditionalFormatting>
  <conditionalFormatting sqref="B1">
    <cfRule type="cellIs" dxfId="45" priority="2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27"/>
  <sheetViews>
    <sheetView workbookViewId="0">
      <selection activeCell="E25" sqref="E25"/>
    </sheetView>
  </sheetViews>
  <sheetFormatPr defaultColWidth="9" defaultRowHeight="18"/>
  <cols>
    <col min="1" max="1" width="36.140625" style="41" customWidth="1"/>
    <col min="2" max="15" width="11.42578125" style="41" customWidth="1"/>
    <col min="16" max="23" width="9.85546875" style="41" customWidth="1"/>
    <col min="24" max="27" width="6.42578125" style="41" customWidth="1"/>
    <col min="28" max="16384" width="9" style="41"/>
  </cols>
  <sheetData>
    <row r="1" spans="1:23">
      <c r="A1" s="54" t="s">
        <v>136</v>
      </c>
      <c r="B1" s="43">
        <f>'S1'!B1</f>
        <v>2021</v>
      </c>
    </row>
    <row r="3" spans="1:23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23">
      <c r="A4" s="51" t="s">
        <v>119</v>
      </c>
      <c r="B4" s="44">
        <f>'1850'!J4-'1850'!I4+'1850'!J6-'1850'!I6+'1850'!J8-'1850'!I8+'1850'!J10-'1850'!I10+'1850'!J12-'1850'!I12+'1850'!J14-'1850'!I14+'1850'!J16-'1850'!I16+'1850'!J18-'1850'!I18+'1850'!J20-'1850'!I20+'1850'!J22-'1850'!I22</f>
        <v>46.830999999999989</v>
      </c>
      <c r="C4" s="44">
        <f>'1851'!K4-'1851'!J4+'1851'!K6-'1851'!J6+'1851'!K8-'1851'!J8+'1851'!K10-'1851'!J10+'1851'!K12-'1851'!J12+'1851'!K14-'1851'!J14+'1851'!K16-'1851'!J16+'1851'!K18-'1851'!J18+'1851'!K20-'1851'!J20+'1851'!K22-'1851'!J22+'1851'!K33-'1851'!J33+'1851'!K34-'1851'!J34+'1851'!K35-'1851'!J35+'1851'!K36-'1851'!J36+'1851'!K37-'1851'!J37+'1851'!K40-'1851'!J40+'1851'!K41-'1851'!J41+'1851'!K42-'1851'!J42+'1851'!K43-'1851'!J43+'1851'!K44-'1851'!J44+'1851'!K45-'1851'!J45+'1851'!K46-'1851'!J46+'1851'!K47-'1851'!J47+'1851'!K48-'1851'!J48+'1851'!K49-'1851'!J49</f>
        <v>75.086999999999932</v>
      </c>
      <c r="D4" s="44">
        <f>'1852'!J4-'1852'!I4+'1852'!J6-'1852'!I6+'1852'!J8-'1852'!I8+'1852'!J10-'1852'!I10+'1852'!J12-'1852'!I12+'1852'!J14-'1852'!I14+'1852'!J16-'1852'!I16+'1852'!J18-'1852'!I18+'1852'!J20-'1852'!I20+'1852'!J22-'1852'!I22</f>
        <v>64.134999999999877</v>
      </c>
      <c r="E4" s="44">
        <f>'1853'!J4-'1853'!I4+'1853'!J6-'1853'!I6+'1853'!J8-'1853'!I8+'1853'!J10-'1853'!I10+'1853'!J12-'1853'!I12+'1853'!J14-'1853'!I14+'1853'!J16-'1853'!I16+'1853'!J18-'1853'!I18+'1853'!J20-'1853'!I20+'1853'!J22-'1853'!I22+'1853'!J26-'1853'!I26</f>
        <v>89.883000000000038</v>
      </c>
      <c r="G4" s="187">
        <f>1-B4/B5</f>
        <v>0.1213696060037518</v>
      </c>
      <c r="H4" s="187">
        <f t="shared" ref="H4:J4" si="0">1-C4/C5</f>
        <v>6.6082089552235379E-2</v>
      </c>
      <c r="I4" s="187">
        <f t="shared" si="0"/>
        <v>0.16815823605706937</v>
      </c>
      <c r="J4" s="187">
        <f t="shared" si="0"/>
        <v>6.0783699059558938E-2</v>
      </c>
    </row>
    <row r="5" spans="1:23">
      <c r="A5" s="51" t="s">
        <v>120</v>
      </c>
      <c r="B5" s="44">
        <f>'1850'!J26-'1850'!I26</f>
        <v>53.299999999999955</v>
      </c>
      <c r="C5" s="44">
        <f>'1851'!K26-'1851'!J26</f>
        <v>80.399999999999636</v>
      </c>
      <c r="D5" s="44">
        <f>'1852'!J26-'1852'!I26</f>
        <v>77.099999999999909</v>
      </c>
      <c r="E5" s="44">
        <f>'1853'!J27-'1853'!I27</f>
        <v>95.699999999999818</v>
      </c>
    </row>
    <row r="6" spans="1:23">
      <c r="A6" s="51" t="s">
        <v>121</v>
      </c>
      <c r="B6" s="304">
        <f>SUM(B5:E5)</f>
        <v>306.49999999999932</v>
      </c>
      <c r="C6" s="304"/>
      <c r="D6" s="304"/>
      <c r="E6" s="304"/>
      <c r="G6" s="187">
        <f>1-B6/B7</f>
        <v>8.0959520239882066E-2</v>
      </c>
    </row>
    <row r="7" spans="1:23">
      <c r="A7" s="51" t="s">
        <v>122</v>
      </c>
      <c r="B7" s="304">
        <f>'1850'!J29-'1850'!I29</f>
        <v>333.5</v>
      </c>
      <c r="C7" s="304"/>
      <c r="D7" s="304"/>
      <c r="E7" s="304"/>
    </row>
    <row r="8" spans="1:23">
      <c r="A8" s="179" t="s">
        <v>123</v>
      </c>
      <c r="B8" s="180"/>
      <c r="C8" s="180"/>
      <c r="D8" s="180"/>
      <c r="E8" s="181"/>
    </row>
    <row r="9" spans="1:23">
      <c r="A9" s="44" t="s">
        <v>124</v>
      </c>
      <c r="B9" s="44">
        <f>'1850'!J5-'1850'!I5+'1850'!J7-'1850'!I7+'1850'!J9-'1850'!I9+'1850'!J11-'1850'!I11+'1850'!J13-'1850'!I13+'1850'!J15-'1850'!I15+'1850'!J17-'1850'!I17+'1850'!J19-'1850'!I19+'1850'!J21-'1850'!I21+'1850'!J23-'1850'!I23</f>
        <v>3.0109999999999957</v>
      </c>
      <c r="C9" s="44">
        <f>'1851'!K5-'1851'!J5+'1851'!K7-'1851'!J7+'1851'!K9-'1851'!J9+'1851'!K11-'1851'!J11+'1851'!K13-'1851'!J13+'1851'!K15-'1851'!J15+'1851'!K17-'1851'!J17+'1851'!K19-'1851'!J19+'1851'!K21-'1851'!J21+'1851'!K23-'1851'!J23</f>
        <v>5.355000000000004</v>
      </c>
      <c r="D9" s="44">
        <f>'1852'!J5-'1852'!I5+'1852'!J7-'1852'!I7+'1852'!J9-'1852'!I9+'1852'!J11-'1852'!I11+'1852'!J13-'1852'!I13+'1852'!J15-'1852'!I15+'1852'!J17-'1852'!I17+'1852'!J19-'1852'!I19+'1852'!J21-'1852'!I21+'1852'!J23-'1852'!I23</f>
        <v>4.555999999999969</v>
      </c>
      <c r="E9" s="44">
        <f>'1853'!J5-'1853'!I5+'1853'!J7-'1853'!I7+'1853'!J9-'1853'!I9+'1853'!J11-'1853'!I11+'1853'!J13-'1853'!I13+'1853'!J15-'1853'!I15+'1853'!J17-'1853'!I17+'1853'!J19-'1853'!I19+'1853'!J21-'1853'!I21+'1853'!J23-'1853'!I23</f>
        <v>3.313999999999993</v>
      </c>
      <c r="G9" s="187">
        <f>1-B9/B10</f>
        <v>0.11959064327485769</v>
      </c>
      <c r="H9" s="187">
        <f t="shared" ref="H9:J9" si="1">1-C9/C10</f>
        <v>0.43441064638783744</v>
      </c>
      <c r="I9" s="187">
        <f t="shared" si="1"/>
        <v>-0.318287037037017</v>
      </c>
      <c r="J9" s="187">
        <f t="shared" si="1"/>
        <v>0.5077243018419475</v>
      </c>
    </row>
    <row r="10" spans="1:23">
      <c r="A10" s="44" t="s">
        <v>125</v>
      </c>
      <c r="B10" s="52">
        <f>('1850'!J27-'1850'!I27)*3.6</f>
        <v>3.4200000000000101</v>
      </c>
      <c r="C10" s="52">
        <f>('1851'!K27-'1851'!J27)*3.6</f>
        <v>9.468000000000087</v>
      </c>
      <c r="D10" s="44">
        <f>('1852'!J27-'1852'!I27)*3.6</f>
        <v>3.4560000000000288</v>
      </c>
      <c r="E10" s="44">
        <f>('1853'!J28-'1853'!I28)*3.6</f>
        <v>6.7319999999999656</v>
      </c>
    </row>
    <row r="11" spans="1:23">
      <c r="A11" s="179" t="s">
        <v>131</v>
      </c>
      <c r="B11" s="180"/>
      <c r="C11" s="180"/>
      <c r="D11" s="180"/>
      <c r="E11" s="181"/>
    </row>
    <row r="12" spans="1:23">
      <c r="A12" s="44" t="s">
        <v>127</v>
      </c>
      <c r="B12" s="47">
        <f>'1850'!J25-'1850'!I25</f>
        <v>218</v>
      </c>
      <c r="C12" s="47">
        <f>'1851'!K24-'1851'!J24</f>
        <v>260</v>
      </c>
      <c r="D12" s="47">
        <f>'1852'!J25-'1852'!I25</f>
        <v>182</v>
      </c>
      <c r="E12" s="47">
        <f>'1853'!J24-'1853'!I24</f>
        <v>173</v>
      </c>
    </row>
    <row r="13" spans="1:23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</row>
    <row r="14" spans="1:23">
      <c r="A14" s="48" t="s">
        <v>128</v>
      </c>
      <c r="B14" s="49">
        <f>'1853'!J25-'1853'!I25</f>
        <v>240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23">
      <c r="A15" s="48" t="s">
        <v>129</v>
      </c>
      <c r="B15" s="50">
        <f>'1853'!J26-'1853'!I26</f>
        <v>24.052000000000021</v>
      </c>
      <c r="C15" s="50"/>
      <c r="D15" s="50"/>
      <c r="E15" s="50"/>
      <c r="F15" s="5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23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44">
        <f>'1854'!J4-'1854'!I4+'1854'!J6-'1854'!I6+'1854'!J8-'1854'!I8+'1854'!J10-'1854'!I10+'1854'!J12-'1854'!I12+'1854'!J14-'1854'!I14+'1854'!J16-'1854'!I16+'1854'!J18-'1854'!I18+'1854'!J20-'1854'!I20+'1854'!J22-'1854'!I22</f>
        <v>50.98000000000004</v>
      </c>
      <c r="C19" s="44">
        <f>'1855'!J4-'1855'!I4+'1855'!J6-'1855'!I6+'1855'!J8-'1855'!I8+'1855'!J10-'1855'!I10+'1855'!J12-'1855'!I12+'1855'!J14-'1855'!I14+'1855'!J16-'1855'!I16+'1855'!J18-'1855'!I18+'1855'!J20-'1855'!I20+'1855'!J22-'1855'!I22</f>
        <v>63.86000000000007</v>
      </c>
      <c r="D19" s="44">
        <f>'1856'!J4-'1856'!I4+'1856'!J6-'1856'!I6+'1856'!J8-'1856'!I8+'1856'!J10-'1856'!I10+'1856'!J12-'1856'!I12+'1856'!J14-'1856'!I14+'1856'!J16-'1856'!I16+'1856'!J18-'1856'!I18+'1856'!J20-'1856'!I20+'1856'!J22-'1856'!I22</f>
        <v>53.757000000000005</v>
      </c>
      <c r="E19" s="44">
        <f>'1857'!J4-'1857'!I4+'1857'!J6-'1857'!I6+'1857'!J8-'1857'!I8+'1857'!J10-'1857'!I10+'1857'!J12-'1857'!I12+'1857'!J14-'1857'!I14+'1857'!J16-'1857'!I16+'1857'!J18-'1857'!I18+'1857'!J20-'1857'!I20+'1857'!J22-'1857'!I22</f>
        <v>58.508999999999986</v>
      </c>
      <c r="G19" s="187">
        <f>1-B19/B20</f>
        <v>8.3093525179853911E-2</v>
      </c>
      <c r="H19" s="187">
        <f t="shared" ref="H19:J19" si="2">1-C19/C20</f>
        <v>0.13115646258503311</v>
      </c>
      <c r="I19" s="187">
        <f t="shared" si="2"/>
        <v>9.3473861720066664E-2</v>
      </c>
      <c r="J19" s="187">
        <f t="shared" si="2"/>
        <v>9.5687789799073442E-2</v>
      </c>
    </row>
    <row r="20" spans="1:10">
      <c r="A20" s="44" t="s">
        <v>120</v>
      </c>
      <c r="B20" s="44">
        <f>'1854'!J26-'1854'!I26</f>
        <v>55.599999999999909</v>
      </c>
      <c r="C20" s="44">
        <f>'1855'!J26-'1855'!I26</f>
        <v>73.5</v>
      </c>
      <c r="D20" s="44">
        <f>'1856'!J26-'1856'!I26</f>
        <v>59.299999999999955</v>
      </c>
      <c r="E20" s="44">
        <f>'1857'!J26-'1857'!I26</f>
        <v>64.700000000000045</v>
      </c>
    </row>
    <row r="21" spans="1:10">
      <c r="A21" s="44" t="s">
        <v>121</v>
      </c>
      <c r="B21" s="304">
        <f>SUM(B20:E20)</f>
        <v>253.09999999999991</v>
      </c>
      <c r="C21" s="304"/>
      <c r="D21" s="304"/>
      <c r="E21" s="304"/>
      <c r="G21" s="187">
        <f>1-B21/B22</f>
        <v>-4.5435770342833637E-2</v>
      </c>
    </row>
    <row r="22" spans="1:10">
      <c r="A22" s="44" t="s">
        <v>122</v>
      </c>
      <c r="B22" s="304">
        <f>'1854'!J29-'1854'!I29</f>
        <v>242.09999999999991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'1854'!J5-'1854'!I5+'1854'!J7-'1854'!I7+'1854'!J9-'1854'!I9+'1854'!J11-'1854'!I11+'1854'!J13-'1854'!I13+'1854'!J15-'1854'!I15+'1854'!J17-'1854'!I17+'1854'!J19-'1854'!I19+'1854'!J21-'1854'!I21+'1854'!J23-'1854'!I23</f>
        <v>3.1899999999999689</v>
      </c>
      <c r="C24" s="44">
        <f>'1855'!J5-'1855'!I5+'1855'!J7-'1855'!I7+'1855'!J9-'1855'!I9+'1855'!J11-'1855'!I11+'1855'!J13-'1855'!I13+'1855'!J15-'1855'!I15+'1855'!J17-'1855'!I17+'1855'!J19-'1855'!I19+'1855'!J21-'1855'!I21+'1855'!J23-'1855'!I23</f>
        <v>3.936000000000007</v>
      </c>
      <c r="D24" s="44">
        <f>'1856'!J5-'1856'!I5+'1856'!J7-'1856'!I7+'1856'!J9-'1856'!I9+'1856'!J11-'1856'!I11+'1856'!J13-'1856'!I13+'1856'!J15-'1856'!I15+'1856'!J17-'1856'!I17+'1856'!J19-'1856'!I19+'1856'!J21-'1856'!I21+'1856'!J23-'1856'!I23</f>
        <v>2.9540000000000362</v>
      </c>
      <c r="E24" s="44">
        <f>'1857'!J5-'1857'!I5+'1857'!J7-'1857'!I7+'1857'!J9-'1857'!I9+'1857'!J11-'1857'!I11+'1857'!J13-'1857'!I13+'1857'!J15-'1857'!I15+'1857'!J17-'1857'!I17+'1857'!J19-'1857'!I19+'1857'!J21-'1857'!I21+'1857'!J23-'1857'!I23</f>
        <v>3.282999999999987</v>
      </c>
      <c r="G24" s="187">
        <f>1-B24/B25</f>
        <v>-4.590163934425795E-2</v>
      </c>
      <c r="H24" s="187">
        <f t="shared" ref="H24:J24" si="3">1-C24/C25</f>
        <v>-0.28627450980392299</v>
      </c>
      <c r="I24" s="187">
        <f t="shared" si="3"/>
        <v>-0.20081300813009206</v>
      </c>
      <c r="J24" s="187">
        <f t="shared" si="3"/>
        <v>0.15386597938144564</v>
      </c>
    </row>
    <row r="25" spans="1:10">
      <c r="A25" s="44" t="s">
        <v>125</v>
      </c>
      <c r="B25" s="52">
        <f>'1854'!J27-'1854'!I27</f>
        <v>3.0499999999999829</v>
      </c>
      <c r="C25" s="52">
        <f>'1855'!J27-'1855'!I27</f>
        <v>3.0600000000000023</v>
      </c>
      <c r="D25" s="52">
        <f>'1856'!J27-'1856'!I27</f>
        <v>2.460000000000008</v>
      </c>
      <c r="E25" s="52">
        <f>'1857'!J27-'1857'!I27</f>
        <v>3.8799999999999955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'1854'!J25-'1854'!I25</f>
        <v>196</v>
      </c>
      <c r="C27" s="47">
        <f>'1855'!J25-'1855'!I25</f>
        <v>234</v>
      </c>
      <c r="D27" s="47">
        <f>'1856'!J25-'1856'!I25</f>
        <v>205</v>
      </c>
      <c r="E27" s="47">
        <f>'1857'!J25-'1857'!I25</f>
        <v>193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O2 F13:J17 F28:O65536 K13:N13 K16:O17">
    <cfRule type="cellIs" dxfId="44" priority="2" stopIfTrue="1" operator="lessThan">
      <formula>0</formula>
    </cfRule>
  </conditionalFormatting>
  <conditionalFormatting sqref="B1">
    <cfRule type="cellIs" dxfId="43" priority="3" stopIfTrue="1" operator="lessThan">
      <formula>0</formula>
    </cfRule>
  </conditionalFormatting>
  <conditionalFormatting sqref="G1:J2 G13:H17 G28:J65536 I13:J13 I16:J17">
    <cfRule type="cellIs" dxfId="42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27"/>
  <sheetViews>
    <sheetView workbookViewId="0">
      <selection activeCell="F14" sqref="F14"/>
    </sheetView>
  </sheetViews>
  <sheetFormatPr defaultColWidth="9" defaultRowHeight="18"/>
  <cols>
    <col min="1" max="1" width="35" style="41" customWidth="1"/>
    <col min="2" max="18" width="11.42578125" style="41" customWidth="1"/>
    <col min="19" max="26" width="9.85546875" style="41" customWidth="1"/>
    <col min="27" max="30" width="6.42578125" style="41" customWidth="1"/>
    <col min="31" max="16384" width="9" style="41"/>
  </cols>
  <sheetData>
    <row r="1" spans="1:26">
      <c r="A1" s="42" t="s">
        <v>137</v>
      </c>
      <c r="B1" s="43">
        <f>'S1'!B1</f>
        <v>2021</v>
      </c>
    </row>
    <row r="3" spans="1:26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26">
      <c r="A4" s="51" t="s">
        <v>119</v>
      </c>
      <c r="B4" s="44">
        <f>'1850'!K4-'1850'!J4+'1850'!K6-'1850'!J6+'1850'!K8-'1850'!J8+'1850'!K10-'1850'!J10+'1850'!K12-'1850'!J12+'1850'!K14-'1850'!J14+'1850'!K16-'1850'!J16+'1850'!K18-'1850'!J18+'1850'!K20-'1850'!J20+'1850'!K22-'1850'!J22</f>
        <v>53.75800000000001</v>
      </c>
      <c r="C4" s="55">
        <f>'1851'!L4-'1851'!K4+'1851'!L6-'1851'!K6+'1851'!L8-'1851'!K8+'1851'!L10-'1851'!K10+'1851'!L12-'1851'!K12+'1851'!L14-'1851'!K14+'1851'!L16-'1851'!K16+'1851'!L18-'1851'!K18+'1851'!L20-'1851'!K20+'1851'!L22-'1851'!K22+'1851'!L33-'1851'!K33+'1851'!L34-'1851'!K34+'1851'!L35-'1851'!K35+'1851'!L36-'1851'!K36+'1851'!L37-'1851'!K37+'1851'!L40-'1851'!K40+'1851'!L41-'1851'!K41+'1851'!L42-'1851'!K42+'1851'!L43-'1851'!K43+'1851'!L44-'1851'!K44+'1851'!L45-'1851'!K45+'1851'!L46-'1851'!K46+'1851'!L47-'1851'!K47+'1851'!L48-'1851'!K48+'1851'!L49-'1851'!K49</f>
        <v>79.279000000000025</v>
      </c>
      <c r="D4" s="44">
        <f>'1852'!K4-'1852'!J4+'1852'!K6-'1852'!J6+'1852'!K8-'1852'!J8+'1852'!K10-'1852'!J10+'1852'!K12-'1852'!J12+'1852'!K14-'1852'!J14+'1852'!K16-'1852'!J16+'1852'!K18-'1852'!J18+'1852'!K20-'1852'!J20+'1852'!K22-'1852'!J22</f>
        <v>61.47</v>
      </c>
      <c r="E4" s="44">
        <f>'1853'!K4-'1853'!J4+'1853'!K6-'1853'!J6+'1853'!K8-'1853'!J8+'1853'!K10-'1853'!J10+'1853'!K12-'1853'!J12+'1853'!K14-'1853'!J14+'1853'!K16-'1853'!J16+'1853'!K18-'1853'!J18+'1853'!K20-'1853'!J20+'1853'!K22-'1853'!J22+'1853'!K26-'1853'!J26</f>
        <v>83.519000000000005</v>
      </c>
      <c r="G4" s="187">
        <f>1-B4/B5</f>
        <v>0.12303425774877574</v>
      </c>
      <c r="H4" s="187">
        <f t="shared" ref="H4:J4" si="0">1-C4/C5</f>
        <v>6.9495305164321897E-2</v>
      </c>
      <c r="I4" s="187">
        <f t="shared" si="0"/>
        <v>0.19224704336399623</v>
      </c>
      <c r="J4" s="187">
        <f t="shared" si="0"/>
        <v>7.4068736141907232E-2</v>
      </c>
    </row>
    <row r="5" spans="1:26">
      <c r="A5" s="51" t="s">
        <v>120</v>
      </c>
      <c r="B5" s="44">
        <f>'1850'!K26-'1850'!J26</f>
        <v>61.299999999999955</v>
      </c>
      <c r="C5" s="44">
        <f>'1851'!L26-'1851'!K26</f>
        <v>85.200000000000273</v>
      </c>
      <c r="D5" s="44">
        <f>'1852'!K26-'1852'!J26</f>
        <v>76.100000000000136</v>
      </c>
      <c r="E5" s="44">
        <f>'1853'!K27-'1853'!J27</f>
        <v>90.200000000000045</v>
      </c>
    </row>
    <row r="6" spans="1:26">
      <c r="A6" s="51" t="s">
        <v>121</v>
      </c>
      <c r="B6" s="304">
        <f>SUM(B5:E5)</f>
        <v>312.80000000000041</v>
      </c>
      <c r="C6" s="304"/>
      <c r="D6" s="304"/>
      <c r="E6" s="304"/>
      <c r="G6" s="187">
        <f>1-B6/B7</f>
        <v>6.4593301435404427E-2</v>
      </c>
    </row>
    <row r="7" spans="1:26">
      <c r="A7" s="51" t="s">
        <v>122</v>
      </c>
      <c r="B7" s="304">
        <f>'1850'!K29-'1850'!J29</f>
        <v>334.39999999999964</v>
      </c>
      <c r="C7" s="304"/>
      <c r="D7" s="304"/>
      <c r="E7" s="304"/>
    </row>
    <row r="8" spans="1:26">
      <c r="A8" s="179" t="s">
        <v>123</v>
      </c>
      <c r="B8" s="180"/>
      <c r="C8" s="180"/>
      <c r="D8" s="180"/>
      <c r="E8" s="181"/>
    </row>
    <row r="9" spans="1:26">
      <c r="A9" s="44" t="s">
        <v>124</v>
      </c>
      <c r="B9" s="55">
        <f>'1850'!K5-'1850'!J5+'1850'!K7-'1850'!J7+'1850'!K9-'1850'!J9+'1850'!K11-'1850'!J11+'1850'!K13-'1850'!J13+'1850'!K15-'1850'!J15+'1850'!K17-'1850'!J17+'1850'!K19-'1850'!J19+'1850'!K21-'1850'!J21+'1850'!K23-'1850'!J23</f>
        <v>3.4730000000000132</v>
      </c>
      <c r="C9" s="55">
        <f>'1851'!L5-'1851'!K5+'1851'!L7-'1851'!K7+'1851'!L9-'1851'!K9+'1851'!L11-'1851'!K11+'1851'!L13-'1851'!K13+'1851'!L15-'1851'!K15+'1851'!L17-'1851'!K17+'1851'!L19-'1851'!K19+'1851'!L21-'1851'!K21+'1851'!L23-'1851'!K23</f>
        <v>6.0149999999999721</v>
      </c>
      <c r="D9" s="55">
        <f>'1852'!K5-'1852'!J5+'1852'!K7-'1852'!J7+'1852'!K9-'1852'!J9+'1852'!K11-'1852'!J11+'1852'!K13-'1852'!J13+'1852'!K15-'1852'!J15+'1852'!K17-'1852'!J17+'1852'!K19-'1852'!J19+'1852'!K21-'1852'!J21+'1852'!K23-'1852'!J23</f>
        <v>4.4750000000000227</v>
      </c>
      <c r="E9" s="55">
        <f>'1853'!K5-'1853'!J5+'1853'!K7-'1853'!J7+'1853'!K9-'1853'!J9+'1853'!K11-'1853'!J11+'1853'!K13-'1853'!J13+'1853'!K15-'1853'!J15+'1853'!K17-'1853'!J17+'1853'!K19-'1853'!J19+'1853'!K21-'1853'!J21+'1853'!K23-'1853'!J23</f>
        <v>3.7199999999999989</v>
      </c>
      <c r="F9" s="137"/>
      <c r="G9" s="187">
        <f>1-B9/B10</f>
        <v>0.33005401234567544</v>
      </c>
      <c r="H9" s="187">
        <f t="shared" ref="H9:J9" si="1">1-C9/C10</f>
        <v>0.40959952885747886</v>
      </c>
      <c r="I9" s="187">
        <f t="shared" si="1"/>
        <v>0.13073038073038046</v>
      </c>
      <c r="J9" s="187">
        <f t="shared" si="1"/>
        <v>0.4673539518900417</v>
      </c>
    </row>
    <row r="10" spans="1:26">
      <c r="A10" s="44" t="s">
        <v>125</v>
      </c>
      <c r="B10" s="56">
        <f>('1850'!K27-'1850'!J27)*3.6</f>
        <v>5.1839999999999922</v>
      </c>
      <c r="C10" s="55">
        <f>('1851'!L27-'1851'!K27)*3.6</f>
        <v>10.187999999999944</v>
      </c>
      <c r="D10" s="55">
        <f>('1852'!K27-'1852'!J27)*3.6</f>
        <v>5.1480000000000246</v>
      </c>
      <c r="E10" s="55">
        <f>('1853'!K28-'1853'!J28)*3.6</f>
        <v>6.9840000000000941</v>
      </c>
    </row>
    <row r="11" spans="1:26">
      <c r="A11" s="179" t="s">
        <v>131</v>
      </c>
      <c r="B11" s="180"/>
      <c r="C11" s="180"/>
      <c r="D11" s="180"/>
      <c r="E11" s="181"/>
    </row>
    <row r="12" spans="1:26">
      <c r="A12" s="44" t="s">
        <v>127</v>
      </c>
      <c r="B12" s="47">
        <f>'1850'!K25-'1850'!J25</f>
        <v>217</v>
      </c>
      <c r="C12" s="47">
        <f>'1851'!L24-'1851'!K24</f>
        <v>247</v>
      </c>
      <c r="D12" s="47">
        <f>'1852'!K25-'1852'!J25</f>
        <v>216</v>
      </c>
      <c r="E12" s="47">
        <f>'1853'!K24-'1853'!J24</f>
        <v>185</v>
      </c>
    </row>
    <row r="13" spans="1:26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</row>
    <row r="14" spans="1:26">
      <c r="A14" s="48" t="s">
        <v>128</v>
      </c>
      <c r="B14" s="49">
        <f>'1853'!K25-'1853'!J25</f>
        <v>275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</row>
    <row r="15" spans="1:26">
      <c r="A15" s="48" t="s">
        <v>129</v>
      </c>
      <c r="B15" s="50">
        <f>'1853'!K26-'1853'!J26</f>
        <v>14.407999999999959</v>
      </c>
      <c r="C15" s="50"/>
      <c r="D15" s="50"/>
      <c r="E15" s="50"/>
      <c r="F15" s="5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</row>
    <row r="16" spans="1:26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44">
        <f>'1854'!K4-'1854'!J4+'1854'!K6-'1854'!J6+'1854'!K8-'1854'!J8+'1854'!K10-'1854'!J10+'1854'!K12-'1854'!J12+'1854'!K14-'1854'!J14+'1854'!K16-'1854'!J16+'1854'!K18-'1854'!J18+'1854'!K20-'1854'!J20+'1854'!K22-'1854'!J22</f>
        <v>47.803999999999938</v>
      </c>
      <c r="C19" s="44">
        <f>'1855'!K4-'1855'!J4+'1855'!K6-'1855'!J6+'1855'!K8-'1855'!J8+'1855'!K10-'1855'!J10+'1855'!K12-'1855'!J12+'1855'!K14-'1855'!J14+'1855'!K16-'1855'!J16+'1855'!K18-'1855'!J18+'1855'!K20-'1855'!J20+'1855'!K22-'1855'!J22</f>
        <v>72.418000000000006</v>
      </c>
      <c r="D19" s="44">
        <f>'1856'!K4-'1856'!J4+'1856'!K6-'1856'!J6+'1856'!K8-'1856'!J8+'1856'!K10-'1856'!J10+'1856'!K12-'1856'!J12+'1856'!K14-'1856'!J14+'1856'!K16-'1856'!J16+'1856'!K18-'1856'!J18+'1856'!K20-'1856'!J20+'1856'!K22-'1856'!J22</f>
        <v>52.668999999999954</v>
      </c>
      <c r="E19" s="44">
        <f>'1857'!K4-'1857'!J4+'1857'!K6-'1857'!J6+'1857'!K8-'1857'!J8+'1857'!K10-'1857'!J10+'1857'!K12-'1857'!J12+'1857'!K14-'1857'!J14+'1857'!K16-'1857'!J16+'1857'!K18-'1857'!J18+'1857'!K20-'1857'!J20+'1857'!K22-'1857'!J22</f>
        <v>61.705000000000041</v>
      </c>
      <c r="G19" s="187">
        <f>1-B19/B20</f>
        <v>8.4214559386975196E-2</v>
      </c>
      <c r="H19" s="187">
        <f t="shared" ref="H19:J19" si="2">1-C19/C20</f>
        <v>0.11252450980392048</v>
      </c>
      <c r="I19" s="187">
        <f t="shared" si="2"/>
        <v>9.8133561643837797E-2</v>
      </c>
      <c r="J19" s="187">
        <f t="shared" si="2"/>
        <v>9.1237113402059422E-2</v>
      </c>
    </row>
    <row r="20" spans="1:10">
      <c r="A20" s="44" t="s">
        <v>120</v>
      </c>
      <c r="B20" s="44">
        <f>'1854'!K26-'1854'!J26</f>
        <v>52.200000000000045</v>
      </c>
      <c r="C20" s="44">
        <f>'1855'!K26-'1855'!J26</f>
        <v>81.599999999999909</v>
      </c>
      <c r="D20" s="44">
        <f>'1856'!K26-'1856'!J26</f>
        <v>58.400000000000091</v>
      </c>
      <c r="E20" s="44">
        <f>'1857'!K26-'1857'!J26</f>
        <v>67.899999999999864</v>
      </c>
    </row>
    <row r="21" spans="1:10">
      <c r="A21" s="44" t="s">
        <v>121</v>
      </c>
      <c r="B21" s="304">
        <f>SUM(B20:E20)</f>
        <v>260.09999999999991</v>
      </c>
      <c r="C21" s="304"/>
      <c r="D21" s="304"/>
      <c r="E21" s="304"/>
      <c r="G21" s="187">
        <f>1-B21/B22</f>
        <v>-4.4158972300281096E-2</v>
      </c>
    </row>
    <row r="22" spans="1:10">
      <c r="A22" s="44" t="s">
        <v>122</v>
      </c>
      <c r="B22" s="304">
        <f>'1854'!K29-'1854'!J29</f>
        <v>249.09999999999991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'1854'!K5-'1854'!J5+'1854'!K7-'1854'!J7+'1854'!K9-'1854'!J9+'1854'!K11-'1854'!J11+'1854'!K13-'1854'!J13+'1854'!K15-'1854'!J15+'1854'!K17-'1854'!J17+'1854'!K19-'1854'!J19+'1854'!K21-'1854'!J21+'1854'!K23-'1854'!J23</f>
        <v>3.5470000000000041</v>
      </c>
      <c r="C24" s="44">
        <f>'1855'!K5-'1855'!J5+'1855'!K7-'1855'!J7+'1855'!K9-'1855'!J9+'1855'!K11-'1855'!J11+'1855'!K13-'1855'!J13+'1855'!K15-'1855'!J15+'1855'!K17-'1855'!J17+'1855'!K19-'1855'!J19+'1855'!K21-'1855'!J21+'1855'!K23-'1855'!J23</f>
        <v>5.3919999999999959</v>
      </c>
      <c r="D24" s="44">
        <f>'1856'!K5-'1856'!J5+'1856'!K7-'1856'!J7+'1856'!K9-'1856'!J9+'1856'!K11-'1856'!J11+'1856'!K13-'1856'!J13+'1856'!K15-'1856'!J15+'1856'!K17-'1856'!J17+'1856'!K19-'1856'!J19+'1856'!K21-'1856'!J21+'1856'!K23-'1856'!J23</f>
        <v>3.0309999999999917</v>
      </c>
      <c r="E24" s="44">
        <f>'1857'!K5-'1857'!J5+'1857'!K7-'1857'!J7+'1857'!K9-'1857'!J9+'1857'!K11-'1857'!J11+'1857'!K13-'1857'!J13+'1857'!K15-'1857'!J15+'1857'!K17-'1857'!J17+'1857'!K19-'1857'!J19+'1857'!K21-'1857'!J21+'1857'!K23-'1857'!J23</f>
        <v>3.597000000000051</v>
      </c>
      <c r="G24" s="187">
        <f>1-B24/B25</f>
        <v>0.23884120171674139</v>
      </c>
      <c r="H24" s="187">
        <f t="shared" ref="H24:J24" si="3">1-C24/C25</f>
        <v>-3.4932821497124289E-2</v>
      </c>
      <c r="I24" s="187">
        <f t="shared" si="3"/>
        <v>0.26073170731707418</v>
      </c>
      <c r="J24" s="187">
        <f t="shared" si="3"/>
        <v>0.37768166089964217</v>
      </c>
    </row>
    <row r="25" spans="1:10">
      <c r="A25" s="44" t="s">
        <v>125</v>
      </c>
      <c r="B25" s="56">
        <f>('1854'!K27-'1854'!J27)</f>
        <v>4.660000000000025</v>
      </c>
      <c r="C25" s="247">
        <f>('1855'!K27-'1855'!J27)</f>
        <v>5.2099999999999795</v>
      </c>
      <c r="D25" s="247">
        <f>('1856'!K27-'1856'!J27)</f>
        <v>4.0999999999999943</v>
      </c>
      <c r="E25" s="247">
        <f>('1857'!K27-'1857'!J27)</f>
        <v>5.7799999999999727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'1854'!K25-'1854'!J25</f>
        <v>213</v>
      </c>
      <c r="C27" s="47">
        <f>'1855'!K25-'1855'!J25</f>
        <v>237</v>
      </c>
      <c r="D27" s="47">
        <f>'1856'!K25-'1856'!J25</f>
        <v>186</v>
      </c>
      <c r="E27" s="47">
        <f>'1857'!K25-'1857'!J25</f>
        <v>213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R2 F13:L17 F28:R65536 M13:P13 M16:R17">
    <cfRule type="cellIs" dxfId="41" priority="3" stopIfTrue="1" operator="lessThan">
      <formula>0</formula>
    </cfRule>
  </conditionalFormatting>
  <conditionalFormatting sqref="B1">
    <cfRule type="cellIs" dxfId="40" priority="4" stopIfTrue="1" operator="lessThan">
      <formula>0</formula>
    </cfRule>
  </conditionalFormatting>
  <conditionalFormatting sqref="G1:J2 G13:J17 G28:J65536">
    <cfRule type="cellIs" dxfId="39" priority="2" stopIfTrue="1" operator="lessThan">
      <formula>0</formula>
    </cfRule>
  </conditionalFormatting>
  <conditionalFormatting sqref="G1:J2 G13:H17 G28:J65536 I13:J13 I16:J17">
    <cfRule type="cellIs" dxfId="38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27"/>
  <sheetViews>
    <sheetView workbookViewId="0">
      <selection activeCell="B22" sqref="B22:E22"/>
    </sheetView>
  </sheetViews>
  <sheetFormatPr defaultColWidth="9" defaultRowHeight="18"/>
  <cols>
    <col min="1" max="1" width="35" style="41" customWidth="1"/>
    <col min="2" max="21" width="11.42578125" style="41" customWidth="1"/>
    <col min="22" max="29" width="9.85546875" style="41" customWidth="1"/>
    <col min="30" max="33" width="6.42578125" style="41" customWidth="1"/>
    <col min="34" max="16384" width="9" style="41"/>
  </cols>
  <sheetData>
    <row r="1" spans="1:29">
      <c r="A1" s="42" t="s">
        <v>138</v>
      </c>
      <c r="B1" s="43">
        <f>'S1'!B1</f>
        <v>2021</v>
      </c>
    </row>
    <row r="3" spans="1:29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29">
      <c r="A4" s="51" t="s">
        <v>119</v>
      </c>
      <c r="B4" s="44">
        <f>'1850'!L4-'1850'!K4+'1850'!L6-'1850'!K6+'1850'!L8-'1850'!K8+'1850'!L10-'1850'!K10+'1850'!L12-'1850'!K12+'1850'!L14-'1850'!K14+'1850'!L16-'1850'!K16+'1850'!L18-'1850'!K18+'1850'!L20-'1850'!K20+'1850'!L22-'1850'!K22</f>
        <v>49.560999999999979</v>
      </c>
      <c r="C4" s="44">
        <f>'1851'!M4-'1851'!L4+'1851'!M6-'1851'!L6+'1851'!M8-'1851'!L8+'1851'!M10-'1851'!L10+'1851'!M12-'1851'!L12+'1851'!M14-'1851'!L14+'1851'!M16-'1851'!L16+'1851'!M18-'1851'!L18+'1851'!M20-'1851'!L20+'1851'!M22-'1851'!L22+'1851'!M33-'1851'!L33+'1851'!M34-'1851'!L34+'1851'!M35-'1851'!L35+'1851'!M36-'1851'!L36+'1851'!M37-'1851'!L37+'1851'!M40-'1851'!L40+'1851'!M41-'1851'!L41+'1851'!M42-'1851'!L42+'1851'!M43-'1851'!L43+'1851'!M44-'1851'!L44+'1851'!M45-'1851'!L45+'1851'!M46-'1851'!L46+'1851'!M47-'1851'!L47+'1851'!M48-'1851'!L48+'1851'!M49-'1851'!L49</f>
        <v>76.194999999999936</v>
      </c>
      <c r="D4" s="44">
        <f>'1852'!L4-'1852'!K4+'1852'!L6-'1852'!K6+'1852'!L8-'1852'!K8+'1852'!L10-'1852'!K10+'1852'!L12-'1852'!K12+'1852'!L14-'1852'!K14+'1852'!L16-'1852'!K16+'1852'!L18-'1852'!K18+'1852'!L20-'1852'!K20+'1852'!L22-'1852'!K22</f>
        <v>71.341000000000065</v>
      </c>
      <c r="E4" s="44">
        <f>'1853'!L4-'1853'!K4+'1853'!L6-'1853'!K6+'1853'!L8-'1853'!K8+'1853'!L10-'1853'!K10+'1853'!L12-'1853'!K12+'1853'!L14-'1853'!K14+'1853'!L16-'1853'!K16+'1853'!L18-'1853'!K18+'1853'!L20-'1853'!K20+'1853'!L22-'1853'!K22+'1853'!L26-'1853'!K26</f>
        <v>74.127000000000066</v>
      </c>
      <c r="G4" s="187">
        <f>1-B4/B5</f>
        <v>0.13050877192982491</v>
      </c>
      <c r="H4" s="187">
        <f t="shared" ref="H4:J4" si="0">1-C4/C5</f>
        <v>5.8158220024723706E-2</v>
      </c>
      <c r="I4" s="187">
        <f t="shared" si="0"/>
        <v>0.18467428571428501</v>
      </c>
      <c r="J4" s="187">
        <f t="shared" si="0"/>
        <v>7.8022388059699077E-2</v>
      </c>
    </row>
    <row r="5" spans="1:29">
      <c r="A5" s="51" t="s">
        <v>120</v>
      </c>
      <c r="B5" s="44">
        <f>'1850'!L26-'1850'!K26</f>
        <v>57</v>
      </c>
      <c r="C5" s="44">
        <f>'1851'!M26-'1851'!L26</f>
        <v>80.900000000000091</v>
      </c>
      <c r="D5" s="44">
        <f>'1852'!L26-'1852'!K26</f>
        <v>87.5</v>
      </c>
      <c r="E5" s="44">
        <f>'1853'!L27-'1853'!K27</f>
        <v>80.399999999999864</v>
      </c>
    </row>
    <row r="6" spans="1:29">
      <c r="A6" s="51" t="s">
        <v>121</v>
      </c>
      <c r="B6" s="304">
        <f>SUM(B5:E5)</f>
        <v>305.79999999999995</v>
      </c>
      <c r="C6" s="304"/>
      <c r="D6" s="304"/>
      <c r="E6" s="304"/>
      <c r="G6" s="187">
        <f>1-B6/B7</f>
        <v>5.8497536945810835E-2</v>
      </c>
    </row>
    <row r="7" spans="1:29">
      <c r="A7" s="51" t="s">
        <v>122</v>
      </c>
      <c r="B7" s="304">
        <f>'1850'!L29-'1850'!K29</f>
        <v>324.79999999999927</v>
      </c>
      <c r="C7" s="304"/>
      <c r="D7" s="304"/>
      <c r="E7" s="304"/>
    </row>
    <row r="8" spans="1:29">
      <c r="A8" s="179" t="s">
        <v>123</v>
      </c>
      <c r="B8" s="180"/>
      <c r="C8" s="180"/>
      <c r="D8" s="180"/>
      <c r="E8" s="181"/>
    </row>
    <row r="9" spans="1:29">
      <c r="A9" s="44" t="s">
        <v>124</v>
      </c>
      <c r="B9" s="44">
        <f>'1850'!L5-'1850'!K5+'1850'!L7-'1850'!K7+'1850'!L9-'1850'!K9+'1850'!L11-'1850'!K11+'1850'!L13-'1850'!K13+'1850'!L15-'1850'!K15+'1850'!L17-'1850'!K17+'1850'!L19-'1850'!K19+'1850'!L21-'1850'!K21+'1850'!L23-'1850'!K23</f>
        <v>5.7750000000000199</v>
      </c>
      <c r="C9" s="44">
        <f>'1851'!M5-'1851'!L5+'1851'!M7-'1851'!L7+'1851'!M9-'1851'!L9+'1851'!M11-'1851'!L11+'1851'!M13-'1851'!L13+'1851'!M15-'1851'!L15+'1851'!M17-'1851'!L17+'1851'!M19-'1851'!L19+'1851'!M21-'1851'!L21+'1851'!M23-'1851'!L23</f>
        <v>6.759000000000043</v>
      </c>
      <c r="D9" s="55">
        <f>'1852'!L5-'1852'!K5+'1852'!L7-'1852'!K7+'1852'!L9-'1852'!K9+'1852'!L11-'1852'!K11+'1852'!L13-'1852'!K13+'1852'!L15-'1852'!K15+'1852'!L17-'1852'!K17+'1852'!L19-'1852'!K19+'1852'!L21-'1852'!K21+'1852'!L23-'1852'!K23</f>
        <v>6.9769999999999754</v>
      </c>
      <c r="E9" s="55">
        <f>'1853'!L5-'1853'!K5+'1853'!L7-'1853'!K7+'1853'!L9-'1853'!K9+'1853'!L11-'1853'!K11+'1853'!L13-'1853'!K13+'1853'!L15-'1853'!K15+'1853'!L17-'1853'!K17+'1853'!L19-'1853'!K19+'1853'!L21-'1853'!K21+'1853'!L23-'1853'!K23</f>
        <v>4.1829999999999927</v>
      </c>
      <c r="F9" s="137"/>
      <c r="G9" s="187">
        <f>1-B9/B10</f>
        <v>7.2736030828507769E-2</v>
      </c>
      <c r="H9" s="187">
        <f t="shared" ref="H9:J9" si="1">1-C9/C10</f>
        <v>0.37831125827814382</v>
      </c>
      <c r="I9" s="187">
        <f t="shared" si="1"/>
        <v>-0.32743531202434117</v>
      </c>
      <c r="J9" s="187">
        <f t="shared" si="1"/>
        <v>0.38845029239765461</v>
      </c>
    </row>
    <row r="10" spans="1:29">
      <c r="A10" s="44" t="s">
        <v>125</v>
      </c>
      <c r="B10" s="46">
        <f>('1850'!L27-'1850'!K27)*3.6</f>
        <v>6.2279999999999633</v>
      </c>
      <c r="C10" s="44">
        <f>('1851'!M27-'1851'!L27)*3.6</f>
        <v>10.872000000000037</v>
      </c>
      <c r="D10" s="44">
        <f>('1852'!L27-'1852'!K27)*3.6</f>
        <v>5.2560000000000286</v>
      </c>
      <c r="E10" s="44">
        <f>('1853'!L28-'1853'!K28)*3.6</f>
        <v>6.8399999999999181</v>
      </c>
    </row>
    <row r="11" spans="1:29">
      <c r="A11" s="179" t="s">
        <v>131</v>
      </c>
      <c r="B11" s="180"/>
      <c r="C11" s="180"/>
      <c r="D11" s="180"/>
      <c r="E11" s="181"/>
    </row>
    <row r="12" spans="1:29">
      <c r="A12" s="44" t="s">
        <v>127</v>
      </c>
      <c r="B12" s="47">
        <f>'1850'!L25-'1850'!K25</f>
        <v>197</v>
      </c>
      <c r="C12" s="47">
        <f>'1851'!M24-'1851'!L24</f>
        <v>237</v>
      </c>
      <c r="D12" s="47">
        <f>'1852'!L25-'1852'!K25</f>
        <v>188</v>
      </c>
      <c r="E12" s="47">
        <f>'1853'!L24-'1853'!K24</f>
        <v>166</v>
      </c>
    </row>
    <row r="13" spans="1:29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</row>
    <row r="14" spans="1:29">
      <c r="A14" s="48" t="s">
        <v>128</v>
      </c>
      <c r="B14" s="49">
        <f>'1853'!L25-'1853'!K25</f>
        <v>290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</row>
    <row r="15" spans="1:29">
      <c r="A15" s="48" t="s">
        <v>129</v>
      </c>
      <c r="B15" s="50">
        <f>'1853'!L26-'1853'!K26</f>
        <v>9.1280000000000427</v>
      </c>
      <c r="C15" s="50"/>
      <c r="D15" s="50"/>
      <c r="E15" s="50"/>
      <c r="F15" s="5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</row>
    <row r="16" spans="1:29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44">
        <f>'1854'!L4-'1854'!K4+'1854'!L6-'1854'!K6+'1854'!L8-'1854'!K8+'1854'!L10-'1854'!K10+'1854'!L12-'1854'!K12+'1854'!L14-'1854'!K14+'1854'!L16-'1854'!K16+'1854'!L18-'1854'!K18+'1854'!L20-'1854'!K20+'1854'!L22-'1854'!K22</f>
        <v>53.849000000000053</v>
      </c>
      <c r="C19" s="44">
        <f>'1855'!L4-'1855'!K4+'1855'!L6-'1855'!K6+'1855'!L8-'1855'!K8+'1855'!L10-'1855'!K10+'1855'!L12-'1855'!K12+'1855'!L14-'1855'!K14+'1855'!L16-'1855'!K16+'1855'!L18-'1855'!K18+'1855'!L20-'1855'!K20+'1855'!L22-'1855'!K22</f>
        <v>70.543000000000006</v>
      </c>
      <c r="D19" s="44">
        <f>'1856'!L4-'1856'!K4+'1856'!L6-'1856'!K6+'1856'!L8-'1856'!K8+'1856'!L10-'1856'!K10+'1856'!L12-'1856'!K12+'1856'!L14-'1856'!K14+'1856'!L16-'1856'!K16+'1856'!L18-'1856'!K18+'1856'!L20-'1856'!K20+'1856'!L22-'1856'!K22</f>
        <v>55.256999999999977</v>
      </c>
      <c r="E19" s="44">
        <f>'1857'!L4-'1857'!K4+'1857'!L6-'1857'!K6+'1857'!L8-'1857'!K8+'1857'!L10-'1857'!K10+'1857'!L12-'1857'!K12+'1857'!L14-'1857'!K14+'1857'!L16-'1857'!K16+'1857'!L18-'1857'!K18+'1857'!L20-'1857'!K20+'1857'!L22-'1857'!K22</f>
        <v>69.566999999999979</v>
      </c>
      <c r="G19" s="187">
        <f>1-B19/B20</f>
        <v>8.7305084745761818E-2</v>
      </c>
      <c r="H19" s="187">
        <f t="shared" ref="H19:J19" si="2">1-C19/C20</f>
        <v>0.11378140703517481</v>
      </c>
      <c r="I19" s="187">
        <f t="shared" si="2"/>
        <v>9.5630114566283786E-2</v>
      </c>
      <c r="J19" s="187">
        <f t="shared" si="2"/>
        <v>8.3438735177867041E-2</v>
      </c>
    </row>
    <row r="20" spans="1:10">
      <c r="A20" s="44" t="s">
        <v>120</v>
      </c>
      <c r="B20" s="44">
        <f>'1854'!L26-'1854'!K26</f>
        <v>59</v>
      </c>
      <c r="C20" s="44">
        <f>'1855'!L26-'1855'!K26</f>
        <v>79.599999999999909</v>
      </c>
      <c r="D20" s="44">
        <f>'1856'!L26-'1856'!K26</f>
        <v>61.099999999999909</v>
      </c>
      <c r="E20" s="44">
        <f>'1857'!L26-'1857'!K26</f>
        <v>75.900000000000091</v>
      </c>
    </row>
    <row r="21" spans="1:10">
      <c r="A21" s="44" t="s">
        <v>121</v>
      </c>
      <c r="B21" s="304">
        <f>SUM(B20:E20)</f>
        <v>275.59999999999991</v>
      </c>
      <c r="C21" s="304"/>
      <c r="D21" s="304"/>
      <c r="E21" s="304"/>
      <c r="G21" s="187">
        <f>1-B21/B22</f>
        <v>-4.5523520485584168E-2</v>
      </c>
    </row>
    <row r="22" spans="1:10">
      <c r="A22" s="44" t="s">
        <v>122</v>
      </c>
      <c r="B22" s="304">
        <f>'1854'!L29-'1854'!K29</f>
        <v>263.59999999999991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55">
        <f>'1854'!L5-'1854'!K5+'1854'!L7-'1854'!K7+'1854'!L9-'1854'!K9+'1854'!L11-'1854'!K11+'1854'!L13-'1854'!K13+'1854'!L15-'1854'!K15+'1854'!L17-'1854'!K17+'1854'!L19-'1854'!K19+'1854'!L21-'1854'!K21+'1854'!L23-'1854'!K23</f>
        <v>4.2559999999999931</v>
      </c>
      <c r="C24" s="44">
        <f>'1855'!L5-'1855'!K5+'1855'!L7-'1855'!K7+'1855'!L9-'1855'!K9+'1855'!L11-'1855'!K11+'1855'!L13-'1855'!K13+'1855'!L15-'1855'!K15+'1855'!L17-'1855'!K17+'1855'!L19-'1855'!K19+'1855'!L21-'1855'!K21+'1855'!L23-'1855'!K23</f>
        <v>6.2639999999999816</v>
      </c>
      <c r="D24" s="44">
        <f>'1856'!L5-'1856'!K5+'1856'!L7-'1856'!K7+'1856'!L9-'1856'!K9+'1856'!L11-'1856'!K11+'1856'!L13-'1856'!K13+'1856'!L15-'1856'!K15+'1856'!L17-'1856'!K17+'1856'!L19-'1856'!K19+'1856'!L21-'1856'!K21+'1856'!L23-'1856'!K23</f>
        <v>3.9459999999999695</v>
      </c>
      <c r="E24" s="44">
        <f>'1857'!L5-'1857'!K5+'1857'!L7-'1857'!K7+'1857'!L9-'1857'!K9+'1857'!L11-'1857'!K11+'1857'!L13-'1857'!K13+'1857'!L15-'1857'!K15+'1857'!L17-'1857'!K17+'1857'!L19-'1857'!K19+'1857'!L21-'1857'!K21+'1857'!L23-'1857'!K23</f>
        <v>4.8259999999999934</v>
      </c>
      <c r="G24" s="187">
        <f>1-B24/B25</f>
        <v>-0.14408602150537475</v>
      </c>
      <c r="H24" s="187">
        <f t="shared" ref="H24:J24" si="3">1-C24/C25</f>
        <v>-7.2602739726018495E-2</v>
      </c>
      <c r="I24" s="187">
        <f t="shared" si="3"/>
        <v>-0.16058823529410682</v>
      </c>
      <c r="J24" s="187">
        <f t="shared" si="3"/>
        <v>-3.5622317596559538E-2</v>
      </c>
    </row>
    <row r="25" spans="1:10">
      <c r="A25" s="44" t="s">
        <v>125</v>
      </c>
      <c r="B25" s="52">
        <f>('1854'!L27-'1854'!K27)</f>
        <v>3.7199999999999989</v>
      </c>
      <c r="C25" s="52">
        <f>('1855'!L27-'1855'!K27)</f>
        <v>5.8400000000000318</v>
      </c>
      <c r="D25" s="52">
        <f>('1856'!L27-'1856'!K27)</f>
        <v>3.4000000000000057</v>
      </c>
      <c r="E25" s="52">
        <f>('1857'!L27-'1857'!K27)</f>
        <v>4.660000000000025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'1854'!L25-'1854'!K25</f>
        <v>189</v>
      </c>
      <c r="C27" s="47">
        <f>'1855'!L25-'1855'!K25</f>
        <v>201</v>
      </c>
      <c r="D27" s="47">
        <f>'1856'!L25-'1856'!K25</f>
        <v>199</v>
      </c>
      <c r="E27" s="47">
        <f>'1857'!L25-'1857'!K25</f>
        <v>202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U2 F13:N17 F28:U65536 O13:R13 O16:U17">
    <cfRule type="cellIs" dxfId="37" priority="5" stopIfTrue="1" operator="lessThan">
      <formula>0</formula>
    </cfRule>
  </conditionalFormatting>
  <conditionalFormatting sqref="B1">
    <cfRule type="cellIs" dxfId="36" priority="4" stopIfTrue="1" operator="lessThan">
      <formula>0</formula>
    </cfRule>
  </conditionalFormatting>
  <conditionalFormatting sqref="G1:J2 G13:J17 G28:J65536">
    <cfRule type="cellIs" dxfId="35" priority="3" stopIfTrue="1" operator="lessThan">
      <formula>0</formula>
    </cfRule>
  </conditionalFormatting>
  <conditionalFormatting sqref="G1:J2 G13:J17 G28:J65536">
    <cfRule type="cellIs" dxfId="34" priority="2" stopIfTrue="1" operator="lessThan">
      <formula>0</formula>
    </cfRule>
  </conditionalFormatting>
  <conditionalFormatting sqref="G1:J2 G13:H17 G28:J65536 I13:J13 I16:J17">
    <cfRule type="cellIs" dxfId="33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27"/>
  <sheetViews>
    <sheetView workbookViewId="0">
      <selection activeCell="F14" sqref="F14"/>
    </sheetView>
  </sheetViews>
  <sheetFormatPr defaultColWidth="9" defaultRowHeight="18"/>
  <cols>
    <col min="1" max="1" width="35" style="41" customWidth="1"/>
    <col min="2" max="24" width="11.42578125" style="41" customWidth="1"/>
    <col min="25" max="32" width="9.85546875" style="41" customWidth="1"/>
    <col min="33" max="36" width="6.42578125" style="41" customWidth="1"/>
    <col min="37" max="16384" width="9" style="41"/>
  </cols>
  <sheetData>
    <row r="1" spans="1:32">
      <c r="A1" s="42" t="s">
        <v>139</v>
      </c>
      <c r="B1" s="43">
        <f>'S1'!B1</f>
        <v>2021</v>
      </c>
      <c r="C1" s="43"/>
    </row>
    <row r="3" spans="1:32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32">
      <c r="A4" s="51" t="s">
        <v>119</v>
      </c>
      <c r="B4" s="44">
        <f>'1850'!M4-'1850'!L4+'1850'!M6-'1850'!L6+'1850'!M8-'1850'!L8+'1850'!M10-'1850'!L10+'1850'!M12-'1850'!L12+'1850'!M14-'1850'!L14+'1850'!M16-'1850'!L16+'1850'!M18-'1850'!L18+'1850'!M20-'1850'!L20+'1850'!M22-'1850'!L22</f>
        <v>64.803000000000026</v>
      </c>
      <c r="C4" s="44">
        <f>'1851'!N4-'1851'!M4+'1851'!N6-'1851'!M6+'1851'!N8-'1851'!M8+'1851'!N10-'1851'!M10+'1851'!N12-'1851'!M12+'1851'!N14-'1851'!M14+'1851'!N16-'1851'!M16+'1851'!N18-'1851'!M18+'1851'!N20-'1851'!M20+'1851'!N22-'1851'!M22+'1851'!N33-'1851'!M33+'1851'!N34-'1851'!M34+'1851'!N35-'1851'!M35+'1851'!N36-'1851'!M36+'1851'!N37-'1851'!M37+'1851'!N40-'1851'!M40+'1851'!N41-'1851'!M41+'1851'!N42-'1851'!M42+'1851'!N43-'1851'!M43+'1851'!N44-'1851'!M44+'1851'!N45-'1851'!M45+'1851'!N46-'1851'!M46+'1851'!N47-'1851'!M47+'1851'!N48-'1851'!M48+'1851'!N49-'1851'!M49</f>
        <v>97.343999999999994</v>
      </c>
      <c r="D4" s="44">
        <f>'1852'!M4-'1852'!L4+'1852'!M6-'1852'!L6+'1852'!M8-'1852'!L8+'1852'!M10-'1852'!L10+'1852'!M12-'1852'!L12+'1852'!M14-'1852'!L14+'1852'!M16-'1852'!L16+'1852'!M18-'1852'!L18+'1852'!M20-'1852'!L20+'1852'!M22-'1852'!L22</f>
        <v>82.156999999999925</v>
      </c>
      <c r="E4" s="44">
        <f>'1853'!M4-'1853'!L4+'1853'!M6-'1853'!L6+'1853'!M8-'1853'!L8+'1853'!M10-'1853'!L10+'1853'!M12-'1853'!L12+'1853'!M14-'1853'!L14+'1853'!M16-'1853'!L16+'1853'!M18-'1853'!L18+'1853'!M20-'1853'!L20+'1853'!M22-'1853'!L22+'1853'!M26-'1853'!L26</f>
        <v>78.57000000000005</v>
      </c>
      <c r="G4" s="187">
        <f>1-B4/B5</f>
        <v>9.8706536856746241E-2</v>
      </c>
      <c r="H4" s="187">
        <f t="shared" ref="H4:J4" si="0">1-C4/C5</f>
        <v>6.489913544668513E-2</v>
      </c>
      <c r="I4" s="187">
        <f t="shared" si="0"/>
        <v>0.16676470588235293</v>
      </c>
      <c r="J4" s="187">
        <f t="shared" si="0"/>
        <v>9.7933409873711574E-2</v>
      </c>
    </row>
    <row r="5" spans="1:32">
      <c r="A5" s="51" t="s">
        <v>120</v>
      </c>
      <c r="B5" s="44">
        <f>'1850'!M26-'1850'!L26</f>
        <v>71.900000000000091</v>
      </c>
      <c r="C5" s="44">
        <f>'1851'!N26-'1851'!M26</f>
        <v>104.09999999999991</v>
      </c>
      <c r="D5" s="44">
        <f>'1852'!M26-'1852'!L26</f>
        <v>98.599999999999909</v>
      </c>
      <c r="E5" s="44">
        <f>'1853'!M27-'1853'!L27</f>
        <v>87.100000000000364</v>
      </c>
    </row>
    <row r="6" spans="1:32">
      <c r="A6" s="51" t="s">
        <v>121</v>
      </c>
      <c r="B6" s="304">
        <f>SUM(B5:E5)</f>
        <v>361.70000000000027</v>
      </c>
      <c r="C6" s="304"/>
      <c r="D6" s="304"/>
      <c r="E6" s="304"/>
      <c r="G6" s="187">
        <f>1-B6/B7</f>
        <v>4.3374768579740985E-2</v>
      </c>
    </row>
    <row r="7" spans="1:32">
      <c r="A7" s="51" t="s">
        <v>122</v>
      </c>
      <c r="B7" s="304">
        <f>'1850'!M29-'1850'!L29</f>
        <v>378.10000000000036</v>
      </c>
      <c r="C7" s="304"/>
      <c r="D7" s="304"/>
      <c r="E7" s="304"/>
    </row>
    <row r="8" spans="1:32">
      <c r="A8" s="179" t="s">
        <v>123</v>
      </c>
      <c r="B8" s="180"/>
      <c r="C8" s="180"/>
      <c r="D8" s="180"/>
      <c r="E8" s="181"/>
    </row>
    <row r="9" spans="1:32">
      <c r="A9" s="44" t="s">
        <v>124</v>
      </c>
      <c r="B9" s="44">
        <f>'1850'!M5-'1850'!L5+'1850'!M7-'1850'!L7+'1850'!M9-'1850'!L9+'1850'!M11-'1850'!L11+'1850'!M13-'1850'!L13+'1850'!M15-'1850'!L15+'1850'!M17-'1850'!L17+'1850'!M19-'1850'!L19+'1850'!M21-'1850'!L21+'1850'!M23-'1850'!L23</f>
        <v>10.087999999999965</v>
      </c>
      <c r="C9" s="44">
        <f>'1851'!N5-'1851'!M5+'1851'!N7-'1851'!M7+'1851'!N9-'1851'!M9+'1851'!N11-'1851'!M11+'1851'!N13-'1851'!M13+'1851'!N15-'1851'!M15+'1851'!N17-'1851'!M17+'1851'!N19-'1851'!M19+'1851'!N21-'1851'!M21+'1851'!N23-'1851'!M23</f>
        <v>15.935999999999979</v>
      </c>
      <c r="D9" s="55">
        <f>'1852'!M5-'1852'!L5+'1852'!M7-'1852'!L7+'1852'!M9-'1852'!L9+'1852'!M11-'1852'!L11+'1852'!M13-'1852'!L13+'1852'!M15-'1852'!L15+'1852'!M17-'1852'!L17+'1852'!M19-'1852'!L19+'1852'!M21-'1852'!L21+'1852'!M23-'1852'!L23</f>
        <v>18.742000000000004</v>
      </c>
      <c r="E9" s="55">
        <f>'1853'!M5-'1853'!L5+'1853'!M7-'1853'!L7+'1853'!M9-'1853'!L9+'1853'!M11-'1853'!L11+'1853'!M13-'1853'!L13+'1853'!M15-'1853'!L15+'1853'!M17-'1853'!L17+'1853'!M19-'1853'!L19+'1853'!M21-'1853'!L21+'1853'!M23-'1853'!L23</f>
        <v>12.279000000000011</v>
      </c>
      <c r="F9" s="137"/>
      <c r="G9" s="187">
        <f>1-B9/B10</f>
        <v>6.5925925925929163E-2</v>
      </c>
      <c r="H9" s="187">
        <f t="shared" ref="H9:J9" si="1">1-C9/C10</f>
        <v>0.2509870276367745</v>
      </c>
      <c r="I9" s="187">
        <f t="shared" si="1"/>
        <v>-3.2958553791888834E-2</v>
      </c>
      <c r="J9" s="187">
        <f t="shared" si="1"/>
        <v>0.16605541972290139</v>
      </c>
    </row>
    <row r="10" spans="1:32">
      <c r="A10" s="44" t="s">
        <v>125</v>
      </c>
      <c r="B10" s="47">
        <f>('1850'!M27-'1850'!L27)*3.6</f>
        <v>10.8</v>
      </c>
      <c r="C10" s="44">
        <f>('1851'!N27-'1851'!M27)*3.6</f>
        <v>21.275999999999989</v>
      </c>
      <c r="D10" s="44">
        <f>('1852'!M27-'1852'!L27)*3.6</f>
        <v>18.143999999999973</v>
      </c>
      <c r="E10" s="44">
        <f>('1853'!M28-'1853'!L28)*3.6</f>
        <v>14.724000000000013</v>
      </c>
    </row>
    <row r="11" spans="1:32">
      <c r="A11" s="179" t="s">
        <v>131</v>
      </c>
      <c r="B11" s="180"/>
      <c r="C11" s="180"/>
      <c r="D11" s="180"/>
      <c r="E11" s="181"/>
    </row>
    <row r="12" spans="1:32">
      <c r="A12" s="44" t="s">
        <v>127</v>
      </c>
      <c r="B12" s="47">
        <f>'1850'!M25-'1850'!L25</f>
        <v>236</v>
      </c>
      <c r="C12" s="47">
        <f>'1851'!N24-'1851'!M24</f>
        <v>251</v>
      </c>
      <c r="D12" s="47">
        <f>'1852'!M25-'1852'!L25</f>
        <v>189</v>
      </c>
      <c r="E12" s="47">
        <f>'1853'!M24-'1853'!L24</f>
        <v>181</v>
      </c>
    </row>
    <row r="13" spans="1:32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32">
      <c r="A14" s="48" t="s">
        <v>128</v>
      </c>
      <c r="B14" s="49">
        <f>'1853'!M25-'1853'!L25</f>
        <v>346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</row>
    <row r="15" spans="1:32">
      <c r="A15" s="48" t="s">
        <v>129</v>
      </c>
      <c r="B15" s="50">
        <f>'1853'!M26-'1853'!L26</f>
        <v>5.4889999999999759</v>
      </c>
      <c r="C15" s="50"/>
      <c r="D15" s="50"/>
      <c r="E15" s="50"/>
      <c r="F15" s="50"/>
      <c r="G15" s="49"/>
      <c r="H15" s="49"/>
      <c r="I15" s="49"/>
      <c r="J15" s="49"/>
      <c r="K15" s="50"/>
      <c r="L15" s="50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</row>
    <row r="16" spans="1:32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</row>
    <row r="18" spans="1:14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4">
      <c r="A19" s="44" t="s">
        <v>119</v>
      </c>
      <c r="B19" s="44">
        <f>'1854'!M4-'1854'!L4+'1854'!M6-'1854'!L6+'1854'!M8-'1854'!L8+'1854'!M10-'1854'!L10+'1854'!M12-'1854'!L12+'1854'!M14-'1854'!L14+'1854'!M16-'1854'!L16+'1854'!M18-'1854'!L18+'1854'!M20-'1854'!L20+'1854'!M22-'1854'!L22</f>
        <v>55.671999999999905</v>
      </c>
      <c r="C19" s="44">
        <f>'1855'!M4-'1855'!L4+'1855'!M6-'1855'!L6+'1855'!M8-'1855'!L8+'1855'!M10-'1855'!L10+'1855'!M12-'1855'!L12+'1855'!M14-'1855'!L14+'1855'!M16-'1855'!L16+'1855'!M18-'1855'!L18+'1855'!M20-'1855'!L20+'1855'!M22-'1855'!L22</f>
        <v>75.786999999999978</v>
      </c>
      <c r="D19" s="44">
        <f>'1856'!M4-'1856'!L4+'1856'!M6-'1856'!L6+'1856'!M8-'1856'!L8+'1856'!M10-'1856'!L10+'1856'!M12-'1856'!L12+'1856'!M14-'1856'!L14+'1856'!M16-'1856'!L16+'1856'!M18-'1856'!L18+'1856'!M20-'1856'!L20+'1856'!M22-'1856'!L22</f>
        <v>75.890999999999963</v>
      </c>
      <c r="E19" s="44">
        <f>'1857'!M4-'1857'!L4+'1857'!M6-'1857'!L6+'1857'!M8-'1857'!L8+'1857'!M10-'1857'!L10+'1857'!M12-'1857'!L12+'1857'!M14-'1857'!L14+'1857'!M16-'1857'!L16+'1857'!M18-'1857'!L18+'1857'!M20-'1857'!L20+'1857'!M22-'1857'!L22</f>
        <v>68.341999999999928</v>
      </c>
      <c r="G19" s="187">
        <f>1-B19/B20</f>
        <v>7.521594684385613E-2</v>
      </c>
      <c r="H19" s="187">
        <f t="shared" ref="H19:J19" si="2">1-C19/C20</f>
        <v>0.10204976303317659</v>
      </c>
      <c r="I19" s="187">
        <f t="shared" si="2"/>
        <v>8.2333736396615231E-2</v>
      </c>
      <c r="J19" s="187">
        <f t="shared" si="2"/>
        <v>9.3607427055705017E-2</v>
      </c>
    </row>
    <row r="20" spans="1:14">
      <c r="A20" s="44" t="s">
        <v>120</v>
      </c>
      <c r="B20" s="44">
        <f>'1854'!M26-'1854'!L26</f>
        <v>60.200000000000045</v>
      </c>
      <c r="C20" s="44">
        <f>'1855'!M26-'1855'!L26</f>
        <v>84.400000000000091</v>
      </c>
      <c r="D20" s="44">
        <f>'1856'!M26-'1856'!L26</f>
        <v>82.700000000000045</v>
      </c>
      <c r="E20" s="44">
        <f>'1857'!M26-'1857'!L26</f>
        <v>75.400000000000091</v>
      </c>
    </row>
    <row r="21" spans="1:14">
      <c r="A21" s="44" t="s">
        <v>121</v>
      </c>
      <c r="B21" s="304">
        <f>SUM(B20:E20)</f>
        <v>302.70000000000027</v>
      </c>
      <c r="C21" s="304"/>
      <c r="D21" s="304"/>
      <c r="E21" s="304"/>
      <c r="G21" s="187">
        <f>1-B21/B22</f>
        <v>-4.4874007594062792E-2</v>
      </c>
    </row>
    <row r="22" spans="1:14">
      <c r="A22" s="44" t="s">
        <v>122</v>
      </c>
      <c r="B22" s="304">
        <f>'1854'!M29-'1854'!L29</f>
        <v>289.70000000000027</v>
      </c>
      <c r="C22" s="304"/>
      <c r="D22" s="304"/>
      <c r="E22" s="304"/>
    </row>
    <row r="23" spans="1:14">
      <c r="A23" s="179" t="s">
        <v>123</v>
      </c>
      <c r="B23" s="180"/>
      <c r="C23" s="180"/>
      <c r="D23" s="180"/>
      <c r="E23" s="181"/>
      <c r="F23" s="137"/>
      <c r="K23" s="137"/>
      <c r="L23" s="137"/>
      <c r="M23" s="137"/>
    </row>
    <row r="24" spans="1:14">
      <c r="A24" s="44" t="s">
        <v>124</v>
      </c>
      <c r="B24" s="55">
        <f>'1854'!M5-'1854'!L5+'1854'!M7-'1854'!L7+'1854'!M9-'1854'!L9+'1854'!M11-'1854'!L11+'1854'!M13-'1854'!L13+'1854'!M15-'1854'!L15+'1854'!M17-'1854'!L17+'1854'!M19-'1854'!L19+'1854'!M21-'1854'!L21+'1854'!M23-'1854'!L23</f>
        <v>12.497000000000007</v>
      </c>
      <c r="C24" s="55">
        <f>'1855'!M5-'1855'!L5+'1855'!M7-'1855'!L7+'1855'!M9-'1855'!L9+'1855'!M11-'1855'!L11+'1855'!M13-'1855'!L13+'1855'!M15-'1855'!L15+'1855'!M17-'1855'!L17+'1855'!M19-'1855'!L19+'1855'!M21-'1855'!L21+'1855'!M23-'1855'!L23</f>
        <v>16.91500000000002</v>
      </c>
      <c r="D24" s="55">
        <f>'1856'!M5-'1856'!L5+'1856'!M7-'1856'!L7+'1856'!M9-'1856'!L9+'1856'!M11-'1856'!L11+'1856'!M13-'1856'!L13+'1856'!M15-'1856'!L15+'1856'!M17-'1856'!L17+'1856'!M19-'1856'!L19+'1856'!M21-'1856'!L21+'1856'!M23-'1856'!L23</f>
        <v>13.454000000000008</v>
      </c>
      <c r="E24" s="55">
        <f>'1857'!M5-'1857'!L5+'1857'!M7-'1857'!L7+'1857'!M9-'1857'!L9+'1857'!M11-'1857'!L11+'1857'!M13-'1857'!L13+'1857'!M15-'1857'!L15+'1857'!M17-'1857'!L17+'1857'!M19-'1857'!L19+'1857'!M21-'1857'!L21+'1857'!M23-'1857'!L23</f>
        <v>13.547999999999959</v>
      </c>
      <c r="F24" s="137"/>
      <c r="G24" s="187">
        <f>1-B24/B25</f>
        <v>-1.3544201135443856E-2</v>
      </c>
      <c r="H24" s="187">
        <f t="shared" ref="H24:J24" si="3">1-C24/C25</f>
        <v>2.1122685185182455E-2</v>
      </c>
      <c r="I24" s="187">
        <f t="shared" si="3"/>
        <v>4.2419928825621067E-2</v>
      </c>
      <c r="J24" s="187">
        <f t="shared" si="3"/>
        <v>3.7784090909092738E-2</v>
      </c>
      <c r="K24" s="137"/>
      <c r="L24" s="137"/>
      <c r="M24" s="137"/>
      <c r="N24" s="137"/>
    </row>
    <row r="25" spans="1:14">
      <c r="A25" s="44" t="s">
        <v>125</v>
      </c>
      <c r="B25" s="52">
        <f>('1854'!M27-'1854'!L27)</f>
        <v>12.329999999999984</v>
      </c>
      <c r="C25" s="52">
        <f>('1855'!M27-'1855'!L27)</f>
        <v>17.279999999999973</v>
      </c>
      <c r="D25" s="52">
        <f>('1856'!M27-'1856'!L27)</f>
        <v>14.049999999999983</v>
      </c>
      <c r="E25" s="52">
        <f>('1857'!M27-'1857'!L27)</f>
        <v>14.079999999999984</v>
      </c>
    </row>
    <row r="26" spans="1:14">
      <c r="A26" s="179" t="s">
        <v>131</v>
      </c>
      <c r="B26" s="180"/>
      <c r="C26" s="180"/>
      <c r="D26" s="180"/>
      <c r="E26" s="181"/>
    </row>
    <row r="27" spans="1:14">
      <c r="A27" s="44" t="s">
        <v>127</v>
      </c>
      <c r="B27" s="47">
        <f>'1854'!M25-'1854'!L25</f>
        <v>179</v>
      </c>
      <c r="C27" s="47">
        <f>'1855'!M25-'1855'!L25</f>
        <v>232</v>
      </c>
      <c r="D27" s="47">
        <f>'1856'!M25-'1856'!L25</f>
        <v>204</v>
      </c>
      <c r="E27" s="47">
        <f>'1857'!M25-'1857'!L25</f>
        <v>200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F1:X2 F13:P17 F28:X65536 Q13:T13 Q16:X17">
    <cfRule type="cellIs" dxfId="32" priority="5" stopIfTrue="1" operator="lessThan">
      <formula>0</formula>
    </cfRule>
  </conditionalFormatting>
  <conditionalFormatting sqref="G1:J2 G13:J17 G28:J65536">
    <cfRule type="cellIs" dxfId="31" priority="4" stopIfTrue="1" operator="lessThan">
      <formula>0</formula>
    </cfRule>
  </conditionalFormatting>
  <conditionalFormatting sqref="G1:J2 G13:J17 G28:J65536">
    <cfRule type="cellIs" dxfId="30" priority="3" stopIfTrue="1" operator="lessThan">
      <formula>0</formula>
    </cfRule>
  </conditionalFormatting>
  <conditionalFormatting sqref="G1:J2 G13:J17 G28:J65536">
    <cfRule type="cellIs" dxfId="29" priority="2" stopIfTrue="1" operator="lessThan">
      <formula>0</formula>
    </cfRule>
  </conditionalFormatting>
  <conditionalFormatting sqref="G1:J2 G13:H17 G28:J65536 I13:J13 I16:J17">
    <cfRule type="cellIs" dxfId="28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"/>
  <sheetViews>
    <sheetView workbookViewId="0">
      <selection activeCell="E25" sqref="E25"/>
    </sheetView>
  </sheetViews>
  <sheetFormatPr defaultColWidth="9" defaultRowHeight="18"/>
  <cols>
    <col min="1" max="1" width="35" style="41" customWidth="1"/>
    <col min="2" max="27" width="11.42578125" style="41" customWidth="1"/>
    <col min="28" max="35" width="9.85546875" style="41" customWidth="1"/>
    <col min="36" max="39" width="6.42578125" style="41" customWidth="1"/>
    <col min="40" max="16384" width="9" style="41"/>
  </cols>
  <sheetData>
    <row r="1" spans="1:35">
      <c r="A1" s="42" t="s">
        <v>140</v>
      </c>
      <c r="B1" s="43">
        <f>'S1'!B1</f>
        <v>2021</v>
      </c>
      <c r="C1" s="43"/>
      <c r="D1" s="43"/>
      <c r="E1" s="43"/>
    </row>
    <row r="3" spans="1:35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35">
      <c r="A4" s="51" t="s">
        <v>119</v>
      </c>
      <c r="B4" s="44">
        <f>'1850'!N4-'1850'!M4+'1850'!N6-'1850'!M6+'1850'!N8-'1850'!M8+'1850'!N10-'1850'!M10+'1850'!N12-'1850'!M12+'1850'!N14-'1850'!M14+'1850'!N16-'1850'!M16+'1850'!N18-'1850'!M18+'1850'!N20-'1850'!M20+'1850'!N22-'1850'!M22</f>
        <v>59.397999999999996</v>
      </c>
      <c r="C4" s="44">
        <f>'1851'!O4-'1851'!N4+'1851'!O6-'1851'!N6+'1851'!O8-'1851'!N8+'1851'!O10-'1851'!N10+'1851'!O12-'1851'!N12+'1851'!O14-'1851'!N14+'1851'!O16-'1851'!N16+'1851'!O18-'1851'!N18+'1851'!O20-'1851'!N20+'1851'!O22-'1851'!N22+'1851'!O33-'1851'!N33+'1851'!O34-'1851'!N34+'1851'!O35-'1851'!N35+'1851'!O36-'1851'!N36+'1851'!O37-'1851'!N37+'1851'!O40-'1851'!N40+'1851'!O41-'1851'!N41+'1851'!O42-'1851'!N42+'1851'!O43-'1851'!N43+'1851'!O44-'1851'!N44+'1851'!O45-'1851'!N45+'1851'!O46-'1851'!N46+'1851'!O47-'1851'!N47+'1851'!O48-'1851'!N48+'1851'!O49-'1851'!N49</f>
        <v>81.103000000000094</v>
      </c>
      <c r="D4" s="44">
        <f>'1852'!N4-'1852'!M4+'1852'!N6-'1852'!M6+'1852'!N8-'1852'!M8+'1852'!N10-'1852'!M10+'1852'!N12-'1852'!M12+'1852'!N14-'1852'!M14+'1852'!N16-'1852'!M16+'1852'!N18-'1852'!M18+'1852'!N20-'1852'!M20+'1852'!N22-'1852'!M22</f>
        <v>80.622000000000043</v>
      </c>
      <c r="E4" s="44">
        <f>'1853'!N4-'1853'!M4+'1853'!N6-'1853'!M6+'1853'!N8-'1853'!M8+'1853'!N10-'1853'!M10+'1853'!N12-'1853'!M12+'1853'!N14-'1853'!M14+'1853'!N16-'1853'!M16+'1853'!N18-'1853'!M18+'1853'!N20-'1853'!M20+'1853'!N22-'1853'!M22+'1853'!N26-'1853'!M26</f>
        <v>69.381000000000029</v>
      </c>
      <c r="G4" s="187">
        <f>1-B4/B5</f>
        <v>0.10139183055975676</v>
      </c>
      <c r="H4" s="187">
        <f t="shared" ref="H4:J4" si="0">1-C4/C5</f>
        <v>6.670886075949356E-2</v>
      </c>
      <c r="I4" s="187">
        <f t="shared" si="0"/>
        <v>0.17140801644398873</v>
      </c>
      <c r="J4" s="187">
        <f t="shared" si="0"/>
        <v>8.2261904761903315E-2</v>
      </c>
    </row>
    <row r="5" spans="1:35">
      <c r="A5" s="51" t="s">
        <v>120</v>
      </c>
      <c r="B5" s="44">
        <f>'1850'!N26-'1850'!M26</f>
        <v>66.099999999999909</v>
      </c>
      <c r="C5" s="44">
        <f>'1851'!O26-'1851'!N26</f>
        <v>86.900000000000091</v>
      </c>
      <c r="D5" s="44">
        <f>'1852'!N26-'1852'!M26</f>
        <v>97.300000000000182</v>
      </c>
      <c r="E5" s="44">
        <f>'1853'!N27-'1853'!M27</f>
        <v>75.599999999999909</v>
      </c>
    </row>
    <row r="6" spans="1:35">
      <c r="A6" s="51" t="s">
        <v>121</v>
      </c>
      <c r="B6" s="304">
        <f>SUM(B5:E5)</f>
        <v>325.90000000000009</v>
      </c>
      <c r="C6" s="304"/>
      <c r="D6" s="304"/>
      <c r="E6" s="304"/>
      <c r="G6" s="187">
        <f>1-B6/B7</f>
        <v>4.8744892002335782E-2</v>
      </c>
    </row>
    <row r="7" spans="1:35">
      <c r="A7" s="51" t="s">
        <v>122</v>
      </c>
      <c r="B7" s="305">
        <f>'1850'!N29-'1850'!M29</f>
        <v>342.60000000000036</v>
      </c>
      <c r="C7" s="305"/>
      <c r="D7" s="305"/>
      <c r="E7" s="305"/>
    </row>
    <row r="8" spans="1:35">
      <c r="A8" s="179" t="s">
        <v>123</v>
      </c>
      <c r="B8" s="180"/>
      <c r="C8" s="180"/>
      <c r="D8" s="180"/>
      <c r="E8" s="181"/>
    </row>
    <row r="9" spans="1:35">
      <c r="A9" s="44" t="s">
        <v>124</v>
      </c>
      <c r="B9" s="44">
        <f>'1850'!N5+'1850'!N7+'1850'!N9+'1850'!N11+'1850'!N13+'1850'!N15+'1850'!N17+'1850'!N19+'1850'!N21+'1850'!N23</f>
        <v>24.745999999999999</v>
      </c>
      <c r="C9" s="44">
        <f>'1851'!O5+'1851'!O7+'1851'!O9+'1851'!O11+'1851'!O13+'1851'!O15+'1851'!O17+'1851'!O19+'1851'!O21+'1851'!O23</f>
        <v>31.916</v>
      </c>
      <c r="D9" s="44">
        <f>'1852'!N5+'1852'!N7+'1852'!N9+'1852'!N11+'1852'!N13+'1852'!N15+'1852'!N17+'1852'!N19+'1852'!N21+'1852'!N23</f>
        <v>31.904</v>
      </c>
      <c r="E9" s="44">
        <f>'1853'!N5+'1853'!N7+'1853'!N9+'1853'!N11+'1853'!N13+'1853'!N15+'1853'!N17+'1853'!N19+'1853'!N21+'1853'!N23</f>
        <v>26.300999999999998</v>
      </c>
      <c r="G9" s="187">
        <f>1-B9/B10</f>
        <v>7.2349677612836949E-2</v>
      </c>
      <c r="H9" s="187">
        <f t="shared" ref="H9:J9" si="1">1-C9/C10</f>
        <v>9.9028906955736518E-2</v>
      </c>
      <c r="I9" s="187">
        <f t="shared" si="1"/>
        <v>2.9329438967992782E-2</v>
      </c>
      <c r="J9" s="187">
        <f t="shared" si="1"/>
        <v>5.1190476190478451E-2</v>
      </c>
    </row>
    <row r="10" spans="1:35">
      <c r="A10" s="44" t="s">
        <v>125</v>
      </c>
      <c r="B10" s="47">
        <f>('1850'!N27-'1850'!M27)*3.6</f>
        <v>26.676000000000041</v>
      </c>
      <c r="C10" s="44">
        <f>('1851'!O27-'1851'!N27)*3.6</f>
        <v>35.424000000000014</v>
      </c>
      <c r="D10" s="44">
        <f>('1852'!N27-'1852'!M27)*3.6</f>
        <v>32.867999999999988</v>
      </c>
      <c r="E10" s="44">
        <f>('1853'!N28-'1853'!M28)*3.6</f>
        <v>27.720000000000063</v>
      </c>
    </row>
    <row r="11" spans="1:35">
      <c r="A11" s="179" t="s">
        <v>131</v>
      </c>
      <c r="B11" s="180"/>
      <c r="C11" s="180"/>
      <c r="D11" s="180"/>
      <c r="E11" s="181"/>
    </row>
    <row r="12" spans="1:35">
      <c r="A12" s="44" t="s">
        <v>127</v>
      </c>
      <c r="B12" s="47">
        <f>'1850'!N25-'1850'!M25</f>
        <v>225</v>
      </c>
      <c r="C12" s="47">
        <f>'1851'!O24-'1851'!N24</f>
        <v>254</v>
      </c>
      <c r="D12" s="47">
        <f>'1852'!N25-'1852'!M25</f>
        <v>192</v>
      </c>
      <c r="E12" s="47">
        <f>'1853'!N24-'1853'!M24</f>
        <v>176</v>
      </c>
    </row>
    <row r="13" spans="1:35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35">
      <c r="A14" s="48" t="s">
        <v>128</v>
      </c>
      <c r="B14" s="49">
        <f>'1853'!N25-'1853'!M25</f>
        <v>391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spans="1:35">
      <c r="A15" s="48" t="s">
        <v>129</v>
      </c>
      <c r="B15" s="50">
        <f>'1853'!N26-'1853'!M26</f>
        <v>0</v>
      </c>
      <c r="C15" s="50"/>
      <c r="D15" s="50"/>
      <c r="E15" s="50"/>
      <c r="F15" s="50"/>
      <c r="G15" s="49"/>
      <c r="H15" s="49"/>
      <c r="I15" s="49"/>
      <c r="J15" s="49"/>
      <c r="K15" s="50"/>
      <c r="L15" s="50"/>
      <c r="M15" s="50"/>
      <c r="N15" s="50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3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44">
        <f>'1854'!N4-'1854'!M4+'1854'!N6-'1854'!M6+'1854'!N8-'1854'!M8+'1854'!N10-'1854'!M10+'1854'!N12-'1854'!M12+'1854'!N14-'1854'!M14+'1854'!N16-'1854'!M16+'1854'!N18-'1854'!M18+'1854'!N20-'1854'!M20+'1854'!N22-'1854'!M22</f>
        <v>60.092000000000027</v>
      </c>
      <c r="C19" s="44">
        <f>'1855'!N4-'1855'!M4+'1855'!N6-'1855'!M6+'1855'!N8-'1855'!M8+'1855'!N10-'1855'!M10+'1855'!N12-'1855'!M12+'1855'!N14-'1855'!M14+'1855'!N16-'1855'!M16+'1855'!N18-'1855'!M18+'1855'!N20-'1855'!M20+'1855'!N22-'1855'!M22</f>
        <v>73.923999999999978</v>
      </c>
      <c r="D19" s="44">
        <f>'1856'!N4-'1856'!M4+'1856'!N6-'1856'!M6+'1856'!N8-'1856'!M8+'1856'!N10-'1856'!M10+'1856'!N12-'1856'!M12+'1856'!N14-'1856'!M14+'1856'!N16-'1856'!M16+'1856'!N18-'1856'!M18+'1856'!N20-'1856'!M20+'1856'!N22-'1856'!M22</f>
        <v>74.078999999999979</v>
      </c>
      <c r="E19" s="44">
        <f>'1857'!N4-'1857'!M4+'1857'!N6-'1857'!M6+'1857'!N8-'1857'!M8+'1857'!N10-'1857'!M10+'1857'!N12-'1857'!M12+'1857'!N14-'1857'!M14+'1857'!N16-'1857'!M16+'1857'!N18-'1857'!M18+'1857'!N20-'1857'!M20+'1857'!N22-'1857'!M22</f>
        <v>73.023999999999972</v>
      </c>
      <c r="G19" s="187">
        <f>1-B19/B20</f>
        <v>8.2564885496182794E-2</v>
      </c>
      <c r="H19" s="187">
        <f t="shared" ref="H19:J19" si="2">1-C19/C20</f>
        <v>0.11042117930204498</v>
      </c>
      <c r="I19" s="187">
        <f t="shared" si="2"/>
        <v>9.2169117647058041E-2</v>
      </c>
      <c r="J19" s="187">
        <f t="shared" si="2"/>
        <v>8.2613065326632484E-2</v>
      </c>
    </row>
    <row r="20" spans="1:10">
      <c r="A20" s="44" t="s">
        <v>120</v>
      </c>
      <c r="B20" s="44">
        <f>'1854'!N26-'1854'!M26</f>
        <v>65.5</v>
      </c>
      <c r="C20" s="44">
        <f>'1855'!N26-'1855'!M26</f>
        <v>83.099999999999909</v>
      </c>
      <c r="D20" s="44">
        <f>'1856'!N26-'1856'!M26</f>
        <v>81.599999999999909</v>
      </c>
      <c r="E20" s="44">
        <f>'1857'!N26-'1857'!M26</f>
        <v>79.599999999999909</v>
      </c>
    </row>
    <row r="21" spans="1:10">
      <c r="A21" s="44" t="s">
        <v>121</v>
      </c>
      <c r="B21" s="304">
        <f>SUM(B20:E20)</f>
        <v>309.79999999999973</v>
      </c>
      <c r="C21" s="304"/>
      <c r="D21" s="304"/>
      <c r="E21" s="304"/>
      <c r="G21" s="187">
        <f>1-B21/B22</f>
        <v>-4.2395693135935053E-2</v>
      </c>
    </row>
    <row r="22" spans="1:10">
      <c r="A22" s="44" t="s">
        <v>122</v>
      </c>
      <c r="B22" s="304">
        <f>'1854'!N29-'1854'!M29</f>
        <v>297.19999999999982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'1854'!N5+'1854'!N7+'1854'!N9+'1854'!N11+'1854'!N13+'1854'!N15+'1854'!N17+'1854'!N19+'1854'!N21+'1854'!N23</f>
        <v>25.323999999999998</v>
      </c>
      <c r="C24" s="44">
        <f>'1855'!N5+'1855'!N7+'1855'!N9+'1855'!N11+'1855'!N13+'1855'!N15+'1855'!N17+'1855'!N19+'1855'!N21+'1855'!N23</f>
        <v>29.440999999999999</v>
      </c>
      <c r="D24" s="44">
        <f>'1856'!N5-'1856'!M5+'1856'!N7-'1856'!M7+'1856'!N9-'1856'!M9+'1856'!N11-'1856'!M11+'1856'!N13-'1856'!M13+'1856'!N15-'1856'!M15+'1856'!N17-'1856'!M17+'1856'!N19-'1856'!M19+'1856'!N21-'1856'!M21+'1856'!N23-'1856'!M23</f>
        <v>27.67300000000003</v>
      </c>
      <c r="E24" s="44">
        <f>'1857'!N5+'1857'!N7+'1857'!N9+'1857'!N11+'1857'!N13+'1857'!N15+'1857'!N17+'1857'!N19+'1857'!N21+'1857'!N23</f>
        <v>28.206</v>
      </c>
      <c r="G24" s="187">
        <f>1-B24/B25</f>
        <v>5.2600074822296783E-2</v>
      </c>
      <c r="H24" s="187">
        <f t="shared" ref="H24:J24" si="3">1-C24/C25</f>
        <v>7.0968759861154918E-2</v>
      </c>
      <c r="I24" s="187">
        <f t="shared" si="3"/>
        <v>7.6335113484644501E-2</v>
      </c>
      <c r="J24" s="187">
        <f t="shared" si="3"/>
        <v>8.1536958645391788E-2</v>
      </c>
    </row>
    <row r="25" spans="1:10">
      <c r="A25" s="44" t="s">
        <v>125</v>
      </c>
      <c r="B25" s="52">
        <f>('1854'!N27-'1854'!M27)</f>
        <v>26.72999999999999</v>
      </c>
      <c r="C25" s="52">
        <f>('1855'!N27-'1855'!M27)</f>
        <v>31.689999999999998</v>
      </c>
      <c r="D25" s="52">
        <f>('1856'!N27-'1856'!M27)</f>
        <v>29.95999999999998</v>
      </c>
      <c r="E25" s="52">
        <f>('1857'!N27-'1857'!M27)</f>
        <v>30.70999999999998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'1854'!N25-'1854'!M25</f>
        <v>182</v>
      </c>
      <c r="C27" s="47">
        <f>'1855'!N25-'1855'!M25</f>
        <v>243</v>
      </c>
      <c r="D27" s="47">
        <f>'1856'!N25-'1856'!M25</f>
        <v>186</v>
      </c>
      <c r="E27" s="47">
        <f>'1857'!N25-'1857'!M25</f>
        <v>192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F1:AA2 F13:R17 F28:AA65536 S13:V13 S16:AA17">
    <cfRule type="cellIs" dxfId="27" priority="6" stopIfTrue="1" operator="lessThan">
      <formula>0</formula>
    </cfRule>
  </conditionalFormatting>
  <conditionalFormatting sqref="G1:J2 G13:J17 G28:J65536">
    <cfRule type="cellIs" dxfId="26" priority="5" stopIfTrue="1" operator="lessThan">
      <formula>0</formula>
    </cfRule>
  </conditionalFormatting>
  <conditionalFormatting sqref="G1:J2 G13:J17 G28:J65536">
    <cfRule type="cellIs" dxfId="25" priority="4" stopIfTrue="1" operator="lessThan">
      <formula>0</formula>
    </cfRule>
  </conditionalFormatting>
  <conditionalFormatting sqref="G1:J2 G13:J17 G28:J65536">
    <cfRule type="cellIs" dxfId="24" priority="3" stopIfTrue="1" operator="lessThan">
      <formula>0</formula>
    </cfRule>
  </conditionalFormatting>
  <conditionalFormatting sqref="G1:J2 G13:J17 G28:J65536">
    <cfRule type="cellIs" dxfId="23" priority="2" stopIfTrue="1" operator="lessThan">
      <formula>0</formula>
    </cfRule>
  </conditionalFormatting>
  <conditionalFormatting sqref="G1:J2 G13:H17 G28:J65536 I13:J13 I16:J17">
    <cfRule type="cellIs" dxfId="22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L27"/>
  <sheetViews>
    <sheetView workbookViewId="0">
      <selection activeCell="E9" sqref="E9"/>
    </sheetView>
  </sheetViews>
  <sheetFormatPr defaultColWidth="9" defaultRowHeight="18"/>
  <cols>
    <col min="1" max="1" width="36.28515625" style="41" customWidth="1"/>
    <col min="2" max="30" width="11.42578125" style="41" customWidth="1"/>
    <col min="31" max="38" width="9.85546875" style="41" customWidth="1"/>
    <col min="39" max="42" width="6.42578125" style="41" customWidth="1"/>
    <col min="43" max="16384" width="9" style="41"/>
  </cols>
  <sheetData>
    <row r="1" spans="1:38">
      <c r="A1" s="42" t="s">
        <v>141</v>
      </c>
      <c r="B1" s="43">
        <f>'S1'!B1</f>
        <v>2021</v>
      </c>
      <c r="C1" s="43"/>
      <c r="D1" s="43"/>
      <c r="E1" s="43"/>
      <c r="F1" s="43"/>
    </row>
    <row r="3" spans="1:38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</row>
    <row r="4" spans="1:38">
      <c r="A4" s="51" t="s">
        <v>119</v>
      </c>
      <c r="B4" s="44">
        <f>'1850'!O4-'1850'!N4+'1850'!O6-'1850'!N6+'1850'!O8-'1850'!N8+'1850'!O10-'1850'!N10+'1850'!O12-'1850'!N12+'1850'!O14-'1850'!N14+'1850'!O16-'1850'!N16+'1850'!O18-'1850'!N18+'1850'!O20-'1850'!N20+'1850'!O22-'1850'!N22</f>
        <v>59.797000000000054</v>
      </c>
      <c r="C4" s="44">
        <f>'1851'!P4-'1851'!O4+'1851'!P6-'1851'!O6+'1851'!P8-'1851'!O8+'1851'!P10-'1851'!O10+'1851'!P12-'1851'!O12+'1851'!P14-'1851'!O14+'1851'!P16-'1851'!O16+'1851'!P18-'1851'!O18+'1851'!P20-'1851'!O20+'1851'!P22-'1851'!O22+'1851'!P33-'1851'!O33+'1851'!P34-'1851'!O34+'1851'!P35-'1851'!O35+'1851'!P36-'1851'!O36+'1851'!P37-'1851'!O37+'1851'!P40-'1851'!O40+'1851'!P41-'1851'!O41+'1851'!P42-'1851'!O42+'1851'!P43-'1851'!O43+'1851'!P44-'1851'!O44+'1851'!P45-'1851'!O45+'1851'!P46-'1851'!O46+'1851'!P47-'1851'!O47+'1851'!P48-'1851'!O48+'1851'!P49-'1851'!O49</f>
        <v>87.202000000000027</v>
      </c>
      <c r="D4" s="44">
        <f>'1852'!O4-'1852'!N4+'1852'!O6-'1852'!N6+'1852'!O8-'1852'!N8+'1852'!O10-'1852'!N10+'1852'!O12-'1852'!N12+'1852'!O14-'1852'!N14+'1852'!O16-'1852'!N16+'1852'!O18-'1852'!N18+'1852'!O20-'1852'!N20+'1852'!O22-'1852'!N22</f>
        <v>77.737999999999971</v>
      </c>
      <c r="E4" s="44">
        <f>'1853'!O4-'1853'!N4+'1853'!O6-'1853'!N6+'1853'!O8-'1853'!N8+'1853'!O10-'1853'!N10+'1853'!O12-'1853'!N12+'1853'!O14-'1853'!N14+'1853'!O16-'1853'!N16+'1853'!O18-'1853'!N18+'1853'!O20-'1853'!N20+'1853'!O22-'1853'!N22+'1853'!O26-'1853'!N26</f>
        <v>74.038000000000068</v>
      </c>
      <c r="G4" s="187">
        <f>1-B4/B5</f>
        <v>0.1048353293413159</v>
      </c>
      <c r="H4" s="187">
        <f t="shared" ref="H4:J4" si="0">1-C4/C5</f>
        <v>7.0341151385924561E-2</v>
      </c>
      <c r="I4" s="187">
        <f t="shared" si="0"/>
        <v>0.18769070010449196</v>
      </c>
      <c r="J4" s="187">
        <f t="shared" si="0"/>
        <v>8.9323493234928497E-2</v>
      </c>
    </row>
    <row r="5" spans="1:38">
      <c r="A5" s="51" t="s">
        <v>120</v>
      </c>
      <c r="B5" s="44">
        <f>'1850'!O26-'1850'!N26</f>
        <v>66.799999999999955</v>
      </c>
      <c r="C5" s="44">
        <f>'1851'!P26-'1851'!O26</f>
        <v>93.799999999999727</v>
      </c>
      <c r="D5" s="44">
        <f>'1852'!O26-'1852'!N26</f>
        <v>95.699999999999818</v>
      </c>
      <c r="E5" s="44">
        <f>'1853'!O27-'1853'!N27</f>
        <v>81.299999999999727</v>
      </c>
    </row>
    <row r="6" spans="1:38">
      <c r="A6" s="51" t="s">
        <v>121</v>
      </c>
      <c r="B6" s="304">
        <f>SUM(B5:E5)</f>
        <v>337.59999999999923</v>
      </c>
      <c r="C6" s="304"/>
      <c r="D6" s="304"/>
      <c r="E6" s="304"/>
      <c r="G6" s="187">
        <f>1-B6/B7</f>
        <v>4.3626062322948411E-2</v>
      </c>
    </row>
    <row r="7" spans="1:38">
      <c r="A7" s="51" t="s">
        <v>122</v>
      </c>
      <c r="B7" s="304">
        <f>'1850'!O29-'1850'!N29</f>
        <v>353</v>
      </c>
      <c r="C7" s="304"/>
      <c r="D7" s="304"/>
      <c r="E7" s="304"/>
    </row>
    <row r="8" spans="1:38">
      <c r="A8" s="179" t="s">
        <v>123</v>
      </c>
      <c r="B8" s="180"/>
      <c r="C8" s="180"/>
      <c r="D8" s="180"/>
      <c r="E8" s="181"/>
    </row>
    <row r="9" spans="1:38">
      <c r="A9" s="44" t="s">
        <v>124</v>
      </c>
      <c r="B9" s="44">
        <f>'1850'!O5-'1850'!N5+'1850'!O7-'1850'!N7+'1850'!O9-'1850'!N9+'1850'!O11-'1850'!N11+'1850'!O13-'1850'!N13+'1850'!O15-'1850'!N15+'1850'!O17-'1850'!N17+'1850'!O19-'1850'!N19+'1850'!O21-'1850'!N21+'1850'!O23-'1850'!N23</f>
        <v>29.817000000000004</v>
      </c>
      <c r="C9" s="44">
        <f>'1851'!P5-'1851'!O5+'1851'!P7-'1851'!O7+'1851'!P9-'1851'!O9+'1851'!P11-'1851'!O11+'1851'!P13-'1851'!O13+'1851'!P15-'1851'!O15+'1851'!P17-'1851'!O17+'1851'!P19-'1851'!O19+'1851'!P21-'1851'!O21+'1851'!P23-'1851'!O23</f>
        <v>41.668999999999997</v>
      </c>
      <c r="D9" s="44">
        <f>'1852'!O5-'1852'!N5+'1852'!O7-'1852'!N7+'1852'!O9-'1852'!N9+'1852'!O11-'1852'!N11+'1852'!O13-'1852'!N13+'1852'!O15-'1852'!N15+'1852'!O17-'1852'!N17+'1852'!O19-'1852'!N19+'1852'!O21-'1852'!N21+'1852'!O23-'1852'!N23</f>
        <v>36.770999999999994</v>
      </c>
      <c r="E9" s="44">
        <f>'1853'!O5-'1853'!N5+'1853'!O7-'1853'!N7+'1853'!O9-'1853'!N9+'1853'!O11-'1853'!N11+'1853'!O13-'1853'!N13+'1853'!O15-'1853'!N15+'1853'!O17-'1853'!N17+'1853'!O19-'1853'!N19+'1853'!O21-'1853'!N21+'1853'!O23-'1853'!N23</f>
        <v>34.022999999999996</v>
      </c>
      <c r="G9" s="187">
        <f>1-B9/B10</f>
        <v>6.4124293785310038E-2</v>
      </c>
      <c r="H9" s="187">
        <f t="shared" ref="H9:J9" si="1">1-C9/C10</f>
        <v>8.3553268232602895E-2</v>
      </c>
      <c r="I9" s="187">
        <f t="shared" si="1"/>
        <v>4.272102467978911E-2</v>
      </c>
      <c r="J9" s="187">
        <f t="shared" si="1"/>
        <v>6.0553346587144175E-2</v>
      </c>
    </row>
    <row r="10" spans="1:38">
      <c r="A10" s="44" t="s">
        <v>125</v>
      </c>
      <c r="B10" s="46">
        <f>('1850'!O27-'1850'!N27)*3.6</f>
        <v>31.859999999999982</v>
      </c>
      <c r="C10" s="44">
        <f>('1851'!P27-'1851'!O27)*3.6</f>
        <v>45.467999999999982</v>
      </c>
      <c r="D10" s="44">
        <f>('1852'!O27-'1852'!N27)*3.6</f>
        <v>38.412000000000056</v>
      </c>
      <c r="E10" s="44">
        <f>('1853'!O28-'1853'!N28)*3.6</f>
        <v>36.216000000000008</v>
      </c>
    </row>
    <row r="11" spans="1:38">
      <c r="A11" s="179" t="s">
        <v>131</v>
      </c>
      <c r="B11" s="180"/>
      <c r="C11" s="180"/>
      <c r="D11" s="180"/>
      <c r="E11" s="181"/>
    </row>
    <row r="12" spans="1:38">
      <c r="A12" s="44" t="s">
        <v>127</v>
      </c>
      <c r="B12" s="47">
        <f>'1850'!O25-'1850'!N25</f>
        <v>238</v>
      </c>
      <c r="C12" s="47">
        <f>'1851'!P24-'1851'!O24</f>
        <v>267</v>
      </c>
      <c r="D12" s="47">
        <f>'1852'!O25-'1852'!N25</f>
        <v>198</v>
      </c>
      <c r="E12" s="47">
        <f>'1853'!O24-'1853'!N24</f>
        <v>178</v>
      </c>
    </row>
    <row r="13" spans="1:38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</row>
    <row r="14" spans="1:38">
      <c r="A14" s="48" t="s">
        <v>128</v>
      </c>
      <c r="B14" s="49">
        <f>'1853'!O25-'1853'!N25</f>
        <v>487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38">
      <c r="A15" s="48" t="s">
        <v>129</v>
      </c>
      <c r="B15" s="50">
        <f>'1853'!O26-'1853'!N26</f>
        <v>0</v>
      </c>
      <c r="C15" s="50"/>
      <c r="D15" s="50"/>
      <c r="E15" s="50"/>
      <c r="F15" s="50"/>
      <c r="G15" s="49"/>
      <c r="H15" s="49"/>
      <c r="I15" s="49"/>
      <c r="J15" s="49"/>
      <c r="K15" s="50"/>
      <c r="L15" s="50"/>
      <c r="M15" s="50"/>
      <c r="N15" s="50"/>
      <c r="O15" s="50"/>
      <c r="P15" s="50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38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</row>
    <row r="18" spans="1:10">
      <c r="A18" s="177" t="s">
        <v>118</v>
      </c>
      <c r="B18" s="178">
        <v>1854</v>
      </c>
      <c r="C18" s="178">
        <v>1855</v>
      </c>
      <c r="D18" s="178">
        <v>1856</v>
      </c>
      <c r="E18" s="178">
        <v>1857</v>
      </c>
    </row>
    <row r="19" spans="1:10">
      <c r="A19" s="44" t="s">
        <v>119</v>
      </c>
      <c r="B19" s="44">
        <f>'1854'!O4-'1854'!N4+'1854'!O6-'1854'!N6+'1854'!O8-'1854'!N8+'1854'!O10-'1854'!N10+'1854'!O12-'1854'!N12+'1854'!O14-'1854'!N14+'1854'!O16-'1854'!N16+'1854'!O18-'1854'!N18+'1854'!O20-'1854'!N20+'1854'!O22-'1854'!N22</f>
        <v>59.555999999999983</v>
      </c>
      <c r="C19" s="44">
        <f>'1855'!O4-'1855'!N4+'1855'!O6-'1855'!N6+'1855'!O8-'1855'!N8+'1855'!O10-'1855'!N10+'1855'!O12-'1855'!N12+'1855'!O14-'1855'!N14+'1855'!O16-'1855'!N16+'1855'!O18-'1855'!N18+'1855'!O20-'1855'!N20+'1855'!O22-'1855'!N22</f>
        <v>71.577999999999975</v>
      </c>
      <c r="D19" s="44">
        <f>'1856'!O4-'1856'!N4+'1856'!O6-'1856'!N6+'1856'!O8-'1856'!N8+'1856'!O10-'1856'!N10+'1856'!O12-'1856'!N12+'1856'!O14-'1856'!N14+'1856'!O16-'1856'!N16+'1856'!O18-'1856'!N18+'1856'!O20-'1856'!N20+'1856'!O22-'1856'!N22</f>
        <v>80.245999999999981</v>
      </c>
      <c r="E19" s="44">
        <f>'1857'!O4-'1857'!N4+'1857'!O6-'1857'!N6+'1857'!O8-'1857'!N8+'1857'!O10-'1857'!N10+'1857'!O12-'1857'!N12+'1857'!O14-'1857'!N14+'1857'!O16-'1857'!N16+'1857'!O18-'1857'!N18+'1857'!O20-'1857'!N20+'1857'!O22-'1857'!N22</f>
        <v>75.80800000000005</v>
      </c>
      <c r="G19" s="187">
        <f>1-B19/B20</f>
        <v>8.3753846153846401E-2</v>
      </c>
      <c r="H19" s="187">
        <f t="shared" ref="H19:J19" si="2">1-C19/C20</f>
        <v>0.11303593556381997</v>
      </c>
      <c r="I19" s="187">
        <f t="shared" si="2"/>
        <v>7.9747706422019005E-2</v>
      </c>
      <c r="J19" s="187">
        <f t="shared" si="2"/>
        <v>9.1031175059952396E-2</v>
      </c>
    </row>
    <row r="20" spans="1:10">
      <c r="A20" s="44" t="s">
        <v>120</v>
      </c>
      <c r="B20" s="44">
        <f>'1854'!O26-'1854'!N26</f>
        <v>65</v>
      </c>
      <c r="C20" s="44">
        <f>'1855'!O26-'1855'!N26</f>
        <v>80.700000000000273</v>
      </c>
      <c r="D20" s="44">
        <f>'1856'!O26-'1856'!N26</f>
        <v>87.200000000000045</v>
      </c>
      <c r="E20" s="44">
        <f>'1857'!O26-'1857'!N26</f>
        <v>83.400000000000091</v>
      </c>
    </row>
    <row r="21" spans="1:10">
      <c r="A21" s="44" t="s">
        <v>121</v>
      </c>
      <c r="B21" s="304">
        <f>SUM(B20:E20)</f>
        <v>316.30000000000041</v>
      </c>
      <c r="C21" s="304"/>
      <c r="D21" s="304"/>
      <c r="E21" s="304"/>
      <c r="G21" s="187">
        <f>1-B21/B22</f>
        <v>-3.7049180327870301E-2</v>
      </c>
    </row>
    <row r="22" spans="1:10">
      <c r="A22" s="44" t="s">
        <v>122</v>
      </c>
      <c r="B22" s="304">
        <f>'1854'!O29-'1854'!N29</f>
        <v>305</v>
      </c>
      <c r="C22" s="304"/>
      <c r="D22" s="304"/>
      <c r="E22" s="304"/>
    </row>
    <row r="23" spans="1:10">
      <c r="A23" s="179" t="s">
        <v>123</v>
      </c>
      <c r="B23" s="180"/>
      <c r="C23" s="180"/>
      <c r="D23" s="180"/>
      <c r="E23" s="181"/>
    </row>
    <row r="24" spans="1:10">
      <c r="A24" s="44" t="s">
        <v>124</v>
      </c>
      <c r="B24" s="44">
        <f>'1854'!O5-'1854'!N5+'1854'!O7-'1854'!N7+'1854'!O9-'1854'!N9+'1854'!O11-'1854'!N11+'1854'!O13-'1854'!N13+'1854'!O15-'1854'!N15+'1854'!O17-'1854'!N17+'1854'!O19-'1854'!N19+'1854'!O21-'1854'!N21+'1854'!O23-'1854'!N23</f>
        <v>32.753999999999998</v>
      </c>
      <c r="C24" s="44">
        <f>'1855'!O5-'1855'!N5+'1855'!O7-'1855'!N7+'1855'!O9-'1855'!N9+'1855'!O11-'1855'!N11+'1855'!O13-'1855'!N13+'1855'!O15-'1855'!N15+'1855'!O17-'1855'!N17+'1855'!O19-'1855'!N19+'1855'!O21-'1855'!N21+'1855'!O23-'1855'!N23</f>
        <v>37.508999999999993</v>
      </c>
      <c r="D24" s="44">
        <f>'1856'!O5-'1856'!N5+'1856'!O7-'1856'!N7+'1856'!O9-'1856'!N9+'1856'!O11-'1856'!N11+'1856'!O13-'1856'!N13+'1856'!O15-'1856'!N15+'1856'!O17-'1856'!N17+'1856'!O19-'1856'!N19+'1856'!O21-'1856'!N21+'1856'!O23-'1856'!N23</f>
        <v>35.126000000000005</v>
      </c>
      <c r="E24" s="44">
        <f>'1857'!O5-'1857'!N5+'1857'!O7-'1857'!N7+'1857'!O9-'1857'!N9+'1857'!O11-'1857'!N11+'1857'!O13-'1857'!N13+'1857'!O15-'1857'!N15+'1857'!O17-'1857'!N17+'1857'!O19-'1857'!N19+'1857'!O21-'1857'!N21+'1857'!O23-'1857'!N23</f>
        <v>35.85</v>
      </c>
      <c r="G24" s="187">
        <f>1-B24/B25</f>
        <v>5.1433536055604745E-2</v>
      </c>
      <c r="H24" s="187">
        <f t="shared" ref="H24:J24" si="3">1-C24/C25</f>
        <v>7.2018802572984209E-2</v>
      </c>
      <c r="I24" s="187">
        <f t="shared" si="3"/>
        <v>7.9024646040902868E-2</v>
      </c>
      <c r="J24" s="187">
        <f t="shared" si="3"/>
        <v>8.3823153590595334E-2</v>
      </c>
    </row>
    <row r="25" spans="1:10">
      <c r="A25" s="44" t="s">
        <v>125</v>
      </c>
      <c r="B25" s="52">
        <f>('1854'!O27-'1854'!N27)</f>
        <v>34.53000000000003</v>
      </c>
      <c r="C25" s="52">
        <f>('1855'!O27-'1855'!N27)</f>
        <v>40.420000000000016</v>
      </c>
      <c r="D25" s="52">
        <f>('1856'!O27-'1856'!N27)</f>
        <v>38.140000000000043</v>
      </c>
      <c r="E25" s="52">
        <f>('1857'!O27-'1857'!N27)</f>
        <v>39.129999999999995</v>
      </c>
    </row>
    <row r="26" spans="1:10">
      <c r="A26" s="179" t="s">
        <v>131</v>
      </c>
      <c r="B26" s="180"/>
      <c r="C26" s="180"/>
      <c r="D26" s="180"/>
      <c r="E26" s="181"/>
    </row>
    <row r="27" spans="1:10">
      <c r="A27" s="44" t="s">
        <v>127</v>
      </c>
      <c r="B27" s="47">
        <f>'1854'!O25-'1854'!N25</f>
        <v>191</v>
      </c>
      <c r="C27" s="47">
        <f>'1855'!O25-'1855'!N25</f>
        <v>343</v>
      </c>
      <c r="D27" s="47">
        <f>'1856'!O25-'1856'!N25</f>
        <v>201</v>
      </c>
      <c r="E27" s="47">
        <f>'1857'!O25-'1857'!N25</f>
        <v>198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F1:AD2 F13:T17 F28:AD65536 U13:Y13 U16:AD17">
    <cfRule type="cellIs" dxfId="21" priority="7" stopIfTrue="1" operator="lessThan">
      <formula>0</formula>
    </cfRule>
  </conditionalFormatting>
  <conditionalFormatting sqref="G1:J2 G13:J17 G28:J65536">
    <cfRule type="cellIs" dxfId="20" priority="6" stopIfTrue="1" operator="lessThan">
      <formula>0</formula>
    </cfRule>
  </conditionalFormatting>
  <conditionalFormatting sqref="G1:J2 G13:J17 G28:J65536">
    <cfRule type="cellIs" dxfId="19" priority="5" stopIfTrue="1" operator="lessThan">
      <formula>0</formula>
    </cfRule>
  </conditionalFormatting>
  <conditionalFormatting sqref="G1:J2 G13:J17 G28:J65536">
    <cfRule type="cellIs" dxfId="18" priority="4" stopIfTrue="1" operator="lessThan">
      <formula>0</formula>
    </cfRule>
  </conditionalFormatting>
  <conditionalFormatting sqref="G1:J2 G13:J17 G28:J65536">
    <cfRule type="cellIs" dxfId="17" priority="3" stopIfTrue="1" operator="lessThan">
      <formula>0</formula>
    </cfRule>
  </conditionalFormatting>
  <conditionalFormatting sqref="G1:J2 G13:J17 G28:J65536">
    <cfRule type="cellIs" dxfId="16" priority="2" stopIfTrue="1" operator="lessThan">
      <formula>0</formula>
    </cfRule>
  </conditionalFormatting>
  <conditionalFormatting sqref="G1:J2 G13:H17 G28:J65536 I13:J13 I16:J17">
    <cfRule type="cellIs" dxfId="15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0"/>
  <sheetViews>
    <sheetView topLeftCell="A28" workbookViewId="0">
      <selection activeCell="X39" sqref="X39"/>
    </sheetView>
  </sheetViews>
  <sheetFormatPr defaultRowHeight="15"/>
  <cols>
    <col min="1" max="1" width="9.140625" style="57"/>
    <col min="2" max="2" width="10.28515625" style="57" customWidth="1"/>
    <col min="3" max="4" width="7" style="57" customWidth="1"/>
    <col min="5" max="5" width="9" style="57" customWidth="1"/>
    <col min="6" max="7" width="7" style="57" customWidth="1"/>
    <col min="8" max="8" width="7.7109375" style="57" customWidth="1"/>
    <col min="9" max="9" width="7" style="57" customWidth="1"/>
    <col min="10" max="10" width="6.85546875" style="57" customWidth="1"/>
    <col min="11" max="11" width="9" style="57" customWidth="1"/>
    <col min="12" max="22" width="7" style="57" customWidth="1"/>
    <col min="23" max="23" width="8" style="57" customWidth="1"/>
    <col min="24" max="26" width="7" style="57" customWidth="1"/>
    <col min="27" max="16384" width="9.140625" style="57"/>
  </cols>
  <sheetData>
    <row r="1" spans="1:27" ht="18.75">
      <c r="A1" s="58" t="s">
        <v>142</v>
      </c>
      <c r="F1" s="58">
        <f>'S1'!B1</f>
        <v>2021</v>
      </c>
    </row>
    <row r="2" spans="1:27" ht="11.25" customHeight="1">
      <c r="A2" s="58"/>
    </row>
    <row r="3" spans="1:27" hidden="1">
      <c r="C3" s="57">
        <v>1850</v>
      </c>
      <c r="F3" s="57">
        <v>51</v>
      </c>
      <c r="I3" s="57">
        <v>52</v>
      </c>
      <c r="L3" s="57">
        <v>53</v>
      </c>
      <c r="O3" s="57">
        <v>54</v>
      </c>
      <c r="R3" s="57">
        <v>55</v>
      </c>
      <c r="U3" s="57">
        <v>56</v>
      </c>
      <c r="X3" s="57">
        <v>57</v>
      </c>
    </row>
    <row r="4" spans="1:27" s="60" customFormat="1" ht="18.75">
      <c r="A4" s="318"/>
      <c r="B4" s="318"/>
      <c r="C4" s="315">
        <v>1850</v>
      </c>
      <c r="D4" s="315"/>
      <c r="E4" s="315"/>
      <c r="F4" s="315">
        <v>1851</v>
      </c>
      <c r="G4" s="315"/>
      <c r="H4" s="315"/>
      <c r="I4" s="315">
        <v>1852</v>
      </c>
      <c r="J4" s="315"/>
      <c r="K4" s="315"/>
      <c r="L4" s="315">
        <v>1853</v>
      </c>
      <c r="M4" s="315"/>
      <c r="N4" s="315"/>
      <c r="O4" s="315">
        <v>1854</v>
      </c>
      <c r="P4" s="315"/>
      <c r="Q4" s="315"/>
      <c r="R4" s="315">
        <v>1855</v>
      </c>
      <c r="S4" s="315"/>
      <c r="T4" s="315"/>
      <c r="U4" s="315">
        <v>1856</v>
      </c>
      <c r="V4" s="315"/>
      <c r="W4" s="315"/>
      <c r="X4" s="315">
        <v>1857</v>
      </c>
      <c r="Y4" s="315"/>
      <c r="Z4" s="315"/>
      <c r="AA4" s="59"/>
    </row>
    <row r="5" spans="1:27" ht="30">
      <c r="A5" s="318"/>
      <c r="B5" s="318"/>
      <c r="C5" s="61" t="s">
        <v>143</v>
      </c>
      <c r="D5" s="62" t="s">
        <v>144</v>
      </c>
      <c r="E5" s="62" t="s">
        <v>145</v>
      </c>
      <c r="F5" s="61" t="s">
        <v>143</v>
      </c>
      <c r="G5" s="62" t="s">
        <v>144</v>
      </c>
      <c r="H5" s="62" t="s">
        <v>145</v>
      </c>
      <c r="I5" s="61" t="s">
        <v>143</v>
      </c>
      <c r="J5" s="62" t="s">
        <v>144</v>
      </c>
      <c r="K5" s="62" t="s">
        <v>145</v>
      </c>
      <c r="L5" s="61" t="s">
        <v>143</v>
      </c>
      <c r="M5" s="62" t="s">
        <v>144</v>
      </c>
      <c r="N5" s="62" t="s">
        <v>145</v>
      </c>
      <c r="O5" s="61" t="s">
        <v>143</v>
      </c>
      <c r="P5" s="62" t="s">
        <v>144</v>
      </c>
      <c r="Q5" s="62" t="s">
        <v>145</v>
      </c>
      <c r="R5" s="61" t="s">
        <v>143</v>
      </c>
      <c r="S5" s="62" t="s">
        <v>144</v>
      </c>
      <c r="T5" s="62" t="s">
        <v>145</v>
      </c>
      <c r="U5" s="61" t="s">
        <v>143</v>
      </c>
      <c r="V5" s="62" t="s">
        <v>144</v>
      </c>
      <c r="W5" s="62" t="s">
        <v>145</v>
      </c>
      <c r="X5" s="61" t="s">
        <v>143</v>
      </c>
      <c r="Y5" s="62" t="s">
        <v>144</v>
      </c>
      <c r="Z5" s="62" t="s">
        <v>145</v>
      </c>
      <c r="AA5" s="63"/>
    </row>
    <row r="6" spans="1:27">
      <c r="A6" s="308" t="s">
        <v>4</v>
      </c>
      <c r="B6" s="64" t="s">
        <v>146</v>
      </c>
      <c r="C6" s="153">
        <f>'S1'!B9</f>
        <v>34.28</v>
      </c>
      <c r="D6" s="316">
        <f>'S1'!B10-'S1'!B9</f>
        <v>4.9600000000000222</v>
      </c>
      <c r="E6" s="317">
        <f>D6/C7</f>
        <v>0.12640163098878746</v>
      </c>
      <c r="F6" s="153">
        <f>'S1'!C9</f>
        <v>46.575999999999986</v>
      </c>
      <c r="G6" s="316">
        <f>'S1'!C10-'S1'!C9</f>
        <v>5.1199999999999619</v>
      </c>
      <c r="H6" s="317">
        <f>G6/F7</f>
        <v>9.9040544722995338E-2</v>
      </c>
      <c r="I6" s="153">
        <f>'S1'!D9</f>
        <v>43.387000000000008</v>
      </c>
      <c r="J6" s="316">
        <f>'S1'!D10-'S1'!D9</f>
        <v>2.2250000000000014</v>
      </c>
      <c r="K6" s="317">
        <f>J6/I7</f>
        <v>4.8781022537928639E-2</v>
      </c>
      <c r="L6" s="153">
        <f>'S1'!E9</f>
        <v>37.446999999999974</v>
      </c>
      <c r="M6" s="316">
        <f>'S1'!E10-'S1'!E9</f>
        <v>4.8890000000000455</v>
      </c>
      <c r="N6" s="317">
        <f>M6/L7</f>
        <v>0.11548091458805847</v>
      </c>
      <c r="O6" s="153">
        <f>'S1'!B24</f>
        <v>38.239000000000019</v>
      </c>
      <c r="P6" s="316">
        <f>'S1'!B25-'S1'!B24</f>
        <v>2.1609999999999872</v>
      </c>
      <c r="Q6" s="317">
        <f>P6/O7</f>
        <v>5.3490099009900663E-2</v>
      </c>
      <c r="R6" s="153">
        <f>'S1'!C24</f>
        <v>44.706999999999994</v>
      </c>
      <c r="S6" s="316">
        <f>'S1'!C25-'S1'!C24</f>
        <v>3.0330000000000013</v>
      </c>
      <c r="T6" s="317">
        <f>S6/R7</f>
        <v>6.3531629660661948E-2</v>
      </c>
      <c r="U6" s="153">
        <f>'S1'!D24</f>
        <v>38.771000000000029</v>
      </c>
      <c r="V6" s="316">
        <f>'S1'!D25-'S1'!D24</f>
        <v>3.2789999999999822</v>
      </c>
      <c r="W6" s="317">
        <f>V6/U7</f>
        <v>7.7978596908441888E-2</v>
      </c>
      <c r="X6" s="153">
        <f>'S1'!E24</f>
        <v>39.887999999999963</v>
      </c>
      <c r="Y6" s="316">
        <f>'S1'!E25-'S1'!E24</f>
        <v>4.8620000000000516</v>
      </c>
      <c r="Z6" s="317">
        <f>Y6/X7</f>
        <v>0.10864804469273855</v>
      </c>
    </row>
    <row r="7" spans="1:27">
      <c r="A7" s="308"/>
      <c r="B7" s="64" t="s">
        <v>147</v>
      </c>
      <c r="C7" s="153">
        <f>'S1'!B10</f>
        <v>39.240000000000023</v>
      </c>
      <c r="D7" s="316"/>
      <c r="E7" s="317"/>
      <c r="F7" s="153">
        <f>'S1'!C10</f>
        <v>51.695999999999948</v>
      </c>
      <c r="G7" s="316"/>
      <c r="H7" s="317"/>
      <c r="I7" s="153">
        <f>'S1'!D10</f>
        <v>45.612000000000009</v>
      </c>
      <c r="J7" s="316"/>
      <c r="K7" s="317"/>
      <c r="L7" s="153">
        <f>'S1'!E10</f>
        <v>42.33600000000002</v>
      </c>
      <c r="M7" s="316"/>
      <c r="N7" s="317"/>
      <c r="O7" s="153">
        <f>'S1'!B25</f>
        <v>40.400000000000006</v>
      </c>
      <c r="P7" s="316"/>
      <c r="Q7" s="317"/>
      <c r="R7" s="153">
        <f>'S1'!C25</f>
        <v>47.739999999999995</v>
      </c>
      <c r="S7" s="316"/>
      <c r="T7" s="317"/>
      <c r="U7" s="153">
        <f>'S1'!D25</f>
        <v>42.050000000000011</v>
      </c>
      <c r="V7" s="316"/>
      <c r="W7" s="317"/>
      <c r="X7" s="153">
        <f>'S1'!E25</f>
        <v>44.750000000000014</v>
      </c>
      <c r="Y7" s="316"/>
      <c r="Z7" s="317"/>
    </row>
    <row r="8" spans="1:27">
      <c r="A8" s="308" t="s">
        <v>5</v>
      </c>
      <c r="B8" s="64" t="s">
        <v>146</v>
      </c>
      <c r="C8" s="64">
        <f>'S2'!B9</f>
        <v>29.429000000000002</v>
      </c>
      <c r="D8" s="307">
        <f>'S2'!B10-'S2'!B9</f>
        <v>3.9429999999999836</v>
      </c>
      <c r="E8" s="306">
        <f>D8/C9</f>
        <v>0.1181529425865991</v>
      </c>
      <c r="F8" s="65">
        <f>'S2'!C9</f>
        <v>42.400000000000006</v>
      </c>
      <c r="G8" s="307">
        <f>'S2'!C10-'S2'!C9</f>
        <v>5.0120000000000502</v>
      </c>
      <c r="H8" s="306">
        <f>G8/F9</f>
        <v>0.10571163418543922</v>
      </c>
      <c r="I8" s="65">
        <f>'S2'!D9</f>
        <v>37.307000000000002</v>
      </c>
      <c r="J8" s="307">
        <f>'S2'!D10-'S2'!D9</f>
        <v>2.500000000001279E-2</v>
      </c>
      <c r="K8" s="306">
        <f>J8/I9</f>
        <v>6.6966677381369278E-4</v>
      </c>
      <c r="L8" s="65">
        <f>'S2'!E9</f>
        <v>32.699999999999989</v>
      </c>
      <c r="M8" s="307">
        <f>'S2'!E10-'S2'!E9</f>
        <v>4.343999999999987</v>
      </c>
      <c r="N8" s="306">
        <f>M8/L9</f>
        <v>0.1172659540006476</v>
      </c>
      <c r="O8" s="65">
        <f>'S2'!B24</f>
        <v>32.926999999999992</v>
      </c>
      <c r="P8" s="307">
        <f>'S2'!B25-'S2'!B24</f>
        <v>2.1430000000000007</v>
      </c>
      <c r="Q8" s="306">
        <f>P8/O9</f>
        <v>6.110635871114916E-2</v>
      </c>
      <c r="R8" s="65">
        <f>'S2'!C24</f>
        <v>40.317000000000021</v>
      </c>
      <c r="S8" s="307">
        <f>'S2'!C25-'S2'!C24</f>
        <v>2.9629999999999797</v>
      </c>
      <c r="T8" s="306">
        <f>S8/R9</f>
        <v>6.8461182994454237E-2</v>
      </c>
      <c r="U8" s="65">
        <f>'S2'!D24</f>
        <v>33.967999999999961</v>
      </c>
      <c r="V8" s="307">
        <f>'S2'!D25-'S2'!D24</f>
        <v>3.0320000000000391</v>
      </c>
      <c r="W8" s="306">
        <f>V8/U9</f>
        <v>8.1945945945947007E-2</v>
      </c>
      <c r="X8" s="65">
        <f>'S2'!E24</f>
        <v>33.513000000000019</v>
      </c>
      <c r="Y8" s="307">
        <f>'S2'!E25-'S2'!E24</f>
        <v>5.0269999999999726</v>
      </c>
      <c r="Z8" s="306">
        <f>Y8/X9</f>
        <v>0.13043591074208546</v>
      </c>
    </row>
    <row r="9" spans="1:27">
      <c r="A9" s="308"/>
      <c r="B9" s="64" t="s">
        <v>147</v>
      </c>
      <c r="C9" s="65">
        <f>'S2'!B10</f>
        <v>33.371999999999986</v>
      </c>
      <c r="D9" s="307"/>
      <c r="E9" s="306"/>
      <c r="F9" s="65">
        <f>'S2'!C10</f>
        <v>47.412000000000056</v>
      </c>
      <c r="G9" s="307"/>
      <c r="H9" s="306"/>
      <c r="I9" s="65">
        <f>'S2'!D10</f>
        <v>37.332000000000015</v>
      </c>
      <c r="J9" s="307"/>
      <c r="K9" s="306"/>
      <c r="L9" s="65">
        <f>'S2'!E10</f>
        <v>37.043999999999976</v>
      </c>
      <c r="M9" s="307"/>
      <c r="N9" s="306"/>
      <c r="O9" s="65">
        <f>'S2'!B25</f>
        <v>35.069999999999993</v>
      </c>
      <c r="P9" s="307"/>
      <c r="Q9" s="306"/>
      <c r="R9" s="65">
        <f>'S2'!C25</f>
        <v>43.28</v>
      </c>
      <c r="S9" s="307"/>
      <c r="T9" s="306"/>
      <c r="U9" s="65">
        <f>'S2'!D25</f>
        <v>37</v>
      </c>
      <c r="V9" s="307"/>
      <c r="W9" s="306"/>
      <c r="X9" s="65">
        <f>'S2'!E25</f>
        <v>38.539999999999992</v>
      </c>
      <c r="Y9" s="307"/>
      <c r="Z9" s="306"/>
    </row>
    <row r="10" spans="1:27">
      <c r="A10" s="308" t="s">
        <v>6</v>
      </c>
      <c r="B10" s="64" t="s">
        <v>146</v>
      </c>
      <c r="C10" s="64">
        <f>'S3'!B9</f>
        <v>23.475000000000009</v>
      </c>
      <c r="D10" s="307">
        <f>'S3'!B10-'S3'!B9</f>
        <v>3.6329999999999956</v>
      </c>
      <c r="E10" s="306">
        <f>D10/C11</f>
        <v>0.13401947764497546</v>
      </c>
      <c r="F10" s="65">
        <f>'S3'!C9</f>
        <v>34.713999999999977</v>
      </c>
      <c r="G10" s="307">
        <f>'S3'!C10-'S3'!C9</f>
        <v>5.2100000000000364</v>
      </c>
      <c r="H10" s="306">
        <f>G10/F11</f>
        <v>0.13049794609758628</v>
      </c>
      <c r="I10" s="65">
        <f>'S3'!D9</f>
        <v>30.153000000000013</v>
      </c>
      <c r="J10" s="307">
        <f>'S3'!D10-'S3'!D9</f>
        <v>0.1949999999999612</v>
      </c>
      <c r="K10" s="306">
        <f>J10/I11</f>
        <v>6.4254646105167184E-3</v>
      </c>
      <c r="L10" s="65">
        <f>'S3'!E9</f>
        <v>25.824000000000026</v>
      </c>
      <c r="M10" s="307">
        <f>'S3'!E10-'S3'!E9</f>
        <v>4.2719999999999736</v>
      </c>
      <c r="N10" s="306">
        <f>M10/L11</f>
        <v>0.14194577352472001</v>
      </c>
      <c r="O10" s="65">
        <f>'S3'!B24</f>
        <v>26.551999999999978</v>
      </c>
      <c r="P10" s="314">
        <f>'S3'!B25-'S3'!B24</f>
        <v>1.5280000000000342</v>
      </c>
      <c r="Q10" s="306">
        <f>P10/O11</f>
        <v>5.4415954415955613E-2</v>
      </c>
      <c r="R10" s="64">
        <f>'S3'!C24</f>
        <v>33.361000000000033</v>
      </c>
      <c r="S10" s="314">
        <f>'S3'!C25-'S3'!C24</f>
        <v>2.0089999999999719</v>
      </c>
      <c r="T10" s="306">
        <f>S10/R11</f>
        <v>5.6799547639241492E-2</v>
      </c>
      <c r="U10" s="64">
        <f>'S3'!D24</f>
        <v>25.618000000000023</v>
      </c>
      <c r="V10" s="314">
        <f>'S3'!D25-'S3'!D24</f>
        <v>2.261999999999972</v>
      </c>
      <c r="W10" s="306">
        <f>V10/U11</f>
        <v>8.1133428981347649E-2</v>
      </c>
      <c r="X10" s="64">
        <f>'S3'!E24</f>
        <v>27.853999999999999</v>
      </c>
      <c r="Y10" s="314">
        <f>'S3'!E25-'S3'!E24</f>
        <v>3.4260000000000019</v>
      </c>
      <c r="Z10" s="306">
        <f>Y10/X11</f>
        <v>0.10952685421994891</v>
      </c>
    </row>
    <row r="11" spans="1:27">
      <c r="A11" s="308"/>
      <c r="B11" s="64" t="s">
        <v>147</v>
      </c>
      <c r="C11" s="65">
        <f>'S3'!B10</f>
        <v>27.108000000000004</v>
      </c>
      <c r="D11" s="307"/>
      <c r="E11" s="306"/>
      <c r="F11" s="65">
        <f>'S3'!C10</f>
        <v>39.924000000000014</v>
      </c>
      <c r="G11" s="307"/>
      <c r="H11" s="306"/>
      <c r="I11" s="65">
        <f>'S3'!D10</f>
        <v>30.347999999999974</v>
      </c>
      <c r="J11" s="307"/>
      <c r="K11" s="306"/>
      <c r="L11" s="65">
        <f>'S3'!E10</f>
        <v>30.096</v>
      </c>
      <c r="M11" s="307"/>
      <c r="N11" s="306"/>
      <c r="O11" s="65">
        <f>'S3'!B25</f>
        <v>28.080000000000013</v>
      </c>
      <c r="P11" s="314"/>
      <c r="Q11" s="306"/>
      <c r="R11" s="64">
        <f>'S3'!C25</f>
        <v>35.370000000000005</v>
      </c>
      <c r="S11" s="314"/>
      <c r="T11" s="306"/>
      <c r="U11" s="64">
        <f>'S3'!D25</f>
        <v>27.879999999999995</v>
      </c>
      <c r="V11" s="314"/>
      <c r="W11" s="306"/>
      <c r="X11" s="64">
        <f>'S3'!E25</f>
        <v>31.28</v>
      </c>
      <c r="Y11" s="314"/>
      <c r="Z11" s="306"/>
    </row>
    <row r="12" spans="1:27">
      <c r="A12" s="308" t="s">
        <v>7</v>
      </c>
      <c r="B12" s="64" t="s">
        <v>146</v>
      </c>
      <c r="C12" s="64">
        <f>'S4'!B9</f>
        <v>15.599000000000018</v>
      </c>
      <c r="D12" s="307">
        <f>'S4'!B10-'S4'!B9</f>
        <v>2.220999999999993</v>
      </c>
      <c r="E12" s="306">
        <f>D12/C13</f>
        <v>0.12463524130190749</v>
      </c>
      <c r="F12" s="65">
        <f>'S4'!C9</f>
        <v>25.423999999999964</v>
      </c>
      <c r="G12" s="314">
        <f>'S4'!C10-'S4'!C9</f>
        <v>4.9600000000000293</v>
      </c>
      <c r="H12" s="306">
        <f>G12/F13</f>
        <v>0.16324381253291306</v>
      </c>
      <c r="I12" s="64">
        <f>'S4'!D9</f>
        <v>21.099999999999937</v>
      </c>
      <c r="J12" s="314">
        <f>'S4'!D10-'S4'!D9</f>
        <v>0.28400000000005576</v>
      </c>
      <c r="K12" s="306">
        <f>J12/I13</f>
        <v>1.3280957725404783E-2</v>
      </c>
      <c r="L12" s="64">
        <f>'S4'!E9</f>
        <v>15.14700000000002</v>
      </c>
      <c r="M12" s="314">
        <f>'S4'!E10-'S4'!E9</f>
        <v>4.0410000000000252</v>
      </c>
      <c r="N12" s="306">
        <f>M12/L13</f>
        <v>0.21060037523452241</v>
      </c>
      <c r="O12" s="64">
        <f>'S4'!B24</f>
        <v>18.734000000000016</v>
      </c>
      <c r="P12" s="314">
        <f>'S4'!B25-'S4'!B24</f>
        <v>0.97599999999996356</v>
      </c>
      <c r="Q12" s="306">
        <f>P12/O13</f>
        <v>4.9518011161844983E-2</v>
      </c>
      <c r="R12" s="64">
        <f>'S4'!C24</f>
        <v>25.653999999999996</v>
      </c>
      <c r="S12" s="314">
        <f>'S4'!C25-'S4'!C24</f>
        <v>1.4560000000000173</v>
      </c>
      <c r="T12" s="306">
        <f>S12/R13</f>
        <v>5.3707119144227836E-2</v>
      </c>
      <c r="U12" s="64">
        <f>'S4'!D24</f>
        <v>16.819000000000003</v>
      </c>
      <c r="V12" s="314">
        <f>'S4'!D25-'S4'!D24</f>
        <v>1.3709999999999951</v>
      </c>
      <c r="W12" s="306">
        <f>V12/U13</f>
        <v>7.5371083012644044E-2</v>
      </c>
      <c r="X12" s="64">
        <f>'S4'!E24</f>
        <v>19.845000000000027</v>
      </c>
      <c r="Y12" s="314">
        <f>'S4'!E25-'S4'!E24</f>
        <v>2.1349999999999625</v>
      </c>
      <c r="Z12" s="306">
        <f>Y12/X13</f>
        <v>9.713375796178178E-2</v>
      </c>
    </row>
    <row r="13" spans="1:27">
      <c r="A13" s="308"/>
      <c r="B13" s="64" t="s">
        <v>147</v>
      </c>
      <c r="C13" s="65">
        <f>'S4'!B10</f>
        <v>17.820000000000011</v>
      </c>
      <c r="D13" s="307"/>
      <c r="E13" s="306"/>
      <c r="F13" s="65">
        <f>'S4'!C10</f>
        <v>30.383999999999993</v>
      </c>
      <c r="G13" s="314"/>
      <c r="H13" s="306"/>
      <c r="I13" s="64">
        <f>'S4'!D10</f>
        <v>21.383999999999993</v>
      </c>
      <c r="J13" s="314"/>
      <c r="K13" s="306"/>
      <c r="L13" s="64">
        <f>'S4'!E10</f>
        <v>19.188000000000045</v>
      </c>
      <c r="M13" s="314"/>
      <c r="N13" s="306"/>
      <c r="O13" s="64">
        <f>'S4'!B25</f>
        <v>19.70999999999998</v>
      </c>
      <c r="P13" s="314"/>
      <c r="Q13" s="306"/>
      <c r="R13" s="64">
        <f>'S4'!C25</f>
        <v>27.110000000000014</v>
      </c>
      <c r="S13" s="314"/>
      <c r="T13" s="306"/>
      <c r="U13" s="64">
        <f>'S4'!D25</f>
        <v>18.189999999999998</v>
      </c>
      <c r="V13" s="314"/>
      <c r="W13" s="306"/>
      <c r="X13" s="64">
        <f>'S4'!E25</f>
        <v>21.97999999999999</v>
      </c>
      <c r="Y13" s="314"/>
      <c r="Z13" s="306"/>
    </row>
    <row r="14" spans="1:27">
      <c r="A14" s="308" t="s">
        <v>8</v>
      </c>
      <c r="B14" s="64" t="s">
        <v>146</v>
      </c>
      <c r="C14" s="64">
        <f>'S5'!B9</f>
        <v>6.5789999999999935</v>
      </c>
      <c r="D14" s="307">
        <f>'S5'!B10-'S5'!B9</f>
        <v>1.233000000000013</v>
      </c>
      <c r="E14" s="306">
        <f>D14/C15</f>
        <v>0.15783410138249002</v>
      </c>
      <c r="F14" s="64">
        <f>'S5'!C9</f>
        <v>14.020000000000067</v>
      </c>
      <c r="G14" s="307">
        <f>'S5'!C10-'S5'!C9</f>
        <v>4.771999999999931</v>
      </c>
      <c r="H14" s="306">
        <f>G14/F15</f>
        <v>0.25393784589186524</v>
      </c>
      <c r="I14" s="64">
        <f>'S5'!D9</f>
        <v>12.36200000000003</v>
      </c>
      <c r="J14" s="307">
        <f>'S5'!D10-'S5'!D9</f>
        <v>-0.37399999999998457</v>
      </c>
      <c r="K14" s="306">
        <f>J14/I15</f>
        <v>-3.1197864531196457E-2</v>
      </c>
      <c r="L14" s="64">
        <f>'S5'!E9</f>
        <v>7.4609999999999559</v>
      </c>
      <c r="M14" s="307">
        <f>'S5'!E10-'S5'!E9</f>
        <v>4.2390000000000452</v>
      </c>
      <c r="N14" s="306">
        <f>M14/L15</f>
        <v>0.36230769230769616</v>
      </c>
      <c r="O14" s="64">
        <f>'S5'!B24</f>
        <v>11.033999999999994</v>
      </c>
      <c r="P14" s="307">
        <f>'S5'!B25-'S5'!B24</f>
        <v>0.39600000000001323</v>
      </c>
      <c r="Q14" s="306">
        <f>P14/O15</f>
        <v>3.464566929133972E-2</v>
      </c>
      <c r="R14" s="64">
        <f>'S5'!C24</f>
        <v>16.53</v>
      </c>
      <c r="S14" s="307">
        <f>'S5'!C25-'S5'!C24</f>
        <v>0.53000000000000114</v>
      </c>
      <c r="T14" s="306">
        <f>S14/R15</f>
        <v>3.1066822977725738E-2</v>
      </c>
      <c r="U14" s="64">
        <f>'S5'!D24</f>
        <v>8.9549999999999983</v>
      </c>
      <c r="V14" s="307">
        <f>'S5'!D25-'S5'!D24</f>
        <v>0.15499999999998693</v>
      </c>
      <c r="W14" s="306">
        <f>V14/U15</f>
        <v>1.7014270032929438E-2</v>
      </c>
      <c r="X14" s="64">
        <f>'S5'!E24</f>
        <v>10.09899999999999</v>
      </c>
      <c r="Y14" s="307">
        <f>'S5'!E25-'S5'!E24</f>
        <v>1.3310000000000173</v>
      </c>
      <c r="Z14" s="306">
        <f>Y14/X15</f>
        <v>0.11644794400700056</v>
      </c>
    </row>
    <row r="15" spans="1:27">
      <c r="A15" s="308"/>
      <c r="B15" s="64" t="s">
        <v>147</v>
      </c>
      <c r="C15" s="65">
        <f>'S5'!B10</f>
        <v>7.8120000000000065</v>
      </c>
      <c r="D15" s="307"/>
      <c r="E15" s="306"/>
      <c r="F15" s="65">
        <f>'S5'!C10</f>
        <v>18.791999999999998</v>
      </c>
      <c r="G15" s="307"/>
      <c r="H15" s="306"/>
      <c r="I15" s="65">
        <f>'S5'!D10</f>
        <v>11.988000000000046</v>
      </c>
      <c r="J15" s="307"/>
      <c r="K15" s="306"/>
      <c r="L15" s="65">
        <f>'S5'!E10</f>
        <v>11.700000000000001</v>
      </c>
      <c r="M15" s="307"/>
      <c r="N15" s="306"/>
      <c r="O15" s="65">
        <f>'S5'!B25</f>
        <v>11.430000000000007</v>
      </c>
      <c r="P15" s="307"/>
      <c r="Q15" s="306"/>
      <c r="R15" s="65">
        <f>'S5'!C25</f>
        <v>17.060000000000002</v>
      </c>
      <c r="S15" s="307"/>
      <c r="T15" s="306"/>
      <c r="U15" s="65">
        <f>'S5'!D25</f>
        <v>9.1099999999999852</v>
      </c>
      <c r="V15" s="307"/>
      <c r="W15" s="306"/>
      <c r="X15" s="65">
        <f>'S5'!E25</f>
        <v>11.430000000000007</v>
      </c>
      <c r="Y15" s="307"/>
      <c r="Z15" s="306"/>
    </row>
    <row r="16" spans="1:27">
      <c r="A16" s="308" t="s">
        <v>9</v>
      </c>
      <c r="B16" s="64" t="s">
        <v>146</v>
      </c>
      <c r="C16" s="64">
        <f>'S6'!B9</f>
        <v>3.5019999999999953</v>
      </c>
      <c r="D16" s="307">
        <f>'S6'!B10-'S6'!B9</f>
        <v>0.78199999999999648</v>
      </c>
      <c r="E16" s="306">
        <f>D16/C17</f>
        <v>0.18253968253968206</v>
      </c>
      <c r="F16" s="64">
        <f>'S6'!C9</f>
        <v>6.7040000000000077</v>
      </c>
      <c r="G16" s="307">
        <f>'S6'!C10-'S6'!C9</f>
        <v>4.1679999999999264</v>
      </c>
      <c r="H16" s="306">
        <f>G16/F17</f>
        <v>0.38337012509197493</v>
      </c>
      <c r="I16" s="64">
        <f>'S6'!D9</f>
        <v>7.0589999999999833</v>
      </c>
      <c r="J16" s="307">
        <f>'S6'!D10-'S6'!D9</f>
        <v>-0.11100000000006105</v>
      </c>
      <c r="K16" s="306">
        <f>J16/I17</f>
        <v>-1.5975820379974422E-2</v>
      </c>
      <c r="L16" s="64">
        <f>'S6'!E9</f>
        <v>3.7900000000000489</v>
      </c>
      <c r="M16" s="307">
        <f>'S6'!E10-'S6'!E9</f>
        <v>3.4459999999999189</v>
      </c>
      <c r="N16" s="306">
        <f>M16/L17</f>
        <v>0.47622996130457906</v>
      </c>
      <c r="O16" s="64">
        <f>'S6'!B24</f>
        <v>3.4690000000000021</v>
      </c>
      <c r="P16" s="307">
        <f>'S6'!B25-'S6'!B24</f>
        <v>-8.9999999999941238E-3</v>
      </c>
      <c r="Q16" s="306">
        <f>P16/O17</f>
        <v>-2.6011560693624575E-3</v>
      </c>
      <c r="R16" s="64">
        <f>'S6'!C24</f>
        <v>5.0999999999999801</v>
      </c>
      <c r="S16" s="307">
        <f>'S6'!C25-'S6'!C24</f>
        <v>-0.76000000000000512</v>
      </c>
      <c r="T16" s="306">
        <f>S16/R17</f>
        <v>-0.17511520737327407</v>
      </c>
      <c r="U16" s="64">
        <f>'S6'!D24</f>
        <v>3.7849999999999824</v>
      </c>
      <c r="V16" s="307">
        <f>'S6'!D25-'S6'!D24</f>
        <v>-0.6449999999999676</v>
      </c>
      <c r="W16" s="306">
        <f>V16/U17</f>
        <v>-0.20541401273884222</v>
      </c>
      <c r="X16" s="64">
        <f>'S6'!E24</f>
        <v>5.0719999999999743</v>
      </c>
      <c r="Y16" s="307">
        <f>'S6'!E25-'S6'!E24</f>
        <v>-4.1999999999944748E-2</v>
      </c>
      <c r="Z16" s="306">
        <f>Y16/X17</f>
        <v>-8.349900596410437E-3</v>
      </c>
    </row>
    <row r="17" spans="1:26">
      <c r="A17" s="308"/>
      <c r="B17" s="64" t="s">
        <v>147</v>
      </c>
      <c r="C17" s="64">
        <f>'S6'!B10</f>
        <v>4.2839999999999918</v>
      </c>
      <c r="D17" s="307"/>
      <c r="E17" s="306"/>
      <c r="F17" s="64">
        <f>'S6'!C10</f>
        <v>10.871999999999934</v>
      </c>
      <c r="G17" s="307"/>
      <c r="H17" s="306"/>
      <c r="I17" s="64">
        <f>'S6'!D10</f>
        <v>6.9479999999999222</v>
      </c>
      <c r="J17" s="307"/>
      <c r="K17" s="306"/>
      <c r="L17" s="64">
        <f>'S6'!E10</f>
        <v>7.2359999999999678</v>
      </c>
      <c r="M17" s="307"/>
      <c r="N17" s="306"/>
      <c r="O17" s="64">
        <f>'S6'!B25</f>
        <v>3.460000000000008</v>
      </c>
      <c r="P17" s="307"/>
      <c r="Q17" s="306"/>
      <c r="R17" s="64">
        <f>'S6'!C25</f>
        <v>4.339999999999975</v>
      </c>
      <c r="S17" s="307"/>
      <c r="T17" s="306"/>
      <c r="U17" s="64">
        <f>'S6'!D25</f>
        <v>3.1400000000000148</v>
      </c>
      <c r="V17" s="307"/>
      <c r="W17" s="306"/>
      <c r="X17" s="64">
        <f>'S6'!E25</f>
        <v>5.0300000000000296</v>
      </c>
      <c r="Y17" s="307"/>
      <c r="Z17" s="306"/>
    </row>
    <row r="18" spans="1:26">
      <c r="A18" s="308" t="s">
        <v>10</v>
      </c>
      <c r="B18" s="64" t="s">
        <v>146</v>
      </c>
      <c r="C18" s="64">
        <f>'S7'!B9</f>
        <v>3.0109999999999957</v>
      </c>
      <c r="D18" s="307">
        <f>'S7'!B10-'S7'!B9</f>
        <v>0.40900000000001446</v>
      </c>
      <c r="E18" s="306">
        <f>D18/C19</f>
        <v>0.11959064327485767</v>
      </c>
      <c r="F18" s="64">
        <f>'S7'!C9</f>
        <v>5.355000000000004</v>
      </c>
      <c r="G18" s="307">
        <f>'S7'!C10-'S7'!C9</f>
        <v>4.113000000000083</v>
      </c>
      <c r="H18" s="306">
        <f>G18/F19</f>
        <v>0.4344106463878375</v>
      </c>
      <c r="I18" s="64">
        <f>'S7'!D9</f>
        <v>4.555999999999969</v>
      </c>
      <c r="J18" s="307">
        <f>'S7'!D10-'S7'!D9</f>
        <v>-1.0999999999999401</v>
      </c>
      <c r="K18" s="306">
        <f>J18/I19</f>
        <v>-0.31828703703701705</v>
      </c>
      <c r="L18" s="64">
        <f>'S7'!E9</f>
        <v>3.313999999999993</v>
      </c>
      <c r="M18" s="307">
        <f>'S7'!E10-'S7'!E9</f>
        <v>3.4179999999999726</v>
      </c>
      <c r="N18" s="306">
        <f>M18/L19</f>
        <v>0.50772430184194739</v>
      </c>
      <c r="O18" s="64">
        <f>'S7'!B24</f>
        <v>3.1899999999999689</v>
      </c>
      <c r="P18" s="307">
        <f>'S7'!B25-'S7'!B24</f>
        <v>-0.13999999999998591</v>
      </c>
      <c r="Q18" s="306">
        <f>P18/O19</f>
        <v>-4.5901639344257936E-2</v>
      </c>
      <c r="R18" s="64">
        <f>'S7'!C24</f>
        <v>3.936000000000007</v>
      </c>
      <c r="S18" s="307">
        <f>'S7'!C25-'S7'!C24</f>
        <v>-0.87600000000000477</v>
      </c>
      <c r="T18" s="306">
        <f>S18/R19</f>
        <v>-0.28627450980392294</v>
      </c>
      <c r="U18" s="64">
        <f>'S7'!D24</f>
        <v>2.9540000000000362</v>
      </c>
      <c r="V18" s="307">
        <f>'S7'!D25-'S7'!D24</f>
        <v>-0.49400000000002819</v>
      </c>
      <c r="W18" s="306">
        <f>V18/U19</f>
        <v>-0.20081300813009212</v>
      </c>
      <c r="X18" s="64">
        <f>'S7'!E24</f>
        <v>3.282999999999987</v>
      </c>
      <c r="Y18" s="307">
        <f>'S7'!E25-'S7'!E24</f>
        <v>0.59700000000000841</v>
      </c>
      <c r="Z18" s="306">
        <f>Y18/X19</f>
        <v>0.15386597938144564</v>
      </c>
    </row>
    <row r="19" spans="1:26">
      <c r="A19" s="308"/>
      <c r="B19" s="64" t="s">
        <v>147</v>
      </c>
      <c r="C19" s="64">
        <f>'S7'!B10</f>
        <v>3.4200000000000101</v>
      </c>
      <c r="D19" s="307"/>
      <c r="E19" s="306"/>
      <c r="F19" s="65">
        <f>'S7'!C10</f>
        <v>9.468000000000087</v>
      </c>
      <c r="G19" s="307"/>
      <c r="H19" s="306"/>
      <c r="I19" s="64">
        <f>'S7'!D10</f>
        <v>3.4560000000000288</v>
      </c>
      <c r="J19" s="307"/>
      <c r="K19" s="306"/>
      <c r="L19" s="64">
        <f>'S7'!E10</f>
        <v>6.7319999999999656</v>
      </c>
      <c r="M19" s="307"/>
      <c r="N19" s="306"/>
      <c r="O19" s="64">
        <f>'S7'!B25</f>
        <v>3.0499999999999829</v>
      </c>
      <c r="P19" s="307"/>
      <c r="Q19" s="306"/>
      <c r="R19" s="64">
        <f>'S7'!C25</f>
        <v>3.0600000000000023</v>
      </c>
      <c r="S19" s="307"/>
      <c r="T19" s="306"/>
      <c r="U19" s="64">
        <f>'S7'!D25</f>
        <v>2.460000000000008</v>
      </c>
      <c r="V19" s="307"/>
      <c r="W19" s="306"/>
      <c r="X19" s="64">
        <f>'S7'!E25</f>
        <v>3.8799999999999955</v>
      </c>
      <c r="Y19" s="307"/>
      <c r="Z19" s="306"/>
    </row>
    <row r="20" spans="1:26">
      <c r="A20" s="308" t="s">
        <v>11</v>
      </c>
      <c r="B20" s="64" t="s">
        <v>146</v>
      </c>
      <c r="C20" s="64">
        <f>'S8'!B9</f>
        <v>3.4730000000000132</v>
      </c>
      <c r="D20" s="307">
        <f>'S8'!B10-'S8'!B9</f>
        <v>1.710999999999979</v>
      </c>
      <c r="E20" s="306">
        <f>D20/C21</f>
        <v>0.33005401234567544</v>
      </c>
      <c r="F20" s="64">
        <f>'S8'!C9</f>
        <v>6.0149999999999721</v>
      </c>
      <c r="G20" s="307">
        <f>'S8'!C10-'S8'!C9</f>
        <v>4.1729999999999716</v>
      </c>
      <c r="H20" s="306">
        <f>G20/F21</f>
        <v>0.40959952885747886</v>
      </c>
      <c r="I20" s="64">
        <f>'S8'!D9</f>
        <v>4.4750000000000227</v>
      </c>
      <c r="J20" s="307">
        <f>'S8'!D10-'S8'!D9</f>
        <v>0.67300000000000182</v>
      </c>
      <c r="K20" s="306">
        <f>J20/I21</f>
        <v>0.13073038073038046</v>
      </c>
      <c r="L20" s="64">
        <f>'S8'!E9</f>
        <v>3.7199999999999989</v>
      </c>
      <c r="M20" s="307">
        <f>'S8'!E10-'S8'!E9</f>
        <v>3.2640000000000953</v>
      </c>
      <c r="N20" s="306">
        <f>M20/L21</f>
        <v>0.4673539518900417</v>
      </c>
      <c r="O20" s="64">
        <f>'S8'!B24</f>
        <v>3.5470000000000041</v>
      </c>
      <c r="P20" s="311">
        <f>'S8'!B25-'S8'!B24</f>
        <v>1.1130000000000209</v>
      </c>
      <c r="Q20" s="306">
        <f>P20/O21</f>
        <v>0.23884120171674139</v>
      </c>
      <c r="R20" s="64">
        <f>'S8'!C24</f>
        <v>5.3919999999999959</v>
      </c>
      <c r="S20" s="311">
        <f>'S8'!C25-'S8'!C24</f>
        <v>-0.18200000000001637</v>
      </c>
      <c r="T20" s="306">
        <f>S20/R21</f>
        <v>-3.4932821497124199E-2</v>
      </c>
      <c r="U20" s="64">
        <f>'S8'!D24</f>
        <v>3.0309999999999917</v>
      </c>
      <c r="V20" s="311">
        <f>'S8'!D25-'S8'!D24</f>
        <v>1.0690000000000026</v>
      </c>
      <c r="W20" s="306">
        <f>V20/U21</f>
        <v>0.26073170731707418</v>
      </c>
      <c r="X20" s="64">
        <f>'S8'!E24</f>
        <v>3.597000000000051</v>
      </c>
      <c r="Y20" s="311">
        <f>'S8'!E25-'S8'!E24</f>
        <v>2.1829999999999217</v>
      </c>
      <c r="Z20" s="306">
        <f>Y20/X21</f>
        <v>0.37768166089964222</v>
      </c>
    </row>
    <row r="21" spans="1:26">
      <c r="A21" s="308"/>
      <c r="B21" s="64" t="s">
        <v>147</v>
      </c>
      <c r="C21" s="64">
        <f>'S8'!B10</f>
        <v>5.1839999999999922</v>
      </c>
      <c r="D21" s="307"/>
      <c r="E21" s="306"/>
      <c r="F21" s="64">
        <f>'S8'!C10</f>
        <v>10.187999999999944</v>
      </c>
      <c r="G21" s="307"/>
      <c r="H21" s="306"/>
      <c r="I21" s="64">
        <f>'S8'!D10</f>
        <v>5.1480000000000246</v>
      </c>
      <c r="J21" s="307"/>
      <c r="K21" s="306"/>
      <c r="L21" s="64">
        <f>'S8'!E10</f>
        <v>6.9840000000000941</v>
      </c>
      <c r="M21" s="307"/>
      <c r="N21" s="306"/>
      <c r="O21" s="64">
        <f>'S8'!B25</f>
        <v>4.660000000000025</v>
      </c>
      <c r="P21" s="311"/>
      <c r="Q21" s="306"/>
      <c r="R21" s="64">
        <f>'S8'!C25</f>
        <v>5.2099999999999795</v>
      </c>
      <c r="S21" s="311"/>
      <c r="T21" s="306"/>
      <c r="U21" s="64">
        <f>'S8'!D25</f>
        <v>4.0999999999999943</v>
      </c>
      <c r="V21" s="311"/>
      <c r="W21" s="306"/>
      <c r="X21" s="64">
        <f>'S8'!E25</f>
        <v>5.7799999999999727</v>
      </c>
      <c r="Y21" s="311"/>
      <c r="Z21" s="306"/>
    </row>
    <row r="22" spans="1:26" ht="15" customHeight="1">
      <c r="A22" s="312" t="s">
        <v>12</v>
      </c>
      <c r="B22" s="64" t="s">
        <v>146</v>
      </c>
      <c r="C22" s="64">
        <f>'S9'!B9</f>
        <v>5.7750000000000199</v>
      </c>
      <c r="D22" s="307">
        <f>'S9'!B10-'S9'!B9</f>
        <v>0.45299999999994345</v>
      </c>
      <c r="E22" s="309">
        <f>D22/C23</f>
        <v>7.2736030828507728E-2</v>
      </c>
      <c r="F22" s="64">
        <f>'S9'!C9</f>
        <v>6.759000000000043</v>
      </c>
      <c r="G22" s="307">
        <f>'S9'!C10-'S9'!C9</f>
        <v>4.1129999999999942</v>
      </c>
      <c r="H22" s="309">
        <f>G22/F23</f>
        <v>0.37831125827814388</v>
      </c>
      <c r="I22" s="64">
        <f>'S9'!D9</f>
        <v>6.9769999999999754</v>
      </c>
      <c r="J22" s="307">
        <f>'S9'!D10-'S9'!D9</f>
        <v>-1.7209999999999468</v>
      </c>
      <c r="K22" s="309">
        <f>J22/I23</f>
        <v>-0.32743531202434123</v>
      </c>
      <c r="L22" s="64">
        <f>'S9'!E9</f>
        <v>4.1829999999999927</v>
      </c>
      <c r="M22" s="307">
        <f>'S9'!E10-'S9'!E9</f>
        <v>2.6569999999999254</v>
      </c>
      <c r="N22" s="309">
        <f>M22/L23</f>
        <v>0.38845029239765455</v>
      </c>
      <c r="O22" s="159">
        <f>'S9'!B24</f>
        <v>4.2559999999999931</v>
      </c>
      <c r="P22" s="311">
        <f>'S9'!B25-'S9'!B24</f>
        <v>-0.53599999999999426</v>
      </c>
      <c r="Q22" s="309">
        <f>P22/O23</f>
        <v>-0.14408602150537483</v>
      </c>
      <c r="R22" s="64">
        <f>'S9'!C24</f>
        <v>6.2639999999999816</v>
      </c>
      <c r="S22" s="311">
        <f>'S9'!C25-'S9'!C24</f>
        <v>-0.42399999999994975</v>
      </c>
      <c r="T22" s="309">
        <f>S22/R23</f>
        <v>-7.2602739726018398E-2</v>
      </c>
      <c r="U22" s="64">
        <f>'S9'!D24</f>
        <v>3.9459999999999695</v>
      </c>
      <c r="V22" s="311">
        <f>'S9'!D25-'S9'!D24</f>
        <v>-0.54599999999996385</v>
      </c>
      <c r="W22" s="309">
        <f>V22/U23</f>
        <v>-0.16058823529410673</v>
      </c>
      <c r="X22" s="64">
        <f>'S9'!E24</f>
        <v>4.8259999999999934</v>
      </c>
      <c r="Y22" s="311">
        <f>'S9'!E25-'S9'!E24</f>
        <v>-0.1659999999999684</v>
      </c>
      <c r="Z22" s="309">
        <f>Y22/X23</f>
        <v>-3.5622317596559552E-2</v>
      </c>
    </row>
    <row r="23" spans="1:26" ht="15" customHeight="1">
      <c r="A23" s="313"/>
      <c r="B23" s="64" t="s">
        <v>147</v>
      </c>
      <c r="C23" s="66">
        <f>'S9'!B10</f>
        <v>6.2279999999999633</v>
      </c>
      <c r="D23" s="307"/>
      <c r="E23" s="310"/>
      <c r="F23" s="66">
        <f>'S9'!C10</f>
        <v>10.872000000000037</v>
      </c>
      <c r="G23" s="307"/>
      <c r="H23" s="310"/>
      <c r="I23" s="66">
        <f>'S9'!D10</f>
        <v>5.2560000000000286</v>
      </c>
      <c r="J23" s="307"/>
      <c r="K23" s="310"/>
      <c r="L23" s="66">
        <f>'S9'!E10</f>
        <v>6.8399999999999181</v>
      </c>
      <c r="M23" s="307"/>
      <c r="N23" s="310"/>
      <c r="O23" s="160">
        <f>'S9'!B25</f>
        <v>3.7199999999999989</v>
      </c>
      <c r="P23" s="311"/>
      <c r="Q23" s="310"/>
      <c r="R23" s="64">
        <f>'S9'!C25</f>
        <v>5.8400000000000318</v>
      </c>
      <c r="S23" s="311"/>
      <c r="T23" s="310"/>
      <c r="U23" s="66">
        <f>'S9'!D25</f>
        <v>3.4000000000000057</v>
      </c>
      <c r="V23" s="311"/>
      <c r="W23" s="310"/>
      <c r="X23" s="64">
        <f>'S9'!E25</f>
        <v>4.660000000000025</v>
      </c>
      <c r="Y23" s="311"/>
      <c r="Z23" s="310"/>
    </row>
    <row r="24" spans="1:26">
      <c r="A24" s="308" t="s">
        <v>13</v>
      </c>
      <c r="B24" s="64" t="s">
        <v>146</v>
      </c>
      <c r="C24" s="64">
        <f>'S10'!B9</f>
        <v>10.087999999999965</v>
      </c>
      <c r="D24" s="307">
        <f>'S10'!B10-'S10'!B9</f>
        <v>0.71200000000003527</v>
      </c>
      <c r="E24" s="306">
        <f>D24/C25</f>
        <v>6.5925925925929191E-2</v>
      </c>
      <c r="F24" s="64">
        <f>'S10'!C9</f>
        <v>15.935999999999979</v>
      </c>
      <c r="G24" s="307">
        <f>'S10'!C10-'S10'!C9</f>
        <v>5.3400000000000105</v>
      </c>
      <c r="H24" s="306">
        <f>G24/F25</f>
        <v>0.25098702763677444</v>
      </c>
      <c r="I24" s="64">
        <f>'S10'!D9</f>
        <v>18.742000000000004</v>
      </c>
      <c r="J24" s="307">
        <f>'S10'!D10-'S10'!D9</f>
        <v>-0.59800000000003095</v>
      </c>
      <c r="K24" s="306">
        <f>J24/I25</f>
        <v>-3.2958553791888882E-2</v>
      </c>
      <c r="L24" s="64">
        <f>'S10'!E9</f>
        <v>12.279000000000011</v>
      </c>
      <c r="M24" s="307">
        <f>'S10'!E10-'S10'!E9</f>
        <v>2.4450000000000021</v>
      </c>
      <c r="N24" s="306">
        <f>M24/L25</f>
        <v>0.16605541972290139</v>
      </c>
      <c r="O24" s="64">
        <f>'S10'!B24</f>
        <v>12.497000000000007</v>
      </c>
      <c r="P24" s="307">
        <f>'S10'!B25-'S10'!B24</f>
        <v>-0.16700000000002291</v>
      </c>
      <c r="Q24" s="306">
        <f>P24/O25</f>
        <v>-1.3544201135443888E-2</v>
      </c>
      <c r="R24" s="64">
        <f>'S10'!C24</f>
        <v>16.91500000000002</v>
      </c>
      <c r="S24" s="307">
        <f>'S10'!C25-'S10'!C24</f>
        <v>0.36499999999995225</v>
      </c>
      <c r="T24" s="306">
        <f>S24/R25</f>
        <v>2.1122685185182455E-2</v>
      </c>
      <c r="U24" s="64">
        <f>'S10'!D24</f>
        <v>13.454000000000008</v>
      </c>
      <c r="V24" s="307">
        <f>'S10'!D25-'S10'!D24</f>
        <v>0.59599999999997522</v>
      </c>
      <c r="W24" s="306">
        <f>V24/U25</f>
        <v>4.241992882562106E-2</v>
      </c>
      <c r="X24" s="64">
        <f>'S10'!E24</f>
        <v>13.547999999999959</v>
      </c>
      <c r="Y24" s="307">
        <f>'S10'!E25-'S10'!E24</f>
        <v>0.5320000000000249</v>
      </c>
      <c r="Z24" s="306">
        <f>Y24/X25</f>
        <v>3.7784090909092717E-2</v>
      </c>
    </row>
    <row r="25" spans="1:26">
      <c r="A25" s="308"/>
      <c r="B25" s="64" t="s">
        <v>147</v>
      </c>
      <c r="C25" s="66">
        <f>'S10'!B10</f>
        <v>10.8</v>
      </c>
      <c r="D25" s="307"/>
      <c r="E25" s="306"/>
      <c r="F25" s="66">
        <f>'S10'!C10</f>
        <v>21.275999999999989</v>
      </c>
      <c r="G25" s="307"/>
      <c r="H25" s="306"/>
      <c r="I25" s="66">
        <f>'S10'!D10</f>
        <v>18.143999999999973</v>
      </c>
      <c r="J25" s="307"/>
      <c r="K25" s="306"/>
      <c r="L25" s="66">
        <f>'S10'!E10</f>
        <v>14.724000000000013</v>
      </c>
      <c r="M25" s="307"/>
      <c r="N25" s="306"/>
      <c r="O25" s="66">
        <f>'S10'!B25</f>
        <v>12.329999999999984</v>
      </c>
      <c r="P25" s="307"/>
      <c r="Q25" s="306"/>
      <c r="R25" s="66">
        <f>'S10'!C25</f>
        <v>17.279999999999973</v>
      </c>
      <c r="S25" s="307"/>
      <c r="T25" s="306"/>
      <c r="U25" s="66">
        <f>'S10'!D25</f>
        <v>14.049999999999983</v>
      </c>
      <c r="V25" s="307"/>
      <c r="W25" s="306"/>
      <c r="X25" s="66">
        <f>'S10'!E25</f>
        <v>14.079999999999984</v>
      </c>
      <c r="Y25" s="307"/>
      <c r="Z25" s="306"/>
    </row>
    <row r="26" spans="1:26">
      <c r="A26" s="308" t="s">
        <v>14</v>
      </c>
      <c r="B26" s="64" t="s">
        <v>146</v>
      </c>
      <c r="C26" s="64">
        <f>'S11'!B9</f>
        <v>24.745999999999999</v>
      </c>
      <c r="D26" s="307">
        <f>'S11'!B10-'S11'!B9</f>
        <v>1.9300000000000423</v>
      </c>
      <c r="E26" s="306">
        <f>D26/C27</f>
        <v>7.2349677612836991E-2</v>
      </c>
      <c r="F26" s="64">
        <f>'S11'!C9</f>
        <v>31.916</v>
      </c>
      <c r="G26" s="307">
        <f>'S11'!C10-'S11'!C9</f>
        <v>3.5080000000000133</v>
      </c>
      <c r="H26" s="306">
        <f>G26/F27</f>
        <v>9.9028906955736559E-2</v>
      </c>
      <c r="I26" s="64">
        <f>'S11'!D9</f>
        <v>31.904</v>
      </c>
      <c r="J26" s="307">
        <f>'S11'!D10-'S11'!D9</f>
        <v>0.96399999999998798</v>
      </c>
      <c r="K26" s="306">
        <f>J26/I27</f>
        <v>2.9329438967992831E-2</v>
      </c>
      <c r="L26" s="64">
        <f>'S11'!E9</f>
        <v>26.300999999999998</v>
      </c>
      <c r="M26" s="307">
        <f>'S11'!E10-'S11'!E9</f>
        <v>1.4190000000000644</v>
      </c>
      <c r="N26" s="306">
        <f>M26/L27</f>
        <v>5.1190476190478396E-2</v>
      </c>
      <c r="O26" s="64">
        <f>'S11'!B24</f>
        <v>25.323999999999998</v>
      </c>
      <c r="P26" s="307">
        <f>'S11'!B25-'S11'!B24</f>
        <v>1.4059999999999917</v>
      </c>
      <c r="Q26" s="306">
        <f>P26/O27</f>
        <v>5.2600074822296755E-2</v>
      </c>
      <c r="R26" s="64">
        <f>'S11'!C24</f>
        <v>29.440999999999999</v>
      </c>
      <c r="S26" s="307">
        <f>'S11'!C25-'S11'!C24</f>
        <v>2.2489999999999988</v>
      </c>
      <c r="T26" s="306">
        <f>S26/R27</f>
        <v>7.0968759861154904E-2</v>
      </c>
      <c r="U26" s="64">
        <f>'S11'!D24</f>
        <v>27.67300000000003</v>
      </c>
      <c r="V26" s="307">
        <f>'S11'!D25-'S11'!D24</f>
        <v>2.2869999999999493</v>
      </c>
      <c r="W26" s="306">
        <f>V26/U27</f>
        <v>7.6335113484644557E-2</v>
      </c>
      <c r="X26" s="64">
        <f>'S11'!E24</f>
        <v>28.206</v>
      </c>
      <c r="Y26" s="307">
        <f>'S11'!E25-'S11'!E24</f>
        <v>2.50399999999998</v>
      </c>
      <c r="Z26" s="306">
        <f>Y26/X27</f>
        <v>8.1536958645391788E-2</v>
      </c>
    </row>
    <row r="27" spans="1:26">
      <c r="A27" s="308"/>
      <c r="B27" s="64" t="s">
        <v>147</v>
      </c>
      <c r="C27" s="64">
        <f>'S11'!B10</f>
        <v>26.676000000000041</v>
      </c>
      <c r="D27" s="307"/>
      <c r="E27" s="306"/>
      <c r="F27" s="64">
        <f>'S11'!C10</f>
        <v>35.424000000000014</v>
      </c>
      <c r="G27" s="307"/>
      <c r="H27" s="306"/>
      <c r="I27" s="64">
        <f>'S11'!D10</f>
        <v>32.867999999999988</v>
      </c>
      <c r="J27" s="307"/>
      <c r="K27" s="306"/>
      <c r="L27" s="64">
        <f>'S11'!E10</f>
        <v>27.720000000000063</v>
      </c>
      <c r="M27" s="307"/>
      <c r="N27" s="306"/>
      <c r="O27" s="64">
        <f>'S11'!B25</f>
        <v>26.72999999999999</v>
      </c>
      <c r="P27" s="307"/>
      <c r="Q27" s="306"/>
      <c r="R27" s="64">
        <f>'S11'!C25</f>
        <v>31.689999999999998</v>
      </c>
      <c r="S27" s="307"/>
      <c r="T27" s="306"/>
      <c r="U27" s="64">
        <f>'S11'!D25</f>
        <v>29.95999999999998</v>
      </c>
      <c r="V27" s="307"/>
      <c r="W27" s="306"/>
      <c r="X27" s="64">
        <f>'S11'!E25</f>
        <v>30.70999999999998</v>
      </c>
      <c r="Y27" s="307"/>
      <c r="Z27" s="306"/>
    </row>
    <row r="28" spans="1:26">
      <c r="A28" s="308" t="s">
        <v>3</v>
      </c>
      <c r="B28" s="64" t="s">
        <v>146</v>
      </c>
      <c r="C28" s="64">
        <f>'S12'!B9</f>
        <v>29.817000000000004</v>
      </c>
      <c r="D28" s="307">
        <f>'S12'!B10-'S12'!B9</f>
        <v>2.0429999999999779</v>
      </c>
      <c r="E28" s="306">
        <f>D28/C29</f>
        <v>6.412429378531008E-2</v>
      </c>
      <c r="F28" s="64">
        <f>'S12'!C9</f>
        <v>41.668999999999997</v>
      </c>
      <c r="G28" s="307">
        <f>'S12'!C10-'S12'!C9</f>
        <v>3.7989999999999853</v>
      </c>
      <c r="H28" s="306">
        <f>G28/F29</f>
        <v>8.3553268232602854E-2</v>
      </c>
      <c r="I28" s="64">
        <f>'S12'!D9</f>
        <v>36.770999999999994</v>
      </c>
      <c r="J28" s="307">
        <f>'S12'!D10-'S12'!D9</f>
        <v>1.6410000000000622</v>
      </c>
      <c r="K28" s="306">
        <f>J28/I29</f>
        <v>4.2721024679789124E-2</v>
      </c>
      <c r="L28" s="64">
        <f>'S12'!E9</f>
        <v>34.022999999999996</v>
      </c>
      <c r="M28" s="307">
        <f>'S12'!E10-'S12'!E9</f>
        <v>2.1930000000000121</v>
      </c>
      <c r="N28" s="306">
        <f>M28/L29</f>
        <v>6.0553346587144126E-2</v>
      </c>
      <c r="O28" s="64">
        <f>'S12'!B24</f>
        <v>32.753999999999998</v>
      </c>
      <c r="P28" s="307">
        <f>'S12'!B25-'S12'!B24</f>
        <v>1.7760000000000318</v>
      </c>
      <c r="Q28" s="306">
        <f>P28/O29</f>
        <v>5.1433536055604696E-2</v>
      </c>
      <c r="R28" s="64">
        <f>'S12'!C24</f>
        <v>37.508999999999993</v>
      </c>
      <c r="S28" s="307">
        <f>'S12'!C25-'S12'!C24</f>
        <v>2.9110000000000227</v>
      </c>
      <c r="T28" s="306">
        <f>S28/R29</f>
        <v>7.2018802572984209E-2</v>
      </c>
      <c r="U28" s="67">
        <f>'S12'!D24</f>
        <v>35.126000000000005</v>
      </c>
      <c r="V28" s="307">
        <f>'S12'!D25-'S12'!D24</f>
        <v>3.0140000000000384</v>
      </c>
      <c r="W28" s="306">
        <f>V28/U29</f>
        <v>7.9024646040902854E-2</v>
      </c>
      <c r="X28" s="67">
        <f>'S12'!E24</f>
        <v>35.85</v>
      </c>
      <c r="Y28" s="307">
        <f>'S12'!E25-'S12'!E24</f>
        <v>3.279999999999994</v>
      </c>
      <c r="Z28" s="306">
        <f>Y28/X29</f>
        <v>8.3823153590595306E-2</v>
      </c>
    </row>
    <row r="29" spans="1:26">
      <c r="A29" s="308"/>
      <c r="B29" s="64" t="s">
        <v>147</v>
      </c>
      <c r="C29" s="66">
        <f>'S12'!B10</f>
        <v>31.859999999999982</v>
      </c>
      <c r="D29" s="307"/>
      <c r="E29" s="306"/>
      <c r="F29" s="66">
        <f>'S12'!C10</f>
        <v>45.467999999999982</v>
      </c>
      <c r="G29" s="307"/>
      <c r="H29" s="306"/>
      <c r="I29" s="66">
        <f>'S12'!D10</f>
        <v>38.412000000000056</v>
      </c>
      <c r="J29" s="307"/>
      <c r="K29" s="306"/>
      <c r="L29" s="66">
        <f>'S12'!E10</f>
        <v>36.216000000000008</v>
      </c>
      <c r="M29" s="307"/>
      <c r="N29" s="306"/>
      <c r="O29" s="66">
        <f>'S12'!B25</f>
        <v>34.53000000000003</v>
      </c>
      <c r="P29" s="307"/>
      <c r="Q29" s="306"/>
      <c r="R29" s="66">
        <f>'S12'!C25</f>
        <v>40.420000000000016</v>
      </c>
      <c r="S29" s="307"/>
      <c r="T29" s="306"/>
      <c r="U29" s="66">
        <f>'S12'!D25</f>
        <v>38.140000000000043</v>
      </c>
      <c r="V29" s="307"/>
      <c r="W29" s="306"/>
      <c r="X29" s="66">
        <f>'S12'!E25</f>
        <v>39.129999999999995</v>
      </c>
      <c r="Y29" s="307"/>
      <c r="Z29" s="306"/>
    </row>
    <row r="30" spans="1:26" ht="15.75">
      <c r="A30" s="68"/>
      <c r="B30" s="138" t="s">
        <v>183</v>
      </c>
      <c r="C30" s="134"/>
      <c r="D30" s="218"/>
      <c r="E30" s="135"/>
      <c r="F30" s="152"/>
      <c r="G30" s="135"/>
      <c r="H30" s="135"/>
      <c r="I30" s="134"/>
      <c r="J30" s="135"/>
      <c r="K30" s="135"/>
      <c r="L30" s="70"/>
      <c r="M30" s="71"/>
      <c r="N30" s="71"/>
      <c r="O30" s="70"/>
      <c r="P30" s="71"/>
      <c r="Q30" s="71"/>
      <c r="R30" s="70"/>
      <c r="S30" s="71"/>
      <c r="T30" s="71"/>
      <c r="U30" s="70"/>
      <c r="V30" s="71"/>
      <c r="W30" s="71"/>
      <c r="X30" s="70"/>
      <c r="Y30" s="71"/>
      <c r="Z30" s="71"/>
    </row>
    <row r="31" spans="1:26" s="72" customFormat="1" ht="15.75">
      <c r="A31" s="72" t="s">
        <v>148</v>
      </c>
      <c r="D31" s="72">
        <f>SUM(D6:D29)</f>
        <v>24.029999999999994</v>
      </c>
      <c r="G31" s="72">
        <f>SUM(G6:G29)</f>
        <v>54.28799999999999</v>
      </c>
      <c r="I31" s="131"/>
      <c r="J31" s="131">
        <f>SUM(J6:J29)</f>
        <v>2.1030000000001197</v>
      </c>
      <c r="K31" s="131"/>
      <c r="M31" s="72">
        <f>SUM(M6:M29)</f>
        <v>40.627000000000066</v>
      </c>
      <c r="P31" s="72">
        <f>SUM(P6:P29)</f>
        <v>10.647000000000046</v>
      </c>
      <c r="S31" s="72">
        <f>SUM(S6:S29)</f>
        <v>13.273999999999969</v>
      </c>
      <c r="V31" s="72">
        <f>SUM(V6:V29)</f>
        <v>15.379999999999981</v>
      </c>
      <c r="Y31" s="72">
        <f>SUM(Y6:Y29)</f>
        <v>25.669000000000022</v>
      </c>
    </row>
    <row r="32" spans="1:26" ht="6.75" customHeight="1">
      <c r="I32" s="132"/>
      <c r="J32" s="132"/>
      <c r="K32" s="132"/>
    </row>
    <row r="33" spans="1:25" s="73" customFormat="1" ht="15.75">
      <c r="A33" s="72" t="s">
        <v>149</v>
      </c>
      <c r="D33" s="74">
        <f>(D6+D8+D10+D12+D14+D16+D18+D20+D22+D24+D26+D28)/(C7+C9+C11+C13+C15+C17+C19+C21+C23+C25+C27+C29)</f>
        <v>0.11239265869675025</v>
      </c>
      <c r="G33" s="74">
        <f>(G6+G8+G10+G12+G14+G16+G18+G20+G22+G24+G26+G28)/(F7+F9+F11+F13+F15+F17+F19+F21+F23+F25+F27+F29)</f>
        <v>0.16362847222222221</v>
      </c>
      <c r="J33" s="74">
        <f>(J6+J8+J10+J12+J14+J16+J18+J20+J22+J24+J26+J28)/(I7+I9+I11+I13+I15+I17+I19+I21+I23+I25+I27+I29)</f>
        <v>8.1861920777284158E-3</v>
      </c>
      <c r="M33" s="74">
        <f>(M6+M8+M10+M12+M14+M16+M18+M20+M22+M24+M26+M28)/(L7+L9+L11+L13+L15+L17+L19+L21+L23+L25+L27+L29)</f>
        <v>0.16460440165953608</v>
      </c>
      <c r="P33" s="74">
        <f>(P6+P8+P10+P12+P14+P16+P18+P20+P22+P24+P26+P28)/(O7+O9+O11+O13+O15+O17+O19+O21+O23+O25+O27+O29)</f>
        <v>4.7708025272214211E-2</v>
      </c>
      <c r="S33" s="74">
        <f>(S6+S8+S10+S12+S14+S16+S18+S20+S22+S24+S26+S28)/(R7+R9+R11+R13+R15+R17+R19+R21+R23+R25+R27+R29)</f>
        <v>4.7679597701149316E-2</v>
      </c>
      <c r="V33" s="74">
        <f>(V6+V8+V10+V12+V14+V16+V18+V20+V22+V24+V26+V28)/(U7+U9+U11+U13+U15+U17+U19+U21+U23+U25+U27+U29)</f>
        <v>6.7021091162628471E-2</v>
      </c>
      <c r="Y33" s="74">
        <f>(Y6+Y8+Y10+Y12+Y14+Y16+Y18+Y20+Y22+Y24+Y26+Y28)/(X7+X9+X11+X13+X15+X17+X19+X21+X23+X25+X27+X29)</f>
        <v>0.10216517412935332</v>
      </c>
    </row>
    <row r="34" spans="1:25" s="75" customFormat="1">
      <c r="D34" s="75">
        <v>1850</v>
      </c>
      <c r="G34" s="75">
        <v>1851</v>
      </c>
      <c r="I34" s="133"/>
      <c r="J34" s="133">
        <v>1852</v>
      </c>
      <c r="K34" s="133"/>
      <c r="M34" s="75">
        <v>1853</v>
      </c>
      <c r="P34" s="75">
        <v>1854</v>
      </c>
      <c r="S34" s="75">
        <v>1855</v>
      </c>
      <c r="V34" s="75">
        <v>1856</v>
      </c>
      <c r="Y34" s="75">
        <v>1857</v>
      </c>
    </row>
    <row r="38" spans="1:25">
      <c r="A38" s="76"/>
    </row>
    <row r="39" spans="1:25">
      <c r="A39" s="77"/>
    </row>
    <row r="40" spans="1:25">
      <c r="A40" s="76"/>
    </row>
  </sheetData>
  <sheetProtection selectLockedCells="1" selectUnlockedCells="1"/>
  <mergeCells count="213">
    <mergeCell ref="Q10:Q11"/>
    <mergeCell ref="T12:T13"/>
    <mergeCell ref="V12:V13"/>
    <mergeCell ref="W12:W13"/>
    <mergeCell ref="A18:A19"/>
    <mergeCell ref="D18:D19"/>
    <mergeCell ref="R4:T4"/>
    <mergeCell ref="U4:W4"/>
    <mergeCell ref="A8:A9"/>
    <mergeCell ref="D8:D9"/>
    <mergeCell ref="E8:E9"/>
    <mergeCell ref="G8:G9"/>
    <mergeCell ref="H8:H9"/>
    <mergeCell ref="J8:J9"/>
    <mergeCell ref="T8:T9"/>
    <mergeCell ref="V8:V9"/>
    <mergeCell ref="W8:W9"/>
    <mergeCell ref="S16:S17"/>
    <mergeCell ref="J18:J19"/>
    <mergeCell ref="K18:K19"/>
    <mergeCell ref="M18:M19"/>
    <mergeCell ref="N18:N19"/>
    <mergeCell ref="P18:P19"/>
    <mergeCell ref="Q18:Q19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M6:M7"/>
    <mergeCell ref="N6:N7"/>
    <mergeCell ref="P6:P7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M10:M11"/>
    <mergeCell ref="N10:N11"/>
    <mergeCell ref="P10:P11"/>
    <mergeCell ref="Y12:Y13"/>
    <mergeCell ref="Z12:Z13"/>
    <mergeCell ref="Q12:Q13"/>
    <mergeCell ref="S12:S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K16:K17"/>
    <mergeCell ref="M16:M17"/>
    <mergeCell ref="N16:N17"/>
    <mergeCell ref="P16:P17"/>
    <mergeCell ref="Q16:Q17"/>
    <mergeCell ref="A16:A17"/>
    <mergeCell ref="D16:D17"/>
    <mergeCell ref="E16:E17"/>
    <mergeCell ref="G16:G17"/>
    <mergeCell ref="H16:H17"/>
    <mergeCell ref="J16:J17"/>
    <mergeCell ref="E18:E19"/>
    <mergeCell ref="G18:G19"/>
    <mergeCell ref="H18:H19"/>
    <mergeCell ref="Z20:Z21"/>
    <mergeCell ref="K20:K21"/>
    <mergeCell ref="M20:M21"/>
    <mergeCell ref="N20:N21"/>
    <mergeCell ref="P20:P21"/>
    <mergeCell ref="Q20:Q21"/>
    <mergeCell ref="S20:S21"/>
    <mergeCell ref="W18:W19"/>
    <mergeCell ref="Y18:Y19"/>
    <mergeCell ref="Z18:Z19"/>
    <mergeCell ref="S18:S19"/>
    <mergeCell ref="T18:T19"/>
    <mergeCell ref="V18:V19"/>
    <mergeCell ref="A20:A21"/>
    <mergeCell ref="D20:D21"/>
    <mergeCell ref="E20:E21"/>
    <mergeCell ref="G20:G21"/>
    <mergeCell ref="H20:H21"/>
    <mergeCell ref="J20:J21"/>
    <mergeCell ref="V22:V23"/>
    <mergeCell ref="W22:W23"/>
    <mergeCell ref="Y22:Y23"/>
    <mergeCell ref="T20:T21"/>
    <mergeCell ref="V20:V21"/>
    <mergeCell ref="W20:W21"/>
    <mergeCell ref="Y20:Y21"/>
    <mergeCell ref="A22:A23"/>
    <mergeCell ref="D22:D23"/>
    <mergeCell ref="E22:E23"/>
    <mergeCell ref="G22:G23"/>
    <mergeCell ref="H22:H23"/>
    <mergeCell ref="S22:S23"/>
    <mergeCell ref="T22:T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Q24:Q25"/>
    <mergeCell ref="S24:S25"/>
    <mergeCell ref="K24:K25"/>
    <mergeCell ref="M24:M25"/>
    <mergeCell ref="N24:N25"/>
    <mergeCell ref="P24:P25"/>
    <mergeCell ref="A24:A25"/>
    <mergeCell ref="D24:D25"/>
    <mergeCell ref="E24:E25"/>
    <mergeCell ref="G24:G25"/>
    <mergeCell ref="H24:H25"/>
    <mergeCell ref="J24:J25"/>
    <mergeCell ref="A28:A29"/>
    <mergeCell ref="D28:D29"/>
    <mergeCell ref="E28:E29"/>
    <mergeCell ref="G28:G29"/>
    <mergeCell ref="H28:H29"/>
    <mergeCell ref="J28:J29"/>
    <mergeCell ref="A26:A27"/>
    <mergeCell ref="D26:D27"/>
    <mergeCell ref="E26:E27"/>
    <mergeCell ref="G26:G27"/>
    <mergeCell ref="H26:H27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  <mergeCell ref="W26:W27"/>
    <mergeCell ref="Y26:Y27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</mergeCells>
  <printOptions horizontalCentered="1" verticalCentered="1"/>
  <pageMargins left="0" right="0" top="0.19652777777777777" bottom="0.19652777777777777" header="0.51180555555555551" footer="0.51180555555555551"/>
  <pageSetup paperSize="9" scale="75" firstPageNumber="0" orientation="landscape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0"/>
  <sheetViews>
    <sheetView topLeftCell="A7" workbookViewId="0">
      <selection activeCell="B28" sqref="A28:XFD29"/>
    </sheetView>
  </sheetViews>
  <sheetFormatPr defaultRowHeight="15"/>
  <cols>
    <col min="1" max="1" width="9.140625" style="57"/>
    <col min="2" max="2" width="10.28515625" style="57" customWidth="1"/>
    <col min="3" max="4" width="7" style="57" customWidth="1"/>
    <col min="5" max="5" width="9" style="57" customWidth="1"/>
    <col min="6" max="7" width="7" style="57" customWidth="1"/>
    <col min="8" max="8" width="7.7109375" style="57" customWidth="1"/>
    <col min="9" max="9" width="7" style="57" customWidth="1"/>
    <col min="10" max="10" width="6.85546875" style="57" customWidth="1"/>
    <col min="11" max="11" width="9" style="57" customWidth="1"/>
    <col min="12" max="19" width="7" style="57" customWidth="1"/>
    <col min="20" max="20" width="7.7109375" style="57" customWidth="1"/>
    <col min="21" max="22" width="7" style="57" customWidth="1"/>
    <col min="23" max="23" width="8" style="57" customWidth="1"/>
    <col min="24" max="26" width="7" style="57" customWidth="1"/>
    <col min="27" max="16384" width="9.140625" style="57"/>
  </cols>
  <sheetData>
    <row r="1" spans="1:27" ht="18.75">
      <c r="A1" s="58" t="s">
        <v>142</v>
      </c>
    </row>
    <row r="2" spans="1:27" ht="11.25" customHeight="1">
      <c r="A2" s="58"/>
    </row>
    <row r="3" spans="1:27" hidden="1">
      <c r="C3" s="57">
        <v>1850</v>
      </c>
      <c r="F3" s="57">
        <v>51</v>
      </c>
      <c r="I3" s="57">
        <v>52</v>
      </c>
      <c r="L3" s="57">
        <v>53</v>
      </c>
      <c r="O3" s="57">
        <v>54</v>
      </c>
      <c r="R3" s="57">
        <v>55</v>
      </c>
      <c r="U3" s="57">
        <v>56</v>
      </c>
      <c r="X3" s="57">
        <v>57</v>
      </c>
    </row>
    <row r="4" spans="1:27" s="60" customFormat="1" ht="18.75">
      <c r="A4" s="318"/>
      <c r="B4" s="318"/>
      <c r="C4" s="315">
        <v>1850</v>
      </c>
      <c r="D4" s="315"/>
      <c r="E4" s="315"/>
      <c r="F4" s="315">
        <v>1851</v>
      </c>
      <c r="G4" s="315"/>
      <c r="H4" s="315"/>
      <c r="I4" s="315">
        <v>1852</v>
      </c>
      <c r="J4" s="315"/>
      <c r="K4" s="315"/>
      <c r="L4" s="315">
        <v>1853</v>
      </c>
      <c r="M4" s="315"/>
      <c r="N4" s="315"/>
      <c r="O4" s="315">
        <v>1854</v>
      </c>
      <c r="P4" s="315"/>
      <c r="Q4" s="315"/>
      <c r="R4" s="315">
        <v>1855</v>
      </c>
      <c r="S4" s="315"/>
      <c r="T4" s="315"/>
      <c r="U4" s="315">
        <v>1856</v>
      </c>
      <c r="V4" s="315"/>
      <c r="W4" s="315"/>
      <c r="X4" s="315">
        <v>1857</v>
      </c>
      <c r="Y4" s="315"/>
      <c r="Z4" s="315"/>
      <c r="AA4" s="59"/>
    </row>
    <row r="5" spans="1:27" ht="30">
      <c r="A5" s="318"/>
      <c r="B5" s="318"/>
      <c r="C5" s="61" t="s">
        <v>143</v>
      </c>
      <c r="D5" s="62" t="s">
        <v>144</v>
      </c>
      <c r="E5" s="62" t="s">
        <v>145</v>
      </c>
      <c r="F5" s="61" t="s">
        <v>143</v>
      </c>
      <c r="G5" s="62" t="s">
        <v>144</v>
      </c>
      <c r="H5" s="62" t="s">
        <v>145</v>
      </c>
      <c r="I5" s="61" t="s">
        <v>143</v>
      </c>
      <c r="J5" s="62" t="s">
        <v>144</v>
      </c>
      <c r="K5" s="62" t="s">
        <v>145</v>
      </c>
      <c r="L5" s="61" t="s">
        <v>143</v>
      </c>
      <c r="M5" s="62" t="s">
        <v>144</v>
      </c>
      <c r="N5" s="62" t="s">
        <v>145</v>
      </c>
      <c r="O5" s="61" t="s">
        <v>143</v>
      </c>
      <c r="P5" s="62" t="s">
        <v>144</v>
      </c>
      <c r="Q5" s="62" t="s">
        <v>145</v>
      </c>
      <c r="R5" s="61" t="s">
        <v>143</v>
      </c>
      <c r="S5" s="62" t="s">
        <v>144</v>
      </c>
      <c r="T5" s="62" t="s">
        <v>145</v>
      </c>
      <c r="U5" s="61" t="s">
        <v>143</v>
      </c>
      <c r="V5" s="62" t="s">
        <v>144</v>
      </c>
      <c r="W5" s="62" t="s">
        <v>145</v>
      </c>
      <c r="X5" s="61" t="s">
        <v>143</v>
      </c>
      <c r="Y5" s="62" t="s">
        <v>144</v>
      </c>
      <c r="Z5" s="62" t="s">
        <v>145</v>
      </c>
      <c r="AA5" s="63"/>
    </row>
    <row r="6" spans="1:27">
      <c r="A6" s="308" t="s">
        <v>4</v>
      </c>
      <c r="B6" s="64" t="s">
        <v>146</v>
      </c>
      <c r="C6" s="64">
        <f>'S1'!B9</f>
        <v>34.28</v>
      </c>
      <c r="D6" s="314">
        <f>'S1'!B10-'S1'!B9</f>
        <v>4.9600000000000222</v>
      </c>
      <c r="E6" s="306">
        <f>D6/C7</f>
        <v>0.12640163098878746</v>
      </c>
      <c r="F6" s="64">
        <f>'S1'!C9</f>
        <v>46.575999999999986</v>
      </c>
      <c r="G6" s="314">
        <f>'S1'!C10-'S1'!C9</f>
        <v>5.1199999999999619</v>
      </c>
      <c r="H6" s="306">
        <f>G6/F7</f>
        <v>9.9040544722995338E-2</v>
      </c>
      <c r="I6" s="64">
        <f>'S1'!D9</f>
        <v>43.387000000000008</v>
      </c>
      <c r="J6" s="314">
        <f>'S1'!D10-'S1'!D9</f>
        <v>2.2250000000000014</v>
      </c>
      <c r="K6" s="306">
        <f>J6/I7</f>
        <v>4.8781022537928639E-2</v>
      </c>
      <c r="L6" s="64">
        <f>'S1'!E9</f>
        <v>37.446999999999974</v>
      </c>
      <c r="M6" s="314">
        <f>'S1'!E10-'S1'!E9</f>
        <v>4.8890000000000455</v>
      </c>
      <c r="N6" s="306">
        <f>M6/L7</f>
        <v>0.11548091458805847</v>
      </c>
      <c r="O6" s="64">
        <f>'S1'!B24</f>
        <v>38.239000000000019</v>
      </c>
      <c r="P6" s="314">
        <f>'S1'!B25-'S1'!B24</f>
        <v>2.1609999999999872</v>
      </c>
      <c r="Q6" s="306">
        <f>P6/O7</f>
        <v>5.3490099009900663E-2</v>
      </c>
      <c r="R6" s="64">
        <f>'S1'!C24</f>
        <v>44.706999999999994</v>
      </c>
      <c r="S6" s="314">
        <f>'S1'!C25-'S1'!C24</f>
        <v>3.0330000000000013</v>
      </c>
      <c r="T6" s="306">
        <f>S6/R7</f>
        <v>6.3531629660661948E-2</v>
      </c>
      <c r="U6" s="64">
        <f>'S1'!D24</f>
        <v>38.771000000000029</v>
      </c>
      <c r="V6" s="314">
        <f>'S1'!D25-'S1'!D24</f>
        <v>3.2789999999999822</v>
      </c>
      <c r="W6" s="306">
        <f>V6/U7</f>
        <v>7.7978596908441888E-2</v>
      </c>
      <c r="X6" s="64">
        <f>'S1'!E24</f>
        <v>39.887999999999963</v>
      </c>
      <c r="Y6" s="314">
        <f>'S1'!E25-'S1'!E24</f>
        <v>4.8620000000000516</v>
      </c>
      <c r="Z6" s="306">
        <f>Y6/X7</f>
        <v>0.10864804469273855</v>
      </c>
    </row>
    <row r="7" spans="1:27">
      <c r="A7" s="308"/>
      <c r="B7" s="64" t="s">
        <v>147</v>
      </c>
      <c r="C7" s="64">
        <f>'S1'!B10</f>
        <v>39.240000000000023</v>
      </c>
      <c r="D7" s="314"/>
      <c r="E7" s="306"/>
      <c r="F7" s="64">
        <f>'S1'!C10</f>
        <v>51.695999999999948</v>
      </c>
      <c r="G7" s="314"/>
      <c r="H7" s="306"/>
      <c r="I7" s="64">
        <f>'S1'!D10</f>
        <v>45.612000000000009</v>
      </c>
      <c r="J7" s="314"/>
      <c r="K7" s="306"/>
      <c r="L7" s="64">
        <f>'S1'!E10</f>
        <v>42.33600000000002</v>
      </c>
      <c r="M7" s="314"/>
      <c r="N7" s="306"/>
      <c r="O7" s="64">
        <f>'S1'!B25</f>
        <v>40.400000000000006</v>
      </c>
      <c r="P7" s="314"/>
      <c r="Q7" s="306"/>
      <c r="R7" s="64">
        <f>'S1'!C25</f>
        <v>47.739999999999995</v>
      </c>
      <c r="S7" s="314"/>
      <c r="T7" s="306"/>
      <c r="U7" s="64">
        <f>'S1'!D25</f>
        <v>42.050000000000011</v>
      </c>
      <c r="V7" s="314"/>
      <c r="W7" s="306"/>
      <c r="X7" s="64">
        <f>'S1'!E25</f>
        <v>44.750000000000014</v>
      </c>
      <c r="Y7" s="314"/>
      <c r="Z7" s="306"/>
    </row>
    <row r="8" spans="1:27">
      <c r="A8" s="308" t="s">
        <v>5</v>
      </c>
      <c r="B8" s="64" t="s">
        <v>146</v>
      </c>
      <c r="C8" s="64">
        <f>'S2'!B9</f>
        <v>29.429000000000002</v>
      </c>
      <c r="D8" s="307">
        <f>'S2'!B10-'S2'!B9</f>
        <v>3.9429999999999836</v>
      </c>
      <c r="E8" s="306">
        <f>D8/C9</f>
        <v>0.1181529425865991</v>
      </c>
      <c r="F8" s="65">
        <f>'S2'!C9</f>
        <v>42.400000000000006</v>
      </c>
      <c r="G8" s="307">
        <f>'S2'!C10-'S2'!C9</f>
        <v>5.0120000000000502</v>
      </c>
      <c r="H8" s="306">
        <f>G8/F9</f>
        <v>0.10571163418543922</v>
      </c>
      <c r="I8" s="65">
        <f>'S2'!D9</f>
        <v>37.307000000000002</v>
      </c>
      <c r="J8" s="307">
        <f>'S2'!D10-'S2'!D9</f>
        <v>2.500000000001279E-2</v>
      </c>
      <c r="K8" s="306">
        <f>J8/I9</f>
        <v>6.6966677381369278E-4</v>
      </c>
      <c r="L8" s="65">
        <f>'S2'!E9</f>
        <v>32.699999999999989</v>
      </c>
      <c r="M8" s="307">
        <f>'S2'!E10-'S2'!E9</f>
        <v>4.343999999999987</v>
      </c>
      <c r="N8" s="306">
        <f>M8/L9</f>
        <v>0.1172659540006476</v>
      </c>
      <c r="O8" s="65">
        <f>'S2'!B24</f>
        <v>32.926999999999992</v>
      </c>
      <c r="P8" s="307">
        <f>'S2'!B25-'S2'!B24</f>
        <v>2.1430000000000007</v>
      </c>
      <c r="Q8" s="306">
        <f>P8/O9</f>
        <v>6.110635871114916E-2</v>
      </c>
      <c r="R8" s="65">
        <f>'S2'!C24</f>
        <v>40.317000000000021</v>
      </c>
      <c r="S8" s="307">
        <f>'S2'!C25-'S2'!C24</f>
        <v>2.9629999999999797</v>
      </c>
      <c r="T8" s="306">
        <f>S8/R9</f>
        <v>6.8461182994454237E-2</v>
      </c>
      <c r="U8" s="65">
        <f>'S2'!D24</f>
        <v>33.967999999999961</v>
      </c>
      <c r="V8" s="307">
        <f>'S2'!D25-'S2'!D24</f>
        <v>3.0320000000000391</v>
      </c>
      <c r="W8" s="306">
        <f>V8/U9</f>
        <v>8.1945945945947007E-2</v>
      </c>
      <c r="X8" s="65">
        <f>'S2'!E24</f>
        <v>33.513000000000019</v>
      </c>
      <c r="Y8" s="307">
        <f>'S2'!E25-'S2'!E24</f>
        <v>5.0269999999999726</v>
      </c>
      <c r="Z8" s="306">
        <f>Y8/X9</f>
        <v>0.13043591074208546</v>
      </c>
    </row>
    <row r="9" spans="1:27">
      <c r="A9" s="308"/>
      <c r="B9" s="64" t="s">
        <v>147</v>
      </c>
      <c r="C9" s="65">
        <f>'S2'!B10</f>
        <v>33.371999999999986</v>
      </c>
      <c r="D9" s="307"/>
      <c r="E9" s="306"/>
      <c r="F9" s="65">
        <f>'S2'!C10</f>
        <v>47.412000000000056</v>
      </c>
      <c r="G9" s="307"/>
      <c r="H9" s="306"/>
      <c r="I9" s="65">
        <f>'S2'!D10</f>
        <v>37.332000000000015</v>
      </c>
      <c r="J9" s="307"/>
      <c r="K9" s="306"/>
      <c r="L9" s="65">
        <f>'S2'!E10</f>
        <v>37.043999999999976</v>
      </c>
      <c r="M9" s="307"/>
      <c r="N9" s="306"/>
      <c r="O9" s="65">
        <f>'S2'!B25</f>
        <v>35.069999999999993</v>
      </c>
      <c r="P9" s="307"/>
      <c r="Q9" s="306"/>
      <c r="R9" s="65">
        <f>'S2'!C25</f>
        <v>43.28</v>
      </c>
      <c r="S9" s="307"/>
      <c r="T9" s="306"/>
      <c r="U9" s="65">
        <f>'S2'!D25</f>
        <v>37</v>
      </c>
      <c r="V9" s="307"/>
      <c r="W9" s="306"/>
      <c r="X9" s="65">
        <f>'S2'!E25</f>
        <v>38.539999999999992</v>
      </c>
      <c r="Y9" s="307"/>
      <c r="Z9" s="306"/>
    </row>
    <row r="10" spans="1:27">
      <c r="A10" s="308" t="s">
        <v>6</v>
      </c>
      <c r="B10" s="64" t="s">
        <v>146</v>
      </c>
      <c r="C10" s="64">
        <f>'S3'!B9</f>
        <v>23.475000000000009</v>
      </c>
      <c r="D10" s="307">
        <f>'S3'!B10-'S3'!B9</f>
        <v>3.6329999999999956</v>
      </c>
      <c r="E10" s="306">
        <f>D10/C11</f>
        <v>0.13401947764497546</v>
      </c>
      <c r="F10" s="65">
        <f>'S3'!C9</f>
        <v>34.713999999999977</v>
      </c>
      <c r="G10" s="307">
        <f>'S3'!C10-'S3'!C9</f>
        <v>5.2100000000000364</v>
      </c>
      <c r="H10" s="306">
        <f>G10/F11</f>
        <v>0.13049794609758628</v>
      </c>
      <c r="I10" s="65">
        <f>'S3'!D9</f>
        <v>30.153000000000013</v>
      </c>
      <c r="J10" s="307">
        <f>'S3'!D10-'S3'!D9</f>
        <v>0.1949999999999612</v>
      </c>
      <c r="K10" s="306">
        <f>J10/I11</f>
        <v>6.4254646105167184E-3</v>
      </c>
      <c r="L10" s="65">
        <f>'S3'!E9</f>
        <v>25.824000000000026</v>
      </c>
      <c r="M10" s="307">
        <f>'S3'!E10-'S3'!E9</f>
        <v>4.2719999999999736</v>
      </c>
      <c r="N10" s="306">
        <f>M10/L11</f>
        <v>0.14194577352472001</v>
      </c>
      <c r="O10" s="65">
        <f>'S3'!B24</f>
        <v>26.551999999999978</v>
      </c>
      <c r="P10" s="314">
        <f>'S3'!B25-'S3'!B24</f>
        <v>1.5280000000000342</v>
      </c>
      <c r="Q10" s="306">
        <f>P10/O11</f>
        <v>5.4415954415955613E-2</v>
      </c>
      <c r="R10" s="64">
        <f>'S3'!C24</f>
        <v>33.361000000000033</v>
      </c>
      <c r="S10" s="314">
        <f>'S3'!C25-'S3'!C24</f>
        <v>2.0089999999999719</v>
      </c>
      <c r="T10" s="306">
        <f>S10/R11</f>
        <v>5.6799547639241492E-2</v>
      </c>
      <c r="U10" s="64">
        <f>'S3'!D24</f>
        <v>25.618000000000023</v>
      </c>
      <c r="V10" s="314">
        <f>'S3'!D25-'S3'!D24</f>
        <v>2.261999999999972</v>
      </c>
      <c r="W10" s="306">
        <f>V10/U11</f>
        <v>8.1133428981347649E-2</v>
      </c>
      <c r="X10" s="64">
        <f>'S3'!E24</f>
        <v>27.853999999999999</v>
      </c>
      <c r="Y10" s="314">
        <f>'S3'!E25-'S3'!E24</f>
        <v>3.4260000000000019</v>
      </c>
      <c r="Z10" s="306">
        <f>Y10/X11</f>
        <v>0.10952685421994891</v>
      </c>
    </row>
    <row r="11" spans="1:27">
      <c r="A11" s="308"/>
      <c r="B11" s="64" t="s">
        <v>147</v>
      </c>
      <c r="C11" s="65">
        <f>'S3'!B10</f>
        <v>27.108000000000004</v>
      </c>
      <c r="D11" s="307"/>
      <c r="E11" s="306"/>
      <c r="F11" s="65">
        <f>'S3'!C10</f>
        <v>39.924000000000014</v>
      </c>
      <c r="G11" s="307"/>
      <c r="H11" s="306"/>
      <c r="I11" s="65">
        <f>'S3'!D10</f>
        <v>30.347999999999974</v>
      </c>
      <c r="J11" s="307"/>
      <c r="K11" s="306"/>
      <c r="L11" s="65">
        <f>'S3'!E10</f>
        <v>30.096</v>
      </c>
      <c r="M11" s="307"/>
      <c r="N11" s="306"/>
      <c r="O11" s="65">
        <f>'S3'!B25</f>
        <v>28.080000000000013</v>
      </c>
      <c r="P11" s="314"/>
      <c r="Q11" s="306"/>
      <c r="R11" s="64">
        <f>'S3'!C25</f>
        <v>35.370000000000005</v>
      </c>
      <c r="S11" s="314"/>
      <c r="T11" s="306"/>
      <c r="U11" s="64">
        <f>'S3'!D25</f>
        <v>27.879999999999995</v>
      </c>
      <c r="V11" s="314"/>
      <c r="W11" s="306"/>
      <c r="X11" s="64">
        <f>'S3'!E25</f>
        <v>31.28</v>
      </c>
      <c r="Y11" s="314"/>
      <c r="Z11" s="306"/>
    </row>
    <row r="12" spans="1:27">
      <c r="A12" s="308" t="s">
        <v>7</v>
      </c>
      <c r="B12" s="64" t="s">
        <v>146</v>
      </c>
      <c r="C12" s="64">
        <f>'S4'!B9</f>
        <v>15.599000000000018</v>
      </c>
      <c r="D12" s="307">
        <f>'S4'!B10-'S4'!B9</f>
        <v>2.220999999999993</v>
      </c>
      <c r="E12" s="306">
        <f>D12/C13</f>
        <v>0.12463524130190749</v>
      </c>
      <c r="F12" s="65">
        <f>'S4'!C9</f>
        <v>25.423999999999964</v>
      </c>
      <c r="G12" s="314">
        <f>'S4'!C10-'S4'!C9</f>
        <v>4.9600000000000293</v>
      </c>
      <c r="H12" s="306">
        <f>G12/F13</f>
        <v>0.16324381253291306</v>
      </c>
      <c r="I12" s="64">
        <f>'S4'!D9</f>
        <v>21.099999999999937</v>
      </c>
      <c r="J12" s="314">
        <f>'S4'!D10-'S4'!D9</f>
        <v>0.28400000000005576</v>
      </c>
      <c r="K12" s="306">
        <f>J12/I13</f>
        <v>1.3280957725404783E-2</v>
      </c>
      <c r="L12" s="64">
        <f>'S4'!E9</f>
        <v>15.14700000000002</v>
      </c>
      <c r="M12" s="314">
        <f>'S4'!E10-'S4'!E9</f>
        <v>4.0410000000000252</v>
      </c>
      <c r="N12" s="306">
        <f>M12/L13</f>
        <v>0.21060037523452241</v>
      </c>
      <c r="O12" s="64">
        <f>'S4'!B24</f>
        <v>18.734000000000016</v>
      </c>
      <c r="P12" s="314">
        <f>'S4'!B25-'S4'!B24</f>
        <v>0.97599999999996356</v>
      </c>
      <c r="Q12" s="306">
        <f>P12/O13</f>
        <v>4.9518011161844983E-2</v>
      </c>
      <c r="R12" s="64">
        <f>'S4'!C24</f>
        <v>25.653999999999996</v>
      </c>
      <c r="S12" s="314">
        <f>'S4'!C25-'S4'!C24</f>
        <v>1.4560000000000173</v>
      </c>
      <c r="T12" s="306">
        <f>S12/R13</f>
        <v>5.3707119144227836E-2</v>
      </c>
      <c r="U12" s="64">
        <f>'S4'!D24</f>
        <v>16.819000000000003</v>
      </c>
      <c r="V12" s="314">
        <f>'S4'!D25-'S4'!D24</f>
        <v>1.3709999999999951</v>
      </c>
      <c r="W12" s="306">
        <f>V12/U13</f>
        <v>7.5371083012644044E-2</v>
      </c>
      <c r="X12" s="64">
        <f>'S4'!E24</f>
        <v>19.845000000000027</v>
      </c>
      <c r="Y12" s="314">
        <f>'S4'!E25-'S4'!E24</f>
        <v>2.1349999999999625</v>
      </c>
      <c r="Z12" s="306">
        <f>Y12/X13</f>
        <v>9.713375796178178E-2</v>
      </c>
    </row>
    <row r="13" spans="1:27">
      <c r="A13" s="308"/>
      <c r="B13" s="64" t="s">
        <v>147</v>
      </c>
      <c r="C13" s="65">
        <f>'S4'!B10</f>
        <v>17.820000000000011</v>
      </c>
      <c r="D13" s="307"/>
      <c r="E13" s="306"/>
      <c r="F13" s="65">
        <f>'S4'!C10</f>
        <v>30.383999999999993</v>
      </c>
      <c r="G13" s="314"/>
      <c r="H13" s="306"/>
      <c r="I13" s="64">
        <f>'S4'!D10</f>
        <v>21.383999999999993</v>
      </c>
      <c r="J13" s="314"/>
      <c r="K13" s="306"/>
      <c r="L13" s="64">
        <f>'S4'!E10</f>
        <v>19.188000000000045</v>
      </c>
      <c r="M13" s="314"/>
      <c r="N13" s="306"/>
      <c r="O13" s="64">
        <f>'S4'!B25</f>
        <v>19.70999999999998</v>
      </c>
      <c r="P13" s="314"/>
      <c r="Q13" s="306"/>
      <c r="R13" s="64">
        <f>'S4'!C25</f>
        <v>27.110000000000014</v>
      </c>
      <c r="S13" s="314"/>
      <c r="T13" s="306"/>
      <c r="U13" s="64">
        <f>'S4'!D25</f>
        <v>18.189999999999998</v>
      </c>
      <c r="V13" s="314"/>
      <c r="W13" s="306"/>
      <c r="X13" s="64">
        <f>'S4'!E25</f>
        <v>21.97999999999999</v>
      </c>
      <c r="Y13" s="314"/>
      <c r="Z13" s="306"/>
    </row>
    <row r="14" spans="1:27">
      <c r="A14" s="308" t="s">
        <v>8</v>
      </c>
      <c r="B14" s="64" t="s">
        <v>146</v>
      </c>
      <c r="C14" s="64">
        <f>'S5'!B9</f>
        <v>6.5789999999999935</v>
      </c>
      <c r="D14" s="307">
        <f>'S5'!B10-'S5'!B9</f>
        <v>1.233000000000013</v>
      </c>
      <c r="E14" s="306">
        <f>D14/C15</f>
        <v>0.15783410138249002</v>
      </c>
      <c r="F14" s="64">
        <f>'S5'!C9</f>
        <v>14.020000000000067</v>
      </c>
      <c r="G14" s="307">
        <f>'S5'!C10-'S5'!C9</f>
        <v>4.771999999999931</v>
      </c>
      <c r="H14" s="306">
        <f>G14/F15</f>
        <v>0.25393784589186524</v>
      </c>
      <c r="I14" s="64">
        <f>'S5'!D9</f>
        <v>12.36200000000003</v>
      </c>
      <c r="J14" s="307">
        <f>'S5'!D10-'S5'!D9</f>
        <v>-0.37399999999998457</v>
      </c>
      <c r="K14" s="306">
        <f>J14/I15</f>
        <v>-3.1197864531196457E-2</v>
      </c>
      <c r="L14" s="64">
        <f>'S5'!E9</f>
        <v>7.4609999999999559</v>
      </c>
      <c r="M14" s="307">
        <f>'S5'!E10-'S5'!E9</f>
        <v>4.2390000000000452</v>
      </c>
      <c r="N14" s="306">
        <f>M14/L15</f>
        <v>0.36230769230769616</v>
      </c>
      <c r="O14" s="64">
        <f>'S5'!B24</f>
        <v>11.033999999999994</v>
      </c>
      <c r="P14" s="307">
        <f>'S5'!B25-'S5'!B24</f>
        <v>0.39600000000001323</v>
      </c>
      <c r="Q14" s="306">
        <f>P14/O15</f>
        <v>3.464566929133972E-2</v>
      </c>
      <c r="R14" s="64">
        <f>'S5'!C24</f>
        <v>16.53</v>
      </c>
      <c r="S14" s="307">
        <f>'S5'!C25-'S5'!C24</f>
        <v>0.53000000000000114</v>
      </c>
      <c r="T14" s="306">
        <f>S14/R15</f>
        <v>3.1066822977725738E-2</v>
      </c>
      <c r="U14" s="64">
        <f>'S5'!D24</f>
        <v>8.9549999999999983</v>
      </c>
      <c r="V14" s="307">
        <f>'S5'!D25-'S5'!D24</f>
        <v>0.15499999999998693</v>
      </c>
      <c r="W14" s="306">
        <f>V14/U15</f>
        <v>1.7014270032929438E-2</v>
      </c>
      <c r="X14" s="64">
        <f>'S5'!E24</f>
        <v>10.09899999999999</v>
      </c>
      <c r="Y14" s="307">
        <f>'S5'!E25-'S5'!E24</f>
        <v>1.3310000000000173</v>
      </c>
      <c r="Z14" s="306">
        <f>Y14/X15</f>
        <v>0.11644794400700056</v>
      </c>
    </row>
    <row r="15" spans="1:27">
      <c r="A15" s="308"/>
      <c r="B15" s="64" t="s">
        <v>147</v>
      </c>
      <c r="C15" s="65">
        <f>'S5'!B10</f>
        <v>7.8120000000000065</v>
      </c>
      <c r="D15" s="307"/>
      <c r="E15" s="306"/>
      <c r="F15" s="65">
        <f>'S5'!C10</f>
        <v>18.791999999999998</v>
      </c>
      <c r="G15" s="307"/>
      <c r="H15" s="306"/>
      <c r="I15" s="65">
        <f>'S5'!D10</f>
        <v>11.988000000000046</v>
      </c>
      <c r="J15" s="307"/>
      <c r="K15" s="306"/>
      <c r="L15" s="65">
        <f>'S5'!E10</f>
        <v>11.700000000000001</v>
      </c>
      <c r="M15" s="307"/>
      <c r="N15" s="306"/>
      <c r="O15" s="65">
        <f>'S5'!B25</f>
        <v>11.430000000000007</v>
      </c>
      <c r="P15" s="307"/>
      <c r="Q15" s="306"/>
      <c r="R15" s="65">
        <f>'S5'!C25</f>
        <v>17.060000000000002</v>
      </c>
      <c r="S15" s="307"/>
      <c r="T15" s="306"/>
      <c r="U15" s="65">
        <f>'S5'!D25</f>
        <v>9.1099999999999852</v>
      </c>
      <c r="V15" s="307"/>
      <c r="W15" s="306"/>
      <c r="X15" s="65">
        <f>'S5'!E25</f>
        <v>11.430000000000007</v>
      </c>
      <c r="Y15" s="307"/>
      <c r="Z15" s="306"/>
    </row>
    <row r="16" spans="1:27">
      <c r="A16" s="308" t="s">
        <v>9</v>
      </c>
      <c r="B16" s="64" t="s">
        <v>146</v>
      </c>
      <c r="C16" s="64">
        <f>'S6'!B9</f>
        <v>3.5019999999999953</v>
      </c>
      <c r="D16" s="307">
        <f>'S6'!B10-'S6'!B9</f>
        <v>0.78199999999999648</v>
      </c>
      <c r="E16" s="306">
        <f>D16/C17</f>
        <v>0.18253968253968206</v>
      </c>
      <c r="F16" s="64">
        <f>'S6'!C9</f>
        <v>6.7040000000000077</v>
      </c>
      <c r="G16" s="307">
        <f>'S6'!C10-'S6'!C9</f>
        <v>4.1679999999999264</v>
      </c>
      <c r="H16" s="306">
        <f>G16/F17</f>
        <v>0.38337012509197493</v>
      </c>
      <c r="I16" s="64">
        <f>'S6'!D9</f>
        <v>7.0589999999999833</v>
      </c>
      <c r="J16" s="307">
        <f>'S6'!D10-'S6'!D9</f>
        <v>-0.11100000000006105</v>
      </c>
      <c r="K16" s="306">
        <f>J16/I17</f>
        <v>-1.5975820379974422E-2</v>
      </c>
      <c r="L16" s="64">
        <f>'S6'!E9</f>
        <v>3.7900000000000489</v>
      </c>
      <c r="M16" s="307">
        <f>'S6'!E10-'S6'!E9</f>
        <v>3.4459999999999189</v>
      </c>
      <c r="N16" s="306">
        <f>M16/L17</f>
        <v>0.47622996130457906</v>
      </c>
      <c r="O16" s="64">
        <f>'S6'!B24</f>
        <v>3.4690000000000021</v>
      </c>
      <c r="P16" s="307">
        <f>'S6'!B25-'S6'!B24</f>
        <v>-8.9999999999941238E-3</v>
      </c>
      <c r="Q16" s="306">
        <f>P16/O17</f>
        <v>-2.6011560693624575E-3</v>
      </c>
      <c r="R16" s="64">
        <f>'S6'!C24</f>
        <v>5.0999999999999801</v>
      </c>
      <c r="S16" s="307">
        <f>'S6'!C25-'S6'!C24</f>
        <v>-0.76000000000000512</v>
      </c>
      <c r="T16" s="306">
        <f>S16/R17</f>
        <v>-0.17511520737327407</v>
      </c>
      <c r="U16" s="64">
        <f>'S6'!D24</f>
        <v>3.7849999999999824</v>
      </c>
      <c r="V16" s="307">
        <f>'S6'!D25-'S6'!D24</f>
        <v>-0.6449999999999676</v>
      </c>
      <c r="W16" s="306">
        <f>V16/U17</f>
        <v>-0.20541401273884222</v>
      </c>
      <c r="X16" s="64">
        <f>'S6'!E24</f>
        <v>5.0719999999999743</v>
      </c>
      <c r="Y16" s="307">
        <f>'S6'!E25-'S6'!E24</f>
        <v>-4.1999999999944748E-2</v>
      </c>
      <c r="Z16" s="306">
        <f>Y16/X17</f>
        <v>-8.349900596410437E-3</v>
      </c>
    </row>
    <row r="17" spans="1:26">
      <c r="A17" s="308"/>
      <c r="B17" s="64" t="s">
        <v>147</v>
      </c>
      <c r="C17" s="64">
        <f>'S6'!B10</f>
        <v>4.2839999999999918</v>
      </c>
      <c r="D17" s="307"/>
      <c r="E17" s="306"/>
      <c r="F17" s="64">
        <f>'S6'!C10</f>
        <v>10.871999999999934</v>
      </c>
      <c r="G17" s="307"/>
      <c r="H17" s="306"/>
      <c r="I17" s="64">
        <f>'S6'!D10</f>
        <v>6.9479999999999222</v>
      </c>
      <c r="J17" s="307"/>
      <c r="K17" s="306"/>
      <c r="L17" s="64">
        <f>'S6'!E10</f>
        <v>7.2359999999999678</v>
      </c>
      <c r="M17" s="307"/>
      <c r="N17" s="306"/>
      <c r="O17" s="64">
        <f>'S6'!B25</f>
        <v>3.460000000000008</v>
      </c>
      <c r="P17" s="307"/>
      <c r="Q17" s="306"/>
      <c r="R17" s="64">
        <f>'S6'!C25</f>
        <v>4.339999999999975</v>
      </c>
      <c r="S17" s="307"/>
      <c r="T17" s="306"/>
      <c r="U17" s="64">
        <f>'S6'!D25</f>
        <v>3.1400000000000148</v>
      </c>
      <c r="V17" s="307"/>
      <c r="W17" s="306"/>
      <c r="X17" s="64">
        <f>'S6'!E25</f>
        <v>5.0300000000000296</v>
      </c>
      <c r="Y17" s="307"/>
      <c r="Z17" s="306"/>
    </row>
    <row r="18" spans="1:26">
      <c r="A18" s="308" t="s">
        <v>10</v>
      </c>
      <c r="B18" s="64" t="s">
        <v>146</v>
      </c>
      <c r="C18" s="64">
        <f>'S7'!B9</f>
        <v>3.0109999999999957</v>
      </c>
      <c r="D18" s="307">
        <f>'S7'!B10-'S7'!B9</f>
        <v>0.40900000000001446</v>
      </c>
      <c r="E18" s="306">
        <f>D18/C19</f>
        <v>0.11959064327485767</v>
      </c>
      <c r="F18" s="64">
        <f>'S7'!C9</f>
        <v>5.355000000000004</v>
      </c>
      <c r="G18" s="307">
        <f>'S7'!C10-'S7'!C9</f>
        <v>4.113000000000083</v>
      </c>
      <c r="H18" s="306">
        <f>G18/F19</f>
        <v>0.4344106463878375</v>
      </c>
      <c r="I18" s="64">
        <f>'S7'!D9</f>
        <v>4.555999999999969</v>
      </c>
      <c r="J18" s="307">
        <f>'S7'!D10-'S7'!D9</f>
        <v>-1.0999999999999401</v>
      </c>
      <c r="K18" s="306">
        <f>J18/I19</f>
        <v>-0.31828703703701705</v>
      </c>
      <c r="L18" s="64">
        <f>'S7'!E9</f>
        <v>3.313999999999993</v>
      </c>
      <c r="M18" s="307">
        <f>'S7'!E10-'S7'!E9</f>
        <v>3.4179999999999726</v>
      </c>
      <c r="N18" s="306">
        <f>M18/L19</f>
        <v>0.50772430184194739</v>
      </c>
      <c r="O18" s="64">
        <f>'S7'!B24</f>
        <v>3.1899999999999689</v>
      </c>
      <c r="P18" s="307">
        <f>'S7'!B25-'S7'!B24</f>
        <v>-0.13999999999998591</v>
      </c>
      <c r="Q18" s="306">
        <f>P18/O19</f>
        <v>-4.5901639344257936E-2</v>
      </c>
      <c r="R18" s="64">
        <f>'S7'!C24</f>
        <v>3.936000000000007</v>
      </c>
      <c r="S18" s="307">
        <f>'S7'!C25-'S7'!C24</f>
        <v>-0.87600000000000477</v>
      </c>
      <c r="T18" s="306">
        <f>S18/R19</f>
        <v>-0.28627450980392294</v>
      </c>
      <c r="U18" s="64">
        <f>'S7'!D24</f>
        <v>2.9540000000000362</v>
      </c>
      <c r="V18" s="307">
        <f>'S7'!D25-'S7'!D24</f>
        <v>-0.49400000000002819</v>
      </c>
      <c r="W18" s="306">
        <f>V18/U19</f>
        <v>-0.20081300813009212</v>
      </c>
      <c r="X18" s="64">
        <f>'S7'!E24</f>
        <v>3.282999999999987</v>
      </c>
      <c r="Y18" s="307">
        <f>'S7'!E25-'S7'!E24</f>
        <v>0.59700000000000841</v>
      </c>
      <c r="Z18" s="306">
        <f>Y18/X19</f>
        <v>0.15386597938144564</v>
      </c>
    </row>
    <row r="19" spans="1:26">
      <c r="A19" s="308"/>
      <c r="B19" s="64" t="s">
        <v>147</v>
      </c>
      <c r="C19" s="64">
        <f>'S7'!B10</f>
        <v>3.4200000000000101</v>
      </c>
      <c r="D19" s="307"/>
      <c r="E19" s="306"/>
      <c r="F19" s="65">
        <f>'S7'!C10</f>
        <v>9.468000000000087</v>
      </c>
      <c r="G19" s="307"/>
      <c r="H19" s="306"/>
      <c r="I19" s="64">
        <f>'S7'!D10</f>
        <v>3.4560000000000288</v>
      </c>
      <c r="J19" s="307"/>
      <c r="K19" s="306"/>
      <c r="L19" s="64">
        <f>'S7'!E10</f>
        <v>6.7319999999999656</v>
      </c>
      <c r="M19" s="307"/>
      <c r="N19" s="306"/>
      <c r="O19" s="64">
        <f>'S7'!B25</f>
        <v>3.0499999999999829</v>
      </c>
      <c r="P19" s="307"/>
      <c r="Q19" s="306"/>
      <c r="R19" s="64">
        <f>'S7'!C25</f>
        <v>3.0600000000000023</v>
      </c>
      <c r="S19" s="307"/>
      <c r="T19" s="306"/>
      <c r="U19" s="64">
        <f>'S7'!D25</f>
        <v>2.460000000000008</v>
      </c>
      <c r="V19" s="307"/>
      <c r="W19" s="306"/>
      <c r="X19" s="64">
        <f>'S7'!E25</f>
        <v>3.8799999999999955</v>
      </c>
      <c r="Y19" s="307"/>
      <c r="Z19" s="306"/>
    </row>
    <row r="20" spans="1:26">
      <c r="A20" s="308" t="s">
        <v>11</v>
      </c>
      <c r="B20" s="64" t="s">
        <v>146</v>
      </c>
      <c r="C20" s="64">
        <f>'S8'!B9</f>
        <v>3.4730000000000132</v>
      </c>
      <c r="D20" s="307">
        <f>'S8'!B10-'S8'!B9</f>
        <v>1.710999999999979</v>
      </c>
      <c r="E20" s="306">
        <f>D20/C21</f>
        <v>0.33005401234567544</v>
      </c>
      <c r="F20" s="64">
        <f>'S8'!C9</f>
        <v>6.0149999999999721</v>
      </c>
      <c r="G20" s="307">
        <f>'S8'!C10-'S8'!C9</f>
        <v>4.1729999999999716</v>
      </c>
      <c r="H20" s="306">
        <f>G20/F21</f>
        <v>0.40959952885747886</v>
      </c>
      <c r="I20" s="64">
        <f>'S8'!D9</f>
        <v>4.4750000000000227</v>
      </c>
      <c r="J20" s="307">
        <f>'S8'!D10-'S8'!D9</f>
        <v>0.67300000000000182</v>
      </c>
      <c r="K20" s="306">
        <f>J20/I21</f>
        <v>0.13073038073038046</v>
      </c>
      <c r="L20" s="64">
        <f>'S8'!E9</f>
        <v>3.7199999999999989</v>
      </c>
      <c r="M20" s="307">
        <f>'S8'!E10-'S8'!E9</f>
        <v>3.2640000000000953</v>
      </c>
      <c r="N20" s="306">
        <f>M20/L21</f>
        <v>0.4673539518900417</v>
      </c>
      <c r="O20" s="64">
        <f>'S8'!B24</f>
        <v>3.5470000000000041</v>
      </c>
      <c r="P20" s="311">
        <f>'S8'!B25-'S8'!B24</f>
        <v>1.1130000000000209</v>
      </c>
      <c r="Q20" s="306">
        <f>P20/O21</f>
        <v>0.23884120171674139</v>
      </c>
      <c r="R20" s="64">
        <f>'S8'!C24</f>
        <v>5.3919999999999959</v>
      </c>
      <c r="S20" s="311">
        <f>'S8'!C25-'S8'!C24</f>
        <v>-0.18200000000001637</v>
      </c>
      <c r="T20" s="306">
        <f>S20/R21</f>
        <v>-3.4932821497124199E-2</v>
      </c>
      <c r="U20" s="64">
        <f>'S8'!D24</f>
        <v>3.0309999999999917</v>
      </c>
      <c r="V20" s="311">
        <f>'S8'!D25-'S8'!D24</f>
        <v>1.0690000000000026</v>
      </c>
      <c r="W20" s="306">
        <f>V20/U21</f>
        <v>0.26073170731707418</v>
      </c>
      <c r="X20" s="64">
        <f>'S8'!E24</f>
        <v>3.597000000000051</v>
      </c>
      <c r="Y20" s="311">
        <f>'S8'!E25-'S8'!E24</f>
        <v>2.1829999999999217</v>
      </c>
      <c r="Z20" s="306">
        <f>Y20/X21</f>
        <v>0.37768166089964222</v>
      </c>
    </row>
    <row r="21" spans="1:26">
      <c r="A21" s="308"/>
      <c r="B21" s="64" t="s">
        <v>147</v>
      </c>
      <c r="C21" s="64">
        <f>'S8'!B10</f>
        <v>5.1839999999999922</v>
      </c>
      <c r="D21" s="307"/>
      <c r="E21" s="306"/>
      <c r="F21" s="64">
        <f>'S8'!C10</f>
        <v>10.187999999999944</v>
      </c>
      <c r="G21" s="307"/>
      <c r="H21" s="306"/>
      <c r="I21" s="64">
        <f>'S8'!D10</f>
        <v>5.1480000000000246</v>
      </c>
      <c r="J21" s="307"/>
      <c r="K21" s="306"/>
      <c r="L21" s="64">
        <f>'S8'!E10</f>
        <v>6.9840000000000941</v>
      </c>
      <c r="M21" s="307"/>
      <c r="N21" s="306"/>
      <c r="O21" s="64">
        <f>'S8'!B25</f>
        <v>4.660000000000025</v>
      </c>
      <c r="P21" s="311"/>
      <c r="Q21" s="306"/>
      <c r="R21" s="64">
        <f>'S8'!C25</f>
        <v>5.2099999999999795</v>
      </c>
      <c r="S21" s="311"/>
      <c r="T21" s="306"/>
      <c r="U21" s="64">
        <f>'S8'!D25</f>
        <v>4.0999999999999943</v>
      </c>
      <c r="V21" s="311"/>
      <c r="W21" s="306"/>
      <c r="X21" s="64">
        <f>'S8'!E25</f>
        <v>5.7799999999999727</v>
      </c>
      <c r="Y21" s="311"/>
      <c r="Z21" s="306"/>
    </row>
    <row r="22" spans="1:26" ht="15" customHeight="1">
      <c r="A22" s="312" t="s">
        <v>12</v>
      </c>
      <c r="B22" s="64" t="s">
        <v>146</v>
      </c>
      <c r="C22" s="64">
        <f>'S9'!B9</f>
        <v>5.7750000000000199</v>
      </c>
      <c r="D22" s="307">
        <f>'S9'!B10-'S9'!B9</f>
        <v>0.45299999999994345</v>
      </c>
      <c r="E22" s="309">
        <f>D22/C23</f>
        <v>7.2736030828507728E-2</v>
      </c>
      <c r="F22" s="64">
        <f>'S9'!C9</f>
        <v>6.759000000000043</v>
      </c>
      <c r="G22" s="307">
        <f>'S9'!C10-'S9'!C9</f>
        <v>4.1129999999999942</v>
      </c>
      <c r="H22" s="309">
        <f>G22/F23</f>
        <v>0.37831125827814388</v>
      </c>
      <c r="I22" s="64">
        <f>'S9'!D9</f>
        <v>6.9769999999999754</v>
      </c>
      <c r="J22" s="307">
        <f>'S9'!D10-'S9'!D9</f>
        <v>-1.7209999999999468</v>
      </c>
      <c r="K22" s="309">
        <f>J22/I23</f>
        <v>-0.32743531202434123</v>
      </c>
      <c r="L22" s="64">
        <f>'S9'!E9</f>
        <v>4.1829999999999927</v>
      </c>
      <c r="M22" s="307">
        <f>'S9'!E10-'S9'!E9</f>
        <v>2.6569999999999254</v>
      </c>
      <c r="N22" s="309">
        <f>M22/L23</f>
        <v>0.38845029239765455</v>
      </c>
      <c r="O22" s="159">
        <f>'S9'!B24</f>
        <v>4.2559999999999931</v>
      </c>
      <c r="P22" s="311">
        <f>'S9'!B25-'S9'!B24</f>
        <v>-0.53599999999999426</v>
      </c>
      <c r="Q22" s="309">
        <f>P22/O23</f>
        <v>-0.14408602150537483</v>
      </c>
      <c r="R22" s="64">
        <f>'S9'!C24</f>
        <v>6.2639999999999816</v>
      </c>
      <c r="S22" s="311">
        <f>'S9'!C25-'S9'!C24</f>
        <v>-0.42399999999994975</v>
      </c>
      <c r="T22" s="309">
        <f>S22/R23</f>
        <v>-7.2602739726018398E-2</v>
      </c>
      <c r="U22" s="64">
        <f>'S9'!D24</f>
        <v>3.9459999999999695</v>
      </c>
      <c r="V22" s="311">
        <f>'S9'!D25-'S9'!D24</f>
        <v>-0.54599999999996385</v>
      </c>
      <c r="W22" s="309">
        <f>V22/U23</f>
        <v>-0.16058823529410673</v>
      </c>
      <c r="X22" s="64">
        <f>'S9'!E24</f>
        <v>4.8259999999999934</v>
      </c>
      <c r="Y22" s="311">
        <f>'S9'!E25-'S9'!E24</f>
        <v>-0.1659999999999684</v>
      </c>
      <c r="Z22" s="309">
        <f>Y22/X23</f>
        <v>-3.5622317596559552E-2</v>
      </c>
    </row>
    <row r="23" spans="1:26" ht="15" customHeight="1">
      <c r="A23" s="313"/>
      <c r="B23" s="64" t="s">
        <v>147</v>
      </c>
      <c r="C23" s="66">
        <f>'S9'!B10</f>
        <v>6.2279999999999633</v>
      </c>
      <c r="D23" s="307"/>
      <c r="E23" s="310"/>
      <c r="F23" s="66">
        <f>'S9'!C10</f>
        <v>10.872000000000037</v>
      </c>
      <c r="G23" s="307"/>
      <c r="H23" s="310"/>
      <c r="I23" s="66">
        <f>'S9'!D10</f>
        <v>5.2560000000000286</v>
      </c>
      <c r="J23" s="307"/>
      <c r="K23" s="310"/>
      <c r="L23" s="66">
        <f>'S9'!E10</f>
        <v>6.8399999999999181</v>
      </c>
      <c r="M23" s="307"/>
      <c r="N23" s="310"/>
      <c r="O23" s="160">
        <f>'S9'!B25</f>
        <v>3.7199999999999989</v>
      </c>
      <c r="P23" s="311"/>
      <c r="Q23" s="310"/>
      <c r="R23" s="64">
        <f>'S9'!C25</f>
        <v>5.8400000000000318</v>
      </c>
      <c r="S23" s="311"/>
      <c r="T23" s="310"/>
      <c r="U23" s="66">
        <f>'S9'!D25</f>
        <v>3.4000000000000057</v>
      </c>
      <c r="V23" s="311"/>
      <c r="W23" s="310"/>
      <c r="X23" s="64">
        <f>'S9'!E25</f>
        <v>4.660000000000025</v>
      </c>
      <c r="Y23" s="311"/>
      <c r="Z23" s="310"/>
    </row>
    <row r="24" spans="1:26">
      <c r="A24" s="308" t="s">
        <v>13</v>
      </c>
      <c r="B24" s="64" t="s">
        <v>146</v>
      </c>
      <c r="C24" s="64">
        <f>'S10'!B9</f>
        <v>10.087999999999965</v>
      </c>
      <c r="D24" s="307">
        <f>'S10'!B10-'S10'!B9</f>
        <v>0.71200000000003527</v>
      </c>
      <c r="E24" s="306">
        <f>D24/C25</f>
        <v>6.5925925925929191E-2</v>
      </c>
      <c r="F24" s="64">
        <f>'S10'!C9</f>
        <v>15.935999999999979</v>
      </c>
      <c r="G24" s="307">
        <f>'S10'!C10-'S10'!C9</f>
        <v>5.3400000000000105</v>
      </c>
      <c r="H24" s="306">
        <f>G24/F25</f>
        <v>0.25098702763677444</v>
      </c>
      <c r="I24" s="64">
        <f>'S10'!D9</f>
        <v>18.742000000000004</v>
      </c>
      <c r="J24" s="307">
        <f>'S10'!D10-'S10'!D9</f>
        <v>-0.59800000000003095</v>
      </c>
      <c r="K24" s="306">
        <f>J24/I25</f>
        <v>-3.2958553791888882E-2</v>
      </c>
      <c r="L24" s="64">
        <f>'S10'!E9</f>
        <v>12.279000000000011</v>
      </c>
      <c r="M24" s="307">
        <f>'S10'!E10-'S10'!E9</f>
        <v>2.4450000000000021</v>
      </c>
      <c r="N24" s="306">
        <f>M24/L25</f>
        <v>0.16605541972290139</v>
      </c>
      <c r="O24" s="64">
        <f>'S10'!B24</f>
        <v>12.497000000000007</v>
      </c>
      <c r="P24" s="307">
        <f>'S10'!B25-'S10'!B24</f>
        <v>-0.16700000000002291</v>
      </c>
      <c r="Q24" s="306">
        <f>P24/O25</f>
        <v>-1.3544201135443888E-2</v>
      </c>
      <c r="R24" s="64">
        <f>'S10'!C24</f>
        <v>16.91500000000002</v>
      </c>
      <c r="S24" s="307">
        <f>'S10'!C25-'S10'!C24</f>
        <v>0.36499999999995225</v>
      </c>
      <c r="T24" s="306">
        <f>S24/R25</f>
        <v>2.1122685185182455E-2</v>
      </c>
      <c r="U24" s="64">
        <f>'S10'!D24</f>
        <v>13.454000000000008</v>
      </c>
      <c r="V24" s="307">
        <f>'S10'!D25-'S10'!D24</f>
        <v>0.59599999999997522</v>
      </c>
      <c r="W24" s="306">
        <f>V24/U25</f>
        <v>4.241992882562106E-2</v>
      </c>
      <c r="X24" s="64">
        <f>'S10'!E24</f>
        <v>13.547999999999959</v>
      </c>
      <c r="Y24" s="307">
        <f>'S10'!E25-'S10'!E24</f>
        <v>0.5320000000000249</v>
      </c>
      <c r="Z24" s="306">
        <f>Y24/X25</f>
        <v>3.7784090909092717E-2</v>
      </c>
    </row>
    <row r="25" spans="1:26">
      <c r="A25" s="308"/>
      <c r="B25" s="64" t="s">
        <v>147</v>
      </c>
      <c r="C25" s="66">
        <f>'S10'!B10</f>
        <v>10.8</v>
      </c>
      <c r="D25" s="307"/>
      <c r="E25" s="306"/>
      <c r="F25" s="66">
        <f>'S10'!C10</f>
        <v>21.275999999999989</v>
      </c>
      <c r="G25" s="307"/>
      <c r="H25" s="306"/>
      <c r="I25" s="66">
        <f>'S10'!D10</f>
        <v>18.143999999999973</v>
      </c>
      <c r="J25" s="307"/>
      <c r="K25" s="306"/>
      <c r="L25" s="66">
        <f>'S10'!E10</f>
        <v>14.724000000000013</v>
      </c>
      <c r="M25" s="307"/>
      <c r="N25" s="306"/>
      <c r="O25" s="66">
        <f>'S10'!B25</f>
        <v>12.329999999999984</v>
      </c>
      <c r="P25" s="307"/>
      <c r="Q25" s="306"/>
      <c r="R25" s="66">
        <f>'S10'!C25</f>
        <v>17.279999999999973</v>
      </c>
      <c r="S25" s="307"/>
      <c r="T25" s="306"/>
      <c r="U25" s="66">
        <f>'S10'!D25</f>
        <v>14.049999999999983</v>
      </c>
      <c r="V25" s="307"/>
      <c r="W25" s="306"/>
      <c r="X25" s="66">
        <f>'S10'!E25</f>
        <v>14.079999999999984</v>
      </c>
      <c r="Y25" s="307"/>
      <c r="Z25" s="306"/>
    </row>
    <row r="26" spans="1:26">
      <c r="A26" s="308" t="s">
        <v>14</v>
      </c>
      <c r="B26" s="64" t="s">
        <v>146</v>
      </c>
      <c r="C26" s="64">
        <f>'S11'!B9</f>
        <v>24.745999999999999</v>
      </c>
      <c r="D26" s="307">
        <f>'S11'!B10-'S11'!B9</f>
        <v>1.9300000000000423</v>
      </c>
      <c r="E26" s="306">
        <f>D26/C27</f>
        <v>7.2349677612836991E-2</v>
      </c>
      <c r="F26" s="64">
        <f>'S11'!C9</f>
        <v>31.916</v>
      </c>
      <c r="G26" s="307">
        <f>'S11'!C10-'S11'!C9</f>
        <v>3.5080000000000133</v>
      </c>
      <c r="H26" s="306">
        <f>G26/F27</f>
        <v>9.9028906955736559E-2</v>
      </c>
      <c r="I26" s="64">
        <f>'S11'!D9</f>
        <v>31.904</v>
      </c>
      <c r="J26" s="307">
        <f>'S11'!D10-'S11'!D9</f>
        <v>0.96399999999998798</v>
      </c>
      <c r="K26" s="306">
        <f>J26/I27</f>
        <v>2.9329438967992831E-2</v>
      </c>
      <c r="L26" s="64">
        <f>'S11'!E9</f>
        <v>26.300999999999998</v>
      </c>
      <c r="M26" s="307">
        <f>'S11'!E10-'S11'!E9</f>
        <v>1.4190000000000644</v>
      </c>
      <c r="N26" s="306">
        <f>M26/L27</f>
        <v>5.1190476190478396E-2</v>
      </c>
      <c r="O26" s="64">
        <f>'S11'!B24</f>
        <v>25.323999999999998</v>
      </c>
      <c r="P26" s="307">
        <f>'S11'!B25-'S11'!B24</f>
        <v>1.4059999999999917</v>
      </c>
      <c r="Q26" s="306">
        <f>P26/O27</f>
        <v>5.2600074822296755E-2</v>
      </c>
      <c r="R26" s="64">
        <f>'S11'!C24</f>
        <v>29.440999999999999</v>
      </c>
      <c r="S26" s="307">
        <f>'S11'!C25-'S11'!C24</f>
        <v>2.2489999999999988</v>
      </c>
      <c r="T26" s="306">
        <f>S26/R27</f>
        <v>7.0968759861154904E-2</v>
      </c>
      <c r="U26" s="64">
        <f>'S11'!D24</f>
        <v>27.67300000000003</v>
      </c>
      <c r="V26" s="307">
        <f>'S11'!D25-'S11'!D24</f>
        <v>2.2869999999999493</v>
      </c>
      <c r="W26" s="306">
        <f>V26/U27</f>
        <v>7.6335113484644557E-2</v>
      </c>
      <c r="X26" s="64">
        <f>'S11'!E24</f>
        <v>28.206</v>
      </c>
      <c r="Y26" s="307">
        <f>'S11'!E25-'S11'!E24</f>
        <v>2.50399999999998</v>
      </c>
      <c r="Z26" s="306">
        <f>Y26/X27</f>
        <v>8.1536958645391788E-2</v>
      </c>
    </row>
    <row r="27" spans="1:26">
      <c r="A27" s="308"/>
      <c r="B27" s="64" t="s">
        <v>147</v>
      </c>
      <c r="C27" s="64">
        <f>'S11'!B10</f>
        <v>26.676000000000041</v>
      </c>
      <c r="D27" s="307"/>
      <c r="E27" s="306"/>
      <c r="F27" s="64">
        <f>'S11'!C10</f>
        <v>35.424000000000014</v>
      </c>
      <c r="G27" s="307"/>
      <c r="H27" s="306"/>
      <c r="I27" s="64">
        <f>'S11'!D10</f>
        <v>32.867999999999988</v>
      </c>
      <c r="J27" s="307"/>
      <c r="K27" s="306"/>
      <c r="L27" s="64">
        <f>'S11'!E10</f>
        <v>27.720000000000063</v>
      </c>
      <c r="M27" s="307"/>
      <c r="N27" s="306"/>
      <c r="O27" s="64">
        <f>'S11'!B25</f>
        <v>26.72999999999999</v>
      </c>
      <c r="P27" s="307"/>
      <c r="Q27" s="306"/>
      <c r="R27" s="64">
        <f>'S11'!C25</f>
        <v>31.689999999999998</v>
      </c>
      <c r="S27" s="307"/>
      <c r="T27" s="306"/>
      <c r="U27" s="64">
        <f>'S11'!D25</f>
        <v>29.95999999999998</v>
      </c>
      <c r="V27" s="307"/>
      <c r="W27" s="306"/>
      <c r="X27" s="64">
        <f>'S11'!E25</f>
        <v>30.70999999999998</v>
      </c>
      <c r="Y27" s="307"/>
      <c r="Z27" s="306"/>
    </row>
    <row r="28" spans="1:26">
      <c r="A28" s="308" t="s">
        <v>3</v>
      </c>
      <c r="B28" s="64" t="s">
        <v>146</v>
      </c>
      <c r="C28" s="64">
        <f>'S12'!B9</f>
        <v>29.817000000000004</v>
      </c>
      <c r="D28" s="307">
        <f>'S12'!B10-'S12'!B9</f>
        <v>2.0429999999999779</v>
      </c>
      <c r="E28" s="306">
        <f>D28/C29</f>
        <v>6.412429378531008E-2</v>
      </c>
      <c r="F28" s="64">
        <f>'S12'!C9</f>
        <v>41.668999999999997</v>
      </c>
      <c r="G28" s="307">
        <f>'S12'!C10-'S12'!C9</f>
        <v>3.7989999999999853</v>
      </c>
      <c r="H28" s="306">
        <f>G28/F29</f>
        <v>8.3553268232602854E-2</v>
      </c>
      <c r="I28" s="64">
        <f>'S12'!D9</f>
        <v>36.770999999999994</v>
      </c>
      <c r="J28" s="307">
        <f>'S12'!D10-'S12'!D9</f>
        <v>1.6410000000000622</v>
      </c>
      <c r="K28" s="306">
        <f>J28/I29</f>
        <v>4.2721024679789124E-2</v>
      </c>
      <c r="L28" s="64">
        <f>'S12'!E9</f>
        <v>34.022999999999996</v>
      </c>
      <c r="M28" s="307">
        <f>'S12'!E10-'S12'!E9</f>
        <v>2.1930000000000121</v>
      </c>
      <c r="N28" s="306">
        <f>M28/L29</f>
        <v>6.0553346587144126E-2</v>
      </c>
      <c r="O28" s="64">
        <f>'S12'!B24</f>
        <v>32.753999999999998</v>
      </c>
      <c r="P28" s="307">
        <f>'S12'!B25-'S12'!B24</f>
        <v>1.7760000000000318</v>
      </c>
      <c r="Q28" s="306">
        <f>P28/O29</f>
        <v>5.1433536055604696E-2</v>
      </c>
      <c r="R28" s="64">
        <f>'S12'!C24</f>
        <v>37.508999999999993</v>
      </c>
      <c r="S28" s="307">
        <f>'S12'!C25-'S12'!C24</f>
        <v>2.9110000000000227</v>
      </c>
      <c r="T28" s="306">
        <f>S28/R29</f>
        <v>7.2018802572984209E-2</v>
      </c>
      <c r="U28" s="67">
        <f>'S12'!D24</f>
        <v>35.126000000000005</v>
      </c>
      <c r="V28" s="307">
        <f>'S12'!D25-'S12'!D24</f>
        <v>3.0140000000000384</v>
      </c>
      <c r="W28" s="306">
        <f>V28/U29</f>
        <v>7.9024646040902854E-2</v>
      </c>
      <c r="X28" s="67">
        <f>'S12'!E24</f>
        <v>35.85</v>
      </c>
      <c r="Y28" s="307">
        <f>'S12'!E25-'S12'!E24</f>
        <v>3.279999999999994</v>
      </c>
      <c r="Z28" s="306">
        <f>Y28/X29</f>
        <v>8.3823153590595306E-2</v>
      </c>
    </row>
    <row r="29" spans="1:26">
      <c r="A29" s="308"/>
      <c r="B29" s="64" t="s">
        <v>147</v>
      </c>
      <c r="C29" s="66">
        <f>'S12'!B10</f>
        <v>31.859999999999982</v>
      </c>
      <c r="D29" s="307"/>
      <c r="E29" s="306"/>
      <c r="F29" s="66">
        <f>'S12'!C10</f>
        <v>45.467999999999982</v>
      </c>
      <c r="G29" s="307"/>
      <c r="H29" s="306"/>
      <c r="I29" s="66">
        <f>'S12'!D10</f>
        <v>38.412000000000056</v>
      </c>
      <c r="J29" s="307"/>
      <c r="K29" s="306"/>
      <c r="L29" s="66">
        <f>'S12'!E10</f>
        <v>36.216000000000008</v>
      </c>
      <c r="M29" s="307"/>
      <c r="N29" s="306"/>
      <c r="O29" s="66">
        <f>'S12'!B25</f>
        <v>34.53000000000003</v>
      </c>
      <c r="P29" s="307"/>
      <c r="Q29" s="306"/>
      <c r="R29" s="66">
        <f>'S12'!C25</f>
        <v>40.420000000000016</v>
      </c>
      <c r="S29" s="307"/>
      <c r="T29" s="306"/>
      <c r="U29" s="66">
        <f>'S12'!D25</f>
        <v>38.140000000000043</v>
      </c>
      <c r="V29" s="307"/>
      <c r="W29" s="306"/>
      <c r="X29" s="66">
        <f>'S12'!E25</f>
        <v>39.129999999999995</v>
      </c>
      <c r="Y29" s="307"/>
      <c r="Z29" s="306"/>
    </row>
    <row r="30" spans="1:26" ht="15.75">
      <c r="A30" s="68"/>
      <c r="B30" s="69"/>
      <c r="C30" s="70"/>
      <c r="D30" s="71"/>
      <c r="E30" s="71"/>
      <c r="F30" s="70"/>
      <c r="G30" s="71"/>
      <c r="H30" s="71"/>
      <c r="I30" s="70"/>
      <c r="J30" s="71"/>
      <c r="K30" s="71"/>
      <c r="L30" s="70"/>
      <c r="M30" s="71"/>
      <c r="N30" s="71"/>
      <c r="O30" s="70"/>
      <c r="P30" s="71"/>
      <c r="Q30" s="71"/>
      <c r="R30" s="70"/>
      <c r="S30" s="71"/>
      <c r="T30" s="71"/>
      <c r="U30" s="70"/>
      <c r="V30" s="71"/>
      <c r="W30" s="71"/>
      <c r="X30" s="70"/>
      <c r="Y30" s="71"/>
      <c r="Z30" s="71"/>
    </row>
    <row r="31" spans="1:26" s="72" customFormat="1" ht="15.75">
      <c r="A31" s="72" t="s">
        <v>148</v>
      </c>
      <c r="D31" s="72">
        <f>SUM(D6:D29)</f>
        <v>24.029999999999994</v>
      </c>
      <c r="G31" s="72">
        <f>SUM(G6:G29)</f>
        <v>54.28799999999999</v>
      </c>
      <c r="J31" s="72">
        <f>SUM(J6:J29)</f>
        <v>2.1030000000001197</v>
      </c>
      <c r="M31" s="72">
        <f>SUM(M6:M29)</f>
        <v>40.627000000000066</v>
      </c>
      <c r="P31" s="72">
        <f>SUM(P6:P29)</f>
        <v>10.647000000000046</v>
      </c>
      <c r="S31" s="72">
        <f>SUM(S6:S29)</f>
        <v>13.273999999999969</v>
      </c>
      <c r="V31" s="72">
        <f>SUM(V6:V29)</f>
        <v>15.379999999999981</v>
      </c>
      <c r="Y31" s="72">
        <f>SUM(Y6:Y29)</f>
        <v>25.669000000000022</v>
      </c>
    </row>
    <row r="32" spans="1:26" ht="6.75" customHeight="1"/>
    <row r="33" spans="1:25" s="73" customFormat="1" ht="15.75">
      <c r="A33" s="72" t="s">
        <v>149</v>
      </c>
      <c r="D33" s="74">
        <f>(D6+D8+D10+D12+D14+D16+D18+D20+D22+D24+D26+D28)/(C7+C9+C11+C13+C15+C17+C19+C21+C23+C25+C27+C29)</f>
        <v>0.11239265869675025</v>
      </c>
      <c r="G33" s="74">
        <f>(G6+G8+G10+G12+G14+G16+G18+G20+G22+G24+G26+G28)/(F7+F9+F11+F13+F15+F17+F19+F21+F23+F25+F27+F29)</f>
        <v>0.16362847222222221</v>
      </c>
      <c r="J33" s="74">
        <f>(J6+J8+J10+J12+J14+J16+J18+J20+J22+J24+J26+J28)/(I7+I9+I11+I13+I15+I17+I19+I21+I23+I25+I27+I29)</f>
        <v>8.1861920777284158E-3</v>
      </c>
      <c r="M33" s="74">
        <f>(M6+M8+M10+M12+M14+M16+M18+M20+M22+M24+M26+M28)/(L7+L9+L11+L13+L15+L17+L19+L21+L23+L25+L27+L29)</f>
        <v>0.16460440165953608</v>
      </c>
      <c r="P33" s="74">
        <f>(P6+P8+P10+P12+P14+P16+P18+P20+P22+P24+P26+P28)/(O7+O9+O11+O13+O15+O17+O19+O21+O23+O25+O27+O29)</f>
        <v>4.7708025272214211E-2</v>
      </c>
      <c r="S33" s="74">
        <f>(S6+S8+S10+S12+S14+S16+S18+S20+S22+S24+S26+S28)/(R7+R9+R11+R13+R15+R17+R19+R21+R23+R25+R27+R29)</f>
        <v>4.7679597701149316E-2</v>
      </c>
      <c r="V33" s="74">
        <f>(V6+V8+V10+V12+V14+V16+V18+V20+V22+V24+V26+V28)/(U7+U9+U11+U13+U15+U17+U19+U21+U23+U25+U27+U29)</f>
        <v>6.7021091162628471E-2</v>
      </c>
      <c r="Y33" s="74">
        <f>(Y6+Y8+Y10+Y12+Y14+Y16+Y18+Y20+Y22+Y24+Y26+Y28)/(X7+X9+X11+X13+X15+X17+X19+X21+X23+X25+X27+X29)</f>
        <v>0.10216517412935332</v>
      </c>
    </row>
    <row r="34" spans="1:25" s="75" customFormat="1">
      <c r="D34" s="75">
        <v>1850</v>
      </c>
      <c r="G34" s="75">
        <v>1851</v>
      </c>
      <c r="J34" s="75">
        <v>1852</v>
      </c>
      <c r="M34" s="75">
        <v>1853</v>
      </c>
      <c r="P34" s="75">
        <v>1854</v>
      </c>
      <c r="S34" s="75">
        <v>1855</v>
      </c>
      <c r="V34" s="75">
        <v>1856</v>
      </c>
      <c r="Y34" s="75">
        <v>1857</v>
      </c>
    </row>
    <row r="38" spans="1:25">
      <c r="A38" s="76"/>
    </row>
    <row r="39" spans="1:25">
      <c r="A39" s="77"/>
    </row>
    <row r="40" spans="1:25">
      <c r="A40" s="76"/>
    </row>
  </sheetData>
  <sheetProtection selectLockedCells="1" selectUnlockedCells="1"/>
  <mergeCells count="213"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A8:A9"/>
    <mergeCell ref="D8:D9"/>
    <mergeCell ref="E8:E9"/>
    <mergeCell ref="G8:G9"/>
    <mergeCell ref="H8:H9"/>
    <mergeCell ref="J8:J9"/>
    <mergeCell ref="M6:M7"/>
    <mergeCell ref="N6:N7"/>
    <mergeCell ref="P6:P7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M10:M11"/>
    <mergeCell ref="N10:N11"/>
    <mergeCell ref="P10:P11"/>
    <mergeCell ref="Q10:Q11"/>
    <mergeCell ref="T12:T13"/>
    <mergeCell ref="V12:V13"/>
    <mergeCell ref="W12:W13"/>
    <mergeCell ref="Y12:Y13"/>
    <mergeCell ref="Z12:Z13"/>
    <mergeCell ref="Q12:Q13"/>
    <mergeCell ref="S12:S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K16:K17"/>
    <mergeCell ref="M16:M17"/>
    <mergeCell ref="N16:N17"/>
    <mergeCell ref="P16:P17"/>
    <mergeCell ref="Q16:Q17"/>
    <mergeCell ref="S16:S17"/>
    <mergeCell ref="A16:A17"/>
    <mergeCell ref="D16:D17"/>
    <mergeCell ref="E16:E17"/>
    <mergeCell ref="G16:G17"/>
    <mergeCell ref="H16:H17"/>
    <mergeCell ref="J16:J17"/>
    <mergeCell ref="S18:S19"/>
    <mergeCell ref="T18:T19"/>
    <mergeCell ref="V18:V19"/>
    <mergeCell ref="W18:W19"/>
    <mergeCell ref="Y18:Y19"/>
    <mergeCell ref="Z18:Z19"/>
    <mergeCell ref="J18:J19"/>
    <mergeCell ref="K18:K19"/>
    <mergeCell ref="M18:M19"/>
    <mergeCell ref="N18:N19"/>
    <mergeCell ref="P18:P19"/>
    <mergeCell ref="Q18:Q19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K20:K21"/>
    <mergeCell ref="M20:M21"/>
    <mergeCell ref="N20:N21"/>
    <mergeCell ref="P20:P21"/>
    <mergeCell ref="Q20:Q21"/>
    <mergeCell ref="S20:S21"/>
    <mergeCell ref="A20:A21"/>
    <mergeCell ref="D20:D21"/>
    <mergeCell ref="E20:E21"/>
    <mergeCell ref="G20:G21"/>
    <mergeCell ref="H20:H21"/>
    <mergeCell ref="J20:J21"/>
    <mergeCell ref="S22:S23"/>
    <mergeCell ref="T22:T23"/>
    <mergeCell ref="V22:V23"/>
    <mergeCell ref="W22:W23"/>
    <mergeCell ref="Y22:Y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K24:K25"/>
    <mergeCell ref="M24:M25"/>
    <mergeCell ref="N24:N25"/>
    <mergeCell ref="P24:P25"/>
    <mergeCell ref="Q24:Q25"/>
    <mergeCell ref="S24:S25"/>
    <mergeCell ref="A24:A25"/>
    <mergeCell ref="D24:D25"/>
    <mergeCell ref="E24:E25"/>
    <mergeCell ref="G24:G25"/>
    <mergeCell ref="H24:H25"/>
    <mergeCell ref="J24:J25"/>
    <mergeCell ref="W26:W27"/>
    <mergeCell ref="Y26:Y27"/>
    <mergeCell ref="A28:A29"/>
    <mergeCell ref="D28:D29"/>
    <mergeCell ref="E28:E29"/>
    <mergeCell ref="G28:G29"/>
    <mergeCell ref="H28:H29"/>
    <mergeCell ref="J28:J29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</mergeCells>
  <printOptions horizontalCentered="1" verticalCentered="1"/>
  <pageMargins left="0" right="0" top="0.19652777777777777" bottom="0.19652777777777777" header="0.51180555555555551" footer="0.51180555555555551"/>
  <pageSetup paperSize="9" scale="10" firstPageNumber="0" orientation="landscape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M8" sqref="M8"/>
    </sheetView>
  </sheetViews>
  <sheetFormatPr defaultColWidth="9" defaultRowHeight="18"/>
  <cols>
    <col min="1" max="1" width="36.28515625" style="41" customWidth="1"/>
    <col min="2" max="5" width="13.140625" style="41" customWidth="1"/>
    <col min="6" max="6" width="11" style="41" customWidth="1"/>
    <col min="7" max="10" width="11.42578125" style="41" customWidth="1"/>
    <col min="11" max="11" width="16" style="41" customWidth="1"/>
    <col min="12" max="15" width="6.42578125" style="41" customWidth="1"/>
    <col min="16" max="16384" width="9" style="41"/>
  </cols>
  <sheetData>
    <row r="1" spans="1:11">
      <c r="A1" s="42" t="s">
        <v>150</v>
      </c>
      <c r="B1" s="43">
        <f>'S1'!B1</f>
        <v>2021</v>
      </c>
      <c r="C1" s="43"/>
      <c r="D1" s="43"/>
      <c r="E1" s="43"/>
      <c r="F1" s="43"/>
    </row>
    <row r="2" spans="1:11">
      <c r="K2" s="337"/>
    </row>
    <row r="3" spans="1:11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  <c r="F3" s="78"/>
      <c r="K3" s="338"/>
    </row>
    <row r="4" spans="1:11">
      <c r="A4" s="51" t="s">
        <v>119</v>
      </c>
      <c r="B4" s="46">
        <f>'S1'!B4+'S2'!B4+'S3'!B4+'S4'!B4+'S5'!B4+'S6'!B4+'S7'!B4+'S8'!B4+'S9'!B4+'S10'!B4+'S11'!B4+'S12'!B4</f>
        <v>667.80600000000015</v>
      </c>
      <c r="C4" s="46">
        <f>'S1'!C4+'S2'!C4+'S3'!C4+'S4'!C4+'S5'!C4+'S6'!C4+'S7'!C4+'S8'!C4+'S9'!C4+'S10'!C4+'S11'!C4+'S12'!C4</f>
        <v>1143.893</v>
      </c>
      <c r="D4" s="46">
        <f>'S1'!D4+'S2'!D4+'S3'!D4+'S4'!D4+'S5'!D4+'S6'!D4+'S7'!D4+'S8'!D4+'S9'!D4+'S10'!D4+'S11'!D4+'S12'!D4</f>
        <v>917.10199999999998</v>
      </c>
      <c r="E4" s="46">
        <f>'S1'!E4+'S2'!E4+'S3'!E4+'S4'!E4+'S5'!E4+'S6'!E4+'S7'!E4+'S8'!E4+'S9'!E4+'S10'!E4+'S11'!E4+'S12'!E4</f>
        <v>946.88900000000012</v>
      </c>
      <c r="F4" s="48"/>
      <c r="G4" s="187">
        <f>1-B4/B5</f>
        <v>0.11396311529786363</v>
      </c>
      <c r="H4" s="187">
        <f t="shared" ref="H4:J4" si="0">1-C4/C5</f>
        <v>6.4529767746156264E-2</v>
      </c>
      <c r="I4" s="187">
        <f t="shared" si="0"/>
        <v>0.17034376696218567</v>
      </c>
      <c r="J4" s="187">
        <f t="shared" si="0"/>
        <v>8.0868763346922612E-2</v>
      </c>
      <c r="K4" s="339"/>
    </row>
    <row r="5" spans="1:11">
      <c r="A5" s="51" t="s">
        <v>120</v>
      </c>
      <c r="B5" s="45">
        <f>'1850'!O26-'1850'!C26</f>
        <v>753.69999999999993</v>
      </c>
      <c r="C5" s="45">
        <f>'1851'!P26-'1851'!D26</f>
        <v>1222.8</v>
      </c>
      <c r="D5" s="45">
        <f>'1852'!O26-'1852'!C26</f>
        <v>1105.4000000000001</v>
      </c>
      <c r="E5" s="147">
        <f>'1853'!O27-'1853'!C27</f>
        <v>1030.1999999999998</v>
      </c>
      <c r="F5" s="79"/>
    </row>
    <row r="6" spans="1:11">
      <c r="A6" s="51" t="s">
        <v>121</v>
      </c>
      <c r="B6" s="319">
        <f>SUM(B5:E5)</f>
        <v>4112.1000000000004</v>
      </c>
      <c r="C6" s="320"/>
      <c r="D6" s="320"/>
      <c r="E6" s="321"/>
      <c r="F6" s="84"/>
      <c r="G6" s="187">
        <f>1-B6/B7</f>
        <v>4.7242817423540195E-2</v>
      </c>
    </row>
    <row r="7" spans="1:11">
      <c r="A7" s="51" t="s">
        <v>122</v>
      </c>
      <c r="B7" s="322">
        <f>'1850'!O29-'1850'!C29</f>
        <v>4316</v>
      </c>
      <c r="C7" s="323"/>
      <c r="D7" s="323"/>
      <c r="E7" s="324"/>
      <c r="F7" s="84"/>
    </row>
    <row r="8" spans="1:11">
      <c r="A8" s="179" t="s">
        <v>123</v>
      </c>
      <c r="B8" s="183"/>
      <c r="C8" s="183"/>
      <c r="D8" s="183"/>
      <c r="E8" s="184"/>
      <c r="F8" s="48"/>
    </row>
    <row r="9" spans="1:11">
      <c r="A9" s="44" t="s">
        <v>124</v>
      </c>
      <c r="B9" s="46">
        <f>'S1'!B9+'S2'!B9+'S3'!B9+'S4'!B9+'S5'!B9+'S6'!B9+'S7'!B9+'S8'!B9+'S9'!B9+'S10'!B9+'S11'!B9+'S12'!B9</f>
        <v>189.77400000000003</v>
      </c>
      <c r="C9" s="46">
        <f>'S1'!C9+'S2'!C9+'S3'!C9+'S4'!C9+'S5'!C9+'S6'!C9+'S7'!C9+'S8'!C9+'S9'!C9+'S10'!C9+'S11'!C9+'S12'!C9</f>
        <v>277.488</v>
      </c>
      <c r="D9" s="46">
        <f>'S1'!D9+'S2'!D9+'S3'!D9+'S4'!D9+'S5'!D9+'S6'!D9+'S7'!D9+'S8'!D9+'S9'!D9+'S10'!D9+'S11'!D9+'S12'!D9</f>
        <v>254.79299999999998</v>
      </c>
      <c r="E9" s="46">
        <f>'S1'!E9+'S2'!E9+'S3'!E9+'S4'!E9+'S5'!E9+'S6'!E9+'S7'!E9+'S8'!E9+'S9'!E9+'S10'!E9+'S11'!E9+'S12'!E9</f>
        <v>206.18899999999999</v>
      </c>
      <c r="F9" s="48"/>
      <c r="G9" s="187">
        <f>1-B9/B10</f>
        <v>0.11239265869675019</v>
      </c>
      <c r="H9" s="187">
        <f t="shared" ref="H9:J9" si="1">1-C9/C10</f>
        <v>0.16362847222222221</v>
      </c>
      <c r="I9" s="187">
        <f t="shared" si="1"/>
        <v>8.1861920777283048E-3</v>
      </c>
      <c r="J9" s="187">
        <f t="shared" si="1"/>
        <v>0.16460440165953605</v>
      </c>
    </row>
    <row r="10" spans="1:11">
      <c r="A10" s="44" t="s">
        <v>125</v>
      </c>
      <c r="B10" s="56">
        <f>('1850'!O27-'1850'!C27)*3.6</f>
        <v>213.804</v>
      </c>
      <c r="C10" s="56">
        <f>('1851'!P27-'1851'!D27)*3.6</f>
        <v>331.77600000000001</v>
      </c>
      <c r="D10" s="56">
        <f>('1852'!O27-'1852'!C27)*3.6</f>
        <v>256.89600000000007</v>
      </c>
      <c r="E10" s="56">
        <f>('1853'!O28-'1853'!C28)*3.6</f>
        <v>246.81600000000006</v>
      </c>
      <c r="F10" s="79"/>
    </row>
    <row r="11" spans="1:11">
      <c r="A11" s="179" t="s">
        <v>131</v>
      </c>
      <c r="B11" s="183"/>
      <c r="C11" s="183"/>
      <c r="D11" s="183"/>
      <c r="E11" s="184"/>
      <c r="F11" s="48"/>
    </row>
    <row r="12" spans="1:11">
      <c r="A12" s="44" t="s">
        <v>127</v>
      </c>
      <c r="B12" s="144">
        <f>'1850'!O25-'1850'!C25</f>
        <v>2844</v>
      </c>
      <c r="C12" s="145">
        <f>'1851'!P24-'1851'!I70+'1851'!I69-'1851'!D24</f>
        <v>3372</v>
      </c>
      <c r="D12" s="145">
        <f>'1852'!O25-'1852'!H37+'1852'!H36-'1852'!C25</f>
        <v>3429</v>
      </c>
      <c r="E12" s="145">
        <f>'1853'!O24-'1853'!H37+'1853'!H36-'1853'!C24</f>
        <v>2188</v>
      </c>
      <c r="F12" s="49"/>
    </row>
    <row r="13" spans="1:11">
      <c r="A13" s="48"/>
      <c r="B13" s="50"/>
      <c r="C13" s="50"/>
      <c r="D13" s="50"/>
      <c r="E13" s="50"/>
      <c r="F13" s="49"/>
      <c r="G13" s="49"/>
      <c r="H13" s="49"/>
      <c r="I13" s="49"/>
      <c r="J13" s="49"/>
    </row>
    <row r="14" spans="1:11">
      <c r="A14" s="48" t="s">
        <v>128</v>
      </c>
      <c r="B14" s="146">
        <f>'1853'!O25-'1853'!H40+'1853'!H39-'1853'!C25</f>
        <v>3926</v>
      </c>
      <c r="C14" s="50"/>
      <c r="D14" s="50"/>
      <c r="E14" s="50"/>
      <c r="F14" s="49"/>
      <c r="G14" s="49"/>
      <c r="H14" s="49"/>
      <c r="I14" s="49"/>
      <c r="J14" s="49"/>
    </row>
    <row r="15" spans="1:11">
      <c r="A15" s="48" t="s">
        <v>129</v>
      </c>
      <c r="B15" s="252">
        <f>'1853'!O26-'1853'!D26</f>
        <v>91.675999999999988</v>
      </c>
      <c r="C15" s="90">
        <f>'S 2021'!C15</f>
        <v>92</v>
      </c>
      <c r="D15" s="50"/>
      <c r="E15" s="50"/>
      <c r="F15" s="50"/>
      <c r="G15" s="49"/>
      <c r="H15" s="49"/>
      <c r="I15" s="49"/>
      <c r="J15" s="49"/>
    </row>
    <row r="16" spans="1:11">
      <c r="A16" s="48"/>
      <c r="B16" s="50"/>
      <c r="C16" s="50"/>
      <c r="D16" s="50"/>
      <c r="E16" s="50"/>
      <c r="F16" s="49"/>
      <c r="G16" s="49"/>
      <c r="H16" s="49"/>
      <c r="I16" s="49"/>
      <c r="J16" s="49"/>
      <c r="K16" s="49"/>
    </row>
    <row r="17" spans="1:10">
      <c r="B17" s="143"/>
      <c r="C17" s="143"/>
      <c r="D17" s="143"/>
      <c r="E17" s="143"/>
    </row>
    <row r="18" spans="1:10">
      <c r="A18" s="177" t="s">
        <v>118</v>
      </c>
      <c r="B18" s="185">
        <v>1854</v>
      </c>
      <c r="C18" s="185">
        <v>1855</v>
      </c>
      <c r="D18" s="185">
        <v>1856</v>
      </c>
      <c r="E18" s="185">
        <v>1857</v>
      </c>
      <c r="F18" s="78"/>
    </row>
    <row r="19" spans="1:10">
      <c r="A19" s="44" t="s">
        <v>119</v>
      </c>
      <c r="B19" s="46">
        <f>'S1'!B19+'S2'!B19+'S3'!B19+'S4'!B19+'S5'!B19+'S6'!B19+'S7'!B19+'S8'!B19+'S9'!B19+'S10'!B19+'S11'!B19+'S12'!B19</f>
        <v>662.4219999999998</v>
      </c>
      <c r="C19" s="46">
        <f>'S1'!C19+'S2'!C19+'S3'!C19+'S4'!C19+'S5'!C19+'S6'!C19+'S7'!C19+'S8'!C19+'S9'!C19+'S10'!C19+'S11'!C19+'S12'!C19</f>
        <v>904.30099999999993</v>
      </c>
      <c r="D19" s="46">
        <f>'S1'!D19+'S2'!D19+'S3'!D19+'S4'!D19+'S5'!D19+'S6'!D19+'S7'!D19+'S8'!D19+'S9'!D19+'S10'!D19+'S11'!D19+'S12'!D19</f>
        <v>821.78099999999972</v>
      </c>
      <c r="E19" s="46">
        <f>'S1'!E19+'S2'!E19+'S3'!E19+'S4'!E19+'S5'!E19+'S6'!E19+'S7'!E19+'S8'!E19+'S9'!E19+'S10'!E19+'S11'!E19+'S12'!E19</f>
        <v>924.8090000000002</v>
      </c>
      <c r="F19" s="48"/>
      <c r="G19" s="187">
        <f>1-B19/B20</f>
        <v>8.2899072407587204E-2</v>
      </c>
      <c r="H19" s="187">
        <f t="shared" ref="H19:J19" si="2">1-C19/C20</f>
        <v>0.12212309484516082</v>
      </c>
      <c r="I19" s="187">
        <f t="shared" si="2"/>
        <v>9.1151293961513336E-2</v>
      </c>
      <c r="J19" s="187">
        <f t="shared" si="2"/>
        <v>8.9665321389900465E-2</v>
      </c>
    </row>
    <row r="20" spans="1:10">
      <c r="A20" s="44" t="s">
        <v>120</v>
      </c>
      <c r="B20" s="45">
        <f>'1854'!O26-'1854'!C26</f>
        <v>722.30000000000007</v>
      </c>
      <c r="C20" s="45">
        <f>'1855'!O26-'1855'!C26</f>
        <v>1030.1000000000001</v>
      </c>
      <c r="D20" s="45">
        <f>'1856'!O26-'1856'!C26</f>
        <v>904.2</v>
      </c>
      <c r="E20" s="45">
        <f>'1857'!O26-'1857'!C26</f>
        <v>1015.9000000000001</v>
      </c>
      <c r="F20" s="48"/>
    </row>
    <row r="21" spans="1:10">
      <c r="A21" s="44" t="s">
        <v>121</v>
      </c>
      <c r="B21" s="319">
        <f>SUM(B20:E20)</f>
        <v>3672.5000000000005</v>
      </c>
      <c r="C21" s="320"/>
      <c r="D21" s="320"/>
      <c r="E21" s="321"/>
      <c r="F21" s="84"/>
      <c r="G21" s="187">
        <f>1-B21/B22</f>
        <v>-4.3323863636363757E-2</v>
      </c>
    </row>
    <row r="22" spans="1:10">
      <c r="A22" s="44" t="s">
        <v>122</v>
      </c>
      <c r="B22" s="319">
        <f>'1854'!O29-'1854'!N35+'1854'!N33-'1854'!C29</f>
        <v>3520</v>
      </c>
      <c r="C22" s="320"/>
      <c r="D22" s="320"/>
      <c r="E22" s="321"/>
      <c r="F22" s="84"/>
    </row>
    <row r="23" spans="1:10">
      <c r="A23" s="179" t="s">
        <v>123</v>
      </c>
      <c r="B23" s="183"/>
      <c r="C23" s="183"/>
      <c r="D23" s="183"/>
      <c r="E23" s="184"/>
      <c r="F23" s="48"/>
    </row>
    <row r="24" spans="1:10">
      <c r="A24" s="44" t="s">
        <v>124</v>
      </c>
      <c r="B24" s="46">
        <f>'S1'!B24+'S2'!B24+'S3'!B24+'S4'!B24+'S5'!B24+'S6'!B24+'S7'!B24+'S8'!B24+'S9'!B24+'S10'!B24+'S11'!B24+'S12'!B24</f>
        <v>212.52299999999994</v>
      </c>
      <c r="C24" s="46">
        <f>'S1'!C24+'S2'!C24+'S3'!C24+'S4'!C24+'S5'!C24+'S6'!C24+'S7'!C24+'S8'!C24+'S9'!C24+'S10'!C24+'S11'!C24+'S12'!C24</f>
        <v>265.12600000000003</v>
      </c>
      <c r="D24" s="46">
        <f>'S1'!D24+'S2'!D24+'S3'!D24+'S4'!D24+'S5'!D24+'S6'!D24+'S7'!D24+'S8'!D24+'S9'!D24+'S10'!D24+'S11'!D24+'S12'!D24</f>
        <v>214.10000000000002</v>
      </c>
      <c r="E24" s="46">
        <f>'S1'!E24+'S2'!E24+'S3'!E24+'S4'!E24+'S5'!E24+'S6'!E24+'S7'!E24+'S8'!E24+'S9'!E24+'S10'!E24+'S11'!E24+'S12'!E24</f>
        <v>225.58099999999996</v>
      </c>
      <c r="F24" s="48"/>
      <c r="G24" s="187">
        <f>1-B24/B25</f>
        <v>4.7708025272214294E-2</v>
      </c>
      <c r="H24" s="187">
        <f t="shared" ref="H24:J24" si="3">1-C24/C25</f>
        <v>4.7679597701149268E-2</v>
      </c>
      <c r="I24" s="187">
        <f t="shared" si="3"/>
        <v>6.7021091162628554E-2</v>
      </c>
      <c r="J24" s="187">
        <f t="shared" si="3"/>
        <v>0.10216517412935344</v>
      </c>
    </row>
    <row r="25" spans="1:10">
      <c r="A25" s="44" t="s">
        <v>125</v>
      </c>
      <c r="B25" s="56">
        <f>('1854'!O27-'1854'!C27)</f>
        <v>223.17000000000002</v>
      </c>
      <c r="C25" s="56">
        <f>('1855'!O27-'1855'!C27)</f>
        <v>278.39999999999998</v>
      </c>
      <c r="D25" s="56">
        <f>('1856'!O27-'1856'!C27)</f>
        <v>229.48000000000002</v>
      </c>
      <c r="E25" s="56">
        <f>('1857'!O27-'1857'!C27)</f>
        <v>251.25</v>
      </c>
      <c r="F25" s="79"/>
    </row>
    <row r="26" spans="1:10">
      <c r="A26" s="179" t="s">
        <v>131</v>
      </c>
      <c r="B26" s="183"/>
      <c r="C26" s="183"/>
      <c r="D26" s="183"/>
      <c r="E26" s="184"/>
      <c r="F26" s="48"/>
    </row>
    <row r="27" spans="1:10">
      <c r="A27" s="44" t="s">
        <v>127</v>
      </c>
      <c r="B27" s="145">
        <f>'1854'!O25-'1854'!C25</f>
        <v>2508</v>
      </c>
      <c r="C27" s="145">
        <f>'1855'!O25-'1855'!C25</f>
        <v>3086</v>
      </c>
      <c r="D27" s="145">
        <f>'1856'!O25-'1856'!C25</f>
        <v>2575</v>
      </c>
      <c r="E27" s="145">
        <f>'1857'!O25-'1857'!C25</f>
        <v>2605</v>
      </c>
      <c r="F27" s="49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B1:B1048576 C1:F5 C23:F65536 C8:F20">
    <cfRule type="cellIs" dxfId="14" priority="13" stopIfTrue="1" operator="lessThan">
      <formula>0</formula>
    </cfRule>
  </conditionalFormatting>
  <conditionalFormatting sqref="G1:J2 G13:J17 G28:J65536">
    <cfRule type="cellIs" dxfId="13" priority="7" stopIfTrue="1" operator="lessThan">
      <formula>0</formula>
    </cfRule>
  </conditionalFormatting>
  <conditionalFormatting sqref="G1:J2 G13:J17 G28:J65536">
    <cfRule type="cellIs" dxfId="12" priority="6" stopIfTrue="1" operator="lessThan">
      <formula>0</formula>
    </cfRule>
  </conditionalFormatting>
  <conditionalFormatting sqref="G1:J2 G13:J17 G28:J65536">
    <cfRule type="cellIs" dxfId="11" priority="5" stopIfTrue="1" operator="lessThan">
      <formula>0</formula>
    </cfRule>
  </conditionalFormatting>
  <conditionalFormatting sqref="G1:J2 G13:J17 G28:J65536">
    <cfRule type="cellIs" dxfId="10" priority="4" stopIfTrue="1" operator="lessThan">
      <formula>0</formula>
    </cfRule>
  </conditionalFormatting>
  <conditionalFormatting sqref="G1:J2 G13:J17 G28:J65536">
    <cfRule type="cellIs" dxfId="9" priority="3" stopIfTrue="1" operator="lessThan">
      <formula>0</formula>
    </cfRule>
  </conditionalFormatting>
  <conditionalFormatting sqref="G1:J2 G13:H17 G28:J65536 I13:J13 I16:J17">
    <cfRule type="cellIs" dxfId="8" priority="2" stopIfTrue="1" operator="lessThan">
      <formula>0</formula>
    </cfRule>
  </conditionalFormatting>
  <conditionalFormatting sqref="B25:E25">
    <cfRule type="cellIs" dxfId="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32"/>
  <sheetViews>
    <sheetView tabSelected="1" workbookViewId="0">
      <selection activeCell="E4" sqref="E4"/>
    </sheetView>
  </sheetViews>
  <sheetFormatPr defaultColWidth="9" defaultRowHeight="18"/>
  <cols>
    <col min="1" max="1" width="36.28515625" style="41" customWidth="1"/>
    <col min="2" max="5" width="13.140625" style="41" customWidth="1"/>
    <col min="6" max="6" width="2.5703125" style="41" customWidth="1"/>
    <col min="7" max="7" width="11.42578125" style="41" customWidth="1"/>
    <col min="8" max="8" width="14.140625" style="41" customWidth="1"/>
    <col min="9" max="9" width="14.42578125" style="41" customWidth="1"/>
    <col min="10" max="11" width="9.85546875" style="41" customWidth="1"/>
    <col min="12" max="12" width="8.85546875" style="41" customWidth="1"/>
    <col min="13" max="13" width="5" style="41" customWidth="1"/>
    <col min="14" max="14" width="2.7109375" style="41" customWidth="1"/>
    <col min="15" max="15" width="8.140625" style="41" customWidth="1"/>
    <col min="16" max="16" width="5.7109375" style="41" customWidth="1"/>
    <col min="17" max="17" width="2.7109375" style="41" customWidth="1"/>
    <col min="18" max="19" width="7.7109375" style="41" customWidth="1"/>
    <col min="20" max="20" width="7.7109375" style="139" customWidth="1"/>
    <col min="21" max="21" width="11.42578125" style="139" customWidth="1"/>
    <col min="22" max="24" width="9.85546875" style="139" customWidth="1"/>
    <col min="25" max="29" width="9.85546875" style="41" customWidth="1"/>
    <col min="30" max="33" width="6.42578125" style="41" customWidth="1"/>
    <col min="34" max="16384" width="9" style="41"/>
  </cols>
  <sheetData>
    <row r="1" spans="1:26">
      <c r="A1" s="42" t="s">
        <v>150</v>
      </c>
      <c r="B1" s="43">
        <f>'S1'!B1</f>
        <v>2021</v>
      </c>
      <c r="C1" s="43"/>
      <c r="D1" s="43"/>
      <c r="E1" s="43"/>
      <c r="F1" s="43"/>
      <c r="O1" s="278"/>
    </row>
    <row r="2" spans="1:26">
      <c r="O2" s="278"/>
    </row>
    <row r="3" spans="1:26">
      <c r="A3" s="179" t="s">
        <v>118</v>
      </c>
      <c r="B3" s="178">
        <v>1850</v>
      </c>
      <c r="C3" s="178">
        <v>1851</v>
      </c>
      <c r="D3" s="178">
        <v>1852</v>
      </c>
      <c r="E3" s="178">
        <v>1853</v>
      </c>
      <c r="F3" s="78"/>
      <c r="H3" s="329"/>
      <c r="O3" s="278"/>
    </row>
    <row r="4" spans="1:26">
      <c r="A4" s="51" t="s">
        <v>119</v>
      </c>
      <c r="B4" s="46">
        <f>'S1'!B4+'S2'!B4+'S3'!B4+'S4'!B4+'S5'!B4+'S6'!B4+'S7'!B4+'S8'!B4+'S9'!B4+'S10'!B4+'S11'!B4+'S12'!B4</f>
        <v>667.80600000000015</v>
      </c>
      <c r="C4" s="46">
        <f>'S1'!C4+'S2'!C4+'S3'!C4+'S4'!C4+'S5'!C4+'S6'!C4+'S7'!C4+'S8'!C4+'S9'!C4+'S10'!C4+'S11'!C4+'S12'!C4</f>
        <v>1143.893</v>
      </c>
      <c r="D4" s="46">
        <f>'S1'!D4+'S2'!D4+'S3'!D4+'S4'!D4+'S5'!D4+'S6'!D4+'S7'!D4+'S8'!D4+'S9'!D4+'S10'!D4+'S11'!D4+'S12'!D4</f>
        <v>917.10199999999998</v>
      </c>
      <c r="E4" s="333">
        <f>'S1'!E4+'S2'!E4+'S3'!E4+'S4'!E4+'S5'!E4+'S6'!E4+'S7'!E4+'S8'!E4+'S9'!E4+'S10'!E4+'S11'!E4+'S12'!E4</f>
        <v>946.88900000000012</v>
      </c>
      <c r="F4" s="48"/>
      <c r="G4" s="325"/>
      <c r="H4" s="334">
        <f>'1853'!P24</f>
        <v>855.21300000000008</v>
      </c>
      <c r="I4" s="335" t="s">
        <v>381</v>
      </c>
      <c r="J4" s="336"/>
      <c r="K4" s="326"/>
      <c r="O4" s="330"/>
    </row>
    <row r="5" spans="1:26">
      <c r="A5" s="51" t="s">
        <v>120</v>
      </c>
      <c r="B5" s="45">
        <f>'1850'!O26-'1850'!C26</f>
        <v>753.69999999999993</v>
      </c>
      <c r="C5" s="45">
        <f>'1851'!P26-'1851'!D26</f>
        <v>1222.8</v>
      </c>
      <c r="D5" s="45">
        <f>'1852'!O26-'1852'!C26</f>
        <v>1105.4000000000001</v>
      </c>
      <c r="E5" s="147">
        <f>'1853'!O27-'1853'!C27</f>
        <v>1030.1999999999998</v>
      </c>
      <c r="F5" s="79"/>
      <c r="G5" s="80" t="s">
        <v>151</v>
      </c>
      <c r="H5" s="327">
        <f>E5-C15</f>
        <v>938.19999999999982</v>
      </c>
      <c r="I5" s="328" t="s">
        <v>152</v>
      </c>
      <c r="J5" s="328" t="s">
        <v>153</v>
      </c>
      <c r="K5" s="83" t="s">
        <v>154</v>
      </c>
      <c r="O5" s="331" t="s">
        <v>380</v>
      </c>
    </row>
    <row r="6" spans="1:26">
      <c r="A6" s="51" t="s">
        <v>121</v>
      </c>
      <c r="B6" s="319">
        <f>SUM(B5:E5)</f>
        <v>4112.1000000000004</v>
      </c>
      <c r="C6" s="320"/>
      <c r="D6" s="320"/>
      <c r="E6" s="321"/>
      <c r="F6" s="84"/>
      <c r="G6" s="80" t="s">
        <v>155</v>
      </c>
      <c r="H6" s="81">
        <f>C15</f>
        <v>92</v>
      </c>
      <c r="I6" s="82" t="s">
        <v>156</v>
      </c>
      <c r="J6" s="82" t="s">
        <v>157</v>
      </c>
      <c r="K6" s="85" t="s">
        <v>158</v>
      </c>
      <c r="O6" s="342">
        <f>B6-H6</f>
        <v>4020.1000000000004</v>
      </c>
      <c r="P6" s="343" t="s">
        <v>384</v>
      </c>
    </row>
    <row r="7" spans="1:26">
      <c r="A7" s="51" t="s">
        <v>122</v>
      </c>
      <c r="B7" s="322">
        <f>'1850'!O29-'1850'!C29</f>
        <v>4316</v>
      </c>
      <c r="C7" s="323"/>
      <c r="D7" s="323"/>
      <c r="E7" s="324"/>
      <c r="F7" s="84"/>
      <c r="G7" s="86" t="s">
        <v>151</v>
      </c>
      <c r="H7" s="87">
        <f>B7-C15</f>
        <v>4224</v>
      </c>
      <c r="I7" s="88" t="s">
        <v>159</v>
      </c>
      <c r="J7" s="88"/>
      <c r="K7" s="83" t="s">
        <v>154</v>
      </c>
      <c r="O7" s="332">
        <f>3871+'1850'!O35</f>
        <v>4224</v>
      </c>
    </row>
    <row r="8" spans="1:26">
      <c r="A8" s="179" t="s">
        <v>123</v>
      </c>
      <c r="B8" s="183"/>
      <c r="C8" s="183"/>
      <c r="D8" s="183"/>
      <c r="E8" s="184"/>
      <c r="F8" s="48"/>
      <c r="G8" s="86" t="s">
        <v>155</v>
      </c>
      <c r="H8" s="87">
        <f>C15</f>
        <v>92</v>
      </c>
      <c r="I8" s="88" t="s">
        <v>156</v>
      </c>
      <c r="J8" s="88"/>
      <c r="K8" s="83" t="s">
        <v>158</v>
      </c>
    </row>
    <row r="9" spans="1:26">
      <c r="A9" s="44" t="s">
        <v>124</v>
      </c>
      <c r="B9" s="46">
        <f>'S1'!B9+'S2'!B9+'S3'!B9+'S4'!B9+'S5'!B9+'S6'!B9+'S7'!B9+'S8'!B9+'S9'!B9+'S10'!B9+'S11'!B9+'S12'!B9</f>
        <v>189.77400000000003</v>
      </c>
      <c r="C9" s="46">
        <f>'S1'!C9+'S2'!C9+'S3'!C9+'S4'!C9+'S5'!C9+'S6'!C9+'S7'!C9+'S8'!C9+'S9'!C9+'S10'!C9+'S11'!C9+'S12'!C9</f>
        <v>277.488</v>
      </c>
      <c r="D9" s="46">
        <f>'S1'!D9+'S2'!D9+'S3'!D9+'S4'!D9+'S5'!D9+'S6'!D9+'S7'!D9+'S8'!D9+'S9'!D9+'S10'!D9+'S11'!D9+'S12'!D9</f>
        <v>254.79299999999998</v>
      </c>
      <c r="E9" s="46">
        <f>'S1'!E9+'S2'!E9+'S3'!E9+'S4'!E9+'S5'!E9+'S6'!E9+'S7'!E9+'S8'!E9+'S9'!E9+'S10'!E9+'S11'!E9+'S12'!E9</f>
        <v>206.18899999999999</v>
      </c>
      <c r="F9" s="48"/>
      <c r="O9" s="186" t="s">
        <v>350</v>
      </c>
      <c r="T9" s="188"/>
    </row>
    <row r="10" spans="1:26">
      <c r="A10" s="44" t="s">
        <v>125</v>
      </c>
      <c r="B10" s="56">
        <f>('1850'!O27-'1850'!C27)*3.6</f>
        <v>213.804</v>
      </c>
      <c r="C10" s="56">
        <f>('1851'!P27-'1851'!D27)*3.6</f>
        <v>331.77600000000001</v>
      </c>
      <c r="D10" s="56">
        <f>('1852'!O27-'1852'!C27)*3.6</f>
        <v>256.89600000000007</v>
      </c>
      <c r="E10" s="56">
        <f>('1853'!O28-'1853'!C28)*3.6</f>
        <v>246.81600000000006</v>
      </c>
      <c r="F10" s="79"/>
      <c r="I10" s="130" t="s">
        <v>176</v>
      </c>
      <c r="N10" s="257"/>
      <c r="O10" s="275" t="s">
        <v>186</v>
      </c>
      <c r="P10" s="257"/>
      <c r="Q10" s="188"/>
      <c r="R10" s="277" t="s">
        <v>352</v>
      </c>
      <c r="V10" s="41"/>
      <c r="W10" s="41"/>
      <c r="X10" s="41"/>
    </row>
    <row r="11" spans="1:26" ht="18.75" thickBot="1">
      <c r="A11" s="179" t="s">
        <v>131</v>
      </c>
      <c r="B11" s="183"/>
      <c r="C11" s="183"/>
      <c r="D11" s="183"/>
      <c r="E11" s="184"/>
      <c r="F11" s="48"/>
      <c r="I11" s="139" t="s">
        <v>180</v>
      </c>
      <c r="J11" s="141" t="s">
        <v>181</v>
      </c>
      <c r="K11" s="141" t="s">
        <v>182</v>
      </c>
      <c r="L11" s="142" t="s">
        <v>178</v>
      </c>
      <c r="M11" s="140"/>
      <c r="N11"/>
      <c r="O11" s="117" t="s">
        <v>169</v>
      </c>
      <c r="Q11" s="188"/>
      <c r="R11" s="139" t="s">
        <v>377</v>
      </c>
      <c r="V11" s="41"/>
      <c r="W11" s="41"/>
      <c r="X11" s="41"/>
    </row>
    <row r="12" spans="1:26">
      <c r="A12" s="44" t="s">
        <v>127</v>
      </c>
      <c r="B12" s="144">
        <f>'1850'!O25-'1850'!C25</f>
        <v>2844</v>
      </c>
      <c r="C12" s="145">
        <f>'1851'!P24-'1851'!I70+'1851'!I69-'1851'!D24</f>
        <v>3372</v>
      </c>
      <c r="D12" s="145">
        <f>'1852'!O25-'1852'!H37+'1852'!H36-'1852'!C25</f>
        <v>3429</v>
      </c>
      <c r="E12" s="145">
        <f>'1853'!O24-'1853'!H37+'1853'!H36-'1853'!C24</f>
        <v>2188</v>
      </c>
      <c r="F12" s="49"/>
      <c r="H12" s="267" t="s">
        <v>336</v>
      </c>
      <c r="I12" s="259" t="s">
        <v>330</v>
      </c>
      <c r="J12" s="222">
        <v>4.492</v>
      </c>
      <c r="K12" s="222">
        <v>7.2720000000000002</v>
      </c>
      <c r="L12" s="222">
        <f>K12-J12</f>
        <v>2.7800000000000002</v>
      </c>
      <c r="M12" s="223" t="s">
        <v>166</v>
      </c>
      <c r="N12" s="57"/>
      <c r="O12" s="128">
        <f>L$29/L$28*L12</f>
        <v>2.8891273651510874</v>
      </c>
      <c r="P12" s="129" t="s">
        <v>166</v>
      </c>
      <c r="Q12" s="188"/>
      <c r="R12" s="266" t="s">
        <v>181</v>
      </c>
      <c r="S12" s="266" t="s">
        <v>182</v>
      </c>
      <c r="T12" s="266" t="s">
        <v>178</v>
      </c>
      <c r="W12" s="41"/>
      <c r="X12" s="41"/>
    </row>
    <row r="13" spans="1:26">
      <c r="A13" s="48"/>
      <c r="B13" s="50"/>
      <c r="C13" s="50"/>
      <c r="D13" s="50"/>
      <c r="E13" s="50"/>
      <c r="F13" s="49"/>
      <c r="G13" s="49"/>
      <c r="H13" s="267" t="s">
        <v>337</v>
      </c>
      <c r="I13" s="260" t="s">
        <v>330</v>
      </c>
      <c r="J13" s="261">
        <v>40.445</v>
      </c>
      <c r="K13" s="261">
        <v>41.164000000000001</v>
      </c>
      <c r="L13" s="282">
        <f>K13-J13</f>
        <v>0.71900000000000119</v>
      </c>
      <c r="M13" s="262" t="s">
        <v>166</v>
      </c>
      <c r="N13" s="57"/>
      <c r="O13" s="128">
        <f t="shared" ref="O13:O27" si="0">L$29/L$28*L13</f>
        <v>0.74722394803727887</v>
      </c>
      <c r="P13" s="129" t="s">
        <v>166</v>
      </c>
      <c r="Q13" s="188"/>
      <c r="R13" s="139">
        <v>12.840999999999999</v>
      </c>
      <c r="S13" s="139">
        <v>16.34</v>
      </c>
      <c r="T13" s="139">
        <f>S13-R13</f>
        <v>3.4990000000000006</v>
      </c>
      <c r="W13" s="41"/>
      <c r="X13" s="41"/>
    </row>
    <row r="14" spans="1:26">
      <c r="A14" s="48" t="s">
        <v>128</v>
      </c>
      <c r="B14" s="146">
        <f>'1853'!O25-'1853'!H40+'1853'!H39-'1853'!C25</f>
        <v>3926</v>
      </c>
      <c r="C14" s="50"/>
      <c r="D14" s="50"/>
      <c r="E14" s="50"/>
      <c r="F14" s="49"/>
      <c r="H14" s="267" t="s">
        <v>338</v>
      </c>
      <c r="I14" s="260" t="s">
        <v>190</v>
      </c>
      <c r="J14" s="261">
        <v>69.849999999999994</v>
      </c>
      <c r="K14" s="261">
        <v>81.206000000000003</v>
      </c>
      <c r="L14" s="261">
        <f>K14-J14</f>
        <v>11.356000000000009</v>
      </c>
      <c r="M14" s="262" t="s">
        <v>166</v>
      </c>
      <c r="N14" s="57"/>
      <c r="O14" s="128">
        <f t="shared" si="0"/>
        <v>11.801773510307832</v>
      </c>
      <c r="P14" s="129" t="s">
        <v>166</v>
      </c>
      <c r="Q14" s="188"/>
      <c r="W14" s="41"/>
      <c r="X14" s="41"/>
    </row>
    <row r="15" spans="1:26">
      <c r="A15" s="48" t="s">
        <v>129</v>
      </c>
      <c r="B15" s="252">
        <f>'1853'!O26-'1853'!D26</f>
        <v>91.675999999999988</v>
      </c>
      <c r="C15" s="90">
        <v>92</v>
      </c>
      <c r="D15" s="50"/>
      <c r="E15" s="89" t="s">
        <v>335</v>
      </c>
      <c r="F15" s="89"/>
      <c r="G15" s="257"/>
      <c r="H15" s="267" t="s">
        <v>339</v>
      </c>
      <c r="I15" s="260" t="s">
        <v>189</v>
      </c>
      <c r="J15" s="261">
        <v>27.4</v>
      </c>
      <c r="K15" s="261">
        <v>40.957999999999998</v>
      </c>
      <c r="L15" s="261">
        <f>K15-J15</f>
        <v>13.558</v>
      </c>
      <c r="M15" s="262" t="s">
        <v>166</v>
      </c>
      <c r="N15" s="57"/>
      <c r="O15" s="128">
        <f t="shared" si="0"/>
        <v>14.090211804574979</v>
      </c>
      <c r="P15" s="129" t="s">
        <v>166</v>
      </c>
      <c r="Q15" s="188"/>
      <c r="S15" s="287"/>
      <c r="T15" s="287"/>
      <c r="W15" s="41"/>
      <c r="X15" s="41"/>
    </row>
    <row r="16" spans="1:26">
      <c r="A16" s="279" t="s">
        <v>353</v>
      </c>
      <c r="B16" s="280">
        <f>C15-B15</f>
        <v>0.32400000000001228</v>
      </c>
      <c r="C16" s="50"/>
      <c r="D16" s="50"/>
      <c r="E16" s="50"/>
      <c r="F16" s="49"/>
      <c r="G16" s="49"/>
      <c r="H16" s="267" t="s">
        <v>340</v>
      </c>
      <c r="I16" s="260" t="s">
        <v>332</v>
      </c>
      <c r="J16" s="261">
        <v>5.86</v>
      </c>
      <c r="K16" s="261">
        <v>9.6519999999999992</v>
      </c>
      <c r="L16" s="261">
        <f>K16-J16</f>
        <v>3.7919999999999989</v>
      </c>
      <c r="M16" s="262" t="s">
        <v>166</v>
      </c>
      <c r="N16" s="57"/>
      <c r="O16" s="128">
        <f t="shared" si="0"/>
        <v>3.9408528664219138</v>
      </c>
      <c r="P16" s="129" t="s">
        <v>166</v>
      </c>
      <c r="Q16" s="188"/>
      <c r="W16" s="49"/>
      <c r="X16" s="49"/>
      <c r="Y16" s="49"/>
      <c r="Z16" s="49"/>
    </row>
    <row r="17" spans="1:24">
      <c r="B17" s="143"/>
      <c r="C17" s="143"/>
      <c r="D17" s="143"/>
      <c r="E17" s="143"/>
      <c r="H17" s="267" t="s">
        <v>341</v>
      </c>
      <c r="I17" s="260" t="s">
        <v>333</v>
      </c>
      <c r="J17" s="261">
        <v>2.39</v>
      </c>
      <c r="K17" s="261">
        <v>4.9340000000000002</v>
      </c>
      <c r="L17" s="261">
        <f t="shared" ref="L17:L18" si="1">K17-J17</f>
        <v>2.544</v>
      </c>
      <c r="M17" s="262" t="s">
        <v>166</v>
      </c>
      <c r="N17" s="57"/>
      <c r="O17" s="128">
        <f t="shared" si="0"/>
        <v>2.6438633154476139</v>
      </c>
      <c r="P17" s="129" t="s">
        <v>166</v>
      </c>
      <c r="Q17" s="189"/>
      <c r="W17" s="41"/>
      <c r="X17" s="41"/>
    </row>
    <row r="18" spans="1:24">
      <c r="A18" s="177" t="s">
        <v>118</v>
      </c>
      <c r="B18" s="185">
        <v>1854</v>
      </c>
      <c r="C18" s="185">
        <v>1855</v>
      </c>
      <c r="D18" s="185">
        <v>1856</v>
      </c>
      <c r="E18" s="185">
        <v>1857</v>
      </c>
      <c r="F18" s="78"/>
      <c r="H18" s="267" t="s">
        <v>342</v>
      </c>
      <c r="I18" s="260" t="s">
        <v>334</v>
      </c>
      <c r="J18" s="261">
        <v>3.5859999999999999</v>
      </c>
      <c r="K18" s="261">
        <v>4.5119999999999996</v>
      </c>
      <c r="L18" s="261">
        <f t="shared" si="1"/>
        <v>0.92599999999999971</v>
      </c>
      <c r="M18" s="262" t="s">
        <v>166</v>
      </c>
      <c r="N18" s="57"/>
      <c r="O18" s="128">
        <f t="shared" si="0"/>
        <v>0.96234961875176472</v>
      </c>
      <c r="P18" s="129" t="s">
        <v>166</v>
      </c>
      <c r="Q18" s="189"/>
      <c r="W18" s="41"/>
      <c r="X18" s="41"/>
    </row>
    <row r="19" spans="1:24">
      <c r="A19" s="44" t="s">
        <v>119</v>
      </c>
      <c r="B19" s="46">
        <f>'S1'!B19+'S2'!B19+'S3'!B19+'S4'!B19+'S5'!B19+'S6'!B19+'S7'!B19+'S8'!B19+'S9'!B19+'S10'!B19+'S11'!B19+'S12'!B19</f>
        <v>662.4219999999998</v>
      </c>
      <c r="C19" s="46">
        <f>'S1'!C19+'S2'!C19+'S3'!C19+'S4'!C19+'S5'!C19+'S6'!C19+'S7'!C19+'S8'!C19+'S9'!C19+'S10'!C19+'S11'!C19+'S12'!C19</f>
        <v>904.30099999999993</v>
      </c>
      <c r="D19" s="46">
        <f>'S1'!D19+'S2'!D19+'S3'!D19+'S4'!D19+'S5'!D19+'S6'!D19+'S7'!D19+'S8'!D19+'S9'!D19+'S10'!D19+'S11'!D19+'S12'!D19</f>
        <v>821.78099999999972</v>
      </c>
      <c r="E19" s="46">
        <f>'S1'!E19+'S2'!E19+'S3'!E19+'S4'!E19+'S5'!E19+'S6'!E19+'S7'!E19+'S8'!E19+'S9'!E19+'S10'!E19+'S11'!E19+'S12'!E19</f>
        <v>924.8090000000002</v>
      </c>
      <c r="F19" s="48"/>
      <c r="H19" s="267" t="s">
        <v>343</v>
      </c>
      <c r="I19" s="260" t="s">
        <v>331</v>
      </c>
      <c r="J19" s="263">
        <v>17.82</v>
      </c>
      <c r="K19" s="263">
        <v>19.815999999999999</v>
      </c>
      <c r="L19" s="261">
        <f t="shared" ref="L19:L26" si="2">K19-J19</f>
        <v>1.9959999999999987</v>
      </c>
      <c r="M19" s="262" t="s">
        <v>166</v>
      </c>
      <c r="N19" s="57"/>
      <c r="O19" s="128">
        <f t="shared" si="0"/>
        <v>2.0743518780005634</v>
      </c>
      <c r="P19" s="129" t="s">
        <v>166</v>
      </c>
      <c r="Q19" s="189"/>
      <c r="W19" s="41"/>
      <c r="X19" s="41"/>
    </row>
    <row r="20" spans="1:24">
      <c r="A20" s="44" t="s">
        <v>120</v>
      </c>
      <c r="B20" s="45">
        <f>'1854'!O26-'1854'!C26</f>
        <v>722.30000000000007</v>
      </c>
      <c r="C20" s="45">
        <f>'1855'!O26-'1855'!C26</f>
        <v>1030.1000000000001</v>
      </c>
      <c r="D20" s="45">
        <f>'1856'!O26-'1856'!C26</f>
        <v>904.2</v>
      </c>
      <c r="E20" s="45">
        <f>'1857'!O26-'1857'!C26</f>
        <v>1015.9000000000001</v>
      </c>
      <c r="F20" s="48"/>
      <c r="H20" s="267" t="s">
        <v>344</v>
      </c>
      <c r="I20" s="260" t="s">
        <v>171</v>
      </c>
      <c r="J20" s="261">
        <v>299.375</v>
      </c>
      <c r="K20" s="261">
        <v>334.346</v>
      </c>
      <c r="L20" s="261">
        <f t="shared" si="2"/>
        <v>34.971000000000004</v>
      </c>
      <c r="M20" s="262" t="s">
        <v>166</v>
      </c>
      <c r="N20" s="57"/>
      <c r="O20" s="128">
        <f t="shared" si="0"/>
        <v>36.343767297373631</v>
      </c>
      <c r="P20" s="129" t="s">
        <v>166</v>
      </c>
      <c r="Q20" s="139"/>
      <c r="W20" s="41"/>
      <c r="X20" s="41"/>
    </row>
    <row r="21" spans="1:24">
      <c r="A21" s="44" t="s">
        <v>121</v>
      </c>
      <c r="B21" s="319">
        <f>SUM(B20:E20)</f>
        <v>3672.5000000000005</v>
      </c>
      <c r="C21" s="320"/>
      <c r="D21" s="320"/>
      <c r="E21" s="321"/>
      <c r="F21" s="84"/>
      <c r="H21" s="267" t="s">
        <v>345</v>
      </c>
      <c r="I21" s="264" t="s">
        <v>191</v>
      </c>
      <c r="J21" s="261">
        <v>10.773999999999999</v>
      </c>
      <c r="K21" s="261">
        <v>12.875999999999999</v>
      </c>
      <c r="L21" s="261">
        <f t="shared" si="2"/>
        <v>2.1020000000000003</v>
      </c>
      <c r="M21" s="262" t="s">
        <v>166</v>
      </c>
      <c r="N21" s="57"/>
      <c r="O21" s="128">
        <f t="shared" si="0"/>
        <v>2.184512849477549</v>
      </c>
      <c r="P21" s="129" t="s">
        <v>166</v>
      </c>
      <c r="Q21" s="139"/>
      <c r="W21" s="41"/>
      <c r="X21" s="41"/>
    </row>
    <row r="22" spans="1:24">
      <c r="A22" s="44" t="s">
        <v>122</v>
      </c>
      <c r="B22" s="319">
        <f>'1854'!O29-'1854'!N35+'1854'!N33-'1854'!C29</f>
        <v>3520</v>
      </c>
      <c r="C22" s="320"/>
      <c r="D22" s="320"/>
      <c r="E22" s="321"/>
      <c r="F22" s="84"/>
      <c r="H22" s="267" t="s">
        <v>346</v>
      </c>
      <c r="I22" s="260" t="s">
        <v>172</v>
      </c>
      <c r="J22" s="261">
        <v>48.081000000000003</v>
      </c>
      <c r="K22" s="261">
        <v>54.473999999999997</v>
      </c>
      <c r="L22" s="261">
        <f t="shared" si="2"/>
        <v>6.3929999999999936</v>
      </c>
      <c r="M22" s="262" t="s">
        <v>166</v>
      </c>
      <c r="N22" s="57"/>
      <c r="O22" s="128">
        <f t="shared" si="0"/>
        <v>6.6439536853995982</v>
      </c>
      <c r="P22" s="129" t="s">
        <v>166</v>
      </c>
      <c r="Q22" s="139"/>
      <c r="W22" s="41"/>
      <c r="X22" s="41"/>
    </row>
    <row r="23" spans="1:24">
      <c r="A23" s="179" t="s">
        <v>123</v>
      </c>
      <c r="B23" s="183"/>
      <c r="C23" s="183"/>
      <c r="D23" s="183"/>
      <c r="E23" s="184"/>
      <c r="F23" s="48"/>
      <c r="H23" s="267" t="s">
        <v>378</v>
      </c>
      <c r="I23" s="260" t="s">
        <v>379</v>
      </c>
      <c r="J23" s="261">
        <v>0</v>
      </c>
      <c r="K23" s="261">
        <v>0</v>
      </c>
      <c r="L23" s="265">
        <f t="shared" si="2"/>
        <v>0</v>
      </c>
      <c r="M23" s="262" t="s">
        <v>166</v>
      </c>
      <c r="N23" s="57"/>
      <c r="O23" s="128">
        <f t="shared" si="0"/>
        <v>0</v>
      </c>
      <c r="P23" s="129" t="s">
        <v>166</v>
      </c>
      <c r="Q23" s="139"/>
      <c r="R23" s="277" t="s">
        <v>352</v>
      </c>
      <c r="W23" s="41"/>
      <c r="X23" s="41"/>
    </row>
    <row r="24" spans="1:24">
      <c r="A24" s="44" t="s">
        <v>124</v>
      </c>
      <c r="B24" s="46">
        <f>'S1'!B24+'S2'!B24+'S3'!B24+'S4'!B24+'S5'!B24+'S6'!B24+'S7'!B24+'S8'!B24+'S9'!B24+'S10'!B24+'S11'!B24+'S12'!B24</f>
        <v>212.52299999999994</v>
      </c>
      <c r="C24" s="46">
        <f>'S1'!C24+'S2'!C24+'S3'!C24+'S4'!C24+'S5'!C24+'S6'!C24+'S7'!C24+'S8'!C24+'S9'!C24+'S10'!C24+'S11'!C24+'S12'!C24</f>
        <v>265.12600000000003</v>
      </c>
      <c r="D24" s="46">
        <f>'S1'!D24+'S2'!D24+'S3'!D24+'S4'!D24+'S5'!D24+'S6'!D24+'S7'!D24+'S8'!D24+'S9'!D24+'S10'!D24+'S11'!D24+'S12'!D24</f>
        <v>214.10000000000002</v>
      </c>
      <c r="E24" s="46">
        <f>'S1'!E24+'S2'!E24+'S3'!E24+'S4'!E24+'S5'!E24+'S6'!E24+'S7'!E24+'S8'!E24+'S9'!E24+'S10'!E24+'S11'!E24+'S12'!E24</f>
        <v>225.58099999999996</v>
      </c>
      <c r="F24" s="48"/>
      <c r="H24" s="267" t="s">
        <v>347</v>
      </c>
      <c r="I24" s="264" t="s">
        <v>187</v>
      </c>
      <c r="J24" s="261">
        <v>0</v>
      </c>
      <c r="K24" s="261">
        <v>3.0870000000000002</v>
      </c>
      <c r="L24" s="261">
        <f t="shared" si="2"/>
        <v>3.0870000000000002</v>
      </c>
      <c r="M24" s="262" t="s">
        <v>166</v>
      </c>
      <c r="N24" s="57"/>
      <c r="O24" s="128">
        <f t="shared" si="0"/>
        <v>3.2081784806551825</v>
      </c>
      <c r="P24" s="129" t="s">
        <v>166</v>
      </c>
      <c r="Q24" s="139"/>
      <c r="R24" s="139" t="s">
        <v>351</v>
      </c>
      <c r="W24" s="41"/>
      <c r="X24" s="41"/>
    </row>
    <row r="25" spans="1:24">
      <c r="A25" s="44" t="s">
        <v>125</v>
      </c>
      <c r="B25" s="56">
        <f>('1854'!O27-'1854'!C27)</f>
        <v>223.17000000000002</v>
      </c>
      <c r="C25" s="56">
        <f>('1855'!O27-'1855'!C27)</f>
        <v>278.39999999999998</v>
      </c>
      <c r="D25" s="56">
        <f>('1856'!O27-'1856'!C27)</f>
        <v>229.48000000000002</v>
      </c>
      <c r="E25" s="56">
        <f>('1857'!O27-'1857'!C27)</f>
        <v>251.25</v>
      </c>
      <c r="F25" s="79"/>
      <c r="H25" s="267" t="s">
        <v>348</v>
      </c>
      <c r="I25" s="264" t="s">
        <v>188</v>
      </c>
      <c r="J25" s="261">
        <v>0</v>
      </c>
      <c r="K25" s="261">
        <v>2.7559999999999998</v>
      </c>
      <c r="L25" s="261">
        <f t="shared" si="2"/>
        <v>2.7559999999999998</v>
      </c>
      <c r="M25" s="262" t="s">
        <v>166</v>
      </c>
      <c r="N25" s="57"/>
      <c r="O25" s="128">
        <f t="shared" si="0"/>
        <v>2.8641852584015814</v>
      </c>
      <c r="P25" s="129" t="s">
        <v>166</v>
      </c>
      <c r="Q25" s="139"/>
      <c r="R25" s="266" t="s">
        <v>181</v>
      </c>
      <c r="S25" s="266" t="s">
        <v>182</v>
      </c>
      <c r="T25" s="266" t="s">
        <v>178</v>
      </c>
      <c r="U25" s="276"/>
      <c r="W25" s="41"/>
      <c r="X25" s="41"/>
    </row>
    <row r="26" spans="1:24" ht="18.75" thickBot="1">
      <c r="A26" s="179" t="s">
        <v>131</v>
      </c>
      <c r="B26" s="183"/>
      <c r="C26" s="183"/>
      <c r="D26" s="183"/>
      <c r="E26" s="184"/>
      <c r="F26" s="48"/>
      <c r="H26" s="270" t="s">
        <v>349</v>
      </c>
      <c r="I26" s="271" t="s">
        <v>170</v>
      </c>
      <c r="J26" s="272">
        <v>0</v>
      </c>
      <c r="K26" s="272">
        <v>0.59499999999999997</v>
      </c>
      <c r="L26" s="272">
        <f t="shared" si="2"/>
        <v>0.59499999999999997</v>
      </c>
      <c r="M26" s="273" t="s">
        <v>166</v>
      </c>
      <c r="N26" s="57"/>
      <c r="O26" s="274">
        <f t="shared" si="0"/>
        <v>0.61835639649816432</v>
      </c>
      <c r="P26" s="129" t="s">
        <v>166</v>
      </c>
      <c r="Q26" s="139"/>
      <c r="R26" s="139">
        <v>105.809</v>
      </c>
      <c r="S26" s="139">
        <v>112.247</v>
      </c>
      <c r="T26" s="139">
        <f>S26-R26</f>
        <v>6.4380000000000024</v>
      </c>
      <c r="V26" s="41"/>
      <c r="W26" s="41"/>
      <c r="X26" s="41"/>
    </row>
    <row r="27" spans="1:24" ht="18.75" thickBot="1">
      <c r="A27" s="44" t="s">
        <v>127</v>
      </c>
      <c r="B27" s="145">
        <f>'1854'!O25-'1854'!C25</f>
        <v>2508</v>
      </c>
      <c r="C27" s="145">
        <f>'1855'!O25-'1855'!C25</f>
        <v>3086</v>
      </c>
      <c r="D27" s="145">
        <f>'1856'!O25-'1856'!C25</f>
        <v>2575</v>
      </c>
      <c r="E27" s="145">
        <f>'1857'!O25-'1857'!C25</f>
        <v>2605</v>
      </c>
      <c r="F27" s="49"/>
      <c r="H27" s="267" t="s">
        <v>173</v>
      </c>
      <c r="I27" s="258"/>
      <c r="J27" s="268">
        <v>77.650000000000006</v>
      </c>
      <c r="K27" s="268">
        <v>78.599999999999994</v>
      </c>
      <c r="L27" s="268">
        <f t="shared" ref="L27" si="3">K27-J27</f>
        <v>0.94999999999998863</v>
      </c>
      <c r="M27" s="269" t="s">
        <v>166</v>
      </c>
      <c r="N27" s="57"/>
      <c r="O27" s="128">
        <f t="shared" si="0"/>
        <v>0.98729172550125899</v>
      </c>
      <c r="P27" s="129" t="s">
        <v>166</v>
      </c>
      <c r="Q27" s="139"/>
      <c r="R27" s="139"/>
      <c r="S27" s="139"/>
      <c r="V27" s="41"/>
      <c r="W27" s="41"/>
      <c r="X27" s="41"/>
    </row>
    <row r="28" spans="1:24">
      <c r="I28" s="119" t="s">
        <v>177</v>
      </c>
      <c r="J28" s="119"/>
      <c r="K28" s="119"/>
      <c r="L28" s="119">
        <f>SUM(L12:L27)</f>
        <v>88.524999999999991</v>
      </c>
      <c r="M28" s="120" t="s">
        <v>166</v>
      </c>
      <c r="N28" s="118"/>
      <c r="O28" s="118"/>
      <c r="P28" s="49"/>
      <c r="Q28" s="139"/>
      <c r="R28" s="139"/>
      <c r="S28" s="139"/>
      <c r="V28" s="41"/>
      <c r="W28" s="41"/>
      <c r="X28" s="41"/>
    </row>
    <row r="29" spans="1:24">
      <c r="I29" s="121" t="s">
        <v>174</v>
      </c>
      <c r="J29" s="122"/>
      <c r="K29" s="122"/>
      <c r="L29" s="123">
        <f>C15</f>
        <v>92</v>
      </c>
      <c r="M29" s="124" t="s">
        <v>166</v>
      </c>
      <c r="N29"/>
      <c r="O29" s="127">
        <f>SUM(O12:O27)</f>
        <v>91.999999999999986</v>
      </c>
      <c r="P29" s="49"/>
      <c r="Q29" s="139"/>
      <c r="R29" s="139"/>
      <c r="S29" s="139"/>
      <c r="V29" s="41"/>
      <c r="W29" s="41"/>
      <c r="X29" s="41"/>
    </row>
    <row r="30" spans="1:24">
      <c r="I30"/>
      <c r="J30"/>
      <c r="K30" s="30" t="s">
        <v>175</v>
      </c>
      <c r="L30" s="126">
        <f>L29-L28</f>
        <v>3.4750000000000085</v>
      </c>
      <c r="M30" s="125" t="s">
        <v>166</v>
      </c>
      <c r="N30"/>
      <c r="O30"/>
      <c r="Q30" s="139"/>
      <c r="R30" s="139"/>
      <c r="S30" s="139"/>
      <c r="V30" s="41"/>
      <c r="W30" s="41"/>
      <c r="X30" s="41"/>
    </row>
    <row r="31" spans="1:24">
      <c r="J31" s="149"/>
      <c r="K31" s="149"/>
      <c r="L31" s="141"/>
      <c r="M31" s="141"/>
      <c r="Q31" s="139"/>
      <c r="R31" s="139"/>
      <c r="S31" s="139"/>
      <c r="V31" s="41"/>
      <c r="W31" s="41"/>
      <c r="X31" s="41"/>
    </row>
    <row r="32" spans="1:24">
      <c r="S32" s="139"/>
      <c r="X32" s="41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I17:L18 I19:I20 M16 I23:M23 Q18:Q20 R35:S65543 S32 Q31 U33:U65537 T32:T65538 R29:R31 B1:B1048576 C1:F5 C23:F65536 G1:U2 G28:G65536 G13 G16:G17 C8:F20 H28:H65537 I33:J65538 K34:K65538 Q36:R65544 S37:S65544 I27:M29 P26:P30 Q34:Q65543 L35:P65545 N23:N29 G4:G8 M12:M13 I12:I16 J20:L20 J12:K12 J14:J18 J14:K16">
    <cfRule type="cellIs" dxfId="7" priority="9" stopIfTrue="1" operator="lessThan">
      <formula>0</formula>
    </cfRule>
  </conditionalFormatting>
  <conditionalFormatting sqref="S15:T15">
    <cfRule type="cellIs" dxfId="6" priority="2" stopIfTrue="1" operator="lessThan">
      <formula>0</formula>
    </cfRule>
  </conditionalFormatting>
  <conditionalFormatting sqref="J14:K14">
    <cfRule type="cellIs" dxfId="5" priority="1" stopIfTrue="1" operator="lessThan">
      <formula>0</formula>
    </cfRule>
  </conditionalFormatting>
  <pageMargins left="0.37" right="0.28000000000000003" top="0.78740157480314965" bottom="0.78740157480314965" header="0.53" footer="0.51181102362204722"/>
  <pageSetup paperSize="9" scale="77" firstPageNumber="0" orientation="landscape" horizontalDpi="300" verticalDpi="300" r:id="rId1"/>
  <headerFooter alignWithMargins="0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M6" sqref="M6:N27"/>
    </sheetView>
  </sheetViews>
  <sheetFormatPr defaultRowHeight="15"/>
  <cols>
    <col min="1" max="1" width="6.28515625" customWidth="1"/>
    <col min="2" max="2" width="8.85546875" customWidth="1"/>
  </cols>
  <sheetData>
    <row r="1" spans="1:14">
      <c r="A1" s="154" t="s">
        <v>325</v>
      </c>
    </row>
    <row r="2" spans="1:14" ht="3.75" customHeight="1">
      <c r="A2" s="154"/>
    </row>
    <row r="3" spans="1:14">
      <c r="A3" s="155"/>
      <c r="B3" s="155"/>
      <c r="C3" s="104" t="s">
        <v>4</v>
      </c>
      <c r="D3" s="104" t="s">
        <v>5</v>
      </c>
      <c r="E3" s="104" t="s">
        <v>6</v>
      </c>
      <c r="F3" s="104" t="s">
        <v>7</v>
      </c>
      <c r="G3" s="104" t="s">
        <v>8</v>
      </c>
      <c r="H3" s="104" t="s">
        <v>9</v>
      </c>
      <c r="I3" s="104" t="s">
        <v>10</v>
      </c>
      <c r="J3" s="104" t="s">
        <v>11</v>
      </c>
      <c r="K3" s="104" t="s">
        <v>12</v>
      </c>
      <c r="L3" s="104" t="s">
        <v>13</v>
      </c>
      <c r="M3" s="104" t="s">
        <v>14</v>
      </c>
      <c r="N3" s="104" t="s">
        <v>3</v>
      </c>
    </row>
    <row r="4" spans="1:14" ht="15" hidden="1" customHeight="1">
      <c r="A4" s="104">
        <v>1850</v>
      </c>
      <c r="B4" s="104" t="s">
        <v>165</v>
      </c>
      <c r="C4" s="155">
        <f>('1850'!D27-'1850'!C27)*3.6</f>
        <v>39.240000000000023</v>
      </c>
      <c r="D4" s="155">
        <f>('1850'!E27-'1850'!D27)*3.6</f>
        <v>33.371999999999986</v>
      </c>
      <c r="E4" s="155">
        <f>('1850'!F27-'1850'!E27)*3.6</f>
        <v>27.108000000000004</v>
      </c>
      <c r="F4" s="155">
        <f>('1850'!G27-'1850'!F27)*3.6</f>
        <v>17.820000000000011</v>
      </c>
      <c r="G4" s="155">
        <f>('1850'!H27-'1850'!G27)*3.6</f>
        <v>7.8120000000000065</v>
      </c>
      <c r="H4" s="155">
        <f>('1850'!I27-'1850'!H27)*3.6</f>
        <v>4.2839999999999918</v>
      </c>
      <c r="I4" s="155">
        <f>('1850'!J27-'1850'!I27)*3.6</f>
        <v>3.4200000000000101</v>
      </c>
      <c r="J4" s="155">
        <f>('1850'!K27-'1850'!J27)*3.6</f>
        <v>5.1839999999999922</v>
      </c>
      <c r="K4" s="155">
        <f>('1850'!L27-'1850'!K27)*3.6</f>
        <v>6.2279999999999633</v>
      </c>
      <c r="L4" s="155">
        <f>('1850'!M27-'1850'!L27)*3.6</f>
        <v>10.8</v>
      </c>
      <c r="M4" s="155">
        <f>('1850'!N27-'1850'!M27)*3.6</f>
        <v>26.676000000000041</v>
      </c>
      <c r="N4" s="155">
        <f>('1850'!O27-'1850'!N27)*3.6</f>
        <v>31.859999999999982</v>
      </c>
    </row>
    <row r="5" spans="1:14" ht="17.25" hidden="1" customHeight="1">
      <c r="A5" s="104">
        <v>1850</v>
      </c>
      <c r="B5" s="156" t="s">
        <v>184</v>
      </c>
      <c r="C5" s="157">
        <f>'1850'!D28-'1850'!C28</f>
        <v>385</v>
      </c>
      <c r="D5" s="157">
        <f>'1850'!E28-'1850'!D28</f>
        <v>330</v>
      </c>
      <c r="E5" s="157">
        <f>'1850'!F28-'1850'!E28</f>
        <v>265</v>
      </c>
      <c r="F5" s="157">
        <f>'1850'!G28-'1850'!F28</f>
        <v>167</v>
      </c>
      <c r="G5" s="157">
        <f>'1850'!H28-'1850'!G28</f>
        <v>90</v>
      </c>
      <c r="H5" s="157">
        <f>'1850'!I28-'1850'!H28</f>
        <v>67</v>
      </c>
      <c r="I5" s="157">
        <f>'1850'!J28-'1850'!I28</f>
        <v>54</v>
      </c>
      <c r="J5" s="157">
        <f>'1850'!K28-'1850'!J28</f>
        <v>152</v>
      </c>
      <c r="K5" s="157">
        <f>'1850'!L28-'1850'!K28</f>
        <v>98</v>
      </c>
      <c r="L5" s="157">
        <f>'1850'!M28-'1850'!L28</f>
        <v>108</v>
      </c>
      <c r="M5" s="157">
        <f>'1850'!N28-'1850'!M28</f>
        <v>208</v>
      </c>
      <c r="N5" s="157">
        <f>'1850'!O28-'1850'!N28</f>
        <v>251</v>
      </c>
    </row>
    <row r="6" spans="1:14" ht="17.25">
      <c r="A6" s="104">
        <v>1850</v>
      </c>
      <c r="B6" s="156" t="s">
        <v>185</v>
      </c>
      <c r="C6" s="158">
        <f t="shared" ref="C6:D6" si="0">C4/C5*1000</f>
        <v>101.92207792207799</v>
      </c>
      <c r="D6" s="158">
        <f t="shared" si="0"/>
        <v>101.1272727272727</v>
      </c>
      <c r="E6" s="158">
        <f t="shared" ref="E6:F6" si="1">E4/E5*1000</f>
        <v>102.29433962264152</v>
      </c>
      <c r="F6" s="158">
        <f t="shared" si="1"/>
        <v>106.70658682634738</v>
      </c>
      <c r="G6" s="158">
        <f t="shared" ref="G6:H6" si="2">G4/G5*1000</f>
        <v>86.800000000000068</v>
      </c>
      <c r="H6" s="158">
        <f t="shared" si="2"/>
        <v>63.940298507462565</v>
      </c>
      <c r="I6" s="158">
        <f t="shared" ref="I6:J6" si="3">I4/I5*1000</f>
        <v>63.33333333333352</v>
      </c>
      <c r="J6" s="158">
        <f t="shared" si="3"/>
        <v>34.10526315789469</v>
      </c>
      <c r="K6" s="158">
        <f t="shared" ref="K6:L6" si="4">K4/K5*1000</f>
        <v>63.551020408162891</v>
      </c>
      <c r="L6" s="158">
        <f t="shared" si="4"/>
        <v>100</v>
      </c>
      <c r="M6" s="158">
        <f t="shared" ref="M6:N6" si="5">M4/M5*1000</f>
        <v>128.2500000000002</v>
      </c>
      <c r="N6" s="158">
        <f t="shared" si="5"/>
        <v>126.93227091633457</v>
      </c>
    </row>
    <row r="7" spans="1:14" ht="15" hidden="1" customHeight="1">
      <c r="A7" s="104">
        <v>1851</v>
      </c>
      <c r="B7" s="104" t="s">
        <v>165</v>
      </c>
      <c r="C7" s="155">
        <f>('1851'!E27-'1851'!D27)*3.6</f>
        <v>51.695999999999948</v>
      </c>
      <c r="D7" s="155">
        <f>('1851'!F27-'1851'!E27)*3.6</f>
        <v>47.412000000000056</v>
      </c>
      <c r="E7" s="155">
        <f>('1851'!G27-'1851'!F27)*3.6</f>
        <v>39.924000000000014</v>
      </c>
      <c r="F7" s="155">
        <f>('1851'!H27-'1851'!G27)*3.6</f>
        <v>30.383999999999993</v>
      </c>
      <c r="G7" s="155">
        <f>('1851'!I27-'1851'!H27)*3.6</f>
        <v>18.791999999999998</v>
      </c>
      <c r="H7" s="155">
        <f>('1851'!J27-'1851'!I27)*3.6</f>
        <v>10.871999999999934</v>
      </c>
      <c r="I7" s="155">
        <f>('1851'!K27-'1851'!J27)*3.6</f>
        <v>9.468000000000087</v>
      </c>
      <c r="J7" s="155">
        <f>('1851'!L27-'1851'!K27)*3.6</f>
        <v>10.187999999999944</v>
      </c>
      <c r="K7" s="155">
        <f>('1851'!M27-'1851'!L27)*3.6</f>
        <v>10.872000000000037</v>
      </c>
      <c r="L7" s="155">
        <f>('1851'!N27-'1851'!M27)*3.6</f>
        <v>21.275999999999989</v>
      </c>
      <c r="M7" s="155">
        <f>('1851'!O27-'1851'!N27)*3.6</f>
        <v>35.424000000000014</v>
      </c>
      <c r="N7" s="155">
        <f>('1851'!P27-'1851'!O27)*3.6</f>
        <v>45.467999999999982</v>
      </c>
    </row>
    <row r="8" spans="1:14" ht="17.25" hidden="1" customHeight="1">
      <c r="A8" s="104">
        <v>1851</v>
      </c>
      <c r="B8" s="156" t="s">
        <v>184</v>
      </c>
      <c r="C8" s="157">
        <f>'1851'!E28-'1851'!D28</f>
        <v>814</v>
      </c>
      <c r="D8" s="157">
        <f>'1851'!F28-'1851'!E28</f>
        <v>806</v>
      </c>
      <c r="E8" s="157">
        <f>'1851'!G28-'1851'!F28</f>
        <v>736</v>
      </c>
      <c r="F8" s="157">
        <f>'1851'!H28-'1851'!G28</f>
        <v>739</v>
      </c>
      <c r="G8" s="157">
        <f>'1851'!I28-'1851'!H28</f>
        <v>678</v>
      </c>
      <c r="H8" s="157">
        <f>'1851'!J28-'1851'!I28</f>
        <v>595</v>
      </c>
      <c r="I8" s="157">
        <f>'1851'!K28-'1851'!J28</f>
        <v>609</v>
      </c>
      <c r="J8" s="157">
        <f>'1851'!L28-'1851'!K28</f>
        <v>1077</v>
      </c>
      <c r="K8" s="157">
        <f>'1851'!M28-'1851'!L28</f>
        <v>353</v>
      </c>
      <c r="L8" s="157">
        <f>'1851'!N28-'1851'!M28</f>
        <v>343</v>
      </c>
      <c r="M8" s="157">
        <f>'1851'!O28-'1851'!N28</f>
        <v>397</v>
      </c>
      <c r="N8" s="157">
        <f>'1851'!P28-'1851'!O28</f>
        <v>523</v>
      </c>
    </row>
    <row r="9" spans="1:14" ht="17.25">
      <c r="A9" s="104">
        <v>1851</v>
      </c>
      <c r="B9" s="156" t="s">
        <v>185</v>
      </c>
      <c r="C9" s="158">
        <f t="shared" ref="C9:D9" si="6">C7/C8*1000</f>
        <v>63.508599508599438</v>
      </c>
      <c r="D9" s="158">
        <f t="shared" si="6"/>
        <v>58.823821339950442</v>
      </c>
      <c r="E9" s="158">
        <f t="shared" ref="E9:F9" si="7">E7/E8*1000</f>
        <v>54.244565217391319</v>
      </c>
      <c r="F9" s="158">
        <f t="shared" si="7"/>
        <v>41.11502029769958</v>
      </c>
      <c r="G9" s="158">
        <f t="shared" ref="G9:H9" si="8">G7/G8*1000</f>
        <v>27.716814159292035</v>
      </c>
      <c r="H9" s="158">
        <f t="shared" si="8"/>
        <v>18.272268907562914</v>
      </c>
      <c r="I9" s="158">
        <f t="shared" ref="I9:J9" si="9">I7/I8*1000</f>
        <v>15.546798029556793</v>
      </c>
      <c r="J9" s="158">
        <f t="shared" si="9"/>
        <v>9.459610027855101</v>
      </c>
      <c r="K9" s="158">
        <f t="shared" ref="K9:L9" si="10">K7/K8*1000</f>
        <v>30.798866855524185</v>
      </c>
      <c r="L9" s="158">
        <f t="shared" si="10"/>
        <v>62.029154518950406</v>
      </c>
      <c r="M9" s="158">
        <f t="shared" ref="M9:N9" si="11">M7/M8*1000</f>
        <v>89.229219143576856</v>
      </c>
      <c r="N9" s="158">
        <f t="shared" si="11"/>
        <v>86.936902485659616</v>
      </c>
    </row>
    <row r="10" spans="1:14" ht="15" hidden="1" customHeight="1">
      <c r="A10" s="104">
        <v>1852</v>
      </c>
      <c r="B10" s="104" t="s">
        <v>165</v>
      </c>
      <c r="C10" s="155">
        <f>('1852'!D27-'1852'!C27)*3.6</f>
        <v>45.612000000000009</v>
      </c>
      <c r="D10" s="155">
        <f>('1852'!E27-'1852'!D27)*3.6</f>
        <v>37.332000000000015</v>
      </c>
      <c r="E10" s="155">
        <f>('1852'!F27-'1852'!E27)*3.6</f>
        <v>30.347999999999974</v>
      </c>
      <c r="F10" s="155">
        <f>('1852'!G27-'1852'!F27)*3.6</f>
        <v>21.383999999999993</v>
      </c>
      <c r="G10" s="155">
        <f>('1852'!H27-'1852'!G27)*3.6</f>
        <v>11.988000000000046</v>
      </c>
      <c r="H10" s="155">
        <f>('1852'!I27-'1852'!H27)*3.6</f>
        <v>6.9479999999999222</v>
      </c>
      <c r="I10" s="155">
        <f>('1852'!J27-'1852'!I27)*3.6</f>
        <v>3.4560000000000288</v>
      </c>
      <c r="J10" s="155">
        <f>('1852'!K27-'1852'!J27)*3.6</f>
        <v>5.1480000000000246</v>
      </c>
      <c r="K10" s="155">
        <f>('1852'!L27-'1852'!K27)*3.6</f>
        <v>5.2560000000000286</v>
      </c>
      <c r="L10" s="155">
        <f>('1852'!M27-'1852'!L27)*3.6</f>
        <v>18.143999999999973</v>
      </c>
      <c r="M10" s="155">
        <f>('1852'!N27-'1852'!M27)*3.6</f>
        <v>32.867999999999988</v>
      </c>
      <c r="N10" s="155">
        <f>('1852'!O27-'1852'!N27)*3.6</f>
        <v>38.412000000000056</v>
      </c>
    </row>
    <row r="11" spans="1:14" ht="17.25" hidden="1" customHeight="1">
      <c r="A11" s="104">
        <v>1852</v>
      </c>
      <c r="B11" s="156" t="s">
        <v>184</v>
      </c>
      <c r="C11" s="157">
        <f>'1852'!D28-'1852'!C28</f>
        <v>388</v>
      </c>
      <c r="D11" s="157">
        <f>'1852'!E28-'1852'!D28</f>
        <v>328</v>
      </c>
      <c r="E11" s="157">
        <f>'1852'!F28-'1852'!E28</f>
        <v>255</v>
      </c>
      <c r="F11" s="157">
        <f>'1852'!G28-'1852'!F28</f>
        <v>189</v>
      </c>
      <c r="G11" s="157">
        <f>'1852'!H28-'1852'!G28</f>
        <v>130</v>
      </c>
      <c r="H11" s="157">
        <f>'1852'!I28-'1852'!H28</f>
        <v>116</v>
      </c>
      <c r="I11" s="157">
        <f>'1852'!J28-'1852'!I28</f>
        <v>57</v>
      </c>
      <c r="J11" s="157">
        <f>'1852'!K28-'1852'!J28</f>
        <v>243</v>
      </c>
      <c r="K11" s="157">
        <f>'1852'!L28-'1852'!K28</f>
        <v>87</v>
      </c>
      <c r="L11" s="157">
        <f>'1852'!M28-'1852'!L28</f>
        <v>144</v>
      </c>
      <c r="M11" s="157">
        <f>'1852'!N28-'1852'!M28</f>
        <v>225</v>
      </c>
      <c r="N11" s="157">
        <f>'1852'!O28-'1852'!N28</f>
        <v>276</v>
      </c>
    </row>
    <row r="12" spans="1:14" ht="17.25">
      <c r="A12" s="104">
        <v>1852</v>
      </c>
      <c r="B12" s="156" t="s">
        <v>185</v>
      </c>
      <c r="C12" s="158">
        <f t="shared" ref="C12:D12" si="12">C10/C11*1000</f>
        <v>117.55670103092785</v>
      </c>
      <c r="D12" s="158">
        <f t="shared" si="12"/>
        <v>113.81707317073176</v>
      </c>
      <c r="E12" s="158">
        <f t="shared" ref="E12:F12" si="13">E10/E11*1000</f>
        <v>119.01176470588224</v>
      </c>
      <c r="F12" s="158">
        <f t="shared" si="13"/>
        <v>113.1428571428571</v>
      </c>
      <c r="G12" s="158">
        <f t="shared" ref="G12:H12" si="14">G10/G11*1000</f>
        <v>92.215384615384963</v>
      </c>
      <c r="H12" s="158">
        <f t="shared" si="14"/>
        <v>59.896551724137261</v>
      </c>
      <c r="I12" s="158">
        <f t="shared" ref="I12:J12" si="15">I10/I11*1000</f>
        <v>60.631578947368922</v>
      </c>
      <c r="J12" s="158">
        <f t="shared" si="15"/>
        <v>21.185185185185286</v>
      </c>
      <c r="K12" s="158">
        <f t="shared" ref="K12:L12" si="16">K10/K11*1000</f>
        <v>60.413793103448604</v>
      </c>
      <c r="L12" s="158">
        <f t="shared" si="16"/>
        <v>125.9999999999998</v>
      </c>
      <c r="M12" s="158">
        <f t="shared" ref="M12:N12" si="17">M10/M11*1000</f>
        <v>146.07999999999996</v>
      </c>
      <c r="N12" s="158">
        <f t="shared" si="17"/>
        <v>139.17391304347845</v>
      </c>
    </row>
    <row r="13" spans="1:14" ht="15" hidden="1" customHeight="1">
      <c r="A13" s="104">
        <v>1853</v>
      </c>
      <c r="B13" s="104" t="s">
        <v>165</v>
      </c>
      <c r="C13" s="155">
        <f>('1853'!D28-'1853'!C28)*3.6</f>
        <v>42.33600000000002</v>
      </c>
      <c r="D13" s="155">
        <f>('1853'!E28-'1853'!D28)*3.6</f>
        <v>37.043999999999976</v>
      </c>
      <c r="E13" s="155">
        <f>('1853'!F28-'1853'!E28)*3.6</f>
        <v>30.096</v>
      </c>
      <c r="F13" s="155">
        <f>('1853'!G28-'1853'!F28)*3.6</f>
        <v>19.188000000000045</v>
      </c>
      <c r="G13" s="155">
        <f>('1853'!H28-'1853'!G28)*3.6</f>
        <v>11.700000000000001</v>
      </c>
      <c r="H13" s="155">
        <f>('1853'!I28-'1853'!H28)*3.6</f>
        <v>7.2359999999999678</v>
      </c>
      <c r="I13" s="155">
        <f>('1853'!J28-'1853'!I28)*3.6</f>
        <v>6.7319999999999656</v>
      </c>
      <c r="J13" s="155">
        <f>('1853'!K28-'1853'!J28)*3.6</f>
        <v>6.9840000000000941</v>
      </c>
      <c r="K13" s="155">
        <f>('1853'!L28-'1853'!K28)*3.6</f>
        <v>6.8399999999999181</v>
      </c>
      <c r="L13" s="155">
        <f>('1853'!M28-'1853'!L28)*3.6</f>
        <v>14.724000000000013</v>
      </c>
      <c r="M13" s="155">
        <f>('1853'!N28-'1853'!M28)*3.6</f>
        <v>27.720000000000063</v>
      </c>
      <c r="N13" s="155">
        <f>('1853'!O28-'1853'!N28)*3.6</f>
        <v>36.216000000000008</v>
      </c>
    </row>
    <row r="14" spans="1:14" ht="17.25" hidden="1" customHeight="1">
      <c r="A14" s="104">
        <v>1853</v>
      </c>
      <c r="B14" s="156" t="s">
        <v>184</v>
      </c>
      <c r="C14" s="157">
        <f>'1853'!D29-'1853'!C29</f>
        <v>388</v>
      </c>
      <c r="D14" s="157">
        <f>'1853'!E29-'1853'!D29</f>
        <v>374</v>
      </c>
      <c r="E14" s="157">
        <f>'1853'!F29-'1853'!E29</f>
        <v>351</v>
      </c>
      <c r="F14" s="157">
        <f>'1853'!G29-'1853'!F29</f>
        <v>302</v>
      </c>
      <c r="G14" s="157">
        <f>'1853'!H29-'1853'!G29</f>
        <v>335</v>
      </c>
      <c r="H14" s="157">
        <f>'1853'!I29-'1853'!H29</f>
        <v>336</v>
      </c>
      <c r="I14" s="157">
        <f>'1853'!J29-'1853'!I29</f>
        <v>341</v>
      </c>
      <c r="J14" s="157">
        <f>'1853'!K29-'1853'!J29</f>
        <v>542</v>
      </c>
      <c r="K14" s="157">
        <f>'1853'!L29-'1853'!K29</f>
        <v>180</v>
      </c>
      <c r="L14" s="157">
        <f>'1853'!M29-'1853'!L29</f>
        <v>165</v>
      </c>
      <c r="M14" s="157">
        <f>'1853'!N29-'1853'!M29</f>
        <v>205</v>
      </c>
      <c r="N14" s="157">
        <f>'1853'!O29-'1853'!N29</f>
        <v>275</v>
      </c>
    </row>
    <row r="15" spans="1:14" ht="17.25">
      <c r="A15" s="104">
        <v>1853</v>
      </c>
      <c r="B15" s="156" t="s">
        <v>185</v>
      </c>
      <c r="C15" s="158">
        <f t="shared" ref="C15:D15" si="18">C13/C14*1000</f>
        <v>109.11340206185572</v>
      </c>
      <c r="D15" s="158">
        <f t="shared" si="18"/>
        <v>99.048128342245931</v>
      </c>
      <c r="E15" s="158">
        <f t="shared" ref="E15:F15" si="19">E13/E14*1000</f>
        <v>85.743589743589737</v>
      </c>
      <c r="F15" s="158">
        <f t="shared" si="19"/>
        <v>63.536423841059758</v>
      </c>
      <c r="G15" s="158">
        <f t="shared" ref="G15:H15" si="20">G13/G14*1000</f>
        <v>34.92537313432836</v>
      </c>
      <c r="H15" s="158">
        <f t="shared" si="20"/>
        <v>21.535714285714189</v>
      </c>
      <c r="I15" s="158">
        <f t="shared" ref="I15:J15" si="21">I13/I14*1000</f>
        <v>19.741935483870865</v>
      </c>
      <c r="J15" s="158">
        <f t="shared" si="21"/>
        <v>12.885608856088734</v>
      </c>
      <c r="K15" s="158">
        <f t="shared" ref="K15:L15" si="22">K13/K14*1000</f>
        <v>37.999999999999545</v>
      </c>
      <c r="L15" s="158">
        <f t="shared" si="22"/>
        <v>89.236363636363706</v>
      </c>
      <c r="M15" s="158">
        <f t="shared" ref="M15:N15" si="23">M13/M14*1000</f>
        <v>135.21951219512226</v>
      </c>
      <c r="N15" s="158">
        <f t="shared" si="23"/>
        <v>131.69454545454548</v>
      </c>
    </row>
    <row r="16" spans="1:14" ht="15" hidden="1" customHeight="1">
      <c r="A16" s="104">
        <v>1854</v>
      </c>
      <c r="B16" s="104" t="s">
        <v>165</v>
      </c>
      <c r="C16" s="244">
        <f>'1854'!D27-'1854'!C27</f>
        <v>40.400000000000006</v>
      </c>
      <c r="D16" s="244">
        <f>'1854'!E27-'1854'!D27</f>
        <v>35.069999999999993</v>
      </c>
      <c r="E16" s="244">
        <f>'1854'!F27-'1854'!E27</f>
        <v>28.080000000000013</v>
      </c>
      <c r="F16" s="244">
        <f>'1854'!G27-'1854'!F27</f>
        <v>19.70999999999998</v>
      </c>
      <c r="G16" s="244">
        <f>'1854'!H27-'1854'!G27</f>
        <v>11.430000000000007</v>
      </c>
      <c r="H16" s="244">
        <f>'1854'!I27-'1854'!H27</f>
        <v>3.460000000000008</v>
      </c>
      <c r="I16" s="244">
        <f>'1854'!J27-'1854'!I27</f>
        <v>3.0499999999999829</v>
      </c>
      <c r="J16" s="244">
        <f>'1854'!K27-'1854'!J27</f>
        <v>4.660000000000025</v>
      </c>
      <c r="K16" s="244">
        <f>'1854'!L27-'1854'!K27</f>
        <v>3.7199999999999989</v>
      </c>
      <c r="L16" s="244">
        <f>'1854'!M27-'1854'!L27</f>
        <v>12.329999999999984</v>
      </c>
      <c r="M16" s="244">
        <f>'1854'!N27-'1854'!M27</f>
        <v>26.72999999999999</v>
      </c>
      <c r="N16" s="244">
        <f>'1854'!O27-'1854'!N27</f>
        <v>34.53000000000003</v>
      </c>
    </row>
    <row r="17" spans="1:14" ht="17.25" hidden="1" customHeight="1">
      <c r="A17" s="104">
        <v>1854</v>
      </c>
      <c r="B17" s="156" t="s">
        <v>184</v>
      </c>
      <c r="C17" s="245">
        <f>'1854'!D28-'1854'!C28</f>
        <v>347</v>
      </c>
      <c r="D17" s="245">
        <f>'1854'!E28-'1854'!D28</f>
        <v>284</v>
      </c>
      <c r="E17" s="245">
        <f>'1854'!F28-'1854'!E28</f>
        <v>242</v>
      </c>
      <c r="F17" s="245">
        <f>'1854'!G28-'1854'!F28</f>
        <v>162</v>
      </c>
      <c r="G17" s="245">
        <f>'1854'!H28-'1854'!G28</f>
        <v>101</v>
      </c>
      <c r="H17" s="245">
        <f>'1854'!I28-'1854'!H28</f>
        <v>50</v>
      </c>
      <c r="I17" s="245">
        <f>'1854'!J28-'1854'!I28</f>
        <v>44</v>
      </c>
      <c r="J17" s="245">
        <f>'1854'!K28-'1854'!J28</f>
        <v>154</v>
      </c>
      <c r="K17" s="245">
        <f>'1854'!L28-'1854'!K28</f>
        <v>59</v>
      </c>
      <c r="L17" s="245">
        <f>'1854'!M28-'1854'!L28</f>
        <v>91</v>
      </c>
      <c r="M17" s="245">
        <f>'1854'!N28-'1854'!M28</f>
        <v>177</v>
      </c>
      <c r="N17" s="245">
        <f>'1854'!O28-'1854'!N28</f>
        <v>253</v>
      </c>
    </row>
    <row r="18" spans="1:14" ht="17.25">
      <c r="A18" s="104">
        <v>1854</v>
      </c>
      <c r="B18" s="156" t="s">
        <v>185</v>
      </c>
      <c r="C18" s="243">
        <f t="shared" ref="C18:D18" si="24">C16/C17*1000</f>
        <v>116.42651296829973</v>
      </c>
      <c r="D18" s="243">
        <f t="shared" si="24"/>
        <v>123.48591549295772</v>
      </c>
      <c r="E18" s="243">
        <f t="shared" ref="E18:F18" si="25">E16/E17*1000</f>
        <v>116.03305785123973</v>
      </c>
      <c r="F18" s="243">
        <f t="shared" si="25"/>
        <v>121.66666666666653</v>
      </c>
      <c r="G18" s="243">
        <f t="shared" ref="G18:H18" si="26">G16/G17*1000</f>
        <v>113.16831683168324</v>
      </c>
      <c r="H18" s="243">
        <f t="shared" si="26"/>
        <v>69.200000000000159</v>
      </c>
      <c r="I18" s="243">
        <f t="shared" ref="I18:J18" si="27">I16/I17*1000</f>
        <v>69.318181818181429</v>
      </c>
      <c r="J18" s="243">
        <f t="shared" si="27"/>
        <v>30.259740259740425</v>
      </c>
      <c r="K18" s="243">
        <f t="shared" ref="K18:L18" si="28">K16/K17*1000</f>
        <v>63.050847457627093</v>
      </c>
      <c r="L18" s="243">
        <f t="shared" si="28"/>
        <v>135.49450549450532</v>
      </c>
      <c r="M18" s="243">
        <f t="shared" ref="M18:N18" si="29">M16/M17*1000</f>
        <v>151.01694915254231</v>
      </c>
      <c r="N18" s="243">
        <f t="shared" si="29"/>
        <v>136.4822134387353</v>
      </c>
    </row>
    <row r="19" spans="1:14" ht="15" hidden="1" customHeight="1">
      <c r="A19" s="104">
        <v>1855</v>
      </c>
      <c r="B19" s="104" t="s">
        <v>165</v>
      </c>
      <c r="C19" s="244">
        <f>'1855'!D27-'1855'!C27</f>
        <v>47.739999999999995</v>
      </c>
      <c r="D19" s="244">
        <f>'1855'!E27-'1855'!D27</f>
        <v>43.28</v>
      </c>
      <c r="E19" s="244">
        <f>'1855'!F27-'1855'!E27</f>
        <v>35.370000000000005</v>
      </c>
      <c r="F19" s="244">
        <f>'1855'!G27-'1855'!F27</f>
        <v>27.110000000000014</v>
      </c>
      <c r="G19" s="244">
        <f>'1855'!H27-'1855'!G27</f>
        <v>17.060000000000002</v>
      </c>
      <c r="H19" s="244">
        <f>'1855'!I27-'1855'!H27</f>
        <v>4.339999999999975</v>
      </c>
      <c r="I19" s="244">
        <f>'1855'!J27-'1855'!I27</f>
        <v>3.0600000000000023</v>
      </c>
      <c r="J19" s="244">
        <f>'1855'!K27-'1855'!J27</f>
        <v>5.2099999999999795</v>
      </c>
      <c r="K19" s="244">
        <f>'1855'!L27-'1855'!K27</f>
        <v>5.8400000000000318</v>
      </c>
      <c r="L19" s="244">
        <f>'1855'!M27-'1855'!L27</f>
        <v>17.279999999999973</v>
      </c>
      <c r="M19" s="244">
        <f>'1855'!N27-'1855'!M27</f>
        <v>31.689999999999998</v>
      </c>
      <c r="N19" s="244">
        <f>'1855'!O27-'1855'!N27</f>
        <v>40.420000000000016</v>
      </c>
    </row>
    <row r="20" spans="1:14" ht="17.25" hidden="1" customHeight="1">
      <c r="A20" s="104">
        <v>1855</v>
      </c>
      <c r="B20" s="156" t="s">
        <v>184</v>
      </c>
      <c r="C20" s="245">
        <f>'1855'!D28-'1855'!C28</f>
        <v>350</v>
      </c>
      <c r="D20" s="245">
        <f>'1855'!E28-'1855'!D28</f>
        <v>319</v>
      </c>
      <c r="E20" s="245">
        <f>'1855'!F28-'1855'!E28</f>
        <v>251</v>
      </c>
      <c r="F20" s="245">
        <f>'1855'!G28-'1855'!F28</f>
        <v>192</v>
      </c>
      <c r="G20" s="245">
        <f>'1855'!H28-'1855'!G28</f>
        <v>118</v>
      </c>
      <c r="H20" s="245">
        <f>'1855'!I28-'1855'!H28</f>
        <v>38</v>
      </c>
      <c r="I20" s="245">
        <f>'1855'!J28-'1855'!I28</f>
        <v>28</v>
      </c>
      <c r="J20" s="245">
        <f>'1855'!K28-'1855'!J28</f>
        <v>86</v>
      </c>
      <c r="K20" s="245">
        <f>'1855'!L28-'1855'!K28</f>
        <v>52</v>
      </c>
      <c r="L20" s="245">
        <f>'1855'!M28-'1855'!L28</f>
        <v>108</v>
      </c>
      <c r="M20" s="245">
        <f>'1855'!N28-'1855'!M28</f>
        <v>193</v>
      </c>
      <c r="N20" s="245">
        <f>'1855'!O28-'1855'!N28</f>
        <v>255</v>
      </c>
    </row>
    <row r="21" spans="1:14" ht="17.25">
      <c r="A21" s="104">
        <v>1855</v>
      </c>
      <c r="B21" s="156" t="s">
        <v>185</v>
      </c>
      <c r="C21" s="243">
        <f t="shared" ref="C21:D21" si="30">C19/C20*1000</f>
        <v>136.4</v>
      </c>
      <c r="D21" s="243">
        <f t="shared" si="30"/>
        <v>135.67398119122257</v>
      </c>
      <c r="E21" s="243">
        <f t="shared" ref="E21:F21" si="31">E19/E20*1000</f>
        <v>140.9163346613546</v>
      </c>
      <c r="F21" s="243">
        <f t="shared" si="31"/>
        <v>141.19791666666674</v>
      </c>
      <c r="G21" s="243">
        <f t="shared" ref="G21:H21" si="32">G19/G20*1000</f>
        <v>144.57627118644069</v>
      </c>
      <c r="H21" s="243">
        <f t="shared" si="32"/>
        <v>114.21052631578881</v>
      </c>
      <c r="I21" s="243">
        <f t="shared" ref="I21:J21" si="33">I19/I20*1000</f>
        <v>109.28571428571436</v>
      </c>
      <c r="J21" s="243">
        <f t="shared" si="33"/>
        <v>60.581395348836971</v>
      </c>
      <c r="K21" s="243">
        <f t="shared" ref="K21:L21" si="34">K19/K20*1000</f>
        <v>112.30769230769292</v>
      </c>
      <c r="L21" s="243">
        <f t="shared" si="34"/>
        <v>159.99999999999974</v>
      </c>
      <c r="M21" s="243">
        <f t="shared" ref="M21:N21" si="35">M19/M20*1000</f>
        <v>164.19689119170982</v>
      </c>
      <c r="N21" s="243">
        <f t="shared" si="35"/>
        <v>158.50980392156868</v>
      </c>
    </row>
    <row r="22" spans="1:14" ht="15" hidden="1" customHeight="1">
      <c r="A22" s="104">
        <v>1856</v>
      </c>
      <c r="B22" s="104" t="s">
        <v>165</v>
      </c>
      <c r="C22" s="244">
        <f>'1856'!D27-'1856'!C27</f>
        <v>42.050000000000011</v>
      </c>
      <c r="D22" s="244">
        <f>'1856'!E27-'1856'!D27</f>
        <v>37</v>
      </c>
      <c r="E22" s="244">
        <f>'1856'!F27-'1856'!E27</f>
        <v>27.879999999999995</v>
      </c>
      <c r="F22" s="244">
        <f>'1856'!G27-'1856'!F27</f>
        <v>18.189999999999998</v>
      </c>
      <c r="G22" s="244">
        <f>'1856'!H27-'1856'!G27</f>
        <v>9.1099999999999852</v>
      </c>
      <c r="H22" s="244">
        <f>'1856'!I27-'1856'!H27</f>
        <v>3.1400000000000148</v>
      </c>
      <c r="I22" s="244">
        <f>'1856'!J27-'1856'!I27</f>
        <v>2.460000000000008</v>
      </c>
      <c r="J22" s="244">
        <f>'1856'!K27-'1856'!J27</f>
        <v>4.0999999999999943</v>
      </c>
      <c r="K22" s="244">
        <f>'1856'!L27-'1856'!K27</f>
        <v>3.4000000000000057</v>
      </c>
      <c r="L22" s="244">
        <f>'1856'!M27-'1856'!L27</f>
        <v>14.049999999999983</v>
      </c>
      <c r="M22" s="244">
        <f>'1856'!N27-'1856'!M27</f>
        <v>29.95999999999998</v>
      </c>
      <c r="N22" s="244">
        <f>'1856'!O27-'1856'!N27</f>
        <v>38.140000000000043</v>
      </c>
    </row>
    <row r="23" spans="1:14" ht="17.25" hidden="1" customHeight="1">
      <c r="A23" s="104">
        <v>1856</v>
      </c>
      <c r="B23" s="156" t="s">
        <v>184</v>
      </c>
      <c r="C23" s="245">
        <f>'1856'!D28-'1856'!C28</f>
        <v>291</v>
      </c>
      <c r="D23" s="245">
        <f>'1856'!E28-'1856'!D28</f>
        <v>262</v>
      </c>
      <c r="E23" s="245">
        <f>'1856'!F28-'1856'!E28</f>
        <v>189</v>
      </c>
      <c r="F23" s="245">
        <f>'1856'!G28-'1856'!F28</f>
        <v>130</v>
      </c>
      <c r="G23" s="245">
        <f>'1856'!H28-'1856'!G28</f>
        <v>73</v>
      </c>
      <c r="H23" s="245">
        <f>'1856'!I28-'1856'!H28</f>
        <v>37</v>
      </c>
      <c r="I23" s="245">
        <f>'1856'!J28-'1856'!I28</f>
        <v>28</v>
      </c>
      <c r="J23" s="245">
        <f>'1856'!K28-'1856'!J28</f>
        <v>120</v>
      </c>
      <c r="K23" s="245">
        <f>'1856'!L28-'1856'!K28</f>
        <v>52</v>
      </c>
      <c r="L23" s="245">
        <f>'1856'!M28-'1856'!L28</f>
        <v>92</v>
      </c>
      <c r="M23" s="245">
        <f>'1856'!N28-'1856'!M28</f>
        <v>184</v>
      </c>
      <c r="N23" s="245">
        <f>'1856'!O28-'1856'!N28</f>
        <v>248</v>
      </c>
    </row>
    <row r="24" spans="1:14" ht="17.25">
      <c r="A24" s="104">
        <v>1856</v>
      </c>
      <c r="B24" s="156" t="s">
        <v>185</v>
      </c>
      <c r="C24" s="243">
        <f t="shared" ref="C24:D24" si="36">C22/C23*1000</f>
        <v>144.50171821305847</v>
      </c>
      <c r="D24" s="243">
        <f t="shared" si="36"/>
        <v>141.22137404580155</v>
      </c>
      <c r="E24" s="243">
        <f t="shared" ref="E24:F24" si="37">E22/E23*1000</f>
        <v>147.51322751322749</v>
      </c>
      <c r="F24" s="243">
        <f t="shared" si="37"/>
        <v>139.92307692307691</v>
      </c>
      <c r="G24" s="243">
        <f t="shared" ref="G24:H24" si="38">G22/G23*1000</f>
        <v>124.794520547945</v>
      </c>
      <c r="H24" s="243">
        <f t="shared" si="38"/>
        <v>84.864864864865254</v>
      </c>
      <c r="I24" s="243">
        <f t="shared" ref="I24:J24" si="39">I22/I23*1000</f>
        <v>87.857142857143145</v>
      </c>
      <c r="J24" s="243">
        <f t="shared" si="39"/>
        <v>34.166666666666615</v>
      </c>
      <c r="K24" s="243">
        <f t="shared" ref="K24:L24" si="40">K22/K23*1000</f>
        <v>65.3846153846155</v>
      </c>
      <c r="L24" s="243">
        <f t="shared" si="40"/>
        <v>152.71739130434764</v>
      </c>
      <c r="M24" s="243">
        <f t="shared" ref="M24:N24" si="41">M22/M23*1000</f>
        <v>162.82608695652161</v>
      </c>
      <c r="N24" s="243">
        <f t="shared" si="41"/>
        <v>153.79032258064535</v>
      </c>
    </row>
    <row r="25" spans="1:14" ht="15" hidden="1" customHeight="1">
      <c r="A25" s="104">
        <v>1857</v>
      </c>
      <c r="B25" s="104" t="s">
        <v>165</v>
      </c>
      <c r="C25" s="244">
        <f>'1857'!D27-'1857'!C27</f>
        <v>44.750000000000014</v>
      </c>
      <c r="D25" s="244">
        <f>'1857'!E27-'1857'!D27</f>
        <v>38.539999999999992</v>
      </c>
      <c r="E25" s="244">
        <f>'1857'!F27-'1857'!E27</f>
        <v>31.28</v>
      </c>
      <c r="F25" s="244">
        <f>'1857'!G27-'1857'!F27</f>
        <v>21.97999999999999</v>
      </c>
      <c r="G25" s="244">
        <f>'1857'!H27-'1857'!G27</f>
        <v>11.430000000000007</v>
      </c>
      <c r="H25" s="244">
        <f>'1857'!I27-'1857'!H27</f>
        <v>5.0300000000000296</v>
      </c>
      <c r="I25" s="244">
        <f>'1857'!J27-'1857'!I27</f>
        <v>3.8799999999999955</v>
      </c>
      <c r="J25" s="244">
        <f>'1857'!K27-'1857'!J27</f>
        <v>5.7799999999999727</v>
      </c>
      <c r="K25" s="244">
        <f>'1857'!L27-'1857'!K27</f>
        <v>4.660000000000025</v>
      </c>
      <c r="L25" s="244">
        <f>'1857'!M27-'1857'!L27</f>
        <v>14.079999999999984</v>
      </c>
      <c r="M25" s="244">
        <f>'1857'!N27-'1857'!M27</f>
        <v>30.70999999999998</v>
      </c>
      <c r="N25" s="244">
        <f>'1857'!O27-'1857'!N27</f>
        <v>39.129999999999995</v>
      </c>
    </row>
    <row r="26" spans="1:14" ht="17.25" hidden="1" customHeight="1">
      <c r="A26" s="104">
        <v>1857</v>
      </c>
      <c r="B26" s="156" t="s">
        <v>184</v>
      </c>
      <c r="C26" s="245">
        <f>'1857'!D28-'1857'!C28</f>
        <v>332</v>
      </c>
      <c r="D26" s="245">
        <f>'1857'!E28-'1857'!D28</f>
        <v>298</v>
      </c>
      <c r="E26" s="245">
        <f>'1857'!F28-'1857'!E28</f>
        <v>240</v>
      </c>
      <c r="F26" s="245">
        <f>'1857'!G28-'1857'!F28</f>
        <v>171</v>
      </c>
      <c r="G26" s="245">
        <f>'1857'!H28-'1857'!G28</f>
        <v>100</v>
      </c>
      <c r="H26" s="245">
        <f>'1857'!I28-'1857'!H28</f>
        <v>70</v>
      </c>
      <c r="I26" s="245">
        <f>'1857'!J28-'1857'!I28</f>
        <v>66</v>
      </c>
      <c r="J26" s="245">
        <f>'1857'!K28-'1857'!J28</f>
        <v>214</v>
      </c>
      <c r="K26" s="245">
        <f>'1857'!L28-'1857'!K28</f>
        <v>74</v>
      </c>
      <c r="L26" s="245">
        <f>'1857'!M28-'1857'!L28</f>
        <v>101</v>
      </c>
      <c r="M26" s="245">
        <f>'1857'!N28-'1857'!M28</f>
        <v>216</v>
      </c>
      <c r="N26" s="245">
        <f>'1857'!O28-'1857'!N28</f>
        <v>270</v>
      </c>
    </row>
    <row r="27" spans="1:14" ht="17.25">
      <c r="A27" s="104">
        <v>1857</v>
      </c>
      <c r="B27" s="156" t="s">
        <v>185</v>
      </c>
      <c r="C27" s="243">
        <f t="shared" ref="C27:D27" si="42">C25/C26*1000</f>
        <v>134.78915662650607</v>
      </c>
      <c r="D27" s="243">
        <f t="shared" si="42"/>
        <v>129.32885906040264</v>
      </c>
      <c r="E27" s="243">
        <f t="shared" ref="E27:F27" si="43">E25/E26*1000</f>
        <v>130.33333333333334</v>
      </c>
      <c r="F27" s="243">
        <f t="shared" si="43"/>
        <v>128.53801169590636</v>
      </c>
      <c r="G27" s="243">
        <f t="shared" ref="G27:H27" si="44">G25/G26*1000</f>
        <v>114.30000000000007</v>
      </c>
      <c r="H27" s="243">
        <f t="shared" si="44"/>
        <v>71.857142857143288</v>
      </c>
      <c r="I27" s="243">
        <f t="shared" ref="I27:J27" si="45">I25/I26*1000</f>
        <v>58.787878787878725</v>
      </c>
      <c r="J27" s="243">
        <f t="shared" si="45"/>
        <v>27.009345794392395</v>
      </c>
      <c r="K27" s="243">
        <f t="shared" ref="K27:L27" si="46">K25/K26*1000</f>
        <v>62.972972972973317</v>
      </c>
      <c r="L27" s="243">
        <f t="shared" si="46"/>
        <v>139.40594059405925</v>
      </c>
      <c r="M27" s="243">
        <f t="shared" ref="M27:N27" si="47">M25/M26*1000</f>
        <v>142.17592592592584</v>
      </c>
      <c r="N27" s="243">
        <f t="shared" si="47"/>
        <v>144.9259259259259</v>
      </c>
    </row>
  </sheetData>
  <conditionalFormatting sqref="D4:N5">
    <cfRule type="cellIs" dxfId="4" priority="4" stopIfTrue="1" operator="equal">
      <formula>0</formula>
    </cfRule>
    <cfRule type="cellIs" dxfId="3" priority="5" stopIfTrue="1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selection activeCell="O7" sqref="O7"/>
    </sheetView>
  </sheetViews>
  <sheetFormatPr defaultRowHeight="15"/>
  <cols>
    <col min="1" max="1" width="9" customWidth="1"/>
    <col min="2" max="2" width="8.85546875" customWidth="1"/>
  </cols>
  <sheetData>
    <row r="1" spans="1:17">
      <c r="A1" s="154" t="s">
        <v>313</v>
      </c>
      <c r="E1" s="154" t="s">
        <v>312</v>
      </c>
      <c r="H1" s="154" t="s">
        <v>314</v>
      </c>
      <c r="O1" s="248">
        <f>'S1'!B1</f>
        <v>2021</v>
      </c>
    </row>
    <row r="2" spans="1:17" ht="2.25" customHeight="1">
      <c r="A2" s="154"/>
      <c r="O2" s="249"/>
    </row>
    <row r="3" spans="1:17" ht="13.5" customHeight="1">
      <c r="A3" s="155"/>
      <c r="B3" s="155"/>
      <c r="C3" s="104" t="s">
        <v>4</v>
      </c>
      <c r="D3" s="104" t="s">
        <v>5</v>
      </c>
      <c r="E3" s="104" t="s">
        <v>6</v>
      </c>
      <c r="F3" s="104" t="s">
        <v>7</v>
      </c>
      <c r="G3" s="104" t="s">
        <v>8</v>
      </c>
      <c r="H3" s="104" t="s">
        <v>9</v>
      </c>
      <c r="I3" s="104" t="s">
        <v>10</v>
      </c>
      <c r="J3" s="104" t="s">
        <v>11</v>
      </c>
      <c r="K3" s="104" t="s">
        <v>12</v>
      </c>
      <c r="L3" s="104" t="s">
        <v>13</v>
      </c>
      <c r="M3" s="104" t="s">
        <v>14</v>
      </c>
      <c r="N3" s="104" t="s">
        <v>3</v>
      </c>
      <c r="O3" s="250" t="s">
        <v>328</v>
      </c>
      <c r="Q3" s="225" t="s">
        <v>311</v>
      </c>
    </row>
    <row r="4" spans="1:17" ht="13.5" customHeight="1">
      <c r="A4" s="104">
        <v>1850</v>
      </c>
      <c r="B4" s="104" t="s">
        <v>166</v>
      </c>
      <c r="C4" s="253">
        <f>'1850'!D26-'1850'!C26</f>
        <v>68.399999999999977</v>
      </c>
      <c r="D4" s="253">
        <f>'1850'!E26-'1850'!D26</f>
        <v>61.299999999999955</v>
      </c>
      <c r="E4" s="253">
        <f>'1850'!F26-'1850'!E26</f>
        <v>62.299999999999955</v>
      </c>
      <c r="F4" s="253">
        <f>'1850'!G26-'1850'!F26</f>
        <v>64.100000000000136</v>
      </c>
      <c r="G4" s="253">
        <f>'1850'!H26-'1850'!G26</f>
        <v>61.5</v>
      </c>
      <c r="H4" s="253">
        <f>'1850'!I26-'1850'!H26</f>
        <v>59.700000000000045</v>
      </c>
      <c r="I4" s="253">
        <f>'1850'!J26-'1850'!I26</f>
        <v>53.299999999999955</v>
      </c>
      <c r="J4" s="253">
        <f>'1850'!K26-'1850'!J26</f>
        <v>61.299999999999955</v>
      </c>
      <c r="K4" s="253">
        <f>'1850'!L26-'1850'!K26</f>
        <v>57</v>
      </c>
      <c r="L4" s="253">
        <f>'1850'!M26-'1850'!L26</f>
        <v>71.900000000000091</v>
      </c>
      <c r="M4" s="253">
        <f>'1850'!N26-'1850'!M26</f>
        <v>66.099999999999909</v>
      </c>
      <c r="N4" s="253">
        <f>'1850'!O26-'1850'!N26</f>
        <v>66.799999999999955</v>
      </c>
      <c r="O4" s="254">
        <f>SUM(C4:N4)</f>
        <v>753.69999999999993</v>
      </c>
    </row>
    <row r="5" spans="1:17" ht="13.5" customHeight="1">
      <c r="A5" s="104">
        <v>1851</v>
      </c>
      <c r="B5" s="104" t="s">
        <v>166</v>
      </c>
      <c r="C5" s="253">
        <f>'1851'!E26-'1851'!D26</f>
        <v>117.79999999999995</v>
      </c>
      <c r="D5" s="253">
        <f>'1851'!F26-'1851'!E26</f>
        <v>117.70000000000005</v>
      </c>
      <c r="E5" s="253">
        <f>'1851'!G26-'1851'!F26</f>
        <v>132.20000000000005</v>
      </c>
      <c r="F5" s="253">
        <f>'1851'!H26-'1851'!G26</f>
        <v>115.30000000000018</v>
      </c>
      <c r="G5" s="253">
        <f>'1851'!I26-'1851'!H26</f>
        <v>112.19999999999982</v>
      </c>
      <c r="H5" s="253">
        <f>'1851'!J26-'1851'!I26</f>
        <v>96.300000000000182</v>
      </c>
      <c r="I5" s="253">
        <f>'1851'!K26-'1851'!J26</f>
        <v>80.399999999999636</v>
      </c>
      <c r="J5" s="253">
        <f>'1851'!L26-'1851'!K26</f>
        <v>85.200000000000273</v>
      </c>
      <c r="K5" s="253">
        <f>'1851'!M26-'1851'!L26</f>
        <v>80.900000000000091</v>
      </c>
      <c r="L5" s="253">
        <f>'1851'!N26-'1851'!M26</f>
        <v>104.09999999999991</v>
      </c>
      <c r="M5" s="253">
        <f>'1851'!O26-'1851'!N26</f>
        <v>86.900000000000091</v>
      </c>
      <c r="N5" s="253">
        <f>'1851'!P26-'1851'!O26</f>
        <v>93.799999999999727</v>
      </c>
      <c r="O5" s="254">
        <f t="shared" ref="O5:O14" si="0">SUM(C5:N5)</f>
        <v>1222.8</v>
      </c>
    </row>
    <row r="6" spans="1:17" ht="13.5" customHeight="1">
      <c r="A6" s="104">
        <v>1852</v>
      </c>
      <c r="B6" s="104" t="s">
        <v>166</v>
      </c>
      <c r="C6" s="253">
        <f>'1852'!D26-'1852'!C26</f>
        <v>99.100000000000136</v>
      </c>
      <c r="D6" s="253">
        <f>'1852'!E26-'1852'!D26</f>
        <v>88.399999999999864</v>
      </c>
      <c r="E6" s="253">
        <f>'1852'!F26-'1852'!E26</f>
        <v>97.700000000000045</v>
      </c>
      <c r="F6" s="253">
        <f>'1852'!G26-'1852'!F26</f>
        <v>94.100000000000136</v>
      </c>
      <c r="G6" s="253">
        <f>'1852'!H26-'1852'!G26</f>
        <v>102.5</v>
      </c>
      <c r="H6" s="253">
        <f>'1852'!I26-'1852'!H26</f>
        <v>91.299999999999955</v>
      </c>
      <c r="I6" s="253">
        <f>'1852'!J26-'1852'!I26</f>
        <v>77.099999999999909</v>
      </c>
      <c r="J6" s="253">
        <f>'1852'!K26-'1852'!J26</f>
        <v>76.100000000000136</v>
      </c>
      <c r="K6" s="253">
        <f>'1852'!L26-'1852'!K26</f>
        <v>87.5</v>
      </c>
      <c r="L6" s="253">
        <f>'1852'!M26-'1852'!L26</f>
        <v>98.599999999999909</v>
      </c>
      <c r="M6" s="253">
        <f>'1852'!N26-'1852'!M26</f>
        <v>97.300000000000182</v>
      </c>
      <c r="N6" s="253">
        <f>'1852'!O26-'1852'!N26</f>
        <v>95.699999999999818</v>
      </c>
      <c r="O6" s="254">
        <f t="shared" si="0"/>
        <v>1105.4000000000001</v>
      </c>
    </row>
    <row r="7" spans="1:17" ht="13.5" customHeight="1">
      <c r="A7" s="104">
        <v>1853</v>
      </c>
      <c r="B7" s="104" t="s">
        <v>166</v>
      </c>
      <c r="C7" s="253">
        <f>'1853'!D27-'1853'!C27+'1853'!C26-'1853'!D26</f>
        <v>88.900000000000091</v>
      </c>
      <c r="D7" s="253">
        <f>'1853'!E27-'1853'!D27+'1853'!D26-'1853'!E26</f>
        <v>80.599999999999909</v>
      </c>
      <c r="E7" s="253">
        <f>'1853'!F27-'1853'!E27+'1853'!E26-'1853'!F26</f>
        <v>86.400000000000091</v>
      </c>
      <c r="F7" s="253">
        <f>'1853'!G27-'1853'!F27+'1853'!F26-'1853'!G26</f>
        <v>74.594999999999914</v>
      </c>
      <c r="G7" s="253">
        <f>'1853'!H27-'1853'!G27+'1853'!G26-'1853'!H26</f>
        <v>77.305000000000007</v>
      </c>
      <c r="H7" s="253">
        <f>'1853'!I27-'1853'!H27+'1853'!H26-'1853'!I26</f>
        <v>73.50100000000009</v>
      </c>
      <c r="I7" s="253">
        <f>'1853'!J27-'1853'!I27+'1853'!I26-'1853'!J26</f>
        <v>71.647999999999797</v>
      </c>
      <c r="J7" s="253">
        <f>'1853'!K27-'1853'!J27+'1853'!J26-'1853'!K26</f>
        <v>75.792000000000087</v>
      </c>
      <c r="K7" s="253">
        <f>'1853'!L27-'1853'!K27+'1853'!K26-'1853'!L26</f>
        <v>71.271999999999821</v>
      </c>
      <c r="L7" s="253">
        <f>'1853'!M27-'1853'!L27+'1853'!L26-'1853'!M26</f>
        <v>81.611000000000388</v>
      </c>
      <c r="M7" s="253">
        <f>'1853'!N27-'1853'!M27+'1853'!M26-'1853'!N26</f>
        <v>75.599999999999909</v>
      </c>
      <c r="N7" s="253">
        <f>'1853'!O27-'1853'!N27+'1853'!N26-'1853'!O26</f>
        <v>81.299999999999727</v>
      </c>
      <c r="O7" s="254">
        <f t="shared" si="0"/>
        <v>938.52399999999989</v>
      </c>
    </row>
    <row r="8" spans="1:17" ht="13.5" customHeight="1">
      <c r="A8" s="104">
        <v>1854</v>
      </c>
      <c r="B8" s="104" t="s">
        <v>166</v>
      </c>
      <c r="C8" s="253">
        <f>'1854'!D26-'1854'!C26</f>
        <v>66.899999999999977</v>
      </c>
      <c r="D8" s="253">
        <f>'1854'!E26-'1854'!D26</f>
        <v>59.799999999999955</v>
      </c>
      <c r="E8" s="253">
        <f>'1854'!F26-'1854'!E26</f>
        <v>64</v>
      </c>
      <c r="F8" s="253">
        <f>'1854'!G26-'1854'!F26</f>
        <v>51.5</v>
      </c>
      <c r="G8" s="253">
        <f>'1854'!H26-'1854'!G26</f>
        <v>62.100000000000136</v>
      </c>
      <c r="H8" s="253">
        <f>'1854'!I26-'1854'!H26</f>
        <v>60.5</v>
      </c>
      <c r="I8" s="253">
        <f>'1854'!J26-'1854'!I26</f>
        <v>55.599999999999909</v>
      </c>
      <c r="J8" s="253">
        <f>'1854'!K26-'1854'!J26</f>
        <v>52.200000000000045</v>
      </c>
      <c r="K8" s="253">
        <f>'1854'!L26-'1854'!K26</f>
        <v>59</v>
      </c>
      <c r="L8" s="253">
        <f>'1854'!M26-'1854'!L26</f>
        <v>60.200000000000045</v>
      </c>
      <c r="M8" s="253">
        <f>'1854'!N26-'1854'!M26</f>
        <v>65.5</v>
      </c>
      <c r="N8" s="253">
        <f>'1854'!O26-'1854'!N26</f>
        <v>65</v>
      </c>
      <c r="O8" s="254">
        <f t="shared" si="0"/>
        <v>722.30000000000007</v>
      </c>
    </row>
    <row r="9" spans="1:17" ht="13.5" customHeight="1">
      <c r="A9" s="104">
        <v>1855</v>
      </c>
      <c r="B9" s="104" t="s">
        <v>166</v>
      </c>
      <c r="C9" s="253">
        <f>'1855'!D26-'1855'!C26</f>
        <v>87.799999999999955</v>
      </c>
      <c r="D9" s="253">
        <f>'1855'!E26-'1855'!D26</f>
        <v>85.400000000000091</v>
      </c>
      <c r="E9" s="253">
        <f>'1855'!F26-'1855'!E26</f>
        <v>93.099999999999909</v>
      </c>
      <c r="F9" s="253">
        <f>'1855'!G26-'1855'!F26</f>
        <v>93.700000000000045</v>
      </c>
      <c r="G9" s="253">
        <f>'1855'!H26-'1855'!G26</f>
        <v>103.10000000000014</v>
      </c>
      <c r="H9" s="253">
        <f>'1855'!I26-'1855'!H26</f>
        <v>84.099999999999909</v>
      </c>
      <c r="I9" s="253">
        <f>'1855'!J26-'1855'!I26</f>
        <v>73.5</v>
      </c>
      <c r="J9" s="253">
        <f>'1855'!K26-'1855'!J26</f>
        <v>81.599999999999909</v>
      </c>
      <c r="K9" s="253">
        <f>'1855'!L26-'1855'!K26</f>
        <v>79.599999999999909</v>
      </c>
      <c r="L9" s="253">
        <f>'1855'!M26-'1855'!L26</f>
        <v>84.400000000000091</v>
      </c>
      <c r="M9" s="253">
        <f>'1855'!N26-'1855'!M26</f>
        <v>83.099999999999909</v>
      </c>
      <c r="N9" s="253">
        <f>'1855'!O26-'1855'!N26</f>
        <v>80.700000000000273</v>
      </c>
      <c r="O9" s="254">
        <f t="shared" si="0"/>
        <v>1030.1000000000001</v>
      </c>
    </row>
    <row r="10" spans="1:17" ht="13.5" customHeight="1">
      <c r="A10" s="104">
        <v>1856</v>
      </c>
      <c r="B10" s="104" t="s">
        <v>166</v>
      </c>
      <c r="C10" s="253">
        <f>'1856'!D26-'1856'!C26</f>
        <v>78.100000000000136</v>
      </c>
      <c r="D10" s="253">
        <f>'1856'!E26-'1856'!D26</f>
        <v>75</v>
      </c>
      <c r="E10" s="253">
        <f>'1856'!F26-'1856'!E26</f>
        <v>76.899999999999864</v>
      </c>
      <c r="F10" s="253">
        <f>'1856'!G26-'1856'!F26</f>
        <v>89.400000000000091</v>
      </c>
      <c r="G10" s="253">
        <f>'1856'!H26-'1856'!G26</f>
        <v>84.200000000000045</v>
      </c>
      <c r="H10" s="253">
        <f>'1856'!I26-'1856'!H26</f>
        <v>70.299999999999955</v>
      </c>
      <c r="I10" s="253">
        <f>'1856'!J26-'1856'!I26</f>
        <v>59.299999999999955</v>
      </c>
      <c r="J10" s="253">
        <f>'1856'!K26-'1856'!J26</f>
        <v>58.400000000000091</v>
      </c>
      <c r="K10" s="253">
        <f>'1856'!L26-'1856'!K26</f>
        <v>61.099999999999909</v>
      </c>
      <c r="L10" s="253">
        <f>'1856'!M26-'1856'!L26</f>
        <v>82.700000000000045</v>
      </c>
      <c r="M10" s="253">
        <f>'1856'!N26-'1856'!M26</f>
        <v>81.599999999999909</v>
      </c>
      <c r="N10" s="253">
        <f>'1856'!O26-'1856'!N26</f>
        <v>87.200000000000045</v>
      </c>
      <c r="O10" s="254">
        <f t="shared" si="0"/>
        <v>904.2</v>
      </c>
    </row>
    <row r="11" spans="1:17" ht="13.5" customHeight="1">
      <c r="A11" s="104">
        <v>1857</v>
      </c>
      <c r="B11" s="104" t="s">
        <v>166</v>
      </c>
      <c r="C11" s="253">
        <f>'1857'!D26-'1857'!C26</f>
        <v>99.799999999999955</v>
      </c>
      <c r="D11" s="253">
        <f>'1857'!E26-'1857'!D26</f>
        <v>84.100000000000136</v>
      </c>
      <c r="E11" s="253">
        <f>'1857'!F26-'1857'!E26</f>
        <v>96.699999999999818</v>
      </c>
      <c r="F11" s="253">
        <f>'1857'!G26-'1857'!F26</f>
        <v>101.60000000000014</v>
      </c>
      <c r="G11" s="253">
        <f>'1857'!H26-'1857'!G26</f>
        <v>95</v>
      </c>
      <c r="H11" s="253">
        <f>'1857'!I26-'1857'!H26</f>
        <v>91.799999999999955</v>
      </c>
      <c r="I11" s="253">
        <f>'1857'!J26-'1857'!I26</f>
        <v>64.700000000000045</v>
      </c>
      <c r="J11" s="253">
        <f>'1857'!K26-'1857'!J26</f>
        <v>67.899999999999864</v>
      </c>
      <c r="K11" s="253">
        <f>'1857'!L26-'1857'!K26</f>
        <v>75.900000000000091</v>
      </c>
      <c r="L11" s="253">
        <f>'1857'!M26-'1857'!L26</f>
        <v>75.400000000000091</v>
      </c>
      <c r="M11" s="253">
        <f>'1857'!N26-'1857'!M26</f>
        <v>79.599999999999909</v>
      </c>
      <c r="N11" s="253">
        <f>'1857'!O26-'1857'!N26</f>
        <v>83.400000000000091</v>
      </c>
      <c r="O11" s="254">
        <f t="shared" si="0"/>
        <v>1015.9000000000001</v>
      </c>
    </row>
    <row r="12" spans="1:17" ht="13.5" customHeight="1">
      <c r="A12" s="242" t="s">
        <v>326</v>
      </c>
      <c r="B12" s="104" t="s">
        <v>166</v>
      </c>
      <c r="C12" s="253">
        <f>'1850'!D29-'1850'!C29</f>
        <v>386.5</v>
      </c>
      <c r="D12" s="253">
        <f>'1850'!E29-'1850'!D29</f>
        <v>358.60000000000036</v>
      </c>
      <c r="E12" s="253">
        <f>'1850'!F29-'1850'!E29</f>
        <v>389.10000000000036</v>
      </c>
      <c r="F12" s="253">
        <f>'1850'!G29-'1850'!F29</f>
        <v>359.69999999999891</v>
      </c>
      <c r="G12" s="253">
        <f>'1850'!H29-'1850'!G29</f>
        <v>377.39999999999964</v>
      </c>
      <c r="H12" s="253">
        <f>'1850'!I29-'1850'!H29</f>
        <v>378.30000000000109</v>
      </c>
      <c r="I12" s="253">
        <f>'1850'!J29-'1850'!I29</f>
        <v>333.5</v>
      </c>
      <c r="J12" s="253">
        <f>'1850'!K29-'1850'!J29</f>
        <v>334.39999999999964</v>
      </c>
      <c r="K12" s="253">
        <f>'1850'!L29-'1850'!K29</f>
        <v>324.79999999999927</v>
      </c>
      <c r="L12" s="253">
        <f>'1850'!M29-'1850'!L29</f>
        <v>378.10000000000036</v>
      </c>
      <c r="M12" s="253">
        <f>'1850'!N29-'1850'!M29</f>
        <v>342.60000000000036</v>
      </c>
      <c r="N12" s="253">
        <f>'1850'!O29-'1850'!N29</f>
        <v>353</v>
      </c>
      <c r="O12" s="254">
        <f t="shared" si="0"/>
        <v>4316</v>
      </c>
    </row>
    <row r="13" spans="1:17" ht="13.5" customHeight="1">
      <c r="A13" s="242" t="s">
        <v>327</v>
      </c>
      <c r="B13" s="104" t="s">
        <v>166</v>
      </c>
      <c r="C13" s="253">
        <f>'1854'!D29-'1854'!C29</f>
        <v>319.29999999999995</v>
      </c>
      <c r="D13" s="253">
        <f>'1854'!E29-'1854'!D29</f>
        <v>291.70000000000005</v>
      </c>
      <c r="E13" s="253">
        <f>'1854'!F29-'1854'!E29</f>
        <v>317.79999999999995</v>
      </c>
      <c r="F13" s="253">
        <f>'1854'!G29-'1854'!F29</f>
        <v>322.60000000000014</v>
      </c>
      <c r="G13" s="253">
        <f>'1854'!H29-'1854'!G29</f>
        <v>328.40000000000009</v>
      </c>
      <c r="H13" s="253">
        <f>'1854'!I29-'1854'!H29</f>
        <v>293.5</v>
      </c>
      <c r="I13" s="253">
        <f>'1854'!J29-'1854'!I29</f>
        <v>242.09999999999991</v>
      </c>
      <c r="J13" s="253">
        <f>'1854'!K29-'1854'!J29</f>
        <v>249.09999999999991</v>
      </c>
      <c r="K13" s="253">
        <f>'1854'!L29-'1854'!K29</f>
        <v>263.59999999999991</v>
      </c>
      <c r="L13" s="253">
        <f>'1854'!M29-'1854'!L29</f>
        <v>289.70000000000027</v>
      </c>
      <c r="M13" s="253">
        <f>'1854'!N29-'1854'!M29</f>
        <v>297.19999999999982</v>
      </c>
      <c r="N13" s="253">
        <f>'1854'!O29-'1854'!N29</f>
        <v>305</v>
      </c>
      <c r="O13" s="254">
        <f t="shared" si="0"/>
        <v>3520</v>
      </c>
    </row>
    <row r="14" spans="1:17" ht="13.5" customHeight="1">
      <c r="A14" s="155" t="s">
        <v>310</v>
      </c>
      <c r="B14" s="103" t="s">
        <v>166</v>
      </c>
      <c r="C14" s="255">
        <f>'1853'!D26-'1853'!C26</f>
        <v>0</v>
      </c>
      <c r="D14" s="255">
        <f>'1853'!E26-'1853'!D26</f>
        <v>0</v>
      </c>
      <c r="E14" s="255">
        <f>'1853'!F26-'1853'!E26</f>
        <v>0</v>
      </c>
      <c r="F14" s="255">
        <f>'1853'!G26-'1853'!F26</f>
        <v>4.9999999999954525E-3</v>
      </c>
      <c r="G14" s="255">
        <f>'1853'!H26-'1853'!G26</f>
        <v>6.6949999999999932</v>
      </c>
      <c r="H14" s="255">
        <f>'1853'!I26-'1853'!H26</f>
        <v>31.899000000000001</v>
      </c>
      <c r="I14" s="255">
        <f>'1853'!J26-'1853'!I26</f>
        <v>24.052000000000021</v>
      </c>
      <c r="J14" s="255">
        <f>'1853'!K26-'1853'!J26</f>
        <v>14.407999999999959</v>
      </c>
      <c r="K14" s="255">
        <f>'1853'!L26-'1853'!K26</f>
        <v>9.1280000000000427</v>
      </c>
      <c r="L14" s="255">
        <f>'1853'!M26-'1853'!L26</f>
        <v>5.4889999999999759</v>
      </c>
      <c r="M14" s="255">
        <f>'1853'!N26-'1853'!M26</f>
        <v>0</v>
      </c>
      <c r="N14" s="255">
        <f>'1853'!O26-'1853'!N26</f>
        <v>0</v>
      </c>
      <c r="O14" s="256">
        <f t="shared" si="0"/>
        <v>91.675999999999988</v>
      </c>
    </row>
  </sheetData>
  <conditionalFormatting sqref="O4:O14">
    <cfRule type="cellIs" dxfId="2" priority="1" stopIfTrue="1" operator="equal">
      <formula>0</formula>
    </cfRule>
    <cfRule type="cellIs" dxfId="1" priority="2" stopIfTrue="1" operator="lessThan">
      <formula>0</formula>
    </cfRule>
  </conditionalFormatting>
  <pageMargins left="0.70866141732283472" right="0.70866141732283472" top="0.78740157480314965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listy</vt:lpstr>
      </vt:variant>
      <vt:variant>
        <vt:i4>26</vt:i4>
      </vt:variant>
      <vt:variant>
        <vt:lpstr>Pojmenované oblasti</vt:lpstr>
      </vt:variant>
      <vt:variant>
        <vt:i4>9</vt:i4>
      </vt:variant>
    </vt:vector>
  </HeadingPairs>
  <TitlesOfParts>
    <vt:vector size="35" baseType="lpstr">
      <vt:lpstr>1850</vt:lpstr>
      <vt:lpstr>1851</vt:lpstr>
      <vt:lpstr>1852</vt:lpstr>
      <vt:lpstr>1853</vt:lpstr>
      <vt:lpstr>1854</vt:lpstr>
      <vt:lpstr>1855</vt:lpstr>
      <vt:lpstr>1856</vt:lpstr>
      <vt:lpstr>1857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Rozdíly</vt:lpstr>
      <vt:lpstr>Rozdíly (2)</vt:lpstr>
      <vt:lpstr>S 2021 %</vt:lpstr>
      <vt:lpstr>S 2021</vt:lpstr>
      <vt:lpstr>Teplo-Paty</vt:lpstr>
      <vt:lpstr>Voda-Paty</vt:lpstr>
      <vt:lpstr>'1850'!Oblast_tisku</vt:lpstr>
      <vt:lpstr>'1851'!Oblast_tisku</vt:lpstr>
      <vt:lpstr>'1852'!Oblast_tisku</vt:lpstr>
      <vt:lpstr>'1853'!Oblast_tisku</vt:lpstr>
      <vt:lpstr>'1854'!Oblast_tisku</vt:lpstr>
      <vt:lpstr>'1855'!Oblast_tisku</vt:lpstr>
      <vt:lpstr>'1856'!Oblast_tisku</vt:lpstr>
      <vt:lpstr>'1857'!Oblast_tisku</vt:lpstr>
      <vt:lpstr>'S 2021'!Oblast_tisku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HP-HP</dc:creator>
  <cp:lastModifiedBy>Ivo Mráz</cp:lastModifiedBy>
  <cp:lastPrinted>2021-01-26T18:17:05Z</cp:lastPrinted>
  <dcterms:created xsi:type="dcterms:W3CDTF">2013-05-06T13:45:20Z</dcterms:created>
  <dcterms:modified xsi:type="dcterms:W3CDTF">2022-01-01T17:24:51Z</dcterms:modified>
</cp:coreProperties>
</file>