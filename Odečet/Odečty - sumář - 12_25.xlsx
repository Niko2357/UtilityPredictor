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ml.chartshapes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Ivo Mraz\Documents\Záloha Ivo 2023_09_04\Osobní\Osobní\Kybalovka\Odečty, faktury, objednávky\Odečty\Odečty 2025\"/>
    </mc:Choice>
  </mc:AlternateContent>
  <xr:revisionPtr revIDLastSave="0" documentId="13_ncr:1_{3915952D-8D25-497A-A4E8-5A3AFA2BC995}" xr6:coauthVersionLast="47" xr6:coauthVersionMax="47" xr10:uidLastSave="{00000000-0000-0000-0000-000000000000}"/>
  <bookViews>
    <workbookView xWindow="-110" yWindow="-110" windowWidth="25820" windowHeight="13900" tabRatio="743" firstSheet="2" activeTab="19" xr2:uid="{00000000-000D-0000-FFFF-FFFF00000000}"/>
  </bookViews>
  <sheets>
    <sheet name="1850" sheetId="1" r:id="rId1"/>
    <sheet name="1851" sheetId="2" r:id="rId2"/>
    <sheet name="1852" sheetId="3" r:id="rId3"/>
    <sheet name="1853" sheetId="4" r:id="rId4"/>
    <sheet name="1854" sheetId="5" r:id="rId5"/>
    <sheet name="1855" sheetId="6" r:id="rId6"/>
    <sheet name="1856" sheetId="7" r:id="rId7"/>
    <sheet name="1857" sheetId="8" r:id="rId8"/>
    <sheet name="S1" sheetId="9" r:id="rId9"/>
    <sheet name="S2" sheetId="10" r:id="rId10"/>
    <sheet name="S3" sheetId="11" r:id="rId11"/>
    <sheet name="S4" sheetId="12" r:id="rId12"/>
    <sheet name="S5" sheetId="13" r:id="rId13"/>
    <sheet name="S6" sheetId="14" r:id="rId14"/>
    <sheet name="S7" sheetId="15" r:id="rId15"/>
    <sheet name="S8" sheetId="16" r:id="rId16"/>
    <sheet name="S9" sheetId="24" r:id="rId17"/>
    <sheet name="S10" sheetId="18" r:id="rId18"/>
    <sheet name="S11" sheetId="19" r:id="rId19"/>
    <sheet name="S12" sheetId="20" r:id="rId20"/>
    <sheet name="Rozdíly (2)" sheetId="22" state="hidden" r:id="rId21"/>
    <sheet name="S 2025" sheetId="23" state="hidden" r:id="rId22"/>
    <sheet name="S 2024 %" sheetId="27" state="hidden" r:id="rId23"/>
    <sheet name="Rozdíly" sheetId="21" r:id="rId24"/>
    <sheet name="Teplo-Paty" sheetId="25" r:id="rId25"/>
    <sheet name="Voda-Paty" sheetId="26" r:id="rId26"/>
  </sheets>
  <definedNames>
    <definedName name="_xlnm.Print_Area" localSheetId="0">'1850'!$A$1:$O$29</definedName>
    <definedName name="_xlnm.Print_Area" localSheetId="1">'1851'!$A$1:$P$49</definedName>
    <definedName name="_xlnm.Print_Area" localSheetId="2">'1852'!$A$1:$O$30</definedName>
    <definedName name="_xlnm.Print_Area" localSheetId="3">'1853'!$A$1:$O$33</definedName>
    <definedName name="_xlnm.Print_Area" localSheetId="4">'1854'!$A$1:$O$30</definedName>
    <definedName name="_xlnm.Print_Area" localSheetId="5">'1855'!$A$1:$O$31</definedName>
    <definedName name="_xlnm.Print_Area" localSheetId="6">'1856'!$A$1:$O$31</definedName>
    <definedName name="_xlnm.Print_Area" localSheetId="7">'1857'!$A$1:$O$30</definedName>
    <definedName name="_xlnm.Print_Area" localSheetId="21">'S 2025'!$A$1:$P$31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20" l="1"/>
  <c r="N13" i="26"/>
  <c r="N12" i="26"/>
  <c r="X13" i="26"/>
  <c r="X12" i="26"/>
  <c r="N4" i="26"/>
  <c r="N5" i="26"/>
  <c r="N6" i="26"/>
  <c r="N7" i="26"/>
  <c r="N8" i="26"/>
  <c r="N9" i="26"/>
  <c r="N10" i="26"/>
  <c r="N11" i="26"/>
  <c r="N14" i="26"/>
  <c r="M19" i="20"/>
  <c r="L19" i="20"/>
  <c r="AF4" i="8"/>
  <c r="AF6" i="8"/>
  <c r="AF8" i="8"/>
  <c r="AF10" i="8"/>
  <c r="AF12" i="8"/>
  <c r="AF14" i="8"/>
  <c r="AF16" i="8"/>
  <c r="AF18" i="8"/>
  <c r="AF20" i="8"/>
  <c r="AF22" i="8"/>
  <c r="O2" i="8"/>
  <c r="AF4" i="7"/>
  <c r="AF6" i="7"/>
  <c r="AF8" i="7"/>
  <c r="AF10" i="7"/>
  <c r="AF12" i="7"/>
  <c r="AF14" i="7"/>
  <c r="AF16" i="7"/>
  <c r="AF18" i="7"/>
  <c r="AF20" i="7"/>
  <c r="AF22" i="7"/>
  <c r="O2" i="7"/>
  <c r="P29" i="8"/>
  <c r="P29" i="7"/>
  <c r="P29" i="6"/>
  <c r="R29" i="21"/>
  <c r="O29" i="21"/>
  <c r="L29" i="21"/>
  <c r="I29" i="21"/>
  <c r="F29" i="21"/>
  <c r="C29" i="21"/>
  <c r="T28" i="21"/>
  <c r="S28" i="21"/>
  <c r="R28" i="21"/>
  <c r="Q28" i="21"/>
  <c r="P28" i="21"/>
  <c r="O28" i="21"/>
  <c r="M28" i="21"/>
  <c r="N28" i="21" s="1"/>
  <c r="L28" i="21"/>
  <c r="K28" i="21"/>
  <c r="J28" i="21"/>
  <c r="I28" i="21"/>
  <c r="H28" i="21"/>
  <c r="G28" i="21"/>
  <c r="F28" i="21"/>
  <c r="E28" i="21"/>
  <c r="D28" i="21"/>
  <c r="C28" i="21"/>
  <c r="C25" i="20"/>
  <c r="N7" i="25"/>
  <c r="N8" i="25"/>
  <c r="N9" i="25" s="1"/>
  <c r="N10" i="25"/>
  <c r="N11" i="25"/>
  <c r="N12" i="25" s="1"/>
  <c r="N13" i="25"/>
  <c r="N14" i="25"/>
  <c r="N15" i="25"/>
  <c r="N16" i="25"/>
  <c r="N18" i="25" s="1"/>
  <c r="N17" i="25"/>
  <c r="N19" i="25"/>
  <c r="N21" i="25" s="1"/>
  <c r="N20" i="25"/>
  <c r="N22" i="25"/>
  <c r="N23" i="25"/>
  <c r="N25" i="25"/>
  <c r="N26" i="25"/>
  <c r="O2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O42" i="5"/>
  <c r="O39" i="5"/>
  <c r="O41" i="1"/>
  <c r="P35" i="5"/>
  <c r="P34" i="5"/>
  <c r="P33" i="5"/>
  <c r="P29" i="5"/>
  <c r="N22" i="20"/>
  <c r="M21" i="20"/>
  <c r="O2" i="5"/>
  <c r="AF4" i="5"/>
  <c r="AF6" i="5"/>
  <c r="AF8" i="5"/>
  <c r="AF10" i="5"/>
  <c r="AF12" i="5"/>
  <c r="AF14" i="5"/>
  <c r="AF16" i="5"/>
  <c r="AF18" i="5"/>
  <c r="AF20" i="5"/>
  <c r="AF22" i="5"/>
  <c r="B7" i="20"/>
  <c r="N7" i="20"/>
  <c r="AF27" i="4"/>
  <c r="AF4" i="4"/>
  <c r="AF6" i="4"/>
  <c r="AF8" i="4"/>
  <c r="AF10" i="4"/>
  <c r="AF12" i="4"/>
  <c r="AF14" i="4"/>
  <c r="AF16" i="4"/>
  <c r="AF18" i="4"/>
  <c r="AF20" i="4"/>
  <c r="AF22" i="4"/>
  <c r="O2" i="4"/>
  <c r="G32" i="3"/>
  <c r="AF4" i="3"/>
  <c r="AF6" i="3"/>
  <c r="AF8" i="3"/>
  <c r="AF10" i="3"/>
  <c r="AF12" i="3"/>
  <c r="AF14" i="3"/>
  <c r="AF16" i="3"/>
  <c r="AF18" i="3"/>
  <c r="AF20" i="3"/>
  <c r="AF22" i="3"/>
  <c r="O2" i="3"/>
  <c r="AV47" i="2"/>
  <c r="AV48" i="2"/>
  <c r="AG4" i="2"/>
  <c r="AG6" i="2"/>
  <c r="AG7" i="2"/>
  <c r="AG8" i="2"/>
  <c r="AG9" i="2"/>
  <c r="AG10" i="2"/>
  <c r="AG12" i="2"/>
  <c r="AG13" i="2"/>
  <c r="AG14" i="2"/>
  <c r="AG15" i="2"/>
  <c r="AG16" i="2"/>
  <c r="AG18" i="2"/>
  <c r="AG19" i="2"/>
  <c r="AG20" i="2"/>
  <c r="AG22" i="2"/>
  <c r="AG49" i="2"/>
  <c r="AG48" i="2"/>
  <c r="AG47" i="2"/>
  <c r="AG46" i="2"/>
  <c r="AG45" i="2"/>
  <c r="AG44" i="2"/>
  <c r="AG43" i="2"/>
  <c r="AG42" i="2"/>
  <c r="AG41" i="2"/>
  <c r="AG40" i="2"/>
  <c r="AG33" i="2"/>
  <c r="AG34" i="2"/>
  <c r="AG35" i="2"/>
  <c r="AG36" i="2"/>
  <c r="AG37" i="2"/>
  <c r="AF19" i="2"/>
  <c r="P2" i="2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M22" i="18"/>
  <c r="M22" i="19"/>
  <c r="AJ29" i="6"/>
  <c r="AI24" i="6"/>
  <c r="AJ24" i="6"/>
  <c r="N27" i="25" l="1"/>
  <c r="N24" i="25"/>
  <c r="X27" i="21"/>
  <c r="U27" i="21"/>
  <c r="O27" i="21"/>
  <c r="L27" i="21"/>
  <c r="I27" i="21"/>
  <c r="C27" i="21"/>
  <c r="Y26" i="21"/>
  <c r="Z26" i="21" s="1"/>
  <c r="X26" i="21"/>
  <c r="W26" i="21"/>
  <c r="V26" i="21"/>
  <c r="U26" i="21"/>
  <c r="P26" i="21"/>
  <c r="Q26" i="21" s="1"/>
  <c r="O26" i="21"/>
  <c r="N26" i="21"/>
  <c r="M26" i="21"/>
  <c r="L26" i="21"/>
  <c r="K26" i="21"/>
  <c r="J26" i="21"/>
  <c r="I26" i="21"/>
  <c r="D26" i="21"/>
  <c r="E26" i="21" s="1"/>
  <c r="C26" i="21"/>
  <c r="M4" i="26"/>
  <c r="M5" i="26"/>
  <c r="M6" i="26"/>
  <c r="M7" i="26"/>
  <c r="M8" i="26"/>
  <c r="M9" i="26"/>
  <c r="M10" i="26"/>
  <c r="M11" i="26"/>
  <c r="M12" i="26"/>
  <c r="M13" i="26"/>
  <c r="M14" i="26"/>
  <c r="M7" i="25"/>
  <c r="M8" i="25"/>
  <c r="M10" i="25"/>
  <c r="M12" i="25" s="1"/>
  <c r="M11" i="25"/>
  <c r="M13" i="25"/>
  <c r="M15" i="25" s="1"/>
  <c r="M14" i="25"/>
  <c r="M16" i="25"/>
  <c r="M17" i="25"/>
  <c r="M19" i="25"/>
  <c r="M20" i="25"/>
  <c r="M22" i="25"/>
  <c r="M24" i="25" s="1"/>
  <c r="M23" i="25"/>
  <c r="M25" i="25"/>
  <c r="M26" i="25"/>
  <c r="M27" i="25" s="1"/>
  <c r="N2" i="8"/>
  <c r="N2" i="7"/>
  <c r="N2" i="6"/>
  <c r="N2" i="5"/>
  <c r="N2" i="4"/>
  <c r="D4" i="11"/>
  <c r="E10" i="3"/>
  <c r="D10" i="3"/>
  <c r="M18" i="25" l="1"/>
  <c r="M9" i="25"/>
  <c r="M21" i="25"/>
  <c r="N2" i="3"/>
  <c r="O2" i="2"/>
  <c r="P29" i="1"/>
  <c r="L4" i="26" l="1"/>
  <c r="L5" i="26"/>
  <c r="L6" i="26"/>
  <c r="L7" i="26"/>
  <c r="L8" i="26"/>
  <c r="L9" i="26"/>
  <c r="L10" i="26"/>
  <c r="L11" i="26"/>
  <c r="L12" i="26"/>
  <c r="L13" i="26"/>
  <c r="L14" i="26"/>
  <c r="L7" i="25"/>
  <c r="L8" i="25"/>
  <c r="L10" i="25"/>
  <c r="L12" i="25" s="1"/>
  <c r="L11" i="25"/>
  <c r="L13" i="25"/>
  <c r="L14" i="25"/>
  <c r="L16" i="25"/>
  <c r="L18" i="25" s="1"/>
  <c r="L17" i="25"/>
  <c r="L19" i="25"/>
  <c r="L20" i="25"/>
  <c r="L22" i="25"/>
  <c r="L24" i="25" s="1"/>
  <c r="L23" i="25"/>
  <c r="L25" i="25"/>
  <c r="L26" i="25"/>
  <c r="L27" i="25"/>
  <c r="M2" i="8"/>
  <c r="M2" i="7"/>
  <c r="M2" i="6"/>
  <c r="M2" i="5"/>
  <c r="M2" i="4"/>
  <c r="M2" i="3"/>
  <c r="N2" i="2"/>
  <c r="L15" i="25" l="1"/>
  <c r="L9" i="25"/>
  <c r="L21" i="25"/>
  <c r="E4" i="24"/>
  <c r="K4" i="26"/>
  <c r="K5" i="26"/>
  <c r="K6" i="26"/>
  <c r="K7" i="26"/>
  <c r="K8" i="26"/>
  <c r="K9" i="26"/>
  <c r="K10" i="26"/>
  <c r="K11" i="26"/>
  <c r="K12" i="26"/>
  <c r="K13" i="26"/>
  <c r="K14" i="26"/>
  <c r="K7" i="25"/>
  <c r="K8" i="25"/>
  <c r="K9" i="25" s="1"/>
  <c r="K10" i="25"/>
  <c r="K12" i="25" s="1"/>
  <c r="K11" i="25"/>
  <c r="K13" i="25"/>
  <c r="K14" i="25"/>
  <c r="K15" i="25"/>
  <c r="K16" i="25"/>
  <c r="K18" i="25" s="1"/>
  <c r="K17" i="25"/>
  <c r="K19" i="25"/>
  <c r="K20" i="25"/>
  <c r="K22" i="25"/>
  <c r="K23" i="25"/>
  <c r="K24" i="25"/>
  <c r="K25" i="25"/>
  <c r="K27" i="25" s="1"/>
  <c r="K26" i="25"/>
  <c r="X23" i="21"/>
  <c r="U23" i="21"/>
  <c r="O23" i="21"/>
  <c r="L23" i="21"/>
  <c r="I23" i="21"/>
  <c r="C23" i="21"/>
  <c r="Y22" i="21"/>
  <c r="Z22" i="21" s="1"/>
  <c r="X22" i="21"/>
  <c r="W22" i="21"/>
  <c r="V22" i="21"/>
  <c r="U22" i="21"/>
  <c r="P22" i="21"/>
  <c r="Q22" i="21" s="1"/>
  <c r="O22" i="21"/>
  <c r="K22" i="21"/>
  <c r="J22" i="21"/>
  <c r="I22" i="21"/>
  <c r="D22" i="21"/>
  <c r="E22" i="21" s="1"/>
  <c r="C22" i="21"/>
  <c r="L2" i="8"/>
  <c r="L2" i="7"/>
  <c r="L2" i="6"/>
  <c r="L2" i="5"/>
  <c r="L2" i="4"/>
  <c r="L2" i="3"/>
  <c r="BR54" i="2"/>
  <c r="BQ54" i="2"/>
  <c r="BP54" i="2"/>
  <c r="BO54" i="2"/>
  <c r="BN54" i="2"/>
  <c r="BM54" i="2"/>
  <c r="BK54" i="2"/>
  <c r="BJ54" i="2"/>
  <c r="BI54" i="2"/>
  <c r="BH54" i="2"/>
  <c r="M2" i="2"/>
  <c r="J4" i="26"/>
  <c r="J5" i="26"/>
  <c r="J6" i="26"/>
  <c r="J7" i="26"/>
  <c r="J8" i="26"/>
  <c r="J9" i="26"/>
  <c r="J10" i="26"/>
  <c r="J11" i="26"/>
  <c r="J12" i="26"/>
  <c r="J13" i="26"/>
  <c r="J14" i="26"/>
  <c r="J7" i="25"/>
  <c r="J8" i="25"/>
  <c r="J9" i="25" s="1"/>
  <c r="J10" i="25"/>
  <c r="J11" i="25"/>
  <c r="J12" i="25" s="1"/>
  <c r="J13" i="25"/>
  <c r="J15" i="25" s="1"/>
  <c r="J14" i="25"/>
  <c r="J16" i="25"/>
  <c r="J18" i="25" s="1"/>
  <c r="J17" i="25"/>
  <c r="J19" i="25"/>
  <c r="J20" i="25"/>
  <c r="J22" i="25"/>
  <c r="J23" i="25"/>
  <c r="J25" i="25"/>
  <c r="J26" i="25"/>
  <c r="J27" i="25" s="1"/>
  <c r="K2" i="8"/>
  <c r="K2" i="7"/>
  <c r="K2" i="6"/>
  <c r="K2" i="5"/>
  <c r="K2" i="4"/>
  <c r="K2" i="3"/>
  <c r="L2" i="2"/>
  <c r="I4" i="26"/>
  <c r="I5" i="26"/>
  <c r="I6" i="26"/>
  <c r="I7" i="26"/>
  <c r="I8" i="26"/>
  <c r="I9" i="26"/>
  <c r="I10" i="26"/>
  <c r="I11" i="26"/>
  <c r="I12" i="26"/>
  <c r="I13" i="26"/>
  <c r="I14" i="26"/>
  <c r="I7" i="25"/>
  <c r="I8" i="25"/>
  <c r="I10" i="25"/>
  <c r="I11" i="25"/>
  <c r="I12" i="25"/>
  <c r="I13" i="25"/>
  <c r="I14" i="25"/>
  <c r="I15" i="25" s="1"/>
  <c r="I16" i="25"/>
  <c r="I18" i="25" s="1"/>
  <c r="I17" i="25"/>
  <c r="I19" i="25"/>
  <c r="I21" i="25" s="1"/>
  <c r="I20" i="25"/>
  <c r="I22" i="25"/>
  <c r="I23" i="25"/>
  <c r="I24" i="25"/>
  <c r="I25" i="25"/>
  <c r="I26" i="25"/>
  <c r="X19" i="21"/>
  <c r="U19" i="21"/>
  <c r="O19" i="21"/>
  <c r="L19" i="21"/>
  <c r="I19" i="21"/>
  <c r="C19" i="21"/>
  <c r="Y18" i="21"/>
  <c r="Z18" i="21" s="1"/>
  <c r="X18" i="21"/>
  <c r="W18" i="21"/>
  <c r="V18" i="21"/>
  <c r="U18" i="21"/>
  <c r="P18" i="21"/>
  <c r="Q18" i="21" s="1"/>
  <c r="O18" i="21"/>
  <c r="M18" i="21"/>
  <c r="N18" i="21" s="1"/>
  <c r="L18" i="21"/>
  <c r="K18" i="21"/>
  <c r="J18" i="21"/>
  <c r="I18" i="21"/>
  <c r="D18" i="21"/>
  <c r="E18" i="21" s="1"/>
  <c r="C18" i="21"/>
  <c r="J2" i="8"/>
  <c r="J2" i="7"/>
  <c r="J2" i="6"/>
  <c r="J2" i="5"/>
  <c r="J2" i="4"/>
  <c r="J2" i="3"/>
  <c r="K2" i="2"/>
  <c r="H4" i="26"/>
  <c r="H5" i="26"/>
  <c r="H6" i="26"/>
  <c r="H7" i="26"/>
  <c r="H8" i="26"/>
  <c r="H9" i="26"/>
  <c r="H10" i="26"/>
  <c r="H11" i="26"/>
  <c r="H12" i="26"/>
  <c r="H13" i="26"/>
  <c r="H14" i="26"/>
  <c r="H7" i="25"/>
  <c r="H8" i="25"/>
  <c r="H10" i="25"/>
  <c r="H11" i="25"/>
  <c r="H12" i="25" s="1"/>
  <c r="H13" i="25"/>
  <c r="H14" i="25"/>
  <c r="H16" i="25"/>
  <c r="H17" i="25"/>
  <c r="H19" i="25"/>
  <c r="H20" i="25"/>
  <c r="H21" i="25" s="1"/>
  <c r="H22" i="25"/>
  <c r="H23" i="25"/>
  <c r="H25" i="25"/>
  <c r="H26" i="25"/>
  <c r="I2" i="8"/>
  <c r="I2" i="7"/>
  <c r="I2" i="6"/>
  <c r="I2" i="5"/>
  <c r="I2" i="4"/>
  <c r="I2" i="3"/>
  <c r="J2" i="2"/>
  <c r="G4" i="26"/>
  <c r="G5" i="26"/>
  <c r="G6" i="26"/>
  <c r="G7" i="26"/>
  <c r="G8" i="26"/>
  <c r="G9" i="26"/>
  <c r="G10" i="26"/>
  <c r="G11" i="26"/>
  <c r="G12" i="26"/>
  <c r="G13" i="26"/>
  <c r="G14" i="26"/>
  <c r="G7" i="25"/>
  <c r="G8" i="25"/>
  <c r="G10" i="25"/>
  <c r="G11" i="25"/>
  <c r="G13" i="25"/>
  <c r="G15" i="25" s="1"/>
  <c r="G14" i="25"/>
  <c r="G16" i="25"/>
  <c r="G18" i="25" s="1"/>
  <c r="G17" i="25"/>
  <c r="G19" i="25"/>
  <c r="G20" i="25"/>
  <c r="G22" i="25"/>
  <c r="G23" i="25"/>
  <c r="G25" i="25"/>
  <c r="G26" i="25"/>
  <c r="H2" i="8"/>
  <c r="H2" i="7"/>
  <c r="H2" i="6"/>
  <c r="H2" i="5"/>
  <c r="H2" i="4"/>
  <c r="H2" i="3"/>
  <c r="I2" i="2"/>
  <c r="J24" i="25" l="1"/>
  <c r="G12" i="25"/>
  <c r="G24" i="25"/>
  <c r="G21" i="25"/>
  <c r="H15" i="25"/>
  <c r="J21" i="25"/>
  <c r="G27" i="25"/>
  <c r="H24" i="25"/>
  <c r="I27" i="25"/>
  <c r="H9" i="25"/>
  <c r="G9" i="25"/>
  <c r="I9" i="25"/>
  <c r="K21" i="25"/>
  <c r="H27" i="25"/>
  <c r="H18" i="25"/>
  <c r="BS26" i="2"/>
  <c r="BR26" i="2"/>
  <c r="BQ26" i="2"/>
  <c r="BP26" i="2"/>
  <c r="BO26" i="2"/>
  <c r="BN26" i="2"/>
  <c r="BK12" i="2"/>
  <c r="BK26" i="2" s="1"/>
  <c r="BJ12" i="2"/>
  <c r="BJ26" i="2" s="1"/>
  <c r="BI12" i="2"/>
  <c r="BI26" i="2" s="1"/>
  <c r="BH12" i="2"/>
  <c r="BH26" i="2" s="1"/>
  <c r="BG12" i="2"/>
  <c r="BF12" i="2"/>
  <c r="BE12" i="2"/>
  <c r="BD12" i="2"/>
  <c r="BC12" i="2"/>
  <c r="BB12" i="2"/>
  <c r="BA12" i="2"/>
  <c r="BM12" i="2" s="1"/>
  <c r="BM26" i="2" s="1"/>
  <c r="F4" i="26"/>
  <c r="F5" i="26"/>
  <c r="F6" i="26"/>
  <c r="F7" i="26"/>
  <c r="F8" i="26"/>
  <c r="F9" i="26"/>
  <c r="F10" i="26"/>
  <c r="F11" i="26"/>
  <c r="F12" i="26"/>
  <c r="F13" i="26"/>
  <c r="F14" i="26"/>
  <c r="F7" i="25"/>
  <c r="F8" i="25"/>
  <c r="F10" i="25"/>
  <c r="F11" i="25"/>
  <c r="F13" i="25"/>
  <c r="F14" i="25"/>
  <c r="F16" i="25"/>
  <c r="F17" i="25"/>
  <c r="F19" i="25"/>
  <c r="F20" i="25"/>
  <c r="F22" i="25"/>
  <c r="F23" i="25"/>
  <c r="F25" i="25"/>
  <c r="F26" i="25"/>
  <c r="G2" i="8"/>
  <c r="G2" i="7"/>
  <c r="G2" i="6"/>
  <c r="G2" i="5"/>
  <c r="G2" i="4"/>
  <c r="G2" i="3"/>
  <c r="H2" i="2"/>
  <c r="H29" i="11"/>
  <c r="F15" i="25" l="1"/>
  <c r="F9" i="25"/>
  <c r="F21" i="25"/>
  <c r="F27" i="25"/>
  <c r="F24" i="25"/>
  <c r="F18" i="25"/>
  <c r="F12" i="25"/>
  <c r="H28" i="11"/>
  <c r="E4" i="26" l="1"/>
  <c r="E5" i="26"/>
  <c r="E6" i="26"/>
  <c r="E7" i="26"/>
  <c r="E8" i="26"/>
  <c r="E9" i="26"/>
  <c r="E10" i="26"/>
  <c r="E11" i="26"/>
  <c r="E12" i="26"/>
  <c r="E13" i="26"/>
  <c r="E14" i="26"/>
  <c r="E7" i="25"/>
  <c r="E8" i="25"/>
  <c r="E9" i="25" s="1"/>
  <c r="E10" i="25"/>
  <c r="E11" i="25"/>
  <c r="E13" i="25"/>
  <c r="E14" i="25"/>
  <c r="E15" i="25" s="1"/>
  <c r="E16" i="25"/>
  <c r="E17" i="25"/>
  <c r="E19" i="25"/>
  <c r="E20" i="25"/>
  <c r="E21" i="25"/>
  <c r="E22" i="25"/>
  <c r="E24" i="25" s="1"/>
  <c r="E23" i="25"/>
  <c r="E25" i="25"/>
  <c r="E26" i="25"/>
  <c r="E27" i="25"/>
  <c r="W10" i="3"/>
  <c r="F2" i="8"/>
  <c r="F2" i="7"/>
  <c r="F2" i="6"/>
  <c r="F2" i="5"/>
  <c r="F2" i="4"/>
  <c r="F2" i="3"/>
  <c r="G2" i="2"/>
  <c r="P10" i="3"/>
  <c r="D4" i="26"/>
  <c r="D5" i="26"/>
  <c r="D6" i="26"/>
  <c r="D7" i="26"/>
  <c r="D8" i="26"/>
  <c r="D9" i="26"/>
  <c r="D10" i="26"/>
  <c r="D11" i="26"/>
  <c r="D12" i="26"/>
  <c r="D13" i="26"/>
  <c r="D14" i="26"/>
  <c r="D7" i="25"/>
  <c r="D8" i="25"/>
  <c r="D10" i="25"/>
  <c r="D11" i="25"/>
  <c r="D12" i="25"/>
  <c r="D13" i="25"/>
  <c r="D14" i="25"/>
  <c r="D15" i="25"/>
  <c r="D16" i="25"/>
  <c r="D17" i="25"/>
  <c r="D19" i="25"/>
  <c r="D20" i="25"/>
  <c r="D22" i="25"/>
  <c r="D23" i="25"/>
  <c r="D24" i="25"/>
  <c r="D25" i="25"/>
  <c r="D26" i="25"/>
  <c r="D27" i="25"/>
  <c r="E2" i="8"/>
  <c r="E2" i="7"/>
  <c r="E2" i="6"/>
  <c r="E2" i="5"/>
  <c r="E2" i="4"/>
  <c r="E2" i="3"/>
  <c r="F2" i="2"/>
  <c r="D2" i="8"/>
  <c r="D2" i="7"/>
  <c r="D2" i="6"/>
  <c r="D2" i="5"/>
  <c r="D2" i="4"/>
  <c r="D2" i="3"/>
  <c r="E2" i="2"/>
  <c r="E5" i="23"/>
  <c r="D5" i="23"/>
  <c r="C5" i="23"/>
  <c r="B5" i="23"/>
  <c r="E20" i="23"/>
  <c r="D20" i="23"/>
  <c r="C20" i="23"/>
  <c r="B20" i="23"/>
  <c r="E20" i="20"/>
  <c r="D20" i="20"/>
  <c r="C20" i="20"/>
  <c r="B20" i="20"/>
  <c r="E19" i="20"/>
  <c r="D19" i="20"/>
  <c r="C19" i="20"/>
  <c r="B19" i="20"/>
  <c r="E5" i="20"/>
  <c r="D5" i="20"/>
  <c r="C5" i="20"/>
  <c r="B5" i="20"/>
  <c r="E4" i="20"/>
  <c r="D4" i="20"/>
  <c r="C4" i="20"/>
  <c r="B4" i="20"/>
  <c r="E27" i="13"/>
  <c r="D27" i="13"/>
  <c r="C27" i="13"/>
  <c r="B27" i="13"/>
  <c r="R25" i="8"/>
  <c r="P26" i="8"/>
  <c r="P6" i="8"/>
  <c r="P8" i="8"/>
  <c r="P10" i="8"/>
  <c r="P12" i="8"/>
  <c r="P14" i="8"/>
  <c r="P16" i="8"/>
  <c r="P18" i="8"/>
  <c r="P20" i="8"/>
  <c r="P22" i="8"/>
  <c r="P4" i="8"/>
  <c r="R25" i="7"/>
  <c r="P26" i="7"/>
  <c r="P6" i="7"/>
  <c r="P8" i="7"/>
  <c r="P10" i="7"/>
  <c r="P12" i="7"/>
  <c r="P14" i="7"/>
  <c r="P16" i="7"/>
  <c r="P18" i="7"/>
  <c r="P20" i="7"/>
  <c r="P22" i="7"/>
  <c r="P4" i="7"/>
  <c r="R25" i="6"/>
  <c r="P26" i="6"/>
  <c r="P6" i="6"/>
  <c r="P8" i="6"/>
  <c r="P10" i="6"/>
  <c r="P12" i="6"/>
  <c r="P14" i="6"/>
  <c r="P16" i="6"/>
  <c r="P18" i="6"/>
  <c r="P20" i="6"/>
  <c r="P22" i="6"/>
  <c r="P4" i="6"/>
  <c r="R25" i="5"/>
  <c r="P26" i="5"/>
  <c r="P6" i="5"/>
  <c r="P8" i="5"/>
  <c r="P10" i="5"/>
  <c r="P12" i="5"/>
  <c r="P14" i="5"/>
  <c r="P16" i="5"/>
  <c r="P18" i="5"/>
  <c r="P20" i="5"/>
  <c r="P22" i="5"/>
  <c r="P4" i="5"/>
  <c r="P27" i="4"/>
  <c r="P6" i="4"/>
  <c r="P8" i="4"/>
  <c r="P10" i="4"/>
  <c r="P12" i="4"/>
  <c r="P14" i="4"/>
  <c r="P16" i="4"/>
  <c r="P18" i="4"/>
  <c r="P20" i="4"/>
  <c r="P22" i="4"/>
  <c r="P4" i="4"/>
  <c r="P26" i="3"/>
  <c r="P6" i="3"/>
  <c r="P8" i="3"/>
  <c r="P12" i="3"/>
  <c r="P14" i="3"/>
  <c r="P16" i="3"/>
  <c r="P18" i="3"/>
  <c r="P20" i="3"/>
  <c r="P22" i="3"/>
  <c r="P4" i="3"/>
  <c r="Q6" i="2"/>
  <c r="Q8" i="2"/>
  <c r="Q10" i="2"/>
  <c r="Q12" i="2"/>
  <c r="Q14" i="2"/>
  <c r="Q16" i="2"/>
  <c r="Q18" i="2"/>
  <c r="Q20" i="2"/>
  <c r="Q22" i="2"/>
  <c r="Q4" i="2"/>
  <c r="Q26" i="2"/>
  <c r="Q33" i="2"/>
  <c r="Q34" i="2"/>
  <c r="Q35" i="2"/>
  <c r="Q36" i="2"/>
  <c r="Q37" i="2"/>
  <c r="Q40" i="2"/>
  <c r="Q41" i="2"/>
  <c r="Q42" i="2"/>
  <c r="Q43" i="2"/>
  <c r="Q44" i="2"/>
  <c r="Q45" i="2"/>
  <c r="Q46" i="2"/>
  <c r="Q47" i="2"/>
  <c r="Q48" i="2"/>
  <c r="Q49" i="2"/>
  <c r="P26" i="1"/>
  <c r="P6" i="1"/>
  <c r="P8" i="1"/>
  <c r="P10" i="1"/>
  <c r="P12" i="1"/>
  <c r="P14" i="1"/>
  <c r="P16" i="1"/>
  <c r="P18" i="1"/>
  <c r="P20" i="1"/>
  <c r="P22" i="1"/>
  <c r="P4" i="1"/>
  <c r="D18" i="25" l="1"/>
  <c r="E18" i="25"/>
  <c r="E12" i="25"/>
  <c r="D21" i="25"/>
  <c r="N4" i="11"/>
  <c r="D9" i="25"/>
  <c r="B21" i="20"/>
  <c r="B6" i="20"/>
  <c r="G49" i="4"/>
  <c r="E27" i="23" l="1"/>
  <c r="E27" i="27" s="1"/>
  <c r="D27" i="23"/>
  <c r="D27" i="27" s="1"/>
  <c r="C27" i="23"/>
  <c r="C27" i="27" s="1"/>
  <c r="B27" i="23"/>
  <c r="B27" i="27" s="1"/>
  <c r="E20" i="27" l="1"/>
  <c r="D20" i="27"/>
  <c r="C20" i="27"/>
  <c r="B20" i="27"/>
  <c r="E5" i="27"/>
  <c r="D5" i="27"/>
  <c r="C5" i="27"/>
  <c r="B5" i="27"/>
  <c r="O40" i="5" l="1"/>
  <c r="O38" i="5"/>
  <c r="O39" i="1"/>
  <c r="O37" i="1"/>
  <c r="C19" i="19"/>
  <c r="AM24" i="6" l="1"/>
  <c r="AM29" i="6" s="1"/>
  <c r="AL24" i="6" l="1"/>
  <c r="AL29" i="6" s="1"/>
  <c r="AI26" i="6" l="1"/>
  <c r="AK24" i="6"/>
  <c r="AK29" i="6" s="1"/>
  <c r="U6" i="6" l="1"/>
  <c r="AE4" i="1" l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D5" i="1"/>
  <c r="AD4" i="1" l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J5" i="25"/>
  <c r="AA23" i="1"/>
  <c r="Z23" i="1"/>
  <c r="AA21" i="1"/>
  <c r="Z21" i="1"/>
  <c r="AA19" i="1"/>
  <c r="Z19" i="1"/>
  <c r="AA17" i="1"/>
  <c r="Z17" i="1"/>
  <c r="AA15" i="1"/>
  <c r="Z15" i="1"/>
  <c r="AA13" i="1"/>
  <c r="Z13" i="1"/>
  <c r="AA11" i="1"/>
  <c r="Z11" i="1"/>
  <c r="AA9" i="1"/>
  <c r="Z9" i="1"/>
  <c r="AA7" i="1"/>
  <c r="Z7" i="1"/>
  <c r="Z5" i="1"/>
  <c r="AA5" i="1"/>
  <c r="AB23" i="1"/>
  <c r="AB21" i="1"/>
  <c r="AB19" i="1"/>
  <c r="AB17" i="1"/>
  <c r="AB15" i="1"/>
  <c r="AB13" i="1"/>
  <c r="AB11" i="1"/>
  <c r="AB9" i="1"/>
  <c r="AB7" i="1"/>
  <c r="AB5" i="1"/>
  <c r="D9" i="16"/>
  <c r="B5" i="11"/>
  <c r="W28" i="4"/>
  <c r="X28" i="4"/>
  <c r="Y28" i="4"/>
  <c r="Z28" i="4"/>
  <c r="AA28" i="4"/>
  <c r="AB28" i="4"/>
  <c r="AC28" i="4"/>
  <c r="AD28" i="4"/>
  <c r="AE28" i="4"/>
  <c r="AF28" i="4"/>
  <c r="V28" i="4"/>
  <c r="U28" i="4"/>
  <c r="E4" i="25"/>
  <c r="J4" i="25"/>
  <c r="J6" i="25" s="1"/>
  <c r="F4" i="25"/>
  <c r="G4" i="25"/>
  <c r="H4" i="25"/>
  <c r="I4" i="25"/>
  <c r="D4" i="25"/>
  <c r="C13" i="25"/>
  <c r="C10" i="25"/>
  <c r="C7" i="25"/>
  <c r="C19" i="25"/>
  <c r="C4" i="25"/>
  <c r="E10" i="23"/>
  <c r="D10" i="23"/>
  <c r="C10" i="23"/>
  <c r="B10" i="23"/>
  <c r="D24" i="18"/>
  <c r="E10" i="16"/>
  <c r="L21" i="21" s="1"/>
  <c r="D10" i="16"/>
  <c r="I21" i="21" s="1"/>
  <c r="C10" i="16"/>
  <c r="F21" i="21" s="1"/>
  <c r="B10" i="16"/>
  <c r="C21" i="21" s="1"/>
  <c r="E10" i="15"/>
  <c r="D10" i="15"/>
  <c r="C10" i="15"/>
  <c r="B10" i="15"/>
  <c r="E10" i="14"/>
  <c r="L17" i="21" s="1"/>
  <c r="D10" i="14"/>
  <c r="I17" i="21" s="1"/>
  <c r="C10" i="14"/>
  <c r="F17" i="21" s="1"/>
  <c r="B10" i="14"/>
  <c r="C17" i="21" s="1"/>
  <c r="E10" i="13"/>
  <c r="L15" i="21" s="1"/>
  <c r="D10" i="13"/>
  <c r="I15" i="21" s="1"/>
  <c r="C10" i="13"/>
  <c r="F15" i="21" s="1"/>
  <c r="B10" i="13"/>
  <c r="C15" i="21" s="1"/>
  <c r="E10" i="12"/>
  <c r="L13" i="21" s="1"/>
  <c r="D10" i="12"/>
  <c r="I13" i="21" s="1"/>
  <c r="C10" i="12"/>
  <c r="F13" i="21" s="1"/>
  <c r="B10" i="12"/>
  <c r="C13" i="21" s="1"/>
  <c r="E10" i="11"/>
  <c r="L11" i="21" s="1"/>
  <c r="D10" i="11"/>
  <c r="I11" i="21" s="1"/>
  <c r="C10" i="11"/>
  <c r="F11" i="21" s="1"/>
  <c r="B10" i="11"/>
  <c r="C11" i="21" s="1"/>
  <c r="E10" i="10"/>
  <c r="D10" i="10"/>
  <c r="C10" i="10"/>
  <c r="B10" i="10"/>
  <c r="E10" i="9"/>
  <c r="D10" i="9"/>
  <c r="C10" i="9"/>
  <c r="B10" i="9"/>
  <c r="Q23" i="7"/>
  <c r="Q7" i="7"/>
  <c r="Q9" i="7"/>
  <c r="Q11" i="7"/>
  <c r="Q13" i="7"/>
  <c r="Q15" i="7"/>
  <c r="Q17" i="7"/>
  <c r="Q19" i="7"/>
  <c r="Q21" i="7"/>
  <c r="Q5" i="7"/>
  <c r="Q29" i="4"/>
  <c r="Q28" i="4"/>
  <c r="Q28" i="3"/>
  <c r="Q27" i="3"/>
  <c r="R28" i="2"/>
  <c r="R27" i="2"/>
  <c r="Q28" i="1"/>
  <c r="Q27" i="1"/>
  <c r="F19" i="21" l="1"/>
  <c r="U24" i="21"/>
  <c r="J20" i="21"/>
  <c r="K20" i="21" s="1"/>
  <c r="I20" i="21"/>
  <c r="F9" i="21"/>
  <c r="I9" i="21"/>
  <c r="L9" i="21"/>
  <c r="C9" i="21"/>
  <c r="E10" i="27" l="1"/>
  <c r="D10" i="27"/>
  <c r="C10" i="27"/>
  <c r="B10" i="27"/>
  <c r="L28" i="23" l="1"/>
  <c r="E10" i="20"/>
  <c r="D10" i="20"/>
  <c r="C10" i="20"/>
  <c r="B10" i="20"/>
  <c r="B19" i="19"/>
  <c r="D4" i="19"/>
  <c r="C4" i="19"/>
  <c r="E10" i="19"/>
  <c r="D10" i="19"/>
  <c r="C10" i="19"/>
  <c r="B10" i="19"/>
  <c r="E10" i="18"/>
  <c r="L25" i="21" s="1"/>
  <c r="D10" i="18"/>
  <c r="I25" i="21" s="1"/>
  <c r="C10" i="18"/>
  <c r="F25" i="21" s="1"/>
  <c r="B10" i="18"/>
  <c r="C25" i="21" s="1"/>
  <c r="AE12" i="5"/>
  <c r="AE20" i="3"/>
  <c r="AF8" i="2"/>
  <c r="E10" i="24"/>
  <c r="D10" i="24"/>
  <c r="C10" i="24"/>
  <c r="B10" i="24"/>
  <c r="L4" i="25"/>
  <c r="M4" i="25"/>
  <c r="N4" i="25"/>
  <c r="K4" i="25"/>
  <c r="AB4" i="1"/>
  <c r="AB6" i="1"/>
  <c r="AB8" i="1"/>
  <c r="AB10" i="1"/>
  <c r="AB12" i="1"/>
  <c r="AB14" i="1"/>
  <c r="AB16" i="1"/>
  <c r="AB18" i="1"/>
  <c r="AB20" i="1"/>
  <c r="AB22" i="1"/>
  <c r="B12" i="10"/>
  <c r="R25" i="1"/>
  <c r="E29" i="2"/>
  <c r="F29" i="2"/>
  <c r="G29" i="2"/>
  <c r="H29" i="2"/>
  <c r="I29" i="2"/>
  <c r="J29" i="2"/>
  <c r="K29" i="2"/>
  <c r="L29" i="2"/>
  <c r="M29" i="2"/>
  <c r="N29" i="2"/>
  <c r="O29" i="2"/>
  <c r="P29" i="2"/>
  <c r="D29" i="2"/>
  <c r="F23" i="21" l="1"/>
  <c r="F27" i="21"/>
  <c r="V27" i="4"/>
  <c r="W27" i="4"/>
  <c r="X27" i="4"/>
  <c r="Y27" i="4"/>
  <c r="Z27" i="4"/>
  <c r="AA27" i="4"/>
  <c r="AB27" i="4"/>
  <c r="AC27" i="4"/>
  <c r="AD27" i="4"/>
  <c r="AE27" i="4"/>
  <c r="U27" i="4"/>
  <c r="Q23" i="1" l="1"/>
  <c r="R23" i="2"/>
  <c r="R7" i="2"/>
  <c r="R9" i="2"/>
  <c r="R11" i="2"/>
  <c r="R13" i="2"/>
  <c r="R15" i="2"/>
  <c r="R17" i="2"/>
  <c r="R19" i="2"/>
  <c r="R21" i="2"/>
  <c r="R5" i="2"/>
  <c r="Q23" i="3"/>
  <c r="Q7" i="3"/>
  <c r="Q9" i="3"/>
  <c r="Q11" i="3"/>
  <c r="Q13" i="3"/>
  <c r="Q15" i="3"/>
  <c r="Q17" i="3"/>
  <c r="Q19" i="3"/>
  <c r="Q21" i="3"/>
  <c r="Q5" i="3"/>
  <c r="Q23" i="4"/>
  <c r="Q7" i="4"/>
  <c r="Q9" i="4"/>
  <c r="Q11" i="4"/>
  <c r="Q13" i="4"/>
  <c r="Q15" i="4"/>
  <c r="Q17" i="4"/>
  <c r="Q19" i="4"/>
  <c r="Q21" i="4"/>
  <c r="Q5" i="4"/>
  <c r="Q23" i="5"/>
  <c r="Q7" i="5"/>
  <c r="Q9" i="5"/>
  <c r="Q11" i="5"/>
  <c r="Q13" i="5"/>
  <c r="Q15" i="5"/>
  <c r="Q17" i="5"/>
  <c r="Q19" i="5"/>
  <c r="Q21" i="5"/>
  <c r="Q5" i="5"/>
  <c r="Q23" i="6"/>
  <c r="Q7" i="6"/>
  <c r="Q9" i="6"/>
  <c r="Q11" i="6"/>
  <c r="Q13" i="6"/>
  <c r="Q15" i="6"/>
  <c r="Q17" i="6"/>
  <c r="Q19" i="6"/>
  <c r="Q21" i="6"/>
  <c r="Q5" i="6"/>
  <c r="Q23" i="8"/>
  <c r="Q7" i="8"/>
  <c r="Q9" i="8"/>
  <c r="Q11" i="8"/>
  <c r="Q13" i="8"/>
  <c r="Q15" i="8"/>
  <c r="Q17" i="8"/>
  <c r="Q19" i="8"/>
  <c r="Q21" i="8"/>
  <c r="Q5" i="8"/>
  <c r="B12" i="23"/>
  <c r="B12" i="27" s="1"/>
  <c r="AF25" i="4"/>
  <c r="AF32" i="4"/>
  <c r="AF33" i="4"/>
  <c r="AV8" i="2"/>
  <c r="L14" i="23"/>
  <c r="AV18" i="2" l="1"/>
  <c r="AV6" i="2"/>
  <c r="AV14" i="2"/>
  <c r="D5" i="19"/>
  <c r="AE4" i="8" l="1"/>
  <c r="AE6" i="8"/>
  <c r="AE8" i="8"/>
  <c r="AE10" i="8"/>
  <c r="AE12" i="8"/>
  <c r="AE14" i="8"/>
  <c r="AE16" i="8"/>
  <c r="AE18" i="8"/>
  <c r="AE20" i="8"/>
  <c r="AE22" i="8"/>
  <c r="AE4" i="7"/>
  <c r="AE6" i="7"/>
  <c r="AE8" i="7"/>
  <c r="AE10" i="7"/>
  <c r="AE12" i="7"/>
  <c r="AE14" i="7"/>
  <c r="AE16" i="7"/>
  <c r="AE18" i="7"/>
  <c r="AE20" i="7"/>
  <c r="AE22" i="7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4" i="5"/>
  <c r="AE6" i="5"/>
  <c r="AE8" i="5"/>
  <c r="AE10" i="5"/>
  <c r="AE14" i="5"/>
  <c r="AE16" i="5"/>
  <c r="AE18" i="5"/>
  <c r="AE20" i="5"/>
  <c r="AE22" i="5"/>
  <c r="AE4" i="4"/>
  <c r="AE6" i="4"/>
  <c r="AE8" i="4"/>
  <c r="AE10" i="4"/>
  <c r="AE12" i="4"/>
  <c r="AE14" i="4"/>
  <c r="AE16" i="4"/>
  <c r="AE18" i="4"/>
  <c r="AE20" i="4"/>
  <c r="AE22" i="4"/>
  <c r="AE25" i="4"/>
  <c r="AE32" i="4"/>
  <c r="AE33" i="4"/>
  <c r="AE4" i="3"/>
  <c r="AE6" i="3"/>
  <c r="AE8" i="3"/>
  <c r="AE10" i="3"/>
  <c r="AE12" i="3"/>
  <c r="AE14" i="3"/>
  <c r="AE16" i="3"/>
  <c r="AE18" i="3"/>
  <c r="AE22" i="3"/>
  <c r="AF33" i="2"/>
  <c r="AF34" i="2"/>
  <c r="AF35" i="2"/>
  <c r="AF36" i="2"/>
  <c r="AF37" i="2"/>
  <c r="AF40" i="2"/>
  <c r="AF41" i="2"/>
  <c r="AF42" i="2"/>
  <c r="AF9" i="2" s="1"/>
  <c r="AU8" i="2" s="1"/>
  <c r="AF43" i="2"/>
  <c r="AF44" i="2"/>
  <c r="AF13" i="2" s="1"/>
  <c r="AF45" i="2"/>
  <c r="AF46" i="2"/>
  <c r="AF15" i="2" s="1"/>
  <c r="AF47" i="2"/>
  <c r="AF48" i="2"/>
  <c r="AF49" i="2"/>
  <c r="AF4" i="2"/>
  <c r="AF6" i="2"/>
  <c r="AF10" i="2"/>
  <c r="AF12" i="2"/>
  <c r="AF14" i="2"/>
  <c r="AF16" i="2"/>
  <c r="AF18" i="2"/>
  <c r="AF20" i="2"/>
  <c r="AF22" i="2"/>
  <c r="AD4" i="8"/>
  <c r="AD6" i="8"/>
  <c r="AD8" i="8"/>
  <c r="AD10" i="8"/>
  <c r="AD12" i="8"/>
  <c r="AD14" i="8"/>
  <c r="AD16" i="8"/>
  <c r="AD18" i="8"/>
  <c r="AD20" i="8"/>
  <c r="AD22" i="8"/>
  <c r="AD4" i="7"/>
  <c r="AD6" i="7"/>
  <c r="AD8" i="7"/>
  <c r="AD10" i="7"/>
  <c r="AD12" i="7"/>
  <c r="AD14" i="7"/>
  <c r="AD16" i="7"/>
  <c r="AD18" i="7"/>
  <c r="AD20" i="7"/>
  <c r="AD22" i="7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4" i="5"/>
  <c r="AD6" i="5"/>
  <c r="AD8" i="5"/>
  <c r="AD10" i="5"/>
  <c r="AD12" i="5"/>
  <c r="AD14" i="5"/>
  <c r="AD16" i="5"/>
  <c r="AD18" i="5"/>
  <c r="AD20" i="5"/>
  <c r="AD22" i="5"/>
  <c r="AD4" i="4"/>
  <c r="AD6" i="4"/>
  <c r="AD8" i="4"/>
  <c r="AD10" i="4"/>
  <c r="AD12" i="4"/>
  <c r="AD14" i="4"/>
  <c r="AD16" i="4"/>
  <c r="AD18" i="4"/>
  <c r="AD20" i="4"/>
  <c r="AD22" i="4"/>
  <c r="AD25" i="4"/>
  <c r="AD32" i="4"/>
  <c r="AD33" i="4"/>
  <c r="AD4" i="3"/>
  <c r="AD6" i="3"/>
  <c r="AD8" i="3"/>
  <c r="AD10" i="3"/>
  <c r="AD12" i="3"/>
  <c r="AD14" i="3"/>
  <c r="AD16" i="3"/>
  <c r="AD18" i="3"/>
  <c r="AD22" i="3"/>
  <c r="AE33" i="2"/>
  <c r="AE34" i="2"/>
  <c r="AE35" i="2"/>
  <c r="AE36" i="2"/>
  <c r="AE37" i="2"/>
  <c r="AE40" i="2"/>
  <c r="AE41" i="2"/>
  <c r="AE42" i="2"/>
  <c r="AE43" i="2"/>
  <c r="AE44" i="2"/>
  <c r="AE13" i="2" s="1"/>
  <c r="AE45" i="2"/>
  <c r="AE46" i="2"/>
  <c r="AE15" i="2" s="1"/>
  <c r="AE47" i="2"/>
  <c r="AE48" i="2"/>
  <c r="AE19" i="2" s="1"/>
  <c r="AE49" i="2"/>
  <c r="AE4" i="2"/>
  <c r="AE6" i="2"/>
  <c r="AE7" i="2"/>
  <c r="AE8" i="2"/>
  <c r="AE9" i="2"/>
  <c r="AE10" i="2"/>
  <c r="AE12" i="2"/>
  <c r="AE14" i="2"/>
  <c r="AE16" i="2"/>
  <c r="AE18" i="2"/>
  <c r="AE20" i="2"/>
  <c r="AE22" i="2"/>
  <c r="AC4" i="8"/>
  <c r="AC6" i="8"/>
  <c r="AC8" i="8"/>
  <c r="AC10" i="8"/>
  <c r="AC12" i="8"/>
  <c r="AC14" i="8"/>
  <c r="AC16" i="8"/>
  <c r="AC18" i="8"/>
  <c r="AC20" i="8"/>
  <c r="AC22" i="8"/>
  <c r="AC4" i="7"/>
  <c r="AC6" i="7"/>
  <c r="AC8" i="7"/>
  <c r="AC10" i="7"/>
  <c r="AC12" i="7"/>
  <c r="AC14" i="7"/>
  <c r="AC16" i="7"/>
  <c r="AC18" i="7"/>
  <c r="AC20" i="7"/>
  <c r="AC22" i="7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4" i="5"/>
  <c r="AC6" i="5"/>
  <c r="AC8" i="5"/>
  <c r="AC10" i="5"/>
  <c r="AC12" i="5"/>
  <c r="AC14" i="5"/>
  <c r="AC16" i="5"/>
  <c r="AC18" i="5"/>
  <c r="AC20" i="5"/>
  <c r="AC22" i="5"/>
  <c r="AC4" i="4"/>
  <c r="AC6" i="4"/>
  <c r="AC8" i="4"/>
  <c r="AC10" i="4"/>
  <c r="AC12" i="4"/>
  <c r="AC14" i="4"/>
  <c r="AC16" i="4"/>
  <c r="AC18" i="4"/>
  <c r="AC20" i="4"/>
  <c r="AC22" i="4"/>
  <c r="AC25" i="4"/>
  <c r="AC32" i="4"/>
  <c r="AC33" i="4"/>
  <c r="AC4" i="3"/>
  <c r="AC6" i="3"/>
  <c r="AC8" i="3"/>
  <c r="AC10" i="3"/>
  <c r="AC12" i="3"/>
  <c r="AC14" i="3"/>
  <c r="AC16" i="3"/>
  <c r="AC18" i="3"/>
  <c r="AC22" i="3"/>
  <c r="AD4" i="2"/>
  <c r="AD6" i="2"/>
  <c r="AD8" i="2"/>
  <c r="AD10" i="2"/>
  <c r="AD12" i="2"/>
  <c r="AD14" i="2"/>
  <c r="AD16" i="2"/>
  <c r="AD18" i="2"/>
  <c r="AD20" i="2"/>
  <c r="AD22" i="2"/>
  <c r="AD33" i="2"/>
  <c r="AD34" i="2"/>
  <c r="AD35" i="2"/>
  <c r="AD36" i="2"/>
  <c r="AD37" i="2"/>
  <c r="AD40" i="2"/>
  <c r="AD41" i="2"/>
  <c r="AD42" i="2"/>
  <c r="AD9" i="2" s="1"/>
  <c r="AD43" i="2"/>
  <c r="AD44" i="2"/>
  <c r="AD13" i="2" s="1"/>
  <c r="AD45" i="2"/>
  <c r="AD46" i="2"/>
  <c r="AD15" i="2" s="1"/>
  <c r="AD47" i="2"/>
  <c r="AD48" i="2"/>
  <c r="AD19" i="2" s="1"/>
  <c r="AD49" i="2"/>
  <c r="AB4" i="8"/>
  <c r="AB6" i="8"/>
  <c r="AB8" i="8"/>
  <c r="AB10" i="8"/>
  <c r="AB12" i="8"/>
  <c r="AB14" i="8"/>
  <c r="AB16" i="8"/>
  <c r="AB18" i="8"/>
  <c r="AB20" i="8"/>
  <c r="AB22" i="8"/>
  <c r="AB4" i="7"/>
  <c r="AB6" i="7"/>
  <c r="AB8" i="7"/>
  <c r="AB10" i="7"/>
  <c r="AB12" i="7"/>
  <c r="AB14" i="7"/>
  <c r="AB16" i="7"/>
  <c r="AB18" i="7"/>
  <c r="AB20" i="7"/>
  <c r="AB22" i="7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4" i="5"/>
  <c r="AB6" i="5"/>
  <c r="AB8" i="5"/>
  <c r="AB10" i="5"/>
  <c r="AB12" i="5"/>
  <c r="AB14" i="5"/>
  <c r="AB16" i="5"/>
  <c r="AB18" i="5"/>
  <c r="AB20" i="5"/>
  <c r="AB22" i="5"/>
  <c r="AB4" i="4"/>
  <c r="AB6" i="4"/>
  <c r="AB8" i="4"/>
  <c r="AB10" i="4"/>
  <c r="AB12" i="4"/>
  <c r="AB14" i="4"/>
  <c r="AB16" i="4"/>
  <c r="AB18" i="4"/>
  <c r="AB20" i="4"/>
  <c r="AB22" i="4"/>
  <c r="AB25" i="4"/>
  <c r="AB32" i="4"/>
  <c r="AB33" i="4"/>
  <c r="AB4" i="3"/>
  <c r="AB6" i="3"/>
  <c r="AB8" i="3"/>
  <c r="AB10" i="3"/>
  <c r="AB12" i="3"/>
  <c r="AB14" i="3"/>
  <c r="AB16" i="3"/>
  <c r="AB18" i="3"/>
  <c r="AB22" i="3"/>
  <c r="AC33" i="2"/>
  <c r="AC34" i="2"/>
  <c r="AC35" i="2"/>
  <c r="AC36" i="2"/>
  <c r="AC37" i="2"/>
  <c r="AC40" i="2"/>
  <c r="AC41" i="2"/>
  <c r="AC42" i="2"/>
  <c r="AC9" i="2" s="1"/>
  <c r="AC43" i="2"/>
  <c r="AC44" i="2"/>
  <c r="AC13" i="2" s="1"/>
  <c r="AC45" i="2"/>
  <c r="AC46" i="2"/>
  <c r="AC15" i="2" s="1"/>
  <c r="AC47" i="2"/>
  <c r="AC48" i="2"/>
  <c r="AC19" i="2" s="1"/>
  <c r="AC49" i="2"/>
  <c r="AC4" i="2"/>
  <c r="AC6" i="2"/>
  <c r="AC8" i="2"/>
  <c r="AC10" i="2"/>
  <c r="AC12" i="2"/>
  <c r="AC14" i="2"/>
  <c r="AC16" i="2"/>
  <c r="AC18" i="2"/>
  <c r="AC20" i="2"/>
  <c r="AC22" i="2"/>
  <c r="AA4" i="8"/>
  <c r="AA6" i="8"/>
  <c r="AA8" i="8"/>
  <c r="AA10" i="8"/>
  <c r="AA12" i="8"/>
  <c r="AA14" i="8"/>
  <c r="AA16" i="8"/>
  <c r="AA18" i="8"/>
  <c r="AA20" i="8"/>
  <c r="AA22" i="8"/>
  <c r="AA4" i="7"/>
  <c r="AA6" i="7"/>
  <c r="AA8" i="7"/>
  <c r="AA10" i="7"/>
  <c r="AA12" i="7"/>
  <c r="AA14" i="7"/>
  <c r="AA16" i="7"/>
  <c r="AA18" i="7"/>
  <c r="AA20" i="7"/>
  <c r="AA22" i="7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4" i="5"/>
  <c r="AA6" i="5"/>
  <c r="AA8" i="5"/>
  <c r="AA10" i="5"/>
  <c r="AA12" i="5"/>
  <c r="AA14" i="5"/>
  <c r="AA16" i="5"/>
  <c r="AA18" i="5"/>
  <c r="AA20" i="5"/>
  <c r="AA22" i="5"/>
  <c r="AA4" i="4"/>
  <c r="AA6" i="4"/>
  <c r="AA8" i="4"/>
  <c r="AA10" i="4"/>
  <c r="AA12" i="4"/>
  <c r="AA14" i="4"/>
  <c r="AA16" i="4"/>
  <c r="AA18" i="4"/>
  <c r="AA20" i="4"/>
  <c r="AA22" i="4"/>
  <c r="AA25" i="4"/>
  <c r="AA32" i="4"/>
  <c r="AA33" i="4"/>
  <c r="AA4" i="3"/>
  <c r="AA6" i="3"/>
  <c r="AA8" i="3"/>
  <c r="AA10" i="3"/>
  <c r="AA12" i="3"/>
  <c r="AA14" i="3"/>
  <c r="AA16" i="3"/>
  <c r="AA18" i="3"/>
  <c r="AA20" i="3"/>
  <c r="AA22" i="3"/>
  <c r="AB33" i="2"/>
  <c r="AB34" i="2"/>
  <c r="AB35" i="2"/>
  <c r="AB36" i="2"/>
  <c r="AB37" i="2"/>
  <c r="AB40" i="2"/>
  <c r="AB41" i="2"/>
  <c r="AB42" i="2"/>
  <c r="AB9" i="2" s="1"/>
  <c r="AB43" i="2"/>
  <c r="AB44" i="2"/>
  <c r="AB13" i="2" s="1"/>
  <c r="AB45" i="2"/>
  <c r="AB46" i="2"/>
  <c r="AB15" i="2" s="1"/>
  <c r="AB47" i="2"/>
  <c r="AB48" i="2"/>
  <c r="AB19" i="2" s="1"/>
  <c r="AB49" i="2"/>
  <c r="AB4" i="2"/>
  <c r="AB6" i="2"/>
  <c r="AB8" i="2"/>
  <c r="AB10" i="2"/>
  <c r="AB12" i="2"/>
  <c r="AB14" i="2"/>
  <c r="AB16" i="2"/>
  <c r="AB18" i="2"/>
  <c r="AB20" i="2"/>
  <c r="AB22" i="2"/>
  <c r="AA4" i="1"/>
  <c r="AA6" i="1"/>
  <c r="AA8" i="1"/>
  <c r="AA10" i="1"/>
  <c r="AA12" i="1"/>
  <c r="AA14" i="1"/>
  <c r="AA16" i="1"/>
  <c r="AA18" i="1"/>
  <c r="AA20" i="1"/>
  <c r="AA22" i="1"/>
  <c r="Z4" i="8"/>
  <c r="Z6" i="8"/>
  <c r="Z8" i="8"/>
  <c r="Z10" i="8"/>
  <c r="Z12" i="8"/>
  <c r="Z14" i="8"/>
  <c r="Z16" i="8"/>
  <c r="Z18" i="8"/>
  <c r="Z20" i="8"/>
  <c r="Z22" i="8"/>
  <c r="Z4" i="7"/>
  <c r="Z6" i="7"/>
  <c r="Z8" i="7"/>
  <c r="Z10" i="7"/>
  <c r="Z12" i="7"/>
  <c r="Z14" i="7"/>
  <c r="Z16" i="7"/>
  <c r="Z18" i="7"/>
  <c r="Z20" i="7"/>
  <c r="Z22" i="7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4" i="5"/>
  <c r="Z6" i="5"/>
  <c r="Z8" i="5"/>
  <c r="Z10" i="5"/>
  <c r="Z12" i="5"/>
  <c r="Z14" i="5"/>
  <c r="Z16" i="5"/>
  <c r="Z18" i="5"/>
  <c r="Z20" i="5"/>
  <c r="Z22" i="5"/>
  <c r="Z4" i="4"/>
  <c r="Z6" i="4"/>
  <c r="Z8" i="4"/>
  <c r="Z10" i="4"/>
  <c r="Z12" i="4"/>
  <c r="Z14" i="4"/>
  <c r="Z16" i="4"/>
  <c r="Z18" i="4"/>
  <c r="Z20" i="4"/>
  <c r="Z22" i="4"/>
  <c r="Z25" i="4"/>
  <c r="Z32" i="4"/>
  <c r="Z33" i="4"/>
  <c r="Z4" i="3"/>
  <c r="Z6" i="3"/>
  <c r="Z8" i="3"/>
  <c r="Z10" i="3"/>
  <c r="Z12" i="3"/>
  <c r="Z14" i="3"/>
  <c r="Z16" i="3"/>
  <c r="Z18" i="3"/>
  <c r="Z20" i="3"/>
  <c r="Z22" i="3"/>
  <c r="AA33" i="2"/>
  <c r="AA34" i="2"/>
  <c r="AA35" i="2"/>
  <c r="AA36" i="2"/>
  <c r="AA37" i="2"/>
  <c r="AA40" i="2"/>
  <c r="AA41" i="2"/>
  <c r="AA42" i="2"/>
  <c r="AA9" i="2" s="1"/>
  <c r="AA43" i="2"/>
  <c r="AA44" i="2"/>
  <c r="AA13" i="2" s="1"/>
  <c r="AA45" i="2"/>
  <c r="AA46" i="2"/>
  <c r="AA15" i="2" s="1"/>
  <c r="AA47" i="2"/>
  <c r="AA48" i="2"/>
  <c r="AA19" i="2" s="1"/>
  <c r="AA49" i="2"/>
  <c r="AA4" i="2"/>
  <c r="AA6" i="2"/>
  <c r="AA8" i="2"/>
  <c r="AA10" i="2"/>
  <c r="AA12" i="2"/>
  <c r="AA14" i="2"/>
  <c r="AA16" i="2"/>
  <c r="AA18" i="2"/>
  <c r="AA20" i="2"/>
  <c r="AA22" i="2"/>
  <c r="Z4" i="1"/>
  <c r="Z6" i="1"/>
  <c r="Z8" i="1"/>
  <c r="Z10" i="1"/>
  <c r="Z12" i="1"/>
  <c r="Z14" i="1"/>
  <c r="Z16" i="1"/>
  <c r="Z18" i="1"/>
  <c r="Z20" i="1"/>
  <c r="Z22" i="1"/>
  <c r="AP47" i="2" l="1"/>
  <c r="AB7" i="2"/>
  <c r="AQ47" i="2"/>
  <c r="AR47" i="2"/>
  <c r="AS47" i="2"/>
  <c r="AT47" i="2"/>
  <c r="AU47" i="2"/>
  <c r="AA7" i="2"/>
  <c r="AP6" i="2" s="1"/>
  <c r="AC7" i="2"/>
  <c r="AR6" i="2" s="1"/>
  <c r="AU18" i="2"/>
  <c r="AT18" i="2"/>
  <c r="AT14" i="2"/>
  <c r="AT6" i="2"/>
  <c r="AR18" i="2"/>
  <c r="AR8" i="2"/>
  <c r="AS18" i="2"/>
  <c r="AS14" i="2"/>
  <c r="AP8" i="2"/>
  <c r="AR14" i="2"/>
  <c r="AU14" i="2"/>
  <c r="AP18" i="2"/>
  <c r="AS8" i="2"/>
  <c r="AT8" i="2"/>
  <c r="AQ18" i="2"/>
  <c r="AQ14" i="2"/>
  <c r="AQ8" i="2"/>
  <c r="AQ6" i="2"/>
  <c r="AP14" i="2"/>
  <c r="AF7" i="2"/>
  <c r="AU6" i="2" s="1"/>
  <c r="AD7" i="2"/>
  <c r="AS6" i="2" s="1"/>
  <c r="AB20" i="3"/>
  <c r="Y4" i="1"/>
  <c r="Y6" i="1"/>
  <c r="Y8" i="1"/>
  <c r="Y10" i="1"/>
  <c r="Y12" i="1"/>
  <c r="Y14" i="1"/>
  <c r="Y16" i="1"/>
  <c r="Y18" i="1"/>
  <c r="Y20" i="1"/>
  <c r="Y22" i="1"/>
  <c r="Z33" i="2"/>
  <c r="Z34" i="2"/>
  <c r="Z35" i="2"/>
  <c r="Z36" i="2"/>
  <c r="Z37" i="2"/>
  <c r="Z40" i="2"/>
  <c r="Z41" i="2"/>
  <c r="Z42" i="2"/>
  <c r="Z9" i="2" s="1"/>
  <c r="Z43" i="2"/>
  <c r="Z44" i="2"/>
  <c r="Z13" i="2" s="1"/>
  <c r="Z45" i="2"/>
  <c r="Z46" i="2"/>
  <c r="Z15" i="2" s="1"/>
  <c r="Z47" i="2"/>
  <c r="Z48" i="2"/>
  <c r="Z19" i="2" s="1"/>
  <c r="Z49" i="2"/>
  <c r="Z4" i="2"/>
  <c r="Z6" i="2"/>
  <c r="Z8" i="2"/>
  <c r="Z10" i="2"/>
  <c r="Z12" i="2"/>
  <c r="Z14" i="2"/>
  <c r="Z16" i="2"/>
  <c r="Z18" i="2"/>
  <c r="Z20" i="2"/>
  <c r="Z22" i="2"/>
  <c r="Y4" i="3"/>
  <c r="Y6" i="3"/>
  <c r="Y8" i="3"/>
  <c r="Y10" i="3"/>
  <c r="Y12" i="3"/>
  <c r="Y14" i="3"/>
  <c r="Y16" i="3"/>
  <c r="Y18" i="3"/>
  <c r="Y20" i="3"/>
  <c r="Y22" i="3"/>
  <c r="Y4" i="4"/>
  <c r="Y6" i="4"/>
  <c r="Y8" i="4"/>
  <c r="Y10" i="4"/>
  <c r="Y12" i="4"/>
  <c r="Y14" i="4"/>
  <c r="Y16" i="4"/>
  <c r="Y18" i="4"/>
  <c r="Y20" i="4"/>
  <c r="Y22" i="4"/>
  <c r="Y25" i="4"/>
  <c r="Y32" i="4"/>
  <c r="Y33" i="4"/>
  <c r="Y4" i="5"/>
  <c r="Y6" i="5"/>
  <c r="Y8" i="5"/>
  <c r="Y10" i="5"/>
  <c r="Y12" i="5"/>
  <c r="Y14" i="5"/>
  <c r="Y16" i="5"/>
  <c r="Y18" i="5"/>
  <c r="Y20" i="5"/>
  <c r="Y22" i="5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4" i="7"/>
  <c r="Y6" i="7"/>
  <c r="Y8" i="7"/>
  <c r="Y10" i="7"/>
  <c r="Y12" i="7"/>
  <c r="Y14" i="7"/>
  <c r="Y16" i="7"/>
  <c r="Y18" i="7"/>
  <c r="Y20" i="7"/>
  <c r="Y22" i="7"/>
  <c r="Y4" i="8"/>
  <c r="Y6" i="8"/>
  <c r="Y8" i="8"/>
  <c r="Y10" i="8"/>
  <c r="Y12" i="8"/>
  <c r="Y14" i="8"/>
  <c r="Y16" i="8"/>
  <c r="Y18" i="8"/>
  <c r="Y20" i="8"/>
  <c r="Y22" i="8"/>
  <c r="X4" i="8"/>
  <c r="X6" i="8"/>
  <c r="X8" i="8"/>
  <c r="X10" i="8"/>
  <c r="X12" i="8"/>
  <c r="X14" i="8"/>
  <c r="X16" i="8"/>
  <c r="X18" i="8"/>
  <c r="X20" i="8"/>
  <c r="X22" i="8"/>
  <c r="X4" i="7"/>
  <c r="X6" i="7"/>
  <c r="X8" i="7"/>
  <c r="X10" i="7"/>
  <c r="X12" i="7"/>
  <c r="X14" i="7"/>
  <c r="X16" i="7"/>
  <c r="X18" i="7"/>
  <c r="X20" i="7"/>
  <c r="X22" i="7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4" i="5"/>
  <c r="X6" i="5"/>
  <c r="X8" i="5"/>
  <c r="X10" i="5"/>
  <c r="X12" i="5"/>
  <c r="X14" i="5"/>
  <c r="X16" i="5"/>
  <c r="X18" i="5"/>
  <c r="X20" i="5"/>
  <c r="X22" i="5"/>
  <c r="X4" i="4"/>
  <c r="X6" i="4"/>
  <c r="X8" i="4"/>
  <c r="X10" i="4"/>
  <c r="X12" i="4"/>
  <c r="X14" i="4"/>
  <c r="X16" i="4"/>
  <c r="X18" i="4"/>
  <c r="X20" i="4"/>
  <c r="X22" i="4"/>
  <c r="X25" i="4"/>
  <c r="X32" i="4"/>
  <c r="X33" i="4"/>
  <c r="X4" i="3"/>
  <c r="X6" i="3"/>
  <c r="X8" i="3"/>
  <c r="X10" i="3"/>
  <c r="X12" i="3"/>
  <c r="X14" i="3"/>
  <c r="X16" i="3"/>
  <c r="X18" i="3"/>
  <c r="X20" i="3"/>
  <c r="X22" i="3"/>
  <c r="Y33" i="2"/>
  <c r="Y34" i="2"/>
  <c r="Y35" i="2"/>
  <c r="Y36" i="2"/>
  <c r="Y37" i="2"/>
  <c r="Y40" i="2"/>
  <c r="Y41" i="2"/>
  <c r="Y42" i="2"/>
  <c r="Y9" i="2" s="1"/>
  <c r="Y43" i="2"/>
  <c r="Y44" i="2"/>
  <c r="Y13" i="2" s="1"/>
  <c r="Y45" i="2"/>
  <c r="Y46" i="2"/>
  <c r="Y15" i="2" s="1"/>
  <c r="Y47" i="2"/>
  <c r="Y48" i="2"/>
  <c r="Y19" i="2" s="1"/>
  <c r="Y49" i="2"/>
  <c r="Y4" i="2"/>
  <c r="Y6" i="2"/>
  <c r="Y7" i="2"/>
  <c r="Y8" i="2"/>
  <c r="Y10" i="2"/>
  <c r="Y12" i="2"/>
  <c r="Y14" i="2"/>
  <c r="Y16" i="2"/>
  <c r="Y18" i="2"/>
  <c r="Y20" i="2"/>
  <c r="Y22" i="2"/>
  <c r="X4" i="1"/>
  <c r="X6" i="1"/>
  <c r="X8" i="1"/>
  <c r="X10" i="1"/>
  <c r="X12" i="1"/>
  <c r="X14" i="1"/>
  <c r="X16" i="1"/>
  <c r="X18" i="1"/>
  <c r="X20" i="1"/>
  <c r="X22" i="1"/>
  <c r="W4" i="8"/>
  <c r="W6" i="8"/>
  <c r="W8" i="8"/>
  <c r="W10" i="8"/>
  <c r="W12" i="8"/>
  <c r="W14" i="8"/>
  <c r="W16" i="8"/>
  <c r="W18" i="8"/>
  <c r="W20" i="8"/>
  <c r="W22" i="8"/>
  <c r="W4" i="7"/>
  <c r="W6" i="7"/>
  <c r="W8" i="7"/>
  <c r="W10" i="7"/>
  <c r="W12" i="7"/>
  <c r="W14" i="7"/>
  <c r="W16" i="7"/>
  <c r="W18" i="7"/>
  <c r="W20" i="7"/>
  <c r="W22" i="7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4" i="5"/>
  <c r="W6" i="5"/>
  <c r="W8" i="5"/>
  <c r="W10" i="5"/>
  <c r="W12" i="5"/>
  <c r="W14" i="5"/>
  <c r="W16" i="5"/>
  <c r="W18" i="5"/>
  <c r="W20" i="5"/>
  <c r="W22" i="5"/>
  <c r="W4" i="4"/>
  <c r="W6" i="4"/>
  <c r="W8" i="4"/>
  <c r="W10" i="4"/>
  <c r="W12" i="4"/>
  <c r="W14" i="4"/>
  <c r="W16" i="4"/>
  <c r="W18" i="4"/>
  <c r="W20" i="4"/>
  <c r="W22" i="4"/>
  <c r="W25" i="4"/>
  <c r="W32" i="4"/>
  <c r="W33" i="4"/>
  <c r="W4" i="3"/>
  <c r="W6" i="3"/>
  <c r="W8" i="3"/>
  <c r="W12" i="3"/>
  <c r="W14" i="3"/>
  <c r="W16" i="3"/>
  <c r="W18" i="3"/>
  <c r="W20" i="3"/>
  <c r="W22" i="3"/>
  <c r="X33" i="2"/>
  <c r="X34" i="2"/>
  <c r="X35" i="2"/>
  <c r="X36" i="2"/>
  <c r="X37" i="2"/>
  <c r="X40" i="2"/>
  <c r="X41" i="2"/>
  <c r="X42" i="2"/>
  <c r="X9" i="2" s="1"/>
  <c r="X43" i="2"/>
  <c r="X44" i="2"/>
  <c r="X13" i="2" s="1"/>
  <c r="X45" i="2"/>
  <c r="X46" i="2"/>
  <c r="X15" i="2" s="1"/>
  <c r="X47" i="2"/>
  <c r="X48" i="2"/>
  <c r="X19" i="2" s="1"/>
  <c r="X49" i="2"/>
  <c r="X4" i="2"/>
  <c r="X6" i="2"/>
  <c r="X8" i="2"/>
  <c r="X10" i="2"/>
  <c r="X12" i="2"/>
  <c r="X14" i="2"/>
  <c r="X16" i="2"/>
  <c r="X18" i="2"/>
  <c r="X20" i="2"/>
  <c r="X22" i="2"/>
  <c r="W4" i="1"/>
  <c r="W6" i="1"/>
  <c r="W8" i="1"/>
  <c r="W10" i="1"/>
  <c r="W12" i="1"/>
  <c r="W14" i="1"/>
  <c r="W16" i="1"/>
  <c r="W18" i="1"/>
  <c r="W20" i="1"/>
  <c r="W22" i="1"/>
  <c r="V4" i="7"/>
  <c r="V6" i="7"/>
  <c r="V8" i="7"/>
  <c r="V10" i="7"/>
  <c r="V12" i="7"/>
  <c r="V14" i="7"/>
  <c r="V16" i="7"/>
  <c r="V18" i="7"/>
  <c r="V20" i="7"/>
  <c r="V22" i="7"/>
  <c r="V4" i="6"/>
  <c r="V5" i="6"/>
  <c r="V6" i="6"/>
  <c r="AI6" i="6" s="1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4" i="5"/>
  <c r="V6" i="5"/>
  <c r="V8" i="5"/>
  <c r="V10" i="5"/>
  <c r="V12" i="5"/>
  <c r="V14" i="5"/>
  <c r="V16" i="5"/>
  <c r="V18" i="5"/>
  <c r="V20" i="5"/>
  <c r="V22" i="5"/>
  <c r="V4" i="4"/>
  <c r="V6" i="4"/>
  <c r="V8" i="4"/>
  <c r="V10" i="4"/>
  <c r="V12" i="4"/>
  <c r="V14" i="4"/>
  <c r="V16" i="4"/>
  <c r="V18" i="4"/>
  <c r="V20" i="4"/>
  <c r="V22" i="4"/>
  <c r="V25" i="4"/>
  <c r="V32" i="4"/>
  <c r="V33" i="4"/>
  <c r="V4" i="3"/>
  <c r="V6" i="3"/>
  <c r="V8" i="3"/>
  <c r="V10" i="3"/>
  <c r="V12" i="3"/>
  <c r="V14" i="3"/>
  <c r="V16" i="3"/>
  <c r="V18" i="3"/>
  <c r="V20" i="3"/>
  <c r="V22" i="3"/>
  <c r="W40" i="2"/>
  <c r="W41" i="2"/>
  <c r="W42" i="2"/>
  <c r="W9" i="2" s="1"/>
  <c r="W43" i="2"/>
  <c r="W44" i="2"/>
  <c r="W13" i="2" s="1"/>
  <c r="W45" i="2"/>
  <c r="W46" i="2"/>
  <c r="W15" i="2" s="1"/>
  <c r="W47" i="2"/>
  <c r="W48" i="2"/>
  <c r="W19" i="2" s="1"/>
  <c r="W49" i="2"/>
  <c r="W33" i="2"/>
  <c r="W34" i="2"/>
  <c r="W35" i="2"/>
  <c r="W36" i="2"/>
  <c r="W37" i="2"/>
  <c r="W4" i="2"/>
  <c r="W6" i="2"/>
  <c r="W8" i="2"/>
  <c r="W10" i="2"/>
  <c r="W12" i="2"/>
  <c r="W14" i="2"/>
  <c r="W16" i="2"/>
  <c r="W18" i="2"/>
  <c r="W20" i="2"/>
  <c r="W22" i="2"/>
  <c r="V4" i="1"/>
  <c r="V6" i="1"/>
  <c r="V8" i="1"/>
  <c r="V10" i="1"/>
  <c r="V12" i="1"/>
  <c r="V14" i="1"/>
  <c r="V16" i="1"/>
  <c r="V18" i="1"/>
  <c r="V20" i="1"/>
  <c r="V22" i="1"/>
  <c r="AM47" i="2" l="1"/>
  <c r="AN47" i="2"/>
  <c r="W7" i="2"/>
  <c r="AL6" i="2" s="1"/>
  <c r="AL47" i="2"/>
  <c r="AO47" i="2"/>
  <c r="X7" i="2"/>
  <c r="AM6" i="2" s="1"/>
  <c r="Z7" i="2"/>
  <c r="AO6" i="2" s="1"/>
  <c r="AN14" i="2"/>
  <c r="AN8" i="2"/>
  <c r="AN18" i="2"/>
  <c r="AO18" i="2"/>
  <c r="AO14" i="2"/>
  <c r="AO8" i="2"/>
  <c r="AM14" i="2"/>
  <c r="AM8" i="2"/>
  <c r="AN6" i="2"/>
  <c r="AL14" i="2"/>
  <c r="AL18" i="2"/>
  <c r="AL8" i="2"/>
  <c r="AM18" i="2"/>
  <c r="AC20" i="3"/>
  <c r="C29" i="7"/>
  <c r="C29" i="8"/>
  <c r="C29" i="6"/>
  <c r="D30" i="4"/>
  <c r="E30" i="4"/>
  <c r="F30" i="4"/>
  <c r="G30" i="4"/>
  <c r="H30" i="4"/>
  <c r="I30" i="4"/>
  <c r="J30" i="4"/>
  <c r="K30" i="4"/>
  <c r="L30" i="4"/>
  <c r="M30" i="4"/>
  <c r="N30" i="4"/>
  <c r="O30" i="4"/>
  <c r="C30" i="4"/>
  <c r="C29" i="3"/>
  <c r="Q7" i="1"/>
  <c r="Q9" i="1"/>
  <c r="Q11" i="1"/>
  <c r="Q13" i="1"/>
  <c r="Q15" i="1"/>
  <c r="Q17" i="1"/>
  <c r="Q19" i="1"/>
  <c r="Q21" i="1"/>
  <c r="Q5" i="1"/>
  <c r="AD20" i="3" l="1"/>
  <c r="E24" i="19"/>
  <c r="C24" i="19"/>
  <c r="R26" i="21" s="1"/>
  <c r="B24" i="19"/>
  <c r="E9" i="19"/>
  <c r="D9" i="19"/>
  <c r="C9" i="19"/>
  <c r="B9" i="19"/>
  <c r="F26" i="21" l="1"/>
  <c r="G26" i="21"/>
  <c r="H26" i="21" s="1"/>
  <c r="E25" i="27"/>
  <c r="D25" i="27"/>
  <c r="C25" i="27"/>
  <c r="B25" i="27"/>
  <c r="E25" i="23"/>
  <c r="D25" i="23"/>
  <c r="C25" i="23"/>
  <c r="B25" i="23"/>
  <c r="AG55" i="2"/>
  <c r="AG57" i="2"/>
  <c r="AG59" i="2"/>
  <c r="AG61" i="2"/>
  <c r="AG63" i="2"/>
  <c r="AG54" i="2"/>
  <c r="AG56" i="2"/>
  <c r="AG58" i="2"/>
  <c r="AG60" i="2"/>
  <c r="AG62" i="2"/>
  <c r="B15" i="23"/>
  <c r="T13" i="23"/>
  <c r="AF55" i="2"/>
  <c r="AF57" i="2"/>
  <c r="AF59" i="2"/>
  <c r="AF61" i="2"/>
  <c r="AF63" i="2"/>
  <c r="AF54" i="2"/>
  <c r="AF56" i="2"/>
  <c r="AF58" i="2"/>
  <c r="AF60" i="2"/>
  <c r="AF62" i="2"/>
  <c r="AE56" i="2"/>
  <c r="AE60" i="2"/>
  <c r="AE54" i="2"/>
  <c r="AT48" i="2" s="1"/>
  <c r="AE58" i="2"/>
  <c r="AE62" i="2"/>
  <c r="AE55" i="2"/>
  <c r="AE57" i="2"/>
  <c r="AE59" i="2"/>
  <c r="AE61" i="2"/>
  <c r="AE63" i="2"/>
  <c r="AU48" i="2" l="1"/>
  <c r="AT62" i="2"/>
  <c r="C15" i="23"/>
  <c r="AT60" i="2"/>
  <c r="AV60" i="2"/>
  <c r="AU62" i="2"/>
  <c r="AT56" i="2"/>
  <c r="AT58" i="2"/>
  <c r="AV62" i="2"/>
  <c r="AV58" i="2"/>
  <c r="AU60" i="2"/>
  <c r="AU58" i="2"/>
  <c r="AU56" i="2"/>
  <c r="AV56" i="2"/>
  <c r="L13" i="23"/>
  <c r="AD55" i="2"/>
  <c r="AD57" i="2"/>
  <c r="AD59" i="2"/>
  <c r="AD61" i="2"/>
  <c r="AD63" i="2"/>
  <c r="AD54" i="2"/>
  <c r="AD56" i="2"/>
  <c r="AD58" i="2"/>
  <c r="AD60" i="2"/>
  <c r="AD62" i="2"/>
  <c r="AC54" i="2"/>
  <c r="AC56" i="2"/>
  <c r="AC58" i="2"/>
  <c r="AC60" i="2"/>
  <c r="AC62" i="2"/>
  <c r="AC55" i="2"/>
  <c r="AC57" i="2"/>
  <c r="AC59" i="2"/>
  <c r="AC61" i="2"/>
  <c r="AC63" i="2"/>
  <c r="AB54" i="2"/>
  <c r="AQ48" i="2" s="1"/>
  <c r="AB56" i="2"/>
  <c r="AB58" i="2"/>
  <c r="AB60" i="2"/>
  <c r="AB62" i="2"/>
  <c r="AB55" i="2"/>
  <c r="AB57" i="2"/>
  <c r="AB59" i="2"/>
  <c r="AB61" i="2"/>
  <c r="AB63" i="2"/>
  <c r="AA54" i="2"/>
  <c r="AA56" i="2"/>
  <c r="AA58" i="2"/>
  <c r="AA60" i="2"/>
  <c r="AA62" i="2"/>
  <c r="AA55" i="2"/>
  <c r="AA57" i="2"/>
  <c r="AA59" i="2"/>
  <c r="AA61" i="2"/>
  <c r="AA63" i="2"/>
  <c r="AP48" i="2" l="1"/>
  <c r="AS48" i="2"/>
  <c r="AR48" i="2"/>
  <c r="AV26" i="2"/>
  <c r="AU26" i="2"/>
  <c r="AT26" i="2"/>
  <c r="H6" i="23"/>
  <c r="H8" i="23"/>
  <c r="B16" i="23"/>
  <c r="AP56" i="2"/>
  <c r="AQ60" i="2"/>
  <c r="AP60" i="2"/>
  <c r="AQ56" i="2"/>
  <c r="AR60" i="2"/>
  <c r="AR56" i="2"/>
  <c r="AS60" i="2"/>
  <c r="L12" i="23"/>
  <c r="AS62" i="2"/>
  <c r="AS58" i="2"/>
  <c r="AS56" i="2"/>
  <c r="AS26" i="2" s="1"/>
  <c r="AR62" i="2"/>
  <c r="AR58" i="2"/>
  <c r="AR54" i="2"/>
  <c r="BG54" i="2" s="1"/>
  <c r="BG26" i="2" s="1"/>
  <c r="AQ62" i="2"/>
  <c r="AQ58" i="2"/>
  <c r="AQ54" i="2"/>
  <c r="AP62" i="2"/>
  <c r="AP58" i="2"/>
  <c r="AP54" i="2"/>
  <c r="Z56" i="2"/>
  <c r="Z60" i="2"/>
  <c r="Z54" i="2"/>
  <c r="Z58" i="2"/>
  <c r="Z62" i="2"/>
  <c r="Z55" i="2"/>
  <c r="Z57" i="2"/>
  <c r="Z59" i="2"/>
  <c r="Z61" i="2"/>
  <c r="Z63" i="2"/>
  <c r="E25" i="13"/>
  <c r="X15" i="21" s="1"/>
  <c r="D25" i="13"/>
  <c r="U15" i="21" s="1"/>
  <c r="C25" i="13"/>
  <c r="R15" i="21" s="1"/>
  <c r="B25" i="13"/>
  <c r="O15" i="21" s="1"/>
  <c r="Y54" i="2"/>
  <c r="Y56" i="2"/>
  <c r="Y58" i="2"/>
  <c r="Y60" i="2"/>
  <c r="Y62" i="2"/>
  <c r="Y55" i="2"/>
  <c r="Y57" i="2"/>
  <c r="Y59" i="2"/>
  <c r="Y61" i="2"/>
  <c r="Y63" i="2"/>
  <c r="E25" i="12"/>
  <c r="X13" i="21" s="1"/>
  <c r="D25" i="12"/>
  <c r="U13" i="21" s="1"/>
  <c r="C25" i="12"/>
  <c r="R13" i="21" s="1"/>
  <c r="B25" i="12"/>
  <c r="O13" i="21" s="1"/>
  <c r="E25" i="11"/>
  <c r="X11" i="21" s="1"/>
  <c r="D25" i="11"/>
  <c r="U11" i="21" s="1"/>
  <c r="C25" i="11"/>
  <c r="R11" i="21" s="1"/>
  <c r="B25" i="11"/>
  <c r="O11" i="21" s="1"/>
  <c r="X56" i="2"/>
  <c r="X60" i="2"/>
  <c r="X54" i="2"/>
  <c r="X58" i="2"/>
  <c r="X62" i="2"/>
  <c r="X55" i="2"/>
  <c r="X57" i="2"/>
  <c r="X59" i="2"/>
  <c r="X61" i="2"/>
  <c r="X63" i="2"/>
  <c r="E25" i="10"/>
  <c r="D25" i="10"/>
  <c r="C25" i="10"/>
  <c r="B25" i="10"/>
  <c r="V4" i="8"/>
  <c r="V6" i="8"/>
  <c r="V8" i="8"/>
  <c r="V10" i="8"/>
  <c r="V12" i="8"/>
  <c r="V14" i="8"/>
  <c r="V16" i="8"/>
  <c r="V18" i="8"/>
  <c r="V20" i="8"/>
  <c r="V22" i="8"/>
  <c r="W55" i="2"/>
  <c r="W57" i="2"/>
  <c r="W59" i="2"/>
  <c r="W61" i="2"/>
  <c r="W63" i="2"/>
  <c r="W54" i="2"/>
  <c r="W56" i="2"/>
  <c r="W58" i="2"/>
  <c r="W60" i="2"/>
  <c r="W62" i="2"/>
  <c r="E25" i="9"/>
  <c r="D25" i="9"/>
  <c r="C25" i="9"/>
  <c r="B25" i="9"/>
  <c r="U8" i="1"/>
  <c r="U10" i="1"/>
  <c r="U12" i="1"/>
  <c r="U14" i="1"/>
  <c r="U16" i="1"/>
  <c r="U18" i="1"/>
  <c r="U20" i="1"/>
  <c r="U22" i="1"/>
  <c r="C8" i="25"/>
  <c r="C11" i="25"/>
  <c r="C14" i="25"/>
  <c r="C16" i="25"/>
  <c r="C17" i="25"/>
  <c r="C20" i="25"/>
  <c r="C22" i="25"/>
  <c r="C23" i="25"/>
  <c r="C25" i="25"/>
  <c r="C26" i="25"/>
  <c r="E19" i="12"/>
  <c r="Q28" i="7"/>
  <c r="Q27" i="7"/>
  <c r="Q28" i="6"/>
  <c r="Q27" i="6"/>
  <c r="Q28" i="8"/>
  <c r="Q27" i="8"/>
  <c r="E25" i="14"/>
  <c r="X17" i="21" s="1"/>
  <c r="D25" i="14"/>
  <c r="U17" i="21" s="1"/>
  <c r="C25" i="14"/>
  <c r="R17" i="21" s="1"/>
  <c r="B25" i="14"/>
  <c r="O17" i="21" s="1"/>
  <c r="B22" i="24"/>
  <c r="Q28" i="5"/>
  <c r="Q27" i="5"/>
  <c r="R25" i="4"/>
  <c r="R24" i="4"/>
  <c r="B14" i="13"/>
  <c r="R25" i="3"/>
  <c r="E12" i="13"/>
  <c r="C12" i="13"/>
  <c r="D12" i="13"/>
  <c r="D4" i="12"/>
  <c r="B4" i="12"/>
  <c r="C4" i="12"/>
  <c r="S24" i="2"/>
  <c r="AL48" i="2" l="1"/>
  <c r="AM48" i="2"/>
  <c r="AN48" i="2"/>
  <c r="AO48" i="2"/>
  <c r="AQ26" i="2"/>
  <c r="AR26" i="2"/>
  <c r="AP26" i="2"/>
  <c r="O9" i="21"/>
  <c r="X9" i="21"/>
  <c r="R9" i="21"/>
  <c r="U9" i="21"/>
  <c r="AO62" i="2"/>
  <c r="AO60" i="2"/>
  <c r="AM56" i="2"/>
  <c r="AM58" i="2"/>
  <c r="C27" i="25"/>
  <c r="AO58" i="2"/>
  <c r="AO56" i="2"/>
  <c r="AO54" i="2"/>
  <c r="AN60" i="2"/>
  <c r="AN56" i="2"/>
  <c r="AM60" i="2"/>
  <c r="AL62" i="2"/>
  <c r="AL58" i="2"/>
  <c r="AL54" i="2"/>
  <c r="AL60" i="2"/>
  <c r="AL56" i="2"/>
  <c r="AM62" i="2"/>
  <c r="AM54" i="2"/>
  <c r="AN62" i="2"/>
  <c r="AN58" i="2"/>
  <c r="AN54" i="2"/>
  <c r="AN26" i="2" s="1"/>
  <c r="C24" i="25"/>
  <c r="C21" i="25"/>
  <c r="C18" i="25"/>
  <c r="C15" i="25"/>
  <c r="C12" i="25"/>
  <c r="C9" i="25"/>
  <c r="AM26" i="2" l="1"/>
  <c r="AL26" i="2"/>
  <c r="AO26" i="2"/>
  <c r="T27" i="23"/>
  <c r="C15" i="27" l="1"/>
  <c r="B15" i="27"/>
  <c r="L18" i="23"/>
  <c r="L19" i="23"/>
  <c r="L17" i="23"/>
  <c r="L30" i="23" l="1"/>
  <c r="B22" i="23"/>
  <c r="B14" i="27"/>
  <c r="D12" i="23"/>
  <c r="D12" i="27" s="1"/>
  <c r="B14" i="23"/>
  <c r="E12" i="23"/>
  <c r="E12" i="27" s="1"/>
  <c r="C12" i="23"/>
  <c r="C12" i="27" s="1"/>
  <c r="B22" i="27"/>
  <c r="E25" i="20"/>
  <c r="X29" i="21" s="1"/>
  <c r="D25" i="20"/>
  <c r="U29" i="21" s="1"/>
  <c r="B25" i="20"/>
  <c r="B7" i="27"/>
  <c r="B1" i="27"/>
  <c r="E25" i="19"/>
  <c r="D25" i="19"/>
  <c r="C25" i="19"/>
  <c r="B25" i="19"/>
  <c r="E25" i="18"/>
  <c r="X25" i="21" s="1"/>
  <c r="D25" i="18"/>
  <c r="C25" i="18"/>
  <c r="R25" i="21" s="1"/>
  <c r="B25" i="18"/>
  <c r="O25" i="21" s="1"/>
  <c r="E25" i="24"/>
  <c r="D25" i="24"/>
  <c r="C25" i="24"/>
  <c r="B25" i="24"/>
  <c r="S26" i="21" l="1"/>
  <c r="R27" i="21"/>
  <c r="R23" i="21"/>
  <c r="U25" i="21"/>
  <c r="V24" i="21"/>
  <c r="W24" i="21" s="1"/>
  <c r="B6" i="27"/>
  <c r="G6" i="27" s="1"/>
  <c r="B21" i="27"/>
  <c r="G21" i="27" s="1"/>
  <c r="T26" i="21" l="1"/>
  <c r="O1" i="26"/>
  <c r="E25" i="16" l="1"/>
  <c r="X21" i="21" s="1"/>
  <c r="D25" i="16"/>
  <c r="U21" i="21" s="1"/>
  <c r="C25" i="16"/>
  <c r="R21" i="21" s="1"/>
  <c r="B25" i="16"/>
  <c r="O21" i="21" s="1"/>
  <c r="E25" i="15"/>
  <c r="D25" i="15"/>
  <c r="C25" i="15"/>
  <c r="B25" i="15"/>
  <c r="R19" i="21" l="1"/>
  <c r="H5" i="25"/>
  <c r="H6" i="25" s="1"/>
  <c r="E4" i="13" l="1"/>
  <c r="U33" i="4" l="1"/>
  <c r="P33" i="4"/>
  <c r="U32" i="4"/>
  <c r="P32" i="4"/>
  <c r="C14" i="26"/>
  <c r="C12" i="26"/>
  <c r="C13" i="26"/>
  <c r="C11" i="26"/>
  <c r="C10" i="26"/>
  <c r="C9" i="26"/>
  <c r="C8" i="26"/>
  <c r="C7" i="26"/>
  <c r="C6" i="26"/>
  <c r="C5" i="26"/>
  <c r="C4" i="26"/>
  <c r="U25" i="4"/>
  <c r="B7" i="10"/>
  <c r="E4" i="12"/>
  <c r="L24" i="23"/>
  <c r="L16" i="23"/>
  <c r="L15" i="23"/>
  <c r="L21" i="23"/>
  <c r="L20" i="23"/>
  <c r="L23" i="23"/>
  <c r="L22" i="23"/>
  <c r="L27" i="23"/>
  <c r="L26" i="23"/>
  <c r="L25" i="23"/>
  <c r="B1" i="23"/>
  <c r="H5" i="23"/>
  <c r="B7" i="23"/>
  <c r="H7" i="23" s="1"/>
  <c r="P37" i="4" l="1"/>
  <c r="L29" i="23"/>
  <c r="O4" i="26"/>
  <c r="O5" i="26"/>
  <c r="O6" i="26"/>
  <c r="O7" i="26"/>
  <c r="O8" i="26"/>
  <c r="O9" i="26"/>
  <c r="O10" i="26"/>
  <c r="O11" i="26"/>
  <c r="O14" i="26"/>
  <c r="O13" i="26"/>
  <c r="O12" i="26"/>
  <c r="B21" i="23"/>
  <c r="B6" i="23"/>
  <c r="O6" i="23" s="1"/>
  <c r="O14" i="23" l="1"/>
  <c r="L31" i="23"/>
  <c r="O28" i="23"/>
  <c r="O21" i="23"/>
  <c r="O12" i="23"/>
  <c r="O23" i="23"/>
  <c r="O15" i="23"/>
  <c r="O16" i="23"/>
  <c r="O20" i="23"/>
  <c r="O24" i="23"/>
  <c r="O25" i="23"/>
  <c r="O17" i="23"/>
  <c r="O27" i="23"/>
  <c r="O19" i="23"/>
  <c r="O13" i="23"/>
  <c r="O18" i="23"/>
  <c r="O22" i="23"/>
  <c r="O26" i="23"/>
  <c r="O30" i="23" l="1"/>
  <c r="F5" i="25"/>
  <c r="F6" i="25" s="1"/>
  <c r="D5" i="25"/>
  <c r="D6" i="25" s="1"/>
  <c r="U8" i="6"/>
  <c r="AI8" i="6" s="1"/>
  <c r="U9" i="6"/>
  <c r="U10" i="6"/>
  <c r="AI10" i="6" s="1"/>
  <c r="U11" i="6"/>
  <c r="U12" i="6"/>
  <c r="AI12" i="6" s="1"/>
  <c r="U13" i="6"/>
  <c r="U14" i="6"/>
  <c r="AI14" i="6" s="1"/>
  <c r="U15" i="6"/>
  <c r="U16" i="6"/>
  <c r="AI16" i="6" s="1"/>
  <c r="U17" i="6"/>
  <c r="U18" i="6"/>
  <c r="AI18" i="6" s="1"/>
  <c r="U19" i="6"/>
  <c r="U20" i="6"/>
  <c r="AI20" i="6" s="1"/>
  <c r="U21" i="6"/>
  <c r="U22" i="6"/>
  <c r="AI22" i="6" s="1"/>
  <c r="U23" i="6"/>
  <c r="U7" i="6"/>
  <c r="U5" i="6"/>
  <c r="V49" i="2"/>
  <c r="V63" i="2" s="1"/>
  <c r="V48" i="2"/>
  <c r="V19" i="2" s="1"/>
  <c r="V47" i="2"/>
  <c r="V61" i="2" s="1"/>
  <c r="V46" i="2"/>
  <c r="V15" i="2" s="1"/>
  <c r="V45" i="2"/>
  <c r="V59" i="2" s="1"/>
  <c r="V44" i="2"/>
  <c r="V13" i="2" s="1"/>
  <c r="V43" i="2"/>
  <c r="V57" i="2" s="1"/>
  <c r="V42" i="2"/>
  <c r="V9" i="2" s="1"/>
  <c r="V41" i="2"/>
  <c r="V55" i="2" s="1"/>
  <c r="V40" i="2"/>
  <c r="V37" i="2"/>
  <c r="V62" i="2" s="1"/>
  <c r="V36" i="2"/>
  <c r="V60" i="2" s="1"/>
  <c r="V35" i="2"/>
  <c r="V58" i="2" s="1"/>
  <c r="V34" i="2"/>
  <c r="V56" i="2" s="1"/>
  <c r="V33" i="2"/>
  <c r="V54" i="2" s="1"/>
  <c r="V22" i="2"/>
  <c r="V20" i="2"/>
  <c r="V18" i="2"/>
  <c r="V16" i="2"/>
  <c r="V14" i="2"/>
  <c r="V12" i="2"/>
  <c r="V10" i="2"/>
  <c r="V8" i="2"/>
  <c r="V6" i="2"/>
  <c r="V4" i="2"/>
  <c r="U22" i="8"/>
  <c r="U20" i="8"/>
  <c r="U18" i="8"/>
  <c r="U16" i="8"/>
  <c r="U14" i="8"/>
  <c r="U12" i="8"/>
  <c r="U10" i="8"/>
  <c r="U8" i="8"/>
  <c r="U6" i="8"/>
  <c r="U4" i="8"/>
  <c r="U22" i="7"/>
  <c r="U20" i="7"/>
  <c r="U18" i="7"/>
  <c r="U16" i="7"/>
  <c r="U14" i="7"/>
  <c r="U12" i="7"/>
  <c r="U10" i="7"/>
  <c r="U8" i="7"/>
  <c r="U6" i="7"/>
  <c r="U4" i="7"/>
  <c r="U4" i="6"/>
  <c r="AI4" i="6" s="1"/>
  <c r="U22" i="5"/>
  <c r="U20" i="5"/>
  <c r="U18" i="5"/>
  <c r="U16" i="5"/>
  <c r="U14" i="5"/>
  <c r="U12" i="5"/>
  <c r="U10" i="5"/>
  <c r="U8" i="5"/>
  <c r="U6" i="5"/>
  <c r="U4" i="5"/>
  <c r="U22" i="4"/>
  <c r="U20" i="4"/>
  <c r="U18" i="4"/>
  <c r="U16" i="4"/>
  <c r="U14" i="4"/>
  <c r="U12" i="4"/>
  <c r="U10" i="4"/>
  <c r="U8" i="4"/>
  <c r="U6" i="4"/>
  <c r="U4" i="4"/>
  <c r="U22" i="3"/>
  <c r="U20" i="3"/>
  <c r="U18" i="3"/>
  <c r="U16" i="3"/>
  <c r="U14" i="3"/>
  <c r="U12" i="3"/>
  <c r="U10" i="3"/>
  <c r="U8" i="3"/>
  <c r="U6" i="3"/>
  <c r="U4" i="3"/>
  <c r="U6" i="1"/>
  <c r="U4" i="1"/>
  <c r="AI29" i="6" l="1"/>
  <c r="V7" i="2"/>
  <c r="AK6" i="2" s="1"/>
  <c r="AK47" i="2"/>
  <c r="AW47" i="2" s="1"/>
  <c r="AK48" i="2"/>
  <c r="AW48" i="2" s="1"/>
  <c r="AK8" i="2"/>
  <c r="AW8" i="2" s="1"/>
  <c r="AW12" i="2"/>
  <c r="BL12" i="2" s="1"/>
  <c r="AK14" i="2"/>
  <c r="AW14" i="2" s="1"/>
  <c r="AK18" i="2"/>
  <c r="AW18" i="2" s="1"/>
  <c r="AK54" i="2"/>
  <c r="AK56" i="2"/>
  <c r="AW56" i="2" s="1"/>
  <c r="AK58" i="2"/>
  <c r="AW58" i="2" s="1"/>
  <c r="AK60" i="2"/>
  <c r="AW60" i="2" s="1"/>
  <c r="AK62" i="2"/>
  <c r="AW62" i="2" s="1"/>
  <c r="D29" i="8"/>
  <c r="E29" i="8"/>
  <c r="F29" i="8"/>
  <c r="G29" i="8"/>
  <c r="H29" i="8"/>
  <c r="I29" i="8"/>
  <c r="J29" i="8"/>
  <c r="K29" i="8"/>
  <c r="L29" i="8"/>
  <c r="AK26" i="2" l="1"/>
  <c r="AW54" i="2"/>
  <c r="BL54" i="2" s="1"/>
  <c r="BL26" i="2" s="1"/>
  <c r="AW6" i="2"/>
  <c r="AW26" i="2" s="1"/>
  <c r="N5" i="25"/>
  <c r="N6" i="25" s="1"/>
  <c r="C5" i="25"/>
  <c r="E5" i="25"/>
  <c r="E6" i="25" s="1"/>
  <c r="G5" i="25"/>
  <c r="G6" i="25" s="1"/>
  <c r="I5" i="25"/>
  <c r="I6" i="25" s="1"/>
  <c r="K5" i="25"/>
  <c r="K6" i="25" s="1"/>
  <c r="L5" i="25"/>
  <c r="L6" i="25" s="1"/>
  <c r="M5" i="25"/>
  <c r="M6" i="25" s="1"/>
  <c r="F1" i="21"/>
  <c r="B1" i="20"/>
  <c r="B9" i="20"/>
  <c r="C9" i="20"/>
  <c r="D9" i="20"/>
  <c r="E9" i="20"/>
  <c r="B12" i="20"/>
  <c r="C12" i="20"/>
  <c r="D12" i="20"/>
  <c r="E12" i="20"/>
  <c r="B14" i="20"/>
  <c r="B15" i="20"/>
  <c r="B24" i="20"/>
  <c r="C24" i="20"/>
  <c r="D24" i="20"/>
  <c r="E24" i="20"/>
  <c r="O29" i="22"/>
  <c r="R29" i="22"/>
  <c r="U29" i="22"/>
  <c r="X29" i="22"/>
  <c r="B27" i="20"/>
  <c r="C27" i="20"/>
  <c r="D27" i="20"/>
  <c r="E27" i="20"/>
  <c r="B1" i="19"/>
  <c r="B4" i="19"/>
  <c r="B5" i="19"/>
  <c r="C5" i="19"/>
  <c r="E5" i="19"/>
  <c r="B7" i="19"/>
  <c r="B12" i="19"/>
  <c r="C12" i="19"/>
  <c r="D12" i="19"/>
  <c r="E12" i="19"/>
  <c r="B14" i="19"/>
  <c r="B15" i="19"/>
  <c r="D19" i="19"/>
  <c r="E19" i="19"/>
  <c r="B20" i="19"/>
  <c r="C20" i="19"/>
  <c r="D20" i="19"/>
  <c r="E20" i="19"/>
  <c r="B22" i="19"/>
  <c r="D24" i="19"/>
  <c r="O27" i="22"/>
  <c r="R27" i="22"/>
  <c r="U27" i="22"/>
  <c r="B27" i="19"/>
  <c r="C27" i="19"/>
  <c r="D27" i="19"/>
  <c r="E27" i="19"/>
  <c r="B1" i="18"/>
  <c r="B4" i="18"/>
  <c r="C4" i="18"/>
  <c r="D4" i="18"/>
  <c r="B5" i="18"/>
  <c r="C5" i="18"/>
  <c r="D5" i="18"/>
  <c r="E5" i="18"/>
  <c r="B7" i="18"/>
  <c r="B9" i="18"/>
  <c r="C9" i="18"/>
  <c r="D9" i="18"/>
  <c r="E9" i="18"/>
  <c r="B12" i="18"/>
  <c r="C12" i="18"/>
  <c r="D12" i="18"/>
  <c r="E12" i="18"/>
  <c r="B14" i="18"/>
  <c r="B15" i="18"/>
  <c r="B19" i="18"/>
  <c r="C19" i="18"/>
  <c r="D19" i="18"/>
  <c r="E19" i="18"/>
  <c r="B20" i="18"/>
  <c r="C20" i="18"/>
  <c r="D20" i="18"/>
  <c r="E20" i="18"/>
  <c r="B22" i="18"/>
  <c r="B24" i="18"/>
  <c r="C24" i="18"/>
  <c r="E24" i="18"/>
  <c r="O25" i="22"/>
  <c r="R25" i="22"/>
  <c r="U25" i="22"/>
  <c r="B27" i="18"/>
  <c r="C27" i="18"/>
  <c r="D27" i="18"/>
  <c r="E27" i="18"/>
  <c r="B1" i="24"/>
  <c r="B4" i="24"/>
  <c r="C4" i="24"/>
  <c r="D4" i="24"/>
  <c r="B5" i="24"/>
  <c r="C5" i="24"/>
  <c r="D5" i="24"/>
  <c r="E5" i="24"/>
  <c r="B7" i="24"/>
  <c r="B9" i="24"/>
  <c r="C9" i="24"/>
  <c r="D9" i="24"/>
  <c r="E9" i="24"/>
  <c r="B12" i="24"/>
  <c r="C12" i="24"/>
  <c r="D12" i="24"/>
  <c r="E12" i="24"/>
  <c r="B14" i="24"/>
  <c r="B15" i="24"/>
  <c r="B19" i="24"/>
  <c r="C19" i="24"/>
  <c r="D19" i="24"/>
  <c r="E19" i="24"/>
  <c r="B20" i="24"/>
  <c r="C20" i="24"/>
  <c r="D20" i="24"/>
  <c r="E20" i="24"/>
  <c r="B24" i="24"/>
  <c r="C24" i="24"/>
  <c r="D24" i="24"/>
  <c r="E24" i="24"/>
  <c r="B27" i="24"/>
  <c r="C27" i="24"/>
  <c r="D27" i="24"/>
  <c r="E27" i="24"/>
  <c r="B1" i="16"/>
  <c r="B4" i="16"/>
  <c r="C4" i="16"/>
  <c r="D4" i="16"/>
  <c r="B5" i="16"/>
  <c r="C5" i="16"/>
  <c r="D5" i="16"/>
  <c r="E5" i="16"/>
  <c r="B7" i="16"/>
  <c r="B9" i="16"/>
  <c r="C9" i="16"/>
  <c r="E9" i="16"/>
  <c r="B12" i="16"/>
  <c r="C12" i="16"/>
  <c r="D12" i="16"/>
  <c r="E12" i="16"/>
  <c r="B14" i="16"/>
  <c r="B15" i="16"/>
  <c r="B19" i="16"/>
  <c r="C19" i="16"/>
  <c r="D19" i="16"/>
  <c r="E19" i="16"/>
  <c r="B20" i="16"/>
  <c r="C20" i="16"/>
  <c r="D20" i="16"/>
  <c r="E20" i="16"/>
  <c r="B22" i="16"/>
  <c r="B24" i="16"/>
  <c r="C24" i="16"/>
  <c r="D24" i="16"/>
  <c r="E24" i="16"/>
  <c r="R21" i="22"/>
  <c r="B27" i="16"/>
  <c r="C27" i="16"/>
  <c r="D27" i="16"/>
  <c r="E27" i="16"/>
  <c r="B1" i="15"/>
  <c r="B4" i="15"/>
  <c r="C4" i="15"/>
  <c r="D4" i="15"/>
  <c r="B5" i="15"/>
  <c r="C5" i="15"/>
  <c r="D5" i="15"/>
  <c r="E5" i="15"/>
  <c r="B7" i="15"/>
  <c r="B9" i="15"/>
  <c r="C9" i="15"/>
  <c r="D9" i="15"/>
  <c r="E9" i="15"/>
  <c r="B12" i="15"/>
  <c r="C12" i="15"/>
  <c r="D12" i="15"/>
  <c r="E12" i="15"/>
  <c r="B14" i="15"/>
  <c r="B15" i="15"/>
  <c r="B19" i="15"/>
  <c r="C19" i="15"/>
  <c r="D19" i="15"/>
  <c r="E19" i="15"/>
  <c r="B20" i="15"/>
  <c r="C20" i="15"/>
  <c r="D20" i="15"/>
  <c r="E20" i="15"/>
  <c r="B22" i="15"/>
  <c r="B24" i="15"/>
  <c r="C24" i="15"/>
  <c r="D24" i="15"/>
  <c r="E24" i="15"/>
  <c r="O19" i="22"/>
  <c r="R19" i="22"/>
  <c r="B27" i="15"/>
  <c r="C27" i="15"/>
  <c r="D27" i="15"/>
  <c r="E27" i="15"/>
  <c r="B1" i="14"/>
  <c r="B4" i="14"/>
  <c r="C4" i="14"/>
  <c r="D4" i="14"/>
  <c r="B5" i="14"/>
  <c r="C5" i="14"/>
  <c r="D5" i="14"/>
  <c r="E5" i="14"/>
  <c r="B7" i="14"/>
  <c r="B9" i="14"/>
  <c r="C9" i="14"/>
  <c r="D9" i="14"/>
  <c r="E9" i="14"/>
  <c r="C17" i="22"/>
  <c r="B12" i="14"/>
  <c r="C12" i="14"/>
  <c r="D12" i="14"/>
  <c r="E12" i="14"/>
  <c r="B14" i="14"/>
  <c r="B15" i="14"/>
  <c r="B19" i="14"/>
  <c r="C19" i="14"/>
  <c r="D19" i="14"/>
  <c r="E19" i="14"/>
  <c r="B20" i="14"/>
  <c r="C20" i="14"/>
  <c r="D20" i="14"/>
  <c r="E20" i="14"/>
  <c r="B22" i="14"/>
  <c r="B24" i="14"/>
  <c r="C24" i="14"/>
  <c r="D24" i="14"/>
  <c r="E24" i="14"/>
  <c r="B27" i="14"/>
  <c r="C27" i="14"/>
  <c r="D27" i="14"/>
  <c r="E27" i="14"/>
  <c r="B1" i="13"/>
  <c r="B4" i="13"/>
  <c r="C4" i="13"/>
  <c r="D4" i="13"/>
  <c r="B5" i="13"/>
  <c r="C5" i="13"/>
  <c r="D5" i="13"/>
  <c r="E5" i="13"/>
  <c r="B7" i="13"/>
  <c r="B9" i="13"/>
  <c r="C9" i="13"/>
  <c r="D9" i="13"/>
  <c r="E9" i="13"/>
  <c r="B12" i="13"/>
  <c r="B15" i="13"/>
  <c r="B19" i="13"/>
  <c r="C19" i="13"/>
  <c r="D19" i="13"/>
  <c r="E19" i="13"/>
  <c r="B20" i="13"/>
  <c r="C20" i="13"/>
  <c r="D20" i="13"/>
  <c r="E20" i="13"/>
  <c r="B22" i="13"/>
  <c r="B24" i="13"/>
  <c r="C24" i="13"/>
  <c r="D24" i="13"/>
  <c r="E24" i="13"/>
  <c r="B1" i="12"/>
  <c r="B5" i="12"/>
  <c r="C5" i="12"/>
  <c r="D5" i="12"/>
  <c r="E5" i="12"/>
  <c r="B7" i="12"/>
  <c r="B9" i="12"/>
  <c r="C9" i="12"/>
  <c r="D9" i="12"/>
  <c r="E9" i="12"/>
  <c r="B12" i="12"/>
  <c r="C12" i="12"/>
  <c r="D12" i="12"/>
  <c r="E12" i="12"/>
  <c r="B14" i="12"/>
  <c r="B15" i="12"/>
  <c r="B19" i="12"/>
  <c r="C19" i="12"/>
  <c r="D19" i="12"/>
  <c r="B20" i="12"/>
  <c r="C20" i="12"/>
  <c r="D20" i="12"/>
  <c r="E20" i="12"/>
  <c r="B22" i="12"/>
  <c r="B24" i="12"/>
  <c r="C24" i="12"/>
  <c r="D24" i="12"/>
  <c r="E24" i="12"/>
  <c r="B27" i="12"/>
  <c r="C27" i="12"/>
  <c r="D27" i="12"/>
  <c r="E27" i="12"/>
  <c r="B1" i="11"/>
  <c r="B4" i="11"/>
  <c r="C4" i="11"/>
  <c r="C5" i="11"/>
  <c r="D5" i="11"/>
  <c r="E5" i="11"/>
  <c r="B7" i="11"/>
  <c r="B9" i="11"/>
  <c r="C9" i="11"/>
  <c r="D9" i="11"/>
  <c r="E9" i="11"/>
  <c r="B12" i="11"/>
  <c r="C12" i="11"/>
  <c r="D12" i="11"/>
  <c r="E12" i="11"/>
  <c r="B14" i="11"/>
  <c r="B15" i="11"/>
  <c r="B19" i="11"/>
  <c r="C19" i="11"/>
  <c r="D19" i="11"/>
  <c r="E19" i="11"/>
  <c r="B20" i="11"/>
  <c r="C20" i="11"/>
  <c r="D20" i="11"/>
  <c r="E20" i="11"/>
  <c r="B22" i="11"/>
  <c r="B24" i="11"/>
  <c r="C24" i="11"/>
  <c r="D24" i="11"/>
  <c r="E24" i="11"/>
  <c r="B27" i="11"/>
  <c r="C27" i="11"/>
  <c r="D27" i="11"/>
  <c r="E27" i="11"/>
  <c r="B1" i="10"/>
  <c r="B4" i="10"/>
  <c r="C4" i="10"/>
  <c r="D4" i="10"/>
  <c r="E4" i="10"/>
  <c r="B5" i="10"/>
  <c r="C5" i="10"/>
  <c r="D5" i="10"/>
  <c r="E5" i="10"/>
  <c r="B9" i="10"/>
  <c r="C9" i="10"/>
  <c r="D9" i="10"/>
  <c r="E9" i="10"/>
  <c r="C12" i="10"/>
  <c r="D12" i="10"/>
  <c r="E12" i="10"/>
  <c r="B14" i="10"/>
  <c r="B15" i="10"/>
  <c r="B19" i="10"/>
  <c r="C19" i="10"/>
  <c r="D19" i="10"/>
  <c r="E19" i="10"/>
  <c r="B20" i="10"/>
  <c r="C20" i="10"/>
  <c r="D20" i="10"/>
  <c r="E20" i="10"/>
  <c r="B22" i="10"/>
  <c r="B24" i="10"/>
  <c r="C24" i="10"/>
  <c r="D24" i="10"/>
  <c r="E24" i="10"/>
  <c r="B27" i="10"/>
  <c r="C27" i="10"/>
  <c r="D27" i="10"/>
  <c r="E27" i="10"/>
  <c r="B4" i="9"/>
  <c r="C4" i="9"/>
  <c r="D4" i="9"/>
  <c r="E4" i="9"/>
  <c r="B5" i="9"/>
  <c r="C5" i="9"/>
  <c r="D5" i="9"/>
  <c r="E5" i="9"/>
  <c r="B7" i="9"/>
  <c r="B9" i="9"/>
  <c r="C9" i="9"/>
  <c r="D9" i="9"/>
  <c r="E9" i="9"/>
  <c r="C7" i="21"/>
  <c r="F7" i="22"/>
  <c r="L7" i="22"/>
  <c r="B12" i="9"/>
  <c r="C12" i="9"/>
  <c r="D12" i="9"/>
  <c r="E12" i="9"/>
  <c r="B14" i="9"/>
  <c r="B15" i="9"/>
  <c r="B19" i="9"/>
  <c r="C19" i="9"/>
  <c r="D19" i="9"/>
  <c r="E19" i="9"/>
  <c r="B20" i="9"/>
  <c r="C20" i="9"/>
  <c r="D20" i="9"/>
  <c r="E20" i="9"/>
  <c r="B22" i="9"/>
  <c r="B24" i="9"/>
  <c r="C24" i="9"/>
  <c r="D24" i="9"/>
  <c r="E24" i="9"/>
  <c r="O7" i="21"/>
  <c r="R7" i="21"/>
  <c r="U7" i="21"/>
  <c r="X7" i="22"/>
  <c r="B27" i="9"/>
  <c r="C27" i="9"/>
  <c r="D27" i="9"/>
  <c r="E27" i="9"/>
  <c r="C2" i="8"/>
  <c r="A29" i="8"/>
  <c r="M29" i="8"/>
  <c r="N29" i="8"/>
  <c r="O29" i="8"/>
  <c r="C2" i="7"/>
  <c r="A29" i="7"/>
  <c r="D29" i="7"/>
  <c r="E29" i="7"/>
  <c r="F29" i="7"/>
  <c r="G29" i="7"/>
  <c r="H29" i="7"/>
  <c r="I29" i="7"/>
  <c r="J29" i="7"/>
  <c r="K29" i="7"/>
  <c r="L29" i="7"/>
  <c r="M29" i="7"/>
  <c r="N29" i="7"/>
  <c r="O29" i="7"/>
  <c r="C2" i="6"/>
  <c r="A29" i="6"/>
  <c r="D29" i="6"/>
  <c r="E29" i="6"/>
  <c r="F29" i="6"/>
  <c r="G29" i="6"/>
  <c r="H29" i="6"/>
  <c r="I29" i="6"/>
  <c r="J29" i="6"/>
  <c r="K29" i="6"/>
  <c r="L29" i="6"/>
  <c r="M29" i="6"/>
  <c r="N29" i="6"/>
  <c r="O29" i="6"/>
  <c r="C2" i="5"/>
  <c r="Q24" i="5"/>
  <c r="C2" i="4"/>
  <c r="P36" i="4"/>
  <c r="P38" i="4" s="1"/>
  <c r="P26" i="4"/>
  <c r="Q26" i="4" s="1"/>
  <c r="A30" i="4"/>
  <c r="P30" i="4"/>
  <c r="C2" i="3"/>
  <c r="A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 s="1"/>
  <c r="D2" i="2"/>
  <c r="B29" i="2"/>
  <c r="Q29" i="2"/>
  <c r="U13" i="22"/>
  <c r="U21" i="22"/>
  <c r="O21" i="22"/>
  <c r="X27" i="22"/>
  <c r="X25" i="22"/>
  <c r="Y28" i="21" l="1"/>
  <c r="Z28" i="21" s="1"/>
  <c r="X28" i="21"/>
  <c r="V28" i="21"/>
  <c r="W28" i="21" s="1"/>
  <c r="U28" i="21"/>
  <c r="F22" i="21"/>
  <c r="G22" i="21"/>
  <c r="H22" i="21" s="1"/>
  <c r="F18" i="21"/>
  <c r="G18" i="21"/>
  <c r="H18" i="21" s="1"/>
  <c r="R22" i="21"/>
  <c r="S22" i="21"/>
  <c r="T22" i="21" s="1"/>
  <c r="R18" i="21"/>
  <c r="S18" i="21"/>
  <c r="T18" i="21" s="1"/>
  <c r="Y24" i="21"/>
  <c r="Z24" i="21" s="1"/>
  <c r="X24" i="21"/>
  <c r="S24" i="21"/>
  <c r="T24" i="21" s="1"/>
  <c r="R24" i="21"/>
  <c r="P24" i="21"/>
  <c r="Q24" i="21" s="1"/>
  <c r="O24" i="21"/>
  <c r="M22" i="21"/>
  <c r="N22" i="21" s="1"/>
  <c r="L22" i="21"/>
  <c r="M24" i="21"/>
  <c r="N24" i="21" s="1"/>
  <c r="L24" i="21"/>
  <c r="J24" i="21"/>
  <c r="K24" i="21" s="1"/>
  <c r="I24" i="21"/>
  <c r="F24" i="21"/>
  <c r="G24" i="21"/>
  <c r="H24" i="21" s="1"/>
  <c r="D24" i="21"/>
  <c r="E24" i="21" s="1"/>
  <c r="C24" i="21"/>
  <c r="X20" i="21"/>
  <c r="Y20" i="21"/>
  <c r="Z20" i="21" s="1"/>
  <c r="V20" i="21"/>
  <c r="W20" i="21" s="1"/>
  <c r="U20" i="21"/>
  <c r="S20" i="21"/>
  <c r="T20" i="21" s="1"/>
  <c r="R20" i="21"/>
  <c r="O20" i="21"/>
  <c r="P20" i="21"/>
  <c r="Q20" i="21" s="1"/>
  <c r="M20" i="21"/>
  <c r="N20" i="21" s="1"/>
  <c r="L20" i="21"/>
  <c r="G20" i="21"/>
  <c r="H20" i="21" s="1"/>
  <c r="F20" i="21"/>
  <c r="C20" i="21"/>
  <c r="D20" i="21"/>
  <c r="E20" i="21" s="1"/>
  <c r="X16" i="21"/>
  <c r="Y16" i="21"/>
  <c r="Z16" i="21" s="1"/>
  <c r="V16" i="21"/>
  <c r="W16" i="21" s="1"/>
  <c r="U16" i="21"/>
  <c r="S16" i="21"/>
  <c r="T16" i="21" s="1"/>
  <c r="R16" i="21"/>
  <c r="O16" i="21"/>
  <c r="P16" i="21"/>
  <c r="Q16" i="21" s="1"/>
  <c r="L16" i="21"/>
  <c r="M16" i="21"/>
  <c r="N16" i="21" s="1"/>
  <c r="I16" i="21"/>
  <c r="J16" i="21"/>
  <c r="K16" i="21" s="1"/>
  <c r="G16" i="21"/>
  <c r="H16" i="21" s="1"/>
  <c r="F16" i="21"/>
  <c r="C16" i="21"/>
  <c r="D16" i="21"/>
  <c r="E16" i="21" s="1"/>
  <c r="X14" i="21"/>
  <c r="Y14" i="21"/>
  <c r="Z14" i="21" s="1"/>
  <c r="V14" i="21"/>
  <c r="W14" i="21" s="1"/>
  <c r="U14" i="21"/>
  <c r="S14" i="21"/>
  <c r="T14" i="21" s="1"/>
  <c r="R14" i="21"/>
  <c r="O14" i="21"/>
  <c r="P14" i="21"/>
  <c r="Q14" i="21" s="1"/>
  <c r="M14" i="21"/>
  <c r="N14" i="21" s="1"/>
  <c r="L14" i="21"/>
  <c r="J14" i="21"/>
  <c r="K14" i="21" s="1"/>
  <c r="I14" i="21"/>
  <c r="G14" i="21"/>
  <c r="H14" i="21" s="1"/>
  <c r="F14" i="21"/>
  <c r="D14" i="21"/>
  <c r="E14" i="21" s="1"/>
  <c r="C14" i="21"/>
  <c r="X12" i="21"/>
  <c r="Y12" i="21"/>
  <c r="Z12" i="21" s="1"/>
  <c r="U12" i="21"/>
  <c r="V12" i="21"/>
  <c r="W12" i="21" s="1"/>
  <c r="S12" i="21"/>
  <c r="T12" i="21" s="1"/>
  <c r="R12" i="21"/>
  <c r="P12" i="21"/>
  <c r="Q12" i="21" s="1"/>
  <c r="O12" i="21"/>
  <c r="L12" i="21"/>
  <c r="M12" i="21"/>
  <c r="N12" i="21" s="1"/>
  <c r="J12" i="21"/>
  <c r="K12" i="21" s="1"/>
  <c r="I12" i="21"/>
  <c r="G12" i="21"/>
  <c r="H12" i="21" s="1"/>
  <c r="F12" i="21"/>
  <c r="D12" i="21"/>
  <c r="E12" i="21" s="1"/>
  <c r="C12" i="21"/>
  <c r="Y10" i="21"/>
  <c r="Z10" i="21" s="1"/>
  <c r="X10" i="21"/>
  <c r="U10" i="21"/>
  <c r="V10" i="21"/>
  <c r="W10" i="21" s="1"/>
  <c r="R10" i="21"/>
  <c r="S10" i="21"/>
  <c r="T10" i="21" s="1"/>
  <c r="P10" i="21"/>
  <c r="Q10" i="21" s="1"/>
  <c r="O10" i="21"/>
  <c r="M10" i="21"/>
  <c r="N10" i="21" s="1"/>
  <c r="L10" i="21"/>
  <c r="I10" i="21"/>
  <c r="J10" i="21"/>
  <c r="K10" i="21" s="1"/>
  <c r="G10" i="21"/>
  <c r="H10" i="21" s="1"/>
  <c r="F10" i="21"/>
  <c r="D10" i="21"/>
  <c r="E10" i="21" s="1"/>
  <c r="C10" i="21"/>
  <c r="L8" i="21"/>
  <c r="M8" i="21"/>
  <c r="N8" i="21" s="1"/>
  <c r="R8" i="21"/>
  <c r="S8" i="21"/>
  <c r="T8" i="21" s="1"/>
  <c r="I8" i="21"/>
  <c r="J8" i="21"/>
  <c r="K8" i="21" s="1"/>
  <c r="F8" i="21"/>
  <c r="G8" i="21"/>
  <c r="H8" i="21" s="1"/>
  <c r="C8" i="21"/>
  <c r="D8" i="21"/>
  <c r="E8" i="21" s="1"/>
  <c r="O8" i="21"/>
  <c r="P8" i="21"/>
  <c r="Q8" i="21" s="1"/>
  <c r="U8" i="21"/>
  <c r="V8" i="21"/>
  <c r="W8" i="21" s="1"/>
  <c r="X8" i="21"/>
  <c r="Y8" i="21"/>
  <c r="Z8" i="21" s="1"/>
  <c r="E19" i="27"/>
  <c r="J19" i="27" s="1"/>
  <c r="V18" i="22"/>
  <c r="U6" i="22"/>
  <c r="O6" i="22"/>
  <c r="J6" i="21"/>
  <c r="P24" i="4"/>
  <c r="Q24" i="7"/>
  <c r="P24" i="7"/>
  <c r="L19" i="22"/>
  <c r="AW2" i="2"/>
  <c r="P24" i="5"/>
  <c r="Q27" i="4"/>
  <c r="Q24" i="3"/>
  <c r="J24" i="19"/>
  <c r="I24" i="19"/>
  <c r="H24" i="19"/>
  <c r="G24" i="19"/>
  <c r="C12" i="22"/>
  <c r="X9" i="22"/>
  <c r="G8" i="22"/>
  <c r="P6" i="22"/>
  <c r="C6" i="25"/>
  <c r="H4" i="19"/>
  <c r="P24" i="1"/>
  <c r="P24" i="8"/>
  <c r="Q24" i="8"/>
  <c r="X28" i="22"/>
  <c r="J24" i="20"/>
  <c r="E24" i="27"/>
  <c r="J24" i="27" s="1"/>
  <c r="J19" i="20"/>
  <c r="U28" i="22"/>
  <c r="I24" i="20"/>
  <c r="D24" i="27"/>
  <c r="I24" i="27" s="1"/>
  <c r="I19" i="20"/>
  <c r="D19" i="27"/>
  <c r="I19" i="27" s="1"/>
  <c r="P24" i="6"/>
  <c r="R28" i="22"/>
  <c r="H24" i="20"/>
  <c r="C24" i="27"/>
  <c r="H24" i="27" s="1"/>
  <c r="H19" i="20"/>
  <c r="C19" i="27"/>
  <c r="H19" i="27" s="1"/>
  <c r="O28" i="22"/>
  <c r="G24" i="20"/>
  <c r="B24" i="27"/>
  <c r="G24" i="27" s="1"/>
  <c r="G19" i="20"/>
  <c r="B19" i="27"/>
  <c r="G19" i="27" s="1"/>
  <c r="L29" i="22"/>
  <c r="L28" i="22"/>
  <c r="E9" i="27"/>
  <c r="J9" i="27" s="1"/>
  <c r="J9" i="20"/>
  <c r="Q24" i="4"/>
  <c r="I29" i="22"/>
  <c r="I28" i="22"/>
  <c r="D9" i="27"/>
  <c r="I9" i="27" s="1"/>
  <c r="I9" i="20"/>
  <c r="I4" i="20"/>
  <c r="D4" i="27"/>
  <c r="I4" i="27" s="1"/>
  <c r="F29" i="22"/>
  <c r="F28" i="22"/>
  <c r="H9" i="20"/>
  <c r="C9" i="27"/>
  <c r="H9" i="27" s="1"/>
  <c r="H4" i="20"/>
  <c r="C4" i="27"/>
  <c r="H4" i="27" s="1"/>
  <c r="Q24" i="1"/>
  <c r="C28" i="22"/>
  <c r="B9" i="27"/>
  <c r="G9" i="27" s="1"/>
  <c r="G9" i="20"/>
  <c r="G4" i="20"/>
  <c r="B4" i="27"/>
  <c r="G4" i="27" s="1"/>
  <c r="J19" i="19"/>
  <c r="H19" i="19"/>
  <c r="J9" i="19"/>
  <c r="H9" i="19"/>
  <c r="H4" i="18"/>
  <c r="I19" i="19"/>
  <c r="G19" i="19"/>
  <c r="I9" i="19"/>
  <c r="G9" i="19"/>
  <c r="I4" i="19"/>
  <c r="G4" i="19"/>
  <c r="X26" i="22"/>
  <c r="U26" i="22"/>
  <c r="R26" i="22"/>
  <c r="O26" i="22"/>
  <c r="L27" i="22"/>
  <c r="L26" i="22"/>
  <c r="I27" i="22"/>
  <c r="I26" i="22"/>
  <c r="F27" i="22"/>
  <c r="F26" i="22"/>
  <c r="C27" i="22"/>
  <c r="C26" i="22"/>
  <c r="U24" i="22"/>
  <c r="I24" i="18"/>
  <c r="O24" i="22"/>
  <c r="G24" i="18"/>
  <c r="L25" i="22"/>
  <c r="F25" i="22"/>
  <c r="L24" i="22"/>
  <c r="J9" i="18"/>
  <c r="F24" i="22"/>
  <c r="H9" i="18"/>
  <c r="J19" i="18"/>
  <c r="H19" i="18"/>
  <c r="X24" i="22"/>
  <c r="J24" i="18"/>
  <c r="R24" i="22"/>
  <c r="H24" i="18"/>
  <c r="I25" i="22"/>
  <c r="I24" i="22"/>
  <c r="I9" i="18"/>
  <c r="C24" i="22"/>
  <c r="G9" i="18"/>
  <c r="I19" i="18"/>
  <c r="G19" i="18"/>
  <c r="I4" i="18"/>
  <c r="G4" i="18"/>
  <c r="P24" i="22"/>
  <c r="Q24" i="22" s="1"/>
  <c r="C4" i="23"/>
  <c r="U20" i="22"/>
  <c r="O20" i="22"/>
  <c r="F21" i="22"/>
  <c r="L20" i="22"/>
  <c r="F20" i="22"/>
  <c r="X20" i="22"/>
  <c r="I21" i="22"/>
  <c r="D20" i="22"/>
  <c r="I20" i="22"/>
  <c r="C20" i="22"/>
  <c r="V26" i="22"/>
  <c r="W26" i="22" s="1"/>
  <c r="L21" i="22"/>
  <c r="J10" i="22"/>
  <c r="V24" i="22"/>
  <c r="W24" i="22" s="1"/>
  <c r="U18" i="22"/>
  <c r="O18" i="22"/>
  <c r="F19" i="22"/>
  <c r="L18" i="22"/>
  <c r="F18" i="22"/>
  <c r="X18" i="22"/>
  <c r="R18" i="22"/>
  <c r="C19" i="22"/>
  <c r="I18" i="22"/>
  <c r="C18" i="22"/>
  <c r="X7" i="21"/>
  <c r="C16" i="22"/>
  <c r="J28" i="22"/>
  <c r="X16" i="22"/>
  <c r="U16" i="22"/>
  <c r="V16" i="22"/>
  <c r="R17" i="22"/>
  <c r="R16" i="22"/>
  <c r="P16" i="22"/>
  <c r="O16" i="22"/>
  <c r="L16" i="22"/>
  <c r="I17" i="22"/>
  <c r="I16" i="22"/>
  <c r="F17" i="22"/>
  <c r="F16" i="22"/>
  <c r="X15" i="22"/>
  <c r="R15" i="22"/>
  <c r="X14" i="22"/>
  <c r="R14" i="22"/>
  <c r="I15" i="22"/>
  <c r="D14" i="22"/>
  <c r="I14" i="22"/>
  <c r="C14" i="22"/>
  <c r="U15" i="22"/>
  <c r="U14" i="22"/>
  <c r="M14" i="22"/>
  <c r="L14" i="22"/>
  <c r="O15" i="22"/>
  <c r="O14" i="22"/>
  <c r="G28" i="22"/>
  <c r="G26" i="22"/>
  <c r="G14" i="22"/>
  <c r="F14" i="22"/>
  <c r="D4" i="23"/>
  <c r="B4" i="23"/>
  <c r="F6" i="21"/>
  <c r="C9" i="23"/>
  <c r="P12" i="22"/>
  <c r="I13" i="22"/>
  <c r="D12" i="22"/>
  <c r="I12" i="22"/>
  <c r="I6" i="21"/>
  <c r="D9" i="23"/>
  <c r="C6" i="21"/>
  <c r="B9" i="23"/>
  <c r="X13" i="22"/>
  <c r="R13" i="22"/>
  <c r="L12" i="22"/>
  <c r="F12" i="22"/>
  <c r="L6" i="21"/>
  <c r="E9" i="23"/>
  <c r="E19" i="23"/>
  <c r="X12" i="22"/>
  <c r="E24" i="23"/>
  <c r="U12" i="22"/>
  <c r="D24" i="23"/>
  <c r="D19" i="23"/>
  <c r="C19" i="23"/>
  <c r="R12" i="22"/>
  <c r="C24" i="23"/>
  <c r="O12" i="22"/>
  <c r="B24" i="23"/>
  <c r="B19" i="23"/>
  <c r="G4" i="16"/>
  <c r="X11" i="22"/>
  <c r="U11" i="22"/>
  <c r="R11" i="22"/>
  <c r="S10" i="22"/>
  <c r="R10" i="22"/>
  <c r="O11" i="22"/>
  <c r="L11" i="22"/>
  <c r="L10" i="22"/>
  <c r="I10" i="22"/>
  <c r="F11" i="22"/>
  <c r="F10" i="22"/>
  <c r="C10" i="22"/>
  <c r="U9" i="22"/>
  <c r="P8" i="22"/>
  <c r="O8" i="22"/>
  <c r="L9" i="22"/>
  <c r="F9" i="22"/>
  <c r="H4" i="11"/>
  <c r="H4" i="12"/>
  <c r="H4" i="13"/>
  <c r="G4" i="24"/>
  <c r="C8" i="22"/>
  <c r="C6" i="22"/>
  <c r="Q24" i="6"/>
  <c r="D6" i="22"/>
  <c r="D10" i="22"/>
  <c r="C9" i="22"/>
  <c r="D6" i="21"/>
  <c r="G6" i="21"/>
  <c r="F8" i="22"/>
  <c r="R24" i="2"/>
  <c r="I4" i="16"/>
  <c r="I4" i="24"/>
  <c r="P24" i="3"/>
  <c r="J6" i="22"/>
  <c r="I9" i="22"/>
  <c r="I6" i="22"/>
  <c r="I7" i="21"/>
  <c r="K6" i="21" s="1"/>
  <c r="L6" i="22"/>
  <c r="M6" i="21"/>
  <c r="X22" i="22"/>
  <c r="J24" i="24"/>
  <c r="R22" i="22"/>
  <c r="H24" i="24"/>
  <c r="D22" i="22"/>
  <c r="I9" i="24"/>
  <c r="C22" i="22"/>
  <c r="G9" i="24"/>
  <c r="U22" i="22"/>
  <c r="I24" i="24"/>
  <c r="O22" i="22"/>
  <c r="G24" i="24"/>
  <c r="F23" i="22"/>
  <c r="J9" i="24"/>
  <c r="H9" i="24"/>
  <c r="J19" i="9"/>
  <c r="H19" i="9"/>
  <c r="I4" i="9"/>
  <c r="G4" i="9"/>
  <c r="J19" i="10"/>
  <c r="H19" i="10"/>
  <c r="J4" i="10"/>
  <c r="H4" i="10"/>
  <c r="J19" i="11"/>
  <c r="H19" i="11"/>
  <c r="J19" i="12"/>
  <c r="H19" i="12"/>
  <c r="J19" i="13"/>
  <c r="H19" i="13"/>
  <c r="I19" i="16"/>
  <c r="G19" i="16"/>
  <c r="I19" i="24"/>
  <c r="G19" i="24"/>
  <c r="X21" i="22"/>
  <c r="F13" i="22"/>
  <c r="L8" i="22"/>
  <c r="M8" i="22"/>
  <c r="F6" i="22"/>
  <c r="G6" i="22"/>
  <c r="H6" i="22" s="1"/>
  <c r="M6" i="22"/>
  <c r="N6" i="22" s="1"/>
  <c r="O17" i="22"/>
  <c r="U17" i="22"/>
  <c r="V6" i="22"/>
  <c r="J24" i="9"/>
  <c r="H24" i="9"/>
  <c r="I19" i="9"/>
  <c r="G19" i="9"/>
  <c r="J4" i="9"/>
  <c r="H4" i="9"/>
  <c r="I19" i="10"/>
  <c r="G19" i="10"/>
  <c r="I4" i="10"/>
  <c r="G4" i="10"/>
  <c r="H24" i="11"/>
  <c r="I19" i="11"/>
  <c r="G19" i="11"/>
  <c r="I4" i="11"/>
  <c r="G4" i="11"/>
  <c r="I19" i="12"/>
  <c r="G19" i="12"/>
  <c r="G9" i="12"/>
  <c r="I4" i="12"/>
  <c r="G4" i="12"/>
  <c r="I19" i="13"/>
  <c r="G19" i="13"/>
  <c r="I4" i="13"/>
  <c r="G4" i="13"/>
  <c r="J19" i="16"/>
  <c r="H19" i="16"/>
  <c r="H4" i="16"/>
  <c r="J19" i="24"/>
  <c r="H19" i="24"/>
  <c r="H4" i="24"/>
  <c r="J19" i="15"/>
  <c r="H19" i="15"/>
  <c r="G9" i="16"/>
  <c r="I9" i="16"/>
  <c r="H24" i="16"/>
  <c r="J24" i="16"/>
  <c r="G9" i="13"/>
  <c r="I9" i="13"/>
  <c r="H24" i="13"/>
  <c r="J24" i="13"/>
  <c r="I9" i="12"/>
  <c r="H24" i="12"/>
  <c r="J24" i="12"/>
  <c r="G9" i="11"/>
  <c r="I9" i="11"/>
  <c r="J24" i="11"/>
  <c r="G9" i="9"/>
  <c r="I9" i="9"/>
  <c r="G9" i="10"/>
  <c r="I9" i="10"/>
  <c r="H24" i="10"/>
  <c r="J24" i="10"/>
  <c r="I4" i="14"/>
  <c r="G4" i="14"/>
  <c r="I19" i="15"/>
  <c r="G19" i="15"/>
  <c r="H4" i="15"/>
  <c r="I4" i="15"/>
  <c r="G4" i="15"/>
  <c r="H9" i="16"/>
  <c r="J9" i="16"/>
  <c r="G24" i="16"/>
  <c r="I24" i="16"/>
  <c r="H9" i="13"/>
  <c r="J9" i="13"/>
  <c r="G24" i="13"/>
  <c r="I24" i="13"/>
  <c r="H9" i="12"/>
  <c r="J9" i="12"/>
  <c r="G24" i="12"/>
  <c r="I24" i="12"/>
  <c r="H9" i="11"/>
  <c r="J9" i="11"/>
  <c r="G24" i="11"/>
  <c r="I24" i="11"/>
  <c r="H9" i="9"/>
  <c r="J9" i="9"/>
  <c r="G24" i="9"/>
  <c r="I24" i="9"/>
  <c r="H9" i="10"/>
  <c r="J9" i="10"/>
  <c r="G24" i="10"/>
  <c r="I24" i="10"/>
  <c r="J19" i="14"/>
  <c r="H19" i="14"/>
  <c r="G9" i="15"/>
  <c r="I9" i="15"/>
  <c r="H24" i="15"/>
  <c r="J24" i="15"/>
  <c r="I19" i="14"/>
  <c r="G19" i="14"/>
  <c r="H4" i="14"/>
  <c r="H9" i="15"/>
  <c r="J9" i="15"/>
  <c r="G24" i="15"/>
  <c r="I24" i="15"/>
  <c r="J9" i="14"/>
  <c r="H9" i="14"/>
  <c r="G24" i="14"/>
  <c r="J24" i="14"/>
  <c r="H24" i="14"/>
  <c r="G9" i="14"/>
  <c r="I9" i="14"/>
  <c r="I24" i="14"/>
  <c r="Y18" i="22"/>
  <c r="D16" i="22"/>
  <c r="E16" i="22" s="1"/>
  <c r="Y16" i="22"/>
  <c r="S16" i="22"/>
  <c r="S14" i="22"/>
  <c r="L15" i="22"/>
  <c r="M16" i="22"/>
  <c r="J16" i="22"/>
  <c r="Y14" i="22"/>
  <c r="V14" i="22"/>
  <c r="S12" i="22"/>
  <c r="O13" i="22"/>
  <c r="P14" i="22"/>
  <c r="F15" i="22"/>
  <c r="X10" i="22"/>
  <c r="R9" i="22"/>
  <c r="R7" i="22"/>
  <c r="I8" i="22"/>
  <c r="D8" i="22"/>
  <c r="J8" i="22"/>
  <c r="C7" i="22"/>
  <c r="I7" i="22"/>
  <c r="V10" i="22"/>
  <c r="U10" i="22"/>
  <c r="P10" i="22"/>
  <c r="O10" i="22"/>
  <c r="Y8" i="22"/>
  <c r="X8" i="22"/>
  <c r="V8" i="22"/>
  <c r="U7" i="22"/>
  <c r="U8" i="22"/>
  <c r="U6" i="21"/>
  <c r="S8" i="22"/>
  <c r="R6" i="22"/>
  <c r="S6" i="22"/>
  <c r="R8" i="22"/>
  <c r="R6" i="21"/>
  <c r="S6" i="21"/>
  <c r="O7" i="22"/>
  <c r="O6" i="21"/>
  <c r="X6" i="21"/>
  <c r="Y6" i="21"/>
  <c r="X6" i="22"/>
  <c r="Y6" i="22"/>
  <c r="Z6" i="22" s="1"/>
  <c r="I11" i="22"/>
  <c r="G16" i="22"/>
  <c r="G12" i="22"/>
  <c r="G18" i="22"/>
  <c r="G10" i="22"/>
  <c r="C15" i="22"/>
  <c r="C11" i="22"/>
  <c r="D28" i="22"/>
  <c r="C25" i="22"/>
  <c r="C13" i="22"/>
  <c r="B21" i="12"/>
  <c r="G21" i="12" s="1"/>
  <c r="V28" i="22"/>
  <c r="W28" i="22" s="1"/>
  <c r="M28" i="22"/>
  <c r="Q24" i="2"/>
  <c r="C29" i="22"/>
  <c r="X17" i="22"/>
  <c r="J14" i="22"/>
  <c r="Y12" i="22"/>
  <c r="F7" i="21"/>
  <c r="L7" i="21"/>
  <c r="J12" i="22"/>
  <c r="V12" i="22"/>
  <c r="W12" i="22" s="1"/>
  <c r="Y10" i="22"/>
  <c r="O9" i="22"/>
  <c r="P6" i="21"/>
  <c r="V6" i="21"/>
  <c r="Y28" i="22"/>
  <c r="Z28" i="22" s="1"/>
  <c r="Y26" i="22"/>
  <c r="Z26" i="22" s="1"/>
  <c r="S28" i="22"/>
  <c r="T28" i="22" s="1"/>
  <c r="S26" i="22"/>
  <c r="T26" i="22" s="1"/>
  <c r="P28" i="22"/>
  <c r="Q28" i="22" s="1"/>
  <c r="B6" i="9"/>
  <c r="G6" i="9" s="1"/>
  <c r="B6" i="10"/>
  <c r="G6" i="10" s="1"/>
  <c r="E4" i="18"/>
  <c r="J4" i="18" s="1"/>
  <c r="M26" i="22"/>
  <c r="E4" i="19"/>
  <c r="J4" i="19" s="1"/>
  <c r="J4" i="24"/>
  <c r="L17" i="22"/>
  <c r="M12" i="22"/>
  <c r="L13" i="22"/>
  <c r="M10" i="22"/>
  <c r="E4" i="11"/>
  <c r="J4" i="11" s="1"/>
  <c r="E4" i="16"/>
  <c r="J4" i="16" s="1"/>
  <c r="E4" i="15"/>
  <c r="J4" i="15" s="1"/>
  <c r="E4" i="14"/>
  <c r="J4" i="14" s="1"/>
  <c r="J4" i="13"/>
  <c r="J4" i="12"/>
  <c r="Y24" i="22"/>
  <c r="Z24" i="22" s="1"/>
  <c r="S24" i="22"/>
  <c r="T24" i="22" s="1"/>
  <c r="P26" i="22"/>
  <c r="Q26" i="22" s="1"/>
  <c r="M24" i="22"/>
  <c r="J26" i="22"/>
  <c r="D26" i="22"/>
  <c r="B6" i="19"/>
  <c r="G6" i="19" s="1"/>
  <c r="L22" i="22"/>
  <c r="G22" i="22"/>
  <c r="L23" i="22"/>
  <c r="O23" i="22"/>
  <c r="R23" i="22"/>
  <c r="U23" i="22"/>
  <c r="X23" i="22"/>
  <c r="P22" i="22"/>
  <c r="V22" i="22"/>
  <c r="C23" i="22"/>
  <c r="I23" i="22"/>
  <c r="B21" i="19"/>
  <c r="F22" i="22"/>
  <c r="I22" i="22"/>
  <c r="J22" i="22"/>
  <c r="M22" i="22"/>
  <c r="S22" i="22"/>
  <c r="T22" i="22" s="1"/>
  <c r="Y22" i="22"/>
  <c r="J24" i="22"/>
  <c r="G24" i="22"/>
  <c r="B6" i="24"/>
  <c r="G6" i="24" s="1"/>
  <c r="D24" i="22"/>
  <c r="B21" i="9"/>
  <c r="G21" i="9" s="1"/>
  <c r="B21" i="10"/>
  <c r="G21" i="10" s="1"/>
  <c r="B6" i="11"/>
  <c r="G6" i="11" s="1"/>
  <c r="B21" i="13"/>
  <c r="G21" i="13" s="1"/>
  <c r="B21" i="18"/>
  <c r="G21" i="20"/>
  <c r="B21" i="11"/>
  <c r="G21" i="11" s="1"/>
  <c r="B6" i="12"/>
  <c r="G6" i="12" s="1"/>
  <c r="B6" i="13"/>
  <c r="G6" i="13" s="1"/>
  <c r="B21" i="14"/>
  <c r="G21" i="14" s="1"/>
  <c r="B6" i="14"/>
  <c r="G6" i="14" s="1"/>
  <c r="B6" i="18"/>
  <c r="G6" i="18" s="1"/>
  <c r="G6" i="20"/>
  <c r="B21" i="24"/>
  <c r="G21" i="24" s="1"/>
  <c r="S20" i="22"/>
  <c r="T20" i="22" s="1"/>
  <c r="R20" i="22"/>
  <c r="C21" i="22"/>
  <c r="X19" i="22"/>
  <c r="B21" i="15"/>
  <c r="G21" i="15" s="1"/>
  <c r="Y20" i="22"/>
  <c r="U19" i="22"/>
  <c r="B21" i="16"/>
  <c r="G21" i="16" s="1"/>
  <c r="V20" i="22"/>
  <c r="W20" i="22" s="1"/>
  <c r="S18" i="22"/>
  <c r="P20" i="22"/>
  <c r="Q20" i="22" s="1"/>
  <c r="P18" i="22"/>
  <c r="B6" i="15"/>
  <c r="G6" i="15" s="1"/>
  <c r="M20" i="22"/>
  <c r="M18" i="22"/>
  <c r="I19" i="22"/>
  <c r="J20" i="22"/>
  <c r="J18" i="22"/>
  <c r="G20" i="22"/>
  <c r="B6" i="16"/>
  <c r="G6" i="16" s="1"/>
  <c r="D18" i="22"/>
  <c r="G21" i="18" l="1"/>
  <c r="M21" i="18"/>
  <c r="O21" i="18" s="1"/>
  <c r="G21" i="19"/>
  <c r="M21" i="19"/>
  <c r="O21" i="19" s="1"/>
  <c r="W18" i="22"/>
  <c r="Z8" i="22"/>
  <c r="E8" i="22"/>
  <c r="H4" i="23"/>
  <c r="Q22" i="22"/>
  <c r="N18" i="22"/>
  <c r="Q16" i="22"/>
  <c r="K28" i="22"/>
  <c r="E6" i="22"/>
  <c r="K8" i="22"/>
  <c r="Z14" i="22"/>
  <c r="H24" i="22"/>
  <c r="E14" i="22"/>
  <c r="H10" i="22"/>
  <c r="H8" i="22"/>
  <c r="H26" i="22"/>
  <c r="H28" i="22"/>
  <c r="K20" i="22"/>
  <c r="H20" i="22"/>
  <c r="V31" i="21"/>
  <c r="D31" i="21"/>
  <c r="T10" i="22"/>
  <c r="K10" i="22"/>
  <c r="N24" i="22"/>
  <c r="E12" i="22"/>
  <c r="H16" i="22"/>
  <c r="W14" i="22"/>
  <c r="W8" i="22"/>
  <c r="Q6" i="22"/>
  <c r="M31" i="21"/>
  <c r="J31" i="21"/>
  <c r="E4" i="23"/>
  <c r="E20" i="22"/>
  <c r="K24" i="22"/>
  <c r="P31" i="21"/>
  <c r="Z10" i="22"/>
  <c r="K12" i="22"/>
  <c r="K14" i="22"/>
  <c r="N28" i="22"/>
  <c r="Y31" i="21"/>
  <c r="S31" i="21"/>
  <c r="G31" i="21"/>
  <c r="E4" i="27"/>
  <c r="J4" i="27" s="1"/>
  <c r="J4" i="20"/>
  <c r="N26" i="22"/>
  <c r="K26" i="22"/>
  <c r="E26" i="22"/>
  <c r="M33" i="21"/>
  <c r="J33" i="21"/>
  <c r="Q6" i="21"/>
  <c r="P33" i="21"/>
  <c r="E6" i="21"/>
  <c r="D33" i="21"/>
  <c r="W6" i="21"/>
  <c r="V33" i="21"/>
  <c r="Z6" i="21"/>
  <c r="Y33" i="21"/>
  <c r="T6" i="21"/>
  <c r="S33" i="21"/>
  <c r="N20" i="22"/>
  <c r="Z18" i="22"/>
  <c r="N10" i="22"/>
  <c r="Z12" i="22"/>
  <c r="H18" i="22"/>
  <c r="Q10" i="22"/>
  <c r="W10" i="22"/>
  <c r="N14" i="22"/>
  <c r="N8" i="22"/>
  <c r="G33" i="21"/>
  <c r="N6" i="21"/>
  <c r="Z20" i="22"/>
  <c r="Q12" i="22"/>
  <c r="E22" i="22"/>
  <c r="H22" i="22"/>
  <c r="Q8" i="22"/>
  <c r="H12" i="22"/>
  <c r="K6" i="22"/>
  <c r="Q14" i="22"/>
  <c r="T12" i="22"/>
  <c r="T14" i="22"/>
  <c r="W16" i="22"/>
  <c r="T16" i="22"/>
  <c r="K16" i="22"/>
  <c r="H14" i="22"/>
  <c r="T8" i="22"/>
  <c r="E28" i="22"/>
  <c r="E10" i="22"/>
  <c r="W6" i="22"/>
  <c r="H6" i="21"/>
  <c r="Z16" i="22"/>
  <c r="N16" i="22"/>
  <c r="E24" i="22"/>
  <c r="T6" i="22"/>
  <c r="W22" i="22"/>
  <c r="N22" i="22"/>
  <c r="N12" i="22"/>
  <c r="V31" i="22"/>
  <c r="Z22" i="22"/>
  <c r="Y33" i="22"/>
  <c r="K22" i="22"/>
  <c r="S31" i="22"/>
  <c r="J33" i="22"/>
  <c r="G31" i="22"/>
  <c r="G33" i="22"/>
  <c r="D33" i="22"/>
  <c r="Y31" i="22"/>
  <c r="V33" i="22"/>
  <c r="T18" i="22"/>
  <c r="S33" i="22"/>
  <c r="P31" i="22"/>
  <c r="Q18" i="22"/>
  <c r="P33" i="22"/>
  <c r="M33" i="22"/>
  <c r="M31" i="22"/>
  <c r="K18" i="22"/>
  <c r="J31" i="22"/>
  <c r="D31" i="22"/>
  <c r="E18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Ivo Mráz</author>
  </authors>
  <commentList>
    <comment ref="B7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38"/>
          </rPr>
          <t>14.2.2019 výměna faktur.vodoměru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HP-HP</author>
    <author/>
    <author>Ivo Mráz</author>
  </authors>
  <commentList>
    <comment ref="E5" authorId="0" shapeId="0" xr:uid="{00000000-0006-0000-1700-000001000000}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B15" authorId="1" shapeId="0" xr:uid="{00000000-0006-0000-1700-000002000000}">
      <text>
        <r>
          <rPr>
            <b/>
            <sz val="9"/>
            <color indexed="8"/>
            <rFont val="Tahoma"/>
            <family val="2"/>
            <charset val="238"/>
          </rPr>
          <t>bez korekce</t>
        </r>
      </text>
    </comment>
    <comment ref="C15" authorId="2" shapeId="0" xr:uid="{00000000-0006-0000-1700-000003000000}">
      <text>
        <r>
          <rPr>
            <b/>
            <sz val="9"/>
            <color indexed="81"/>
            <rFont val="Tahoma"/>
            <family val="2"/>
            <charset val="238"/>
          </rPr>
          <t>po zaokrouhlení rozpis pro vyúčtování vedle</t>
        </r>
      </text>
    </comment>
    <comment ref="R31" authorId="2" shapeId="0" xr:uid="{00000000-0006-0000-1700-000004000000}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spotřeba starý vodoměr poškození 6.9.2022
počátek 78,6 m3
konec 80 m3</t>
        </r>
      </text>
    </comment>
    <comment ref="R32" authorId="2" shapeId="0" xr:uid="{00000000-0006-0000-1700-000005000000}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nový vodoměr počátek 4,9 m3
konec 6,88 m3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HP-HP</author>
    <author>Ivo Mráz</author>
  </authors>
  <commentList>
    <comment ref="E5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C15" authorId="1" shapeId="0" xr:uid="{00000000-0006-0000-1600-000002000000}">
      <text>
        <r>
          <rPr>
            <b/>
            <sz val="9"/>
            <color indexed="81"/>
            <rFont val="Tahoma"/>
            <family val="2"/>
            <charset val="238"/>
          </rPr>
          <t>upravená spotřeba blíže k vodoměrům</t>
        </r>
      </text>
    </comment>
  </commentList>
</comments>
</file>

<file path=xl/sharedStrings.xml><?xml version="1.0" encoding="utf-8"?>
<sst xmlns="http://schemas.openxmlformats.org/spreadsheetml/2006/main" count="1510" uniqueCount="451">
  <si>
    <t>voda</t>
  </si>
  <si>
    <t>teplo</t>
  </si>
  <si>
    <t xml:space="preserve">byt č. </t>
  </si>
  <si>
    <t>prosinec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</si>
  <si>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</si>
  <si>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</si>
  <si>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</si>
  <si>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</si>
  <si>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</si>
  <si>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</si>
  <si>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</si>
  <si>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</si>
  <si>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</si>
  <si>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</si>
  <si>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</si>
  <si>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spol.spotř.</t>
  </si>
  <si>
    <t>patní kalorimetr č./kub.m</t>
  </si>
  <si>
    <t>Nové</t>
  </si>
  <si>
    <t>číslování</t>
  </si>
  <si>
    <t>2 a 3</t>
  </si>
  <si>
    <t>5 a 6</t>
  </si>
  <si>
    <t>8 a 9</t>
  </si>
  <si>
    <t>11 a 15</t>
  </si>
  <si>
    <t>12 a 13</t>
  </si>
  <si>
    <t>VODOMĚRY TEPLÁ VODA</t>
  </si>
  <si>
    <t>Voda</t>
  </si>
  <si>
    <t>Teplo</t>
  </si>
  <si>
    <t>Elektr</t>
  </si>
  <si>
    <t>patní kalorimetr č. /kub.m</t>
  </si>
  <si>
    <t>patní kalorimetr č.  / kub.m</t>
  </si>
  <si>
    <t>Sumář - spotřeba leden</t>
  </si>
  <si>
    <t>Voda - m3</t>
  </si>
  <si>
    <t>Náměry bytových vodoměrů</t>
  </si>
  <si>
    <t>Patní vodoměry</t>
  </si>
  <si>
    <t>Součet patních vodoměrů</t>
  </si>
  <si>
    <t>fakturační vodoměr</t>
  </si>
  <si>
    <t>Teplo - GJ</t>
  </si>
  <si>
    <t>Náměry bytových kalorimetrů</t>
  </si>
  <si>
    <t>Fakturační kalorimetry</t>
  </si>
  <si>
    <t>Elektřina - kWh</t>
  </si>
  <si>
    <t>Elektroměr dům</t>
  </si>
  <si>
    <t>Elektroměr areál</t>
  </si>
  <si>
    <t>Vodoměr areál</t>
  </si>
  <si>
    <t>Sumář - spotřeba únor</t>
  </si>
  <si>
    <t xml:space="preserve">Elektřina - </t>
  </si>
  <si>
    <t>Sumář - spotřeba březen</t>
  </si>
  <si>
    <t>Sumář - spotřeba duben</t>
  </si>
  <si>
    <t>Sumář - spotřeba květen</t>
  </si>
  <si>
    <t>Sumář - spotřeba červen</t>
  </si>
  <si>
    <t>Sumář - spotřeba červenec</t>
  </si>
  <si>
    <t>Sumář - spotřeba srpen</t>
  </si>
  <si>
    <t>Sumář - spotřeba září</t>
  </si>
  <si>
    <t>Sumář - spotřeba říjen</t>
  </si>
  <si>
    <t>Sumář - spotřeba listopad</t>
  </si>
  <si>
    <t>Sumář - spotřeba prosinec</t>
  </si>
  <si>
    <t>Přehled rozdílů a ztrát za teplo v GJ</t>
  </si>
  <si>
    <t>odečet</t>
  </si>
  <si>
    <t>rozdíl [GJ]</t>
  </si>
  <si>
    <t>rozdíl [%]</t>
  </si>
  <si>
    <t>součty kal.</t>
  </si>
  <si>
    <t>faktur.kal.</t>
  </si>
  <si>
    <t>CELKEM ROZDÍL v GJ</t>
  </si>
  <si>
    <t>CELKEM ROZDÍL v %</t>
  </si>
  <si>
    <t>Sumář - spotřeba rok</t>
  </si>
  <si>
    <t>z toho do</t>
  </si>
  <si>
    <t>pro byty 1853</t>
  </si>
  <si>
    <t>se solí</t>
  </si>
  <si>
    <t>vodné + stočné</t>
  </si>
  <si>
    <t>vyúčtování</t>
  </si>
  <si>
    <t>pro zahradu</t>
  </si>
  <si>
    <t>bez soli</t>
  </si>
  <si>
    <t>vodné</t>
  </si>
  <si>
    <t>pro domy 1850 - 1853</t>
  </si>
  <si>
    <t>2B</t>
  </si>
  <si>
    <t>3B</t>
  </si>
  <si>
    <t>5B</t>
  </si>
  <si>
    <t>6B</t>
  </si>
  <si>
    <t>8B</t>
  </si>
  <si>
    <t>GJ</t>
  </si>
  <si>
    <t>m3</t>
  </si>
  <si>
    <t>KWh</t>
  </si>
  <si>
    <t>elektr</t>
  </si>
  <si>
    <t>Přepočet spotřeb</t>
  </si>
  <si>
    <t>Brantovi</t>
  </si>
  <si>
    <t xml:space="preserve">Hřebečkovi </t>
  </si>
  <si>
    <t>Morongovi</t>
  </si>
  <si>
    <t>SVJ 1850 - 1857</t>
  </si>
  <si>
    <t>Celkem zahradní fakturační vodoměr</t>
  </si>
  <si>
    <t xml:space="preserve">Rozdíl </t>
  </si>
  <si>
    <t>Spotřeby dle zahradních poměr.vodoměrů</t>
  </si>
  <si>
    <t>Celkem zahrada dle poměr.vodoměrů</t>
  </si>
  <si>
    <t>rozdíl</t>
  </si>
  <si>
    <t>Odběrné místo</t>
  </si>
  <si>
    <t>počátek</t>
  </si>
  <si>
    <t>konec</t>
  </si>
  <si>
    <t>Poznámka:</t>
  </si>
  <si>
    <r>
      <t>m</t>
    </r>
    <r>
      <rPr>
        <vertAlign val="superscript"/>
        <sz val="11"/>
        <color indexed="8"/>
        <rFont val="Calibri"/>
        <family val="2"/>
        <charset val="238"/>
      </rPr>
      <t>3</t>
    </r>
  </si>
  <si>
    <r>
      <t>MJ/m</t>
    </r>
    <r>
      <rPr>
        <vertAlign val="superscript"/>
        <sz val="11"/>
        <color indexed="8"/>
        <rFont val="Calibri"/>
        <family val="2"/>
        <charset val="238"/>
      </rPr>
      <t>3</t>
    </r>
  </si>
  <si>
    <t>Pro fakturaci</t>
  </si>
  <si>
    <t>Hiršalová</t>
  </si>
  <si>
    <t>Lazarová</t>
  </si>
  <si>
    <t>Bodnarovi</t>
  </si>
  <si>
    <t>Vuová</t>
  </si>
  <si>
    <t>Písaříkovi</t>
  </si>
  <si>
    <t>fakturační vodoměr č.         63796</t>
  </si>
  <si>
    <t>byt</t>
  </si>
  <si>
    <t>spotřeby po měsících</t>
  </si>
  <si>
    <t>Vytipování vadných vodoměrů</t>
  </si>
  <si>
    <t>xx</t>
  </si>
  <si>
    <t>TV</t>
  </si>
  <si>
    <t>kWh</t>
  </si>
  <si>
    <t>studená voda</t>
  </si>
  <si>
    <t>teplá voda</t>
  </si>
  <si>
    <t>SROVNÁVACÍ TABULKA ZBYTKU DĚLENÝCH BYTŮ - spotřeby SV a TV</t>
  </si>
  <si>
    <t>Vodom.</t>
  </si>
  <si>
    <t>SV</t>
  </si>
  <si>
    <t>vodoměr areál  č.200076532</t>
  </si>
  <si>
    <t>starý</t>
  </si>
  <si>
    <t>nový</t>
  </si>
  <si>
    <t>Reklamace - výměna</t>
  </si>
  <si>
    <t>Zahrada</t>
  </si>
  <si>
    <t>Spotřeby fakturčních vodoměrů 1 a 2</t>
  </si>
  <si>
    <t xml:space="preserve">  fakturačních vodoměrů 1 a 2</t>
  </si>
  <si>
    <t>Porovnání spotřeb vody na patách domů,</t>
  </si>
  <si>
    <t>a    zahrady</t>
  </si>
  <si>
    <t>vodoměr SV  č.      11717149</t>
  </si>
  <si>
    <t>vodoměr TV  č.      11683196</t>
  </si>
  <si>
    <t>Výměna elektroměru</t>
  </si>
  <si>
    <t>Výměna elektroměru AREÁL</t>
  </si>
  <si>
    <t>Výměna elektroměru DŮM</t>
  </si>
  <si>
    <t>Výměna kalorimetru pata</t>
  </si>
  <si>
    <t>MWh</t>
  </si>
  <si>
    <t>výr.č.</t>
  </si>
  <si>
    <t>demontáž</t>
  </si>
  <si>
    <t>montáž</t>
  </si>
  <si>
    <t>Rozdíly v předávání tepla na patním měřidle v jednotlivých domech po měsících v MJ/m3 (GJ*1000/m3)</t>
  </si>
  <si>
    <t>Faktur.1</t>
  </si>
  <si>
    <t>Faktur.2</t>
  </si>
  <si>
    <t>Celkem</t>
  </si>
  <si>
    <t>Výměna faktur.vodoměru    výr.č.</t>
  </si>
  <si>
    <t>Šmejcká</t>
  </si>
  <si>
    <t>Chvapil</t>
  </si>
  <si>
    <t>Němec</t>
  </si>
  <si>
    <t>Smola</t>
  </si>
  <si>
    <t>Bendlová</t>
  </si>
  <si>
    <t>z toho do vyúčtování</t>
  </si>
  <si>
    <t>1851/1</t>
  </si>
  <si>
    <t>1851/2</t>
  </si>
  <si>
    <t>1853/1</t>
  </si>
  <si>
    <t>1853/2</t>
  </si>
  <si>
    <t>1853/3</t>
  </si>
  <si>
    <t>1854/1</t>
  </si>
  <si>
    <t>1854/2</t>
  </si>
  <si>
    <t>1855/1</t>
  </si>
  <si>
    <t>1855/2</t>
  </si>
  <si>
    <t>1856/1</t>
  </si>
  <si>
    <t>1856/2</t>
  </si>
  <si>
    <t>1857/1</t>
  </si>
  <si>
    <t>1857/2</t>
  </si>
  <si>
    <t>1857/3</t>
  </si>
  <si>
    <t>Bez stočného</t>
  </si>
  <si>
    <t>Zahrada hlavní vod. 1857</t>
  </si>
  <si>
    <t>Kontrola:</t>
  </si>
  <si>
    <t>zaokrouhlení voda areál</t>
  </si>
  <si>
    <t>elektroměr č.    2080200096</t>
  </si>
  <si>
    <t>elektroměr č.      2080200097</t>
  </si>
  <si>
    <t>elektroměr č.2080200105 dům</t>
  </si>
  <si>
    <t>elektroměr č. 2080200100 VO</t>
  </si>
  <si>
    <t>Fakturační vodoměr:      42012114941</t>
  </si>
  <si>
    <t>patní kalorimetr č. 70465263/ GJ</t>
  </si>
  <si>
    <t>patní kalorimetr č. 70465266/ GJ</t>
  </si>
  <si>
    <t>patní kalorimetr č.70465264/GJ</t>
  </si>
  <si>
    <t>patní kalorimetr č.70465265/GJ</t>
  </si>
  <si>
    <t>Zahrada hlavní vod. 1851</t>
  </si>
  <si>
    <t>1856/3</t>
  </si>
  <si>
    <t>Baťkovi</t>
  </si>
  <si>
    <t>Kontrola</t>
  </si>
  <si>
    <t>byty 1853 bez zahrady</t>
  </si>
  <si>
    <t>zahrada</t>
  </si>
  <si>
    <t>byty</t>
  </si>
  <si>
    <t>součet pat bez zahrady</t>
  </si>
  <si>
    <t>Výměna fakturač. vodoměru</t>
  </si>
  <si>
    <t xml:space="preserve">stav: </t>
  </si>
  <si>
    <t>Výměna elekroměru</t>
  </si>
  <si>
    <t>dne 13.2.2022</t>
  </si>
  <si>
    <t>číslo</t>
  </si>
  <si>
    <t>stav</t>
  </si>
  <si>
    <t>spotřeba</t>
  </si>
  <si>
    <t>Reklamace - výměna vodoměru</t>
  </si>
  <si>
    <t>3A - SV</t>
  </si>
  <si>
    <t>1852/1</t>
  </si>
  <si>
    <t>Zýmová</t>
  </si>
  <si>
    <t>kalorimetr č.       71182278</t>
  </si>
  <si>
    <t>kalorimetr č.       71182225</t>
  </si>
  <si>
    <t>kalorimetr č.       71182284</t>
  </si>
  <si>
    <t>kalorimetr č.       71182235</t>
  </si>
  <si>
    <t>kalorimetr č.       71182238</t>
  </si>
  <si>
    <t>kalorimetr č.       71182269</t>
  </si>
  <si>
    <t>kalorimetr č.       71182265</t>
  </si>
  <si>
    <t>kalorimetr č.       71182245</t>
  </si>
  <si>
    <t>kalorimetr č.       71182280</t>
  </si>
  <si>
    <t>kalorimetr č.       71182243</t>
  </si>
  <si>
    <t>kalorimetr č.       71182262</t>
  </si>
  <si>
    <t>kalorimetr č.       71182271</t>
  </si>
  <si>
    <t>kalorimetr č.       71182241</t>
  </si>
  <si>
    <t>kalorimetr č.       71182237</t>
  </si>
  <si>
    <t>kalorimetr č.       71182221</t>
  </si>
  <si>
    <t>kalorimetr č.       71182276</t>
  </si>
  <si>
    <t>kalorimetr č.       71182256</t>
  </si>
  <si>
    <t>kalorimetr č.       71182279</t>
  </si>
  <si>
    <t>kalorimetr č.       71182234</t>
  </si>
  <si>
    <t>kalorimetr č.       71182233</t>
  </si>
  <si>
    <t>kalorimetr č.       71182270</t>
  </si>
  <si>
    <t>kalorimetr č.       71182274</t>
  </si>
  <si>
    <t>kalorimetr č.       71182244</t>
  </si>
  <si>
    <t>kalorimetr č.       71182251</t>
  </si>
  <si>
    <t>kalorimetr č.       71182283</t>
  </si>
  <si>
    <t>kalorimetr č.       71182277</t>
  </si>
  <si>
    <t>kalorimetr č.       71182246</t>
  </si>
  <si>
    <t>kalorimetr č.       71182282</t>
  </si>
  <si>
    <t>kalorimetr č.       71182240</t>
  </si>
  <si>
    <t>kalorimetr č.       71182275</t>
  </si>
  <si>
    <t>kalorimetr č.       71182253</t>
  </si>
  <si>
    <t>kalorimetr č.       71182217</t>
  </si>
  <si>
    <t>kalorimetr č.       71182254</t>
  </si>
  <si>
    <t>kalorimetr č.       71182267</t>
  </si>
  <si>
    <t>kalorimetr č.       71182261</t>
  </si>
  <si>
    <t>kalorimetr č.       71182272</t>
  </si>
  <si>
    <t>kalorimetr č.       71182249</t>
  </si>
  <si>
    <t>kalorimetr č.       71182281</t>
  </si>
  <si>
    <t>kalorimetr č.       71182268</t>
  </si>
  <si>
    <t>kalorimetr č.       71182259</t>
  </si>
  <si>
    <t>kalorimetr č.       71182248</t>
  </si>
  <si>
    <t>kalorimetr č.       71182258</t>
  </si>
  <si>
    <t>kalorimetr č.       71182242</t>
  </si>
  <si>
    <t>kalorimetr č.       71182255</t>
  </si>
  <si>
    <t>kalorimetr č.       71182230</t>
  </si>
  <si>
    <t>kalorimetr č.       71182247</t>
  </si>
  <si>
    <t>kalorimetr č.       71182232</t>
  </si>
  <si>
    <t>kalorimetr č.       71182228</t>
  </si>
  <si>
    <t>kalorimetr č.       71182263</t>
  </si>
  <si>
    <t>kalorimetr č.       71182224</t>
  </si>
  <si>
    <t>kalorimetr č.       71182223</t>
  </si>
  <si>
    <t>kalorimetr č.       71182236</t>
  </si>
  <si>
    <t>kalorimetr č.       71182218</t>
  </si>
  <si>
    <t>kalorimetr č.       71182273</t>
  </si>
  <si>
    <t>kalorimetr č.       71182215</t>
  </si>
  <si>
    <t>kalorimetr č.       71182220</t>
  </si>
  <si>
    <t>kalorimetr č.       71182264</t>
  </si>
  <si>
    <t>kalorimetr č.       71182231</t>
  </si>
  <si>
    <t>kalorimetr č.       71182227</t>
  </si>
  <si>
    <t>kalorimetr č.       71182250</t>
  </si>
  <si>
    <t>kalorimetr č.       71182222</t>
  </si>
  <si>
    <t>kalorimetr č.       71182219</t>
  </si>
  <si>
    <t>kalorimetr č.       71182257</t>
  </si>
  <si>
    <t>kalorimetr č.       71182260</t>
  </si>
  <si>
    <t>kalorimetr č.       71182266</t>
  </si>
  <si>
    <t>kalorimetr č.       71182229</t>
  </si>
  <si>
    <t>kalorimetr č.       71182239</t>
  </si>
  <si>
    <t>kalorimetr č.       71182226</t>
  </si>
  <si>
    <t>kalorimetr č.       71182216</t>
  </si>
  <si>
    <t>spotřeba SV byt č.3 pro vyúčt.</t>
  </si>
  <si>
    <t>spotřeba SV sklad č.11 pro vyúčt.</t>
  </si>
  <si>
    <t>CELKEM 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</si>
  <si>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</si>
  <si>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</si>
  <si>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</si>
  <si>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</si>
  <si>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</si>
  <si>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</si>
  <si>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</si>
  <si>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</si>
  <si>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</si>
  <si>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</si>
  <si>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</si>
  <si>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</si>
  <si>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Průměr</t>
  </si>
  <si>
    <t>CELKOVÝ</t>
  </si>
  <si>
    <t>CELKEM</t>
  </si>
  <si>
    <t>byt 2</t>
  </si>
  <si>
    <t>byt 5</t>
  </si>
  <si>
    <t>byt 9</t>
  </si>
  <si>
    <t>byt 15</t>
  </si>
  <si>
    <t>byt 13</t>
  </si>
  <si>
    <t>byt 3</t>
  </si>
  <si>
    <t>byt 6</t>
  </si>
  <si>
    <t>byt 8</t>
  </si>
  <si>
    <t>byt 11</t>
  </si>
  <si>
    <t>byt 12</t>
  </si>
  <si>
    <t>Podíl TV po bytech</t>
  </si>
  <si>
    <t>Podíl teplé vody na celkové spotřebě vody u dělených bytů (%)</t>
  </si>
  <si>
    <t>kalorimetr č.       71182252</t>
  </si>
  <si>
    <t>Podíl teplé vody na celkové spotřebě vody u dělených bytů po měsících (%)</t>
  </si>
  <si>
    <t>Průměr po měsících</t>
  </si>
  <si>
    <t>Celková spotřeba SV a TV dělených bytů po měsících v m3</t>
  </si>
  <si>
    <t>Porovnání leden 2022</t>
  </si>
  <si>
    <t>elektroměr č.     1025291034</t>
  </si>
  <si>
    <t xml:space="preserve">Dne 31.7.2023 odpojen kalor. (cejchování), </t>
  </si>
  <si>
    <t>Dne 3.8.2023 zapojen znovuzapojení,</t>
  </si>
  <si>
    <r>
      <rPr>
        <u/>
        <sz val="11"/>
        <color rgb="FF000000"/>
        <rFont val="Calibri"/>
        <family val="2"/>
        <charset val="238"/>
      </rPr>
      <t>Výměna kalorimetrů byty</t>
    </r>
    <r>
      <rPr>
        <sz val="11"/>
        <color indexed="8"/>
        <rFont val="Calibri"/>
        <family val="2"/>
        <charset val="238"/>
      </rPr>
      <t xml:space="preserve"> - demontáž/montáž </t>
    </r>
    <r>
      <rPr>
        <u/>
        <sz val="11"/>
        <color rgb="FF000000"/>
        <rFont val="Calibri"/>
        <family val="2"/>
        <charset val="238"/>
      </rPr>
      <t>2.10.2023</t>
    </r>
    <r>
      <rPr>
        <sz val="11"/>
        <color indexed="8"/>
        <rFont val="Calibri"/>
        <family val="2"/>
        <charset val="238"/>
      </rPr>
      <t xml:space="preserve"> - stav nových 0,000</t>
    </r>
  </si>
  <si>
    <t>Porovnání leden 2023</t>
  </si>
  <si>
    <t>kalorimetr č.       71869912</t>
  </si>
  <si>
    <t>kalorimetr č.       71869914</t>
  </si>
  <si>
    <t>kalorimetr č.       71869911</t>
  </si>
  <si>
    <t>kalorimetr č.       71869913</t>
  </si>
  <si>
    <t>kalorimetr č.       71869909</t>
  </si>
  <si>
    <t>kalorimetr č.       71869918</t>
  </si>
  <si>
    <t>kalorimetr č.       71869916</t>
  </si>
  <si>
    <t>kalorimetr č.       71869910</t>
  </si>
  <si>
    <t>kalorimetr č.       71869917</t>
  </si>
  <si>
    <t>kalorimetr č.       71869915</t>
  </si>
  <si>
    <t>patní kalorimetr č./ GJ</t>
  </si>
  <si>
    <t>patní kalorimetr č. / GJ</t>
  </si>
  <si>
    <t>Porovnání duben 2023</t>
  </si>
  <si>
    <t>79:00 hod</t>
  </si>
  <si>
    <t>17.5.2024  reset rohoží</t>
  </si>
  <si>
    <t>06:00 hod</t>
  </si>
  <si>
    <t>Původní vzorce</t>
  </si>
  <si>
    <t xml:space="preserve">Výměna vodoměru ZAHRADA </t>
  </si>
  <si>
    <t>Příští výměna 2026</t>
  </si>
  <si>
    <t>leden - listopad</t>
  </si>
  <si>
    <t>pata</t>
  </si>
  <si>
    <t>statistika</t>
  </si>
  <si>
    <t>zápočet rozdílu nových vodoměrů</t>
  </si>
  <si>
    <t>Odečet vodárny 31.12.2024</t>
  </si>
  <si>
    <t>Odečet vodárny 31.12.2025</t>
  </si>
  <si>
    <t>vodoměr č.          241345698</t>
  </si>
  <si>
    <t>vodoměr č.          241345701</t>
  </si>
  <si>
    <t>vodoměr č.          241345691</t>
  </si>
  <si>
    <t>vodoměr č.          241345696</t>
  </si>
  <si>
    <t>vodoměr č.          241345690</t>
  </si>
  <si>
    <t>vodoměr č.          241345700</t>
  </si>
  <si>
    <t>vodoměr č.          241345702</t>
  </si>
  <si>
    <t>vodoměr č.          241345699</t>
  </si>
  <si>
    <t>vodoměr č.          241345692</t>
  </si>
  <si>
    <t>vodoměr č.          241345695</t>
  </si>
  <si>
    <t>patní vodoměr č. 241175202</t>
  </si>
  <si>
    <t>vodoměr č.          241010644</t>
  </si>
  <si>
    <t>vodoměr  SV č.   241010636</t>
  </si>
  <si>
    <t>vodoměr  SV č.   241010648</t>
  </si>
  <si>
    <t>vodoměr č.          241010642</t>
  </si>
  <si>
    <t>vodoměr  SV č.   241010637</t>
  </si>
  <si>
    <t>vodoměr  SV č.   241010633</t>
  </si>
  <si>
    <t>vodoměr č.          241010643</t>
  </si>
  <si>
    <t>vodoměr  SV č.   241010631</t>
  </si>
  <si>
    <t>vodoměr č.          241010632</t>
  </si>
  <si>
    <t>vodoměr č.          241010635</t>
  </si>
  <si>
    <t>patní vodoměr č. 241175208</t>
  </si>
  <si>
    <t>vodoměr  SV č.     241010630</t>
  </si>
  <si>
    <t>vodoměr  SV č.     241010640</t>
  </si>
  <si>
    <t>vodoměr  SV č.     241010650</t>
  </si>
  <si>
    <t xml:space="preserve">vodoměr  SV č.     241010639 </t>
  </si>
  <si>
    <t>vodoměr  SV č.     241010641</t>
  </si>
  <si>
    <t>vodoměr  TUV č.  240093441</t>
  </si>
  <si>
    <t>vodoměr  TUV č.  240093452</t>
  </si>
  <si>
    <t>vodoměr  TUV č.  240093448</t>
  </si>
  <si>
    <t>vodoměr  TUV č.  240093431</t>
  </si>
  <si>
    <t>vodoměr  TUV č.  240093433</t>
  </si>
  <si>
    <t>vodoměr  TUV č.  240093446</t>
  </si>
  <si>
    <t>vodoměr  TUV č.  240093449</t>
  </si>
  <si>
    <t>vodoměr  TUV č.  240092369</t>
  </si>
  <si>
    <t>vodoměr  TUV č.  240093432</t>
  </si>
  <si>
    <t>vodoměr  TUV č.  240093416</t>
  </si>
  <si>
    <t>vodoměr č.          241345697</t>
  </si>
  <si>
    <t>vodoměr č.          241345687</t>
  </si>
  <si>
    <t>vodoměr č.          241345688</t>
  </si>
  <si>
    <t>vodoměr č.          241345693</t>
  </si>
  <si>
    <t>vodoměr č.          241345689</t>
  </si>
  <si>
    <t>vodoměr č.          241345694</t>
  </si>
  <si>
    <t>vodoměr č.          241345686</t>
  </si>
  <si>
    <t>vodoměr č.          241345685</t>
  </si>
  <si>
    <t>vodoměr č.          241345704</t>
  </si>
  <si>
    <t>vodoměr č.          241345703</t>
  </si>
  <si>
    <t>patní vodoměr č. 240826415</t>
  </si>
  <si>
    <t>vodoměr č.          241010646</t>
  </si>
  <si>
    <t>vodoměr č.          241010634</t>
  </si>
  <si>
    <t>vodoměr č.          241010645</t>
  </si>
  <si>
    <t>vodoměr č.          241010647</t>
  </si>
  <si>
    <t>vodoměr č.          241010638</t>
  </si>
  <si>
    <t>vodoměr č.          241010623</t>
  </si>
  <si>
    <t>vodoměr č.          241010627</t>
  </si>
  <si>
    <t>vodoměr č.          241010626</t>
  </si>
  <si>
    <t>vodoměr č.          241010624</t>
  </si>
  <si>
    <t>vodoměr č.          241010628</t>
  </si>
  <si>
    <t>patní vodoměr č. 241175207</t>
  </si>
  <si>
    <t>vodoměr č.          241010657</t>
  </si>
  <si>
    <t>vodoměr č.          241010655</t>
  </si>
  <si>
    <t>vodoměr č.          241345683</t>
  </si>
  <si>
    <t xml:space="preserve">vodoměr č.          241010651   </t>
  </si>
  <si>
    <t>vodoměr č.          241345677</t>
  </si>
  <si>
    <t>vodoměr č.          241010629</t>
  </si>
  <si>
    <t>vodoměr č.          241010659</t>
  </si>
  <si>
    <t>vodoměr č.          241010622</t>
  </si>
  <si>
    <t>vodoměr č.          241010625</t>
  </si>
  <si>
    <t>vodoměr č.          241010621</t>
  </si>
  <si>
    <t>patní vodoměr č. 240826414</t>
  </si>
  <si>
    <t>vodoměr č.          241513388</t>
  </si>
  <si>
    <t>vodoměr č.          241513401</t>
  </si>
  <si>
    <t>vodoměr č.          241513408</t>
  </si>
  <si>
    <t>vodoměr č.          241513380</t>
  </si>
  <si>
    <t>vodoměr č.          241513406</t>
  </si>
  <si>
    <t>vodoměr č.          241513382</t>
  </si>
  <si>
    <t>vodoměr č.          241513386</t>
  </si>
  <si>
    <t>vodoměr č.          241513387</t>
  </si>
  <si>
    <t>vodoměr č.          241513383</t>
  </si>
  <si>
    <t>vodoměr č.          241513399</t>
  </si>
  <si>
    <t>patní vodoměr č.  241175209</t>
  </si>
  <si>
    <t>vodoměr č.          241345680</t>
  </si>
  <si>
    <t>vodoměr č.          241345675</t>
  </si>
  <si>
    <t>vodoměr č.          241345682</t>
  </si>
  <si>
    <t>vodoměr č.          241345678</t>
  </si>
  <si>
    <t>vodoměr č.          241345684</t>
  </si>
  <si>
    <t>vodoměr č.          241345681</t>
  </si>
  <si>
    <t>vodoměr č.          241345676</t>
  </si>
  <si>
    <t>vodoměr č.          241345679</t>
  </si>
  <si>
    <t>vodoměr č.          241345705</t>
  </si>
  <si>
    <t>vodoměr č.          241345652</t>
  </si>
  <si>
    <t>patní vodoměr č. 240826420</t>
  </si>
  <si>
    <t>vodoměr č.          241345711</t>
  </si>
  <si>
    <t>vodoměr č.          241010620</t>
  </si>
  <si>
    <t>vodoměr č.          241010656</t>
  </si>
  <si>
    <t>vodoměr č.          241010658</t>
  </si>
  <si>
    <t>vodoměr č.          241345710</t>
  </si>
  <si>
    <t>vodoměr č.          241345707</t>
  </si>
  <si>
    <t>vodoměr č.          241345708</t>
  </si>
  <si>
    <t>vodoměr č.          241010654</t>
  </si>
  <si>
    <t>vodoměr č.          241010649</t>
  </si>
  <si>
    <t>vodoměr č.          241010653</t>
  </si>
  <si>
    <t>patní vodoměr č. 240826421</t>
  </si>
  <si>
    <t>elektroměr č.      2480481656</t>
  </si>
  <si>
    <t>elektroměr č.      72954852</t>
  </si>
  <si>
    <t>elektroměr č.      2480481736</t>
  </si>
  <si>
    <t>elektroměr č.      72846558</t>
  </si>
  <si>
    <t>Odečty ČEZ AO</t>
  </si>
  <si>
    <t>Porovnání leden 2024</t>
  </si>
  <si>
    <t>Vodoměr</t>
  </si>
  <si>
    <t>originál</t>
  </si>
  <si>
    <t>dne 1.12.2025</t>
  </si>
  <si>
    <t>1852 bez úprav</t>
  </si>
  <si>
    <t>faktur. Spotřeba 2025</t>
  </si>
  <si>
    <t>spotř. Dopočet 2025</t>
  </si>
  <si>
    <t>Celkem 2025</t>
  </si>
  <si>
    <t>Odečet vodárny 12.12.2025</t>
  </si>
  <si>
    <t>vč. Dopočtu</t>
  </si>
  <si>
    <t>1.-11.12.</t>
  </si>
  <si>
    <t>12.-31.12.</t>
  </si>
  <si>
    <t>Starý</t>
  </si>
  <si>
    <t>Nový</t>
  </si>
  <si>
    <t>Vadný vodoměr</t>
  </si>
  <si>
    <t>Zkreslené -</t>
  </si>
  <si>
    <t>Nový - od 1.12.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</si>
</sst>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%"/>
    <numFmt numFmtId="167" formatCode="#,##0.0"/>
    <numFmt numFmtId="168" formatCode="#,##0.000"/>
    <numFmt numFmtId="169" formatCode="#,##0.0\ _K_č"/>
  </numFmts>
  <fonts count="52" x14ac:knownFonts="1"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6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48"/>
      <name val="Calibri"/>
      <family val="2"/>
      <charset val="238"/>
    </font>
    <font>
      <b/>
      <sz val="11"/>
      <color indexed="10"/>
      <name val="Calibri"/>
      <family val="2"/>
      <charset val="238"/>
    </font>
    <font>
      <sz val="14"/>
      <color indexed="8"/>
      <name val="Arial"/>
      <family val="2"/>
      <charset val="238"/>
    </font>
    <font>
      <b/>
      <sz val="14"/>
      <color indexed="8"/>
      <name val="Arial"/>
      <family val="2"/>
      <charset val="238"/>
    </font>
    <font>
      <b/>
      <sz val="9"/>
      <color indexed="8"/>
      <name val="Tahoma"/>
      <family val="2"/>
      <charset val="238"/>
    </font>
    <font>
      <b/>
      <sz val="14"/>
      <color indexed="8"/>
      <name val="Calibri"/>
      <family val="2"/>
      <charset val="238"/>
    </font>
    <font>
      <sz val="14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sz val="11"/>
      <color indexed="53"/>
      <name val="Calibri"/>
      <family val="2"/>
      <charset val="238"/>
    </font>
    <font>
      <sz val="12"/>
      <color indexed="8"/>
      <name val="Arial"/>
      <family val="2"/>
      <charset val="238"/>
    </font>
    <font>
      <sz val="11"/>
      <name val="Calibri"/>
      <family val="2"/>
      <charset val="238"/>
    </font>
    <font>
      <b/>
      <sz val="9"/>
      <color indexed="81"/>
      <name val="Tahoma"/>
      <family val="2"/>
      <charset val="238"/>
    </font>
    <font>
      <vertAlign val="superscript"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</font>
    <font>
      <sz val="11"/>
      <color indexed="8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</font>
    <font>
      <sz val="11"/>
      <color theme="0" tint="-0.34998626667073579"/>
      <name val="Calibri"/>
      <family val="2"/>
      <charset val="238"/>
    </font>
    <font>
      <sz val="11"/>
      <color indexed="8"/>
      <name val="Arial"/>
      <family val="2"/>
      <charset val="238"/>
    </font>
    <font>
      <sz val="12"/>
      <color indexed="8"/>
      <name val="Calibri"/>
      <family val="2"/>
      <charset val="238"/>
      <scheme val="minor"/>
    </font>
    <font>
      <u/>
      <sz val="11"/>
      <color indexed="8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9"/>
      <color indexed="8"/>
      <name val="Arial"/>
      <family val="2"/>
      <charset val="238"/>
    </font>
    <font>
      <sz val="9"/>
      <color rgb="FF00B050"/>
      <name val="Arial"/>
      <family val="2"/>
      <charset val="238"/>
    </font>
    <font>
      <sz val="11"/>
      <color rgb="FF00B050"/>
      <name val="Calibri"/>
      <family val="2"/>
      <charset val="238"/>
    </font>
    <font>
      <sz val="9"/>
      <color indexed="81"/>
      <name val="Tahoma"/>
      <family val="2"/>
      <charset val="238"/>
    </font>
    <font>
      <b/>
      <sz val="11"/>
      <color rgb="FF0070C0"/>
      <name val="Calibri"/>
      <family val="2"/>
      <charset val="238"/>
    </font>
    <font>
      <b/>
      <sz val="11"/>
      <name val="Calibri"/>
      <family val="2"/>
      <charset val="238"/>
    </font>
    <font>
      <sz val="11"/>
      <color theme="9" tint="-0.499984740745262"/>
      <name val="Calibri"/>
      <family val="2"/>
      <charset val="238"/>
    </font>
    <font>
      <sz val="14"/>
      <color theme="8" tint="0.39997558519241921"/>
      <name val="Arial"/>
      <family val="2"/>
      <charset val="238"/>
    </font>
    <font>
      <b/>
      <sz val="11"/>
      <color rgb="FFFFC000"/>
      <name val="Calibri"/>
      <family val="2"/>
      <charset val="238"/>
    </font>
    <font>
      <u/>
      <sz val="11"/>
      <color rgb="FF000000"/>
      <name val="Calibri"/>
      <family val="2"/>
      <charset val="238"/>
    </font>
    <font>
      <sz val="12"/>
      <color rgb="FFFF0000"/>
      <name val="Arial"/>
      <family val="2"/>
      <charset val="238"/>
    </font>
    <font>
      <sz val="14"/>
      <color rgb="FF00B050"/>
      <name val="Arial"/>
      <family val="2"/>
      <charset val="238"/>
    </font>
    <font>
      <b/>
      <sz val="11"/>
      <color rgb="FFFF0000"/>
      <name val="Calibri"/>
      <family val="2"/>
      <charset val="238"/>
    </font>
    <font>
      <sz val="14"/>
      <name val="Arial"/>
      <family val="2"/>
      <charset val="238"/>
    </font>
    <font>
      <sz val="14"/>
      <color theme="5" tint="-0.249977111117893"/>
      <name val="Arial"/>
      <family val="2"/>
      <charset val="238"/>
    </font>
    <font>
      <sz val="8"/>
      <name val="Calibri"/>
      <family val="2"/>
      <charset val="238"/>
    </font>
  </fonts>
  <fills count="18">
    <fill>
      <patternFill patternType="none"/>
    </fill>
    <fill>
      <patternFill patternType="gray125"/>
    </fill>
    <fill>
      <patternFill patternType="solid">
        <fgColor indexed="51"/>
        <bgColor indexed="13"/>
      </patternFill>
    </fill>
    <fill>
      <patternFill patternType="solid">
        <fgColor indexed="27"/>
        <bgColor indexed="41"/>
      </patternFill>
    </fill>
    <fill>
      <patternFill patternType="solid">
        <fgColor indexed="11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1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5" fillId="0" borderId="0"/>
  </cellStyleXfs>
  <cellXfs count="36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5" xfId="0" applyFon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0" xfId="0" applyNumberFormat="1"/>
    <xf numFmtId="0" fontId="11" fillId="0" borderId="7" xfId="0" applyFon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" fontId="0" fillId="0" borderId="8" xfId="0" applyNumberFormat="1" applyBorder="1"/>
    <xf numFmtId="1" fontId="0" fillId="0" borderId="0" xfId="0" applyNumberFormat="1"/>
    <xf numFmtId="0" fontId="11" fillId="0" borderId="8" xfId="0" applyFont="1" applyBorder="1"/>
    <xf numFmtId="165" fontId="0" fillId="0" borderId="8" xfId="0" applyNumberFormat="1" applyBorder="1"/>
    <xf numFmtId="2" fontId="0" fillId="0" borderId="8" xfId="0" applyNumberFormat="1" applyBorder="1"/>
    <xf numFmtId="0" fontId="11" fillId="0" borderId="12" xfId="0" applyFont="1" applyBorder="1"/>
    <xf numFmtId="1" fontId="0" fillId="0" borderId="12" xfId="0" applyNumberFormat="1" applyBorder="1"/>
    <xf numFmtId="0" fontId="0" fillId="0" borderId="14" xfId="0" applyBorder="1"/>
    <xf numFmtId="0" fontId="0" fillId="0" borderId="15" xfId="0" applyBorder="1"/>
    <xf numFmtId="0" fontId="11" fillId="0" borderId="0" xfId="0" applyFont="1"/>
    <xf numFmtId="0" fontId="12" fillId="0" borderId="0" xfId="0" applyFont="1"/>
    <xf numFmtId="0" fontId="11" fillId="0" borderId="17" xfId="0" applyFont="1" applyBorder="1"/>
    <xf numFmtId="3" fontId="0" fillId="0" borderId="0" xfId="0" applyNumberFormat="1"/>
    <xf numFmtId="0" fontId="11" fillId="0" borderId="18" xfId="0" applyFont="1" applyBorder="1"/>
    <xf numFmtId="1" fontId="0" fillId="0" borderId="3" xfId="0" applyNumberFormat="1" applyBorder="1"/>
    <xf numFmtId="0" fontId="11" fillId="0" borderId="2" xfId="0" applyFont="1" applyBorder="1"/>
    <xf numFmtId="0" fontId="0" fillId="0" borderId="10" xfId="0" applyBorder="1"/>
    <xf numFmtId="165" fontId="0" fillId="0" borderId="0" xfId="0" applyNumberFormat="1"/>
    <xf numFmtId="0" fontId="14" fillId="0" borderId="0" xfId="0" applyFont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4" fillId="0" borderId="19" xfId="0" applyFont="1" applyBorder="1"/>
    <xf numFmtId="165" fontId="14" fillId="0" borderId="19" xfId="0" applyNumberFormat="1" applyFont="1" applyBorder="1"/>
    <xf numFmtId="164" fontId="14" fillId="0" borderId="19" xfId="0" applyNumberFormat="1" applyFont="1" applyBorder="1"/>
    <xf numFmtId="1" fontId="14" fillId="0" borderId="19" xfId="0" applyNumberFormat="1" applyFont="1" applyBorder="1"/>
    <xf numFmtId="1" fontId="14" fillId="0" borderId="0" xfId="0" applyNumberFormat="1" applyFont="1"/>
    <xf numFmtId="164" fontId="14" fillId="0" borderId="0" xfId="0" applyNumberFormat="1" applyFont="1"/>
    <xf numFmtId="0" fontId="14" fillId="0" borderId="20" xfId="0" applyFont="1" applyBorder="1"/>
    <xf numFmtId="2" fontId="14" fillId="0" borderId="19" xfId="0" applyNumberFormat="1" applyFont="1" applyBorder="1"/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19" xfId="0" applyBorder="1" applyAlignment="1">
      <alignment vertical="center"/>
    </xf>
    <xf numFmtId="2" fontId="0" fillId="0" borderId="19" xfId="0" applyNumberFormat="1" applyBorder="1" applyAlignment="1">
      <alignment vertical="center"/>
    </xf>
    <xf numFmtId="164" fontId="0" fillId="0" borderId="19" xfId="0" applyNumberFormat="1" applyBorder="1" applyAlignment="1">
      <alignment vertical="center"/>
    </xf>
    <xf numFmtId="0" fontId="19" fillId="0" borderId="0" xfId="0" applyFont="1" applyAlignment="1">
      <alignment horizontal="left"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0" fontId="1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6" fontId="11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5" fillId="0" borderId="0" xfId="0" applyFont="1" applyAlignment="1">
      <alignment horizontal="center"/>
    </xf>
    <xf numFmtId="164" fontId="21" fillId="3" borderId="0" xfId="0" applyNumberFormat="1" applyFont="1" applyFill="1"/>
    <xf numFmtId="164" fontId="14" fillId="3" borderId="19" xfId="0" applyNumberFormat="1" applyFont="1" applyFill="1" applyBorder="1"/>
    <xf numFmtId="0" fontId="21" fillId="3" borderId="19" xfId="0" applyFont="1" applyFill="1" applyBorder="1"/>
    <xf numFmtId="0" fontId="21" fillId="0" borderId="0" xfId="0" applyFont="1"/>
    <xf numFmtId="0" fontId="14" fillId="0" borderId="0" xfId="0" applyFont="1" applyAlignment="1">
      <alignment horizontal="center"/>
    </xf>
    <xf numFmtId="0" fontId="21" fillId="0" borderId="23" xfId="0" applyFont="1" applyBorder="1"/>
    <xf numFmtId="164" fontId="21" fillId="4" borderId="0" xfId="0" applyNumberFormat="1" applyFont="1" applyFill="1"/>
    <xf numFmtId="164" fontId="14" fillId="4" borderId="19" xfId="0" applyNumberFormat="1" applyFont="1" applyFill="1" applyBorder="1"/>
    <xf numFmtId="0" fontId="21" fillId="4" borderId="19" xfId="0" applyFont="1" applyFill="1" applyBorder="1"/>
    <xf numFmtId="164" fontId="21" fillId="2" borderId="0" xfId="0" applyNumberFormat="1" applyFont="1" applyFill="1"/>
    <xf numFmtId="164" fontId="14" fillId="2" borderId="0" xfId="0" applyNumberFormat="1" applyFont="1" applyFill="1"/>
    <xf numFmtId="0" fontId="25" fillId="0" borderId="0" xfId="1"/>
    <xf numFmtId="0" fontId="25" fillId="0" borderId="0" xfId="1" applyAlignment="1">
      <alignment horizontal="right"/>
    </xf>
    <xf numFmtId="164" fontId="22" fillId="0" borderId="1" xfId="0" applyNumberFormat="1" applyFont="1" applyBorder="1"/>
    <xf numFmtId="164" fontId="22" fillId="0" borderId="8" xfId="0" applyNumberFormat="1" applyFont="1" applyBorder="1"/>
    <xf numFmtId="1" fontId="22" fillId="0" borderId="8" xfId="0" applyNumberFormat="1" applyFont="1" applyBorder="1"/>
    <xf numFmtId="165" fontId="22" fillId="0" borderId="8" xfId="0" applyNumberFormat="1" applyFont="1" applyBorder="1"/>
    <xf numFmtId="2" fontId="22" fillId="0" borderId="8" xfId="0" applyNumberFormat="1" applyFont="1" applyBorder="1"/>
    <xf numFmtId="1" fontId="22" fillId="0" borderId="12" xfId="0" applyNumberFormat="1" applyFont="1" applyBorder="1"/>
    <xf numFmtId="0" fontId="22" fillId="0" borderId="15" xfId="0" applyFont="1" applyBorder="1"/>
    <xf numFmtId="0" fontId="0" fillId="0" borderId="19" xfId="0" applyBorder="1" applyAlignment="1">
      <alignment horizontal="center"/>
    </xf>
    <xf numFmtId="0" fontId="0" fillId="0" borderId="26" xfId="0" applyBorder="1" applyAlignment="1">
      <alignment horizontal="center"/>
    </xf>
    <xf numFmtId="164" fontId="0" fillId="0" borderId="27" xfId="0" applyNumberFormat="1" applyBorder="1"/>
    <xf numFmtId="0" fontId="25" fillId="0" borderId="0" xfId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 indent="1"/>
    </xf>
    <xf numFmtId="0" fontId="26" fillId="0" borderId="0" xfId="0" applyFont="1"/>
    <xf numFmtId="164" fontId="26" fillId="0" borderId="0" xfId="0" applyNumberFormat="1" applyFont="1"/>
    <xf numFmtId="0" fontId="2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164" fontId="26" fillId="0" borderId="0" xfId="0" applyNumberFormat="1" applyFont="1" applyAlignment="1">
      <alignment vertical="center"/>
    </xf>
    <xf numFmtId="164" fontId="26" fillId="5" borderId="0" xfId="0" applyNumberFormat="1" applyFont="1" applyFill="1" applyAlignment="1">
      <alignment vertical="center"/>
    </xf>
    <xf numFmtId="0" fontId="0" fillId="0" borderId="0" xfId="0" applyAlignment="1">
      <alignment horizontal="left" vertical="center" indent="1"/>
    </xf>
    <xf numFmtId="164" fontId="0" fillId="0" borderId="31" xfId="0" applyNumberFormat="1" applyBorder="1"/>
    <xf numFmtId="2" fontId="27" fillId="0" borderId="0" xfId="0" applyNumberFormat="1" applyFont="1" applyAlignment="1">
      <alignment horizontal="left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3" fontId="14" fillId="0" borderId="19" xfId="0" applyNumberFormat="1" applyFont="1" applyBorder="1"/>
    <xf numFmtId="3" fontId="14" fillId="0" borderId="0" xfId="0" applyNumberFormat="1" applyFont="1"/>
    <xf numFmtId="165" fontId="14" fillId="3" borderId="19" xfId="0" applyNumberFormat="1" applyFont="1" applyFill="1" applyBorder="1"/>
    <xf numFmtId="0" fontId="0" fillId="0" borderId="0" xfId="0" applyAlignment="1">
      <alignment horizontal="right"/>
    </xf>
    <xf numFmtId="2" fontId="27" fillId="0" borderId="0" xfId="0" applyNumberFormat="1" applyFont="1" applyAlignment="1">
      <alignment vertical="center"/>
    </xf>
    <xf numFmtId="0" fontId="0" fillId="0" borderId="26" xfId="0" applyBorder="1"/>
    <xf numFmtId="0" fontId="0" fillId="0" borderId="26" xfId="0" applyBorder="1" applyAlignment="1">
      <alignment horizontal="center" vertical="center"/>
    </xf>
    <xf numFmtId="1" fontId="0" fillId="0" borderId="26" xfId="0" applyNumberFormat="1" applyBorder="1"/>
    <xf numFmtId="164" fontId="0" fillId="0" borderId="26" xfId="0" applyNumberFormat="1" applyBorder="1"/>
    <xf numFmtId="0" fontId="0" fillId="0" borderId="19" xfId="0" quotePrefix="1" applyBorder="1" applyAlignment="1">
      <alignment vertical="center"/>
    </xf>
    <xf numFmtId="164" fontId="0" fillId="0" borderId="19" xfId="0" quotePrefix="1" applyNumberFormat="1" applyBorder="1" applyAlignment="1">
      <alignment vertical="center"/>
    </xf>
    <xf numFmtId="0" fontId="10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13" xfId="0" applyFont="1" applyBorder="1" applyAlignment="1">
      <alignment horizontal="left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13" xfId="0" applyFont="1" applyBorder="1"/>
    <xf numFmtId="14" fontId="0" fillId="0" borderId="0" xfId="0" applyNumberFormat="1"/>
    <xf numFmtId="0" fontId="15" fillId="7" borderId="19" xfId="0" applyFont="1" applyFill="1" applyBorder="1"/>
    <xf numFmtId="0" fontId="15" fillId="7" borderId="19" xfId="0" applyFont="1" applyFill="1" applyBorder="1" applyAlignment="1">
      <alignment horizontal="center"/>
    </xf>
    <xf numFmtId="0" fontId="15" fillId="7" borderId="20" xfId="0" applyFont="1" applyFill="1" applyBorder="1"/>
    <xf numFmtId="0" fontId="14" fillId="7" borderId="21" xfId="0" applyFont="1" applyFill="1" applyBorder="1"/>
    <xf numFmtId="0" fontId="14" fillId="7" borderId="22" xfId="0" applyFont="1" applyFill="1" applyBorder="1"/>
    <xf numFmtId="0" fontId="14" fillId="7" borderId="20" xfId="0" applyFont="1" applyFill="1" applyBorder="1"/>
    <xf numFmtId="164" fontId="14" fillId="7" borderId="21" xfId="0" applyNumberFormat="1" applyFont="1" applyFill="1" applyBorder="1"/>
    <xf numFmtId="164" fontId="14" fillId="7" borderId="22" xfId="0" applyNumberFormat="1" applyFont="1" applyFill="1" applyBorder="1"/>
    <xf numFmtId="1" fontId="15" fillId="7" borderId="19" xfId="0" applyNumberFormat="1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166" fontId="14" fillId="0" borderId="0" xfId="0" applyNumberFormat="1" applyFont="1"/>
    <xf numFmtId="0" fontId="28" fillId="0" borderId="0" xfId="0" applyFont="1" applyAlignment="1">
      <alignment horizontal="left" vertical="center" indent="1"/>
    </xf>
    <xf numFmtId="1" fontId="28" fillId="0" borderId="0" xfId="0" applyNumberFormat="1" applyFont="1"/>
    <xf numFmtId="0" fontId="13" fillId="0" borderId="0" xfId="0" applyFont="1"/>
    <xf numFmtId="0" fontId="9" fillId="0" borderId="0" xfId="1" applyFont="1"/>
    <xf numFmtId="0" fontId="9" fillId="0" borderId="0" xfId="1" applyFont="1" applyAlignment="1">
      <alignment horizontal="right"/>
    </xf>
    <xf numFmtId="0" fontId="9" fillId="0" borderId="0" xfId="1" applyFont="1" applyAlignment="1">
      <alignment horizontal="center"/>
    </xf>
    <xf numFmtId="0" fontId="8" fillId="0" borderId="0" xfId="1" applyFont="1"/>
    <xf numFmtId="0" fontId="7" fillId="0" borderId="0" xfId="1" applyFont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164" fontId="0" fillId="0" borderId="42" xfId="0" applyNumberFormat="1" applyBorder="1"/>
    <xf numFmtId="0" fontId="0" fillId="0" borderId="43" xfId="0" applyBorder="1"/>
    <xf numFmtId="164" fontId="0" fillId="0" borderId="44" xfId="0" applyNumberFormat="1" applyBorder="1"/>
    <xf numFmtId="0" fontId="0" fillId="0" borderId="41" xfId="0" applyBorder="1" applyAlignment="1">
      <alignment horizontal="center"/>
    </xf>
    <xf numFmtId="0" fontId="0" fillId="6" borderId="0" xfId="0" applyFill="1"/>
    <xf numFmtId="0" fontId="30" fillId="0" borderId="0" xfId="0" applyFont="1" applyAlignment="1">
      <alignment horizontal="right"/>
    </xf>
    <xf numFmtId="0" fontId="0" fillId="0" borderId="45" xfId="0" applyBorder="1" applyAlignment="1">
      <alignment horizontal="center"/>
    </xf>
    <xf numFmtId="0" fontId="30" fillId="0" borderId="46" xfId="0" applyFont="1" applyBorder="1" applyAlignment="1">
      <alignment horizontal="center"/>
    </xf>
    <xf numFmtId="164" fontId="30" fillId="0" borderId="26" xfId="0" applyNumberFormat="1" applyFont="1" applyBorder="1"/>
    <xf numFmtId="164" fontId="30" fillId="0" borderId="43" xfId="0" applyNumberFormat="1" applyFont="1" applyBorder="1"/>
    <xf numFmtId="2" fontId="27" fillId="0" borderId="0" xfId="0" applyNumberFormat="1" applyFont="1" applyAlignment="1">
      <alignment horizontal="center" vertical="center"/>
    </xf>
    <xf numFmtId="164" fontId="31" fillId="0" borderId="43" xfId="0" applyNumberFormat="1" applyFont="1" applyBorder="1"/>
    <xf numFmtId="0" fontId="30" fillId="0" borderId="0" xfId="0" applyFont="1" applyAlignment="1">
      <alignment horizontal="center"/>
    </xf>
    <xf numFmtId="0" fontId="0" fillId="6" borderId="29" xfId="0" applyFill="1" applyBorder="1" applyAlignment="1">
      <alignment vertical="center"/>
    </xf>
    <xf numFmtId="0" fontId="0" fillId="6" borderId="30" xfId="0" applyFill="1" applyBorder="1" applyAlignment="1">
      <alignment horizontal="left" vertical="center" indent="1"/>
    </xf>
    <xf numFmtId="0" fontId="0" fillId="0" borderId="0" xfId="0" applyAlignment="1">
      <alignment horizontal="left"/>
    </xf>
    <xf numFmtId="14" fontId="0" fillId="0" borderId="26" xfId="0" applyNumberFormat="1" applyBorder="1" applyAlignment="1">
      <alignment horizontal="center" vertical="center"/>
    </xf>
    <xf numFmtId="0" fontId="11" fillId="0" borderId="52" xfId="0" applyFont="1" applyBorder="1"/>
    <xf numFmtId="164" fontId="0" fillId="0" borderId="53" xfId="0" applyNumberFormat="1" applyBorder="1"/>
    <xf numFmtId="164" fontId="0" fillId="0" borderId="54" xfId="0" applyNumberFormat="1" applyBorder="1"/>
    <xf numFmtId="0" fontId="11" fillId="0" borderId="55" xfId="0" applyFont="1" applyBorder="1"/>
    <xf numFmtId="164" fontId="0" fillId="0" borderId="56" xfId="0" applyNumberFormat="1" applyBorder="1"/>
    <xf numFmtId="164" fontId="0" fillId="0" borderId="57" xfId="0" applyNumberFormat="1" applyBorder="1"/>
    <xf numFmtId="2" fontId="0" fillId="0" borderId="26" xfId="0" applyNumberFormat="1" applyBorder="1"/>
    <xf numFmtId="14" fontId="0" fillId="0" borderId="58" xfId="0" applyNumberFormat="1" applyBorder="1" applyAlignment="1">
      <alignment horizontal="center" vertical="center"/>
    </xf>
    <xf numFmtId="0" fontId="0" fillId="0" borderId="58" xfId="0" applyBorder="1" applyAlignment="1">
      <alignment horizontal="center"/>
    </xf>
    <xf numFmtId="1" fontId="0" fillId="0" borderId="58" xfId="0" applyNumberFormat="1" applyBorder="1" applyAlignment="1">
      <alignment horizontal="center"/>
    </xf>
    <xf numFmtId="2" fontId="0" fillId="6" borderId="58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2" fontId="0" fillId="9" borderId="26" xfId="0" applyNumberFormat="1" applyFill="1" applyBorder="1"/>
    <xf numFmtId="1" fontId="0" fillId="9" borderId="26" xfId="0" applyNumberFormat="1" applyFill="1" applyBorder="1"/>
    <xf numFmtId="0" fontId="0" fillId="10" borderId="0" xfId="0" applyFill="1" applyAlignment="1">
      <alignment horizontal="center"/>
    </xf>
    <xf numFmtId="0" fontId="0" fillId="10" borderId="0" xfId="0" applyFill="1"/>
    <xf numFmtId="14" fontId="0" fillId="0" borderId="26" xfId="0" applyNumberFormat="1" applyBorder="1"/>
    <xf numFmtId="167" fontId="0" fillId="0" borderId="26" xfId="0" applyNumberFormat="1" applyBorder="1"/>
    <xf numFmtId="167" fontId="0" fillId="10" borderId="0" xfId="0" applyNumberFormat="1" applyFill="1"/>
    <xf numFmtId="168" fontId="0" fillId="0" borderId="26" xfId="0" applyNumberFormat="1" applyBorder="1"/>
    <xf numFmtId="168" fontId="0" fillId="10" borderId="0" xfId="0" applyNumberFormat="1" applyFill="1"/>
    <xf numFmtId="0" fontId="14" fillId="5" borderId="0" xfId="0" applyFont="1" applyFill="1"/>
    <xf numFmtId="0" fontId="0" fillId="5" borderId="32" xfId="0" applyFill="1" applyBorder="1" applyAlignment="1">
      <alignment vertical="center"/>
    </xf>
    <xf numFmtId="0" fontId="0" fillId="6" borderId="28" xfId="0" applyFill="1" applyBorder="1" applyAlignment="1">
      <alignment vertical="center"/>
    </xf>
    <xf numFmtId="0" fontId="0" fillId="6" borderId="59" xfId="0" applyFill="1" applyBorder="1" applyAlignment="1">
      <alignment vertical="center"/>
    </xf>
    <xf numFmtId="0" fontId="0" fillId="6" borderId="58" xfId="0" applyFill="1" applyBorder="1" applyAlignment="1">
      <alignment vertical="center"/>
    </xf>
    <xf numFmtId="0" fontId="0" fillId="6" borderId="60" xfId="0" applyFill="1" applyBorder="1" applyAlignment="1">
      <alignment horizontal="left" vertical="center" indent="1"/>
    </xf>
    <xf numFmtId="14" fontId="0" fillId="6" borderId="59" xfId="0" applyNumberFormat="1" applyFill="1" applyBorder="1" applyAlignment="1">
      <alignment vertical="center"/>
    </xf>
    <xf numFmtId="0" fontId="0" fillId="6" borderId="58" xfId="0" applyFill="1" applyBorder="1" applyAlignment="1">
      <alignment horizontal="right" vertical="center"/>
    </xf>
    <xf numFmtId="0" fontId="21" fillId="5" borderId="0" xfId="0" applyFont="1" applyFill="1"/>
    <xf numFmtId="0" fontId="0" fillId="11" borderId="33" xfId="0" applyFill="1" applyBorder="1" applyAlignment="1">
      <alignment vertical="center"/>
    </xf>
    <xf numFmtId="0" fontId="0" fillId="11" borderId="34" xfId="0" applyFill="1" applyBorder="1" applyAlignment="1">
      <alignment horizontal="left" vertical="center" indent="1"/>
    </xf>
    <xf numFmtId="0" fontId="21" fillId="5" borderId="33" xfId="0" applyFont="1" applyFill="1" applyBorder="1"/>
    <xf numFmtId="14" fontId="0" fillId="6" borderId="61" xfId="0" applyNumberFormat="1" applyFill="1" applyBorder="1" applyAlignment="1">
      <alignment vertical="center"/>
    </xf>
    <xf numFmtId="0" fontId="0" fillId="6" borderId="62" xfId="0" applyFill="1" applyBorder="1" applyAlignment="1">
      <alignment vertical="center"/>
    </xf>
    <xf numFmtId="0" fontId="0" fillId="6" borderId="63" xfId="0" applyFill="1" applyBorder="1" applyAlignment="1">
      <alignment horizontal="left" vertical="center" indent="1"/>
    </xf>
    <xf numFmtId="164" fontId="26" fillId="5" borderId="33" xfId="0" applyNumberFormat="1" applyFont="1" applyFill="1" applyBorder="1" applyAlignment="1">
      <alignment vertical="center"/>
    </xf>
    <xf numFmtId="0" fontId="29" fillId="5" borderId="0" xfId="0" applyFont="1" applyFill="1" applyAlignment="1">
      <alignment horizontal="center"/>
    </xf>
    <xf numFmtId="0" fontId="33" fillId="0" borderId="0" xfId="0" applyFont="1"/>
    <xf numFmtId="0" fontId="34" fillId="0" borderId="0" xfId="0" applyFont="1"/>
    <xf numFmtId="165" fontId="14" fillId="0" borderId="0" xfId="0" applyNumberFormat="1" applyFont="1"/>
    <xf numFmtId="0" fontId="35" fillId="0" borderId="0" xfId="0" applyFont="1" applyAlignment="1">
      <alignment horizontal="right"/>
    </xf>
    <xf numFmtId="164" fontId="35" fillId="0" borderId="0" xfId="0" applyNumberFormat="1" applyFont="1"/>
    <xf numFmtId="0" fontId="0" fillId="6" borderId="31" xfId="0" applyFill="1" applyBorder="1" applyAlignment="1">
      <alignment vertical="center"/>
    </xf>
    <xf numFmtId="0" fontId="11" fillId="0" borderId="7" xfId="0" applyFont="1" applyBorder="1" applyAlignment="1">
      <alignment horizontal="right"/>
    </xf>
    <xf numFmtId="0" fontId="6" fillId="0" borderId="0" xfId="1" applyFont="1" applyAlignment="1">
      <alignment horizontal="right"/>
    </xf>
    <xf numFmtId="164" fontId="21" fillId="0" borderId="0" xfId="0" applyNumberFormat="1" applyFont="1"/>
    <xf numFmtId="164" fontId="14" fillId="3" borderId="38" xfId="0" applyNumberFormat="1" applyFont="1" applyFill="1" applyBorder="1"/>
    <xf numFmtId="0" fontId="21" fillId="3" borderId="38" xfId="0" applyFont="1" applyFill="1" applyBorder="1"/>
    <xf numFmtId="0" fontId="36" fillId="0" borderId="0" xfId="0" applyFont="1"/>
    <xf numFmtId="164" fontId="36" fillId="0" borderId="0" xfId="0" applyNumberFormat="1" applyFont="1" applyAlignment="1">
      <alignment horizontal="center"/>
    </xf>
    <xf numFmtId="16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164" fontId="14" fillId="10" borderId="19" xfId="0" applyNumberFormat="1" applyFont="1" applyFill="1" applyBorder="1"/>
    <xf numFmtId="164" fontId="35" fillId="10" borderId="31" xfId="0" applyNumberFormat="1" applyFont="1" applyFill="1" applyBorder="1" applyAlignment="1">
      <alignment horizontal="right" vertical="center" indent="1"/>
    </xf>
    <xf numFmtId="0" fontId="35" fillId="10" borderId="31" xfId="0" applyFont="1" applyFill="1" applyBorder="1" applyAlignment="1">
      <alignment vertical="center"/>
    </xf>
    <xf numFmtId="0" fontId="21" fillId="10" borderId="31" xfId="0" applyFont="1" applyFill="1" applyBorder="1"/>
    <xf numFmtId="0" fontId="32" fillId="0" borderId="0" xfId="0" applyFont="1" applyAlignment="1">
      <alignment horizontal="center"/>
    </xf>
    <xf numFmtId="166" fontId="14" fillId="0" borderId="0" xfId="0" applyNumberFormat="1" applyFont="1" applyAlignment="1">
      <alignment horizontal="center"/>
    </xf>
    <xf numFmtId="164" fontId="38" fillId="0" borderId="0" xfId="0" applyNumberFormat="1" applyFont="1"/>
    <xf numFmtId="0" fontId="38" fillId="0" borderId="0" xfId="0" applyFont="1"/>
    <xf numFmtId="165" fontId="37" fillId="0" borderId="0" xfId="0" applyNumberFormat="1" applyFont="1" applyAlignment="1">
      <alignment horizontal="center"/>
    </xf>
    <xf numFmtId="0" fontId="37" fillId="0" borderId="0" xfId="0" applyFont="1"/>
    <xf numFmtId="0" fontId="5" fillId="0" borderId="0" xfId="1" applyFont="1" applyAlignment="1">
      <alignment horizontal="right"/>
    </xf>
    <xf numFmtId="0" fontId="5" fillId="0" borderId="0" xfId="1" applyFont="1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8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0" fillId="6" borderId="64" xfId="0" applyFill="1" applyBorder="1" applyAlignment="1">
      <alignment vertical="center"/>
    </xf>
    <xf numFmtId="10" fontId="28" fillId="0" borderId="0" xfId="0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0" fillId="0" borderId="31" xfId="0" applyBorder="1"/>
    <xf numFmtId="0" fontId="0" fillId="0" borderId="31" xfId="0" applyBorder="1" applyAlignment="1">
      <alignment horizontal="right"/>
    </xf>
    <xf numFmtId="164" fontId="27" fillId="0" borderId="26" xfId="0" applyNumberFormat="1" applyFont="1" applyBorder="1"/>
    <xf numFmtId="0" fontId="27" fillId="0" borderId="0" xfId="0" applyFont="1"/>
    <xf numFmtId="0" fontId="40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166" fontId="40" fillId="0" borderId="0" xfId="0" applyNumberFormat="1" applyFont="1" applyAlignment="1">
      <alignment horizontal="center"/>
    </xf>
    <xf numFmtId="166" fontId="27" fillId="0" borderId="0" xfId="0" applyNumberFormat="1" applyFont="1"/>
    <xf numFmtId="0" fontId="27" fillId="0" borderId="0" xfId="0" applyFont="1" applyAlignment="1">
      <alignment horizontal="right"/>
    </xf>
    <xf numFmtId="0" fontId="41" fillId="0" borderId="0" xfId="0" applyFont="1" applyAlignment="1">
      <alignment horizontal="center"/>
    </xf>
    <xf numFmtId="0" fontId="0" fillId="0" borderId="0" xfId="0" applyAlignment="1">
      <alignment horizontal="right" indent="1"/>
    </xf>
    <xf numFmtId="0" fontId="40" fillId="0" borderId="0" xfId="0" applyFont="1"/>
    <xf numFmtId="164" fontId="42" fillId="0" borderId="0" xfId="0" applyNumberFormat="1" applyFont="1"/>
    <xf numFmtId="166" fontId="43" fillId="0" borderId="0" xfId="0" applyNumberFormat="1" applyFont="1"/>
    <xf numFmtId="0" fontId="43" fillId="0" borderId="0" xfId="0" applyFont="1"/>
    <xf numFmtId="0" fontId="44" fillId="0" borderId="0" xfId="0" applyFont="1" applyAlignment="1">
      <alignment horizontal="center"/>
    </xf>
    <xf numFmtId="164" fontId="27" fillId="6" borderId="26" xfId="0" applyNumberFormat="1" applyFont="1" applyFill="1" applyBorder="1"/>
    <xf numFmtId="164" fontId="0" fillId="12" borderId="8" xfId="0" applyNumberFormat="1" applyFill="1" applyBorder="1"/>
    <xf numFmtId="0" fontId="14" fillId="12" borderId="19" xfId="0" applyFont="1" applyFill="1" applyBorder="1"/>
    <xf numFmtId="0" fontId="3" fillId="0" borderId="0" xfId="1" applyFont="1"/>
    <xf numFmtId="0" fontId="5" fillId="0" borderId="0" xfId="1" applyFont="1" applyAlignment="1">
      <alignment horizontal="center"/>
    </xf>
    <xf numFmtId="164" fontId="0" fillId="0" borderId="8" xfId="0" applyNumberFormat="1" applyBorder="1" applyAlignment="1">
      <alignment horizontal="right"/>
    </xf>
    <xf numFmtId="0" fontId="46" fillId="0" borderId="0" xfId="0" applyFont="1"/>
    <xf numFmtId="49" fontId="21" fillId="0" borderId="0" xfId="0" applyNumberFormat="1" applyFont="1"/>
    <xf numFmtId="0" fontId="47" fillId="0" borderId="0" xfId="0" applyFont="1"/>
    <xf numFmtId="166" fontId="47" fillId="0" borderId="0" xfId="0" applyNumberFormat="1" applyFont="1"/>
    <xf numFmtId="1" fontId="47" fillId="0" borderId="0" xfId="0" applyNumberFormat="1" applyFont="1"/>
    <xf numFmtId="0" fontId="48" fillId="0" borderId="0" xfId="0" applyFont="1"/>
    <xf numFmtId="165" fontId="0" fillId="0" borderId="15" xfId="0" applyNumberFormat="1" applyBorder="1"/>
    <xf numFmtId="164" fontId="31" fillId="0" borderId="0" xfId="0" applyNumberFormat="1" applyFont="1"/>
    <xf numFmtId="0" fontId="0" fillId="13" borderId="0" xfId="0" applyFill="1"/>
    <xf numFmtId="0" fontId="27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169" fontId="0" fillId="13" borderId="0" xfId="0" applyNumberFormat="1" applyFill="1"/>
    <xf numFmtId="165" fontId="0" fillId="13" borderId="0" xfId="0" applyNumberFormat="1" applyFill="1" applyAlignment="1">
      <alignment horizontal="center"/>
    </xf>
    <xf numFmtId="0" fontId="0" fillId="13" borderId="31" xfId="0" applyFill="1" applyBorder="1" applyAlignment="1">
      <alignment horizontal="center"/>
    </xf>
    <xf numFmtId="169" fontId="0" fillId="13" borderId="31" xfId="0" applyNumberFormat="1" applyFill="1" applyBorder="1"/>
    <xf numFmtId="165" fontId="0" fillId="13" borderId="31" xfId="0" applyNumberFormat="1" applyFill="1" applyBorder="1" applyAlignment="1">
      <alignment horizontal="center"/>
    </xf>
    <xf numFmtId="0" fontId="0" fillId="13" borderId="0" xfId="0" applyFill="1" applyAlignment="1">
      <alignment horizontal="right"/>
    </xf>
    <xf numFmtId="166" fontId="0" fillId="13" borderId="0" xfId="0" applyNumberFormat="1" applyFill="1" applyAlignment="1">
      <alignment horizontal="center"/>
    </xf>
    <xf numFmtId="0" fontId="27" fillId="13" borderId="0" xfId="0" applyFont="1" applyFill="1" applyAlignment="1">
      <alignment horizontal="right"/>
    </xf>
    <xf numFmtId="165" fontId="0" fillId="5" borderId="0" xfId="0" applyNumberFormat="1" applyFill="1" applyAlignment="1">
      <alignment horizontal="center"/>
    </xf>
    <xf numFmtId="0" fontId="0" fillId="5" borderId="0" xfId="0" applyFill="1"/>
    <xf numFmtId="0" fontId="14" fillId="6" borderId="0" xfId="0" applyFont="1" applyFill="1"/>
    <xf numFmtId="14" fontId="0" fillId="0" borderId="26" xfId="0" applyNumberFormat="1" applyBorder="1" applyAlignment="1">
      <alignment horizontal="center"/>
    </xf>
    <xf numFmtId="0" fontId="2" fillId="0" borderId="0" xfId="1" applyFont="1" applyAlignment="1">
      <alignment horizontal="right"/>
    </xf>
    <xf numFmtId="0" fontId="11" fillId="0" borderId="56" xfId="0" applyFont="1" applyBorder="1"/>
    <xf numFmtId="0" fontId="11" fillId="0" borderId="65" xfId="0" applyFont="1" applyBorder="1"/>
    <xf numFmtId="0" fontId="11" fillId="0" borderId="53" xfId="0" applyFont="1" applyBorder="1"/>
    <xf numFmtId="0" fontId="11" fillId="0" borderId="66" xfId="0" applyFont="1" applyBorder="1"/>
    <xf numFmtId="0" fontId="11" fillId="0" borderId="67" xfId="0" applyFont="1" applyBorder="1"/>
    <xf numFmtId="0" fontId="11" fillId="0" borderId="68" xfId="0" applyFont="1" applyBorder="1"/>
    <xf numFmtId="1" fontId="21" fillId="0" borderId="0" xfId="0" applyNumberFormat="1" applyFont="1"/>
    <xf numFmtId="1" fontId="49" fillId="0" borderId="19" xfId="0" applyNumberFormat="1" applyFont="1" applyBorder="1"/>
    <xf numFmtId="0" fontId="50" fillId="0" borderId="0" xfId="0" applyFont="1"/>
    <xf numFmtId="166" fontId="50" fillId="0" borderId="0" xfId="0" applyNumberFormat="1" applyFont="1"/>
    <xf numFmtId="1" fontId="50" fillId="0" borderId="0" xfId="0" applyNumberFormat="1" applyFont="1"/>
    <xf numFmtId="164" fontId="0" fillId="13" borderId="8" xfId="0" applyNumberFormat="1" applyFill="1" applyBorder="1"/>
    <xf numFmtId="164" fontId="0" fillId="6" borderId="0" xfId="0" applyNumberFormat="1" applyFill="1"/>
    <xf numFmtId="0" fontId="11" fillId="0" borderId="0" xfId="0" applyFont="1" applyAlignment="1">
      <alignment horizontal="right"/>
    </xf>
    <xf numFmtId="164" fontId="0" fillId="14" borderId="26" xfId="0" applyNumberFormat="1" applyFill="1" applyBorder="1"/>
    <xf numFmtId="164" fontId="0" fillId="6" borderId="44" xfId="0" applyNumberFormat="1" applyFill="1" applyBorder="1"/>
    <xf numFmtId="166" fontId="27" fillId="6" borderId="0" xfId="0" applyNumberFormat="1" applyFont="1" applyFill="1"/>
    <xf numFmtId="166" fontId="27" fillId="5" borderId="0" xfId="0" applyNumberFormat="1" applyFont="1" applyFill="1"/>
    <xf numFmtId="166" fontId="14" fillId="6" borderId="0" xfId="0" applyNumberFormat="1" applyFont="1" applyFill="1"/>
    <xf numFmtId="0" fontId="14" fillId="6" borderId="19" xfId="0" applyFont="1" applyFill="1" applyBorder="1"/>
    <xf numFmtId="166" fontId="14" fillId="12" borderId="0" xfId="0" applyNumberFormat="1" applyFont="1" applyFill="1"/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14" fontId="0" fillId="0" borderId="26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49" xfId="0" applyBorder="1" applyAlignment="1">
      <alignment horizontal="right" vertical="center" indent="2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0" fillId="0" borderId="26" xfId="0" applyNumberFormat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27" fillId="13" borderId="0" xfId="0" applyFont="1" applyFill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6" borderId="19" xfId="0" applyFont="1" applyFill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9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19" fillId="0" borderId="37" xfId="0" applyFont="1" applyBorder="1" applyAlignment="1">
      <alignment horizontal="left" vertical="center"/>
    </xf>
    <xf numFmtId="0" fontId="19" fillId="0" borderId="38" xfId="0" applyFont="1" applyBorder="1" applyAlignment="1">
      <alignment horizontal="left" vertical="center"/>
    </xf>
    <xf numFmtId="166" fontId="0" fillId="0" borderId="37" xfId="0" applyNumberFormat="1" applyBorder="1" applyAlignment="1">
      <alignment horizontal="center" vertical="center"/>
    </xf>
    <xf numFmtId="166" fontId="0" fillId="0" borderId="38" xfId="0" applyNumberFormat="1" applyBorder="1" applyAlignment="1">
      <alignment horizontal="center" vertical="center"/>
    </xf>
    <xf numFmtId="165" fontId="14" fillId="0" borderId="20" xfId="0" applyNumberFormat="1" applyFont="1" applyBorder="1" applyAlignment="1">
      <alignment horizontal="center"/>
    </xf>
    <xf numFmtId="165" fontId="14" fillId="0" borderId="21" xfId="0" applyNumberFormat="1" applyFont="1" applyBorder="1" applyAlignment="1">
      <alignment horizontal="center"/>
    </xf>
    <xf numFmtId="165" fontId="14" fillId="0" borderId="22" xfId="0" applyNumberFormat="1" applyFont="1" applyBorder="1" applyAlignment="1">
      <alignment horizontal="center"/>
    </xf>
    <xf numFmtId="165" fontId="14" fillId="4" borderId="20" xfId="0" applyNumberFormat="1" applyFont="1" applyFill="1" applyBorder="1" applyAlignment="1">
      <alignment horizontal="center"/>
    </xf>
    <xf numFmtId="165" fontId="14" fillId="4" borderId="21" xfId="0" applyNumberFormat="1" applyFont="1" applyFill="1" applyBorder="1" applyAlignment="1">
      <alignment horizontal="center"/>
    </xf>
    <xf numFmtId="165" fontId="14" fillId="4" borderId="22" xfId="0" applyNumberFormat="1" applyFont="1" applyFill="1" applyBorder="1" applyAlignment="1">
      <alignment horizontal="center"/>
    </xf>
    <xf numFmtId="2" fontId="0" fillId="0" borderId="37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0" fontId="0" fillId="0" borderId="0" xfId="0" applyFill="1" applyAlignment="1">
      <alignment horizontal="center"/>
    </xf>
    <xf numFmtId="164" fontId="0" fillId="0" borderId="0" xfId="0" applyNumberFormat="1" applyFill="1"/>
    <xf numFmtId="164" fontId="30" fillId="0" borderId="0" xfId="0" applyNumberFormat="1" applyFont="1" applyFill="1"/>
    <xf numFmtId="0" fontId="0" fillId="0" borderId="0" xfId="0" applyFill="1"/>
    <xf numFmtId="0" fontId="14" fillId="13" borderId="0" xfId="0" applyFont="1" applyFill="1"/>
    <xf numFmtId="166" fontId="14" fillId="13" borderId="0" xfId="0" applyNumberFormat="1" applyFont="1" applyFill="1"/>
    <xf numFmtId="0" fontId="0" fillId="0" borderId="26" xfId="0" applyBorder="1" applyAlignment="1">
      <alignment horizontal="center" shrinkToFit="1"/>
    </xf>
    <xf numFmtId="0" fontId="0" fillId="15" borderId="0" xfId="0" applyFill="1"/>
    <xf numFmtId="0" fontId="1" fillId="0" borderId="0" xfId="1" applyFont="1" applyAlignment="1">
      <alignment horizontal="right"/>
    </xf>
    <xf numFmtId="167" fontId="0" fillId="6" borderId="26" xfId="0" applyNumberFormat="1" applyFill="1" applyBorder="1"/>
    <xf numFmtId="0" fontId="35" fillId="6" borderId="0" xfId="0" applyFont="1" applyFill="1"/>
    <xf numFmtId="0" fontId="14" fillId="16" borderId="0" xfId="0" applyFont="1" applyFill="1"/>
    <xf numFmtId="166" fontId="14" fillId="16" borderId="0" xfId="0" applyNumberFormat="1" applyFont="1" applyFill="1"/>
    <xf numFmtId="0" fontId="21" fillId="16" borderId="0" xfId="0" applyFont="1" applyFill="1" applyAlignment="1">
      <alignment horizontal="center"/>
    </xf>
    <xf numFmtId="0" fontId="21" fillId="13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14" fillId="16" borderId="0" xfId="0" applyFont="1" applyFill="1" applyAlignment="1">
      <alignment horizontal="center"/>
    </xf>
    <xf numFmtId="167" fontId="0" fillId="17" borderId="26" xfId="0" applyNumberFormat="1" applyFill="1" applyBorder="1"/>
    <xf numFmtId="0" fontId="0" fillId="17" borderId="0" xfId="0" applyFill="1"/>
    <xf numFmtId="0" fontId="14" fillId="0" borderId="0" xfId="0" applyFont="1" applyFill="1"/>
  </cellXfs>
  <cellStyles count="2">
    <cellStyle name="Normální" xfId="0" builtinId="0"/>
    <cellStyle name="normální 2" xfId="1" xr:uid="{00000000-0005-0000-0000-000001000000}"/>
  </cellStyles>
  <dxfs count="489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cs-CZ"/>
              <a:t>Celkový </a:t>
            </a:r>
            <a:r>
              <a:rPr lang="en-US"/>
              <a:t>Průměr po měsících</a:t>
            </a:r>
          </a:p>
        </c:rich>
      </c:tx>
      <c:layout>
        <c:manualLayout>
          <c:xMode val="edge"/>
          <c:yMode val="edge"/>
          <c:x val="0.20602777777777778"/>
          <c:y val="3.240740740740746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'1851'!$AJ$26</c:f>
              <c:strCache>
                <c:ptCount val="1"/>
                <c:pt idx="0">
                  <c:v>Průměr po měsících</c:v>
                </c:pt>
              </c:strCache>
            </c:strRef>
          </c:tx>
          <c:invertIfNegative val="0"/>
          <c:cat>
            <c:strRef>
              <c:f>'1851'!$AK$25:$AV$25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'1851'!$AK$26:$AV$26</c:f>
              <c:numCache>
                <c:formatCode>0.0%</c:formatCode>
                <c:ptCount val="12"/>
                <c:pt idx="0">
                  <c:v>0.3917417519020136</c:v>
                </c:pt>
                <c:pt idx="1">
                  <c:v>0.38795801055811407</c:v>
                </c:pt>
                <c:pt idx="2">
                  <c:v>0.36120605606341322</c:v>
                </c:pt>
                <c:pt idx="3">
                  <c:v>0.36297180434917897</c:v>
                </c:pt>
                <c:pt idx="4">
                  <c:v>0.3475028558036844</c:v>
                </c:pt>
                <c:pt idx="5">
                  <c:v>0.30662998323297974</c:v>
                </c:pt>
                <c:pt idx="6">
                  <c:v>0.28853528960427183</c:v>
                </c:pt>
                <c:pt idx="7">
                  <c:v>0.28646744149483716</c:v>
                </c:pt>
                <c:pt idx="8">
                  <c:v>0.29011946290968482</c:v>
                </c:pt>
                <c:pt idx="9">
                  <c:v>0.33387956331970015</c:v>
                </c:pt>
                <c:pt idx="10">
                  <c:v>0.34397001394789289</c:v>
                </c:pt>
                <c:pt idx="11">
                  <c:v>0.31997570293107153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C-423F-B401-34E9886F9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47936"/>
        <c:axId val="86649472"/>
      </c:barChart>
      <c:catAx>
        <c:axId val="86647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6649472"/>
        <c:crosses val="autoZero"/>
        <c:auto val="1"/>
        <c:lblAlgn val="ctr"/>
        <c:lblOffset val="100"/>
        <c:noMultiLvlLbl val="0"/>
      </c:catAx>
      <c:valAx>
        <c:axId val="866494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86647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633569680194641E-2"/>
          <c:y val="2.633233952552055E-2"/>
          <c:w val="0.74233894920438315"/>
          <c:h val="0.85508787129764119"/>
        </c:manualLayout>
      </c:layout>
      <c:lineChart>
        <c:grouping val="standard"/>
        <c:varyColors val="0"/>
        <c:ser>
          <c:idx val="3"/>
          <c:order val="0"/>
          <c:tx>
            <c:strRef>
              <c:f>'1851'!$AJ$6</c:f>
              <c:strCache>
                <c:ptCount val="1"/>
                <c:pt idx="0">
                  <c:v>byt 2</c:v>
                </c:pt>
              </c:strCache>
            </c:strRef>
          </c:tx>
          <c:marker>
            <c:symbol val="none"/>
          </c:marker>
          <c:val>
            <c:numRef>
              <c:f>'1851'!$AK$6:$AV$6</c:f>
              <c:numCache>
                <c:formatCode>0.0%</c:formatCode>
                <c:ptCount val="12"/>
                <c:pt idx="0">
                  <c:v>0.37080911935628075</c:v>
                </c:pt>
                <c:pt idx="1">
                  <c:v>0.3437465381632881</c:v>
                </c:pt>
                <c:pt idx="2">
                  <c:v>0.35479186834462717</c:v>
                </c:pt>
                <c:pt idx="3">
                  <c:v>0.33872629843363561</c:v>
                </c:pt>
                <c:pt idx="4">
                  <c:v>0.33925029750099173</c:v>
                </c:pt>
                <c:pt idx="5">
                  <c:v>0.2595385481148002</c:v>
                </c:pt>
                <c:pt idx="6">
                  <c:v>0.24547600314712831</c:v>
                </c:pt>
                <c:pt idx="7">
                  <c:v>0.2564800806858295</c:v>
                </c:pt>
                <c:pt idx="8">
                  <c:v>0.25450689289501566</c:v>
                </c:pt>
                <c:pt idx="9">
                  <c:v>0.27277500656340248</c:v>
                </c:pt>
                <c:pt idx="10">
                  <c:v>0.31705864840726439</c:v>
                </c:pt>
                <c:pt idx="11">
                  <c:v>0.30388793596340746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7-4F1B-918F-5B66F3B589FF}"/>
            </c:ext>
          </c:extLst>
        </c:ser>
        <c:ser>
          <c:idx val="1"/>
          <c:order val="1"/>
          <c:tx>
            <c:strRef>
              <c:f>'1851'!$AJ$12</c:f>
              <c:strCache>
                <c:ptCount val="1"/>
                <c:pt idx="0">
                  <c:v>byt 9</c:v>
                </c:pt>
              </c:strCache>
            </c:strRef>
          </c:tx>
          <c:marker>
            <c:symbol val="none"/>
          </c:marker>
          <c:val>
            <c:numRef>
              <c:f>'1851'!$AK$12:$AV$12</c:f>
              <c:numCache>
                <c:formatCode>0.0%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7-4F1B-918F-5B66F3B589FF}"/>
            </c:ext>
          </c:extLst>
        </c:ser>
        <c:ser>
          <c:idx val="2"/>
          <c:order val="2"/>
          <c:tx>
            <c:strRef>
              <c:f>'1851'!$AJ$14</c:f>
              <c:strCache>
                <c:ptCount val="1"/>
                <c:pt idx="0">
                  <c:v>byt 15</c:v>
                </c:pt>
              </c:strCache>
            </c:strRef>
          </c:tx>
          <c:marker>
            <c:symbol val="none"/>
          </c:marker>
          <c:val>
            <c:numRef>
              <c:f>'1851'!$AK$14:$AV$14</c:f>
              <c:numCache>
                <c:formatCode>0.0%</c:formatCode>
                <c:ptCount val="12"/>
                <c:pt idx="0">
                  <c:v>0.42652204338698385</c:v>
                </c:pt>
                <c:pt idx="1">
                  <c:v>0.38843515191114014</c:v>
                </c:pt>
                <c:pt idx="2">
                  <c:v>0.37706725468577734</c:v>
                </c:pt>
                <c:pt idx="3">
                  <c:v>0.40440366972477065</c:v>
                </c:pt>
                <c:pt idx="4">
                  <c:v>0.3176426982950335</c:v>
                </c:pt>
                <c:pt idx="5">
                  <c:v>0.29163901791638991</c:v>
                </c:pt>
                <c:pt idx="6">
                  <c:v>0.35628382441371026</c:v>
                </c:pt>
                <c:pt idx="7">
                  <c:v>0.38878454521062528</c:v>
                </c:pt>
                <c:pt idx="8">
                  <c:v>0.3935153583617747</c:v>
                </c:pt>
                <c:pt idx="9">
                  <c:v>0.39231779382797094</c:v>
                </c:pt>
                <c:pt idx="10">
                  <c:v>0.45979737012287136</c:v>
                </c:pt>
                <c:pt idx="11">
                  <c:v>0.39891785538612895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F7-4F1B-918F-5B66F3B589FF}"/>
            </c:ext>
          </c:extLst>
        </c:ser>
        <c:ser>
          <c:idx val="4"/>
          <c:order val="3"/>
          <c:tx>
            <c:strRef>
              <c:f>'1851'!$AJ$18</c:f>
              <c:strCache>
                <c:ptCount val="1"/>
                <c:pt idx="0">
                  <c:v>byt 13</c:v>
                </c:pt>
              </c:strCache>
            </c:strRef>
          </c:tx>
          <c:marker>
            <c:symbol val="none"/>
          </c:marker>
          <c:val>
            <c:numRef>
              <c:f>'1851'!$AK$18:$AV$18</c:f>
              <c:numCache>
                <c:formatCode>0.0%</c:formatCode>
                <c:ptCount val="12"/>
                <c:pt idx="0">
                  <c:v>0.44321073328706917</c:v>
                </c:pt>
                <c:pt idx="1">
                  <c:v>0.48819612590799039</c:v>
                </c:pt>
                <c:pt idx="2">
                  <c:v>0.43244575936883617</c:v>
                </c:pt>
                <c:pt idx="3">
                  <c:v>0.44312590448625194</c:v>
                </c:pt>
                <c:pt idx="4">
                  <c:v>0.40979524073049239</c:v>
                </c:pt>
                <c:pt idx="5">
                  <c:v>0.37929965912612335</c:v>
                </c:pt>
                <c:pt idx="6">
                  <c:v>0.36352305774823429</c:v>
                </c:pt>
                <c:pt idx="7">
                  <c:v>0.38389513108614226</c:v>
                </c:pt>
                <c:pt idx="8">
                  <c:v>0.39446036294173797</c:v>
                </c:pt>
                <c:pt idx="9">
                  <c:v>0.39959277169763319</c:v>
                </c:pt>
                <c:pt idx="10">
                  <c:v>0.44291230005515753</c:v>
                </c:pt>
                <c:pt idx="11">
                  <c:v>0.39373480961382629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F7-4F1B-918F-5B66F3B589FF}"/>
            </c:ext>
          </c:extLst>
        </c:ser>
        <c:ser>
          <c:idx val="5"/>
          <c:order val="4"/>
          <c:tx>
            <c:strRef>
              <c:f>'1851'!$AJ$54</c:f>
              <c:strCache>
                <c:ptCount val="1"/>
                <c:pt idx="0">
                  <c:v>byt 3</c:v>
                </c:pt>
              </c:strCache>
            </c:strRef>
          </c:tx>
          <c:marker>
            <c:symbol val="none"/>
          </c:marker>
          <c:val>
            <c:numRef>
              <c:f>'1851'!$AK$54:$AV$54</c:f>
              <c:numCache>
                <c:formatCode>0.0%</c:formatCode>
                <c:ptCount val="12"/>
                <c:pt idx="0">
                  <c:v>0.44280888030888033</c:v>
                </c:pt>
                <c:pt idx="1">
                  <c:v>0.40533701403266614</c:v>
                </c:pt>
                <c:pt idx="2">
                  <c:v>0.34466911764705888</c:v>
                </c:pt>
                <c:pt idx="3">
                  <c:v>0.3595927116827437</c:v>
                </c:pt>
                <c:pt idx="4">
                  <c:v>0.3666666666666667</c:v>
                </c:pt>
                <c:pt idx="5">
                  <c:v>0.3443473511742221</c:v>
                </c:pt>
                <c:pt idx="6">
                  <c:v>0.28937285743093344</c:v>
                </c:pt>
                <c:pt idx="7">
                  <c:v>0.2394366197183162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F7-4F1B-918F-5B66F3B589FF}"/>
            </c:ext>
          </c:extLst>
        </c:ser>
        <c:ser>
          <c:idx val="6"/>
          <c:order val="5"/>
          <c:tx>
            <c:strRef>
              <c:f>'1851'!$AJ$56</c:f>
              <c:strCache>
                <c:ptCount val="1"/>
                <c:pt idx="0">
                  <c:v>byt 6</c:v>
                </c:pt>
              </c:strCache>
            </c:strRef>
          </c:tx>
          <c:marker>
            <c:symbol val="none"/>
          </c:marker>
          <c:val>
            <c:numRef>
              <c:f>'1851'!$AK$56:$AV$56</c:f>
              <c:numCache>
                <c:formatCode>0.0%</c:formatCode>
                <c:ptCount val="12"/>
                <c:pt idx="0">
                  <c:v>0.45077378992426731</c:v>
                </c:pt>
                <c:pt idx="1">
                  <c:v>0.48407643312101933</c:v>
                </c:pt>
                <c:pt idx="2">
                  <c:v>0.43938223938223936</c:v>
                </c:pt>
                <c:pt idx="3">
                  <c:v>0.38783852835973431</c:v>
                </c:pt>
                <c:pt idx="4">
                  <c:v>0.42369020501138949</c:v>
                </c:pt>
                <c:pt idx="5">
                  <c:v>0.3219145940872829</c:v>
                </c:pt>
                <c:pt idx="6">
                  <c:v>0.37656157049375372</c:v>
                </c:pt>
                <c:pt idx="7">
                  <c:v>0.34053239578101446</c:v>
                </c:pt>
                <c:pt idx="8">
                  <c:v>0.36951649055395458</c:v>
                </c:pt>
                <c:pt idx="9">
                  <c:v>0.39657176060429988</c:v>
                </c:pt>
                <c:pt idx="10">
                  <c:v>0.43448116477929277</c:v>
                </c:pt>
                <c:pt idx="11">
                  <c:v>0.45193330968428513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F7-4F1B-918F-5B66F3B589FF}"/>
            </c:ext>
          </c:extLst>
        </c:ser>
        <c:ser>
          <c:idx val="7"/>
          <c:order val="6"/>
          <c:tx>
            <c:strRef>
              <c:f>'1851'!$AJ$58</c:f>
              <c:strCache>
                <c:ptCount val="1"/>
                <c:pt idx="0">
                  <c:v>byt 8</c:v>
                </c:pt>
              </c:strCache>
            </c:strRef>
          </c:tx>
          <c:marker>
            <c:symbol val="none"/>
          </c:marker>
          <c:val>
            <c:numRef>
              <c:f>'1851'!$AK$58:$AV$58</c:f>
              <c:numCache>
                <c:formatCode>0.0%</c:formatCode>
                <c:ptCount val="12"/>
                <c:pt idx="0">
                  <c:v>0.35064267352185097</c:v>
                </c:pt>
                <c:pt idx="1">
                  <c:v>0.32510223340673156</c:v>
                </c:pt>
                <c:pt idx="2">
                  <c:v>0.35475517890772124</c:v>
                </c:pt>
                <c:pt idx="3">
                  <c:v>0.32545000656943901</c:v>
                </c:pt>
                <c:pt idx="4">
                  <c:v>0.36285553365249235</c:v>
                </c:pt>
                <c:pt idx="5">
                  <c:v>0.30460921843687355</c:v>
                </c:pt>
                <c:pt idx="6">
                  <c:v>0.26033848417954414</c:v>
                </c:pt>
                <c:pt idx="7">
                  <c:v>0.26859584385317498</c:v>
                </c:pt>
                <c:pt idx="8">
                  <c:v>0.29256393001345915</c:v>
                </c:pt>
                <c:pt idx="9">
                  <c:v>0.32880886426592804</c:v>
                </c:pt>
                <c:pt idx="10">
                  <c:v>0.31406099075479493</c:v>
                </c:pt>
                <c:pt idx="11">
                  <c:v>0.32211538461538469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F7-4F1B-918F-5B66F3B589FF}"/>
            </c:ext>
          </c:extLst>
        </c:ser>
        <c:ser>
          <c:idx val="8"/>
          <c:order val="7"/>
          <c:tx>
            <c:strRef>
              <c:f>'1851'!$AJ$60</c:f>
              <c:strCache>
                <c:ptCount val="1"/>
                <c:pt idx="0">
                  <c:v>byt 11</c:v>
                </c:pt>
              </c:strCache>
            </c:strRef>
          </c:tx>
          <c:marker>
            <c:symbol val="none"/>
          </c:marker>
          <c:val>
            <c:numRef>
              <c:f>'1851'!$AK$60:$AV$60</c:f>
              <c:numCache>
                <c:formatCode>0.0%</c:formatCode>
                <c:ptCount val="12"/>
                <c:pt idx="0">
                  <c:v>0.3736842105263159</c:v>
                </c:pt>
                <c:pt idx="1">
                  <c:v>0.37071428571428583</c:v>
                </c:pt>
                <c:pt idx="2">
                  <c:v>0.33971902937420168</c:v>
                </c:pt>
                <c:pt idx="3">
                  <c:v>0.41734417344173447</c:v>
                </c:pt>
                <c:pt idx="4">
                  <c:v>0.32163333799468602</c:v>
                </c:pt>
                <c:pt idx="5">
                  <c:v>0.33517032453511231</c:v>
                </c:pt>
                <c:pt idx="6">
                  <c:v>0.279592370002613</c:v>
                </c:pt>
                <c:pt idx="7">
                  <c:v>0.27187206020696142</c:v>
                </c:pt>
                <c:pt idx="8">
                  <c:v>0.30391921134888189</c:v>
                </c:pt>
                <c:pt idx="9">
                  <c:v>0.30606758832565317</c:v>
                </c:pt>
                <c:pt idx="10">
                  <c:v>0.35314685314685323</c:v>
                </c:pt>
                <c:pt idx="11">
                  <c:v>0.35465002924546668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F7-4F1B-918F-5B66F3B589FF}"/>
            </c:ext>
          </c:extLst>
        </c:ser>
        <c:ser>
          <c:idx val="9"/>
          <c:order val="8"/>
          <c:tx>
            <c:strRef>
              <c:f>'1851'!$AJ$62</c:f>
              <c:strCache>
                <c:ptCount val="1"/>
                <c:pt idx="0">
                  <c:v>byt 12</c:v>
                </c:pt>
              </c:strCache>
            </c:strRef>
          </c:tx>
          <c:marker>
            <c:symbol val="none"/>
          </c:marker>
          <c:val>
            <c:numRef>
              <c:f>'1851'!$AK$62:$AV$62</c:f>
              <c:numCache>
                <c:formatCode>0.0%</c:formatCode>
                <c:ptCount val="12"/>
                <c:pt idx="0">
                  <c:v>0.40419114145102397</c:v>
                </c:pt>
                <c:pt idx="1">
                  <c:v>0.44585987261146504</c:v>
                </c:pt>
                <c:pt idx="2">
                  <c:v>0.39811972371450499</c:v>
                </c:pt>
                <c:pt idx="3">
                  <c:v>0.38360593381513869</c:v>
                </c:pt>
                <c:pt idx="4">
                  <c:v>0.37488061127029626</c:v>
                </c:pt>
                <c:pt idx="5">
                  <c:v>0.3112919633774156</c:v>
                </c:pt>
                <c:pt idx="6">
                  <c:v>0.22319474835886247</c:v>
                </c:pt>
                <c:pt idx="7">
                  <c:v>0.2421972534332095</c:v>
                </c:pt>
                <c:pt idx="8">
                  <c:v>0.10185185185185162</c:v>
                </c:pt>
                <c:pt idx="9">
                  <c:v>0.32780082987552006</c:v>
                </c:pt>
                <c:pt idx="10">
                  <c:v>0.16535433070866098</c:v>
                </c:pt>
                <c:pt idx="11">
                  <c:v>0.10869565217390437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F7-4F1B-918F-5B66F3B589FF}"/>
            </c:ext>
          </c:extLst>
        </c:ser>
        <c:ser>
          <c:idx val="0"/>
          <c:order val="9"/>
          <c:tx>
            <c:strRef>
              <c:f>'1851'!$AJ$8</c:f>
              <c:strCache>
                <c:ptCount val="1"/>
                <c:pt idx="0">
                  <c:v>byt 5</c:v>
                </c:pt>
              </c:strCache>
            </c:strRef>
          </c:tx>
          <c:marker>
            <c:symbol val="none"/>
          </c:marker>
          <c:val>
            <c:numRef>
              <c:f>'1851'!$AK$8:$AV$8</c:f>
              <c:numCache>
                <c:formatCode>0.0%</c:formatCode>
                <c:ptCount val="12"/>
                <c:pt idx="0">
                  <c:v>0.26303317535545023</c:v>
                </c:pt>
                <c:pt idx="1">
                  <c:v>0.24015444015444012</c:v>
                </c:pt>
                <c:pt idx="2">
                  <c:v>0.20990433314575127</c:v>
                </c:pt>
                <c:pt idx="3">
                  <c:v>0.20665901262916198</c:v>
                </c:pt>
                <c:pt idx="4">
                  <c:v>0.21111111111111117</c:v>
                </c:pt>
                <c:pt idx="5">
                  <c:v>0.21185917232859791</c:v>
                </c:pt>
                <c:pt idx="6">
                  <c:v>0.20247469066366686</c:v>
                </c:pt>
                <c:pt idx="7">
                  <c:v>0.18641304347826088</c:v>
                </c:pt>
                <c:pt idx="8">
                  <c:v>0.21062160531080276</c:v>
                </c:pt>
                <c:pt idx="9">
                  <c:v>0.24710189139719332</c:v>
                </c:pt>
                <c:pt idx="10">
                  <c:v>0.26494845360824748</c:v>
                </c:pt>
                <c:pt idx="11">
                  <c:v>0.22587064676616894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F7-4F1B-918F-5B66F3B58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09120"/>
        <c:axId val="133510656"/>
      </c:lineChart>
      <c:catAx>
        <c:axId val="133509120"/>
        <c:scaling>
          <c:orientation val="minMax"/>
        </c:scaling>
        <c:delete val="0"/>
        <c:axPos val="b"/>
        <c:majorTickMark val="out"/>
        <c:minorTickMark val="none"/>
        <c:tickLblPos val="nextTo"/>
        <c:crossAx val="133510656"/>
        <c:crosses val="autoZero"/>
        <c:auto val="1"/>
        <c:lblAlgn val="ctr"/>
        <c:lblOffset val="100"/>
        <c:noMultiLvlLbl val="0"/>
      </c:catAx>
      <c:valAx>
        <c:axId val="13351065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3350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297222222222234"/>
          <c:y val="4.0706838728492303E-2"/>
          <c:w val="0.11884430176565018"/>
          <c:h val="0.78027673725250368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019781332364819E-2"/>
          <c:y val="8.363479988730238E-2"/>
          <c:w val="0.88423248980669689"/>
          <c:h val="0.832730400225396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'1851'!$AJ$46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'1851'!$AK$46:$AV$46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'1851'!$AK$46:$AW$46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9-4B69-B319-6912289E94D6}"/>
            </c:ext>
          </c:extLst>
        </c:ser>
        <c:ser>
          <c:idx val="1"/>
          <c:order val="1"/>
          <c:tx>
            <c:strRef>
              <c:f>'1851'!$AJ$47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'1851'!$AK$46:$AV$46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'1851'!$AK$47:$AV$47</c:f>
              <c:numCache>
                <c:formatCode>0.000</c:formatCode>
                <c:ptCount val="12"/>
                <c:pt idx="0">
                  <c:v>14.794999999999998</c:v>
                </c:pt>
                <c:pt idx="1">
                  <c:v>13.997</c:v>
                </c:pt>
                <c:pt idx="2">
                  <c:v>15.186</c:v>
                </c:pt>
                <c:pt idx="3">
                  <c:v>13.029</c:v>
                </c:pt>
                <c:pt idx="4">
                  <c:v>12.843000000000002</c:v>
                </c:pt>
                <c:pt idx="5">
                  <c:v>10.172999999999996</c:v>
                </c:pt>
                <c:pt idx="6">
                  <c:v>10.488000000000003</c:v>
                </c:pt>
                <c:pt idx="7">
                  <c:v>10.390999999999998</c:v>
                </c:pt>
                <c:pt idx="8">
                  <c:v>9.8009999999999984</c:v>
                </c:pt>
                <c:pt idx="9">
                  <c:v>11.061999999999999</c:v>
                </c:pt>
                <c:pt idx="10">
                  <c:v>12.858000000000002</c:v>
                </c:pt>
                <c:pt idx="11">
                  <c:v>12.379999999999995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9-4B69-B319-6912289E94D6}"/>
            </c:ext>
          </c:extLst>
        </c:ser>
        <c:ser>
          <c:idx val="2"/>
          <c:order val="2"/>
          <c:tx>
            <c:v>SV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'1851'!$AK$46:$AV$46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'1851'!$AK$48:$AV$48</c:f>
              <c:numCache>
                <c:formatCode>0.000</c:formatCode>
                <c:ptCount val="12"/>
                <c:pt idx="0">
                  <c:v>22.484999999999999</c:v>
                </c:pt>
                <c:pt idx="1">
                  <c:v>22.382999999999996</c:v>
                </c:pt>
                <c:pt idx="2">
                  <c:v>26.219000000000005</c:v>
                </c:pt>
                <c:pt idx="3">
                  <c:v>23.530999999999999</c:v>
                </c:pt>
                <c:pt idx="4">
                  <c:v>23.363099999999999</c:v>
                </c:pt>
                <c:pt idx="5">
                  <c:v>23.436899999999994</c:v>
                </c:pt>
                <c:pt idx="6">
                  <c:v>26.045999999999996</c:v>
                </c:pt>
                <c:pt idx="7">
                  <c:v>24.821000000000005</c:v>
                </c:pt>
                <c:pt idx="8">
                  <c:v>22.686000000000014</c:v>
                </c:pt>
                <c:pt idx="9">
                  <c:v>22.971999999999991</c:v>
                </c:pt>
                <c:pt idx="10">
                  <c:v>22.683999999999994</c:v>
                </c:pt>
                <c:pt idx="11">
                  <c:v>23.899000000000012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C9-4B69-B319-6912289E9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34199552"/>
        <c:axId val="134216320"/>
      </c:barChart>
      <c:catAx>
        <c:axId val="134199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4216320"/>
        <c:crosses val="autoZero"/>
        <c:auto val="1"/>
        <c:lblAlgn val="ctr"/>
        <c:lblOffset val="100"/>
        <c:noMultiLvlLbl val="0"/>
      </c:catAx>
      <c:valAx>
        <c:axId val="13421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419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'1851'!$AJ$46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'1851'!$AK$46:$AV$46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'1851'!$AK$46:$AW$46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E-40E4-BD36-7FF879027D5C}"/>
            </c:ext>
          </c:extLst>
        </c:ser>
        <c:ser>
          <c:idx val="1"/>
          <c:order val="1"/>
          <c:tx>
            <c:strRef>
              <c:f>'1851'!$AJ$47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'1851'!$AK$47:$AV$47</c:f>
              <c:numCache>
                <c:formatCode>0.000</c:formatCode>
                <c:ptCount val="12"/>
                <c:pt idx="0">
                  <c:v>14.794999999999998</c:v>
                </c:pt>
                <c:pt idx="1">
                  <c:v>13.997</c:v>
                </c:pt>
                <c:pt idx="2">
                  <c:v>15.186</c:v>
                </c:pt>
                <c:pt idx="3">
                  <c:v>13.029</c:v>
                </c:pt>
                <c:pt idx="4">
                  <c:v>12.843000000000002</c:v>
                </c:pt>
                <c:pt idx="5">
                  <c:v>10.172999999999996</c:v>
                </c:pt>
                <c:pt idx="6">
                  <c:v>10.488000000000003</c:v>
                </c:pt>
                <c:pt idx="7">
                  <c:v>10.390999999999998</c:v>
                </c:pt>
                <c:pt idx="8">
                  <c:v>9.8009999999999984</c:v>
                </c:pt>
                <c:pt idx="9">
                  <c:v>11.061999999999999</c:v>
                </c:pt>
                <c:pt idx="10">
                  <c:v>12.858000000000002</c:v>
                </c:pt>
                <c:pt idx="11">
                  <c:v>12.379999999999995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5E-40E4-BD36-7FF879027D5C}"/>
            </c:ext>
          </c:extLst>
        </c:ser>
        <c:ser>
          <c:idx val="2"/>
          <c:order val="2"/>
          <c:tx>
            <c:v>SV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'1851'!$AK$48:$AV$48</c:f>
              <c:numCache>
                <c:formatCode>0.000</c:formatCode>
                <c:ptCount val="12"/>
                <c:pt idx="0">
                  <c:v>22.484999999999999</c:v>
                </c:pt>
                <c:pt idx="1">
                  <c:v>22.382999999999996</c:v>
                </c:pt>
                <c:pt idx="2">
                  <c:v>26.219000000000005</c:v>
                </c:pt>
                <c:pt idx="3">
                  <c:v>23.530999999999999</c:v>
                </c:pt>
                <c:pt idx="4">
                  <c:v>23.363099999999999</c:v>
                </c:pt>
                <c:pt idx="5">
                  <c:v>23.436899999999994</c:v>
                </c:pt>
                <c:pt idx="6">
                  <c:v>26.045999999999996</c:v>
                </c:pt>
                <c:pt idx="7">
                  <c:v>24.821000000000005</c:v>
                </c:pt>
                <c:pt idx="8">
                  <c:v>22.686000000000014</c:v>
                </c:pt>
                <c:pt idx="9">
                  <c:v>22.971999999999991</c:v>
                </c:pt>
                <c:pt idx="10">
                  <c:v>22.683999999999994</c:v>
                </c:pt>
                <c:pt idx="11">
                  <c:v>23.899000000000012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5E-40E4-BD36-7FF879027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623808"/>
        <c:axId val="141513472"/>
      </c:barChart>
      <c:catAx>
        <c:axId val="139623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1513472"/>
        <c:crosses val="autoZero"/>
        <c:auto val="1"/>
        <c:lblAlgn val="ctr"/>
        <c:lblOffset val="100"/>
        <c:noMultiLvlLbl val="0"/>
      </c:catAx>
      <c:valAx>
        <c:axId val="14151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962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230857713771141E-2"/>
          <c:y val="0.28908637849828461"/>
          <c:w val="0.87500082162789083"/>
          <c:h val="0.6076713670474036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val>
            <c:numRef>
              <c:f>('Rozdíly (2)'!$D$31:$D$31,'Rozdíly (2)'!$G$31:$G$31,'Rozdíly (2)'!$J$31:$J$31,'Rozdíly (2)'!$M$31:$M$31,'Rozdíly (2)'!$P$31:$P$31,'Rozdíly (2)'!$S$31:$S$31,'Rozdíly (2)'!$V$31:$V$31,'Rozdíly (2)'!$Y$31:$Y$31)</c:f>
              <c:numCache>
                <c:formatCode>General</c:formatCode>
                <c:ptCount val="8"/>
                <c:pt idx="0">
                  <c:v>-14.390999999999991</c:v>
                </c:pt>
                <c:pt idx="1">
                  <c:v>15.523000000000039</c:v>
                </c:pt>
                <c:pt idx="2">
                  <c:v>-9.4209999999999923</c:v>
                </c:pt>
                <c:pt idx="3">
                  <c:v>1.1069999999999567</c:v>
                </c:pt>
                <c:pt idx="4">
                  <c:v>17.664999999999999</c:v>
                </c:pt>
                <c:pt idx="5">
                  <c:v>16.209000000000117</c:v>
                </c:pt>
                <c:pt idx="6">
                  <c:v>6.5190000000000943</c:v>
                </c:pt>
                <c:pt idx="7">
                  <c:v>7.5749999999999176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D-489A-B6C3-D76949C70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4885632"/>
        <c:axId val="146176640"/>
      </c:barChart>
      <c:catAx>
        <c:axId val="14488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617664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6176640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4885632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0331350554388"/>
          <c:y val="0.28908637849828461"/>
          <c:w val="0.85852875660270356"/>
          <c:h val="0.6076713670474036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('Rozdíly (2)'!$D$33:$D$33,'Rozdíly (2)'!$G$33:$G$33,'Rozdíly (2)'!$J$33:$J$33,'Rozdíly (2)'!$M$33:$M$33,'Rozdíly (2)'!$P$33:$P$33,'Rozdíly (2)'!$S$33:$S$33,'Rozdíly (2)'!$V$33:$V$33,'Rozdíly (2)'!$Y$33:$Y$33)</c:f>
              <c:numCache>
                <c:formatCode>0.0%</c:formatCode>
                <c:ptCount val="8"/>
                <c:pt idx="0">
                  <c:v>-8.3736762481089216E-2</c:v>
                </c:pt>
                <c:pt idx="1">
                  <c:v>6.6693877551020575E-2</c:v>
                </c:pt>
                <c:pt idx="2">
                  <c:v>-4.8122797159932541E-2</c:v>
                </c:pt>
                <c:pt idx="3">
                  <c:v>6.0016264570341921E-3</c:v>
                </c:pt>
                <c:pt idx="4">
                  <c:v>8.1960747923722918E-2</c:v>
                </c:pt>
                <c:pt idx="5">
                  <c:v>7.6638297872340944E-2</c:v>
                </c:pt>
                <c:pt idx="6">
                  <c:v>3.6190529062344365E-2</c:v>
                </c:pt>
                <c:pt idx="7">
                  <c:v>3.7814496805111425E-2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D-4468-8154-D6D6038CE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0680704"/>
        <c:axId val="170682240"/>
      </c:barChart>
      <c:catAx>
        <c:axId val="17068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68224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70682240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680704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923076923076933E-2"/>
          <c:y val="0.28823529411764731"/>
          <c:w val="0.92307692307692257"/>
          <c:h val="0.6088235294117645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(Rozdíly!$D$31,Rozdíly!$G$31,Rozdíly!$J$31,Rozdíly!$M$31,Rozdíly!$P$31,Rozdíly!$S$31,Rozdíly!$V$31,Rozdíly!$Y$31)</c:f>
              <c:numCache>
                <c:formatCode>General</c:formatCode>
                <c:ptCount val="8"/>
                <c:pt idx="0">
                  <c:v>-14.390999999999991</c:v>
                </c:pt>
                <c:pt idx="1">
                  <c:v>15.523000000000039</c:v>
                </c:pt>
                <c:pt idx="2">
                  <c:v>-9.4209999999999923</c:v>
                </c:pt>
                <c:pt idx="3">
                  <c:v>1.1069999999999567</c:v>
                </c:pt>
                <c:pt idx="4">
                  <c:v>17.664999999999999</c:v>
                </c:pt>
                <c:pt idx="5">
                  <c:v>16.209000000000117</c:v>
                </c:pt>
                <c:pt idx="6">
                  <c:v>6.5190000000000943</c:v>
                </c:pt>
                <c:pt idx="7">
                  <c:v>7.5749999999999176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A-466F-B286-0DF790C37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0710528"/>
        <c:axId val="170712064"/>
      </c:barChart>
      <c:catAx>
        <c:axId val="1707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1206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70712064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10528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085271317829467E-2"/>
          <c:y val="0.28908554572271788"/>
          <c:w val="0.89341085271318565"/>
          <c:h val="0.6076696165192071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(Rozdíly!$D$33,Rozdíly!$G$33,Rozdíly!$J$33,Rozdíly!$M$33,Rozdíly!$P$33,Rozdíly!$S$33,Rozdíly!$V$33,Rozdíly!$Y$33)</c:f>
              <c:numCache>
                <c:formatCode>0.0%</c:formatCode>
                <c:ptCount val="8"/>
                <c:pt idx="0">
                  <c:v>-8.3736762481089216E-2</c:v>
                </c:pt>
                <c:pt idx="1">
                  <c:v>6.6693877551020575E-2</c:v>
                </c:pt>
                <c:pt idx="2">
                  <c:v>-4.8122797159932541E-2</c:v>
                </c:pt>
                <c:pt idx="3">
                  <c:v>6.0016264570341921E-3</c:v>
                </c:pt>
                <c:pt idx="4">
                  <c:v>8.1960747923722918E-2</c:v>
                </c:pt>
                <c:pt idx="5">
                  <c:v>7.6638297872340944E-2</c:v>
                </c:pt>
                <c:pt idx="6">
                  <c:v>3.6190529062344365E-2</c:v>
                </c:pt>
                <c:pt idx="7">
                  <c:v>3.7814496805111425E-2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4-4997-B1B9-45572CC33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0756736"/>
        <c:axId val="170758528"/>
      </c:barChart>
      <c:catAx>
        <c:axId val="17075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5852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7075852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56736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076991696393964E-2"/>
          <c:y val="0.2882357080590936"/>
          <c:w val="0.89615468764525208"/>
          <c:h val="0.6088244037574870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(Rozdíly!$D$31:$D$31,Rozdíly!$G$31:$G$31,Rozdíly!$J$31:$J$31,Rozdíly!$M$31:$M$31,Rozdíly!$P$31:$P$31,Rozdíly!$S$31:$S$31,Rozdíly!$V$31:$V$31,Rozdíly!$Y$31:$Y$31)</c:f>
              <c:numCache>
                <c:formatCode>General</c:formatCode>
                <c:ptCount val="8"/>
                <c:pt idx="0">
                  <c:v>-14.390999999999991</c:v>
                </c:pt>
                <c:pt idx="1">
                  <c:v>15.523000000000039</c:v>
                </c:pt>
                <c:pt idx="2">
                  <c:v>-9.4209999999999923</c:v>
                </c:pt>
                <c:pt idx="3">
                  <c:v>1.1069999999999567</c:v>
                </c:pt>
                <c:pt idx="4">
                  <c:v>17.664999999999999</c:v>
                </c:pt>
                <c:pt idx="5">
                  <c:v>16.209000000000117</c:v>
                </c:pt>
                <c:pt idx="6">
                  <c:v>6.5190000000000943</c:v>
                </c:pt>
                <c:pt idx="7">
                  <c:v>7.5749999999999176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3-4E83-829A-FDC5E6DAF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2147968"/>
        <c:axId val="142149504"/>
      </c:barChart>
      <c:catAx>
        <c:axId val="14214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14950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2149504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147968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0331350554388"/>
          <c:y val="0.28908637849828461"/>
          <c:w val="0.85852875660270356"/>
          <c:h val="0.6076713670474036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(Rozdíly!$D$33:$D$33,Rozdíly!$G$33:$G$33,Rozdíly!$J$33:$J$33,Rozdíly!$M$33:$M$33,Rozdíly!$P$33:$P$33,Rozdíly!$S$33:$S$33,Rozdíly!$V$33:$V$33,Rozdíly!$Y$33:$Y$33)</c:f>
              <c:numCache>
                <c:formatCode>0.0%</c:formatCode>
                <c:ptCount val="8"/>
                <c:pt idx="0">
                  <c:v>-8.3736762481089216E-2</c:v>
                </c:pt>
                <c:pt idx="1">
                  <c:v>6.6693877551020575E-2</c:v>
                </c:pt>
                <c:pt idx="2">
                  <c:v>-4.8122797159932541E-2</c:v>
                </c:pt>
                <c:pt idx="3">
                  <c:v>6.0016264570341921E-3</c:v>
                </c:pt>
                <c:pt idx="4">
                  <c:v>8.1960747923722918E-2</c:v>
                </c:pt>
                <c:pt idx="5">
                  <c:v>7.6638297872340944E-2</c:v>
                </c:pt>
                <c:pt idx="6">
                  <c:v>3.6190529062344365E-2</c:v>
                </c:pt>
                <c:pt idx="7">
                  <c:v>3.7814496805111425E-2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F-43F5-9B36-CAEAE8CA4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3367552"/>
        <c:axId val="143811328"/>
      </c:barChart>
      <c:catAx>
        <c:axId val="14336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381132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381132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3367552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Leden</c:v>
          </c:tx>
          <c:spPr>
            <a:solidFill>
              <a:schemeClr val="tx2"/>
            </a:solidFill>
          </c:spPr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'Teplo-Paty'!$C$6:$C$27</c:f>
              <c:numCache>
                <c:formatCode>0.000</c:formatCode>
                <c:ptCount val="8"/>
                <c:pt idx="0">
                  <c:v>118.88157894736847</c:v>
                </c:pt>
                <c:pt idx="1">
                  <c:v>100.49528301886795</c:v>
                </c:pt>
                <c:pt idx="2">
                  <c:v>167.42358078602609</c:v>
                </c:pt>
                <c:pt idx="3">
                  <c:v>158.65800865800855</c:v>
                </c:pt>
                <c:pt idx="4">
                  <c:v>142.35521235521236</c:v>
                </c:pt>
                <c:pt idx="5">
                  <c:v>159.96000000000049</c:v>
                </c:pt>
                <c:pt idx="6">
                  <c:v>149.35222672064819</c:v>
                </c:pt>
                <c:pt idx="7">
                  <c:v>141.38888888888897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5-41F7-BAEA-9226FDD923CC}"/>
            </c:ext>
          </c:extLst>
        </c:ser>
        <c:ser>
          <c:idx val="0"/>
          <c:order val="1"/>
          <c:tx>
            <c:v>Únor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'Teplo-Paty'!$D$6:$D$27</c:f>
              <c:numCache>
                <c:formatCode>0.000</c:formatCode>
                <c:ptCount val="8"/>
                <c:pt idx="0">
                  <c:v>125.87234042553186</c:v>
                </c:pt>
                <c:pt idx="1">
                  <c:v>99.34673366834177</c:v>
                </c:pt>
                <c:pt idx="2">
                  <c:v>158.55140186915892</c:v>
                </c:pt>
                <c:pt idx="3">
                  <c:v>149.2626728110601</c:v>
                </c:pt>
                <c:pt idx="4">
                  <c:v>148.63636363636385</c:v>
                </c:pt>
                <c:pt idx="5">
                  <c:v>159.95238095238057</c:v>
                </c:pt>
                <c:pt idx="6">
                  <c:v>151.70854271356754</c:v>
                </c:pt>
                <c:pt idx="7">
                  <c:v>150.88105726872249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5-41F7-BAEA-9226FDD923CC}"/>
            </c:ext>
          </c:extLst>
        </c:ser>
        <c:ser>
          <c:idx val="2"/>
          <c:order val="2"/>
          <c:tx>
            <c:v>Březen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'Teplo-Paty'!$E$6:$E$27</c:f>
              <c:numCache>
                <c:formatCode>0.000</c:formatCode>
                <c:ptCount val="8"/>
                <c:pt idx="0">
                  <c:v>127.80141843971619</c:v>
                </c:pt>
                <c:pt idx="1">
                  <c:v>113.23529411764689</c:v>
                </c:pt>
                <c:pt idx="2">
                  <c:v>119.32926829268288</c:v>
                </c:pt>
                <c:pt idx="3">
                  <c:v>137.13235294117632</c:v>
                </c:pt>
                <c:pt idx="4">
                  <c:v>123.96984924623095</c:v>
                </c:pt>
                <c:pt idx="5">
                  <c:v>146.77852348993216</c:v>
                </c:pt>
                <c:pt idx="6">
                  <c:v>154</c:v>
                </c:pt>
                <c:pt idx="7">
                  <c:v>148.73134328358174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5-41F7-BAEA-9226FDD923CC}"/>
            </c:ext>
          </c:extLst>
        </c:ser>
        <c:ser>
          <c:idx val="3"/>
          <c:order val="3"/>
          <c:tx>
            <c:v>Duben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'Teplo-Paty'!$F$6:$F$27</c:f>
              <c:numCache>
                <c:formatCode>0.000</c:formatCode>
                <c:ptCount val="8"/>
                <c:pt idx="0">
                  <c:v>124.60000000000036</c:v>
                </c:pt>
                <c:pt idx="1">
                  <c:v>80.127388535032111</c:v>
                </c:pt>
                <c:pt idx="2">
                  <c:v>124.57142857142895</c:v>
                </c:pt>
                <c:pt idx="3">
                  <c:v>134.68750000000006</c:v>
                </c:pt>
                <c:pt idx="4">
                  <c:v>114.68468468468484</c:v>
                </c:pt>
                <c:pt idx="5">
                  <c:v>148.78378378378366</c:v>
                </c:pt>
                <c:pt idx="6">
                  <c:v>169.33333333333346</c:v>
                </c:pt>
                <c:pt idx="7">
                  <c:v>137.77777777777877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35-41F7-BAEA-9226FDD923CC}"/>
            </c:ext>
          </c:extLst>
        </c:ser>
        <c:ser>
          <c:idx val="4"/>
          <c:order val="4"/>
          <c:tx>
            <c:v>Květen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'Teplo-Paty'!$G$6:$G$27</c:f>
              <c:numCache>
                <c:formatCode>0.000</c:formatCode>
                <c:ptCount val="8"/>
                <c:pt idx="0">
                  <c:v>115.51724137931113</c:v>
                </c:pt>
                <c:pt idx="1">
                  <c:v>61.014492753622889</c:v>
                </c:pt>
                <c:pt idx="2">
                  <c:v>154.37499999999994</c:v>
                </c:pt>
                <c:pt idx="3">
                  <c:v>136.36363636363635</c:v>
                </c:pt>
                <c:pt idx="4">
                  <c:v>122.26415094339657</c:v>
                </c:pt>
                <c:pt idx="5">
                  <c:v>157.11111111111475</c:v>
                </c:pt>
                <c:pt idx="6">
                  <c:v>166.99999999999972</c:v>
                </c:pt>
                <c:pt idx="7">
                  <c:v>133.69565217391255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35-41F7-BAEA-9226FDD923CC}"/>
            </c:ext>
          </c:extLst>
        </c:ser>
        <c:ser>
          <c:idx val="5"/>
          <c:order val="5"/>
          <c:tx>
            <c:v>Červen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'Teplo-Paty'!$H$6:$H$27</c:f>
              <c:numCache>
                <c:formatCode>0.000</c:formatCode>
                <c:ptCount val="8"/>
                <c:pt idx="0">
                  <c:v>110</c:v>
                </c:pt>
                <c:pt idx="1">
                  <c:v>54.864154250657066</c:v>
                </c:pt>
                <c:pt idx="2">
                  <c:v>144.78260869565148</c:v>
                </c:pt>
                <c:pt idx="3">
                  <c:v>133.63636363636351</c:v>
                </c:pt>
                <c:pt idx="4">
                  <c:v>97.333333333331964</c:v>
                </c:pt>
                <c:pt idx="5">
                  <c:v>154.73684210525406</c:v>
                </c:pt>
                <c:pt idx="6">
                  <c:v>167.50000000000398</c:v>
                </c:pt>
                <c:pt idx="7">
                  <c:v>120.79999999999927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35-41F7-BAEA-9226FDD923CC}"/>
            </c:ext>
          </c:extLst>
        </c:ser>
        <c:ser>
          <c:idx val="6"/>
          <c:order val="6"/>
          <c:tx>
            <c:v>Červenec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'Teplo-Paty'!$I$6:$I$27</c:f>
              <c:numCache>
                <c:formatCode>0.000</c:formatCode>
                <c:ptCount val="8"/>
                <c:pt idx="0">
                  <c:v>87.499999999998579</c:v>
                </c:pt>
                <c:pt idx="1">
                  <c:v>56.691253951528097</c:v>
                </c:pt>
                <c:pt idx="2">
                  <c:v>128.26086956521689</c:v>
                </c:pt>
                <c:pt idx="3">
                  <c:v>107.27272727272789</c:v>
                </c:pt>
                <c:pt idx="4">
                  <c:v>93.448275862070219</c:v>
                </c:pt>
                <c:pt idx="5">
                  <c:v>142.77777777778689</c:v>
                </c:pt>
                <c:pt idx="6">
                  <c:v>141.4285714285646</c:v>
                </c:pt>
                <c:pt idx="7">
                  <c:v>108.18181818182313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35-41F7-BAEA-9226FDD923CC}"/>
            </c:ext>
          </c:extLst>
        </c:ser>
        <c:ser>
          <c:idx val="7"/>
          <c:order val="7"/>
          <c:tx>
            <c:v>Srpen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'Teplo-Paty'!$J$6:$J$27</c:f>
              <c:numCache>
                <c:formatCode>0.000</c:formatCode>
                <c:ptCount val="8"/>
                <c:pt idx="0">
                  <c:v>103.00000000000011</c:v>
                </c:pt>
                <c:pt idx="1">
                  <c:v>62.463768115942067</c:v>
                </c:pt>
                <c:pt idx="2">
                  <c:v>139.56521739130594</c:v>
                </c:pt>
                <c:pt idx="3">
                  <c:v>135.21739130434597</c:v>
                </c:pt>
                <c:pt idx="4">
                  <c:v>109.23076923076607</c:v>
                </c:pt>
                <c:pt idx="5">
                  <c:v>159.50000000000273</c:v>
                </c:pt>
                <c:pt idx="6">
                  <c:v>156.0000000000021</c:v>
                </c:pt>
                <c:pt idx="7">
                  <c:v>126.49999999999864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35-41F7-BAEA-9226FDD923CC}"/>
            </c:ext>
          </c:extLst>
        </c:ser>
        <c:ser>
          <c:idx val="8"/>
          <c:order val="8"/>
          <c:tx>
            <c:v>Září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'Teplo-Paty'!$K$6:$K$27</c:f>
              <c:numCache>
                <c:formatCode>0.000</c:formatCode>
                <c:ptCount val="8"/>
                <c:pt idx="0">
                  <c:v>106.400000000001</c:v>
                </c:pt>
                <c:pt idx="1">
                  <c:v>43.45238095238102</c:v>
                </c:pt>
                <c:pt idx="2">
                  <c:v>145.75757575757584</c:v>
                </c:pt>
                <c:pt idx="3">
                  <c:v>127.81250000000099</c:v>
                </c:pt>
                <c:pt idx="4">
                  <c:v>90.972222222223181</c:v>
                </c:pt>
                <c:pt idx="5">
                  <c:v>142.70270270270197</c:v>
                </c:pt>
                <c:pt idx="6">
                  <c:v>147.27272727272771</c:v>
                </c:pt>
                <c:pt idx="7">
                  <c:v>115.64102564102541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35-41F7-BAEA-9226FDD923CC}"/>
            </c:ext>
          </c:extLst>
        </c:ser>
        <c:ser>
          <c:idx val="9"/>
          <c:order val="9"/>
          <c:tx>
            <c:v>Říjen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'Teplo-Paty'!$L$6:$L$27</c:f>
              <c:numCache>
                <c:formatCode>0.000</c:formatCode>
                <c:ptCount val="8"/>
                <c:pt idx="0">
                  <c:v>104.63414634146322</c:v>
                </c:pt>
                <c:pt idx="1">
                  <c:v>84.728260869565389</c:v>
                </c:pt>
                <c:pt idx="2">
                  <c:v>130.10989010988982</c:v>
                </c:pt>
                <c:pt idx="3">
                  <c:v>120.49504950495066</c:v>
                </c:pt>
                <c:pt idx="4">
                  <c:v>110.50561797752786</c:v>
                </c:pt>
                <c:pt idx="5">
                  <c:v>129.56140350877178</c:v>
                </c:pt>
                <c:pt idx="6">
                  <c:v>137.5</c:v>
                </c:pt>
                <c:pt idx="7">
                  <c:v>112.19298245614003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35-41F7-BAEA-9226FDD923CC}"/>
            </c:ext>
          </c:extLst>
        </c:ser>
        <c:ser>
          <c:idx val="10"/>
          <c:order val="10"/>
          <c:tx>
            <c:v>Listopad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'Teplo-Paty'!$M$6:$M$27</c:f>
              <c:numCache>
                <c:formatCode>0.000</c:formatCode>
                <c:ptCount val="8"/>
                <c:pt idx="0">
                  <c:v>134.56310679611664</c:v>
                </c:pt>
                <c:pt idx="1">
                  <c:v>112.58181818181831</c:v>
                </c:pt>
                <c:pt idx="2">
                  <c:v>158.3854166666668</c:v>
                </c:pt>
                <c:pt idx="3">
                  <c:v>158.89534883720921</c:v>
                </c:pt>
                <c:pt idx="4">
                  <c:v>147.51091703056807</c:v>
                </c:pt>
                <c:pt idx="5">
                  <c:v>132.93877551020384</c:v>
                </c:pt>
                <c:pt idx="6">
                  <c:v>154.18994413407833</c:v>
                </c:pt>
                <c:pt idx="7">
                  <c:v>143.49753694581221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35-41F7-BAEA-9226FDD923CC}"/>
            </c:ext>
          </c:extLst>
        </c:ser>
        <c:ser>
          <c:idx val="11"/>
          <c:order val="11"/>
          <c:tx>
            <c:v>Prosinec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'Teplo-Paty'!$N$6:$N$27</c:f>
              <c:numCache>
                <c:formatCode>0.000</c:formatCode>
                <c:ptCount val="8"/>
                <c:pt idx="0">
                  <c:v>147.16216216216199</c:v>
                </c:pt>
                <c:pt idx="1">
                  <c:v>115.04702194357345</c:v>
                </c:pt>
                <c:pt idx="2">
                  <c:v>172.92307692307676</c:v>
                </c:pt>
                <c:pt idx="3">
                  <c:v>164.7916666666666</c:v>
                </c:pt>
                <c:pt idx="4">
                  <c:v>168.0499999999995</c:v>
                </c:pt>
                <c:pt idx="5">
                  <c:v>112.42331288343587</c:v>
                </c:pt>
                <c:pt idx="6">
                  <c:v>160.84577114427881</c:v>
                </c:pt>
                <c:pt idx="7">
                  <c:v>136.71698113207555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35-41F7-BAEA-9226FDD92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273664"/>
        <c:axId val="174275200"/>
      </c:barChart>
      <c:catAx>
        <c:axId val="17427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275200"/>
        <c:crosses val="autoZero"/>
        <c:auto val="1"/>
        <c:lblAlgn val="ctr"/>
        <c:lblOffset val="100"/>
        <c:noMultiLvlLbl val="0"/>
      </c:catAx>
      <c:valAx>
        <c:axId val="17427520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27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6212283149"/>
          <c:y val="5.2192758993361184E-2"/>
          <c:w val="7.7368545379180989E-2"/>
          <c:h val="0.81545429983016826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826115239831933E-2"/>
          <c:y val="3.4477512344855202E-2"/>
          <c:w val="0.84771471885062233"/>
          <c:h val="0.8046136393967775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('Voda-Paty'!$C$4:$C$11,'Voda-Paty'!$C$14)</c:f>
              <c:numCache>
                <c:formatCode>#\ ##0.0</c:formatCode>
                <c:ptCount val="9"/>
                <c:pt idx="0">
                  <c:v>73.5</c:v>
                </c:pt>
                <c:pt idx="1">
                  <c:v>80.500000000000014</c:v>
                </c:pt>
                <c:pt idx="2">
                  <c:v>87.699999999999989</c:v>
                </c:pt>
                <c:pt idx="3">
                  <c:v>79.899999999999977</c:v>
                </c:pt>
                <c:pt idx="4">
                  <c:v>57.900000000000006</c:v>
                </c:pt>
                <c:pt idx="5">
                  <c:v>72.8</c:v>
                </c:pt>
                <c:pt idx="6">
                  <c:v>75.899999999999991</c:v>
                </c:pt>
                <c:pt idx="7">
                  <c:v>86.6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A-4C20-B3B9-E83C105E3A3B}"/>
            </c:ext>
          </c:extLst>
        </c:ser>
        <c:ser>
          <c:idx val="0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('Voda-Paty'!$D$4:$D$11,'Voda-Paty'!$D$14)</c:f>
              <c:numCache>
                <c:formatCode>#\ ##0.0</c:formatCode>
                <c:ptCount val="9"/>
                <c:pt idx="0">
                  <c:v>68.300000000000011</c:v>
                </c:pt>
                <c:pt idx="1">
                  <c:v>81.5</c:v>
                </c:pt>
                <c:pt idx="2">
                  <c:v>80.400000000000006</c:v>
                </c:pt>
                <c:pt idx="3">
                  <c:v>76.100000000000023</c:v>
                </c:pt>
                <c:pt idx="4">
                  <c:v>58.600000000000009</c:v>
                </c:pt>
                <c:pt idx="5">
                  <c:v>67.300000000000011</c:v>
                </c:pt>
                <c:pt idx="6">
                  <c:v>63.099999999999994</c:v>
                </c:pt>
                <c:pt idx="7">
                  <c:v>78.5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A-4C20-B3B9-E83C105E3A3B}"/>
            </c:ext>
          </c:extLst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('Voda-Paty'!$E$4:$E$11,'Voda-Paty'!$E$14)</c:f>
              <c:numCache>
                <c:formatCode>#\ ##0.0</c:formatCode>
                <c:ptCount val="9"/>
                <c:pt idx="0">
                  <c:v>81.599999999999994</c:v>
                </c:pt>
                <c:pt idx="1">
                  <c:v>94.599999999999966</c:v>
                </c:pt>
                <c:pt idx="2">
                  <c:v>87.9</c:v>
                </c:pt>
                <c:pt idx="3">
                  <c:v>96.5</c:v>
                </c:pt>
                <c:pt idx="4">
                  <c:v>62.099999999999994</c:v>
                </c:pt>
                <c:pt idx="5">
                  <c:v>81.400000000000006</c:v>
                </c:pt>
                <c:pt idx="6">
                  <c:v>71.900000000000034</c:v>
                </c:pt>
                <c:pt idx="7">
                  <c:v>78.300000000000011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4A-4C20-B3B9-E83C105E3A3B}"/>
            </c:ext>
          </c:extLst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('Voda-Paty'!$F$4:$F$11,'Voda-Paty'!$F$14)</c:f>
              <c:numCache>
                <c:formatCode>#\ ##0.0</c:formatCode>
                <c:ptCount val="9"/>
                <c:pt idx="0">
                  <c:v>87.899999999999977</c:v>
                </c:pt>
                <c:pt idx="1">
                  <c:v>91.800000000000011</c:v>
                </c:pt>
                <c:pt idx="2">
                  <c:v>88.899999999999977</c:v>
                </c:pt>
                <c:pt idx="3">
                  <c:v>86.433999999999969</c:v>
                </c:pt>
                <c:pt idx="4">
                  <c:v>66.299999999999983</c:v>
                </c:pt>
                <c:pt idx="5">
                  <c:v>78.300000000000011</c:v>
                </c:pt>
                <c:pt idx="6">
                  <c:v>75.599999999999966</c:v>
                </c:pt>
                <c:pt idx="7">
                  <c:v>79.399999999999977</c:v>
                </c:pt>
                <c:pt idx="8" formatCode="#\ ##0.000">
                  <c:v>8.5660000000000309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4A-4C20-B3B9-E83C105E3A3B}"/>
            </c:ext>
          </c:extLst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('Voda-Paty'!$G$4:$G$11,'Voda-Paty'!$G$14)</c:f>
              <c:numCache>
                <c:formatCode>#\ ##0.0</c:formatCode>
                <c:ptCount val="9"/>
                <c:pt idx="0">
                  <c:v>79.200000000000045</c:v>
                </c:pt>
                <c:pt idx="1">
                  <c:v>88.699999999999989</c:v>
                </c:pt>
                <c:pt idx="2">
                  <c:v>86.899999999999977</c:v>
                </c:pt>
                <c:pt idx="3">
                  <c:v>82.38799999999992</c:v>
                </c:pt>
                <c:pt idx="4">
                  <c:v>56.600000000000023</c:v>
                </c:pt>
                <c:pt idx="5">
                  <c:v>73</c:v>
                </c:pt>
                <c:pt idx="6">
                  <c:v>74</c:v>
                </c:pt>
                <c:pt idx="7">
                  <c:v>80.300000000000011</c:v>
                </c:pt>
                <c:pt idx="8" formatCode="#\ ##0.000">
                  <c:v>15.412000000000035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4A-4C20-B3B9-E83C105E3A3B}"/>
            </c:ext>
          </c:extLst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('Voda-Paty'!$H$4:$H$11,'Voda-Paty'!$H$14)</c:f>
              <c:numCache>
                <c:formatCode>#\ ##0.0</c:formatCode>
                <c:ptCount val="9"/>
                <c:pt idx="0">
                  <c:v>76</c:v>
                </c:pt>
                <c:pt idx="1">
                  <c:v>80.399999999999977</c:v>
                </c:pt>
                <c:pt idx="2">
                  <c:v>72.800000000000068</c:v>
                </c:pt>
                <c:pt idx="3">
                  <c:v>71.399999999999977</c:v>
                </c:pt>
                <c:pt idx="4">
                  <c:v>50.699999999999989</c:v>
                </c:pt>
                <c:pt idx="5">
                  <c:v>64.899999999999977</c:v>
                </c:pt>
                <c:pt idx="6">
                  <c:v>61.5</c:v>
                </c:pt>
                <c:pt idx="7">
                  <c:v>69.5</c:v>
                </c:pt>
                <c:pt idx="8" formatCode="#\ ##0.00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4A-4C20-B3B9-E83C105E3A3B}"/>
            </c:ext>
          </c:extLst>
        </c:ser>
        <c:ser>
          <c:idx val="10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('Voda-Paty'!$I$4:$I$11,'Voda-Paty'!$I$14)</c:f>
              <c:numCache>
                <c:formatCode>#\ ##0.0</c:formatCode>
                <c:ptCount val="9"/>
                <c:pt idx="0">
                  <c:v>66.299999999999955</c:v>
                </c:pt>
                <c:pt idx="1">
                  <c:v>86.200000000000045</c:v>
                </c:pt>
                <c:pt idx="2">
                  <c:v>76.199999999999932</c:v>
                </c:pt>
                <c:pt idx="3">
                  <c:v>65.33400000000006</c:v>
                </c:pt>
                <c:pt idx="4">
                  <c:v>59.899999999999977</c:v>
                </c:pt>
                <c:pt idx="5">
                  <c:v>66.799999999999955</c:v>
                </c:pt>
                <c:pt idx="6">
                  <c:v>54.300000000000011</c:v>
                </c:pt>
                <c:pt idx="7">
                  <c:v>67.399999999999977</c:v>
                </c:pt>
                <c:pt idx="8" formatCode="#\ ##0.000">
                  <c:v>19.966000000000008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4A-4C20-B3B9-E83C105E3A3B}"/>
            </c:ext>
          </c:extLst>
        </c:ser>
        <c:ser>
          <c:idx val="12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('Voda-Paty'!$J$4:$J$11,'Voda-Paty'!$J$14)</c:f>
              <c:numCache>
                <c:formatCode>#\ ##0.0</c:formatCode>
                <c:ptCount val="9"/>
                <c:pt idx="0">
                  <c:v>75.700000000000045</c:v>
                </c:pt>
                <c:pt idx="1">
                  <c:v>90.399999999999977</c:v>
                </c:pt>
                <c:pt idx="2">
                  <c:v>78.600000000000023</c:v>
                </c:pt>
                <c:pt idx="3">
                  <c:v>80.094000000000051</c:v>
                </c:pt>
                <c:pt idx="4">
                  <c:v>63.300000000000068</c:v>
                </c:pt>
                <c:pt idx="5">
                  <c:v>76.300000000000068</c:v>
                </c:pt>
                <c:pt idx="6">
                  <c:v>62.5</c:v>
                </c:pt>
                <c:pt idx="7">
                  <c:v>70.899999999999977</c:v>
                </c:pt>
                <c:pt idx="8" formatCode="#\ ##0.000">
                  <c:v>23.905999999999949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4A-4C20-B3B9-E83C105E3A3B}"/>
            </c:ext>
          </c:extLst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('Voda-Paty'!$K$4:$K$11,'Voda-Paty'!$K$14)</c:f>
              <c:numCache>
                <c:formatCode>#\ ##0.0</c:formatCode>
                <c:ptCount val="9"/>
                <c:pt idx="0">
                  <c:v>69.799999999999955</c:v>
                </c:pt>
                <c:pt idx="1">
                  <c:v>85.399999999999977</c:v>
                </c:pt>
                <c:pt idx="2">
                  <c:v>89.100000000000023</c:v>
                </c:pt>
                <c:pt idx="3">
                  <c:v>85.071000000000026</c:v>
                </c:pt>
                <c:pt idx="4">
                  <c:v>60.199999999999932</c:v>
                </c:pt>
                <c:pt idx="5">
                  <c:v>75.799999999999955</c:v>
                </c:pt>
                <c:pt idx="6">
                  <c:v>66.200000000000045</c:v>
                </c:pt>
                <c:pt idx="7">
                  <c:v>79.300000000000068</c:v>
                </c:pt>
                <c:pt idx="8" formatCode="#\ ##0.000">
                  <c:v>10.828999999999951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4A-4C20-B3B9-E83C105E3A3B}"/>
            </c:ext>
          </c:extLst>
        </c:ser>
        <c:ser>
          <c:idx val="6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('Voda-Paty'!$L$4:$L$11,'Voda-Paty'!$L$14)</c:f>
              <c:numCache>
                <c:formatCode>#\ ##0.0</c:formatCode>
                <c:ptCount val="9"/>
                <c:pt idx="0">
                  <c:v>65.800000000000068</c:v>
                </c:pt>
                <c:pt idx="1">
                  <c:v>83.600000000000023</c:v>
                </c:pt>
                <c:pt idx="2">
                  <c:v>86.200000000000045</c:v>
                </c:pt>
                <c:pt idx="3">
                  <c:v>82.002999999999929</c:v>
                </c:pt>
                <c:pt idx="4">
                  <c:v>56.700000000000045</c:v>
                </c:pt>
                <c:pt idx="5">
                  <c:v>75.700000000000045</c:v>
                </c:pt>
                <c:pt idx="6">
                  <c:v>72.599999999999909</c:v>
                </c:pt>
                <c:pt idx="7">
                  <c:v>82</c:v>
                </c:pt>
                <c:pt idx="8" formatCode="#\ ##0.000">
                  <c:v>1.1970000000000027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C4A-4C20-B3B9-E83C105E3A3B}"/>
            </c:ext>
          </c:extLst>
        </c:ser>
        <c:ser>
          <c:idx val="7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('Voda-Paty'!$M$4:$M$11,'Voda-Paty'!$M$14)</c:f>
              <c:numCache>
                <c:formatCode>#\ ##0.0</c:formatCode>
                <c:ptCount val="9"/>
                <c:pt idx="0">
                  <c:v>88</c:v>
                </c:pt>
                <c:pt idx="1">
                  <c:v>92.000000000000114</c:v>
                </c:pt>
                <c:pt idx="2">
                  <c:v>86.799999999999955</c:v>
                </c:pt>
                <c:pt idx="3">
                  <c:v>84.726999999999975</c:v>
                </c:pt>
                <c:pt idx="4">
                  <c:v>65.299999999999955</c:v>
                </c:pt>
                <c:pt idx="5">
                  <c:v>79.600000000000023</c:v>
                </c:pt>
                <c:pt idx="6">
                  <c:v>70.5</c:v>
                </c:pt>
                <c:pt idx="7">
                  <c:v>88.699999999999932</c:v>
                </c:pt>
                <c:pt idx="8" formatCode="#\ ##0.000">
                  <c:v>1.7730000000000246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4A-4C20-B3B9-E83C105E3A3B}"/>
            </c:ext>
          </c:extLst>
        </c:ser>
        <c:ser>
          <c:idx val="9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('Voda-Paty'!$N$4:$N$11,'Voda-Paty'!$N$14)</c:f>
              <c:numCache>
                <c:formatCode>#\ ##0.0</c:formatCode>
                <c:ptCount val="9"/>
                <c:pt idx="0">
                  <c:v>85.399999999999977</c:v>
                </c:pt>
                <c:pt idx="1">
                  <c:v>83.699999999999818</c:v>
                </c:pt>
                <c:pt idx="2">
                  <c:v>72.299999999999955</c:v>
                </c:pt>
                <c:pt idx="3">
                  <c:v>86.799999999999955</c:v>
                </c:pt>
                <c:pt idx="4">
                  <c:v>59.800000000000068</c:v>
                </c:pt>
                <c:pt idx="5">
                  <c:v>89.599999999999909</c:v>
                </c:pt>
                <c:pt idx="6">
                  <c:v>74.600000000000023</c:v>
                </c:pt>
                <c:pt idx="7">
                  <c:v>87.400000000000091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C4A-4C20-B3B9-E83C105E3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386176"/>
        <c:axId val="174392064"/>
      </c:barChart>
      <c:catAx>
        <c:axId val="17438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392064"/>
        <c:crosses val="autoZero"/>
        <c:auto val="1"/>
        <c:lblAlgn val="ctr"/>
        <c:lblOffset val="100"/>
        <c:noMultiLvlLbl val="0"/>
      </c:catAx>
      <c:valAx>
        <c:axId val="174392064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38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3299783307"/>
          <c:y val="1.8294408114239963E-2"/>
          <c:w val="7.6531432377634379E-2"/>
          <c:h val="0.94780724100663849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64883235749835"/>
          <c:y val="4.4543622918504513E-2"/>
          <c:w val="0.54653711555285756"/>
          <c:h val="0.879437383605057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'Voda-Paty'!$C$12:$C$13</c:f>
              <c:numCache>
                <c:formatCode>#\ ##0.0</c:formatCode>
                <c:ptCount val="2"/>
                <c:pt idx="0">
                  <c:v>332.59999999999854</c:v>
                </c:pt>
                <c:pt idx="1">
                  <c:v>286.5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8-4079-81C9-40D38B82ABBF}"/>
            </c:ext>
          </c:extLst>
        </c:ser>
        <c:ser>
          <c:idx val="1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'Voda-Paty'!$D$12:$D$13</c:f>
              <c:numCache>
                <c:formatCode>#\ ##0.0</c:formatCode>
                <c:ptCount val="2"/>
                <c:pt idx="0">
                  <c:v>317.30000000000291</c:v>
                </c:pt>
                <c:pt idx="1">
                  <c:v>261.10000000000036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8-4079-81C9-40D38B82ABBF}"/>
            </c:ext>
          </c:extLst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'Voda-Paty'!$E$12:$E$13</c:f>
              <c:numCache>
                <c:formatCode>#\ ##0.0</c:formatCode>
                <c:ptCount val="2"/>
                <c:pt idx="0">
                  <c:v>372.39999999999782</c:v>
                </c:pt>
                <c:pt idx="1">
                  <c:v>285.89999999999964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A8-4079-81C9-40D38B82ABBF}"/>
            </c:ext>
          </c:extLst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'Voda-Paty'!$F$12:$F$13</c:f>
              <c:numCache>
                <c:formatCode>#\ ##0.0</c:formatCode>
                <c:ptCount val="2"/>
                <c:pt idx="0">
                  <c:v>375.5</c:v>
                </c:pt>
                <c:pt idx="1">
                  <c:v>290.89999999999964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A8-4079-81C9-40D38B82ABBF}"/>
            </c:ext>
          </c:extLst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'Voda-Paty'!$G$12:$G$13</c:f>
              <c:numCache>
                <c:formatCode>#\ ##0.0</c:formatCode>
                <c:ptCount val="2"/>
                <c:pt idx="0">
                  <c:v>364.20000000000073</c:v>
                </c:pt>
                <c:pt idx="1">
                  <c:v>274.39999999999964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A8-4079-81C9-40D38B82ABBF}"/>
            </c:ext>
          </c:extLst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'Voda-Paty'!$H$12:$H$13</c:f>
              <c:numCache>
                <c:formatCode>#\ ##0.0</c:formatCode>
                <c:ptCount val="2"/>
                <c:pt idx="0">
                  <c:v>336</c:v>
                </c:pt>
                <c:pt idx="1">
                  <c:v>239.20000000000073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A8-4079-81C9-40D38B82ABBF}"/>
            </c:ext>
          </c:extLst>
        </c:ser>
        <c:ser>
          <c:idx val="6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'Voda-Paty'!$I$12:$I$13</c:f>
              <c:numCache>
                <c:formatCode>#\ ##0.0</c:formatCode>
                <c:ptCount val="2"/>
                <c:pt idx="0">
                  <c:v>326.79999999999927</c:v>
                </c:pt>
                <c:pt idx="1">
                  <c:v>241.60000000000036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A8-4079-81C9-40D38B82ABBF}"/>
            </c:ext>
          </c:extLst>
        </c:ser>
        <c:ser>
          <c:idx val="7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'Voda-Paty'!$J$12:$J$13</c:f>
              <c:numCache>
                <c:formatCode>#\ ##0.0</c:formatCode>
                <c:ptCount val="2"/>
                <c:pt idx="0">
                  <c:v>359.79999999999927</c:v>
                </c:pt>
                <c:pt idx="1">
                  <c:v>264.69999999999891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A8-4079-81C9-40D38B82ABBF}"/>
            </c:ext>
          </c:extLst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'Voda-Paty'!$K$12:$K$13</c:f>
              <c:numCache>
                <c:formatCode>#\ ##0.0</c:formatCode>
                <c:ptCount val="2"/>
                <c:pt idx="0">
                  <c:v>351</c:v>
                </c:pt>
                <c:pt idx="1">
                  <c:v>271.90000000000146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A8-4079-81C9-40D38B82ABBF}"/>
            </c:ext>
          </c:extLst>
        </c:ser>
        <c:ser>
          <c:idx val="9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'Voda-Paty'!$L$12:$L$13</c:f>
              <c:numCache>
                <c:formatCode>#\ ##0.0</c:formatCode>
                <c:ptCount val="2"/>
                <c:pt idx="0">
                  <c:v>331.70000000000073</c:v>
                </c:pt>
                <c:pt idx="1">
                  <c:v>112.20000000000073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7A8-4079-81C9-40D38B82ABBF}"/>
            </c:ext>
          </c:extLst>
        </c:ser>
        <c:ser>
          <c:idx val="10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'Voda-Paty'!$M$12:$M$13</c:f>
              <c:numCache>
                <c:formatCode>#\ ##0.0</c:formatCode>
                <c:ptCount val="2"/>
                <c:pt idx="0">
                  <c:v>364.70000000000073</c:v>
                </c:pt>
                <c:pt idx="1">
                  <c:v>256.09999999999854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A8-4079-81C9-40D38B82ABBF}"/>
            </c:ext>
          </c:extLst>
        </c:ser>
        <c:ser>
          <c:idx val="11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'Voda-Paty'!$N$12:$N$13</c:f>
              <c:numCache>
                <c:formatCode>#\ ##0.0</c:formatCode>
                <c:ptCount val="2"/>
                <c:pt idx="0">
                  <c:v>346</c:v>
                </c:pt>
                <c:pt idx="1">
                  <c:v>301.5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7A8-4079-81C9-40D38B82A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35712"/>
        <c:axId val="174453888"/>
      </c:barChart>
      <c:catAx>
        <c:axId val="174435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453888"/>
        <c:crosses val="autoZero"/>
        <c:auto val="1"/>
        <c:lblAlgn val="ctr"/>
        <c:lblOffset val="100"/>
        <c:noMultiLvlLbl val="0"/>
      </c:catAx>
      <c:valAx>
        <c:axId val="174453888"/>
        <c:scaling>
          <c:orientation val="minMax"/>
        </c:scaling>
        <c:delete val="0"/>
        <c:axPos val="l"/>
        <c:majorGridlines/>
        <c:numFmt formatCode="#\ ##0.0" sourceLinked="1"/>
        <c:majorTickMark val="out"/>
        <c:minorTickMark val="none"/>
        <c:tickLblPos val="nextTo"/>
        <c:crossAx val="174435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238125</xdr:colOff>
      <xdr:row>26</xdr:row>
      <xdr:rowOff>114300</xdr:rowOff>
    </xdr:from>
    <xdr:to>
      <xdr:col>45</xdr:col>
      <xdr:colOff>352425</xdr:colOff>
      <xdr:row>43</xdr:row>
      <xdr:rowOff>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85725</xdr:colOff>
      <xdr:row>26</xdr:row>
      <xdr:rowOff>114300</xdr:rowOff>
    </xdr:from>
    <xdr:to>
      <xdr:col>56</xdr:col>
      <xdr:colOff>266700</xdr:colOff>
      <xdr:row>42</xdr:row>
      <xdr:rowOff>190500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</xdr:col>
      <xdr:colOff>161925</xdr:colOff>
      <xdr:row>43</xdr:row>
      <xdr:rowOff>180974</xdr:rowOff>
    </xdr:from>
    <xdr:to>
      <xdr:col>56</xdr:col>
      <xdr:colOff>438150</xdr:colOff>
      <xdr:row>52</xdr:row>
      <xdr:rowOff>165099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171450</xdr:colOff>
      <xdr:row>52</xdr:row>
      <xdr:rowOff>171449</xdr:rowOff>
    </xdr:from>
    <xdr:to>
      <xdr:col>56</xdr:col>
      <xdr:colOff>457200</xdr:colOff>
      <xdr:row>62</xdr:row>
      <xdr:rowOff>139700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352425</xdr:colOff>
      <xdr:row>27</xdr:row>
      <xdr:rowOff>104775</xdr:rowOff>
    </xdr:from>
    <xdr:to>
      <xdr:col>19</xdr:col>
      <xdr:colOff>523875</xdr:colOff>
      <xdr:row>27</xdr:row>
      <xdr:rowOff>104776</xdr:rowOff>
    </xdr:to>
    <xdr:cxnSp macro="">
      <xdr:nvCxnSpPr>
        <xdr:cNvPr id="3" name="Přímá spojovací šipk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 bwMode="auto">
        <a:xfrm flipV="1">
          <a:off x="12715875" y="5353050"/>
          <a:ext cx="1019175" cy="1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17</xdr:col>
      <xdr:colOff>352425</xdr:colOff>
      <xdr:row>26</xdr:row>
      <xdr:rowOff>104775</xdr:rowOff>
    </xdr:from>
    <xdr:to>
      <xdr:col>19</xdr:col>
      <xdr:colOff>523875</xdr:colOff>
      <xdr:row>26</xdr:row>
      <xdr:rowOff>104776</xdr:rowOff>
    </xdr:to>
    <xdr:cxnSp macro="">
      <xdr:nvCxnSpPr>
        <xdr:cNvPr id="8" name="Přímá spojovací šipka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 bwMode="auto">
        <a:xfrm flipV="1">
          <a:off x="12715875" y="5162550"/>
          <a:ext cx="1019175" cy="1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9525</xdr:rowOff>
    </xdr:from>
    <xdr:to>
      <xdr:col>10</xdr:col>
      <xdr:colOff>561975</xdr:colOff>
      <xdr:row>52</xdr:row>
      <xdr:rowOff>0</xdr:rowOff>
    </xdr:to>
    <xdr:graphicFrame macro="">
      <xdr:nvGraphicFramePr>
        <xdr:cNvPr id="1744909" name="Chart 1">
          <a:extLst>
            <a:ext uri="{FF2B5EF4-FFF2-40B4-BE49-F238E27FC236}">
              <a16:creationId xmlns:a16="http://schemas.microsoft.com/office/drawing/2014/main" id="{00000000-0008-0000-1500-00000D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0</xdr:rowOff>
    </xdr:from>
    <xdr:to>
      <xdr:col>22</xdr:col>
      <xdr:colOff>171450</xdr:colOff>
      <xdr:row>51</xdr:row>
      <xdr:rowOff>180975</xdr:rowOff>
    </xdr:to>
    <xdr:graphicFrame macro="">
      <xdr:nvGraphicFramePr>
        <xdr:cNvPr id="1744910" name="Chart 2">
          <a:extLst>
            <a:ext uri="{FF2B5EF4-FFF2-40B4-BE49-F238E27FC236}">
              <a16:creationId xmlns:a16="http://schemas.microsoft.com/office/drawing/2014/main" id="{00000000-0008-0000-1500-00000E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1744911" name="Chart 1">
          <a:extLst>
            <a:ext uri="{FF2B5EF4-FFF2-40B4-BE49-F238E27FC236}">
              <a16:creationId xmlns:a16="http://schemas.microsoft.com/office/drawing/2014/main" id="{00000000-0008-0000-1500-00000F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1744912" name="Chart 2">
          <a:extLst>
            <a:ext uri="{FF2B5EF4-FFF2-40B4-BE49-F238E27FC236}">
              <a16:creationId xmlns:a16="http://schemas.microsoft.com/office/drawing/2014/main" id="{00000000-0008-0000-1500-000010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14</xdr:row>
      <xdr:rowOff>133350</xdr:rowOff>
    </xdr:from>
    <xdr:to>
      <xdr:col>3</xdr:col>
      <xdr:colOff>828675</xdr:colOff>
      <xdr:row>14</xdr:row>
      <xdr:rowOff>134938</xdr:rowOff>
    </xdr:to>
    <xdr:cxnSp macro="">
      <xdr:nvCxnSpPr>
        <xdr:cNvPr id="3" name="Přímá spojovací šipka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CxnSpPr/>
      </xdr:nvCxnSpPr>
      <xdr:spPr bwMode="auto">
        <a:xfrm>
          <a:off x="4229100" y="3343275"/>
          <a:ext cx="771525" cy="1588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22151" name="Chart 1">
          <a:extLst>
            <a:ext uri="{FF2B5EF4-FFF2-40B4-BE49-F238E27FC236}">
              <a16:creationId xmlns:a16="http://schemas.microsoft.com/office/drawing/2014/main" id="{00000000-0008-0000-1400-0000875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22152" name="Chart 2">
          <a:extLst>
            <a:ext uri="{FF2B5EF4-FFF2-40B4-BE49-F238E27FC236}">
              <a16:creationId xmlns:a16="http://schemas.microsoft.com/office/drawing/2014/main" id="{00000000-0008-0000-1400-0000885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27</xdr:row>
      <xdr:rowOff>114300</xdr:rowOff>
    </xdr:from>
    <xdr:to>
      <xdr:col>14</xdr:col>
      <xdr:colOff>19050</xdr:colOff>
      <xdr:row>41</xdr:row>
      <xdr:rowOff>38100</xdr:rowOff>
    </xdr:to>
    <xdr:graphicFrame macro="">
      <xdr:nvGraphicFramePr>
        <xdr:cNvPr id="1630229" name="Graf 1">
          <a:extLst>
            <a:ext uri="{FF2B5EF4-FFF2-40B4-BE49-F238E27FC236}">
              <a16:creationId xmlns:a16="http://schemas.microsoft.com/office/drawing/2014/main" id="{00000000-0008-0000-1800-000015E0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6351</xdr:colOff>
      <xdr:row>14</xdr:row>
      <xdr:rowOff>95250</xdr:rowOff>
    </xdr:from>
    <xdr:to>
      <xdr:col>15</xdr:col>
      <xdr:colOff>19051</xdr:colOff>
      <xdr:row>30</xdr:row>
      <xdr:rowOff>133350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228600</xdr:colOff>
      <xdr:row>3</xdr:row>
      <xdr:rowOff>104774</xdr:rowOff>
    </xdr:from>
    <xdr:to>
      <xdr:col>20</xdr:col>
      <xdr:colOff>152400</xdr:colOff>
      <xdr:row>30</xdr:row>
      <xdr:rowOff>139699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"/>
  <sheetViews>
    <sheetView topLeftCell="A13" workbookViewId="0">
      <selection activeCell="O2" sqref="O2"/>
    </sheetView>
  </sheetViews>
  <sheetFormatPr defaultRowHeight="14.5" x14ac:dyDescent="0.35"/>
  <cols>
    <col min="1" max="1" width="8.54296875" style="1" customWidth="1"/>
    <col min="2" max="2" width="26.1796875" customWidth="1"/>
    <col min="3" max="3" width="11" bestFit="1" customWidth="1"/>
    <col min="4" max="15" width="10.1796875" customWidth="1"/>
    <col min="16" max="16" width="12.26953125" bestFit="1" customWidth="1"/>
    <col min="17" max="17" width="10" bestFit="1" customWidth="1"/>
    <col min="18" max="18" width="9.453125" bestFit="1" customWidth="1"/>
    <col min="19" max="19" width="3.26953125" customWidth="1"/>
  </cols>
  <sheetData>
    <row r="1" spans="1:32" ht="15" thickBot="1" x14ac:dyDescent="0.4"/>
    <row r="2" spans="1:32" s="1" customFormat="1" ht="21" customHeight="1" thickBot="1" x14ac:dyDescent="0.55000000000000004">
      <c r="A2" s="112">
        <v>1850</v>
      </c>
      <c r="B2" s="2"/>
      <c r="C2" s="3">
        <v>45658</v>
      </c>
      <c r="D2" s="3">
        <v>45688</v>
      </c>
      <c r="E2" s="3">
        <v>45716</v>
      </c>
      <c r="F2" s="3">
        <v>45748</v>
      </c>
      <c r="G2" s="3">
        <v>45779</v>
      </c>
      <c r="H2" s="3">
        <v>45810</v>
      </c>
      <c r="I2" s="3">
        <v>45839</v>
      </c>
      <c r="J2" s="3">
        <v>45870</v>
      </c>
      <c r="K2" s="3">
        <v>45901</v>
      </c>
      <c r="L2" s="3">
        <v>45931</v>
      </c>
      <c r="M2" s="3">
        <v>45961</v>
      </c>
      <c r="N2" s="3">
        <v>45992</v>
      </c>
      <c r="O2" s="3">
        <v>46022</v>
      </c>
      <c r="P2" s="1" t="s">
        <v>0</v>
      </c>
      <c r="Q2" s="1" t="s">
        <v>1</v>
      </c>
      <c r="R2" s="1" t="s">
        <v>27</v>
      </c>
      <c r="U2" s="142"/>
      <c r="V2" s="143"/>
      <c r="W2" s="143"/>
      <c r="X2" s="143"/>
      <c r="Y2" s="143" t="s">
        <v>106</v>
      </c>
      <c r="Z2" s="143"/>
      <c r="AA2" s="143"/>
      <c r="AB2" s="143"/>
      <c r="AC2" s="143"/>
      <c r="AD2" s="143"/>
      <c r="AE2" s="143"/>
      <c r="AF2" s="147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79</v>
      </c>
      <c r="Q3" s="1" t="s">
        <v>78</v>
      </c>
      <c r="R3" s="1" t="s">
        <v>80</v>
      </c>
      <c r="T3" s="1" t="s">
        <v>105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303">
        <v>1</v>
      </c>
      <c r="B4" s="6" t="s">
        <v>326</v>
      </c>
      <c r="C4" s="7">
        <v>3.8290000000000002</v>
      </c>
      <c r="D4" s="7">
        <v>13.067</v>
      </c>
      <c r="E4" s="7">
        <v>21.617000000000001</v>
      </c>
      <c r="F4" s="7">
        <v>30.905999999999999</v>
      </c>
      <c r="G4" s="7">
        <v>46.883000000000003</v>
      </c>
      <c r="H4" s="7">
        <v>55.948999999999998</v>
      </c>
      <c r="I4" s="7">
        <v>63.594999999999999</v>
      </c>
      <c r="J4" s="7">
        <v>71.438999999999993</v>
      </c>
      <c r="K4" s="7">
        <v>84.326999999999998</v>
      </c>
      <c r="L4" s="8">
        <v>96.543000000000006</v>
      </c>
      <c r="M4" s="7">
        <v>107.006</v>
      </c>
      <c r="N4" s="7">
        <v>118.761</v>
      </c>
      <c r="O4" s="7">
        <v>131.76499999999999</v>
      </c>
      <c r="P4" s="9">
        <f>O4-C4</f>
        <v>127.93599999999999</v>
      </c>
      <c r="T4" s="1">
        <v>1</v>
      </c>
      <c r="U4" s="144">
        <f t="shared" ref="U4:AF4" si="0">D4-C4</f>
        <v>9.2379999999999995</v>
      </c>
      <c r="V4" s="144">
        <f t="shared" si="0"/>
        <v>8.5500000000000007</v>
      </c>
      <c r="W4" s="144">
        <f t="shared" si="0"/>
        <v>9.2889999999999979</v>
      </c>
      <c r="X4" s="144">
        <f t="shared" si="0"/>
        <v>15.977000000000004</v>
      </c>
      <c r="Y4" s="144">
        <f t="shared" si="0"/>
        <v>9.0659999999999954</v>
      </c>
      <c r="Z4" s="144">
        <f t="shared" si="0"/>
        <v>7.6460000000000008</v>
      </c>
      <c r="AA4" s="144">
        <f t="shared" si="0"/>
        <v>7.8439999999999941</v>
      </c>
      <c r="AB4" s="144">
        <f t="shared" si="0"/>
        <v>12.888000000000005</v>
      </c>
      <c r="AC4" s="144">
        <f t="shared" si="0"/>
        <v>12.216000000000008</v>
      </c>
      <c r="AD4" s="144">
        <f t="shared" si="0"/>
        <v>10.462999999999994</v>
      </c>
      <c r="AE4" s="144">
        <f t="shared" si="0"/>
        <v>11.754999999999995</v>
      </c>
      <c r="AF4" s="144">
        <f t="shared" si="0"/>
        <v>13.003999999999991</v>
      </c>
    </row>
    <row r="5" spans="1:32" x14ac:dyDescent="0.35">
      <c r="A5" s="303"/>
      <c r="B5" s="10" t="s">
        <v>192</v>
      </c>
      <c r="C5" s="11">
        <v>67.778999999999996</v>
      </c>
      <c r="D5" s="11">
        <v>71.835999999999999</v>
      </c>
      <c r="E5" s="11">
        <v>75.084999999999994</v>
      </c>
      <c r="F5" s="11">
        <v>77.27</v>
      </c>
      <c r="G5" s="11">
        <v>78.283000000000001</v>
      </c>
      <c r="H5" s="11">
        <v>78.930000000000007</v>
      </c>
      <c r="I5" s="11">
        <v>79.435000000000002</v>
      </c>
      <c r="J5" s="11">
        <v>79.947999999999993</v>
      </c>
      <c r="K5" s="11">
        <v>80.759</v>
      </c>
      <c r="L5" s="12">
        <v>81.492000000000004</v>
      </c>
      <c r="M5" s="11">
        <v>82.21</v>
      </c>
      <c r="N5" s="11">
        <v>84.677999999999997</v>
      </c>
      <c r="O5" s="11">
        <v>88.236999999999995</v>
      </c>
      <c r="P5" s="9"/>
      <c r="Q5" s="9">
        <f>O5-C5</f>
        <v>20.457999999999998</v>
      </c>
      <c r="T5" s="1"/>
      <c r="U5" s="145"/>
      <c r="V5" s="145"/>
      <c r="W5" s="145"/>
      <c r="X5" s="145"/>
      <c r="Y5" s="145"/>
      <c r="Z5" s="155">
        <f t="shared" ref="Z5:AF19" si="1">I5-H5</f>
        <v>0.50499999999999545</v>
      </c>
      <c r="AA5" s="155">
        <f t="shared" si="1"/>
        <v>0.51299999999999102</v>
      </c>
      <c r="AB5" s="155">
        <f t="shared" si="1"/>
        <v>0.81100000000000705</v>
      </c>
      <c r="AC5" s="155">
        <f t="shared" si="1"/>
        <v>0.73300000000000409</v>
      </c>
      <c r="AD5" s="155">
        <f t="shared" si="1"/>
        <v>0.71799999999998931</v>
      </c>
      <c r="AE5" s="155">
        <f t="shared" si="1"/>
        <v>2.4680000000000035</v>
      </c>
      <c r="AF5" s="155">
        <f t="shared" si="1"/>
        <v>3.5589999999999975</v>
      </c>
    </row>
    <row r="6" spans="1:32" x14ac:dyDescent="0.35">
      <c r="A6" s="302">
        <v>2</v>
      </c>
      <c r="B6" s="10" t="s">
        <v>327</v>
      </c>
      <c r="C6" s="11">
        <v>19.094999999999999</v>
      </c>
      <c r="D6" s="11">
        <v>34.634</v>
      </c>
      <c r="E6" s="11">
        <v>49.155000000000001</v>
      </c>
      <c r="F6" s="11">
        <v>65.991</v>
      </c>
      <c r="G6" s="11">
        <v>85.820999999999998</v>
      </c>
      <c r="H6" s="11">
        <v>104.238</v>
      </c>
      <c r="I6" s="11">
        <v>119.742</v>
      </c>
      <c r="J6" s="11">
        <v>131.547</v>
      </c>
      <c r="K6" s="11">
        <v>147.88499999999999</v>
      </c>
      <c r="L6" s="11">
        <v>159.79</v>
      </c>
      <c r="M6" s="11">
        <v>175.48599999999999</v>
      </c>
      <c r="N6" s="11">
        <v>192.98400000000001</v>
      </c>
      <c r="O6" s="11">
        <v>209.27199999999999</v>
      </c>
      <c r="P6" s="9">
        <f t="shared" ref="P6" si="2">O6-C6</f>
        <v>190.17699999999999</v>
      </c>
      <c r="T6" s="1">
        <v>2</v>
      </c>
      <c r="U6" s="146">
        <f t="shared" ref="U6:AF6" si="3">D6-C6</f>
        <v>15.539000000000001</v>
      </c>
      <c r="V6" s="146">
        <f t="shared" si="3"/>
        <v>14.521000000000001</v>
      </c>
      <c r="W6" s="146">
        <f t="shared" si="3"/>
        <v>16.835999999999999</v>
      </c>
      <c r="X6" s="146">
        <f t="shared" si="3"/>
        <v>19.829999999999998</v>
      </c>
      <c r="Y6" s="146">
        <f t="shared" si="3"/>
        <v>18.417000000000002</v>
      </c>
      <c r="Z6" s="146">
        <f t="shared" si="3"/>
        <v>15.504000000000005</v>
      </c>
      <c r="AA6" s="146">
        <f t="shared" si="3"/>
        <v>11.804999999999993</v>
      </c>
      <c r="AB6" s="146">
        <f t="shared" si="3"/>
        <v>16.337999999999994</v>
      </c>
      <c r="AC6" s="146">
        <f t="shared" si="3"/>
        <v>11.905000000000001</v>
      </c>
      <c r="AD6" s="146">
        <f t="shared" si="3"/>
        <v>15.695999999999998</v>
      </c>
      <c r="AE6" s="146">
        <f t="shared" si="3"/>
        <v>17.498000000000019</v>
      </c>
      <c r="AF6" s="146">
        <f t="shared" si="3"/>
        <v>16.287999999999982</v>
      </c>
    </row>
    <row r="7" spans="1:32" x14ac:dyDescent="0.35">
      <c r="A7" s="302"/>
      <c r="B7" s="10" t="s">
        <v>193</v>
      </c>
      <c r="C7" s="11">
        <v>83.238</v>
      </c>
      <c r="D7" s="11">
        <v>89.066999999999993</v>
      </c>
      <c r="E7" s="11">
        <v>94.210999999999999</v>
      </c>
      <c r="F7" s="11">
        <v>98.132000000000005</v>
      </c>
      <c r="G7" s="11">
        <v>100.154</v>
      </c>
      <c r="H7" s="11">
        <v>101.43300000000001</v>
      </c>
      <c r="I7" s="11">
        <v>102.307</v>
      </c>
      <c r="J7" s="11">
        <v>102.816</v>
      </c>
      <c r="K7" s="11">
        <v>103.57599999999999</v>
      </c>
      <c r="L7" s="11">
        <v>104.461</v>
      </c>
      <c r="M7" s="11">
        <v>106.776</v>
      </c>
      <c r="N7" s="11">
        <v>111.42100000000001</v>
      </c>
      <c r="O7" s="11">
        <v>116.53</v>
      </c>
      <c r="P7" s="9"/>
      <c r="Q7" s="9">
        <f>O7-C7</f>
        <v>33.292000000000002</v>
      </c>
      <c r="T7" s="1"/>
      <c r="U7" s="145"/>
      <c r="V7" s="145"/>
      <c r="W7" s="145"/>
      <c r="X7" s="145"/>
      <c r="Y7" s="145"/>
      <c r="Z7" s="155">
        <f t="shared" ref="Z7:AF7" si="4">I7-H7</f>
        <v>0.87399999999999523</v>
      </c>
      <c r="AA7" s="155">
        <f t="shared" si="4"/>
        <v>0.50900000000000034</v>
      </c>
      <c r="AB7" s="155">
        <f t="shared" si="4"/>
        <v>0.75999999999999091</v>
      </c>
      <c r="AC7" s="155">
        <f t="shared" si="4"/>
        <v>0.88500000000000512</v>
      </c>
      <c r="AD7" s="155">
        <f t="shared" si="4"/>
        <v>2.3149999999999977</v>
      </c>
      <c r="AE7" s="155">
        <f t="shared" si="4"/>
        <v>4.6450000000000102</v>
      </c>
      <c r="AF7" s="155">
        <f t="shared" si="4"/>
        <v>5.1089999999999947</v>
      </c>
    </row>
    <row r="8" spans="1:32" x14ac:dyDescent="0.35">
      <c r="A8" s="302">
        <v>3</v>
      </c>
      <c r="B8" s="10" t="s">
        <v>328</v>
      </c>
      <c r="C8" s="11">
        <v>6.06</v>
      </c>
      <c r="D8" s="11">
        <v>10.586</v>
      </c>
      <c r="E8" s="11">
        <v>15.712</v>
      </c>
      <c r="F8" s="11">
        <v>22.184999999999999</v>
      </c>
      <c r="G8" s="11">
        <v>28.001000000000001</v>
      </c>
      <c r="H8" s="11">
        <v>34.162999999999997</v>
      </c>
      <c r="I8" s="11">
        <v>39.271999999999998</v>
      </c>
      <c r="J8" s="11">
        <v>44.503</v>
      </c>
      <c r="K8" s="11">
        <v>50.636000000000003</v>
      </c>
      <c r="L8" s="11">
        <v>54.84</v>
      </c>
      <c r="M8" s="11">
        <v>59.945999999999998</v>
      </c>
      <c r="N8" s="11">
        <v>65.403000000000006</v>
      </c>
      <c r="O8" s="11">
        <v>70.033000000000001</v>
      </c>
      <c r="P8" s="9">
        <f t="shared" ref="P8" si="5">O8-C8</f>
        <v>63.972999999999999</v>
      </c>
      <c r="T8" s="1">
        <v>3</v>
      </c>
      <c r="U8" s="146">
        <f t="shared" ref="U8:AF8" si="6">D8-C8</f>
        <v>4.5260000000000007</v>
      </c>
      <c r="V8" s="146">
        <f t="shared" si="6"/>
        <v>5.1259999999999994</v>
      </c>
      <c r="W8" s="146">
        <f t="shared" si="6"/>
        <v>6.472999999999999</v>
      </c>
      <c r="X8" s="146">
        <f t="shared" si="6"/>
        <v>5.8160000000000025</v>
      </c>
      <c r="Y8" s="146">
        <f t="shared" si="6"/>
        <v>6.1619999999999955</v>
      </c>
      <c r="Z8" s="146">
        <f t="shared" si="6"/>
        <v>5.1090000000000018</v>
      </c>
      <c r="AA8" s="146">
        <f t="shared" si="6"/>
        <v>5.2310000000000016</v>
      </c>
      <c r="AB8" s="146">
        <f t="shared" si="6"/>
        <v>6.1330000000000027</v>
      </c>
      <c r="AC8" s="146">
        <f t="shared" si="6"/>
        <v>4.2040000000000006</v>
      </c>
      <c r="AD8" s="146">
        <f t="shared" si="6"/>
        <v>5.1059999999999945</v>
      </c>
      <c r="AE8" s="146">
        <f t="shared" si="6"/>
        <v>5.4570000000000078</v>
      </c>
      <c r="AF8" s="146">
        <f t="shared" si="6"/>
        <v>4.6299999999999955</v>
      </c>
    </row>
    <row r="9" spans="1:32" x14ac:dyDescent="0.35">
      <c r="A9" s="302"/>
      <c r="B9" s="10" t="s">
        <v>194</v>
      </c>
      <c r="C9" s="11">
        <v>60.192999999999998</v>
      </c>
      <c r="D9" s="11">
        <v>64.040000000000006</v>
      </c>
      <c r="E9" s="11">
        <v>66.994</v>
      </c>
      <c r="F9" s="11">
        <v>68.858000000000004</v>
      </c>
      <c r="G9" s="11">
        <v>69.674999999999997</v>
      </c>
      <c r="H9" s="11">
        <v>70.158000000000001</v>
      </c>
      <c r="I9" s="11">
        <v>70.546999999999997</v>
      </c>
      <c r="J9" s="11">
        <v>70.918000000000006</v>
      </c>
      <c r="K9" s="11">
        <v>71.332999999999998</v>
      </c>
      <c r="L9" s="11">
        <v>71.703999999999994</v>
      </c>
      <c r="M9" s="11">
        <v>73.561000000000007</v>
      </c>
      <c r="N9" s="11">
        <v>77.239000000000004</v>
      </c>
      <c r="O9" s="11">
        <v>79.837999999999994</v>
      </c>
      <c r="P9" s="9"/>
      <c r="Q9" s="9">
        <f>O9-C9</f>
        <v>19.644999999999996</v>
      </c>
      <c r="T9" s="1"/>
      <c r="U9" s="145"/>
      <c r="V9" s="145"/>
      <c r="W9" s="145"/>
      <c r="X9" s="145"/>
      <c r="Y9" s="145"/>
      <c r="Z9" s="155">
        <f t="shared" ref="Z9:AF9" si="7">I9-H9</f>
        <v>0.38899999999999579</v>
      </c>
      <c r="AA9" s="155">
        <f t="shared" si="7"/>
        <v>0.37100000000000932</v>
      </c>
      <c r="AB9" s="155">
        <f t="shared" si="7"/>
        <v>0.41499999999999204</v>
      </c>
      <c r="AC9" s="155">
        <f t="shared" si="7"/>
        <v>0.37099999999999511</v>
      </c>
      <c r="AD9" s="155">
        <f t="shared" si="7"/>
        <v>1.8570000000000135</v>
      </c>
      <c r="AE9" s="155">
        <f t="shared" si="7"/>
        <v>3.6779999999999973</v>
      </c>
      <c r="AF9" s="155">
        <f t="shared" si="7"/>
        <v>2.5989999999999895</v>
      </c>
    </row>
    <row r="10" spans="1:32" x14ac:dyDescent="0.35">
      <c r="A10" s="302">
        <v>4</v>
      </c>
      <c r="B10" s="10" t="s">
        <v>329</v>
      </c>
      <c r="C10" s="11">
        <v>12.77</v>
      </c>
      <c r="D10" s="11">
        <v>23.715</v>
      </c>
      <c r="E10" s="11">
        <v>33.722000000000001</v>
      </c>
      <c r="F10" s="11">
        <v>45.951999999999998</v>
      </c>
      <c r="G10" s="11">
        <v>56.661000000000001</v>
      </c>
      <c r="H10" s="11">
        <v>68.486999999999995</v>
      </c>
      <c r="I10" s="11">
        <v>78.897000000000006</v>
      </c>
      <c r="J10" s="11">
        <v>89.085999999999999</v>
      </c>
      <c r="K10" s="11">
        <v>96.756</v>
      </c>
      <c r="L10" s="11">
        <v>104.896</v>
      </c>
      <c r="M10" s="11">
        <v>105.56</v>
      </c>
      <c r="N10" s="11">
        <v>116.667</v>
      </c>
      <c r="O10" s="11">
        <v>125.38500000000001</v>
      </c>
      <c r="P10" s="9">
        <f t="shared" ref="P10" si="8">O10-C10</f>
        <v>112.61500000000001</v>
      </c>
      <c r="T10" s="1">
        <v>4</v>
      </c>
      <c r="U10" s="146">
        <f t="shared" ref="U10:AF10" si="9">D10-C10</f>
        <v>10.945</v>
      </c>
      <c r="V10" s="146">
        <f t="shared" si="9"/>
        <v>10.007000000000001</v>
      </c>
      <c r="W10" s="146">
        <f t="shared" si="9"/>
        <v>12.229999999999997</v>
      </c>
      <c r="X10" s="146">
        <f t="shared" si="9"/>
        <v>10.709000000000003</v>
      </c>
      <c r="Y10" s="146">
        <f t="shared" si="9"/>
        <v>11.825999999999993</v>
      </c>
      <c r="Z10" s="146">
        <f t="shared" si="9"/>
        <v>10.410000000000011</v>
      </c>
      <c r="AA10" s="146">
        <f t="shared" si="9"/>
        <v>10.188999999999993</v>
      </c>
      <c r="AB10" s="146">
        <f t="shared" si="9"/>
        <v>7.6700000000000017</v>
      </c>
      <c r="AC10" s="146">
        <f t="shared" si="9"/>
        <v>8.14</v>
      </c>
      <c r="AD10" s="146">
        <f t="shared" si="9"/>
        <v>0.66400000000000148</v>
      </c>
      <c r="AE10" s="146">
        <f t="shared" si="9"/>
        <v>11.106999999999999</v>
      </c>
      <c r="AF10" s="146">
        <f t="shared" si="9"/>
        <v>8.7180000000000035</v>
      </c>
    </row>
    <row r="11" spans="1:32" x14ac:dyDescent="0.35">
      <c r="A11" s="302"/>
      <c r="B11" s="10" t="s">
        <v>195</v>
      </c>
      <c r="C11" s="11">
        <v>40.877000000000002</v>
      </c>
      <c r="D11" s="11">
        <v>42.716000000000001</v>
      </c>
      <c r="E11" s="11">
        <v>44.31</v>
      </c>
      <c r="F11" s="11">
        <v>45.573999999999998</v>
      </c>
      <c r="G11" s="11">
        <v>46.514000000000003</v>
      </c>
      <c r="H11" s="11">
        <v>47.442</v>
      </c>
      <c r="I11" s="11">
        <v>48.155000000000001</v>
      </c>
      <c r="J11" s="11">
        <v>48.764000000000003</v>
      </c>
      <c r="K11" s="11">
        <v>49.302</v>
      </c>
      <c r="L11" s="11">
        <v>49.901000000000003</v>
      </c>
      <c r="M11" s="11">
        <v>50.063000000000002</v>
      </c>
      <c r="N11" s="11">
        <v>51.917999999999999</v>
      </c>
      <c r="O11" s="11">
        <v>54.863</v>
      </c>
      <c r="P11" s="9"/>
      <c r="Q11" s="9">
        <f>O11-C11</f>
        <v>13.985999999999997</v>
      </c>
      <c r="T11" s="1"/>
      <c r="U11" s="145"/>
      <c r="V11" s="145"/>
      <c r="W11" s="145"/>
      <c r="X11" s="145"/>
      <c r="Y11" s="145"/>
      <c r="Z11" s="155">
        <f t="shared" ref="Z11:AF11" si="10">I11-H11</f>
        <v>0.71300000000000097</v>
      </c>
      <c r="AA11" s="155">
        <f t="shared" si="10"/>
        <v>0.60900000000000176</v>
      </c>
      <c r="AB11" s="155">
        <f t="shared" si="10"/>
        <v>0.5379999999999967</v>
      </c>
      <c r="AC11" s="155">
        <f t="shared" si="10"/>
        <v>0.59900000000000375</v>
      </c>
      <c r="AD11" s="155">
        <f t="shared" si="10"/>
        <v>0.16199999999999903</v>
      </c>
      <c r="AE11" s="155">
        <f t="shared" si="10"/>
        <v>1.8549999999999969</v>
      </c>
      <c r="AF11" s="155">
        <f t="shared" si="10"/>
        <v>2.9450000000000003</v>
      </c>
    </row>
    <row r="12" spans="1:32" x14ac:dyDescent="0.35">
      <c r="A12" s="302">
        <v>5</v>
      </c>
      <c r="B12" s="10" t="s">
        <v>330</v>
      </c>
      <c r="C12" s="11">
        <v>9.2959999999999994</v>
      </c>
      <c r="D12" s="11">
        <v>18.065999999999999</v>
      </c>
      <c r="E12" s="11">
        <v>27.681000000000001</v>
      </c>
      <c r="F12" s="11">
        <v>37.874000000000002</v>
      </c>
      <c r="G12" s="11">
        <v>48.914000000000001</v>
      </c>
      <c r="H12" s="11">
        <v>58.539000000000001</v>
      </c>
      <c r="I12" s="11">
        <v>68.216999999999999</v>
      </c>
      <c r="J12" s="11">
        <v>76.308999999999997</v>
      </c>
      <c r="K12" s="11">
        <v>85.602000000000004</v>
      </c>
      <c r="L12" s="11">
        <v>93.594999999999999</v>
      </c>
      <c r="M12" s="11">
        <v>101.752</v>
      </c>
      <c r="N12" s="11">
        <v>110.22199999999999</v>
      </c>
      <c r="O12" s="11">
        <v>118.4</v>
      </c>
      <c r="P12" s="9">
        <f t="shared" ref="P12" si="11">O12-C12</f>
        <v>109.10400000000001</v>
      </c>
      <c r="T12" s="1">
        <v>5</v>
      </c>
      <c r="U12" s="146">
        <f t="shared" ref="U12:AF12" si="12">D12-C12</f>
        <v>8.77</v>
      </c>
      <c r="V12" s="146">
        <f t="shared" si="12"/>
        <v>9.615000000000002</v>
      </c>
      <c r="W12" s="146">
        <f t="shared" si="12"/>
        <v>10.193000000000001</v>
      </c>
      <c r="X12" s="146">
        <f t="shared" si="12"/>
        <v>11.04</v>
      </c>
      <c r="Y12" s="146">
        <f t="shared" si="12"/>
        <v>9.625</v>
      </c>
      <c r="Z12" s="146">
        <f t="shared" si="12"/>
        <v>9.6779999999999973</v>
      </c>
      <c r="AA12" s="146">
        <f t="shared" si="12"/>
        <v>8.0919999999999987</v>
      </c>
      <c r="AB12" s="146">
        <f t="shared" si="12"/>
        <v>9.2930000000000064</v>
      </c>
      <c r="AC12" s="146">
        <f t="shared" si="12"/>
        <v>7.992999999999995</v>
      </c>
      <c r="AD12" s="146">
        <f t="shared" si="12"/>
        <v>8.1569999999999965</v>
      </c>
      <c r="AE12" s="146">
        <f t="shared" si="12"/>
        <v>8.4699999999999989</v>
      </c>
      <c r="AF12" s="146">
        <f t="shared" si="12"/>
        <v>8.1780000000000115</v>
      </c>
    </row>
    <row r="13" spans="1:32" x14ac:dyDescent="0.35">
      <c r="A13" s="302"/>
      <c r="B13" s="10" t="s">
        <v>196</v>
      </c>
      <c r="C13" s="11">
        <v>57.859000000000002</v>
      </c>
      <c r="D13" s="11">
        <v>61.682000000000002</v>
      </c>
      <c r="E13" s="11">
        <v>65.146000000000001</v>
      </c>
      <c r="F13" s="11">
        <v>67.501999999999995</v>
      </c>
      <c r="G13" s="11">
        <v>68.697000000000003</v>
      </c>
      <c r="H13" s="11">
        <v>69.391999999999996</v>
      </c>
      <c r="I13" s="11">
        <v>70.049000000000007</v>
      </c>
      <c r="J13" s="11">
        <v>70.58</v>
      </c>
      <c r="K13" s="11">
        <v>71.117999999999995</v>
      </c>
      <c r="L13" s="11">
        <v>71.617999999999995</v>
      </c>
      <c r="M13" s="11">
        <v>72.757000000000005</v>
      </c>
      <c r="N13" s="11">
        <v>75.358000000000004</v>
      </c>
      <c r="O13" s="11">
        <v>78.233999999999995</v>
      </c>
      <c r="P13" s="9"/>
      <c r="Q13" s="9">
        <f>O13-C13</f>
        <v>20.374999999999993</v>
      </c>
      <c r="T13" s="1"/>
      <c r="U13" s="145"/>
      <c r="V13" s="145"/>
      <c r="W13" s="145"/>
      <c r="X13" s="145"/>
      <c r="Y13" s="145"/>
      <c r="Z13" s="155">
        <f t="shared" ref="Z13:AF13" si="13">I13-H13</f>
        <v>0.65700000000001069</v>
      </c>
      <c r="AA13" s="155">
        <f t="shared" si="13"/>
        <v>0.5309999999999917</v>
      </c>
      <c r="AB13" s="155">
        <f t="shared" si="13"/>
        <v>0.5379999999999967</v>
      </c>
      <c r="AC13" s="155">
        <f t="shared" si="13"/>
        <v>0.5</v>
      </c>
      <c r="AD13" s="155">
        <f t="shared" si="13"/>
        <v>1.13900000000001</v>
      </c>
      <c r="AE13" s="155">
        <f t="shared" si="13"/>
        <v>2.6009999999999991</v>
      </c>
      <c r="AF13" s="155">
        <f t="shared" si="13"/>
        <v>2.8759999999999906</v>
      </c>
    </row>
    <row r="14" spans="1:32" x14ac:dyDescent="0.35">
      <c r="A14" s="302">
        <v>6</v>
      </c>
      <c r="B14" s="10" t="s">
        <v>331</v>
      </c>
      <c r="C14" s="11">
        <v>7.5449999999999999</v>
      </c>
      <c r="D14" s="11">
        <v>12.112</v>
      </c>
      <c r="E14" s="11">
        <v>16.18</v>
      </c>
      <c r="F14" s="11">
        <v>21.108000000000001</v>
      </c>
      <c r="G14" s="11">
        <v>26.199000000000002</v>
      </c>
      <c r="H14" s="11">
        <v>31.702999999999999</v>
      </c>
      <c r="I14" s="11">
        <v>39.530999999999999</v>
      </c>
      <c r="J14" s="11">
        <v>45.603999999999999</v>
      </c>
      <c r="K14" s="11">
        <v>50.014000000000003</v>
      </c>
      <c r="L14" s="11">
        <v>55.235999999999997</v>
      </c>
      <c r="M14" s="11">
        <v>59.401000000000003</v>
      </c>
      <c r="N14" s="11">
        <v>64.138999999999996</v>
      </c>
      <c r="O14" s="11">
        <v>70.558000000000007</v>
      </c>
      <c r="P14" s="9">
        <f t="shared" ref="P14" si="14">O14-C14</f>
        <v>63.013000000000005</v>
      </c>
      <c r="T14" s="1">
        <v>6</v>
      </c>
      <c r="U14" s="146">
        <f t="shared" ref="U14:AF14" si="15">D14-C14</f>
        <v>4.5670000000000002</v>
      </c>
      <c r="V14" s="146">
        <f t="shared" si="15"/>
        <v>4.0679999999999996</v>
      </c>
      <c r="W14" s="146">
        <f t="shared" si="15"/>
        <v>4.9280000000000008</v>
      </c>
      <c r="X14" s="146">
        <f t="shared" si="15"/>
        <v>5.0910000000000011</v>
      </c>
      <c r="Y14" s="146">
        <f t="shared" si="15"/>
        <v>5.5039999999999978</v>
      </c>
      <c r="Z14" s="146">
        <f t="shared" si="15"/>
        <v>7.8279999999999994</v>
      </c>
      <c r="AA14" s="146">
        <f t="shared" si="15"/>
        <v>6.0730000000000004</v>
      </c>
      <c r="AB14" s="146">
        <f t="shared" si="15"/>
        <v>4.4100000000000037</v>
      </c>
      <c r="AC14" s="146">
        <f t="shared" si="15"/>
        <v>5.2219999999999942</v>
      </c>
      <c r="AD14" s="146">
        <f t="shared" si="15"/>
        <v>4.1650000000000063</v>
      </c>
      <c r="AE14" s="146">
        <f t="shared" si="15"/>
        <v>4.7379999999999924</v>
      </c>
      <c r="AF14" s="146">
        <f t="shared" si="15"/>
        <v>6.4190000000000111</v>
      </c>
    </row>
    <row r="15" spans="1:32" x14ac:dyDescent="0.35">
      <c r="A15" s="302"/>
      <c r="B15" s="10" t="s">
        <v>197</v>
      </c>
      <c r="C15" s="11">
        <v>91.113</v>
      </c>
      <c r="D15" s="11">
        <v>97.679000000000002</v>
      </c>
      <c r="E15" s="11">
        <v>102.992</v>
      </c>
      <c r="F15" s="11">
        <v>106.63</v>
      </c>
      <c r="G15" s="11">
        <v>107.786</v>
      </c>
      <c r="H15" s="11">
        <v>108.58799999999999</v>
      </c>
      <c r="I15" s="11">
        <v>109.166</v>
      </c>
      <c r="J15" s="11">
        <v>109.651</v>
      </c>
      <c r="K15" s="11">
        <v>110.01300000000001</v>
      </c>
      <c r="L15" s="11">
        <v>110.453</v>
      </c>
      <c r="M15" s="11">
        <v>110.988</v>
      </c>
      <c r="N15" s="11">
        <v>112.747</v>
      </c>
      <c r="O15" s="11">
        <v>116.54600000000001</v>
      </c>
      <c r="P15" s="9"/>
      <c r="Q15" s="9">
        <f>O15-C15</f>
        <v>25.433000000000007</v>
      </c>
      <c r="T15" s="1"/>
      <c r="U15" s="145"/>
      <c r="V15" s="145"/>
      <c r="W15" s="145"/>
      <c r="X15" s="145"/>
      <c r="Y15" s="145"/>
      <c r="Z15" s="155">
        <f t="shared" ref="Z15:AF15" si="16">I15-H15</f>
        <v>0.57800000000000296</v>
      </c>
      <c r="AA15" s="155">
        <f t="shared" si="16"/>
        <v>0.48499999999999943</v>
      </c>
      <c r="AB15" s="155">
        <f t="shared" si="16"/>
        <v>0.36200000000000898</v>
      </c>
      <c r="AC15" s="155">
        <f t="shared" si="16"/>
        <v>0.43999999999999773</v>
      </c>
      <c r="AD15" s="155">
        <f t="shared" si="16"/>
        <v>0.53499999999999659</v>
      </c>
      <c r="AE15" s="155">
        <f t="shared" si="16"/>
        <v>1.7590000000000003</v>
      </c>
      <c r="AF15" s="155">
        <f t="shared" si="16"/>
        <v>3.7990000000000066</v>
      </c>
    </row>
    <row r="16" spans="1:32" x14ac:dyDescent="0.35">
      <c r="A16" s="302">
        <v>7</v>
      </c>
      <c r="B16" s="10" t="s">
        <v>332</v>
      </c>
      <c r="C16" s="11">
        <v>4.4630000000000001</v>
      </c>
      <c r="D16" s="11">
        <v>7.81</v>
      </c>
      <c r="E16" s="11">
        <v>11.208</v>
      </c>
      <c r="F16" s="11">
        <v>14.709</v>
      </c>
      <c r="G16" s="11">
        <v>18.341000000000001</v>
      </c>
      <c r="H16" s="11">
        <v>21.451000000000001</v>
      </c>
      <c r="I16" s="11">
        <v>25.129000000000001</v>
      </c>
      <c r="J16" s="11">
        <v>28.95</v>
      </c>
      <c r="K16" s="11">
        <v>31.632000000000001</v>
      </c>
      <c r="L16" s="11">
        <v>35.335999999999999</v>
      </c>
      <c r="M16" s="11">
        <v>39.078000000000003</v>
      </c>
      <c r="N16" s="11">
        <v>43.9</v>
      </c>
      <c r="O16" s="11">
        <v>47.512999999999998</v>
      </c>
      <c r="P16" s="9">
        <f t="shared" ref="P16" si="17">O16-C16</f>
        <v>43.05</v>
      </c>
      <c r="T16" s="1">
        <v>7</v>
      </c>
      <c r="U16" s="146">
        <f t="shared" ref="U16:AF16" si="18">D16-C16</f>
        <v>3.3469999999999995</v>
      </c>
      <c r="V16" s="146">
        <f t="shared" si="18"/>
        <v>3.3980000000000006</v>
      </c>
      <c r="W16" s="146">
        <f t="shared" si="18"/>
        <v>3.5009999999999994</v>
      </c>
      <c r="X16" s="146">
        <f t="shared" si="18"/>
        <v>3.6320000000000014</v>
      </c>
      <c r="Y16" s="146">
        <f t="shared" si="18"/>
        <v>3.1099999999999994</v>
      </c>
      <c r="Z16" s="146">
        <f t="shared" si="18"/>
        <v>3.6780000000000008</v>
      </c>
      <c r="AA16" s="146">
        <f t="shared" si="18"/>
        <v>3.820999999999998</v>
      </c>
      <c r="AB16" s="146">
        <f t="shared" si="18"/>
        <v>2.6820000000000022</v>
      </c>
      <c r="AC16" s="146">
        <f t="shared" si="18"/>
        <v>3.7039999999999971</v>
      </c>
      <c r="AD16" s="146">
        <f t="shared" si="18"/>
        <v>3.7420000000000044</v>
      </c>
      <c r="AE16" s="146">
        <f t="shared" si="18"/>
        <v>4.8219999999999956</v>
      </c>
      <c r="AF16" s="146">
        <f t="shared" si="18"/>
        <v>3.6129999999999995</v>
      </c>
    </row>
    <row r="17" spans="1:32" x14ac:dyDescent="0.35">
      <c r="A17" s="302"/>
      <c r="B17" s="10" t="s">
        <v>198</v>
      </c>
      <c r="C17" s="11">
        <v>21.004000000000001</v>
      </c>
      <c r="D17" s="11">
        <v>22.427</v>
      </c>
      <c r="E17" s="11">
        <v>23.199000000000002</v>
      </c>
      <c r="F17" s="11">
        <v>23.475000000000001</v>
      </c>
      <c r="G17" s="11">
        <v>23.626000000000001</v>
      </c>
      <c r="H17" s="11">
        <v>23.731999999999999</v>
      </c>
      <c r="I17" s="11">
        <v>23.85</v>
      </c>
      <c r="J17" s="11">
        <v>23.96</v>
      </c>
      <c r="K17" s="11">
        <v>24.032</v>
      </c>
      <c r="L17" s="11">
        <v>24.123000000000001</v>
      </c>
      <c r="M17" s="11">
        <v>24.315999999999999</v>
      </c>
      <c r="N17" s="11">
        <v>25.303000000000001</v>
      </c>
      <c r="O17" s="11">
        <v>26.122</v>
      </c>
      <c r="P17" s="9"/>
      <c r="Q17" s="9">
        <f>O17-C17</f>
        <v>5.1179999999999986</v>
      </c>
      <c r="T17" s="1"/>
      <c r="U17" s="145"/>
      <c r="V17" s="145"/>
      <c r="W17" s="145"/>
      <c r="X17" s="145"/>
      <c r="Y17" s="145"/>
      <c r="Z17" s="155">
        <f t="shared" ref="Z17:AF17" si="19">I17-H17</f>
        <v>0.1180000000000021</v>
      </c>
      <c r="AA17" s="155">
        <f t="shared" si="19"/>
        <v>0.10999999999999943</v>
      </c>
      <c r="AB17" s="155">
        <f t="shared" si="19"/>
        <v>7.1999999999999176E-2</v>
      </c>
      <c r="AC17" s="155">
        <f t="shared" si="19"/>
        <v>9.100000000000108E-2</v>
      </c>
      <c r="AD17" s="155">
        <f t="shared" si="19"/>
        <v>0.19299999999999784</v>
      </c>
      <c r="AE17" s="155">
        <f t="shared" si="19"/>
        <v>0.98700000000000188</v>
      </c>
      <c r="AF17" s="155">
        <f t="shared" si="19"/>
        <v>0.81899999999999906</v>
      </c>
    </row>
    <row r="18" spans="1:32" x14ac:dyDescent="0.35">
      <c r="A18" s="302">
        <v>8</v>
      </c>
      <c r="B18" s="10" t="s">
        <v>333</v>
      </c>
      <c r="C18" s="11">
        <v>0.44600000000000001</v>
      </c>
      <c r="D18" s="11">
        <v>1.927</v>
      </c>
      <c r="E18" s="11">
        <v>2.2589999999999999</v>
      </c>
      <c r="F18" s="11">
        <v>3.0939999999999999</v>
      </c>
      <c r="G18" s="11">
        <v>3.1659999999999999</v>
      </c>
      <c r="H18" s="11">
        <v>3.4569999999999999</v>
      </c>
      <c r="I18" s="11">
        <v>4.09</v>
      </c>
      <c r="J18" s="11">
        <v>4.5789999999999997</v>
      </c>
      <c r="K18" s="11">
        <v>4.798</v>
      </c>
      <c r="L18" s="11">
        <v>6.3869999999999996</v>
      </c>
      <c r="M18" s="11">
        <v>8.4689999999999994</v>
      </c>
      <c r="N18" s="11">
        <v>9.218</v>
      </c>
      <c r="O18" s="11">
        <v>9.2970000000000006</v>
      </c>
      <c r="P18" s="9">
        <f t="shared" ref="P18" si="20">O18-C18</f>
        <v>8.8510000000000009</v>
      </c>
      <c r="T18" s="1">
        <v>8</v>
      </c>
      <c r="U18" s="146">
        <f t="shared" ref="U18:AF18" si="21">D18-C18</f>
        <v>1.4810000000000001</v>
      </c>
      <c r="V18" s="146">
        <f t="shared" si="21"/>
        <v>0.33199999999999985</v>
      </c>
      <c r="W18" s="146">
        <f t="shared" si="21"/>
        <v>0.83499999999999996</v>
      </c>
      <c r="X18" s="146">
        <f t="shared" si="21"/>
        <v>7.2000000000000064E-2</v>
      </c>
      <c r="Y18" s="146">
        <f t="shared" si="21"/>
        <v>0.29099999999999993</v>
      </c>
      <c r="Z18" s="146">
        <f t="shared" si="21"/>
        <v>0.63300000000000001</v>
      </c>
      <c r="AA18" s="146">
        <f t="shared" si="21"/>
        <v>0.48899999999999988</v>
      </c>
      <c r="AB18" s="146">
        <f t="shared" si="21"/>
        <v>0.21900000000000031</v>
      </c>
      <c r="AC18" s="146">
        <f t="shared" si="21"/>
        <v>1.5889999999999995</v>
      </c>
      <c r="AD18" s="146">
        <f t="shared" si="21"/>
        <v>2.0819999999999999</v>
      </c>
      <c r="AE18" s="146">
        <f t="shared" si="21"/>
        <v>0.74900000000000055</v>
      </c>
      <c r="AF18" s="146">
        <f t="shared" si="21"/>
        <v>7.9000000000000625E-2</v>
      </c>
    </row>
    <row r="19" spans="1:32" x14ac:dyDescent="0.35">
      <c r="A19" s="302"/>
      <c r="B19" s="10" t="s">
        <v>199</v>
      </c>
      <c r="C19" s="11">
        <v>62.223999999999997</v>
      </c>
      <c r="D19" s="11">
        <v>65.897000000000006</v>
      </c>
      <c r="E19" s="11">
        <v>68.594999999999999</v>
      </c>
      <c r="F19" s="11">
        <v>70.176000000000002</v>
      </c>
      <c r="G19" s="11">
        <v>70.290000000000006</v>
      </c>
      <c r="H19" s="11">
        <v>70.444999999999993</v>
      </c>
      <c r="I19" s="11">
        <v>70.590999999999994</v>
      </c>
      <c r="J19" s="11">
        <v>70.727999999999994</v>
      </c>
      <c r="K19" s="11">
        <v>70.856999999999999</v>
      </c>
      <c r="L19" s="11">
        <v>71.058999999999997</v>
      </c>
      <c r="M19" s="11">
        <v>72.09</v>
      </c>
      <c r="N19" s="11">
        <v>74.581000000000003</v>
      </c>
      <c r="O19" s="11">
        <v>77.412000000000006</v>
      </c>
      <c r="P19" s="9"/>
      <c r="Q19" s="9">
        <f>O19-C19</f>
        <v>15.188000000000009</v>
      </c>
      <c r="T19" s="1"/>
      <c r="U19" s="145"/>
      <c r="V19" s="145"/>
      <c r="W19" s="145"/>
      <c r="X19" s="145"/>
      <c r="Y19" s="145"/>
      <c r="Z19" s="155">
        <f t="shared" ref="Z19:AF19" si="22">I19-H19</f>
        <v>0.1460000000000008</v>
      </c>
      <c r="AA19" s="155">
        <f t="shared" si="22"/>
        <v>0.13700000000000045</v>
      </c>
      <c r="AB19" s="155">
        <f t="shared" si="22"/>
        <v>0.12900000000000489</v>
      </c>
      <c r="AC19" s="155">
        <f t="shared" si="22"/>
        <v>0.20199999999999818</v>
      </c>
      <c r="AD19" s="155">
        <f t="shared" si="22"/>
        <v>1.0310000000000059</v>
      </c>
      <c r="AE19" s="155">
        <f t="shared" si="22"/>
        <v>2.4909999999999997</v>
      </c>
      <c r="AF19" s="155">
        <f t="shared" si="22"/>
        <v>2.8310000000000031</v>
      </c>
    </row>
    <row r="20" spans="1:32" x14ac:dyDescent="0.35">
      <c r="A20" s="302">
        <v>9</v>
      </c>
      <c r="B20" s="10" t="s">
        <v>334</v>
      </c>
      <c r="C20" s="11">
        <v>7.2999999999999995E-2</v>
      </c>
      <c r="D20" s="11">
        <v>9.8000000000000004E-2</v>
      </c>
      <c r="E20" s="11">
        <v>0.115</v>
      </c>
      <c r="F20" s="11">
        <v>0.14099999999999999</v>
      </c>
      <c r="G20" s="11">
        <v>0.16</v>
      </c>
      <c r="H20" s="11">
        <v>0.182</v>
      </c>
      <c r="I20" s="11">
        <v>0.20599999999999999</v>
      </c>
      <c r="J20" s="11">
        <v>0.22500000000000001</v>
      </c>
      <c r="K20" s="11">
        <v>0.25</v>
      </c>
      <c r="L20" s="11">
        <v>0.27900000000000003</v>
      </c>
      <c r="M20" s="11">
        <v>0.28599999999999998</v>
      </c>
      <c r="N20" s="11">
        <v>6.0149999999999997</v>
      </c>
      <c r="O20" s="11">
        <v>15.707000000000001</v>
      </c>
      <c r="P20" s="9">
        <f t="shared" ref="P20" si="23">O20-C20</f>
        <v>15.634</v>
      </c>
      <c r="T20" s="1">
        <v>9</v>
      </c>
      <c r="U20" s="146">
        <f t="shared" ref="U20:AF20" si="24">D20-C20</f>
        <v>2.5000000000000008E-2</v>
      </c>
      <c r="V20" s="146">
        <f t="shared" si="24"/>
        <v>1.7000000000000001E-2</v>
      </c>
      <c r="W20" s="146">
        <f t="shared" si="24"/>
        <v>2.5999999999999981E-2</v>
      </c>
      <c r="X20" s="146">
        <f t="shared" si="24"/>
        <v>1.9000000000000017E-2</v>
      </c>
      <c r="Y20" s="146">
        <f t="shared" si="24"/>
        <v>2.1999999999999992E-2</v>
      </c>
      <c r="Z20" s="146">
        <f t="shared" si="24"/>
        <v>2.3999999999999994E-2</v>
      </c>
      <c r="AA20" s="146">
        <f t="shared" si="24"/>
        <v>1.9000000000000017E-2</v>
      </c>
      <c r="AB20" s="146">
        <f t="shared" si="24"/>
        <v>2.4999999999999994E-2</v>
      </c>
      <c r="AC20" s="146">
        <f t="shared" si="24"/>
        <v>2.9000000000000026E-2</v>
      </c>
      <c r="AD20" s="146">
        <f t="shared" si="24"/>
        <v>6.9999999999999507E-3</v>
      </c>
      <c r="AE20" s="146">
        <f t="shared" si="24"/>
        <v>5.7290000000000001</v>
      </c>
      <c r="AF20" s="146">
        <f t="shared" si="24"/>
        <v>9.6920000000000002</v>
      </c>
    </row>
    <row r="21" spans="1:32" x14ac:dyDescent="0.35">
      <c r="A21" s="302"/>
      <c r="B21" s="10" t="s">
        <v>200</v>
      </c>
      <c r="C21" s="11">
        <v>12.012</v>
      </c>
      <c r="D21" s="11">
        <v>12.138999999999999</v>
      </c>
      <c r="E21" s="11">
        <v>12.27</v>
      </c>
      <c r="F21" s="11">
        <v>12.44</v>
      </c>
      <c r="G21" s="11">
        <v>12.613</v>
      </c>
      <c r="H21" s="11">
        <v>12.782999999999999</v>
      </c>
      <c r="I21" s="11">
        <v>12.927</v>
      </c>
      <c r="J21" s="11">
        <v>13.071999999999999</v>
      </c>
      <c r="K21" s="11">
        <v>13.222</v>
      </c>
      <c r="L21" s="11">
        <v>13.375</v>
      </c>
      <c r="M21" s="11">
        <v>13.54</v>
      </c>
      <c r="N21" s="11">
        <v>15.759</v>
      </c>
      <c r="O21" s="11">
        <v>18.462</v>
      </c>
      <c r="P21" s="9"/>
      <c r="Q21" s="9">
        <f>O21-C21</f>
        <v>6.4499999999999993</v>
      </c>
      <c r="T21" s="1"/>
      <c r="U21" s="145"/>
      <c r="V21" s="145"/>
      <c r="W21" s="145"/>
      <c r="X21" s="145"/>
      <c r="Y21" s="145"/>
      <c r="Z21" s="155">
        <f t="shared" ref="Z21:AF23" si="25">I21-H21</f>
        <v>0.14400000000000013</v>
      </c>
      <c r="AA21" s="155">
        <f t="shared" si="25"/>
        <v>0.14499999999999957</v>
      </c>
      <c r="AB21" s="155">
        <f t="shared" si="25"/>
        <v>0.15000000000000036</v>
      </c>
      <c r="AC21" s="155">
        <f t="shared" si="25"/>
        <v>0.15300000000000047</v>
      </c>
      <c r="AD21" s="155">
        <f t="shared" si="25"/>
        <v>0.16499999999999915</v>
      </c>
      <c r="AE21" s="155">
        <f t="shared" si="25"/>
        <v>2.2190000000000012</v>
      </c>
      <c r="AF21" s="155">
        <f t="shared" si="25"/>
        <v>2.7029999999999994</v>
      </c>
    </row>
    <row r="22" spans="1:32" x14ac:dyDescent="0.35">
      <c r="A22" s="302">
        <v>10</v>
      </c>
      <c r="B22" s="10" t="s">
        <v>335</v>
      </c>
      <c r="C22" s="11">
        <v>8.359</v>
      </c>
      <c r="D22" s="11">
        <v>17.321999999999999</v>
      </c>
      <c r="E22" s="11">
        <v>23.559000000000001</v>
      </c>
      <c r="F22" s="11">
        <v>34.052</v>
      </c>
      <c r="G22" s="11">
        <v>43.289000000000001</v>
      </c>
      <c r="H22" s="11">
        <v>51.926000000000002</v>
      </c>
      <c r="I22" s="11">
        <v>61.183999999999997</v>
      </c>
      <c r="J22" s="11">
        <v>68.195999999999998</v>
      </c>
      <c r="K22" s="11">
        <v>77.195999999999998</v>
      </c>
      <c r="L22" s="11">
        <v>86.021000000000001</v>
      </c>
      <c r="M22" s="11">
        <v>95.876000000000005</v>
      </c>
      <c r="N22" s="11">
        <v>106.827</v>
      </c>
      <c r="O22" s="11">
        <v>114.43300000000001</v>
      </c>
      <c r="P22" s="9">
        <f t="shared" ref="P22" si="26">O22-C22</f>
        <v>106.07400000000001</v>
      </c>
      <c r="T22" s="1">
        <v>10</v>
      </c>
      <c r="U22" s="146">
        <f t="shared" ref="U22:AF22" si="27">D22-C22</f>
        <v>8.9629999999999992</v>
      </c>
      <c r="V22" s="146">
        <f t="shared" si="27"/>
        <v>6.2370000000000019</v>
      </c>
      <c r="W22" s="146">
        <f t="shared" si="27"/>
        <v>10.492999999999999</v>
      </c>
      <c r="X22" s="146">
        <f t="shared" si="27"/>
        <v>9.2370000000000019</v>
      </c>
      <c r="Y22" s="146">
        <f t="shared" si="27"/>
        <v>8.6370000000000005</v>
      </c>
      <c r="Z22" s="146">
        <f t="shared" si="27"/>
        <v>9.2579999999999956</v>
      </c>
      <c r="AA22" s="146">
        <f t="shared" si="27"/>
        <v>7.0120000000000005</v>
      </c>
      <c r="AB22" s="146">
        <f t="shared" si="27"/>
        <v>9</v>
      </c>
      <c r="AC22" s="146">
        <f t="shared" si="27"/>
        <v>8.8250000000000028</v>
      </c>
      <c r="AD22" s="146">
        <f t="shared" si="27"/>
        <v>9.855000000000004</v>
      </c>
      <c r="AE22" s="146">
        <f t="shared" si="27"/>
        <v>10.950999999999993</v>
      </c>
      <c r="AF22" s="146">
        <f t="shared" si="27"/>
        <v>7.6060000000000088</v>
      </c>
    </row>
    <row r="23" spans="1:32" x14ac:dyDescent="0.35">
      <c r="A23" s="302"/>
      <c r="B23" s="10" t="s">
        <v>201</v>
      </c>
      <c r="C23" s="11">
        <v>68.947000000000003</v>
      </c>
      <c r="D23" s="11">
        <v>73.781999999999996</v>
      </c>
      <c r="E23" s="11">
        <v>77.406000000000006</v>
      </c>
      <c r="F23" s="11">
        <v>80.094999999999999</v>
      </c>
      <c r="G23" s="11">
        <v>81.132999999999996</v>
      </c>
      <c r="H23" s="11">
        <v>81.635999999999996</v>
      </c>
      <c r="I23" s="11">
        <v>82.076999999999998</v>
      </c>
      <c r="J23" s="11">
        <v>82.403000000000006</v>
      </c>
      <c r="K23" s="11">
        <v>82.816000000000003</v>
      </c>
      <c r="L23" s="11">
        <v>83.263000000000005</v>
      </c>
      <c r="M23" s="11">
        <v>85.486000000000004</v>
      </c>
      <c r="N23" s="11">
        <v>90.433999999999997</v>
      </c>
      <c r="O23" s="11">
        <v>95.253</v>
      </c>
      <c r="P23" s="13"/>
      <c r="Q23" s="97">
        <f>O23-C23</f>
        <v>26.305999999999997</v>
      </c>
      <c r="U23" s="145"/>
      <c r="V23" s="145"/>
      <c r="W23" s="145"/>
      <c r="X23" s="145"/>
      <c r="Y23" s="145"/>
      <c r="Z23" s="155">
        <f t="shared" ref="Z23:AF23" si="28">I23-H23</f>
        <v>0.4410000000000025</v>
      </c>
      <c r="AA23" s="155">
        <f t="shared" si="28"/>
        <v>0.32600000000000762</v>
      </c>
      <c r="AB23" s="155">
        <f t="shared" si="28"/>
        <v>0.4129999999999967</v>
      </c>
      <c r="AC23" s="155">
        <f t="shared" si="28"/>
        <v>0.44700000000000273</v>
      </c>
      <c r="AD23" s="155">
        <f t="shared" si="28"/>
        <v>2.222999999999999</v>
      </c>
      <c r="AE23" s="155">
        <f t="shared" si="28"/>
        <v>4.9479999999999933</v>
      </c>
      <c r="AF23" s="155">
        <f t="shared" si="28"/>
        <v>4.8190000000000026</v>
      </c>
    </row>
    <row r="24" spans="1:32" x14ac:dyDescent="0.35">
      <c r="A24" s="113"/>
      <c r="B24" s="10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840.42700000000013</v>
      </c>
      <c r="Q24" s="9">
        <f>SUM(Q4:Q23)</f>
        <v>186.25100000000003</v>
      </c>
    </row>
    <row r="25" spans="1:32" x14ac:dyDescent="0.35">
      <c r="A25" s="113" t="s">
        <v>15</v>
      </c>
      <c r="B25" s="10" t="s">
        <v>296</v>
      </c>
      <c r="C25" s="15">
        <v>7220</v>
      </c>
      <c r="D25" s="15">
        <v>7401</v>
      </c>
      <c r="E25" s="15">
        <v>7599</v>
      </c>
      <c r="F25" s="15">
        <v>7791</v>
      </c>
      <c r="G25" s="15">
        <v>7978</v>
      </c>
      <c r="H25" s="15">
        <v>8198</v>
      </c>
      <c r="I25" s="15">
        <v>8392</v>
      </c>
      <c r="J25" s="15">
        <v>8563</v>
      </c>
      <c r="K25" s="15">
        <v>8742</v>
      </c>
      <c r="L25" s="15">
        <v>8925</v>
      </c>
      <c r="M25" s="15">
        <v>9097</v>
      </c>
      <c r="N25" s="15">
        <v>9283</v>
      </c>
      <c r="O25" s="15">
        <v>9472</v>
      </c>
      <c r="P25" s="9"/>
      <c r="R25" s="16">
        <f>O25-C25</f>
        <v>2252</v>
      </c>
    </row>
    <row r="26" spans="1:32" ht="15" thickBot="1" x14ac:dyDescent="0.4">
      <c r="A26" s="113"/>
      <c r="B26" s="281" t="s">
        <v>336</v>
      </c>
      <c r="C26" s="18">
        <v>79.099999999999994</v>
      </c>
      <c r="D26" s="18">
        <v>152.6</v>
      </c>
      <c r="E26" s="18">
        <v>220.9</v>
      </c>
      <c r="F26" s="18">
        <v>302.5</v>
      </c>
      <c r="G26" s="18">
        <v>390.4</v>
      </c>
      <c r="H26" s="18">
        <v>469.6</v>
      </c>
      <c r="I26" s="18">
        <v>545.6</v>
      </c>
      <c r="J26" s="18">
        <v>611.9</v>
      </c>
      <c r="K26" s="18">
        <v>687.6</v>
      </c>
      <c r="L26" s="18">
        <v>757.4</v>
      </c>
      <c r="M26" s="18">
        <v>823.2</v>
      </c>
      <c r="N26" s="18">
        <v>911.2</v>
      </c>
      <c r="O26" s="18">
        <v>996.6</v>
      </c>
      <c r="P26" s="9">
        <f>O26-C26</f>
        <v>917.5</v>
      </c>
    </row>
    <row r="27" spans="1:32" x14ac:dyDescent="0.35">
      <c r="A27" s="113"/>
      <c r="B27" s="17" t="s">
        <v>311</v>
      </c>
      <c r="C27" s="19">
        <v>227.97</v>
      </c>
      <c r="D27" s="19">
        <v>264.11</v>
      </c>
      <c r="E27" s="19">
        <v>293.69</v>
      </c>
      <c r="F27" s="19">
        <v>311.70999999999998</v>
      </c>
      <c r="G27" s="19">
        <v>317.94</v>
      </c>
      <c r="H27" s="19">
        <v>321.29000000000002</v>
      </c>
      <c r="I27" s="19">
        <v>324.04000000000002</v>
      </c>
      <c r="J27" s="19">
        <v>326.14</v>
      </c>
      <c r="K27" s="19">
        <v>328.2</v>
      </c>
      <c r="L27" s="19">
        <v>330.86</v>
      </c>
      <c r="M27" s="19">
        <v>339.44</v>
      </c>
      <c r="N27" s="19">
        <v>367.16</v>
      </c>
      <c r="O27" s="19">
        <v>399.83</v>
      </c>
      <c r="P27" s="9"/>
      <c r="Q27" s="9">
        <f>(O27-C27)</f>
        <v>171.85999999999999</v>
      </c>
      <c r="R27" t="s">
        <v>78</v>
      </c>
    </row>
    <row r="28" spans="1:32" ht="15" thickBot="1" x14ac:dyDescent="0.4">
      <c r="A28" s="4"/>
      <c r="B28" s="20" t="s">
        <v>16</v>
      </c>
      <c r="C28" s="21">
        <v>1970</v>
      </c>
      <c r="D28" s="21">
        <v>2274</v>
      </c>
      <c r="E28" s="21">
        <v>2509</v>
      </c>
      <c r="F28" s="21">
        <v>2650</v>
      </c>
      <c r="G28" s="21">
        <v>2700</v>
      </c>
      <c r="H28" s="21">
        <v>2729</v>
      </c>
      <c r="I28" s="21">
        <v>2754</v>
      </c>
      <c r="J28" s="21">
        <v>2778</v>
      </c>
      <c r="K28" s="21">
        <v>2798</v>
      </c>
      <c r="L28" s="21">
        <v>2823</v>
      </c>
      <c r="M28" s="21">
        <v>2905</v>
      </c>
      <c r="N28" s="21">
        <v>3111</v>
      </c>
      <c r="O28" s="21">
        <v>3333</v>
      </c>
      <c r="P28" s="9"/>
      <c r="Q28" s="16">
        <f>O28-C28</f>
        <v>1363</v>
      </c>
      <c r="R28" t="s">
        <v>79</v>
      </c>
    </row>
    <row r="29" spans="1:32" ht="15" thickBot="1" x14ac:dyDescent="0.4">
      <c r="A29" s="114" t="s">
        <v>104</v>
      </c>
      <c r="B29" s="22"/>
      <c r="C29" s="23">
        <v>28101</v>
      </c>
      <c r="D29" s="23">
        <v>28433.599999999999</v>
      </c>
      <c r="E29" s="23">
        <v>28750.9</v>
      </c>
      <c r="F29" s="23">
        <v>29123.3</v>
      </c>
      <c r="G29" s="23">
        <v>29498.799999999999</v>
      </c>
      <c r="H29" s="23">
        <v>29863</v>
      </c>
      <c r="I29" s="23">
        <v>30199</v>
      </c>
      <c r="J29" s="23">
        <v>30525.8</v>
      </c>
      <c r="K29" s="23">
        <v>30885.599999999999</v>
      </c>
      <c r="L29" s="23">
        <v>31236.6</v>
      </c>
      <c r="M29" s="23">
        <v>31568.3</v>
      </c>
      <c r="N29" s="23">
        <v>31933</v>
      </c>
      <c r="O29" s="23">
        <v>65454</v>
      </c>
      <c r="P29" s="293">
        <f>O29-E33+E32-C29</f>
        <v>4178</v>
      </c>
    </row>
    <row r="31" spans="1:32" x14ac:dyDescent="0.35">
      <c r="C31" s="1" t="s">
        <v>185</v>
      </c>
      <c r="D31" s="1"/>
      <c r="E31" s="1" t="s">
        <v>186</v>
      </c>
    </row>
    <row r="32" spans="1:32" x14ac:dyDescent="0.35">
      <c r="B32" s="148" t="s">
        <v>181</v>
      </c>
      <c r="C32">
        <v>63796</v>
      </c>
      <c r="D32" s="1" t="s">
        <v>117</v>
      </c>
      <c r="E32">
        <v>31933</v>
      </c>
      <c r="H32" s="254" t="s">
        <v>297</v>
      </c>
      <c r="I32" s="225"/>
      <c r="J32" s="225"/>
      <c r="K32" s="225"/>
      <c r="L32" s="224" t="s">
        <v>182</v>
      </c>
      <c r="M32" s="255">
        <v>210.8</v>
      </c>
      <c r="N32" s="225" t="s">
        <v>131</v>
      </c>
      <c r="O32" s="225"/>
      <c r="P32" s="225"/>
      <c r="Q32" s="225"/>
    </row>
    <row r="33" spans="2:17" x14ac:dyDescent="0.35">
      <c r="B33" s="148" t="s">
        <v>437</v>
      </c>
      <c r="C33">
        <v>203623</v>
      </c>
      <c r="D33" s="1" t="s">
        <v>118</v>
      </c>
      <c r="E33">
        <v>65108</v>
      </c>
      <c r="H33" s="254" t="s">
        <v>298</v>
      </c>
      <c r="I33" s="225"/>
      <c r="J33" s="225"/>
      <c r="K33" s="225"/>
      <c r="L33" s="224" t="s">
        <v>182</v>
      </c>
      <c r="M33" s="255">
        <v>0</v>
      </c>
      <c r="N33" s="254" t="s">
        <v>78</v>
      </c>
      <c r="O33" s="225"/>
      <c r="P33" s="225"/>
      <c r="Q33" s="225"/>
    </row>
    <row r="34" spans="2:17" x14ac:dyDescent="0.35">
      <c r="B34" t="s">
        <v>183</v>
      </c>
      <c r="C34">
        <v>18972503</v>
      </c>
      <c r="D34" s="1" t="s">
        <v>117</v>
      </c>
      <c r="F34" s="16"/>
      <c r="J34" s="104"/>
      <c r="L34" s="225"/>
    </row>
    <row r="35" spans="2:17" x14ac:dyDescent="0.35">
      <c r="B35" t="s">
        <v>184</v>
      </c>
      <c r="C35" s="16">
        <v>1025291034</v>
      </c>
      <c r="D35" s="1" t="s">
        <v>118</v>
      </c>
    </row>
    <row r="36" spans="2:17" x14ac:dyDescent="0.35">
      <c r="B36" s="24"/>
      <c r="D36" s="25"/>
      <c r="F36" s="136"/>
      <c r="I36" s="74"/>
      <c r="J36" s="74"/>
      <c r="K36" s="74"/>
      <c r="L36" s="74"/>
      <c r="M36" s="75"/>
      <c r="N36" s="86"/>
      <c r="O36" s="74"/>
    </row>
    <row r="37" spans="2:17" x14ac:dyDescent="0.35">
      <c r="C37" s="44"/>
      <c r="D37" s="227"/>
      <c r="E37" s="1"/>
      <c r="H37" s="137"/>
      <c r="I37" s="137"/>
      <c r="J37" s="137"/>
      <c r="K37" s="137"/>
      <c r="L37" s="138"/>
      <c r="M37" s="139"/>
      <c r="N37" s="280" t="s">
        <v>324</v>
      </c>
      <c r="O37" s="74">
        <f>C29</f>
        <v>28101</v>
      </c>
    </row>
    <row r="38" spans="2:17" x14ac:dyDescent="0.35">
      <c r="C38" s="44"/>
      <c r="D38" s="228"/>
      <c r="E38" s="226"/>
      <c r="H38" s="140"/>
      <c r="I38" s="137"/>
      <c r="J38" s="137"/>
      <c r="K38" s="137"/>
      <c r="L38" s="138"/>
      <c r="M38" s="139"/>
      <c r="N38" s="206"/>
      <c r="O38" s="74"/>
    </row>
    <row r="39" spans="2:17" x14ac:dyDescent="0.35">
      <c r="D39" s="226"/>
      <c r="E39" s="226"/>
      <c r="H39" s="141"/>
      <c r="I39" s="74"/>
      <c r="J39" s="75"/>
      <c r="K39" s="74"/>
      <c r="L39" s="74"/>
      <c r="M39" s="75"/>
      <c r="N39" s="280" t="s">
        <v>325</v>
      </c>
      <c r="O39" s="74">
        <f>O29</f>
        <v>65454</v>
      </c>
    </row>
    <row r="40" spans="2:17" x14ac:dyDescent="0.35">
      <c r="D40" s="226"/>
      <c r="E40" s="226"/>
      <c r="J40" s="104"/>
      <c r="L40" s="74"/>
      <c r="N40" s="206"/>
    </row>
    <row r="41" spans="2:17" x14ac:dyDescent="0.35">
      <c r="N41" s="234" t="s">
        <v>187</v>
      </c>
      <c r="O41">
        <f>O39-O37-O38</f>
        <v>37353</v>
      </c>
    </row>
  </sheetData>
  <sheetProtection selectLockedCells="1" selectUnlockedCells="1"/>
  <mergeCells count="10">
    <mergeCell ref="A4:A5"/>
    <mergeCell ref="A6:A7"/>
    <mergeCell ref="A8:A9"/>
    <mergeCell ref="A10:A11"/>
    <mergeCell ref="A12:A13"/>
    <mergeCell ref="A16:A17"/>
    <mergeCell ref="A18:A19"/>
    <mergeCell ref="A20:A21"/>
    <mergeCell ref="A22:A23"/>
    <mergeCell ref="A14:A15"/>
  </mergeCells>
  <conditionalFormatting sqref="D4">
    <cfRule type="cellIs" dxfId="4890" priority="14" stopIfTrue="1" operator="lessThan">
      <formula>$C$4</formula>
    </cfRule>
    <cfRule type="cellIs" dxfId="4889" priority="15" stopIfTrue="1" operator="equal">
      <formula>$C$4</formula>
    </cfRule>
  </conditionalFormatting>
  <conditionalFormatting sqref="D5">
    <cfRule type="cellIs" dxfId="4888" priority="18" stopIfTrue="1" operator="equal">
      <formula>$C$5</formula>
    </cfRule>
    <cfRule type="cellIs" dxfId="4887" priority="19" stopIfTrue="1" operator="lessThan">
      <formula>$C$5</formula>
    </cfRule>
  </conditionalFormatting>
  <conditionalFormatting sqref="D6">
    <cfRule type="cellIs" dxfId="4886" priority="25" stopIfTrue="1" operator="equal">
      <formula>$C$6</formula>
    </cfRule>
    <cfRule type="cellIs" dxfId="4885" priority="26" stopIfTrue="1" operator="lessThan">
      <formula>$C$6</formula>
    </cfRule>
  </conditionalFormatting>
  <conditionalFormatting sqref="D7">
    <cfRule type="cellIs" dxfId="4884" priority="39" stopIfTrue="1" operator="equal">
      <formula>$C$7</formula>
    </cfRule>
    <cfRule type="cellIs" dxfId="4883" priority="40" stopIfTrue="1" operator="lessThan">
      <formula>$C$7</formula>
    </cfRule>
  </conditionalFormatting>
  <conditionalFormatting sqref="D8">
    <cfRule type="cellIs" dxfId="4882" priority="51" stopIfTrue="1" operator="equal">
      <formula>$C$8</formula>
    </cfRule>
    <cfRule type="cellIs" dxfId="4881" priority="52" stopIfTrue="1" operator="lessThan">
      <formula>$C$8</formula>
    </cfRule>
  </conditionalFormatting>
  <conditionalFormatting sqref="D9">
    <cfRule type="cellIs" dxfId="4880" priority="65" stopIfTrue="1" operator="equal">
      <formula>$C$9</formula>
    </cfRule>
    <cfRule type="cellIs" dxfId="4879" priority="66" stopIfTrue="1" operator="lessThan">
      <formula>$C$9</formula>
    </cfRule>
  </conditionalFormatting>
  <conditionalFormatting sqref="D10">
    <cfRule type="cellIs" dxfId="4878" priority="79" stopIfTrue="1" operator="equal">
      <formula>$C$10</formula>
    </cfRule>
    <cfRule type="cellIs" dxfId="4877" priority="80" stopIfTrue="1" operator="lessThan">
      <formula>$C$10</formula>
    </cfRule>
  </conditionalFormatting>
  <conditionalFormatting sqref="D11">
    <cfRule type="cellIs" dxfId="4876" priority="93" stopIfTrue="1" operator="equal">
      <formula>$C$11</formula>
    </cfRule>
    <cfRule type="cellIs" dxfId="4875" priority="94" stopIfTrue="1" operator="lessThan">
      <formula>$C$11</formula>
    </cfRule>
  </conditionalFormatting>
  <conditionalFormatting sqref="D12">
    <cfRule type="cellIs" dxfId="4874" priority="107" stopIfTrue="1" operator="equal">
      <formula>$C$12</formula>
    </cfRule>
    <cfRule type="cellIs" dxfId="4873" priority="108" stopIfTrue="1" operator="lessThan">
      <formula>$C$12</formula>
    </cfRule>
  </conditionalFormatting>
  <conditionalFormatting sqref="D13">
    <cfRule type="cellIs" dxfId="4872" priority="239" stopIfTrue="1" operator="equal">
      <formula>$C$13</formula>
    </cfRule>
    <cfRule type="cellIs" dxfId="4871" priority="240" stopIfTrue="1" operator="lessThan">
      <formula>$C$13</formula>
    </cfRule>
  </conditionalFormatting>
  <conditionalFormatting sqref="D14">
    <cfRule type="cellIs" dxfId="4870" priority="121" stopIfTrue="1" operator="equal">
      <formula>$C$14</formula>
    </cfRule>
    <cfRule type="cellIs" dxfId="4869" priority="122" stopIfTrue="1" operator="lessThan">
      <formula>$C$14</formula>
    </cfRule>
  </conditionalFormatting>
  <conditionalFormatting sqref="D15">
    <cfRule type="cellIs" dxfId="4868" priority="123" stopIfTrue="1" operator="equal">
      <formula>$C$15</formula>
    </cfRule>
    <cfRule type="cellIs" dxfId="4867" priority="124" stopIfTrue="1" operator="lessThan">
      <formula>$C$15</formula>
    </cfRule>
  </conditionalFormatting>
  <conditionalFormatting sqref="D16">
    <cfRule type="cellIs" dxfId="4866" priority="125" stopIfTrue="1" operator="equal">
      <formula>$C$16</formula>
    </cfRule>
    <cfRule type="cellIs" dxfId="4865" priority="126" stopIfTrue="1" operator="lessThan">
      <formula>$C$16</formula>
    </cfRule>
  </conditionalFormatting>
  <conditionalFormatting sqref="D17">
    <cfRule type="cellIs" dxfId="4864" priority="127" stopIfTrue="1" operator="equal">
      <formula>$C$17</formula>
    </cfRule>
    <cfRule type="cellIs" dxfId="4863" priority="128" stopIfTrue="1" operator="lessThan">
      <formula>$C$17</formula>
    </cfRule>
  </conditionalFormatting>
  <conditionalFormatting sqref="D18">
    <cfRule type="cellIs" dxfId="4862" priority="129" stopIfTrue="1" operator="equal">
      <formula>$C$18</formula>
    </cfRule>
    <cfRule type="cellIs" dxfId="4861" priority="130" stopIfTrue="1" operator="lessThan">
      <formula>$C$18</formula>
    </cfRule>
  </conditionalFormatting>
  <conditionalFormatting sqref="D19">
    <cfRule type="cellIs" dxfId="4860" priority="131" stopIfTrue="1" operator="equal">
      <formula>$C$19</formula>
    </cfRule>
    <cfRule type="cellIs" dxfId="4859" priority="132" stopIfTrue="1" operator="lessThan">
      <formula>$C$19</formula>
    </cfRule>
  </conditionalFormatting>
  <conditionalFormatting sqref="D20">
    <cfRule type="cellIs" dxfId="4858" priority="133" stopIfTrue="1" operator="equal">
      <formula>$C$20</formula>
    </cfRule>
    <cfRule type="cellIs" dxfId="4857" priority="134" stopIfTrue="1" operator="lessThan">
      <formula>$C$20</formula>
    </cfRule>
  </conditionalFormatting>
  <conditionalFormatting sqref="D21">
    <cfRule type="cellIs" dxfId="4856" priority="135" stopIfTrue="1" operator="equal">
      <formula>$C$21</formula>
    </cfRule>
    <cfRule type="cellIs" dxfId="4855" priority="136" stopIfTrue="1" operator="lessThan">
      <formula>$C$21</formula>
    </cfRule>
  </conditionalFormatting>
  <conditionalFormatting sqref="D22">
    <cfRule type="cellIs" dxfId="4854" priority="137" stopIfTrue="1" operator="equal">
      <formula>$C$22</formula>
    </cfRule>
    <cfRule type="cellIs" dxfId="4853" priority="138" stopIfTrue="1" operator="lessThan">
      <formula>$C$22</formula>
    </cfRule>
  </conditionalFormatting>
  <conditionalFormatting sqref="D23">
    <cfRule type="cellIs" dxfId="4852" priority="139" stopIfTrue="1" operator="equal">
      <formula>$C$23</formula>
    </cfRule>
    <cfRule type="cellIs" dxfId="4851" priority="140" stopIfTrue="1" operator="lessThan">
      <formula>$C$23</formula>
    </cfRule>
  </conditionalFormatting>
  <conditionalFormatting sqref="D24">
    <cfRule type="cellIs" dxfId="4850" priority="271" stopIfTrue="1" operator="equal">
      <formula>$C$24</formula>
    </cfRule>
    <cfRule type="cellIs" dxfId="4849" priority="272" stopIfTrue="1" operator="lessThan">
      <formula>$C$24</formula>
    </cfRule>
  </conditionalFormatting>
  <conditionalFormatting sqref="D25">
    <cfRule type="cellIs" dxfId="4848" priority="141" stopIfTrue="1" operator="equal">
      <formula>$C$25</formula>
    </cfRule>
    <cfRule type="cellIs" dxfId="4847" priority="142" stopIfTrue="1" operator="lessThan">
      <formula>$C$25</formula>
    </cfRule>
  </conditionalFormatting>
  <conditionalFormatting sqref="D26">
    <cfRule type="cellIs" dxfId="4846" priority="143" stopIfTrue="1" operator="equal">
      <formula>$C$26</formula>
    </cfRule>
    <cfRule type="cellIs" dxfId="4845" priority="144" stopIfTrue="1" operator="lessThan">
      <formula>$C$26</formula>
    </cfRule>
  </conditionalFormatting>
  <conditionalFormatting sqref="D27">
    <cfRule type="cellIs" dxfId="4844" priority="145" stopIfTrue="1" operator="equal">
      <formula>$C$27</formula>
    </cfRule>
    <cfRule type="cellIs" dxfId="4843" priority="146" stopIfTrue="1" operator="lessThan">
      <formula>$C$27</formula>
    </cfRule>
  </conditionalFormatting>
  <conditionalFormatting sqref="D28">
    <cfRule type="cellIs" dxfId="4842" priority="147" stopIfTrue="1" operator="equal">
      <formula>$C$28</formula>
    </cfRule>
    <cfRule type="cellIs" dxfId="4841" priority="148" stopIfTrue="1" operator="lessThan">
      <formula>$C$28</formula>
    </cfRule>
  </conditionalFormatting>
  <conditionalFormatting sqref="D29:H29 J29">
    <cfRule type="cellIs" dxfId="4840" priority="286" stopIfTrue="1" operator="equal">
      <formula>0</formula>
    </cfRule>
  </conditionalFormatting>
  <conditionalFormatting sqref="E4">
    <cfRule type="cellIs" dxfId="4839" priority="16" stopIfTrue="1" operator="equal">
      <formula>$D$4</formula>
    </cfRule>
    <cfRule type="cellIs" dxfId="4838" priority="17" stopIfTrue="1" operator="lessThan">
      <formula>$D$4</formula>
    </cfRule>
  </conditionalFormatting>
  <conditionalFormatting sqref="E5">
    <cfRule type="cellIs" dxfId="4837" priority="281" stopIfTrue="1" operator="equal">
      <formula>$D$5</formula>
    </cfRule>
    <cfRule type="cellIs" dxfId="4836" priority="282" stopIfTrue="1" operator="lessThan">
      <formula>$D$5</formula>
    </cfRule>
  </conditionalFormatting>
  <conditionalFormatting sqref="E6">
    <cfRule type="cellIs" dxfId="4835" priority="27" stopIfTrue="1" operator="equal">
      <formula>$D$6</formula>
    </cfRule>
    <cfRule type="cellIs" dxfId="4834" priority="28" stopIfTrue="1" operator="lessThan">
      <formula>$D$6</formula>
    </cfRule>
  </conditionalFormatting>
  <conditionalFormatting sqref="E7">
    <cfRule type="cellIs" dxfId="4833" priority="41" stopIfTrue="1" operator="equal">
      <formula>$D$7</formula>
    </cfRule>
    <cfRule type="cellIs" dxfId="4832" priority="42" stopIfTrue="1" operator="lessThan">
      <formula>$D$7</formula>
    </cfRule>
  </conditionalFormatting>
  <conditionalFormatting sqref="E8">
    <cfRule type="cellIs" dxfId="4831" priority="53" stopIfTrue="1" operator="equal">
      <formula>$D$8</formula>
    </cfRule>
    <cfRule type="cellIs" dxfId="4830" priority="54" stopIfTrue="1" operator="lessThan">
      <formula>$D$8</formula>
    </cfRule>
  </conditionalFormatting>
  <conditionalFormatting sqref="E9">
    <cfRule type="cellIs" dxfId="4829" priority="67" stopIfTrue="1" operator="equal">
      <formula>$D$9</formula>
    </cfRule>
    <cfRule type="cellIs" dxfId="4828" priority="68" stopIfTrue="1" operator="lessThan">
      <formula>$D$9</formula>
    </cfRule>
  </conditionalFormatting>
  <conditionalFormatting sqref="E10">
    <cfRule type="cellIs" dxfId="4827" priority="81" stopIfTrue="1" operator="equal">
      <formula>$D$10</formula>
    </cfRule>
    <cfRule type="cellIs" dxfId="4826" priority="82" stopIfTrue="1" operator="lessThan">
      <formula>$D$10</formula>
    </cfRule>
  </conditionalFormatting>
  <conditionalFormatting sqref="E11">
    <cfRule type="cellIs" dxfId="4825" priority="95" stopIfTrue="1" operator="equal">
      <formula>$D$11</formula>
    </cfRule>
    <cfRule type="cellIs" dxfId="4824" priority="96" stopIfTrue="1" operator="lessThan">
      <formula>$D$11</formula>
    </cfRule>
  </conditionalFormatting>
  <conditionalFormatting sqref="E12">
    <cfRule type="cellIs" dxfId="4823" priority="109" stopIfTrue="1" operator="equal">
      <formula>$D$12</formula>
    </cfRule>
    <cfRule type="cellIs" dxfId="4822" priority="110" stopIfTrue="1" operator="lessThan">
      <formula>$D$12</formula>
    </cfRule>
  </conditionalFormatting>
  <conditionalFormatting sqref="E13">
    <cfRule type="cellIs" dxfId="4821" priority="149" stopIfTrue="1" operator="equal">
      <formula>$D$13</formula>
    </cfRule>
    <cfRule type="cellIs" dxfId="4820" priority="150" stopIfTrue="1" operator="lessThan">
      <formula>$D$13</formula>
    </cfRule>
  </conditionalFormatting>
  <conditionalFormatting sqref="E14">
    <cfRule type="cellIs" dxfId="4819" priority="151" stopIfTrue="1" operator="equal">
      <formula>$D$14</formula>
    </cfRule>
    <cfRule type="cellIs" dxfId="4818" priority="152" stopIfTrue="1" operator="lessThan">
      <formula>$D$14</formula>
    </cfRule>
  </conditionalFormatting>
  <conditionalFormatting sqref="E15">
    <cfRule type="cellIs" dxfId="4817" priority="153" stopIfTrue="1" operator="equal">
      <formula>$D$15</formula>
    </cfRule>
    <cfRule type="cellIs" dxfId="4816" priority="154" stopIfTrue="1" operator="lessThan">
      <formula>$D$15</formula>
    </cfRule>
  </conditionalFormatting>
  <conditionalFormatting sqref="E16">
    <cfRule type="cellIs" dxfId="4815" priority="155" stopIfTrue="1" operator="equal">
      <formula>$D$16</formula>
    </cfRule>
    <cfRule type="cellIs" dxfId="4814" priority="156" stopIfTrue="1" operator="lessThan">
      <formula>$D$16</formula>
    </cfRule>
  </conditionalFormatting>
  <conditionalFormatting sqref="E17">
    <cfRule type="cellIs" dxfId="4813" priority="157" stopIfTrue="1" operator="equal">
      <formula>$D$17</formula>
    </cfRule>
    <cfRule type="cellIs" dxfId="4812" priority="158" stopIfTrue="1" operator="lessThan">
      <formula>$D$17</formula>
    </cfRule>
  </conditionalFormatting>
  <conditionalFormatting sqref="E18">
    <cfRule type="cellIs" dxfId="4811" priority="159" stopIfTrue="1" operator="equal">
      <formula>$D$18</formula>
    </cfRule>
    <cfRule type="cellIs" dxfId="4810" priority="160" stopIfTrue="1" operator="lessThan">
      <formula>$D$18</formula>
    </cfRule>
  </conditionalFormatting>
  <conditionalFormatting sqref="E19">
    <cfRule type="cellIs" dxfId="4809" priority="161" stopIfTrue="1" operator="equal">
      <formula>$D$19</formula>
    </cfRule>
    <cfRule type="cellIs" dxfId="4808" priority="162" stopIfTrue="1" operator="lessThan">
      <formula>$D$19</formula>
    </cfRule>
  </conditionalFormatting>
  <conditionalFormatting sqref="E20">
    <cfRule type="cellIs" dxfId="4807" priority="163" stopIfTrue="1" operator="equal">
      <formula>$D$20</formula>
    </cfRule>
    <cfRule type="cellIs" dxfId="4806" priority="164" stopIfTrue="1" operator="lessThan">
      <formula>$D$20</formula>
    </cfRule>
  </conditionalFormatting>
  <conditionalFormatting sqref="E21">
    <cfRule type="cellIs" dxfId="4805" priority="165" stopIfTrue="1" operator="equal">
      <formula>$D$21</formula>
    </cfRule>
    <cfRule type="cellIs" dxfId="4804" priority="166" stopIfTrue="1" operator="lessThan">
      <formula>$D$21</formula>
    </cfRule>
  </conditionalFormatting>
  <conditionalFormatting sqref="E22">
    <cfRule type="cellIs" dxfId="4803" priority="167" stopIfTrue="1" operator="equal">
      <formula>$D$22</formula>
    </cfRule>
    <cfRule type="cellIs" dxfId="4802" priority="168" stopIfTrue="1" operator="lessThan">
      <formula>$D$22</formula>
    </cfRule>
  </conditionalFormatting>
  <conditionalFormatting sqref="E23">
    <cfRule type="cellIs" dxfId="4801" priority="169" stopIfTrue="1" operator="equal">
      <formula>$D$23</formula>
    </cfRule>
    <cfRule type="cellIs" dxfId="4800" priority="170" stopIfTrue="1" operator="lessThan">
      <formula>$D$23</formula>
    </cfRule>
  </conditionalFormatting>
  <conditionalFormatting sqref="E24">
    <cfRule type="cellIs" dxfId="4799" priority="273" stopIfTrue="1" operator="equal">
      <formula>$D$24</formula>
    </cfRule>
    <cfRule type="cellIs" dxfId="4798" priority="274" stopIfTrue="1" operator="lessThan">
      <formula>$D$24</formula>
    </cfRule>
  </conditionalFormatting>
  <conditionalFormatting sqref="E25">
    <cfRule type="cellIs" dxfId="4797" priority="171" stopIfTrue="1" operator="equal">
      <formula>$D$25</formula>
    </cfRule>
    <cfRule type="cellIs" dxfId="4796" priority="172" stopIfTrue="1" operator="lessThan">
      <formula>$D$25</formula>
    </cfRule>
  </conditionalFormatting>
  <conditionalFormatting sqref="E26">
    <cfRule type="cellIs" dxfId="4795" priority="173" stopIfTrue="1" operator="equal">
      <formula>$D$26</formula>
    </cfRule>
    <cfRule type="cellIs" dxfId="4794" priority="174" stopIfTrue="1" operator="lessThan">
      <formula>$D$26</formula>
    </cfRule>
  </conditionalFormatting>
  <conditionalFormatting sqref="E27">
    <cfRule type="cellIs" dxfId="4793" priority="175" stopIfTrue="1" operator="equal">
      <formula>$D$27</formula>
    </cfRule>
    <cfRule type="cellIs" dxfId="4792" priority="176" stopIfTrue="1" operator="lessThan">
      <formula>$D$27</formula>
    </cfRule>
  </conditionalFormatting>
  <conditionalFormatting sqref="E28">
    <cfRule type="cellIs" dxfId="4791" priority="177" stopIfTrue="1" operator="equal">
      <formula>$D$28</formula>
    </cfRule>
    <cfRule type="cellIs" dxfId="4790" priority="178" stopIfTrue="1" operator="lessThan">
      <formula>$D$28</formula>
    </cfRule>
  </conditionalFormatting>
  <conditionalFormatting sqref="F4">
    <cfRule type="cellIs" dxfId="4789" priority="12" stopIfTrue="1" operator="equal">
      <formula>$E$4</formula>
    </cfRule>
    <cfRule type="cellIs" dxfId="4788" priority="13" stopIfTrue="1" operator="lessThan">
      <formula>$E$4</formula>
    </cfRule>
  </conditionalFormatting>
  <conditionalFormatting sqref="F5">
    <cfRule type="cellIs" dxfId="4787" priority="20" stopIfTrue="1" operator="equal">
      <formula>$E$5</formula>
    </cfRule>
    <cfRule type="cellIs" dxfId="4786" priority="21" stopIfTrue="1" operator="lessThan">
      <formula>$E$5</formula>
    </cfRule>
  </conditionalFormatting>
  <conditionalFormatting sqref="F6">
    <cfRule type="cellIs" dxfId="4785" priority="29" stopIfTrue="1" operator="equal">
      <formula>$E$6</formula>
    </cfRule>
    <cfRule type="cellIs" dxfId="4784" priority="30" stopIfTrue="1" operator="lessThan">
      <formula>$E$6</formula>
    </cfRule>
  </conditionalFormatting>
  <conditionalFormatting sqref="F7">
    <cfRule type="cellIs" dxfId="4783" priority="43" stopIfTrue="1" operator="equal">
      <formula>$E$7</formula>
    </cfRule>
    <cfRule type="cellIs" dxfId="4782" priority="44" stopIfTrue="1" operator="lessThan">
      <formula>$E$7</formula>
    </cfRule>
  </conditionalFormatting>
  <conditionalFormatting sqref="F8">
    <cfRule type="cellIs" dxfId="4781" priority="55" stopIfTrue="1" operator="equal">
      <formula>$E$8</formula>
    </cfRule>
    <cfRule type="cellIs" dxfId="4780" priority="56" stopIfTrue="1" operator="lessThan">
      <formula>$E$8</formula>
    </cfRule>
  </conditionalFormatting>
  <conditionalFormatting sqref="F9">
    <cfRule type="cellIs" dxfId="4779" priority="69" stopIfTrue="1" operator="equal">
      <formula>$E$9</formula>
    </cfRule>
    <cfRule type="cellIs" dxfId="4778" priority="70" stopIfTrue="1" operator="lessThan">
      <formula>$E$9</formula>
    </cfRule>
  </conditionalFormatting>
  <conditionalFormatting sqref="F10">
    <cfRule type="cellIs" dxfId="4777" priority="83" stopIfTrue="1" operator="equal">
      <formula>$E$10</formula>
    </cfRule>
    <cfRule type="cellIs" dxfId="4776" priority="84" stopIfTrue="1" operator="lessThan">
      <formula>$E$10</formula>
    </cfRule>
  </conditionalFormatting>
  <conditionalFormatting sqref="F11">
    <cfRule type="cellIs" dxfId="4775" priority="97" stopIfTrue="1" operator="equal">
      <formula>$E$11</formula>
    </cfRule>
    <cfRule type="cellIs" dxfId="4774" priority="98" stopIfTrue="1" operator="lessThan">
      <formula>$E$11</formula>
    </cfRule>
  </conditionalFormatting>
  <conditionalFormatting sqref="F12">
    <cfRule type="cellIs" dxfId="4773" priority="111" stopIfTrue="1" operator="equal">
      <formula>$E$12</formula>
    </cfRule>
    <cfRule type="cellIs" dxfId="4772" priority="112" stopIfTrue="1" operator="lessThan">
      <formula>$E$12</formula>
    </cfRule>
  </conditionalFormatting>
  <conditionalFormatting sqref="F13">
    <cfRule type="cellIs" dxfId="4771" priority="179" stopIfTrue="1" operator="equal">
      <formula>$E$13</formula>
    </cfRule>
    <cfRule type="cellIs" dxfId="4770" priority="180" stopIfTrue="1" operator="lessThan">
      <formula>$E$13</formula>
    </cfRule>
  </conditionalFormatting>
  <conditionalFormatting sqref="F14">
    <cfRule type="cellIs" dxfId="4769" priority="181" stopIfTrue="1" operator="equal">
      <formula>$E$14</formula>
    </cfRule>
    <cfRule type="cellIs" dxfId="4768" priority="182" stopIfTrue="1" operator="lessThan">
      <formula>$E$14</formula>
    </cfRule>
  </conditionalFormatting>
  <conditionalFormatting sqref="F15">
    <cfRule type="cellIs" dxfId="4767" priority="183" stopIfTrue="1" operator="equal">
      <formula>$E$15</formula>
    </cfRule>
    <cfRule type="cellIs" dxfId="4766" priority="184" stopIfTrue="1" operator="lessThan">
      <formula>$E$15</formula>
    </cfRule>
  </conditionalFormatting>
  <conditionalFormatting sqref="F16">
    <cfRule type="cellIs" dxfId="4765" priority="185" stopIfTrue="1" operator="equal">
      <formula>$E$16</formula>
    </cfRule>
    <cfRule type="cellIs" dxfId="4764" priority="186" stopIfTrue="1" operator="lessThan">
      <formula>$E$16</formula>
    </cfRule>
  </conditionalFormatting>
  <conditionalFormatting sqref="F17">
    <cfRule type="cellIs" dxfId="4763" priority="187" stopIfTrue="1" operator="equal">
      <formula>$E$17</formula>
    </cfRule>
    <cfRule type="cellIs" dxfId="4762" priority="188" stopIfTrue="1" operator="lessThan">
      <formula>$E$17</formula>
    </cfRule>
  </conditionalFormatting>
  <conditionalFormatting sqref="F18">
    <cfRule type="cellIs" dxfId="4761" priority="189" stopIfTrue="1" operator="equal">
      <formula>$E$18</formula>
    </cfRule>
    <cfRule type="cellIs" dxfId="4760" priority="190" stopIfTrue="1" operator="lessThan">
      <formula>$E$18</formula>
    </cfRule>
  </conditionalFormatting>
  <conditionalFormatting sqref="F19">
    <cfRule type="cellIs" dxfId="4759" priority="191" stopIfTrue="1" operator="equal">
      <formula>$E$19</formula>
    </cfRule>
    <cfRule type="cellIs" dxfId="4758" priority="192" stopIfTrue="1" operator="lessThan">
      <formula>$E$19</formula>
    </cfRule>
  </conditionalFormatting>
  <conditionalFormatting sqref="F20">
    <cfRule type="cellIs" dxfId="4757" priority="193" stopIfTrue="1" operator="equal">
      <formula>$E$20</formula>
    </cfRule>
    <cfRule type="cellIs" dxfId="4756" priority="194" stopIfTrue="1" operator="lessThan">
      <formula>$E$20</formula>
    </cfRule>
  </conditionalFormatting>
  <conditionalFormatting sqref="F21">
    <cfRule type="cellIs" dxfId="4755" priority="195" stopIfTrue="1" operator="equal">
      <formula>$E$21</formula>
    </cfRule>
    <cfRule type="cellIs" dxfId="4754" priority="196" stopIfTrue="1" operator="lessThan">
      <formula>$E$21</formula>
    </cfRule>
  </conditionalFormatting>
  <conditionalFormatting sqref="F22">
    <cfRule type="cellIs" dxfId="4753" priority="197" stopIfTrue="1" operator="equal">
      <formula>$E$22</formula>
    </cfRule>
    <cfRule type="cellIs" dxfId="4752" priority="198" stopIfTrue="1" operator="lessThan">
      <formula>$E$22</formula>
    </cfRule>
  </conditionalFormatting>
  <conditionalFormatting sqref="F23">
    <cfRule type="cellIs" dxfId="4751" priority="199" stopIfTrue="1" operator="equal">
      <formula>$E$23</formula>
    </cfRule>
    <cfRule type="cellIs" dxfId="4750" priority="200" stopIfTrue="1" operator="lessThan">
      <formula>$E$23</formula>
    </cfRule>
  </conditionalFormatting>
  <conditionalFormatting sqref="F24">
    <cfRule type="cellIs" dxfId="4749" priority="275" stopIfTrue="1" operator="equal">
      <formula>$E$24</formula>
    </cfRule>
    <cfRule type="cellIs" dxfId="4748" priority="276" stopIfTrue="1" operator="lessThan">
      <formula>$E$24</formula>
    </cfRule>
  </conditionalFormatting>
  <conditionalFormatting sqref="F25">
    <cfRule type="cellIs" dxfId="4747" priority="201" stopIfTrue="1" operator="equal">
      <formula>$E$25</formula>
    </cfRule>
    <cfRule type="cellIs" dxfId="4746" priority="202" stopIfTrue="1" operator="lessThan">
      <formula>$E$25</formula>
    </cfRule>
  </conditionalFormatting>
  <conditionalFormatting sqref="F26">
    <cfRule type="cellIs" dxfId="4745" priority="203" stopIfTrue="1" operator="equal">
      <formula>$E$26</formula>
    </cfRule>
    <cfRule type="cellIs" dxfId="4744" priority="204" stopIfTrue="1" operator="lessThan">
      <formula>$E$26</formula>
    </cfRule>
  </conditionalFormatting>
  <conditionalFormatting sqref="F27">
    <cfRule type="cellIs" dxfId="4743" priority="205" stopIfTrue="1" operator="equal">
      <formula>$E$27</formula>
    </cfRule>
    <cfRule type="cellIs" dxfId="4742" priority="206" stopIfTrue="1" operator="lessThan">
      <formula>$E$27</formula>
    </cfRule>
  </conditionalFormatting>
  <conditionalFormatting sqref="F28">
    <cfRule type="cellIs" dxfId="4741" priority="207" stopIfTrue="1" operator="equal">
      <formula>$E$28</formula>
    </cfRule>
    <cfRule type="cellIs" dxfId="4740" priority="208" stopIfTrue="1" operator="lessThan">
      <formula>$E$28</formula>
    </cfRule>
  </conditionalFormatting>
  <conditionalFormatting sqref="G4">
    <cfRule type="cellIs" dxfId="4739" priority="285" stopIfTrue="1" operator="equal">
      <formula>$F$4</formula>
    </cfRule>
  </conditionalFormatting>
  <conditionalFormatting sqref="G5">
    <cfRule type="cellIs" dxfId="4738" priority="283" stopIfTrue="1" operator="equal">
      <formula>$F$5</formula>
    </cfRule>
    <cfRule type="cellIs" dxfId="4737" priority="284" stopIfTrue="1" operator="lessThan">
      <formula>$F$5</formula>
    </cfRule>
  </conditionalFormatting>
  <conditionalFormatting sqref="G6">
    <cfRule type="cellIs" dxfId="4736" priority="31" stopIfTrue="1" operator="equal">
      <formula>$F$6</formula>
    </cfRule>
    <cfRule type="cellIs" dxfId="4735" priority="32" stopIfTrue="1" operator="lessThan">
      <formula>$F$6</formula>
    </cfRule>
  </conditionalFormatting>
  <conditionalFormatting sqref="G7">
    <cfRule type="cellIs" dxfId="4734" priority="4" stopIfTrue="1" operator="equal">
      <formula>$F$7</formula>
    </cfRule>
    <cfRule type="cellIs" dxfId="4733" priority="5" stopIfTrue="1" operator="lessThan">
      <formula>$F$7</formula>
    </cfRule>
  </conditionalFormatting>
  <conditionalFormatting sqref="G8">
    <cfRule type="cellIs" dxfId="4732" priority="57" stopIfTrue="1" operator="equal">
      <formula>$F$8</formula>
    </cfRule>
    <cfRule type="cellIs" dxfId="4731" priority="58" stopIfTrue="1" operator="lessThan">
      <formula>$F$8</formula>
    </cfRule>
  </conditionalFormatting>
  <conditionalFormatting sqref="G9">
    <cfRule type="cellIs" dxfId="4730" priority="71" stopIfTrue="1" operator="equal">
      <formula>$F$9</formula>
    </cfRule>
    <cfRule type="cellIs" dxfId="4729" priority="72" stopIfTrue="1" operator="lessThan">
      <formula>$F$9</formula>
    </cfRule>
  </conditionalFormatting>
  <conditionalFormatting sqref="G10">
    <cfRule type="cellIs" dxfId="4728" priority="85" stopIfTrue="1" operator="equal">
      <formula>$F$10</formula>
    </cfRule>
    <cfRule type="cellIs" dxfId="4727" priority="86" stopIfTrue="1" operator="lessThan">
      <formula>$F$10</formula>
    </cfRule>
  </conditionalFormatting>
  <conditionalFormatting sqref="G11">
    <cfRule type="cellIs" dxfId="4726" priority="99" stopIfTrue="1" operator="equal">
      <formula>$F$11</formula>
    </cfRule>
    <cfRule type="cellIs" dxfId="4725" priority="100" stopIfTrue="1" operator="lessThan">
      <formula>$F$11</formula>
    </cfRule>
  </conditionalFormatting>
  <conditionalFormatting sqref="G12">
    <cfRule type="cellIs" dxfId="4724" priority="113" stopIfTrue="1" operator="equal">
      <formula>$F$12</formula>
    </cfRule>
    <cfRule type="cellIs" dxfId="4723" priority="114" stopIfTrue="1" operator="lessThan">
      <formula>$F$12</formula>
    </cfRule>
  </conditionalFormatting>
  <conditionalFormatting sqref="G13">
    <cfRule type="cellIs" dxfId="4722" priority="209" stopIfTrue="1" operator="equal">
      <formula>$F$13</formula>
    </cfRule>
    <cfRule type="cellIs" dxfId="4721" priority="210" stopIfTrue="1" operator="lessThan">
      <formula>$F$13</formula>
    </cfRule>
  </conditionalFormatting>
  <conditionalFormatting sqref="G14">
    <cfRule type="cellIs" dxfId="4720" priority="211" stopIfTrue="1" operator="equal">
      <formula>$F$14</formula>
    </cfRule>
    <cfRule type="cellIs" dxfId="4719" priority="212" stopIfTrue="1" operator="lessThan">
      <formula>$F$14</formula>
    </cfRule>
  </conditionalFormatting>
  <conditionalFormatting sqref="G15">
    <cfRule type="cellIs" dxfId="4718" priority="213" stopIfTrue="1" operator="equal">
      <formula>$F$15</formula>
    </cfRule>
    <cfRule type="cellIs" dxfId="4717" priority="214" stopIfTrue="1" operator="lessThan">
      <formula>$F$15</formula>
    </cfRule>
  </conditionalFormatting>
  <conditionalFormatting sqref="G16">
    <cfRule type="cellIs" dxfId="4716" priority="215" stopIfTrue="1" operator="equal">
      <formula>$F$16</formula>
    </cfRule>
    <cfRule type="cellIs" dxfId="4715" priority="216" stopIfTrue="1" operator="lessThan">
      <formula>$F$16</formula>
    </cfRule>
  </conditionalFormatting>
  <conditionalFormatting sqref="G17">
    <cfRule type="cellIs" dxfId="4714" priority="217" stopIfTrue="1" operator="equal">
      <formula>$F$17</formula>
    </cfRule>
    <cfRule type="cellIs" dxfId="4713" priority="218" stopIfTrue="1" operator="lessThan">
      <formula>$F$17</formula>
    </cfRule>
  </conditionalFormatting>
  <conditionalFormatting sqref="G18">
    <cfRule type="cellIs" dxfId="4712" priority="219" stopIfTrue="1" operator="equal">
      <formula>$F$18</formula>
    </cfRule>
    <cfRule type="cellIs" dxfId="4711" priority="220" stopIfTrue="1" operator="lessThan">
      <formula>$F$18</formula>
    </cfRule>
  </conditionalFormatting>
  <conditionalFormatting sqref="G19">
    <cfRule type="cellIs" dxfId="4710" priority="221" stopIfTrue="1" operator="equal">
      <formula>$F$19</formula>
    </cfRule>
    <cfRule type="cellIs" dxfId="4709" priority="222" stopIfTrue="1" operator="lessThan">
      <formula>$F$19</formula>
    </cfRule>
  </conditionalFormatting>
  <conditionalFormatting sqref="G20">
    <cfRule type="cellIs" dxfId="4708" priority="223" stopIfTrue="1" operator="equal">
      <formula>$F$20</formula>
    </cfRule>
    <cfRule type="cellIs" dxfId="4707" priority="224" stopIfTrue="1" operator="lessThan">
      <formula>$F$20</formula>
    </cfRule>
  </conditionalFormatting>
  <conditionalFormatting sqref="G21">
    <cfRule type="cellIs" dxfId="4706" priority="225" stopIfTrue="1" operator="equal">
      <formula>$F$21</formula>
    </cfRule>
    <cfRule type="cellIs" dxfId="4705" priority="226" stopIfTrue="1" operator="lessThan">
      <formula>$F$21</formula>
    </cfRule>
  </conditionalFormatting>
  <conditionalFormatting sqref="G22">
    <cfRule type="cellIs" dxfId="4704" priority="227" stopIfTrue="1" operator="equal">
      <formula>$F$22</formula>
    </cfRule>
    <cfRule type="cellIs" dxfId="4703" priority="228" stopIfTrue="1" operator="lessThan">
      <formula>$F$22</formula>
    </cfRule>
  </conditionalFormatting>
  <conditionalFormatting sqref="G23">
    <cfRule type="cellIs" dxfId="4702" priority="229" stopIfTrue="1" operator="equal">
      <formula>$F$23</formula>
    </cfRule>
    <cfRule type="cellIs" dxfId="4701" priority="230" stopIfTrue="1" operator="lessThan">
      <formula>$F$23</formula>
    </cfRule>
  </conditionalFormatting>
  <conditionalFormatting sqref="G24">
    <cfRule type="cellIs" dxfId="4700" priority="277" stopIfTrue="1" operator="equal">
      <formula>$F$24</formula>
    </cfRule>
    <cfRule type="cellIs" dxfId="4699" priority="278" stopIfTrue="1" operator="lessThan">
      <formula>$F$24</formula>
    </cfRule>
  </conditionalFormatting>
  <conditionalFormatting sqref="G25">
    <cfRule type="cellIs" dxfId="4698" priority="231" stopIfTrue="1" operator="equal">
      <formula>$F$25</formula>
    </cfRule>
    <cfRule type="cellIs" dxfId="4697" priority="232" stopIfTrue="1" operator="lessThan">
      <formula>$F$25</formula>
    </cfRule>
  </conditionalFormatting>
  <conditionalFormatting sqref="G26">
    <cfRule type="cellIs" dxfId="4696" priority="233" stopIfTrue="1" operator="equal">
      <formula>$F$26</formula>
    </cfRule>
    <cfRule type="cellIs" dxfId="4695" priority="234" stopIfTrue="1" operator="lessThan">
      <formula>$F$26</formula>
    </cfRule>
  </conditionalFormatting>
  <conditionalFormatting sqref="G27">
    <cfRule type="cellIs" dxfId="4694" priority="235" stopIfTrue="1" operator="equal">
      <formula>$F$27</formula>
    </cfRule>
    <cfRule type="cellIs" dxfId="4693" priority="236" stopIfTrue="1" operator="lessThan">
      <formula>$F$27</formula>
    </cfRule>
  </conditionalFormatting>
  <conditionalFormatting sqref="G28">
    <cfRule type="cellIs" dxfId="4692" priority="237" stopIfTrue="1" operator="equal">
      <formula>$F$28</formula>
    </cfRule>
    <cfRule type="cellIs" dxfId="4691" priority="238" stopIfTrue="1" operator="lessThan">
      <formula>$F$28</formula>
    </cfRule>
  </conditionalFormatting>
  <conditionalFormatting sqref="H4">
    <cfRule type="cellIs" dxfId="4690" priority="2" stopIfTrue="1" operator="lessThan">
      <formula>$G$4</formula>
    </cfRule>
    <cfRule type="cellIs" dxfId="4689" priority="3" stopIfTrue="1" operator="equal">
      <formula>$G$4</formula>
    </cfRule>
  </conditionalFormatting>
  <conditionalFormatting sqref="H5">
    <cfRule type="cellIs" dxfId="4688" priority="6" stopIfTrue="1" operator="equal">
      <formula>$G$5</formula>
    </cfRule>
    <cfRule type="cellIs" dxfId="4687" priority="7" stopIfTrue="1" operator="lessThan">
      <formula>$G$5</formula>
    </cfRule>
  </conditionalFormatting>
  <conditionalFormatting sqref="H6">
    <cfRule type="cellIs" dxfId="4686" priority="33" stopIfTrue="1" operator="equal">
      <formula>$G$6</formula>
    </cfRule>
    <cfRule type="cellIs" dxfId="4685" priority="34" stopIfTrue="1" operator="lessThan">
      <formula>$G$6</formula>
    </cfRule>
  </conditionalFormatting>
  <conditionalFormatting sqref="H7">
    <cfRule type="cellIs" dxfId="4684" priority="45" stopIfTrue="1" operator="equal">
      <formula>$G$7</formula>
    </cfRule>
    <cfRule type="cellIs" dxfId="4683" priority="46" stopIfTrue="1" operator="lessThan">
      <formula>$G$7</formula>
    </cfRule>
  </conditionalFormatting>
  <conditionalFormatting sqref="H8">
    <cfRule type="cellIs" dxfId="4682" priority="59" stopIfTrue="1" operator="equal">
      <formula>$G$8</formula>
    </cfRule>
    <cfRule type="cellIs" dxfId="4681" priority="60" stopIfTrue="1" operator="lessThan">
      <formula>$G$8</formula>
    </cfRule>
  </conditionalFormatting>
  <conditionalFormatting sqref="H9">
    <cfRule type="cellIs" dxfId="4680" priority="73" stopIfTrue="1" operator="equal">
      <formula>$G$9</formula>
    </cfRule>
    <cfRule type="cellIs" dxfId="4679" priority="74" stopIfTrue="1" operator="lessThan">
      <formula>$G$9</formula>
    </cfRule>
  </conditionalFormatting>
  <conditionalFormatting sqref="H10">
    <cfRule type="cellIs" dxfId="4678" priority="87" stopIfTrue="1" operator="equal">
      <formula>$G$10</formula>
    </cfRule>
    <cfRule type="cellIs" dxfId="4677" priority="88" stopIfTrue="1" operator="lessThan">
      <formula>$G$10</formula>
    </cfRule>
  </conditionalFormatting>
  <conditionalFormatting sqref="H11">
    <cfRule type="cellIs" dxfId="4676" priority="101" stopIfTrue="1" operator="equal">
      <formula>$G$11</formula>
    </cfRule>
    <cfRule type="cellIs" dxfId="4675" priority="102" stopIfTrue="1" operator="lessThan">
      <formula>$G$11</formula>
    </cfRule>
  </conditionalFormatting>
  <conditionalFormatting sqref="H12">
    <cfRule type="cellIs" dxfId="4674" priority="115" stopIfTrue="1" operator="equal">
      <formula>$G$12</formula>
    </cfRule>
    <cfRule type="cellIs" dxfId="4673" priority="116" stopIfTrue="1" operator="lessThan">
      <formula>$G$12</formula>
    </cfRule>
  </conditionalFormatting>
  <conditionalFormatting sqref="H13">
    <cfRule type="cellIs" dxfId="4672" priority="241" stopIfTrue="1" operator="equal">
      <formula>$G$13</formula>
    </cfRule>
    <cfRule type="cellIs" dxfId="4671" priority="242" stopIfTrue="1" operator="lessThan">
      <formula>$G$13</formula>
    </cfRule>
  </conditionalFormatting>
  <conditionalFormatting sqref="H14">
    <cfRule type="cellIs" dxfId="4670" priority="243" stopIfTrue="1" operator="equal">
      <formula>$G$14</formula>
    </cfRule>
    <cfRule type="cellIs" dxfId="4669" priority="244" stopIfTrue="1" operator="lessThan">
      <formula>$G$14</formula>
    </cfRule>
  </conditionalFormatting>
  <conditionalFormatting sqref="H15">
    <cfRule type="cellIs" dxfId="4668" priority="245" stopIfTrue="1" operator="equal">
      <formula>$G$15</formula>
    </cfRule>
    <cfRule type="cellIs" dxfId="4667" priority="246" stopIfTrue="1" operator="lessThan">
      <formula>$G$15</formula>
    </cfRule>
  </conditionalFormatting>
  <conditionalFormatting sqref="H16">
    <cfRule type="cellIs" dxfId="4666" priority="247" stopIfTrue="1" operator="equal">
      <formula>$G$16</formula>
    </cfRule>
    <cfRule type="cellIs" dxfId="4665" priority="248" stopIfTrue="1" operator="lessThan">
      <formula>$G$16</formula>
    </cfRule>
  </conditionalFormatting>
  <conditionalFormatting sqref="H17">
    <cfRule type="cellIs" dxfId="4664" priority="249" stopIfTrue="1" operator="equal">
      <formula>$G$17</formula>
    </cfRule>
    <cfRule type="cellIs" dxfId="4663" priority="250" stopIfTrue="1" operator="lessThan">
      <formula>$G$17</formula>
    </cfRule>
  </conditionalFormatting>
  <conditionalFormatting sqref="H18">
    <cfRule type="cellIs" dxfId="4662" priority="251" stopIfTrue="1" operator="equal">
      <formula>$G$18</formula>
    </cfRule>
    <cfRule type="cellIs" dxfId="4661" priority="252" stopIfTrue="1" operator="lessThan">
      <formula>$G$18</formula>
    </cfRule>
  </conditionalFormatting>
  <conditionalFormatting sqref="H19">
    <cfRule type="cellIs" dxfId="4660" priority="253" stopIfTrue="1" operator="equal">
      <formula>$G$19</formula>
    </cfRule>
    <cfRule type="cellIs" dxfId="4659" priority="254" stopIfTrue="1" operator="lessThan">
      <formula>$G$19</formula>
    </cfRule>
  </conditionalFormatting>
  <conditionalFormatting sqref="H20">
    <cfRule type="cellIs" dxfId="4658" priority="255" stopIfTrue="1" operator="equal">
      <formula>$G$20</formula>
    </cfRule>
    <cfRule type="cellIs" dxfId="4657" priority="256" stopIfTrue="1" operator="lessThan">
      <formula>$G$20</formula>
    </cfRule>
  </conditionalFormatting>
  <conditionalFormatting sqref="H21">
    <cfRule type="cellIs" dxfId="4656" priority="257" stopIfTrue="1" operator="equal">
      <formula>$G$21</formula>
    </cfRule>
    <cfRule type="cellIs" dxfId="4655" priority="258" stopIfTrue="1" operator="lessThan">
      <formula>$G$21</formula>
    </cfRule>
  </conditionalFormatting>
  <conditionalFormatting sqref="H22">
    <cfRule type="cellIs" dxfId="4654" priority="259" stopIfTrue="1" operator="equal">
      <formula>$G$22</formula>
    </cfRule>
    <cfRule type="cellIs" dxfId="4653" priority="260" stopIfTrue="1" operator="lessThan">
      <formula>$G$22</formula>
    </cfRule>
  </conditionalFormatting>
  <conditionalFormatting sqref="H23">
    <cfRule type="cellIs" dxfId="4652" priority="261" stopIfTrue="1" operator="equal">
      <formula>$G$23</formula>
    </cfRule>
    <cfRule type="cellIs" dxfId="4651" priority="262" stopIfTrue="1" operator="lessThan">
      <formula>$G$23</formula>
    </cfRule>
  </conditionalFormatting>
  <conditionalFormatting sqref="H24">
    <cfRule type="cellIs" dxfId="4650" priority="279" stopIfTrue="1" operator="equal">
      <formula>$G$24</formula>
    </cfRule>
    <cfRule type="cellIs" dxfId="4649" priority="280" stopIfTrue="1" operator="lessThan">
      <formula>$G$24</formula>
    </cfRule>
  </conditionalFormatting>
  <conditionalFormatting sqref="H25">
    <cfRule type="cellIs" dxfId="4648" priority="263" stopIfTrue="1" operator="equal">
      <formula>$G$25</formula>
    </cfRule>
    <cfRule type="cellIs" dxfId="4647" priority="264" stopIfTrue="1" operator="lessThan">
      <formula>$G$25</formula>
    </cfRule>
  </conditionalFormatting>
  <conditionalFormatting sqref="H26">
    <cfRule type="cellIs" dxfId="4646" priority="265" stopIfTrue="1" operator="equal">
      <formula>$G$26</formula>
    </cfRule>
    <cfRule type="cellIs" dxfId="4645" priority="266" stopIfTrue="1" operator="lessThan">
      <formula>$G$26</formula>
    </cfRule>
  </conditionalFormatting>
  <conditionalFormatting sqref="H27">
    <cfRule type="cellIs" dxfId="4644" priority="267" stopIfTrue="1" operator="equal">
      <formula>$G$27</formula>
    </cfRule>
    <cfRule type="cellIs" dxfId="4643" priority="268" stopIfTrue="1" operator="lessThan">
      <formula>$G$27</formula>
    </cfRule>
  </conditionalFormatting>
  <conditionalFormatting sqref="H28">
    <cfRule type="cellIs" dxfId="4642" priority="269" stopIfTrue="1" operator="equal">
      <formula>$G$28</formula>
    </cfRule>
    <cfRule type="cellIs" dxfId="4641" priority="270" stopIfTrue="1" operator="lessThan">
      <formula>$G$28</formula>
    </cfRule>
  </conditionalFormatting>
  <conditionalFormatting sqref="I4">
    <cfRule type="cellIs" dxfId="4640" priority="22" stopIfTrue="1" operator="equal">
      <formula>$H$4</formula>
    </cfRule>
  </conditionalFormatting>
  <conditionalFormatting sqref="I5">
    <cfRule type="cellIs" dxfId="4639" priority="8" stopIfTrue="1" operator="equal">
      <formula>$H$5</formula>
    </cfRule>
    <cfRule type="cellIs" dxfId="4638" priority="9" stopIfTrue="1" operator="lessThan">
      <formula>$H$5</formula>
    </cfRule>
  </conditionalFormatting>
  <conditionalFormatting sqref="I6">
    <cfRule type="cellIs" dxfId="4637" priority="35" stopIfTrue="1" operator="equal">
      <formula>$H$6</formula>
    </cfRule>
    <cfRule type="cellIs" dxfId="4636" priority="36" stopIfTrue="1" operator="lessThan">
      <formula>$H$6</formula>
    </cfRule>
  </conditionalFormatting>
  <conditionalFormatting sqref="I7">
    <cfRule type="cellIs" dxfId="4635" priority="47" stopIfTrue="1" operator="equal">
      <formula>$H$7</formula>
    </cfRule>
    <cfRule type="cellIs" dxfId="4634" priority="48" stopIfTrue="1" operator="lessThan">
      <formula>$H$7</formula>
    </cfRule>
  </conditionalFormatting>
  <conditionalFormatting sqref="I8">
    <cfRule type="cellIs" dxfId="4633" priority="61" stopIfTrue="1" operator="equal">
      <formula>$H$8</formula>
    </cfRule>
    <cfRule type="cellIs" dxfId="4632" priority="62" stopIfTrue="1" operator="lessThan">
      <formula>$H$8</formula>
    </cfRule>
  </conditionalFormatting>
  <conditionalFormatting sqref="I9">
    <cfRule type="cellIs" dxfId="4631" priority="75" stopIfTrue="1" operator="equal">
      <formula>$H$9</formula>
    </cfRule>
    <cfRule type="cellIs" dxfId="4630" priority="76" stopIfTrue="1" operator="lessThan">
      <formula>$H$9</formula>
    </cfRule>
  </conditionalFormatting>
  <conditionalFormatting sqref="I10">
    <cfRule type="cellIs" dxfId="4629" priority="89" stopIfTrue="1" operator="equal">
      <formula>$H$10</formula>
    </cfRule>
    <cfRule type="cellIs" dxfId="4628" priority="90" stopIfTrue="1" operator="lessThan">
      <formula>$H$10</formula>
    </cfRule>
  </conditionalFormatting>
  <conditionalFormatting sqref="I11">
    <cfRule type="cellIs" dxfId="4627" priority="103" stopIfTrue="1" operator="equal">
      <formula>$H$11</formula>
    </cfRule>
    <cfRule type="cellIs" dxfId="4626" priority="104" stopIfTrue="1" operator="lessThan">
      <formula>$H$11</formula>
    </cfRule>
  </conditionalFormatting>
  <conditionalFormatting sqref="I12">
    <cfRule type="cellIs" dxfId="4625" priority="117" stopIfTrue="1" operator="equal">
      <formula>$H$12</formula>
    </cfRule>
    <cfRule type="cellIs" dxfId="4624" priority="118" stopIfTrue="1" operator="lessThan">
      <formula>$H$12</formula>
    </cfRule>
  </conditionalFormatting>
  <conditionalFormatting sqref="I13">
    <cfRule type="cellIs" dxfId="4623" priority="287" stopIfTrue="1" operator="equal">
      <formula>$H$13</formula>
    </cfRule>
    <cfRule type="cellIs" dxfId="4622" priority="288" stopIfTrue="1" operator="lessThan">
      <formula>$H$13</formula>
    </cfRule>
  </conditionalFormatting>
  <conditionalFormatting sqref="I14">
    <cfRule type="cellIs" dxfId="4621" priority="289" stopIfTrue="1" operator="equal">
      <formula>$H$14</formula>
    </cfRule>
    <cfRule type="cellIs" dxfId="4620" priority="290" stopIfTrue="1" operator="lessThan">
      <formula>$H$14</formula>
    </cfRule>
  </conditionalFormatting>
  <conditionalFormatting sqref="I15">
    <cfRule type="cellIs" dxfId="4619" priority="291" stopIfTrue="1" operator="equal">
      <formula>$H$15</formula>
    </cfRule>
    <cfRule type="cellIs" dxfId="4618" priority="292" stopIfTrue="1" operator="lessThan">
      <formula>$H$15</formula>
    </cfRule>
  </conditionalFormatting>
  <conditionalFormatting sqref="I16">
    <cfRule type="cellIs" dxfId="4617" priority="293" stopIfTrue="1" operator="equal">
      <formula>$H$16</formula>
    </cfRule>
    <cfRule type="cellIs" dxfId="4616" priority="294" stopIfTrue="1" operator="lessThan">
      <formula>$H$16</formula>
    </cfRule>
  </conditionalFormatting>
  <conditionalFormatting sqref="I17">
    <cfRule type="cellIs" dxfId="4615" priority="295" stopIfTrue="1" operator="equal">
      <formula>$H$17</formula>
    </cfRule>
    <cfRule type="cellIs" dxfId="4614" priority="296" stopIfTrue="1" operator="lessThan">
      <formula>$H$17</formula>
    </cfRule>
  </conditionalFormatting>
  <conditionalFormatting sqref="I18">
    <cfRule type="cellIs" dxfId="4613" priority="297" stopIfTrue="1" operator="equal">
      <formula>$H$18</formula>
    </cfRule>
    <cfRule type="cellIs" dxfId="4612" priority="298" stopIfTrue="1" operator="lessThan">
      <formula>$H$18</formula>
    </cfRule>
  </conditionalFormatting>
  <conditionalFormatting sqref="I19">
    <cfRule type="cellIs" dxfId="4611" priority="299" stopIfTrue="1" operator="equal">
      <formula>$H$19</formula>
    </cfRule>
    <cfRule type="cellIs" dxfId="4610" priority="300" stopIfTrue="1" operator="lessThan">
      <formula>$H$19</formula>
    </cfRule>
  </conditionalFormatting>
  <conditionalFormatting sqref="I20">
    <cfRule type="cellIs" dxfId="4609" priority="301" stopIfTrue="1" operator="equal">
      <formula>$H$20</formula>
    </cfRule>
    <cfRule type="cellIs" dxfId="4608" priority="302" stopIfTrue="1" operator="lessThan">
      <formula>$H$20</formula>
    </cfRule>
  </conditionalFormatting>
  <conditionalFormatting sqref="I21">
    <cfRule type="cellIs" dxfId="4607" priority="303" stopIfTrue="1" operator="equal">
      <formula>$H$21</formula>
    </cfRule>
    <cfRule type="cellIs" dxfId="4606" priority="304" stopIfTrue="1" operator="lessThan">
      <formula>$H$21</formula>
    </cfRule>
  </conditionalFormatting>
  <conditionalFormatting sqref="I22">
    <cfRule type="cellIs" dxfId="4605" priority="305" stopIfTrue="1" operator="equal">
      <formula>$H$22</formula>
    </cfRule>
    <cfRule type="cellIs" dxfId="4604" priority="306" stopIfTrue="1" operator="lessThan">
      <formula>$H$22</formula>
    </cfRule>
  </conditionalFormatting>
  <conditionalFormatting sqref="I23">
    <cfRule type="cellIs" dxfId="4603" priority="307" stopIfTrue="1" operator="equal">
      <formula>$H$23</formula>
    </cfRule>
    <cfRule type="cellIs" dxfId="4602" priority="308" stopIfTrue="1" operator="lessThan">
      <formula>$H$23</formula>
    </cfRule>
  </conditionalFormatting>
  <conditionalFormatting sqref="I24">
    <cfRule type="cellIs" dxfId="4601" priority="309" stopIfTrue="1" operator="equal">
      <formula>$H$24</formula>
    </cfRule>
    <cfRule type="cellIs" dxfId="4600" priority="310" stopIfTrue="1" operator="lessThan">
      <formula>$H$24</formula>
    </cfRule>
  </conditionalFormatting>
  <conditionalFormatting sqref="I25">
    <cfRule type="cellIs" dxfId="4599" priority="311" stopIfTrue="1" operator="equal">
      <formula>$H$25</formula>
    </cfRule>
    <cfRule type="cellIs" dxfId="4598" priority="312" stopIfTrue="1" operator="lessThan">
      <formula>$H$25</formula>
    </cfRule>
  </conditionalFormatting>
  <conditionalFormatting sqref="I26">
    <cfRule type="cellIs" dxfId="4597" priority="313" stopIfTrue="1" operator="equal">
      <formula>$H$26</formula>
    </cfRule>
    <cfRule type="cellIs" dxfId="4596" priority="314" stopIfTrue="1" operator="lessThan">
      <formula>$H$26</formula>
    </cfRule>
  </conditionalFormatting>
  <conditionalFormatting sqref="I27">
    <cfRule type="cellIs" dxfId="4595" priority="315" stopIfTrue="1" operator="equal">
      <formula>$H$27</formula>
    </cfRule>
    <cfRule type="cellIs" dxfId="4594" priority="316" stopIfTrue="1" operator="lessThan">
      <formula>$H$27</formula>
    </cfRule>
  </conditionalFormatting>
  <conditionalFormatting sqref="I28">
    <cfRule type="cellIs" dxfId="4593" priority="318" stopIfTrue="1" operator="equal">
      <formula>$H$28</formula>
    </cfRule>
    <cfRule type="cellIs" dxfId="4592" priority="319" stopIfTrue="1" operator="lessThan">
      <formula>$H$28</formula>
    </cfRule>
  </conditionalFormatting>
  <conditionalFormatting sqref="I29">
    <cfRule type="cellIs" dxfId="4591" priority="320" stopIfTrue="1" operator="equal">
      <formula>$H$29</formula>
    </cfRule>
    <cfRule type="cellIs" dxfId="4590" priority="321" stopIfTrue="1" operator="lessThan">
      <formula>$H$29</formula>
    </cfRule>
  </conditionalFormatting>
  <conditionalFormatting sqref="J4">
    <cfRule type="cellIs" dxfId="4589" priority="23" stopIfTrue="1" operator="lessThan">
      <formula>$I$4</formula>
    </cfRule>
    <cfRule type="cellIs" dxfId="4588" priority="24" stopIfTrue="1" operator="equal">
      <formula>$I$4</formula>
    </cfRule>
  </conditionalFormatting>
  <conditionalFormatting sqref="J5">
    <cfRule type="cellIs" dxfId="4587" priority="10" stopIfTrue="1" operator="equal">
      <formula>$I$5</formula>
    </cfRule>
    <cfRule type="cellIs" dxfId="4586" priority="11" stopIfTrue="1" operator="lessThan">
      <formula>$I$5</formula>
    </cfRule>
  </conditionalFormatting>
  <conditionalFormatting sqref="J6">
    <cfRule type="cellIs" dxfId="4585" priority="37" stopIfTrue="1" operator="equal">
      <formula>$I$6</formula>
    </cfRule>
    <cfRule type="cellIs" dxfId="4584" priority="38" stopIfTrue="1" operator="lessThan">
      <formula>$I$6</formula>
    </cfRule>
  </conditionalFormatting>
  <conditionalFormatting sqref="J7">
    <cfRule type="cellIs" dxfId="4583" priority="49" stopIfTrue="1" operator="equal">
      <formula>$I$7</formula>
    </cfRule>
    <cfRule type="cellIs" dxfId="4582" priority="50" stopIfTrue="1" operator="lessThan">
      <formula>$I$7</formula>
    </cfRule>
  </conditionalFormatting>
  <conditionalFormatting sqref="J8">
    <cfRule type="cellIs" dxfId="4581" priority="63" stopIfTrue="1" operator="equal">
      <formula>$I$8</formula>
    </cfRule>
    <cfRule type="cellIs" dxfId="4580" priority="64" stopIfTrue="1" operator="lessThan">
      <formula>$I$8</formula>
    </cfRule>
  </conditionalFormatting>
  <conditionalFormatting sqref="J9">
    <cfRule type="cellIs" dxfId="4579" priority="77" stopIfTrue="1" operator="equal">
      <formula>$I$9</formula>
    </cfRule>
    <cfRule type="cellIs" dxfId="4578" priority="78" stopIfTrue="1" operator="lessThan">
      <formula>$I$9</formula>
    </cfRule>
  </conditionalFormatting>
  <conditionalFormatting sqref="J10">
    <cfRule type="cellIs" dxfId="4577" priority="91" stopIfTrue="1" operator="equal">
      <formula>$I$10</formula>
    </cfRule>
    <cfRule type="cellIs" dxfId="4576" priority="92" stopIfTrue="1" operator="lessThan">
      <formula>$I$10</formula>
    </cfRule>
  </conditionalFormatting>
  <conditionalFormatting sqref="J11">
    <cfRule type="cellIs" dxfId="4575" priority="105" stopIfTrue="1" operator="equal">
      <formula>$I$11</formula>
    </cfRule>
    <cfRule type="cellIs" dxfId="4574" priority="106" stopIfTrue="1" operator="lessThan">
      <formula>$I$11</formula>
    </cfRule>
  </conditionalFormatting>
  <conditionalFormatting sqref="J12">
    <cfRule type="cellIs" dxfId="4573" priority="119" stopIfTrue="1" operator="equal">
      <formula>$I$12</formula>
    </cfRule>
    <cfRule type="cellIs" dxfId="4572" priority="120" stopIfTrue="1" operator="lessThan">
      <formula>$I$12</formula>
    </cfRule>
  </conditionalFormatting>
  <conditionalFormatting sqref="J13">
    <cfRule type="cellIs" dxfId="4571" priority="322" stopIfTrue="1" operator="equal">
      <formula>$I$13</formula>
    </cfRule>
    <cfRule type="cellIs" dxfId="4570" priority="323" stopIfTrue="1" operator="lessThan">
      <formula>$I$13</formula>
    </cfRule>
  </conditionalFormatting>
  <conditionalFormatting sqref="J14">
    <cfRule type="cellIs" dxfId="4569" priority="324" stopIfTrue="1" operator="equal">
      <formula>$I$14</formula>
    </cfRule>
    <cfRule type="cellIs" dxfId="4568" priority="325" stopIfTrue="1" operator="lessThan">
      <formula>$I$14</formula>
    </cfRule>
  </conditionalFormatting>
  <conditionalFormatting sqref="J15">
    <cfRule type="cellIs" dxfId="4567" priority="326" stopIfTrue="1" operator="equal">
      <formula>$I$15</formula>
    </cfRule>
    <cfRule type="cellIs" dxfId="4566" priority="327" stopIfTrue="1" operator="lessThan">
      <formula>$I$15</formula>
    </cfRule>
  </conditionalFormatting>
  <conditionalFormatting sqref="J16">
    <cfRule type="cellIs" dxfId="4565" priority="328" stopIfTrue="1" operator="equal">
      <formula>$I$16</formula>
    </cfRule>
    <cfRule type="cellIs" dxfId="4564" priority="329" stopIfTrue="1" operator="lessThan">
      <formula>$I$16</formula>
    </cfRule>
  </conditionalFormatting>
  <conditionalFormatting sqref="J17">
    <cfRule type="cellIs" dxfId="4563" priority="330" stopIfTrue="1" operator="equal">
      <formula>$I$17</formula>
    </cfRule>
    <cfRule type="cellIs" dxfId="4562" priority="331" stopIfTrue="1" operator="lessThan">
      <formula>$I$17</formula>
    </cfRule>
  </conditionalFormatting>
  <conditionalFormatting sqref="J18">
    <cfRule type="cellIs" dxfId="4561" priority="332" stopIfTrue="1" operator="equal">
      <formula>$I$18</formula>
    </cfRule>
    <cfRule type="cellIs" dxfId="4560" priority="333" stopIfTrue="1" operator="lessThan">
      <formula>$I$18</formula>
    </cfRule>
  </conditionalFormatting>
  <conditionalFormatting sqref="J19">
    <cfRule type="cellIs" dxfId="4559" priority="334" stopIfTrue="1" operator="equal">
      <formula>$I$19</formula>
    </cfRule>
    <cfRule type="cellIs" dxfId="4558" priority="335" stopIfTrue="1" operator="lessThan">
      <formula>$I$19</formula>
    </cfRule>
  </conditionalFormatting>
  <conditionalFormatting sqref="J20">
    <cfRule type="cellIs" dxfId="4557" priority="336" stopIfTrue="1" operator="equal">
      <formula>$I$20</formula>
    </cfRule>
    <cfRule type="cellIs" dxfId="4556" priority="337" stopIfTrue="1" operator="lessThan">
      <formula>$I$20</formula>
    </cfRule>
  </conditionalFormatting>
  <conditionalFormatting sqref="J21">
    <cfRule type="cellIs" dxfId="4555" priority="338" stopIfTrue="1" operator="equal">
      <formula>$I$21</formula>
    </cfRule>
    <cfRule type="cellIs" dxfId="4554" priority="339" stopIfTrue="1" operator="lessThan">
      <formula>$I$21</formula>
    </cfRule>
  </conditionalFormatting>
  <conditionalFormatting sqref="J22">
    <cfRule type="cellIs" dxfId="4553" priority="340" stopIfTrue="1" operator="equal">
      <formula>$I$22</formula>
    </cfRule>
    <cfRule type="cellIs" dxfId="4552" priority="341" stopIfTrue="1" operator="lessThan">
      <formula>$I$22</formula>
    </cfRule>
  </conditionalFormatting>
  <conditionalFormatting sqref="J23">
    <cfRule type="cellIs" dxfId="4551" priority="342" stopIfTrue="1" operator="equal">
      <formula>$I$23</formula>
    </cfRule>
    <cfRule type="cellIs" dxfId="4550" priority="343" stopIfTrue="1" operator="lessThan">
      <formula>$I$23</formula>
    </cfRule>
  </conditionalFormatting>
  <conditionalFormatting sqref="J24">
    <cfRule type="cellIs" dxfId="4549" priority="344" stopIfTrue="1" operator="equal">
      <formula>$I$24</formula>
    </cfRule>
    <cfRule type="cellIs" dxfId="4548" priority="345" stopIfTrue="1" operator="lessThan">
      <formula>$I$24</formula>
    </cfRule>
  </conditionalFormatting>
  <conditionalFormatting sqref="J25">
    <cfRule type="cellIs" dxfId="4547" priority="346" stopIfTrue="1" operator="equal">
      <formula>$I$25</formula>
    </cfRule>
    <cfRule type="cellIs" dxfId="4546" priority="347" stopIfTrue="1" operator="lessThan">
      <formula>$I$25</formula>
    </cfRule>
  </conditionalFormatting>
  <conditionalFormatting sqref="J26">
    <cfRule type="cellIs" dxfId="4545" priority="348" stopIfTrue="1" operator="equal">
      <formula>$I$26</formula>
    </cfRule>
    <cfRule type="cellIs" dxfId="4544" priority="349" stopIfTrue="1" operator="lessThan">
      <formula>$I$26</formula>
    </cfRule>
  </conditionalFormatting>
  <conditionalFormatting sqref="J27">
    <cfRule type="cellIs" dxfId="4543" priority="350" stopIfTrue="1" operator="equal">
      <formula>$I$27</formula>
    </cfRule>
    <cfRule type="cellIs" dxfId="4542" priority="351" stopIfTrue="1" operator="lessThan">
      <formula>$I$27</formula>
    </cfRule>
  </conditionalFormatting>
  <conditionalFormatting sqref="J28">
    <cfRule type="cellIs" dxfId="4541" priority="352" stopIfTrue="1" operator="equal">
      <formula>$I$28</formula>
    </cfRule>
    <cfRule type="cellIs" dxfId="4540" priority="353" stopIfTrue="1" operator="lessThan">
      <formula>$I$28</formula>
    </cfRule>
  </conditionalFormatting>
  <conditionalFormatting sqref="K4">
    <cfRule type="cellIs" dxfId="4539" priority="354" stopIfTrue="1" operator="equal">
      <formula>$J$4</formula>
    </cfRule>
    <cfRule type="cellIs" dxfId="4538" priority="355" stopIfTrue="1" operator="lessThan">
      <formula>$J$4</formula>
    </cfRule>
  </conditionalFormatting>
  <conditionalFormatting sqref="K5">
    <cfRule type="cellIs" dxfId="4537" priority="356" stopIfTrue="1" operator="equal">
      <formula>$J$5</formula>
    </cfRule>
    <cfRule type="cellIs" dxfId="4536" priority="357" stopIfTrue="1" operator="lessThan">
      <formula>$J$5</formula>
    </cfRule>
  </conditionalFormatting>
  <conditionalFormatting sqref="K6">
    <cfRule type="cellIs" dxfId="4535" priority="358" stopIfTrue="1" operator="equal">
      <formula>$J$6</formula>
    </cfRule>
    <cfRule type="cellIs" dxfId="4534" priority="359" stopIfTrue="1" operator="lessThan">
      <formula>$J$6</formula>
    </cfRule>
  </conditionalFormatting>
  <conditionalFormatting sqref="K7">
    <cfRule type="cellIs" dxfId="4533" priority="360" stopIfTrue="1" operator="equal">
      <formula>$J$7</formula>
    </cfRule>
    <cfRule type="cellIs" dxfId="4532" priority="361" stopIfTrue="1" operator="lessThan">
      <formula>$J$7</formula>
    </cfRule>
  </conditionalFormatting>
  <conditionalFormatting sqref="K8">
    <cfRule type="cellIs" dxfId="4531" priority="362" stopIfTrue="1" operator="equal">
      <formula>$J$8</formula>
    </cfRule>
    <cfRule type="cellIs" dxfId="4530" priority="363" stopIfTrue="1" operator="lessThan">
      <formula>$J$8</formula>
    </cfRule>
  </conditionalFormatting>
  <conditionalFormatting sqref="K9">
    <cfRule type="cellIs" dxfId="4529" priority="364" stopIfTrue="1" operator="equal">
      <formula>$J$9</formula>
    </cfRule>
    <cfRule type="cellIs" dxfId="4528" priority="365" stopIfTrue="1" operator="lessThan">
      <formula>$J$9</formula>
    </cfRule>
  </conditionalFormatting>
  <conditionalFormatting sqref="K10">
    <cfRule type="cellIs" dxfId="4527" priority="366" stopIfTrue="1" operator="equal">
      <formula>$J$10</formula>
    </cfRule>
    <cfRule type="cellIs" dxfId="4526" priority="367" stopIfTrue="1" operator="lessThan">
      <formula>$J$10</formula>
    </cfRule>
  </conditionalFormatting>
  <conditionalFormatting sqref="K11">
    <cfRule type="cellIs" dxfId="4525" priority="368" stopIfTrue="1" operator="equal">
      <formula>$J$11</formula>
    </cfRule>
    <cfRule type="cellIs" dxfId="4524" priority="369" stopIfTrue="1" operator="lessThan">
      <formula>$J$11</formula>
    </cfRule>
  </conditionalFormatting>
  <conditionalFormatting sqref="K12">
    <cfRule type="cellIs" dxfId="4523" priority="370" stopIfTrue="1" operator="equal">
      <formula>$J$12</formula>
    </cfRule>
    <cfRule type="cellIs" dxfId="4522" priority="371" stopIfTrue="1" operator="lessThan">
      <formula>$J$12</formula>
    </cfRule>
  </conditionalFormatting>
  <conditionalFormatting sqref="K13">
    <cfRule type="cellIs" dxfId="4521" priority="372" stopIfTrue="1" operator="equal">
      <formula>$J$13</formula>
    </cfRule>
    <cfRule type="cellIs" dxfId="4520" priority="373" stopIfTrue="1" operator="lessThan">
      <formula>$J$13</formula>
    </cfRule>
  </conditionalFormatting>
  <conditionalFormatting sqref="K14">
    <cfRule type="cellIs" dxfId="4519" priority="374" stopIfTrue="1" operator="equal">
      <formula>$J$14</formula>
    </cfRule>
    <cfRule type="cellIs" dxfId="4518" priority="375" stopIfTrue="1" operator="lessThan">
      <formula>$J$14</formula>
    </cfRule>
  </conditionalFormatting>
  <conditionalFormatting sqref="K15">
    <cfRule type="cellIs" dxfId="4517" priority="376" stopIfTrue="1" operator="equal">
      <formula>$J$15</formula>
    </cfRule>
    <cfRule type="cellIs" dxfId="4516" priority="377" stopIfTrue="1" operator="lessThan">
      <formula>$J$15</formula>
    </cfRule>
  </conditionalFormatting>
  <conditionalFormatting sqref="K16">
    <cfRule type="cellIs" dxfId="4515" priority="378" stopIfTrue="1" operator="equal">
      <formula>$J$16</formula>
    </cfRule>
    <cfRule type="cellIs" dxfId="4514" priority="379" stopIfTrue="1" operator="lessThan">
      <formula>$J$16</formula>
    </cfRule>
  </conditionalFormatting>
  <conditionalFormatting sqref="K17">
    <cfRule type="cellIs" dxfId="4513" priority="380" stopIfTrue="1" operator="equal">
      <formula>$J$17</formula>
    </cfRule>
    <cfRule type="cellIs" dxfId="4512" priority="381" stopIfTrue="1" operator="lessThan">
      <formula>$J$17</formula>
    </cfRule>
  </conditionalFormatting>
  <conditionalFormatting sqref="K18">
    <cfRule type="cellIs" dxfId="4511" priority="382" stopIfTrue="1" operator="equal">
      <formula>$J$18</formula>
    </cfRule>
    <cfRule type="cellIs" dxfId="4510" priority="383" stopIfTrue="1" operator="lessThan">
      <formula>$J$18</formula>
    </cfRule>
  </conditionalFormatting>
  <conditionalFormatting sqref="K19">
    <cfRule type="cellIs" dxfId="4509" priority="384" stopIfTrue="1" operator="equal">
      <formula>$J$19</formula>
    </cfRule>
    <cfRule type="cellIs" dxfId="4508" priority="385" stopIfTrue="1" operator="lessThan">
      <formula>$J$19</formula>
    </cfRule>
  </conditionalFormatting>
  <conditionalFormatting sqref="K20">
    <cfRule type="cellIs" dxfId="4507" priority="386" stopIfTrue="1" operator="equal">
      <formula>$J$20</formula>
    </cfRule>
    <cfRule type="cellIs" dxfId="4506" priority="387" stopIfTrue="1" operator="lessThan">
      <formula>$J$20</formula>
    </cfRule>
  </conditionalFormatting>
  <conditionalFormatting sqref="K21">
    <cfRule type="cellIs" dxfId="4505" priority="388" stopIfTrue="1" operator="equal">
      <formula>$J$21</formula>
    </cfRule>
    <cfRule type="cellIs" dxfId="4504" priority="389" stopIfTrue="1" operator="lessThan">
      <formula>$J$21</formula>
    </cfRule>
  </conditionalFormatting>
  <conditionalFormatting sqref="K22">
    <cfRule type="cellIs" dxfId="4503" priority="390" stopIfTrue="1" operator="equal">
      <formula>$J$22</formula>
    </cfRule>
    <cfRule type="cellIs" dxfId="4502" priority="391" stopIfTrue="1" operator="lessThan">
      <formula>$J$22</formula>
    </cfRule>
  </conditionalFormatting>
  <conditionalFormatting sqref="K23">
    <cfRule type="cellIs" dxfId="4501" priority="392" stopIfTrue="1" operator="equal">
      <formula>$J$23</formula>
    </cfRule>
    <cfRule type="cellIs" dxfId="4500" priority="393" stopIfTrue="1" operator="lessThan">
      <formula>$J$23</formula>
    </cfRule>
  </conditionalFormatting>
  <conditionalFormatting sqref="K24">
    <cfRule type="cellIs" dxfId="4499" priority="394" stopIfTrue="1" operator="equal">
      <formula>$J$24</formula>
    </cfRule>
    <cfRule type="cellIs" dxfId="4498" priority="395" stopIfTrue="1" operator="lessThan">
      <formula>$J$24</formula>
    </cfRule>
  </conditionalFormatting>
  <conditionalFormatting sqref="K25">
    <cfRule type="cellIs" dxfId="4497" priority="396" stopIfTrue="1" operator="equal">
      <formula>$J$25</formula>
    </cfRule>
    <cfRule type="cellIs" dxfId="4496" priority="397" stopIfTrue="1" operator="lessThan">
      <formula>$J$25</formula>
    </cfRule>
  </conditionalFormatting>
  <conditionalFormatting sqref="K26">
    <cfRule type="cellIs" dxfId="4495" priority="398" stopIfTrue="1" operator="equal">
      <formula>$J$26</formula>
    </cfRule>
    <cfRule type="cellIs" dxfId="4494" priority="399" stopIfTrue="1" operator="lessThan">
      <formula>$J$26</formula>
    </cfRule>
  </conditionalFormatting>
  <conditionalFormatting sqref="K27">
    <cfRule type="cellIs" dxfId="4493" priority="400" stopIfTrue="1" operator="equal">
      <formula>$J$27</formula>
    </cfRule>
    <cfRule type="cellIs" dxfId="4492" priority="401" stopIfTrue="1" operator="lessThan">
      <formula>$J$27</formula>
    </cfRule>
  </conditionalFormatting>
  <conditionalFormatting sqref="K28">
    <cfRule type="cellIs" dxfId="4491" priority="402" stopIfTrue="1" operator="lessThan">
      <formula>$J$28</formula>
    </cfRule>
    <cfRule type="cellIs" dxfId="4490" priority="403" stopIfTrue="1" operator="equal">
      <formula>$J$28</formula>
    </cfRule>
  </conditionalFormatting>
  <conditionalFormatting sqref="K29">
    <cfRule type="cellIs" dxfId="4489" priority="404" stopIfTrue="1" operator="equal">
      <formula>$J$29</formula>
    </cfRule>
    <cfRule type="cellIs" dxfId="4488" priority="405" stopIfTrue="1" operator="lessThan">
      <formula>$J$29</formula>
    </cfRule>
  </conditionalFormatting>
  <conditionalFormatting sqref="L4">
    <cfRule type="cellIs" dxfId="4487" priority="406" stopIfTrue="1" operator="equal">
      <formula>$K$4</formula>
    </cfRule>
    <cfRule type="cellIs" dxfId="4486" priority="407" stopIfTrue="1" operator="lessThan">
      <formula>$K$4</formula>
    </cfRule>
  </conditionalFormatting>
  <conditionalFormatting sqref="L5">
    <cfRule type="cellIs" dxfId="4485" priority="408" stopIfTrue="1" operator="equal">
      <formula>$K$5</formula>
    </cfRule>
    <cfRule type="cellIs" dxfId="4484" priority="409" stopIfTrue="1" operator="lessThan">
      <formula>$K$5</formula>
    </cfRule>
  </conditionalFormatting>
  <conditionalFormatting sqref="L6">
    <cfRule type="cellIs" dxfId="4483" priority="410" stopIfTrue="1" operator="equal">
      <formula>$K$6</formula>
    </cfRule>
    <cfRule type="cellIs" dxfId="4482" priority="411" stopIfTrue="1" operator="lessThan">
      <formula>$K$6</formula>
    </cfRule>
  </conditionalFormatting>
  <conditionalFormatting sqref="L7">
    <cfRule type="cellIs" dxfId="4481" priority="412" stopIfTrue="1" operator="equal">
      <formula>$K$7</formula>
    </cfRule>
    <cfRule type="cellIs" dxfId="4480" priority="413" stopIfTrue="1" operator="lessThan">
      <formula>$K$7</formula>
    </cfRule>
  </conditionalFormatting>
  <conditionalFormatting sqref="L8">
    <cfRule type="cellIs" dxfId="4479" priority="414" stopIfTrue="1" operator="equal">
      <formula>$K$8</formula>
    </cfRule>
    <cfRule type="cellIs" dxfId="4478" priority="415" stopIfTrue="1" operator="lessThan">
      <formula>$K$8</formula>
    </cfRule>
  </conditionalFormatting>
  <conditionalFormatting sqref="L9">
    <cfRule type="cellIs" dxfId="4477" priority="416" stopIfTrue="1" operator="equal">
      <formula>$K$9</formula>
    </cfRule>
    <cfRule type="cellIs" dxfId="4476" priority="417" stopIfTrue="1" operator="lessThan">
      <formula>$K$9</formula>
    </cfRule>
  </conditionalFormatting>
  <conditionalFormatting sqref="L10">
    <cfRule type="cellIs" dxfId="4475" priority="418" stopIfTrue="1" operator="equal">
      <formula>$K$10</formula>
    </cfRule>
    <cfRule type="cellIs" dxfId="4474" priority="419" stopIfTrue="1" operator="lessThan">
      <formula>$K$10</formula>
    </cfRule>
  </conditionalFormatting>
  <conditionalFormatting sqref="L11">
    <cfRule type="cellIs" dxfId="4473" priority="440" stopIfTrue="1" operator="equal">
      <formula>$K$11</formula>
    </cfRule>
    <cfRule type="cellIs" dxfId="4472" priority="441" stopIfTrue="1" operator="lessThan">
      <formula>$K$11</formula>
    </cfRule>
  </conditionalFormatting>
  <conditionalFormatting sqref="L12">
    <cfRule type="cellIs" dxfId="4471" priority="420" stopIfTrue="1" operator="equal">
      <formula>$K$12</formula>
    </cfRule>
    <cfRule type="cellIs" dxfId="4470" priority="421" stopIfTrue="1" operator="lessThan">
      <formula>$K$12</formula>
    </cfRule>
  </conditionalFormatting>
  <conditionalFormatting sqref="L13">
    <cfRule type="cellIs" dxfId="4469" priority="422" stopIfTrue="1" operator="equal">
      <formula>$K$13</formula>
    </cfRule>
    <cfRule type="cellIs" dxfId="4468" priority="423" stopIfTrue="1" operator="lessThan">
      <formula>$K$13</formula>
    </cfRule>
  </conditionalFormatting>
  <conditionalFormatting sqref="L14">
    <cfRule type="cellIs" dxfId="4467" priority="424" stopIfTrue="1" operator="equal">
      <formula>$K$14</formula>
    </cfRule>
    <cfRule type="cellIs" dxfId="4466" priority="425" stopIfTrue="1" operator="lessThan">
      <formula>$K$14</formula>
    </cfRule>
  </conditionalFormatting>
  <conditionalFormatting sqref="L15">
    <cfRule type="cellIs" dxfId="4465" priority="426" stopIfTrue="1" operator="equal">
      <formula>$K$15</formula>
    </cfRule>
    <cfRule type="cellIs" dxfId="4464" priority="427" stopIfTrue="1" operator="lessThan">
      <formula>$K$15</formula>
    </cfRule>
  </conditionalFormatting>
  <conditionalFormatting sqref="L16">
    <cfRule type="cellIs" dxfId="4463" priority="428" stopIfTrue="1" operator="equal">
      <formula>$K$16</formula>
    </cfRule>
    <cfRule type="cellIs" dxfId="4462" priority="429" stopIfTrue="1" operator="lessThan">
      <formula>$K$16</formula>
    </cfRule>
  </conditionalFormatting>
  <conditionalFormatting sqref="L17">
    <cfRule type="cellIs" dxfId="4461" priority="430" stopIfTrue="1" operator="equal">
      <formula>$K$17</formula>
    </cfRule>
    <cfRule type="cellIs" dxfId="4460" priority="431" stopIfTrue="1" operator="lessThan">
      <formula>$K$17</formula>
    </cfRule>
  </conditionalFormatting>
  <conditionalFormatting sqref="L18">
    <cfRule type="cellIs" dxfId="4459" priority="432" stopIfTrue="1" operator="equal">
      <formula>$K$18</formula>
    </cfRule>
    <cfRule type="cellIs" dxfId="4458" priority="433" stopIfTrue="1" operator="lessThan">
      <formula>$K$18</formula>
    </cfRule>
  </conditionalFormatting>
  <conditionalFormatting sqref="L19">
    <cfRule type="cellIs" dxfId="4457" priority="434" stopIfTrue="1" operator="equal">
      <formula>$K$19</formula>
    </cfRule>
    <cfRule type="cellIs" dxfId="4456" priority="435" stopIfTrue="1" operator="lessThan">
      <formula>$K$19</formula>
    </cfRule>
  </conditionalFormatting>
  <conditionalFormatting sqref="L20">
    <cfRule type="cellIs" dxfId="4455" priority="436" stopIfTrue="1" operator="equal">
      <formula>$K$20</formula>
    </cfRule>
    <cfRule type="cellIs" dxfId="4454" priority="437" stopIfTrue="1" operator="lessThan">
      <formula>$K$20</formula>
    </cfRule>
  </conditionalFormatting>
  <conditionalFormatting sqref="L21">
    <cfRule type="cellIs" dxfId="4453" priority="438" stopIfTrue="1" operator="equal">
      <formula>$K$21</formula>
    </cfRule>
    <cfRule type="cellIs" dxfId="4452" priority="439" stopIfTrue="1" operator="lessThan">
      <formula>$K$21</formula>
    </cfRule>
  </conditionalFormatting>
  <conditionalFormatting sqref="L22">
    <cfRule type="cellIs" dxfId="4451" priority="442" stopIfTrue="1" operator="equal">
      <formula>$K$22</formula>
    </cfRule>
    <cfRule type="cellIs" dxfId="4450" priority="443" stopIfTrue="1" operator="lessThan">
      <formula>$K$22</formula>
    </cfRule>
  </conditionalFormatting>
  <conditionalFormatting sqref="L23">
    <cfRule type="cellIs" dxfId="4449" priority="444" stopIfTrue="1" operator="equal">
      <formula>$K$23</formula>
    </cfRule>
    <cfRule type="cellIs" dxfId="4448" priority="445" stopIfTrue="1" operator="lessThan">
      <formula>$K$23</formula>
    </cfRule>
  </conditionalFormatting>
  <conditionalFormatting sqref="L24">
    <cfRule type="cellIs" dxfId="4447" priority="446" stopIfTrue="1" operator="equal">
      <formula>$K$24</formula>
    </cfRule>
    <cfRule type="cellIs" dxfId="4446" priority="447" stopIfTrue="1" operator="lessThan">
      <formula>$K$24</formula>
    </cfRule>
  </conditionalFormatting>
  <conditionalFormatting sqref="L25">
    <cfRule type="cellIs" dxfId="4445" priority="448" stopIfTrue="1" operator="equal">
      <formula>$K$25</formula>
    </cfRule>
    <cfRule type="cellIs" dxfId="4444" priority="449" stopIfTrue="1" operator="lessThan">
      <formula>$K$25</formula>
    </cfRule>
  </conditionalFormatting>
  <conditionalFormatting sqref="L26">
    <cfRule type="cellIs" dxfId="4443" priority="450" stopIfTrue="1" operator="equal">
      <formula>$K$26</formula>
    </cfRule>
    <cfRule type="cellIs" dxfId="4442" priority="451" stopIfTrue="1" operator="lessThan">
      <formula>$K$26</formula>
    </cfRule>
  </conditionalFormatting>
  <conditionalFormatting sqref="L27">
    <cfRule type="cellIs" dxfId="4441" priority="452" stopIfTrue="1" operator="equal">
      <formula>$K$27</formula>
    </cfRule>
    <cfRule type="cellIs" dxfId="4440" priority="453" stopIfTrue="1" operator="lessThan">
      <formula>$K$27</formula>
    </cfRule>
  </conditionalFormatting>
  <conditionalFormatting sqref="L28">
    <cfRule type="cellIs" dxfId="4439" priority="454" stopIfTrue="1" operator="equal">
      <formula>$K$28</formula>
    </cfRule>
    <cfRule type="cellIs" dxfId="4438" priority="455" stopIfTrue="1" operator="lessThan">
      <formula>$K$28</formula>
    </cfRule>
  </conditionalFormatting>
  <conditionalFormatting sqref="L29">
    <cfRule type="cellIs" dxfId="4437" priority="456" stopIfTrue="1" operator="equal">
      <formula>$K$29</formula>
    </cfRule>
    <cfRule type="cellIs" dxfId="4436" priority="457" stopIfTrue="1" operator="lessThan">
      <formula>$K$29</formula>
    </cfRule>
  </conditionalFormatting>
  <conditionalFormatting sqref="M4">
    <cfRule type="cellIs" dxfId="4435" priority="458" stopIfTrue="1" operator="lessThan">
      <formula>$L$4</formula>
    </cfRule>
    <cfRule type="cellIs" dxfId="4434" priority="459" stopIfTrue="1" operator="equal">
      <formula>$L$4</formula>
    </cfRule>
  </conditionalFormatting>
  <conditionalFormatting sqref="M5">
    <cfRule type="cellIs" dxfId="4433" priority="460" stopIfTrue="1" operator="equal">
      <formula>$L$5</formula>
    </cfRule>
    <cfRule type="cellIs" dxfId="4432" priority="461" stopIfTrue="1" operator="lessThan">
      <formula>$L$5</formula>
    </cfRule>
  </conditionalFormatting>
  <conditionalFormatting sqref="M6">
    <cfRule type="cellIs" dxfId="4431" priority="462" stopIfTrue="1" operator="equal">
      <formula>$L$6</formula>
    </cfRule>
    <cfRule type="cellIs" dxfId="4430" priority="463" stopIfTrue="1" operator="lessThan">
      <formula>$L$6</formula>
    </cfRule>
  </conditionalFormatting>
  <conditionalFormatting sqref="M7">
    <cfRule type="cellIs" dxfId="4429" priority="464" stopIfTrue="1" operator="equal">
      <formula>$L$7</formula>
    </cfRule>
    <cfRule type="cellIs" dxfId="4428" priority="465" stopIfTrue="1" operator="lessThan">
      <formula>$L$7</formula>
    </cfRule>
  </conditionalFormatting>
  <conditionalFormatting sqref="M8">
    <cfRule type="cellIs" dxfId="4427" priority="466" stopIfTrue="1" operator="equal">
      <formula>$L$8</formula>
    </cfRule>
    <cfRule type="cellIs" dxfId="4426" priority="467" stopIfTrue="1" operator="lessThan">
      <formula>$L$8</formula>
    </cfRule>
  </conditionalFormatting>
  <conditionalFormatting sqref="M9">
    <cfRule type="cellIs" dxfId="4425" priority="468" stopIfTrue="1" operator="equal">
      <formula>$L$9</formula>
    </cfRule>
    <cfRule type="cellIs" dxfId="4424" priority="469" stopIfTrue="1" operator="lessThan">
      <formula>$L$9</formula>
    </cfRule>
  </conditionalFormatting>
  <conditionalFormatting sqref="M10">
    <cfRule type="cellIs" dxfId="4423" priority="470" stopIfTrue="1" operator="equal">
      <formula>$L$10</formula>
    </cfRule>
    <cfRule type="cellIs" dxfId="4422" priority="471" stopIfTrue="1" operator="lessThan">
      <formula>$L$10</formula>
    </cfRule>
  </conditionalFormatting>
  <conditionalFormatting sqref="M11">
    <cfRule type="cellIs" dxfId="4421" priority="472" stopIfTrue="1" operator="equal">
      <formula>$L$11</formula>
    </cfRule>
    <cfRule type="cellIs" dxfId="4420" priority="473" stopIfTrue="1" operator="lessThan">
      <formula>$L$11</formula>
    </cfRule>
  </conditionalFormatting>
  <conditionalFormatting sqref="M12">
    <cfRule type="cellIs" dxfId="4419" priority="474" stopIfTrue="1" operator="equal">
      <formula>$L$12</formula>
    </cfRule>
    <cfRule type="cellIs" dxfId="4418" priority="475" stopIfTrue="1" operator="lessThan">
      <formula>$L$12</formula>
    </cfRule>
  </conditionalFormatting>
  <conditionalFormatting sqref="M13">
    <cfRule type="cellIs" dxfId="4417" priority="476" stopIfTrue="1" operator="equal">
      <formula>$L$13</formula>
    </cfRule>
    <cfRule type="cellIs" dxfId="4416" priority="477" stopIfTrue="1" operator="lessThan">
      <formula>$L$13</formula>
    </cfRule>
  </conditionalFormatting>
  <conditionalFormatting sqref="M14">
    <cfRule type="cellIs" dxfId="4415" priority="478" stopIfTrue="1" operator="equal">
      <formula>$L$14</formula>
    </cfRule>
    <cfRule type="cellIs" dxfId="4414" priority="479" stopIfTrue="1" operator="lessThan">
      <formula>$L$14</formula>
    </cfRule>
  </conditionalFormatting>
  <conditionalFormatting sqref="M15">
    <cfRule type="cellIs" dxfId="4413" priority="480" stopIfTrue="1" operator="equal">
      <formula>$L$15</formula>
    </cfRule>
    <cfRule type="cellIs" dxfId="4412" priority="481" stopIfTrue="1" operator="lessThan">
      <formula>$L$15</formula>
    </cfRule>
  </conditionalFormatting>
  <conditionalFormatting sqref="M16">
    <cfRule type="cellIs" dxfId="4411" priority="482" stopIfTrue="1" operator="equal">
      <formula>$L$16</formula>
    </cfRule>
    <cfRule type="cellIs" dxfId="4410" priority="483" stopIfTrue="1" operator="lessThan">
      <formula>$L$16</formula>
    </cfRule>
  </conditionalFormatting>
  <conditionalFormatting sqref="M17">
    <cfRule type="cellIs" dxfId="4409" priority="484" stopIfTrue="1" operator="equal">
      <formula>$L$17</formula>
    </cfRule>
    <cfRule type="cellIs" dxfId="4408" priority="485" stopIfTrue="1" operator="lessThan">
      <formula>$L$17</formula>
    </cfRule>
  </conditionalFormatting>
  <conditionalFormatting sqref="M18">
    <cfRule type="cellIs" dxfId="4407" priority="486" stopIfTrue="1" operator="equal">
      <formula>$L$18</formula>
    </cfRule>
    <cfRule type="cellIs" dxfId="4406" priority="487" stopIfTrue="1" operator="lessThan">
      <formula>$L$18</formula>
    </cfRule>
  </conditionalFormatting>
  <conditionalFormatting sqref="M19">
    <cfRule type="cellIs" dxfId="4405" priority="488" stopIfTrue="1" operator="equal">
      <formula>$L$19</formula>
    </cfRule>
    <cfRule type="cellIs" dxfId="4404" priority="489" stopIfTrue="1" operator="lessThan">
      <formula>$L$19</formula>
    </cfRule>
  </conditionalFormatting>
  <conditionalFormatting sqref="M20">
    <cfRule type="cellIs" dxfId="4403" priority="490" stopIfTrue="1" operator="equal">
      <formula>$L$20</formula>
    </cfRule>
    <cfRule type="cellIs" dxfId="4402" priority="491" stopIfTrue="1" operator="lessThan">
      <formula>$L$20</formula>
    </cfRule>
  </conditionalFormatting>
  <conditionalFormatting sqref="M21">
    <cfRule type="cellIs" dxfId="4401" priority="492" stopIfTrue="1" operator="equal">
      <formula>$L$21</formula>
    </cfRule>
    <cfRule type="cellIs" dxfId="4400" priority="493" stopIfTrue="1" operator="lessThan">
      <formula>$L$21</formula>
    </cfRule>
  </conditionalFormatting>
  <conditionalFormatting sqref="M22">
    <cfRule type="cellIs" dxfId="4399" priority="494" stopIfTrue="1" operator="equal">
      <formula>$L$22</formula>
    </cfRule>
    <cfRule type="cellIs" dxfId="4398" priority="495" stopIfTrue="1" operator="lessThan">
      <formula>$L$22</formula>
    </cfRule>
  </conditionalFormatting>
  <conditionalFormatting sqref="M23">
    <cfRule type="cellIs" dxfId="4397" priority="496" stopIfTrue="1" operator="equal">
      <formula>$L$23</formula>
    </cfRule>
    <cfRule type="cellIs" dxfId="4396" priority="497" stopIfTrue="1" operator="lessThan">
      <formula>$L$23</formula>
    </cfRule>
  </conditionalFormatting>
  <conditionalFormatting sqref="M24">
    <cfRule type="cellIs" dxfId="4395" priority="498" stopIfTrue="1" operator="equal">
      <formula>$L$24</formula>
    </cfRule>
    <cfRule type="cellIs" dxfId="4394" priority="499" stopIfTrue="1" operator="lessThan">
      <formula>$L$24</formula>
    </cfRule>
  </conditionalFormatting>
  <conditionalFormatting sqref="M25">
    <cfRule type="cellIs" dxfId="4393" priority="500" stopIfTrue="1" operator="equal">
      <formula>$L$25</formula>
    </cfRule>
    <cfRule type="cellIs" dxfId="4392" priority="501" stopIfTrue="1" operator="lessThan">
      <formula>$L$25</formula>
    </cfRule>
  </conditionalFormatting>
  <conditionalFormatting sqref="M26">
    <cfRule type="cellIs" dxfId="4391" priority="502" stopIfTrue="1" operator="equal">
      <formula>$L$26</formula>
    </cfRule>
    <cfRule type="cellIs" dxfId="4390" priority="503" stopIfTrue="1" operator="lessThan">
      <formula>$L$26</formula>
    </cfRule>
  </conditionalFormatting>
  <conditionalFormatting sqref="M27">
    <cfRule type="cellIs" dxfId="4389" priority="504" stopIfTrue="1" operator="equal">
      <formula>$L$27</formula>
    </cfRule>
    <cfRule type="cellIs" dxfId="4388" priority="505" stopIfTrue="1" operator="lessThan">
      <formula>$L$27</formula>
    </cfRule>
  </conditionalFormatting>
  <conditionalFormatting sqref="M28">
    <cfRule type="cellIs" dxfId="4387" priority="506" stopIfTrue="1" operator="equal">
      <formula>$L$28</formula>
    </cfRule>
    <cfRule type="cellIs" dxfId="4386" priority="507" stopIfTrue="1" operator="lessThan">
      <formula>$L$28</formula>
    </cfRule>
  </conditionalFormatting>
  <conditionalFormatting sqref="M29">
    <cfRule type="cellIs" dxfId="4385" priority="508" stopIfTrue="1" operator="equal">
      <formula>$L$29</formula>
    </cfRule>
    <cfRule type="cellIs" dxfId="4384" priority="509" stopIfTrue="1" operator="lessThan">
      <formula>$L$29</formula>
    </cfRule>
  </conditionalFormatting>
  <conditionalFormatting sqref="N4">
    <cfRule type="cellIs" dxfId="4383" priority="510" stopIfTrue="1" operator="equal">
      <formula>$M$4</formula>
    </cfRule>
    <cfRule type="cellIs" dxfId="4382" priority="511" stopIfTrue="1" operator="lessThan">
      <formula>$M$4</formula>
    </cfRule>
  </conditionalFormatting>
  <conditionalFormatting sqref="N5">
    <cfRule type="cellIs" dxfId="4381" priority="512" stopIfTrue="1" operator="equal">
      <formula>$M$5</formula>
    </cfRule>
    <cfRule type="cellIs" dxfId="4380" priority="513" stopIfTrue="1" operator="lessThan">
      <formula>$M$5</formula>
    </cfRule>
  </conditionalFormatting>
  <conditionalFormatting sqref="N6">
    <cfRule type="cellIs" dxfId="4379" priority="514" stopIfTrue="1" operator="equal">
      <formula>$M$6</formula>
    </cfRule>
    <cfRule type="cellIs" dxfId="4378" priority="515" stopIfTrue="1" operator="lessThan">
      <formula>$M$6</formula>
    </cfRule>
  </conditionalFormatting>
  <conditionalFormatting sqref="N7">
    <cfRule type="cellIs" dxfId="4377" priority="516" stopIfTrue="1" operator="equal">
      <formula>$M$7</formula>
    </cfRule>
    <cfRule type="cellIs" dxfId="4376" priority="517" stopIfTrue="1" operator="lessThan">
      <formula>$M$7</formula>
    </cfRule>
  </conditionalFormatting>
  <conditionalFormatting sqref="N8">
    <cfRule type="cellIs" dxfId="4375" priority="518" stopIfTrue="1" operator="equal">
      <formula>$M$8</formula>
    </cfRule>
    <cfRule type="cellIs" dxfId="4374" priority="519" stopIfTrue="1" operator="lessThan">
      <formula>$M$8</formula>
    </cfRule>
  </conditionalFormatting>
  <conditionalFormatting sqref="N9">
    <cfRule type="cellIs" dxfId="4373" priority="520" stopIfTrue="1" operator="equal">
      <formula>$M$9</formula>
    </cfRule>
    <cfRule type="cellIs" dxfId="4372" priority="521" stopIfTrue="1" operator="lessThan">
      <formula>$M$9</formula>
    </cfRule>
  </conditionalFormatting>
  <conditionalFormatting sqref="N10">
    <cfRule type="cellIs" dxfId="4371" priority="522" stopIfTrue="1" operator="equal">
      <formula>$M$10</formula>
    </cfRule>
    <cfRule type="cellIs" dxfId="4370" priority="523" stopIfTrue="1" operator="lessThan">
      <formula>$M$10</formula>
    </cfRule>
  </conditionalFormatting>
  <conditionalFormatting sqref="N11">
    <cfRule type="cellIs" dxfId="4369" priority="524" stopIfTrue="1" operator="equal">
      <formula>$M$11</formula>
    </cfRule>
    <cfRule type="cellIs" dxfId="4368" priority="525" stopIfTrue="1" operator="lessThan">
      <formula>$M$11</formula>
    </cfRule>
  </conditionalFormatting>
  <conditionalFormatting sqref="N12">
    <cfRule type="cellIs" dxfId="4367" priority="526" stopIfTrue="1" operator="equal">
      <formula>$M$12</formula>
    </cfRule>
    <cfRule type="cellIs" dxfId="4366" priority="527" stopIfTrue="1" operator="lessThan">
      <formula>$M$12</formula>
    </cfRule>
  </conditionalFormatting>
  <conditionalFormatting sqref="N13">
    <cfRule type="cellIs" dxfId="4365" priority="528" stopIfTrue="1" operator="equal">
      <formula>$M$13</formula>
    </cfRule>
    <cfRule type="cellIs" dxfId="4364" priority="529" stopIfTrue="1" operator="lessThan">
      <formula>$M$13</formula>
    </cfRule>
  </conditionalFormatting>
  <conditionalFormatting sqref="N14">
    <cfRule type="cellIs" dxfId="4363" priority="530" stopIfTrue="1" operator="equal">
      <formula>$M$14</formula>
    </cfRule>
    <cfRule type="cellIs" dxfId="4362" priority="531" stopIfTrue="1" operator="lessThan">
      <formula>$M$14</formula>
    </cfRule>
  </conditionalFormatting>
  <conditionalFormatting sqref="N15">
    <cfRule type="cellIs" dxfId="4361" priority="532" stopIfTrue="1" operator="equal">
      <formula>$M$15</formula>
    </cfRule>
    <cfRule type="cellIs" dxfId="4360" priority="533" stopIfTrue="1" operator="lessThan">
      <formula>$M$15</formula>
    </cfRule>
  </conditionalFormatting>
  <conditionalFormatting sqref="N16">
    <cfRule type="cellIs" dxfId="4359" priority="534" stopIfTrue="1" operator="equal">
      <formula>$M$16</formula>
    </cfRule>
    <cfRule type="cellIs" dxfId="4358" priority="535" stopIfTrue="1" operator="lessThan">
      <formula>$M$16</formula>
    </cfRule>
  </conditionalFormatting>
  <conditionalFormatting sqref="N17">
    <cfRule type="cellIs" dxfId="4357" priority="536" stopIfTrue="1" operator="equal">
      <formula>$M$17</formula>
    </cfRule>
    <cfRule type="cellIs" dxfId="4356" priority="537" stopIfTrue="1" operator="lessThan">
      <formula>$M$17</formula>
    </cfRule>
  </conditionalFormatting>
  <conditionalFormatting sqref="N18">
    <cfRule type="cellIs" dxfId="4355" priority="538" stopIfTrue="1" operator="equal">
      <formula>$M$18</formula>
    </cfRule>
    <cfRule type="cellIs" dxfId="4354" priority="539" stopIfTrue="1" operator="lessThan">
      <formula>$M$18</formula>
    </cfRule>
  </conditionalFormatting>
  <conditionalFormatting sqref="N19">
    <cfRule type="cellIs" dxfId="4353" priority="540" stopIfTrue="1" operator="equal">
      <formula>$M$19</formula>
    </cfRule>
    <cfRule type="cellIs" dxfId="4352" priority="541" stopIfTrue="1" operator="lessThan">
      <formula>$M$19</formula>
    </cfRule>
  </conditionalFormatting>
  <conditionalFormatting sqref="N20">
    <cfRule type="cellIs" dxfId="4351" priority="542" stopIfTrue="1" operator="equal">
      <formula>$M$20</formula>
    </cfRule>
    <cfRule type="cellIs" dxfId="4350" priority="543" stopIfTrue="1" operator="lessThan">
      <formula>$M$20</formula>
    </cfRule>
  </conditionalFormatting>
  <conditionalFormatting sqref="N21">
    <cfRule type="cellIs" dxfId="4349" priority="544" stopIfTrue="1" operator="equal">
      <formula>$M$21</formula>
    </cfRule>
    <cfRule type="cellIs" dxfId="4348" priority="545" stopIfTrue="1" operator="lessThan">
      <formula>$M$21</formula>
    </cfRule>
  </conditionalFormatting>
  <conditionalFormatting sqref="N22">
    <cfRule type="cellIs" dxfId="4347" priority="546" stopIfTrue="1" operator="equal">
      <formula>$M$22</formula>
    </cfRule>
    <cfRule type="cellIs" dxfId="4346" priority="547" stopIfTrue="1" operator="lessThan">
      <formula>$M$22</formula>
    </cfRule>
  </conditionalFormatting>
  <conditionalFormatting sqref="N23">
    <cfRule type="cellIs" dxfId="4345" priority="548" stopIfTrue="1" operator="equal">
      <formula>$M$23</formula>
    </cfRule>
    <cfRule type="cellIs" dxfId="4344" priority="549" stopIfTrue="1" operator="lessThan">
      <formula>$M$23</formula>
    </cfRule>
  </conditionalFormatting>
  <conditionalFormatting sqref="N24">
    <cfRule type="cellIs" dxfId="4343" priority="550" stopIfTrue="1" operator="equal">
      <formula>$M$24</formula>
    </cfRule>
    <cfRule type="cellIs" dxfId="4342" priority="551" stopIfTrue="1" operator="lessThan">
      <formula>$M$24</formula>
    </cfRule>
  </conditionalFormatting>
  <conditionalFormatting sqref="N25">
    <cfRule type="cellIs" dxfId="4341" priority="552" stopIfTrue="1" operator="equal">
      <formula>$M$25</formula>
    </cfRule>
    <cfRule type="cellIs" dxfId="4340" priority="553" stopIfTrue="1" operator="lessThan">
      <formula>$M$25</formula>
    </cfRule>
  </conditionalFormatting>
  <conditionalFormatting sqref="N26">
    <cfRule type="cellIs" dxfId="4339" priority="554" stopIfTrue="1" operator="equal">
      <formula>$M$26</formula>
    </cfRule>
    <cfRule type="cellIs" dxfId="4338" priority="555" stopIfTrue="1" operator="lessThan">
      <formula>$M$26</formula>
    </cfRule>
  </conditionalFormatting>
  <conditionalFormatting sqref="N27">
    <cfRule type="cellIs" dxfId="4337" priority="556" stopIfTrue="1" operator="equal">
      <formula>$M$27</formula>
    </cfRule>
    <cfRule type="cellIs" dxfId="4336" priority="557" stopIfTrue="1" operator="lessThan">
      <formula>$M$27</formula>
    </cfRule>
  </conditionalFormatting>
  <conditionalFormatting sqref="N28">
    <cfRule type="cellIs" dxfId="4335" priority="558" stopIfTrue="1" operator="equal">
      <formula>$M$28</formula>
    </cfRule>
    <cfRule type="cellIs" dxfId="4334" priority="559" stopIfTrue="1" operator="lessThan">
      <formula>$M$28</formula>
    </cfRule>
  </conditionalFormatting>
  <conditionalFormatting sqref="N29">
    <cfRule type="cellIs" dxfId="4333" priority="560" stopIfTrue="1" operator="equal">
      <formula>$M$29</formula>
    </cfRule>
    <cfRule type="cellIs" dxfId="4332" priority="561" stopIfTrue="1" operator="lessThan">
      <formula>$M$29</formula>
    </cfRule>
  </conditionalFormatting>
  <conditionalFormatting sqref="O4">
    <cfRule type="cellIs" dxfId="4331" priority="562" stopIfTrue="1" operator="equal">
      <formula>$N$4</formula>
    </cfRule>
    <cfRule type="cellIs" dxfId="4330" priority="563" stopIfTrue="1" operator="lessThan">
      <formula>$N$4</formula>
    </cfRule>
  </conditionalFormatting>
  <conditionalFormatting sqref="O5">
    <cfRule type="cellIs" dxfId="4329" priority="564" stopIfTrue="1" operator="equal">
      <formula>$N$5</formula>
    </cfRule>
    <cfRule type="cellIs" dxfId="4328" priority="565" stopIfTrue="1" operator="lessThan">
      <formula>$N$5</formula>
    </cfRule>
  </conditionalFormatting>
  <conditionalFormatting sqref="O6">
    <cfRule type="cellIs" dxfId="4327" priority="566" stopIfTrue="1" operator="equal">
      <formula>$N$6</formula>
    </cfRule>
    <cfRule type="cellIs" dxfId="4326" priority="567" stopIfTrue="1" operator="lessThan">
      <formula>$N$6</formula>
    </cfRule>
  </conditionalFormatting>
  <conditionalFormatting sqref="O7">
    <cfRule type="cellIs" dxfId="4325" priority="568" stopIfTrue="1" operator="equal">
      <formula>$N$7</formula>
    </cfRule>
    <cfRule type="cellIs" dxfId="4324" priority="569" stopIfTrue="1" operator="lessThan">
      <formula>$N$7</formula>
    </cfRule>
  </conditionalFormatting>
  <conditionalFormatting sqref="O8">
    <cfRule type="cellIs" dxfId="4323" priority="570" stopIfTrue="1" operator="equal">
      <formula>$N$8</formula>
    </cfRule>
    <cfRule type="cellIs" dxfId="4322" priority="571" stopIfTrue="1" operator="lessThan">
      <formula>$N$8</formula>
    </cfRule>
  </conditionalFormatting>
  <conditionalFormatting sqref="O9">
    <cfRule type="cellIs" dxfId="4321" priority="572" stopIfTrue="1" operator="equal">
      <formula>$N$9</formula>
    </cfRule>
    <cfRule type="cellIs" dxfId="4320" priority="573" stopIfTrue="1" operator="lessThan">
      <formula>$N$9</formula>
    </cfRule>
  </conditionalFormatting>
  <conditionalFormatting sqref="O10">
    <cfRule type="cellIs" dxfId="4319" priority="574" stopIfTrue="1" operator="equal">
      <formula>$N$10</formula>
    </cfRule>
    <cfRule type="cellIs" dxfId="4318" priority="575" stopIfTrue="1" operator="lessThan">
      <formula>$N$10</formula>
    </cfRule>
  </conditionalFormatting>
  <conditionalFormatting sqref="O11">
    <cfRule type="cellIs" dxfId="4317" priority="576" stopIfTrue="1" operator="equal">
      <formula>$N$11</formula>
    </cfRule>
    <cfRule type="cellIs" dxfId="4316" priority="577" stopIfTrue="1" operator="lessThan">
      <formula>$N$11</formula>
    </cfRule>
  </conditionalFormatting>
  <conditionalFormatting sqref="O12">
    <cfRule type="cellIs" dxfId="4315" priority="578" stopIfTrue="1" operator="equal">
      <formula>$N$12</formula>
    </cfRule>
    <cfRule type="cellIs" dxfId="4314" priority="579" stopIfTrue="1" operator="lessThan">
      <formula>$N$12</formula>
    </cfRule>
  </conditionalFormatting>
  <conditionalFormatting sqref="O13">
    <cfRule type="cellIs" dxfId="4313" priority="580" stopIfTrue="1" operator="equal">
      <formula>$N$13</formula>
    </cfRule>
    <cfRule type="cellIs" dxfId="4312" priority="581" stopIfTrue="1" operator="lessThan">
      <formula>$N$13</formula>
    </cfRule>
  </conditionalFormatting>
  <conditionalFormatting sqref="O14">
    <cfRule type="cellIs" dxfId="4311" priority="582" stopIfTrue="1" operator="equal">
      <formula>$N$14</formula>
    </cfRule>
    <cfRule type="cellIs" dxfId="4310" priority="583" stopIfTrue="1" operator="lessThan">
      <formula>$N$14</formula>
    </cfRule>
  </conditionalFormatting>
  <conditionalFormatting sqref="O15">
    <cfRule type="cellIs" dxfId="4309" priority="584" stopIfTrue="1" operator="equal">
      <formula>$N$15</formula>
    </cfRule>
    <cfRule type="cellIs" dxfId="4308" priority="585" stopIfTrue="1" operator="lessThan">
      <formula>$N$15</formula>
    </cfRule>
  </conditionalFormatting>
  <conditionalFormatting sqref="O16">
    <cfRule type="cellIs" dxfId="4307" priority="586" stopIfTrue="1" operator="equal">
      <formula>$N$16</formula>
    </cfRule>
    <cfRule type="cellIs" dxfId="4306" priority="587" stopIfTrue="1" operator="lessThan">
      <formula>$N$16</formula>
    </cfRule>
  </conditionalFormatting>
  <conditionalFormatting sqref="O17">
    <cfRule type="cellIs" dxfId="4305" priority="588" stopIfTrue="1" operator="equal">
      <formula>$N$17</formula>
    </cfRule>
    <cfRule type="cellIs" dxfId="4304" priority="589" stopIfTrue="1" operator="lessThan">
      <formula>$N$17</formula>
    </cfRule>
  </conditionalFormatting>
  <conditionalFormatting sqref="O18">
    <cfRule type="cellIs" dxfId="4303" priority="590" stopIfTrue="1" operator="equal">
      <formula>$N$18</formula>
    </cfRule>
    <cfRule type="cellIs" dxfId="4302" priority="591" stopIfTrue="1" operator="lessThan">
      <formula>$N$18</formula>
    </cfRule>
  </conditionalFormatting>
  <conditionalFormatting sqref="O19">
    <cfRule type="cellIs" dxfId="4301" priority="592" stopIfTrue="1" operator="equal">
      <formula>$N$19</formula>
    </cfRule>
    <cfRule type="cellIs" dxfId="4300" priority="593" stopIfTrue="1" operator="lessThan">
      <formula>$N$19</formula>
    </cfRule>
  </conditionalFormatting>
  <conditionalFormatting sqref="O20">
    <cfRule type="cellIs" dxfId="4299" priority="594" stopIfTrue="1" operator="equal">
      <formula>$N$20</formula>
    </cfRule>
    <cfRule type="cellIs" dxfId="4298" priority="595" stopIfTrue="1" operator="lessThan">
      <formula>$N$20</formula>
    </cfRule>
  </conditionalFormatting>
  <conditionalFormatting sqref="O21">
    <cfRule type="cellIs" dxfId="4297" priority="596" stopIfTrue="1" operator="equal">
      <formula>$N$21</formula>
    </cfRule>
    <cfRule type="cellIs" dxfId="4296" priority="597" stopIfTrue="1" operator="lessThan">
      <formula>$N$21</formula>
    </cfRule>
  </conditionalFormatting>
  <conditionalFormatting sqref="O22">
    <cfRule type="cellIs" dxfId="4295" priority="598" stopIfTrue="1" operator="equal">
      <formula>$N$22</formula>
    </cfRule>
    <cfRule type="cellIs" dxfId="4294" priority="599" stopIfTrue="1" operator="lessThan">
      <formula>$N$22</formula>
    </cfRule>
  </conditionalFormatting>
  <conditionalFormatting sqref="O23">
    <cfRule type="cellIs" dxfId="4293" priority="600" stopIfTrue="1" operator="equal">
      <formula>$N$23</formula>
    </cfRule>
    <cfRule type="cellIs" dxfId="4292" priority="601" stopIfTrue="1" operator="lessThan">
      <formula>$N$23</formula>
    </cfRule>
  </conditionalFormatting>
  <conditionalFormatting sqref="O24">
    <cfRule type="cellIs" dxfId="4291" priority="602" stopIfTrue="1" operator="equal">
      <formula>$N$24</formula>
    </cfRule>
    <cfRule type="cellIs" dxfId="4290" priority="603" stopIfTrue="1" operator="lessThan">
      <formula>$N$24</formula>
    </cfRule>
  </conditionalFormatting>
  <conditionalFormatting sqref="O25">
    <cfRule type="cellIs" dxfId="4289" priority="604" stopIfTrue="1" operator="equal">
      <formula>$N$25</formula>
    </cfRule>
    <cfRule type="cellIs" dxfId="4288" priority="605" stopIfTrue="1" operator="lessThan">
      <formula>$N$25</formula>
    </cfRule>
  </conditionalFormatting>
  <conditionalFormatting sqref="O26">
    <cfRule type="cellIs" dxfId="4287" priority="606" stopIfTrue="1" operator="equal">
      <formula>$N$26</formula>
    </cfRule>
    <cfRule type="cellIs" dxfId="4286" priority="607" stopIfTrue="1" operator="lessThan">
      <formula>$N$26</formula>
    </cfRule>
  </conditionalFormatting>
  <conditionalFormatting sqref="O27">
    <cfRule type="cellIs" dxfId="4285" priority="608" stopIfTrue="1" operator="equal">
      <formula>$N$27</formula>
    </cfRule>
    <cfRule type="cellIs" dxfId="4284" priority="609" stopIfTrue="1" operator="lessThan">
      <formula>$N$27</formula>
    </cfRule>
  </conditionalFormatting>
  <conditionalFormatting sqref="O28">
    <cfRule type="cellIs" dxfId="4283" priority="610" stopIfTrue="1" operator="equal">
      <formula>$N$28</formula>
    </cfRule>
    <cfRule type="cellIs" dxfId="4282" priority="611" stopIfTrue="1" operator="lessThan">
      <formula>$N$28</formula>
    </cfRule>
  </conditionalFormatting>
  <conditionalFormatting sqref="O29">
    <cfRule type="cellIs" dxfId="4281" priority="612" stopIfTrue="1" operator="equal">
      <formula>$N$29</formula>
    </cfRule>
    <cfRule type="cellIs" dxfId="4280" priority="613" stopIfTrue="1" operator="lessThan">
      <formula>$N$29</formula>
    </cfRule>
  </conditionalFormatting>
  <conditionalFormatting sqref="U4:AF23">
    <cfRule type="cellIs" dxfId="4279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63"/>
  <sheetViews>
    <sheetView zoomScaleNormal="100" zoomScaleSheetLayoutView="100" workbookViewId="0">
      <selection activeCell="P2" sqref="P2"/>
    </sheetView>
  </sheetViews>
  <sheetFormatPr defaultRowHeight="14.5" x14ac:dyDescent="0.35"/>
  <cols>
    <col min="1" max="1" width="8.26953125" style="120" customWidth="1"/>
    <col min="2" max="2" width="8.54296875" style="1" customWidth="1"/>
    <col min="3" max="3" width="26.1796875" customWidth="1"/>
    <col min="4" max="16" width="10.1796875" customWidth="1"/>
    <col min="17" max="17" width="11.81640625" bestFit="1" customWidth="1"/>
    <col min="20" max="20" width="5.54296875" customWidth="1"/>
    <col min="36" max="36" width="11.81640625" customWidth="1"/>
    <col min="37" max="49" width="7.453125" style="238" customWidth="1"/>
  </cols>
  <sheetData>
    <row r="1" spans="1:65" ht="15" thickBot="1" x14ac:dyDescent="0.4">
      <c r="A1"/>
      <c r="B1"/>
      <c r="AE1" s="148" t="s">
        <v>107</v>
      </c>
      <c r="AF1" s="148"/>
      <c r="AG1" s="148"/>
    </row>
    <row r="2" spans="1:65" s="1" customFormat="1" ht="21" customHeight="1" thickBot="1" x14ac:dyDescent="0.55000000000000004">
      <c r="A2" s="115" t="s">
        <v>17</v>
      </c>
      <c r="B2" s="112">
        <v>1851</v>
      </c>
      <c r="C2" s="2"/>
      <c r="D2" s="3">
        <f>'1850'!C2</f>
        <v>45658</v>
      </c>
      <c r="E2" s="3">
        <f>'1850'!D2</f>
        <v>45688</v>
      </c>
      <c r="F2" s="3">
        <f>'1850'!E2</f>
        <v>45716</v>
      </c>
      <c r="G2" s="3">
        <f>'1850'!F2</f>
        <v>45748</v>
      </c>
      <c r="H2" s="3">
        <f>'1850'!G2</f>
        <v>45779</v>
      </c>
      <c r="I2" s="3">
        <f>'1850'!H2</f>
        <v>45810</v>
      </c>
      <c r="J2" s="3">
        <f>'1850'!I2</f>
        <v>45839</v>
      </c>
      <c r="K2" s="3">
        <f>'1850'!J2</f>
        <v>45870</v>
      </c>
      <c r="L2" s="3">
        <f>'1850'!K2</f>
        <v>45901</v>
      </c>
      <c r="M2" s="3">
        <f>'1850'!L2</f>
        <v>45931</v>
      </c>
      <c r="N2" s="3">
        <f>'1850'!M2</f>
        <v>45961</v>
      </c>
      <c r="O2" s="3">
        <f>'1850'!N2</f>
        <v>45992</v>
      </c>
      <c r="P2" s="3">
        <f>'1850'!O2</f>
        <v>46022</v>
      </c>
      <c r="Q2" s="1" t="s">
        <v>0</v>
      </c>
      <c r="R2" s="1" t="s">
        <v>1</v>
      </c>
      <c r="S2" s="1" t="s">
        <v>27</v>
      </c>
      <c r="V2" s="142"/>
      <c r="W2" s="143"/>
      <c r="X2" s="143"/>
      <c r="Y2" s="143"/>
      <c r="Z2" s="143" t="s">
        <v>106</v>
      </c>
      <c r="AA2" s="143"/>
      <c r="AB2" s="143"/>
      <c r="AC2" s="143"/>
      <c r="AD2" s="143"/>
      <c r="AE2" s="143"/>
      <c r="AF2" s="143"/>
      <c r="AG2" s="147"/>
      <c r="AH2" s="343"/>
      <c r="AK2" s="239" t="s">
        <v>290</v>
      </c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3" t="s">
        <v>277</v>
      </c>
      <c r="AW2" s="241">
        <f>(AW6+AW12+AW14+AW18+AW54+AW56+AW58+AW60+AW62)/9</f>
        <v>0.31126519180856588</v>
      </c>
    </row>
    <row r="3" spans="1:65" s="1" customFormat="1" ht="15" thickBot="1" x14ac:dyDescent="0.4">
      <c r="A3" s="116" t="s">
        <v>18</v>
      </c>
      <c r="B3" s="4" t="s">
        <v>2</v>
      </c>
      <c r="C3" s="5"/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</v>
      </c>
      <c r="Q3" s="1" t="s">
        <v>79</v>
      </c>
      <c r="R3" s="1" t="s">
        <v>78</v>
      </c>
      <c r="S3" s="1" t="s">
        <v>80</v>
      </c>
      <c r="U3" s="1" t="s">
        <v>105</v>
      </c>
      <c r="V3" s="4" t="s">
        <v>4</v>
      </c>
      <c r="W3" s="4" t="s">
        <v>5</v>
      </c>
      <c r="X3" s="4" t="s">
        <v>6</v>
      </c>
      <c r="Y3" s="4" t="s">
        <v>7</v>
      </c>
      <c r="Z3" s="4" t="s">
        <v>8</v>
      </c>
      <c r="AA3" s="4" t="s">
        <v>9</v>
      </c>
      <c r="AB3" s="4" t="s">
        <v>10</v>
      </c>
      <c r="AC3" s="4" t="s">
        <v>11</v>
      </c>
      <c r="AD3" s="4" t="s">
        <v>12</v>
      </c>
      <c r="AE3" s="4" t="s">
        <v>13</v>
      </c>
      <c r="AF3" s="4" t="s">
        <v>14</v>
      </c>
      <c r="AG3" s="4" t="s">
        <v>3</v>
      </c>
      <c r="AH3" s="343"/>
      <c r="AK3" s="244" t="s">
        <v>264</v>
      </c>
      <c r="AL3" s="244" t="s">
        <v>265</v>
      </c>
      <c r="AM3" s="244" t="s">
        <v>266</v>
      </c>
      <c r="AN3" s="244" t="s">
        <v>267</v>
      </c>
      <c r="AO3" s="244" t="s">
        <v>268</v>
      </c>
      <c r="AP3" s="244" t="s">
        <v>269</v>
      </c>
      <c r="AQ3" s="244" t="s">
        <v>270</v>
      </c>
      <c r="AR3" s="244" t="s">
        <v>271</v>
      </c>
      <c r="AS3" s="244" t="s">
        <v>272</v>
      </c>
      <c r="AT3" s="244" t="s">
        <v>273</v>
      </c>
      <c r="AU3" s="244" t="s">
        <v>274</v>
      </c>
      <c r="AV3" s="244" t="s">
        <v>275</v>
      </c>
      <c r="AW3" s="244" t="s">
        <v>276</v>
      </c>
    </row>
    <row r="4" spans="1:65" ht="15" thickBot="1" x14ac:dyDescent="0.4">
      <c r="A4" s="312">
        <v>1</v>
      </c>
      <c r="B4" s="303">
        <v>1</v>
      </c>
      <c r="C4" s="6" t="s">
        <v>337</v>
      </c>
      <c r="D4" s="7">
        <v>15.010999999999999</v>
      </c>
      <c r="E4" s="7">
        <v>28.036999999999999</v>
      </c>
      <c r="F4" s="7">
        <v>43.088999999999999</v>
      </c>
      <c r="G4" s="7">
        <v>60.307000000000002</v>
      </c>
      <c r="H4" s="7">
        <v>76.864000000000004</v>
      </c>
      <c r="I4" s="7">
        <v>92.991</v>
      </c>
      <c r="J4" s="7">
        <v>106.245</v>
      </c>
      <c r="K4" s="7">
        <v>122.09699999999999</v>
      </c>
      <c r="L4" s="7">
        <v>141.50200000000001</v>
      </c>
      <c r="M4" s="8">
        <v>159.22</v>
      </c>
      <c r="N4" s="7">
        <v>173.64599999999999</v>
      </c>
      <c r="O4" s="7">
        <v>187.745</v>
      </c>
      <c r="P4" s="7">
        <v>199.73</v>
      </c>
      <c r="Q4" s="9">
        <f>P4-D4</f>
        <v>184.71899999999999</v>
      </c>
      <c r="U4" s="1">
        <v>1</v>
      </c>
      <c r="V4" s="144">
        <f t="shared" ref="V4:AG4" si="0">E4-D4</f>
        <v>13.026</v>
      </c>
      <c r="W4" s="144">
        <f t="shared" si="0"/>
        <v>15.052</v>
      </c>
      <c r="X4" s="144">
        <f t="shared" si="0"/>
        <v>17.218000000000004</v>
      </c>
      <c r="Y4" s="144">
        <f t="shared" si="0"/>
        <v>16.557000000000002</v>
      </c>
      <c r="Z4" s="144">
        <f t="shared" si="0"/>
        <v>16.126999999999995</v>
      </c>
      <c r="AA4" s="144">
        <f t="shared" si="0"/>
        <v>13.254000000000005</v>
      </c>
      <c r="AB4" s="144">
        <f t="shared" si="0"/>
        <v>15.85199999999999</v>
      </c>
      <c r="AC4" s="144">
        <f t="shared" si="0"/>
        <v>19.405000000000015</v>
      </c>
      <c r="AD4" s="144">
        <f t="shared" si="0"/>
        <v>17.717999999999989</v>
      </c>
      <c r="AE4" s="144">
        <f t="shared" si="0"/>
        <v>14.425999999999988</v>
      </c>
      <c r="AF4" s="144">
        <f t="shared" si="0"/>
        <v>14.099000000000018</v>
      </c>
      <c r="AG4" s="144">
        <f t="shared" si="0"/>
        <v>11.984999999999985</v>
      </c>
      <c r="AH4" s="344"/>
    </row>
    <row r="5" spans="1:65" x14ac:dyDescent="0.35">
      <c r="A5" s="313"/>
      <c r="B5" s="303"/>
      <c r="C5" s="10" t="s">
        <v>202</v>
      </c>
      <c r="D5" s="11">
        <v>91.799000000000007</v>
      </c>
      <c r="E5" s="11">
        <v>96.551000000000002</v>
      </c>
      <c r="F5" s="11">
        <v>101.42400000000001</v>
      </c>
      <c r="G5" s="11">
        <v>105.05500000000001</v>
      </c>
      <c r="H5" s="11">
        <v>107.005</v>
      </c>
      <c r="I5" s="11">
        <v>108.389</v>
      </c>
      <c r="J5" s="11">
        <v>109.244</v>
      </c>
      <c r="K5" s="11">
        <v>110.095</v>
      </c>
      <c r="L5" s="11">
        <v>111.092</v>
      </c>
      <c r="M5" s="12">
        <v>112.199</v>
      </c>
      <c r="N5" s="11">
        <v>114.626</v>
      </c>
      <c r="O5" s="11">
        <v>118.54600000000001</v>
      </c>
      <c r="P5" s="11">
        <v>122.956</v>
      </c>
      <c r="Q5" s="9"/>
      <c r="R5" s="9">
        <f>P5-D5</f>
        <v>31.156999999999996</v>
      </c>
      <c r="U5" s="149" t="s">
        <v>108</v>
      </c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344"/>
    </row>
    <row r="6" spans="1:65" x14ac:dyDescent="0.35">
      <c r="A6" s="117">
        <v>2</v>
      </c>
      <c r="B6" s="302">
        <v>2</v>
      </c>
      <c r="C6" s="10" t="s">
        <v>338</v>
      </c>
      <c r="D6" s="11">
        <v>7.3460000000000001</v>
      </c>
      <c r="E6" s="11">
        <v>12.976000000000001</v>
      </c>
      <c r="F6" s="11">
        <v>18.899999999999999</v>
      </c>
      <c r="G6" s="11">
        <v>25.565000000000001</v>
      </c>
      <c r="H6" s="11">
        <v>31.981999999999999</v>
      </c>
      <c r="I6" s="11">
        <v>38.645000000000003</v>
      </c>
      <c r="J6" s="11">
        <v>45.223999999999997</v>
      </c>
      <c r="K6" s="11">
        <v>51.936999999999998</v>
      </c>
      <c r="L6" s="11">
        <v>59.308999999999997</v>
      </c>
      <c r="M6" s="11">
        <v>67.745000000000005</v>
      </c>
      <c r="N6" s="11">
        <v>76.055000000000007</v>
      </c>
      <c r="O6" s="11">
        <v>82.936999999999998</v>
      </c>
      <c r="P6" s="11">
        <v>90.242000000000004</v>
      </c>
      <c r="Q6" s="9">
        <f>P6-D6</f>
        <v>82.896000000000001</v>
      </c>
      <c r="U6" s="1">
        <v>2</v>
      </c>
      <c r="V6" s="146">
        <f t="shared" ref="V6:AG6" si="1">E6-D6</f>
        <v>5.6300000000000008</v>
      </c>
      <c r="W6" s="146">
        <f t="shared" si="1"/>
        <v>5.9239999999999977</v>
      </c>
      <c r="X6" s="146">
        <f t="shared" si="1"/>
        <v>6.6650000000000027</v>
      </c>
      <c r="Y6" s="146">
        <f t="shared" si="1"/>
        <v>6.416999999999998</v>
      </c>
      <c r="Z6" s="146">
        <f t="shared" si="1"/>
        <v>6.6630000000000038</v>
      </c>
      <c r="AA6" s="146">
        <f t="shared" si="1"/>
        <v>6.5789999999999935</v>
      </c>
      <c r="AB6" s="146">
        <f t="shared" si="1"/>
        <v>6.713000000000001</v>
      </c>
      <c r="AC6" s="146">
        <f t="shared" si="1"/>
        <v>7.3719999999999999</v>
      </c>
      <c r="AD6" s="146">
        <f t="shared" si="1"/>
        <v>8.436000000000007</v>
      </c>
      <c r="AE6" s="146">
        <f t="shared" si="1"/>
        <v>8.3100000000000023</v>
      </c>
      <c r="AF6" s="146">
        <f t="shared" si="1"/>
        <v>6.8819999999999908</v>
      </c>
      <c r="AG6" s="146">
        <f t="shared" si="1"/>
        <v>7.3050000000000068</v>
      </c>
      <c r="AH6" s="344"/>
      <c r="AJ6" s="245" t="s">
        <v>279</v>
      </c>
      <c r="AK6" s="242">
        <f>V7/(V6+V7)</f>
        <v>0.37080911935628075</v>
      </c>
      <c r="AL6" s="242">
        <f t="shared" ref="AL6:AV6" si="2">W7/(W6+W7)</f>
        <v>0.3437465381632881</v>
      </c>
      <c r="AM6" s="242">
        <f t="shared" si="2"/>
        <v>0.35479186834462717</v>
      </c>
      <c r="AN6" s="242">
        <f t="shared" si="2"/>
        <v>0.33872629843363561</v>
      </c>
      <c r="AO6" s="242">
        <f t="shared" si="2"/>
        <v>0.33925029750099173</v>
      </c>
      <c r="AP6" s="242">
        <f t="shared" si="2"/>
        <v>0.2595385481148002</v>
      </c>
      <c r="AQ6" s="242">
        <f t="shared" si="2"/>
        <v>0.24547600314712831</v>
      </c>
      <c r="AR6" s="242">
        <f t="shared" si="2"/>
        <v>0.2564800806858295</v>
      </c>
      <c r="AS6" s="242">
        <f t="shared" si="2"/>
        <v>0.25450689289501566</v>
      </c>
      <c r="AT6" s="242">
        <f t="shared" si="2"/>
        <v>0.27277500656340248</v>
      </c>
      <c r="AU6" s="242">
        <f t="shared" si="2"/>
        <v>0.31705864840726439</v>
      </c>
      <c r="AV6" s="242">
        <f t="shared" si="2"/>
        <v>0.30388793596340746</v>
      </c>
      <c r="AW6" s="242">
        <f>SUM(AK6:AV6)/12</f>
        <v>0.30475393646463927</v>
      </c>
    </row>
    <row r="7" spans="1:65" x14ac:dyDescent="0.35">
      <c r="A7" s="117" t="s">
        <v>19</v>
      </c>
      <c r="B7" s="302"/>
      <c r="C7" s="10" t="s">
        <v>203</v>
      </c>
      <c r="D7" s="11">
        <v>111.032</v>
      </c>
      <c r="E7" s="11">
        <v>117.93300000000001</v>
      </c>
      <c r="F7" s="11">
        <v>124.626</v>
      </c>
      <c r="G7" s="11">
        <v>128.93199999999999</v>
      </c>
      <c r="H7" s="11">
        <v>131.03299999999999</v>
      </c>
      <c r="I7" s="11">
        <v>132.518</v>
      </c>
      <c r="J7" s="11">
        <v>133.52699999999999</v>
      </c>
      <c r="K7" s="11">
        <v>134.453</v>
      </c>
      <c r="L7" s="11">
        <v>135.203</v>
      </c>
      <c r="M7" s="11">
        <v>136.45500000000001</v>
      </c>
      <c r="N7" s="11">
        <v>139.75</v>
      </c>
      <c r="O7" s="11">
        <v>144.249</v>
      </c>
      <c r="P7" s="11">
        <v>148.721</v>
      </c>
      <c r="Q7" s="9"/>
      <c r="R7" s="9">
        <f>P7-D7</f>
        <v>37.689000000000007</v>
      </c>
      <c r="U7" s="149" t="s">
        <v>109</v>
      </c>
      <c r="V7" s="153">
        <f t="shared" ref="V7:AF7" si="3">V40</f>
        <v>3.3180000000000001</v>
      </c>
      <c r="W7" s="153">
        <f t="shared" si="3"/>
        <v>3.1030000000000006</v>
      </c>
      <c r="X7" s="153">
        <f t="shared" si="3"/>
        <v>3.6649999999999991</v>
      </c>
      <c r="Y7" s="153">
        <f t="shared" si="3"/>
        <v>3.286999999999999</v>
      </c>
      <c r="Z7" s="153">
        <f t="shared" si="3"/>
        <v>3.4210000000000029</v>
      </c>
      <c r="AA7" s="153">
        <f t="shared" si="3"/>
        <v>2.3059999999999974</v>
      </c>
      <c r="AB7" s="153">
        <f t="shared" si="3"/>
        <v>2.1840000000000011</v>
      </c>
      <c r="AC7" s="153">
        <f t="shared" si="3"/>
        <v>2.5429999999999993</v>
      </c>
      <c r="AD7" s="153">
        <f t="shared" si="3"/>
        <v>2.879999999999999</v>
      </c>
      <c r="AE7" s="153">
        <f t="shared" si="3"/>
        <v>3.1170000000000009</v>
      </c>
      <c r="AF7" s="153">
        <f t="shared" si="3"/>
        <v>3.1950000000000003</v>
      </c>
      <c r="AG7" s="153">
        <f t="shared" ref="AG7" si="4">AG40</f>
        <v>3.1890000000000001</v>
      </c>
      <c r="AH7" s="345"/>
      <c r="AJ7" s="245"/>
    </row>
    <row r="8" spans="1:65" x14ac:dyDescent="0.35">
      <c r="A8" s="117">
        <v>5</v>
      </c>
      <c r="B8" s="314">
        <v>3</v>
      </c>
      <c r="C8" s="10" t="s">
        <v>339</v>
      </c>
      <c r="D8" s="11">
        <v>1.2270000000000001</v>
      </c>
      <c r="E8" s="11">
        <v>2.16</v>
      </c>
      <c r="F8" s="11">
        <v>3.1440000000000001</v>
      </c>
      <c r="G8" s="11">
        <v>4.548</v>
      </c>
      <c r="H8" s="11">
        <v>5.93</v>
      </c>
      <c r="I8" s="11">
        <v>7.35</v>
      </c>
      <c r="J8" s="11">
        <v>8.6259999999999994</v>
      </c>
      <c r="K8" s="11">
        <v>10.044</v>
      </c>
      <c r="L8" s="11">
        <v>11.541</v>
      </c>
      <c r="M8" s="11">
        <v>12.849</v>
      </c>
      <c r="N8" s="11">
        <v>14.083</v>
      </c>
      <c r="O8" s="11">
        <v>15.509</v>
      </c>
      <c r="P8" s="11">
        <v>17.065000000000001</v>
      </c>
      <c r="Q8" s="9">
        <f>P8-D8</f>
        <v>15.838000000000001</v>
      </c>
      <c r="U8" s="1">
        <v>5</v>
      </c>
      <c r="V8" s="146">
        <f t="shared" ref="V8:AG8" si="5">E8-D8</f>
        <v>0.93300000000000005</v>
      </c>
      <c r="W8" s="146">
        <f t="shared" si="5"/>
        <v>0.98399999999999999</v>
      </c>
      <c r="X8" s="146">
        <f t="shared" si="5"/>
        <v>1.4039999999999999</v>
      </c>
      <c r="Y8" s="146">
        <f t="shared" si="5"/>
        <v>1.3819999999999997</v>
      </c>
      <c r="Z8" s="146">
        <f t="shared" si="5"/>
        <v>1.42</v>
      </c>
      <c r="AA8" s="146">
        <f t="shared" si="5"/>
        <v>1.2759999999999998</v>
      </c>
      <c r="AB8" s="146">
        <f t="shared" si="5"/>
        <v>1.418000000000001</v>
      </c>
      <c r="AC8" s="146">
        <f t="shared" si="5"/>
        <v>1.4969999999999999</v>
      </c>
      <c r="AD8" s="146">
        <f t="shared" si="5"/>
        <v>1.3079999999999998</v>
      </c>
      <c r="AE8" s="146">
        <f t="shared" si="5"/>
        <v>1.234</v>
      </c>
      <c r="AF8" s="146">
        <f t="shared" si="5"/>
        <v>1.4260000000000002</v>
      </c>
      <c r="AG8" s="146">
        <f t="shared" si="5"/>
        <v>1.5560000000000009</v>
      </c>
      <c r="AH8" s="344"/>
      <c r="AJ8" s="245" t="s">
        <v>280</v>
      </c>
      <c r="AK8" s="242">
        <f t="shared" ref="AK8:AV8" si="6">V9/(V8+V9)</f>
        <v>0.26303317535545023</v>
      </c>
      <c r="AL8" s="242">
        <f t="shared" si="6"/>
        <v>0.24015444015444012</v>
      </c>
      <c r="AM8" s="242">
        <f t="shared" si="6"/>
        <v>0.20990433314575127</v>
      </c>
      <c r="AN8" s="242">
        <f t="shared" si="6"/>
        <v>0.20665901262916198</v>
      </c>
      <c r="AO8" s="242">
        <f t="shared" si="6"/>
        <v>0.21111111111111117</v>
      </c>
      <c r="AP8" s="242">
        <f t="shared" si="6"/>
        <v>0.21185917232859791</v>
      </c>
      <c r="AQ8" s="242">
        <f t="shared" si="6"/>
        <v>0.20247469066366686</v>
      </c>
      <c r="AR8" s="242">
        <f t="shared" si="6"/>
        <v>0.18641304347826088</v>
      </c>
      <c r="AS8" s="242">
        <f t="shared" si="6"/>
        <v>0.21062160531080276</v>
      </c>
      <c r="AT8" s="242">
        <f t="shared" si="6"/>
        <v>0.24710189139719332</v>
      </c>
      <c r="AU8" s="242">
        <f t="shared" si="6"/>
        <v>0.26494845360824748</v>
      </c>
      <c r="AV8" s="242">
        <f t="shared" si="6"/>
        <v>0.22587064676616894</v>
      </c>
      <c r="AW8" s="242">
        <f>SUM(AK8:AV8)/12</f>
        <v>0.22334596466240442</v>
      </c>
    </row>
    <row r="9" spans="1:65" x14ac:dyDescent="0.35">
      <c r="A9" s="117" t="s">
        <v>20</v>
      </c>
      <c r="B9" s="314"/>
      <c r="C9" s="10" t="s">
        <v>204</v>
      </c>
      <c r="D9" s="11">
        <v>124.131</v>
      </c>
      <c r="E9" s="11">
        <v>129.17699999999999</v>
      </c>
      <c r="F9" s="11">
        <v>133.02000000000001</v>
      </c>
      <c r="G9" s="11">
        <v>135.04599999999999</v>
      </c>
      <c r="H9" s="11">
        <v>135.803</v>
      </c>
      <c r="I9" s="11">
        <v>136.05600000000001</v>
      </c>
      <c r="J9" s="11">
        <v>136.251</v>
      </c>
      <c r="K9" s="11">
        <v>136.41900000000001</v>
      </c>
      <c r="L9" s="11">
        <v>136.595</v>
      </c>
      <c r="M9" s="11">
        <v>136.88499999999999</v>
      </c>
      <c r="N9" s="11">
        <v>137.73400000000001</v>
      </c>
      <c r="O9" s="11">
        <v>140.62</v>
      </c>
      <c r="P9" s="11">
        <v>144.35900000000001</v>
      </c>
      <c r="Q9" s="9"/>
      <c r="R9" s="9">
        <f>P9-D9</f>
        <v>20.228000000000009</v>
      </c>
      <c r="U9" s="149" t="s">
        <v>109</v>
      </c>
      <c r="V9" s="153">
        <f t="shared" ref="V9:AF9" si="7">V42</f>
        <v>0.33300000000000002</v>
      </c>
      <c r="W9" s="153">
        <f t="shared" si="7"/>
        <v>0.31099999999999994</v>
      </c>
      <c r="X9" s="153">
        <f t="shared" si="7"/>
        <v>0.373</v>
      </c>
      <c r="Y9" s="153">
        <f t="shared" si="7"/>
        <v>0.3600000000000001</v>
      </c>
      <c r="Z9" s="153">
        <f t="shared" si="7"/>
        <v>0.38000000000000012</v>
      </c>
      <c r="AA9" s="153">
        <f t="shared" si="7"/>
        <v>0.34299999999999997</v>
      </c>
      <c r="AB9" s="153">
        <f t="shared" si="7"/>
        <v>0.35999999999999988</v>
      </c>
      <c r="AC9" s="153">
        <f t="shared" si="7"/>
        <v>0.34299999999999997</v>
      </c>
      <c r="AD9" s="153">
        <f t="shared" si="7"/>
        <v>0.3490000000000002</v>
      </c>
      <c r="AE9" s="153">
        <f t="shared" si="7"/>
        <v>0.4049999999999998</v>
      </c>
      <c r="AF9" s="153">
        <f t="shared" si="7"/>
        <v>0.51400000000000023</v>
      </c>
      <c r="AG9" s="153">
        <f t="shared" ref="AG9" si="8">AG42</f>
        <v>0.45399999999999974</v>
      </c>
      <c r="AH9" s="345"/>
      <c r="AJ9" s="245"/>
    </row>
    <row r="10" spans="1:65" x14ac:dyDescent="0.35">
      <c r="A10" s="315">
        <v>4</v>
      </c>
      <c r="B10" s="302">
        <v>4</v>
      </c>
      <c r="C10" s="10" t="s">
        <v>340</v>
      </c>
      <c r="D10" s="11">
        <v>9.4649999999999999</v>
      </c>
      <c r="E10" s="11">
        <v>18.038</v>
      </c>
      <c r="F10" s="11">
        <v>24.603999999999999</v>
      </c>
      <c r="G10" s="11">
        <v>33.764000000000003</v>
      </c>
      <c r="H10" s="11">
        <v>41.563000000000002</v>
      </c>
      <c r="I10" s="11">
        <v>49.768000000000001</v>
      </c>
      <c r="J10" s="11">
        <v>56.173000000000002</v>
      </c>
      <c r="K10" s="11">
        <v>62.814999999999998</v>
      </c>
      <c r="L10" s="11">
        <v>71.301000000000002</v>
      </c>
      <c r="M10" s="11">
        <v>79.546000000000006</v>
      </c>
      <c r="N10" s="11">
        <v>87.438000000000002</v>
      </c>
      <c r="O10" s="11">
        <v>96.62</v>
      </c>
      <c r="P10" s="11">
        <v>104.28</v>
      </c>
      <c r="Q10" s="9">
        <f>P10-D10</f>
        <v>94.814999999999998</v>
      </c>
      <c r="U10" s="1">
        <v>4</v>
      </c>
      <c r="V10" s="146">
        <f t="shared" ref="V10:AG10" si="9">E10-D10</f>
        <v>8.5730000000000004</v>
      </c>
      <c r="W10" s="146">
        <f t="shared" si="9"/>
        <v>6.5659999999999989</v>
      </c>
      <c r="X10" s="146">
        <f t="shared" si="9"/>
        <v>9.1600000000000037</v>
      </c>
      <c r="Y10" s="146">
        <f t="shared" si="9"/>
        <v>7.7989999999999995</v>
      </c>
      <c r="Z10" s="146">
        <f t="shared" si="9"/>
        <v>8.2049999999999983</v>
      </c>
      <c r="AA10" s="146">
        <f t="shared" si="9"/>
        <v>6.4050000000000011</v>
      </c>
      <c r="AB10" s="146">
        <f t="shared" si="9"/>
        <v>6.6419999999999959</v>
      </c>
      <c r="AC10" s="146">
        <f t="shared" si="9"/>
        <v>8.4860000000000042</v>
      </c>
      <c r="AD10" s="146">
        <f t="shared" si="9"/>
        <v>8.2450000000000045</v>
      </c>
      <c r="AE10" s="146">
        <f t="shared" si="9"/>
        <v>7.8919999999999959</v>
      </c>
      <c r="AF10" s="146">
        <f t="shared" si="9"/>
        <v>9.1820000000000022</v>
      </c>
      <c r="AG10" s="146">
        <f t="shared" si="9"/>
        <v>7.6599999999999966</v>
      </c>
      <c r="AH10" s="344"/>
      <c r="AJ10" s="245"/>
    </row>
    <row r="11" spans="1:65" x14ac:dyDescent="0.35">
      <c r="A11" s="315"/>
      <c r="B11" s="302"/>
      <c r="C11" s="10" t="s">
        <v>205</v>
      </c>
      <c r="D11" s="11">
        <v>19.687000000000001</v>
      </c>
      <c r="E11" s="11">
        <v>21.611999999999998</v>
      </c>
      <c r="F11" s="11">
        <v>22.952000000000002</v>
      </c>
      <c r="G11" s="11">
        <v>23.701000000000001</v>
      </c>
      <c r="H11" s="11">
        <v>24.396000000000001</v>
      </c>
      <c r="I11" s="11">
        <v>24.913</v>
      </c>
      <c r="J11" s="11">
        <v>25.242000000000001</v>
      </c>
      <c r="K11" s="11">
        <v>25.512</v>
      </c>
      <c r="L11" s="11">
        <v>25.89</v>
      </c>
      <c r="M11" s="11">
        <v>26.31</v>
      </c>
      <c r="N11" s="11">
        <v>26.847999999999999</v>
      </c>
      <c r="O11" s="11">
        <v>28.629000000000001</v>
      </c>
      <c r="P11" s="11">
        <v>30.652999999999999</v>
      </c>
      <c r="Q11" s="9"/>
      <c r="R11" s="9">
        <f>P11-D11</f>
        <v>10.965999999999998</v>
      </c>
      <c r="U11" s="149" t="s">
        <v>108</v>
      </c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344"/>
      <c r="AJ11" s="245"/>
      <c r="AZ11" s="148" t="s">
        <v>436</v>
      </c>
    </row>
    <row r="12" spans="1:65" x14ac:dyDescent="0.35">
      <c r="A12" s="117">
        <v>9</v>
      </c>
      <c r="B12" s="302">
        <v>5</v>
      </c>
      <c r="C12" s="10" t="s">
        <v>341</v>
      </c>
      <c r="D12" s="11">
        <v>1.5169999999999999</v>
      </c>
      <c r="E12" s="11">
        <v>1.5169999999999999</v>
      </c>
      <c r="F12" s="11">
        <v>1.5680000000000001</v>
      </c>
      <c r="G12" s="11">
        <v>1.5680000000000001</v>
      </c>
      <c r="H12" s="11">
        <v>1.575</v>
      </c>
      <c r="I12" s="11">
        <v>1.575</v>
      </c>
      <c r="J12" s="11">
        <v>1.575</v>
      </c>
      <c r="K12" s="11">
        <v>1.575</v>
      </c>
      <c r="L12" s="11">
        <v>1.575</v>
      </c>
      <c r="M12" s="11">
        <v>1.575</v>
      </c>
      <c r="N12" s="11">
        <v>1.5760000000000001</v>
      </c>
      <c r="O12" s="11">
        <v>1.5760000000000001</v>
      </c>
      <c r="P12" s="11">
        <v>1.5880000000000001</v>
      </c>
      <c r="Q12" s="9">
        <f>P12-D12</f>
        <v>7.1000000000000174E-2</v>
      </c>
      <c r="U12" s="1">
        <v>9</v>
      </c>
      <c r="V12" s="146">
        <f t="shared" ref="V12:AG12" si="10">E12-D12</f>
        <v>0</v>
      </c>
      <c r="W12" s="146">
        <f t="shared" si="10"/>
        <v>5.1000000000000156E-2</v>
      </c>
      <c r="X12" s="146">
        <f t="shared" si="10"/>
        <v>0</v>
      </c>
      <c r="Y12" s="146">
        <f t="shared" si="10"/>
        <v>6.9999999999998952E-3</v>
      </c>
      <c r="Z12" s="146">
        <f t="shared" si="10"/>
        <v>0</v>
      </c>
      <c r="AA12" s="146">
        <f t="shared" si="10"/>
        <v>0</v>
      </c>
      <c r="AB12" s="146">
        <f t="shared" si="10"/>
        <v>0</v>
      </c>
      <c r="AC12" s="146">
        <f t="shared" si="10"/>
        <v>0</v>
      </c>
      <c r="AD12" s="146">
        <f t="shared" si="10"/>
        <v>0</v>
      </c>
      <c r="AE12" s="146">
        <f t="shared" si="10"/>
        <v>1.0000000000001119E-3</v>
      </c>
      <c r="AF12" s="146">
        <f t="shared" si="10"/>
        <v>0</v>
      </c>
      <c r="AG12" s="146">
        <f t="shared" si="10"/>
        <v>1.2000000000000011E-2</v>
      </c>
      <c r="AH12" s="344"/>
      <c r="AJ12" s="245" t="s">
        <v>281</v>
      </c>
      <c r="AK12" s="297"/>
      <c r="AL12" s="297"/>
      <c r="AM12" s="297"/>
      <c r="AN12" s="297"/>
      <c r="AO12" s="297"/>
      <c r="AP12" s="297"/>
      <c r="AQ12" s="297"/>
      <c r="AR12" s="297"/>
      <c r="AS12" s="297"/>
      <c r="AT12" s="297"/>
      <c r="AU12" s="297"/>
      <c r="AV12" s="297"/>
      <c r="AW12" s="297">
        <f>SUM(AK12:AV12)/12</f>
        <v>0</v>
      </c>
      <c r="AZ12" s="245" t="s">
        <v>281</v>
      </c>
      <c r="BA12" s="242" t="e">
        <f t="shared" ref="BA12" si="11">AL13/(AL12+AL13)</f>
        <v>#DIV/0!</v>
      </c>
      <c r="BB12" s="242" t="e">
        <f t="shared" ref="BB12" si="12">AM13/(AM12+AM13)</f>
        <v>#DIV/0!</v>
      </c>
      <c r="BC12" s="242" t="e">
        <f t="shared" ref="BC12" si="13">AN13/(AN12+AN13)</f>
        <v>#DIV/0!</v>
      </c>
      <c r="BD12" s="242" t="e">
        <f t="shared" ref="BD12" si="14">AO13/(AO12+AO13)</f>
        <v>#DIV/0!</v>
      </c>
      <c r="BE12" s="242" t="e">
        <f t="shared" ref="BE12" si="15">AP13/(AP12+AP13)</f>
        <v>#DIV/0!</v>
      </c>
      <c r="BF12" s="242" t="e">
        <f t="shared" ref="BF12" si="16">AQ13/(AQ12+AQ13)</f>
        <v>#DIV/0!</v>
      </c>
      <c r="BG12" s="242" t="e">
        <f t="shared" ref="BG12" si="17">AR13/(AR12+AR13)</f>
        <v>#DIV/0!</v>
      </c>
      <c r="BH12" s="242" t="e">
        <f t="shared" ref="BH12" si="18">AS13/(AS12+AS13)</f>
        <v>#DIV/0!</v>
      </c>
      <c r="BI12" s="242" t="e">
        <f t="shared" ref="BI12" si="19">AT13/(AT12+AT13)</f>
        <v>#DIV/0!</v>
      </c>
      <c r="BJ12" s="242" t="e">
        <f t="shared" ref="BJ12" si="20">AU13/(AU12+AU13)</f>
        <v>#DIV/0!</v>
      </c>
      <c r="BK12" s="242" t="e">
        <f t="shared" ref="BK12" si="21">AV13/(AV12+AV13)</f>
        <v>#DIV/0!</v>
      </c>
      <c r="BL12" s="242" t="e">
        <f t="shared" ref="BL12" si="22">AW13/(AW12+AW13)</f>
        <v>#DIV/0!</v>
      </c>
      <c r="BM12" s="242" t="e">
        <f>SUM(BA12:BL12)/12</f>
        <v>#DIV/0!</v>
      </c>
    </row>
    <row r="13" spans="1:65" x14ac:dyDescent="0.35">
      <c r="A13" s="117" t="s">
        <v>21</v>
      </c>
      <c r="B13" s="302"/>
      <c r="C13" s="10" t="s">
        <v>206</v>
      </c>
      <c r="D13" s="11">
        <v>95.26</v>
      </c>
      <c r="E13" s="11">
        <v>98.465999999999994</v>
      </c>
      <c r="F13" s="11">
        <v>101.18600000000001</v>
      </c>
      <c r="G13" s="11">
        <v>103.64700000000001</v>
      </c>
      <c r="H13" s="11">
        <v>105.16800000000001</v>
      </c>
      <c r="I13" s="11">
        <v>106.343</v>
      </c>
      <c r="J13" s="11">
        <v>106.94499999999999</v>
      </c>
      <c r="K13" s="11">
        <v>107.401</v>
      </c>
      <c r="L13" s="11">
        <v>107.815</v>
      </c>
      <c r="M13" s="11">
        <v>108.426</v>
      </c>
      <c r="N13" s="11">
        <v>110.417</v>
      </c>
      <c r="O13" s="11">
        <v>114.26</v>
      </c>
      <c r="P13" s="11">
        <v>118.131</v>
      </c>
      <c r="Q13" s="9"/>
      <c r="R13" s="9">
        <f>P13-D13</f>
        <v>22.870999999999995</v>
      </c>
      <c r="U13" s="149" t="s">
        <v>109</v>
      </c>
      <c r="V13" s="153">
        <f t="shared" ref="V13:AF13" si="23">V44</f>
        <v>0</v>
      </c>
      <c r="W13" s="153">
        <f t="shared" si="23"/>
        <v>1.0000000000001119E-3</v>
      </c>
      <c r="X13" s="153">
        <f t="shared" si="23"/>
        <v>0</v>
      </c>
      <c r="Y13" s="153">
        <f t="shared" si="23"/>
        <v>0</v>
      </c>
      <c r="Z13" s="153">
        <f t="shared" si="23"/>
        <v>0</v>
      </c>
      <c r="AA13" s="153">
        <f t="shared" si="23"/>
        <v>0</v>
      </c>
      <c r="AB13" s="153">
        <f t="shared" si="23"/>
        <v>0</v>
      </c>
      <c r="AC13" s="153">
        <f t="shared" si="23"/>
        <v>0</v>
      </c>
      <c r="AD13" s="153">
        <f t="shared" si="23"/>
        <v>0</v>
      </c>
      <c r="AE13" s="153">
        <f t="shared" si="23"/>
        <v>2.0000000000000018E-3</v>
      </c>
      <c r="AF13" s="153">
        <f t="shared" si="23"/>
        <v>0</v>
      </c>
      <c r="AG13" s="153">
        <f t="shared" ref="AG13" si="24">AG44</f>
        <v>2.0000000000000018E-3</v>
      </c>
      <c r="AH13" s="345"/>
      <c r="AJ13" s="245"/>
    </row>
    <row r="14" spans="1:65" x14ac:dyDescent="0.35">
      <c r="A14" s="117">
        <v>15</v>
      </c>
      <c r="B14" s="302">
        <v>6</v>
      </c>
      <c r="C14" s="10" t="s">
        <v>342</v>
      </c>
      <c r="D14" s="11">
        <v>2.1709999999999998</v>
      </c>
      <c r="E14" s="11">
        <v>3.81</v>
      </c>
      <c r="F14" s="11">
        <v>5.6820000000000004</v>
      </c>
      <c r="G14" s="11">
        <v>7.3769999999999998</v>
      </c>
      <c r="H14" s="11">
        <v>9</v>
      </c>
      <c r="I14" s="11">
        <v>10.840999999999999</v>
      </c>
      <c r="J14" s="11">
        <v>12.976000000000001</v>
      </c>
      <c r="K14" s="11">
        <v>15.117000000000001</v>
      </c>
      <c r="L14" s="11">
        <v>17.395</v>
      </c>
      <c r="M14" s="11">
        <v>19.172000000000001</v>
      </c>
      <c r="N14" s="11">
        <v>21.023</v>
      </c>
      <c r="O14" s="11">
        <v>23.529</v>
      </c>
      <c r="P14" s="11">
        <v>25.972999999999999</v>
      </c>
      <c r="Q14" s="9">
        <f>P14-D14</f>
        <v>23.802</v>
      </c>
      <c r="U14" s="1">
        <v>15</v>
      </c>
      <c r="V14" s="146">
        <f t="shared" ref="V14:AG14" si="25">E14-D14</f>
        <v>1.6390000000000002</v>
      </c>
      <c r="W14" s="146">
        <f t="shared" si="25"/>
        <v>1.8720000000000003</v>
      </c>
      <c r="X14" s="146">
        <f t="shared" si="25"/>
        <v>1.6949999999999994</v>
      </c>
      <c r="Y14" s="146">
        <f t="shared" si="25"/>
        <v>1.6230000000000002</v>
      </c>
      <c r="Z14" s="146">
        <f t="shared" si="25"/>
        <v>1.8409999999999993</v>
      </c>
      <c r="AA14" s="146">
        <f t="shared" si="25"/>
        <v>2.1350000000000016</v>
      </c>
      <c r="AB14" s="146">
        <f t="shared" si="25"/>
        <v>2.141</v>
      </c>
      <c r="AC14" s="146">
        <f t="shared" si="25"/>
        <v>2.2779999999999987</v>
      </c>
      <c r="AD14" s="146">
        <f t="shared" si="25"/>
        <v>1.777000000000001</v>
      </c>
      <c r="AE14" s="146">
        <f t="shared" si="25"/>
        <v>1.8509999999999991</v>
      </c>
      <c r="AF14" s="146">
        <f t="shared" si="25"/>
        <v>2.5060000000000002</v>
      </c>
      <c r="AG14" s="146">
        <f t="shared" si="25"/>
        <v>2.4439999999999991</v>
      </c>
      <c r="AH14" s="344"/>
      <c r="AJ14" s="245" t="s">
        <v>282</v>
      </c>
      <c r="AK14" s="242">
        <f t="shared" ref="AK14:AV14" si="26">V15/(V14+V15)</f>
        <v>0.42652204338698385</v>
      </c>
      <c r="AL14" s="242">
        <f t="shared" si="26"/>
        <v>0.38843515191114014</v>
      </c>
      <c r="AM14" s="242">
        <f t="shared" si="26"/>
        <v>0.37706725468577734</v>
      </c>
      <c r="AN14" s="242">
        <f t="shared" si="26"/>
        <v>0.40440366972477065</v>
      </c>
      <c r="AO14" s="242">
        <f t="shared" si="26"/>
        <v>0.3176426982950335</v>
      </c>
      <c r="AP14" s="242">
        <f t="shared" si="26"/>
        <v>0.29163901791638991</v>
      </c>
      <c r="AQ14" s="242">
        <f t="shared" si="26"/>
        <v>0.35628382441371026</v>
      </c>
      <c r="AR14" s="242">
        <f t="shared" si="26"/>
        <v>0.38878454521062528</v>
      </c>
      <c r="AS14" s="242">
        <f t="shared" si="26"/>
        <v>0.3935153583617747</v>
      </c>
      <c r="AT14" s="242">
        <f t="shared" si="26"/>
        <v>0.39231779382797094</v>
      </c>
      <c r="AU14" s="242">
        <f t="shared" si="26"/>
        <v>0.45979737012287136</v>
      </c>
      <c r="AV14" s="242">
        <f t="shared" si="26"/>
        <v>0.39891785538612895</v>
      </c>
      <c r="AW14" s="242">
        <f>SUM(AK14:AV14)/12</f>
        <v>0.38294388193693135</v>
      </c>
    </row>
    <row r="15" spans="1:65" x14ac:dyDescent="0.35">
      <c r="A15" s="117" t="s">
        <v>22</v>
      </c>
      <c r="B15" s="302"/>
      <c r="C15" s="10" t="s">
        <v>207</v>
      </c>
      <c r="D15" s="11">
        <v>52.481000000000002</v>
      </c>
      <c r="E15" s="11">
        <v>54.424999999999997</v>
      </c>
      <c r="F15" s="11">
        <v>57.466999999999999</v>
      </c>
      <c r="G15" s="11">
        <v>58.744999999999997</v>
      </c>
      <c r="H15" s="11">
        <v>59.287999999999997</v>
      </c>
      <c r="I15" s="11">
        <v>59.615000000000002</v>
      </c>
      <c r="J15" s="11">
        <v>60.027000000000001</v>
      </c>
      <c r="K15" s="11">
        <v>60.445999999999998</v>
      </c>
      <c r="L15" s="11">
        <v>61.034999999999997</v>
      </c>
      <c r="M15" s="11">
        <v>61.515999999999998</v>
      </c>
      <c r="N15" s="11">
        <v>62.9</v>
      </c>
      <c r="O15" s="11">
        <v>65.748000000000005</v>
      </c>
      <c r="P15" s="11">
        <v>69.055000000000007</v>
      </c>
      <c r="Q15" s="9"/>
      <c r="R15" s="9">
        <f>P15-D15</f>
        <v>16.574000000000005</v>
      </c>
      <c r="U15" s="149" t="s">
        <v>109</v>
      </c>
      <c r="V15" s="153">
        <f t="shared" ref="V15:AF15" si="27">V46</f>
        <v>1.2189999999999999</v>
      </c>
      <c r="W15" s="153">
        <f t="shared" si="27"/>
        <v>1.1890000000000001</v>
      </c>
      <c r="X15" s="153">
        <f t="shared" si="27"/>
        <v>1.0259999999999998</v>
      </c>
      <c r="Y15" s="153">
        <f t="shared" si="27"/>
        <v>1.1020000000000003</v>
      </c>
      <c r="Z15" s="153">
        <f t="shared" si="27"/>
        <v>0.85700000000000021</v>
      </c>
      <c r="AA15" s="153">
        <f t="shared" si="27"/>
        <v>0.87899999999999956</v>
      </c>
      <c r="AB15" s="153">
        <f t="shared" si="27"/>
        <v>1.1850000000000005</v>
      </c>
      <c r="AC15" s="153">
        <f t="shared" si="27"/>
        <v>1.4489999999999998</v>
      </c>
      <c r="AD15" s="153">
        <f t="shared" si="27"/>
        <v>1.1530000000000005</v>
      </c>
      <c r="AE15" s="153">
        <f t="shared" si="27"/>
        <v>1.1949999999999985</v>
      </c>
      <c r="AF15" s="153">
        <f t="shared" si="27"/>
        <v>2.1330000000000009</v>
      </c>
      <c r="AG15" s="153">
        <f t="shared" ref="AG15" si="28">AG46</f>
        <v>1.6219999999999999</v>
      </c>
      <c r="AH15" s="345"/>
      <c r="AJ15" s="245"/>
    </row>
    <row r="16" spans="1:65" x14ac:dyDescent="0.35">
      <c r="A16" s="315">
        <v>7</v>
      </c>
      <c r="B16" s="302">
        <v>7</v>
      </c>
      <c r="C16" s="10" t="s">
        <v>343</v>
      </c>
      <c r="D16" s="11">
        <v>6.8630000000000004</v>
      </c>
      <c r="E16" s="11">
        <v>12.859</v>
      </c>
      <c r="F16" s="11">
        <v>18.007000000000001</v>
      </c>
      <c r="G16" s="11">
        <v>24.675999999999998</v>
      </c>
      <c r="H16" s="11">
        <v>35.707000000000001</v>
      </c>
      <c r="I16" s="11">
        <v>45.17</v>
      </c>
      <c r="J16" s="11">
        <v>54.014000000000003</v>
      </c>
      <c r="K16" s="11">
        <v>62.628999999999998</v>
      </c>
      <c r="L16" s="11">
        <v>70.667000000000002</v>
      </c>
      <c r="M16" s="11">
        <v>78.902000000000001</v>
      </c>
      <c r="N16" s="11">
        <v>88.11</v>
      </c>
      <c r="O16" s="11">
        <v>100.04600000000001</v>
      </c>
      <c r="P16" s="11">
        <v>108.226</v>
      </c>
      <c r="Q16" s="9">
        <f>P16-D16</f>
        <v>101.363</v>
      </c>
      <c r="U16" s="1">
        <v>7</v>
      </c>
      <c r="V16" s="146">
        <f t="shared" ref="V16:AG16" si="29">E16-D16</f>
        <v>5.9959999999999996</v>
      </c>
      <c r="W16" s="146">
        <f t="shared" si="29"/>
        <v>5.1480000000000015</v>
      </c>
      <c r="X16" s="146">
        <f t="shared" si="29"/>
        <v>6.6689999999999969</v>
      </c>
      <c r="Y16" s="146">
        <f t="shared" si="29"/>
        <v>11.031000000000002</v>
      </c>
      <c r="Z16" s="146">
        <f t="shared" si="29"/>
        <v>9.463000000000001</v>
      </c>
      <c r="AA16" s="146">
        <f t="shared" si="29"/>
        <v>8.8440000000000012</v>
      </c>
      <c r="AB16" s="146">
        <f t="shared" si="29"/>
        <v>8.6149999999999949</v>
      </c>
      <c r="AC16" s="146">
        <f t="shared" si="29"/>
        <v>8.0380000000000038</v>
      </c>
      <c r="AD16" s="146">
        <f t="shared" si="29"/>
        <v>8.2349999999999994</v>
      </c>
      <c r="AE16" s="146">
        <f t="shared" si="29"/>
        <v>9.2079999999999984</v>
      </c>
      <c r="AF16" s="146">
        <f t="shared" si="29"/>
        <v>11.936000000000007</v>
      </c>
      <c r="AG16" s="146">
        <f t="shared" si="29"/>
        <v>8.1799999999999926</v>
      </c>
      <c r="AH16" s="344"/>
      <c r="AJ16" s="245"/>
    </row>
    <row r="17" spans="1:71" x14ac:dyDescent="0.35">
      <c r="A17" s="315"/>
      <c r="B17" s="302"/>
      <c r="C17" s="10" t="s">
        <v>208</v>
      </c>
      <c r="D17" s="11">
        <v>13.933999999999999</v>
      </c>
      <c r="E17" s="11">
        <v>15.131</v>
      </c>
      <c r="F17" s="11">
        <v>15.96</v>
      </c>
      <c r="G17" s="11">
        <v>16.645</v>
      </c>
      <c r="H17" s="11">
        <v>17.408000000000001</v>
      </c>
      <c r="I17" s="11">
        <v>17.97</v>
      </c>
      <c r="J17" s="11">
        <v>18.420999999999999</v>
      </c>
      <c r="K17" s="11">
        <v>18.783999999999999</v>
      </c>
      <c r="L17" s="11">
        <v>19.113</v>
      </c>
      <c r="M17" s="11">
        <v>19.475000000000001</v>
      </c>
      <c r="N17" s="11">
        <v>19.937000000000001</v>
      </c>
      <c r="O17" s="11">
        <v>20.635000000000002</v>
      </c>
      <c r="P17" s="11">
        <v>21.263000000000002</v>
      </c>
      <c r="Q17" s="9"/>
      <c r="R17" s="9">
        <f>P17-D17</f>
        <v>7.3290000000000024</v>
      </c>
      <c r="U17" s="149" t="s">
        <v>108</v>
      </c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344"/>
      <c r="AJ17" s="245"/>
    </row>
    <row r="18" spans="1:71" x14ac:dyDescent="0.35">
      <c r="A18" s="117">
        <v>13</v>
      </c>
      <c r="B18" s="302">
        <v>8</v>
      </c>
      <c r="C18" s="10" t="s">
        <v>344</v>
      </c>
      <c r="D18" s="11">
        <v>2.59</v>
      </c>
      <c r="E18" s="11">
        <v>4.9969999999999999</v>
      </c>
      <c r="F18" s="11">
        <v>6.6879999999999997</v>
      </c>
      <c r="G18" s="11">
        <v>8.99</v>
      </c>
      <c r="H18" s="11">
        <v>10.914</v>
      </c>
      <c r="I18" s="11">
        <v>13.047000000000001</v>
      </c>
      <c r="J18" s="11">
        <v>15.05</v>
      </c>
      <c r="K18" s="11">
        <v>18.114000000000001</v>
      </c>
      <c r="L18" s="11">
        <v>21.404</v>
      </c>
      <c r="M18" s="11">
        <v>23.306000000000001</v>
      </c>
      <c r="N18" s="11">
        <v>25.664999999999999</v>
      </c>
      <c r="O18" s="11">
        <v>27.684999999999999</v>
      </c>
      <c r="P18" s="11">
        <v>29.93</v>
      </c>
      <c r="Q18" s="9">
        <f>P18-D18</f>
        <v>27.34</v>
      </c>
      <c r="U18" s="1">
        <v>13</v>
      </c>
      <c r="V18" s="146">
        <f t="shared" ref="V18:AG18" si="30">E18-D18</f>
        <v>2.407</v>
      </c>
      <c r="W18" s="146">
        <f t="shared" si="30"/>
        <v>1.6909999999999998</v>
      </c>
      <c r="X18" s="146">
        <f t="shared" si="30"/>
        <v>2.3020000000000005</v>
      </c>
      <c r="Y18" s="146">
        <f t="shared" si="30"/>
        <v>1.9239999999999995</v>
      </c>
      <c r="Z18" s="146">
        <f t="shared" si="30"/>
        <v>2.1330000000000009</v>
      </c>
      <c r="AA18" s="146">
        <f t="shared" si="30"/>
        <v>2.0030000000000001</v>
      </c>
      <c r="AB18" s="146">
        <f t="shared" si="30"/>
        <v>3.0640000000000001</v>
      </c>
      <c r="AC18" s="146">
        <f t="shared" si="30"/>
        <v>3.2899999999999991</v>
      </c>
      <c r="AD18" s="146">
        <f t="shared" si="30"/>
        <v>1.902000000000001</v>
      </c>
      <c r="AE18" s="146">
        <f t="shared" si="30"/>
        <v>2.3589999999999982</v>
      </c>
      <c r="AF18" s="146">
        <f t="shared" si="30"/>
        <v>2.0199999999999996</v>
      </c>
      <c r="AG18" s="146">
        <f t="shared" si="30"/>
        <v>2.245000000000001</v>
      </c>
      <c r="AH18" s="344"/>
      <c r="AJ18" s="245" t="s">
        <v>283</v>
      </c>
      <c r="AK18" s="242">
        <f t="shared" ref="AK18:AV18" si="31">V19/(V18+V19)</f>
        <v>0.44321073328706917</v>
      </c>
      <c r="AL18" s="242">
        <f t="shared" si="31"/>
        <v>0.48819612590799039</v>
      </c>
      <c r="AM18" s="242">
        <f t="shared" si="31"/>
        <v>0.43244575936883617</v>
      </c>
      <c r="AN18" s="242">
        <f t="shared" si="31"/>
        <v>0.44312590448625194</v>
      </c>
      <c r="AO18" s="242">
        <f t="shared" si="31"/>
        <v>0.40979524073049239</v>
      </c>
      <c r="AP18" s="242">
        <f t="shared" si="31"/>
        <v>0.37929965912612335</v>
      </c>
      <c r="AQ18" s="242">
        <f t="shared" si="31"/>
        <v>0.36352305774823429</v>
      </c>
      <c r="AR18" s="242">
        <f t="shared" si="31"/>
        <v>0.38389513108614226</v>
      </c>
      <c r="AS18" s="242">
        <f t="shared" si="31"/>
        <v>0.39446036294173797</v>
      </c>
      <c r="AT18" s="242">
        <f t="shared" si="31"/>
        <v>0.39959277169763319</v>
      </c>
      <c r="AU18" s="242">
        <f t="shared" si="31"/>
        <v>0.44291230005515753</v>
      </c>
      <c r="AV18" s="242">
        <f t="shared" si="31"/>
        <v>0.39373480961382629</v>
      </c>
      <c r="AW18" s="242">
        <f>SUM(AK18:AV18)/12</f>
        <v>0.41451598800412454</v>
      </c>
    </row>
    <row r="19" spans="1:71" x14ac:dyDescent="0.35">
      <c r="A19" s="117" t="s">
        <v>23</v>
      </c>
      <c r="B19" s="302"/>
      <c r="C19" s="10" t="s">
        <v>209</v>
      </c>
      <c r="D19" s="11">
        <v>83.882999999999996</v>
      </c>
      <c r="E19" s="11">
        <v>89.259</v>
      </c>
      <c r="F19" s="11">
        <v>94.22</v>
      </c>
      <c r="G19" s="11">
        <v>96.698999999999998</v>
      </c>
      <c r="H19" s="11">
        <v>98.319000000000003</v>
      </c>
      <c r="I19" s="11">
        <v>98.831999999999994</v>
      </c>
      <c r="J19" s="11">
        <v>99.064999999999998</v>
      </c>
      <c r="K19" s="11">
        <v>99.316000000000003</v>
      </c>
      <c r="L19" s="11">
        <v>99.626000000000005</v>
      </c>
      <c r="M19" s="11">
        <v>99.802000000000007</v>
      </c>
      <c r="N19" s="11">
        <v>101.151</v>
      </c>
      <c r="O19" s="11">
        <v>103.914</v>
      </c>
      <c r="P19" s="11">
        <v>107.747</v>
      </c>
      <c r="Q19" s="9"/>
      <c r="R19" s="9">
        <f>P19-D19</f>
        <v>23.864000000000004</v>
      </c>
      <c r="U19" s="149" t="s">
        <v>109</v>
      </c>
      <c r="V19" s="153">
        <f t="shared" ref="V19:AF19" si="32">V48</f>
        <v>1.9159999999999997</v>
      </c>
      <c r="W19" s="153">
        <f t="shared" si="32"/>
        <v>1.6130000000000004</v>
      </c>
      <c r="X19" s="153">
        <f t="shared" si="32"/>
        <v>1.7539999999999996</v>
      </c>
      <c r="Y19" s="153">
        <f t="shared" si="32"/>
        <v>1.5310000000000006</v>
      </c>
      <c r="Z19" s="153">
        <f t="shared" si="32"/>
        <v>1.4809999999999999</v>
      </c>
      <c r="AA19" s="153">
        <f t="shared" si="32"/>
        <v>1.2240000000000002</v>
      </c>
      <c r="AB19" s="153">
        <f t="shared" si="32"/>
        <v>1.75</v>
      </c>
      <c r="AC19" s="153">
        <f t="shared" si="32"/>
        <v>2.0499999999999989</v>
      </c>
      <c r="AD19" s="153">
        <f t="shared" si="32"/>
        <v>1.238999999999999</v>
      </c>
      <c r="AE19" s="153">
        <f t="shared" si="32"/>
        <v>1.5700000000000003</v>
      </c>
      <c r="AF19" s="153">
        <f t="shared" si="32"/>
        <v>1.6060000000000016</v>
      </c>
      <c r="AG19" s="153">
        <f t="shared" ref="AG19" si="33">AG48</f>
        <v>1.4579999999999984</v>
      </c>
      <c r="AH19" s="345"/>
    </row>
    <row r="20" spans="1:71" x14ac:dyDescent="0.35">
      <c r="A20" s="315">
        <v>14</v>
      </c>
      <c r="B20" s="302">
        <v>9</v>
      </c>
      <c r="C20" s="10" t="s">
        <v>345</v>
      </c>
      <c r="D20" s="11">
        <v>9.8710000000000004</v>
      </c>
      <c r="E20" s="11">
        <v>17.148</v>
      </c>
      <c r="F20" s="11">
        <v>26.286999999999999</v>
      </c>
      <c r="G20" s="11">
        <v>36.47</v>
      </c>
      <c r="H20" s="11">
        <v>46.895000000000003</v>
      </c>
      <c r="I20" s="11">
        <v>55.570999999999998</v>
      </c>
      <c r="J20" s="11">
        <v>65.248000000000005</v>
      </c>
      <c r="K20" s="11">
        <v>74.057000000000002</v>
      </c>
      <c r="L20" s="11">
        <v>83.225999999999999</v>
      </c>
      <c r="M20" s="11">
        <v>92.23</v>
      </c>
      <c r="N20" s="11">
        <v>100.75</v>
      </c>
      <c r="O20" s="11">
        <v>111.19499999999999</v>
      </c>
      <c r="P20" s="11">
        <v>120.691</v>
      </c>
      <c r="Q20" s="9">
        <f>P20-D20</f>
        <v>110.82000000000001</v>
      </c>
      <c r="U20" s="1">
        <v>14</v>
      </c>
      <c r="V20" s="146">
        <f t="shared" ref="V20:AG20" si="34">E20-D20</f>
        <v>7.2769999999999992</v>
      </c>
      <c r="W20" s="146">
        <f t="shared" si="34"/>
        <v>9.1389999999999993</v>
      </c>
      <c r="X20" s="146">
        <f t="shared" si="34"/>
        <v>10.183</v>
      </c>
      <c r="Y20" s="146">
        <f t="shared" si="34"/>
        <v>10.425000000000004</v>
      </c>
      <c r="Z20" s="146">
        <f t="shared" si="34"/>
        <v>8.6759999999999948</v>
      </c>
      <c r="AA20" s="146">
        <f t="shared" si="34"/>
        <v>9.6770000000000067</v>
      </c>
      <c r="AB20" s="146">
        <f t="shared" si="34"/>
        <v>8.8089999999999975</v>
      </c>
      <c r="AC20" s="146">
        <f t="shared" si="34"/>
        <v>9.1689999999999969</v>
      </c>
      <c r="AD20" s="146">
        <f t="shared" si="34"/>
        <v>9.0040000000000049</v>
      </c>
      <c r="AE20" s="146">
        <f t="shared" si="34"/>
        <v>8.519999999999996</v>
      </c>
      <c r="AF20" s="146">
        <f t="shared" si="34"/>
        <v>10.444999999999993</v>
      </c>
      <c r="AG20" s="146">
        <f t="shared" si="34"/>
        <v>9.4960000000000093</v>
      </c>
      <c r="AH20" s="344"/>
    </row>
    <row r="21" spans="1:71" x14ac:dyDescent="0.35">
      <c r="A21" s="315"/>
      <c r="B21" s="302"/>
      <c r="C21" s="10" t="s">
        <v>291</v>
      </c>
      <c r="D21" s="11">
        <v>87.236000000000004</v>
      </c>
      <c r="E21" s="11">
        <v>92.406999999999996</v>
      </c>
      <c r="F21" s="11">
        <v>96.953999999999994</v>
      </c>
      <c r="G21" s="11">
        <v>99.864000000000004</v>
      </c>
      <c r="H21" s="11">
        <v>101.02800000000001</v>
      </c>
      <c r="I21" s="11">
        <v>101.631</v>
      </c>
      <c r="J21" s="11">
        <v>102.1</v>
      </c>
      <c r="K21" s="11">
        <v>102.541</v>
      </c>
      <c r="L21" s="11">
        <v>102.982</v>
      </c>
      <c r="M21" s="11">
        <v>103.419</v>
      </c>
      <c r="N21" s="11">
        <v>105.233</v>
      </c>
      <c r="O21" s="11">
        <v>109.349</v>
      </c>
      <c r="P21" s="11">
        <v>113.934</v>
      </c>
      <c r="Q21" s="9"/>
      <c r="R21" s="9">
        <f>P21-D21</f>
        <v>26.697999999999993</v>
      </c>
      <c r="U21" s="149" t="s">
        <v>108</v>
      </c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344"/>
    </row>
    <row r="22" spans="1:71" x14ac:dyDescent="0.35">
      <c r="A22" s="315">
        <v>10</v>
      </c>
      <c r="B22" s="302">
        <v>10</v>
      </c>
      <c r="C22" s="10" t="s">
        <v>346</v>
      </c>
      <c r="D22" s="11">
        <v>2.516</v>
      </c>
      <c r="E22" s="11">
        <v>4.7169999999999996</v>
      </c>
      <c r="F22" s="11">
        <v>7.1479999999999997</v>
      </c>
      <c r="G22" s="11">
        <v>9.5289999999999999</v>
      </c>
      <c r="H22" s="11">
        <v>12.145</v>
      </c>
      <c r="I22" s="11">
        <v>14.709</v>
      </c>
      <c r="J22" s="11">
        <v>17.004000000000001</v>
      </c>
      <c r="K22" s="11">
        <v>19.751999999999999</v>
      </c>
      <c r="L22" s="11">
        <v>21.96</v>
      </c>
      <c r="M22" s="11">
        <v>24.92</v>
      </c>
      <c r="N22" s="11">
        <v>27.163</v>
      </c>
      <c r="O22" s="11">
        <v>29.568000000000001</v>
      </c>
      <c r="P22" s="11">
        <v>32.06</v>
      </c>
      <c r="Q22" s="9">
        <f>P22-D22</f>
        <v>29.544000000000004</v>
      </c>
      <c r="U22" s="1">
        <v>10</v>
      </c>
      <c r="V22" s="146">
        <f t="shared" ref="V22:AG22" si="35">E22-D22</f>
        <v>2.2009999999999996</v>
      </c>
      <c r="W22" s="146">
        <f t="shared" si="35"/>
        <v>2.431</v>
      </c>
      <c r="X22" s="146">
        <f t="shared" si="35"/>
        <v>2.3810000000000002</v>
      </c>
      <c r="Y22" s="146">
        <f t="shared" si="35"/>
        <v>2.6159999999999997</v>
      </c>
      <c r="Z22" s="146">
        <f t="shared" si="35"/>
        <v>2.5640000000000001</v>
      </c>
      <c r="AA22" s="146">
        <f t="shared" si="35"/>
        <v>2.2950000000000017</v>
      </c>
      <c r="AB22" s="146">
        <f t="shared" si="35"/>
        <v>2.7479999999999976</v>
      </c>
      <c r="AC22" s="146">
        <f t="shared" si="35"/>
        <v>2.208000000000002</v>
      </c>
      <c r="AD22" s="146">
        <f t="shared" si="35"/>
        <v>2.9600000000000009</v>
      </c>
      <c r="AE22" s="146">
        <f t="shared" si="35"/>
        <v>2.2429999999999986</v>
      </c>
      <c r="AF22" s="146">
        <f t="shared" si="35"/>
        <v>2.4050000000000011</v>
      </c>
      <c r="AG22" s="146">
        <f t="shared" si="35"/>
        <v>2.4920000000000009</v>
      </c>
      <c r="AH22" s="344"/>
    </row>
    <row r="23" spans="1:71" x14ac:dyDescent="0.35">
      <c r="A23" s="315"/>
      <c r="B23" s="302"/>
      <c r="C23" s="10" t="s">
        <v>210</v>
      </c>
      <c r="D23" s="11">
        <v>51.808999999999997</v>
      </c>
      <c r="E23" s="11">
        <v>55.686</v>
      </c>
      <c r="F23" s="11">
        <v>59.048000000000002</v>
      </c>
      <c r="G23" s="11">
        <v>60.841000000000001</v>
      </c>
      <c r="H23" s="11">
        <v>61.502000000000002</v>
      </c>
      <c r="I23" s="11">
        <v>61.762999999999998</v>
      </c>
      <c r="J23" s="11">
        <v>61.991999999999997</v>
      </c>
      <c r="K23" s="11">
        <v>62.197000000000003</v>
      </c>
      <c r="L23" s="11">
        <v>62.411000000000001</v>
      </c>
      <c r="M23" s="11">
        <v>62.848999999999997</v>
      </c>
      <c r="N23" s="11">
        <v>64.257000000000005</v>
      </c>
      <c r="O23" s="11">
        <v>67.492000000000004</v>
      </c>
      <c r="P23" s="11">
        <v>71.66</v>
      </c>
      <c r="Q23" s="85"/>
      <c r="R23" s="97">
        <f>P23-D23</f>
        <v>19.850999999999999</v>
      </c>
      <c r="U23" s="149" t="s">
        <v>108</v>
      </c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344"/>
    </row>
    <row r="24" spans="1:71" x14ac:dyDescent="0.35">
      <c r="A24"/>
      <c r="B24" s="118" t="s">
        <v>15</v>
      </c>
      <c r="C24" s="10" t="s">
        <v>164</v>
      </c>
      <c r="D24" s="15">
        <v>14724</v>
      </c>
      <c r="E24" s="15">
        <v>14906</v>
      </c>
      <c r="F24" s="15">
        <v>15089</v>
      </c>
      <c r="G24" s="15">
        <v>15287</v>
      </c>
      <c r="H24" s="15">
        <v>15489</v>
      </c>
      <c r="I24" s="15">
        <v>15678</v>
      </c>
      <c r="J24" s="15">
        <v>15859</v>
      </c>
      <c r="K24" s="15">
        <v>16035</v>
      </c>
      <c r="L24" s="15">
        <v>16225</v>
      </c>
      <c r="M24" s="15">
        <v>16417</v>
      </c>
      <c r="N24" s="15">
        <v>16618</v>
      </c>
      <c r="O24" s="15">
        <v>16806</v>
      </c>
      <c r="P24" s="15">
        <v>16972</v>
      </c>
      <c r="Q24" s="9">
        <f>SUM(Q4:Q23)+SUM(Q33:Q49)</f>
        <v>952.79000000000008</v>
      </c>
      <c r="R24" s="9">
        <f>SUM(R4:R23)</f>
        <v>217.22700000000003</v>
      </c>
      <c r="S24" s="16">
        <f>P24-D24</f>
        <v>2248</v>
      </c>
      <c r="U24" t="s">
        <v>110</v>
      </c>
      <c r="AK24" s="239" t="s">
        <v>292</v>
      </c>
    </row>
    <row r="25" spans="1:71" x14ac:dyDescent="0.35">
      <c r="A25"/>
      <c r="B25" s="118"/>
      <c r="C25" s="10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9"/>
      <c r="S25" s="16"/>
      <c r="AJ25" s="1" t="s">
        <v>278</v>
      </c>
      <c r="AK25" s="231" t="s">
        <v>264</v>
      </c>
      <c r="AL25" s="231" t="s">
        <v>265</v>
      </c>
      <c r="AM25" s="231" t="s">
        <v>266</v>
      </c>
      <c r="AN25" s="231" t="s">
        <v>267</v>
      </c>
      <c r="AO25" s="231" t="s">
        <v>268</v>
      </c>
      <c r="AP25" s="231" t="s">
        <v>269</v>
      </c>
      <c r="AQ25" s="231" t="s">
        <v>270</v>
      </c>
      <c r="AR25" s="231" t="s">
        <v>271</v>
      </c>
      <c r="AS25" s="231" t="s">
        <v>272</v>
      </c>
      <c r="AT25" s="231" t="s">
        <v>273</v>
      </c>
      <c r="AU25" s="231" t="s">
        <v>274</v>
      </c>
      <c r="AV25" s="231" t="s">
        <v>275</v>
      </c>
      <c r="AW25" s="1" t="s">
        <v>276</v>
      </c>
      <c r="BF25" s="148" t="s">
        <v>436</v>
      </c>
      <c r="BG25" s="231" t="s">
        <v>264</v>
      </c>
      <c r="BH25" s="231" t="s">
        <v>265</v>
      </c>
      <c r="BI25" s="231" t="s">
        <v>266</v>
      </c>
      <c r="BJ25" s="231" t="s">
        <v>267</v>
      </c>
      <c r="BK25" s="231" t="s">
        <v>268</v>
      </c>
      <c r="BL25" s="231" t="s">
        <v>269</v>
      </c>
      <c r="BM25" s="231" t="s">
        <v>270</v>
      </c>
      <c r="BN25" s="231" t="s">
        <v>271</v>
      </c>
      <c r="BO25" s="231" t="s">
        <v>272</v>
      </c>
      <c r="BP25" s="231" t="s">
        <v>273</v>
      </c>
      <c r="BQ25" s="231" t="s">
        <v>274</v>
      </c>
      <c r="BR25" s="231" t="s">
        <v>275</v>
      </c>
      <c r="BS25" s="1" t="s">
        <v>276</v>
      </c>
    </row>
    <row r="26" spans="1:71" ht="15" thickBot="1" x14ac:dyDescent="0.4">
      <c r="A26"/>
      <c r="B26" s="113"/>
      <c r="C26" s="282" t="s">
        <v>347</v>
      </c>
      <c r="D26" s="18">
        <v>101.3</v>
      </c>
      <c r="E26" s="18">
        <v>181.8</v>
      </c>
      <c r="F26" s="18">
        <v>263.3</v>
      </c>
      <c r="G26" s="18">
        <v>357.9</v>
      </c>
      <c r="H26" s="18">
        <v>449.7</v>
      </c>
      <c r="I26" s="18">
        <v>538.4</v>
      </c>
      <c r="J26" s="18">
        <v>618.79999999999995</v>
      </c>
      <c r="K26" s="18">
        <v>705</v>
      </c>
      <c r="L26" s="18">
        <v>795.4</v>
      </c>
      <c r="M26" s="18">
        <v>880.8</v>
      </c>
      <c r="N26" s="18">
        <v>964.4</v>
      </c>
      <c r="O26" s="18">
        <v>1056.4000000000001</v>
      </c>
      <c r="P26" s="18">
        <v>1140.0999999999999</v>
      </c>
      <c r="Q26" s="9">
        <f>P26-D26</f>
        <v>1038.8</v>
      </c>
      <c r="AJ26" s="304" t="s">
        <v>293</v>
      </c>
      <c r="AK26" s="297">
        <f>(AK6+AK8+AK12+AK14+AK18+AK54+AK56+AK58+AK60+AK62)/9</f>
        <v>0.3917417519020136</v>
      </c>
      <c r="AL26" s="297">
        <f t="shared" ref="AL26:AW26" si="36">(AL6+AL8+AL12+AL14+AL18+AL54+AL56+AL58+AL60+AL62)/9</f>
        <v>0.38795801055811407</v>
      </c>
      <c r="AM26" s="297">
        <f t="shared" si="36"/>
        <v>0.36120605606341322</v>
      </c>
      <c r="AN26" s="297">
        <f t="shared" si="36"/>
        <v>0.36297180434917897</v>
      </c>
      <c r="AO26" s="297">
        <f t="shared" si="36"/>
        <v>0.3475028558036844</v>
      </c>
      <c r="AP26" s="297">
        <f t="shared" si="36"/>
        <v>0.30662998323297974</v>
      </c>
      <c r="AQ26" s="297">
        <f t="shared" si="36"/>
        <v>0.28853528960427183</v>
      </c>
      <c r="AR26" s="297">
        <f t="shared" si="36"/>
        <v>0.28646744149483716</v>
      </c>
      <c r="AS26" s="298">
        <f>(AS6+AS8+AS12+AS14+AS18+AS56+AS58+AS60+AS62)/8</f>
        <v>0.29011946290968482</v>
      </c>
      <c r="AT26" s="298">
        <f>(AT6+AT8+AT12+AT14+AT18+AT56+AT58+AT60+AT62)/8</f>
        <v>0.33387956331970015</v>
      </c>
      <c r="AU26" s="298">
        <f t="shared" ref="AU26:AV26" si="37">(AU6+AU8+AU12+AU14+AU18+AU56+AU58+AU60+AU62)/8</f>
        <v>0.34397001394789289</v>
      </c>
      <c r="AV26" s="298">
        <f t="shared" si="37"/>
        <v>0.31997570293107153</v>
      </c>
      <c r="AW26" s="297">
        <f t="shared" si="36"/>
        <v>0.33608141010438863</v>
      </c>
      <c r="AZ26" s="246" t="s">
        <v>289</v>
      </c>
      <c r="BF26" s="304" t="s">
        <v>293</v>
      </c>
      <c r="BG26" s="242" t="e">
        <f>(BG6+BG8+BG12+BG14+BG18+BG54+BG56+BG58+BG60+BG62)/10</f>
        <v>#DIV/0!</v>
      </c>
      <c r="BH26" s="242" t="e">
        <f t="shared" ref="BH26:BS26" si="38">(BH6+BH8+BH12+BH14+BH18+BH54+BH56+BH58+BH60+BH62)/10</f>
        <v>#DIV/0!</v>
      </c>
      <c r="BI26" s="242" t="e">
        <f t="shared" si="38"/>
        <v>#DIV/0!</v>
      </c>
      <c r="BJ26" s="242" t="e">
        <f t="shared" si="38"/>
        <v>#DIV/0!</v>
      </c>
      <c r="BK26" s="242" t="e">
        <f t="shared" si="38"/>
        <v>#DIV/0!</v>
      </c>
      <c r="BL26" s="242" t="e">
        <f t="shared" si="38"/>
        <v>#DIV/0!</v>
      </c>
      <c r="BM26" s="242" t="e">
        <f t="shared" si="38"/>
        <v>#DIV/0!</v>
      </c>
      <c r="BN26" s="242" t="e">
        <f t="shared" si="38"/>
        <v>#DIV/0!</v>
      </c>
      <c r="BO26" s="242" t="e">
        <f t="shared" si="38"/>
        <v>#DIV/0!</v>
      </c>
      <c r="BP26" s="242" t="e">
        <f t="shared" si="38"/>
        <v>#DIV/0!</v>
      </c>
      <c r="BQ26" s="242" t="e">
        <f t="shared" si="38"/>
        <v>#DIV/0!</v>
      </c>
      <c r="BR26" s="242" t="e">
        <f t="shared" si="38"/>
        <v>#DIV/0!</v>
      </c>
      <c r="BS26" s="242">
        <f t="shared" si="38"/>
        <v>0</v>
      </c>
    </row>
    <row r="27" spans="1:71" x14ac:dyDescent="0.35">
      <c r="A27"/>
      <c r="B27" s="119"/>
      <c r="C27" s="10" t="s">
        <v>312</v>
      </c>
      <c r="D27" s="19">
        <v>337.39</v>
      </c>
      <c r="E27" s="19">
        <v>380</v>
      </c>
      <c r="F27" s="19">
        <v>419.54</v>
      </c>
      <c r="G27" s="19">
        <v>442.64</v>
      </c>
      <c r="H27" s="19">
        <v>455.22</v>
      </c>
      <c r="I27" s="19">
        <v>463.64</v>
      </c>
      <c r="J27" s="19">
        <v>469.9</v>
      </c>
      <c r="K27" s="19">
        <v>475.28</v>
      </c>
      <c r="L27" s="19">
        <v>479.59</v>
      </c>
      <c r="M27" s="19">
        <v>486.89</v>
      </c>
      <c r="N27" s="19">
        <v>502.48</v>
      </c>
      <c r="O27" s="19">
        <v>533.44000000000005</v>
      </c>
      <c r="P27" s="19">
        <v>570.14</v>
      </c>
      <c r="Q27" s="9"/>
      <c r="R27" s="9">
        <f>(P27-D27)</f>
        <v>232.75</v>
      </c>
      <c r="S27" t="s">
        <v>78</v>
      </c>
      <c r="AJ27" s="305"/>
      <c r="BF27" s="305"/>
    </row>
    <row r="28" spans="1:71" ht="15" thickBot="1" x14ac:dyDescent="0.4">
      <c r="A28"/>
      <c r="B28" s="4"/>
      <c r="C28" s="26" t="s">
        <v>16</v>
      </c>
      <c r="D28" s="21">
        <v>5081</v>
      </c>
      <c r="E28" s="21">
        <v>5505</v>
      </c>
      <c r="F28" s="21">
        <v>5903</v>
      </c>
      <c r="G28" s="21">
        <v>6107</v>
      </c>
      <c r="H28" s="21">
        <v>6264</v>
      </c>
      <c r="I28" s="21">
        <v>6402</v>
      </c>
      <c r="J28" s="21">
        <v>6516.1</v>
      </c>
      <c r="K28" s="21">
        <v>6611</v>
      </c>
      <c r="L28" s="21">
        <v>6680</v>
      </c>
      <c r="M28" s="21">
        <v>6848</v>
      </c>
      <c r="N28" s="21">
        <v>7032</v>
      </c>
      <c r="O28" s="21">
        <v>7307</v>
      </c>
      <c r="P28" s="21">
        <v>7626</v>
      </c>
      <c r="Q28" s="9"/>
      <c r="R28" s="16">
        <f>P28-D28</f>
        <v>2545</v>
      </c>
      <c r="S28" t="s">
        <v>79</v>
      </c>
      <c r="AJ28" s="305"/>
      <c r="BF28" s="305"/>
    </row>
    <row r="29" spans="1:71" ht="15" thickBot="1" x14ac:dyDescent="0.4">
      <c r="A29"/>
      <c r="B29" s="114" t="str">
        <f>'1850'!A29</f>
        <v>fakturační vodoměr č.         63796</v>
      </c>
      <c r="C29" s="22"/>
      <c r="D29" s="82">
        <f>'1850'!C29</f>
        <v>28101</v>
      </c>
      <c r="E29" s="82">
        <f>'1850'!D29</f>
        <v>28433.599999999999</v>
      </c>
      <c r="F29" s="82">
        <f>'1850'!E29</f>
        <v>28750.9</v>
      </c>
      <c r="G29" s="82">
        <f>'1850'!F29</f>
        <v>29123.3</v>
      </c>
      <c r="H29" s="82">
        <f>'1850'!G29</f>
        <v>29498.799999999999</v>
      </c>
      <c r="I29" s="82">
        <f>'1850'!H29</f>
        <v>29863</v>
      </c>
      <c r="J29" s="82">
        <f>'1850'!I29</f>
        <v>30199</v>
      </c>
      <c r="K29" s="82">
        <f>'1850'!J29</f>
        <v>30525.8</v>
      </c>
      <c r="L29" s="82">
        <f>'1850'!K29</f>
        <v>30885.599999999999</v>
      </c>
      <c r="M29" s="82">
        <f>'1850'!L29</f>
        <v>31236.6</v>
      </c>
      <c r="N29" s="82">
        <f>'1850'!M29</f>
        <v>31568.3</v>
      </c>
      <c r="O29" s="82">
        <f>'1850'!N29</f>
        <v>31933</v>
      </c>
      <c r="P29" s="82">
        <f>'1850'!O29</f>
        <v>65454</v>
      </c>
      <c r="Q29" s="9">
        <f>P29-D29</f>
        <v>37353</v>
      </c>
      <c r="V29" t="s">
        <v>111</v>
      </c>
    </row>
    <row r="30" spans="1:71" ht="3.75" customHeight="1" x14ac:dyDescent="0.35">
      <c r="A30"/>
      <c r="B30"/>
    </row>
    <row r="31" spans="1:71" ht="15" thickBot="1" x14ac:dyDescent="0.4">
      <c r="A31"/>
      <c r="E31" s="25"/>
      <c r="U31" s="1" t="s">
        <v>105</v>
      </c>
      <c r="V31" s="4" t="s">
        <v>4</v>
      </c>
      <c r="W31" s="4" t="s">
        <v>5</v>
      </c>
      <c r="X31" s="4" t="s">
        <v>6</v>
      </c>
      <c r="Y31" s="4" t="s">
        <v>7</v>
      </c>
      <c r="Z31" s="4" t="s">
        <v>8</v>
      </c>
      <c r="AA31" s="4" t="s">
        <v>9</v>
      </c>
      <c r="AB31" s="4" t="s">
        <v>10</v>
      </c>
      <c r="AC31" s="4" t="s">
        <v>11</v>
      </c>
      <c r="AD31" s="4" t="s">
        <v>12</v>
      </c>
      <c r="AE31" s="4" t="s">
        <v>13</v>
      </c>
      <c r="AF31" s="4" t="s">
        <v>14</v>
      </c>
      <c r="AG31" s="4" t="s">
        <v>3</v>
      </c>
    </row>
    <row r="32" spans="1:71" ht="3.75" customHeight="1" thickBot="1" x14ac:dyDescent="0.4">
      <c r="A32"/>
      <c r="B32"/>
    </row>
    <row r="33" spans="1:49" x14ac:dyDescent="0.35">
      <c r="A33" s="107">
        <v>3</v>
      </c>
      <c r="B33" s="84" t="s">
        <v>73</v>
      </c>
      <c r="C33" s="283" t="s">
        <v>348</v>
      </c>
      <c r="D33" s="7">
        <v>2.1120000000000001</v>
      </c>
      <c r="E33" s="7">
        <v>4.4210000000000003</v>
      </c>
      <c r="F33" s="7">
        <v>7.0060000000000002</v>
      </c>
      <c r="G33" s="7">
        <v>10.571</v>
      </c>
      <c r="H33" s="7">
        <v>12.961</v>
      </c>
      <c r="I33" s="7">
        <v>15.374000000000001</v>
      </c>
      <c r="J33" s="7">
        <v>17.774999999999999</v>
      </c>
      <c r="K33" s="7">
        <v>21.298999999999999</v>
      </c>
      <c r="L33" s="7">
        <v>21.353000000000002</v>
      </c>
      <c r="M33" s="8">
        <v>21.353000000000002</v>
      </c>
      <c r="N33" s="7">
        <v>21.353999999999999</v>
      </c>
      <c r="O33" s="7">
        <v>21.353999999999999</v>
      </c>
      <c r="P33" s="7">
        <v>21.355</v>
      </c>
      <c r="Q33" s="9">
        <f>P33-D33</f>
        <v>19.243000000000002</v>
      </c>
      <c r="U33" s="120">
        <v>3</v>
      </c>
      <c r="V33" s="109">
        <f t="shared" ref="V33:AG37" si="39">E33-D33</f>
        <v>2.3090000000000002</v>
      </c>
      <c r="W33" s="109">
        <f t="shared" si="39"/>
        <v>2.585</v>
      </c>
      <c r="X33" s="109">
        <f t="shared" si="39"/>
        <v>3.5649999999999995</v>
      </c>
      <c r="Y33" s="109">
        <f t="shared" si="39"/>
        <v>2.3900000000000006</v>
      </c>
      <c r="Z33" s="109">
        <f t="shared" si="39"/>
        <v>2.4130000000000003</v>
      </c>
      <c r="AA33" s="109">
        <f t="shared" si="39"/>
        <v>2.400999999999998</v>
      </c>
      <c r="AB33" s="109">
        <f t="shared" si="39"/>
        <v>3.5240000000000009</v>
      </c>
      <c r="AC33" s="109">
        <f t="shared" si="39"/>
        <v>5.4000000000002046E-2</v>
      </c>
      <c r="AD33" s="109">
        <f t="shared" si="39"/>
        <v>0</v>
      </c>
      <c r="AE33" s="109">
        <f t="shared" si="39"/>
        <v>9.9999999999766942E-4</v>
      </c>
      <c r="AF33" s="109">
        <f t="shared" si="39"/>
        <v>0</v>
      </c>
      <c r="AG33" s="109">
        <f t="shared" si="39"/>
        <v>1.0000000000012221E-3</v>
      </c>
      <c r="AH33" s="344"/>
    </row>
    <row r="34" spans="1:49" x14ac:dyDescent="0.35">
      <c r="A34" s="107">
        <v>6</v>
      </c>
      <c r="B34" s="84" t="s">
        <v>74</v>
      </c>
      <c r="C34" s="17" t="s">
        <v>349</v>
      </c>
      <c r="D34" s="11">
        <v>1.782</v>
      </c>
      <c r="E34" s="11">
        <v>3.45</v>
      </c>
      <c r="F34" s="11">
        <v>4.4219999999999997</v>
      </c>
      <c r="G34" s="11">
        <v>5.8739999999999997</v>
      </c>
      <c r="H34" s="11">
        <v>7.0720000000000001</v>
      </c>
      <c r="I34" s="11">
        <v>8.3369999999999997</v>
      </c>
      <c r="J34" s="11">
        <v>9.782</v>
      </c>
      <c r="K34" s="11">
        <v>10.83</v>
      </c>
      <c r="L34" s="11">
        <v>12.143000000000001</v>
      </c>
      <c r="M34" s="11">
        <v>14.112</v>
      </c>
      <c r="N34" s="11">
        <v>16.189</v>
      </c>
      <c r="O34" s="11">
        <v>18.635999999999999</v>
      </c>
      <c r="P34" s="11">
        <v>20.181000000000001</v>
      </c>
      <c r="Q34" s="9">
        <f>P34-D34</f>
        <v>18.399000000000001</v>
      </c>
      <c r="U34" s="120">
        <v>6</v>
      </c>
      <c r="V34" s="109">
        <f t="shared" si="39"/>
        <v>1.6680000000000001</v>
      </c>
      <c r="W34" s="109">
        <f t="shared" si="39"/>
        <v>0.97199999999999953</v>
      </c>
      <c r="X34" s="109">
        <f t="shared" si="39"/>
        <v>1.452</v>
      </c>
      <c r="Y34" s="109">
        <f t="shared" si="39"/>
        <v>1.1980000000000004</v>
      </c>
      <c r="Z34" s="109">
        <f t="shared" si="39"/>
        <v>1.2649999999999997</v>
      </c>
      <c r="AA34" s="109">
        <f t="shared" si="39"/>
        <v>1.4450000000000003</v>
      </c>
      <c r="AB34" s="109">
        <f t="shared" si="39"/>
        <v>1.048</v>
      </c>
      <c r="AC34" s="109">
        <f t="shared" si="39"/>
        <v>1.3130000000000006</v>
      </c>
      <c r="AD34" s="109">
        <f t="shared" si="39"/>
        <v>1.9689999999999994</v>
      </c>
      <c r="AE34" s="109">
        <f t="shared" si="39"/>
        <v>2.077</v>
      </c>
      <c r="AF34" s="109">
        <f t="shared" si="39"/>
        <v>2.4469999999999992</v>
      </c>
      <c r="AG34" s="109">
        <f t="shared" si="39"/>
        <v>1.5450000000000017</v>
      </c>
      <c r="AH34" s="344"/>
    </row>
    <row r="35" spans="1:49" x14ac:dyDescent="0.35">
      <c r="A35" s="107">
        <v>8</v>
      </c>
      <c r="B35" s="84" t="s">
        <v>75</v>
      </c>
      <c r="C35" s="17" t="s">
        <v>350</v>
      </c>
      <c r="D35" s="11">
        <v>5.7439999999999998</v>
      </c>
      <c r="E35" s="11">
        <v>9.5329999999999995</v>
      </c>
      <c r="F35" s="11">
        <v>13.824</v>
      </c>
      <c r="G35" s="11">
        <v>19.306000000000001</v>
      </c>
      <c r="H35" s="11">
        <v>24.44</v>
      </c>
      <c r="I35" s="11">
        <v>28.965</v>
      </c>
      <c r="J35" s="11">
        <v>33.823</v>
      </c>
      <c r="K35" s="11">
        <v>38.848999999999997</v>
      </c>
      <c r="L35" s="11">
        <v>42.615000000000002</v>
      </c>
      <c r="M35" s="11">
        <v>46.82</v>
      </c>
      <c r="N35" s="11">
        <v>51.665999999999997</v>
      </c>
      <c r="O35" s="11">
        <v>56.637</v>
      </c>
      <c r="P35" s="11">
        <v>61.994999999999997</v>
      </c>
      <c r="Q35" s="9">
        <f>P35-D35</f>
        <v>56.250999999999998</v>
      </c>
      <c r="U35" s="120">
        <v>8</v>
      </c>
      <c r="V35" s="109">
        <f t="shared" si="39"/>
        <v>3.7889999999999997</v>
      </c>
      <c r="W35" s="109">
        <f t="shared" si="39"/>
        <v>4.2910000000000004</v>
      </c>
      <c r="X35" s="109">
        <f t="shared" si="39"/>
        <v>5.4820000000000011</v>
      </c>
      <c r="Y35" s="109">
        <f t="shared" si="39"/>
        <v>5.1340000000000003</v>
      </c>
      <c r="Z35" s="109">
        <f t="shared" si="39"/>
        <v>4.5249999999999986</v>
      </c>
      <c r="AA35" s="109">
        <f t="shared" si="39"/>
        <v>4.8580000000000005</v>
      </c>
      <c r="AB35" s="109">
        <f t="shared" si="39"/>
        <v>5.0259999999999962</v>
      </c>
      <c r="AC35" s="109">
        <f t="shared" si="39"/>
        <v>3.7660000000000053</v>
      </c>
      <c r="AD35" s="109">
        <f t="shared" si="39"/>
        <v>4.2049999999999983</v>
      </c>
      <c r="AE35" s="109">
        <f t="shared" si="39"/>
        <v>4.8459999999999965</v>
      </c>
      <c r="AF35" s="109">
        <f t="shared" si="39"/>
        <v>4.9710000000000036</v>
      </c>
      <c r="AG35" s="109">
        <f t="shared" si="39"/>
        <v>5.357999999999997</v>
      </c>
      <c r="AH35" s="344"/>
    </row>
    <row r="36" spans="1:49" x14ac:dyDescent="0.35">
      <c r="A36" s="107">
        <v>11</v>
      </c>
      <c r="B36" s="84" t="s">
        <v>76</v>
      </c>
      <c r="C36" s="17" t="s">
        <v>351</v>
      </c>
      <c r="D36" s="11">
        <v>1.9370000000000001</v>
      </c>
      <c r="E36" s="11">
        <v>2.294</v>
      </c>
      <c r="F36" s="11">
        <v>3.1749999999999998</v>
      </c>
      <c r="G36" s="11">
        <v>3.6920000000000002</v>
      </c>
      <c r="H36" s="11">
        <v>3.907</v>
      </c>
      <c r="I36" s="11">
        <v>4.3921000000000001</v>
      </c>
      <c r="J36" s="11">
        <v>6.4550000000000001</v>
      </c>
      <c r="K36" s="11">
        <v>9.2119999999999997</v>
      </c>
      <c r="L36" s="11">
        <v>13.856</v>
      </c>
      <c r="M36" s="11">
        <v>16.751000000000001</v>
      </c>
      <c r="N36" s="11">
        <v>18.558</v>
      </c>
      <c r="O36" s="11">
        <v>20.777999999999999</v>
      </c>
      <c r="P36" s="11">
        <v>24.088000000000001</v>
      </c>
      <c r="Q36" s="9">
        <f>P36-D36</f>
        <v>22.151</v>
      </c>
      <c r="U36" s="120">
        <v>11</v>
      </c>
      <c r="V36" s="109">
        <f t="shared" si="39"/>
        <v>0.35699999999999998</v>
      </c>
      <c r="W36" s="109">
        <f t="shared" si="39"/>
        <v>0.88099999999999978</v>
      </c>
      <c r="X36" s="109">
        <f t="shared" si="39"/>
        <v>0.51700000000000035</v>
      </c>
      <c r="Y36" s="109">
        <f t="shared" si="39"/>
        <v>0.21499999999999986</v>
      </c>
      <c r="Z36" s="109">
        <f t="shared" si="39"/>
        <v>0.48510000000000009</v>
      </c>
      <c r="AA36" s="109">
        <f t="shared" si="39"/>
        <v>2.0629</v>
      </c>
      <c r="AB36" s="109">
        <f t="shared" si="39"/>
        <v>2.7569999999999997</v>
      </c>
      <c r="AC36" s="109">
        <f t="shared" si="39"/>
        <v>4.6440000000000001</v>
      </c>
      <c r="AD36" s="109">
        <f t="shared" si="39"/>
        <v>2.8950000000000014</v>
      </c>
      <c r="AE36" s="109">
        <f t="shared" si="39"/>
        <v>1.8069999999999986</v>
      </c>
      <c r="AF36" s="109">
        <f t="shared" si="39"/>
        <v>2.2199999999999989</v>
      </c>
      <c r="AG36" s="109">
        <f t="shared" si="39"/>
        <v>3.3100000000000023</v>
      </c>
      <c r="AH36" s="344"/>
    </row>
    <row r="37" spans="1:49" ht="15" thickBot="1" x14ac:dyDescent="0.4">
      <c r="A37" s="107">
        <v>12</v>
      </c>
      <c r="B37" s="84" t="s">
        <v>77</v>
      </c>
      <c r="C37" s="281" t="s">
        <v>352</v>
      </c>
      <c r="D37" s="11">
        <v>4.1449999999999996</v>
      </c>
      <c r="E37" s="11">
        <v>7.8979999999999997</v>
      </c>
      <c r="F37" s="11">
        <v>11.03</v>
      </c>
      <c r="G37" s="11">
        <v>14.167</v>
      </c>
      <c r="H37" s="11">
        <v>17.408000000000001</v>
      </c>
      <c r="I37" s="11">
        <v>20.026</v>
      </c>
      <c r="J37" s="11">
        <v>20.702999999999999</v>
      </c>
      <c r="K37" s="11">
        <v>21.058</v>
      </c>
      <c r="L37" s="11">
        <v>21.664999999999999</v>
      </c>
      <c r="M37" s="11">
        <v>21.859000000000002</v>
      </c>
      <c r="N37" s="11">
        <v>22.344999999999999</v>
      </c>
      <c r="O37" s="11">
        <v>22.556999999999999</v>
      </c>
      <c r="P37" s="11">
        <v>22.68</v>
      </c>
      <c r="Q37" s="9">
        <f>P37-D37</f>
        <v>18.535</v>
      </c>
      <c r="U37" s="120">
        <v>12</v>
      </c>
      <c r="V37" s="109">
        <f t="shared" si="39"/>
        <v>3.7530000000000001</v>
      </c>
      <c r="W37" s="109">
        <f t="shared" si="39"/>
        <v>3.1319999999999997</v>
      </c>
      <c r="X37" s="109">
        <f t="shared" si="39"/>
        <v>3.1370000000000005</v>
      </c>
      <c r="Y37" s="109">
        <f t="shared" si="39"/>
        <v>3.2410000000000014</v>
      </c>
      <c r="Z37" s="109">
        <f t="shared" si="39"/>
        <v>2.6179999999999986</v>
      </c>
      <c r="AA37" s="109">
        <f t="shared" si="39"/>
        <v>0.6769999999999996</v>
      </c>
      <c r="AB37" s="109">
        <f t="shared" si="39"/>
        <v>0.35500000000000043</v>
      </c>
      <c r="AC37" s="109">
        <f t="shared" si="39"/>
        <v>0.60699999999999932</v>
      </c>
      <c r="AD37" s="109">
        <f t="shared" si="39"/>
        <v>0.19400000000000261</v>
      </c>
      <c r="AE37" s="109">
        <f t="shared" si="39"/>
        <v>0.4859999999999971</v>
      </c>
      <c r="AF37" s="109">
        <f t="shared" si="39"/>
        <v>0.21199999999999974</v>
      </c>
      <c r="AG37" s="109">
        <f t="shared" si="39"/>
        <v>0.12300000000000111</v>
      </c>
      <c r="AH37" s="344"/>
    </row>
    <row r="38" spans="1:49" x14ac:dyDescent="0.35">
      <c r="A38"/>
      <c r="B38"/>
      <c r="AH38" s="346"/>
    </row>
    <row r="39" spans="1:49" ht="15" thickBot="1" x14ac:dyDescent="0.4">
      <c r="A39"/>
      <c r="B39"/>
      <c r="C39" t="s">
        <v>24</v>
      </c>
      <c r="V39" t="s">
        <v>112</v>
      </c>
      <c r="AH39" s="346"/>
    </row>
    <row r="40" spans="1:49" x14ac:dyDescent="0.35">
      <c r="A40" s="117">
        <v>2</v>
      </c>
      <c r="B40" s="83">
        <v>2</v>
      </c>
      <c r="C40" s="284" t="s">
        <v>353</v>
      </c>
      <c r="D40" s="8">
        <v>3.8439999999999999</v>
      </c>
      <c r="E40" s="8">
        <v>7.1619999999999999</v>
      </c>
      <c r="F40" s="8">
        <v>10.265000000000001</v>
      </c>
      <c r="G40" s="8">
        <v>13.93</v>
      </c>
      <c r="H40" s="8">
        <v>17.216999999999999</v>
      </c>
      <c r="I40" s="8">
        <v>20.638000000000002</v>
      </c>
      <c r="J40" s="8">
        <v>22.943999999999999</v>
      </c>
      <c r="K40" s="8">
        <v>25.128</v>
      </c>
      <c r="L40" s="8">
        <v>27.670999999999999</v>
      </c>
      <c r="M40" s="8">
        <v>30.550999999999998</v>
      </c>
      <c r="N40" s="8">
        <v>33.667999999999999</v>
      </c>
      <c r="O40" s="8">
        <v>36.863</v>
      </c>
      <c r="P40" s="8">
        <v>40.052</v>
      </c>
      <c r="Q40" s="9">
        <f>P40-D40</f>
        <v>36.207999999999998</v>
      </c>
      <c r="U40" s="120">
        <v>2</v>
      </c>
      <c r="V40" s="109">
        <f t="shared" ref="V40:AG49" si="40">E40-D40</f>
        <v>3.3180000000000001</v>
      </c>
      <c r="W40" s="109">
        <f t="shared" si="40"/>
        <v>3.1030000000000006</v>
      </c>
      <c r="X40" s="109">
        <f t="shared" si="40"/>
        <v>3.6649999999999991</v>
      </c>
      <c r="Y40" s="109">
        <f t="shared" si="40"/>
        <v>3.286999999999999</v>
      </c>
      <c r="Z40" s="109">
        <f t="shared" si="40"/>
        <v>3.4210000000000029</v>
      </c>
      <c r="AA40" s="109">
        <f t="shared" si="40"/>
        <v>2.3059999999999974</v>
      </c>
      <c r="AB40" s="109">
        <f t="shared" si="40"/>
        <v>2.1840000000000011</v>
      </c>
      <c r="AC40" s="109">
        <f t="shared" si="40"/>
        <v>2.5429999999999993</v>
      </c>
      <c r="AD40" s="109">
        <f t="shared" si="40"/>
        <v>2.879999999999999</v>
      </c>
      <c r="AE40" s="109">
        <f t="shared" si="40"/>
        <v>3.1170000000000009</v>
      </c>
      <c r="AF40" s="109">
        <f t="shared" si="40"/>
        <v>3.1950000000000003</v>
      </c>
      <c r="AG40" s="109">
        <f t="shared" si="40"/>
        <v>3.1890000000000001</v>
      </c>
      <c r="AH40" s="344"/>
    </row>
    <row r="41" spans="1:49" x14ac:dyDescent="0.35">
      <c r="A41" s="117">
        <v>3</v>
      </c>
      <c r="B41" s="83" t="s">
        <v>73</v>
      </c>
      <c r="C41" s="285" t="s">
        <v>354</v>
      </c>
      <c r="D41" s="11">
        <v>1.2769999999999999</v>
      </c>
      <c r="E41" s="11">
        <v>3.1120000000000001</v>
      </c>
      <c r="F41" s="11">
        <v>4.8739999999999997</v>
      </c>
      <c r="G41" s="11">
        <v>6.7489999999999997</v>
      </c>
      <c r="H41" s="11">
        <v>8.0909999999999993</v>
      </c>
      <c r="I41" s="11">
        <v>9.4879999999999995</v>
      </c>
      <c r="J41" s="11">
        <v>10.749000000000001</v>
      </c>
      <c r="K41" s="11">
        <v>12.183999999999999</v>
      </c>
      <c r="L41" s="11">
        <v>12.201000000000001</v>
      </c>
      <c r="M41" s="11">
        <v>12.202</v>
      </c>
      <c r="N41" s="11">
        <v>12.202</v>
      </c>
      <c r="O41" s="11">
        <v>12.202</v>
      </c>
      <c r="P41" s="11">
        <v>12.202999999999999</v>
      </c>
      <c r="Q41" s="9">
        <f>P41-D41</f>
        <v>10.926</v>
      </c>
      <c r="U41" s="120">
        <v>3</v>
      </c>
      <c r="V41" s="109">
        <f t="shared" si="40"/>
        <v>1.8350000000000002</v>
      </c>
      <c r="W41" s="109">
        <f t="shared" si="40"/>
        <v>1.7619999999999996</v>
      </c>
      <c r="X41" s="109">
        <f t="shared" si="40"/>
        <v>1.875</v>
      </c>
      <c r="Y41" s="109">
        <f t="shared" si="40"/>
        <v>1.3419999999999996</v>
      </c>
      <c r="Z41" s="109">
        <f t="shared" si="40"/>
        <v>1.3970000000000002</v>
      </c>
      <c r="AA41" s="109">
        <f t="shared" si="40"/>
        <v>1.261000000000001</v>
      </c>
      <c r="AB41" s="109">
        <f t="shared" si="40"/>
        <v>1.4349999999999987</v>
      </c>
      <c r="AC41" s="109">
        <f t="shared" si="40"/>
        <v>1.7000000000001236E-2</v>
      </c>
      <c r="AD41" s="109">
        <f t="shared" si="40"/>
        <v>9.9999999999944578E-4</v>
      </c>
      <c r="AE41" s="109">
        <f t="shared" si="40"/>
        <v>0</v>
      </c>
      <c r="AF41" s="109">
        <f t="shared" si="40"/>
        <v>0</v>
      </c>
      <c r="AG41" s="109">
        <f t="shared" si="40"/>
        <v>9.9999999999944578E-4</v>
      </c>
      <c r="AH41" s="344"/>
    </row>
    <row r="42" spans="1:49" x14ac:dyDescent="0.35">
      <c r="A42" s="117">
        <v>5</v>
      </c>
      <c r="B42" s="83">
        <v>3</v>
      </c>
      <c r="C42" s="285" t="s">
        <v>355</v>
      </c>
      <c r="D42" s="11">
        <v>0.41099999999999998</v>
      </c>
      <c r="E42" s="11">
        <v>0.74399999999999999</v>
      </c>
      <c r="F42" s="11">
        <v>1.0549999999999999</v>
      </c>
      <c r="G42" s="11">
        <v>1.4279999999999999</v>
      </c>
      <c r="H42" s="11">
        <v>1.788</v>
      </c>
      <c r="I42" s="11">
        <v>2.1680000000000001</v>
      </c>
      <c r="J42" s="11">
        <v>2.5110000000000001</v>
      </c>
      <c r="K42" s="11">
        <v>2.871</v>
      </c>
      <c r="L42" s="11">
        <v>3.214</v>
      </c>
      <c r="M42" s="11">
        <v>3.5630000000000002</v>
      </c>
      <c r="N42" s="11">
        <v>3.968</v>
      </c>
      <c r="O42" s="11">
        <v>4.4820000000000002</v>
      </c>
      <c r="P42" s="11">
        <v>4.9359999999999999</v>
      </c>
      <c r="Q42" s="9">
        <f>P42-D42</f>
        <v>4.5250000000000004</v>
      </c>
      <c r="U42" s="120">
        <v>5</v>
      </c>
      <c r="V42" s="109">
        <f t="shared" si="40"/>
        <v>0.33300000000000002</v>
      </c>
      <c r="W42" s="109">
        <f t="shared" si="40"/>
        <v>0.31099999999999994</v>
      </c>
      <c r="X42" s="109">
        <f t="shared" si="40"/>
        <v>0.373</v>
      </c>
      <c r="Y42" s="109">
        <f t="shared" si="40"/>
        <v>0.3600000000000001</v>
      </c>
      <c r="Z42" s="109">
        <f t="shared" si="40"/>
        <v>0.38000000000000012</v>
      </c>
      <c r="AA42" s="109">
        <f t="shared" si="40"/>
        <v>0.34299999999999997</v>
      </c>
      <c r="AB42" s="109">
        <f t="shared" si="40"/>
        <v>0.35999999999999988</v>
      </c>
      <c r="AC42" s="109">
        <f t="shared" si="40"/>
        <v>0.34299999999999997</v>
      </c>
      <c r="AD42" s="109">
        <f t="shared" si="40"/>
        <v>0.3490000000000002</v>
      </c>
      <c r="AE42" s="109">
        <f t="shared" si="40"/>
        <v>0.4049999999999998</v>
      </c>
      <c r="AF42" s="109">
        <f t="shared" si="40"/>
        <v>0.51400000000000023</v>
      </c>
      <c r="AG42" s="109">
        <f t="shared" si="40"/>
        <v>0.45399999999999974</v>
      </c>
      <c r="AH42" s="344"/>
    </row>
    <row r="43" spans="1:49" x14ac:dyDescent="0.35">
      <c r="A43" s="117">
        <v>6</v>
      </c>
      <c r="B43" s="83" t="s">
        <v>74</v>
      </c>
      <c r="C43" s="285" t="s">
        <v>356</v>
      </c>
      <c r="D43" s="11">
        <v>1.286</v>
      </c>
      <c r="E43" s="11">
        <v>2.6549999999999998</v>
      </c>
      <c r="F43" s="11">
        <v>3.5670000000000002</v>
      </c>
      <c r="G43" s="11">
        <v>4.7050000000000001</v>
      </c>
      <c r="H43" s="11">
        <v>5.4640000000000004</v>
      </c>
      <c r="I43" s="11">
        <v>6.3940000000000001</v>
      </c>
      <c r="J43" s="11">
        <v>7.08</v>
      </c>
      <c r="K43" s="11">
        <v>7.7130000000000001</v>
      </c>
      <c r="L43" s="11">
        <v>8.391</v>
      </c>
      <c r="M43" s="11">
        <v>9.5449999999999999</v>
      </c>
      <c r="N43" s="11">
        <v>10.91</v>
      </c>
      <c r="O43" s="11">
        <v>12.79</v>
      </c>
      <c r="P43" s="11">
        <v>14.064</v>
      </c>
      <c r="Q43" s="9">
        <f>P43-D43</f>
        <v>12.778</v>
      </c>
      <c r="U43" s="120">
        <v>6</v>
      </c>
      <c r="V43" s="109">
        <f t="shared" si="40"/>
        <v>1.3689999999999998</v>
      </c>
      <c r="W43" s="109">
        <f t="shared" si="40"/>
        <v>0.91200000000000037</v>
      </c>
      <c r="X43" s="109">
        <f t="shared" si="40"/>
        <v>1.1379999999999999</v>
      </c>
      <c r="Y43" s="109">
        <f t="shared" si="40"/>
        <v>0.75900000000000034</v>
      </c>
      <c r="Z43" s="109">
        <f t="shared" si="40"/>
        <v>0.92999999999999972</v>
      </c>
      <c r="AA43" s="109">
        <f t="shared" si="40"/>
        <v>0.68599999999999994</v>
      </c>
      <c r="AB43" s="109">
        <f t="shared" si="40"/>
        <v>0.63300000000000001</v>
      </c>
      <c r="AC43" s="109">
        <f t="shared" si="40"/>
        <v>0.67799999999999994</v>
      </c>
      <c r="AD43" s="109">
        <f t="shared" si="40"/>
        <v>1.1539999999999999</v>
      </c>
      <c r="AE43" s="109">
        <f t="shared" si="40"/>
        <v>1.3650000000000002</v>
      </c>
      <c r="AF43" s="109">
        <f t="shared" si="40"/>
        <v>1.879999999999999</v>
      </c>
      <c r="AG43" s="109">
        <f t="shared" si="40"/>
        <v>1.2740000000000009</v>
      </c>
      <c r="AH43" s="344"/>
    </row>
    <row r="44" spans="1:49" x14ac:dyDescent="0.35">
      <c r="A44" s="117">
        <v>9</v>
      </c>
      <c r="B44" s="83">
        <v>5</v>
      </c>
      <c r="C44" s="285" t="s">
        <v>357</v>
      </c>
      <c r="D44" s="11">
        <v>1.369</v>
      </c>
      <c r="E44" s="11">
        <v>1.369</v>
      </c>
      <c r="F44" s="11">
        <v>1.37</v>
      </c>
      <c r="G44" s="11">
        <v>1.37</v>
      </c>
      <c r="H44" s="11">
        <v>1.37</v>
      </c>
      <c r="I44" s="11">
        <v>1.37</v>
      </c>
      <c r="J44" s="11">
        <v>1.37</v>
      </c>
      <c r="K44" s="11">
        <v>1.37</v>
      </c>
      <c r="L44" s="11">
        <v>1.37</v>
      </c>
      <c r="M44" s="11">
        <v>1.37</v>
      </c>
      <c r="N44" s="11">
        <v>1.3720000000000001</v>
      </c>
      <c r="O44" s="11">
        <v>1.3720000000000001</v>
      </c>
      <c r="P44" s="11">
        <v>1.3740000000000001</v>
      </c>
      <c r="Q44" s="9">
        <f>P44-D44</f>
        <v>5.0000000000001155E-3</v>
      </c>
      <c r="U44" s="120">
        <v>9</v>
      </c>
      <c r="V44" s="109">
        <f t="shared" si="40"/>
        <v>0</v>
      </c>
      <c r="W44" s="109">
        <f t="shared" si="40"/>
        <v>1.0000000000001119E-3</v>
      </c>
      <c r="X44" s="109">
        <f t="shared" si="40"/>
        <v>0</v>
      </c>
      <c r="Y44" s="109">
        <f t="shared" si="40"/>
        <v>0</v>
      </c>
      <c r="Z44" s="109">
        <f t="shared" si="40"/>
        <v>0</v>
      </c>
      <c r="AA44" s="109">
        <f t="shared" si="40"/>
        <v>0</v>
      </c>
      <c r="AB44" s="109">
        <f t="shared" si="40"/>
        <v>0</v>
      </c>
      <c r="AC44" s="109">
        <f t="shared" si="40"/>
        <v>0</v>
      </c>
      <c r="AD44" s="109">
        <f t="shared" si="40"/>
        <v>0</v>
      </c>
      <c r="AE44" s="109">
        <f t="shared" si="40"/>
        <v>2.0000000000000018E-3</v>
      </c>
      <c r="AF44" s="109">
        <f t="shared" si="40"/>
        <v>0</v>
      </c>
      <c r="AG44" s="109">
        <f t="shared" si="40"/>
        <v>2.0000000000000018E-3</v>
      </c>
      <c r="AH44" s="344"/>
    </row>
    <row r="45" spans="1:49" x14ac:dyDescent="0.35">
      <c r="A45" s="117">
        <v>8</v>
      </c>
      <c r="B45" s="83" t="s">
        <v>75</v>
      </c>
      <c r="C45" s="285" t="s">
        <v>358</v>
      </c>
      <c r="D45" s="11">
        <v>2.9340000000000002</v>
      </c>
      <c r="E45" s="11">
        <v>4.9800000000000004</v>
      </c>
      <c r="F45" s="11">
        <v>7.0469999999999997</v>
      </c>
      <c r="G45" s="11">
        <v>10.061</v>
      </c>
      <c r="H45" s="11">
        <v>12.538</v>
      </c>
      <c r="I45" s="11">
        <v>15.115</v>
      </c>
      <c r="J45" s="11">
        <v>17.242999999999999</v>
      </c>
      <c r="K45" s="11">
        <v>19.012</v>
      </c>
      <c r="L45" s="11">
        <v>20.395</v>
      </c>
      <c r="M45" s="11">
        <v>22.134</v>
      </c>
      <c r="N45" s="11">
        <v>24.507999999999999</v>
      </c>
      <c r="O45" s="11">
        <v>26.783999999999999</v>
      </c>
      <c r="P45" s="11">
        <v>29.33</v>
      </c>
      <c r="Q45" s="9">
        <f>P45-D45</f>
        <v>26.395999999999997</v>
      </c>
      <c r="U45" s="120">
        <v>8</v>
      </c>
      <c r="V45" s="109">
        <f t="shared" si="40"/>
        <v>2.0460000000000003</v>
      </c>
      <c r="W45" s="109">
        <f t="shared" si="40"/>
        <v>2.0669999999999993</v>
      </c>
      <c r="X45" s="109">
        <f t="shared" si="40"/>
        <v>3.0140000000000002</v>
      </c>
      <c r="Y45" s="109">
        <f t="shared" si="40"/>
        <v>2.4770000000000003</v>
      </c>
      <c r="Z45" s="109">
        <f t="shared" si="40"/>
        <v>2.577</v>
      </c>
      <c r="AA45" s="109">
        <f t="shared" si="40"/>
        <v>2.1279999999999983</v>
      </c>
      <c r="AB45" s="109">
        <f t="shared" si="40"/>
        <v>1.7690000000000019</v>
      </c>
      <c r="AC45" s="109">
        <f t="shared" si="40"/>
        <v>1.3829999999999991</v>
      </c>
      <c r="AD45" s="109">
        <f t="shared" si="40"/>
        <v>1.7390000000000008</v>
      </c>
      <c r="AE45" s="109">
        <f t="shared" si="40"/>
        <v>2.3739999999999988</v>
      </c>
      <c r="AF45" s="109">
        <f t="shared" si="40"/>
        <v>2.2759999999999998</v>
      </c>
      <c r="AG45" s="109">
        <f t="shared" si="40"/>
        <v>2.5459999999999994</v>
      </c>
      <c r="AH45" s="344"/>
      <c r="AK45" s="238" t="s">
        <v>294</v>
      </c>
    </row>
    <row r="46" spans="1:49" x14ac:dyDescent="0.35">
      <c r="A46" s="117">
        <v>15</v>
      </c>
      <c r="B46" s="83">
        <v>6</v>
      </c>
      <c r="C46" s="285" t="s">
        <v>359</v>
      </c>
      <c r="D46" s="11">
        <v>1.8660000000000001</v>
      </c>
      <c r="E46" s="11">
        <v>3.085</v>
      </c>
      <c r="F46" s="11">
        <v>4.274</v>
      </c>
      <c r="G46" s="11">
        <v>5.3</v>
      </c>
      <c r="H46" s="11">
        <v>6.4020000000000001</v>
      </c>
      <c r="I46" s="11">
        <v>7.2590000000000003</v>
      </c>
      <c r="J46" s="11">
        <v>8.1379999999999999</v>
      </c>
      <c r="K46" s="11">
        <v>9.3230000000000004</v>
      </c>
      <c r="L46" s="11">
        <v>10.772</v>
      </c>
      <c r="M46" s="11">
        <v>11.925000000000001</v>
      </c>
      <c r="N46" s="11">
        <v>13.12</v>
      </c>
      <c r="O46" s="11">
        <v>15.253</v>
      </c>
      <c r="P46" s="11">
        <v>16.875</v>
      </c>
      <c r="Q46" s="9">
        <f>P46-D46</f>
        <v>15.009</v>
      </c>
      <c r="U46" s="120">
        <v>15</v>
      </c>
      <c r="V46" s="109">
        <f t="shared" si="40"/>
        <v>1.2189999999999999</v>
      </c>
      <c r="W46" s="109">
        <f t="shared" si="40"/>
        <v>1.1890000000000001</v>
      </c>
      <c r="X46" s="109">
        <f t="shared" si="40"/>
        <v>1.0259999999999998</v>
      </c>
      <c r="Y46" s="109">
        <f t="shared" si="40"/>
        <v>1.1020000000000003</v>
      </c>
      <c r="Z46" s="109">
        <f t="shared" si="40"/>
        <v>0.85700000000000021</v>
      </c>
      <c r="AA46" s="109">
        <f t="shared" si="40"/>
        <v>0.87899999999999956</v>
      </c>
      <c r="AB46" s="109">
        <f t="shared" si="40"/>
        <v>1.1850000000000005</v>
      </c>
      <c r="AC46" s="109">
        <f t="shared" si="40"/>
        <v>1.4489999999999998</v>
      </c>
      <c r="AD46" s="109">
        <f t="shared" si="40"/>
        <v>1.1530000000000005</v>
      </c>
      <c r="AE46" s="109">
        <f t="shared" si="40"/>
        <v>1.1949999999999985</v>
      </c>
      <c r="AF46" s="109">
        <f t="shared" si="40"/>
        <v>2.1330000000000009</v>
      </c>
      <c r="AG46" s="109">
        <f t="shared" si="40"/>
        <v>1.6219999999999999</v>
      </c>
      <c r="AH46" s="344"/>
      <c r="AJ46" s="245" t="s">
        <v>278</v>
      </c>
      <c r="AK46" s="231" t="s">
        <v>264</v>
      </c>
      <c r="AL46" s="231" t="s">
        <v>265</v>
      </c>
      <c r="AM46" s="231" t="s">
        <v>266</v>
      </c>
      <c r="AN46" s="231" t="s">
        <v>267</v>
      </c>
      <c r="AO46" s="231" t="s">
        <v>268</v>
      </c>
      <c r="AP46" s="231" t="s">
        <v>269</v>
      </c>
      <c r="AQ46" s="231" t="s">
        <v>270</v>
      </c>
      <c r="AR46" s="231" t="s">
        <v>271</v>
      </c>
      <c r="AS46" s="231" t="s">
        <v>272</v>
      </c>
      <c r="AT46" s="231" t="s">
        <v>273</v>
      </c>
      <c r="AU46" s="231" t="s">
        <v>274</v>
      </c>
      <c r="AV46" s="231" t="s">
        <v>275</v>
      </c>
      <c r="AW46" s="1" t="s">
        <v>276</v>
      </c>
    </row>
    <row r="47" spans="1:49" x14ac:dyDescent="0.35">
      <c r="A47" s="117">
        <v>11</v>
      </c>
      <c r="B47" s="83" t="s">
        <v>76</v>
      </c>
      <c r="C47" s="285" t="s">
        <v>360</v>
      </c>
      <c r="D47" s="11">
        <v>1.2949999999999999</v>
      </c>
      <c r="E47" s="11">
        <v>1.508</v>
      </c>
      <c r="F47" s="11">
        <v>2.0270000000000001</v>
      </c>
      <c r="G47" s="11">
        <v>2.2930000000000001</v>
      </c>
      <c r="H47" s="11">
        <v>2.4470000000000001</v>
      </c>
      <c r="I47" s="11">
        <v>2.677</v>
      </c>
      <c r="J47" s="11">
        <v>3.7170000000000001</v>
      </c>
      <c r="K47" s="11">
        <v>4.7869999999999999</v>
      </c>
      <c r="L47" s="11">
        <v>6.5209999999999999</v>
      </c>
      <c r="M47" s="11">
        <v>7.7850000000000001</v>
      </c>
      <c r="N47" s="11">
        <v>8.5820000000000007</v>
      </c>
      <c r="O47" s="11">
        <v>9.7940000000000005</v>
      </c>
      <c r="P47" s="11">
        <v>11.613</v>
      </c>
      <c r="Q47" s="9">
        <f>P47-D47</f>
        <v>10.318</v>
      </c>
      <c r="U47" s="120">
        <v>11</v>
      </c>
      <c r="V47" s="109">
        <f t="shared" si="40"/>
        <v>0.21300000000000008</v>
      </c>
      <c r="W47" s="109">
        <f t="shared" si="40"/>
        <v>0.51900000000000013</v>
      </c>
      <c r="X47" s="109">
        <f t="shared" si="40"/>
        <v>0.26600000000000001</v>
      </c>
      <c r="Y47" s="109">
        <f t="shared" si="40"/>
        <v>0.15399999999999991</v>
      </c>
      <c r="Z47" s="109">
        <f t="shared" si="40"/>
        <v>0.22999999999999998</v>
      </c>
      <c r="AA47" s="109">
        <f t="shared" si="40"/>
        <v>1.04</v>
      </c>
      <c r="AB47" s="109">
        <f t="shared" si="40"/>
        <v>1.0699999999999998</v>
      </c>
      <c r="AC47" s="109">
        <f t="shared" si="40"/>
        <v>1.734</v>
      </c>
      <c r="AD47" s="109">
        <f t="shared" si="40"/>
        <v>1.2640000000000002</v>
      </c>
      <c r="AE47" s="109">
        <f t="shared" si="40"/>
        <v>0.7970000000000006</v>
      </c>
      <c r="AF47" s="109">
        <f t="shared" si="40"/>
        <v>1.2119999999999997</v>
      </c>
      <c r="AG47" s="109">
        <f t="shared" si="40"/>
        <v>1.8189999999999991</v>
      </c>
      <c r="AH47" s="344"/>
      <c r="AJ47" s="245" t="s">
        <v>109</v>
      </c>
      <c r="AK47" s="247">
        <f>SUM(V40:V49)</f>
        <v>14.794999999999998</v>
      </c>
      <c r="AL47" s="247">
        <f t="shared" ref="AL47:AV47" si="41">SUM(W40:W49)</f>
        <v>13.997</v>
      </c>
      <c r="AM47" s="247">
        <f t="shared" si="41"/>
        <v>15.186</v>
      </c>
      <c r="AN47" s="247">
        <f t="shared" si="41"/>
        <v>13.029</v>
      </c>
      <c r="AO47" s="247">
        <f t="shared" si="41"/>
        <v>12.843000000000002</v>
      </c>
      <c r="AP47" s="247">
        <f t="shared" si="41"/>
        <v>10.172999999999996</v>
      </c>
      <c r="AQ47" s="247">
        <f t="shared" si="41"/>
        <v>10.488000000000003</v>
      </c>
      <c r="AR47" s="247">
        <f t="shared" si="41"/>
        <v>10.390999999999998</v>
      </c>
      <c r="AS47" s="247">
        <f t="shared" si="41"/>
        <v>9.8009999999999984</v>
      </c>
      <c r="AT47" s="247">
        <f t="shared" si="41"/>
        <v>11.061999999999999</v>
      </c>
      <c r="AU47" s="247">
        <f t="shared" si="41"/>
        <v>12.858000000000002</v>
      </c>
      <c r="AV47" s="247">
        <f t="shared" si="41"/>
        <v>12.379999999999995</v>
      </c>
      <c r="AW47" s="238">
        <f>(AK47+AL47+AM47+AN47+AO47+AP47+AQ47+AR47+AS47+AT47+AU47+AV47)/12</f>
        <v>12.250249999999999</v>
      </c>
    </row>
    <row r="48" spans="1:49" x14ac:dyDescent="0.35">
      <c r="A48" s="117">
        <v>13</v>
      </c>
      <c r="B48" s="83">
        <v>8</v>
      </c>
      <c r="C48" s="285" t="s">
        <v>361</v>
      </c>
      <c r="D48" s="11">
        <v>1.4610000000000001</v>
      </c>
      <c r="E48" s="11">
        <v>3.3769999999999998</v>
      </c>
      <c r="F48" s="11">
        <v>4.99</v>
      </c>
      <c r="G48" s="11">
        <v>6.7439999999999998</v>
      </c>
      <c r="H48" s="11">
        <v>8.2750000000000004</v>
      </c>
      <c r="I48" s="11">
        <v>9.7560000000000002</v>
      </c>
      <c r="J48" s="11">
        <v>10.98</v>
      </c>
      <c r="K48" s="11">
        <v>12.73</v>
      </c>
      <c r="L48" s="11">
        <v>14.78</v>
      </c>
      <c r="M48" s="11">
        <v>16.018999999999998</v>
      </c>
      <c r="N48" s="11">
        <v>17.588999999999999</v>
      </c>
      <c r="O48" s="11">
        <v>19.195</v>
      </c>
      <c r="P48" s="11">
        <v>20.652999999999999</v>
      </c>
      <c r="Q48" s="9">
        <f>P48-D48</f>
        <v>19.192</v>
      </c>
      <c r="U48" s="120">
        <v>13</v>
      </c>
      <c r="V48" s="109">
        <f t="shared" si="40"/>
        <v>1.9159999999999997</v>
      </c>
      <c r="W48" s="109">
        <f t="shared" si="40"/>
        <v>1.6130000000000004</v>
      </c>
      <c r="X48" s="109">
        <f t="shared" si="40"/>
        <v>1.7539999999999996</v>
      </c>
      <c r="Y48" s="109">
        <f t="shared" si="40"/>
        <v>1.5310000000000006</v>
      </c>
      <c r="Z48" s="109">
        <f t="shared" si="40"/>
        <v>1.4809999999999999</v>
      </c>
      <c r="AA48" s="109">
        <f t="shared" si="40"/>
        <v>1.2240000000000002</v>
      </c>
      <c r="AB48" s="109">
        <f t="shared" si="40"/>
        <v>1.75</v>
      </c>
      <c r="AC48" s="109">
        <f t="shared" si="40"/>
        <v>2.0499999999999989</v>
      </c>
      <c r="AD48" s="109">
        <f t="shared" si="40"/>
        <v>1.238999999999999</v>
      </c>
      <c r="AE48" s="109">
        <f t="shared" si="40"/>
        <v>1.5700000000000003</v>
      </c>
      <c r="AF48" s="109">
        <f t="shared" si="40"/>
        <v>1.6060000000000016</v>
      </c>
      <c r="AG48" s="109">
        <f t="shared" si="40"/>
        <v>1.4579999999999984</v>
      </c>
      <c r="AH48" s="344"/>
      <c r="AJ48" s="245" t="s">
        <v>115</v>
      </c>
      <c r="AK48" s="220">
        <f>V6+V8+V12+V14+V18+V54+V56+V58+V60+V62</f>
        <v>22.484999999999999</v>
      </c>
      <c r="AL48" s="220">
        <f t="shared" ref="AL48:AN48" si="42">W6+W8+W12+W14+W18+W54+W56+W58+W60+W62</f>
        <v>22.382999999999996</v>
      </c>
      <c r="AM48" s="220">
        <f t="shared" si="42"/>
        <v>26.219000000000005</v>
      </c>
      <c r="AN48" s="220">
        <f t="shared" si="42"/>
        <v>23.530999999999999</v>
      </c>
      <c r="AO48" s="220">
        <f t="shared" ref="AO48:AV48" si="43">Z6+Z8+Z12+Z14+Z18+Z54+Z56+Z58+Z60+Z62</f>
        <v>23.363099999999999</v>
      </c>
      <c r="AP48" s="220">
        <f t="shared" si="43"/>
        <v>23.436899999999994</v>
      </c>
      <c r="AQ48" s="220">
        <f t="shared" si="43"/>
        <v>26.045999999999996</v>
      </c>
      <c r="AR48" s="220">
        <f t="shared" si="43"/>
        <v>24.821000000000005</v>
      </c>
      <c r="AS48" s="220">
        <f t="shared" si="43"/>
        <v>22.686000000000014</v>
      </c>
      <c r="AT48" s="220">
        <f t="shared" si="43"/>
        <v>22.971999999999991</v>
      </c>
      <c r="AU48" s="220">
        <f t="shared" si="43"/>
        <v>22.683999999999994</v>
      </c>
      <c r="AV48" s="220">
        <f t="shared" si="43"/>
        <v>23.899000000000012</v>
      </c>
      <c r="AW48" s="238">
        <f>(AK48+AL48+AM48+AN48+AO48+AP48+AQ48+AR48+AS48+AT48+AU48+AV48)/12</f>
        <v>23.710499999999996</v>
      </c>
    </row>
    <row r="49" spans="1:70" ht="15" thickBot="1" x14ac:dyDescent="0.4">
      <c r="A49" s="117">
        <v>12</v>
      </c>
      <c r="B49" s="83" t="s">
        <v>77</v>
      </c>
      <c r="C49" s="286" t="s">
        <v>362</v>
      </c>
      <c r="D49" s="11">
        <v>1.9159999999999999</v>
      </c>
      <c r="E49" s="11">
        <v>4.4619999999999997</v>
      </c>
      <c r="F49" s="11">
        <v>6.9820000000000002</v>
      </c>
      <c r="G49" s="11">
        <v>9.0570000000000004</v>
      </c>
      <c r="H49" s="11">
        <v>11.074</v>
      </c>
      <c r="I49" s="11">
        <v>12.644</v>
      </c>
      <c r="J49" s="11">
        <v>12.95</v>
      </c>
      <c r="K49" s="11">
        <v>13.052</v>
      </c>
      <c r="L49" s="11">
        <v>13.246</v>
      </c>
      <c r="M49" s="11">
        <v>13.268000000000001</v>
      </c>
      <c r="N49" s="11">
        <v>13.505000000000001</v>
      </c>
      <c r="O49" s="11">
        <v>13.547000000000001</v>
      </c>
      <c r="P49" s="11">
        <v>13.561999999999999</v>
      </c>
      <c r="Q49" s="9">
        <f>P49-D49</f>
        <v>11.645999999999999</v>
      </c>
      <c r="U49" s="120">
        <v>12</v>
      </c>
      <c r="V49" s="109">
        <f t="shared" si="40"/>
        <v>2.5459999999999998</v>
      </c>
      <c r="W49" s="109">
        <f t="shared" si="40"/>
        <v>2.5200000000000005</v>
      </c>
      <c r="X49" s="109">
        <f t="shared" si="40"/>
        <v>2.0750000000000002</v>
      </c>
      <c r="Y49" s="109">
        <f t="shared" si="40"/>
        <v>2.0169999999999995</v>
      </c>
      <c r="Z49" s="109">
        <f t="shared" si="40"/>
        <v>1.5700000000000003</v>
      </c>
      <c r="AA49" s="109">
        <f t="shared" si="40"/>
        <v>0.30599999999999916</v>
      </c>
      <c r="AB49" s="109">
        <f t="shared" si="40"/>
        <v>0.10200000000000031</v>
      </c>
      <c r="AC49" s="109">
        <f t="shared" si="40"/>
        <v>0.19400000000000084</v>
      </c>
      <c r="AD49" s="109">
        <f t="shared" si="40"/>
        <v>2.2000000000000242E-2</v>
      </c>
      <c r="AE49" s="109">
        <f t="shared" si="40"/>
        <v>0.2370000000000001</v>
      </c>
      <c r="AF49" s="109">
        <f t="shared" si="40"/>
        <v>4.1999999999999815E-2</v>
      </c>
      <c r="AG49" s="109">
        <f t="shared" si="40"/>
        <v>1.4999999999998792E-2</v>
      </c>
      <c r="AH49" s="344"/>
    </row>
    <row r="50" spans="1:70" x14ac:dyDescent="0.35">
      <c r="A50"/>
      <c r="B50"/>
      <c r="L50" s="9"/>
      <c r="M50" s="9"/>
      <c r="N50" s="9"/>
      <c r="AH50" s="346"/>
    </row>
    <row r="51" spans="1:70" x14ac:dyDescent="0.35">
      <c r="AH51" s="346"/>
    </row>
    <row r="52" spans="1:70" x14ac:dyDescent="0.35">
      <c r="E52" s="25" t="s">
        <v>188</v>
      </c>
      <c r="G52" s="136"/>
      <c r="H52" s="1" t="s">
        <v>185</v>
      </c>
      <c r="I52" s="1" t="s">
        <v>186</v>
      </c>
      <c r="K52" s="254" t="s">
        <v>297</v>
      </c>
      <c r="L52" s="225"/>
      <c r="M52" s="225"/>
      <c r="N52" s="225"/>
      <c r="O52" s="224" t="s">
        <v>182</v>
      </c>
      <c r="P52" s="255">
        <v>339.11</v>
      </c>
      <c r="Q52" s="225" t="s">
        <v>131</v>
      </c>
      <c r="V52" t="s">
        <v>113</v>
      </c>
      <c r="AH52" s="346"/>
      <c r="AK52" s="239" t="s">
        <v>290</v>
      </c>
      <c r="AL52" s="240"/>
      <c r="AM52" s="240"/>
      <c r="AN52" s="240"/>
      <c r="AO52" s="240"/>
      <c r="AP52" s="240"/>
      <c r="AQ52" s="240"/>
    </row>
    <row r="53" spans="1:70" ht="15" thickBot="1" x14ac:dyDescent="0.4">
      <c r="C53" s="311">
        <v>5</v>
      </c>
      <c r="D53" s="310" t="s">
        <v>189</v>
      </c>
      <c r="E53" s="306">
        <v>44895</v>
      </c>
      <c r="F53" s="84" t="s">
        <v>117</v>
      </c>
      <c r="G53" s="309">
        <v>190834093</v>
      </c>
      <c r="H53" s="309"/>
      <c r="I53" s="109">
        <v>23.23</v>
      </c>
      <c r="K53" s="254" t="s">
        <v>298</v>
      </c>
      <c r="L53" s="225"/>
      <c r="M53" s="225"/>
      <c r="N53" s="225"/>
      <c r="O53" s="224" t="s">
        <v>182</v>
      </c>
      <c r="P53" s="255">
        <v>0</v>
      </c>
      <c r="Q53" s="254" t="s">
        <v>78</v>
      </c>
      <c r="T53" s="1" t="s">
        <v>105</v>
      </c>
      <c r="U53" s="1" t="s">
        <v>114</v>
      </c>
      <c r="V53" s="4" t="s">
        <v>4</v>
      </c>
      <c r="W53" s="4" t="s">
        <v>5</v>
      </c>
      <c r="X53" s="4" t="s">
        <v>6</v>
      </c>
      <c r="Y53" s="4" t="s">
        <v>7</v>
      </c>
      <c r="Z53" s="4" t="s">
        <v>8</v>
      </c>
      <c r="AA53" s="4" t="s">
        <v>9</v>
      </c>
      <c r="AB53" s="4" t="s">
        <v>10</v>
      </c>
      <c r="AC53" s="4" t="s">
        <v>11</v>
      </c>
      <c r="AD53" s="4" t="s">
        <v>12</v>
      </c>
      <c r="AE53" s="4" t="s">
        <v>13</v>
      </c>
      <c r="AF53" s="4" t="s">
        <v>14</v>
      </c>
      <c r="AG53" s="4" t="s">
        <v>3</v>
      </c>
      <c r="AH53" s="346"/>
      <c r="AK53" s="231" t="s">
        <v>264</v>
      </c>
      <c r="AL53" s="231" t="s">
        <v>265</v>
      </c>
      <c r="AM53" s="231" t="s">
        <v>266</v>
      </c>
      <c r="AN53" s="231" t="s">
        <v>267</v>
      </c>
      <c r="AO53" s="231" t="s">
        <v>268</v>
      </c>
      <c r="AP53" s="231" t="s">
        <v>269</v>
      </c>
      <c r="AQ53" s="231" t="s">
        <v>270</v>
      </c>
      <c r="AR53" s="231" t="s">
        <v>271</v>
      </c>
      <c r="AS53" s="231" t="s">
        <v>272</v>
      </c>
      <c r="AT53" s="231" t="s">
        <v>273</v>
      </c>
      <c r="AU53" s="231" t="s">
        <v>274</v>
      </c>
      <c r="AV53" s="231" t="s">
        <v>275</v>
      </c>
      <c r="AW53" s="1" t="s">
        <v>276</v>
      </c>
      <c r="BF53" s="277" t="s">
        <v>436</v>
      </c>
      <c r="BG53" s="231" t="s">
        <v>264</v>
      </c>
      <c r="BH53" s="231" t="s">
        <v>265</v>
      </c>
      <c r="BI53" s="231" t="s">
        <v>266</v>
      </c>
      <c r="BJ53" s="231" t="s">
        <v>267</v>
      </c>
      <c r="BK53" s="231" t="s">
        <v>268</v>
      </c>
      <c r="BL53" s="231" t="s">
        <v>269</v>
      </c>
      <c r="BM53" s="231" t="s">
        <v>270</v>
      </c>
      <c r="BN53" s="231" t="s">
        <v>271</v>
      </c>
      <c r="BO53" s="231" t="s">
        <v>272</v>
      </c>
      <c r="BP53" s="231" t="s">
        <v>273</v>
      </c>
      <c r="BQ53" s="231" t="s">
        <v>274</v>
      </c>
      <c r="BR53" s="231" t="s">
        <v>275</v>
      </c>
    </row>
    <row r="54" spans="1:70" x14ac:dyDescent="0.35">
      <c r="C54" s="311"/>
      <c r="D54" s="310"/>
      <c r="E54" s="306"/>
      <c r="F54" s="84" t="s">
        <v>118</v>
      </c>
      <c r="G54" s="309">
        <v>221525378</v>
      </c>
      <c r="H54" s="309"/>
      <c r="I54" s="109">
        <v>0.02</v>
      </c>
      <c r="T54" s="307">
        <v>3</v>
      </c>
      <c r="U54" s="150" t="s">
        <v>115</v>
      </c>
      <c r="V54" s="109">
        <f t="shared" ref="V54:AG54" si="44">V33</f>
        <v>2.3090000000000002</v>
      </c>
      <c r="W54" s="109">
        <f t="shared" si="44"/>
        <v>2.585</v>
      </c>
      <c r="X54" s="109">
        <f t="shared" si="44"/>
        <v>3.5649999999999995</v>
      </c>
      <c r="Y54" s="109">
        <f t="shared" si="44"/>
        <v>2.3900000000000006</v>
      </c>
      <c r="Z54" s="109">
        <f t="shared" si="44"/>
        <v>2.4130000000000003</v>
      </c>
      <c r="AA54" s="109">
        <f t="shared" si="44"/>
        <v>2.400999999999998</v>
      </c>
      <c r="AB54" s="109">
        <f t="shared" si="44"/>
        <v>3.5240000000000009</v>
      </c>
      <c r="AC54" s="109">
        <f t="shared" si="44"/>
        <v>5.4000000000002046E-2</v>
      </c>
      <c r="AD54" s="109">
        <f t="shared" si="44"/>
        <v>0</v>
      </c>
      <c r="AE54" s="109">
        <f t="shared" si="44"/>
        <v>9.9999999999766942E-4</v>
      </c>
      <c r="AF54" s="109">
        <f t="shared" si="44"/>
        <v>0</v>
      </c>
      <c r="AG54" s="109">
        <f t="shared" si="44"/>
        <v>1.0000000000012221E-3</v>
      </c>
      <c r="AH54" s="344"/>
      <c r="AJ54" s="245" t="s">
        <v>284</v>
      </c>
      <c r="AK54" s="242">
        <f t="shared" ref="AK54:AR54" si="45">V55/(V54+V55)</f>
        <v>0.44280888030888033</v>
      </c>
      <c r="AL54" s="242">
        <f t="shared" si="45"/>
        <v>0.40533701403266614</v>
      </c>
      <c r="AM54" s="242">
        <f t="shared" si="45"/>
        <v>0.34466911764705888</v>
      </c>
      <c r="AN54" s="242">
        <f t="shared" si="45"/>
        <v>0.3595927116827437</v>
      </c>
      <c r="AO54" s="242">
        <f t="shared" si="45"/>
        <v>0.3666666666666667</v>
      </c>
      <c r="AP54" s="242">
        <f t="shared" si="45"/>
        <v>0.3443473511742221</v>
      </c>
      <c r="AQ54" s="242">
        <f t="shared" si="45"/>
        <v>0.28937285743093344</v>
      </c>
      <c r="AR54" s="242">
        <f t="shared" si="45"/>
        <v>0.2394366197183162</v>
      </c>
      <c r="AS54" s="298"/>
      <c r="AT54" s="298"/>
      <c r="AU54" s="298"/>
      <c r="AV54" s="298"/>
      <c r="AW54" s="298">
        <f>SUM(AK54:AV54)/8</f>
        <v>0.34902890233268596</v>
      </c>
      <c r="BF54" s="245" t="s">
        <v>284</v>
      </c>
      <c r="BG54" s="242">
        <f t="shared" ref="BG54" si="46">AR55/(AR54+AR55)</f>
        <v>0</v>
      </c>
      <c r="BH54" s="242" t="e">
        <f t="shared" ref="BH54" si="47">AS55/(AS54+AS55)</f>
        <v>#DIV/0!</v>
      </c>
      <c r="BI54" s="242" t="e">
        <f t="shared" ref="BI54" si="48">AT55/(AT54+AT55)</f>
        <v>#DIV/0!</v>
      </c>
      <c r="BJ54" s="242" t="e">
        <f t="shared" ref="BJ54" si="49">AU55/(AU54+AU55)</f>
        <v>#DIV/0!</v>
      </c>
      <c r="BK54" s="242" t="e">
        <f t="shared" ref="BK54" si="50">AV55/(AV54+AV55)</f>
        <v>#DIV/0!</v>
      </c>
      <c r="BL54" s="242">
        <f t="shared" ref="BL54" si="51">AW55/(AW54+AW55)</f>
        <v>0</v>
      </c>
      <c r="BM54" s="242" t="e">
        <f t="shared" ref="BM54" si="52">AX55/(AX54+AX55)</f>
        <v>#DIV/0!</v>
      </c>
      <c r="BN54" s="242" t="e">
        <f t="shared" ref="BN54" si="53">AY55/(AY54+AY55)</f>
        <v>#DIV/0!</v>
      </c>
      <c r="BO54" s="242" t="e">
        <f t="shared" ref="BO54" si="54">AZ55/(AZ54+AZ55)</f>
        <v>#DIV/0!</v>
      </c>
      <c r="BP54" s="242" t="e">
        <f t="shared" ref="BP54" si="55">BA55/(BA54+BA55)</f>
        <v>#DIV/0!</v>
      </c>
      <c r="BQ54" s="242" t="e">
        <f t="shared" ref="BQ54" si="56">BB55/(BB54+BB55)</f>
        <v>#DIV/0!</v>
      </c>
      <c r="BR54" s="242" t="e">
        <f t="shared" ref="BR54" si="57">BC55/(BC54+BC55)</f>
        <v>#DIV/0!</v>
      </c>
    </row>
    <row r="55" spans="1:70" x14ac:dyDescent="0.35">
      <c r="T55" s="308"/>
      <c r="U55" s="151" t="s">
        <v>109</v>
      </c>
      <c r="V55" s="152">
        <f t="shared" ref="V55:AG55" si="58">V41</f>
        <v>1.8350000000000002</v>
      </c>
      <c r="W55" s="152">
        <f t="shared" si="58"/>
        <v>1.7619999999999996</v>
      </c>
      <c r="X55" s="152">
        <f t="shared" si="58"/>
        <v>1.875</v>
      </c>
      <c r="Y55" s="152">
        <f t="shared" si="58"/>
        <v>1.3419999999999996</v>
      </c>
      <c r="Z55" s="152">
        <f t="shared" si="58"/>
        <v>1.3970000000000002</v>
      </c>
      <c r="AA55" s="152">
        <f t="shared" si="58"/>
        <v>1.261000000000001</v>
      </c>
      <c r="AB55" s="152">
        <f t="shared" si="58"/>
        <v>1.4349999999999987</v>
      </c>
      <c r="AC55" s="152">
        <f t="shared" si="58"/>
        <v>1.7000000000001236E-2</v>
      </c>
      <c r="AD55" s="152">
        <f t="shared" si="58"/>
        <v>9.9999999999944578E-4</v>
      </c>
      <c r="AE55" s="152">
        <f t="shared" si="58"/>
        <v>0</v>
      </c>
      <c r="AF55" s="152">
        <f t="shared" si="58"/>
        <v>0</v>
      </c>
      <c r="AG55" s="152">
        <f t="shared" si="58"/>
        <v>9.9999999999944578E-4</v>
      </c>
      <c r="AH55" s="344"/>
      <c r="AJ55" s="245"/>
      <c r="AK55" s="242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</row>
    <row r="56" spans="1:70" x14ac:dyDescent="0.35">
      <c r="E56" t="s">
        <v>127</v>
      </c>
      <c r="T56" s="307">
        <v>6</v>
      </c>
      <c r="U56" s="150" t="s">
        <v>115</v>
      </c>
      <c r="V56" s="109">
        <f t="shared" ref="V56:AG56" si="59">V34</f>
        <v>1.6680000000000001</v>
      </c>
      <c r="W56" s="109">
        <f t="shared" si="59"/>
        <v>0.97199999999999953</v>
      </c>
      <c r="X56" s="109">
        <f t="shared" si="59"/>
        <v>1.452</v>
      </c>
      <c r="Y56" s="109">
        <f t="shared" si="59"/>
        <v>1.1980000000000004</v>
      </c>
      <c r="Z56" s="109">
        <f t="shared" si="59"/>
        <v>1.2649999999999997</v>
      </c>
      <c r="AA56" s="109">
        <f t="shared" si="59"/>
        <v>1.4450000000000003</v>
      </c>
      <c r="AB56" s="109">
        <f t="shared" si="59"/>
        <v>1.048</v>
      </c>
      <c r="AC56" s="109">
        <f t="shared" si="59"/>
        <v>1.3130000000000006</v>
      </c>
      <c r="AD56" s="109">
        <f t="shared" si="59"/>
        <v>1.9689999999999994</v>
      </c>
      <c r="AE56" s="109">
        <f t="shared" si="59"/>
        <v>2.077</v>
      </c>
      <c r="AF56" s="109">
        <f t="shared" si="59"/>
        <v>2.4469999999999992</v>
      </c>
      <c r="AG56" s="109">
        <f t="shared" si="59"/>
        <v>1.5450000000000017</v>
      </c>
      <c r="AH56" s="344"/>
      <c r="AJ56" s="245" t="s">
        <v>285</v>
      </c>
      <c r="AK56" s="242">
        <f t="shared" ref="AK56:AV56" si="60">V57/(V56+V57)</f>
        <v>0.45077378992426731</v>
      </c>
      <c r="AL56" s="242">
        <f t="shared" si="60"/>
        <v>0.48407643312101933</v>
      </c>
      <c r="AM56" s="242">
        <f t="shared" si="60"/>
        <v>0.43938223938223936</v>
      </c>
      <c r="AN56" s="242">
        <f t="shared" si="60"/>
        <v>0.38783852835973431</v>
      </c>
      <c r="AO56" s="242">
        <f t="shared" si="60"/>
        <v>0.42369020501138949</v>
      </c>
      <c r="AP56" s="242">
        <f t="shared" si="60"/>
        <v>0.3219145940872829</v>
      </c>
      <c r="AQ56" s="242">
        <f t="shared" si="60"/>
        <v>0.37656157049375372</v>
      </c>
      <c r="AR56" s="242">
        <f t="shared" si="60"/>
        <v>0.34053239578101446</v>
      </c>
      <c r="AS56" s="242">
        <f t="shared" si="60"/>
        <v>0.36951649055395458</v>
      </c>
      <c r="AT56" s="242">
        <f t="shared" si="60"/>
        <v>0.39657176060429988</v>
      </c>
      <c r="AU56" s="242">
        <f t="shared" si="60"/>
        <v>0.43448116477929277</v>
      </c>
      <c r="AV56" s="242">
        <f t="shared" si="60"/>
        <v>0.45193330968428513</v>
      </c>
      <c r="AW56" s="242">
        <f>SUM(AK56:AV56)/12</f>
        <v>0.4064393734818777</v>
      </c>
    </row>
    <row r="57" spans="1:70" x14ac:dyDescent="0.35">
      <c r="E57" s="306">
        <v>43956</v>
      </c>
      <c r="F57" s="84" t="s">
        <v>117</v>
      </c>
      <c r="G57" s="309"/>
      <c r="H57" s="309"/>
      <c r="I57" s="106"/>
      <c r="T57" s="308"/>
      <c r="U57" s="151" t="s">
        <v>109</v>
      </c>
      <c r="V57" s="152">
        <f t="shared" ref="V57:AG57" si="61">V43</f>
        <v>1.3689999999999998</v>
      </c>
      <c r="W57" s="152">
        <f t="shared" si="61"/>
        <v>0.91200000000000037</v>
      </c>
      <c r="X57" s="152">
        <f t="shared" si="61"/>
        <v>1.1379999999999999</v>
      </c>
      <c r="Y57" s="152">
        <f t="shared" si="61"/>
        <v>0.75900000000000034</v>
      </c>
      <c r="Z57" s="152">
        <f t="shared" si="61"/>
        <v>0.92999999999999972</v>
      </c>
      <c r="AA57" s="152">
        <f t="shared" si="61"/>
        <v>0.68599999999999994</v>
      </c>
      <c r="AB57" s="152">
        <f t="shared" si="61"/>
        <v>0.63300000000000001</v>
      </c>
      <c r="AC57" s="152">
        <f t="shared" si="61"/>
        <v>0.67799999999999994</v>
      </c>
      <c r="AD57" s="152">
        <f t="shared" si="61"/>
        <v>1.1539999999999999</v>
      </c>
      <c r="AE57" s="152">
        <f t="shared" si="61"/>
        <v>1.3650000000000002</v>
      </c>
      <c r="AF57" s="152">
        <f t="shared" si="61"/>
        <v>1.879999999999999</v>
      </c>
      <c r="AG57" s="152">
        <f t="shared" si="61"/>
        <v>1.2740000000000009</v>
      </c>
      <c r="AH57" s="344"/>
      <c r="AJ57" s="245"/>
      <c r="AK57" s="242"/>
      <c r="AL57" s="242"/>
      <c r="AM57" s="242"/>
      <c r="AN57" s="242"/>
      <c r="AO57" s="242"/>
      <c r="AP57" s="242"/>
      <c r="AQ57" s="242"/>
      <c r="AR57" s="242"/>
      <c r="AS57" s="242"/>
      <c r="AT57" s="242"/>
      <c r="AU57" s="242"/>
      <c r="AV57" s="242"/>
      <c r="AW57" s="242"/>
    </row>
    <row r="58" spans="1:70" x14ac:dyDescent="0.35">
      <c r="E58" s="306"/>
      <c r="F58" s="84" t="s">
        <v>118</v>
      </c>
      <c r="G58" s="309"/>
      <c r="H58" s="309"/>
      <c r="I58" s="106"/>
      <c r="T58" s="307">
        <v>8</v>
      </c>
      <c r="U58" s="150" t="s">
        <v>115</v>
      </c>
      <c r="V58" s="109">
        <f t="shared" ref="V58:AG58" si="62">V35</f>
        <v>3.7889999999999997</v>
      </c>
      <c r="W58" s="109">
        <f t="shared" si="62"/>
        <v>4.2910000000000004</v>
      </c>
      <c r="X58" s="109">
        <f t="shared" si="62"/>
        <v>5.4820000000000011</v>
      </c>
      <c r="Y58" s="109">
        <f t="shared" si="62"/>
        <v>5.1340000000000003</v>
      </c>
      <c r="Z58" s="109">
        <f t="shared" si="62"/>
        <v>4.5249999999999986</v>
      </c>
      <c r="AA58" s="109">
        <f t="shared" si="62"/>
        <v>4.8580000000000005</v>
      </c>
      <c r="AB58" s="109">
        <f t="shared" si="62"/>
        <v>5.0259999999999962</v>
      </c>
      <c r="AC58" s="109">
        <f t="shared" si="62"/>
        <v>3.7660000000000053</v>
      </c>
      <c r="AD58" s="109">
        <f t="shared" si="62"/>
        <v>4.2049999999999983</v>
      </c>
      <c r="AE58" s="109">
        <f t="shared" si="62"/>
        <v>4.8459999999999965</v>
      </c>
      <c r="AF58" s="109">
        <f t="shared" si="62"/>
        <v>4.9710000000000036</v>
      </c>
      <c r="AG58" s="109">
        <f t="shared" si="62"/>
        <v>5.357999999999997</v>
      </c>
      <c r="AH58" s="344"/>
      <c r="AJ58" s="245" t="s">
        <v>286</v>
      </c>
      <c r="AK58" s="242">
        <f t="shared" ref="AK58:AV58" si="63">V59/(V58+V59)</f>
        <v>0.35064267352185097</v>
      </c>
      <c r="AL58" s="242">
        <f t="shared" si="63"/>
        <v>0.32510223340673156</v>
      </c>
      <c r="AM58" s="242">
        <f t="shared" si="63"/>
        <v>0.35475517890772124</v>
      </c>
      <c r="AN58" s="242">
        <f t="shared" si="63"/>
        <v>0.32545000656943901</v>
      </c>
      <c r="AO58" s="242">
        <f t="shared" si="63"/>
        <v>0.36285553365249235</v>
      </c>
      <c r="AP58" s="242">
        <f t="shared" si="63"/>
        <v>0.30460921843687355</v>
      </c>
      <c r="AQ58" s="242">
        <f t="shared" si="63"/>
        <v>0.26033848417954414</v>
      </c>
      <c r="AR58" s="242">
        <f t="shared" si="63"/>
        <v>0.26859584385317498</v>
      </c>
      <c r="AS58" s="242">
        <f t="shared" si="63"/>
        <v>0.29256393001345915</v>
      </c>
      <c r="AT58" s="242">
        <f t="shared" si="63"/>
        <v>0.32880886426592804</v>
      </c>
      <c r="AU58" s="242">
        <f t="shared" si="63"/>
        <v>0.31406099075479493</v>
      </c>
      <c r="AV58" s="242">
        <f t="shared" si="63"/>
        <v>0.32211538461538469</v>
      </c>
      <c r="AW58" s="242">
        <f>SUM(AK58:AV58)/12</f>
        <v>0.31749152851478285</v>
      </c>
    </row>
    <row r="59" spans="1:70" x14ac:dyDescent="0.35">
      <c r="T59" s="308"/>
      <c r="U59" s="151" t="s">
        <v>109</v>
      </c>
      <c r="V59" s="152">
        <f t="shared" ref="V59:AG59" si="64">V45</f>
        <v>2.0460000000000003</v>
      </c>
      <c r="W59" s="152">
        <f t="shared" si="64"/>
        <v>2.0669999999999993</v>
      </c>
      <c r="X59" s="152">
        <f t="shared" si="64"/>
        <v>3.0140000000000002</v>
      </c>
      <c r="Y59" s="152">
        <f t="shared" si="64"/>
        <v>2.4770000000000003</v>
      </c>
      <c r="Z59" s="152">
        <f t="shared" si="64"/>
        <v>2.577</v>
      </c>
      <c r="AA59" s="152">
        <f t="shared" si="64"/>
        <v>2.1279999999999983</v>
      </c>
      <c r="AB59" s="152">
        <f t="shared" si="64"/>
        <v>1.7690000000000019</v>
      </c>
      <c r="AC59" s="152">
        <f t="shared" si="64"/>
        <v>1.3829999999999991</v>
      </c>
      <c r="AD59" s="152">
        <f t="shared" si="64"/>
        <v>1.7390000000000008</v>
      </c>
      <c r="AE59" s="152">
        <f t="shared" si="64"/>
        <v>2.3739999999999988</v>
      </c>
      <c r="AF59" s="152">
        <f t="shared" si="64"/>
        <v>2.2759999999999998</v>
      </c>
      <c r="AG59" s="152">
        <f t="shared" si="64"/>
        <v>2.5459999999999994</v>
      </c>
      <c r="AH59" s="344"/>
      <c r="AJ59" s="245"/>
      <c r="AK59" s="242"/>
      <c r="AL59" s="242"/>
      <c r="AM59" s="242"/>
      <c r="AN59" s="242"/>
      <c r="AO59" s="242"/>
      <c r="AP59" s="242"/>
      <c r="AQ59" s="242"/>
      <c r="AR59" s="242"/>
      <c r="AS59" s="242"/>
      <c r="AT59" s="242"/>
      <c r="AU59" s="242"/>
      <c r="AV59" s="242"/>
      <c r="AW59" s="242"/>
    </row>
    <row r="60" spans="1:70" x14ac:dyDescent="0.35">
      <c r="T60" s="307">
        <v>11</v>
      </c>
      <c r="U60" s="150" t="s">
        <v>115</v>
      </c>
      <c r="V60" s="109">
        <f t="shared" ref="V60:AG60" si="65">V36</f>
        <v>0.35699999999999998</v>
      </c>
      <c r="W60" s="109">
        <f t="shared" si="65"/>
        <v>0.88099999999999978</v>
      </c>
      <c r="X60" s="109">
        <f t="shared" si="65"/>
        <v>0.51700000000000035</v>
      </c>
      <c r="Y60" s="109">
        <f t="shared" si="65"/>
        <v>0.21499999999999986</v>
      </c>
      <c r="Z60" s="109">
        <f t="shared" si="65"/>
        <v>0.48510000000000009</v>
      </c>
      <c r="AA60" s="109">
        <f t="shared" si="65"/>
        <v>2.0629</v>
      </c>
      <c r="AB60" s="109">
        <f t="shared" si="65"/>
        <v>2.7569999999999997</v>
      </c>
      <c r="AC60" s="109">
        <f t="shared" si="65"/>
        <v>4.6440000000000001</v>
      </c>
      <c r="AD60" s="109">
        <f t="shared" si="65"/>
        <v>2.8950000000000014</v>
      </c>
      <c r="AE60" s="109">
        <f t="shared" si="65"/>
        <v>1.8069999999999986</v>
      </c>
      <c r="AF60" s="109">
        <f t="shared" si="65"/>
        <v>2.2199999999999989</v>
      </c>
      <c r="AG60" s="109">
        <f t="shared" si="65"/>
        <v>3.3100000000000023</v>
      </c>
      <c r="AH60" s="344"/>
      <c r="AJ60" s="245" t="s">
        <v>287</v>
      </c>
      <c r="AK60" s="242">
        <f t="shared" ref="AK60:AV60" si="66">V61/(V60+V61)</f>
        <v>0.3736842105263159</v>
      </c>
      <c r="AL60" s="242">
        <f t="shared" si="66"/>
        <v>0.37071428571428583</v>
      </c>
      <c r="AM60" s="242">
        <f t="shared" si="66"/>
        <v>0.33971902937420168</v>
      </c>
      <c r="AN60" s="242">
        <f t="shared" si="66"/>
        <v>0.41734417344173447</v>
      </c>
      <c r="AO60" s="242">
        <f t="shared" si="66"/>
        <v>0.32163333799468602</v>
      </c>
      <c r="AP60" s="242">
        <f t="shared" si="66"/>
        <v>0.33517032453511231</v>
      </c>
      <c r="AQ60" s="242">
        <f t="shared" si="66"/>
        <v>0.279592370002613</v>
      </c>
      <c r="AR60" s="242">
        <f t="shared" si="66"/>
        <v>0.27187206020696142</v>
      </c>
      <c r="AS60" s="242">
        <f t="shared" si="66"/>
        <v>0.30391921134888189</v>
      </c>
      <c r="AT60" s="242">
        <f t="shared" si="66"/>
        <v>0.30606758832565317</v>
      </c>
      <c r="AU60" s="242">
        <f t="shared" si="66"/>
        <v>0.35314685314685323</v>
      </c>
      <c r="AV60" s="242">
        <f t="shared" si="66"/>
        <v>0.35465002924546668</v>
      </c>
      <c r="AW60" s="242">
        <f>SUM(AK60:AV60)/12</f>
        <v>0.33562612282189713</v>
      </c>
    </row>
    <row r="61" spans="1:70" x14ac:dyDescent="0.35">
      <c r="T61" s="308"/>
      <c r="U61" s="151" t="s">
        <v>109</v>
      </c>
      <c r="V61" s="152">
        <f t="shared" ref="V61:AG61" si="67">V47</f>
        <v>0.21300000000000008</v>
      </c>
      <c r="W61" s="152">
        <f t="shared" si="67"/>
        <v>0.51900000000000013</v>
      </c>
      <c r="X61" s="152">
        <f t="shared" si="67"/>
        <v>0.26600000000000001</v>
      </c>
      <c r="Y61" s="152">
        <f t="shared" si="67"/>
        <v>0.15399999999999991</v>
      </c>
      <c r="Z61" s="152">
        <f t="shared" si="67"/>
        <v>0.22999999999999998</v>
      </c>
      <c r="AA61" s="152">
        <f t="shared" si="67"/>
        <v>1.04</v>
      </c>
      <c r="AB61" s="152">
        <f t="shared" si="67"/>
        <v>1.0699999999999998</v>
      </c>
      <c r="AC61" s="152">
        <f t="shared" si="67"/>
        <v>1.734</v>
      </c>
      <c r="AD61" s="152">
        <f t="shared" si="67"/>
        <v>1.2640000000000002</v>
      </c>
      <c r="AE61" s="152">
        <f t="shared" si="67"/>
        <v>0.7970000000000006</v>
      </c>
      <c r="AF61" s="152">
        <f t="shared" si="67"/>
        <v>1.2119999999999997</v>
      </c>
      <c r="AG61" s="152">
        <f t="shared" si="67"/>
        <v>1.8189999999999991</v>
      </c>
      <c r="AH61" s="344"/>
      <c r="AJ61" s="245"/>
      <c r="AK61" s="242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/>
    </row>
    <row r="62" spans="1:70" x14ac:dyDescent="0.35">
      <c r="T62" s="307">
        <v>12</v>
      </c>
      <c r="U62" s="150" t="s">
        <v>115</v>
      </c>
      <c r="V62" s="109">
        <f t="shared" ref="V62:AG62" si="68">V37</f>
        <v>3.7530000000000001</v>
      </c>
      <c r="W62" s="109">
        <f t="shared" si="68"/>
        <v>3.1319999999999997</v>
      </c>
      <c r="X62" s="109">
        <f t="shared" si="68"/>
        <v>3.1370000000000005</v>
      </c>
      <c r="Y62" s="109">
        <f t="shared" si="68"/>
        <v>3.2410000000000014</v>
      </c>
      <c r="Z62" s="109">
        <f t="shared" si="68"/>
        <v>2.6179999999999986</v>
      </c>
      <c r="AA62" s="109">
        <f t="shared" si="68"/>
        <v>0.6769999999999996</v>
      </c>
      <c r="AB62" s="109">
        <f t="shared" si="68"/>
        <v>0.35500000000000043</v>
      </c>
      <c r="AC62" s="109">
        <f t="shared" si="68"/>
        <v>0.60699999999999932</v>
      </c>
      <c r="AD62" s="109">
        <f t="shared" si="68"/>
        <v>0.19400000000000261</v>
      </c>
      <c r="AE62" s="109">
        <f t="shared" si="68"/>
        <v>0.4859999999999971</v>
      </c>
      <c r="AF62" s="109">
        <f t="shared" si="68"/>
        <v>0.21199999999999974</v>
      </c>
      <c r="AG62" s="109">
        <f t="shared" si="68"/>
        <v>0.12300000000000111</v>
      </c>
      <c r="AH62" s="344"/>
      <c r="AJ62" s="245" t="s">
        <v>288</v>
      </c>
      <c r="AK62" s="242">
        <f t="shared" ref="AK62:AV62" si="69">V63/(V62+V63)</f>
        <v>0.40419114145102397</v>
      </c>
      <c r="AL62" s="242">
        <f t="shared" si="69"/>
        <v>0.44585987261146504</v>
      </c>
      <c r="AM62" s="242">
        <f t="shared" si="69"/>
        <v>0.39811972371450499</v>
      </c>
      <c r="AN62" s="242">
        <f t="shared" si="69"/>
        <v>0.38360593381513869</v>
      </c>
      <c r="AO62" s="242">
        <f t="shared" si="69"/>
        <v>0.37488061127029626</v>
      </c>
      <c r="AP62" s="242">
        <f t="shared" si="69"/>
        <v>0.3112919633774156</v>
      </c>
      <c r="AQ62" s="242">
        <f t="shared" si="69"/>
        <v>0.22319474835886247</v>
      </c>
      <c r="AR62" s="242">
        <f t="shared" si="69"/>
        <v>0.2421972534332095</v>
      </c>
      <c r="AS62" s="242">
        <f t="shared" si="69"/>
        <v>0.10185185185185162</v>
      </c>
      <c r="AT62" s="242">
        <f t="shared" si="69"/>
        <v>0.32780082987552006</v>
      </c>
      <c r="AU62" s="242">
        <f t="shared" si="69"/>
        <v>0.16535433070866098</v>
      </c>
      <c r="AV62" s="242">
        <f t="shared" si="69"/>
        <v>0.10869565217390437</v>
      </c>
      <c r="AW62" s="242">
        <f>SUM(AK62:AV62)/12</f>
        <v>0.29058699272015448</v>
      </c>
    </row>
    <row r="63" spans="1:70" x14ac:dyDescent="0.35">
      <c r="T63" s="308"/>
      <c r="U63" s="151" t="s">
        <v>109</v>
      </c>
      <c r="V63" s="152">
        <f t="shared" ref="V63:AG63" si="70">V49</f>
        <v>2.5459999999999998</v>
      </c>
      <c r="W63" s="152">
        <f t="shared" si="70"/>
        <v>2.5200000000000005</v>
      </c>
      <c r="X63" s="152">
        <f t="shared" si="70"/>
        <v>2.0750000000000002</v>
      </c>
      <c r="Y63" s="152">
        <f t="shared" si="70"/>
        <v>2.0169999999999995</v>
      </c>
      <c r="Z63" s="152">
        <f t="shared" si="70"/>
        <v>1.5700000000000003</v>
      </c>
      <c r="AA63" s="152">
        <f t="shared" si="70"/>
        <v>0.30599999999999916</v>
      </c>
      <c r="AB63" s="152">
        <f t="shared" si="70"/>
        <v>0.10200000000000031</v>
      </c>
      <c r="AC63" s="152">
        <f t="shared" si="70"/>
        <v>0.19400000000000084</v>
      </c>
      <c r="AD63" s="152">
        <f t="shared" si="70"/>
        <v>2.2000000000000242E-2</v>
      </c>
      <c r="AE63" s="152">
        <f t="shared" si="70"/>
        <v>0.2370000000000001</v>
      </c>
      <c r="AF63" s="152">
        <f t="shared" si="70"/>
        <v>4.1999999999999815E-2</v>
      </c>
      <c r="AG63" s="152">
        <f t="shared" si="70"/>
        <v>1.4999999999998792E-2</v>
      </c>
      <c r="AH63" s="344"/>
      <c r="AJ63" s="245"/>
    </row>
  </sheetData>
  <sheetProtection selectLockedCells="1" selectUnlockedCells="1"/>
  <mergeCells count="30">
    <mergeCell ref="T60:T61"/>
    <mergeCell ref="T62:T63"/>
    <mergeCell ref="A4:A5"/>
    <mergeCell ref="B4:B5"/>
    <mergeCell ref="B6:B7"/>
    <mergeCell ref="B8:B9"/>
    <mergeCell ref="A10:A11"/>
    <mergeCell ref="B10:B11"/>
    <mergeCell ref="A22:A23"/>
    <mergeCell ref="B22:B23"/>
    <mergeCell ref="B12:B13"/>
    <mergeCell ref="B14:B15"/>
    <mergeCell ref="A16:A17"/>
    <mergeCell ref="B16:B17"/>
    <mergeCell ref="B18:B19"/>
    <mergeCell ref="A20:A21"/>
    <mergeCell ref="D53:D54"/>
    <mergeCell ref="E53:E54"/>
    <mergeCell ref="T54:T55"/>
    <mergeCell ref="B20:B21"/>
    <mergeCell ref="C53:C54"/>
    <mergeCell ref="BF26:BF28"/>
    <mergeCell ref="E57:E58"/>
    <mergeCell ref="T56:T57"/>
    <mergeCell ref="T58:T59"/>
    <mergeCell ref="G53:H53"/>
    <mergeCell ref="G54:H54"/>
    <mergeCell ref="G57:H57"/>
    <mergeCell ref="G58:H58"/>
    <mergeCell ref="AJ26:AJ28"/>
  </mergeCells>
  <conditionalFormatting sqref="E4">
    <cfRule type="cellIs" dxfId="4278" priority="123" stopIfTrue="1" operator="lessThan">
      <formula>$D$4</formula>
    </cfRule>
    <cfRule type="cellIs" dxfId="4277" priority="124" stopIfTrue="1" operator="equal">
      <formula>$D$4</formula>
    </cfRule>
  </conditionalFormatting>
  <conditionalFormatting sqref="E5">
    <cfRule type="cellIs" dxfId="4276" priority="127" stopIfTrue="1" operator="equal">
      <formula>$D$5</formula>
    </cfRule>
    <cfRule type="cellIs" dxfId="4275" priority="128" stopIfTrue="1" operator="lessThan">
      <formula>$D$5</formula>
    </cfRule>
  </conditionalFormatting>
  <conditionalFormatting sqref="E6">
    <cfRule type="cellIs" dxfId="4274" priority="134" stopIfTrue="1" operator="equal">
      <formula>$D$6</formula>
    </cfRule>
    <cfRule type="cellIs" dxfId="4273" priority="135" stopIfTrue="1" operator="lessThan">
      <formula>$D$6</formula>
    </cfRule>
  </conditionalFormatting>
  <conditionalFormatting sqref="E7">
    <cfRule type="cellIs" dxfId="4272" priority="148" stopIfTrue="1" operator="equal">
      <formula>$D$7</formula>
    </cfRule>
    <cfRule type="cellIs" dxfId="4271" priority="149" stopIfTrue="1" operator="lessThan">
      <formula>$D$7</formula>
    </cfRule>
  </conditionalFormatting>
  <conditionalFormatting sqref="E8">
    <cfRule type="cellIs" dxfId="4270" priority="160" stopIfTrue="1" operator="equal">
      <formula>$D$8</formula>
    </cfRule>
    <cfRule type="cellIs" dxfId="4269" priority="161" stopIfTrue="1" operator="lessThan">
      <formula>$D$8</formula>
    </cfRule>
  </conditionalFormatting>
  <conditionalFormatting sqref="E9">
    <cfRule type="cellIs" dxfId="4268" priority="174" stopIfTrue="1" operator="equal">
      <formula>$D$9</formula>
    </cfRule>
    <cfRule type="cellIs" dxfId="4267" priority="175" stopIfTrue="1" operator="lessThan">
      <formula>$D$9</formula>
    </cfRule>
  </conditionalFormatting>
  <conditionalFormatting sqref="E10">
    <cfRule type="cellIs" dxfId="4266" priority="188" stopIfTrue="1" operator="equal">
      <formula>$D$10</formula>
    </cfRule>
    <cfRule type="cellIs" dxfId="4265" priority="189" stopIfTrue="1" operator="lessThan">
      <formula>$D$10</formula>
    </cfRule>
  </conditionalFormatting>
  <conditionalFormatting sqref="E11">
    <cfRule type="cellIs" dxfId="4264" priority="202" stopIfTrue="1" operator="equal">
      <formula>$D$11</formula>
    </cfRule>
    <cfRule type="cellIs" dxfId="4263" priority="203" stopIfTrue="1" operator="lessThan">
      <formula>$D$11</formula>
    </cfRule>
  </conditionalFormatting>
  <conditionalFormatting sqref="E12">
    <cfRule type="cellIs" dxfId="4262" priority="216" stopIfTrue="1" operator="equal">
      <formula>$D$12</formula>
    </cfRule>
    <cfRule type="cellIs" dxfId="4261" priority="217" stopIfTrue="1" operator="lessThan">
      <formula>$D$12</formula>
    </cfRule>
  </conditionalFormatting>
  <conditionalFormatting sqref="E13">
    <cfRule type="cellIs" dxfId="4260" priority="348" stopIfTrue="1" operator="equal">
      <formula>$D$13</formula>
    </cfRule>
    <cfRule type="cellIs" dxfId="4259" priority="349" stopIfTrue="1" operator="lessThan">
      <formula>$D$13</formula>
    </cfRule>
  </conditionalFormatting>
  <conditionalFormatting sqref="E14">
    <cfRule type="cellIs" dxfId="4258" priority="230" stopIfTrue="1" operator="equal">
      <formula>$D$14</formula>
    </cfRule>
    <cfRule type="cellIs" dxfId="4257" priority="231" stopIfTrue="1" operator="lessThan">
      <formula>$D$14</formula>
    </cfRule>
  </conditionalFormatting>
  <conditionalFormatting sqref="E15">
    <cfRule type="cellIs" dxfId="4256" priority="232" stopIfTrue="1" operator="equal">
      <formula>$D$15</formula>
    </cfRule>
    <cfRule type="cellIs" dxfId="4255" priority="233" stopIfTrue="1" operator="lessThan">
      <formula>$D$15</formula>
    </cfRule>
  </conditionalFormatting>
  <conditionalFormatting sqref="E16">
    <cfRule type="cellIs" dxfId="4254" priority="234" stopIfTrue="1" operator="equal">
      <formula>$D$16</formula>
    </cfRule>
    <cfRule type="cellIs" dxfId="4253" priority="235" stopIfTrue="1" operator="lessThan">
      <formula>$D$16</formula>
    </cfRule>
  </conditionalFormatting>
  <conditionalFormatting sqref="E17">
    <cfRule type="cellIs" dxfId="4252" priority="236" stopIfTrue="1" operator="equal">
      <formula>$D$17</formula>
    </cfRule>
    <cfRule type="cellIs" dxfId="4251" priority="237" stopIfTrue="1" operator="lessThan">
      <formula>$D$17</formula>
    </cfRule>
  </conditionalFormatting>
  <conditionalFormatting sqref="E18">
    <cfRule type="cellIs" dxfId="4250" priority="238" stopIfTrue="1" operator="equal">
      <formula>$D$18</formula>
    </cfRule>
    <cfRule type="cellIs" dxfId="4249" priority="239" stopIfTrue="1" operator="lessThan">
      <formula>$D$18</formula>
    </cfRule>
  </conditionalFormatting>
  <conditionalFormatting sqref="E19">
    <cfRule type="cellIs" dxfId="4248" priority="240" stopIfTrue="1" operator="equal">
      <formula>$D$19</formula>
    </cfRule>
    <cfRule type="cellIs" dxfId="4247" priority="241" stopIfTrue="1" operator="lessThan">
      <formula>$D$19</formula>
    </cfRule>
  </conditionalFormatting>
  <conditionalFormatting sqref="E20">
    <cfRule type="cellIs" dxfId="4246" priority="242" stopIfTrue="1" operator="equal">
      <formula>$D$20</formula>
    </cfRule>
    <cfRule type="cellIs" dxfId="4245" priority="243" stopIfTrue="1" operator="lessThan">
      <formula>$D$20</formula>
    </cfRule>
  </conditionalFormatting>
  <conditionalFormatting sqref="E21">
    <cfRule type="cellIs" dxfId="4244" priority="244" stopIfTrue="1" operator="equal">
      <formula>$D$21</formula>
    </cfRule>
    <cfRule type="cellIs" dxfId="4243" priority="245" stopIfTrue="1" operator="lessThan">
      <formula>$D$21</formula>
    </cfRule>
  </conditionalFormatting>
  <conditionalFormatting sqref="E22">
    <cfRule type="cellIs" dxfId="4242" priority="246" stopIfTrue="1" operator="equal">
      <formula>$D$22</formula>
    </cfRule>
    <cfRule type="cellIs" dxfId="4241" priority="247" stopIfTrue="1" operator="lessThan">
      <formula>$D$22</formula>
    </cfRule>
  </conditionalFormatting>
  <conditionalFormatting sqref="E23">
    <cfRule type="cellIs" dxfId="4240" priority="248" stopIfTrue="1" operator="equal">
      <formula>$D$23</formula>
    </cfRule>
    <cfRule type="cellIs" dxfId="4239" priority="249" stopIfTrue="1" operator="lessThan">
      <formula>$D$23</formula>
    </cfRule>
  </conditionalFormatting>
  <conditionalFormatting sqref="E24">
    <cfRule type="cellIs" dxfId="4238" priority="380" stopIfTrue="1" operator="equal">
      <formula>$D$24</formula>
    </cfRule>
    <cfRule type="cellIs" dxfId="4237" priority="381" stopIfTrue="1" operator="lessThan">
      <formula>$D$24</formula>
    </cfRule>
  </conditionalFormatting>
  <conditionalFormatting sqref="E25">
    <cfRule type="cellIs" dxfId="4236" priority="250" stopIfTrue="1" operator="equal">
      <formula>$D$25</formula>
    </cfRule>
    <cfRule type="cellIs" dxfId="4235" priority="251" stopIfTrue="1" operator="lessThan">
      <formula>$D$25</formula>
    </cfRule>
  </conditionalFormatting>
  <conditionalFormatting sqref="E26">
    <cfRule type="cellIs" dxfId="4234" priority="252" stopIfTrue="1" operator="equal">
      <formula>$D$26</formula>
    </cfRule>
    <cfRule type="cellIs" dxfId="4233" priority="253" stopIfTrue="1" operator="lessThan">
      <formula>$D$26</formula>
    </cfRule>
  </conditionalFormatting>
  <conditionalFormatting sqref="E27">
    <cfRule type="cellIs" dxfId="4232" priority="254" stopIfTrue="1" operator="equal">
      <formula>$D$27</formula>
    </cfRule>
    <cfRule type="cellIs" dxfId="4231" priority="255" stopIfTrue="1" operator="lessThan">
      <formula>$D$27</formula>
    </cfRule>
  </conditionalFormatting>
  <conditionalFormatting sqref="E28">
    <cfRule type="cellIs" dxfId="4230" priority="256" stopIfTrue="1" operator="equal">
      <formula>$D$28</formula>
    </cfRule>
    <cfRule type="cellIs" dxfId="4229" priority="257" stopIfTrue="1" operator="lessThan">
      <formula>$D$28</formula>
    </cfRule>
  </conditionalFormatting>
  <conditionalFormatting sqref="E33:P37">
    <cfRule type="expression" dxfId="4228" priority="6">
      <formula>E33=D33</formula>
    </cfRule>
    <cfRule type="expression" dxfId="4227" priority="7">
      <formula>E33&lt;D33</formula>
    </cfRule>
  </conditionalFormatting>
  <conditionalFormatting sqref="E40:P49">
    <cfRule type="expression" dxfId="4226" priority="8">
      <formula>E40=D40</formula>
    </cfRule>
    <cfRule type="expression" dxfId="4225" priority="9">
      <formula>E40&lt;D40</formula>
    </cfRule>
  </conditionalFormatting>
  <conditionalFormatting sqref="F4">
    <cfRule type="cellIs" dxfId="4224" priority="125" stopIfTrue="1" operator="equal">
      <formula>$E$4</formula>
    </cfRule>
    <cfRule type="cellIs" dxfId="4223" priority="126" stopIfTrue="1" operator="lessThan">
      <formula>$E$4</formula>
    </cfRule>
  </conditionalFormatting>
  <conditionalFormatting sqref="F5">
    <cfRule type="cellIs" dxfId="4222" priority="390" stopIfTrue="1" operator="equal">
      <formula>$E$5</formula>
    </cfRule>
    <cfRule type="cellIs" dxfId="4221" priority="391" stopIfTrue="1" operator="lessThan">
      <formula>$E$5</formula>
    </cfRule>
  </conditionalFormatting>
  <conditionalFormatting sqref="F6">
    <cfRule type="cellIs" dxfId="4220" priority="136" stopIfTrue="1" operator="equal">
      <formula>$E$6</formula>
    </cfRule>
    <cfRule type="cellIs" dxfId="4219" priority="137" stopIfTrue="1" operator="lessThan">
      <formula>$E$6</formula>
    </cfRule>
  </conditionalFormatting>
  <conditionalFormatting sqref="F7">
    <cfRule type="cellIs" dxfId="4218" priority="150" stopIfTrue="1" operator="equal">
      <formula>$E$7</formula>
    </cfRule>
    <cfRule type="cellIs" dxfId="4217" priority="151" stopIfTrue="1" operator="lessThan">
      <formula>$E$7</formula>
    </cfRule>
  </conditionalFormatting>
  <conditionalFormatting sqref="F8">
    <cfRule type="cellIs" dxfId="4216" priority="162" stopIfTrue="1" operator="equal">
      <formula>$E$8</formula>
    </cfRule>
    <cfRule type="cellIs" dxfId="4215" priority="163" stopIfTrue="1" operator="lessThan">
      <formula>$E$8</formula>
    </cfRule>
  </conditionalFormatting>
  <conditionalFormatting sqref="F9">
    <cfRule type="cellIs" dxfId="4214" priority="176" stopIfTrue="1" operator="equal">
      <formula>$E$9</formula>
    </cfRule>
    <cfRule type="cellIs" dxfId="4213" priority="177" stopIfTrue="1" operator="lessThan">
      <formula>$E$9</formula>
    </cfRule>
  </conditionalFormatting>
  <conditionalFormatting sqref="F10">
    <cfRule type="cellIs" dxfId="4212" priority="190" stopIfTrue="1" operator="equal">
      <formula>$E$10</formula>
    </cfRule>
    <cfRule type="cellIs" dxfId="4211" priority="191" stopIfTrue="1" operator="lessThan">
      <formula>$E$10</formula>
    </cfRule>
  </conditionalFormatting>
  <conditionalFormatting sqref="F11">
    <cfRule type="cellIs" dxfId="4210" priority="204" stopIfTrue="1" operator="equal">
      <formula>$E$11</formula>
    </cfRule>
    <cfRule type="cellIs" dxfId="4209" priority="205" stopIfTrue="1" operator="lessThan">
      <formula>$E$11</formula>
    </cfRule>
  </conditionalFormatting>
  <conditionalFormatting sqref="F12">
    <cfRule type="cellIs" dxfId="4208" priority="218" stopIfTrue="1" operator="equal">
      <formula>$E$12</formula>
    </cfRule>
    <cfRule type="cellIs" dxfId="4207" priority="219" stopIfTrue="1" operator="lessThan">
      <formula>$E$12</formula>
    </cfRule>
  </conditionalFormatting>
  <conditionalFormatting sqref="F13">
    <cfRule type="cellIs" dxfId="4206" priority="258" stopIfTrue="1" operator="equal">
      <formula>$E$13</formula>
    </cfRule>
    <cfRule type="cellIs" dxfId="4205" priority="259" stopIfTrue="1" operator="lessThan">
      <formula>$E$13</formula>
    </cfRule>
  </conditionalFormatting>
  <conditionalFormatting sqref="F14">
    <cfRule type="cellIs" dxfId="4204" priority="260" stopIfTrue="1" operator="equal">
      <formula>$E$14</formula>
    </cfRule>
    <cfRule type="cellIs" dxfId="4203" priority="261" stopIfTrue="1" operator="lessThan">
      <formula>$E$14</formula>
    </cfRule>
  </conditionalFormatting>
  <conditionalFormatting sqref="F15">
    <cfRule type="cellIs" dxfId="4202" priority="262" stopIfTrue="1" operator="equal">
      <formula>$E$15</formula>
    </cfRule>
    <cfRule type="cellIs" dxfId="4201" priority="263" stopIfTrue="1" operator="lessThan">
      <formula>$E$15</formula>
    </cfRule>
  </conditionalFormatting>
  <conditionalFormatting sqref="F16">
    <cfRule type="cellIs" dxfId="4200" priority="264" stopIfTrue="1" operator="equal">
      <formula>$E$16</formula>
    </cfRule>
    <cfRule type="cellIs" dxfId="4199" priority="265" stopIfTrue="1" operator="lessThan">
      <formula>$E$16</formula>
    </cfRule>
  </conditionalFormatting>
  <conditionalFormatting sqref="F17">
    <cfRule type="cellIs" dxfId="4198" priority="266" stopIfTrue="1" operator="equal">
      <formula>$E$17</formula>
    </cfRule>
    <cfRule type="cellIs" dxfId="4197" priority="267" stopIfTrue="1" operator="lessThan">
      <formula>$E$17</formula>
    </cfRule>
  </conditionalFormatting>
  <conditionalFormatting sqref="F18">
    <cfRule type="cellIs" dxfId="4196" priority="268" stopIfTrue="1" operator="equal">
      <formula>$E$18</formula>
    </cfRule>
    <cfRule type="cellIs" dxfId="4195" priority="269" stopIfTrue="1" operator="lessThan">
      <formula>$E$18</formula>
    </cfRule>
  </conditionalFormatting>
  <conditionalFormatting sqref="F19">
    <cfRule type="cellIs" dxfId="4194" priority="270" stopIfTrue="1" operator="equal">
      <formula>$E$19</formula>
    </cfRule>
    <cfRule type="cellIs" dxfId="4193" priority="271" stopIfTrue="1" operator="lessThan">
      <formula>$E$19</formula>
    </cfRule>
  </conditionalFormatting>
  <conditionalFormatting sqref="F20">
    <cfRule type="cellIs" dxfId="4192" priority="272" stopIfTrue="1" operator="equal">
      <formula>$E$20</formula>
    </cfRule>
    <cfRule type="cellIs" dxfId="4191" priority="273" stopIfTrue="1" operator="lessThan">
      <formula>$E$20</formula>
    </cfRule>
  </conditionalFormatting>
  <conditionalFormatting sqref="F21">
    <cfRule type="cellIs" dxfId="4190" priority="274" stopIfTrue="1" operator="equal">
      <formula>$E$21</formula>
    </cfRule>
    <cfRule type="cellIs" dxfId="4189" priority="275" stopIfTrue="1" operator="lessThan">
      <formula>$E$21</formula>
    </cfRule>
  </conditionalFormatting>
  <conditionalFormatting sqref="F22">
    <cfRule type="cellIs" dxfId="4188" priority="276" stopIfTrue="1" operator="equal">
      <formula>$E$22</formula>
    </cfRule>
    <cfRule type="cellIs" dxfId="4187" priority="277" stopIfTrue="1" operator="lessThan">
      <formula>$E$22</formula>
    </cfRule>
  </conditionalFormatting>
  <conditionalFormatting sqref="F23">
    <cfRule type="cellIs" dxfId="4186" priority="278" stopIfTrue="1" operator="equal">
      <formula>$E$23</formula>
    </cfRule>
    <cfRule type="cellIs" dxfId="4185" priority="279" stopIfTrue="1" operator="lessThan">
      <formula>$E$23</formula>
    </cfRule>
  </conditionalFormatting>
  <conditionalFormatting sqref="F24">
    <cfRule type="cellIs" dxfId="4184" priority="382" stopIfTrue="1" operator="equal">
      <formula>$E$24</formula>
    </cfRule>
    <cfRule type="cellIs" dxfId="4183" priority="383" stopIfTrue="1" operator="lessThan">
      <formula>$E$24</formula>
    </cfRule>
  </conditionalFormatting>
  <conditionalFormatting sqref="F25">
    <cfRule type="cellIs" dxfId="4182" priority="280" stopIfTrue="1" operator="equal">
      <formula>$E$25</formula>
    </cfRule>
    <cfRule type="cellIs" dxfId="4181" priority="281" stopIfTrue="1" operator="lessThan">
      <formula>$E$25</formula>
    </cfRule>
  </conditionalFormatting>
  <conditionalFormatting sqref="F26">
    <cfRule type="cellIs" dxfId="4180" priority="282" stopIfTrue="1" operator="equal">
      <formula>$E$26</formula>
    </cfRule>
    <cfRule type="cellIs" dxfId="4179" priority="283" stopIfTrue="1" operator="lessThan">
      <formula>$E$26</formula>
    </cfRule>
  </conditionalFormatting>
  <conditionalFormatting sqref="F27">
    <cfRule type="cellIs" dxfId="4178" priority="284" stopIfTrue="1" operator="equal">
      <formula>$E$27</formula>
    </cfRule>
    <cfRule type="cellIs" dxfId="4177" priority="285" stopIfTrue="1" operator="lessThan">
      <formula>$E$27</formula>
    </cfRule>
  </conditionalFormatting>
  <conditionalFormatting sqref="F28">
    <cfRule type="cellIs" dxfId="4176" priority="286" stopIfTrue="1" operator="equal">
      <formula>$E$28</formula>
    </cfRule>
    <cfRule type="cellIs" dxfId="4175" priority="287" stopIfTrue="1" operator="lessThan">
      <formula>$E$28</formula>
    </cfRule>
  </conditionalFormatting>
  <conditionalFormatting sqref="G4">
    <cfRule type="cellIs" dxfId="4174" priority="121" stopIfTrue="1" operator="equal">
      <formula>$F$4</formula>
    </cfRule>
    <cfRule type="cellIs" dxfId="4173" priority="122" stopIfTrue="1" operator="lessThan">
      <formula>$F$4</formula>
    </cfRule>
  </conditionalFormatting>
  <conditionalFormatting sqref="G5">
    <cfRule type="cellIs" dxfId="4172" priority="129" stopIfTrue="1" operator="equal">
      <formula>$F$5</formula>
    </cfRule>
    <cfRule type="cellIs" dxfId="4171" priority="130" stopIfTrue="1" operator="lessThan">
      <formula>$F$5</formula>
    </cfRule>
  </conditionalFormatting>
  <conditionalFormatting sqref="G6">
    <cfRule type="cellIs" dxfId="4170" priority="138" stopIfTrue="1" operator="equal">
      <formula>$F$6</formula>
    </cfRule>
    <cfRule type="cellIs" dxfId="4169" priority="139" stopIfTrue="1" operator="lessThan">
      <formula>$F$6</formula>
    </cfRule>
  </conditionalFormatting>
  <conditionalFormatting sqref="G7">
    <cfRule type="cellIs" dxfId="4168" priority="152" stopIfTrue="1" operator="equal">
      <formula>$F$7</formula>
    </cfRule>
    <cfRule type="cellIs" dxfId="4167" priority="153" stopIfTrue="1" operator="lessThan">
      <formula>$F$7</formula>
    </cfRule>
  </conditionalFormatting>
  <conditionalFormatting sqref="G8">
    <cfRule type="cellIs" dxfId="4166" priority="164" stopIfTrue="1" operator="equal">
      <formula>$F$8</formula>
    </cfRule>
    <cfRule type="cellIs" dxfId="4165" priority="165" stopIfTrue="1" operator="lessThan">
      <formula>$F$8</formula>
    </cfRule>
  </conditionalFormatting>
  <conditionalFormatting sqref="G9">
    <cfRule type="cellIs" dxfId="4164" priority="178" stopIfTrue="1" operator="equal">
      <formula>$F$9</formula>
    </cfRule>
    <cfRule type="cellIs" dxfId="4163" priority="179" stopIfTrue="1" operator="lessThan">
      <formula>$F$9</formula>
    </cfRule>
  </conditionalFormatting>
  <conditionalFormatting sqref="G10">
    <cfRule type="cellIs" dxfId="4162" priority="192" stopIfTrue="1" operator="equal">
      <formula>$F$10</formula>
    </cfRule>
    <cfRule type="cellIs" dxfId="4161" priority="193" stopIfTrue="1" operator="lessThan">
      <formula>$F$10</formula>
    </cfRule>
  </conditionalFormatting>
  <conditionalFormatting sqref="G11">
    <cfRule type="cellIs" dxfId="4160" priority="206" stopIfTrue="1" operator="equal">
      <formula>$F$11</formula>
    </cfRule>
    <cfRule type="cellIs" dxfId="4159" priority="207" stopIfTrue="1" operator="lessThan">
      <formula>$F$11</formula>
    </cfRule>
  </conditionalFormatting>
  <conditionalFormatting sqref="G12">
    <cfRule type="cellIs" dxfId="4158" priority="220" stopIfTrue="1" operator="equal">
      <formula>$F$12</formula>
    </cfRule>
    <cfRule type="cellIs" dxfId="4157" priority="221" stopIfTrue="1" operator="lessThan">
      <formula>$F$12</formula>
    </cfRule>
  </conditionalFormatting>
  <conditionalFormatting sqref="G13">
    <cfRule type="cellIs" dxfId="4156" priority="288" stopIfTrue="1" operator="equal">
      <formula>$F$13</formula>
    </cfRule>
    <cfRule type="cellIs" dxfId="4155" priority="289" stopIfTrue="1" operator="lessThan">
      <formula>$F$13</formula>
    </cfRule>
  </conditionalFormatting>
  <conditionalFormatting sqref="G14">
    <cfRule type="cellIs" dxfId="4154" priority="290" stopIfTrue="1" operator="equal">
      <formula>$F$14</formula>
    </cfRule>
    <cfRule type="cellIs" dxfId="4153" priority="291" stopIfTrue="1" operator="lessThan">
      <formula>$F$14</formula>
    </cfRule>
  </conditionalFormatting>
  <conditionalFormatting sqref="G15">
    <cfRule type="cellIs" dxfId="4152" priority="292" stopIfTrue="1" operator="equal">
      <formula>$F$15</formula>
    </cfRule>
    <cfRule type="cellIs" dxfId="4151" priority="293" stopIfTrue="1" operator="lessThan">
      <formula>$F$15</formula>
    </cfRule>
  </conditionalFormatting>
  <conditionalFormatting sqref="G16">
    <cfRule type="cellIs" dxfId="4150" priority="294" stopIfTrue="1" operator="equal">
      <formula>$F$16</formula>
    </cfRule>
    <cfRule type="cellIs" dxfId="4149" priority="295" stopIfTrue="1" operator="lessThan">
      <formula>$F$16</formula>
    </cfRule>
  </conditionalFormatting>
  <conditionalFormatting sqref="G17">
    <cfRule type="cellIs" dxfId="4148" priority="296" stopIfTrue="1" operator="equal">
      <formula>$F$17</formula>
    </cfRule>
    <cfRule type="cellIs" dxfId="4147" priority="297" stopIfTrue="1" operator="lessThan">
      <formula>$F$17</formula>
    </cfRule>
  </conditionalFormatting>
  <conditionalFormatting sqref="G18">
    <cfRule type="cellIs" dxfId="4146" priority="298" stopIfTrue="1" operator="equal">
      <formula>$F$18</formula>
    </cfRule>
    <cfRule type="cellIs" dxfId="4145" priority="299" stopIfTrue="1" operator="lessThan">
      <formula>$F$18</formula>
    </cfRule>
  </conditionalFormatting>
  <conditionalFormatting sqref="G19">
    <cfRule type="cellIs" dxfId="4144" priority="300" stopIfTrue="1" operator="equal">
      <formula>$F$19</formula>
    </cfRule>
    <cfRule type="cellIs" dxfId="4143" priority="301" stopIfTrue="1" operator="lessThan">
      <formula>$F$19</formula>
    </cfRule>
  </conditionalFormatting>
  <conditionalFormatting sqref="G20">
    <cfRule type="cellIs" dxfId="4142" priority="302" stopIfTrue="1" operator="equal">
      <formula>$F$20</formula>
    </cfRule>
    <cfRule type="cellIs" dxfId="4141" priority="303" stopIfTrue="1" operator="lessThan">
      <formula>$F$20</formula>
    </cfRule>
  </conditionalFormatting>
  <conditionalFormatting sqref="G21">
    <cfRule type="cellIs" dxfId="4140" priority="304" stopIfTrue="1" operator="equal">
      <formula>$F$21</formula>
    </cfRule>
    <cfRule type="cellIs" dxfId="4139" priority="305" stopIfTrue="1" operator="lessThan">
      <formula>$F$21</formula>
    </cfRule>
  </conditionalFormatting>
  <conditionalFormatting sqref="G22">
    <cfRule type="cellIs" dxfId="4138" priority="306" stopIfTrue="1" operator="equal">
      <formula>$F$22</formula>
    </cfRule>
    <cfRule type="cellIs" dxfId="4137" priority="307" stopIfTrue="1" operator="lessThan">
      <formula>$F$22</formula>
    </cfRule>
  </conditionalFormatting>
  <conditionalFormatting sqref="G23">
    <cfRule type="cellIs" dxfId="4136" priority="308" stopIfTrue="1" operator="equal">
      <formula>$F$23</formula>
    </cfRule>
    <cfRule type="cellIs" dxfId="4135" priority="309" stopIfTrue="1" operator="lessThan">
      <formula>$F$23</formula>
    </cfRule>
  </conditionalFormatting>
  <conditionalFormatting sqref="G24">
    <cfRule type="cellIs" dxfId="4134" priority="384" stopIfTrue="1" operator="equal">
      <formula>$F$24</formula>
    </cfRule>
    <cfRule type="cellIs" dxfId="4133" priority="385" stopIfTrue="1" operator="lessThan">
      <formula>$F$24</formula>
    </cfRule>
  </conditionalFormatting>
  <conditionalFormatting sqref="G25">
    <cfRule type="cellIs" dxfId="4132" priority="310" stopIfTrue="1" operator="equal">
      <formula>$F$25</formula>
    </cfRule>
    <cfRule type="cellIs" dxfId="4131" priority="311" stopIfTrue="1" operator="lessThan">
      <formula>$F$25</formula>
    </cfRule>
  </conditionalFormatting>
  <conditionalFormatting sqref="G26">
    <cfRule type="cellIs" dxfId="4130" priority="312" stopIfTrue="1" operator="equal">
      <formula>$F$26</formula>
    </cfRule>
    <cfRule type="cellIs" dxfId="4129" priority="313" stopIfTrue="1" operator="lessThan">
      <formula>$F$26</formula>
    </cfRule>
  </conditionalFormatting>
  <conditionalFormatting sqref="G27">
    <cfRule type="cellIs" dxfId="4128" priority="314" stopIfTrue="1" operator="equal">
      <formula>$F$27</formula>
    </cfRule>
    <cfRule type="cellIs" dxfId="4127" priority="315" stopIfTrue="1" operator="lessThan">
      <formula>$F$27</formula>
    </cfRule>
  </conditionalFormatting>
  <conditionalFormatting sqref="G28">
    <cfRule type="cellIs" dxfId="4126" priority="316" stopIfTrue="1" operator="equal">
      <formula>$F$28</formula>
    </cfRule>
    <cfRule type="cellIs" dxfId="4125" priority="317" stopIfTrue="1" operator="lessThan">
      <formula>$F$28</formula>
    </cfRule>
  </conditionalFormatting>
  <conditionalFormatting sqref="H4">
    <cfRule type="cellIs" dxfId="4124" priority="394" stopIfTrue="1" operator="equal">
      <formula>$G$4</formula>
    </cfRule>
  </conditionalFormatting>
  <conditionalFormatting sqref="H5">
    <cfRule type="cellIs" dxfId="4123" priority="392" stopIfTrue="1" operator="equal">
      <formula>$G$5</formula>
    </cfRule>
    <cfRule type="cellIs" dxfId="4122" priority="393" stopIfTrue="1" operator="lessThan">
      <formula>$G$5</formula>
    </cfRule>
  </conditionalFormatting>
  <conditionalFormatting sqref="H6">
    <cfRule type="cellIs" dxfId="4121" priority="140" stopIfTrue="1" operator="equal">
      <formula>$G$6</formula>
    </cfRule>
    <cfRule type="cellIs" dxfId="4120" priority="141" stopIfTrue="1" operator="lessThan">
      <formula>$G$6</formula>
    </cfRule>
  </conditionalFormatting>
  <conditionalFormatting sqref="H7">
    <cfRule type="cellIs" dxfId="4119" priority="113" stopIfTrue="1" operator="equal">
      <formula>$G$7</formula>
    </cfRule>
    <cfRule type="cellIs" dxfId="4118" priority="114" stopIfTrue="1" operator="lessThan">
      <formula>$G$7</formula>
    </cfRule>
  </conditionalFormatting>
  <conditionalFormatting sqref="H8">
    <cfRule type="cellIs" dxfId="4117" priority="166" stopIfTrue="1" operator="equal">
      <formula>$G$8</formula>
    </cfRule>
    <cfRule type="cellIs" dxfId="4116" priority="167" stopIfTrue="1" operator="lessThan">
      <formula>$G$8</formula>
    </cfRule>
  </conditionalFormatting>
  <conditionalFormatting sqref="H9">
    <cfRule type="cellIs" dxfId="4115" priority="180" stopIfTrue="1" operator="equal">
      <formula>$G$9</formula>
    </cfRule>
    <cfRule type="cellIs" dxfId="4114" priority="181" stopIfTrue="1" operator="lessThan">
      <formula>$G$9</formula>
    </cfRule>
  </conditionalFormatting>
  <conditionalFormatting sqref="H10">
    <cfRule type="cellIs" dxfId="4113" priority="194" stopIfTrue="1" operator="equal">
      <formula>$G$10</formula>
    </cfRule>
    <cfRule type="cellIs" dxfId="4112" priority="195" stopIfTrue="1" operator="lessThan">
      <formula>$G$10</formula>
    </cfRule>
  </conditionalFormatting>
  <conditionalFormatting sqref="H11">
    <cfRule type="cellIs" dxfId="4111" priority="208" stopIfTrue="1" operator="equal">
      <formula>$G$11</formula>
    </cfRule>
    <cfRule type="cellIs" dxfId="4110" priority="209" stopIfTrue="1" operator="lessThan">
      <formula>$G$11</formula>
    </cfRule>
  </conditionalFormatting>
  <conditionalFormatting sqref="H12">
    <cfRule type="cellIs" dxfId="4109" priority="222" stopIfTrue="1" operator="equal">
      <formula>$G$12</formula>
    </cfRule>
    <cfRule type="cellIs" dxfId="4108" priority="223" stopIfTrue="1" operator="lessThan">
      <formula>$G$12</formula>
    </cfRule>
  </conditionalFormatting>
  <conditionalFormatting sqref="H13">
    <cfRule type="cellIs" dxfId="4107" priority="318" stopIfTrue="1" operator="equal">
      <formula>$G$13</formula>
    </cfRule>
    <cfRule type="cellIs" dxfId="4106" priority="319" stopIfTrue="1" operator="lessThan">
      <formula>$G$13</formula>
    </cfRule>
  </conditionalFormatting>
  <conditionalFormatting sqref="H14">
    <cfRule type="cellIs" dxfId="4105" priority="320" stopIfTrue="1" operator="equal">
      <formula>$G$14</formula>
    </cfRule>
    <cfRule type="cellIs" dxfId="4104" priority="321" stopIfTrue="1" operator="lessThan">
      <formula>$G$14</formula>
    </cfRule>
  </conditionalFormatting>
  <conditionalFormatting sqref="H15">
    <cfRule type="cellIs" dxfId="4103" priority="322" stopIfTrue="1" operator="equal">
      <formula>$G$15</formula>
    </cfRule>
    <cfRule type="cellIs" dxfId="4102" priority="323" stopIfTrue="1" operator="lessThan">
      <formula>$G$15</formula>
    </cfRule>
  </conditionalFormatting>
  <conditionalFormatting sqref="H16">
    <cfRule type="cellIs" dxfId="4101" priority="324" stopIfTrue="1" operator="equal">
      <formula>$G$16</formula>
    </cfRule>
    <cfRule type="cellIs" dxfId="4100" priority="325" stopIfTrue="1" operator="lessThan">
      <formula>$G$16</formula>
    </cfRule>
  </conditionalFormatting>
  <conditionalFormatting sqref="H17">
    <cfRule type="cellIs" dxfId="4099" priority="326" stopIfTrue="1" operator="equal">
      <formula>$G$17</formula>
    </cfRule>
    <cfRule type="cellIs" dxfId="4098" priority="327" stopIfTrue="1" operator="lessThan">
      <formula>$G$17</formula>
    </cfRule>
  </conditionalFormatting>
  <conditionalFormatting sqref="H18">
    <cfRule type="cellIs" dxfId="4097" priority="328" stopIfTrue="1" operator="equal">
      <formula>$G$18</formula>
    </cfRule>
    <cfRule type="cellIs" dxfId="4096" priority="329" stopIfTrue="1" operator="lessThan">
      <formula>$G$18</formula>
    </cfRule>
  </conditionalFormatting>
  <conditionalFormatting sqref="H19">
    <cfRule type="cellIs" dxfId="4095" priority="330" stopIfTrue="1" operator="equal">
      <formula>$G$19</formula>
    </cfRule>
    <cfRule type="cellIs" dxfId="4094" priority="331" stopIfTrue="1" operator="lessThan">
      <formula>$G$19</formula>
    </cfRule>
  </conditionalFormatting>
  <conditionalFormatting sqref="H20">
    <cfRule type="cellIs" dxfId="4093" priority="332" stopIfTrue="1" operator="equal">
      <formula>$G$20</formula>
    </cfRule>
    <cfRule type="cellIs" dxfId="4092" priority="333" stopIfTrue="1" operator="lessThan">
      <formula>$G$20</formula>
    </cfRule>
  </conditionalFormatting>
  <conditionalFormatting sqref="H21">
    <cfRule type="cellIs" dxfId="4091" priority="334" stopIfTrue="1" operator="equal">
      <formula>$G$21</formula>
    </cfRule>
    <cfRule type="cellIs" dxfId="4090" priority="335" stopIfTrue="1" operator="lessThan">
      <formula>$G$21</formula>
    </cfRule>
  </conditionalFormatting>
  <conditionalFormatting sqref="H22">
    <cfRule type="cellIs" dxfId="4089" priority="336" stopIfTrue="1" operator="equal">
      <formula>$G$22</formula>
    </cfRule>
    <cfRule type="cellIs" dxfId="4088" priority="337" stopIfTrue="1" operator="lessThan">
      <formula>$G$22</formula>
    </cfRule>
  </conditionalFormatting>
  <conditionalFormatting sqref="H23">
    <cfRule type="cellIs" dxfId="4087" priority="338" stopIfTrue="1" operator="equal">
      <formula>$G$23</formula>
    </cfRule>
    <cfRule type="cellIs" dxfId="4086" priority="339" stopIfTrue="1" operator="lessThan">
      <formula>$G$23</formula>
    </cfRule>
  </conditionalFormatting>
  <conditionalFormatting sqref="H24">
    <cfRule type="cellIs" dxfId="4085" priority="386" stopIfTrue="1" operator="equal">
      <formula>$G$24</formula>
    </cfRule>
    <cfRule type="cellIs" dxfId="4084" priority="387" stopIfTrue="1" operator="lessThan">
      <formula>$G$24</formula>
    </cfRule>
  </conditionalFormatting>
  <conditionalFormatting sqref="H25">
    <cfRule type="cellIs" dxfId="4083" priority="340" stopIfTrue="1" operator="equal">
      <formula>$G$25</formula>
    </cfRule>
    <cfRule type="cellIs" dxfId="4082" priority="341" stopIfTrue="1" operator="lessThan">
      <formula>$G$25</formula>
    </cfRule>
  </conditionalFormatting>
  <conditionalFormatting sqref="H26">
    <cfRule type="cellIs" dxfId="4081" priority="342" stopIfTrue="1" operator="equal">
      <formula>$G$26</formula>
    </cfRule>
    <cfRule type="cellIs" dxfId="4080" priority="343" stopIfTrue="1" operator="lessThan">
      <formula>$G$26</formula>
    </cfRule>
  </conditionalFormatting>
  <conditionalFormatting sqref="H27">
    <cfRule type="cellIs" dxfId="4079" priority="344" stopIfTrue="1" operator="equal">
      <formula>$G$27</formula>
    </cfRule>
    <cfRule type="cellIs" dxfId="4078" priority="345" stopIfTrue="1" operator="lessThan">
      <formula>$G$27</formula>
    </cfRule>
  </conditionalFormatting>
  <conditionalFormatting sqref="H28">
    <cfRule type="cellIs" dxfId="4077" priority="346" stopIfTrue="1" operator="equal">
      <formula>$G$28</formula>
    </cfRule>
    <cfRule type="cellIs" dxfId="4076" priority="347" stopIfTrue="1" operator="lessThan">
      <formula>$G$28</formula>
    </cfRule>
  </conditionalFormatting>
  <conditionalFormatting sqref="I4">
    <cfRule type="cellIs" dxfId="4075" priority="111" stopIfTrue="1" operator="lessThan">
      <formula>$H$4</formula>
    </cfRule>
    <cfRule type="cellIs" dxfId="4074" priority="112" stopIfTrue="1" operator="equal">
      <formula>$H$4</formula>
    </cfRule>
  </conditionalFormatting>
  <conditionalFormatting sqref="I5">
    <cfRule type="cellIs" dxfId="4073" priority="115" stopIfTrue="1" operator="equal">
      <formula>$H$5</formula>
    </cfRule>
    <cfRule type="cellIs" dxfId="4072" priority="116" stopIfTrue="1" operator="lessThan">
      <formula>$H$5</formula>
    </cfRule>
  </conditionalFormatting>
  <conditionalFormatting sqref="I6">
    <cfRule type="cellIs" dxfId="4071" priority="142" stopIfTrue="1" operator="equal">
      <formula>$H$6</formula>
    </cfRule>
    <cfRule type="cellIs" dxfId="4070" priority="143" stopIfTrue="1" operator="lessThan">
      <formula>$H$6</formula>
    </cfRule>
  </conditionalFormatting>
  <conditionalFormatting sqref="I7">
    <cfRule type="cellIs" dxfId="4069" priority="154" stopIfTrue="1" operator="equal">
      <formula>$H$7</formula>
    </cfRule>
    <cfRule type="cellIs" dxfId="4068" priority="155" stopIfTrue="1" operator="lessThan">
      <formula>$H$7</formula>
    </cfRule>
  </conditionalFormatting>
  <conditionalFormatting sqref="I8">
    <cfRule type="cellIs" dxfId="4067" priority="168" stopIfTrue="1" operator="equal">
      <formula>$H$8</formula>
    </cfRule>
    <cfRule type="cellIs" dxfId="4066" priority="169" stopIfTrue="1" operator="lessThan">
      <formula>$H$8</formula>
    </cfRule>
  </conditionalFormatting>
  <conditionalFormatting sqref="I9">
    <cfRule type="cellIs" dxfId="4065" priority="182" stopIfTrue="1" operator="equal">
      <formula>$H$9</formula>
    </cfRule>
    <cfRule type="cellIs" dxfId="4064" priority="183" stopIfTrue="1" operator="lessThan">
      <formula>$H$9</formula>
    </cfRule>
  </conditionalFormatting>
  <conditionalFormatting sqref="I10">
    <cfRule type="cellIs" dxfId="4063" priority="196" stopIfTrue="1" operator="equal">
      <formula>$H$10</formula>
    </cfRule>
    <cfRule type="cellIs" dxfId="4062" priority="197" stopIfTrue="1" operator="lessThan">
      <formula>$H$10</formula>
    </cfRule>
  </conditionalFormatting>
  <conditionalFormatting sqref="I11">
    <cfRule type="cellIs" dxfId="4061" priority="210" stopIfTrue="1" operator="equal">
      <formula>$H$11</formula>
    </cfRule>
    <cfRule type="cellIs" dxfId="4060" priority="211" stopIfTrue="1" operator="lessThan">
      <formula>$H$11</formula>
    </cfRule>
  </conditionalFormatting>
  <conditionalFormatting sqref="I12">
    <cfRule type="cellIs" dxfId="4059" priority="224" stopIfTrue="1" operator="equal">
      <formula>$H$12</formula>
    </cfRule>
    <cfRule type="cellIs" dxfId="4058" priority="225" stopIfTrue="1" operator="lessThan">
      <formula>$H$12</formula>
    </cfRule>
  </conditionalFormatting>
  <conditionalFormatting sqref="I13">
    <cfRule type="cellIs" dxfId="4057" priority="350" stopIfTrue="1" operator="equal">
      <formula>$H$13</formula>
    </cfRule>
    <cfRule type="cellIs" dxfId="4056" priority="351" stopIfTrue="1" operator="lessThan">
      <formula>$H$13</formula>
    </cfRule>
  </conditionalFormatting>
  <conditionalFormatting sqref="I14">
    <cfRule type="cellIs" dxfId="4055" priority="352" stopIfTrue="1" operator="equal">
      <formula>$H$14</formula>
    </cfRule>
    <cfRule type="cellIs" dxfId="4054" priority="353" stopIfTrue="1" operator="lessThan">
      <formula>$H$14</formula>
    </cfRule>
  </conditionalFormatting>
  <conditionalFormatting sqref="I15">
    <cfRule type="cellIs" dxfId="4053" priority="354" stopIfTrue="1" operator="equal">
      <formula>$H$15</formula>
    </cfRule>
    <cfRule type="cellIs" dxfId="4052" priority="355" stopIfTrue="1" operator="lessThan">
      <formula>$H$15</formula>
    </cfRule>
  </conditionalFormatting>
  <conditionalFormatting sqref="I16">
    <cfRule type="cellIs" dxfId="4051" priority="356" stopIfTrue="1" operator="equal">
      <formula>$H$16</formula>
    </cfRule>
    <cfRule type="cellIs" dxfId="4050" priority="357" stopIfTrue="1" operator="lessThan">
      <formula>$H$16</formula>
    </cfRule>
  </conditionalFormatting>
  <conditionalFormatting sqref="I17">
    <cfRule type="cellIs" dxfId="4049" priority="358" stopIfTrue="1" operator="equal">
      <formula>$H$17</formula>
    </cfRule>
    <cfRule type="cellIs" dxfId="4048" priority="359" stopIfTrue="1" operator="lessThan">
      <formula>$H$17</formula>
    </cfRule>
  </conditionalFormatting>
  <conditionalFormatting sqref="I18">
    <cfRule type="cellIs" dxfId="4047" priority="360" stopIfTrue="1" operator="equal">
      <formula>$H$18</formula>
    </cfRule>
    <cfRule type="cellIs" dxfId="4046" priority="361" stopIfTrue="1" operator="lessThan">
      <formula>$H$18</formula>
    </cfRule>
  </conditionalFormatting>
  <conditionalFormatting sqref="I19">
    <cfRule type="cellIs" dxfId="4045" priority="362" stopIfTrue="1" operator="equal">
      <formula>$H$19</formula>
    </cfRule>
    <cfRule type="cellIs" dxfId="4044" priority="363" stopIfTrue="1" operator="lessThan">
      <formula>$H$19</formula>
    </cfRule>
  </conditionalFormatting>
  <conditionalFormatting sqref="I20">
    <cfRule type="cellIs" dxfId="4043" priority="364" stopIfTrue="1" operator="equal">
      <formula>$H$20</formula>
    </cfRule>
    <cfRule type="cellIs" dxfId="4042" priority="365" stopIfTrue="1" operator="lessThan">
      <formula>$H$20</formula>
    </cfRule>
  </conditionalFormatting>
  <conditionalFormatting sqref="I21">
    <cfRule type="cellIs" dxfId="4041" priority="366" stopIfTrue="1" operator="equal">
      <formula>$H$21</formula>
    </cfRule>
    <cfRule type="cellIs" dxfId="4040" priority="367" stopIfTrue="1" operator="lessThan">
      <formula>$H$21</formula>
    </cfRule>
  </conditionalFormatting>
  <conditionalFormatting sqref="I22">
    <cfRule type="cellIs" dxfId="4039" priority="368" stopIfTrue="1" operator="equal">
      <formula>$H$22</formula>
    </cfRule>
    <cfRule type="cellIs" dxfId="4038" priority="369" stopIfTrue="1" operator="lessThan">
      <formula>$H$22</formula>
    </cfRule>
  </conditionalFormatting>
  <conditionalFormatting sqref="I23">
    <cfRule type="cellIs" dxfId="4037" priority="370" stopIfTrue="1" operator="equal">
      <formula>$H$23</formula>
    </cfRule>
    <cfRule type="cellIs" dxfId="4036" priority="371" stopIfTrue="1" operator="lessThan">
      <formula>$H$23</formula>
    </cfRule>
  </conditionalFormatting>
  <conditionalFormatting sqref="I24">
    <cfRule type="cellIs" dxfId="4035" priority="388" stopIfTrue="1" operator="equal">
      <formula>$H$24</formula>
    </cfRule>
    <cfRule type="cellIs" dxfId="4034" priority="389" stopIfTrue="1" operator="lessThan">
      <formula>$H$24</formula>
    </cfRule>
  </conditionalFormatting>
  <conditionalFormatting sqref="I25">
    <cfRule type="cellIs" dxfId="4033" priority="372" stopIfTrue="1" operator="equal">
      <formula>$H$25</formula>
    </cfRule>
    <cfRule type="cellIs" dxfId="4032" priority="373" stopIfTrue="1" operator="lessThan">
      <formula>$H$25</formula>
    </cfRule>
  </conditionalFormatting>
  <conditionalFormatting sqref="I26">
    <cfRule type="cellIs" dxfId="4031" priority="374" stopIfTrue="1" operator="equal">
      <formula>$H$26</formula>
    </cfRule>
    <cfRule type="cellIs" dxfId="4030" priority="375" stopIfTrue="1" operator="lessThan">
      <formula>$H$26</formula>
    </cfRule>
  </conditionalFormatting>
  <conditionalFormatting sqref="I27">
    <cfRule type="cellIs" dxfId="4029" priority="376" stopIfTrue="1" operator="equal">
      <formula>$H$27</formula>
    </cfRule>
    <cfRule type="cellIs" dxfId="4028" priority="377" stopIfTrue="1" operator="lessThan">
      <formula>$H$27</formula>
    </cfRule>
  </conditionalFormatting>
  <conditionalFormatting sqref="I28">
    <cfRule type="cellIs" dxfId="4027" priority="378" stopIfTrue="1" operator="equal">
      <formula>$H$28</formula>
    </cfRule>
    <cfRule type="cellIs" dxfId="4026" priority="379" stopIfTrue="1" operator="lessThan">
      <formula>$H$28</formula>
    </cfRule>
  </conditionalFormatting>
  <conditionalFormatting sqref="J4">
    <cfRule type="cellIs" dxfId="4025" priority="131" stopIfTrue="1" operator="equal">
      <formula>$I$4</formula>
    </cfRule>
  </conditionalFormatting>
  <conditionalFormatting sqref="J5">
    <cfRule type="cellIs" dxfId="4024" priority="117" stopIfTrue="1" operator="equal">
      <formula>$I$5</formula>
    </cfRule>
    <cfRule type="cellIs" dxfId="4023" priority="118" stopIfTrue="1" operator="lessThan">
      <formula>$I$5</formula>
    </cfRule>
  </conditionalFormatting>
  <conditionalFormatting sqref="J6">
    <cfRule type="cellIs" dxfId="4022" priority="144" stopIfTrue="1" operator="equal">
      <formula>$I$6</formula>
    </cfRule>
    <cfRule type="cellIs" dxfId="4021" priority="145" stopIfTrue="1" operator="lessThan">
      <formula>$I$6</formula>
    </cfRule>
  </conditionalFormatting>
  <conditionalFormatting sqref="J7">
    <cfRule type="cellIs" dxfId="4020" priority="156" stopIfTrue="1" operator="equal">
      <formula>$I$7</formula>
    </cfRule>
    <cfRule type="cellIs" dxfId="4019" priority="157" stopIfTrue="1" operator="lessThan">
      <formula>$I$7</formula>
    </cfRule>
  </conditionalFormatting>
  <conditionalFormatting sqref="J8">
    <cfRule type="cellIs" dxfId="4018" priority="170" stopIfTrue="1" operator="equal">
      <formula>$I$8</formula>
    </cfRule>
    <cfRule type="cellIs" dxfId="4017" priority="171" stopIfTrue="1" operator="lessThan">
      <formula>$I$8</formula>
    </cfRule>
  </conditionalFormatting>
  <conditionalFormatting sqref="J9">
    <cfRule type="cellIs" dxfId="4016" priority="184" stopIfTrue="1" operator="equal">
      <formula>$I$9</formula>
    </cfRule>
    <cfRule type="cellIs" dxfId="4015" priority="185" stopIfTrue="1" operator="lessThan">
      <formula>$I$9</formula>
    </cfRule>
  </conditionalFormatting>
  <conditionalFormatting sqref="J10">
    <cfRule type="cellIs" dxfId="4014" priority="198" stopIfTrue="1" operator="equal">
      <formula>$I$10</formula>
    </cfRule>
    <cfRule type="cellIs" dxfId="4013" priority="199" stopIfTrue="1" operator="lessThan">
      <formula>$I$10</formula>
    </cfRule>
  </conditionalFormatting>
  <conditionalFormatting sqref="J11">
    <cfRule type="cellIs" dxfId="4012" priority="212" stopIfTrue="1" operator="equal">
      <formula>$I$11</formula>
    </cfRule>
    <cfRule type="cellIs" dxfId="4011" priority="213" stopIfTrue="1" operator="lessThan">
      <formula>$I$11</formula>
    </cfRule>
  </conditionalFormatting>
  <conditionalFormatting sqref="J12">
    <cfRule type="cellIs" dxfId="4010" priority="226" stopIfTrue="1" operator="equal">
      <formula>$I$12</formula>
    </cfRule>
    <cfRule type="cellIs" dxfId="4009" priority="227" stopIfTrue="1" operator="lessThan">
      <formula>$I$12</formula>
    </cfRule>
  </conditionalFormatting>
  <conditionalFormatting sqref="J13">
    <cfRule type="cellIs" dxfId="4008" priority="396" stopIfTrue="1" operator="equal">
      <formula>$I$13</formula>
    </cfRule>
    <cfRule type="cellIs" dxfId="4007" priority="397" stopIfTrue="1" operator="lessThan">
      <formula>$I$13</formula>
    </cfRule>
  </conditionalFormatting>
  <conditionalFormatting sqref="J14">
    <cfRule type="cellIs" dxfId="4006" priority="398" stopIfTrue="1" operator="equal">
      <formula>$I$14</formula>
    </cfRule>
    <cfRule type="cellIs" dxfId="4005" priority="399" stopIfTrue="1" operator="lessThan">
      <formula>$I$14</formula>
    </cfRule>
  </conditionalFormatting>
  <conditionalFormatting sqref="J15">
    <cfRule type="cellIs" dxfId="4004" priority="400" stopIfTrue="1" operator="equal">
      <formula>$I$15</formula>
    </cfRule>
    <cfRule type="cellIs" dxfId="4003" priority="401" stopIfTrue="1" operator="lessThan">
      <formula>$I$15</formula>
    </cfRule>
  </conditionalFormatting>
  <conditionalFormatting sqref="J16">
    <cfRule type="cellIs" dxfId="4002" priority="402" stopIfTrue="1" operator="equal">
      <formula>$I$16</formula>
    </cfRule>
    <cfRule type="cellIs" dxfId="4001" priority="403" stopIfTrue="1" operator="lessThan">
      <formula>$I$16</formula>
    </cfRule>
  </conditionalFormatting>
  <conditionalFormatting sqref="J17">
    <cfRule type="cellIs" dxfId="4000" priority="404" stopIfTrue="1" operator="equal">
      <formula>$I$17</formula>
    </cfRule>
    <cfRule type="cellIs" dxfId="3999" priority="405" stopIfTrue="1" operator="lessThan">
      <formula>$I$17</formula>
    </cfRule>
  </conditionalFormatting>
  <conditionalFormatting sqref="J18">
    <cfRule type="cellIs" dxfId="3998" priority="406" stopIfTrue="1" operator="equal">
      <formula>$I$18</formula>
    </cfRule>
    <cfRule type="cellIs" dxfId="3997" priority="407" stopIfTrue="1" operator="lessThan">
      <formula>$I$18</formula>
    </cfRule>
  </conditionalFormatting>
  <conditionalFormatting sqref="J19">
    <cfRule type="cellIs" dxfId="3996" priority="408" stopIfTrue="1" operator="equal">
      <formula>$I$19</formula>
    </cfRule>
    <cfRule type="cellIs" dxfId="3995" priority="409" stopIfTrue="1" operator="lessThan">
      <formula>$I$19</formula>
    </cfRule>
  </conditionalFormatting>
  <conditionalFormatting sqref="J20">
    <cfRule type="cellIs" dxfId="3994" priority="410" stopIfTrue="1" operator="equal">
      <formula>$I$20</formula>
    </cfRule>
    <cfRule type="cellIs" dxfId="3993" priority="411" stopIfTrue="1" operator="lessThan">
      <formula>$I$20</formula>
    </cfRule>
  </conditionalFormatting>
  <conditionalFormatting sqref="J21">
    <cfRule type="cellIs" dxfId="3992" priority="412" stopIfTrue="1" operator="equal">
      <formula>$I$21</formula>
    </cfRule>
    <cfRule type="cellIs" dxfId="3991" priority="413" stopIfTrue="1" operator="lessThan">
      <formula>$I$21</formula>
    </cfRule>
  </conditionalFormatting>
  <conditionalFormatting sqref="J22">
    <cfRule type="cellIs" dxfId="3990" priority="414" stopIfTrue="1" operator="equal">
      <formula>$I$22</formula>
    </cfRule>
    <cfRule type="cellIs" dxfId="3989" priority="415" stopIfTrue="1" operator="lessThan">
      <formula>$I$22</formula>
    </cfRule>
  </conditionalFormatting>
  <conditionalFormatting sqref="J23">
    <cfRule type="cellIs" dxfId="3988" priority="416" stopIfTrue="1" operator="equal">
      <formula>$I$23</formula>
    </cfRule>
    <cfRule type="cellIs" dxfId="3987" priority="417" stopIfTrue="1" operator="lessThan">
      <formula>$I$23</formula>
    </cfRule>
  </conditionalFormatting>
  <conditionalFormatting sqref="J24">
    <cfRule type="cellIs" dxfId="3986" priority="418" stopIfTrue="1" operator="equal">
      <formula>$I$24</formula>
    </cfRule>
    <cfRule type="cellIs" dxfId="3985" priority="419" stopIfTrue="1" operator="lessThan">
      <formula>$I$24</formula>
    </cfRule>
  </conditionalFormatting>
  <conditionalFormatting sqref="J25">
    <cfRule type="cellIs" dxfId="3984" priority="420" stopIfTrue="1" operator="equal">
      <formula>$I$25</formula>
    </cfRule>
    <cfRule type="cellIs" dxfId="3983" priority="421" stopIfTrue="1" operator="lessThan">
      <formula>$I$25</formula>
    </cfRule>
  </conditionalFormatting>
  <conditionalFormatting sqref="J26">
    <cfRule type="cellIs" dxfId="3982" priority="422" stopIfTrue="1" operator="equal">
      <formula>$I$26</formula>
    </cfRule>
    <cfRule type="cellIs" dxfId="3981" priority="423" stopIfTrue="1" operator="lessThan">
      <formula>$I$26</formula>
    </cfRule>
  </conditionalFormatting>
  <conditionalFormatting sqref="J27">
    <cfRule type="cellIs" dxfId="3980" priority="424" stopIfTrue="1" operator="equal">
      <formula>$I$27</formula>
    </cfRule>
    <cfRule type="cellIs" dxfId="3979" priority="425" stopIfTrue="1" operator="lessThan">
      <formula>$I$27</formula>
    </cfRule>
  </conditionalFormatting>
  <conditionalFormatting sqref="J28">
    <cfRule type="cellIs" dxfId="3978" priority="427" stopIfTrue="1" operator="equal">
      <formula>$I$28</formula>
    </cfRule>
    <cfRule type="cellIs" dxfId="3977" priority="428" stopIfTrue="1" operator="lessThan">
      <formula>$I$28</formula>
    </cfRule>
  </conditionalFormatting>
  <conditionalFormatting sqref="K4">
    <cfRule type="cellIs" dxfId="3976" priority="132" stopIfTrue="1" operator="lessThan">
      <formula>$J$4</formula>
    </cfRule>
    <cfRule type="cellIs" dxfId="3975" priority="133" stopIfTrue="1" operator="equal">
      <formula>$J$4</formula>
    </cfRule>
  </conditionalFormatting>
  <conditionalFormatting sqref="K5">
    <cfRule type="cellIs" dxfId="3974" priority="119" stopIfTrue="1" operator="equal">
      <formula>$J$5</formula>
    </cfRule>
    <cfRule type="cellIs" dxfId="3973" priority="120" stopIfTrue="1" operator="lessThan">
      <formula>$J$5</formula>
    </cfRule>
  </conditionalFormatting>
  <conditionalFormatting sqref="K6">
    <cfRule type="cellIs" dxfId="3972" priority="146" stopIfTrue="1" operator="equal">
      <formula>$J$6</formula>
    </cfRule>
    <cfRule type="cellIs" dxfId="3971" priority="147" stopIfTrue="1" operator="lessThan">
      <formula>$J$6</formula>
    </cfRule>
  </conditionalFormatting>
  <conditionalFormatting sqref="K7">
    <cfRule type="cellIs" dxfId="3970" priority="158" stopIfTrue="1" operator="equal">
      <formula>$J$7</formula>
    </cfRule>
    <cfRule type="cellIs" dxfId="3969" priority="159" stopIfTrue="1" operator="lessThan">
      <formula>$J$7</formula>
    </cfRule>
  </conditionalFormatting>
  <conditionalFormatting sqref="K8">
    <cfRule type="cellIs" dxfId="3968" priority="172" stopIfTrue="1" operator="equal">
      <formula>$J$8</formula>
    </cfRule>
    <cfRule type="cellIs" dxfId="3967" priority="173" stopIfTrue="1" operator="lessThan">
      <formula>$J$8</formula>
    </cfRule>
  </conditionalFormatting>
  <conditionalFormatting sqref="K9">
    <cfRule type="cellIs" dxfId="3966" priority="186" stopIfTrue="1" operator="equal">
      <formula>$J$9</formula>
    </cfRule>
    <cfRule type="cellIs" dxfId="3965" priority="187" stopIfTrue="1" operator="lessThan">
      <formula>$J$9</formula>
    </cfRule>
  </conditionalFormatting>
  <conditionalFormatting sqref="K10">
    <cfRule type="cellIs" dxfId="3964" priority="200" stopIfTrue="1" operator="equal">
      <formula>$J$10</formula>
    </cfRule>
    <cfRule type="cellIs" dxfId="3963" priority="201" stopIfTrue="1" operator="lessThan">
      <formula>$J$10</formula>
    </cfRule>
  </conditionalFormatting>
  <conditionalFormatting sqref="K11">
    <cfRule type="cellIs" dxfId="3962" priority="214" stopIfTrue="1" operator="equal">
      <formula>$J$11</formula>
    </cfRule>
    <cfRule type="cellIs" dxfId="3961" priority="215" stopIfTrue="1" operator="lessThan">
      <formula>$J$11</formula>
    </cfRule>
  </conditionalFormatting>
  <conditionalFormatting sqref="K12">
    <cfRule type="cellIs" dxfId="3960" priority="228" stopIfTrue="1" operator="equal">
      <formula>$J$12</formula>
    </cfRule>
    <cfRule type="cellIs" dxfId="3959" priority="229" stopIfTrue="1" operator="lessThan">
      <formula>$J$12</formula>
    </cfRule>
  </conditionalFormatting>
  <conditionalFormatting sqref="K13">
    <cfRule type="cellIs" dxfId="3958" priority="431" stopIfTrue="1" operator="equal">
      <formula>$J$13</formula>
    </cfRule>
    <cfRule type="cellIs" dxfId="3957" priority="432" stopIfTrue="1" operator="lessThan">
      <formula>$J$13</formula>
    </cfRule>
  </conditionalFormatting>
  <conditionalFormatting sqref="K14">
    <cfRule type="cellIs" dxfId="3956" priority="433" stopIfTrue="1" operator="equal">
      <formula>$J$14</formula>
    </cfRule>
    <cfRule type="cellIs" dxfId="3955" priority="434" stopIfTrue="1" operator="lessThan">
      <formula>$J$14</formula>
    </cfRule>
  </conditionalFormatting>
  <conditionalFormatting sqref="K15">
    <cfRule type="cellIs" dxfId="3954" priority="435" stopIfTrue="1" operator="equal">
      <formula>$J$15</formula>
    </cfRule>
    <cfRule type="cellIs" dxfId="3953" priority="436" stopIfTrue="1" operator="lessThan">
      <formula>$J$15</formula>
    </cfRule>
  </conditionalFormatting>
  <conditionalFormatting sqref="K16">
    <cfRule type="cellIs" dxfId="3952" priority="437" stopIfTrue="1" operator="equal">
      <formula>$J$16</formula>
    </cfRule>
    <cfRule type="cellIs" dxfId="3951" priority="438" stopIfTrue="1" operator="lessThan">
      <formula>$J$16</formula>
    </cfRule>
  </conditionalFormatting>
  <conditionalFormatting sqref="K17">
    <cfRule type="cellIs" dxfId="3950" priority="439" stopIfTrue="1" operator="equal">
      <formula>$J$17</formula>
    </cfRule>
    <cfRule type="cellIs" dxfId="3949" priority="440" stopIfTrue="1" operator="lessThan">
      <formula>$J$17</formula>
    </cfRule>
  </conditionalFormatting>
  <conditionalFormatting sqref="K18">
    <cfRule type="cellIs" dxfId="3948" priority="441" stopIfTrue="1" operator="equal">
      <formula>$J$18</formula>
    </cfRule>
    <cfRule type="cellIs" dxfId="3947" priority="442" stopIfTrue="1" operator="lessThan">
      <formula>$J$18</formula>
    </cfRule>
  </conditionalFormatting>
  <conditionalFormatting sqref="K19">
    <cfRule type="cellIs" dxfId="3946" priority="443" stopIfTrue="1" operator="equal">
      <formula>$J$19</formula>
    </cfRule>
    <cfRule type="cellIs" dxfId="3945" priority="444" stopIfTrue="1" operator="lessThan">
      <formula>$J$19</formula>
    </cfRule>
  </conditionalFormatting>
  <conditionalFormatting sqref="K20">
    <cfRule type="cellIs" dxfId="3944" priority="445" stopIfTrue="1" operator="equal">
      <formula>$J$20</formula>
    </cfRule>
    <cfRule type="cellIs" dxfId="3943" priority="446" stopIfTrue="1" operator="lessThan">
      <formula>$J$20</formula>
    </cfRule>
  </conditionalFormatting>
  <conditionalFormatting sqref="K21">
    <cfRule type="cellIs" dxfId="3942" priority="447" stopIfTrue="1" operator="equal">
      <formula>$J$21</formula>
    </cfRule>
    <cfRule type="cellIs" dxfId="3941" priority="448" stopIfTrue="1" operator="lessThan">
      <formula>$J$21</formula>
    </cfRule>
  </conditionalFormatting>
  <conditionalFormatting sqref="K22">
    <cfRule type="cellIs" dxfId="3940" priority="449" stopIfTrue="1" operator="equal">
      <formula>$J$22</formula>
    </cfRule>
    <cfRule type="cellIs" dxfId="3939" priority="450" stopIfTrue="1" operator="lessThan">
      <formula>$J$22</formula>
    </cfRule>
  </conditionalFormatting>
  <conditionalFormatting sqref="K23">
    <cfRule type="cellIs" dxfId="3938" priority="451" stopIfTrue="1" operator="equal">
      <formula>$J$23</formula>
    </cfRule>
    <cfRule type="cellIs" dxfId="3937" priority="452" stopIfTrue="1" operator="lessThan">
      <formula>$J$23</formula>
    </cfRule>
  </conditionalFormatting>
  <conditionalFormatting sqref="K24">
    <cfRule type="cellIs" dxfId="3936" priority="453" stopIfTrue="1" operator="equal">
      <formula>$J$24</formula>
    </cfRule>
    <cfRule type="cellIs" dxfId="3935" priority="454" stopIfTrue="1" operator="lessThan">
      <formula>$J$24</formula>
    </cfRule>
  </conditionalFormatting>
  <conditionalFormatting sqref="K25">
    <cfRule type="cellIs" dxfId="3934" priority="455" stopIfTrue="1" operator="equal">
      <formula>$J$25</formula>
    </cfRule>
    <cfRule type="cellIs" dxfId="3933" priority="456" stopIfTrue="1" operator="lessThan">
      <formula>$J$25</formula>
    </cfRule>
  </conditionalFormatting>
  <conditionalFormatting sqref="K26">
    <cfRule type="cellIs" dxfId="3932" priority="457" stopIfTrue="1" operator="equal">
      <formula>$J$26</formula>
    </cfRule>
    <cfRule type="cellIs" dxfId="3931" priority="458" stopIfTrue="1" operator="lessThan">
      <formula>$J$26</formula>
    </cfRule>
  </conditionalFormatting>
  <conditionalFormatting sqref="K27">
    <cfRule type="cellIs" dxfId="3930" priority="459" stopIfTrue="1" operator="equal">
      <formula>$J$27</formula>
    </cfRule>
    <cfRule type="cellIs" dxfId="3929" priority="460" stopIfTrue="1" operator="lessThan">
      <formula>$J$27</formula>
    </cfRule>
  </conditionalFormatting>
  <conditionalFormatting sqref="K28">
    <cfRule type="cellIs" dxfId="3928" priority="461" stopIfTrue="1" operator="equal">
      <formula>$J$28</formula>
    </cfRule>
    <cfRule type="cellIs" dxfId="3927" priority="462" stopIfTrue="1" operator="lessThan">
      <formula>$J$28</formula>
    </cfRule>
  </conditionalFormatting>
  <conditionalFormatting sqref="L4">
    <cfRule type="cellIs" dxfId="3926" priority="463" stopIfTrue="1" operator="equal">
      <formula>$K$4</formula>
    </cfRule>
    <cfRule type="cellIs" dxfId="3925" priority="464" stopIfTrue="1" operator="lessThan">
      <formula>$K$4</formula>
    </cfRule>
  </conditionalFormatting>
  <conditionalFormatting sqref="L5">
    <cfRule type="cellIs" dxfId="3924" priority="465" stopIfTrue="1" operator="equal">
      <formula>$K$5</formula>
    </cfRule>
    <cfRule type="cellIs" dxfId="3923" priority="466" stopIfTrue="1" operator="lessThan">
      <formula>$K$5</formula>
    </cfRule>
  </conditionalFormatting>
  <conditionalFormatting sqref="L6">
    <cfRule type="cellIs" dxfId="3922" priority="467" stopIfTrue="1" operator="equal">
      <formula>$K$6</formula>
    </cfRule>
    <cfRule type="cellIs" dxfId="3921" priority="468" stopIfTrue="1" operator="lessThan">
      <formula>$K$6</formula>
    </cfRule>
  </conditionalFormatting>
  <conditionalFormatting sqref="L7">
    <cfRule type="cellIs" dxfId="3920" priority="469" stopIfTrue="1" operator="equal">
      <formula>$K$7</formula>
    </cfRule>
    <cfRule type="cellIs" dxfId="3919" priority="470" stopIfTrue="1" operator="lessThan">
      <formula>$K$7</formula>
    </cfRule>
  </conditionalFormatting>
  <conditionalFormatting sqref="L8">
    <cfRule type="cellIs" dxfId="3918" priority="471" stopIfTrue="1" operator="equal">
      <formula>$K$8</formula>
    </cfRule>
    <cfRule type="cellIs" dxfId="3917" priority="472" stopIfTrue="1" operator="lessThan">
      <formula>$K$8</formula>
    </cfRule>
  </conditionalFormatting>
  <conditionalFormatting sqref="L9">
    <cfRule type="cellIs" dxfId="3916" priority="473" stopIfTrue="1" operator="equal">
      <formula>$K$9</formula>
    </cfRule>
    <cfRule type="cellIs" dxfId="3915" priority="474" stopIfTrue="1" operator="lessThan">
      <formula>$K$9</formula>
    </cfRule>
  </conditionalFormatting>
  <conditionalFormatting sqref="L10">
    <cfRule type="cellIs" dxfId="3914" priority="475" stopIfTrue="1" operator="equal">
      <formula>$K$10</formula>
    </cfRule>
    <cfRule type="cellIs" dxfId="3913" priority="476" stopIfTrue="1" operator="lessThan">
      <formula>$K$10</formula>
    </cfRule>
  </conditionalFormatting>
  <conditionalFormatting sqref="L11">
    <cfRule type="cellIs" dxfId="3912" priority="477" stopIfTrue="1" operator="equal">
      <formula>$K$11</formula>
    </cfRule>
    <cfRule type="cellIs" dxfId="3911" priority="478" stopIfTrue="1" operator="lessThan">
      <formula>$K$11</formula>
    </cfRule>
  </conditionalFormatting>
  <conditionalFormatting sqref="L12">
    <cfRule type="cellIs" dxfId="3910" priority="479" stopIfTrue="1" operator="equal">
      <formula>$K$12</formula>
    </cfRule>
    <cfRule type="cellIs" dxfId="3909" priority="480" stopIfTrue="1" operator="lessThan">
      <formula>$K$12</formula>
    </cfRule>
  </conditionalFormatting>
  <conditionalFormatting sqref="L13">
    <cfRule type="cellIs" dxfId="3908" priority="481" stopIfTrue="1" operator="equal">
      <formula>$K$13</formula>
    </cfRule>
    <cfRule type="cellIs" dxfId="3907" priority="482" stopIfTrue="1" operator="lessThan">
      <formula>$K$13</formula>
    </cfRule>
  </conditionalFormatting>
  <conditionalFormatting sqref="L14">
    <cfRule type="cellIs" dxfId="3906" priority="483" stopIfTrue="1" operator="equal">
      <formula>$K$14</formula>
    </cfRule>
    <cfRule type="cellIs" dxfId="3905" priority="484" stopIfTrue="1" operator="lessThan">
      <formula>$K$14</formula>
    </cfRule>
  </conditionalFormatting>
  <conditionalFormatting sqref="L15">
    <cfRule type="cellIs" dxfId="3904" priority="485" stopIfTrue="1" operator="equal">
      <formula>$K$15</formula>
    </cfRule>
    <cfRule type="cellIs" dxfId="3903" priority="486" stopIfTrue="1" operator="lessThan">
      <formula>$K$15</formula>
    </cfRule>
  </conditionalFormatting>
  <conditionalFormatting sqref="L16">
    <cfRule type="cellIs" dxfId="3902" priority="487" stopIfTrue="1" operator="equal">
      <formula>$K$16</formula>
    </cfRule>
    <cfRule type="cellIs" dxfId="3901" priority="488" stopIfTrue="1" operator="lessThan">
      <formula>$K$16</formula>
    </cfRule>
  </conditionalFormatting>
  <conditionalFormatting sqref="L17">
    <cfRule type="cellIs" dxfId="3900" priority="489" stopIfTrue="1" operator="equal">
      <formula>$K$17</formula>
    </cfRule>
    <cfRule type="cellIs" dxfId="3899" priority="490" stopIfTrue="1" operator="lessThan">
      <formula>$K$17</formula>
    </cfRule>
  </conditionalFormatting>
  <conditionalFormatting sqref="L18">
    <cfRule type="cellIs" dxfId="3898" priority="491" stopIfTrue="1" operator="equal">
      <formula>$K$18</formula>
    </cfRule>
    <cfRule type="cellIs" dxfId="3897" priority="492" stopIfTrue="1" operator="lessThan">
      <formula>$K$18</formula>
    </cfRule>
  </conditionalFormatting>
  <conditionalFormatting sqref="L19">
    <cfRule type="cellIs" dxfId="3896" priority="493" stopIfTrue="1" operator="equal">
      <formula>$K$19</formula>
    </cfRule>
    <cfRule type="cellIs" dxfId="3895" priority="494" stopIfTrue="1" operator="lessThan">
      <formula>$K$19</formula>
    </cfRule>
  </conditionalFormatting>
  <conditionalFormatting sqref="L20">
    <cfRule type="cellIs" dxfId="3894" priority="495" stopIfTrue="1" operator="equal">
      <formula>$K$20</formula>
    </cfRule>
    <cfRule type="cellIs" dxfId="3893" priority="496" stopIfTrue="1" operator="lessThan">
      <formula>$K$20</formula>
    </cfRule>
  </conditionalFormatting>
  <conditionalFormatting sqref="L21">
    <cfRule type="cellIs" dxfId="3892" priority="497" stopIfTrue="1" operator="equal">
      <formula>$K$21</formula>
    </cfRule>
    <cfRule type="cellIs" dxfId="3891" priority="498" stopIfTrue="1" operator="lessThan">
      <formula>$K$21</formula>
    </cfRule>
  </conditionalFormatting>
  <conditionalFormatting sqref="L22">
    <cfRule type="cellIs" dxfId="3890" priority="499" stopIfTrue="1" operator="equal">
      <formula>$K$22</formula>
    </cfRule>
    <cfRule type="cellIs" dxfId="3889" priority="500" stopIfTrue="1" operator="lessThan">
      <formula>$K$22</formula>
    </cfRule>
  </conditionalFormatting>
  <conditionalFormatting sqref="L23">
    <cfRule type="cellIs" dxfId="3888" priority="501" stopIfTrue="1" operator="equal">
      <formula>$K$23</formula>
    </cfRule>
    <cfRule type="cellIs" dxfId="3887" priority="502" stopIfTrue="1" operator="lessThan">
      <formula>$K$23</formula>
    </cfRule>
  </conditionalFormatting>
  <conditionalFormatting sqref="L24">
    <cfRule type="cellIs" dxfId="3886" priority="503" stopIfTrue="1" operator="equal">
      <formula>$K$24</formula>
    </cfRule>
    <cfRule type="cellIs" dxfId="3885" priority="504" stopIfTrue="1" operator="lessThan">
      <formula>$K$24</formula>
    </cfRule>
  </conditionalFormatting>
  <conditionalFormatting sqref="L25">
    <cfRule type="cellIs" dxfId="3884" priority="505" stopIfTrue="1" operator="equal">
      <formula>$K$25</formula>
    </cfRule>
    <cfRule type="cellIs" dxfId="3883" priority="506" stopIfTrue="1" operator="lessThan">
      <formula>$K$25</formula>
    </cfRule>
  </conditionalFormatting>
  <conditionalFormatting sqref="L26">
    <cfRule type="cellIs" dxfId="3882" priority="507" stopIfTrue="1" operator="equal">
      <formula>$K$26</formula>
    </cfRule>
    <cfRule type="cellIs" dxfId="3881" priority="508" stopIfTrue="1" operator="lessThan">
      <formula>$K$26</formula>
    </cfRule>
  </conditionalFormatting>
  <conditionalFormatting sqref="L27">
    <cfRule type="cellIs" dxfId="3880" priority="509" stopIfTrue="1" operator="equal">
      <formula>$K$27</formula>
    </cfRule>
    <cfRule type="cellIs" dxfId="3879" priority="510" stopIfTrue="1" operator="lessThan">
      <formula>$K$27</formula>
    </cfRule>
  </conditionalFormatting>
  <conditionalFormatting sqref="L28">
    <cfRule type="cellIs" dxfId="3878" priority="511" stopIfTrue="1" operator="lessThan">
      <formula>$K$28</formula>
    </cfRule>
    <cfRule type="cellIs" dxfId="3877" priority="512" stopIfTrue="1" operator="equal">
      <formula>$K$28</formula>
    </cfRule>
  </conditionalFormatting>
  <conditionalFormatting sqref="M4">
    <cfRule type="cellIs" dxfId="3876" priority="513" stopIfTrue="1" operator="equal">
      <formula>$L$4</formula>
    </cfRule>
    <cfRule type="cellIs" dxfId="3875" priority="514" stopIfTrue="1" operator="lessThan">
      <formula>$L$4</formula>
    </cfRule>
  </conditionalFormatting>
  <conditionalFormatting sqref="M5">
    <cfRule type="cellIs" dxfId="3874" priority="515" stopIfTrue="1" operator="equal">
      <formula>$L$5</formula>
    </cfRule>
    <cfRule type="cellIs" dxfId="3873" priority="516" stopIfTrue="1" operator="lessThan">
      <formula>$L$5</formula>
    </cfRule>
  </conditionalFormatting>
  <conditionalFormatting sqref="M6">
    <cfRule type="cellIs" dxfId="3872" priority="517" stopIfTrue="1" operator="equal">
      <formula>$L$6</formula>
    </cfRule>
    <cfRule type="cellIs" dxfId="3871" priority="518" stopIfTrue="1" operator="lessThan">
      <formula>$L$6</formula>
    </cfRule>
  </conditionalFormatting>
  <conditionalFormatting sqref="M7">
    <cfRule type="cellIs" dxfId="3870" priority="519" stopIfTrue="1" operator="equal">
      <formula>$L$7</formula>
    </cfRule>
    <cfRule type="cellIs" dxfId="3869" priority="520" stopIfTrue="1" operator="lessThan">
      <formula>$L$7</formula>
    </cfRule>
  </conditionalFormatting>
  <conditionalFormatting sqref="M8">
    <cfRule type="cellIs" dxfId="3868" priority="521" stopIfTrue="1" operator="equal">
      <formula>$L$8</formula>
    </cfRule>
    <cfRule type="cellIs" dxfId="3867" priority="522" stopIfTrue="1" operator="lessThan">
      <formula>$L$8</formula>
    </cfRule>
  </conditionalFormatting>
  <conditionalFormatting sqref="M9">
    <cfRule type="cellIs" dxfId="3866" priority="523" stopIfTrue="1" operator="equal">
      <formula>$L$9</formula>
    </cfRule>
    <cfRule type="cellIs" dxfId="3865" priority="524" stopIfTrue="1" operator="lessThan">
      <formula>$L$9</formula>
    </cfRule>
  </conditionalFormatting>
  <conditionalFormatting sqref="M10">
    <cfRule type="cellIs" dxfId="3864" priority="525" stopIfTrue="1" operator="equal">
      <formula>$L$10</formula>
    </cfRule>
    <cfRule type="cellIs" dxfId="3863" priority="526" stopIfTrue="1" operator="lessThan">
      <formula>$L$10</formula>
    </cfRule>
  </conditionalFormatting>
  <conditionalFormatting sqref="M11">
    <cfRule type="cellIs" dxfId="3862" priority="547" stopIfTrue="1" operator="equal">
      <formula>$L$11</formula>
    </cfRule>
    <cfRule type="cellIs" dxfId="3861" priority="548" stopIfTrue="1" operator="lessThan">
      <formula>$L$11</formula>
    </cfRule>
  </conditionalFormatting>
  <conditionalFormatting sqref="M12">
    <cfRule type="cellIs" dxfId="3860" priority="527" stopIfTrue="1" operator="equal">
      <formula>$L$12</formula>
    </cfRule>
    <cfRule type="cellIs" dxfId="3859" priority="528" stopIfTrue="1" operator="lessThan">
      <formula>$L$12</formula>
    </cfRule>
  </conditionalFormatting>
  <conditionalFormatting sqref="M13">
    <cfRule type="cellIs" dxfId="3858" priority="529" stopIfTrue="1" operator="equal">
      <formula>$L$13</formula>
    </cfRule>
    <cfRule type="cellIs" dxfId="3857" priority="530" stopIfTrue="1" operator="lessThan">
      <formula>$L$13</formula>
    </cfRule>
  </conditionalFormatting>
  <conditionalFormatting sqref="M14">
    <cfRule type="cellIs" dxfId="3856" priority="531" stopIfTrue="1" operator="equal">
      <formula>$L$14</formula>
    </cfRule>
    <cfRule type="cellIs" dxfId="3855" priority="532" stopIfTrue="1" operator="lessThan">
      <formula>$L$14</formula>
    </cfRule>
  </conditionalFormatting>
  <conditionalFormatting sqref="M15">
    <cfRule type="cellIs" dxfId="3854" priority="533" stopIfTrue="1" operator="equal">
      <formula>$L$15</formula>
    </cfRule>
    <cfRule type="cellIs" dxfId="3853" priority="534" stopIfTrue="1" operator="lessThan">
      <formula>$L$15</formula>
    </cfRule>
  </conditionalFormatting>
  <conditionalFormatting sqref="M16">
    <cfRule type="cellIs" dxfId="3852" priority="535" stopIfTrue="1" operator="equal">
      <formula>$L$16</formula>
    </cfRule>
    <cfRule type="cellIs" dxfId="3851" priority="536" stopIfTrue="1" operator="lessThan">
      <formula>$L$16</formula>
    </cfRule>
  </conditionalFormatting>
  <conditionalFormatting sqref="M17">
    <cfRule type="cellIs" dxfId="3850" priority="537" stopIfTrue="1" operator="equal">
      <formula>$L$17</formula>
    </cfRule>
    <cfRule type="cellIs" dxfId="3849" priority="538" stopIfTrue="1" operator="lessThan">
      <formula>$L$17</formula>
    </cfRule>
  </conditionalFormatting>
  <conditionalFormatting sqref="M18">
    <cfRule type="cellIs" dxfId="3848" priority="539" stopIfTrue="1" operator="equal">
      <formula>$L$18</formula>
    </cfRule>
    <cfRule type="cellIs" dxfId="3847" priority="540" stopIfTrue="1" operator="lessThan">
      <formula>$L$18</formula>
    </cfRule>
  </conditionalFormatting>
  <conditionalFormatting sqref="M19">
    <cfRule type="cellIs" dxfId="3846" priority="541" stopIfTrue="1" operator="equal">
      <formula>$L$19</formula>
    </cfRule>
    <cfRule type="cellIs" dxfId="3845" priority="542" stopIfTrue="1" operator="lessThan">
      <formula>$L$19</formula>
    </cfRule>
  </conditionalFormatting>
  <conditionalFormatting sqref="M20">
    <cfRule type="cellIs" dxfId="3844" priority="543" stopIfTrue="1" operator="equal">
      <formula>$L$20</formula>
    </cfRule>
    <cfRule type="cellIs" dxfId="3843" priority="544" stopIfTrue="1" operator="lessThan">
      <formula>$L$20</formula>
    </cfRule>
  </conditionalFormatting>
  <conditionalFormatting sqref="M21">
    <cfRule type="cellIs" dxfId="3842" priority="545" stopIfTrue="1" operator="equal">
      <formula>$L$21</formula>
    </cfRule>
    <cfRule type="cellIs" dxfId="3841" priority="546" stopIfTrue="1" operator="lessThan">
      <formula>$L$21</formula>
    </cfRule>
  </conditionalFormatting>
  <conditionalFormatting sqref="M22">
    <cfRule type="cellIs" dxfId="3840" priority="549" stopIfTrue="1" operator="equal">
      <formula>$L$22</formula>
    </cfRule>
    <cfRule type="cellIs" dxfId="3839" priority="550" stopIfTrue="1" operator="lessThan">
      <formula>$L$22</formula>
    </cfRule>
  </conditionalFormatting>
  <conditionalFormatting sqref="M23">
    <cfRule type="cellIs" dxfId="3838" priority="551" stopIfTrue="1" operator="equal">
      <formula>$L$23</formula>
    </cfRule>
    <cfRule type="cellIs" dxfId="3837" priority="552" stopIfTrue="1" operator="lessThan">
      <formula>$L$23</formula>
    </cfRule>
  </conditionalFormatting>
  <conditionalFormatting sqref="M24">
    <cfRule type="cellIs" dxfId="3836" priority="553" stopIfTrue="1" operator="equal">
      <formula>$L$24</formula>
    </cfRule>
    <cfRule type="cellIs" dxfId="3835" priority="554" stopIfTrue="1" operator="lessThan">
      <formula>$L$24</formula>
    </cfRule>
  </conditionalFormatting>
  <conditionalFormatting sqref="M25">
    <cfRule type="cellIs" dxfId="3834" priority="555" stopIfTrue="1" operator="equal">
      <formula>$L$25</formula>
    </cfRule>
    <cfRule type="cellIs" dxfId="3833" priority="556" stopIfTrue="1" operator="lessThan">
      <formula>$L$25</formula>
    </cfRule>
  </conditionalFormatting>
  <conditionalFormatting sqref="M26">
    <cfRule type="cellIs" dxfId="3832" priority="557" stopIfTrue="1" operator="equal">
      <formula>$L$26</formula>
    </cfRule>
    <cfRule type="cellIs" dxfId="3831" priority="558" stopIfTrue="1" operator="lessThan">
      <formula>$L$26</formula>
    </cfRule>
  </conditionalFormatting>
  <conditionalFormatting sqref="M27">
    <cfRule type="cellIs" dxfId="3830" priority="559" stopIfTrue="1" operator="equal">
      <formula>$L$27</formula>
    </cfRule>
    <cfRule type="cellIs" dxfId="3829" priority="560" stopIfTrue="1" operator="lessThan">
      <formula>$L$27</formula>
    </cfRule>
  </conditionalFormatting>
  <conditionalFormatting sqref="M28">
    <cfRule type="cellIs" dxfId="3828" priority="561" stopIfTrue="1" operator="equal">
      <formula>$L$28</formula>
    </cfRule>
    <cfRule type="cellIs" dxfId="3827" priority="562" stopIfTrue="1" operator="lessThan">
      <formula>$L$28</formula>
    </cfRule>
  </conditionalFormatting>
  <conditionalFormatting sqref="N4">
    <cfRule type="cellIs" dxfId="3826" priority="563" stopIfTrue="1" operator="lessThan">
      <formula>$M$4</formula>
    </cfRule>
    <cfRule type="cellIs" dxfId="3825" priority="564" stopIfTrue="1" operator="equal">
      <formula>$M$4</formula>
    </cfRule>
  </conditionalFormatting>
  <conditionalFormatting sqref="N5">
    <cfRule type="cellIs" dxfId="3824" priority="565" stopIfTrue="1" operator="equal">
      <formula>$M$5</formula>
    </cfRule>
    <cfRule type="cellIs" dxfId="3823" priority="566" stopIfTrue="1" operator="lessThan">
      <formula>$M$5</formula>
    </cfRule>
  </conditionalFormatting>
  <conditionalFormatting sqref="N6">
    <cfRule type="cellIs" dxfId="3822" priority="567" stopIfTrue="1" operator="equal">
      <formula>$M$6</formula>
    </cfRule>
    <cfRule type="cellIs" dxfId="3821" priority="568" stopIfTrue="1" operator="lessThan">
      <formula>$M$6</formula>
    </cfRule>
  </conditionalFormatting>
  <conditionalFormatting sqref="N7">
    <cfRule type="cellIs" dxfId="3820" priority="569" stopIfTrue="1" operator="equal">
      <formula>$M$7</formula>
    </cfRule>
    <cfRule type="cellIs" dxfId="3819" priority="570" stopIfTrue="1" operator="lessThan">
      <formula>$M$7</formula>
    </cfRule>
  </conditionalFormatting>
  <conditionalFormatting sqref="N8">
    <cfRule type="cellIs" dxfId="3818" priority="571" stopIfTrue="1" operator="equal">
      <formula>$M$8</formula>
    </cfRule>
    <cfRule type="cellIs" dxfId="3817" priority="572" stopIfTrue="1" operator="lessThan">
      <formula>$M$8</formula>
    </cfRule>
  </conditionalFormatting>
  <conditionalFormatting sqref="N9">
    <cfRule type="cellIs" dxfId="3816" priority="573" stopIfTrue="1" operator="equal">
      <formula>$M$9</formula>
    </cfRule>
    <cfRule type="cellIs" dxfId="3815" priority="574" stopIfTrue="1" operator="lessThan">
      <formula>$M$9</formula>
    </cfRule>
  </conditionalFormatting>
  <conditionalFormatting sqref="N10">
    <cfRule type="cellIs" dxfId="3814" priority="575" stopIfTrue="1" operator="equal">
      <formula>$M$10</formula>
    </cfRule>
    <cfRule type="cellIs" dxfId="3813" priority="576" stopIfTrue="1" operator="lessThan">
      <formula>$M$10</formula>
    </cfRule>
  </conditionalFormatting>
  <conditionalFormatting sqref="N11">
    <cfRule type="cellIs" dxfId="3812" priority="577" stopIfTrue="1" operator="equal">
      <formula>$M$11</formula>
    </cfRule>
    <cfRule type="cellIs" dxfId="3811" priority="578" stopIfTrue="1" operator="lessThan">
      <formula>$M$11</formula>
    </cfRule>
  </conditionalFormatting>
  <conditionalFormatting sqref="N12">
    <cfRule type="cellIs" dxfId="3810" priority="579" stopIfTrue="1" operator="equal">
      <formula>$M$12</formula>
    </cfRule>
    <cfRule type="cellIs" dxfId="3809" priority="580" stopIfTrue="1" operator="lessThan">
      <formula>$M$12</formula>
    </cfRule>
  </conditionalFormatting>
  <conditionalFormatting sqref="N13">
    <cfRule type="cellIs" dxfId="3808" priority="581" stopIfTrue="1" operator="equal">
      <formula>$M$13</formula>
    </cfRule>
    <cfRule type="cellIs" dxfId="3807" priority="582" stopIfTrue="1" operator="lessThan">
      <formula>$M$13</formula>
    </cfRule>
  </conditionalFormatting>
  <conditionalFormatting sqref="N14">
    <cfRule type="cellIs" dxfId="3806" priority="583" stopIfTrue="1" operator="equal">
      <formula>$M$14</formula>
    </cfRule>
    <cfRule type="cellIs" dxfId="3805" priority="584" stopIfTrue="1" operator="lessThan">
      <formula>$M$14</formula>
    </cfRule>
  </conditionalFormatting>
  <conditionalFormatting sqref="N15">
    <cfRule type="cellIs" dxfId="3804" priority="585" stopIfTrue="1" operator="equal">
      <formula>$M$15</formula>
    </cfRule>
    <cfRule type="cellIs" dxfId="3803" priority="586" stopIfTrue="1" operator="lessThan">
      <formula>$M$15</formula>
    </cfRule>
  </conditionalFormatting>
  <conditionalFormatting sqref="N16">
    <cfRule type="cellIs" dxfId="3802" priority="587" stopIfTrue="1" operator="equal">
      <formula>$M$16</formula>
    </cfRule>
    <cfRule type="cellIs" dxfId="3801" priority="588" stopIfTrue="1" operator="lessThan">
      <formula>$M$16</formula>
    </cfRule>
  </conditionalFormatting>
  <conditionalFormatting sqref="N17">
    <cfRule type="cellIs" dxfId="3800" priority="589" stopIfTrue="1" operator="equal">
      <formula>$M$17</formula>
    </cfRule>
    <cfRule type="cellIs" dxfId="3799" priority="590" stopIfTrue="1" operator="lessThan">
      <formula>$M$17</formula>
    </cfRule>
  </conditionalFormatting>
  <conditionalFormatting sqref="N18">
    <cfRule type="cellIs" dxfId="3798" priority="591" stopIfTrue="1" operator="equal">
      <formula>$M$18</formula>
    </cfRule>
    <cfRule type="cellIs" dxfId="3797" priority="592" stopIfTrue="1" operator="lessThan">
      <formula>$M$18</formula>
    </cfRule>
  </conditionalFormatting>
  <conditionalFormatting sqref="N19">
    <cfRule type="cellIs" dxfId="3796" priority="593" stopIfTrue="1" operator="equal">
      <formula>$M$19</formula>
    </cfRule>
    <cfRule type="cellIs" dxfId="3795" priority="594" stopIfTrue="1" operator="lessThan">
      <formula>$M$19</formula>
    </cfRule>
  </conditionalFormatting>
  <conditionalFormatting sqref="N20">
    <cfRule type="cellIs" dxfId="3794" priority="595" stopIfTrue="1" operator="equal">
      <formula>$M$20</formula>
    </cfRule>
    <cfRule type="cellIs" dxfId="3793" priority="596" stopIfTrue="1" operator="lessThan">
      <formula>$M$20</formula>
    </cfRule>
  </conditionalFormatting>
  <conditionalFormatting sqref="N21">
    <cfRule type="cellIs" dxfId="3792" priority="597" stopIfTrue="1" operator="equal">
      <formula>$M$21</formula>
    </cfRule>
    <cfRule type="cellIs" dxfId="3791" priority="598" stopIfTrue="1" operator="lessThan">
      <formula>$M$21</formula>
    </cfRule>
  </conditionalFormatting>
  <conditionalFormatting sqref="N22">
    <cfRule type="cellIs" dxfId="3790" priority="599" stopIfTrue="1" operator="equal">
      <formula>$M$22</formula>
    </cfRule>
    <cfRule type="cellIs" dxfId="3789" priority="600" stopIfTrue="1" operator="lessThan">
      <formula>$M$22</formula>
    </cfRule>
  </conditionalFormatting>
  <conditionalFormatting sqref="N23">
    <cfRule type="cellIs" dxfId="3788" priority="601" stopIfTrue="1" operator="equal">
      <formula>$M$23</formula>
    </cfRule>
    <cfRule type="cellIs" dxfId="3787" priority="602" stopIfTrue="1" operator="lessThan">
      <formula>$M$23</formula>
    </cfRule>
  </conditionalFormatting>
  <conditionalFormatting sqref="N24">
    <cfRule type="cellIs" dxfId="3786" priority="603" stopIfTrue="1" operator="equal">
      <formula>$M$24</formula>
    </cfRule>
    <cfRule type="cellIs" dxfId="3785" priority="604" stopIfTrue="1" operator="lessThan">
      <formula>$M$24</formula>
    </cfRule>
  </conditionalFormatting>
  <conditionalFormatting sqref="N25">
    <cfRule type="cellIs" dxfId="3784" priority="605" stopIfTrue="1" operator="equal">
      <formula>$M$25</formula>
    </cfRule>
    <cfRule type="cellIs" dxfId="3783" priority="606" stopIfTrue="1" operator="lessThan">
      <formula>$M$25</formula>
    </cfRule>
  </conditionalFormatting>
  <conditionalFormatting sqref="N26">
    <cfRule type="cellIs" dxfId="3782" priority="607" stopIfTrue="1" operator="equal">
      <formula>$M$26</formula>
    </cfRule>
    <cfRule type="cellIs" dxfId="3781" priority="608" stopIfTrue="1" operator="lessThan">
      <formula>$M$26</formula>
    </cfRule>
  </conditionalFormatting>
  <conditionalFormatting sqref="N27">
    <cfRule type="cellIs" dxfId="3780" priority="609" stopIfTrue="1" operator="equal">
      <formula>$M$27</formula>
    </cfRule>
    <cfRule type="cellIs" dxfId="3779" priority="610" stopIfTrue="1" operator="lessThan">
      <formula>$M$27</formula>
    </cfRule>
  </conditionalFormatting>
  <conditionalFormatting sqref="N28">
    <cfRule type="cellIs" dxfId="3778" priority="611" stopIfTrue="1" operator="equal">
      <formula>$M$28</formula>
    </cfRule>
    <cfRule type="cellIs" dxfId="3777" priority="612" stopIfTrue="1" operator="lessThan">
      <formula>$M$28</formula>
    </cfRule>
  </conditionalFormatting>
  <conditionalFormatting sqref="O4">
    <cfRule type="cellIs" dxfId="3776" priority="613" stopIfTrue="1" operator="equal">
      <formula>$N$4</formula>
    </cfRule>
    <cfRule type="cellIs" dxfId="3775" priority="614" stopIfTrue="1" operator="lessThan">
      <formula>$N$4</formula>
    </cfRule>
  </conditionalFormatting>
  <conditionalFormatting sqref="O5">
    <cfRule type="cellIs" dxfId="3774" priority="615" stopIfTrue="1" operator="equal">
      <formula>$N$5</formula>
    </cfRule>
    <cfRule type="cellIs" dxfId="3773" priority="616" stopIfTrue="1" operator="lessThan">
      <formula>$N$5</formula>
    </cfRule>
  </conditionalFormatting>
  <conditionalFormatting sqref="O6">
    <cfRule type="cellIs" dxfId="3772" priority="617" stopIfTrue="1" operator="equal">
      <formula>$N$6</formula>
    </cfRule>
    <cfRule type="cellIs" dxfId="3771" priority="618" stopIfTrue="1" operator="lessThan">
      <formula>$N$6</formula>
    </cfRule>
  </conditionalFormatting>
  <conditionalFormatting sqref="O7">
    <cfRule type="cellIs" dxfId="3770" priority="619" stopIfTrue="1" operator="equal">
      <formula>$N$7</formula>
    </cfRule>
    <cfRule type="cellIs" dxfId="3769" priority="620" stopIfTrue="1" operator="lessThan">
      <formula>$N$7</formula>
    </cfRule>
  </conditionalFormatting>
  <conditionalFormatting sqref="O8">
    <cfRule type="cellIs" dxfId="3768" priority="621" stopIfTrue="1" operator="equal">
      <formula>$N$8</formula>
    </cfRule>
    <cfRule type="cellIs" dxfId="3767" priority="622" stopIfTrue="1" operator="lessThan">
      <formula>$N$8</formula>
    </cfRule>
  </conditionalFormatting>
  <conditionalFormatting sqref="O9">
    <cfRule type="cellIs" dxfId="3766" priority="623" stopIfTrue="1" operator="equal">
      <formula>$N$9</formula>
    </cfRule>
    <cfRule type="cellIs" dxfId="3765" priority="624" stopIfTrue="1" operator="lessThan">
      <formula>$N$9</formula>
    </cfRule>
  </conditionalFormatting>
  <conditionalFormatting sqref="O10">
    <cfRule type="cellIs" dxfId="3764" priority="625" stopIfTrue="1" operator="equal">
      <formula>$N$10</formula>
    </cfRule>
    <cfRule type="cellIs" dxfId="3763" priority="626" stopIfTrue="1" operator="lessThan">
      <formula>$N$10</formula>
    </cfRule>
  </conditionalFormatting>
  <conditionalFormatting sqref="O11">
    <cfRule type="cellIs" dxfId="3762" priority="627" stopIfTrue="1" operator="equal">
      <formula>$N$11</formula>
    </cfRule>
    <cfRule type="cellIs" dxfId="3761" priority="628" stopIfTrue="1" operator="lessThan">
      <formula>$N$11</formula>
    </cfRule>
  </conditionalFormatting>
  <conditionalFormatting sqref="O12">
    <cfRule type="cellIs" dxfId="3760" priority="629" stopIfTrue="1" operator="equal">
      <formula>$N$12</formula>
    </cfRule>
    <cfRule type="cellIs" dxfId="3759" priority="630" stopIfTrue="1" operator="lessThan">
      <formula>$N$12</formula>
    </cfRule>
  </conditionalFormatting>
  <conditionalFormatting sqref="O13">
    <cfRule type="cellIs" dxfId="3758" priority="631" stopIfTrue="1" operator="equal">
      <formula>$N$13</formula>
    </cfRule>
    <cfRule type="cellIs" dxfId="3757" priority="632" stopIfTrue="1" operator="lessThan">
      <formula>$N$13</formula>
    </cfRule>
  </conditionalFormatting>
  <conditionalFormatting sqref="O14">
    <cfRule type="cellIs" dxfId="3756" priority="633" stopIfTrue="1" operator="equal">
      <formula>$N$14</formula>
    </cfRule>
    <cfRule type="cellIs" dxfId="3755" priority="634" stopIfTrue="1" operator="lessThan">
      <formula>$N$14</formula>
    </cfRule>
  </conditionalFormatting>
  <conditionalFormatting sqref="O15">
    <cfRule type="cellIs" dxfId="3754" priority="635" stopIfTrue="1" operator="equal">
      <formula>$N$15</formula>
    </cfRule>
    <cfRule type="cellIs" dxfId="3753" priority="636" stopIfTrue="1" operator="lessThan">
      <formula>$N$15</formula>
    </cfRule>
  </conditionalFormatting>
  <conditionalFormatting sqref="O16">
    <cfRule type="cellIs" dxfId="3752" priority="637" stopIfTrue="1" operator="equal">
      <formula>$N$16</formula>
    </cfRule>
    <cfRule type="cellIs" dxfId="3751" priority="638" stopIfTrue="1" operator="lessThan">
      <formula>$N$16</formula>
    </cfRule>
  </conditionalFormatting>
  <conditionalFormatting sqref="O17">
    <cfRule type="cellIs" dxfId="3750" priority="639" stopIfTrue="1" operator="equal">
      <formula>$N$17</formula>
    </cfRule>
    <cfRule type="cellIs" dxfId="3749" priority="640" stopIfTrue="1" operator="lessThan">
      <formula>$N$17</formula>
    </cfRule>
  </conditionalFormatting>
  <conditionalFormatting sqref="O18">
    <cfRule type="cellIs" dxfId="3748" priority="641" stopIfTrue="1" operator="equal">
      <formula>$N$18</formula>
    </cfRule>
    <cfRule type="cellIs" dxfId="3747" priority="642" stopIfTrue="1" operator="lessThan">
      <formula>$N$18</formula>
    </cfRule>
  </conditionalFormatting>
  <conditionalFormatting sqref="O19">
    <cfRule type="cellIs" dxfId="3746" priority="643" stopIfTrue="1" operator="equal">
      <formula>$N$19</formula>
    </cfRule>
    <cfRule type="cellIs" dxfId="3745" priority="644" stopIfTrue="1" operator="lessThan">
      <formula>$N$19</formula>
    </cfRule>
  </conditionalFormatting>
  <conditionalFormatting sqref="O20">
    <cfRule type="cellIs" dxfId="3744" priority="645" stopIfTrue="1" operator="equal">
      <formula>$N$20</formula>
    </cfRule>
    <cfRule type="cellIs" dxfId="3743" priority="646" stopIfTrue="1" operator="lessThan">
      <formula>$N$20</formula>
    </cfRule>
  </conditionalFormatting>
  <conditionalFormatting sqref="O21">
    <cfRule type="cellIs" dxfId="3742" priority="647" stopIfTrue="1" operator="equal">
      <formula>$N$21</formula>
    </cfRule>
    <cfRule type="cellIs" dxfId="3741" priority="648" stopIfTrue="1" operator="lessThan">
      <formula>$N$21</formula>
    </cfRule>
  </conditionalFormatting>
  <conditionalFormatting sqref="O22">
    <cfRule type="cellIs" dxfId="3740" priority="649" stopIfTrue="1" operator="equal">
      <formula>$N$22</formula>
    </cfRule>
    <cfRule type="cellIs" dxfId="3739" priority="650" stopIfTrue="1" operator="lessThan">
      <formula>$N$22</formula>
    </cfRule>
  </conditionalFormatting>
  <conditionalFormatting sqref="O23">
    <cfRule type="cellIs" dxfId="3738" priority="651" stopIfTrue="1" operator="equal">
      <formula>$N$23</formula>
    </cfRule>
    <cfRule type="cellIs" dxfId="3737" priority="652" stopIfTrue="1" operator="lessThan">
      <formula>$N$23</formula>
    </cfRule>
  </conditionalFormatting>
  <conditionalFormatting sqref="O24">
    <cfRule type="cellIs" dxfId="3736" priority="653" stopIfTrue="1" operator="equal">
      <formula>$N$24</formula>
    </cfRule>
    <cfRule type="cellIs" dxfId="3735" priority="654" stopIfTrue="1" operator="lessThan">
      <formula>$N$24</formula>
    </cfRule>
  </conditionalFormatting>
  <conditionalFormatting sqref="O25">
    <cfRule type="cellIs" dxfId="3734" priority="655" stopIfTrue="1" operator="equal">
      <formula>$N$25</formula>
    </cfRule>
    <cfRule type="cellIs" dxfId="3733" priority="656" stopIfTrue="1" operator="lessThan">
      <formula>$N$25</formula>
    </cfRule>
  </conditionalFormatting>
  <conditionalFormatting sqref="O26">
    <cfRule type="cellIs" dxfId="3732" priority="657" stopIfTrue="1" operator="equal">
      <formula>$N$26</formula>
    </cfRule>
    <cfRule type="cellIs" dxfId="3731" priority="658" stopIfTrue="1" operator="lessThan">
      <formula>$N$26</formula>
    </cfRule>
  </conditionalFormatting>
  <conditionalFormatting sqref="O27">
    <cfRule type="cellIs" dxfId="3730" priority="659" stopIfTrue="1" operator="equal">
      <formula>$N$27</formula>
    </cfRule>
    <cfRule type="cellIs" dxfId="3729" priority="660" stopIfTrue="1" operator="lessThan">
      <formula>$N$27</formula>
    </cfRule>
  </conditionalFormatting>
  <conditionalFormatting sqref="O28">
    <cfRule type="cellIs" dxfId="3728" priority="661" stopIfTrue="1" operator="equal">
      <formula>$N$28</formula>
    </cfRule>
    <cfRule type="cellIs" dxfId="3727" priority="662" stopIfTrue="1" operator="lessThan">
      <formula>$N$28</formula>
    </cfRule>
  </conditionalFormatting>
  <conditionalFormatting sqref="P4">
    <cfRule type="cellIs" dxfId="3726" priority="663" stopIfTrue="1" operator="equal">
      <formula>$O$4</formula>
    </cfRule>
    <cfRule type="cellIs" dxfId="3725" priority="664" stopIfTrue="1" operator="lessThan">
      <formula>$O$4</formula>
    </cfRule>
  </conditionalFormatting>
  <conditionalFormatting sqref="P5">
    <cfRule type="cellIs" dxfId="3724" priority="665" stopIfTrue="1" operator="equal">
      <formula>$O$5</formula>
    </cfRule>
    <cfRule type="cellIs" dxfId="3723" priority="666" stopIfTrue="1" operator="lessThan">
      <formula>$O$5</formula>
    </cfRule>
  </conditionalFormatting>
  <conditionalFormatting sqref="P6">
    <cfRule type="cellIs" dxfId="3722" priority="667" stopIfTrue="1" operator="equal">
      <formula>$O$6</formula>
    </cfRule>
    <cfRule type="cellIs" dxfId="3721" priority="668" stopIfTrue="1" operator="lessThan">
      <formula>$O$6</formula>
    </cfRule>
  </conditionalFormatting>
  <conditionalFormatting sqref="P7">
    <cfRule type="cellIs" dxfId="3720" priority="669" stopIfTrue="1" operator="equal">
      <formula>$O$7</formula>
    </cfRule>
    <cfRule type="cellIs" dxfId="3719" priority="670" stopIfTrue="1" operator="lessThan">
      <formula>$O$7</formula>
    </cfRule>
  </conditionalFormatting>
  <conditionalFormatting sqref="P8">
    <cfRule type="cellIs" dxfId="3718" priority="671" stopIfTrue="1" operator="equal">
      <formula>$O$8</formula>
    </cfRule>
    <cfRule type="cellIs" dxfId="3717" priority="672" stopIfTrue="1" operator="lessThan">
      <formula>$O$8</formula>
    </cfRule>
  </conditionalFormatting>
  <conditionalFormatting sqref="P9">
    <cfRule type="cellIs" dxfId="3716" priority="673" stopIfTrue="1" operator="equal">
      <formula>$O$9</formula>
    </cfRule>
    <cfRule type="cellIs" dxfId="3715" priority="674" stopIfTrue="1" operator="lessThan">
      <formula>$O$9</formula>
    </cfRule>
  </conditionalFormatting>
  <conditionalFormatting sqref="P10">
    <cfRule type="cellIs" dxfId="3714" priority="675" stopIfTrue="1" operator="equal">
      <formula>$O$10</formula>
    </cfRule>
    <cfRule type="cellIs" dxfId="3713" priority="676" stopIfTrue="1" operator="lessThan">
      <formula>$O$10</formula>
    </cfRule>
  </conditionalFormatting>
  <conditionalFormatting sqref="P11">
    <cfRule type="cellIs" dxfId="3712" priority="677" stopIfTrue="1" operator="equal">
      <formula>$O$11</formula>
    </cfRule>
    <cfRule type="cellIs" dxfId="3711" priority="678" stopIfTrue="1" operator="lessThan">
      <formula>$O$11</formula>
    </cfRule>
  </conditionalFormatting>
  <conditionalFormatting sqref="P12">
    <cfRule type="cellIs" dxfId="3710" priority="679" stopIfTrue="1" operator="equal">
      <formula>$O$12</formula>
    </cfRule>
    <cfRule type="cellIs" dxfId="3709" priority="680" stopIfTrue="1" operator="lessThan">
      <formula>$O$12</formula>
    </cfRule>
  </conditionalFormatting>
  <conditionalFormatting sqref="P13">
    <cfRule type="cellIs" dxfId="3708" priority="681" stopIfTrue="1" operator="equal">
      <formula>$O$13</formula>
    </cfRule>
    <cfRule type="cellIs" dxfId="3707" priority="682" stopIfTrue="1" operator="lessThan">
      <formula>$O$13</formula>
    </cfRule>
  </conditionalFormatting>
  <conditionalFormatting sqref="P14">
    <cfRule type="cellIs" dxfId="3706" priority="683" stopIfTrue="1" operator="equal">
      <formula>$O$14</formula>
    </cfRule>
    <cfRule type="cellIs" dxfId="3705" priority="684" stopIfTrue="1" operator="lessThan">
      <formula>$O$14</formula>
    </cfRule>
  </conditionalFormatting>
  <conditionalFormatting sqref="P15">
    <cfRule type="cellIs" dxfId="3704" priority="685" stopIfTrue="1" operator="equal">
      <formula>$O$15</formula>
    </cfRule>
    <cfRule type="cellIs" dxfId="3703" priority="686" stopIfTrue="1" operator="lessThan">
      <formula>$O$15</formula>
    </cfRule>
  </conditionalFormatting>
  <conditionalFormatting sqref="P16">
    <cfRule type="cellIs" dxfId="3702" priority="687" stopIfTrue="1" operator="equal">
      <formula>$O$16</formula>
    </cfRule>
    <cfRule type="cellIs" dxfId="3701" priority="688" stopIfTrue="1" operator="lessThan">
      <formula>$O$16</formula>
    </cfRule>
  </conditionalFormatting>
  <conditionalFormatting sqref="P17">
    <cfRule type="cellIs" dxfId="3700" priority="689" stopIfTrue="1" operator="equal">
      <formula>$O$17</formula>
    </cfRule>
    <cfRule type="cellIs" dxfId="3699" priority="690" stopIfTrue="1" operator="lessThan">
      <formula>$O$17</formula>
    </cfRule>
  </conditionalFormatting>
  <conditionalFormatting sqref="P18">
    <cfRule type="cellIs" dxfId="3698" priority="691" stopIfTrue="1" operator="equal">
      <formula>$O$18</formula>
    </cfRule>
    <cfRule type="cellIs" dxfId="3697" priority="692" stopIfTrue="1" operator="lessThan">
      <formula>$O$18</formula>
    </cfRule>
  </conditionalFormatting>
  <conditionalFormatting sqref="P19">
    <cfRule type="cellIs" dxfId="3696" priority="693" stopIfTrue="1" operator="equal">
      <formula>$O$19</formula>
    </cfRule>
    <cfRule type="cellIs" dxfId="3695" priority="694" stopIfTrue="1" operator="lessThan">
      <formula>$O$19</formula>
    </cfRule>
  </conditionalFormatting>
  <conditionalFormatting sqref="P20">
    <cfRule type="cellIs" dxfId="3694" priority="695" stopIfTrue="1" operator="equal">
      <formula>$O$20</formula>
    </cfRule>
    <cfRule type="cellIs" dxfId="3693" priority="696" stopIfTrue="1" operator="lessThan">
      <formula>$O$20</formula>
    </cfRule>
  </conditionalFormatting>
  <conditionalFormatting sqref="P21">
    <cfRule type="cellIs" dxfId="3692" priority="697" stopIfTrue="1" operator="equal">
      <formula>$O$21</formula>
    </cfRule>
    <cfRule type="cellIs" dxfId="3691" priority="698" stopIfTrue="1" operator="lessThan">
      <formula>$O$21</formula>
    </cfRule>
  </conditionalFormatting>
  <conditionalFormatting sqref="P22">
    <cfRule type="cellIs" dxfId="3690" priority="699" stopIfTrue="1" operator="equal">
      <formula>$O$22</formula>
    </cfRule>
    <cfRule type="cellIs" dxfId="3689" priority="700" stopIfTrue="1" operator="lessThan">
      <formula>$O$22</formula>
    </cfRule>
  </conditionalFormatting>
  <conditionalFormatting sqref="P23">
    <cfRule type="cellIs" dxfId="3688" priority="701" stopIfTrue="1" operator="equal">
      <formula>$O$23</formula>
    </cfRule>
    <cfRule type="cellIs" dxfId="3687" priority="702" stopIfTrue="1" operator="lessThan">
      <formula>$O$23</formula>
    </cfRule>
  </conditionalFormatting>
  <conditionalFormatting sqref="P24">
    <cfRule type="cellIs" dxfId="3686" priority="703" stopIfTrue="1" operator="equal">
      <formula>$O$24</formula>
    </cfRule>
    <cfRule type="cellIs" dxfId="3685" priority="704" stopIfTrue="1" operator="lessThan">
      <formula>$O$24</formula>
    </cfRule>
  </conditionalFormatting>
  <conditionalFormatting sqref="P25">
    <cfRule type="cellIs" dxfId="3684" priority="705" stopIfTrue="1" operator="equal">
      <formula>$O$25</formula>
    </cfRule>
    <cfRule type="cellIs" dxfId="3683" priority="706" stopIfTrue="1" operator="lessThan">
      <formula>$O$25</formula>
    </cfRule>
  </conditionalFormatting>
  <conditionalFormatting sqref="P26">
    <cfRule type="cellIs" dxfId="3682" priority="707" stopIfTrue="1" operator="equal">
      <formula>$O$26</formula>
    </cfRule>
    <cfRule type="cellIs" dxfId="3681" priority="708" stopIfTrue="1" operator="lessThan">
      <formula>$O$26</formula>
    </cfRule>
  </conditionalFormatting>
  <conditionalFormatting sqref="P27">
    <cfRule type="cellIs" dxfId="3680" priority="709" stopIfTrue="1" operator="equal">
      <formula>$O$27</formula>
    </cfRule>
    <cfRule type="cellIs" dxfId="3679" priority="710" stopIfTrue="1" operator="lessThan">
      <formula>$O$27</formula>
    </cfRule>
  </conditionalFormatting>
  <conditionalFormatting sqref="P28">
    <cfRule type="cellIs" dxfId="3678" priority="711" stopIfTrue="1" operator="equal">
      <formula>$O$28</formula>
    </cfRule>
    <cfRule type="cellIs" dxfId="3677" priority="712" stopIfTrue="1" operator="lessThan">
      <formula>$O$28</formula>
    </cfRule>
  </conditionalFormatting>
  <conditionalFormatting sqref="V54:AG63 V33:AG37 V40:AG49 V4:AG23">
    <cfRule type="cellIs" dxfId="3676" priority="1" operator="lessThan">
      <formula>0</formula>
    </cfRule>
  </conditionalFormatting>
  <pageMargins left="0.43307086614173229" right="0.27559055118110237" top="0.27559055118110237" bottom="0.39370078740157483" header="0.51181102362204722" footer="0.51181102362204722"/>
  <pageSetup paperSize="9" firstPageNumber="0" orientation="landscape" r:id="rId1"/>
  <headerFooter alignWithMargins="0"/>
  <colBreaks count="1" manualBreakCount="1">
    <brk id="12" max="4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7"/>
  <sheetViews>
    <sheetView zoomScaleSheetLayoutView="100" workbookViewId="0">
      <selection activeCell="O2" sqref="O2"/>
    </sheetView>
  </sheetViews>
  <sheetFormatPr defaultRowHeight="14.5" x14ac:dyDescent="0.35"/>
  <cols>
    <col min="1" max="1" width="8.54296875" style="1" customWidth="1"/>
    <col min="2" max="2" width="26.1796875" customWidth="1"/>
    <col min="3" max="15" width="10.1796875" customWidth="1"/>
    <col min="16" max="16" width="9.26953125" bestFit="1" customWidth="1"/>
    <col min="19" max="19" width="3" customWidth="1"/>
  </cols>
  <sheetData>
    <row r="1" spans="1:32" ht="15" thickBot="1" x14ac:dyDescent="0.4"/>
    <row r="2" spans="1:32" s="1" customFormat="1" ht="21" customHeight="1" thickBot="1" x14ac:dyDescent="0.55000000000000004">
      <c r="A2" s="112">
        <v>1852</v>
      </c>
      <c r="B2" s="2"/>
      <c r="C2" s="3">
        <f>'1850'!C2</f>
        <v>45658</v>
      </c>
      <c r="D2" s="3">
        <f>'1850'!D2</f>
        <v>45688</v>
      </c>
      <c r="E2" s="3">
        <f>'1850'!E2</f>
        <v>45716</v>
      </c>
      <c r="F2" s="3">
        <f>'1850'!F2</f>
        <v>45748</v>
      </c>
      <c r="G2" s="3">
        <f>'1850'!G2</f>
        <v>45779</v>
      </c>
      <c r="H2" s="3">
        <f>'1850'!H2</f>
        <v>45810</v>
      </c>
      <c r="I2" s="3">
        <f>'1850'!I2</f>
        <v>45839</v>
      </c>
      <c r="J2" s="3">
        <f>'1850'!J2</f>
        <v>45870</v>
      </c>
      <c r="K2" s="3">
        <f>'1850'!K2</f>
        <v>45901</v>
      </c>
      <c r="L2" s="3">
        <f>'1850'!L2</f>
        <v>45931</v>
      </c>
      <c r="M2" s="3">
        <f>'1850'!M2</f>
        <v>45961</v>
      </c>
      <c r="N2" s="3">
        <f>'1850'!N2</f>
        <v>45992</v>
      </c>
      <c r="O2" s="3">
        <f>'1850'!O2</f>
        <v>46022</v>
      </c>
      <c r="P2" s="1" t="s">
        <v>0</v>
      </c>
      <c r="Q2" s="1" t="s">
        <v>1</v>
      </c>
      <c r="R2" s="1" t="s">
        <v>27</v>
      </c>
      <c r="U2" s="142"/>
      <c r="V2" s="143"/>
      <c r="W2" s="143"/>
      <c r="X2" s="143"/>
      <c r="Y2" s="143" t="s">
        <v>106</v>
      </c>
      <c r="Z2" s="143"/>
      <c r="AA2" s="143"/>
      <c r="AB2" s="143"/>
      <c r="AC2" s="143"/>
      <c r="AD2" s="143"/>
      <c r="AE2" s="143"/>
      <c r="AF2" s="147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79</v>
      </c>
      <c r="Q3" s="1" t="s">
        <v>78</v>
      </c>
      <c r="R3" s="1" t="s">
        <v>80</v>
      </c>
      <c r="T3" s="1" t="s">
        <v>105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303">
        <v>1</v>
      </c>
      <c r="B4" s="6" t="s">
        <v>363</v>
      </c>
      <c r="C4" s="76">
        <v>12.545</v>
      </c>
      <c r="D4" s="7">
        <v>22.7</v>
      </c>
      <c r="E4" s="7">
        <v>33.384</v>
      </c>
      <c r="F4" s="7">
        <v>45.360999999999997</v>
      </c>
      <c r="G4" s="7">
        <v>56.854999999999997</v>
      </c>
      <c r="H4" s="7">
        <v>66.477999999999994</v>
      </c>
      <c r="I4" s="7">
        <v>75.42</v>
      </c>
      <c r="J4" s="7">
        <v>84.430999999999997</v>
      </c>
      <c r="K4" s="7">
        <v>95.787999999999997</v>
      </c>
      <c r="L4" s="8">
        <v>106.596</v>
      </c>
      <c r="M4" s="7">
        <v>114.09099999999999</v>
      </c>
      <c r="N4" s="7">
        <v>122.075</v>
      </c>
      <c r="O4" s="7">
        <v>132.85499999999999</v>
      </c>
      <c r="P4" s="9">
        <f>O4-C4</f>
        <v>120.30999999999999</v>
      </c>
      <c r="T4" s="1">
        <v>1</v>
      </c>
      <c r="U4" s="144">
        <f t="shared" ref="U4:AF4" si="0">D4-C4</f>
        <v>10.154999999999999</v>
      </c>
      <c r="V4" s="144">
        <f t="shared" si="0"/>
        <v>10.684000000000001</v>
      </c>
      <c r="W4" s="144">
        <f t="shared" si="0"/>
        <v>11.976999999999997</v>
      </c>
      <c r="X4" s="144">
        <f t="shared" si="0"/>
        <v>11.494</v>
      </c>
      <c r="Y4" s="144">
        <f t="shared" si="0"/>
        <v>9.6229999999999976</v>
      </c>
      <c r="Z4" s="144">
        <f t="shared" si="0"/>
        <v>8.9420000000000073</v>
      </c>
      <c r="AA4" s="144">
        <f t="shared" si="0"/>
        <v>9.0109999999999957</v>
      </c>
      <c r="AB4" s="144">
        <f t="shared" si="0"/>
        <v>11.356999999999999</v>
      </c>
      <c r="AC4" s="144">
        <f t="shared" si="0"/>
        <v>10.808000000000007</v>
      </c>
      <c r="AD4" s="144">
        <f t="shared" si="0"/>
        <v>7.4949999999999903</v>
      </c>
      <c r="AE4" s="144">
        <f t="shared" si="0"/>
        <v>7.9840000000000089</v>
      </c>
      <c r="AF4" s="144">
        <f t="shared" si="0"/>
        <v>10.779999999999987</v>
      </c>
    </row>
    <row r="5" spans="1:32" x14ac:dyDescent="0.35">
      <c r="A5" s="303"/>
      <c r="B5" s="10" t="s">
        <v>211</v>
      </c>
      <c r="C5" s="77">
        <v>76.346000000000004</v>
      </c>
      <c r="D5" s="11">
        <v>80.653000000000006</v>
      </c>
      <c r="E5" s="11">
        <v>84.683000000000007</v>
      </c>
      <c r="F5" s="11">
        <v>87.673000000000002</v>
      </c>
      <c r="G5" s="11">
        <v>89.168000000000006</v>
      </c>
      <c r="H5" s="11">
        <v>89.873000000000005</v>
      </c>
      <c r="I5" s="11">
        <v>90.432000000000002</v>
      </c>
      <c r="J5" s="11">
        <v>90.941999999999993</v>
      </c>
      <c r="K5" s="11">
        <v>91.554000000000002</v>
      </c>
      <c r="L5" s="12">
        <v>92.241</v>
      </c>
      <c r="M5" s="11">
        <v>94.08</v>
      </c>
      <c r="N5" s="11">
        <v>97.757000000000005</v>
      </c>
      <c r="O5" s="11">
        <v>101.95399999999999</v>
      </c>
      <c r="P5" s="9"/>
      <c r="Q5" s="9">
        <f>O5-C5</f>
        <v>25.60799999999999</v>
      </c>
      <c r="T5" s="1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</row>
    <row r="6" spans="1:32" x14ac:dyDescent="0.35">
      <c r="A6" s="302">
        <v>2</v>
      </c>
      <c r="B6" s="10" t="s">
        <v>364</v>
      </c>
      <c r="C6" s="77">
        <v>5.2850000000000001</v>
      </c>
      <c r="D6" s="11">
        <v>11.657999999999999</v>
      </c>
      <c r="E6" s="11">
        <v>17.63</v>
      </c>
      <c r="F6" s="11">
        <v>23.555</v>
      </c>
      <c r="G6" s="11">
        <v>29.837</v>
      </c>
      <c r="H6" s="11">
        <v>35.683</v>
      </c>
      <c r="I6" s="11">
        <v>40.609000000000002</v>
      </c>
      <c r="J6" s="11">
        <v>45.701999999999998</v>
      </c>
      <c r="K6" s="11">
        <v>49.01</v>
      </c>
      <c r="L6" s="11">
        <v>55.905999999999999</v>
      </c>
      <c r="M6" s="11">
        <v>62.780999999999999</v>
      </c>
      <c r="N6" s="11">
        <v>69.209999999999994</v>
      </c>
      <c r="O6" s="11">
        <v>70.296000000000006</v>
      </c>
      <c r="P6" s="9">
        <f t="shared" ref="P6" si="1">O6-C6</f>
        <v>65.01100000000001</v>
      </c>
      <c r="T6" s="1">
        <v>2</v>
      </c>
      <c r="U6" s="146">
        <f t="shared" ref="U6:AF6" si="2">D6-C6</f>
        <v>6.3729999999999993</v>
      </c>
      <c r="V6" s="146">
        <f t="shared" si="2"/>
        <v>5.9719999999999995</v>
      </c>
      <c r="W6" s="146">
        <f t="shared" si="2"/>
        <v>5.9250000000000007</v>
      </c>
      <c r="X6" s="146">
        <f t="shared" si="2"/>
        <v>6.282</v>
      </c>
      <c r="Y6" s="146">
        <f t="shared" si="2"/>
        <v>5.8460000000000001</v>
      </c>
      <c r="Z6" s="146">
        <f t="shared" si="2"/>
        <v>4.9260000000000019</v>
      </c>
      <c r="AA6" s="146">
        <f t="shared" si="2"/>
        <v>5.0929999999999964</v>
      </c>
      <c r="AB6" s="146">
        <f t="shared" si="2"/>
        <v>3.3079999999999998</v>
      </c>
      <c r="AC6" s="146">
        <f t="shared" si="2"/>
        <v>6.8960000000000008</v>
      </c>
      <c r="AD6" s="146">
        <f t="shared" si="2"/>
        <v>6.875</v>
      </c>
      <c r="AE6" s="146">
        <f t="shared" si="2"/>
        <v>6.4289999999999949</v>
      </c>
      <c r="AF6" s="146">
        <f t="shared" si="2"/>
        <v>1.0860000000000127</v>
      </c>
    </row>
    <row r="7" spans="1:32" x14ac:dyDescent="0.35">
      <c r="A7" s="302"/>
      <c r="B7" s="10" t="s">
        <v>212</v>
      </c>
      <c r="C7" s="77">
        <v>35.462000000000003</v>
      </c>
      <c r="D7" s="11">
        <v>37.933999999999997</v>
      </c>
      <c r="E7" s="11">
        <v>40.466000000000001</v>
      </c>
      <c r="F7" s="11">
        <v>41.454000000000001</v>
      </c>
      <c r="G7" s="11">
        <v>42.072000000000003</v>
      </c>
      <c r="H7" s="11">
        <v>42.616999999999997</v>
      </c>
      <c r="I7" s="11">
        <v>42.933</v>
      </c>
      <c r="J7" s="11">
        <v>43.228000000000002</v>
      </c>
      <c r="K7" s="11">
        <v>43.414000000000001</v>
      </c>
      <c r="L7" s="11">
        <v>43.875</v>
      </c>
      <c r="M7" s="11">
        <v>45.145000000000003</v>
      </c>
      <c r="N7" s="11">
        <v>48.511000000000003</v>
      </c>
      <c r="O7" s="11">
        <v>53.345999999999997</v>
      </c>
      <c r="P7" s="9"/>
      <c r="Q7" s="9">
        <f>O7-C7</f>
        <v>17.883999999999993</v>
      </c>
      <c r="T7" s="1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</row>
    <row r="8" spans="1:32" x14ac:dyDescent="0.35">
      <c r="A8" s="314">
        <v>3</v>
      </c>
      <c r="B8" s="10" t="s">
        <v>365</v>
      </c>
      <c r="C8" s="77">
        <v>12.117000000000001</v>
      </c>
      <c r="D8" s="11">
        <v>22.844999999999999</v>
      </c>
      <c r="E8" s="11">
        <v>33.357999999999997</v>
      </c>
      <c r="F8" s="11">
        <v>45.982999999999997</v>
      </c>
      <c r="G8" s="11">
        <v>54.61</v>
      </c>
      <c r="H8" s="11">
        <v>66.849999999999994</v>
      </c>
      <c r="I8" s="11">
        <v>73.489999999999995</v>
      </c>
      <c r="J8" s="11">
        <v>86.549000000000007</v>
      </c>
      <c r="K8" s="11">
        <v>99.605999999999995</v>
      </c>
      <c r="L8" s="11">
        <v>112.38800000000001</v>
      </c>
      <c r="M8" s="11">
        <v>125.045</v>
      </c>
      <c r="N8" s="11">
        <v>137.67699999999999</v>
      </c>
      <c r="O8" s="11">
        <v>150.035</v>
      </c>
      <c r="P8" s="9">
        <f t="shared" ref="P8" si="3">O8-C8</f>
        <v>137.91800000000001</v>
      </c>
      <c r="T8" s="1">
        <v>3</v>
      </c>
      <c r="U8" s="146">
        <f t="shared" ref="U8:AF8" si="4">D8-C8</f>
        <v>10.727999999999998</v>
      </c>
      <c r="V8" s="146">
        <f t="shared" si="4"/>
        <v>10.512999999999998</v>
      </c>
      <c r="W8" s="146">
        <f t="shared" si="4"/>
        <v>12.625</v>
      </c>
      <c r="X8" s="146">
        <f t="shared" si="4"/>
        <v>8.6270000000000024</v>
      </c>
      <c r="Y8" s="146">
        <f t="shared" si="4"/>
        <v>12.239999999999995</v>
      </c>
      <c r="Z8" s="146">
        <f t="shared" si="4"/>
        <v>6.6400000000000006</v>
      </c>
      <c r="AA8" s="146">
        <f t="shared" si="4"/>
        <v>13.059000000000012</v>
      </c>
      <c r="AB8" s="146">
        <f t="shared" si="4"/>
        <v>13.056999999999988</v>
      </c>
      <c r="AC8" s="146">
        <f t="shared" si="4"/>
        <v>12.782000000000011</v>
      </c>
      <c r="AD8" s="146">
        <f t="shared" si="4"/>
        <v>12.656999999999996</v>
      </c>
      <c r="AE8" s="146">
        <f t="shared" si="4"/>
        <v>12.631999999999991</v>
      </c>
      <c r="AF8" s="146">
        <f t="shared" si="4"/>
        <v>12.358000000000004</v>
      </c>
    </row>
    <row r="9" spans="1:32" x14ac:dyDescent="0.35">
      <c r="A9" s="314"/>
      <c r="B9" s="10" t="s">
        <v>213</v>
      </c>
      <c r="C9" s="77">
        <v>106.363</v>
      </c>
      <c r="D9" s="11">
        <v>112.752</v>
      </c>
      <c r="E9" s="11">
        <v>118.247</v>
      </c>
      <c r="F9" s="11">
        <v>123.254</v>
      </c>
      <c r="G9" s="11">
        <v>126.64</v>
      </c>
      <c r="H9" s="11">
        <v>127.367</v>
      </c>
      <c r="I9" s="11">
        <v>127.74299999999999</v>
      </c>
      <c r="J9" s="11">
        <v>128.31</v>
      </c>
      <c r="K9" s="11">
        <v>129.018</v>
      </c>
      <c r="L9" s="11">
        <v>130.11600000000001</v>
      </c>
      <c r="M9" s="11">
        <v>133.07499999999999</v>
      </c>
      <c r="N9" s="11">
        <v>137.881</v>
      </c>
      <c r="O9" s="11">
        <v>142.691</v>
      </c>
      <c r="P9" s="9"/>
      <c r="Q9" s="9">
        <f>O9-C9</f>
        <v>36.328000000000003</v>
      </c>
      <c r="T9" s="1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</row>
    <row r="10" spans="1:32" x14ac:dyDescent="0.35">
      <c r="A10" s="314">
        <v>4</v>
      </c>
      <c r="B10" s="10" t="s">
        <v>366</v>
      </c>
      <c r="C10" s="77">
        <v>6.82</v>
      </c>
      <c r="D10" s="292">
        <f>9.094+6</f>
        <v>15.093999999999999</v>
      </c>
      <c r="E10" s="292">
        <f>9.199+6+7.8</f>
        <v>22.998999999999999</v>
      </c>
      <c r="F10" s="11">
        <v>1.806</v>
      </c>
      <c r="G10" s="11">
        <v>9.3520000000000003</v>
      </c>
      <c r="H10" s="11">
        <v>18.145</v>
      </c>
      <c r="I10" s="11">
        <v>24.242999999999999</v>
      </c>
      <c r="J10" s="11">
        <v>29.564</v>
      </c>
      <c r="K10" s="11">
        <v>35.832000000000001</v>
      </c>
      <c r="L10" s="11">
        <v>44.261000000000003</v>
      </c>
      <c r="M10" s="11">
        <v>52.893999999999998</v>
      </c>
      <c r="N10" s="11">
        <v>62.802999999999997</v>
      </c>
      <c r="O10" s="11">
        <v>71.463999999999999</v>
      </c>
      <c r="P10" s="293">
        <f>O10-G33+G32-C10</f>
        <v>94.44</v>
      </c>
      <c r="T10" s="1">
        <v>4</v>
      </c>
      <c r="U10" s="146">
        <f t="shared" ref="U10:AF10" si="5">D10-C10</f>
        <v>8.2739999999999991</v>
      </c>
      <c r="V10" s="146">
        <f t="shared" si="5"/>
        <v>7.9049999999999994</v>
      </c>
      <c r="W10" s="296">
        <f>F10-G33+G32-E10</f>
        <v>8.6030000000000015</v>
      </c>
      <c r="X10" s="146">
        <f t="shared" si="5"/>
        <v>7.5460000000000003</v>
      </c>
      <c r="Y10" s="146">
        <f t="shared" si="5"/>
        <v>8.7929999999999993</v>
      </c>
      <c r="Z10" s="146">
        <f t="shared" si="5"/>
        <v>6.097999999999999</v>
      </c>
      <c r="AA10" s="146">
        <f t="shared" si="5"/>
        <v>5.3210000000000015</v>
      </c>
      <c r="AB10" s="146">
        <f t="shared" si="5"/>
        <v>6.2680000000000007</v>
      </c>
      <c r="AC10" s="146">
        <f t="shared" si="5"/>
        <v>8.429000000000002</v>
      </c>
      <c r="AD10" s="146">
        <f t="shared" si="5"/>
        <v>8.6329999999999956</v>
      </c>
      <c r="AE10" s="146">
        <f t="shared" si="5"/>
        <v>9.9089999999999989</v>
      </c>
      <c r="AF10" s="146">
        <f t="shared" si="5"/>
        <v>8.6610000000000014</v>
      </c>
    </row>
    <row r="11" spans="1:32" x14ac:dyDescent="0.35">
      <c r="A11" s="314"/>
      <c r="B11" s="10" t="s">
        <v>214</v>
      </c>
      <c r="C11" s="77">
        <v>82.225999999999999</v>
      </c>
      <c r="D11" s="11">
        <v>86.668999999999997</v>
      </c>
      <c r="E11" s="11">
        <v>90.513999999999996</v>
      </c>
      <c r="F11" s="11">
        <v>92.471000000000004</v>
      </c>
      <c r="G11" s="11">
        <v>93.335999999999999</v>
      </c>
      <c r="H11" s="11">
        <v>94.153999999999996</v>
      </c>
      <c r="I11" s="11">
        <v>94.597999999999999</v>
      </c>
      <c r="J11" s="11">
        <v>94.954999999999998</v>
      </c>
      <c r="K11" s="11">
        <v>95.408000000000001</v>
      </c>
      <c r="L11" s="11">
        <v>96.233000000000004</v>
      </c>
      <c r="M11" s="11">
        <v>97.763000000000005</v>
      </c>
      <c r="N11" s="11">
        <v>101.702</v>
      </c>
      <c r="O11" s="11">
        <v>104.88</v>
      </c>
      <c r="P11" s="9"/>
      <c r="Q11" s="9">
        <f>O11-C11</f>
        <v>22.653999999999996</v>
      </c>
      <c r="T11" s="1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</row>
    <row r="12" spans="1:32" x14ac:dyDescent="0.35">
      <c r="A12" s="302">
        <v>5</v>
      </c>
      <c r="B12" s="10" t="s">
        <v>367</v>
      </c>
      <c r="C12" s="77">
        <v>5.7889999999999997</v>
      </c>
      <c r="D12" s="11">
        <v>12.765000000000001</v>
      </c>
      <c r="E12" s="11">
        <v>19.989000000000001</v>
      </c>
      <c r="F12" s="11">
        <v>26.992000000000001</v>
      </c>
      <c r="G12" s="11">
        <v>34.43</v>
      </c>
      <c r="H12" s="11">
        <v>41.265000000000001</v>
      </c>
      <c r="I12" s="11">
        <v>48.734999999999999</v>
      </c>
      <c r="J12" s="11">
        <v>54.951999999999998</v>
      </c>
      <c r="K12" s="11">
        <v>62.392000000000003</v>
      </c>
      <c r="L12" s="11">
        <v>67.757000000000005</v>
      </c>
      <c r="M12" s="11">
        <v>75.968000000000004</v>
      </c>
      <c r="N12" s="11">
        <v>83.040999999999997</v>
      </c>
      <c r="O12" s="11">
        <v>89.153000000000006</v>
      </c>
      <c r="P12" s="9">
        <f t="shared" ref="P12" si="6">O12-C12</f>
        <v>83.364000000000004</v>
      </c>
      <c r="T12" s="1">
        <v>5</v>
      </c>
      <c r="U12" s="146">
        <f t="shared" ref="U12:AF12" si="7">D12-C12</f>
        <v>6.9760000000000009</v>
      </c>
      <c r="V12" s="146">
        <f t="shared" si="7"/>
        <v>7.2240000000000002</v>
      </c>
      <c r="W12" s="146">
        <f t="shared" si="7"/>
        <v>7.0030000000000001</v>
      </c>
      <c r="X12" s="146">
        <f t="shared" si="7"/>
        <v>7.4379999999999988</v>
      </c>
      <c r="Y12" s="146">
        <f t="shared" si="7"/>
        <v>6.8350000000000009</v>
      </c>
      <c r="Z12" s="146">
        <f t="shared" si="7"/>
        <v>7.4699999999999989</v>
      </c>
      <c r="AA12" s="146">
        <f t="shared" si="7"/>
        <v>6.2169999999999987</v>
      </c>
      <c r="AB12" s="146">
        <f t="shared" si="7"/>
        <v>7.4400000000000048</v>
      </c>
      <c r="AC12" s="146">
        <f t="shared" si="7"/>
        <v>5.365000000000002</v>
      </c>
      <c r="AD12" s="146">
        <f t="shared" si="7"/>
        <v>8.2109999999999985</v>
      </c>
      <c r="AE12" s="146">
        <f t="shared" si="7"/>
        <v>7.0729999999999933</v>
      </c>
      <c r="AF12" s="146">
        <f t="shared" si="7"/>
        <v>6.112000000000009</v>
      </c>
    </row>
    <row r="13" spans="1:32" x14ac:dyDescent="0.35">
      <c r="A13" s="302"/>
      <c r="B13" s="10" t="s">
        <v>215</v>
      </c>
      <c r="C13" s="77">
        <v>42.478999999999999</v>
      </c>
      <c r="D13" s="11">
        <v>44.338000000000001</v>
      </c>
      <c r="E13" s="11">
        <v>46.103000000000002</v>
      </c>
      <c r="F13" s="11">
        <v>47.006</v>
      </c>
      <c r="G13" s="11">
        <v>47.8</v>
      </c>
      <c r="H13" s="11">
        <v>48.316000000000003</v>
      </c>
      <c r="I13" s="11">
        <v>48.82</v>
      </c>
      <c r="J13" s="11">
        <v>49.220999999999997</v>
      </c>
      <c r="K13" s="11">
        <v>49.679000000000002</v>
      </c>
      <c r="L13" s="11">
        <v>50.125</v>
      </c>
      <c r="M13" s="11">
        <v>50.881</v>
      </c>
      <c r="N13" s="11">
        <v>52.354999999999997</v>
      </c>
      <c r="O13" s="11">
        <v>54.094999999999999</v>
      </c>
      <c r="P13" s="9"/>
      <c r="Q13" s="9">
        <f>O13-C13</f>
        <v>11.616</v>
      </c>
      <c r="T13" s="1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</row>
    <row r="14" spans="1:32" x14ac:dyDescent="0.35">
      <c r="A14" s="302">
        <v>6</v>
      </c>
      <c r="B14" s="10" t="s">
        <v>368</v>
      </c>
      <c r="C14" s="77">
        <v>4.2999999999999997E-2</v>
      </c>
      <c r="D14" s="11">
        <v>2.085</v>
      </c>
      <c r="E14" s="11">
        <v>8.5670000000000002</v>
      </c>
      <c r="F14" s="11">
        <v>15.265000000000001</v>
      </c>
      <c r="G14" s="11">
        <v>22.844000000000001</v>
      </c>
      <c r="H14" s="11">
        <v>30.704000000000001</v>
      </c>
      <c r="I14" s="11">
        <v>37.566000000000003</v>
      </c>
      <c r="J14" s="11">
        <v>44.454999999999998</v>
      </c>
      <c r="K14" s="11">
        <v>50.587000000000003</v>
      </c>
      <c r="L14" s="11">
        <v>56.956000000000003</v>
      </c>
      <c r="M14" s="11">
        <v>61.993000000000002</v>
      </c>
      <c r="N14" s="11">
        <v>69.298000000000002</v>
      </c>
      <c r="O14" s="11">
        <v>75.263000000000005</v>
      </c>
      <c r="P14" s="9">
        <f t="shared" ref="P14" si="8">O14-C14</f>
        <v>75.22</v>
      </c>
      <c r="T14" s="1">
        <v>6</v>
      </c>
      <c r="U14" s="146">
        <f t="shared" ref="U14:AF14" si="9">D14-C14</f>
        <v>2.0419999999999998</v>
      </c>
      <c r="V14" s="146">
        <f t="shared" si="9"/>
        <v>6.4820000000000002</v>
      </c>
      <c r="W14" s="146">
        <f t="shared" si="9"/>
        <v>6.6980000000000004</v>
      </c>
      <c r="X14" s="146">
        <f t="shared" si="9"/>
        <v>7.5790000000000006</v>
      </c>
      <c r="Y14" s="146">
        <f t="shared" si="9"/>
        <v>7.8599999999999994</v>
      </c>
      <c r="Z14" s="146">
        <f t="shared" si="9"/>
        <v>6.8620000000000019</v>
      </c>
      <c r="AA14" s="146">
        <f t="shared" si="9"/>
        <v>6.8889999999999958</v>
      </c>
      <c r="AB14" s="146">
        <f t="shared" si="9"/>
        <v>6.132000000000005</v>
      </c>
      <c r="AC14" s="146">
        <f t="shared" si="9"/>
        <v>6.3689999999999998</v>
      </c>
      <c r="AD14" s="146">
        <f t="shared" si="9"/>
        <v>5.036999999999999</v>
      </c>
      <c r="AE14" s="146">
        <f t="shared" si="9"/>
        <v>7.3049999999999997</v>
      </c>
      <c r="AF14" s="146">
        <f t="shared" si="9"/>
        <v>5.9650000000000034</v>
      </c>
    </row>
    <row r="15" spans="1:32" x14ac:dyDescent="0.35">
      <c r="A15" s="302"/>
      <c r="B15" s="10" t="s">
        <v>216</v>
      </c>
      <c r="C15" s="77">
        <v>60.997</v>
      </c>
      <c r="D15" s="11">
        <v>62.881999999999998</v>
      </c>
      <c r="E15" s="11">
        <v>65.819000000000003</v>
      </c>
      <c r="F15" s="11">
        <v>67.293000000000006</v>
      </c>
      <c r="G15" s="11">
        <v>68.037000000000006</v>
      </c>
      <c r="H15" s="11">
        <v>68.742000000000004</v>
      </c>
      <c r="I15" s="11">
        <v>69.272999999999996</v>
      </c>
      <c r="J15" s="11">
        <v>69.762</v>
      </c>
      <c r="K15" s="11">
        <v>70.228999999999999</v>
      </c>
      <c r="L15" s="11">
        <v>70.69</v>
      </c>
      <c r="M15" s="11">
        <v>71.072000000000003</v>
      </c>
      <c r="N15" s="11">
        <v>73.53</v>
      </c>
      <c r="O15" s="11">
        <v>76.674999999999997</v>
      </c>
      <c r="P15" s="9"/>
      <c r="Q15" s="9">
        <f>O15-C15</f>
        <v>15.677999999999997</v>
      </c>
      <c r="T15" s="1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</row>
    <row r="16" spans="1:32" x14ac:dyDescent="0.35">
      <c r="A16" s="302">
        <v>7</v>
      </c>
      <c r="B16" s="10" t="s">
        <v>369</v>
      </c>
      <c r="C16" s="77">
        <v>0.75700000000000001</v>
      </c>
      <c r="D16" s="11">
        <v>1.589</v>
      </c>
      <c r="E16" s="11">
        <v>2.5459999999999998</v>
      </c>
      <c r="F16" s="11">
        <v>3.165</v>
      </c>
      <c r="G16" s="11">
        <v>4.1710000000000003</v>
      </c>
      <c r="H16" s="11">
        <v>4.617</v>
      </c>
      <c r="I16" s="11">
        <v>5.0049999999999999</v>
      </c>
      <c r="J16" s="11">
        <v>5.9779999999999998</v>
      </c>
      <c r="K16" s="11">
        <v>6.8540000000000001</v>
      </c>
      <c r="L16" s="11">
        <v>8.5429999999999993</v>
      </c>
      <c r="M16" s="11">
        <v>9.8089999999999993</v>
      </c>
      <c r="N16" s="11">
        <v>11.683999999999999</v>
      </c>
      <c r="O16" s="11">
        <v>13.324999999999999</v>
      </c>
      <c r="P16" s="9">
        <f t="shared" ref="P16" si="10">O16-C16</f>
        <v>12.568</v>
      </c>
      <c r="T16" s="1">
        <v>7</v>
      </c>
      <c r="U16" s="146">
        <f t="shared" ref="U16:AF16" si="11">D16-C16</f>
        <v>0.83199999999999996</v>
      </c>
      <c r="V16" s="146">
        <f t="shared" si="11"/>
        <v>0.95699999999999985</v>
      </c>
      <c r="W16" s="146">
        <f t="shared" si="11"/>
        <v>0.61900000000000022</v>
      </c>
      <c r="X16" s="146">
        <f t="shared" si="11"/>
        <v>1.0060000000000002</v>
      </c>
      <c r="Y16" s="146">
        <f t="shared" si="11"/>
        <v>0.44599999999999973</v>
      </c>
      <c r="Z16" s="146">
        <f t="shared" si="11"/>
        <v>0.3879999999999999</v>
      </c>
      <c r="AA16" s="146">
        <f t="shared" si="11"/>
        <v>0.97299999999999986</v>
      </c>
      <c r="AB16" s="146">
        <f t="shared" si="11"/>
        <v>0.87600000000000033</v>
      </c>
      <c r="AC16" s="146">
        <f t="shared" si="11"/>
        <v>1.6889999999999992</v>
      </c>
      <c r="AD16" s="146">
        <f t="shared" si="11"/>
        <v>1.266</v>
      </c>
      <c r="AE16" s="146">
        <f t="shared" si="11"/>
        <v>1.875</v>
      </c>
      <c r="AF16" s="146">
        <f t="shared" si="11"/>
        <v>1.641</v>
      </c>
    </row>
    <row r="17" spans="1:32" x14ac:dyDescent="0.35">
      <c r="A17" s="302"/>
      <c r="B17" s="10" t="s">
        <v>217</v>
      </c>
      <c r="C17" s="77">
        <v>33.49</v>
      </c>
      <c r="D17" s="11">
        <v>36.433</v>
      </c>
      <c r="E17" s="11">
        <v>38.341999999999999</v>
      </c>
      <c r="F17" s="11">
        <v>39.335999999999999</v>
      </c>
      <c r="G17" s="11">
        <v>39.472000000000001</v>
      </c>
      <c r="H17" s="11">
        <v>39.627000000000002</v>
      </c>
      <c r="I17" s="11">
        <v>39.633000000000003</v>
      </c>
      <c r="J17" s="11">
        <v>39.65</v>
      </c>
      <c r="K17" s="11">
        <v>39.673999999999999</v>
      </c>
      <c r="L17" s="11">
        <v>39.737000000000002</v>
      </c>
      <c r="M17" s="11">
        <v>40.853000000000002</v>
      </c>
      <c r="N17" s="11">
        <v>44.77</v>
      </c>
      <c r="O17" s="11">
        <v>49.633000000000003</v>
      </c>
      <c r="P17" s="9"/>
      <c r="Q17" s="9">
        <f>O17-C17</f>
        <v>16.143000000000001</v>
      </c>
      <c r="T17" s="1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</row>
    <row r="18" spans="1:32" x14ac:dyDescent="0.35">
      <c r="A18" s="302">
        <v>8</v>
      </c>
      <c r="B18" s="10" t="s">
        <v>370</v>
      </c>
      <c r="C18" s="77">
        <v>13.38</v>
      </c>
      <c r="D18" s="11">
        <v>25.387</v>
      </c>
      <c r="E18" s="11">
        <v>34.832999999999998</v>
      </c>
      <c r="F18" s="11">
        <v>46.262</v>
      </c>
      <c r="G18" s="11">
        <v>59.923999999999999</v>
      </c>
      <c r="H18" s="11">
        <v>71.247</v>
      </c>
      <c r="I18" s="11">
        <v>82.284999999999997</v>
      </c>
      <c r="J18" s="11">
        <v>94.667000000000002</v>
      </c>
      <c r="K18" s="11">
        <v>103.617</v>
      </c>
      <c r="L18" s="11">
        <v>116.72199999999999</v>
      </c>
      <c r="M18" s="11">
        <v>129.46</v>
      </c>
      <c r="N18" s="11">
        <v>142.608</v>
      </c>
      <c r="O18" s="11">
        <v>154.03800000000001</v>
      </c>
      <c r="P18" s="9">
        <f t="shared" ref="P18" si="12">O18-C18</f>
        <v>140.65800000000002</v>
      </c>
      <c r="T18" s="1">
        <v>8</v>
      </c>
      <c r="U18" s="146">
        <f t="shared" ref="U18:AF18" si="13">D18-C18</f>
        <v>12.007</v>
      </c>
      <c r="V18" s="146">
        <f t="shared" si="13"/>
        <v>9.445999999999998</v>
      </c>
      <c r="W18" s="146">
        <f t="shared" si="13"/>
        <v>11.429000000000002</v>
      </c>
      <c r="X18" s="146">
        <f t="shared" si="13"/>
        <v>13.661999999999999</v>
      </c>
      <c r="Y18" s="146">
        <f t="shared" si="13"/>
        <v>11.323</v>
      </c>
      <c r="Z18" s="146">
        <f t="shared" si="13"/>
        <v>11.037999999999997</v>
      </c>
      <c r="AA18" s="146">
        <f t="shared" si="13"/>
        <v>12.382000000000005</v>
      </c>
      <c r="AB18" s="146">
        <f t="shared" si="13"/>
        <v>8.9500000000000028</v>
      </c>
      <c r="AC18" s="146">
        <f t="shared" si="13"/>
        <v>13.10499999999999</v>
      </c>
      <c r="AD18" s="146">
        <f t="shared" si="13"/>
        <v>12.738000000000014</v>
      </c>
      <c r="AE18" s="146">
        <f t="shared" si="13"/>
        <v>13.147999999999996</v>
      </c>
      <c r="AF18" s="146">
        <f t="shared" si="13"/>
        <v>11.430000000000007</v>
      </c>
    </row>
    <row r="19" spans="1:32" x14ac:dyDescent="0.35">
      <c r="A19" s="302"/>
      <c r="B19" s="10" t="s">
        <v>218</v>
      </c>
      <c r="C19" s="77">
        <v>47.793999999999997</v>
      </c>
      <c r="D19" s="11">
        <v>51.180999999999997</v>
      </c>
      <c r="E19" s="11">
        <v>53.311</v>
      </c>
      <c r="F19" s="11">
        <v>54.411999999999999</v>
      </c>
      <c r="G19" s="11">
        <v>55.372</v>
      </c>
      <c r="H19" s="11">
        <v>56.017000000000003</v>
      </c>
      <c r="I19" s="11">
        <v>56.569000000000003</v>
      </c>
      <c r="J19" s="11">
        <v>57.122</v>
      </c>
      <c r="K19" s="11">
        <v>57.575000000000003</v>
      </c>
      <c r="L19" s="11">
        <v>58.177</v>
      </c>
      <c r="M19" s="11">
        <v>59.301000000000002</v>
      </c>
      <c r="N19" s="11">
        <v>61.91</v>
      </c>
      <c r="O19" s="11">
        <v>64.558999999999997</v>
      </c>
      <c r="P19" s="9"/>
      <c r="Q19" s="9">
        <f>O19-C19</f>
        <v>16.765000000000001</v>
      </c>
      <c r="T19" s="1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</row>
    <row r="20" spans="1:32" x14ac:dyDescent="0.35">
      <c r="A20" s="302">
        <v>9</v>
      </c>
      <c r="B20" s="10" t="s">
        <v>371</v>
      </c>
      <c r="C20" s="77">
        <v>13.635999999999999</v>
      </c>
      <c r="D20" s="11">
        <v>28.695</v>
      </c>
      <c r="E20" s="11">
        <v>38.048000000000002</v>
      </c>
      <c r="F20" s="11">
        <v>47.908999999999999</v>
      </c>
      <c r="G20" s="11">
        <v>56.972999999999999</v>
      </c>
      <c r="H20" s="11">
        <v>65.777000000000001</v>
      </c>
      <c r="I20" s="11">
        <v>73.320999999999998</v>
      </c>
      <c r="J20" s="11">
        <v>76.92</v>
      </c>
      <c r="K20" s="11">
        <v>84.075000000000003</v>
      </c>
      <c r="L20" s="11">
        <v>94.194999999999993</v>
      </c>
      <c r="M20" s="11">
        <v>102.121</v>
      </c>
      <c r="N20" s="11">
        <v>108.038</v>
      </c>
      <c r="O20" s="11">
        <v>108.13500000000001</v>
      </c>
      <c r="P20" s="9">
        <f t="shared" ref="P20" si="14">O20-C20</f>
        <v>94.499000000000009</v>
      </c>
      <c r="T20" s="1">
        <v>9</v>
      </c>
      <c r="U20" s="146">
        <f t="shared" ref="U20:AF20" si="15">D20-C20</f>
        <v>15.059000000000001</v>
      </c>
      <c r="V20" s="146">
        <f t="shared" si="15"/>
        <v>9.3530000000000015</v>
      </c>
      <c r="W20" s="146">
        <f t="shared" si="15"/>
        <v>9.8609999999999971</v>
      </c>
      <c r="X20" s="146">
        <f t="shared" si="15"/>
        <v>9.0640000000000001</v>
      </c>
      <c r="Y20" s="146">
        <f t="shared" si="15"/>
        <v>8.804000000000002</v>
      </c>
      <c r="Z20" s="146">
        <f t="shared" si="15"/>
        <v>7.5439999999999969</v>
      </c>
      <c r="AA20" s="146">
        <f t="shared" si="15"/>
        <v>3.5990000000000038</v>
      </c>
      <c r="AB20" s="146">
        <f t="shared" si="15"/>
        <v>7.1550000000000011</v>
      </c>
      <c r="AC20" s="146">
        <f t="shared" si="15"/>
        <v>10.11999999999999</v>
      </c>
      <c r="AD20" s="146">
        <f t="shared" si="15"/>
        <v>7.9260000000000019</v>
      </c>
      <c r="AE20" s="146">
        <f t="shared" si="15"/>
        <v>5.9170000000000016</v>
      </c>
      <c r="AF20" s="146">
        <f t="shared" si="15"/>
        <v>9.7000000000008413E-2</v>
      </c>
    </row>
    <row r="21" spans="1:32" x14ac:dyDescent="0.35">
      <c r="A21" s="302"/>
      <c r="B21" s="10" t="s">
        <v>219</v>
      </c>
      <c r="C21" s="77">
        <v>118.749</v>
      </c>
      <c r="D21" s="11">
        <v>125.249</v>
      </c>
      <c r="E21" s="11">
        <v>130.642</v>
      </c>
      <c r="F21" s="11">
        <v>133.148</v>
      </c>
      <c r="G21" s="11">
        <v>134.24799999999999</v>
      </c>
      <c r="H21" s="11">
        <v>135.054</v>
      </c>
      <c r="I21" s="11">
        <v>135.703</v>
      </c>
      <c r="J21" s="11">
        <v>136.018</v>
      </c>
      <c r="K21" s="11">
        <v>136.59200000000001</v>
      </c>
      <c r="L21" s="11">
        <v>137.364</v>
      </c>
      <c r="M21" s="11">
        <v>138.589</v>
      </c>
      <c r="N21" s="11">
        <v>140.27799999999999</v>
      </c>
      <c r="O21" s="11">
        <v>140.44200000000001</v>
      </c>
      <c r="P21" s="9"/>
      <c r="Q21" s="9">
        <f>O21-C21</f>
        <v>21.693000000000012</v>
      </c>
      <c r="T21" s="1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</row>
    <row r="22" spans="1:32" x14ac:dyDescent="0.35">
      <c r="A22" s="302">
        <v>10</v>
      </c>
      <c r="B22" s="10" t="s">
        <v>372</v>
      </c>
      <c r="C22" s="77">
        <v>6.4610000000000003</v>
      </c>
      <c r="D22" s="11">
        <v>13.775</v>
      </c>
      <c r="E22" s="11">
        <v>18.475000000000001</v>
      </c>
      <c r="F22" s="11">
        <v>24.006</v>
      </c>
      <c r="G22" s="11">
        <v>32.445999999999998</v>
      </c>
      <c r="H22" s="11">
        <v>39.624000000000002</v>
      </c>
      <c r="I22" s="11">
        <v>46.515999999999998</v>
      </c>
      <c r="J22" s="11">
        <v>54.125</v>
      </c>
      <c r="K22" s="11">
        <v>60.884999999999998</v>
      </c>
      <c r="L22" s="11">
        <v>66</v>
      </c>
      <c r="M22" s="11">
        <v>73.307000000000002</v>
      </c>
      <c r="N22" s="11">
        <v>79.558999999999997</v>
      </c>
      <c r="O22" s="11">
        <v>87.055999999999997</v>
      </c>
      <c r="P22" s="9">
        <f t="shared" ref="P22" si="16">O22-C22</f>
        <v>80.594999999999999</v>
      </c>
      <c r="T22" s="1">
        <v>10</v>
      </c>
      <c r="U22" s="146">
        <f t="shared" ref="U22:AF22" si="17">D22-C22</f>
        <v>7.3140000000000001</v>
      </c>
      <c r="V22" s="146">
        <f t="shared" si="17"/>
        <v>4.7000000000000011</v>
      </c>
      <c r="W22" s="146">
        <f t="shared" si="17"/>
        <v>5.5309999999999988</v>
      </c>
      <c r="X22" s="146">
        <f t="shared" si="17"/>
        <v>8.4399999999999977</v>
      </c>
      <c r="Y22" s="146">
        <f t="shared" si="17"/>
        <v>7.1780000000000044</v>
      </c>
      <c r="Z22" s="146">
        <f t="shared" si="17"/>
        <v>6.8919999999999959</v>
      </c>
      <c r="AA22" s="146">
        <f t="shared" si="17"/>
        <v>7.6090000000000018</v>
      </c>
      <c r="AB22" s="146">
        <f t="shared" si="17"/>
        <v>6.759999999999998</v>
      </c>
      <c r="AC22" s="146">
        <f t="shared" si="17"/>
        <v>5.115000000000002</v>
      </c>
      <c r="AD22" s="146">
        <f t="shared" si="17"/>
        <v>7.3070000000000022</v>
      </c>
      <c r="AE22" s="146">
        <f t="shared" si="17"/>
        <v>6.2519999999999953</v>
      </c>
      <c r="AF22" s="146">
        <f t="shared" si="17"/>
        <v>7.4969999999999999</v>
      </c>
    </row>
    <row r="23" spans="1:32" x14ac:dyDescent="0.35">
      <c r="A23" s="302"/>
      <c r="B23" s="10" t="s">
        <v>220</v>
      </c>
      <c r="C23" s="77">
        <v>68.613</v>
      </c>
      <c r="D23" s="11">
        <v>73.048000000000002</v>
      </c>
      <c r="E23" s="11">
        <v>76.22</v>
      </c>
      <c r="F23" s="11">
        <v>77.643000000000001</v>
      </c>
      <c r="G23" s="11">
        <v>78.475999999999999</v>
      </c>
      <c r="H23" s="11">
        <v>79.08</v>
      </c>
      <c r="I23" s="11">
        <v>79.602999999999994</v>
      </c>
      <c r="J23" s="11">
        <v>80.12</v>
      </c>
      <c r="K23" s="11">
        <v>80.591999999999999</v>
      </c>
      <c r="L23" s="11">
        <v>81.09</v>
      </c>
      <c r="M23" s="11">
        <v>82.254999999999995</v>
      </c>
      <c r="N23" s="11">
        <v>85.397000000000006</v>
      </c>
      <c r="O23" s="11">
        <v>89.435000000000002</v>
      </c>
      <c r="P23" s="13"/>
      <c r="Q23" s="97">
        <f>O23-C23</f>
        <v>20.822000000000003</v>
      </c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</row>
    <row r="24" spans="1:32" x14ac:dyDescent="0.35">
      <c r="A24" s="113"/>
      <c r="B24" s="10"/>
      <c r="C24" s="78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904.58300000000008</v>
      </c>
      <c r="Q24" s="9">
        <f>SUM(Q4:Q23)</f>
        <v>205.191</v>
      </c>
    </row>
    <row r="25" spans="1:32" x14ac:dyDescent="0.35">
      <c r="A25" s="113" t="s">
        <v>15</v>
      </c>
      <c r="B25" s="10" t="s">
        <v>165</v>
      </c>
      <c r="C25" s="78">
        <v>12333</v>
      </c>
      <c r="D25" s="15">
        <v>12519</v>
      </c>
      <c r="E25" s="15">
        <v>12680</v>
      </c>
      <c r="F25" s="15">
        <v>12859</v>
      </c>
      <c r="G25" s="15">
        <v>13096</v>
      </c>
      <c r="H25" s="15">
        <v>13273</v>
      </c>
      <c r="I25" s="15">
        <v>13436</v>
      </c>
      <c r="J25" s="15">
        <v>13604</v>
      </c>
      <c r="K25" s="15">
        <v>13784</v>
      </c>
      <c r="L25" s="15">
        <v>13952</v>
      </c>
      <c r="M25" s="15">
        <v>14128</v>
      </c>
      <c r="N25" s="15">
        <v>14328</v>
      </c>
      <c r="O25" s="15">
        <v>14615</v>
      </c>
      <c r="P25" s="9"/>
      <c r="R25" s="16">
        <f>O25-C25</f>
        <v>2282</v>
      </c>
    </row>
    <row r="26" spans="1:32" ht="15" thickBot="1" x14ac:dyDescent="0.4">
      <c r="A26" s="113"/>
      <c r="B26" s="282" t="s">
        <v>373</v>
      </c>
      <c r="C26" s="79">
        <v>85.5</v>
      </c>
      <c r="D26" s="18">
        <v>173.2</v>
      </c>
      <c r="E26" s="18">
        <v>253.6</v>
      </c>
      <c r="F26" s="18">
        <v>341.5</v>
      </c>
      <c r="G26" s="18">
        <v>430.4</v>
      </c>
      <c r="H26" s="18">
        <v>517.29999999999995</v>
      </c>
      <c r="I26" s="18">
        <v>590.1</v>
      </c>
      <c r="J26" s="18">
        <v>666.3</v>
      </c>
      <c r="K26" s="18">
        <v>744.9</v>
      </c>
      <c r="L26" s="18">
        <v>834</v>
      </c>
      <c r="M26" s="18">
        <v>920.2</v>
      </c>
      <c r="N26" s="18">
        <v>1007</v>
      </c>
      <c r="O26" s="18">
        <v>1079.3</v>
      </c>
      <c r="P26" s="9">
        <f>O26-C26</f>
        <v>993.8</v>
      </c>
    </row>
    <row r="27" spans="1:32" x14ac:dyDescent="0.35">
      <c r="A27" s="113"/>
      <c r="B27" s="10" t="s">
        <v>311</v>
      </c>
      <c r="C27" s="80">
        <v>258.05</v>
      </c>
      <c r="D27" s="19">
        <v>296.39</v>
      </c>
      <c r="E27" s="19">
        <v>330.32</v>
      </c>
      <c r="F27" s="19">
        <v>349.89</v>
      </c>
      <c r="G27" s="19">
        <v>358.61</v>
      </c>
      <c r="H27" s="19">
        <v>363.55</v>
      </c>
      <c r="I27" s="19">
        <v>366.88</v>
      </c>
      <c r="J27" s="19">
        <v>369.83</v>
      </c>
      <c r="K27" s="19">
        <v>373.04</v>
      </c>
      <c r="L27" s="19">
        <v>377.85</v>
      </c>
      <c r="M27" s="19">
        <v>389.69</v>
      </c>
      <c r="N27" s="19">
        <v>420.1</v>
      </c>
      <c r="O27" s="19">
        <v>453.82</v>
      </c>
      <c r="P27" s="9"/>
      <c r="Q27" s="9">
        <f>(O27-C27)</f>
        <v>195.76999999999998</v>
      </c>
      <c r="R27" t="s">
        <v>78</v>
      </c>
    </row>
    <row r="28" spans="1:32" ht="15" thickBot="1" x14ac:dyDescent="0.4">
      <c r="A28" s="4"/>
      <c r="B28" s="26" t="s">
        <v>16</v>
      </c>
      <c r="C28" s="81">
        <v>1803</v>
      </c>
      <c r="D28" s="21">
        <v>2032</v>
      </c>
      <c r="E28" s="21">
        <v>2246</v>
      </c>
      <c r="F28" s="21">
        <v>2410</v>
      </c>
      <c r="G28" s="21">
        <v>2480</v>
      </c>
      <c r="H28" s="21">
        <v>2512</v>
      </c>
      <c r="I28" s="21">
        <v>2535</v>
      </c>
      <c r="J28" s="21">
        <v>2558</v>
      </c>
      <c r="K28" s="21">
        <v>2581</v>
      </c>
      <c r="L28" s="21">
        <v>2614</v>
      </c>
      <c r="M28" s="21">
        <v>2705</v>
      </c>
      <c r="N28" s="21">
        <v>2897</v>
      </c>
      <c r="O28" s="21">
        <v>3092</v>
      </c>
      <c r="P28" s="9"/>
      <c r="Q28" s="16">
        <f>O28-C28</f>
        <v>1289</v>
      </c>
      <c r="R28" t="s">
        <v>79</v>
      </c>
    </row>
    <row r="29" spans="1:32" ht="15" thickBot="1" x14ac:dyDescent="0.4">
      <c r="A29" s="114" t="str">
        <f>'1850'!A29</f>
        <v>fakturační vodoměr č.         63796</v>
      </c>
      <c r="B29" s="22"/>
      <c r="C29" s="82">
        <f>'1850'!C29</f>
        <v>28101</v>
      </c>
      <c r="D29" s="82">
        <f>'1850'!D29</f>
        <v>28433.599999999999</v>
      </c>
      <c r="E29" s="82">
        <f>'1850'!E29</f>
        <v>28750.9</v>
      </c>
      <c r="F29" s="82">
        <f>'1850'!F29</f>
        <v>29123.3</v>
      </c>
      <c r="G29" s="82">
        <f>'1850'!G29</f>
        <v>29498.799999999999</v>
      </c>
      <c r="H29" s="82">
        <f>'1850'!H29</f>
        <v>29863</v>
      </c>
      <c r="I29" s="82">
        <f>'1850'!I29</f>
        <v>30199</v>
      </c>
      <c r="J29" s="82">
        <f>'1850'!J29</f>
        <v>30525.8</v>
      </c>
      <c r="K29" s="82">
        <f>'1850'!K29</f>
        <v>30885.599999999999</v>
      </c>
      <c r="L29" s="82">
        <f>'1850'!L29</f>
        <v>31236.6</v>
      </c>
      <c r="M29" s="82">
        <f>'1850'!M29</f>
        <v>31568.3</v>
      </c>
      <c r="N29" s="82">
        <f>'1850'!N29</f>
        <v>31933</v>
      </c>
      <c r="O29" s="82">
        <f>'1850'!O29</f>
        <v>65454</v>
      </c>
      <c r="P29" s="9">
        <f>O29-C29</f>
        <v>37353</v>
      </c>
    </row>
    <row r="31" spans="1:32" x14ac:dyDescent="0.35">
      <c r="B31" s="294" t="s">
        <v>435</v>
      </c>
      <c r="C31" s="231" t="s">
        <v>105</v>
      </c>
      <c r="D31" s="25" t="s">
        <v>119</v>
      </c>
      <c r="F31" s="231" t="s">
        <v>185</v>
      </c>
      <c r="G31" s="231" t="s">
        <v>186</v>
      </c>
      <c r="I31" s="254" t="s">
        <v>297</v>
      </c>
      <c r="J31" s="225"/>
      <c r="K31" s="225"/>
      <c r="L31" s="225"/>
      <c r="M31" s="224" t="s">
        <v>182</v>
      </c>
      <c r="N31" s="255">
        <v>257.22000000000003</v>
      </c>
      <c r="O31" s="225" t="s">
        <v>131</v>
      </c>
    </row>
    <row r="32" spans="1:32" x14ac:dyDescent="0.35">
      <c r="C32" s="310">
        <v>4</v>
      </c>
      <c r="D32" s="306">
        <v>45741</v>
      </c>
      <c r="E32" s="84" t="s">
        <v>117</v>
      </c>
      <c r="F32" s="106">
        <v>241345693</v>
      </c>
      <c r="G32" s="295">
        <f>9.996+6+7.8+6</f>
        <v>29.795999999999999</v>
      </c>
      <c r="I32" s="254" t="s">
        <v>298</v>
      </c>
      <c r="J32" s="225"/>
      <c r="K32" s="225"/>
      <c r="L32" s="225"/>
      <c r="M32" s="224" t="s">
        <v>182</v>
      </c>
      <c r="N32" s="255">
        <v>0</v>
      </c>
      <c r="O32" s="254" t="s">
        <v>78</v>
      </c>
    </row>
    <row r="33" spans="3:8" x14ac:dyDescent="0.35">
      <c r="C33" s="310"/>
      <c r="D33" s="306"/>
      <c r="E33" s="84" t="s">
        <v>118</v>
      </c>
      <c r="F33" s="106">
        <v>250434729</v>
      </c>
      <c r="G33" s="109">
        <v>0</v>
      </c>
    </row>
    <row r="35" spans="3:8" x14ac:dyDescent="0.35">
      <c r="D35" t="s">
        <v>127</v>
      </c>
    </row>
    <row r="36" spans="3:8" x14ac:dyDescent="0.35">
      <c r="D36" s="306">
        <v>43956</v>
      </c>
      <c r="E36" s="84" t="s">
        <v>117</v>
      </c>
      <c r="F36" s="316"/>
      <c r="G36" s="309"/>
      <c r="H36" s="106"/>
    </row>
    <row r="37" spans="3:8" x14ac:dyDescent="0.35">
      <c r="D37" s="306"/>
      <c r="E37" s="84" t="s">
        <v>118</v>
      </c>
      <c r="F37" s="309"/>
      <c r="G37" s="309"/>
      <c r="H37" s="106"/>
    </row>
  </sheetData>
  <sheetProtection selectLockedCells="1" selectUnlockedCells="1"/>
  <mergeCells count="15">
    <mergeCell ref="A4:A5"/>
    <mergeCell ref="A6:A7"/>
    <mergeCell ref="A8:A9"/>
    <mergeCell ref="A10:A11"/>
    <mergeCell ref="A12:A13"/>
    <mergeCell ref="A16:A17"/>
    <mergeCell ref="A18:A19"/>
    <mergeCell ref="A20:A21"/>
    <mergeCell ref="A22:A23"/>
    <mergeCell ref="A14:A15"/>
    <mergeCell ref="D36:D37"/>
    <mergeCell ref="F36:G36"/>
    <mergeCell ref="F37:G37"/>
    <mergeCell ref="C32:C33"/>
    <mergeCell ref="D32:D33"/>
  </mergeCells>
  <conditionalFormatting sqref="C29:O29">
    <cfRule type="cellIs" dxfId="3675" priority="310" stopIfTrue="1" operator="equal">
      <formula>0</formula>
    </cfRule>
  </conditionalFormatting>
  <conditionalFormatting sqref="D4">
    <cfRule type="cellIs" dxfId="3674" priority="38" stopIfTrue="1" operator="lessThan">
      <formula>$C$4</formula>
    </cfRule>
    <cfRule type="cellIs" dxfId="3673" priority="39" stopIfTrue="1" operator="equal">
      <formula>$C$4</formula>
    </cfRule>
  </conditionalFormatting>
  <conditionalFormatting sqref="D5">
    <cfRule type="cellIs" dxfId="3672" priority="42" stopIfTrue="1" operator="equal">
      <formula>$C$5</formula>
    </cfRule>
    <cfRule type="cellIs" dxfId="3671" priority="43" stopIfTrue="1" operator="lessThan">
      <formula>$C$5</formula>
    </cfRule>
  </conditionalFormatting>
  <conditionalFormatting sqref="D6">
    <cfRule type="cellIs" dxfId="3670" priority="49" stopIfTrue="1" operator="equal">
      <formula>$C$6</formula>
    </cfRule>
    <cfRule type="cellIs" dxfId="3669" priority="50" stopIfTrue="1" operator="lessThan">
      <formula>$C$6</formula>
    </cfRule>
  </conditionalFormatting>
  <conditionalFormatting sqref="D7">
    <cfRule type="cellIs" dxfId="3668" priority="63" stopIfTrue="1" operator="equal">
      <formula>$C$7</formula>
    </cfRule>
    <cfRule type="cellIs" dxfId="3667" priority="64" stopIfTrue="1" operator="lessThan">
      <formula>$C$7</formula>
    </cfRule>
  </conditionalFormatting>
  <conditionalFormatting sqref="D8">
    <cfRule type="cellIs" dxfId="3666" priority="75" stopIfTrue="1" operator="equal">
      <formula>$C$8</formula>
    </cfRule>
    <cfRule type="cellIs" dxfId="3665" priority="76" stopIfTrue="1" operator="lessThan">
      <formula>$C$8</formula>
    </cfRule>
  </conditionalFormatting>
  <conditionalFormatting sqref="D9">
    <cfRule type="cellIs" dxfId="3664" priority="89" stopIfTrue="1" operator="equal">
      <formula>$C$9</formula>
    </cfRule>
    <cfRule type="cellIs" dxfId="3663" priority="90" stopIfTrue="1" operator="lessThan">
      <formula>$C$9</formula>
    </cfRule>
  </conditionalFormatting>
  <conditionalFormatting sqref="D10">
    <cfRule type="cellIs" dxfId="3662" priority="103" stopIfTrue="1" operator="equal">
      <formula>$C$10</formula>
    </cfRule>
    <cfRule type="cellIs" dxfId="3661" priority="104" stopIfTrue="1" operator="lessThan">
      <formula>$C$10</formula>
    </cfRule>
  </conditionalFormatting>
  <conditionalFormatting sqref="D11">
    <cfRule type="cellIs" dxfId="3660" priority="117" stopIfTrue="1" operator="equal">
      <formula>$C$11</formula>
    </cfRule>
    <cfRule type="cellIs" dxfId="3659" priority="118" stopIfTrue="1" operator="lessThan">
      <formula>$C$11</formula>
    </cfRule>
  </conditionalFormatting>
  <conditionalFormatting sqref="D12">
    <cfRule type="cellIs" dxfId="3658" priority="131" stopIfTrue="1" operator="equal">
      <formula>$C$12</formula>
    </cfRule>
    <cfRule type="cellIs" dxfId="3657" priority="132" stopIfTrue="1" operator="lessThan">
      <formula>$C$12</formula>
    </cfRule>
  </conditionalFormatting>
  <conditionalFormatting sqref="D13">
    <cfRule type="cellIs" dxfId="3656" priority="263" stopIfTrue="1" operator="equal">
      <formula>$C$13</formula>
    </cfRule>
    <cfRule type="cellIs" dxfId="3655" priority="264" stopIfTrue="1" operator="lessThan">
      <formula>$C$13</formula>
    </cfRule>
  </conditionalFormatting>
  <conditionalFormatting sqref="D14">
    <cfRule type="cellIs" dxfId="3654" priority="145" stopIfTrue="1" operator="equal">
      <formula>$C$14</formula>
    </cfRule>
    <cfRule type="cellIs" dxfId="3653" priority="146" stopIfTrue="1" operator="lessThan">
      <formula>$C$14</formula>
    </cfRule>
  </conditionalFormatting>
  <conditionalFormatting sqref="D15">
    <cfRule type="cellIs" dxfId="3652" priority="147" stopIfTrue="1" operator="equal">
      <formula>$C$15</formula>
    </cfRule>
    <cfRule type="cellIs" dxfId="3651" priority="148" stopIfTrue="1" operator="lessThan">
      <formula>$C$15</formula>
    </cfRule>
  </conditionalFormatting>
  <conditionalFormatting sqref="D16">
    <cfRule type="cellIs" dxfId="3650" priority="149" stopIfTrue="1" operator="equal">
      <formula>$C$16</formula>
    </cfRule>
    <cfRule type="cellIs" dxfId="3649" priority="150" stopIfTrue="1" operator="lessThan">
      <formula>$C$16</formula>
    </cfRule>
  </conditionalFormatting>
  <conditionalFormatting sqref="D17">
    <cfRule type="cellIs" dxfId="3648" priority="151" stopIfTrue="1" operator="equal">
      <formula>$C$17</formula>
    </cfRule>
    <cfRule type="cellIs" dxfId="3647" priority="152" stopIfTrue="1" operator="lessThan">
      <formula>$C$17</formula>
    </cfRule>
  </conditionalFormatting>
  <conditionalFormatting sqref="D18">
    <cfRule type="cellIs" dxfId="3646" priority="153" stopIfTrue="1" operator="equal">
      <formula>$C$18</formula>
    </cfRule>
    <cfRule type="cellIs" dxfId="3645" priority="154" stopIfTrue="1" operator="lessThan">
      <formula>$C$18</formula>
    </cfRule>
  </conditionalFormatting>
  <conditionalFormatting sqref="D19">
    <cfRule type="cellIs" dxfId="3644" priority="155" stopIfTrue="1" operator="equal">
      <formula>$C$19</formula>
    </cfRule>
    <cfRule type="cellIs" dxfId="3643" priority="156" stopIfTrue="1" operator="lessThan">
      <formula>$C$19</formula>
    </cfRule>
  </conditionalFormatting>
  <conditionalFormatting sqref="D20">
    <cfRule type="cellIs" dxfId="3642" priority="157" stopIfTrue="1" operator="equal">
      <formula>$C$20</formula>
    </cfRule>
    <cfRule type="cellIs" dxfId="3641" priority="158" stopIfTrue="1" operator="lessThan">
      <formula>$C$20</formula>
    </cfRule>
  </conditionalFormatting>
  <conditionalFormatting sqref="D21">
    <cfRule type="cellIs" dxfId="3640" priority="159" stopIfTrue="1" operator="equal">
      <formula>$C$21</formula>
    </cfRule>
    <cfRule type="cellIs" dxfId="3639" priority="160" stopIfTrue="1" operator="lessThan">
      <formula>$C$21</formula>
    </cfRule>
  </conditionalFormatting>
  <conditionalFormatting sqref="D22">
    <cfRule type="cellIs" dxfId="3638" priority="161" stopIfTrue="1" operator="equal">
      <formula>$C$22</formula>
    </cfRule>
    <cfRule type="cellIs" dxfId="3637" priority="162" stopIfTrue="1" operator="lessThan">
      <formula>$C$22</formula>
    </cfRule>
  </conditionalFormatting>
  <conditionalFormatting sqref="D23">
    <cfRule type="cellIs" dxfId="3636" priority="163" stopIfTrue="1" operator="equal">
      <formula>$C$23</formula>
    </cfRule>
    <cfRule type="cellIs" dxfId="3635" priority="164" stopIfTrue="1" operator="lessThan">
      <formula>$C$23</formula>
    </cfRule>
  </conditionalFormatting>
  <conditionalFormatting sqref="D24">
    <cfRule type="cellIs" dxfId="3634" priority="295" stopIfTrue="1" operator="equal">
      <formula>$C$24</formula>
    </cfRule>
    <cfRule type="cellIs" dxfId="3633" priority="296" stopIfTrue="1" operator="lessThan">
      <formula>$C$24</formula>
    </cfRule>
  </conditionalFormatting>
  <conditionalFormatting sqref="D25">
    <cfRule type="cellIs" dxfId="3632" priority="165" stopIfTrue="1" operator="equal">
      <formula>$C$25</formula>
    </cfRule>
    <cfRule type="cellIs" dxfId="3631" priority="166" stopIfTrue="1" operator="lessThan">
      <formula>$C$25</formula>
    </cfRule>
  </conditionalFormatting>
  <conditionalFormatting sqref="D26">
    <cfRule type="cellIs" dxfId="3630" priority="167" stopIfTrue="1" operator="equal">
      <formula>$C$26</formula>
    </cfRule>
    <cfRule type="cellIs" dxfId="3629" priority="168" stopIfTrue="1" operator="lessThan">
      <formula>$C$26</formula>
    </cfRule>
  </conditionalFormatting>
  <conditionalFormatting sqref="D27">
    <cfRule type="cellIs" dxfId="3628" priority="169" stopIfTrue="1" operator="equal">
      <formula>$C$27</formula>
    </cfRule>
    <cfRule type="cellIs" dxfId="3627" priority="170" stopIfTrue="1" operator="lessThan">
      <formula>$C$27</formula>
    </cfRule>
  </conditionalFormatting>
  <conditionalFormatting sqref="D28">
    <cfRule type="cellIs" dxfId="3626" priority="171" stopIfTrue="1" operator="equal">
      <formula>$C$28</formula>
    </cfRule>
    <cfRule type="cellIs" dxfId="3625" priority="172" stopIfTrue="1" operator="lessThan">
      <formula>$C$28</formula>
    </cfRule>
  </conditionalFormatting>
  <conditionalFormatting sqref="E4">
    <cfRule type="cellIs" dxfId="3624" priority="40" stopIfTrue="1" operator="equal">
      <formula>$D$4</formula>
    </cfRule>
    <cfRule type="cellIs" dxfId="3623" priority="41" stopIfTrue="1" operator="lessThan">
      <formula>$D$4</formula>
    </cfRule>
  </conditionalFormatting>
  <conditionalFormatting sqref="E5">
    <cfRule type="cellIs" dxfId="3622" priority="305" stopIfTrue="1" operator="equal">
      <formula>$D$5</formula>
    </cfRule>
    <cfRule type="cellIs" dxfId="3621" priority="306" stopIfTrue="1" operator="lessThan">
      <formula>$D$5</formula>
    </cfRule>
  </conditionalFormatting>
  <conditionalFormatting sqref="E6">
    <cfRule type="cellIs" dxfId="3620" priority="51" stopIfTrue="1" operator="equal">
      <formula>$D$6</formula>
    </cfRule>
    <cfRule type="cellIs" dxfId="3619" priority="52" stopIfTrue="1" operator="lessThan">
      <formula>$D$6</formula>
    </cfRule>
  </conditionalFormatting>
  <conditionalFormatting sqref="E7">
    <cfRule type="cellIs" dxfId="3618" priority="65" stopIfTrue="1" operator="equal">
      <formula>$D$7</formula>
    </cfRule>
    <cfRule type="cellIs" dxfId="3617" priority="66" stopIfTrue="1" operator="lessThan">
      <formula>$D$7</formula>
    </cfRule>
  </conditionalFormatting>
  <conditionalFormatting sqref="E8">
    <cfRule type="cellIs" dxfId="3616" priority="77" stopIfTrue="1" operator="equal">
      <formula>$D$8</formula>
    </cfRule>
    <cfRule type="cellIs" dxfId="3615" priority="78" stopIfTrue="1" operator="lessThan">
      <formula>$D$8</formula>
    </cfRule>
  </conditionalFormatting>
  <conditionalFormatting sqref="E9">
    <cfRule type="cellIs" dxfId="3614" priority="91" stopIfTrue="1" operator="equal">
      <formula>$D$9</formula>
    </cfRule>
    <cfRule type="cellIs" dxfId="3613" priority="92" stopIfTrue="1" operator="lessThan">
      <formula>$D$9</formula>
    </cfRule>
  </conditionalFormatting>
  <conditionalFormatting sqref="E10">
    <cfRule type="cellIs" dxfId="3612" priority="105" stopIfTrue="1" operator="equal">
      <formula>$D$10</formula>
    </cfRule>
    <cfRule type="cellIs" dxfId="3611" priority="106" stopIfTrue="1" operator="lessThan">
      <formula>$D$10</formula>
    </cfRule>
  </conditionalFormatting>
  <conditionalFormatting sqref="E11">
    <cfRule type="cellIs" dxfId="3610" priority="119" stopIfTrue="1" operator="equal">
      <formula>$D$11</formula>
    </cfRule>
    <cfRule type="cellIs" dxfId="3609" priority="120" stopIfTrue="1" operator="lessThan">
      <formula>$D$11</formula>
    </cfRule>
  </conditionalFormatting>
  <conditionalFormatting sqref="E12">
    <cfRule type="cellIs" dxfId="3608" priority="133" stopIfTrue="1" operator="equal">
      <formula>$D$12</formula>
    </cfRule>
    <cfRule type="cellIs" dxfId="3607" priority="134" stopIfTrue="1" operator="lessThan">
      <formula>$D$12</formula>
    </cfRule>
  </conditionalFormatting>
  <conditionalFormatting sqref="E13">
    <cfRule type="cellIs" dxfId="3606" priority="173" stopIfTrue="1" operator="equal">
      <formula>$D$13</formula>
    </cfRule>
    <cfRule type="cellIs" dxfId="3605" priority="174" stopIfTrue="1" operator="lessThan">
      <formula>$D$13</formula>
    </cfRule>
  </conditionalFormatting>
  <conditionalFormatting sqref="E14">
    <cfRule type="cellIs" dxfId="3604" priority="175" stopIfTrue="1" operator="equal">
      <formula>$D$14</formula>
    </cfRule>
    <cfRule type="cellIs" dxfId="3603" priority="176" stopIfTrue="1" operator="lessThan">
      <formula>$D$14</formula>
    </cfRule>
  </conditionalFormatting>
  <conditionalFormatting sqref="E15">
    <cfRule type="cellIs" dxfId="3602" priority="177" stopIfTrue="1" operator="equal">
      <formula>$D$15</formula>
    </cfRule>
    <cfRule type="cellIs" dxfId="3601" priority="178" stopIfTrue="1" operator="lessThan">
      <formula>$D$15</formula>
    </cfRule>
  </conditionalFormatting>
  <conditionalFormatting sqref="E16">
    <cfRule type="cellIs" dxfId="3600" priority="179" stopIfTrue="1" operator="equal">
      <formula>$D$16</formula>
    </cfRule>
    <cfRule type="cellIs" dxfId="3599" priority="180" stopIfTrue="1" operator="lessThan">
      <formula>$D$16</formula>
    </cfRule>
  </conditionalFormatting>
  <conditionalFormatting sqref="E17">
    <cfRule type="cellIs" dxfId="3598" priority="181" stopIfTrue="1" operator="equal">
      <formula>$D$17</formula>
    </cfRule>
    <cfRule type="cellIs" dxfId="3597" priority="182" stopIfTrue="1" operator="lessThan">
      <formula>$D$17</formula>
    </cfRule>
  </conditionalFormatting>
  <conditionalFormatting sqref="E18">
    <cfRule type="cellIs" dxfId="3596" priority="183" stopIfTrue="1" operator="equal">
      <formula>$D$18</formula>
    </cfRule>
    <cfRule type="cellIs" dxfId="3595" priority="184" stopIfTrue="1" operator="lessThan">
      <formula>$D$18</formula>
    </cfRule>
  </conditionalFormatting>
  <conditionalFormatting sqref="E19">
    <cfRule type="cellIs" dxfId="3594" priority="185" stopIfTrue="1" operator="equal">
      <formula>$D$19</formula>
    </cfRule>
    <cfRule type="cellIs" dxfId="3593" priority="186" stopIfTrue="1" operator="lessThan">
      <formula>$D$19</formula>
    </cfRule>
  </conditionalFormatting>
  <conditionalFormatting sqref="E20">
    <cfRule type="cellIs" dxfId="3592" priority="187" stopIfTrue="1" operator="equal">
      <formula>$D$20</formula>
    </cfRule>
    <cfRule type="cellIs" dxfId="3591" priority="188" stopIfTrue="1" operator="lessThan">
      <formula>$D$20</formula>
    </cfRule>
  </conditionalFormatting>
  <conditionalFormatting sqref="E21">
    <cfRule type="cellIs" dxfId="3590" priority="189" stopIfTrue="1" operator="equal">
      <formula>$D$21</formula>
    </cfRule>
    <cfRule type="cellIs" dxfId="3589" priority="190" stopIfTrue="1" operator="lessThan">
      <formula>$D$21</formula>
    </cfRule>
  </conditionalFormatting>
  <conditionalFormatting sqref="E22">
    <cfRule type="cellIs" dxfId="3588" priority="191" stopIfTrue="1" operator="equal">
      <formula>$D$22</formula>
    </cfRule>
    <cfRule type="cellIs" dxfId="3587" priority="192" stopIfTrue="1" operator="lessThan">
      <formula>$D$22</formula>
    </cfRule>
  </conditionalFormatting>
  <conditionalFormatting sqref="E23">
    <cfRule type="cellIs" dxfId="3586" priority="193" stopIfTrue="1" operator="equal">
      <formula>$D$23</formula>
    </cfRule>
    <cfRule type="cellIs" dxfId="3585" priority="194" stopIfTrue="1" operator="lessThan">
      <formula>$D$23</formula>
    </cfRule>
  </conditionalFormatting>
  <conditionalFormatting sqref="E24">
    <cfRule type="cellIs" dxfId="3584" priority="297" stopIfTrue="1" operator="equal">
      <formula>$D$24</formula>
    </cfRule>
    <cfRule type="cellIs" dxfId="3583" priority="298" stopIfTrue="1" operator="lessThan">
      <formula>$D$24</formula>
    </cfRule>
  </conditionalFormatting>
  <conditionalFormatting sqref="E25">
    <cfRule type="cellIs" dxfId="3582" priority="195" stopIfTrue="1" operator="equal">
      <formula>$D$25</formula>
    </cfRule>
    <cfRule type="cellIs" dxfId="3581" priority="196" stopIfTrue="1" operator="lessThan">
      <formula>$D$25</formula>
    </cfRule>
  </conditionalFormatting>
  <conditionalFormatting sqref="E26">
    <cfRule type="cellIs" dxfId="3580" priority="197" stopIfTrue="1" operator="equal">
      <formula>$D$26</formula>
    </cfRule>
    <cfRule type="cellIs" dxfId="3579" priority="198" stopIfTrue="1" operator="lessThan">
      <formula>$D$26</formula>
    </cfRule>
  </conditionalFormatting>
  <conditionalFormatting sqref="E27">
    <cfRule type="cellIs" dxfId="3578" priority="199" stopIfTrue="1" operator="equal">
      <formula>$D$27</formula>
    </cfRule>
    <cfRule type="cellIs" dxfId="3577" priority="200" stopIfTrue="1" operator="lessThan">
      <formula>$D$27</formula>
    </cfRule>
  </conditionalFormatting>
  <conditionalFormatting sqref="E28">
    <cfRule type="cellIs" dxfId="3576" priority="201" stopIfTrue="1" operator="equal">
      <formula>$D$28</formula>
    </cfRule>
    <cfRule type="cellIs" dxfId="3575" priority="202" stopIfTrue="1" operator="lessThan">
      <formula>$D$28</formula>
    </cfRule>
  </conditionalFormatting>
  <conditionalFormatting sqref="F4">
    <cfRule type="cellIs" dxfId="3574" priority="36" stopIfTrue="1" operator="equal">
      <formula>$E$4</formula>
    </cfRule>
    <cfRule type="cellIs" dxfId="3573" priority="37" stopIfTrue="1" operator="lessThan">
      <formula>$E$4</formula>
    </cfRule>
  </conditionalFormatting>
  <conditionalFormatting sqref="F5">
    <cfRule type="cellIs" dxfId="3572" priority="44" stopIfTrue="1" operator="equal">
      <formula>$E$5</formula>
    </cfRule>
    <cfRule type="cellIs" dxfId="3571" priority="45" stopIfTrue="1" operator="lessThan">
      <formula>$E$5</formula>
    </cfRule>
  </conditionalFormatting>
  <conditionalFormatting sqref="F6">
    <cfRule type="cellIs" dxfId="3570" priority="53" stopIfTrue="1" operator="equal">
      <formula>$E$6</formula>
    </cfRule>
    <cfRule type="cellIs" dxfId="3569" priority="54" stopIfTrue="1" operator="lessThan">
      <formula>$E$6</formula>
    </cfRule>
  </conditionalFormatting>
  <conditionalFormatting sqref="F7">
    <cfRule type="cellIs" dxfId="3568" priority="67" stopIfTrue="1" operator="equal">
      <formula>$E$7</formula>
    </cfRule>
    <cfRule type="cellIs" dxfId="3567" priority="68" stopIfTrue="1" operator="lessThan">
      <formula>$E$7</formula>
    </cfRule>
  </conditionalFormatting>
  <conditionalFormatting sqref="F8">
    <cfRule type="cellIs" dxfId="3566" priority="79" stopIfTrue="1" operator="equal">
      <formula>$E$8</formula>
    </cfRule>
    <cfRule type="cellIs" dxfId="3565" priority="80" stopIfTrue="1" operator="lessThan">
      <formula>$E$8</formula>
    </cfRule>
  </conditionalFormatting>
  <conditionalFormatting sqref="F9">
    <cfRule type="cellIs" dxfId="3564" priority="93" stopIfTrue="1" operator="equal">
      <formula>$E$9</formula>
    </cfRule>
    <cfRule type="cellIs" dxfId="3563" priority="94" stopIfTrue="1" operator="lessThan">
      <formula>$E$9</formula>
    </cfRule>
  </conditionalFormatting>
  <conditionalFormatting sqref="F10">
    <cfRule type="cellIs" dxfId="3562" priority="107" stopIfTrue="1" operator="equal">
      <formula>$E$10</formula>
    </cfRule>
    <cfRule type="cellIs" dxfId="3561" priority="108" stopIfTrue="1" operator="lessThan">
      <formula>$E$10</formula>
    </cfRule>
  </conditionalFormatting>
  <conditionalFormatting sqref="F11">
    <cfRule type="cellIs" dxfId="3560" priority="121" stopIfTrue="1" operator="equal">
      <formula>$E$11</formula>
    </cfRule>
    <cfRule type="cellIs" dxfId="3559" priority="122" stopIfTrue="1" operator="lessThan">
      <formula>$E$11</formula>
    </cfRule>
  </conditionalFormatting>
  <conditionalFormatting sqref="F12">
    <cfRule type="cellIs" dxfId="3558" priority="135" stopIfTrue="1" operator="equal">
      <formula>$E$12</formula>
    </cfRule>
    <cfRule type="cellIs" dxfId="3557" priority="136" stopIfTrue="1" operator="lessThan">
      <formula>$E$12</formula>
    </cfRule>
  </conditionalFormatting>
  <conditionalFormatting sqref="F13">
    <cfRule type="cellIs" dxfId="3556" priority="203" stopIfTrue="1" operator="equal">
      <formula>$E$13</formula>
    </cfRule>
    <cfRule type="cellIs" dxfId="3555" priority="204" stopIfTrue="1" operator="lessThan">
      <formula>$E$13</formula>
    </cfRule>
  </conditionalFormatting>
  <conditionalFormatting sqref="F14">
    <cfRule type="cellIs" dxfId="3554" priority="205" stopIfTrue="1" operator="equal">
      <formula>$E$14</formula>
    </cfRule>
    <cfRule type="cellIs" dxfId="3553" priority="206" stopIfTrue="1" operator="lessThan">
      <formula>$E$14</formula>
    </cfRule>
  </conditionalFormatting>
  <conditionalFormatting sqref="F15">
    <cfRule type="cellIs" dxfId="3552" priority="207" stopIfTrue="1" operator="equal">
      <formula>$E$15</formula>
    </cfRule>
    <cfRule type="cellIs" dxfId="3551" priority="208" stopIfTrue="1" operator="lessThan">
      <formula>$E$15</formula>
    </cfRule>
  </conditionalFormatting>
  <conditionalFormatting sqref="F16">
    <cfRule type="cellIs" dxfId="3550" priority="209" stopIfTrue="1" operator="equal">
      <formula>$E$16</formula>
    </cfRule>
    <cfRule type="cellIs" dxfId="3549" priority="210" stopIfTrue="1" operator="lessThan">
      <formula>$E$16</formula>
    </cfRule>
  </conditionalFormatting>
  <conditionalFormatting sqref="F17">
    <cfRule type="cellIs" dxfId="3548" priority="211" stopIfTrue="1" operator="equal">
      <formula>$E$17</formula>
    </cfRule>
    <cfRule type="cellIs" dxfId="3547" priority="212" stopIfTrue="1" operator="lessThan">
      <formula>$E$17</formula>
    </cfRule>
  </conditionalFormatting>
  <conditionalFormatting sqref="F18">
    <cfRule type="cellIs" dxfId="3546" priority="213" stopIfTrue="1" operator="equal">
      <formula>$E$18</formula>
    </cfRule>
    <cfRule type="cellIs" dxfId="3545" priority="214" stopIfTrue="1" operator="lessThan">
      <formula>$E$18</formula>
    </cfRule>
  </conditionalFormatting>
  <conditionalFormatting sqref="F19">
    <cfRule type="cellIs" dxfId="3544" priority="215" stopIfTrue="1" operator="equal">
      <formula>$E$19</formula>
    </cfRule>
    <cfRule type="cellIs" dxfId="3543" priority="216" stopIfTrue="1" operator="lessThan">
      <formula>$E$19</formula>
    </cfRule>
  </conditionalFormatting>
  <conditionalFormatting sqref="F20">
    <cfRule type="cellIs" dxfId="3542" priority="217" stopIfTrue="1" operator="equal">
      <formula>$E$20</formula>
    </cfRule>
    <cfRule type="cellIs" dxfId="3541" priority="218" stopIfTrue="1" operator="lessThan">
      <formula>$E$20</formula>
    </cfRule>
  </conditionalFormatting>
  <conditionalFormatting sqref="F21">
    <cfRule type="cellIs" dxfId="3540" priority="219" stopIfTrue="1" operator="equal">
      <formula>$E$21</formula>
    </cfRule>
    <cfRule type="cellIs" dxfId="3539" priority="220" stopIfTrue="1" operator="lessThan">
      <formula>$E$21</formula>
    </cfRule>
  </conditionalFormatting>
  <conditionalFormatting sqref="F22">
    <cfRule type="cellIs" dxfId="3538" priority="221" stopIfTrue="1" operator="equal">
      <formula>$E$22</formula>
    </cfRule>
    <cfRule type="cellIs" dxfId="3537" priority="222" stopIfTrue="1" operator="lessThan">
      <formula>$E$22</formula>
    </cfRule>
  </conditionalFormatting>
  <conditionalFormatting sqref="F23">
    <cfRule type="cellIs" dxfId="3536" priority="223" stopIfTrue="1" operator="equal">
      <formula>$E$23</formula>
    </cfRule>
    <cfRule type="cellIs" dxfId="3535" priority="224" stopIfTrue="1" operator="lessThan">
      <formula>$E$23</formula>
    </cfRule>
  </conditionalFormatting>
  <conditionalFormatting sqref="F24">
    <cfRule type="cellIs" dxfId="3534" priority="299" stopIfTrue="1" operator="equal">
      <formula>$E$24</formula>
    </cfRule>
    <cfRule type="cellIs" dxfId="3533" priority="300" stopIfTrue="1" operator="lessThan">
      <formula>$E$24</formula>
    </cfRule>
  </conditionalFormatting>
  <conditionalFormatting sqref="F25">
    <cfRule type="cellIs" dxfId="3532" priority="225" stopIfTrue="1" operator="equal">
      <formula>$E$25</formula>
    </cfRule>
    <cfRule type="cellIs" dxfId="3531" priority="226" stopIfTrue="1" operator="lessThan">
      <formula>$E$25</formula>
    </cfRule>
  </conditionalFormatting>
  <conditionalFormatting sqref="F26">
    <cfRule type="cellIs" dxfId="3530" priority="227" stopIfTrue="1" operator="equal">
      <formula>$E$26</formula>
    </cfRule>
    <cfRule type="cellIs" dxfId="3529" priority="228" stopIfTrue="1" operator="lessThan">
      <formula>$E$26</formula>
    </cfRule>
  </conditionalFormatting>
  <conditionalFormatting sqref="F27">
    <cfRule type="cellIs" dxfId="3528" priority="229" stopIfTrue="1" operator="equal">
      <formula>$E$27</formula>
    </cfRule>
    <cfRule type="cellIs" dxfId="3527" priority="230" stopIfTrue="1" operator="lessThan">
      <formula>$E$27</formula>
    </cfRule>
  </conditionalFormatting>
  <conditionalFormatting sqref="F28">
    <cfRule type="cellIs" dxfId="3526" priority="231" stopIfTrue="1" operator="equal">
      <formula>$E$28</formula>
    </cfRule>
    <cfRule type="cellIs" dxfId="3525" priority="232" stopIfTrue="1" operator="lessThan">
      <formula>$E$28</formula>
    </cfRule>
  </conditionalFormatting>
  <conditionalFormatting sqref="G4">
    <cfRule type="cellIs" dxfId="3524" priority="309" stopIfTrue="1" operator="equal">
      <formula>$F$4</formula>
    </cfRule>
  </conditionalFormatting>
  <conditionalFormatting sqref="G5">
    <cfRule type="cellIs" dxfId="3523" priority="307" stopIfTrue="1" operator="equal">
      <formula>$F$5</formula>
    </cfRule>
    <cfRule type="cellIs" dxfId="3522" priority="308" stopIfTrue="1" operator="lessThan">
      <formula>$F$5</formula>
    </cfRule>
  </conditionalFormatting>
  <conditionalFormatting sqref="G6">
    <cfRule type="cellIs" dxfId="3521" priority="55" stopIfTrue="1" operator="equal">
      <formula>$F$6</formula>
    </cfRule>
    <cfRule type="cellIs" dxfId="3520" priority="56" stopIfTrue="1" operator="lessThan">
      <formula>$F$6</formula>
    </cfRule>
  </conditionalFormatting>
  <conditionalFormatting sqref="G7">
    <cfRule type="cellIs" dxfId="3519" priority="28" stopIfTrue="1" operator="equal">
      <formula>$F$7</formula>
    </cfRule>
    <cfRule type="cellIs" dxfId="3518" priority="29" stopIfTrue="1" operator="lessThan">
      <formula>$F$7</formula>
    </cfRule>
  </conditionalFormatting>
  <conditionalFormatting sqref="G8">
    <cfRule type="cellIs" dxfId="3517" priority="81" stopIfTrue="1" operator="equal">
      <formula>$F$8</formula>
    </cfRule>
    <cfRule type="cellIs" dxfId="3516" priority="82" stopIfTrue="1" operator="lessThan">
      <formula>$F$8</formula>
    </cfRule>
  </conditionalFormatting>
  <conditionalFormatting sqref="G9">
    <cfRule type="cellIs" dxfId="3515" priority="95" stopIfTrue="1" operator="equal">
      <formula>$F$9</formula>
    </cfRule>
    <cfRule type="cellIs" dxfId="3514" priority="96" stopIfTrue="1" operator="lessThan">
      <formula>$F$9</formula>
    </cfRule>
  </conditionalFormatting>
  <conditionalFormatting sqref="G10">
    <cfRule type="cellIs" dxfId="3513" priority="109" stopIfTrue="1" operator="equal">
      <formula>$F$10</formula>
    </cfRule>
    <cfRule type="cellIs" dxfId="3512" priority="110" stopIfTrue="1" operator="lessThan">
      <formula>$F$10</formula>
    </cfRule>
  </conditionalFormatting>
  <conditionalFormatting sqref="G11">
    <cfRule type="cellIs" dxfId="3511" priority="123" stopIfTrue="1" operator="equal">
      <formula>$F$11</formula>
    </cfRule>
    <cfRule type="cellIs" dxfId="3510" priority="124" stopIfTrue="1" operator="lessThan">
      <formula>$F$11</formula>
    </cfRule>
  </conditionalFormatting>
  <conditionalFormatting sqref="G12">
    <cfRule type="cellIs" dxfId="3509" priority="137" stopIfTrue="1" operator="equal">
      <formula>$F$12</formula>
    </cfRule>
    <cfRule type="cellIs" dxfId="3508" priority="138" stopIfTrue="1" operator="lessThan">
      <formula>$F$12</formula>
    </cfRule>
  </conditionalFormatting>
  <conditionalFormatting sqref="G13">
    <cfRule type="cellIs" dxfId="3507" priority="233" stopIfTrue="1" operator="equal">
      <formula>$F$13</formula>
    </cfRule>
    <cfRule type="cellIs" dxfId="3506" priority="234" stopIfTrue="1" operator="lessThan">
      <formula>$F$13</formula>
    </cfRule>
  </conditionalFormatting>
  <conditionalFormatting sqref="G14">
    <cfRule type="cellIs" dxfId="3505" priority="235" stopIfTrue="1" operator="equal">
      <formula>$F$14</formula>
    </cfRule>
    <cfRule type="cellIs" dxfId="3504" priority="236" stopIfTrue="1" operator="lessThan">
      <formula>$F$14</formula>
    </cfRule>
  </conditionalFormatting>
  <conditionalFormatting sqref="G15">
    <cfRule type="cellIs" dxfId="3503" priority="237" stopIfTrue="1" operator="equal">
      <formula>$F$15</formula>
    </cfRule>
    <cfRule type="cellIs" dxfId="3502" priority="238" stopIfTrue="1" operator="lessThan">
      <formula>$F$15</formula>
    </cfRule>
  </conditionalFormatting>
  <conditionalFormatting sqref="G16">
    <cfRule type="cellIs" dxfId="3501" priority="239" stopIfTrue="1" operator="equal">
      <formula>$F$16</formula>
    </cfRule>
    <cfRule type="cellIs" dxfId="3500" priority="240" stopIfTrue="1" operator="lessThan">
      <formula>$F$16</formula>
    </cfRule>
  </conditionalFormatting>
  <conditionalFormatting sqref="G17">
    <cfRule type="cellIs" dxfId="3499" priority="241" stopIfTrue="1" operator="equal">
      <formula>$F$17</formula>
    </cfRule>
    <cfRule type="cellIs" dxfId="3498" priority="242" stopIfTrue="1" operator="lessThan">
      <formula>$F$17</formula>
    </cfRule>
  </conditionalFormatting>
  <conditionalFormatting sqref="G18">
    <cfRule type="cellIs" dxfId="3497" priority="243" stopIfTrue="1" operator="equal">
      <formula>$F$18</formula>
    </cfRule>
    <cfRule type="cellIs" dxfId="3496" priority="244" stopIfTrue="1" operator="lessThan">
      <formula>$F$18</formula>
    </cfRule>
  </conditionalFormatting>
  <conditionalFormatting sqref="G19">
    <cfRule type="cellIs" dxfId="3495" priority="245" stopIfTrue="1" operator="equal">
      <formula>$F$19</formula>
    </cfRule>
    <cfRule type="cellIs" dxfId="3494" priority="246" stopIfTrue="1" operator="lessThan">
      <formula>$F$19</formula>
    </cfRule>
  </conditionalFormatting>
  <conditionalFormatting sqref="G20">
    <cfRule type="cellIs" dxfId="3493" priority="247" stopIfTrue="1" operator="equal">
      <formula>$F$20</formula>
    </cfRule>
    <cfRule type="cellIs" dxfId="3492" priority="248" stopIfTrue="1" operator="lessThan">
      <formula>$F$20</formula>
    </cfRule>
  </conditionalFormatting>
  <conditionalFormatting sqref="G21">
    <cfRule type="cellIs" dxfId="3491" priority="249" stopIfTrue="1" operator="equal">
      <formula>$F$21</formula>
    </cfRule>
    <cfRule type="cellIs" dxfId="3490" priority="250" stopIfTrue="1" operator="lessThan">
      <formula>$F$21</formula>
    </cfRule>
  </conditionalFormatting>
  <conditionalFormatting sqref="G22">
    <cfRule type="cellIs" dxfId="3489" priority="251" stopIfTrue="1" operator="equal">
      <formula>$F$22</formula>
    </cfRule>
    <cfRule type="cellIs" dxfId="3488" priority="252" stopIfTrue="1" operator="lessThan">
      <formula>$F$22</formula>
    </cfRule>
  </conditionalFormatting>
  <conditionalFormatting sqref="G23">
    <cfRule type="cellIs" dxfId="3487" priority="253" stopIfTrue="1" operator="equal">
      <formula>$F$23</formula>
    </cfRule>
    <cfRule type="cellIs" dxfId="3486" priority="254" stopIfTrue="1" operator="lessThan">
      <formula>$F$23</formula>
    </cfRule>
  </conditionalFormatting>
  <conditionalFormatting sqref="G24">
    <cfRule type="cellIs" dxfId="3485" priority="301" stopIfTrue="1" operator="equal">
      <formula>$F$24</formula>
    </cfRule>
    <cfRule type="cellIs" dxfId="3484" priority="302" stopIfTrue="1" operator="lessThan">
      <formula>$F$24</formula>
    </cfRule>
  </conditionalFormatting>
  <conditionalFormatting sqref="G25">
    <cfRule type="cellIs" dxfId="3483" priority="255" stopIfTrue="1" operator="equal">
      <formula>$F$25</formula>
    </cfRule>
    <cfRule type="cellIs" dxfId="3482" priority="256" stopIfTrue="1" operator="lessThan">
      <formula>$F$25</formula>
    </cfRule>
  </conditionalFormatting>
  <conditionalFormatting sqref="G26">
    <cfRule type="cellIs" dxfId="3481" priority="257" stopIfTrue="1" operator="equal">
      <formula>$F$26</formula>
    </cfRule>
    <cfRule type="cellIs" dxfId="3480" priority="258" stopIfTrue="1" operator="lessThan">
      <formula>$F$26</formula>
    </cfRule>
  </conditionalFormatting>
  <conditionalFormatting sqref="G27">
    <cfRule type="cellIs" dxfId="3479" priority="259" stopIfTrue="1" operator="equal">
      <formula>$F$27</formula>
    </cfRule>
    <cfRule type="cellIs" dxfId="3478" priority="260" stopIfTrue="1" operator="lessThan">
      <formula>$F$27</formula>
    </cfRule>
  </conditionalFormatting>
  <conditionalFormatting sqref="G28">
    <cfRule type="cellIs" dxfId="3477" priority="261" stopIfTrue="1" operator="equal">
      <formula>$F$28</formula>
    </cfRule>
    <cfRule type="cellIs" dxfId="3476" priority="262" stopIfTrue="1" operator="lessThan">
      <formula>$F$28</formula>
    </cfRule>
  </conditionalFormatting>
  <conditionalFormatting sqref="H4">
    <cfRule type="cellIs" dxfId="3475" priority="26" stopIfTrue="1" operator="lessThan">
      <formula>$G$4</formula>
    </cfRule>
    <cfRule type="cellIs" dxfId="3474" priority="27" stopIfTrue="1" operator="equal">
      <formula>$G$4</formula>
    </cfRule>
  </conditionalFormatting>
  <conditionalFormatting sqref="H5">
    <cfRule type="cellIs" dxfId="3473" priority="30" stopIfTrue="1" operator="equal">
      <formula>$G$5</formula>
    </cfRule>
    <cfRule type="cellIs" dxfId="3472" priority="31" stopIfTrue="1" operator="lessThan">
      <formula>$G$5</formula>
    </cfRule>
  </conditionalFormatting>
  <conditionalFormatting sqref="H6">
    <cfRule type="cellIs" dxfId="3471" priority="57" stopIfTrue="1" operator="equal">
      <formula>$G$6</formula>
    </cfRule>
    <cfRule type="cellIs" dxfId="3470" priority="58" stopIfTrue="1" operator="lessThan">
      <formula>$G$6</formula>
    </cfRule>
  </conditionalFormatting>
  <conditionalFormatting sqref="H7">
    <cfRule type="cellIs" dxfId="3469" priority="69" stopIfTrue="1" operator="equal">
      <formula>$G$7</formula>
    </cfRule>
    <cfRule type="cellIs" dxfId="3468" priority="70" stopIfTrue="1" operator="lessThan">
      <formula>$G$7</formula>
    </cfRule>
  </conditionalFormatting>
  <conditionalFormatting sqref="H8">
    <cfRule type="cellIs" dxfId="3467" priority="83" stopIfTrue="1" operator="equal">
      <formula>$G$8</formula>
    </cfRule>
    <cfRule type="cellIs" dxfId="3466" priority="84" stopIfTrue="1" operator="lessThan">
      <formula>$G$8</formula>
    </cfRule>
  </conditionalFormatting>
  <conditionalFormatting sqref="H9">
    <cfRule type="cellIs" dxfId="3465" priority="97" stopIfTrue="1" operator="equal">
      <formula>$G$9</formula>
    </cfRule>
    <cfRule type="cellIs" dxfId="3464" priority="98" stopIfTrue="1" operator="lessThan">
      <formula>$G$9</formula>
    </cfRule>
  </conditionalFormatting>
  <conditionalFormatting sqref="H10">
    <cfRule type="cellIs" dxfId="3463" priority="111" stopIfTrue="1" operator="equal">
      <formula>$G$10</formula>
    </cfRule>
    <cfRule type="cellIs" dxfId="3462" priority="112" stopIfTrue="1" operator="lessThan">
      <formula>$G$10</formula>
    </cfRule>
  </conditionalFormatting>
  <conditionalFormatting sqref="H11">
    <cfRule type="cellIs" dxfId="3461" priority="125" stopIfTrue="1" operator="equal">
      <formula>$G$11</formula>
    </cfRule>
    <cfRule type="cellIs" dxfId="3460" priority="126" stopIfTrue="1" operator="lessThan">
      <formula>$G$11</formula>
    </cfRule>
  </conditionalFormatting>
  <conditionalFormatting sqref="H12">
    <cfRule type="cellIs" dxfId="3459" priority="139" stopIfTrue="1" operator="equal">
      <formula>$G$12</formula>
    </cfRule>
    <cfRule type="cellIs" dxfId="3458" priority="140" stopIfTrue="1" operator="lessThan">
      <formula>$G$12</formula>
    </cfRule>
  </conditionalFormatting>
  <conditionalFormatting sqref="H13">
    <cfRule type="cellIs" dxfId="3457" priority="265" stopIfTrue="1" operator="equal">
      <formula>$G$13</formula>
    </cfRule>
    <cfRule type="cellIs" dxfId="3456" priority="266" stopIfTrue="1" operator="lessThan">
      <formula>$G$13</formula>
    </cfRule>
  </conditionalFormatting>
  <conditionalFormatting sqref="H14">
    <cfRule type="cellIs" dxfId="3455" priority="267" stopIfTrue="1" operator="equal">
      <formula>$G$14</formula>
    </cfRule>
    <cfRule type="cellIs" dxfId="3454" priority="268" stopIfTrue="1" operator="lessThan">
      <formula>$G$14</formula>
    </cfRule>
  </conditionalFormatting>
  <conditionalFormatting sqref="H15">
    <cfRule type="cellIs" dxfId="3453" priority="269" stopIfTrue="1" operator="equal">
      <formula>$G$15</formula>
    </cfRule>
    <cfRule type="cellIs" dxfId="3452" priority="270" stopIfTrue="1" operator="lessThan">
      <formula>$G$15</formula>
    </cfRule>
  </conditionalFormatting>
  <conditionalFormatting sqref="H16">
    <cfRule type="cellIs" dxfId="3451" priority="271" stopIfTrue="1" operator="equal">
      <formula>$G$16</formula>
    </cfRule>
    <cfRule type="cellIs" dxfId="3450" priority="272" stopIfTrue="1" operator="lessThan">
      <formula>$G$16</formula>
    </cfRule>
  </conditionalFormatting>
  <conditionalFormatting sqref="H17">
    <cfRule type="cellIs" dxfId="3449" priority="273" stopIfTrue="1" operator="equal">
      <formula>$G$17</formula>
    </cfRule>
    <cfRule type="cellIs" dxfId="3448" priority="274" stopIfTrue="1" operator="lessThan">
      <formula>$G$17</formula>
    </cfRule>
  </conditionalFormatting>
  <conditionalFormatting sqref="H18">
    <cfRule type="cellIs" dxfId="3447" priority="275" stopIfTrue="1" operator="equal">
      <formula>$G$18</formula>
    </cfRule>
    <cfRule type="cellIs" dxfId="3446" priority="276" stopIfTrue="1" operator="lessThan">
      <formula>$G$18</formula>
    </cfRule>
  </conditionalFormatting>
  <conditionalFormatting sqref="H19">
    <cfRule type="cellIs" dxfId="3445" priority="277" stopIfTrue="1" operator="equal">
      <formula>$G$19</formula>
    </cfRule>
    <cfRule type="cellIs" dxfId="3444" priority="278" stopIfTrue="1" operator="lessThan">
      <formula>$G$19</formula>
    </cfRule>
  </conditionalFormatting>
  <conditionalFormatting sqref="H20">
    <cfRule type="cellIs" dxfId="3443" priority="279" stopIfTrue="1" operator="equal">
      <formula>$G$20</formula>
    </cfRule>
    <cfRule type="cellIs" dxfId="3442" priority="280" stopIfTrue="1" operator="lessThan">
      <formula>$G$20</formula>
    </cfRule>
  </conditionalFormatting>
  <conditionalFormatting sqref="H21">
    <cfRule type="cellIs" dxfId="3441" priority="281" stopIfTrue="1" operator="equal">
      <formula>$G$21</formula>
    </cfRule>
    <cfRule type="cellIs" dxfId="3440" priority="282" stopIfTrue="1" operator="lessThan">
      <formula>$G$21</formula>
    </cfRule>
  </conditionalFormatting>
  <conditionalFormatting sqref="H22">
    <cfRule type="cellIs" dxfId="3439" priority="283" stopIfTrue="1" operator="equal">
      <formula>$G$22</formula>
    </cfRule>
    <cfRule type="cellIs" dxfId="3438" priority="284" stopIfTrue="1" operator="lessThan">
      <formula>$G$22</formula>
    </cfRule>
  </conditionalFormatting>
  <conditionalFormatting sqref="H23">
    <cfRule type="cellIs" dxfId="3437" priority="285" stopIfTrue="1" operator="equal">
      <formula>$G$23</formula>
    </cfRule>
    <cfRule type="cellIs" dxfId="3436" priority="286" stopIfTrue="1" operator="lessThan">
      <formula>$G$23</formula>
    </cfRule>
  </conditionalFormatting>
  <conditionalFormatting sqref="H24">
    <cfRule type="cellIs" dxfId="3435" priority="303" stopIfTrue="1" operator="equal">
      <formula>$G$24</formula>
    </cfRule>
    <cfRule type="cellIs" dxfId="3434" priority="304" stopIfTrue="1" operator="lessThan">
      <formula>$G$24</formula>
    </cfRule>
  </conditionalFormatting>
  <conditionalFormatting sqref="H25">
    <cfRule type="cellIs" dxfId="3433" priority="287" stopIfTrue="1" operator="equal">
      <formula>$G$25</formula>
    </cfRule>
    <cfRule type="cellIs" dxfId="3432" priority="288" stopIfTrue="1" operator="lessThan">
      <formula>$G$25</formula>
    </cfRule>
  </conditionalFormatting>
  <conditionalFormatting sqref="H26">
    <cfRule type="cellIs" dxfId="3431" priority="289" stopIfTrue="1" operator="equal">
      <formula>$G$26</formula>
    </cfRule>
    <cfRule type="cellIs" dxfId="3430" priority="290" stopIfTrue="1" operator="lessThan">
      <formula>$G$26</formula>
    </cfRule>
  </conditionalFormatting>
  <conditionalFormatting sqref="H27">
    <cfRule type="cellIs" dxfId="3429" priority="291" stopIfTrue="1" operator="equal">
      <formula>$G$27</formula>
    </cfRule>
    <cfRule type="cellIs" dxfId="3428" priority="292" stopIfTrue="1" operator="lessThan">
      <formula>$G$27</formula>
    </cfRule>
  </conditionalFormatting>
  <conditionalFormatting sqref="H28">
    <cfRule type="cellIs" dxfId="3427" priority="293" stopIfTrue="1" operator="equal">
      <formula>$G$28</formula>
    </cfRule>
    <cfRule type="cellIs" dxfId="3426" priority="294" stopIfTrue="1" operator="lessThan">
      <formula>$G$28</formula>
    </cfRule>
  </conditionalFormatting>
  <conditionalFormatting sqref="I4">
    <cfRule type="cellIs" dxfId="3425" priority="46" stopIfTrue="1" operator="equal">
      <formula>$H$4</formula>
    </cfRule>
  </conditionalFormatting>
  <conditionalFormatting sqref="I5">
    <cfRule type="cellIs" dxfId="3424" priority="32" stopIfTrue="1" operator="equal">
      <formula>$H$5</formula>
    </cfRule>
    <cfRule type="cellIs" dxfId="3423" priority="33" stopIfTrue="1" operator="lessThan">
      <formula>$H$5</formula>
    </cfRule>
  </conditionalFormatting>
  <conditionalFormatting sqref="I6">
    <cfRule type="cellIs" dxfId="3422" priority="59" stopIfTrue="1" operator="equal">
      <formula>$H$6</formula>
    </cfRule>
    <cfRule type="cellIs" dxfId="3421" priority="60" stopIfTrue="1" operator="lessThan">
      <formula>$H$6</formula>
    </cfRule>
  </conditionalFormatting>
  <conditionalFormatting sqref="I7">
    <cfRule type="cellIs" dxfId="3420" priority="71" stopIfTrue="1" operator="equal">
      <formula>$H$7</formula>
    </cfRule>
    <cfRule type="cellIs" dxfId="3419" priority="72" stopIfTrue="1" operator="lessThan">
      <formula>$H$7</formula>
    </cfRule>
  </conditionalFormatting>
  <conditionalFormatting sqref="I8">
    <cfRule type="cellIs" dxfId="3418" priority="85" stopIfTrue="1" operator="equal">
      <formula>$H$8</formula>
    </cfRule>
    <cfRule type="cellIs" dxfId="3417" priority="86" stopIfTrue="1" operator="lessThan">
      <formula>$H$8</formula>
    </cfRule>
  </conditionalFormatting>
  <conditionalFormatting sqref="I9">
    <cfRule type="cellIs" dxfId="3416" priority="99" stopIfTrue="1" operator="equal">
      <formula>$H$9</formula>
    </cfRule>
    <cfRule type="cellIs" dxfId="3415" priority="100" stopIfTrue="1" operator="lessThan">
      <formula>$H$9</formula>
    </cfRule>
  </conditionalFormatting>
  <conditionalFormatting sqref="I10">
    <cfRule type="cellIs" dxfId="3414" priority="113" stopIfTrue="1" operator="equal">
      <formula>$H$10</formula>
    </cfRule>
    <cfRule type="cellIs" dxfId="3413" priority="114" stopIfTrue="1" operator="lessThan">
      <formula>$H$10</formula>
    </cfRule>
  </conditionalFormatting>
  <conditionalFormatting sqref="I11">
    <cfRule type="cellIs" dxfId="3412" priority="127" stopIfTrue="1" operator="equal">
      <formula>$H$11</formula>
    </cfRule>
    <cfRule type="cellIs" dxfId="3411" priority="128" stopIfTrue="1" operator="lessThan">
      <formula>$H$11</formula>
    </cfRule>
  </conditionalFormatting>
  <conditionalFormatting sqref="I12">
    <cfRule type="cellIs" dxfId="3410" priority="141" stopIfTrue="1" operator="equal">
      <formula>$H$12</formula>
    </cfRule>
    <cfRule type="cellIs" dxfId="3409" priority="142" stopIfTrue="1" operator="lessThan">
      <formula>$H$12</formula>
    </cfRule>
  </conditionalFormatting>
  <conditionalFormatting sqref="I13">
    <cfRule type="cellIs" dxfId="3408" priority="311" stopIfTrue="1" operator="equal">
      <formula>$H$13</formula>
    </cfRule>
    <cfRule type="cellIs" dxfId="3407" priority="312" stopIfTrue="1" operator="lessThan">
      <formula>$H$13</formula>
    </cfRule>
  </conditionalFormatting>
  <conditionalFormatting sqref="I14">
    <cfRule type="cellIs" dxfId="3406" priority="313" stopIfTrue="1" operator="equal">
      <formula>$H$14</formula>
    </cfRule>
    <cfRule type="cellIs" dxfId="3405" priority="314" stopIfTrue="1" operator="lessThan">
      <formula>$H$14</formula>
    </cfRule>
  </conditionalFormatting>
  <conditionalFormatting sqref="I15">
    <cfRule type="cellIs" dxfId="3404" priority="315" stopIfTrue="1" operator="equal">
      <formula>$H$15</formula>
    </cfRule>
    <cfRule type="cellIs" dxfId="3403" priority="316" stopIfTrue="1" operator="lessThan">
      <formula>$H$15</formula>
    </cfRule>
  </conditionalFormatting>
  <conditionalFormatting sqref="I16">
    <cfRule type="cellIs" dxfId="3402" priority="317" stopIfTrue="1" operator="equal">
      <formula>$H$16</formula>
    </cfRule>
    <cfRule type="cellIs" dxfId="3401" priority="318" stopIfTrue="1" operator="lessThan">
      <formula>$H$16</formula>
    </cfRule>
  </conditionalFormatting>
  <conditionalFormatting sqref="I17">
    <cfRule type="cellIs" dxfId="3400" priority="319" stopIfTrue="1" operator="equal">
      <formula>$H$17</formula>
    </cfRule>
    <cfRule type="cellIs" dxfId="3399" priority="320" stopIfTrue="1" operator="lessThan">
      <formula>$H$17</formula>
    </cfRule>
  </conditionalFormatting>
  <conditionalFormatting sqref="I18">
    <cfRule type="cellIs" dxfId="3398" priority="321" stopIfTrue="1" operator="equal">
      <formula>$H$18</formula>
    </cfRule>
    <cfRule type="cellIs" dxfId="3397" priority="322" stopIfTrue="1" operator="lessThan">
      <formula>$H$18</formula>
    </cfRule>
  </conditionalFormatting>
  <conditionalFormatting sqref="I19">
    <cfRule type="cellIs" dxfId="3396" priority="323" stopIfTrue="1" operator="equal">
      <formula>$H$19</formula>
    </cfRule>
    <cfRule type="cellIs" dxfId="3395" priority="324" stopIfTrue="1" operator="lessThan">
      <formula>$H$19</formula>
    </cfRule>
  </conditionalFormatting>
  <conditionalFormatting sqref="I20">
    <cfRule type="cellIs" dxfId="3394" priority="325" stopIfTrue="1" operator="equal">
      <formula>$H$20</formula>
    </cfRule>
    <cfRule type="cellIs" dxfId="3393" priority="326" stopIfTrue="1" operator="lessThan">
      <formula>$H$20</formula>
    </cfRule>
  </conditionalFormatting>
  <conditionalFormatting sqref="I21">
    <cfRule type="cellIs" dxfId="3392" priority="327" stopIfTrue="1" operator="equal">
      <formula>$H$21</formula>
    </cfRule>
    <cfRule type="cellIs" dxfId="3391" priority="328" stopIfTrue="1" operator="lessThan">
      <formula>$H$21</formula>
    </cfRule>
  </conditionalFormatting>
  <conditionalFormatting sqref="I22">
    <cfRule type="cellIs" dxfId="3390" priority="329" stopIfTrue="1" operator="equal">
      <formula>$H$22</formula>
    </cfRule>
    <cfRule type="cellIs" dxfId="3389" priority="330" stopIfTrue="1" operator="lessThan">
      <formula>$H$22</formula>
    </cfRule>
  </conditionalFormatting>
  <conditionalFormatting sqref="I23">
    <cfRule type="cellIs" dxfId="3388" priority="331" stopIfTrue="1" operator="equal">
      <formula>$H$23</formula>
    </cfRule>
    <cfRule type="cellIs" dxfId="3387" priority="332" stopIfTrue="1" operator="lessThan">
      <formula>$H$23</formula>
    </cfRule>
  </conditionalFormatting>
  <conditionalFormatting sqref="I24">
    <cfRule type="cellIs" dxfId="3386" priority="333" stopIfTrue="1" operator="equal">
      <formula>$H$24</formula>
    </cfRule>
    <cfRule type="cellIs" dxfId="3385" priority="334" stopIfTrue="1" operator="lessThan">
      <formula>$H$24</formula>
    </cfRule>
  </conditionalFormatting>
  <conditionalFormatting sqref="I25">
    <cfRule type="cellIs" dxfId="3384" priority="335" stopIfTrue="1" operator="equal">
      <formula>$H$25</formula>
    </cfRule>
    <cfRule type="cellIs" dxfId="3383" priority="336" stopIfTrue="1" operator="lessThan">
      <formula>$H$25</formula>
    </cfRule>
  </conditionalFormatting>
  <conditionalFormatting sqref="I26">
    <cfRule type="cellIs" dxfId="3382" priority="337" stopIfTrue="1" operator="equal">
      <formula>$H$26</formula>
    </cfRule>
    <cfRule type="cellIs" dxfId="3381" priority="338" stopIfTrue="1" operator="lessThan">
      <formula>$H$26</formula>
    </cfRule>
  </conditionalFormatting>
  <conditionalFormatting sqref="I27">
    <cfRule type="cellIs" dxfId="3380" priority="339" stopIfTrue="1" operator="equal">
      <formula>$H$27</formula>
    </cfRule>
    <cfRule type="cellIs" dxfId="3379" priority="340" stopIfTrue="1" operator="lessThan">
      <formula>$H$27</formula>
    </cfRule>
  </conditionalFormatting>
  <conditionalFormatting sqref="I28">
    <cfRule type="cellIs" dxfId="3378" priority="342" stopIfTrue="1" operator="equal">
      <formula>$H$28</formula>
    </cfRule>
    <cfRule type="cellIs" dxfId="3377" priority="343" stopIfTrue="1" operator="lessThan">
      <formula>$H$28</formula>
    </cfRule>
  </conditionalFormatting>
  <conditionalFormatting sqref="I29">
    <cfRule type="cellIs" dxfId="3376" priority="344" stopIfTrue="1" operator="equal">
      <formula>$H$29</formula>
    </cfRule>
    <cfRule type="cellIs" dxfId="3375" priority="345" stopIfTrue="1" operator="lessThan">
      <formula>$H$29</formula>
    </cfRule>
  </conditionalFormatting>
  <conditionalFormatting sqref="J4">
    <cfRule type="cellIs" dxfId="3374" priority="47" stopIfTrue="1" operator="lessThan">
      <formula>$I$4</formula>
    </cfRule>
    <cfRule type="cellIs" dxfId="3373" priority="48" stopIfTrue="1" operator="equal">
      <formula>$I$4</formula>
    </cfRule>
  </conditionalFormatting>
  <conditionalFormatting sqref="J5">
    <cfRule type="cellIs" dxfId="3372" priority="34" stopIfTrue="1" operator="equal">
      <formula>$I$5</formula>
    </cfRule>
    <cfRule type="cellIs" dxfId="3371" priority="35" stopIfTrue="1" operator="lessThan">
      <formula>$I$5</formula>
    </cfRule>
  </conditionalFormatting>
  <conditionalFormatting sqref="J6">
    <cfRule type="cellIs" dxfId="3370" priority="61" stopIfTrue="1" operator="equal">
      <formula>$I$6</formula>
    </cfRule>
    <cfRule type="cellIs" dxfId="3369" priority="62" stopIfTrue="1" operator="lessThan">
      <formula>$I$6</formula>
    </cfRule>
  </conditionalFormatting>
  <conditionalFormatting sqref="J7">
    <cfRule type="cellIs" dxfId="3368" priority="73" stopIfTrue="1" operator="equal">
      <formula>$I$7</formula>
    </cfRule>
    <cfRule type="cellIs" dxfId="3367" priority="74" stopIfTrue="1" operator="lessThan">
      <formula>$I$7</formula>
    </cfRule>
  </conditionalFormatting>
  <conditionalFormatting sqref="J8">
    <cfRule type="cellIs" dxfId="3366" priority="87" stopIfTrue="1" operator="equal">
      <formula>$I$8</formula>
    </cfRule>
    <cfRule type="cellIs" dxfId="3365" priority="88" stopIfTrue="1" operator="lessThan">
      <formula>$I$8</formula>
    </cfRule>
  </conditionalFormatting>
  <conditionalFormatting sqref="J9">
    <cfRule type="cellIs" dxfId="3364" priority="101" stopIfTrue="1" operator="equal">
      <formula>$I$9</formula>
    </cfRule>
    <cfRule type="cellIs" dxfId="3363" priority="102" stopIfTrue="1" operator="lessThan">
      <formula>$I$9</formula>
    </cfRule>
  </conditionalFormatting>
  <conditionalFormatting sqref="J10">
    <cfRule type="cellIs" dxfId="3362" priority="115" stopIfTrue="1" operator="equal">
      <formula>$I$10</formula>
    </cfRule>
    <cfRule type="cellIs" dxfId="3361" priority="116" stopIfTrue="1" operator="lessThan">
      <formula>$I$10</formula>
    </cfRule>
  </conditionalFormatting>
  <conditionalFormatting sqref="J11">
    <cfRule type="cellIs" dxfId="3360" priority="129" stopIfTrue="1" operator="equal">
      <formula>$I$11</formula>
    </cfRule>
    <cfRule type="cellIs" dxfId="3359" priority="130" stopIfTrue="1" operator="lessThan">
      <formula>$I$11</formula>
    </cfRule>
  </conditionalFormatting>
  <conditionalFormatting sqref="J12">
    <cfRule type="cellIs" dxfId="3358" priority="143" stopIfTrue="1" operator="equal">
      <formula>$I$12</formula>
    </cfRule>
    <cfRule type="cellIs" dxfId="3357" priority="144" stopIfTrue="1" operator="lessThan">
      <formula>$I$12</formula>
    </cfRule>
  </conditionalFormatting>
  <conditionalFormatting sqref="J13">
    <cfRule type="cellIs" dxfId="3356" priority="346" stopIfTrue="1" operator="equal">
      <formula>$I$13</formula>
    </cfRule>
    <cfRule type="cellIs" dxfId="3355" priority="347" stopIfTrue="1" operator="lessThan">
      <formula>$I$13</formula>
    </cfRule>
  </conditionalFormatting>
  <conditionalFormatting sqref="J14">
    <cfRule type="cellIs" dxfId="3354" priority="348" stopIfTrue="1" operator="equal">
      <formula>$I$14</formula>
    </cfRule>
    <cfRule type="cellIs" dxfId="3353" priority="349" stopIfTrue="1" operator="lessThan">
      <formula>$I$14</formula>
    </cfRule>
  </conditionalFormatting>
  <conditionalFormatting sqref="J15">
    <cfRule type="cellIs" dxfId="3352" priority="350" stopIfTrue="1" operator="equal">
      <formula>$I$15</formula>
    </cfRule>
    <cfRule type="cellIs" dxfId="3351" priority="351" stopIfTrue="1" operator="lessThan">
      <formula>$I$15</formula>
    </cfRule>
  </conditionalFormatting>
  <conditionalFormatting sqref="J16">
    <cfRule type="cellIs" dxfId="3350" priority="352" stopIfTrue="1" operator="equal">
      <formula>$I$16</formula>
    </cfRule>
    <cfRule type="cellIs" dxfId="3349" priority="353" stopIfTrue="1" operator="lessThan">
      <formula>$I$16</formula>
    </cfRule>
  </conditionalFormatting>
  <conditionalFormatting sqref="J17">
    <cfRule type="cellIs" dxfId="3348" priority="354" stopIfTrue="1" operator="equal">
      <formula>$I$17</formula>
    </cfRule>
    <cfRule type="cellIs" dxfId="3347" priority="355" stopIfTrue="1" operator="lessThan">
      <formula>$I$17</formula>
    </cfRule>
  </conditionalFormatting>
  <conditionalFormatting sqref="J18">
    <cfRule type="cellIs" dxfId="3346" priority="356" stopIfTrue="1" operator="equal">
      <formula>$I$18</formula>
    </cfRule>
    <cfRule type="cellIs" dxfId="3345" priority="357" stopIfTrue="1" operator="lessThan">
      <formula>$I$18</formula>
    </cfRule>
  </conditionalFormatting>
  <conditionalFormatting sqref="J19">
    <cfRule type="cellIs" dxfId="3344" priority="358" stopIfTrue="1" operator="equal">
      <formula>$I$19</formula>
    </cfRule>
    <cfRule type="cellIs" dxfId="3343" priority="359" stopIfTrue="1" operator="lessThan">
      <formula>$I$19</formula>
    </cfRule>
  </conditionalFormatting>
  <conditionalFormatting sqref="J20">
    <cfRule type="cellIs" dxfId="3342" priority="360" stopIfTrue="1" operator="equal">
      <formula>$I$20</formula>
    </cfRule>
    <cfRule type="cellIs" dxfId="3341" priority="361" stopIfTrue="1" operator="lessThan">
      <formula>$I$20</formula>
    </cfRule>
  </conditionalFormatting>
  <conditionalFormatting sqref="J21">
    <cfRule type="cellIs" dxfId="3340" priority="362" stopIfTrue="1" operator="equal">
      <formula>$I$21</formula>
    </cfRule>
    <cfRule type="cellIs" dxfId="3339" priority="363" stopIfTrue="1" operator="lessThan">
      <formula>$I$21</formula>
    </cfRule>
  </conditionalFormatting>
  <conditionalFormatting sqref="J22">
    <cfRule type="cellIs" dxfId="3338" priority="364" stopIfTrue="1" operator="equal">
      <formula>$I$22</formula>
    </cfRule>
    <cfRule type="cellIs" dxfId="3337" priority="365" stopIfTrue="1" operator="lessThan">
      <formula>$I$22</formula>
    </cfRule>
  </conditionalFormatting>
  <conditionalFormatting sqref="J23">
    <cfRule type="cellIs" dxfId="3336" priority="366" stopIfTrue="1" operator="equal">
      <formula>$I$23</formula>
    </cfRule>
    <cfRule type="cellIs" dxfId="3335" priority="367" stopIfTrue="1" operator="lessThan">
      <formula>$I$23</formula>
    </cfRule>
  </conditionalFormatting>
  <conditionalFormatting sqref="J24">
    <cfRule type="cellIs" dxfId="3334" priority="368" stopIfTrue="1" operator="equal">
      <formula>$I$24</formula>
    </cfRule>
    <cfRule type="cellIs" dxfId="3333" priority="369" stopIfTrue="1" operator="lessThan">
      <formula>$I$24</formula>
    </cfRule>
  </conditionalFormatting>
  <conditionalFormatting sqref="J25">
    <cfRule type="cellIs" dxfId="3332" priority="370" stopIfTrue="1" operator="equal">
      <formula>$I$25</formula>
    </cfRule>
    <cfRule type="cellIs" dxfId="3331" priority="371" stopIfTrue="1" operator="lessThan">
      <formula>$I$25</formula>
    </cfRule>
  </conditionalFormatting>
  <conditionalFormatting sqref="J26">
    <cfRule type="cellIs" dxfId="3330" priority="372" stopIfTrue="1" operator="equal">
      <formula>$I$26</formula>
    </cfRule>
    <cfRule type="cellIs" dxfId="3329" priority="373" stopIfTrue="1" operator="lessThan">
      <formula>$I$26</formula>
    </cfRule>
  </conditionalFormatting>
  <conditionalFormatting sqref="J27">
    <cfRule type="cellIs" dxfId="3328" priority="374" stopIfTrue="1" operator="equal">
      <formula>$I$27</formula>
    </cfRule>
    <cfRule type="cellIs" dxfId="3327" priority="375" stopIfTrue="1" operator="lessThan">
      <formula>$I$27</formula>
    </cfRule>
  </conditionalFormatting>
  <conditionalFormatting sqref="J28">
    <cfRule type="cellIs" dxfId="3326" priority="376" stopIfTrue="1" operator="equal">
      <formula>$I$28</formula>
    </cfRule>
    <cfRule type="cellIs" dxfId="3325" priority="377" stopIfTrue="1" operator="lessThan">
      <formula>$I$28</formula>
    </cfRule>
  </conditionalFormatting>
  <conditionalFormatting sqref="K4">
    <cfRule type="cellIs" dxfId="3324" priority="378" stopIfTrue="1" operator="equal">
      <formula>$J$4</formula>
    </cfRule>
    <cfRule type="cellIs" dxfId="3323" priority="379" stopIfTrue="1" operator="lessThan">
      <formula>$J$4</formula>
    </cfRule>
  </conditionalFormatting>
  <conditionalFormatting sqref="K5">
    <cfRule type="cellIs" dxfId="3322" priority="380" stopIfTrue="1" operator="equal">
      <formula>$J$5</formula>
    </cfRule>
    <cfRule type="cellIs" dxfId="3321" priority="381" stopIfTrue="1" operator="lessThan">
      <formula>$J$5</formula>
    </cfRule>
  </conditionalFormatting>
  <conditionalFormatting sqref="K6">
    <cfRule type="cellIs" dxfId="3320" priority="382" stopIfTrue="1" operator="equal">
      <formula>$J$6</formula>
    </cfRule>
    <cfRule type="cellIs" dxfId="3319" priority="383" stopIfTrue="1" operator="lessThan">
      <formula>$J$6</formula>
    </cfRule>
  </conditionalFormatting>
  <conditionalFormatting sqref="K7">
    <cfRule type="cellIs" dxfId="3318" priority="384" stopIfTrue="1" operator="equal">
      <formula>$J$7</formula>
    </cfRule>
    <cfRule type="cellIs" dxfId="3317" priority="385" stopIfTrue="1" operator="lessThan">
      <formula>$J$7</formula>
    </cfRule>
  </conditionalFormatting>
  <conditionalFormatting sqref="K8">
    <cfRule type="cellIs" dxfId="3316" priority="386" stopIfTrue="1" operator="equal">
      <formula>$J$8</formula>
    </cfRule>
    <cfRule type="cellIs" dxfId="3315" priority="387" stopIfTrue="1" operator="lessThan">
      <formula>$J$8</formula>
    </cfRule>
  </conditionalFormatting>
  <conditionalFormatting sqref="K9">
    <cfRule type="cellIs" dxfId="3314" priority="388" stopIfTrue="1" operator="equal">
      <formula>$J$9</formula>
    </cfRule>
    <cfRule type="cellIs" dxfId="3313" priority="389" stopIfTrue="1" operator="lessThan">
      <formula>$J$9</formula>
    </cfRule>
  </conditionalFormatting>
  <conditionalFormatting sqref="K10">
    <cfRule type="cellIs" dxfId="3312" priority="390" stopIfTrue="1" operator="equal">
      <formula>$J$10</formula>
    </cfRule>
    <cfRule type="cellIs" dxfId="3311" priority="391" stopIfTrue="1" operator="lessThan">
      <formula>$J$10</formula>
    </cfRule>
  </conditionalFormatting>
  <conditionalFormatting sqref="K11">
    <cfRule type="cellIs" dxfId="3310" priority="392" stopIfTrue="1" operator="equal">
      <formula>$J$11</formula>
    </cfRule>
    <cfRule type="cellIs" dxfId="3309" priority="393" stopIfTrue="1" operator="lessThan">
      <formula>$J$11</formula>
    </cfRule>
  </conditionalFormatting>
  <conditionalFormatting sqref="K12">
    <cfRule type="cellIs" dxfId="3308" priority="394" stopIfTrue="1" operator="equal">
      <formula>$J$12</formula>
    </cfRule>
    <cfRule type="cellIs" dxfId="3307" priority="395" stopIfTrue="1" operator="lessThan">
      <formula>$J$12</formula>
    </cfRule>
  </conditionalFormatting>
  <conditionalFormatting sqref="K13">
    <cfRule type="cellIs" dxfId="3306" priority="396" stopIfTrue="1" operator="equal">
      <formula>$J$13</formula>
    </cfRule>
    <cfRule type="cellIs" dxfId="3305" priority="397" stopIfTrue="1" operator="lessThan">
      <formula>$J$13</formula>
    </cfRule>
  </conditionalFormatting>
  <conditionalFormatting sqref="K14">
    <cfRule type="cellIs" dxfId="3304" priority="398" stopIfTrue="1" operator="equal">
      <formula>$J$14</formula>
    </cfRule>
    <cfRule type="cellIs" dxfId="3303" priority="399" stopIfTrue="1" operator="lessThan">
      <formula>$J$14</formula>
    </cfRule>
  </conditionalFormatting>
  <conditionalFormatting sqref="K15">
    <cfRule type="cellIs" dxfId="3302" priority="400" stopIfTrue="1" operator="equal">
      <formula>$J$15</formula>
    </cfRule>
    <cfRule type="cellIs" dxfId="3301" priority="401" stopIfTrue="1" operator="lessThan">
      <formula>$J$15</formula>
    </cfRule>
  </conditionalFormatting>
  <conditionalFormatting sqref="K16">
    <cfRule type="cellIs" dxfId="3300" priority="402" stopIfTrue="1" operator="equal">
      <formula>$J$16</formula>
    </cfRule>
    <cfRule type="cellIs" dxfId="3299" priority="403" stopIfTrue="1" operator="lessThan">
      <formula>$J$16</formula>
    </cfRule>
  </conditionalFormatting>
  <conditionalFormatting sqref="K17">
    <cfRule type="cellIs" dxfId="3298" priority="404" stopIfTrue="1" operator="equal">
      <formula>$J$17</formula>
    </cfRule>
    <cfRule type="cellIs" dxfId="3297" priority="405" stopIfTrue="1" operator="lessThan">
      <formula>$J$17</formula>
    </cfRule>
  </conditionalFormatting>
  <conditionalFormatting sqref="K18">
    <cfRule type="cellIs" dxfId="3296" priority="406" stopIfTrue="1" operator="equal">
      <formula>$J$18</formula>
    </cfRule>
    <cfRule type="cellIs" dxfId="3295" priority="407" stopIfTrue="1" operator="lessThan">
      <formula>$J$18</formula>
    </cfRule>
  </conditionalFormatting>
  <conditionalFormatting sqref="K19">
    <cfRule type="cellIs" dxfId="3294" priority="408" stopIfTrue="1" operator="equal">
      <formula>$J$19</formula>
    </cfRule>
    <cfRule type="cellIs" dxfId="3293" priority="409" stopIfTrue="1" operator="lessThan">
      <formula>$J$19</formula>
    </cfRule>
  </conditionalFormatting>
  <conditionalFormatting sqref="K20">
    <cfRule type="cellIs" dxfId="3292" priority="410" stopIfTrue="1" operator="equal">
      <formula>$J$20</formula>
    </cfRule>
    <cfRule type="cellIs" dxfId="3291" priority="411" stopIfTrue="1" operator="lessThan">
      <formula>$J$20</formula>
    </cfRule>
  </conditionalFormatting>
  <conditionalFormatting sqref="K21">
    <cfRule type="cellIs" dxfId="3290" priority="412" stopIfTrue="1" operator="equal">
      <formula>$J$21</formula>
    </cfRule>
    <cfRule type="cellIs" dxfId="3289" priority="413" stopIfTrue="1" operator="lessThan">
      <formula>$J$21</formula>
    </cfRule>
  </conditionalFormatting>
  <conditionalFormatting sqref="K22">
    <cfRule type="cellIs" dxfId="3288" priority="414" stopIfTrue="1" operator="equal">
      <formula>$J$22</formula>
    </cfRule>
    <cfRule type="cellIs" dxfId="3287" priority="415" stopIfTrue="1" operator="lessThan">
      <formula>$J$22</formula>
    </cfRule>
  </conditionalFormatting>
  <conditionalFormatting sqref="K23">
    <cfRule type="cellIs" dxfId="3286" priority="416" stopIfTrue="1" operator="equal">
      <formula>$J$23</formula>
    </cfRule>
    <cfRule type="cellIs" dxfId="3285" priority="417" stopIfTrue="1" operator="lessThan">
      <formula>$J$23</formula>
    </cfRule>
  </conditionalFormatting>
  <conditionalFormatting sqref="K24">
    <cfRule type="cellIs" dxfId="3284" priority="418" stopIfTrue="1" operator="equal">
      <formula>$J$24</formula>
    </cfRule>
    <cfRule type="cellIs" dxfId="3283" priority="419" stopIfTrue="1" operator="lessThan">
      <formula>$J$24</formula>
    </cfRule>
  </conditionalFormatting>
  <conditionalFormatting sqref="K25">
    <cfRule type="cellIs" dxfId="3282" priority="420" stopIfTrue="1" operator="equal">
      <formula>$J$25</formula>
    </cfRule>
    <cfRule type="cellIs" dxfId="3281" priority="421" stopIfTrue="1" operator="lessThan">
      <formula>$J$25</formula>
    </cfRule>
  </conditionalFormatting>
  <conditionalFormatting sqref="K26">
    <cfRule type="cellIs" dxfId="3280" priority="422" stopIfTrue="1" operator="equal">
      <formula>$J$26</formula>
    </cfRule>
    <cfRule type="cellIs" dxfId="3279" priority="423" stopIfTrue="1" operator="lessThan">
      <formula>$J$26</formula>
    </cfRule>
  </conditionalFormatting>
  <conditionalFormatting sqref="K27">
    <cfRule type="cellIs" dxfId="3278" priority="424" stopIfTrue="1" operator="equal">
      <formula>$J$27</formula>
    </cfRule>
    <cfRule type="cellIs" dxfId="3277" priority="425" stopIfTrue="1" operator="lessThan">
      <formula>$J$27</formula>
    </cfRule>
  </conditionalFormatting>
  <conditionalFormatting sqref="K28">
    <cfRule type="cellIs" dxfId="3276" priority="426" stopIfTrue="1" operator="lessThan">
      <formula>$J$28</formula>
    </cfRule>
    <cfRule type="cellIs" dxfId="3275" priority="427" stopIfTrue="1" operator="equal">
      <formula>$J$28</formula>
    </cfRule>
  </conditionalFormatting>
  <conditionalFormatting sqref="L4">
    <cfRule type="cellIs" dxfId="3274" priority="428" stopIfTrue="1" operator="equal">
      <formula>$K$4</formula>
    </cfRule>
    <cfRule type="cellIs" dxfId="3273" priority="429" stopIfTrue="1" operator="lessThan">
      <formula>$K$4</formula>
    </cfRule>
  </conditionalFormatting>
  <conditionalFormatting sqref="L5">
    <cfRule type="cellIs" dxfId="3272" priority="430" stopIfTrue="1" operator="equal">
      <formula>$K$5</formula>
    </cfRule>
    <cfRule type="cellIs" dxfId="3271" priority="431" stopIfTrue="1" operator="lessThan">
      <formula>$K$5</formula>
    </cfRule>
  </conditionalFormatting>
  <conditionalFormatting sqref="L6">
    <cfRule type="cellIs" dxfId="3270" priority="432" stopIfTrue="1" operator="equal">
      <formula>$K$6</formula>
    </cfRule>
    <cfRule type="cellIs" dxfId="3269" priority="433" stopIfTrue="1" operator="lessThan">
      <formula>$K$6</formula>
    </cfRule>
  </conditionalFormatting>
  <conditionalFormatting sqref="L7">
    <cfRule type="cellIs" dxfId="3268" priority="434" stopIfTrue="1" operator="equal">
      <formula>$K$7</formula>
    </cfRule>
    <cfRule type="cellIs" dxfId="3267" priority="435" stopIfTrue="1" operator="lessThan">
      <formula>$K$7</formula>
    </cfRule>
  </conditionalFormatting>
  <conditionalFormatting sqref="L8">
    <cfRule type="cellIs" dxfId="3266" priority="436" stopIfTrue="1" operator="equal">
      <formula>$K$8</formula>
    </cfRule>
    <cfRule type="cellIs" dxfId="3265" priority="437" stopIfTrue="1" operator="lessThan">
      <formula>$K$8</formula>
    </cfRule>
  </conditionalFormatting>
  <conditionalFormatting sqref="L9">
    <cfRule type="cellIs" dxfId="3264" priority="438" stopIfTrue="1" operator="equal">
      <formula>$K$9</formula>
    </cfRule>
    <cfRule type="cellIs" dxfId="3263" priority="439" stopIfTrue="1" operator="lessThan">
      <formula>$K$9</formula>
    </cfRule>
  </conditionalFormatting>
  <conditionalFormatting sqref="L10">
    <cfRule type="cellIs" dxfId="3262" priority="440" stopIfTrue="1" operator="equal">
      <formula>$K$10</formula>
    </cfRule>
    <cfRule type="cellIs" dxfId="3261" priority="441" stopIfTrue="1" operator="lessThan">
      <formula>$K$10</formula>
    </cfRule>
  </conditionalFormatting>
  <conditionalFormatting sqref="L11">
    <cfRule type="cellIs" dxfId="3260" priority="462" stopIfTrue="1" operator="equal">
      <formula>$K$11</formula>
    </cfRule>
    <cfRule type="cellIs" dxfId="3259" priority="463" stopIfTrue="1" operator="lessThan">
      <formula>$K$11</formula>
    </cfRule>
  </conditionalFormatting>
  <conditionalFormatting sqref="L12">
    <cfRule type="cellIs" dxfId="3258" priority="442" stopIfTrue="1" operator="equal">
      <formula>$K$12</formula>
    </cfRule>
    <cfRule type="cellIs" dxfId="3257" priority="443" stopIfTrue="1" operator="lessThan">
      <formula>$K$12</formula>
    </cfRule>
  </conditionalFormatting>
  <conditionalFormatting sqref="L13">
    <cfRule type="cellIs" dxfId="3256" priority="444" stopIfTrue="1" operator="equal">
      <formula>$K$13</formula>
    </cfRule>
    <cfRule type="cellIs" dxfId="3255" priority="445" stopIfTrue="1" operator="lessThan">
      <formula>$K$13</formula>
    </cfRule>
  </conditionalFormatting>
  <conditionalFormatting sqref="L14">
    <cfRule type="cellIs" dxfId="3254" priority="446" stopIfTrue="1" operator="equal">
      <formula>$K$14</formula>
    </cfRule>
    <cfRule type="cellIs" dxfId="3253" priority="447" stopIfTrue="1" operator="lessThan">
      <formula>$K$14</formula>
    </cfRule>
  </conditionalFormatting>
  <conditionalFormatting sqref="L15">
    <cfRule type="cellIs" dxfId="3252" priority="448" stopIfTrue="1" operator="equal">
      <formula>$K$15</formula>
    </cfRule>
    <cfRule type="cellIs" dxfId="3251" priority="449" stopIfTrue="1" operator="lessThan">
      <formula>$K$15</formula>
    </cfRule>
  </conditionalFormatting>
  <conditionalFormatting sqref="L16">
    <cfRule type="cellIs" dxfId="3250" priority="450" stopIfTrue="1" operator="equal">
      <formula>$K$16</formula>
    </cfRule>
    <cfRule type="cellIs" dxfId="3249" priority="451" stopIfTrue="1" operator="lessThan">
      <formula>$K$16</formula>
    </cfRule>
  </conditionalFormatting>
  <conditionalFormatting sqref="L17">
    <cfRule type="cellIs" dxfId="3248" priority="452" stopIfTrue="1" operator="equal">
      <formula>$K$17</formula>
    </cfRule>
    <cfRule type="cellIs" dxfId="3247" priority="453" stopIfTrue="1" operator="lessThan">
      <formula>$K$17</formula>
    </cfRule>
  </conditionalFormatting>
  <conditionalFormatting sqref="L18">
    <cfRule type="cellIs" dxfId="3246" priority="454" stopIfTrue="1" operator="equal">
      <formula>$K$18</formula>
    </cfRule>
    <cfRule type="cellIs" dxfId="3245" priority="455" stopIfTrue="1" operator="lessThan">
      <formula>$K$18</formula>
    </cfRule>
  </conditionalFormatting>
  <conditionalFormatting sqref="L19">
    <cfRule type="cellIs" dxfId="3244" priority="456" stopIfTrue="1" operator="equal">
      <formula>$K$19</formula>
    </cfRule>
    <cfRule type="cellIs" dxfId="3243" priority="457" stopIfTrue="1" operator="lessThan">
      <formula>$K$19</formula>
    </cfRule>
  </conditionalFormatting>
  <conditionalFormatting sqref="L20">
    <cfRule type="cellIs" dxfId="3242" priority="458" stopIfTrue="1" operator="equal">
      <formula>$K$20</formula>
    </cfRule>
    <cfRule type="cellIs" dxfId="3241" priority="459" stopIfTrue="1" operator="lessThan">
      <formula>$K$20</formula>
    </cfRule>
  </conditionalFormatting>
  <conditionalFormatting sqref="L21">
    <cfRule type="cellIs" dxfId="3240" priority="460" stopIfTrue="1" operator="equal">
      <formula>$K$21</formula>
    </cfRule>
    <cfRule type="cellIs" dxfId="3239" priority="461" stopIfTrue="1" operator="lessThan">
      <formula>$K$21</formula>
    </cfRule>
  </conditionalFormatting>
  <conditionalFormatting sqref="L22">
    <cfRule type="cellIs" dxfId="3238" priority="464" stopIfTrue="1" operator="equal">
      <formula>$K$22</formula>
    </cfRule>
    <cfRule type="cellIs" dxfId="3237" priority="465" stopIfTrue="1" operator="lessThan">
      <formula>$K$22</formula>
    </cfRule>
  </conditionalFormatting>
  <conditionalFormatting sqref="L23">
    <cfRule type="cellIs" dxfId="3236" priority="466" stopIfTrue="1" operator="equal">
      <formula>$K$23</formula>
    </cfRule>
    <cfRule type="cellIs" dxfId="3235" priority="467" stopIfTrue="1" operator="lessThan">
      <formula>$K$23</formula>
    </cfRule>
  </conditionalFormatting>
  <conditionalFormatting sqref="L24">
    <cfRule type="cellIs" dxfId="3234" priority="468" stopIfTrue="1" operator="equal">
      <formula>$K$24</formula>
    </cfRule>
    <cfRule type="cellIs" dxfId="3233" priority="469" stopIfTrue="1" operator="lessThan">
      <formula>$K$24</formula>
    </cfRule>
  </conditionalFormatting>
  <conditionalFormatting sqref="L25">
    <cfRule type="cellIs" dxfId="3232" priority="470" stopIfTrue="1" operator="equal">
      <formula>$K$25</formula>
    </cfRule>
    <cfRule type="cellIs" dxfId="3231" priority="471" stopIfTrue="1" operator="lessThan">
      <formula>$K$25</formula>
    </cfRule>
  </conditionalFormatting>
  <conditionalFormatting sqref="L26">
    <cfRule type="cellIs" dxfId="3230" priority="472" stopIfTrue="1" operator="equal">
      <formula>$K$26</formula>
    </cfRule>
    <cfRule type="cellIs" dxfId="3229" priority="473" stopIfTrue="1" operator="lessThan">
      <formula>$K$26</formula>
    </cfRule>
  </conditionalFormatting>
  <conditionalFormatting sqref="L27">
    <cfRule type="cellIs" dxfId="3228" priority="474" stopIfTrue="1" operator="equal">
      <formula>$K$27</formula>
    </cfRule>
    <cfRule type="cellIs" dxfId="3227" priority="475" stopIfTrue="1" operator="lessThan">
      <formula>$K$27</formula>
    </cfRule>
  </conditionalFormatting>
  <conditionalFormatting sqref="L28">
    <cfRule type="cellIs" dxfId="3226" priority="476" stopIfTrue="1" operator="equal">
      <formula>$K$28</formula>
    </cfRule>
    <cfRule type="cellIs" dxfId="3225" priority="477" stopIfTrue="1" operator="lessThan">
      <formula>$K$28</formula>
    </cfRule>
  </conditionalFormatting>
  <conditionalFormatting sqref="M4">
    <cfRule type="cellIs" dxfId="3224" priority="478" stopIfTrue="1" operator="lessThan">
      <formula>$L$4</formula>
    </cfRule>
    <cfRule type="cellIs" dxfId="3223" priority="479" stopIfTrue="1" operator="equal">
      <formula>$L$4</formula>
    </cfRule>
  </conditionalFormatting>
  <conditionalFormatting sqref="M5">
    <cfRule type="cellIs" dxfId="3222" priority="480" stopIfTrue="1" operator="equal">
      <formula>$L$5</formula>
    </cfRule>
    <cfRule type="cellIs" dxfId="3221" priority="481" stopIfTrue="1" operator="lessThan">
      <formula>$L$5</formula>
    </cfRule>
  </conditionalFormatting>
  <conditionalFormatting sqref="M6">
    <cfRule type="cellIs" dxfId="3220" priority="482" stopIfTrue="1" operator="equal">
      <formula>$L$6</formula>
    </cfRule>
    <cfRule type="cellIs" dxfId="3219" priority="483" stopIfTrue="1" operator="lessThan">
      <formula>$L$6</formula>
    </cfRule>
  </conditionalFormatting>
  <conditionalFormatting sqref="M7">
    <cfRule type="cellIs" dxfId="3218" priority="484" stopIfTrue="1" operator="equal">
      <formula>$L$7</formula>
    </cfRule>
    <cfRule type="cellIs" dxfId="3217" priority="485" stopIfTrue="1" operator="lessThan">
      <formula>$L$7</formula>
    </cfRule>
  </conditionalFormatting>
  <conditionalFormatting sqref="M8">
    <cfRule type="cellIs" dxfId="3216" priority="486" stopIfTrue="1" operator="equal">
      <formula>$L$8</formula>
    </cfRule>
    <cfRule type="cellIs" dxfId="3215" priority="487" stopIfTrue="1" operator="lessThan">
      <formula>$L$8</formula>
    </cfRule>
  </conditionalFormatting>
  <conditionalFormatting sqref="M9">
    <cfRule type="cellIs" dxfId="3214" priority="488" stopIfTrue="1" operator="equal">
      <formula>$L$9</formula>
    </cfRule>
    <cfRule type="cellIs" dxfId="3213" priority="489" stopIfTrue="1" operator="lessThan">
      <formula>$L$9</formula>
    </cfRule>
  </conditionalFormatting>
  <conditionalFormatting sqref="M10">
    <cfRule type="cellIs" dxfId="3212" priority="490" stopIfTrue="1" operator="equal">
      <formula>$L$10</formula>
    </cfRule>
    <cfRule type="cellIs" dxfId="3211" priority="491" stopIfTrue="1" operator="lessThan">
      <formula>$L$10</formula>
    </cfRule>
  </conditionalFormatting>
  <conditionalFormatting sqref="M11">
    <cfRule type="cellIs" dxfId="3210" priority="492" stopIfTrue="1" operator="equal">
      <formula>$L$11</formula>
    </cfRule>
    <cfRule type="cellIs" dxfId="3209" priority="493" stopIfTrue="1" operator="lessThan">
      <formula>$L$11</formula>
    </cfRule>
  </conditionalFormatting>
  <conditionalFormatting sqref="M12">
    <cfRule type="cellIs" dxfId="3208" priority="494" stopIfTrue="1" operator="equal">
      <formula>$L$12</formula>
    </cfRule>
    <cfRule type="cellIs" dxfId="3207" priority="495" stopIfTrue="1" operator="lessThan">
      <formula>$L$12</formula>
    </cfRule>
  </conditionalFormatting>
  <conditionalFormatting sqref="M13">
    <cfRule type="cellIs" dxfId="3206" priority="496" stopIfTrue="1" operator="equal">
      <formula>$L$13</formula>
    </cfRule>
    <cfRule type="cellIs" dxfId="3205" priority="497" stopIfTrue="1" operator="lessThan">
      <formula>$L$13</formula>
    </cfRule>
  </conditionalFormatting>
  <conditionalFormatting sqref="M14">
    <cfRule type="cellIs" dxfId="3204" priority="498" stopIfTrue="1" operator="equal">
      <formula>$L$14</formula>
    </cfRule>
    <cfRule type="cellIs" dxfId="3203" priority="499" stopIfTrue="1" operator="lessThan">
      <formula>$L$14</formula>
    </cfRule>
  </conditionalFormatting>
  <conditionalFormatting sqref="M15">
    <cfRule type="cellIs" dxfId="3202" priority="500" stopIfTrue="1" operator="equal">
      <formula>$L$15</formula>
    </cfRule>
    <cfRule type="cellIs" dxfId="3201" priority="501" stopIfTrue="1" operator="lessThan">
      <formula>$L$15</formula>
    </cfRule>
  </conditionalFormatting>
  <conditionalFormatting sqref="M16">
    <cfRule type="cellIs" dxfId="3200" priority="502" stopIfTrue="1" operator="equal">
      <formula>$L$16</formula>
    </cfRule>
    <cfRule type="cellIs" dxfId="3199" priority="503" stopIfTrue="1" operator="lessThan">
      <formula>$L$16</formula>
    </cfRule>
  </conditionalFormatting>
  <conditionalFormatting sqref="M17">
    <cfRule type="cellIs" dxfId="3198" priority="504" stopIfTrue="1" operator="equal">
      <formula>$L$17</formula>
    </cfRule>
    <cfRule type="cellIs" dxfId="3197" priority="505" stopIfTrue="1" operator="lessThan">
      <formula>$L$17</formula>
    </cfRule>
  </conditionalFormatting>
  <conditionalFormatting sqref="M18">
    <cfRule type="cellIs" dxfId="3196" priority="506" stopIfTrue="1" operator="equal">
      <formula>$L$18</formula>
    </cfRule>
    <cfRule type="cellIs" dxfId="3195" priority="507" stopIfTrue="1" operator="lessThan">
      <formula>$L$18</formula>
    </cfRule>
  </conditionalFormatting>
  <conditionalFormatting sqref="M19">
    <cfRule type="cellIs" dxfId="3194" priority="508" stopIfTrue="1" operator="equal">
      <formula>$L$19</formula>
    </cfRule>
    <cfRule type="cellIs" dxfId="3193" priority="509" stopIfTrue="1" operator="lessThan">
      <formula>$L$19</formula>
    </cfRule>
  </conditionalFormatting>
  <conditionalFormatting sqref="M20">
    <cfRule type="cellIs" dxfId="3192" priority="510" stopIfTrue="1" operator="equal">
      <formula>$L$20</formula>
    </cfRule>
    <cfRule type="cellIs" dxfId="3191" priority="511" stopIfTrue="1" operator="lessThan">
      <formula>$L$20</formula>
    </cfRule>
  </conditionalFormatting>
  <conditionalFormatting sqref="M21">
    <cfRule type="cellIs" dxfId="3190" priority="512" stopIfTrue="1" operator="equal">
      <formula>$L$21</formula>
    </cfRule>
    <cfRule type="cellIs" dxfId="3189" priority="513" stopIfTrue="1" operator="lessThan">
      <formula>$L$21</formula>
    </cfRule>
  </conditionalFormatting>
  <conditionalFormatting sqref="M22">
    <cfRule type="cellIs" dxfId="3188" priority="514" stopIfTrue="1" operator="equal">
      <formula>$L$22</formula>
    </cfRule>
    <cfRule type="cellIs" dxfId="3187" priority="515" stopIfTrue="1" operator="lessThan">
      <formula>$L$22</formula>
    </cfRule>
  </conditionalFormatting>
  <conditionalFormatting sqref="M23">
    <cfRule type="cellIs" dxfId="3186" priority="516" stopIfTrue="1" operator="equal">
      <formula>$L$23</formula>
    </cfRule>
    <cfRule type="cellIs" dxfId="3185" priority="517" stopIfTrue="1" operator="lessThan">
      <formula>$L$23</formula>
    </cfRule>
  </conditionalFormatting>
  <conditionalFormatting sqref="M24">
    <cfRule type="cellIs" dxfId="3184" priority="518" stopIfTrue="1" operator="equal">
      <formula>$L$24</formula>
    </cfRule>
    <cfRule type="cellIs" dxfId="3183" priority="519" stopIfTrue="1" operator="lessThan">
      <formula>$L$24</formula>
    </cfRule>
  </conditionalFormatting>
  <conditionalFormatting sqref="M25">
    <cfRule type="cellIs" dxfId="3182" priority="520" stopIfTrue="1" operator="equal">
      <formula>$L$25</formula>
    </cfRule>
    <cfRule type="cellIs" dxfId="3181" priority="521" stopIfTrue="1" operator="lessThan">
      <formula>$L$25</formula>
    </cfRule>
  </conditionalFormatting>
  <conditionalFormatting sqref="M26">
    <cfRule type="cellIs" dxfId="3180" priority="522" stopIfTrue="1" operator="equal">
      <formula>$L$26</formula>
    </cfRule>
    <cfRule type="cellIs" dxfId="3179" priority="523" stopIfTrue="1" operator="lessThan">
      <formula>$L$26</formula>
    </cfRule>
  </conditionalFormatting>
  <conditionalFormatting sqref="M27">
    <cfRule type="cellIs" dxfId="3178" priority="524" stopIfTrue="1" operator="equal">
      <formula>$L$27</formula>
    </cfRule>
    <cfRule type="cellIs" dxfId="3177" priority="525" stopIfTrue="1" operator="lessThan">
      <formula>$L$27</formula>
    </cfRule>
  </conditionalFormatting>
  <conditionalFormatting sqref="M28">
    <cfRule type="cellIs" dxfId="3176" priority="526" stopIfTrue="1" operator="equal">
      <formula>$L$28</formula>
    </cfRule>
    <cfRule type="cellIs" dxfId="3175" priority="527" stopIfTrue="1" operator="lessThan">
      <formula>$L$28</formula>
    </cfRule>
  </conditionalFormatting>
  <conditionalFormatting sqref="N4">
    <cfRule type="cellIs" dxfId="3174" priority="528" stopIfTrue="1" operator="equal">
      <formula>$M$4</formula>
    </cfRule>
    <cfRule type="cellIs" dxfId="3173" priority="529" stopIfTrue="1" operator="lessThan">
      <formula>$M$4</formula>
    </cfRule>
  </conditionalFormatting>
  <conditionalFormatting sqref="N5">
    <cfRule type="cellIs" dxfId="3172" priority="530" stopIfTrue="1" operator="equal">
      <formula>$M$5</formula>
    </cfRule>
    <cfRule type="cellIs" dxfId="3171" priority="531" stopIfTrue="1" operator="lessThan">
      <formula>$M$5</formula>
    </cfRule>
  </conditionalFormatting>
  <conditionalFormatting sqref="N6">
    <cfRule type="cellIs" dxfId="3170" priority="532" stopIfTrue="1" operator="equal">
      <formula>$M$6</formula>
    </cfRule>
    <cfRule type="cellIs" dxfId="3169" priority="533" stopIfTrue="1" operator="lessThan">
      <formula>$M$6</formula>
    </cfRule>
  </conditionalFormatting>
  <conditionalFormatting sqref="N7">
    <cfRule type="cellIs" dxfId="3168" priority="534" stopIfTrue="1" operator="equal">
      <formula>$M$7</formula>
    </cfRule>
    <cfRule type="cellIs" dxfId="3167" priority="535" stopIfTrue="1" operator="lessThan">
      <formula>$M$7</formula>
    </cfRule>
  </conditionalFormatting>
  <conditionalFormatting sqref="N8">
    <cfRule type="cellIs" dxfId="3166" priority="536" stopIfTrue="1" operator="equal">
      <formula>$M$8</formula>
    </cfRule>
    <cfRule type="cellIs" dxfId="3165" priority="537" stopIfTrue="1" operator="lessThan">
      <formula>$M$8</formula>
    </cfRule>
  </conditionalFormatting>
  <conditionalFormatting sqref="N9">
    <cfRule type="cellIs" dxfId="3164" priority="538" stopIfTrue="1" operator="equal">
      <formula>$M$9</formula>
    </cfRule>
    <cfRule type="cellIs" dxfId="3163" priority="539" stopIfTrue="1" operator="lessThan">
      <formula>$M$9</formula>
    </cfRule>
  </conditionalFormatting>
  <conditionalFormatting sqref="N10">
    <cfRule type="cellIs" dxfId="3162" priority="540" stopIfTrue="1" operator="equal">
      <formula>$M$10</formula>
    </cfRule>
    <cfRule type="cellIs" dxfId="3161" priority="541" stopIfTrue="1" operator="lessThan">
      <formula>$M$10</formula>
    </cfRule>
  </conditionalFormatting>
  <conditionalFormatting sqref="N11">
    <cfRule type="cellIs" dxfId="3160" priority="542" stopIfTrue="1" operator="equal">
      <formula>$M$11</formula>
    </cfRule>
    <cfRule type="cellIs" dxfId="3159" priority="543" stopIfTrue="1" operator="lessThan">
      <formula>$M$11</formula>
    </cfRule>
  </conditionalFormatting>
  <conditionalFormatting sqref="N12">
    <cfRule type="cellIs" dxfId="3158" priority="544" stopIfTrue="1" operator="equal">
      <formula>$M$12</formula>
    </cfRule>
    <cfRule type="cellIs" dxfId="3157" priority="545" stopIfTrue="1" operator="lessThan">
      <formula>$M$12</formula>
    </cfRule>
  </conditionalFormatting>
  <conditionalFormatting sqref="N13">
    <cfRule type="cellIs" dxfId="3156" priority="546" stopIfTrue="1" operator="equal">
      <formula>$M$13</formula>
    </cfRule>
    <cfRule type="cellIs" dxfId="3155" priority="547" stopIfTrue="1" operator="lessThan">
      <formula>$M$13</formula>
    </cfRule>
  </conditionalFormatting>
  <conditionalFormatting sqref="N14">
    <cfRule type="cellIs" dxfId="3154" priority="548" stopIfTrue="1" operator="equal">
      <formula>$M$14</formula>
    </cfRule>
    <cfRule type="cellIs" dxfId="3153" priority="549" stopIfTrue="1" operator="lessThan">
      <formula>$M$14</formula>
    </cfRule>
  </conditionalFormatting>
  <conditionalFormatting sqref="N15">
    <cfRule type="cellIs" dxfId="3152" priority="550" stopIfTrue="1" operator="equal">
      <formula>$M$15</formula>
    </cfRule>
    <cfRule type="cellIs" dxfId="3151" priority="551" stopIfTrue="1" operator="lessThan">
      <formula>$M$15</formula>
    </cfRule>
  </conditionalFormatting>
  <conditionalFormatting sqref="N16">
    <cfRule type="cellIs" dxfId="3150" priority="552" stopIfTrue="1" operator="equal">
      <formula>$M$16</formula>
    </cfRule>
    <cfRule type="cellIs" dxfId="3149" priority="553" stopIfTrue="1" operator="lessThan">
      <formula>$M$16</formula>
    </cfRule>
  </conditionalFormatting>
  <conditionalFormatting sqref="N17">
    <cfRule type="cellIs" dxfId="3148" priority="554" stopIfTrue="1" operator="equal">
      <formula>$M$17</formula>
    </cfRule>
    <cfRule type="cellIs" dxfId="3147" priority="555" stopIfTrue="1" operator="lessThan">
      <formula>$M$17</formula>
    </cfRule>
  </conditionalFormatting>
  <conditionalFormatting sqref="N18">
    <cfRule type="cellIs" dxfId="3146" priority="556" stopIfTrue="1" operator="equal">
      <formula>$M$18</formula>
    </cfRule>
    <cfRule type="cellIs" dxfId="3145" priority="557" stopIfTrue="1" operator="lessThan">
      <formula>$M$18</formula>
    </cfRule>
  </conditionalFormatting>
  <conditionalFormatting sqref="N19">
    <cfRule type="cellIs" dxfId="3144" priority="558" stopIfTrue="1" operator="equal">
      <formula>$M$19</formula>
    </cfRule>
    <cfRule type="cellIs" dxfId="3143" priority="559" stopIfTrue="1" operator="lessThan">
      <formula>$M$19</formula>
    </cfRule>
  </conditionalFormatting>
  <conditionalFormatting sqref="N20">
    <cfRule type="cellIs" dxfId="3142" priority="560" stopIfTrue="1" operator="equal">
      <formula>$M$20</formula>
    </cfRule>
    <cfRule type="cellIs" dxfId="3141" priority="561" stopIfTrue="1" operator="lessThan">
      <formula>$M$20</formula>
    </cfRule>
  </conditionalFormatting>
  <conditionalFormatting sqref="N21">
    <cfRule type="cellIs" dxfId="3140" priority="562" stopIfTrue="1" operator="equal">
      <formula>$M$21</formula>
    </cfRule>
    <cfRule type="cellIs" dxfId="3139" priority="563" stopIfTrue="1" operator="lessThan">
      <formula>$M$21</formula>
    </cfRule>
  </conditionalFormatting>
  <conditionalFormatting sqref="N22">
    <cfRule type="cellIs" dxfId="3138" priority="564" stopIfTrue="1" operator="equal">
      <formula>$M$22</formula>
    </cfRule>
    <cfRule type="cellIs" dxfId="3137" priority="565" stopIfTrue="1" operator="lessThan">
      <formula>$M$22</formula>
    </cfRule>
  </conditionalFormatting>
  <conditionalFormatting sqref="N23">
    <cfRule type="cellIs" dxfId="3136" priority="566" stopIfTrue="1" operator="equal">
      <formula>$M$23</formula>
    </cfRule>
    <cfRule type="cellIs" dxfId="3135" priority="567" stopIfTrue="1" operator="lessThan">
      <formula>$M$23</formula>
    </cfRule>
  </conditionalFormatting>
  <conditionalFormatting sqref="N24">
    <cfRule type="cellIs" dxfId="3134" priority="568" stopIfTrue="1" operator="equal">
      <formula>$M$24</formula>
    </cfRule>
    <cfRule type="cellIs" dxfId="3133" priority="569" stopIfTrue="1" operator="lessThan">
      <formula>$M$24</formula>
    </cfRule>
  </conditionalFormatting>
  <conditionalFormatting sqref="N25">
    <cfRule type="cellIs" dxfId="3132" priority="570" stopIfTrue="1" operator="equal">
      <formula>$M$25</formula>
    </cfRule>
    <cfRule type="cellIs" dxfId="3131" priority="571" stopIfTrue="1" operator="lessThan">
      <formula>$M$25</formula>
    </cfRule>
  </conditionalFormatting>
  <conditionalFormatting sqref="N26">
    <cfRule type="cellIs" dxfId="3130" priority="572" stopIfTrue="1" operator="equal">
      <formula>$M$26</formula>
    </cfRule>
    <cfRule type="cellIs" dxfId="3129" priority="573" stopIfTrue="1" operator="lessThan">
      <formula>$M$26</formula>
    </cfRule>
  </conditionalFormatting>
  <conditionalFormatting sqref="N27">
    <cfRule type="cellIs" dxfId="3128" priority="574" stopIfTrue="1" operator="equal">
      <formula>$M$27</formula>
    </cfRule>
    <cfRule type="cellIs" dxfId="3127" priority="575" stopIfTrue="1" operator="lessThan">
      <formula>$M$27</formula>
    </cfRule>
  </conditionalFormatting>
  <conditionalFormatting sqref="N28">
    <cfRule type="cellIs" dxfId="3126" priority="576" stopIfTrue="1" operator="equal">
      <formula>$M$28</formula>
    </cfRule>
    <cfRule type="cellIs" dxfId="3125" priority="577" stopIfTrue="1" operator="lessThan">
      <formula>$M$28</formula>
    </cfRule>
  </conditionalFormatting>
  <conditionalFormatting sqref="O4">
    <cfRule type="cellIs" dxfId="3124" priority="578" stopIfTrue="1" operator="equal">
      <formula>$N$4</formula>
    </cfRule>
    <cfRule type="cellIs" dxfId="3123" priority="579" stopIfTrue="1" operator="lessThan">
      <formula>$N$4</formula>
    </cfRule>
  </conditionalFormatting>
  <conditionalFormatting sqref="O5">
    <cfRule type="cellIs" dxfId="3122" priority="580" stopIfTrue="1" operator="equal">
      <formula>$N$5</formula>
    </cfRule>
    <cfRule type="cellIs" dxfId="3121" priority="581" stopIfTrue="1" operator="lessThan">
      <formula>$N$5</formula>
    </cfRule>
  </conditionalFormatting>
  <conditionalFormatting sqref="O6">
    <cfRule type="cellIs" dxfId="3120" priority="582" stopIfTrue="1" operator="equal">
      <formula>$N$6</formula>
    </cfRule>
    <cfRule type="cellIs" dxfId="3119" priority="583" stopIfTrue="1" operator="lessThan">
      <formula>$N$6</formula>
    </cfRule>
  </conditionalFormatting>
  <conditionalFormatting sqref="O7">
    <cfRule type="cellIs" dxfId="3118" priority="584" stopIfTrue="1" operator="equal">
      <formula>$N$7</formula>
    </cfRule>
    <cfRule type="cellIs" dxfId="3117" priority="585" stopIfTrue="1" operator="lessThan">
      <formula>$N$7</formula>
    </cfRule>
  </conditionalFormatting>
  <conditionalFormatting sqref="O8">
    <cfRule type="cellIs" dxfId="3116" priority="586" stopIfTrue="1" operator="equal">
      <formula>$N$8</formula>
    </cfRule>
    <cfRule type="cellIs" dxfId="3115" priority="587" stopIfTrue="1" operator="lessThan">
      <formula>$N$8</formula>
    </cfRule>
  </conditionalFormatting>
  <conditionalFormatting sqref="O9">
    <cfRule type="cellIs" dxfId="3114" priority="588" stopIfTrue="1" operator="equal">
      <formula>$N$9</formula>
    </cfRule>
    <cfRule type="cellIs" dxfId="3113" priority="589" stopIfTrue="1" operator="lessThan">
      <formula>$N$9</formula>
    </cfRule>
  </conditionalFormatting>
  <conditionalFormatting sqref="O10">
    <cfRule type="cellIs" dxfId="3112" priority="590" stopIfTrue="1" operator="equal">
      <formula>$N$10</formula>
    </cfRule>
    <cfRule type="cellIs" dxfId="3111" priority="591" stopIfTrue="1" operator="lessThan">
      <formula>$N$10</formula>
    </cfRule>
  </conditionalFormatting>
  <conditionalFormatting sqref="O11">
    <cfRule type="cellIs" dxfId="3110" priority="592" stopIfTrue="1" operator="equal">
      <formula>$N$11</formula>
    </cfRule>
    <cfRule type="cellIs" dxfId="3109" priority="593" stopIfTrue="1" operator="lessThan">
      <formula>$N$11</formula>
    </cfRule>
  </conditionalFormatting>
  <conditionalFormatting sqref="O12">
    <cfRule type="cellIs" dxfId="3108" priority="594" stopIfTrue="1" operator="equal">
      <formula>$N$12</formula>
    </cfRule>
    <cfRule type="cellIs" dxfId="3107" priority="595" stopIfTrue="1" operator="lessThan">
      <formula>$N$12</formula>
    </cfRule>
  </conditionalFormatting>
  <conditionalFormatting sqref="O13">
    <cfRule type="cellIs" dxfId="3106" priority="596" stopIfTrue="1" operator="equal">
      <formula>$N$13</formula>
    </cfRule>
    <cfRule type="cellIs" dxfId="3105" priority="597" stopIfTrue="1" operator="lessThan">
      <formula>$N$13</formula>
    </cfRule>
  </conditionalFormatting>
  <conditionalFormatting sqref="O14">
    <cfRule type="cellIs" dxfId="3104" priority="598" stopIfTrue="1" operator="equal">
      <formula>$N$14</formula>
    </cfRule>
    <cfRule type="cellIs" dxfId="3103" priority="599" stopIfTrue="1" operator="lessThan">
      <formula>$N$14</formula>
    </cfRule>
  </conditionalFormatting>
  <conditionalFormatting sqref="O15">
    <cfRule type="cellIs" dxfId="3102" priority="600" stopIfTrue="1" operator="equal">
      <formula>$N$15</formula>
    </cfRule>
    <cfRule type="cellIs" dxfId="3101" priority="601" stopIfTrue="1" operator="lessThan">
      <formula>$N$15</formula>
    </cfRule>
  </conditionalFormatting>
  <conditionalFormatting sqref="O16">
    <cfRule type="cellIs" dxfId="3100" priority="602" stopIfTrue="1" operator="equal">
      <formula>$N$16</formula>
    </cfRule>
    <cfRule type="cellIs" dxfId="3099" priority="603" stopIfTrue="1" operator="lessThan">
      <formula>$N$16</formula>
    </cfRule>
  </conditionalFormatting>
  <conditionalFormatting sqref="O17">
    <cfRule type="cellIs" dxfId="3098" priority="604" stopIfTrue="1" operator="equal">
      <formula>$N$17</formula>
    </cfRule>
    <cfRule type="cellIs" dxfId="3097" priority="605" stopIfTrue="1" operator="lessThan">
      <formula>$N$17</formula>
    </cfRule>
  </conditionalFormatting>
  <conditionalFormatting sqref="O18">
    <cfRule type="cellIs" dxfId="3096" priority="606" stopIfTrue="1" operator="equal">
      <formula>$N$18</formula>
    </cfRule>
    <cfRule type="cellIs" dxfId="3095" priority="607" stopIfTrue="1" operator="lessThan">
      <formula>$N$18</formula>
    </cfRule>
  </conditionalFormatting>
  <conditionalFormatting sqref="O19">
    <cfRule type="cellIs" dxfId="3094" priority="608" stopIfTrue="1" operator="equal">
      <formula>$N$19</formula>
    </cfRule>
    <cfRule type="cellIs" dxfId="3093" priority="609" stopIfTrue="1" operator="lessThan">
      <formula>$N$19</formula>
    </cfRule>
  </conditionalFormatting>
  <conditionalFormatting sqref="O20">
    <cfRule type="cellIs" dxfId="3092" priority="610" stopIfTrue="1" operator="equal">
      <formula>$N$20</formula>
    </cfRule>
    <cfRule type="cellIs" dxfId="3091" priority="611" stopIfTrue="1" operator="lessThan">
      <formula>$N$20</formula>
    </cfRule>
  </conditionalFormatting>
  <conditionalFormatting sqref="O21">
    <cfRule type="cellIs" dxfId="3090" priority="612" stopIfTrue="1" operator="equal">
      <formula>$N$21</formula>
    </cfRule>
    <cfRule type="cellIs" dxfId="3089" priority="613" stopIfTrue="1" operator="lessThan">
      <formula>$N$21</formula>
    </cfRule>
  </conditionalFormatting>
  <conditionalFormatting sqref="O22">
    <cfRule type="cellIs" dxfId="3088" priority="614" stopIfTrue="1" operator="equal">
      <formula>$N$22</formula>
    </cfRule>
    <cfRule type="cellIs" dxfId="3087" priority="615" stopIfTrue="1" operator="lessThan">
      <formula>$N$22</formula>
    </cfRule>
  </conditionalFormatting>
  <conditionalFormatting sqref="O23">
    <cfRule type="cellIs" dxfId="3086" priority="616" stopIfTrue="1" operator="equal">
      <formula>$N$23</formula>
    </cfRule>
    <cfRule type="cellIs" dxfId="3085" priority="617" stopIfTrue="1" operator="lessThan">
      <formula>$N$23</formula>
    </cfRule>
  </conditionalFormatting>
  <conditionalFormatting sqref="O24">
    <cfRule type="cellIs" dxfId="3084" priority="618" stopIfTrue="1" operator="equal">
      <formula>$N$24</formula>
    </cfRule>
    <cfRule type="cellIs" dxfId="3083" priority="619" stopIfTrue="1" operator="lessThan">
      <formula>$N$24</formula>
    </cfRule>
  </conditionalFormatting>
  <conditionalFormatting sqref="O25">
    <cfRule type="cellIs" dxfId="3082" priority="620" stopIfTrue="1" operator="equal">
      <formula>$N$25</formula>
    </cfRule>
    <cfRule type="cellIs" dxfId="3081" priority="621" stopIfTrue="1" operator="lessThan">
      <formula>$N$25</formula>
    </cfRule>
  </conditionalFormatting>
  <conditionalFormatting sqref="O26">
    <cfRule type="cellIs" dxfId="3080" priority="622" stopIfTrue="1" operator="equal">
      <formula>$N$26</formula>
    </cfRule>
    <cfRule type="cellIs" dxfId="3079" priority="623" stopIfTrue="1" operator="lessThan">
      <formula>$N$26</formula>
    </cfRule>
  </conditionalFormatting>
  <conditionalFormatting sqref="O27">
    <cfRule type="cellIs" dxfId="3078" priority="624" stopIfTrue="1" operator="equal">
      <formula>$N$27</formula>
    </cfRule>
    <cfRule type="cellIs" dxfId="3077" priority="625" stopIfTrue="1" operator="lessThan">
      <formula>$N$27</formula>
    </cfRule>
  </conditionalFormatting>
  <conditionalFormatting sqref="O28">
    <cfRule type="cellIs" dxfId="3076" priority="626" stopIfTrue="1" operator="equal">
      <formula>$N$28</formula>
    </cfRule>
    <cfRule type="cellIs" dxfId="3075" priority="627" stopIfTrue="1" operator="lessThan">
      <formula>$N$28</formula>
    </cfRule>
  </conditionalFormatting>
  <conditionalFormatting sqref="U4:AF23">
    <cfRule type="cellIs" dxfId="3074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9"/>
  <sheetViews>
    <sheetView zoomScaleSheetLayoutView="100" workbookViewId="0">
      <selection activeCell="O2" sqref="O2"/>
    </sheetView>
  </sheetViews>
  <sheetFormatPr defaultRowHeight="14.5" x14ac:dyDescent="0.35"/>
  <cols>
    <col min="1" max="1" width="8.54296875" customWidth="1"/>
    <col min="2" max="2" width="26.54296875" customWidth="1"/>
    <col min="3" max="15" width="10.1796875" customWidth="1"/>
    <col min="16" max="16" width="9.26953125" bestFit="1" customWidth="1"/>
    <col min="19" max="19" width="3.54296875" customWidth="1"/>
  </cols>
  <sheetData>
    <row r="1" spans="1:32" ht="15" thickBot="1" x14ac:dyDescent="0.4"/>
    <row r="2" spans="1:32" s="1" customFormat="1" ht="21" customHeight="1" thickBot="1" x14ac:dyDescent="0.55000000000000004">
      <c r="A2" s="112">
        <v>1853</v>
      </c>
      <c r="B2" s="2"/>
      <c r="C2" s="3">
        <f>'1850'!C2</f>
        <v>45658</v>
      </c>
      <c r="D2" s="3">
        <f>'1850'!D2</f>
        <v>45688</v>
      </c>
      <c r="E2" s="3">
        <f>'1850'!E2</f>
        <v>45716</v>
      </c>
      <c r="F2" s="3">
        <f>'1850'!F2</f>
        <v>45748</v>
      </c>
      <c r="G2" s="3">
        <f>'1850'!G2</f>
        <v>45779</v>
      </c>
      <c r="H2" s="3">
        <f>'1850'!H2</f>
        <v>45810</v>
      </c>
      <c r="I2" s="3">
        <f>'1850'!I2</f>
        <v>45839</v>
      </c>
      <c r="J2" s="3">
        <f>'1850'!J2</f>
        <v>45870</v>
      </c>
      <c r="K2" s="3">
        <f>'1850'!K2</f>
        <v>45901</v>
      </c>
      <c r="L2" s="3">
        <f>'1850'!L2</f>
        <v>45931</v>
      </c>
      <c r="M2" s="3">
        <f>'1850'!M2</f>
        <v>45961</v>
      </c>
      <c r="N2" s="3">
        <f>'1850'!N2</f>
        <v>45992</v>
      </c>
      <c r="O2" s="3">
        <f>'1850'!O2</f>
        <v>46022</v>
      </c>
      <c r="P2" s="1" t="s">
        <v>25</v>
      </c>
      <c r="Q2" s="1" t="s">
        <v>26</v>
      </c>
      <c r="R2" s="1" t="s">
        <v>27</v>
      </c>
      <c r="U2" s="142"/>
      <c r="V2" s="143"/>
      <c r="W2" s="143"/>
      <c r="X2" s="143"/>
      <c r="Y2" s="143" t="s">
        <v>106</v>
      </c>
      <c r="Z2" s="143"/>
      <c r="AA2" s="143"/>
      <c r="AB2" s="143"/>
      <c r="AC2" s="143"/>
      <c r="AD2" s="143"/>
      <c r="AE2" s="143"/>
      <c r="AF2" s="147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79</v>
      </c>
      <c r="Q3" s="1" t="s">
        <v>78</v>
      </c>
      <c r="R3" s="1" t="s">
        <v>80</v>
      </c>
      <c r="T3" s="1" t="s">
        <v>105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303">
        <v>1</v>
      </c>
      <c r="B4" s="6" t="s">
        <v>374</v>
      </c>
      <c r="C4" s="7">
        <v>15.692</v>
      </c>
      <c r="D4" s="7">
        <v>28.591999999999999</v>
      </c>
      <c r="E4" s="7">
        <v>40.715000000000003</v>
      </c>
      <c r="F4" s="7">
        <v>53.926000000000002</v>
      </c>
      <c r="G4" s="7">
        <v>70.367000000000004</v>
      </c>
      <c r="H4" s="7">
        <v>84.930999999999997</v>
      </c>
      <c r="I4" s="7">
        <v>95.837000000000003</v>
      </c>
      <c r="J4" s="7">
        <v>107.08</v>
      </c>
      <c r="K4" s="7">
        <v>119.526</v>
      </c>
      <c r="L4" s="8">
        <v>133.41399999999999</v>
      </c>
      <c r="M4" s="7">
        <v>149.417</v>
      </c>
      <c r="N4" s="7">
        <v>162.85400000000001</v>
      </c>
      <c r="O4" s="7">
        <v>175.815</v>
      </c>
      <c r="P4" s="9">
        <f>O4-C4</f>
        <v>160.12299999999999</v>
      </c>
      <c r="T4" s="1">
        <v>1</v>
      </c>
      <c r="U4" s="144">
        <f t="shared" ref="U4:AF4" si="0">D4-C4</f>
        <v>12.899999999999999</v>
      </c>
      <c r="V4" s="144">
        <f t="shared" si="0"/>
        <v>12.123000000000005</v>
      </c>
      <c r="W4" s="144">
        <f t="shared" si="0"/>
        <v>13.210999999999999</v>
      </c>
      <c r="X4" s="144">
        <f t="shared" si="0"/>
        <v>16.441000000000003</v>
      </c>
      <c r="Y4" s="144">
        <f t="shared" si="0"/>
        <v>14.563999999999993</v>
      </c>
      <c r="Z4" s="144">
        <f t="shared" si="0"/>
        <v>10.906000000000006</v>
      </c>
      <c r="AA4" s="144">
        <f t="shared" si="0"/>
        <v>11.242999999999995</v>
      </c>
      <c r="AB4" s="144">
        <f t="shared" si="0"/>
        <v>12.445999999999998</v>
      </c>
      <c r="AC4" s="144">
        <f t="shared" si="0"/>
        <v>13.887999999999991</v>
      </c>
      <c r="AD4" s="144">
        <f t="shared" si="0"/>
        <v>16.003000000000014</v>
      </c>
      <c r="AE4" s="144">
        <f t="shared" si="0"/>
        <v>13.437000000000012</v>
      </c>
      <c r="AF4" s="144">
        <f t="shared" si="0"/>
        <v>12.960999999999984</v>
      </c>
    </row>
    <row r="5" spans="1:32" x14ac:dyDescent="0.35">
      <c r="A5" s="303"/>
      <c r="B5" s="10" t="s">
        <v>221</v>
      </c>
      <c r="C5" s="11">
        <v>95.658000000000001</v>
      </c>
      <c r="D5" s="11">
        <v>101.566</v>
      </c>
      <c r="E5" s="11">
        <v>107.813</v>
      </c>
      <c r="F5" s="11">
        <v>112.101</v>
      </c>
      <c r="G5" s="11">
        <v>114.761</v>
      </c>
      <c r="H5" s="11">
        <v>115.846</v>
      </c>
      <c r="I5" s="11">
        <v>116.52</v>
      </c>
      <c r="J5" s="11">
        <v>117.105</v>
      </c>
      <c r="K5" s="11">
        <v>117.809</v>
      </c>
      <c r="L5" s="12">
        <v>118.804</v>
      </c>
      <c r="M5" s="11">
        <v>121.17700000000001</v>
      </c>
      <c r="N5" s="11">
        <v>125.152</v>
      </c>
      <c r="O5" s="11">
        <v>129.63999999999999</v>
      </c>
      <c r="P5" s="9"/>
      <c r="Q5" s="9">
        <f>O5-C5</f>
        <v>33.981999999999985</v>
      </c>
      <c r="T5" s="1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</row>
    <row r="6" spans="1:32" x14ac:dyDescent="0.35">
      <c r="A6" s="302">
        <v>2</v>
      </c>
      <c r="B6" s="10" t="s">
        <v>375</v>
      </c>
      <c r="C6" s="11">
        <v>7.5709999999999997</v>
      </c>
      <c r="D6" s="11">
        <v>13.879</v>
      </c>
      <c r="E6" s="11">
        <v>19.942</v>
      </c>
      <c r="F6" s="11">
        <v>26.695</v>
      </c>
      <c r="G6" s="11">
        <v>32.243000000000002</v>
      </c>
      <c r="H6" s="11">
        <v>38.659999999999997</v>
      </c>
      <c r="I6" s="11">
        <v>45.283000000000001</v>
      </c>
      <c r="J6" s="11">
        <v>50.997</v>
      </c>
      <c r="K6" s="11">
        <v>56.146999999999998</v>
      </c>
      <c r="L6" s="11">
        <v>61.75</v>
      </c>
      <c r="M6" s="11">
        <v>67.209000000000003</v>
      </c>
      <c r="N6" s="11">
        <v>74.087000000000003</v>
      </c>
      <c r="O6" s="11">
        <v>81.340999999999994</v>
      </c>
      <c r="P6" s="9">
        <f t="shared" ref="P6" si="1">O6-C6</f>
        <v>73.77</v>
      </c>
      <c r="T6" s="1">
        <v>2</v>
      </c>
      <c r="U6" s="146">
        <f t="shared" ref="U6:AF6" si="2">D6-C6</f>
        <v>6.3079999999999998</v>
      </c>
      <c r="V6" s="146">
        <f t="shared" si="2"/>
        <v>6.0630000000000006</v>
      </c>
      <c r="W6" s="146">
        <f t="shared" si="2"/>
        <v>6.7530000000000001</v>
      </c>
      <c r="X6" s="146">
        <f t="shared" si="2"/>
        <v>5.5480000000000018</v>
      </c>
      <c r="Y6" s="146">
        <f t="shared" si="2"/>
        <v>6.4169999999999945</v>
      </c>
      <c r="Z6" s="146">
        <f t="shared" si="2"/>
        <v>6.6230000000000047</v>
      </c>
      <c r="AA6" s="146">
        <f t="shared" si="2"/>
        <v>5.7139999999999986</v>
      </c>
      <c r="AB6" s="146">
        <f t="shared" si="2"/>
        <v>5.1499999999999986</v>
      </c>
      <c r="AC6" s="146">
        <f t="shared" si="2"/>
        <v>5.6030000000000015</v>
      </c>
      <c r="AD6" s="146">
        <f t="shared" si="2"/>
        <v>5.4590000000000032</v>
      </c>
      <c r="AE6" s="146">
        <f t="shared" si="2"/>
        <v>6.8780000000000001</v>
      </c>
      <c r="AF6" s="146">
        <f t="shared" si="2"/>
        <v>7.2539999999999907</v>
      </c>
    </row>
    <row r="7" spans="1:32" x14ac:dyDescent="0.35">
      <c r="A7" s="302"/>
      <c r="B7" s="10" t="s">
        <v>222</v>
      </c>
      <c r="C7" s="11">
        <v>27.501000000000001</v>
      </c>
      <c r="D7" s="11">
        <v>29.628</v>
      </c>
      <c r="E7" s="11">
        <v>31.468</v>
      </c>
      <c r="F7" s="11">
        <v>32.524000000000001</v>
      </c>
      <c r="G7" s="11">
        <v>32.915999999999997</v>
      </c>
      <c r="H7" s="11">
        <v>33.279000000000003</v>
      </c>
      <c r="I7" s="11">
        <v>33.527000000000001</v>
      </c>
      <c r="J7" s="11">
        <v>33.731000000000002</v>
      </c>
      <c r="K7" s="11">
        <v>33.945</v>
      </c>
      <c r="L7" s="11">
        <v>34.177999999999997</v>
      </c>
      <c r="M7" s="11">
        <v>34.81</v>
      </c>
      <c r="N7" s="11">
        <v>36.497</v>
      </c>
      <c r="O7" s="11">
        <v>38.241999999999997</v>
      </c>
      <c r="P7" s="9"/>
      <c r="Q7" s="9">
        <f>O7-C7</f>
        <v>10.740999999999996</v>
      </c>
      <c r="T7" s="1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</row>
    <row r="8" spans="1:32" x14ac:dyDescent="0.35">
      <c r="A8" s="314">
        <v>3</v>
      </c>
      <c r="B8" s="10" t="s">
        <v>376</v>
      </c>
      <c r="C8" s="11">
        <v>6.2389999999999999</v>
      </c>
      <c r="D8" s="11">
        <v>12.475</v>
      </c>
      <c r="E8" s="11">
        <v>20.733000000000001</v>
      </c>
      <c r="F8" s="11">
        <v>34.418999999999997</v>
      </c>
      <c r="G8" s="11">
        <v>45.572000000000003</v>
      </c>
      <c r="H8" s="11">
        <v>51.991999999999997</v>
      </c>
      <c r="I8" s="11">
        <v>58.94</v>
      </c>
      <c r="J8" s="11">
        <v>66.358999999999995</v>
      </c>
      <c r="K8" s="11">
        <v>73.436999999999998</v>
      </c>
      <c r="L8" s="11">
        <v>79.959999999999994</v>
      </c>
      <c r="M8" s="11">
        <v>86.478999999999999</v>
      </c>
      <c r="N8" s="11">
        <v>92.418000000000006</v>
      </c>
      <c r="O8" s="11">
        <v>100.236</v>
      </c>
      <c r="P8" s="9">
        <f t="shared" ref="P8" si="3">O8-C8</f>
        <v>93.997</v>
      </c>
      <c r="T8" s="1">
        <v>3</v>
      </c>
      <c r="U8" s="146">
        <f t="shared" ref="U8:AF8" si="4">D8-C8</f>
        <v>6.2359999999999998</v>
      </c>
      <c r="V8" s="146">
        <f t="shared" si="4"/>
        <v>8.2580000000000009</v>
      </c>
      <c r="W8" s="146">
        <f t="shared" si="4"/>
        <v>13.685999999999996</v>
      </c>
      <c r="X8" s="146">
        <f t="shared" si="4"/>
        <v>11.153000000000006</v>
      </c>
      <c r="Y8" s="146">
        <f t="shared" si="4"/>
        <v>6.4199999999999946</v>
      </c>
      <c r="Z8" s="146">
        <f t="shared" si="4"/>
        <v>6.9480000000000004</v>
      </c>
      <c r="AA8" s="146">
        <f t="shared" si="4"/>
        <v>7.4189999999999969</v>
      </c>
      <c r="AB8" s="146">
        <f t="shared" si="4"/>
        <v>7.078000000000003</v>
      </c>
      <c r="AC8" s="146">
        <f t="shared" si="4"/>
        <v>6.5229999999999961</v>
      </c>
      <c r="AD8" s="146">
        <f t="shared" si="4"/>
        <v>6.5190000000000055</v>
      </c>
      <c r="AE8" s="146">
        <f t="shared" si="4"/>
        <v>5.9390000000000072</v>
      </c>
      <c r="AF8" s="146">
        <f t="shared" si="4"/>
        <v>7.8179999999999978</v>
      </c>
    </row>
    <row r="9" spans="1:32" x14ac:dyDescent="0.35">
      <c r="A9" s="314"/>
      <c r="B9" s="10" t="s">
        <v>223</v>
      </c>
      <c r="C9" s="11">
        <v>62.256999999999998</v>
      </c>
      <c r="D9" s="11">
        <v>65.95</v>
      </c>
      <c r="E9" s="11">
        <v>69.772000000000006</v>
      </c>
      <c r="F9" s="11">
        <v>72.153000000000006</v>
      </c>
      <c r="G9" s="11">
        <v>73.424999999999997</v>
      </c>
      <c r="H9" s="11">
        <v>74.031999999999996</v>
      </c>
      <c r="I9" s="11">
        <v>74.423000000000002</v>
      </c>
      <c r="J9" s="11">
        <v>74.768000000000001</v>
      </c>
      <c r="K9" s="11">
        <v>75.138000000000005</v>
      </c>
      <c r="L9" s="11">
        <v>75.760999999999996</v>
      </c>
      <c r="M9" s="11">
        <v>77.308999999999997</v>
      </c>
      <c r="N9" s="11">
        <v>80.311000000000007</v>
      </c>
      <c r="O9" s="11">
        <v>83.977999999999994</v>
      </c>
      <c r="P9" s="9"/>
      <c r="Q9" s="9">
        <f>O9-C9</f>
        <v>21.720999999999997</v>
      </c>
      <c r="T9" s="1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</row>
    <row r="10" spans="1:32" x14ac:dyDescent="0.35">
      <c r="A10" s="302">
        <v>4</v>
      </c>
      <c r="B10" s="10" t="s">
        <v>377</v>
      </c>
      <c r="C10" s="11">
        <v>3.3769999999999998</v>
      </c>
      <c r="D10" s="11">
        <v>6.6349999999999998</v>
      </c>
      <c r="E10" s="11">
        <v>9.0709999999999997</v>
      </c>
      <c r="F10" s="11">
        <v>13.371</v>
      </c>
      <c r="G10" s="11">
        <v>17.291</v>
      </c>
      <c r="H10" s="11">
        <v>20.45</v>
      </c>
      <c r="I10" s="11">
        <v>25.361999999999998</v>
      </c>
      <c r="J10" s="11">
        <v>28.864999999999998</v>
      </c>
      <c r="K10" s="11">
        <v>34.399000000000001</v>
      </c>
      <c r="L10" s="11">
        <v>41.598999999999997</v>
      </c>
      <c r="M10" s="11">
        <v>45.731000000000002</v>
      </c>
      <c r="N10" s="11">
        <v>49.478000000000002</v>
      </c>
      <c r="O10" s="11">
        <v>54.348999999999997</v>
      </c>
      <c r="P10" s="9">
        <f t="shared" ref="P10" si="5">O10-C10</f>
        <v>50.971999999999994</v>
      </c>
      <c r="T10" s="1">
        <v>4</v>
      </c>
      <c r="U10" s="146">
        <f t="shared" ref="U10:AF10" si="6">D10-C10</f>
        <v>3.258</v>
      </c>
      <c r="V10" s="146">
        <f t="shared" si="6"/>
        <v>2.4359999999999999</v>
      </c>
      <c r="W10" s="146">
        <f t="shared" si="6"/>
        <v>4.3000000000000007</v>
      </c>
      <c r="X10" s="146">
        <f t="shared" si="6"/>
        <v>3.92</v>
      </c>
      <c r="Y10" s="146">
        <f t="shared" si="6"/>
        <v>3.1589999999999989</v>
      </c>
      <c r="Z10" s="146">
        <f t="shared" si="6"/>
        <v>4.911999999999999</v>
      </c>
      <c r="AA10" s="146">
        <f t="shared" si="6"/>
        <v>3.5030000000000001</v>
      </c>
      <c r="AB10" s="146">
        <f t="shared" si="6"/>
        <v>5.5340000000000025</v>
      </c>
      <c r="AC10" s="146">
        <f t="shared" si="6"/>
        <v>7.1999999999999957</v>
      </c>
      <c r="AD10" s="146">
        <f t="shared" si="6"/>
        <v>4.132000000000005</v>
      </c>
      <c r="AE10" s="146">
        <f t="shared" si="6"/>
        <v>3.7469999999999999</v>
      </c>
      <c r="AF10" s="146">
        <f t="shared" si="6"/>
        <v>4.8709999999999951</v>
      </c>
    </row>
    <row r="11" spans="1:32" x14ac:dyDescent="0.35">
      <c r="A11" s="302"/>
      <c r="B11" s="10" t="s">
        <v>224</v>
      </c>
      <c r="C11" s="11">
        <v>31.791</v>
      </c>
      <c r="D11" s="11">
        <v>34.198</v>
      </c>
      <c r="E11" s="11">
        <v>35.921999999999997</v>
      </c>
      <c r="F11" s="11">
        <v>36.831000000000003</v>
      </c>
      <c r="G11" s="11">
        <v>37.115000000000002</v>
      </c>
      <c r="H11" s="11">
        <v>37.372999999999998</v>
      </c>
      <c r="I11" s="11">
        <v>37.692</v>
      </c>
      <c r="J11" s="11">
        <v>37.902000000000001</v>
      </c>
      <c r="K11" s="11">
        <v>38.201999999999998</v>
      </c>
      <c r="L11" s="11">
        <v>38.517000000000003</v>
      </c>
      <c r="M11" s="11">
        <v>39.384999999999998</v>
      </c>
      <c r="N11" s="11">
        <v>41.72</v>
      </c>
      <c r="O11" s="11">
        <v>43.999000000000002</v>
      </c>
      <c r="P11" s="9"/>
      <c r="Q11" s="9">
        <f>O11-C11</f>
        <v>12.208000000000002</v>
      </c>
      <c r="T11" s="1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</row>
    <row r="12" spans="1:32" x14ac:dyDescent="0.35">
      <c r="A12" s="302">
        <v>5</v>
      </c>
      <c r="B12" s="10" t="s">
        <v>378</v>
      </c>
      <c r="C12" s="11">
        <v>7.298</v>
      </c>
      <c r="D12" s="11">
        <v>14.1</v>
      </c>
      <c r="E12" s="11">
        <v>20.634</v>
      </c>
      <c r="F12" s="11">
        <v>28.574000000000002</v>
      </c>
      <c r="G12" s="11">
        <v>34.768000000000001</v>
      </c>
      <c r="H12" s="11">
        <v>41.01</v>
      </c>
      <c r="I12" s="11">
        <v>46.811999999999998</v>
      </c>
      <c r="J12" s="11">
        <v>53.902999999999999</v>
      </c>
      <c r="K12" s="11">
        <v>59.83</v>
      </c>
      <c r="L12" s="11">
        <v>66.957999999999998</v>
      </c>
      <c r="M12" s="11">
        <v>73.652000000000001</v>
      </c>
      <c r="N12" s="11">
        <v>80.555000000000007</v>
      </c>
      <c r="O12" s="11">
        <v>88.007000000000005</v>
      </c>
      <c r="P12" s="9">
        <f t="shared" ref="P12" si="7">O12-C12</f>
        <v>80.709000000000003</v>
      </c>
      <c r="T12" s="1">
        <v>5</v>
      </c>
      <c r="U12" s="146">
        <f t="shared" ref="U12:AF12" si="8">D12-C12</f>
        <v>6.8019999999999996</v>
      </c>
      <c r="V12" s="146">
        <f t="shared" si="8"/>
        <v>6.5340000000000007</v>
      </c>
      <c r="W12" s="146">
        <f t="shared" si="8"/>
        <v>7.9400000000000013</v>
      </c>
      <c r="X12" s="146">
        <f t="shared" si="8"/>
        <v>6.1939999999999991</v>
      </c>
      <c r="Y12" s="146">
        <f t="shared" si="8"/>
        <v>6.2419999999999973</v>
      </c>
      <c r="Z12" s="146">
        <f t="shared" si="8"/>
        <v>5.8019999999999996</v>
      </c>
      <c r="AA12" s="146">
        <f t="shared" si="8"/>
        <v>7.0910000000000011</v>
      </c>
      <c r="AB12" s="146">
        <f t="shared" si="8"/>
        <v>5.9269999999999996</v>
      </c>
      <c r="AC12" s="146">
        <f t="shared" si="8"/>
        <v>7.1280000000000001</v>
      </c>
      <c r="AD12" s="146">
        <f t="shared" si="8"/>
        <v>6.6940000000000026</v>
      </c>
      <c r="AE12" s="146">
        <f t="shared" si="8"/>
        <v>6.9030000000000058</v>
      </c>
      <c r="AF12" s="146">
        <f t="shared" si="8"/>
        <v>7.4519999999999982</v>
      </c>
    </row>
    <row r="13" spans="1:32" x14ac:dyDescent="0.35">
      <c r="A13" s="302"/>
      <c r="B13" s="10" t="s">
        <v>225</v>
      </c>
      <c r="C13" s="11">
        <v>28.57</v>
      </c>
      <c r="D13" s="11">
        <v>30.015000000000001</v>
      </c>
      <c r="E13" s="11">
        <v>31.263999999999999</v>
      </c>
      <c r="F13" s="11">
        <v>31.978999999999999</v>
      </c>
      <c r="G13" s="11">
        <v>32.372</v>
      </c>
      <c r="H13" s="11">
        <v>32.713999999999999</v>
      </c>
      <c r="I13" s="11">
        <v>33.023000000000003</v>
      </c>
      <c r="J13" s="11">
        <v>33.369</v>
      </c>
      <c r="K13" s="11">
        <v>33.616999999999997</v>
      </c>
      <c r="L13" s="11">
        <v>33.947000000000003</v>
      </c>
      <c r="M13" s="11">
        <v>34.411000000000001</v>
      </c>
      <c r="N13" s="11">
        <v>35.527000000000001</v>
      </c>
      <c r="O13" s="11">
        <v>36.795999999999999</v>
      </c>
      <c r="P13" s="9"/>
      <c r="Q13" s="9">
        <f>O13-C13</f>
        <v>8.2259999999999991</v>
      </c>
      <c r="T13" s="1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</row>
    <row r="14" spans="1:32" x14ac:dyDescent="0.35">
      <c r="A14" s="302">
        <v>6</v>
      </c>
      <c r="B14" s="10" t="s">
        <v>379</v>
      </c>
      <c r="C14" s="11">
        <v>6.274</v>
      </c>
      <c r="D14" s="11">
        <v>12.725</v>
      </c>
      <c r="E14" s="11">
        <v>19.468</v>
      </c>
      <c r="F14" s="11">
        <v>25.789000000000001</v>
      </c>
      <c r="G14" s="11">
        <v>32.378</v>
      </c>
      <c r="H14" s="11">
        <v>38.521000000000001</v>
      </c>
      <c r="I14" s="11">
        <v>43.981999999999999</v>
      </c>
      <c r="J14" s="11">
        <v>49.716999999999999</v>
      </c>
      <c r="K14" s="11">
        <v>56.351999999999997</v>
      </c>
      <c r="L14" s="11">
        <v>63.698</v>
      </c>
      <c r="M14" s="11">
        <v>70.772000000000006</v>
      </c>
      <c r="N14" s="11">
        <v>78.442999999999998</v>
      </c>
      <c r="O14" s="11">
        <v>84.296000000000006</v>
      </c>
      <c r="P14" s="9">
        <f t="shared" ref="P14" si="9">O14-C14</f>
        <v>78.022000000000006</v>
      </c>
      <c r="T14" s="1">
        <v>6</v>
      </c>
      <c r="U14" s="146">
        <f t="shared" ref="U14:AF14" si="10">D14-C14</f>
        <v>6.4509999999999996</v>
      </c>
      <c r="V14" s="146">
        <f t="shared" si="10"/>
        <v>6.7430000000000003</v>
      </c>
      <c r="W14" s="146">
        <f t="shared" si="10"/>
        <v>6.3210000000000015</v>
      </c>
      <c r="X14" s="146">
        <f t="shared" si="10"/>
        <v>6.5889999999999986</v>
      </c>
      <c r="Y14" s="146">
        <f t="shared" si="10"/>
        <v>6.1430000000000007</v>
      </c>
      <c r="Z14" s="146">
        <f t="shared" si="10"/>
        <v>5.4609999999999985</v>
      </c>
      <c r="AA14" s="146">
        <f t="shared" si="10"/>
        <v>5.7349999999999994</v>
      </c>
      <c r="AB14" s="146">
        <f t="shared" si="10"/>
        <v>6.634999999999998</v>
      </c>
      <c r="AC14" s="146">
        <f t="shared" si="10"/>
        <v>7.3460000000000036</v>
      </c>
      <c r="AD14" s="146">
        <f t="shared" si="10"/>
        <v>7.0740000000000052</v>
      </c>
      <c r="AE14" s="146">
        <f t="shared" si="10"/>
        <v>7.6709999999999923</v>
      </c>
      <c r="AF14" s="146">
        <f t="shared" si="10"/>
        <v>5.8530000000000086</v>
      </c>
    </row>
    <row r="15" spans="1:32" x14ac:dyDescent="0.35">
      <c r="A15" s="302"/>
      <c r="B15" s="10" t="s">
        <v>226</v>
      </c>
      <c r="C15" s="11">
        <v>43.35</v>
      </c>
      <c r="D15" s="11">
        <v>46.914000000000001</v>
      </c>
      <c r="E15" s="11">
        <v>49.756999999999998</v>
      </c>
      <c r="F15" s="11">
        <v>51.491</v>
      </c>
      <c r="G15" s="11">
        <v>52.22</v>
      </c>
      <c r="H15" s="11">
        <v>52.518999999999998</v>
      </c>
      <c r="I15" s="11">
        <v>52.747</v>
      </c>
      <c r="J15" s="11">
        <v>52.945</v>
      </c>
      <c r="K15" s="11">
        <v>53.177</v>
      </c>
      <c r="L15" s="11">
        <v>53.462000000000003</v>
      </c>
      <c r="M15" s="11">
        <v>54.335999999999999</v>
      </c>
      <c r="N15" s="11">
        <v>57.247</v>
      </c>
      <c r="O15" s="11">
        <v>60.341000000000001</v>
      </c>
      <c r="P15" s="9"/>
      <c r="Q15" s="9">
        <f>O15-C15</f>
        <v>16.991</v>
      </c>
      <c r="T15" s="1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</row>
    <row r="16" spans="1:32" x14ac:dyDescent="0.35">
      <c r="A16" s="302">
        <v>7</v>
      </c>
      <c r="B16" s="10" t="s">
        <v>380</v>
      </c>
      <c r="C16" s="11">
        <v>14.625999999999999</v>
      </c>
      <c r="D16" s="11">
        <v>26.53</v>
      </c>
      <c r="E16" s="11">
        <v>35.24</v>
      </c>
      <c r="F16" s="11">
        <v>49.207999999999998</v>
      </c>
      <c r="G16" s="11">
        <v>59.911000000000001</v>
      </c>
      <c r="H16" s="11">
        <v>73.734999999999999</v>
      </c>
      <c r="I16" s="11">
        <v>83.073999999999998</v>
      </c>
      <c r="J16" s="11">
        <v>89.215999999999994</v>
      </c>
      <c r="K16" s="11">
        <v>101.462</v>
      </c>
      <c r="L16" s="11">
        <v>112.10599999999999</v>
      </c>
      <c r="M16" s="11">
        <v>122.79900000000001</v>
      </c>
      <c r="N16" s="11">
        <v>135.93100000000001</v>
      </c>
      <c r="O16" s="11">
        <v>148.233</v>
      </c>
      <c r="P16" s="9">
        <f t="shared" ref="P16" si="11">O16-C16</f>
        <v>133.607</v>
      </c>
      <c r="T16" s="1">
        <v>7</v>
      </c>
      <c r="U16" s="146">
        <f t="shared" ref="U16:AF16" si="12">D16-C16</f>
        <v>11.904000000000002</v>
      </c>
      <c r="V16" s="146">
        <f t="shared" si="12"/>
        <v>8.7100000000000009</v>
      </c>
      <c r="W16" s="146">
        <f t="shared" si="12"/>
        <v>13.967999999999996</v>
      </c>
      <c r="X16" s="146">
        <f t="shared" si="12"/>
        <v>10.703000000000003</v>
      </c>
      <c r="Y16" s="146">
        <f t="shared" si="12"/>
        <v>13.823999999999998</v>
      </c>
      <c r="Z16" s="146">
        <f t="shared" si="12"/>
        <v>9.3389999999999986</v>
      </c>
      <c r="AA16" s="146">
        <f t="shared" si="12"/>
        <v>6.1419999999999959</v>
      </c>
      <c r="AB16" s="146">
        <f t="shared" si="12"/>
        <v>12.246000000000009</v>
      </c>
      <c r="AC16" s="146">
        <f t="shared" si="12"/>
        <v>10.643999999999991</v>
      </c>
      <c r="AD16" s="146">
        <f t="shared" si="12"/>
        <v>10.693000000000012</v>
      </c>
      <c r="AE16" s="146">
        <f t="shared" si="12"/>
        <v>13.132000000000005</v>
      </c>
      <c r="AF16" s="146">
        <f t="shared" si="12"/>
        <v>12.301999999999992</v>
      </c>
    </row>
    <row r="17" spans="1:32" x14ac:dyDescent="0.35">
      <c r="A17" s="302"/>
      <c r="B17" s="10" t="s">
        <v>227</v>
      </c>
      <c r="C17" s="11">
        <v>76.722999999999999</v>
      </c>
      <c r="D17" s="11">
        <v>80.554000000000002</v>
      </c>
      <c r="E17" s="11">
        <v>83.262</v>
      </c>
      <c r="F17" s="11">
        <v>85.186000000000007</v>
      </c>
      <c r="G17" s="11">
        <v>86.332999999999998</v>
      </c>
      <c r="H17" s="11">
        <v>87.356999999999999</v>
      </c>
      <c r="I17" s="11">
        <v>87.994</v>
      </c>
      <c r="J17" s="11">
        <v>88.412000000000006</v>
      </c>
      <c r="K17" s="11">
        <v>89.156000000000006</v>
      </c>
      <c r="L17" s="11">
        <v>89.975999999999999</v>
      </c>
      <c r="M17" s="11">
        <v>91.593000000000004</v>
      </c>
      <c r="N17" s="11">
        <v>94.278000000000006</v>
      </c>
      <c r="O17" s="11">
        <v>97.447000000000003</v>
      </c>
      <c r="P17" s="9"/>
      <c r="Q17" s="9">
        <f>O17-C17</f>
        <v>20.724000000000004</v>
      </c>
      <c r="T17" s="1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</row>
    <row r="18" spans="1:32" x14ac:dyDescent="0.35">
      <c r="A18" s="302">
        <v>8</v>
      </c>
      <c r="B18" s="10" t="s">
        <v>381</v>
      </c>
      <c r="C18" s="11">
        <v>11.298999999999999</v>
      </c>
      <c r="D18" s="11">
        <v>20.96</v>
      </c>
      <c r="E18" s="11">
        <v>30.66</v>
      </c>
      <c r="F18" s="11">
        <v>42.252000000000002</v>
      </c>
      <c r="G18" s="11">
        <v>52.752000000000002</v>
      </c>
      <c r="H18" s="11">
        <v>63.557000000000002</v>
      </c>
      <c r="I18" s="11">
        <v>71.867000000000004</v>
      </c>
      <c r="J18" s="11">
        <v>78.055000000000007</v>
      </c>
      <c r="K18" s="11">
        <v>88.64</v>
      </c>
      <c r="L18" s="11">
        <v>98.391999999999996</v>
      </c>
      <c r="M18" s="11">
        <v>108.646</v>
      </c>
      <c r="N18" s="11">
        <v>119.148</v>
      </c>
      <c r="O18" s="11">
        <v>129.38</v>
      </c>
      <c r="P18" s="9">
        <f t="shared" ref="P18" si="13">O18-C18</f>
        <v>118.08099999999999</v>
      </c>
      <c r="T18" s="1">
        <v>8</v>
      </c>
      <c r="U18" s="146">
        <f t="shared" ref="U18:AF18" si="14">D18-C18</f>
        <v>9.6610000000000014</v>
      </c>
      <c r="V18" s="146">
        <f t="shared" si="14"/>
        <v>9.6999999999999993</v>
      </c>
      <c r="W18" s="146">
        <f t="shared" si="14"/>
        <v>11.592000000000002</v>
      </c>
      <c r="X18" s="146">
        <f t="shared" si="14"/>
        <v>10.5</v>
      </c>
      <c r="Y18" s="146">
        <f t="shared" si="14"/>
        <v>10.805</v>
      </c>
      <c r="Z18" s="146">
        <f t="shared" si="14"/>
        <v>8.3100000000000023</v>
      </c>
      <c r="AA18" s="146">
        <f t="shared" si="14"/>
        <v>6.1880000000000024</v>
      </c>
      <c r="AB18" s="146">
        <f t="shared" si="14"/>
        <v>10.584999999999994</v>
      </c>
      <c r="AC18" s="146">
        <f t="shared" si="14"/>
        <v>9.7519999999999953</v>
      </c>
      <c r="AD18" s="146">
        <f t="shared" si="14"/>
        <v>10.254000000000005</v>
      </c>
      <c r="AE18" s="146">
        <f t="shared" si="14"/>
        <v>10.501999999999995</v>
      </c>
      <c r="AF18" s="146">
        <f t="shared" si="14"/>
        <v>10.231999999999999</v>
      </c>
    </row>
    <row r="19" spans="1:32" x14ac:dyDescent="0.35">
      <c r="A19" s="302"/>
      <c r="B19" s="10" t="s">
        <v>228</v>
      </c>
      <c r="C19" s="11">
        <v>58.518999999999998</v>
      </c>
      <c r="D19" s="11">
        <v>62.814</v>
      </c>
      <c r="E19" s="11">
        <v>66.022000000000006</v>
      </c>
      <c r="F19" s="11">
        <v>67.281999999999996</v>
      </c>
      <c r="G19" s="11">
        <v>67.992000000000004</v>
      </c>
      <c r="H19" s="11">
        <v>68.635000000000005</v>
      </c>
      <c r="I19" s="11">
        <v>69.003</v>
      </c>
      <c r="J19" s="11">
        <v>69.257999999999996</v>
      </c>
      <c r="K19" s="11">
        <v>69.695999999999998</v>
      </c>
      <c r="L19" s="11">
        <v>70.186000000000007</v>
      </c>
      <c r="M19" s="11">
        <v>71.037000000000006</v>
      </c>
      <c r="N19" s="11">
        <v>73.753</v>
      </c>
      <c r="O19" s="11">
        <v>77.097999999999999</v>
      </c>
      <c r="P19" s="9"/>
      <c r="Q19" s="9">
        <f>O19-C19</f>
        <v>18.579000000000001</v>
      </c>
      <c r="T19" s="1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</row>
    <row r="20" spans="1:32" x14ac:dyDescent="0.35">
      <c r="A20" s="302">
        <v>9</v>
      </c>
      <c r="B20" s="10" t="s">
        <v>382</v>
      </c>
      <c r="C20" s="11">
        <v>3.9390000000000001</v>
      </c>
      <c r="D20" s="11">
        <v>7.4249999999999998</v>
      </c>
      <c r="E20" s="11">
        <v>10.436</v>
      </c>
      <c r="F20" s="11">
        <v>14.473000000000001</v>
      </c>
      <c r="G20" s="11">
        <v>17.666</v>
      </c>
      <c r="H20" s="11">
        <v>21.306999999999999</v>
      </c>
      <c r="I20" s="11">
        <v>24.215</v>
      </c>
      <c r="J20" s="11">
        <v>27.21</v>
      </c>
      <c r="K20" s="11">
        <v>30.433</v>
      </c>
      <c r="L20" s="11">
        <v>33.722000000000001</v>
      </c>
      <c r="M20" s="11">
        <v>37.125</v>
      </c>
      <c r="N20" s="11">
        <v>40.832999999999998</v>
      </c>
      <c r="O20" s="11">
        <v>44.594000000000001</v>
      </c>
      <c r="P20" s="9">
        <f t="shared" ref="P20" si="15">O20-C20</f>
        <v>40.655000000000001</v>
      </c>
      <c r="T20" s="1">
        <v>9</v>
      </c>
      <c r="U20" s="146">
        <f t="shared" ref="U20:AF20" si="16">D20-C20</f>
        <v>3.4859999999999998</v>
      </c>
      <c r="V20" s="146">
        <f t="shared" si="16"/>
        <v>3.0110000000000001</v>
      </c>
      <c r="W20" s="146">
        <f t="shared" si="16"/>
        <v>4.0370000000000008</v>
      </c>
      <c r="X20" s="146">
        <f t="shared" si="16"/>
        <v>3.1929999999999996</v>
      </c>
      <c r="Y20" s="146">
        <f t="shared" si="16"/>
        <v>3.6409999999999982</v>
      </c>
      <c r="Z20" s="146">
        <f t="shared" si="16"/>
        <v>2.9080000000000013</v>
      </c>
      <c r="AA20" s="146">
        <f t="shared" si="16"/>
        <v>2.995000000000001</v>
      </c>
      <c r="AB20" s="146">
        <f t="shared" si="16"/>
        <v>3.222999999999999</v>
      </c>
      <c r="AC20" s="146">
        <f t="shared" si="16"/>
        <v>3.2890000000000015</v>
      </c>
      <c r="AD20" s="146">
        <f t="shared" si="16"/>
        <v>3.4029999999999987</v>
      </c>
      <c r="AE20" s="146">
        <f t="shared" si="16"/>
        <v>3.7079999999999984</v>
      </c>
      <c r="AF20" s="146">
        <f t="shared" si="16"/>
        <v>3.7610000000000028</v>
      </c>
    </row>
    <row r="21" spans="1:32" x14ac:dyDescent="0.35">
      <c r="A21" s="302"/>
      <c r="B21" s="10" t="s">
        <v>229</v>
      </c>
      <c r="C21" s="11">
        <v>68.215999999999994</v>
      </c>
      <c r="D21" s="11">
        <v>72.825000000000003</v>
      </c>
      <c r="E21" s="11">
        <v>76.572000000000003</v>
      </c>
      <c r="F21" s="11">
        <v>78.703999999999994</v>
      </c>
      <c r="G21" s="11">
        <v>79.385999999999996</v>
      </c>
      <c r="H21" s="11">
        <v>79.826999999999998</v>
      </c>
      <c r="I21" s="11">
        <v>80.144000000000005</v>
      </c>
      <c r="J21" s="11">
        <v>80.444999999999993</v>
      </c>
      <c r="K21" s="11">
        <v>80.781999999999996</v>
      </c>
      <c r="L21" s="11">
        <v>81.156999999999996</v>
      </c>
      <c r="M21" s="11">
        <v>82.656000000000006</v>
      </c>
      <c r="N21" s="11">
        <v>86.100999999999999</v>
      </c>
      <c r="O21" s="11">
        <v>89.992000000000004</v>
      </c>
      <c r="P21" s="9"/>
      <c r="Q21" s="9">
        <f>O21-C21</f>
        <v>21.77600000000001</v>
      </c>
      <c r="T21" s="1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</row>
    <row r="22" spans="1:32" x14ac:dyDescent="0.35">
      <c r="A22" s="302">
        <v>10</v>
      </c>
      <c r="B22" s="10" t="s">
        <v>383</v>
      </c>
      <c r="C22" s="11">
        <v>3.7450000000000001</v>
      </c>
      <c r="D22" s="11">
        <v>6.6029999999999998</v>
      </c>
      <c r="E22" s="11">
        <v>9.202</v>
      </c>
      <c r="F22" s="11">
        <v>11.977</v>
      </c>
      <c r="G22" s="11">
        <v>14.4</v>
      </c>
      <c r="H22" s="11">
        <v>16.594000000000001</v>
      </c>
      <c r="I22" s="11">
        <v>18.812000000000001</v>
      </c>
      <c r="J22" s="11">
        <v>21.024999999999999</v>
      </c>
      <c r="K22" s="11">
        <v>23.492000000000001</v>
      </c>
      <c r="L22" s="11">
        <v>26.591000000000001</v>
      </c>
      <c r="M22" s="11">
        <v>29.003</v>
      </c>
      <c r="N22" s="11">
        <v>31.341000000000001</v>
      </c>
      <c r="O22" s="11">
        <v>34.131</v>
      </c>
      <c r="P22" s="9">
        <f t="shared" ref="P22" si="17">O22-C22</f>
        <v>30.385999999999999</v>
      </c>
      <c r="T22" s="1">
        <v>10</v>
      </c>
      <c r="U22" s="146">
        <f t="shared" ref="U22:AF22" si="18">D22-C22</f>
        <v>2.8579999999999997</v>
      </c>
      <c r="V22" s="146">
        <f t="shared" si="18"/>
        <v>2.5990000000000002</v>
      </c>
      <c r="W22" s="146">
        <f t="shared" si="18"/>
        <v>2.7750000000000004</v>
      </c>
      <c r="X22" s="146">
        <f t="shared" si="18"/>
        <v>2.423</v>
      </c>
      <c r="Y22" s="146">
        <f t="shared" si="18"/>
        <v>2.1940000000000008</v>
      </c>
      <c r="Z22" s="146">
        <f t="shared" si="18"/>
        <v>2.218</v>
      </c>
      <c r="AA22" s="146">
        <f t="shared" si="18"/>
        <v>2.2129999999999974</v>
      </c>
      <c r="AB22" s="146">
        <f t="shared" si="18"/>
        <v>2.4670000000000023</v>
      </c>
      <c r="AC22" s="146">
        <f t="shared" si="18"/>
        <v>3.0990000000000002</v>
      </c>
      <c r="AD22" s="146">
        <f t="shared" si="18"/>
        <v>2.411999999999999</v>
      </c>
      <c r="AE22" s="146">
        <f t="shared" si="18"/>
        <v>2.338000000000001</v>
      </c>
      <c r="AF22" s="146">
        <f t="shared" si="18"/>
        <v>2.7899999999999991</v>
      </c>
    </row>
    <row r="23" spans="1:32" x14ac:dyDescent="0.35">
      <c r="A23" s="302"/>
      <c r="B23" s="10" t="s">
        <v>230</v>
      </c>
      <c r="C23" s="11">
        <v>64.113</v>
      </c>
      <c r="D23" s="11">
        <v>68.001000000000005</v>
      </c>
      <c r="E23" s="11">
        <v>71.215999999999994</v>
      </c>
      <c r="F23" s="11">
        <v>73.174999999999997</v>
      </c>
      <c r="G23" s="11">
        <v>73.963999999999999</v>
      </c>
      <c r="H23" s="11">
        <v>74.069999999999993</v>
      </c>
      <c r="I23" s="11">
        <v>74.146000000000001</v>
      </c>
      <c r="J23" s="11">
        <v>74.221000000000004</v>
      </c>
      <c r="K23" s="11">
        <v>74.304000000000002</v>
      </c>
      <c r="L23" s="11">
        <v>74.503</v>
      </c>
      <c r="M23" s="11">
        <v>76.019000000000005</v>
      </c>
      <c r="N23" s="11">
        <v>78.954999999999998</v>
      </c>
      <c r="O23" s="11">
        <v>82.507999999999996</v>
      </c>
      <c r="P23" s="14"/>
      <c r="Q23" s="97">
        <f>O23-C23</f>
        <v>18.394999999999996</v>
      </c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</row>
    <row r="24" spans="1:32" x14ac:dyDescent="0.35">
      <c r="A24" s="113"/>
      <c r="B24" s="10" t="s">
        <v>166</v>
      </c>
      <c r="C24" s="15">
        <v>10800</v>
      </c>
      <c r="D24" s="15">
        <v>10976</v>
      </c>
      <c r="E24" s="15">
        <v>11136</v>
      </c>
      <c r="F24" s="15">
        <v>11316</v>
      </c>
      <c r="G24" s="15">
        <v>11493</v>
      </c>
      <c r="H24" s="15">
        <v>11660</v>
      </c>
      <c r="I24" s="15">
        <v>11833</v>
      </c>
      <c r="J24" s="15">
        <v>12046</v>
      </c>
      <c r="K24" s="15">
        <v>12216</v>
      </c>
      <c r="L24" s="15">
        <v>12422</v>
      </c>
      <c r="M24" s="15">
        <v>12596</v>
      </c>
      <c r="N24" s="15">
        <v>12777</v>
      </c>
      <c r="O24" s="15">
        <v>12933</v>
      </c>
      <c r="P24" s="9">
        <f>SUM(P4:P23)</f>
        <v>860.32199999999989</v>
      </c>
      <c r="Q24" s="9">
        <f>SUM(Q4:Q23)</f>
        <v>183.34300000000002</v>
      </c>
      <c r="R24" s="27">
        <f>O24-C24</f>
        <v>2133</v>
      </c>
    </row>
    <row r="25" spans="1:32" x14ac:dyDescent="0.35">
      <c r="A25" s="113" t="s">
        <v>15</v>
      </c>
      <c r="B25" s="10" t="s">
        <v>167</v>
      </c>
      <c r="C25" s="15">
        <v>18016</v>
      </c>
      <c r="D25" s="15">
        <v>18390</v>
      </c>
      <c r="E25" s="15">
        <v>18698</v>
      </c>
      <c r="F25" s="15">
        <v>19014</v>
      </c>
      <c r="G25" s="15">
        <v>19279</v>
      </c>
      <c r="H25" s="15">
        <v>19507</v>
      </c>
      <c r="I25" s="15">
        <v>19705</v>
      </c>
      <c r="J25" s="15">
        <v>19931</v>
      </c>
      <c r="K25" s="15">
        <v>20184</v>
      </c>
      <c r="L25" s="15">
        <v>20472</v>
      </c>
      <c r="M25" s="15">
        <v>20801</v>
      </c>
      <c r="N25" s="15">
        <v>21180</v>
      </c>
      <c r="O25" s="15">
        <v>21566</v>
      </c>
      <c r="R25" s="27">
        <f>O25-C25</f>
        <v>3550</v>
      </c>
      <c r="T25" s="1" t="s">
        <v>120</v>
      </c>
      <c r="U25" s="109">
        <f t="shared" ref="U25:AF25" si="19">D26-C26</f>
        <v>0</v>
      </c>
      <c r="V25" s="109">
        <f t="shared" si="19"/>
        <v>0</v>
      </c>
      <c r="W25" s="109">
        <f t="shared" si="19"/>
        <v>0</v>
      </c>
      <c r="X25" s="109">
        <f t="shared" si="19"/>
        <v>8.5660000000000309</v>
      </c>
      <c r="Y25" s="109">
        <f t="shared" si="19"/>
        <v>15.412000000000035</v>
      </c>
      <c r="Z25" s="109">
        <f t="shared" si="19"/>
        <v>24</v>
      </c>
      <c r="AA25" s="109">
        <f t="shared" si="19"/>
        <v>19.966000000000008</v>
      </c>
      <c r="AB25" s="109">
        <f t="shared" si="19"/>
        <v>23.905999999999949</v>
      </c>
      <c r="AC25" s="109">
        <f t="shared" si="19"/>
        <v>10.828999999999951</v>
      </c>
      <c r="AD25" s="109">
        <f t="shared" si="19"/>
        <v>1.1970000000000027</v>
      </c>
      <c r="AE25" s="109">
        <f t="shared" si="19"/>
        <v>1.7730000000000246</v>
      </c>
      <c r="AF25" s="109">
        <f t="shared" si="19"/>
        <v>0</v>
      </c>
    </row>
    <row r="26" spans="1:32" x14ac:dyDescent="0.35">
      <c r="A26" s="113"/>
      <c r="B26" s="28" t="s">
        <v>116</v>
      </c>
      <c r="C26" s="11">
        <v>640.72199999999998</v>
      </c>
      <c r="D26" s="11">
        <v>640.72199999999998</v>
      </c>
      <c r="E26" s="11">
        <v>640.72199999999998</v>
      </c>
      <c r="F26" s="11">
        <v>640.72199999999998</v>
      </c>
      <c r="G26" s="11">
        <v>649.28800000000001</v>
      </c>
      <c r="H26" s="11">
        <v>664.7</v>
      </c>
      <c r="I26" s="11">
        <v>688.7</v>
      </c>
      <c r="J26" s="11">
        <v>708.66600000000005</v>
      </c>
      <c r="K26" s="11">
        <v>732.572</v>
      </c>
      <c r="L26" s="11">
        <v>743.40099999999995</v>
      </c>
      <c r="M26" s="11">
        <v>744.59799999999996</v>
      </c>
      <c r="N26" s="11">
        <v>746.37099999999998</v>
      </c>
      <c r="O26" s="11">
        <v>746.37099999999998</v>
      </c>
      <c r="P26" s="9">
        <f>O26-C26</f>
        <v>105.649</v>
      </c>
      <c r="Q26" s="220">
        <f>ROUND(P26,0)</f>
        <v>106</v>
      </c>
      <c r="R26" s="221" t="s">
        <v>178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ht="15" thickBot="1" x14ac:dyDescent="0.4">
      <c r="A27" s="113"/>
      <c r="B27" s="282" t="s">
        <v>384</v>
      </c>
      <c r="C27" s="18">
        <v>90.7</v>
      </c>
      <c r="D27" s="18">
        <v>170.6</v>
      </c>
      <c r="E27" s="18">
        <v>246.7</v>
      </c>
      <c r="F27" s="18">
        <v>343.2</v>
      </c>
      <c r="G27" s="18">
        <v>438.2</v>
      </c>
      <c r="H27" s="18">
        <v>536</v>
      </c>
      <c r="I27" s="18">
        <v>631.4</v>
      </c>
      <c r="J27" s="18">
        <v>716.7</v>
      </c>
      <c r="K27" s="18">
        <v>820.7</v>
      </c>
      <c r="L27" s="18">
        <v>916.6</v>
      </c>
      <c r="M27" s="18">
        <v>999.8</v>
      </c>
      <c r="N27" s="18">
        <v>1086.3</v>
      </c>
      <c r="O27" s="18">
        <v>1173.0999999999999</v>
      </c>
      <c r="P27" s="9">
        <f t="shared" ref="P27" si="20">O27-C27</f>
        <v>1082.3999999999999</v>
      </c>
      <c r="Q27" s="220">
        <f>P27-Q26</f>
        <v>976.39999999999986</v>
      </c>
      <c r="R27" s="221" t="s">
        <v>179</v>
      </c>
      <c r="U27" s="237">
        <f>(D27-C27)-(D26-C26)</f>
        <v>79.899999999999991</v>
      </c>
      <c r="V27" s="237">
        <f t="shared" ref="V27:AF27" si="21">(E27-D27)-(E26-D26)</f>
        <v>76.099999999999994</v>
      </c>
      <c r="W27" s="237">
        <f t="shared" si="21"/>
        <v>96.5</v>
      </c>
      <c r="X27" s="237">
        <f t="shared" si="21"/>
        <v>86.433999999999969</v>
      </c>
      <c r="Y27" s="237">
        <f t="shared" si="21"/>
        <v>82.387999999999977</v>
      </c>
      <c r="Z27" s="237">
        <f t="shared" si="21"/>
        <v>71.399999999999977</v>
      </c>
      <c r="AA27" s="237">
        <f t="shared" si="21"/>
        <v>65.33400000000006</v>
      </c>
      <c r="AB27" s="237">
        <f t="shared" si="21"/>
        <v>80.094000000000051</v>
      </c>
      <c r="AC27" s="237">
        <f t="shared" si="21"/>
        <v>85.071000000000026</v>
      </c>
      <c r="AD27" s="237">
        <f t="shared" si="21"/>
        <v>82.002999999999929</v>
      </c>
      <c r="AE27" s="237">
        <f t="shared" si="21"/>
        <v>84.726999999999975</v>
      </c>
      <c r="AF27" s="237">
        <f t="shared" si="21"/>
        <v>86.799999999999955</v>
      </c>
    </row>
    <row r="28" spans="1:32" x14ac:dyDescent="0.35">
      <c r="A28" s="113"/>
      <c r="B28" s="10" t="s">
        <v>311</v>
      </c>
      <c r="C28" s="19">
        <v>232.37</v>
      </c>
      <c r="D28" s="19">
        <v>269.02</v>
      </c>
      <c r="E28" s="19">
        <v>301.41000000000003</v>
      </c>
      <c r="F28" s="19">
        <v>320.06</v>
      </c>
      <c r="G28" s="19">
        <v>328.68</v>
      </c>
      <c r="H28" s="19">
        <v>333.18</v>
      </c>
      <c r="I28" s="19">
        <v>336.12</v>
      </c>
      <c r="J28" s="19">
        <v>338.48</v>
      </c>
      <c r="K28" s="19">
        <v>341.59</v>
      </c>
      <c r="L28" s="19">
        <v>345.68</v>
      </c>
      <c r="M28" s="19">
        <v>357.85</v>
      </c>
      <c r="N28" s="19">
        <v>385.18</v>
      </c>
      <c r="O28" s="19">
        <v>416.82</v>
      </c>
      <c r="P28" s="32"/>
      <c r="Q28" s="9">
        <f>(O28-C28)</f>
        <v>184.45</v>
      </c>
      <c r="R28" t="s">
        <v>78</v>
      </c>
      <c r="U28" s="251">
        <f>(D28-C28)</f>
        <v>36.649999999999977</v>
      </c>
      <c r="V28" s="251">
        <f>(E28-D28)</f>
        <v>32.390000000000043</v>
      </c>
      <c r="W28" s="251">
        <f t="shared" ref="W28:AF28" si="22">(F28-E28)</f>
        <v>18.649999999999977</v>
      </c>
      <c r="X28" s="251">
        <f t="shared" si="22"/>
        <v>8.6200000000000045</v>
      </c>
      <c r="Y28" s="251">
        <f t="shared" si="22"/>
        <v>4.5</v>
      </c>
      <c r="Z28" s="251">
        <f t="shared" si="22"/>
        <v>2.9399999999999977</v>
      </c>
      <c r="AA28" s="251">
        <f t="shared" si="22"/>
        <v>2.3600000000000136</v>
      </c>
      <c r="AB28" s="251">
        <f t="shared" si="22"/>
        <v>3.1099999999999568</v>
      </c>
      <c r="AC28" s="251">
        <f t="shared" si="22"/>
        <v>4.0900000000000318</v>
      </c>
      <c r="AD28" s="251">
        <f t="shared" si="22"/>
        <v>12.170000000000016</v>
      </c>
      <c r="AE28" s="251">
        <f t="shared" si="22"/>
        <v>27.329999999999984</v>
      </c>
      <c r="AF28" s="251">
        <f t="shared" si="22"/>
        <v>31.639999999999986</v>
      </c>
    </row>
    <row r="29" spans="1:32" ht="15" thickBot="1" x14ac:dyDescent="0.4">
      <c r="A29" s="4"/>
      <c r="B29" s="26" t="s">
        <v>28</v>
      </c>
      <c r="C29" s="29">
        <v>1649</v>
      </c>
      <c r="D29" s="29">
        <v>1880</v>
      </c>
      <c r="E29" s="29">
        <v>2097</v>
      </c>
      <c r="F29" s="29">
        <v>2233</v>
      </c>
      <c r="G29" s="29">
        <v>2297</v>
      </c>
      <c r="H29" s="29">
        <v>2330</v>
      </c>
      <c r="I29" s="29">
        <v>2352</v>
      </c>
      <c r="J29" s="29">
        <v>2374</v>
      </c>
      <c r="K29" s="29">
        <v>2397</v>
      </c>
      <c r="L29" s="29">
        <v>2429</v>
      </c>
      <c r="M29" s="29">
        <v>2530</v>
      </c>
      <c r="N29" s="29">
        <v>2702</v>
      </c>
      <c r="O29" s="29">
        <v>2894</v>
      </c>
      <c r="Q29" s="16">
        <f>O29-C29</f>
        <v>1245</v>
      </c>
      <c r="R29" t="s">
        <v>79</v>
      </c>
    </row>
    <row r="30" spans="1:32" ht="15" thickBot="1" x14ac:dyDescent="0.4">
      <c r="A30" s="114" t="str">
        <f>'1850'!A29</f>
        <v>fakturační vodoměr č.         63796</v>
      </c>
      <c r="B30" s="22"/>
      <c r="C30" s="23">
        <f>'1850'!C29</f>
        <v>28101</v>
      </c>
      <c r="D30" s="23">
        <f>'1850'!D29</f>
        <v>28433.599999999999</v>
      </c>
      <c r="E30" s="23">
        <f>'1850'!E29</f>
        <v>28750.9</v>
      </c>
      <c r="F30" s="23">
        <f>'1850'!F29</f>
        <v>29123.3</v>
      </c>
      <c r="G30" s="23">
        <f>'1850'!G29</f>
        <v>29498.799999999999</v>
      </c>
      <c r="H30" s="23">
        <f>'1850'!H29</f>
        <v>29863</v>
      </c>
      <c r="I30" s="23">
        <f>'1850'!I29</f>
        <v>30199</v>
      </c>
      <c r="J30" s="23">
        <f>'1850'!J29</f>
        <v>30525.8</v>
      </c>
      <c r="K30" s="23">
        <f>'1850'!K29</f>
        <v>30885.599999999999</v>
      </c>
      <c r="L30" s="23">
        <f>'1850'!L29</f>
        <v>31236.6</v>
      </c>
      <c r="M30" s="23">
        <f>'1850'!M29</f>
        <v>31568.3</v>
      </c>
      <c r="N30" s="23">
        <f>'1850'!N29</f>
        <v>31933</v>
      </c>
      <c r="O30" s="23">
        <f>'1850'!O29</f>
        <v>65454</v>
      </c>
      <c r="P30" s="9">
        <f>O30-C30</f>
        <v>37353</v>
      </c>
      <c r="AD30" s="9"/>
    </row>
    <row r="31" spans="1:32" ht="15" thickBot="1" x14ac:dyDescent="0.4">
      <c r="B31" s="30"/>
    </row>
    <row r="32" spans="1:32" x14ac:dyDescent="0.35">
      <c r="A32" s="317">
        <v>11</v>
      </c>
      <c r="B32" s="161" t="s">
        <v>125</v>
      </c>
      <c r="C32" s="162">
        <v>23.853000000000002</v>
      </c>
      <c r="D32" s="162">
        <v>24.085000000000001</v>
      </c>
      <c r="E32" s="162">
        <v>24.312000000000001</v>
      </c>
      <c r="F32" s="162">
        <v>24.582000000000001</v>
      </c>
      <c r="G32" s="162">
        <v>24.827999999999999</v>
      </c>
      <c r="H32" s="162">
        <v>25.099</v>
      </c>
      <c r="I32" s="162">
        <v>25.411000000000001</v>
      </c>
      <c r="J32" s="162">
        <v>25.626000000000001</v>
      </c>
      <c r="K32" s="162">
        <v>25.792999999999999</v>
      </c>
      <c r="L32" s="162">
        <v>25.992999999999999</v>
      </c>
      <c r="M32" s="162">
        <v>26.359000000000002</v>
      </c>
      <c r="N32" s="162">
        <v>26.628</v>
      </c>
      <c r="O32" s="163">
        <v>26.83</v>
      </c>
      <c r="P32" s="9">
        <f>O32-C32</f>
        <v>2.9769999999999968</v>
      </c>
      <c r="S32" t="s">
        <v>115</v>
      </c>
      <c r="T32" s="319">
        <v>11</v>
      </c>
      <c r="U32" s="109">
        <f t="shared" ref="U32:AF32" si="23">D32-C32</f>
        <v>0.23199999999999932</v>
      </c>
      <c r="V32" s="109">
        <f t="shared" si="23"/>
        <v>0.22700000000000031</v>
      </c>
      <c r="W32" s="109">
        <f t="shared" si="23"/>
        <v>0.26999999999999957</v>
      </c>
      <c r="X32" s="109">
        <f t="shared" si="23"/>
        <v>0.24599999999999866</v>
      </c>
      <c r="Y32" s="109">
        <f t="shared" si="23"/>
        <v>0.2710000000000008</v>
      </c>
      <c r="Z32" s="109">
        <f t="shared" si="23"/>
        <v>0.31200000000000117</v>
      </c>
      <c r="AA32" s="109">
        <f t="shared" si="23"/>
        <v>0.21499999999999986</v>
      </c>
      <c r="AB32" s="109">
        <f t="shared" si="23"/>
        <v>0.16699999999999804</v>
      </c>
      <c r="AC32" s="109">
        <f t="shared" si="23"/>
        <v>0.19999999999999929</v>
      </c>
      <c r="AD32" s="109">
        <f t="shared" si="23"/>
        <v>0.36600000000000321</v>
      </c>
      <c r="AE32" s="109">
        <f t="shared" si="23"/>
        <v>0.26899999999999835</v>
      </c>
      <c r="AF32" s="109">
        <f t="shared" si="23"/>
        <v>0.20199999999999818</v>
      </c>
    </row>
    <row r="33" spans="1:32" ht="15" thickBot="1" x14ac:dyDescent="0.4">
      <c r="A33" s="318"/>
      <c r="B33" s="164" t="s">
        <v>126</v>
      </c>
      <c r="C33" s="165">
        <v>1.05</v>
      </c>
      <c r="D33" s="165">
        <v>1.05</v>
      </c>
      <c r="E33" s="165">
        <v>1.05</v>
      </c>
      <c r="F33" s="165">
        <v>1.05</v>
      </c>
      <c r="G33" s="165">
        <v>1.0509999999999999</v>
      </c>
      <c r="H33" s="165">
        <v>1.0580000000000001</v>
      </c>
      <c r="I33" s="165">
        <v>1.0629999999999999</v>
      </c>
      <c r="J33" s="165">
        <v>1.0640000000000001</v>
      </c>
      <c r="K33" s="165">
        <v>1.0660000000000001</v>
      </c>
      <c r="L33" s="165">
        <v>1.0680000000000001</v>
      </c>
      <c r="M33" s="165">
        <v>1.073</v>
      </c>
      <c r="N33" s="165">
        <v>1.0740000000000001</v>
      </c>
      <c r="O33" s="166">
        <v>1.0740000000000001</v>
      </c>
      <c r="P33" s="9">
        <f>O33-C33</f>
        <v>2.4000000000000021E-2</v>
      </c>
      <c r="S33" t="s">
        <v>109</v>
      </c>
      <c r="T33" s="319"/>
      <c r="U33" s="109">
        <f t="shared" ref="U33:AF33" si="24">D33-C33</f>
        <v>0</v>
      </c>
      <c r="V33" s="109">
        <f t="shared" si="24"/>
        <v>0</v>
      </c>
      <c r="W33" s="109">
        <f t="shared" si="24"/>
        <v>0</v>
      </c>
      <c r="X33" s="109">
        <f t="shared" si="24"/>
        <v>9.9999999999988987E-4</v>
      </c>
      <c r="Y33" s="109">
        <f t="shared" si="24"/>
        <v>7.0000000000001172E-3</v>
      </c>
      <c r="Z33" s="109">
        <f t="shared" si="24"/>
        <v>4.9999999999998934E-3</v>
      </c>
      <c r="AA33" s="109">
        <f t="shared" si="24"/>
        <v>1.0000000000001119E-3</v>
      </c>
      <c r="AB33" s="109">
        <f t="shared" si="24"/>
        <v>2.0000000000000018E-3</v>
      </c>
      <c r="AC33" s="109">
        <f t="shared" si="24"/>
        <v>2.0000000000000018E-3</v>
      </c>
      <c r="AD33" s="109">
        <f t="shared" si="24"/>
        <v>4.9999999999998934E-3</v>
      </c>
      <c r="AE33" s="109">
        <f t="shared" si="24"/>
        <v>1.0000000000001119E-3</v>
      </c>
      <c r="AF33" s="109">
        <f t="shared" si="24"/>
        <v>0</v>
      </c>
    </row>
    <row r="34" spans="1:32" x14ac:dyDescent="0.35">
      <c r="K34" s="122"/>
    </row>
    <row r="35" spans="1:32" x14ac:dyDescent="0.35">
      <c r="A35" s="1"/>
      <c r="D35" t="s">
        <v>129</v>
      </c>
      <c r="K35" s="122"/>
    </row>
    <row r="36" spans="1:32" x14ac:dyDescent="0.35">
      <c r="A36" s="1"/>
      <c r="D36" s="306">
        <v>43956</v>
      </c>
      <c r="E36" s="84" t="s">
        <v>117</v>
      </c>
      <c r="F36" s="309"/>
      <c r="G36" s="309"/>
      <c r="H36" s="106"/>
      <c r="O36" s="104" t="s">
        <v>261</v>
      </c>
      <c r="P36" s="9">
        <f>P8-P32-P33</f>
        <v>90.996000000000009</v>
      </c>
    </row>
    <row r="37" spans="1:32" x14ac:dyDescent="0.35">
      <c r="A37" s="1"/>
      <c r="D37" s="306"/>
      <c r="E37" s="84" t="s">
        <v>118</v>
      </c>
      <c r="F37" s="309"/>
      <c r="G37" s="309"/>
      <c r="H37" s="106"/>
      <c r="M37" s="235"/>
      <c r="N37" s="235"/>
      <c r="O37" s="236" t="s">
        <v>262</v>
      </c>
      <c r="P37" s="97">
        <f>P32+P33</f>
        <v>3.0009999999999968</v>
      </c>
    </row>
    <row r="38" spans="1:32" x14ac:dyDescent="0.35">
      <c r="A38" s="1"/>
      <c r="D38" t="s">
        <v>128</v>
      </c>
      <c r="O38" t="s">
        <v>263</v>
      </c>
      <c r="P38" s="9">
        <f>SUM(P36:P37)</f>
        <v>93.997</v>
      </c>
    </row>
    <row r="39" spans="1:32" x14ac:dyDescent="0.35">
      <c r="A39" s="1"/>
      <c r="D39" s="306">
        <v>43956</v>
      </c>
      <c r="E39" s="84" t="s">
        <v>117</v>
      </c>
      <c r="F39" s="309"/>
      <c r="G39" s="309"/>
      <c r="H39" s="106"/>
    </row>
    <row r="40" spans="1:32" x14ac:dyDescent="0.35">
      <c r="A40" s="1"/>
      <c r="D40" s="306"/>
      <c r="E40" s="84" t="s">
        <v>118</v>
      </c>
      <c r="F40" s="309"/>
      <c r="G40" s="309"/>
      <c r="H40" s="106"/>
      <c r="J40" s="254" t="s">
        <v>297</v>
      </c>
      <c r="K40" s="225"/>
      <c r="L40" s="225"/>
      <c r="M40" s="225"/>
      <c r="N40" s="224" t="s">
        <v>182</v>
      </c>
      <c r="O40" s="255">
        <v>234.86</v>
      </c>
      <c r="P40" s="225" t="s">
        <v>131</v>
      </c>
    </row>
    <row r="41" spans="1:32" x14ac:dyDescent="0.35">
      <c r="J41" s="254" t="s">
        <v>298</v>
      </c>
      <c r="K41" s="225"/>
      <c r="L41" s="225"/>
      <c r="M41" s="225"/>
      <c r="N41" s="224" t="s">
        <v>182</v>
      </c>
      <c r="O41" s="255">
        <v>0</v>
      </c>
      <c r="P41" s="254" t="s">
        <v>78</v>
      </c>
    </row>
    <row r="42" spans="1:32" x14ac:dyDescent="0.35">
      <c r="D42" t="s">
        <v>318</v>
      </c>
      <c r="G42" s="262" t="s">
        <v>319</v>
      </c>
    </row>
    <row r="43" spans="1:32" x14ac:dyDescent="0.35">
      <c r="D43" s="306">
        <v>43874</v>
      </c>
      <c r="E43" s="84" t="s">
        <v>117</v>
      </c>
      <c r="F43" s="309">
        <v>10282180</v>
      </c>
      <c r="G43" s="309"/>
      <c r="H43" s="106">
        <v>655.34799999999996</v>
      </c>
    </row>
    <row r="44" spans="1:32" x14ac:dyDescent="0.35">
      <c r="D44" s="306"/>
      <c r="E44" s="84" t="s">
        <v>118</v>
      </c>
      <c r="F44" s="309">
        <v>200076532</v>
      </c>
      <c r="G44" s="309"/>
      <c r="H44" s="106">
        <v>0</v>
      </c>
    </row>
    <row r="46" spans="1:32" x14ac:dyDescent="0.35">
      <c r="D46" t="s">
        <v>433</v>
      </c>
    </row>
    <row r="47" spans="1:32" x14ac:dyDescent="0.35">
      <c r="D47" s="279">
        <v>45607</v>
      </c>
      <c r="E47" s="320">
        <v>2080200100</v>
      </c>
      <c r="F47" s="321"/>
      <c r="G47" s="106">
        <v>17365</v>
      </c>
      <c r="H47" t="s">
        <v>110</v>
      </c>
    </row>
    <row r="48" spans="1:32" x14ac:dyDescent="0.35">
      <c r="D48" s="279">
        <v>45973</v>
      </c>
      <c r="E48" s="309">
        <v>2080200100</v>
      </c>
      <c r="F48" s="309"/>
      <c r="G48" s="106">
        <v>20943</v>
      </c>
      <c r="H48" t="s">
        <v>110</v>
      </c>
    </row>
    <row r="49" spans="6:8" x14ac:dyDescent="0.35">
      <c r="F49" t="s">
        <v>187</v>
      </c>
      <c r="G49">
        <f>G48-G47</f>
        <v>3578</v>
      </c>
      <c r="H49" t="s">
        <v>110</v>
      </c>
    </row>
  </sheetData>
  <sheetProtection selectLockedCells="1" selectUnlockedCells="1"/>
  <mergeCells count="23">
    <mergeCell ref="E47:F47"/>
    <mergeCell ref="E48:F48"/>
    <mergeCell ref="A16:A17"/>
    <mergeCell ref="A18:A19"/>
    <mergeCell ref="A20:A21"/>
    <mergeCell ref="A22:A23"/>
    <mergeCell ref="D43:D44"/>
    <mergeCell ref="F43:G43"/>
    <mergeCell ref="F44:G44"/>
    <mergeCell ref="D39:D40"/>
    <mergeCell ref="F39:G39"/>
    <mergeCell ref="F40:G40"/>
    <mergeCell ref="A4:A5"/>
    <mergeCell ref="A6:A7"/>
    <mergeCell ref="A8:A9"/>
    <mergeCell ref="A10:A11"/>
    <mergeCell ref="A12:A13"/>
    <mergeCell ref="A14:A15"/>
    <mergeCell ref="A32:A33"/>
    <mergeCell ref="T32:T33"/>
    <mergeCell ref="D36:D37"/>
    <mergeCell ref="F36:G36"/>
    <mergeCell ref="F37:G37"/>
  </mergeCells>
  <conditionalFormatting sqref="D4">
    <cfRule type="cellIs" dxfId="3073" priority="123" stopIfTrue="1" operator="lessThan">
      <formula>$C$4</formula>
    </cfRule>
    <cfRule type="cellIs" dxfId="3072" priority="124" stopIfTrue="1" operator="equal">
      <formula>$C$4</formula>
    </cfRule>
  </conditionalFormatting>
  <conditionalFormatting sqref="D5">
    <cfRule type="cellIs" dxfId="3071" priority="127" stopIfTrue="1" operator="equal">
      <formula>$C$5</formula>
    </cfRule>
    <cfRule type="cellIs" dxfId="3070" priority="128" stopIfTrue="1" operator="lessThan">
      <formula>$C$5</formula>
    </cfRule>
  </conditionalFormatting>
  <conditionalFormatting sqref="D6">
    <cfRule type="cellIs" dxfId="3069" priority="134" stopIfTrue="1" operator="equal">
      <formula>$C$6</formula>
    </cfRule>
    <cfRule type="cellIs" dxfId="3068" priority="135" stopIfTrue="1" operator="lessThan">
      <formula>$C$6</formula>
    </cfRule>
  </conditionalFormatting>
  <conditionalFormatting sqref="D7">
    <cfRule type="cellIs" dxfId="3067" priority="148" stopIfTrue="1" operator="equal">
      <formula>$C$7</formula>
    </cfRule>
    <cfRule type="cellIs" dxfId="3066" priority="149" stopIfTrue="1" operator="lessThan">
      <formula>$C$7</formula>
    </cfRule>
  </conditionalFormatting>
  <conditionalFormatting sqref="D8">
    <cfRule type="cellIs" dxfId="3065" priority="160" stopIfTrue="1" operator="equal">
      <formula>$C$8</formula>
    </cfRule>
    <cfRule type="cellIs" dxfId="3064" priority="161" stopIfTrue="1" operator="lessThan">
      <formula>$C$8</formula>
    </cfRule>
  </conditionalFormatting>
  <conditionalFormatting sqref="D9">
    <cfRule type="cellIs" dxfId="3063" priority="174" stopIfTrue="1" operator="equal">
      <formula>$C$9</formula>
    </cfRule>
    <cfRule type="cellIs" dxfId="3062" priority="175" stopIfTrue="1" operator="lessThan">
      <formula>$C$9</formula>
    </cfRule>
  </conditionalFormatting>
  <conditionalFormatting sqref="D10">
    <cfRule type="cellIs" dxfId="3061" priority="188" stopIfTrue="1" operator="equal">
      <formula>$C$10</formula>
    </cfRule>
    <cfRule type="cellIs" dxfId="3060" priority="189" stopIfTrue="1" operator="lessThan">
      <formula>$C$10</formula>
    </cfRule>
  </conditionalFormatting>
  <conditionalFormatting sqref="D11">
    <cfRule type="cellIs" dxfId="3059" priority="202" stopIfTrue="1" operator="equal">
      <formula>$C$11</formula>
    </cfRule>
    <cfRule type="cellIs" dxfId="3058" priority="203" stopIfTrue="1" operator="lessThan">
      <formula>$C$11</formula>
    </cfRule>
  </conditionalFormatting>
  <conditionalFormatting sqref="D12">
    <cfRule type="cellIs" dxfId="3057" priority="216" stopIfTrue="1" operator="equal">
      <formula>$C$12</formula>
    </cfRule>
    <cfRule type="cellIs" dxfId="3056" priority="217" stopIfTrue="1" operator="lessThan">
      <formula>$C$12</formula>
    </cfRule>
  </conditionalFormatting>
  <conditionalFormatting sqref="D13">
    <cfRule type="cellIs" dxfId="3055" priority="348" stopIfTrue="1" operator="equal">
      <formula>$C$13</formula>
    </cfRule>
    <cfRule type="cellIs" dxfId="3054" priority="349" stopIfTrue="1" operator="lessThan">
      <formula>$C$13</formula>
    </cfRule>
  </conditionalFormatting>
  <conditionalFormatting sqref="D14">
    <cfRule type="cellIs" dxfId="3053" priority="230" stopIfTrue="1" operator="equal">
      <formula>$C$14</formula>
    </cfRule>
    <cfRule type="cellIs" dxfId="3052" priority="231" stopIfTrue="1" operator="lessThan">
      <formula>$C$14</formula>
    </cfRule>
  </conditionalFormatting>
  <conditionalFormatting sqref="D15">
    <cfRule type="cellIs" dxfId="3051" priority="232" stopIfTrue="1" operator="equal">
      <formula>$C$15</formula>
    </cfRule>
    <cfRule type="cellIs" dxfId="3050" priority="233" stopIfTrue="1" operator="lessThan">
      <formula>$C$15</formula>
    </cfRule>
  </conditionalFormatting>
  <conditionalFormatting sqref="D16">
    <cfRule type="cellIs" dxfId="3049" priority="234" stopIfTrue="1" operator="equal">
      <formula>$C$16</formula>
    </cfRule>
    <cfRule type="cellIs" dxfId="3048" priority="235" stopIfTrue="1" operator="lessThan">
      <formula>$C$16</formula>
    </cfRule>
  </conditionalFormatting>
  <conditionalFormatting sqref="D17">
    <cfRule type="cellIs" dxfId="3047" priority="236" stopIfTrue="1" operator="equal">
      <formula>$C$17</formula>
    </cfRule>
    <cfRule type="cellIs" dxfId="3046" priority="237" stopIfTrue="1" operator="lessThan">
      <formula>$C$17</formula>
    </cfRule>
  </conditionalFormatting>
  <conditionalFormatting sqref="D18">
    <cfRule type="cellIs" dxfId="3045" priority="238" stopIfTrue="1" operator="equal">
      <formula>$C$18</formula>
    </cfRule>
    <cfRule type="cellIs" dxfId="3044" priority="239" stopIfTrue="1" operator="lessThan">
      <formula>$C$18</formula>
    </cfRule>
  </conditionalFormatting>
  <conditionalFormatting sqref="D19">
    <cfRule type="cellIs" dxfId="3043" priority="240" stopIfTrue="1" operator="equal">
      <formula>$C$19</formula>
    </cfRule>
    <cfRule type="cellIs" dxfId="3042" priority="241" stopIfTrue="1" operator="lessThan">
      <formula>$C$19</formula>
    </cfRule>
  </conditionalFormatting>
  <conditionalFormatting sqref="D20">
    <cfRule type="cellIs" dxfId="3041" priority="242" stopIfTrue="1" operator="equal">
      <formula>$C$20</formula>
    </cfRule>
    <cfRule type="cellIs" dxfId="3040" priority="243" stopIfTrue="1" operator="lessThan">
      <formula>$C$20</formula>
    </cfRule>
  </conditionalFormatting>
  <conditionalFormatting sqref="D21">
    <cfRule type="cellIs" dxfId="3039" priority="244" stopIfTrue="1" operator="equal">
      <formula>$C$21</formula>
    </cfRule>
    <cfRule type="cellIs" dxfId="3038" priority="245" stopIfTrue="1" operator="lessThan">
      <formula>$C$21</formula>
    </cfRule>
  </conditionalFormatting>
  <conditionalFormatting sqref="D22">
    <cfRule type="cellIs" dxfId="3037" priority="246" stopIfTrue="1" operator="equal">
      <formula>$C$22</formula>
    </cfRule>
    <cfRule type="cellIs" dxfId="3036" priority="247" stopIfTrue="1" operator="lessThan">
      <formula>$C$22</formula>
    </cfRule>
  </conditionalFormatting>
  <conditionalFormatting sqref="D23">
    <cfRule type="cellIs" dxfId="3035" priority="248" stopIfTrue="1" operator="equal">
      <formula>$C$23</formula>
    </cfRule>
    <cfRule type="cellIs" dxfId="3034" priority="249" stopIfTrue="1" operator="lessThan">
      <formula>$C$23</formula>
    </cfRule>
  </conditionalFormatting>
  <conditionalFormatting sqref="D24">
    <cfRule type="cellIs" dxfId="3033" priority="380" stopIfTrue="1" operator="equal">
      <formula>$C$24</formula>
    </cfRule>
    <cfRule type="cellIs" dxfId="3032" priority="381" stopIfTrue="1" operator="lessThan">
      <formula>$C$24</formula>
    </cfRule>
  </conditionalFormatting>
  <conditionalFormatting sqref="D25">
    <cfRule type="cellIs" dxfId="3031" priority="250" stopIfTrue="1" operator="equal">
      <formula>$C$25</formula>
    </cfRule>
    <cfRule type="cellIs" dxfId="3030" priority="251" stopIfTrue="1" operator="lessThan">
      <formula>$C$25</formula>
    </cfRule>
  </conditionalFormatting>
  <conditionalFormatting sqref="D26">
    <cfRule type="cellIs" dxfId="3029" priority="252" stopIfTrue="1" operator="equal">
      <formula>$C$26</formula>
    </cfRule>
    <cfRule type="cellIs" dxfId="3028" priority="253" stopIfTrue="1" operator="lessThan">
      <formula>$C$26</formula>
    </cfRule>
  </conditionalFormatting>
  <conditionalFormatting sqref="D27">
    <cfRule type="cellIs" dxfId="3027" priority="254" stopIfTrue="1" operator="equal">
      <formula>$C$27</formula>
    </cfRule>
    <cfRule type="cellIs" dxfId="3026" priority="255" stopIfTrue="1" operator="lessThan">
      <formula>$C$27</formula>
    </cfRule>
  </conditionalFormatting>
  <conditionalFormatting sqref="D28">
    <cfRule type="cellIs" dxfId="3025" priority="256" stopIfTrue="1" operator="equal">
      <formula>$C$28</formula>
    </cfRule>
    <cfRule type="cellIs" dxfId="3024" priority="257" stopIfTrue="1" operator="lessThan">
      <formula>$C$28</formula>
    </cfRule>
  </conditionalFormatting>
  <conditionalFormatting sqref="D29">
    <cfRule type="cellIs" dxfId="3023" priority="104" stopIfTrue="1" operator="lessThan">
      <formula>$C$29</formula>
    </cfRule>
    <cfRule type="cellIs" dxfId="3022" priority="105" stopIfTrue="1" operator="equal">
      <formula>$C$29</formula>
    </cfRule>
  </conditionalFormatting>
  <conditionalFormatting sqref="E4">
    <cfRule type="cellIs" dxfId="3021" priority="125" stopIfTrue="1" operator="equal">
      <formula>$D$4</formula>
    </cfRule>
    <cfRule type="cellIs" dxfId="3020" priority="126" stopIfTrue="1" operator="lessThan">
      <formula>$D$4</formula>
    </cfRule>
  </conditionalFormatting>
  <conditionalFormatting sqref="E5">
    <cfRule type="cellIs" dxfId="3019" priority="390" stopIfTrue="1" operator="equal">
      <formula>$D$5</formula>
    </cfRule>
    <cfRule type="cellIs" dxfId="3018" priority="391" stopIfTrue="1" operator="lessThan">
      <formula>$D$5</formula>
    </cfRule>
  </conditionalFormatting>
  <conditionalFormatting sqref="E6">
    <cfRule type="cellIs" dxfId="3017" priority="136" stopIfTrue="1" operator="equal">
      <formula>$D$6</formula>
    </cfRule>
    <cfRule type="cellIs" dxfId="3016" priority="137" stopIfTrue="1" operator="lessThan">
      <formula>$D$6</formula>
    </cfRule>
  </conditionalFormatting>
  <conditionalFormatting sqref="E7">
    <cfRule type="cellIs" dxfId="3015" priority="150" stopIfTrue="1" operator="equal">
      <formula>$D$7</formula>
    </cfRule>
    <cfRule type="cellIs" dxfId="3014" priority="151" stopIfTrue="1" operator="lessThan">
      <formula>$D$7</formula>
    </cfRule>
  </conditionalFormatting>
  <conditionalFormatting sqref="E8">
    <cfRule type="cellIs" dxfId="3013" priority="162" stopIfTrue="1" operator="equal">
      <formula>$D$8</formula>
    </cfRule>
    <cfRule type="cellIs" dxfId="3012" priority="163" stopIfTrue="1" operator="lessThan">
      <formula>$D$8</formula>
    </cfRule>
  </conditionalFormatting>
  <conditionalFormatting sqref="E9">
    <cfRule type="cellIs" dxfId="3011" priority="176" stopIfTrue="1" operator="equal">
      <formula>$D$9</formula>
    </cfRule>
    <cfRule type="cellIs" dxfId="3010" priority="177" stopIfTrue="1" operator="lessThan">
      <formula>$D$9</formula>
    </cfRule>
  </conditionalFormatting>
  <conditionalFormatting sqref="E10">
    <cfRule type="cellIs" dxfId="3009" priority="190" stopIfTrue="1" operator="equal">
      <formula>$D$10</formula>
    </cfRule>
    <cfRule type="cellIs" dxfId="3008" priority="191" stopIfTrue="1" operator="lessThan">
      <formula>$D$10</formula>
    </cfRule>
  </conditionalFormatting>
  <conditionalFormatting sqref="E11">
    <cfRule type="cellIs" dxfId="3007" priority="204" stopIfTrue="1" operator="equal">
      <formula>$D$11</formula>
    </cfRule>
    <cfRule type="cellIs" dxfId="3006" priority="205" stopIfTrue="1" operator="lessThan">
      <formula>$D$11</formula>
    </cfRule>
  </conditionalFormatting>
  <conditionalFormatting sqref="E12">
    <cfRule type="cellIs" dxfId="3005" priority="218" stopIfTrue="1" operator="equal">
      <formula>$D$12</formula>
    </cfRule>
    <cfRule type="cellIs" dxfId="3004" priority="219" stopIfTrue="1" operator="lessThan">
      <formula>$D$12</formula>
    </cfRule>
  </conditionalFormatting>
  <conditionalFormatting sqref="E13">
    <cfRule type="cellIs" dxfId="3003" priority="258" stopIfTrue="1" operator="equal">
      <formula>$D$13</formula>
    </cfRule>
    <cfRule type="cellIs" dxfId="3002" priority="259" stopIfTrue="1" operator="lessThan">
      <formula>$D$13</formula>
    </cfRule>
  </conditionalFormatting>
  <conditionalFormatting sqref="E14">
    <cfRule type="cellIs" dxfId="3001" priority="260" stopIfTrue="1" operator="equal">
      <formula>$D$14</formula>
    </cfRule>
    <cfRule type="cellIs" dxfId="3000" priority="261" stopIfTrue="1" operator="lessThan">
      <formula>$D$14</formula>
    </cfRule>
  </conditionalFormatting>
  <conditionalFormatting sqref="E15">
    <cfRule type="cellIs" dxfId="2999" priority="262" stopIfTrue="1" operator="equal">
      <formula>$D$15</formula>
    </cfRule>
    <cfRule type="cellIs" dxfId="2998" priority="263" stopIfTrue="1" operator="lessThan">
      <formula>$D$15</formula>
    </cfRule>
  </conditionalFormatting>
  <conditionalFormatting sqref="E16">
    <cfRule type="cellIs" dxfId="2997" priority="264" stopIfTrue="1" operator="equal">
      <formula>$D$16</formula>
    </cfRule>
    <cfRule type="cellIs" dxfId="2996" priority="265" stopIfTrue="1" operator="lessThan">
      <formula>$D$16</formula>
    </cfRule>
  </conditionalFormatting>
  <conditionalFormatting sqref="E17">
    <cfRule type="cellIs" dxfId="2995" priority="266" stopIfTrue="1" operator="equal">
      <formula>$D$17</formula>
    </cfRule>
    <cfRule type="cellIs" dxfId="2994" priority="267" stopIfTrue="1" operator="lessThan">
      <formula>$D$17</formula>
    </cfRule>
  </conditionalFormatting>
  <conditionalFormatting sqref="E18">
    <cfRule type="cellIs" dxfId="2993" priority="268" stopIfTrue="1" operator="equal">
      <formula>$D$18</formula>
    </cfRule>
    <cfRule type="cellIs" dxfId="2992" priority="269" stopIfTrue="1" operator="lessThan">
      <formula>$D$18</formula>
    </cfRule>
  </conditionalFormatting>
  <conditionalFormatting sqref="E19">
    <cfRule type="cellIs" dxfId="2991" priority="270" stopIfTrue="1" operator="equal">
      <formula>$D$19</formula>
    </cfRule>
    <cfRule type="cellIs" dxfId="2990" priority="271" stopIfTrue="1" operator="lessThan">
      <formula>$D$19</formula>
    </cfRule>
  </conditionalFormatting>
  <conditionalFormatting sqref="E20">
    <cfRule type="cellIs" dxfId="2989" priority="272" stopIfTrue="1" operator="equal">
      <formula>$D$20</formula>
    </cfRule>
    <cfRule type="cellIs" dxfId="2988" priority="273" stopIfTrue="1" operator="lessThan">
      <formula>$D$20</formula>
    </cfRule>
  </conditionalFormatting>
  <conditionalFormatting sqref="E21">
    <cfRule type="cellIs" dxfId="2987" priority="274" stopIfTrue="1" operator="equal">
      <formula>$D$21</formula>
    </cfRule>
    <cfRule type="cellIs" dxfId="2986" priority="275" stopIfTrue="1" operator="lessThan">
      <formula>$D$21</formula>
    </cfRule>
  </conditionalFormatting>
  <conditionalFormatting sqref="E22">
    <cfRule type="cellIs" dxfId="2985" priority="276" stopIfTrue="1" operator="equal">
      <formula>$D$22</formula>
    </cfRule>
    <cfRule type="cellIs" dxfId="2984" priority="277" stopIfTrue="1" operator="lessThan">
      <formula>$D$22</formula>
    </cfRule>
  </conditionalFormatting>
  <conditionalFormatting sqref="E23">
    <cfRule type="cellIs" dxfId="2983" priority="278" stopIfTrue="1" operator="equal">
      <formula>$D$23</formula>
    </cfRule>
    <cfRule type="cellIs" dxfId="2982" priority="279" stopIfTrue="1" operator="lessThan">
      <formula>$D$23</formula>
    </cfRule>
  </conditionalFormatting>
  <conditionalFormatting sqref="E24">
    <cfRule type="cellIs" dxfId="2981" priority="382" stopIfTrue="1" operator="equal">
      <formula>$D$24</formula>
    </cfRule>
    <cfRule type="cellIs" dxfId="2980" priority="383" stopIfTrue="1" operator="lessThan">
      <formula>$D$24</formula>
    </cfRule>
  </conditionalFormatting>
  <conditionalFormatting sqref="E25">
    <cfRule type="cellIs" dxfId="2979" priority="280" stopIfTrue="1" operator="equal">
      <formula>$D$25</formula>
    </cfRule>
    <cfRule type="cellIs" dxfId="2978" priority="281" stopIfTrue="1" operator="lessThan">
      <formula>$D$25</formula>
    </cfRule>
  </conditionalFormatting>
  <conditionalFormatting sqref="E26">
    <cfRule type="cellIs" dxfId="2977" priority="282" stopIfTrue="1" operator="equal">
      <formula>$D$26</formula>
    </cfRule>
    <cfRule type="cellIs" dxfId="2976" priority="283" stopIfTrue="1" operator="lessThan">
      <formula>$D$26</formula>
    </cfRule>
  </conditionalFormatting>
  <conditionalFormatting sqref="E27">
    <cfRule type="cellIs" dxfId="2975" priority="284" stopIfTrue="1" operator="equal">
      <formula>$D$27</formula>
    </cfRule>
    <cfRule type="cellIs" dxfId="2974" priority="285" stopIfTrue="1" operator="lessThan">
      <formula>$D$27</formula>
    </cfRule>
  </conditionalFormatting>
  <conditionalFormatting sqref="E28">
    <cfRule type="cellIs" dxfId="2973" priority="286" stopIfTrue="1" operator="equal">
      <formula>$D$28</formula>
    </cfRule>
    <cfRule type="cellIs" dxfId="2972" priority="287" stopIfTrue="1" operator="lessThan">
      <formula>$D$28</formula>
    </cfRule>
  </conditionalFormatting>
  <conditionalFormatting sqref="E29">
    <cfRule type="cellIs" dxfId="2971" priority="102" stopIfTrue="1" operator="lessThan">
      <formula>$D$29</formula>
    </cfRule>
    <cfRule type="cellIs" dxfId="2970" priority="103" stopIfTrue="1" operator="equal">
      <formula>$D$29</formula>
    </cfRule>
  </conditionalFormatting>
  <conditionalFormatting sqref="F4">
    <cfRule type="cellIs" dxfId="2969" priority="121" stopIfTrue="1" operator="equal">
      <formula>$E$4</formula>
    </cfRule>
    <cfRule type="cellIs" dxfId="2968" priority="122" stopIfTrue="1" operator="lessThan">
      <formula>$E$4</formula>
    </cfRule>
  </conditionalFormatting>
  <conditionalFormatting sqref="F5">
    <cfRule type="cellIs" dxfId="2967" priority="129" stopIfTrue="1" operator="equal">
      <formula>$E$5</formula>
    </cfRule>
    <cfRule type="cellIs" dxfId="2966" priority="130" stopIfTrue="1" operator="lessThan">
      <formula>$E$5</formula>
    </cfRule>
  </conditionalFormatting>
  <conditionalFormatting sqref="F6">
    <cfRule type="cellIs" dxfId="2965" priority="138" stopIfTrue="1" operator="equal">
      <formula>$E$6</formula>
    </cfRule>
    <cfRule type="cellIs" dxfId="2964" priority="139" stopIfTrue="1" operator="lessThan">
      <formula>$E$6</formula>
    </cfRule>
  </conditionalFormatting>
  <conditionalFormatting sqref="F7">
    <cfRule type="cellIs" dxfId="2963" priority="152" stopIfTrue="1" operator="equal">
      <formula>$E$7</formula>
    </cfRule>
    <cfRule type="cellIs" dxfId="2962" priority="153" stopIfTrue="1" operator="lessThan">
      <formula>$E$7</formula>
    </cfRule>
  </conditionalFormatting>
  <conditionalFormatting sqref="F8">
    <cfRule type="cellIs" dxfId="2961" priority="164" stopIfTrue="1" operator="equal">
      <formula>$E$8</formula>
    </cfRule>
    <cfRule type="cellIs" dxfId="2960" priority="165" stopIfTrue="1" operator="lessThan">
      <formula>$E$8</formula>
    </cfRule>
  </conditionalFormatting>
  <conditionalFormatting sqref="F9">
    <cfRule type="cellIs" dxfId="2959" priority="178" stopIfTrue="1" operator="equal">
      <formula>$E$9</formula>
    </cfRule>
    <cfRule type="cellIs" dxfId="2958" priority="179" stopIfTrue="1" operator="lessThan">
      <formula>$E$9</formula>
    </cfRule>
  </conditionalFormatting>
  <conditionalFormatting sqref="F10">
    <cfRule type="cellIs" dxfId="2957" priority="192" stopIfTrue="1" operator="equal">
      <formula>$E$10</formula>
    </cfRule>
    <cfRule type="cellIs" dxfId="2956" priority="193" stopIfTrue="1" operator="lessThan">
      <formula>$E$10</formula>
    </cfRule>
  </conditionalFormatting>
  <conditionalFormatting sqref="F11">
    <cfRule type="cellIs" dxfId="2955" priority="206" stopIfTrue="1" operator="equal">
      <formula>$E$11</formula>
    </cfRule>
    <cfRule type="cellIs" dxfId="2954" priority="207" stopIfTrue="1" operator="lessThan">
      <formula>$E$11</formula>
    </cfRule>
  </conditionalFormatting>
  <conditionalFormatting sqref="F12">
    <cfRule type="cellIs" dxfId="2953" priority="220" stopIfTrue="1" operator="equal">
      <formula>$E$12</formula>
    </cfRule>
    <cfRule type="cellIs" dxfId="2952" priority="221" stopIfTrue="1" operator="lessThan">
      <formula>$E$12</formula>
    </cfRule>
  </conditionalFormatting>
  <conditionalFormatting sqref="F13">
    <cfRule type="cellIs" dxfId="2951" priority="288" stopIfTrue="1" operator="equal">
      <formula>$E$13</formula>
    </cfRule>
    <cfRule type="cellIs" dxfId="2950" priority="289" stopIfTrue="1" operator="lessThan">
      <formula>$E$13</formula>
    </cfRule>
  </conditionalFormatting>
  <conditionalFormatting sqref="F14">
    <cfRule type="cellIs" dxfId="2949" priority="290" stopIfTrue="1" operator="equal">
      <formula>$E$14</formula>
    </cfRule>
    <cfRule type="cellIs" dxfId="2948" priority="291" stopIfTrue="1" operator="lessThan">
      <formula>$E$14</formula>
    </cfRule>
  </conditionalFormatting>
  <conditionalFormatting sqref="F15">
    <cfRule type="cellIs" dxfId="2947" priority="292" stopIfTrue="1" operator="equal">
      <formula>$E$15</formula>
    </cfRule>
    <cfRule type="cellIs" dxfId="2946" priority="293" stopIfTrue="1" operator="lessThan">
      <formula>$E$15</formula>
    </cfRule>
  </conditionalFormatting>
  <conditionalFormatting sqref="F16">
    <cfRule type="cellIs" dxfId="2945" priority="294" stopIfTrue="1" operator="equal">
      <formula>$E$16</formula>
    </cfRule>
    <cfRule type="cellIs" dxfId="2944" priority="295" stopIfTrue="1" operator="lessThan">
      <formula>$E$16</formula>
    </cfRule>
  </conditionalFormatting>
  <conditionalFormatting sqref="F17">
    <cfRule type="cellIs" dxfId="2943" priority="296" stopIfTrue="1" operator="equal">
      <formula>$E$17</formula>
    </cfRule>
    <cfRule type="cellIs" dxfId="2942" priority="297" stopIfTrue="1" operator="lessThan">
      <formula>$E$17</formula>
    </cfRule>
  </conditionalFormatting>
  <conditionalFormatting sqref="F18">
    <cfRule type="cellIs" dxfId="2941" priority="298" stopIfTrue="1" operator="equal">
      <formula>$E$18</formula>
    </cfRule>
    <cfRule type="cellIs" dxfId="2940" priority="299" stopIfTrue="1" operator="lessThan">
      <formula>$E$18</formula>
    </cfRule>
  </conditionalFormatting>
  <conditionalFormatting sqref="F19">
    <cfRule type="cellIs" dxfId="2939" priority="300" stopIfTrue="1" operator="equal">
      <formula>$E$19</formula>
    </cfRule>
    <cfRule type="cellIs" dxfId="2938" priority="301" stopIfTrue="1" operator="lessThan">
      <formula>$E$19</formula>
    </cfRule>
  </conditionalFormatting>
  <conditionalFormatting sqref="F20">
    <cfRule type="cellIs" dxfId="2937" priority="302" stopIfTrue="1" operator="equal">
      <formula>$E$20</formula>
    </cfRule>
    <cfRule type="cellIs" dxfId="2936" priority="303" stopIfTrue="1" operator="lessThan">
      <formula>$E$20</formula>
    </cfRule>
  </conditionalFormatting>
  <conditionalFormatting sqref="F21">
    <cfRule type="cellIs" dxfId="2935" priority="304" stopIfTrue="1" operator="equal">
      <formula>$E$21</formula>
    </cfRule>
    <cfRule type="cellIs" dxfId="2934" priority="305" stopIfTrue="1" operator="lessThan">
      <formula>$E$21</formula>
    </cfRule>
  </conditionalFormatting>
  <conditionalFormatting sqref="F22">
    <cfRule type="cellIs" dxfId="2933" priority="306" stopIfTrue="1" operator="equal">
      <formula>$E$22</formula>
    </cfRule>
    <cfRule type="cellIs" dxfId="2932" priority="307" stopIfTrue="1" operator="lessThan">
      <formula>$E$22</formula>
    </cfRule>
  </conditionalFormatting>
  <conditionalFormatting sqref="F23">
    <cfRule type="cellIs" dxfId="2931" priority="308" stopIfTrue="1" operator="equal">
      <formula>$E$23</formula>
    </cfRule>
    <cfRule type="cellIs" dxfId="2930" priority="309" stopIfTrue="1" operator="lessThan">
      <formula>$E$23</formula>
    </cfRule>
  </conditionalFormatting>
  <conditionalFormatting sqref="F24">
    <cfRule type="cellIs" dxfId="2929" priority="384" stopIfTrue="1" operator="equal">
      <formula>$E$24</formula>
    </cfRule>
    <cfRule type="cellIs" dxfId="2928" priority="385" stopIfTrue="1" operator="lessThan">
      <formula>$E$24</formula>
    </cfRule>
  </conditionalFormatting>
  <conditionalFormatting sqref="F25">
    <cfRule type="cellIs" dxfId="2927" priority="310" stopIfTrue="1" operator="equal">
      <formula>$E$25</formula>
    </cfRule>
    <cfRule type="cellIs" dxfId="2926" priority="311" stopIfTrue="1" operator="lessThan">
      <formula>$E$25</formula>
    </cfRule>
  </conditionalFormatting>
  <conditionalFormatting sqref="F26">
    <cfRule type="cellIs" dxfId="2925" priority="312" stopIfTrue="1" operator="equal">
      <formula>$E$26</formula>
    </cfRule>
    <cfRule type="cellIs" dxfId="2924" priority="313" stopIfTrue="1" operator="lessThan">
      <formula>$E$26</formula>
    </cfRule>
  </conditionalFormatting>
  <conditionalFormatting sqref="F27">
    <cfRule type="cellIs" dxfId="2923" priority="314" stopIfTrue="1" operator="equal">
      <formula>$E$27</formula>
    </cfRule>
    <cfRule type="cellIs" dxfId="2922" priority="315" stopIfTrue="1" operator="lessThan">
      <formula>$E$27</formula>
    </cfRule>
  </conditionalFormatting>
  <conditionalFormatting sqref="F28">
    <cfRule type="cellIs" dxfId="2921" priority="316" stopIfTrue="1" operator="equal">
      <formula>$E$28</formula>
    </cfRule>
    <cfRule type="cellIs" dxfId="2920" priority="317" stopIfTrue="1" operator="lessThan">
      <formula>$E$28</formula>
    </cfRule>
  </conditionalFormatting>
  <conditionalFormatting sqref="F29">
    <cfRule type="cellIs" dxfId="2919" priority="460" stopIfTrue="1" operator="equal">
      <formula>$E$29</formula>
    </cfRule>
    <cfRule type="cellIs" dxfId="2918" priority="461" stopIfTrue="1" operator="lessThan">
      <formula>$E$29</formula>
    </cfRule>
  </conditionalFormatting>
  <conditionalFormatting sqref="G4">
    <cfRule type="cellIs" dxfId="2917" priority="394" stopIfTrue="1" operator="equal">
      <formula>$F$4</formula>
    </cfRule>
  </conditionalFormatting>
  <conditionalFormatting sqref="G5">
    <cfRule type="cellIs" dxfId="2916" priority="392" stopIfTrue="1" operator="equal">
      <formula>$F$5</formula>
    </cfRule>
    <cfRule type="cellIs" dxfId="2915" priority="393" stopIfTrue="1" operator="lessThan">
      <formula>$F$5</formula>
    </cfRule>
  </conditionalFormatting>
  <conditionalFormatting sqref="G6">
    <cfRule type="cellIs" dxfId="2914" priority="140" stopIfTrue="1" operator="equal">
      <formula>$F$6</formula>
    </cfRule>
    <cfRule type="cellIs" dxfId="2913" priority="141" stopIfTrue="1" operator="lessThan">
      <formula>$F$6</formula>
    </cfRule>
  </conditionalFormatting>
  <conditionalFormatting sqref="G7">
    <cfRule type="cellIs" dxfId="2912" priority="113" stopIfTrue="1" operator="equal">
      <formula>$F$7</formula>
    </cfRule>
    <cfRule type="cellIs" dxfId="2911" priority="114" stopIfTrue="1" operator="lessThan">
      <formula>$F$7</formula>
    </cfRule>
  </conditionalFormatting>
  <conditionalFormatting sqref="G8">
    <cfRule type="cellIs" dxfId="2910" priority="166" stopIfTrue="1" operator="equal">
      <formula>$F$8</formula>
    </cfRule>
    <cfRule type="cellIs" dxfId="2909" priority="167" stopIfTrue="1" operator="lessThan">
      <formula>$F$8</formula>
    </cfRule>
  </conditionalFormatting>
  <conditionalFormatting sqref="G9">
    <cfRule type="cellIs" dxfId="2908" priority="180" stopIfTrue="1" operator="equal">
      <formula>$F$9</formula>
    </cfRule>
    <cfRule type="cellIs" dxfId="2907" priority="181" stopIfTrue="1" operator="lessThan">
      <formula>$F$9</formula>
    </cfRule>
  </conditionalFormatting>
  <conditionalFormatting sqref="G10">
    <cfRule type="cellIs" dxfId="2906" priority="194" stopIfTrue="1" operator="equal">
      <formula>$F$10</formula>
    </cfRule>
    <cfRule type="cellIs" dxfId="2905" priority="195" stopIfTrue="1" operator="lessThan">
      <formula>$F$10</formula>
    </cfRule>
  </conditionalFormatting>
  <conditionalFormatting sqref="G11">
    <cfRule type="cellIs" dxfId="2904" priority="208" stopIfTrue="1" operator="equal">
      <formula>$F$11</formula>
    </cfRule>
    <cfRule type="cellIs" dxfId="2903" priority="209" stopIfTrue="1" operator="lessThan">
      <formula>$F$11</formula>
    </cfRule>
  </conditionalFormatting>
  <conditionalFormatting sqref="G12">
    <cfRule type="cellIs" dxfId="2902" priority="222" stopIfTrue="1" operator="equal">
      <formula>$F$12</formula>
    </cfRule>
    <cfRule type="cellIs" dxfId="2901" priority="223" stopIfTrue="1" operator="lessThan">
      <formula>$F$12</formula>
    </cfRule>
  </conditionalFormatting>
  <conditionalFormatting sqref="G13">
    <cfRule type="cellIs" dxfId="2900" priority="318" stopIfTrue="1" operator="equal">
      <formula>$F$13</formula>
    </cfRule>
    <cfRule type="cellIs" dxfId="2899" priority="319" stopIfTrue="1" operator="lessThan">
      <formula>$F$13</formula>
    </cfRule>
  </conditionalFormatting>
  <conditionalFormatting sqref="G14">
    <cfRule type="cellIs" dxfId="2898" priority="320" stopIfTrue="1" operator="equal">
      <formula>$F$14</formula>
    </cfRule>
    <cfRule type="cellIs" dxfId="2897" priority="321" stopIfTrue="1" operator="lessThan">
      <formula>$F$14</formula>
    </cfRule>
  </conditionalFormatting>
  <conditionalFormatting sqref="G15">
    <cfRule type="cellIs" dxfId="2896" priority="322" stopIfTrue="1" operator="equal">
      <formula>$F$15</formula>
    </cfRule>
    <cfRule type="cellIs" dxfId="2895" priority="323" stopIfTrue="1" operator="lessThan">
      <formula>$F$15</formula>
    </cfRule>
  </conditionalFormatting>
  <conditionalFormatting sqref="G16">
    <cfRule type="cellIs" dxfId="2894" priority="324" stopIfTrue="1" operator="equal">
      <formula>$F$16</formula>
    </cfRule>
    <cfRule type="cellIs" dxfId="2893" priority="325" stopIfTrue="1" operator="lessThan">
      <formula>$F$16</formula>
    </cfRule>
  </conditionalFormatting>
  <conditionalFormatting sqref="G17">
    <cfRule type="cellIs" dxfId="2892" priority="326" stopIfTrue="1" operator="equal">
      <formula>$F$17</formula>
    </cfRule>
    <cfRule type="cellIs" dxfId="2891" priority="327" stopIfTrue="1" operator="lessThan">
      <formula>$F$17</formula>
    </cfRule>
  </conditionalFormatting>
  <conditionalFormatting sqref="G18">
    <cfRule type="cellIs" dxfId="2890" priority="328" stopIfTrue="1" operator="equal">
      <formula>$F$18</formula>
    </cfRule>
    <cfRule type="cellIs" dxfId="2889" priority="329" stopIfTrue="1" operator="lessThan">
      <formula>$F$18</formula>
    </cfRule>
  </conditionalFormatting>
  <conditionalFormatting sqref="G19">
    <cfRule type="cellIs" dxfId="2888" priority="330" stopIfTrue="1" operator="equal">
      <formula>$F$19</formula>
    </cfRule>
    <cfRule type="cellIs" dxfId="2887" priority="331" stopIfTrue="1" operator="lessThan">
      <formula>$F$19</formula>
    </cfRule>
  </conditionalFormatting>
  <conditionalFormatting sqref="G20">
    <cfRule type="cellIs" dxfId="2886" priority="332" stopIfTrue="1" operator="equal">
      <formula>$F$20</formula>
    </cfRule>
    <cfRule type="cellIs" dxfId="2885" priority="333" stopIfTrue="1" operator="lessThan">
      <formula>$F$20</formula>
    </cfRule>
  </conditionalFormatting>
  <conditionalFormatting sqref="G21">
    <cfRule type="cellIs" dxfId="2884" priority="334" stopIfTrue="1" operator="equal">
      <formula>$F$21</formula>
    </cfRule>
    <cfRule type="cellIs" dxfId="2883" priority="335" stopIfTrue="1" operator="lessThan">
      <formula>$F$21</formula>
    </cfRule>
  </conditionalFormatting>
  <conditionalFormatting sqref="G22">
    <cfRule type="cellIs" dxfId="2882" priority="336" stopIfTrue="1" operator="equal">
      <formula>$F$22</formula>
    </cfRule>
    <cfRule type="cellIs" dxfId="2881" priority="337" stopIfTrue="1" operator="lessThan">
      <formula>$F$22</formula>
    </cfRule>
  </conditionalFormatting>
  <conditionalFormatting sqref="G23">
    <cfRule type="cellIs" dxfId="2880" priority="338" stopIfTrue="1" operator="equal">
      <formula>$F$23</formula>
    </cfRule>
    <cfRule type="cellIs" dxfId="2879" priority="339" stopIfTrue="1" operator="lessThan">
      <formula>$F$23</formula>
    </cfRule>
  </conditionalFormatting>
  <conditionalFormatting sqref="G24">
    <cfRule type="cellIs" dxfId="2878" priority="386" stopIfTrue="1" operator="equal">
      <formula>$F$24</formula>
    </cfRule>
    <cfRule type="cellIs" dxfId="2877" priority="387" stopIfTrue="1" operator="lessThan">
      <formula>$F$24</formula>
    </cfRule>
  </conditionalFormatting>
  <conditionalFormatting sqref="G25">
    <cfRule type="cellIs" dxfId="2876" priority="340" stopIfTrue="1" operator="equal">
      <formula>$F$25</formula>
    </cfRule>
    <cfRule type="cellIs" dxfId="2875" priority="341" stopIfTrue="1" operator="lessThan">
      <formula>$F$25</formula>
    </cfRule>
  </conditionalFormatting>
  <conditionalFormatting sqref="G26">
    <cfRule type="cellIs" dxfId="2874" priority="342" stopIfTrue="1" operator="equal">
      <formula>$F$26</formula>
    </cfRule>
    <cfRule type="cellIs" dxfId="2873" priority="343" stopIfTrue="1" operator="lessThan">
      <formula>$F$26</formula>
    </cfRule>
  </conditionalFormatting>
  <conditionalFormatting sqref="G27">
    <cfRule type="cellIs" dxfId="2872" priority="344" stopIfTrue="1" operator="equal">
      <formula>$F$27</formula>
    </cfRule>
    <cfRule type="cellIs" dxfId="2871" priority="345" stopIfTrue="1" operator="lessThan">
      <formula>$F$27</formula>
    </cfRule>
  </conditionalFormatting>
  <conditionalFormatting sqref="G28">
    <cfRule type="cellIs" dxfId="2870" priority="346" stopIfTrue="1" operator="equal">
      <formula>$F$28</formula>
    </cfRule>
    <cfRule type="cellIs" dxfId="2869" priority="347" stopIfTrue="1" operator="lessThan">
      <formula>$F$28</formula>
    </cfRule>
  </conditionalFormatting>
  <conditionalFormatting sqref="G29">
    <cfRule type="cellIs" dxfId="2868" priority="462" stopIfTrue="1" operator="equal">
      <formula>$F$29</formula>
    </cfRule>
    <cfRule type="cellIs" dxfId="2867" priority="463" stopIfTrue="1" operator="lessThan">
      <formula>$F$29</formula>
    </cfRule>
  </conditionalFormatting>
  <conditionalFormatting sqref="H4">
    <cfRule type="cellIs" dxfId="2866" priority="111" stopIfTrue="1" operator="lessThan">
      <formula>$G$4</formula>
    </cfRule>
    <cfRule type="cellIs" dxfId="2865" priority="112" stopIfTrue="1" operator="equal">
      <formula>$G$4</formula>
    </cfRule>
  </conditionalFormatting>
  <conditionalFormatting sqref="H5">
    <cfRule type="cellIs" dxfId="2864" priority="115" stopIfTrue="1" operator="equal">
      <formula>$G$5</formula>
    </cfRule>
    <cfRule type="cellIs" dxfId="2863" priority="116" stopIfTrue="1" operator="lessThan">
      <formula>$G$5</formula>
    </cfRule>
  </conditionalFormatting>
  <conditionalFormatting sqref="H6">
    <cfRule type="cellIs" dxfId="2862" priority="142" stopIfTrue="1" operator="equal">
      <formula>$G$6</formula>
    </cfRule>
    <cfRule type="cellIs" dxfId="2861" priority="143" stopIfTrue="1" operator="lessThan">
      <formula>$G$6</formula>
    </cfRule>
  </conditionalFormatting>
  <conditionalFormatting sqref="H7">
    <cfRule type="cellIs" dxfId="2860" priority="154" stopIfTrue="1" operator="equal">
      <formula>$G$7</formula>
    </cfRule>
    <cfRule type="cellIs" dxfId="2859" priority="155" stopIfTrue="1" operator="lessThan">
      <formula>$G$7</formula>
    </cfRule>
  </conditionalFormatting>
  <conditionalFormatting sqref="H8">
    <cfRule type="cellIs" dxfId="2858" priority="168" stopIfTrue="1" operator="equal">
      <formula>$G$8</formula>
    </cfRule>
    <cfRule type="cellIs" dxfId="2857" priority="169" stopIfTrue="1" operator="lessThan">
      <formula>$G$8</formula>
    </cfRule>
  </conditionalFormatting>
  <conditionalFormatting sqref="H9">
    <cfRule type="cellIs" dxfId="2856" priority="182" stopIfTrue="1" operator="equal">
      <formula>$G$9</formula>
    </cfRule>
    <cfRule type="cellIs" dxfId="2855" priority="183" stopIfTrue="1" operator="lessThan">
      <formula>$G$9</formula>
    </cfRule>
  </conditionalFormatting>
  <conditionalFormatting sqref="H10">
    <cfRule type="cellIs" dxfId="2854" priority="196" stopIfTrue="1" operator="equal">
      <formula>$G$10</formula>
    </cfRule>
    <cfRule type="cellIs" dxfId="2853" priority="197" stopIfTrue="1" operator="lessThan">
      <formula>$G$10</formula>
    </cfRule>
  </conditionalFormatting>
  <conditionalFormatting sqref="H11">
    <cfRule type="cellIs" dxfId="2852" priority="210" stopIfTrue="1" operator="equal">
      <formula>$G$11</formula>
    </cfRule>
    <cfRule type="cellIs" dxfId="2851" priority="211" stopIfTrue="1" operator="lessThan">
      <formula>$G$11</formula>
    </cfRule>
  </conditionalFormatting>
  <conditionalFormatting sqref="H12">
    <cfRule type="cellIs" dxfId="2850" priority="224" stopIfTrue="1" operator="equal">
      <formula>$G$12</formula>
    </cfRule>
    <cfRule type="cellIs" dxfId="2849" priority="225" stopIfTrue="1" operator="lessThan">
      <formula>$G$12</formula>
    </cfRule>
  </conditionalFormatting>
  <conditionalFormatting sqref="H13">
    <cfRule type="cellIs" dxfId="2848" priority="350" stopIfTrue="1" operator="equal">
      <formula>$G$13</formula>
    </cfRule>
    <cfRule type="cellIs" dxfId="2847" priority="351" stopIfTrue="1" operator="lessThan">
      <formula>$G$13</formula>
    </cfRule>
  </conditionalFormatting>
  <conditionalFormatting sqref="H14">
    <cfRule type="cellIs" dxfId="2846" priority="352" stopIfTrue="1" operator="equal">
      <formula>$G$14</formula>
    </cfRule>
    <cfRule type="cellIs" dxfId="2845" priority="353" stopIfTrue="1" operator="lessThan">
      <formula>$G$14</formula>
    </cfRule>
  </conditionalFormatting>
  <conditionalFormatting sqref="H15">
    <cfRule type="cellIs" dxfId="2844" priority="354" stopIfTrue="1" operator="equal">
      <formula>$G$15</formula>
    </cfRule>
    <cfRule type="cellIs" dxfId="2843" priority="355" stopIfTrue="1" operator="lessThan">
      <formula>$G$15</formula>
    </cfRule>
  </conditionalFormatting>
  <conditionalFormatting sqref="H16">
    <cfRule type="cellIs" dxfId="2842" priority="356" stopIfTrue="1" operator="equal">
      <formula>$G$16</formula>
    </cfRule>
    <cfRule type="cellIs" dxfId="2841" priority="357" stopIfTrue="1" operator="lessThan">
      <formula>$G$16</formula>
    </cfRule>
  </conditionalFormatting>
  <conditionalFormatting sqref="H17">
    <cfRule type="cellIs" dxfId="2840" priority="358" stopIfTrue="1" operator="equal">
      <formula>$G$17</formula>
    </cfRule>
    <cfRule type="cellIs" dxfId="2839" priority="359" stopIfTrue="1" operator="lessThan">
      <formula>$G$17</formula>
    </cfRule>
  </conditionalFormatting>
  <conditionalFormatting sqref="H18">
    <cfRule type="cellIs" dxfId="2838" priority="360" stopIfTrue="1" operator="equal">
      <formula>$G$18</formula>
    </cfRule>
    <cfRule type="cellIs" dxfId="2837" priority="361" stopIfTrue="1" operator="lessThan">
      <formula>$G$18</formula>
    </cfRule>
  </conditionalFormatting>
  <conditionalFormatting sqref="H19">
    <cfRule type="cellIs" dxfId="2836" priority="362" stopIfTrue="1" operator="equal">
      <formula>$G$19</formula>
    </cfRule>
    <cfRule type="cellIs" dxfId="2835" priority="363" stopIfTrue="1" operator="lessThan">
      <formula>$G$19</formula>
    </cfRule>
  </conditionalFormatting>
  <conditionalFormatting sqref="H20">
    <cfRule type="cellIs" dxfId="2834" priority="364" stopIfTrue="1" operator="equal">
      <formula>$G$20</formula>
    </cfRule>
    <cfRule type="cellIs" dxfId="2833" priority="365" stopIfTrue="1" operator="lessThan">
      <formula>$G$20</formula>
    </cfRule>
  </conditionalFormatting>
  <conditionalFormatting sqref="H21">
    <cfRule type="cellIs" dxfId="2832" priority="366" stopIfTrue="1" operator="equal">
      <formula>$G$21</formula>
    </cfRule>
    <cfRule type="cellIs" dxfId="2831" priority="367" stopIfTrue="1" operator="lessThan">
      <formula>$G$21</formula>
    </cfRule>
  </conditionalFormatting>
  <conditionalFormatting sqref="H22">
    <cfRule type="cellIs" dxfId="2830" priority="368" stopIfTrue="1" operator="equal">
      <formula>$G$22</formula>
    </cfRule>
    <cfRule type="cellIs" dxfId="2829" priority="369" stopIfTrue="1" operator="lessThan">
      <formula>$G$22</formula>
    </cfRule>
  </conditionalFormatting>
  <conditionalFormatting sqref="H23">
    <cfRule type="cellIs" dxfId="2828" priority="370" stopIfTrue="1" operator="equal">
      <formula>$G$23</formula>
    </cfRule>
    <cfRule type="cellIs" dxfId="2827" priority="371" stopIfTrue="1" operator="lessThan">
      <formula>$G$23</formula>
    </cfRule>
  </conditionalFormatting>
  <conditionalFormatting sqref="H24">
    <cfRule type="cellIs" dxfId="2826" priority="388" stopIfTrue="1" operator="equal">
      <formula>$G$24</formula>
    </cfRule>
    <cfRule type="cellIs" dxfId="2825" priority="389" stopIfTrue="1" operator="lessThan">
      <formula>$G$24</formula>
    </cfRule>
  </conditionalFormatting>
  <conditionalFormatting sqref="H25">
    <cfRule type="cellIs" dxfId="2824" priority="372" stopIfTrue="1" operator="equal">
      <formula>$G$25</formula>
    </cfRule>
    <cfRule type="cellIs" dxfId="2823" priority="373" stopIfTrue="1" operator="lessThan">
      <formula>$G$25</formula>
    </cfRule>
  </conditionalFormatting>
  <conditionalFormatting sqref="H26">
    <cfRule type="cellIs" dxfId="2822" priority="374" stopIfTrue="1" operator="equal">
      <formula>$G$26</formula>
    </cfRule>
    <cfRule type="cellIs" dxfId="2821" priority="375" stopIfTrue="1" operator="lessThan">
      <formula>$G$26</formula>
    </cfRule>
  </conditionalFormatting>
  <conditionalFormatting sqref="H27">
    <cfRule type="cellIs" dxfId="2820" priority="376" stopIfTrue="1" operator="equal">
      <formula>$G$27</formula>
    </cfRule>
    <cfRule type="cellIs" dxfId="2819" priority="377" stopIfTrue="1" operator="lessThan">
      <formula>$G$27</formula>
    </cfRule>
  </conditionalFormatting>
  <conditionalFormatting sqref="H28">
    <cfRule type="cellIs" dxfId="2818" priority="378" stopIfTrue="1" operator="equal">
      <formula>$G$28</formula>
    </cfRule>
    <cfRule type="cellIs" dxfId="2817" priority="379" stopIfTrue="1" operator="lessThan">
      <formula>$G$28</formula>
    </cfRule>
  </conditionalFormatting>
  <conditionalFormatting sqref="H29">
    <cfRule type="cellIs" dxfId="2816" priority="464" stopIfTrue="1" operator="equal">
      <formula>$G$29</formula>
    </cfRule>
    <cfRule type="cellIs" dxfId="2815" priority="465" stopIfTrue="1" operator="lessThan">
      <formula>$G$29</formula>
    </cfRule>
  </conditionalFormatting>
  <conditionalFormatting sqref="I4">
    <cfRule type="cellIs" dxfId="2814" priority="131" stopIfTrue="1" operator="equal">
      <formula>$H$4</formula>
    </cfRule>
  </conditionalFormatting>
  <conditionalFormatting sqref="I5">
    <cfRule type="cellIs" dxfId="2813" priority="117" stopIfTrue="1" operator="equal">
      <formula>$H$5</formula>
    </cfRule>
    <cfRule type="cellIs" dxfId="2812" priority="118" stopIfTrue="1" operator="lessThan">
      <formula>$H$5</formula>
    </cfRule>
  </conditionalFormatting>
  <conditionalFormatting sqref="I6">
    <cfRule type="cellIs" dxfId="2811" priority="144" stopIfTrue="1" operator="equal">
      <formula>$H$6</formula>
    </cfRule>
    <cfRule type="cellIs" dxfId="2810" priority="145" stopIfTrue="1" operator="lessThan">
      <formula>$H$6</formula>
    </cfRule>
  </conditionalFormatting>
  <conditionalFormatting sqref="I7">
    <cfRule type="cellIs" dxfId="2809" priority="156" stopIfTrue="1" operator="equal">
      <formula>$H$7</formula>
    </cfRule>
    <cfRule type="cellIs" dxfId="2808" priority="157" stopIfTrue="1" operator="lessThan">
      <formula>$H$7</formula>
    </cfRule>
  </conditionalFormatting>
  <conditionalFormatting sqref="I8">
    <cfRule type="cellIs" dxfId="2807" priority="170" stopIfTrue="1" operator="equal">
      <formula>$H$8</formula>
    </cfRule>
    <cfRule type="cellIs" dxfId="2806" priority="171" stopIfTrue="1" operator="lessThan">
      <formula>$H$8</formula>
    </cfRule>
  </conditionalFormatting>
  <conditionalFormatting sqref="I9">
    <cfRule type="cellIs" dxfId="2805" priority="184" stopIfTrue="1" operator="equal">
      <formula>$H$9</formula>
    </cfRule>
    <cfRule type="cellIs" dxfId="2804" priority="185" stopIfTrue="1" operator="lessThan">
      <formula>$H$9</formula>
    </cfRule>
  </conditionalFormatting>
  <conditionalFormatting sqref="I10">
    <cfRule type="cellIs" dxfId="2803" priority="198" stopIfTrue="1" operator="equal">
      <formula>$H$10</formula>
    </cfRule>
    <cfRule type="cellIs" dxfId="2802" priority="199" stopIfTrue="1" operator="lessThan">
      <formula>$H$10</formula>
    </cfRule>
  </conditionalFormatting>
  <conditionalFormatting sqref="I11">
    <cfRule type="cellIs" dxfId="2801" priority="212" stopIfTrue="1" operator="equal">
      <formula>$H$11</formula>
    </cfRule>
    <cfRule type="cellIs" dxfId="2800" priority="213" stopIfTrue="1" operator="lessThan">
      <formula>$H$11</formula>
    </cfRule>
  </conditionalFormatting>
  <conditionalFormatting sqref="I12">
    <cfRule type="cellIs" dxfId="2799" priority="226" stopIfTrue="1" operator="equal">
      <formula>$H$12</formula>
    </cfRule>
    <cfRule type="cellIs" dxfId="2798" priority="227" stopIfTrue="1" operator="lessThan">
      <formula>$H$12</formula>
    </cfRule>
  </conditionalFormatting>
  <conditionalFormatting sqref="I13">
    <cfRule type="cellIs" dxfId="2797" priority="395" stopIfTrue="1" operator="equal">
      <formula>$H$13</formula>
    </cfRule>
    <cfRule type="cellIs" dxfId="2796" priority="396" stopIfTrue="1" operator="lessThan">
      <formula>$H$13</formula>
    </cfRule>
  </conditionalFormatting>
  <conditionalFormatting sqref="I14">
    <cfRule type="cellIs" dxfId="2795" priority="397" stopIfTrue="1" operator="equal">
      <formula>$H$14</formula>
    </cfRule>
    <cfRule type="cellIs" dxfId="2794" priority="398" stopIfTrue="1" operator="lessThan">
      <formula>$H$14</formula>
    </cfRule>
  </conditionalFormatting>
  <conditionalFormatting sqref="I15">
    <cfRule type="cellIs" dxfId="2793" priority="399" stopIfTrue="1" operator="equal">
      <formula>$H$15</formula>
    </cfRule>
    <cfRule type="cellIs" dxfId="2792" priority="400" stopIfTrue="1" operator="lessThan">
      <formula>$H$15</formula>
    </cfRule>
  </conditionalFormatting>
  <conditionalFormatting sqref="I16">
    <cfRule type="cellIs" dxfId="2791" priority="401" stopIfTrue="1" operator="equal">
      <formula>$H$16</formula>
    </cfRule>
    <cfRule type="cellIs" dxfId="2790" priority="402" stopIfTrue="1" operator="lessThan">
      <formula>$H$16</formula>
    </cfRule>
  </conditionalFormatting>
  <conditionalFormatting sqref="I17">
    <cfRule type="cellIs" dxfId="2789" priority="403" stopIfTrue="1" operator="equal">
      <formula>$H$17</formula>
    </cfRule>
    <cfRule type="cellIs" dxfId="2788" priority="404" stopIfTrue="1" operator="lessThan">
      <formula>$H$17</formula>
    </cfRule>
  </conditionalFormatting>
  <conditionalFormatting sqref="I18">
    <cfRule type="cellIs" dxfId="2787" priority="405" stopIfTrue="1" operator="equal">
      <formula>$H$18</formula>
    </cfRule>
    <cfRule type="cellIs" dxfId="2786" priority="406" stopIfTrue="1" operator="lessThan">
      <formula>$H$18</formula>
    </cfRule>
  </conditionalFormatting>
  <conditionalFormatting sqref="I19">
    <cfRule type="cellIs" dxfId="2785" priority="407" stopIfTrue="1" operator="equal">
      <formula>$H$19</formula>
    </cfRule>
    <cfRule type="cellIs" dxfId="2784" priority="408" stopIfTrue="1" operator="lessThan">
      <formula>$H$19</formula>
    </cfRule>
  </conditionalFormatting>
  <conditionalFormatting sqref="I20">
    <cfRule type="cellIs" dxfId="2783" priority="409" stopIfTrue="1" operator="equal">
      <formula>$H$20</formula>
    </cfRule>
    <cfRule type="cellIs" dxfId="2782" priority="410" stopIfTrue="1" operator="lessThan">
      <formula>$H$20</formula>
    </cfRule>
  </conditionalFormatting>
  <conditionalFormatting sqref="I21">
    <cfRule type="cellIs" dxfId="2781" priority="411" stopIfTrue="1" operator="equal">
      <formula>$H$21</formula>
    </cfRule>
    <cfRule type="cellIs" dxfId="2780" priority="412" stopIfTrue="1" operator="lessThan">
      <formula>$H$21</formula>
    </cfRule>
  </conditionalFormatting>
  <conditionalFormatting sqref="I22">
    <cfRule type="cellIs" dxfId="2779" priority="413" stopIfTrue="1" operator="equal">
      <formula>$H$22</formula>
    </cfRule>
    <cfRule type="cellIs" dxfId="2778" priority="414" stopIfTrue="1" operator="lessThan">
      <formula>$H$22</formula>
    </cfRule>
  </conditionalFormatting>
  <conditionalFormatting sqref="I23">
    <cfRule type="cellIs" dxfId="2777" priority="415" stopIfTrue="1" operator="equal">
      <formula>$H$23</formula>
    </cfRule>
    <cfRule type="cellIs" dxfId="2776" priority="416" stopIfTrue="1" operator="lessThan">
      <formula>$H$23</formula>
    </cfRule>
  </conditionalFormatting>
  <conditionalFormatting sqref="I24">
    <cfRule type="cellIs" dxfId="2775" priority="417" stopIfTrue="1" operator="equal">
      <formula>$H$24</formula>
    </cfRule>
    <cfRule type="cellIs" dxfId="2774" priority="418" stopIfTrue="1" operator="lessThan">
      <formula>$H$24</formula>
    </cfRule>
  </conditionalFormatting>
  <conditionalFormatting sqref="I25">
    <cfRule type="cellIs" dxfId="2773" priority="419" stopIfTrue="1" operator="equal">
      <formula>$H$25</formula>
    </cfRule>
    <cfRule type="cellIs" dxfId="2772" priority="420" stopIfTrue="1" operator="lessThan">
      <formula>$H$25</formula>
    </cfRule>
  </conditionalFormatting>
  <conditionalFormatting sqref="I26">
    <cfRule type="cellIs" dxfId="2771" priority="421" stopIfTrue="1" operator="equal">
      <formula>$H$26</formula>
    </cfRule>
    <cfRule type="cellIs" dxfId="2770" priority="422" stopIfTrue="1" operator="lessThan">
      <formula>$H$26</formula>
    </cfRule>
  </conditionalFormatting>
  <conditionalFormatting sqref="I27">
    <cfRule type="cellIs" dxfId="2769" priority="423" stopIfTrue="1" operator="equal">
      <formula>$H$27</formula>
    </cfRule>
    <cfRule type="cellIs" dxfId="2768" priority="424" stopIfTrue="1" operator="lessThan">
      <formula>$H$27</formula>
    </cfRule>
  </conditionalFormatting>
  <conditionalFormatting sqref="I28">
    <cfRule type="cellIs" dxfId="2767" priority="426" stopIfTrue="1" operator="equal">
      <formula>$H$28</formula>
    </cfRule>
    <cfRule type="cellIs" dxfId="2766" priority="427" stopIfTrue="1" operator="lessThan">
      <formula>$H$28</formula>
    </cfRule>
  </conditionalFormatting>
  <conditionalFormatting sqref="I29">
    <cfRule type="cellIs" dxfId="2765" priority="107" stopIfTrue="1" operator="equal">
      <formula>$H$29</formula>
    </cfRule>
    <cfRule type="cellIs" dxfId="2764" priority="108" stopIfTrue="1" operator="lessThan">
      <formula>$H$29</formula>
    </cfRule>
  </conditionalFormatting>
  <conditionalFormatting sqref="J4">
    <cfRule type="cellIs" dxfId="2763" priority="132" stopIfTrue="1" operator="lessThan">
      <formula>$I$4</formula>
    </cfRule>
    <cfRule type="cellIs" dxfId="2762" priority="133" stopIfTrue="1" operator="equal">
      <formula>$I$4</formula>
    </cfRule>
  </conditionalFormatting>
  <conditionalFormatting sqref="J5">
    <cfRule type="cellIs" dxfId="2761" priority="119" stopIfTrue="1" operator="equal">
      <formula>$I$5</formula>
    </cfRule>
    <cfRule type="cellIs" dxfId="2760" priority="120" stopIfTrue="1" operator="lessThan">
      <formula>$I$5</formula>
    </cfRule>
  </conditionalFormatting>
  <conditionalFormatting sqref="J6">
    <cfRule type="cellIs" dxfId="2759" priority="146" stopIfTrue="1" operator="equal">
      <formula>$I$6</formula>
    </cfRule>
    <cfRule type="cellIs" dxfId="2758" priority="147" stopIfTrue="1" operator="lessThan">
      <formula>$I$6</formula>
    </cfRule>
  </conditionalFormatting>
  <conditionalFormatting sqref="J7">
    <cfRule type="cellIs" dxfId="2757" priority="158" stopIfTrue="1" operator="equal">
      <formula>$I$7</formula>
    </cfRule>
    <cfRule type="cellIs" dxfId="2756" priority="159" stopIfTrue="1" operator="lessThan">
      <formula>$I$7</formula>
    </cfRule>
  </conditionalFormatting>
  <conditionalFormatting sqref="J8">
    <cfRule type="cellIs" dxfId="2755" priority="172" stopIfTrue="1" operator="equal">
      <formula>$I$8</formula>
    </cfRule>
    <cfRule type="cellIs" dxfId="2754" priority="173" stopIfTrue="1" operator="lessThan">
      <formula>$I$8</formula>
    </cfRule>
  </conditionalFormatting>
  <conditionalFormatting sqref="J9">
    <cfRule type="cellIs" dxfId="2753" priority="186" stopIfTrue="1" operator="equal">
      <formula>$I$9</formula>
    </cfRule>
    <cfRule type="cellIs" dxfId="2752" priority="187" stopIfTrue="1" operator="lessThan">
      <formula>$I$9</formula>
    </cfRule>
  </conditionalFormatting>
  <conditionalFormatting sqref="J10">
    <cfRule type="cellIs" dxfId="2751" priority="200" stopIfTrue="1" operator="equal">
      <formula>$I$10</formula>
    </cfRule>
    <cfRule type="cellIs" dxfId="2750" priority="201" stopIfTrue="1" operator="lessThan">
      <formula>$I$10</formula>
    </cfRule>
  </conditionalFormatting>
  <conditionalFormatting sqref="J11">
    <cfRule type="cellIs" dxfId="2749" priority="214" stopIfTrue="1" operator="equal">
      <formula>$I$11</formula>
    </cfRule>
    <cfRule type="cellIs" dxfId="2748" priority="215" stopIfTrue="1" operator="lessThan">
      <formula>$I$11</formula>
    </cfRule>
  </conditionalFormatting>
  <conditionalFormatting sqref="J12">
    <cfRule type="cellIs" dxfId="2747" priority="228" stopIfTrue="1" operator="equal">
      <formula>$I$12</formula>
    </cfRule>
    <cfRule type="cellIs" dxfId="2746" priority="229" stopIfTrue="1" operator="lessThan">
      <formula>$I$12</formula>
    </cfRule>
  </conditionalFormatting>
  <conditionalFormatting sqref="J13">
    <cfRule type="cellIs" dxfId="2745" priority="428" stopIfTrue="1" operator="equal">
      <formula>$I$13</formula>
    </cfRule>
    <cfRule type="cellIs" dxfId="2744" priority="429" stopIfTrue="1" operator="lessThan">
      <formula>$I$13</formula>
    </cfRule>
  </conditionalFormatting>
  <conditionalFormatting sqref="J14">
    <cfRule type="cellIs" dxfId="2743" priority="430" stopIfTrue="1" operator="equal">
      <formula>$I$14</formula>
    </cfRule>
    <cfRule type="cellIs" dxfId="2742" priority="431" stopIfTrue="1" operator="lessThan">
      <formula>$I$14</formula>
    </cfRule>
  </conditionalFormatting>
  <conditionalFormatting sqref="J15">
    <cfRule type="cellIs" dxfId="2741" priority="432" stopIfTrue="1" operator="equal">
      <formula>$I$15</formula>
    </cfRule>
    <cfRule type="cellIs" dxfId="2740" priority="433" stopIfTrue="1" operator="lessThan">
      <formula>$I$15</formula>
    </cfRule>
  </conditionalFormatting>
  <conditionalFormatting sqref="J16">
    <cfRule type="cellIs" dxfId="2739" priority="434" stopIfTrue="1" operator="equal">
      <formula>$I$16</formula>
    </cfRule>
    <cfRule type="cellIs" dxfId="2738" priority="435" stopIfTrue="1" operator="lessThan">
      <formula>$I$16</formula>
    </cfRule>
  </conditionalFormatting>
  <conditionalFormatting sqref="J17">
    <cfRule type="cellIs" dxfId="2737" priority="436" stopIfTrue="1" operator="equal">
      <formula>$I$17</formula>
    </cfRule>
    <cfRule type="cellIs" dxfId="2736" priority="437" stopIfTrue="1" operator="lessThan">
      <formula>$I$17</formula>
    </cfRule>
  </conditionalFormatting>
  <conditionalFormatting sqref="J18">
    <cfRule type="cellIs" dxfId="2735" priority="438" stopIfTrue="1" operator="equal">
      <formula>$I$18</formula>
    </cfRule>
    <cfRule type="cellIs" dxfId="2734" priority="439" stopIfTrue="1" operator="lessThan">
      <formula>$I$18</formula>
    </cfRule>
  </conditionalFormatting>
  <conditionalFormatting sqref="J19">
    <cfRule type="cellIs" dxfId="2733" priority="440" stopIfTrue="1" operator="equal">
      <formula>$I$19</formula>
    </cfRule>
    <cfRule type="cellIs" dxfId="2732" priority="441" stopIfTrue="1" operator="lessThan">
      <formula>$I$19</formula>
    </cfRule>
  </conditionalFormatting>
  <conditionalFormatting sqref="J20">
    <cfRule type="cellIs" dxfId="2731" priority="442" stopIfTrue="1" operator="equal">
      <formula>$I$20</formula>
    </cfRule>
    <cfRule type="cellIs" dxfId="2730" priority="443" stopIfTrue="1" operator="lessThan">
      <formula>$I$20</formula>
    </cfRule>
  </conditionalFormatting>
  <conditionalFormatting sqref="J21">
    <cfRule type="cellIs" dxfId="2729" priority="444" stopIfTrue="1" operator="equal">
      <formula>$I$21</formula>
    </cfRule>
    <cfRule type="cellIs" dxfId="2728" priority="445" stopIfTrue="1" operator="lessThan">
      <formula>$I$21</formula>
    </cfRule>
  </conditionalFormatting>
  <conditionalFormatting sqref="J22">
    <cfRule type="cellIs" dxfId="2727" priority="446" stopIfTrue="1" operator="equal">
      <formula>$I$22</formula>
    </cfRule>
    <cfRule type="cellIs" dxfId="2726" priority="447" stopIfTrue="1" operator="lessThan">
      <formula>$I$22</formula>
    </cfRule>
  </conditionalFormatting>
  <conditionalFormatting sqref="J23">
    <cfRule type="cellIs" dxfId="2725" priority="448" stopIfTrue="1" operator="equal">
      <formula>$I$23</formula>
    </cfRule>
    <cfRule type="cellIs" dxfId="2724" priority="449" stopIfTrue="1" operator="lessThan">
      <formula>$I$23</formula>
    </cfRule>
  </conditionalFormatting>
  <conditionalFormatting sqref="J24">
    <cfRule type="cellIs" dxfId="2723" priority="450" stopIfTrue="1" operator="equal">
      <formula>$I$24</formula>
    </cfRule>
    <cfRule type="cellIs" dxfId="2722" priority="451" stopIfTrue="1" operator="lessThan">
      <formula>$I$24</formula>
    </cfRule>
  </conditionalFormatting>
  <conditionalFormatting sqref="J25">
    <cfRule type="cellIs" dxfId="2721" priority="452" stopIfTrue="1" operator="equal">
      <formula>$I$25</formula>
    </cfRule>
    <cfRule type="cellIs" dxfId="2720" priority="453" stopIfTrue="1" operator="lessThan">
      <formula>$I$25</formula>
    </cfRule>
  </conditionalFormatting>
  <conditionalFormatting sqref="J26">
    <cfRule type="cellIs" dxfId="2719" priority="454" stopIfTrue="1" operator="equal">
      <formula>$I$26</formula>
    </cfRule>
    <cfRule type="cellIs" dxfId="2718" priority="455" stopIfTrue="1" operator="lessThan">
      <formula>$I$26</formula>
    </cfRule>
  </conditionalFormatting>
  <conditionalFormatting sqref="J27">
    <cfRule type="cellIs" dxfId="2717" priority="456" stopIfTrue="1" operator="equal">
      <formula>$I$27</formula>
    </cfRule>
    <cfRule type="cellIs" dxfId="2716" priority="457" stopIfTrue="1" operator="lessThan">
      <formula>$I$27</formula>
    </cfRule>
  </conditionalFormatting>
  <conditionalFormatting sqref="J28">
    <cfRule type="cellIs" dxfId="2715" priority="458" stopIfTrue="1" operator="equal">
      <formula>$I$28</formula>
    </cfRule>
    <cfRule type="cellIs" dxfId="2714" priority="459" stopIfTrue="1" operator="lessThan">
      <formula>$I$28</formula>
    </cfRule>
  </conditionalFormatting>
  <conditionalFormatting sqref="J29">
    <cfRule type="cellIs" dxfId="2713" priority="109" stopIfTrue="1" operator="equal">
      <formula>$I$29</formula>
    </cfRule>
    <cfRule type="cellIs" dxfId="2712" priority="110" stopIfTrue="1" operator="lessThan">
      <formula>$I$29</formula>
    </cfRule>
  </conditionalFormatting>
  <conditionalFormatting sqref="K4">
    <cfRule type="cellIs" dxfId="2711" priority="466" stopIfTrue="1" operator="equal">
      <formula>$J$4</formula>
    </cfRule>
    <cfRule type="cellIs" dxfId="2710" priority="467" stopIfTrue="1" operator="lessThan">
      <formula>$J$4</formula>
    </cfRule>
  </conditionalFormatting>
  <conditionalFormatting sqref="K5">
    <cfRule type="cellIs" dxfId="2709" priority="468" stopIfTrue="1" operator="equal">
      <formula>$J$5</formula>
    </cfRule>
    <cfRule type="cellIs" dxfId="2708" priority="469" stopIfTrue="1" operator="lessThan">
      <formula>$J$5</formula>
    </cfRule>
  </conditionalFormatting>
  <conditionalFormatting sqref="K6">
    <cfRule type="cellIs" dxfId="2707" priority="470" stopIfTrue="1" operator="equal">
      <formula>$J$6</formula>
    </cfRule>
    <cfRule type="cellIs" dxfId="2706" priority="471" stopIfTrue="1" operator="lessThan">
      <formula>$J$6</formula>
    </cfRule>
  </conditionalFormatting>
  <conditionalFormatting sqref="K7">
    <cfRule type="cellIs" dxfId="2705" priority="472" stopIfTrue="1" operator="equal">
      <formula>$J$7</formula>
    </cfRule>
    <cfRule type="cellIs" dxfId="2704" priority="473" stopIfTrue="1" operator="lessThan">
      <formula>$J$7</formula>
    </cfRule>
  </conditionalFormatting>
  <conditionalFormatting sqref="K8">
    <cfRule type="cellIs" dxfId="2703" priority="474" stopIfTrue="1" operator="equal">
      <formula>$J$8</formula>
    </cfRule>
    <cfRule type="cellIs" dxfId="2702" priority="475" stopIfTrue="1" operator="lessThan">
      <formula>$J$8</formula>
    </cfRule>
  </conditionalFormatting>
  <conditionalFormatting sqref="K9">
    <cfRule type="cellIs" dxfId="2701" priority="476" stopIfTrue="1" operator="equal">
      <formula>$J$9</formula>
    </cfRule>
    <cfRule type="cellIs" dxfId="2700" priority="477" stopIfTrue="1" operator="lessThan">
      <formula>$J$9</formula>
    </cfRule>
  </conditionalFormatting>
  <conditionalFormatting sqref="K10">
    <cfRule type="cellIs" dxfId="2699" priority="478" stopIfTrue="1" operator="equal">
      <formula>$J$10</formula>
    </cfRule>
    <cfRule type="cellIs" dxfId="2698" priority="479" stopIfTrue="1" operator="lessThan">
      <formula>$J$10</formula>
    </cfRule>
  </conditionalFormatting>
  <conditionalFormatting sqref="K11">
    <cfRule type="cellIs" dxfId="2697" priority="480" stopIfTrue="1" operator="equal">
      <formula>$J$11</formula>
    </cfRule>
    <cfRule type="cellIs" dxfId="2696" priority="481" stopIfTrue="1" operator="lessThan">
      <formula>$J$11</formula>
    </cfRule>
  </conditionalFormatting>
  <conditionalFormatting sqref="K12">
    <cfRule type="cellIs" dxfId="2695" priority="482" stopIfTrue="1" operator="equal">
      <formula>$J$12</formula>
    </cfRule>
    <cfRule type="cellIs" dxfId="2694" priority="483" stopIfTrue="1" operator="lessThan">
      <formula>$J$12</formula>
    </cfRule>
  </conditionalFormatting>
  <conditionalFormatting sqref="K13">
    <cfRule type="cellIs" dxfId="2693" priority="484" stopIfTrue="1" operator="equal">
      <formula>$J$13</formula>
    </cfRule>
    <cfRule type="cellIs" dxfId="2692" priority="485" stopIfTrue="1" operator="lessThan">
      <formula>$J$13</formula>
    </cfRule>
  </conditionalFormatting>
  <conditionalFormatting sqref="K14">
    <cfRule type="cellIs" dxfId="2691" priority="486" stopIfTrue="1" operator="equal">
      <formula>$J$14</formula>
    </cfRule>
    <cfRule type="cellIs" dxfId="2690" priority="487" stopIfTrue="1" operator="lessThan">
      <formula>$J$14</formula>
    </cfRule>
  </conditionalFormatting>
  <conditionalFormatting sqref="K15">
    <cfRule type="cellIs" dxfId="2689" priority="488" stopIfTrue="1" operator="equal">
      <formula>$J$15</formula>
    </cfRule>
    <cfRule type="cellIs" dxfId="2688" priority="489" stopIfTrue="1" operator="lessThan">
      <formula>$J$15</formula>
    </cfRule>
  </conditionalFormatting>
  <conditionalFormatting sqref="K16">
    <cfRule type="cellIs" dxfId="2687" priority="490" stopIfTrue="1" operator="equal">
      <formula>$J$16</formula>
    </cfRule>
    <cfRule type="cellIs" dxfId="2686" priority="491" stopIfTrue="1" operator="lessThan">
      <formula>$J$16</formula>
    </cfRule>
  </conditionalFormatting>
  <conditionalFormatting sqref="K17">
    <cfRule type="cellIs" dxfId="2685" priority="492" stopIfTrue="1" operator="equal">
      <formula>$J$17</formula>
    </cfRule>
    <cfRule type="cellIs" dxfId="2684" priority="493" stopIfTrue="1" operator="lessThan">
      <formula>$J$17</formula>
    </cfRule>
  </conditionalFormatting>
  <conditionalFormatting sqref="K18">
    <cfRule type="cellIs" dxfId="2683" priority="494" stopIfTrue="1" operator="equal">
      <formula>$J$18</formula>
    </cfRule>
    <cfRule type="cellIs" dxfId="2682" priority="495" stopIfTrue="1" operator="lessThan">
      <formula>$J$18</formula>
    </cfRule>
  </conditionalFormatting>
  <conditionalFormatting sqref="K19">
    <cfRule type="cellIs" dxfId="2681" priority="496" stopIfTrue="1" operator="equal">
      <formula>$J$19</formula>
    </cfRule>
    <cfRule type="cellIs" dxfId="2680" priority="497" stopIfTrue="1" operator="lessThan">
      <formula>$J$19</formula>
    </cfRule>
  </conditionalFormatting>
  <conditionalFormatting sqref="K20">
    <cfRule type="cellIs" dxfId="2679" priority="498" stopIfTrue="1" operator="equal">
      <formula>$J$20</formula>
    </cfRule>
    <cfRule type="cellIs" dxfId="2678" priority="499" stopIfTrue="1" operator="lessThan">
      <formula>$J$20</formula>
    </cfRule>
  </conditionalFormatting>
  <conditionalFormatting sqref="K21">
    <cfRule type="cellIs" dxfId="2677" priority="500" stopIfTrue="1" operator="equal">
      <formula>$J$21</formula>
    </cfRule>
    <cfRule type="cellIs" dxfId="2676" priority="501" stopIfTrue="1" operator="lessThan">
      <formula>$J$21</formula>
    </cfRule>
  </conditionalFormatting>
  <conditionalFormatting sqref="K22">
    <cfRule type="cellIs" dxfId="2675" priority="502" stopIfTrue="1" operator="equal">
      <formula>$J$22</formula>
    </cfRule>
    <cfRule type="cellIs" dxfId="2674" priority="503" stopIfTrue="1" operator="lessThan">
      <formula>$J$22</formula>
    </cfRule>
  </conditionalFormatting>
  <conditionalFormatting sqref="K23">
    <cfRule type="cellIs" dxfId="2673" priority="504" stopIfTrue="1" operator="equal">
      <formula>$J$23</formula>
    </cfRule>
    <cfRule type="cellIs" dxfId="2672" priority="505" stopIfTrue="1" operator="lessThan">
      <formula>$J$23</formula>
    </cfRule>
  </conditionalFormatting>
  <conditionalFormatting sqref="K24">
    <cfRule type="cellIs" dxfId="2671" priority="506" stopIfTrue="1" operator="equal">
      <formula>$J$24</formula>
    </cfRule>
    <cfRule type="cellIs" dxfId="2670" priority="507" stopIfTrue="1" operator="lessThan">
      <formula>$J$24</formula>
    </cfRule>
  </conditionalFormatting>
  <conditionalFormatting sqref="K25">
    <cfRule type="cellIs" dxfId="2669" priority="508" stopIfTrue="1" operator="equal">
      <formula>$J$25</formula>
    </cfRule>
    <cfRule type="cellIs" dxfId="2668" priority="509" stopIfTrue="1" operator="lessThan">
      <formula>$J$25</formula>
    </cfRule>
  </conditionalFormatting>
  <conditionalFormatting sqref="K26">
    <cfRule type="cellIs" dxfId="2667" priority="510" stopIfTrue="1" operator="equal">
      <formula>$J$26</formula>
    </cfRule>
    <cfRule type="cellIs" dxfId="2666" priority="511" stopIfTrue="1" operator="lessThan">
      <formula>$J$26</formula>
    </cfRule>
  </conditionalFormatting>
  <conditionalFormatting sqref="K27">
    <cfRule type="cellIs" dxfId="2665" priority="512" stopIfTrue="1" operator="equal">
      <formula>$J$27</formula>
    </cfRule>
    <cfRule type="cellIs" dxfId="2664" priority="513" stopIfTrue="1" operator="lessThan">
      <formula>$J$27</formula>
    </cfRule>
  </conditionalFormatting>
  <conditionalFormatting sqref="K28">
    <cfRule type="cellIs" dxfId="2663" priority="514" stopIfTrue="1" operator="lessThan">
      <formula>$J$28</formula>
    </cfRule>
    <cfRule type="cellIs" dxfId="2662" priority="515" stopIfTrue="1" operator="equal">
      <formula>$J$28</formula>
    </cfRule>
  </conditionalFormatting>
  <conditionalFormatting sqref="K29">
    <cfRule type="cellIs" dxfId="2661" priority="516" stopIfTrue="1" operator="equal">
      <formula>$J$29</formula>
    </cfRule>
    <cfRule type="cellIs" dxfId="2660" priority="517" stopIfTrue="1" operator="lessThan">
      <formula>$J$29</formula>
    </cfRule>
  </conditionalFormatting>
  <conditionalFormatting sqref="L4">
    <cfRule type="cellIs" dxfId="2659" priority="518" stopIfTrue="1" operator="equal">
      <formula>$K$4</formula>
    </cfRule>
    <cfRule type="cellIs" dxfId="2658" priority="519" stopIfTrue="1" operator="lessThan">
      <formula>$K$4</formula>
    </cfRule>
  </conditionalFormatting>
  <conditionalFormatting sqref="L5">
    <cfRule type="cellIs" dxfId="2657" priority="520" stopIfTrue="1" operator="equal">
      <formula>$K$5</formula>
    </cfRule>
    <cfRule type="cellIs" dxfId="2656" priority="521" stopIfTrue="1" operator="lessThan">
      <formula>$K$5</formula>
    </cfRule>
  </conditionalFormatting>
  <conditionalFormatting sqref="L6">
    <cfRule type="cellIs" dxfId="2655" priority="522" stopIfTrue="1" operator="equal">
      <formula>$K$6</formula>
    </cfRule>
    <cfRule type="cellIs" dxfId="2654" priority="523" stopIfTrue="1" operator="lessThan">
      <formula>$K$6</formula>
    </cfRule>
  </conditionalFormatting>
  <conditionalFormatting sqref="L7">
    <cfRule type="cellIs" dxfId="2653" priority="524" stopIfTrue="1" operator="equal">
      <formula>$K$7</formula>
    </cfRule>
    <cfRule type="cellIs" dxfId="2652" priority="525" stopIfTrue="1" operator="lessThan">
      <formula>$K$7</formula>
    </cfRule>
  </conditionalFormatting>
  <conditionalFormatting sqref="L8">
    <cfRule type="cellIs" dxfId="2651" priority="526" stopIfTrue="1" operator="equal">
      <formula>$K$8</formula>
    </cfRule>
    <cfRule type="cellIs" dxfId="2650" priority="527" stopIfTrue="1" operator="lessThan">
      <formula>$K$8</formula>
    </cfRule>
  </conditionalFormatting>
  <conditionalFormatting sqref="L9">
    <cfRule type="cellIs" dxfId="2649" priority="528" stopIfTrue="1" operator="equal">
      <formula>$K$9</formula>
    </cfRule>
    <cfRule type="cellIs" dxfId="2648" priority="529" stopIfTrue="1" operator="lessThan">
      <formula>$K$9</formula>
    </cfRule>
  </conditionalFormatting>
  <conditionalFormatting sqref="L10">
    <cfRule type="cellIs" dxfId="2647" priority="530" stopIfTrue="1" operator="equal">
      <formula>$K$10</formula>
    </cfRule>
    <cfRule type="cellIs" dxfId="2646" priority="531" stopIfTrue="1" operator="lessThan">
      <formula>$K$10</formula>
    </cfRule>
  </conditionalFormatting>
  <conditionalFormatting sqref="L11">
    <cfRule type="cellIs" dxfId="2645" priority="552" stopIfTrue="1" operator="equal">
      <formula>$K$11</formula>
    </cfRule>
    <cfRule type="cellIs" dxfId="2644" priority="553" stopIfTrue="1" operator="lessThan">
      <formula>$K$11</formula>
    </cfRule>
  </conditionalFormatting>
  <conditionalFormatting sqref="L12">
    <cfRule type="cellIs" dxfId="2643" priority="532" stopIfTrue="1" operator="equal">
      <formula>$K$12</formula>
    </cfRule>
    <cfRule type="cellIs" dxfId="2642" priority="533" stopIfTrue="1" operator="lessThan">
      <formula>$K$12</formula>
    </cfRule>
  </conditionalFormatting>
  <conditionalFormatting sqref="L13">
    <cfRule type="cellIs" dxfId="2641" priority="534" stopIfTrue="1" operator="equal">
      <formula>$K$13</formula>
    </cfRule>
    <cfRule type="cellIs" dxfId="2640" priority="535" stopIfTrue="1" operator="lessThan">
      <formula>$K$13</formula>
    </cfRule>
  </conditionalFormatting>
  <conditionalFormatting sqref="L14">
    <cfRule type="cellIs" dxfId="2639" priority="536" stopIfTrue="1" operator="equal">
      <formula>$K$14</formula>
    </cfRule>
    <cfRule type="cellIs" dxfId="2638" priority="537" stopIfTrue="1" operator="lessThan">
      <formula>$K$14</formula>
    </cfRule>
  </conditionalFormatting>
  <conditionalFormatting sqref="L15">
    <cfRule type="cellIs" dxfId="2637" priority="538" stopIfTrue="1" operator="equal">
      <formula>$K$15</formula>
    </cfRule>
    <cfRule type="cellIs" dxfId="2636" priority="539" stopIfTrue="1" operator="lessThan">
      <formula>$K$15</formula>
    </cfRule>
  </conditionalFormatting>
  <conditionalFormatting sqref="L16">
    <cfRule type="cellIs" dxfId="2635" priority="540" stopIfTrue="1" operator="equal">
      <formula>$K$16</formula>
    </cfRule>
    <cfRule type="cellIs" dxfId="2634" priority="541" stopIfTrue="1" operator="lessThan">
      <formula>$K$16</formula>
    </cfRule>
  </conditionalFormatting>
  <conditionalFormatting sqref="L17">
    <cfRule type="cellIs" dxfId="2633" priority="542" stopIfTrue="1" operator="equal">
      <formula>$K$17</formula>
    </cfRule>
    <cfRule type="cellIs" dxfId="2632" priority="543" stopIfTrue="1" operator="lessThan">
      <formula>$K$17</formula>
    </cfRule>
  </conditionalFormatting>
  <conditionalFormatting sqref="L18">
    <cfRule type="cellIs" dxfId="2631" priority="544" stopIfTrue="1" operator="equal">
      <formula>$K$18</formula>
    </cfRule>
    <cfRule type="cellIs" dxfId="2630" priority="545" stopIfTrue="1" operator="lessThan">
      <formula>$K$18</formula>
    </cfRule>
  </conditionalFormatting>
  <conditionalFormatting sqref="L19">
    <cfRule type="cellIs" dxfId="2629" priority="546" stopIfTrue="1" operator="equal">
      <formula>$K$19</formula>
    </cfRule>
    <cfRule type="cellIs" dxfId="2628" priority="547" stopIfTrue="1" operator="lessThan">
      <formula>$K$19</formula>
    </cfRule>
  </conditionalFormatting>
  <conditionalFormatting sqref="L20">
    <cfRule type="cellIs" dxfId="2627" priority="548" stopIfTrue="1" operator="equal">
      <formula>$K$20</formula>
    </cfRule>
    <cfRule type="cellIs" dxfId="2626" priority="549" stopIfTrue="1" operator="lessThan">
      <formula>$K$20</formula>
    </cfRule>
  </conditionalFormatting>
  <conditionalFormatting sqref="L21">
    <cfRule type="cellIs" dxfId="2625" priority="550" stopIfTrue="1" operator="equal">
      <formula>$K$21</formula>
    </cfRule>
    <cfRule type="cellIs" dxfId="2624" priority="551" stopIfTrue="1" operator="lessThan">
      <formula>$K$21</formula>
    </cfRule>
  </conditionalFormatting>
  <conditionalFormatting sqref="L22">
    <cfRule type="cellIs" dxfId="2623" priority="554" stopIfTrue="1" operator="equal">
      <formula>$K$22</formula>
    </cfRule>
    <cfRule type="cellIs" dxfId="2622" priority="555" stopIfTrue="1" operator="lessThan">
      <formula>$K$22</formula>
    </cfRule>
  </conditionalFormatting>
  <conditionalFormatting sqref="L23">
    <cfRule type="cellIs" dxfId="2621" priority="556" stopIfTrue="1" operator="equal">
      <formula>$K$23</formula>
    </cfRule>
    <cfRule type="cellIs" dxfId="2620" priority="557" stopIfTrue="1" operator="lessThan">
      <formula>$K$23</formula>
    </cfRule>
  </conditionalFormatting>
  <conditionalFormatting sqref="L24">
    <cfRule type="cellIs" dxfId="2619" priority="558" stopIfTrue="1" operator="equal">
      <formula>$K$24</formula>
    </cfRule>
    <cfRule type="cellIs" dxfId="2618" priority="559" stopIfTrue="1" operator="lessThan">
      <formula>$K$24</formula>
    </cfRule>
  </conditionalFormatting>
  <conditionalFormatting sqref="L25">
    <cfRule type="cellIs" dxfId="2617" priority="560" stopIfTrue="1" operator="equal">
      <formula>$K$25</formula>
    </cfRule>
    <cfRule type="cellIs" dxfId="2616" priority="561" stopIfTrue="1" operator="lessThan">
      <formula>$K$25</formula>
    </cfRule>
  </conditionalFormatting>
  <conditionalFormatting sqref="L26">
    <cfRule type="cellIs" dxfId="2615" priority="562" stopIfTrue="1" operator="equal">
      <formula>$K$26</formula>
    </cfRule>
    <cfRule type="cellIs" dxfId="2614" priority="563" stopIfTrue="1" operator="lessThan">
      <formula>$K$26</formula>
    </cfRule>
  </conditionalFormatting>
  <conditionalFormatting sqref="L27">
    <cfRule type="cellIs" dxfId="2613" priority="564" stopIfTrue="1" operator="equal">
      <formula>$K$27</formula>
    </cfRule>
    <cfRule type="cellIs" dxfId="2612" priority="565" stopIfTrue="1" operator="lessThan">
      <formula>$K$27</formula>
    </cfRule>
  </conditionalFormatting>
  <conditionalFormatting sqref="L28">
    <cfRule type="cellIs" dxfId="2611" priority="566" stopIfTrue="1" operator="equal">
      <formula>$K$28</formula>
    </cfRule>
    <cfRule type="cellIs" dxfId="2610" priority="567" stopIfTrue="1" operator="lessThan">
      <formula>$K$28</formula>
    </cfRule>
  </conditionalFormatting>
  <conditionalFormatting sqref="L29">
    <cfRule type="cellIs" dxfId="2609" priority="568" stopIfTrue="1" operator="equal">
      <formula>$K$29</formula>
    </cfRule>
    <cfRule type="cellIs" dxfId="2608" priority="569" stopIfTrue="1" operator="lessThan">
      <formula>$K$29</formula>
    </cfRule>
  </conditionalFormatting>
  <conditionalFormatting sqref="M4">
    <cfRule type="cellIs" dxfId="2607" priority="570" stopIfTrue="1" operator="lessThan">
      <formula>$L$4</formula>
    </cfRule>
    <cfRule type="cellIs" dxfId="2606" priority="571" stopIfTrue="1" operator="equal">
      <formula>$L$4</formula>
    </cfRule>
  </conditionalFormatting>
  <conditionalFormatting sqref="M5">
    <cfRule type="cellIs" dxfId="2605" priority="572" stopIfTrue="1" operator="equal">
      <formula>$L$5</formula>
    </cfRule>
    <cfRule type="cellIs" dxfId="2604" priority="573" stopIfTrue="1" operator="lessThan">
      <formula>$L$5</formula>
    </cfRule>
  </conditionalFormatting>
  <conditionalFormatting sqref="M6">
    <cfRule type="cellIs" dxfId="2603" priority="574" stopIfTrue="1" operator="equal">
      <formula>$L$6</formula>
    </cfRule>
    <cfRule type="cellIs" dxfId="2602" priority="575" stopIfTrue="1" operator="lessThan">
      <formula>$L$6</formula>
    </cfRule>
  </conditionalFormatting>
  <conditionalFormatting sqref="M7">
    <cfRule type="cellIs" dxfId="2601" priority="576" stopIfTrue="1" operator="equal">
      <formula>$L$7</formula>
    </cfRule>
    <cfRule type="cellIs" dxfId="2600" priority="577" stopIfTrue="1" operator="lessThan">
      <formula>$L$7</formula>
    </cfRule>
  </conditionalFormatting>
  <conditionalFormatting sqref="M8">
    <cfRule type="cellIs" dxfId="2599" priority="578" stopIfTrue="1" operator="equal">
      <formula>$L$8</formula>
    </cfRule>
    <cfRule type="cellIs" dxfId="2598" priority="579" stopIfTrue="1" operator="lessThan">
      <formula>$L$8</formula>
    </cfRule>
  </conditionalFormatting>
  <conditionalFormatting sqref="M9">
    <cfRule type="cellIs" dxfId="2597" priority="580" stopIfTrue="1" operator="equal">
      <formula>$L$9</formula>
    </cfRule>
    <cfRule type="cellIs" dxfId="2596" priority="581" stopIfTrue="1" operator="lessThan">
      <formula>$L$9</formula>
    </cfRule>
  </conditionalFormatting>
  <conditionalFormatting sqref="M10">
    <cfRule type="cellIs" dxfId="2595" priority="582" stopIfTrue="1" operator="equal">
      <formula>$L$10</formula>
    </cfRule>
    <cfRule type="cellIs" dxfId="2594" priority="583" stopIfTrue="1" operator="lessThan">
      <formula>$L$10</formula>
    </cfRule>
  </conditionalFormatting>
  <conditionalFormatting sqref="M11">
    <cfRule type="cellIs" dxfId="2593" priority="584" stopIfTrue="1" operator="equal">
      <formula>$L$11</formula>
    </cfRule>
    <cfRule type="cellIs" dxfId="2592" priority="585" stopIfTrue="1" operator="lessThan">
      <formula>$L$11</formula>
    </cfRule>
  </conditionalFormatting>
  <conditionalFormatting sqref="M12">
    <cfRule type="cellIs" dxfId="2591" priority="586" stopIfTrue="1" operator="equal">
      <formula>$L$12</formula>
    </cfRule>
    <cfRule type="cellIs" dxfId="2590" priority="587" stopIfTrue="1" operator="lessThan">
      <formula>$L$12</formula>
    </cfRule>
  </conditionalFormatting>
  <conditionalFormatting sqref="M13">
    <cfRule type="cellIs" dxfId="2589" priority="588" stopIfTrue="1" operator="equal">
      <formula>$L$13</formula>
    </cfRule>
    <cfRule type="cellIs" dxfId="2588" priority="589" stopIfTrue="1" operator="lessThan">
      <formula>$L$13</formula>
    </cfRule>
  </conditionalFormatting>
  <conditionalFormatting sqref="M14">
    <cfRule type="cellIs" dxfId="2587" priority="590" stopIfTrue="1" operator="equal">
      <formula>$L$14</formula>
    </cfRule>
    <cfRule type="cellIs" dxfId="2586" priority="591" stopIfTrue="1" operator="lessThan">
      <formula>$L$14</formula>
    </cfRule>
  </conditionalFormatting>
  <conditionalFormatting sqref="M15">
    <cfRule type="cellIs" dxfId="2585" priority="592" stopIfTrue="1" operator="equal">
      <formula>$L$15</formula>
    </cfRule>
    <cfRule type="cellIs" dxfId="2584" priority="593" stopIfTrue="1" operator="lessThan">
      <formula>$L$15</formula>
    </cfRule>
  </conditionalFormatting>
  <conditionalFormatting sqref="M16">
    <cfRule type="cellIs" dxfId="2583" priority="594" stopIfTrue="1" operator="equal">
      <formula>$L$16</formula>
    </cfRule>
    <cfRule type="cellIs" dxfId="2582" priority="595" stopIfTrue="1" operator="lessThan">
      <formula>$L$16</formula>
    </cfRule>
  </conditionalFormatting>
  <conditionalFormatting sqref="M17">
    <cfRule type="cellIs" dxfId="2581" priority="596" stopIfTrue="1" operator="equal">
      <formula>$L$17</formula>
    </cfRule>
    <cfRule type="cellIs" dxfId="2580" priority="597" stopIfTrue="1" operator="lessThan">
      <formula>$L$17</formula>
    </cfRule>
  </conditionalFormatting>
  <conditionalFormatting sqref="M18">
    <cfRule type="cellIs" dxfId="2579" priority="598" stopIfTrue="1" operator="equal">
      <formula>$L$18</formula>
    </cfRule>
    <cfRule type="cellIs" dxfId="2578" priority="599" stopIfTrue="1" operator="lessThan">
      <formula>$L$18</formula>
    </cfRule>
  </conditionalFormatting>
  <conditionalFormatting sqref="M19">
    <cfRule type="cellIs" dxfId="2577" priority="600" stopIfTrue="1" operator="equal">
      <formula>$L$19</formula>
    </cfRule>
    <cfRule type="cellIs" dxfId="2576" priority="601" stopIfTrue="1" operator="lessThan">
      <formula>$L$19</formula>
    </cfRule>
  </conditionalFormatting>
  <conditionalFormatting sqref="M20">
    <cfRule type="cellIs" dxfId="2575" priority="602" stopIfTrue="1" operator="equal">
      <formula>$L$20</formula>
    </cfRule>
    <cfRule type="cellIs" dxfId="2574" priority="603" stopIfTrue="1" operator="lessThan">
      <formula>$L$20</formula>
    </cfRule>
  </conditionalFormatting>
  <conditionalFormatting sqref="M21">
    <cfRule type="cellIs" dxfId="2573" priority="604" stopIfTrue="1" operator="equal">
      <formula>$L$21</formula>
    </cfRule>
    <cfRule type="cellIs" dxfId="2572" priority="605" stopIfTrue="1" operator="lessThan">
      <formula>$L$21</formula>
    </cfRule>
  </conditionalFormatting>
  <conditionalFormatting sqref="M22">
    <cfRule type="cellIs" dxfId="2571" priority="606" stopIfTrue="1" operator="equal">
      <formula>$L$22</formula>
    </cfRule>
    <cfRule type="cellIs" dxfId="2570" priority="607" stopIfTrue="1" operator="lessThan">
      <formula>$L$22</formula>
    </cfRule>
  </conditionalFormatting>
  <conditionalFormatting sqref="M23">
    <cfRule type="cellIs" dxfId="2569" priority="608" stopIfTrue="1" operator="equal">
      <formula>$L$23</formula>
    </cfRule>
    <cfRule type="cellIs" dxfId="2568" priority="609" stopIfTrue="1" operator="lessThan">
      <formula>$L$23</formula>
    </cfRule>
  </conditionalFormatting>
  <conditionalFormatting sqref="M24">
    <cfRule type="cellIs" dxfId="2567" priority="610" stopIfTrue="1" operator="equal">
      <formula>$L$24</formula>
    </cfRule>
    <cfRule type="cellIs" dxfId="2566" priority="611" stopIfTrue="1" operator="lessThan">
      <formula>$L$24</formula>
    </cfRule>
  </conditionalFormatting>
  <conditionalFormatting sqref="M25">
    <cfRule type="cellIs" dxfId="2565" priority="612" stopIfTrue="1" operator="equal">
      <formula>$L$25</formula>
    </cfRule>
    <cfRule type="cellIs" dxfId="2564" priority="613" stopIfTrue="1" operator="lessThan">
      <formula>$L$25</formula>
    </cfRule>
  </conditionalFormatting>
  <conditionalFormatting sqref="M26">
    <cfRule type="cellIs" dxfId="2563" priority="614" stopIfTrue="1" operator="equal">
      <formula>$L$26</formula>
    </cfRule>
    <cfRule type="cellIs" dxfId="2562" priority="615" stopIfTrue="1" operator="lessThan">
      <formula>$L$26</formula>
    </cfRule>
  </conditionalFormatting>
  <conditionalFormatting sqref="M27">
    <cfRule type="cellIs" dxfId="2561" priority="616" stopIfTrue="1" operator="equal">
      <formula>$L$27</formula>
    </cfRule>
    <cfRule type="cellIs" dxfId="2560" priority="617" stopIfTrue="1" operator="lessThan">
      <formula>$L$27</formula>
    </cfRule>
  </conditionalFormatting>
  <conditionalFormatting sqref="M28">
    <cfRule type="cellIs" dxfId="2559" priority="618" stopIfTrue="1" operator="equal">
      <formula>$L$28</formula>
    </cfRule>
    <cfRule type="cellIs" dxfId="2558" priority="619" stopIfTrue="1" operator="lessThan">
      <formula>$L$28</formula>
    </cfRule>
  </conditionalFormatting>
  <conditionalFormatting sqref="M29">
    <cfRule type="cellIs" dxfId="2557" priority="620" stopIfTrue="1" operator="equal">
      <formula>$L$29</formula>
    </cfRule>
    <cfRule type="cellIs" dxfId="2556" priority="621" stopIfTrue="1" operator="lessThan">
      <formula>$L$29</formula>
    </cfRule>
  </conditionalFormatting>
  <conditionalFormatting sqref="N4">
    <cfRule type="cellIs" dxfId="2555" priority="622" stopIfTrue="1" operator="equal">
      <formula>$M$4</formula>
    </cfRule>
    <cfRule type="cellIs" dxfId="2554" priority="623" stopIfTrue="1" operator="lessThan">
      <formula>$M$4</formula>
    </cfRule>
  </conditionalFormatting>
  <conditionalFormatting sqref="N5">
    <cfRule type="cellIs" dxfId="2553" priority="624" stopIfTrue="1" operator="equal">
      <formula>$M$5</formula>
    </cfRule>
    <cfRule type="cellIs" dxfId="2552" priority="625" stopIfTrue="1" operator="lessThan">
      <formula>$M$5</formula>
    </cfRule>
  </conditionalFormatting>
  <conditionalFormatting sqref="N6">
    <cfRule type="cellIs" dxfId="2551" priority="626" stopIfTrue="1" operator="equal">
      <formula>$M$6</formula>
    </cfRule>
    <cfRule type="cellIs" dxfId="2550" priority="627" stopIfTrue="1" operator="lessThan">
      <formula>$M$6</formula>
    </cfRule>
  </conditionalFormatting>
  <conditionalFormatting sqref="N7">
    <cfRule type="cellIs" dxfId="2549" priority="628" stopIfTrue="1" operator="equal">
      <formula>$M$7</formula>
    </cfRule>
    <cfRule type="cellIs" dxfId="2548" priority="629" stopIfTrue="1" operator="lessThan">
      <formula>$M$7</formula>
    </cfRule>
  </conditionalFormatting>
  <conditionalFormatting sqref="N8">
    <cfRule type="cellIs" dxfId="2547" priority="630" stopIfTrue="1" operator="equal">
      <formula>$M$8</formula>
    </cfRule>
    <cfRule type="cellIs" dxfId="2546" priority="631" stopIfTrue="1" operator="lessThan">
      <formula>$M$8</formula>
    </cfRule>
  </conditionalFormatting>
  <conditionalFormatting sqref="N9">
    <cfRule type="cellIs" dxfId="2545" priority="632" stopIfTrue="1" operator="equal">
      <formula>$M$9</formula>
    </cfRule>
    <cfRule type="cellIs" dxfId="2544" priority="633" stopIfTrue="1" operator="lessThan">
      <formula>$M$9</formula>
    </cfRule>
  </conditionalFormatting>
  <conditionalFormatting sqref="N10">
    <cfRule type="cellIs" dxfId="2543" priority="634" stopIfTrue="1" operator="equal">
      <formula>$M$10</formula>
    </cfRule>
    <cfRule type="cellIs" dxfId="2542" priority="635" stopIfTrue="1" operator="lessThan">
      <formula>$M$10</formula>
    </cfRule>
  </conditionalFormatting>
  <conditionalFormatting sqref="N11">
    <cfRule type="cellIs" dxfId="2541" priority="636" stopIfTrue="1" operator="equal">
      <formula>$M$11</formula>
    </cfRule>
    <cfRule type="cellIs" dxfId="2540" priority="637" stopIfTrue="1" operator="lessThan">
      <formula>$M$11</formula>
    </cfRule>
  </conditionalFormatting>
  <conditionalFormatting sqref="N12">
    <cfRule type="cellIs" dxfId="2539" priority="638" stopIfTrue="1" operator="equal">
      <formula>$M$12</formula>
    </cfRule>
    <cfRule type="cellIs" dxfId="2538" priority="639" stopIfTrue="1" operator="lessThan">
      <formula>$M$12</formula>
    </cfRule>
  </conditionalFormatting>
  <conditionalFormatting sqref="N13">
    <cfRule type="cellIs" dxfId="2537" priority="640" stopIfTrue="1" operator="equal">
      <formula>$M$13</formula>
    </cfRule>
    <cfRule type="cellIs" dxfId="2536" priority="641" stopIfTrue="1" operator="lessThan">
      <formula>$M$13</formula>
    </cfRule>
  </conditionalFormatting>
  <conditionalFormatting sqref="N14">
    <cfRule type="cellIs" dxfId="2535" priority="642" stopIfTrue="1" operator="equal">
      <formula>$M$14</formula>
    </cfRule>
    <cfRule type="cellIs" dxfId="2534" priority="643" stopIfTrue="1" operator="lessThan">
      <formula>$M$14</formula>
    </cfRule>
  </conditionalFormatting>
  <conditionalFormatting sqref="N15">
    <cfRule type="cellIs" dxfId="2533" priority="644" stopIfTrue="1" operator="equal">
      <formula>$M$15</formula>
    </cfRule>
    <cfRule type="cellIs" dxfId="2532" priority="645" stopIfTrue="1" operator="lessThan">
      <formula>$M$15</formula>
    </cfRule>
  </conditionalFormatting>
  <conditionalFormatting sqref="N16">
    <cfRule type="cellIs" dxfId="2531" priority="646" stopIfTrue="1" operator="equal">
      <formula>$M$16</formula>
    </cfRule>
    <cfRule type="cellIs" dxfId="2530" priority="647" stopIfTrue="1" operator="lessThan">
      <formula>$M$16</formula>
    </cfRule>
  </conditionalFormatting>
  <conditionalFormatting sqref="N17">
    <cfRule type="cellIs" dxfId="2529" priority="648" stopIfTrue="1" operator="equal">
      <formula>$M$17</formula>
    </cfRule>
    <cfRule type="cellIs" dxfId="2528" priority="649" stopIfTrue="1" operator="lessThan">
      <formula>$M$17</formula>
    </cfRule>
  </conditionalFormatting>
  <conditionalFormatting sqref="N18">
    <cfRule type="cellIs" dxfId="2527" priority="650" stopIfTrue="1" operator="equal">
      <formula>$M$18</formula>
    </cfRule>
    <cfRule type="cellIs" dxfId="2526" priority="651" stopIfTrue="1" operator="lessThan">
      <formula>$M$18</formula>
    </cfRule>
  </conditionalFormatting>
  <conditionalFormatting sqref="N19">
    <cfRule type="cellIs" dxfId="2525" priority="652" stopIfTrue="1" operator="equal">
      <formula>$M$19</formula>
    </cfRule>
    <cfRule type="cellIs" dxfId="2524" priority="653" stopIfTrue="1" operator="lessThan">
      <formula>$M$19</formula>
    </cfRule>
  </conditionalFormatting>
  <conditionalFormatting sqref="N20">
    <cfRule type="cellIs" dxfId="2523" priority="654" stopIfTrue="1" operator="equal">
      <formula>$M$20</formula>
    </cfRule>
    <cfRule type="cellIs" dxfId="2522" priority="655" stopIfTrue="1" operator="lessThan">
      <formula>$M$20</formula>
    </cfRule>
  </conditionalFormatting>
  <conditionalFormatting sqref="N21">
    <cfRule type="cellIs" dxfId="2521" priority="656" stopIfTrue="1" operator="equal">
      <formula>$M$21</formula>
    </cfRule>
    <cfRule type="cellIs" dxfId="2520" priority="657" stopIfTrue="1" operator="lessThan">
      <formula>$M$21</formula>
    </cfRule>
  </conditionalFormatting>
  <conditionalFormatting sqref="N22">
    <cfRule type="cellIs" dxfId="2519" priority="658" stopIfTrue="1" operator="equal">
      <formula>$M$22</formula>
    </cfRule>
    <cfRule type="cellIs" dxfId="2518" priority="659" stopIfTrue="1" operator="lessThan">
      <formula>$M$22</formula>
    </cfRule>
  </conditionalFormatting>
  <conditionalFormatting sqref="N23">
    <cfRule type="cellIs" dxfId="2517" priority="660" stopIfTrue="1" operator="equal">
      <formula>$M$23</formula>
    </cfRule>
    <cfRule type="cellIs" dxfId="2516" priority="661" stopIfTrue="1" operator="lessThan">
      <formula>$M$23</formula>
    </cfRule>
  </conditionalFormatting>
  <conditionalFormatting sqref="N24">
    <cfRule type="cellIs" dxfId="2515" priority="662" stopIfTrue="1" operator="equal">
      <formula>$M$24</formula>
    </cfRule>
    <cfRule type="cellIs" dxfId="2514" priority="663" stopIfTrue="1" operator="lessThan">
      <formula>$M$24</formula>
    </cfRule>
  </conditionalFormatting>
  <conditionalFormatting sqref="N25">
    <cfRule type="cellIs" dxfId="2513" priority="664" stopIfTrue="1" operator="equal">
      <formula>$M$25</formula>
    </cfRule>
    <cfRule type="cellIs" dxfId="2512" priority="665" stopIfTrue="1" operator="lessThan">
      <formula>$M$25</formula>
    </cfRule>
  </conditionalFormatting>
  <conditionalFormatting sqref="N26">
    <cfRule type="cellIs" dxfId="2511" priority="666" stopIfTrue="1" operator="equal">
      <formula>$M$26</formula>
    </cfRule>
    <cfRule type="cellIs" dxfId="2510" priority="667" stopIfTrue="1" operator="lessThan">
      <formula>$M$26</formula>
    </cfRule>
  </conditionalFormatting>
  <conditionalFormatting sqref="N27">
    <cfRule type="cellIs" dxfId="2509" priority="668" stopIfTrue="1" operator="equal">
      <formula>$M$27</formula>
    </cfRule>
    <cfRule type="cellIs" dxfId="2508" priority="669" stopIfTrue="1" operator="lessThan">
      <formula>$M$27</formula>
    </cfRule>
  </conditionalFormatting>
  <conditionalFormatting sqref="N28">
    <cfRule type="cellIs" dxfId="2507" priority="670" stopIfTrue="1" operator="equal">
      <formula>$M$28</formula>
    </cfRule>
    <cfRule type="cellIs" dxfId="2506" priority="671" stopIfTrue="1" operator="lessThan">
      <formula>$M$28</formula>
    </cfRule>
  </conditionalFormatting>
  <conditionalFormatting sqref="N29">
    <cfRule type="cellIs" dxfId="2505" priority="672" stopIfTrue="1" operator="equal">
      <formula>$M$29</formula>
    </cfRule>
    <cfRule type="cellIs" dxfId="2504" priority="673" stopIfTrue="1" operator="lessThan">
      <formula>$M$29</formula>
    </cfRule>
  </conditionalFormatting>
  <conditionalFormatting sqref="O4">
    <cfRule type="cellIs" dxfId="2503" priority="675" stopIfTrue="1" operator="lessThan">
      <formula>$N$4</formula>
    </cfRule>
  </conditionalFormatting>
  <conditionalFormatting sqref="O5">
    <cfRule type="cellIs" dxfId="2502" priority="676" stopIfTrue="1" operator="equal">
      <formula>$N$5</formula>
    </cfRule>
    <cfRule type="cellIs" dxfId="2501" priority="677" stopIfTrue="1" operator="lessThan">
      <formula>$N$5</formula>
    </cfRule>
  </conditionalFormatting>
  <conditionalFormatting sqref="O6">
    <cfRule type="cellIs" dxfId="2500" priority="678" stopIfTrue="1" operator="equal">
      <formula>$N$6</formula>
    </cfRule>
    <cfRule type="cellIs" dxfId="2499" priority="679" stopIfTrue="1" operator="lessThan">
      <formula>$N$6</formula>
    </cfRule>
  </conditionalFormatting>
  <conditionalFormatting sqref="O7">
    <cfRule type="cellIs" dxfId="2498" priority="680" stopIfTrue="1" operator="equal">
      <formula>$N$7</formula>
    </cfRule>
    <cfRule type="cellIs" dxfId="2497" priority="681" stopIfTrue="1" operator="lessThan">
      <formula>$N$7</formula>
    </cfRule>
  </conditionalFormatting>
  <conditionalFormatting sqref="O8">
    <cfRule type="cellIs" dxfId="2496" priority="682" stopIfTrue="1" operator="equal">
      <formula>$N$8</formula>
    </cfRule>
    <cfRule type="cellIs" dxfId="2495" priority="683" stopIfTrue="1" operator="lessThan">
      <formula>$N$8</formula>
    </cfRule>
  </conditionalFormatting>
  <conditionalFormatting sqref="O9">
    <cfRule type="cellIs" dxfId="2494" priority="684" stopIfTrue="1" operator="equal">
      <formula>$N$9</formula>
    </cfRule>
    <cfRule type="cellIs" dxfId="2493" priority="685" stopIfTrue="1" operator="lessThan">
      <formula>$N$9</formula>
    </cfRule>
  </conditionalFormatting>
  <conditionalFormatting sqref="O10">
    <cfRule type="cellIs" dxfId="2492" priority="686" stopIfTrue="1" operator="equal">
      <formula>$N$10</formula>
    </cfRule>
    <cfRule type="cellIs" dxfId="2491" priority="687" stopIfTrue="1" operator="lessThan">
      <formula>$N$10</formula>
    </cfRule>
  </conditionalFormatting>
  <conditionalFormatting sqref="O11">
    <cfRule type="cellIs" dxfId="2490" priority="688" stopIfTrue="1" operator="equal">
      <formula>$N$11</formula>
    </cfRule>
    <cfRule type="cellIs" dxfId="2489" priority="689" stopIfTrue="1" operator="lessThan">
      <formula>$N$11</formula>
    </cfRule>
  </conditionalFormatting>
  <conditionalFormatting sqref="O12">
    <cfRule type="cellIs" dxfId="2488" priority="690" stopIfTrue="1" operator="equal">
      <formula>$N$12</formula>
    </cfRule>
    <cfRule type="cellIs" dxfId="2487" priority="691" stopIfTrue="1" operator="lessThan">
      <formula>$N$12</formula>
    </cfRule>
  </conditionalFormatting>
  <conditionalFormatting sqref="O13">
    <cfRule type="cellIs" dxfId="2486" priority="692" stopIfTrue="1" operator="equal">
      <formula>$N$13</formula>
    </cfRule>
    <cfRule type="cellIs" dxfId="2485" priority="693" stopIfTrue="1" operator="lessThan">
      <formula>$N$13</formula>
    </cfRule>
  </conditionalFormatting>
  <conditionalFormatting sqref="O14">
    <cfRule type="cellIs" dxfId="2484" priority="694" stopIfTrue="1" operator="equal">
      <formula>$N$14</formula>
    </cfRule>
    <cfRule type="cellIs" dxfId="2483" priority="695" stopIfTrue="1" operator="lessThan">
      <formula>$N$14</formula>
    </cfRule>
  </conditionalFormatting>
  <conditionalFormatting sqref="O15">
    <cfRule type="cellIs" dxfId="2482" priority="696" stopIfTrue="1" operator="equal">
      <formula>$N$15</formula>
    </cfRule>
    <cfRule type="cellIs" dxfId="2481" priority="697" stopIfTrue="1" operator="lessThan">
      <formula>$N$15</formula>
    </cfRule>
  </conditionalFormatting>
  <conditionalFormatting sqref="O16">
    <cfRule type="cellIs" dxfId="2480" priority="698" stopIfTrue="1" operator="equal">
      <formula>$N$16</formula>
    </cfRule>
    <cfRule type="cellIs" dxfId="2479" priority="699" stopIfTrue="1" operator="lessThan">
      <formula>$N$16</formula>
    </cfRule>
  </conditionalFormatting>
  <conditionalFormatting sqref="O17">
    <cfRule type="cellIs" dxfId="2478" priority="700" stopIfTrue="1" operator="equal">
      <formula>$N$17</formula>
    </cfRule>
    <cfRule type="cellIs" dxfId="2477" priority="701" stopIfTrue="1" operator="lessThan">
      <formula>$N$17</formula>
    </cfRule>
  </conditionalFormatting>
  <conditionalFormatting sqref="O18">
    <cfRule type="cellIs" dxfId="2476" priority="702" stopIfTrue="1" operator="equal">
      <formula>$N$18</formula>
    </cfRule>
    <cfRule type="cellIs" dxfId="2475" priority="703" stopIfTrue="1" operator="lessThan">
      <formula>$N$18</formula>
    </cfRule>
  </conditionalFormatting>
  <conditionalFormatting sqref="O19">
    <cfRule type="cellIs" dxfId="2474" priority="704" stopIfTrue="1" operator="equal">
      <formula>$N$19</formula>
    </cfRule>
    <cfRule type="cellIs" dxfId="2473" priority="705" stopIfTrue="1" operator="lessThan">
      <formula>$N$19</formula>
    </cfRule>
  </conditionalFormatting>
  <conditionalFormatting sqref="O20">
    <cfRule type="cellIs" dxfId="2472" priority="706" stopIfTrue="1" operator="equal">
      <formula>$N$20</formula>
    </cfRule>
    <cfRule type="cellIs" dxfId="2471" priority="707" stopIfTrue="1" operator="lessThan">
      <formula>$N$20</formula>
    </cfRule>
  </conditionalFormatting>
  <conditionalFormatting sqref="O21">
    <cfRule type="cellIs" dxfId="2470" priority="708" stopIfTrue="1" operator="equal">
      <formula>$N$21</formula>
    </cfRule>
    <cfRule type="cellIs" dxfId="2469" priority="709" stopIfTrue="1" operator="lessThan">
      <formula>$N$21</formula>
    </cfRule>
  </conditionalFormatting>
  <conditionalFormatting sqref="O22">
    <cfRule type="cellIs" dxfId="2468" priority="710" stopIfTrue="1" operator="equal">
      <formula>$N$22</formula>
    </cfRule>
    <cfRule type="cellIs" dxfId="2467" priority="711" stopIfTrue="1" operator="lessThan">
      <formula>$N$22</formula>
    </cfRule>
  </conditionalFormatting>
  <conditionalFormatting sqref="O23">
    <cfRule type="cellIs" dxfId="2466" priority="712" stopIfTrue="1" operator="equal">
      <formula>$N$23</formula>
    </cfRule>
    <cfRule type="cellIs" dxfId="2465" priority="713" stopIfTrue="1" operator="lessThan">
      <formula>$N$23</formula>
    </cfRule>
  </conditionalFormatting>
  <conditionalFormatting sqref="O24">
    <cfRule type="cellIs" dxfId="2464" priority="714" stopIfTrue="1" operator="equal">
      <formula>$N$24</formula>
    </cfRule>
    <cfRule type="cellIs" dxfId="2463" priority="715" stopIfTrue="1" operator="lessThan">
      <formula>$N$24</formula>
    </cfRule>
  </conditionalFormatting>
  <conditionalFormatting sqref="O25">
    <cfRule type="cellIs" dxfId="2462" priority="716" stopIfTrue="1" operator="equal">
      <formula>$N$25</formula>
    </cfRule>
    <cfRule type="cellIs" dxfId="2461" priority="717" stopIfTrue="1" operator="lessThan">
      <formula>$N$25</formula>
    </cfRule>
  </conditionalFormatting>
  <conditionalFormatting sqref="O26">
    <cfRule type="cellIs" dxfId="2460" priority="718" stopIfTrue="1" operator="equal">
      <formula>$N$26</formula>
    </cfRule>
    <cfRule type="cellIs" dxfId="2459" priority="719" stopIfTrue="1" operator="lessThan">
      <formula>$N$26</formula>
    </cfRule>
  </conditionalFormatting>
  <conditionalFormatting sqref="O27">
    <cfRule type="cellIs" dxfId="2458" priority="720" stopIfTrue="1" operator="equal">
      <formula>$N$27</formula>
    </cfRule>
    <cfRule type="cellIs" dxfId="2457" priority="721" stopIfTrue="1" operator="lessThan">
      <formula>$N$27</formula>
    </cfRule>
  </conditionalFormatting>
  <conditionalFormatting sqref="O28">
    <cfRule type="cellIs" dxfId="2456" priority="722" stopIfTrue="1" operator="equal">
      <formula>$N$28</formula>
    </cfRule>
    <cfRule type="cellIs" dxfId="2455" priority="723" stopIfTrue="1" operator="lessThan">
      <formula>$N$28</formula>
    </cfRule>
  </conditionalFormatting>
  <conditionalFormatting sqref="O29">
    <cfRule type="cellIs" dxfId="2454" priority="724" stopIfTrue="1" operator="equal">
      <formula>$N$29</formula>
    </cfRule>
    <cfRule type="cellIs" dxfId="2453" priority="725" stopIfTrue="1" operator="lessThan">
      <formula>$N$29</formula>
    </cfRule>
  </conditionalFormatting>
  <conditionalFormatting sqref="U4:AF33">
    <cfRule type="cellIs" dxfId="2452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scale="97" firstPageNumber="0" orientation="landscape" r:id="rId1"/>
  <headerFooter alignWithMargins="0"/>
  <colBreaks count="1" manualBreakCount="1">
    <brk id="1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4"/>
  <sheetViews>
    <sheetView topLeftCell="A13" workbookViewId="0">
      <selection activeCell="O2" sqref="O2"/>
    </sheetView>
  </sheetViews>
  <sheetFormatPr defaultRowHeight="14.5" x14ac:dyDescent="0.35"/>
  <cols>
    <col min="1" max="1" width="8.54296875" customWidth="1"/>
    <col min="2" max="2" width="26.1796875" customWidth="1"/>
    <col min="3" max="15" width="10.1796875" customWidth="1"/>
    <col min="16" max="16" width="9.54296875" customWidth="1"/>
    <col min="17" max="17" width="9.81640625" bestFit="1" customWidth="1"/>
    <col min="18" max="18" width="9.26953125" bestFit="1" customWidth="1"/>
    <col min="19" max="19" width="4" customWidth="1"/>
  </cols>
  <sheetData>
    <row r="1" spans="1:32" ht="15" thickBot="1" x14ac:dyDescent="0.4"/>
    <row r="2" spans="1:32" s="1" customFormat="1" ht="21" customHeight="1" thickBot="1" x14ac:dyDescent="0.55000000000000004">
      <c r="A2" s="112">
        <v>1854</v>
      </c>
      <c r="B2" s="2"/>
      <c r="C2" s="3">
        <f>'1850'!C2</f>
        <v>45658</v>
      </c>
      <c r="D2" s="3">
        <f>'1850'!D2</f>
        <v>45688</v>
      </c>
      <c r="E2" s="3">
        <f>'1850'!E2</f>
        <v>45716</v>
      </c>
      <c r="F2" s="3">
        <f>'1850'!F2</f>
        <v>45748</v>
      </c>
      <c r="G2" s="3">
        <f>'1850'!G2</f>
        <v>45779</v>
      </c>
      <c r="H2" s="3">
        <f>'1850'!H2</f>
        <v>45810</v>
      </c>
      <c r="I2" s="3">
        <f>'1850'!I2</f>
        <v>45839</v>
      </c>
      <c r="J2" s="3">
        <f>'1850'!J2</f>
        <v>45870</v>
      </c>
      <c r="K2" s="3">
        <f>'1850'!K2</f>
        <v>45901</v>
      </c>
      <c r="L2" s="3">
        <f>'1850'!L2</f>
        <v>45931</v>
      </c>
      <c r="M2" s="3">
        <f>'1850'!M2</f>
        <v>45961</v>
      </c>
      <c r="N2" s="3">
        <f>'1850'!N2</f>
        <v>45992</v>
      </c>
      <c r="O2" s="3">
        <f>'1850'!O2</f>
        <v>46022</v>
      </c>
      <c r="P2" s="1" t="s">
        <v>0</v>
      </c>
      <c r="Q2" s="1" t="s">
        <v>1</v>
      </c>
      <c r="R2" s="1" t="s">
        <v>27</v>
      </c>
      <c r="U2" s="142"/>
      <c r="V2" s="143"/>
      <c r="W2" s="143"/>
      <c r="X2" s="143"/>
      <c r="Y2" s="143" t="s">
        <v>106</v>
      </c>
      <c r="Z2" s="143"/>
      <c r="AA2" s="143"/>
      <c r="AB2" s="143"/>
      <c r="AC2" s="143"/>
      <c r="AD2" s="143"/>
      <c r="AE2" s="143"/>
      <c r="AF2" s="147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79</v>
      </c>
      <c r="Q3" s="1" t="s">
        <v>78</v>
      </c>
      <c r="R3" s="1" t="s">
        <v>80</v>
      </c>
      <c r="T3" s="1" t="s">
        <v>105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303">
        <v>1</v>
      </c>
      <c r="B4" s="6" t="s">
        <v>385</v>
      </c>
      <c r="C4" s="7">
        <v>2.875</v>
      </c>
      <c r="D4" s="7">
        <v>5.601</v>
      </c>
      <c r="E4" s="7">
        <v>8.5860000000000003</v>
      </c>
      <c r="F4" s="7">
        <v>11.769</v>
      </c>
      <c r="G4" s="7">
        <v>14.679</v>
      </c>
      <c r="H4" s="7">
        <v>17.783999999999999</v>
      </c>
      <c r="I4" s="7">
        <v>20.428000000000001</v>
      </c>
      <c r="J4" s="7">
        <v>22.024000000000001</v>
      </c>
      <c r="K4" s="7">
        <v>24.696000000000002</v>
      </c>
      <c r="L4" s="8">
        <v>27.324999999999999</v>
      </c>
      <c r="M4" s="7">
        <v>30.501999999999999</v>
      </c>
      <c r="N4" s="7">
        <v>33.554000000000002</v>
      </c>
      <c r="O4" s="7">
        <v>36.432000000000002</v>
      </c>
      <c r="P4" s="9">
        <f>O4-C4</f>
        <v>33.557000000000002</v>
      </c>
      <c r="T4" s="1">
        <v>1</v>
      </c>
      <c r="U4" s="144">
        <f t="shared" ref="U4:AF4" si="0">D4-C4</f>
        <v>2.726</v>
      </c>
      <c r="V4" s="144">
        <f t="shared" si="0"/>
        <v>2.9850000000000003</v>
      </c>
      <c r="W4" s="144">
        <f t="shared" si="0"/>
        <v>3.1829999999999998</v>
      </c>
      <c r="X4" s="144">
        <f t="shared" si="0"/>
        <v>2.91</v>
      </c>
      <c r="Y4" s="144">
        <f t="shared" si="0"/>
        <v>3.1049999999999986</v>
      </c>
      <c r="Z4" s="144">
        <f t="shared" si="0"/>
        <v>2.6440000000000019</v>
      </c>
      <c r="AA4" s="144">
        <f t="shared" si="0"/>
        <v>1.5960000000000001</v>
      </c>
      <c r="AB4" s="144">
        <f t="shared" si="0"/>
        <v>2.6720000000000006</v>
      </c>
      <c r="AC4" s="144">
        <f t="shared" si="0"/>
        <v>2.6289999999999978</v>
      </c>
      <c r="AD4" s="144">
        <f t="shared" si="0"/>
        <v>3.1769999999999996</v>
      </c>
      <c r="AE4" s="144">
        <f t="shared" si="0"/>
        <v>3.0520000000000032</v>
      </c>
      <c r="AF4" s="144">
        <f t="shared" si="0"/>
        <v>2.8780000000000001</v>
      </c>
    </row>
    <row r="5" spans="1:32" x14ac:dyDescent="0.35">
      <c r="A5" s="303"/>
      <c r="B5" s="10" t="s">
        <v>231</v>
      </c>
      <c r="C5" s="11">
        <v>69.397999999999996</v>
      </c>
      <c r="D5" s="11">
        <v>73.494</v>
      </c>
      <c r="E5" s="11">
        <v>77.222999999999999</v>
      </c>
      <c r="F5" s="11">
        <v>78.867999999999995</v>
      </c>
      <c r="G5" s="11">
        <v>79.344999999999999</v>
      </c>
      <c r="H5" s="11">
        <v>79.566999999999993</v>
      </c>
      <c r="I5" s="11">
        <v>79.772999999999996</v>
      </c>
      <c r="J5" s="11">
        <v>79.927999999999997</v>
      </c>
      <c r="K5" s="11">
        <v>80.138000000000005</v>
      </c>
      <c r="L5" s="12">
        <v>80.421000000000006</v>
      </c>
      <c r="M5" s="11">
        <v>81.352000000000004</v>
      </c>
      <c r="N5" s="11">
        <v>83.858000000000004</v>
      </c>
      <c r="O5" s="11">
        <v>87.096000000000004</v>
      </c>
      <c r="P5" s="9"/>
      <c r="Q5" s="9">
        <f>O5-C5</f>
        <v>17.698000000000008</v>
      </c>
      <c r="T5" s="1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</row>
    <row r="6" spans="1:32" x14ac:dyDescent="0.35">
      <c r="A6" s="302">
        <v>2</v>
      </c>
      <c r="B6" s="10" t="s">
        <v>386</v>
      </c>
      <c r="C6" s="11">
        <v>5.8</v>
      </c>
      <c r="D6" s="11">
        <v>9.9250000000000007</v>
      </c>
      <c r="E6" s="11">
        <v>15.534000000000001</v>
      </c>
      <c r="F6" s="11">
        <v>22.283999999999999</v>
      </c>
      <c r="G6" s="11">
        <v>27.925000000000001</v>
      </c>
      <c r="H6" s="11">
        <v>33.204999999999998</v>
      </c>
      <c r="I6" s="11">
        <v>38.948999999999998</v>
      </c>
      <c r="J6" s="11">
        <v>44.914000000000001</v>
      </c>
      <c r="K6" s="11">
        <v>50.273000000000003</v>
      </c>
      <c r="L6" s="11">
        <v>56.502000000000002</v>
      </c>
      <c r="M6" s="11">
        <v>62.021999999999998</v>
      </c>
      <c r="N6" s="11">
        <v>67.974999999999994</v>
      </c>
      <c r="O6" s="11">
        <v>74.11</v>
      </c>
      <c r="P6" s="9">
        <f t="shared" ref="P6" si="1">O6-C6</f>
        <v>68.31</v>
      </c>
      <c r="T6" s="1">
        <v>2</v>
      </c>
      <c r="U6" s="146">
        <f t="shared" ref="U6:AF6" si="2">D6-C6</f>
        <v>4.1250000000000009</v>
      </c>
      <c r="V6" s="146">
        <f t="shared" si="2"/>
        <v>5.609</v>
      </c>
      <c r="W6" s="146">
        <f t="shared" si="2"/>
        <v>6.7499999999999982</v>
      </c>
      <c r="X6" s="146">
        <f t="shared" si="2"/>
        <v>5.6410000000000018</v>
      </c>
      <c r="Y6" s="146">
        <f t="shared" si="2"/>
        <v>5.2799999999999976</v>
      </c>
      <c r="Z6" s="146">
        <f t="shared" si="2"/>
        <v>5.7439999999999998</v>
      </c>
      <c r="AA6" s="146">
        <f t="shared" si="2"/>
        <v>5.9650000000000034</v>
      </c>
      <c r="AB6" s="146">
        <f t="shared" si="2"/>
        <v>5.3590000000000018</v>
      </c>
      <c r="AC6" s="146">
        <f t="shared" si="2"/>
        <v>6.2289999999999992</v>
      </c>
      <c r="AD6" s="146">
        <f t="shared" si="2"/>
        <v>5.519999999999996</v>
      </c>
      <c r="AE6" s="146">
        <f t="shared" si="2"/>
        <v>5.9529999999999959</v>
      </c>
      <c r="AF6" s="146">
        <f t="shared" si="2"/>
        <v>6.1350000000000051</v>
      </c>
    </row>
    <row r="7" spans="1:32" x14ac:dyDescent="0.35">
      <c r="A7" s="302"/>
      <c r="B7" s="10" t="s">
        <v>232</v>
      </c>
      <c r="C7" s="11">
        <v>102.54300000000001</v>
      </c>
      <c r="D7" s="11">
        <v>108.68</v>
      </c>
      <c r="E7" s="11">
        <v>115.127</v>
      </c>
      <c r="F7" s="11">
        <v>121.944</v>
      </c>
      <c r="G7" s="11">
        <v>125.286</v>
      </c>
      <c r="H7" s="11">
        <v>126.26600000000001</v>
      </c>
      <c r="I7" s="11">
        <v>126.786</v>
      </c>
      <c r="J7" s="11">
        <v>127.172</v>
      </c>
      <c r="K7" s="11">
        <v>127.601</v>
      </c>
      <c r="L7" s="11">
        <v>129.30799999999999</v>
      </c>
      <c r="M7" s="11">
        <v>133.12899999999999</v>
      </c>
      <c r="N7" s="11">
        <v>137.547</v>
      </c>
      <c r="O7" s="11">
        <v>141.33600000000001</v>
      </c>
      <c r="P7" s="9"/>
      <c r="Q7" s="9">
        <f>O7-C7</f>
        <v>38.793000000000006</v>
      </c>
      <c r="T7" s="1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</row>
    <row r="8" spans="1:32" x14ac:dyDescent="0.35">
      <c r="A8" s="302">
        <v>3</v>
      </c>
      <c r="B8" s="10" t="s">
        <v>387</v>
      </c>
      <c r="C8" s="11">
        <v>5.6379999999999999</v>
      </c>
      <c r="D8" s="11">
        <v>10.79</v>
      </c>
      <c r="E8" s="11">
        <v>15.473000000000001</v>
      </c>
      <c r="F8" s="11">
        <v>20.542999999999999</v>
      </c>
      <c r="G8" s="11">
        <v>26.192</v>
      </c>
      <c r="H8" s="11">
        <v>31.867000000000001</v>
      </c>
      <c r="I8" s="11">
        <v>38.029000000000003</v>
      </c>
      <c r="J8" s="11">
        <v>44.39</v>
      </c>
      <c r="K8" s="11">
        <v>51.151000000000003</v>
      </c>
      <c r="L8" s="11">
        <v>56.600999999999999</v>
      </c>
      <c r="M8" s="11">
        <v>61.033999999999999</v>
      </c>
      <c r="N8" s="11">
        <v>66.183999999999997</v>
      </c>
      <c r="O8" s="11">
        <v>71.284999999999997</v>
      </c>
      <c r="P8" s="9">
        <f t="shared" ref="P8" si="3">O8-C8</f>
        <v>65.646999999999991</v>
      </c>
      <c r="T8" s="1">
        <v>3</v>
      </c>
      <c r="U8" s="146">
        <f t="shared" ref="U8:AF8" si="4">D8-C8</f>
        <v>5.1519999999999992</v>
      </c>
      <c r="V8" s="146">
        <f t="shared" si="4"/>
        <v>4.6830000000000016</v>
      </c>
      <c r="W8" s="146">
        <f t="shared" si="4"/>
        <v>5.0699999999999985</v>
      </c>
      <c r="X8" s="146">
        <f t="shared" si="4"/>
        <v>5.6490000000000009</v>
      </c>
      <c r="Y8" s="146">
        <f t="shared" si="4"/>
        <v>5.6750000000000007</v>
      </c>
      <c r="Z8" s="146">
        <f t="shared" si="4"/>
        <v>6.1620000000000026</v>
      </c>
      <c r="AA8" s="146">
        <f t="shared" si="4"/>
        <v>6.3609999999999971</v>
      </c>
      <c r="AB8" s="146">
        <f t="shared" si="4"/>
        <v>6.7610000000000028</v>
      </c>
      <c r="AC8" s="146">
        <f t="shared" si="4"/>
        <v>5.4499999999999957</v>
      </c>
      <c r="AD8" s="146">
        <f t="shared" si="4"/>
        <v>4.4329999999999998</v>
      </c>
      <c r="AE8" s="146">
        <f t="shared" si="4"/>
        <v>5.1499999999999986</v>
      </c>
      <c r="AF8" s="146">
        <f t="shared" si="4"/>
        <v>5.1009999999999991</v>
      </c>
    </row>
    <row r="9" spans="1:32" x14ac:dyDescent="0.35">
      <c r="A9" s="302"/>
      <c r="B9" s="10" t="s">
        <v>233</v>
      </c>
      <c r="C9" s="11">
        <v>117.96</v>
      </c>
      <c r="D9" s="11">
        <v>125.015</v>
      </c>
      <c r="E9" s="11">
        <v>131.101</v>
      </c>
      <c r="F9" s="11">
        <v>136.25</v>
      </c>
      <c r="G9" s="11">
        <v>139.458</v>
      </c>
      <c r="H9" s="11">
        <v>142.10400000000001</v>
      </c>
      <c r="I9" s="11">
        <v>142.48099999999999</v>
      </c>
      <c r="J9" s="11">
        <v>142.77799999999999</v>
      </c>
      <c r="K9" s="11">
        <v>143.09299999999999</v>
      </c>
      <c r="L9" s="11">
        <v>143.88</v>
      </c>
      <c r="M9" s="11">
        <v>146.762</v>
      </c>
      <c r="N9" s="11">
        <v>152.102</v>
      </c>
      <c r="O9" s="11">
        <v>158.203</v>
      </c>
      <c r="P9" s="9"/>
      <c r="Q9" s="9">
        <f>O9-C9</f>
        <v>40.243000000000009</v>
      </c>
      <c r="T9" s="1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</row>
    <row r="10" spans="1:32" x14ac:dyDescent="0.35">
      <c r="A10" s="302">
        <v>4</v>
      </c>
      <c r="B10" s="10" t="s">
        <v>388</v>
      </c>
      <c r="C10" s="11">
        <v>7.6660000000000004</v>
      </c>
      <c r="D10" s="11">
        <v>14.605</v>
      </c>
      <c r="E10" s="11">
        <v>21.576000000000001</v>
      </c>
      <c r="F10" s="11">
        <v>27.922000000000001</v>
      </c>
      <c r="G10" s="11">
        <v>34.25</v>
      </c>
      <c r="H10" s="11">
        <v>41.100999999999999</v>
      </c>
      <c r="I10" s="11">
        <v>46.875</v>
      </c>
      <c r="J10" s="11">
        <v>53.603000000000002</v>
      </c>
      <c r="K10" s="11">
        <v>61.313000000000002</v>
      </c>
      <c r="L10" s="11">
        <v>68.396000000000001</v>
      </c>
      <c r="M10" s="11">
        <v>74.832999999999998</v>
      </c>
      <c r="N10" s="11">
        <v>81.988</v>
      </c>
      <c r="O10" s="11">
        <v>88.760999999999996</v>
      </c>
      <c r="P10" s="9">
        <f t="shared" ref="P10" si="5">O10-C10</f>
        <v>81.094999999999999</v>
      </c>
      <c r="T10" s="1">
        <v>4</v>
      </c>
      <c r="U10" s="146">
        <f t="shared" ref="U10:AF10" si="6">D10-C10</f>
        <v>6.9390000000000001</v>
      </c>
      <c r="V10" s="146">
        <f t="shared" si="6"/>
        <v>6.9710000000000001</v>
      </c>
      <c r="W10" s="146">
        <f t="shared" si="6"/>
        <v>6.3460000000000001</v>
      </c>
      <c r="X10" s="146">
        <f t="shared" si="6"/>
        <v>6.3279999999999994</v>
      </c>
      <c r="Y10" s="146">
        <f t="shared" si="6"/>
        <v>6.8509999999999991</v>
      </c>
      <c r="Z10" s="146">
        <f t="shared" si="6"/>
        <v>5.7740000000000009</v>
      </c>
      <c r="AA10" s="146">
        <f t="shared" si="6"/>
        <v>6.7280000000000015</v>
      </c>
      <c r="AB10" s="146">
        <f t="shared" si="6"/>
        <v>7.7100000000000009</v>
      </c>
      <c r="AC10" s="146">
        <f t="shared" si="6"/>
        <v>7.0829999999999984</v>
      </c>
      <c r="AD10" s="146">
        <f t="shared" si="6"/>
        <v>6.4369999999999976</v>
      </c>
      <c r="AE10" s="146">
        <f t="shared" si="6"/>
        <v>7.1550000000000011</v>
      </c>
      <c r="AF10" s="146">
        <f t="shared" si="6"/>
        <v>6.7729999999999961</v>
      </c>
    </row>
    <row r="11" spans="1:32" x14ac:dyDescent="0.35">
      <c r="A11" s="302"/>
      <c r="B11" s="10" t="s">
        <v>234</v>
      </c>
      <c r="C11" s="11">
        <v>31.658000000000001</v>
      </c>
      <c r="D11" s="11">
        <v>32.959000000000003</v>
      </c>
      <c r="E11" s="11">
        <v>34.07</v>
      </c>
      <c r="F11" s="11">
        <v>34.417999999999999</v>
      </c>
      <c r="G11" s="11">
        <v>34.783000000000001</v>
      </c>
      <c r="H11" s="11">
        <v>35.137999999999998</v>
      </c>
      <c r="I11" s="11">
        <v>35.491999999999997</v>
      </c>
      <c r="J11" s="11">
        <v>35.83</v>
      </c>
      <c r="K11" s="11">
        <v>36.195</v>
      </c>
      <c r="L11" s="11">
        <v>36.53</v>
      </c>
      <c r="M11" s="11">
        <v>36.887</v>
      </c>
      <c r="N11" s="11">
        <v>37.79</v>
      </c>
      <c r="O11" s="11">
        <v>38.633000000000003</v>
      </c>
      <c r="P11" s="9"/>
      <c r="Q11" s="9">
        <f>O11-C11</f>
        <v>6.9750000000000014</v>
      </c>
      <c r="T11" s="1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</row>
    <row r="12" spans="1:32" x14ac:dyDescent="0.35">
      <c r="A12" s="302">
        <v>5</v>
      </c>
      <c r="B12" s="10" t="s">
        <v>389</v>
      </c>
      <c r="C12" s="11">
        <v>5.7000000000000002E-2</v>
      </c>
      <c r="D12" s="11">
        <v>0.08</v>
      </c>
      <c r="E12" s="11">
        <v>0.23</v>
      </c>
      <c r="F12" s="11">
        <v>0.32400000000000001</v>
      </c>
      <c r="G12" s="11">
        <v>4.2160000000000002</v>
      </c>
      <c r="H12" s="11">
        <v>5.6</v>
      </c>
      <c r="I12" s="11">
        <v>5.7249999999999996</v>
      </c>
      <c r="J12" s="11">
        <v>5.7649999999999997</v>
      </c>
      <c r="K12" s="11">
        <v>5.8230000000000004</v>
      </c>
      <c r="L12" s="11">
        <v>6.0880000000000001</v>
      </c>
      <c r="M12" s="11">
        <v>11.061999999999999</v>
      </c>
      <c r="N12" s="11">
        <v>16.02</v>
      </c>
      <c r="O12" s="11">
        <v>18.231000000000002</v>
      </c>
      <c r="P12" s="9">
        <f t="shared" ref="P12" si="7">O12-C12</f>
        <v>18.174000000000003</v>
      </c>
      <c r="T12" s="1">
        <v>5</v>
      </c>
      <c r="U12" s="146">
        <f t="shared" ref="U12:AD12" si="8">D12-C12</f>
        <v>2.3E-2</v>
      </c>
      <c r="V12" s="146">
        <f t="shared" si="8"/>
        <v>0.15000000000000002</v>
      </c>
      <c r="W12" s="146">
        <f t="shared" si="8"/>
        <v>9.4E-2</v>
      </c>
      <c r="X12" s="146">
        <f t="shared" si="8"/>
        <v>3.8920000000000003</v>
      </c>
      <c r="Y12" s="146">
        <f t="shared" si="8"/>
        <v>1.3839999999999995</v>
      </c>
      <c r="Z12" s="146">
        <f t="shared" si="8"/>
        <v>0.125</v>
      </c>
      <c r="AA12" s="146">
        <f t="shared" si="8"/>
        <v>4.0000000000000036E-2</v>
      </c>
      <c r="AB12" s="146">
        <f t="shared" si="8"/>
        <v>5.8000000000000718E-2</v>
      </c>
      <c r="AC12" s="146">
        <f t="shared" si="8"/>
        <v>0.26499999999999968</v>
      </c>
      <c r="AD12" s="146">
        <f t="shared" si="8"/>
        <v>4.9739999999999993</v>
      </c>
      <c r="AE12" s="146">
        <f>N12-M12</f>
        <v>4.9580000000000002</v>
      </c>
      <c r="AF12" s="146">
        <f>O12-N12</f>
        <v>2.2110000000000021</v>
      </c>
    </row>
    <row r="13" spans="1:32" x14ac:dyDescent="0.35">
      <c r="A13" s="302"/>
      <c r="B13" s="10" t="s">
        <v>235</v>
      </c>
      <c r="C13" s="11">
        <v>6.73</v>
      </c>
      <c r="D13" s="11">
        <v>6.73</v>
      </c>
      <c r="E13" s="11">
        <v>6.8780000000000001</v>
      </c>
      <c r="F13" s="11">
        <v>6.8789999999999996</v>
      </c>
      <c r="G13" s="11">
        <v>7.2549999999999999</v>
      </c>
      <c r="H13" s="11">
        <v>7.3230000000000004</v>
      </c>
      <c r="I13" s="11">
        <v>7.3239999999999998</v>
      </c>
      <c r="J13" s="11">
        <v>7.3250000000000002</v>
      </c>
      <c r="K13" s="11">
        <v>7.3250000000000002</v>
      </c>
      <c r="L13" s="11">
        <v>7.41</v>
      </c>
      <c r="M13" s="11">
        <v>10.019</v>
      </c>
      <c r="N13" s="11">
        <v>15.489000000000001</v>
      </c>
      <c r="O13" s="11">
        <v>20.765999999999998</v>
      </c>
      <c r="P13" s="9"/>
      <c r="Q13" s="9">
        <f>O13-C13</f>
        <v>14.035999999999998</v>
      </c>
      <c r="T13" s="1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</row>
    <row r="14" spans="1:32" x14ac:dyDescent="0.35">
      <c r="A14" s="302">
        <v>6</v>
      </c>
      <c r="B14" s="10" t="s">
        <v>390</v>
      </c>
      <c r="C14" s="11">
        <v>14.895</v>
      </c>
      <c r="D14" s="11">
        <v>27.334</v>
      </c>
      <c r="E14" s="11">
        <v>40.661000000000001</v>
      </c>
      <c r="F14" s="11">
        <v>52.140999999999998</v>
      </c>
      <c r="G14" s="11">
        <v>64.718000000000004</v>
      </c>
      <c r="H14" s="11">
        <v>72.662000000000006</v>
      </c>
      <c r="I14" s="11">
        <v>79.489000000000004</v>
      </c>
      <c r="J14" s="11">
        <v>90.608999999999995</v>
      </c>
      <c r="K14" s="11">
        <v>104.13</v>
      </c>
      <c r="L14" s="11">
        <v>116.60299999999999</v>
      </c>
      <c r="M14" s="11">
        <v>123.739</v>
      </c>
      <c r="N14" s="11">
        <v>140.637</v>
      </c>
      <c r="O14" s="11">
        <v>150.001</v>
      </c>
      <c r="P14" s="9">
        <f t="shared" ref="P14" si="9">O14-C14</f>
        <v>135.10599999999999</v>
      </c>
      <c r="T14" s="1">
        <v>6</v>
      </c>
      <c r="U14" s="146">
        <f t="shared" ref="U14:AF14" si="10">D14-C14</f>
        <v>12.439</v>
      </c>
      <c r="V14" s="146">
        <f t="shared" si="10"/>
        <v>13.327000000000002</v>
      </c>
      <c r="W14" s="146">
        <f t="shared" si="10"/>
        <v>11.479999999999997</v>
      </c>
      <c r="X14" s="146">
        <f t="shared" si="10"/>
        <v>12.577000000000005</v>
      </c>
      <c r="Y14" s="146">
        <f t="shared" si="10"/>
        <v>7.9440000000000026</v>
      </c>
      <c r="Z14" s="146">
        <f t="shared" si="10"/>
        <v>6.8269999999999982</v>
      </c>
      <c r="AA14" s="146">
        <f t="shared" si="10"/>
        <v>11.11999999999999</v>
      </c>
      <c r="AB14" s="146">
        <f t="shared" si="10"/>
        <v>13.521000000000001</v>
      </c>
      <c r="AC14" s="146">
        <f t="shared" si="10"/>
        <v>12.472999999999999</v>
      </c>
      <c r="AD14" s="146">
        <f t="shared" si="10"/>
        <v>7.1360000000000099</v>
      </c>
      <c r="AE14" s="146">
        <f t="shared" si="10"/>
        <v>16.897999999999996</v>
      </c>
      <c r="AF14" s="146">
        <f t="shared" si="10"/>
        <v>9.3640000000000043</v>
      </c>
    </row>
    <row r="15" spans="1:32" x14ac:dyDescent="0.35">
      <c r="A15" s="302"/>
      <c r="B15" s="10" t="s">
        <v>236</v>
      </c>
      <c r="C15" s="11">
        <v>34.228999999999999</v>
      </c>
      <c r="D15" s="11">
        <v>36.893999999999998</v>
      </c>
      <c r="E15" s="11">
        <v>38.844000000000001</v>
      </c>
      <c r="F15" s="11">
        <v>39.851999999999997</v>
      </c>
      <c r="G15" s="11">
        <v>40.936</v>
      </c>
      <c r="H15" s="11">
        <v>41.640999999999998</v>
      </c>
      <c r="I15" s="11">
        <v>42.21</v>
      </c>
      <c r="J15" s="11">
        <v>42.948999999999998</v>
      </c>
      <c r="K15" s="11">
        <v>43.892000000000003</v>
      </c>
      <c r="L15" s="11">
        <v>44.73</v>
      </c>
      <c r="M15" s="11">
        <v>45.290999999999997</v>
      </c>
      <c r="N15" s="11">
        <v>46.960999999999999</v>
      </c>
      <c r="O15" s="11">
        <v>48.317</v>
      </c>
      <c r="P15" s="9"/>
      <c r="Q15" s="9">
        <f>O15-C15</f>
        <v>14.088000000000001</v>
      </c>
      <c r="T15" s="1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</row>
    <row r="16" spans="1:32" x14ac:dyDescent="0.35">
      <c r="A16" s="302">
        <v>7</v>
      </c>
      <c r="B16" s="10" t="s">
        <v>391</v>
      </c>
      <c r="C16" s="11">
        <v>4.367</v>
      </c>
      <c r="D16" s="11">
        <v>8.4749999999999996</v>
      </c>
      <c r="E16" s="11">
        <v>12.25</v>
      </c>
      <c r="F16" s="11">
        <v>16.690000000000001</v>
      </c>
      <c r="G16" s="11">
        <v>21.018000000000001</v>
      </c>
      <c r="H16" s="11">
        <v>25.07</v>
      </c>
      <c r="I16" s="11">
        <v>29.010999999999999</v>
      </c>
      <c r="J16" s="11">
        <v>33.908999999999999</v>
      </c>
      <c r="K16" s="11">
        <v>38.006</v>
      </c>
      <c r="L16" s="11">
        <v>41.935000000000002</v>
      </c>
      <c r="M16" s="11">
        <v>45.884</v>
      </c>
      <c r="N16" s="11">
        <v>49.17</v>
      </c>
      <c r="O16" s="11">
        <v>52.296999999999997</v>
      </c>
      <c r="P16" s="9">
        <f t="shared" ref="P16" si="11">O16-C16</f>
        <v>47.93</v>
      </c>
      <c r="T16" s="1">
        <v>7</v>
      </c>
      <c r="U16" s="146">
        <f t="shared" ref="U16:AF16" si="12">D16-C16</f>
        <v>4.1079999999999997</v>
      </c>
      <c r="V16" s="146">
        <f t="shared" si="12"/>
        <v>3.7750000000000004</v>
      </c>
      <c r="W16" s="146">
        <f t="shared" si="12"/>
        <v>4.4400000000000013</v>
      </c>
      <c r="X16" s="146">
        <f t="shared" si="12"/>
        <v>4.3279999999999994</v>
      </c>
      <c r="Y16" s="146">
        <f t="shared" si="12"/>
        <v>4.0519999999999996</v>
      </c>
      <c r="Z16" s="146">
        <f t="shared" si="12"/>
        <v>3.9409999999999989</v>
      </c>
      <c r="AA16" s="146">
        <f t="shared" si="12"/>
        <v>4.8979999999999997</v>
      </c>
      <c r="AB16" s="146">
        <f t="shared" si="12"/>
        <v>4.0970000000000013</v>
      </c>
      <c r="AC16" s="146">
        <f t="shared" si="12"/>
        <v>3.929000000000002</v>
      </c>
      <c r="AD16" s="146">
        <f t="shared" si="12"/>
        <v>3.9489999999999981</v>
      </c>
      <c r="AE16" s="146">
        <f t="shared" si="12"/>
        <v>3.2860000000000014</v>
      </c>
      <c r="AF16" s="146">
        <f t="shared" si="12"/>
        <v>3.1269999999999953</v>
      </c>
    </row>
    <row r="17" spans="1:32" x14ac:dyDescent="0.35">
      <c r="A17" s="302"/>
      <c r="B17" s="10" t="s">
        <v>237</v>
      </c>
      <c r="C17" s="11">
        <v>24.471</v>
      </c>
      <c r="D17" s="11">
        <v>26.530999999999999</v>
      </c>
      <c r="E17" s="11">
        <v>27.809000000000001</v>
      </c>
      <c r="F17" s="11">
        <v>28.492000000000001</v>
      </c>
      <c r="G17" s="11">
        <v>29.068000000000001</v>
      </c>
      <c r="H17" s="11">
        <v>29.582999999999998</v>
      </c>
      <c r="I17" s="11">
        <v>30.02</v>
      </c>
      <c r="J17" s="11">
        <v>30.497</v>
      </c>
      <c r="K17" s="11">
        <v>30.943000000000001</v>
      </c>
      <c r="L17" s="11">
        <v>31.529</v>
      </c>
      <c r="M17" s="11">
        <v>33.548999999999999</v>
      </c>
      <c r="N17" s="11">
        <v>36.122999999999998</v>
      </c>
      <c r="O17" s="11">
        <v>37.54</v>
      </c>
      <c r="P17" s="9"/>
      <c r="Q17" s="9">
        <f>O17-C17</f>
        <v>13.068999999999999</v>
      </c>
      <c r="T17" s="1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</row>
    <row r="18" spans="1:32" x14ac:dyDescent="0.35">
      <c r="A18" s="302">
        <v>8</v>
      </c>
      <c r="B18" s="10" t="s">
        <v>392</v>
      </c>
      <c r="C18" s="11">
        <v>6.4210000000000003</v>
      </c>
      <c r="D18" s="11">
        <v>11.555</v>
      </c>
      <c r="E18" s="11">
        <v>16.648</v>
      </c>
      <c r="F18" s="11">
        <v>22.288</v>
      </c>
      <c r="G18" s="11">
        <v>29.074000000000002</v>
      </c>
      <c r="H18" s="11">
        <v>34.468000000000004</v>
      </c>
      <c r="I18" s="11">
        <v>39.820999999999998</v>
      </c>
      <c r="J18" s="11">
        <v>47.082000000000001</v>
      </c>
      <c r="K18" s="11">
        <v>52.859000000000002</v>
      </c>
      <c r="L18" s="11">
        <v>58.744</v>
      </c>
      <c r="M18" s="11">
        <v>64.375</v>
      </c>
      <c r="N18" s="11">
        <v>69.960999999999999</v>
      </c>
      <c r="O18" s="11">
        <v>75.760000000000005</v>
      </c>
      <c r="P18" s="9">
        <f t="shared" ref="P18" si="13">O18-C18</f>
        <v>69.338999999999999</v>
      </c>
      <c r="T18" s="1">
        <v>8</v>
      </c>
      <c r="U18" s="146">
        <f t="shared" ref="U18:AF18" si="14">D18-C18</f>
        <v>5.1339999999999995</v>
      </c>
      <c r="V18" s="146">
        <f t="shared" si="14"/>
        <v>5.093</v>
      </c>
      <c r="W18" s="146">
        <f t="shared" si="14"/>
        <v>5.6400000000000006</v>
      </c>
      <c r="X18" s="146">
        <f t="shared" si="14"/>
        <v>6.7860000000000014</v>
      </c>
      <c r="Y18" s="146">
        <f t="shared" si="14"/>
        <v>5.3940000000000019</v>
      </c>
      <c r="Z18" s="146">
        <f t="shared" si="14"/>
        <v>5.3529999999999944</v>
      </c>
      <c r="AA18" s="146">
        <f t="shared" si="14"/>
        <v>7.2610000000000028</v>
      </c>
      <c r="AB18" s="146">
        <f t="shared" si="14"/>
        <v>5.777000000000001</v>
      </c>
      <c r="AC18" s="146">
        <f t="shared" si="14"/>
        <v>5.884999999999998</v>
      </c>
      <c r="AD18" s="146">
        <f t="shared" si="14"/>
        <v>5.6310000000000002</v>
      </c>
      <c r="AE18" s="146">
        <f t="shared" si="14"/>
        <v>5.5859999999999985</v>
      </c>
      <c r="AF18" s="146">
        <f t="shared" si="14"/>
        <v>5.7990000000000066</v>
      </c>
    </row>
    <row r="19" spans="1:32" x14ac:dyDescent="0.35">
      <c r="A19" s="302"/>
      <c r="B19" s="10" t="s">
        <v>238</v>
      </c>
      <c r="C19" s="11">
        <v>82.638000000000005</v>
      </c>
      <c r="D19" s="11">
        <v>88.155000000000001</v>
      </c>
      <c r="E19" s="11">
        <v>92.796999999999997</v>
      </c>
      <c r="F19" s="11">
        <v>95.495999999999995</v>
      </c>
      <c r="G19" s="11">
        <v>96.504000000000005</v>
      </c>
      <c r="H19" s="11">
        <v>96.963999999999999</v>
      </c>
      <c r="I19" s="11">
        <v>97.171999999999997</v>
      </c>
      <c r="J19" s="11">
        <v>97.397999999999996</v>
      </c>
      <c r="K19" s="11">
        <v>97.593999999999994</v>
      </c>
      <c r="L19" s="11">
        <v>97.918000000000006</v>
      </c>
      <c r="M19" s="11">
        <v>99.236999999999995</v>
      </c>
      <c r="N19" s="11">
        <v>102.29</v>
      </c>
      <c r="O19" s="11">
        <v>105.69499999999999</v>
      </c>
      <c r="P19" s="9"/>
      <c r="Q19" s="9">
        <f>O19-C19</f>
        <v>23.056999999999988</v>
      </c>
      <c r="T19" s="1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</row>
    <row r="20" spans="1:32" x14ac:dyDescent="0.35">
      <c r="A20" s="302">
        <v>9</v>
      </c>
      <c r="B20" s="10" t="s">
        <v>393</v>
      </c>
      <c r="C20" s="11">
        <v>12.707000000000001</v>
      </c>
      <c r="D20" s="11">
        <v>24.99</v>
      </c>
      <c r="E20" s="11">
        <v>36.786000000000001</v>
      </c>
      <c r="F20" s="11">
        <v>50.951999999999998</v>
      </c>
      <c r="G20" s="11">
        <v>63.642000000000003</v>
      </c>
      <c r="H20" s="11">
        <v>75.662999999999997</v>
      </c>
      <c r="I20" s="11">
        <v>85.799000000000007</v>
      </c>
      <c r="J20" s="11">
        <v>96.807000000000002</v>
      </c>
      <c r="K20" s="11">
        <v>109.19</v>
      </c>
      <c r="L20" s="11">
        <v>120.562</v>
      </c>
      <c r="M20" s="11">
        <v>131.012</v>
      </c>
      <c r="N20" s="11">
        <v>139.33699999999999</v>
      </c>
      <c r="O20" s="11">
        <v>153.01</v>
      </c>
      <c r="P20" s="9">
        <f t="shared" ref="P20" si="15">O20-C20</f>
        <v>140.303</v>
      </c>
      <c r="T20" s="1">
        <v>9</v>
      </c>
      <c r="U20" s="146">
        <f t="shared" ref="U20:AF20" si="16">D20-C20</f>
        <v>12.282999999999998</v>
      </c>
      <c r="V20" s="146">
        <f t="shared" si="16"/>
        <v>11.796000000000003</v>
      </c>
      <c r="W20" s="146">
        <f t="shared" si="16"/>
        <v>14.165999999999997</v>
      </c>
      <c r="X20" s="146">
        <f t="shared" si="16"/>
        <v>12.690000000000005</v>
      </c>
      <c r="Y20" s="146">
        <f t="shared" si="16"/>
        <v>12.020999999999994</v>
      </c>
      <c r="Z20" s="146">
        <f t="shared" si="16"/>
        <v>10.13600000000001</v>
      </c>
      <c r="AA20" s="146">
        <f t="shared" si="16"/>
        <v>11.007999999999996</v>
      </c>
      <c r="AB20" s="146">
        <f t="shared" si="16"/>
        <v>12.382999999999996</v>
      </c>
      <c r="AC20" s="146">
        <f t="shared" si="16"/>
        <v>11.372</v>
      </c>
      <c r="AD20" s="146">
        <f t="shared" si="16"/>
        <v>10.450000000000003</v>
      </c>
      <c r="AE20" s="146">
        <f t="shared" si="16"/>
        <v>8.3249999999999886</v>
      </c>
      <c r="AF20" s="146">
        <f t="shared" si="16"/>
        <v>13.673000000000002</v>
      </c>
    </row>
    <row r="21" spans="1:32" x14ac:dyDescent="0.35">
      <c r="A21" s="302"/>
      <c r="B21" s="10" t="s">
        <v>239</v>
      </c>
      <c r="C21" s="11">
        <v>97.754999999999995</v>
      </c>
      <c r="D21" s="11">
        <v>102.80200000000001</v>
      </c>
      <c r="E21" s="11">
        <v>107.477</v>
      </c>
      <c r="F21" s="11">
        <v>110.913</v>
      </c>
      <c r="G21" s="11">
        <v>112.101</v>
      </c>
      <c r="H21" s="11">
        <v>112.723</v>
      </c>
      <c r="I21" s="11">
        <v>113.214</v>
      </c>
      <c r="J21" s="11">
        <v>113.655</v>
      </c>
      <c r="K21" s="11">
        <v>114.161</v>
      </c>
      <c r="L21" s="11">
        <v>114.64700000000001</v>
      </c>
      <c r="M21" s="11">
        <v>117.471</v>
      </c>
      <c r="N21" s="11">
        <v>122.26</v>
      </c>
      <c r="O21" s="11">
        <v>127.65</v>
      </c>
      <c r="P21" s="9"/>
      <c r="Q21" s="9">
        <f>O21-C21</f>
        <v>29.89500000000001</v>
      </c>
      <c r="T21" s="1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</row>
    <row r="22" spans="1:32" x14ac:dyDescent="0.35">
      <c r="A22" s="302">
        <v>10</v>
      </c>
      <c r="B22" s="10" t="s">
        <v>394</v>
      </c>
      <c r="C22" s="11">
        <v>5.7000000000000002E-2</v>
      </c>
      <c r="D22" s="11">
        <v>9.1999999999999998E-2</v>
      </c>
      <c r="E22" s="11">
        <v>0.112</v>
      </c>
      <c r="F22" s="11">
        <v>0.13100000000000001</v>
      </c>
      <c r="G22" s="11">
        <v>0.16500000000000001</v>
      </c>
      <c r="H22" s="11">
        <v>0.186</v>
      </c>
      <c r="I22" s="11">
        <v>0.20499999999999999</v>
      </c>
      <c r="J22" s="11">
        <v>0.22800000000000001</v>
      </c>
      <c r="K22" s="11">
        <v>0.25</v>
      </c>
      <c r="L22" s="11">
        <v>0.32</v>
      </c>
      <c r="M22" s="11">
        <v>0.33300000000000002</v>
      </c>
      <c r="N22" s="11">
        <v>0.34499999999999997</v>
      </c>
      <c r="O22" s="11">
        <v>0.371</v>
      </c>
      <c r="P22" s="9">
        <f t="shared" ref="P22" si="17">O22-C22</f>
        <v>0.314</v>
      </c>
      <c r="T22" s="1">
        <v>10</v>
      </c>
      <c r="U22" s="146">
        <f t="shared" ref="U22:AF22" si="18">D22-C22</f>
        <v>3.4999999999999996E-2</v>
      </c>
      <c r="V22" s="146">
        <f t="shared" si="18"/>
        <v>2.0000000000000004E-2</v>
      </c>
      <c r="W22" s="146">
        <f t="shared" si="18"/>
        <v>1.9000000000000003E-2</v>
      </c>
      <c r="X22" s="146">
        <f t="shared" si="18"/>
        <v>3.4000000000000002E-2</v>
      </c>
      <c r="Y22" s="146">
        <f t="shared" si="18"/>
        <v>2.0999999999999991E-2</v>
      </c>
      <c r="Z22" s="146">
        <f t="shared" si="18"/>
        <v>1.8999999999999989E-2</v>
      </c>
      <c r="AA22" s="146">
        <f t="shared" si="18"/>
        <v>2.300000000000002E-2</v>
      </c>
      <c r="AB22" s="146">
        <f t="shared" si="18"/>
        <v>2.1999999999999992E-2</v>
      </c>
      <c r="AC22" s="146">
        <f t="shared" si="18"/>
        <v>7.0000000000000007E-2</v>
      </c>
      <c r="AD22" s="146">
        <f t="shared" si="18"/>
        <v>1.3000000000000012E-2</v>
      </c>
      <c r="AE22" s="146">
        <f t="shared" si="18"/>
        <v>1.1999999999999955E-2</v>
      </c>
      <c r="AF22" s="146">
        <f t="shared" si="18"/>
        <v>2.6000000000000023E-2</v>
      </c>
    </row>
    <row r="23" spans="1:32" x14ac:dyDescent="0.35">
      <c r="A23" s="302"/>
      <c r="B23" s="10" t="s">
        <v>240</v>
      </c>
      <c r="C23" s="11">
        <v>0.15</v>
      </c>
      <c r="D23" s="11">
        <v>0.15</v>
      </c>
      <c r="E23" s="11">
        <v>0.151</v>
      </c>
      <c r="F23" s="11">
        <v>0.153</v>
      </c>
      <c r="G23" s="11">
        <v>0.153</v>
      </c>
      <c r="H23" s="11">
        <v>0.154</v>
      </c>
      <c r="I23" s="11">
        <v>0.154</v>
      </c>
      <c r="J23" s="11">
        <v>0.155</v>
      </c>
      <c r="K23" s="11">
        <v>0.155</v>
      </c>
      <c r="L23" s="11">
        <v>0.159</v>
      </c>
      <c r="M23" s="11">
        <v>0.161</v>
      </c>
      <c r="N23" s="11">
        <v>0.161</v>
      </c>
      <c r="O23" s="11">
        <v>0.161</v>
      </c>
      <c r="P23" s="13"/>
      <c r="Q23" s="97">
        <f>O23-C23</f>
        <v>1.100000000000001E-2</v>
      </c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</row>
    <row r="24" spans="1:32" x14ac:dyDescent="0.35">
      <c r="A24" s="113"/>
      <c r="B24" s="10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659.77499999999998</v>
      </c>
      <c r="Q24" s="9">
        <f>SUM(Q4:Q23)</f>
        <v>197.86500000000001</v>
      </c>
    </row>
    <row r="25" spans="1:32" x14ac:dyDescent="0.35">
      <c r="A25" s="113" t="s">
        <v>15</v>
      </c>
      <c r="B25" s="10" t="s">
        <v>431</v>
      </c>
      <c r="C25" s="15">
        <v>1556</v>
      </c>
      <c r="D25" s="15">
        <v>1737</v>
      </c>
      <c r="E25" s="15">
        <v>1913</v>
      </c>
      <c r="F25" s="15">
        <v>2106</v>
      </c>
      <c r="G25" s="15">
        <v>2292</v>
      </c>
      <c r="H25" s="15">
        <v>2476</v>
      </c>
      <c r="I25" s="15">
        <v>2649</v>
      </c>
      <c r="J25" s="15">
        <v>2834</v>
      </c>
      <c r="K25" s="15">
        <v>3023</v>
      </c>
      <c r="L25" s="15">
        <v>3213</v>
      </c>
      <c r="M25" s="15">
        <v>3399</v>
      </c>
      <c r="N25" s="15">
        <v>3720</v>
      </c>
      <c r="O25" s="15">
        <v>3977</v>
      </c>
      <c r="P25" s="9"/>
      <c r="R25" s="16">
        <f>O25-C25</f>
        <v>2421</v>
      </c>
    </row>
    <row r="26" spans="1:32" ht="15" thickBot="1" x14ac:dyDescent="0.4">
      <c r="A26" s="113"/>
      <c r="B26" s="282" t="s">
        <v>395</v>
      </c>
      <c r="C26" s="18">
        <v>66.3</v>
      </c>
      <c r="D26" s="18">
        <v>124.2</v>
      </c>
      <c r="E26" s="18">
        <v>182.8</v>
      </c>
      <c r="F26" s="18">
        <v>244.9</v>
      </c>
      <c r="G26" s="18">
        <v>311.2</v>
      </c>
      <c r="H26" s="18">
        <v>367.8</v>
      </c>
      <c r="I26" s="18">
        <v>418.5</v>
      </c>
      <c r="J26" s="18">
        <v>478.4</v>
      </c>
      <c r="K26" s="18">
        <v>541.70000000000005</v>
      </c>
      <c r="L26" s="18">
        <v>601.9</v>
      </c>
      <c r="M26" s="18">
        <v>658.6</v>
      </c>
      <c r="N26" s="18">
        <v>723.9</v>
      </c>
      <c r="O26" s="18">
        <v>783.7</v>
      </c>
      <c r="P26" s="9">
        <f t="shared" ref="P26" si="19">O26-C26</f>
        <v>717.40000000000009</v>
      </c>
    </row>
    <row r="27" spans="1:32" x14ac:dyDescent="0.35">
      <c r="A27" s="119"/>
      <c r="B27" s="205" t="s">
        <v>169</v>
      </c>
      <c r="C27" s="19">
        <v>859.25</v>
      </c>
      <c r="D27" s="19">
        <v>896.12</v>
      </c>
      <c r="E27" s="19">
        <v>928.82</v>
      </c>
      <c r="F27" s="19">
        <v>953.49</v>
      </c>
      <c r="G27" s="19">
        <v>966.22</v>
      </c>
      <c r="H27" s="19">
        <v>972.7</v>
      </c>
      <c r="I27" s="19">
        <v>975.62</v>
      </c>
      <c r="J27" s="19">
        <v>978.33</v>
      </c>
      <c r="K27" s="19">
        <v>981.17</v>
      </c>
      <c r="L27" s="19">
        <v>987.72</v>
      </c>
      <c r="M27" s="19">
        <v>1007.39</v>
      </c>
      <c r="N27" s="19">
        <v>1041.17</v>
      </c>
      <c r="O27" s="19">
        <v>1074.78</v>
      </c>
      <c r="P27" s="9"/>
      <c r="Q27" s="9">
        <f>O27-C27</f>
        <v>215.52999999999997</v>
      </c>
      <c r="R27" t="s">
        <v>78</v>
      </c>
    </row>
    <row r="28" spans="1:32" ht="15" thickBot="1" x14ac:dyDescent="0.4">
      <c r="A28" s="4"/>
      <c r="B28" s="26" t="s">
        <v>29</v>
      </c>
      <c r="C28" s="21">
        <v>6850</v>
      </c>
      <c r="D28" s="21">
        <v>7109</v>
      </c>
      <c r="E28" s="21">
        <v>7329</v>
      </c>
      <c r="F28" s="21">
        <v>7528</v>
      </c>
      <c r="G28" s="21">
        <v>7639</v>
      </c>
      <c r="H28" s="21">
        <v>7692</v>
      </c>
      <c r="I28" s="21">
        <v>7722</v>
      </c>
      <c r="J28" s="21">
        <v>7751</v>
      </c>
      <c r="K28" s="21">
        <v>7777</v>
      </c>
      <c r="L28" s="21">
        <v>7849</v>
      </c>
      <c r="M28" s="21">
        <v>8027</v>
      </c>
      <c r="N28" s="21">
        <v>8256</v>
      </c>
      <c r="O28" s="21">
        <v>8456</v>
      </c>
      <c r="P28" s="9"/>
      <c r="Q28" s="16">
        <f>O28-C28</f>
        <v>1606</v>
      </c>
      <c r="R28" t="s">
        <v>79</v>
      </c>
    </row>
    <row r="29" spans="1:32" ht="15" thickBot="1" x14ac:dyDescent="0.4">
      <c r="A29" s="121" t="s">
        <v>168</v>
      </c>
      <c r="B29" s="22"/>
      <c r="C29" s="23">
        <v>14411</v>
      </c>
      <c r="D29" s="23">
        <v>14697.5</v>
      </c>
      <c r="E29" s="23">
        <v>14958.6</v>
      </c>
      <c r="F29" s="23">
        <v>15244.5</v>
      </c>
      <c r="G29" s="23">
        <v>15535.4</v>
      </c>
      <c r="H29" s="23">
        <v>15809.8</v>
      </c>
      <c r="I29" s="23">
        <v>16049</v>
      </c>
      <c r="J29" s="23">
        <v>16290.6</v>
      </c>
      <c r="K29" s="23">
        <v>16555.3</v>
      </c>
      <c r="L29" s="23">
        <v>16827.2</v>
      </c>
      <c r="M29" s="23">
        <v>16939.400000000001</v>
      </c>
      <c r="N29" s="263">
        <v>17195.5</v>
      </c>
      <c r="O29" s="23">
        <v>211</v>
      </c>
      <c r="P29" s="293">
        <f>O29-N35+N33-C29</f>
        <v>3086</v>
      </c>
    </row>
    <row r="30" spans="1:32" x14ac:dyDescent="0.35">
      <c r="G30" s="250"/>
    </row>
    <row r="32" spans="1:32" x14ac:dyDescent="0.35">
      <c r="E32" t="s">
        <v>130</v>
      </c>
      <c r="H32" s="172" t="s">
        <v>131</v>
      </c>
      <c r="I32" s="1" t="s">
        <v>79</v>
      </c>
      <c r="K32" t="s">
        <v>139</v>
      </c>
      <c r="N32" s="1" t="s">
        <v>79</v>
      </c>
    </row>
    <row r="33" spans="3:18" x14ac:dyDescent="0.35">
      <c r="D33" t="s">
        <v>133</v>
      </c>
      <c r="E33" s="160">
        <v>43984</v>
      </c>
      <c r="F33" s="84" t="s">
        <v>117</v>
      </c>
      <c r="G33" s="84"/>
      <c r="H33" s="167"/>
      <c r="I33" s="108"/>
      <c r="K33" s="177">
        <v>46003</v>
      </c>
      <c r="L33" s="84" t="s">
        <v>117</v>
      </c>
      <c r="M33" s="349">
        <v>42012114941</v>
      </c>
      <c r="N33" s="84">
        <v>17286</v>
      </c>
      <c r="P33" s="350">
        <f>N33-C29+200</f>
        <v>3075</v>
      </c>
      <c r="Q33" s="350" t="s">
        <v>439</v>
      </c>
      <c r="R33" s="350"/>
    </row>
    <row r="34" spans="3:18" x14ac:dyDescent="0.35">
      <c r="E34" s="168"/>
      <c r="F34" s="169"/>
      <c r="G34" s="169" t="s">
        <v>132</v>
      </c>
      <c r="H34" s="171" t="s">
        <v>78</v>
      </c>
      <c r="I34" s="170" t="s">
        <v>79</v>
      </c>
      <c r="L34" s="1"/>
      <c r="M34" s="169" t="s">
        <v>132</v>
      </c>
      <c r="N34" s="170" t="s">
        <v>79</v>
      </c>
      <c r="P34" s="350">
        <f>O29</f>
        <v>211</v>
      </c>
      <c r="Q34" s="350" t="s">
        <v>440</v>
      </c>
      <c r="R34" s="350"/>
    </row>
    <row r="35" spans="3:18" x14ac:dyDescent="0.35">
      <c r="D35" t="s">
        <v>134</v>
      </c>
      <c r="E35" s="160">
        <v>43986</v>
      </c>
      <c r="F35" s="84" t="s">
        <v>118</v>
      </c>
      <c r="G35" s="84"/>
      <c r="H35" s="167"/>
      <c r="I35" s="108"/>
      <c r="K35" s="177">
        <v>46003</v>
      </c>
      <c r="L35" s="84" t="s">
        <v>118</v>
      </c>
      <c r="M35" s="349">
        <v>42012252632</v>
      </c>
      <c r="N35" s="84">
        <v>0</v>
      </c>
      <c r="P35" s="350">
        <f>P33+P34</f>
        <v>3286</v>
      </c>
      <c r="Q35" s="350" t="s">
        <v>441</v>
      </c>
      <c r="R35" s="350"/>
    </row>
    <row r="38" spans="3:18" x14ac:dyDescent="0.35">
      <c r="C38" s="231" t="s">
        <v>105</v>
      </c>
      <c r="D38" s="25" t="s">
        <v>119</v>
      </c>
      <c r="F38" s="231" t="s">
        <v>185</v>
      </c>
      <c r="G38" s="231" t="s">
        <v>186</v>
      </c>
      <c r="N38" s="280" t="s">
        <v>324</v>
      </c>
      <c r="O38">
        <f>C29</f>
        <v>14411</v>
      </c>
    </row>
    <row r="39" spans="3:18" x14ac:dyDescent="0.35">
      <c r="C39" s="310">
        <v>5</v>
      </c>
      <c r="D39" s="306">
        <v>43950</v>
      </c>
      <c r="E39" s="84" t="s">
        <v>117</v>
      </c>
      <c r="F39" s="106">
        <v>190907002</v>
      </c>
      <c r="G39" s="109">
        <v>0.60199999999999998</v>
      </c>
      <c r="N39" s="351" t="s">
        <v>442</v>
      </c>
      <c r="O39" s="74">
        <f>N33+200</f>
        <v>17486</v>
      </c>
      <c r="P39" t="s">
        <v>443</v>
      </c>
    </row>
    <row r="40" spans="3:18" x14ac:dyDescent="0.35">
      <c r="C40" s="310"/>
      <c r="D40" s="306"/>
      <c r="E40" s="84" t="s">
        <v>118</v>
      </c>
      <c r="F40" s="106">
        <v>221525395</v>
      </c>
      <c r="G40" s="109">
        <v>0.02</v>
      </c>
      <c r="N40" s="351" t="s">
        <v>325</v>
      </c>
      <c r="O40">
        <f>O29</f>
        <v>211</v>
      </c>
    </row>
    <row r="41" spans="3:18" x14ac:dyDescent="0.35">
      <c r="N41" s="206"/>
    </row>
    <row r="42" spans="3:18" x14ac:dyDescent="0.35">
      <c r="C42" t="s">
        <v>129</v>
      </c>
      <c r="N42" s="234" t="s">
        <v>187</v>
      </c>
      <c r="O42">
        <f>O29+O39-O38</f>
        <v>3286</v>
      </c>
    </row>
    <row r="43" spans="3:18" x14ac:dyDescent="0.35">
      <c r="C43" s="306">
        <v>45415</v>
      </c>
      <c r="D43" s="84" t="s">
        <v>117</v>
      </c>
      <c r="E43" s="309">
        <v>72370871</v>
      </c>
      <c r="F43" s="309"/>
      <c r="G43" s="106"/>
    </row>
    <row r="44" spans="3:18" x14ac:dyDescent="0.35">
      <c r="C44" s="306"/>
      <c r="D44" s="84" t="s">
        <v>118</v>
      </c>
      <c r="E44" s="309">
        <v>2480481736</v>
      </c>
      <c r="F44" s="309"/>
      <c r="G44" s="106"/>
    </row>
  </sheetData>
  <sheetProtection selectLockedCells="1" selectUnlockedCells="1"/>
  <mergeCells count="15">
    <mergeCell ref="A4:A5"/>
    <mergeCell ref="A6:A7"/>
    <mergeCell ref="A8:A9"/>
    <mergeCell ref="A10:A11"/>
    <mergeCell ref="A12:A13"/>
    <mergeCell ref="A16:A17"/>
    <mergeCell ref="A18:A19"/>
    <mergeCell ref="A20:A21"/>
    <mergeCell ref="A22:A23"/>
    <mergeCell ref="A14:A15"/>
    <mergeCell ref="C43:C44"/>
    <mergeCell ref="E43:F43"/>
    <mergeCell ref="E44:F44"/>
    <mergeCell ref="C39:C40"/>
    <mergeCell ref="D39:D40"/>
  </mergeCells>
  <phoneticPr fontId="51" type="noConversion"/>
  <conditionalFormatting sqref="D4">
    <cfRule type="cellIs" dxfId="2451" priority="66" stopIfTrue="1" operator="lessThan">
      <formula>$C$4</formula>
    </cfRule>
    <cfRule type="cellIs" dxfId="2450" priority="67" stopIfTrue="1" operator="equal">
      <formula>$C$4</formula>
    </cfRule>
  </conditionalFormatting>
  <conditionalFormatting sqref="D5">
    <cfRule type="cellIs" dxfId="2449" priority="70" stopIfTrue="1" operator="equal">
      <formula>$C$5</formula>
    </cfRule>
    <cfRule type="cellIs" dxfId="2448" priority="71" stopIfTrue="1" operator="lessThan">
      <formula>$C$5</formula>
    </cfRule>
  </conditionalFormatting>
  <conditionalFormatting sqref="D6">
    <cfRule type="cellIs" dxfId="2447" priority="77" stopIfTrue="1" operator="equal">
      <formula>$C$6</formula>
    </cfRule>
    <cfRule type="cellIs" dxfId="2446" priority="78" stopIfTrue="1" operator="lessThan">
      <formula>$C$6</formula>
    </cfRule>
  </conditionalFormatting>
  <conditionalFormatting sqref="D7">
    <cfRule type="cellIs" dxfId="2445" priority="91" stopIfTrue="1" operator="equal">
      <formula>$C$7</formula>
    </cfRule>
    <cfRule type="cellIs" dxfId="2444" priority="92" stopIfTrue="1" operator="lessThan">
      <formula>$C$7</formula>
    </cfRule>
  </conditionalFormatting>
  <conditionalFormatting sqref="D8">
    <cfRule type="cellIs" dxfId="2443" priority="103" stopIfTrue="1" operator="equal">
      <formula>$C$8</formula>
    </cfRule>
    <cfRule type="cellIs" dxfId="2442" priority="104" stopIfTrue="1" operator="lessThan">
      <formula>$C$8</formula>
    </cfRule>
  </conditionalFormatting>
  <conditionalFormatting sqref="D9">
    <cfRule type="cellIs" dxfId="2441" priority="117" stopIfTrue="1" operator="equal">
      <formula>$C$9</formula>
    </cfRule>
    <cfRule type="cellIs" dxfId="2440" priority="118" stopIfTrue="1" operator="lessThan">
      <formula>$C$9</formula>
    </cfRule>
  </conditionalFormatting>
  <conditionalFormatting sqref="D10">
    <cfRule type="cellIs" dxfId="2439" priority="131" stopIfTrue="1" operator="equal">
      <formula>$C$10</formula>
    </cfRule>
    <cfRule type="cellIs" dxfId="2438" priority="132" stopIfTrue="1" operator="lessThan">
      <formula>$C$10</formula>
    </cfRule>
  </conditionalFormatting>
  <conditionalFormatting sqref="D11">
    <cfRule type="cellIs" dxfId="2437" priority="145" stopIfTrue="1" operator="equal">
      <formula>$C$11</formula>
    </cfRule>
    <cfRule type="cellIs" dxfId="2436" priority="146" stopIfTrue="1" operator="lessThan">
      <formula>$C$11</formula>
    </cfRule>
  </conditionalFormatting>
  <conditionalFormatting sqref="D12">
    <cfRule type="cellIs" dxfId="2435" priority="159" stopIfTrue="1" operator="equal">
      <formula>$C$12</formula>
    </cfRule>
    <cfRule type="cellIs" dxfId="2434" priority="160" stopIfTrue="1" operator="lessThan">
      <formula>$C$12</formula>
    </cfRule>
  </conditionalFormatting>
  <conditionalFormatting sqref="D13">
    <cfRule type="cellIs" dxfId="2433" priority="291" stopIfTrue="1" operator="equal">
      <formula>$C$13</formula>
    </cfRule>
    <cfRule type="cellIs" dxfId="2432" priority="292" stopIfTrue="1" operator="lessThan">
      <formula>$C$13</formula>
    </cfRule>
  </conditionalFormatting>
  <conditionalFormatting sqref="D14">
    <cfRule type="cellIs" dxfId="2431" priority="173" stopIfTrue="1" operator="equal">
      <formula>$C$14</formula>
    </cfRule>
    <cfRule type="cellIs" dxfId="2430" priority="174" stopIfTrue="1" operator="lessThan">
      <formula>$C$14</formula>
    </cfRule>
  </conditionalFormatting>
  <conditionalFormatting sqref="D15">
    <cfRule type="cellIs" dxfId="2429" priority="175" stopIfTrue="1" operator="equal">
      <formula>$C$15</formula>
    </cfRule>
    <cfRule type="cellIs" dxfId="2428" priority="176" stopIfTrue="1" operator="lessThan">
      <formula>$C$15</formula>
    </cfRule>
  </conditionalFormatting>
  <conditionalFormatting sqref="D16">
    <cfRule type="cellIs" dxfId="2427" priority="177" stopIfTrue="1" operator="equal">
      <formula>$C$16</formula>
    </cfRule>
    <cfRule type="cellIs" dxfId="2426" priority="178" stopIfTrue="1" operator="lessThan">
      <formula>$C$16</formula>
    </cfRule>
  </conditionalFormatting>
  <conditionalFormatting sqref="D17">
    <cfRule type="cellIs" dxfId="2425" priority="179" stopIfTrue="1" operator="equal">
      <formula>$C$17</formula>
    </cfRule>
    <cfRule type="cellIs" dxfId="2424" priority="180" stopIfTrue="1" operator="lessThan">
      <formula>$C$17</formula>
    </cfRule>
  </conditionalFormatting>
  <conditionalFormatting sqref="D18">
    <cfRule type="cellIs" dxfId="2423" priority="181" stopIfTrue="1" operator="equal">
      <formula>$C$18</formula>
    </cfRule>
    <cfRule type="cellIs" dxfId="2422" priority="182" stopIfTrue="1" operator="lessThan">
      <formula>$C$18</formula>
    </cfRule>
  </conditionalFormatting>
  <conditionalFormatting sqref="D19">
    <cfRule type="cellIs" dxfId="2421" priority="183" stopIfTrue="1" operator="equal">
      <formula>$C$19</formula>
    </cfRule>
    <cfRule type="cellIs" dxfId="2420" priority="184" stopIfTrue="1" operator="lessThan">
      <formula>$C$19</formula>
    </cfRule>
  </conditionalFormatting>
  <conditionalFormatting sqref="D20">
    <cfRule type="cellIs" dxfId="2419" priority="185" stopIfTrue="1" operator="equal">
      <formula>$C$20</formula>
    </cfRule>
    <cfRule type="cellIs" dxfId="2418" priority="186" stopIfTrue="1" operator="lessThan">
      <formula>$C$20</formula>
    </cfRule>
  </conditionalFormatting>
  <conditionalFormatting sqref="D21">
    <cfRule type="cellIs" dxfId="2417" priority="187" stopIfTrue="1" operator="equal">
      <formula>$C$21</formula>
    </cfRule>
    <cfRule type="cellIs" dxfId="2416" priority="188" stopIfTrue="1" operator="lessThan">
      <formula>$C$21</formula>
    </cfRule>
  </conditionalFormatting>
  <conditionalFormatting sqref="D22">
    <cfRule type="cellIs" dxfId="2415" priority="189" stopIfTrue="1" operator="equal">
      <formula>$C$22</formula>
    </cfRule>
    <cfRule type="cellIs" dxfId="2414" priority="190" stopIfTrue="1" operator="lessThan">
      <formula>$C$22</formula>
    </cfRule>
  </conditionalFormatting>
  <conditionalFormatting sqref="D23">
    <cfRule type="cellIs" dxfId="2413" priority="191" stopIfTrue="1" operator="equal">
      <formula>$C$23</formula>
    </cfRule>
    <cfRule type="cellIs" dxfId="2412" priority="192" stopIfTrue="1" operator="lessThan">
      <formula>$C$23</formula>
    </cfRule>
  </conditionalFormatting>
  <conditionalFormatting sqref="D24">
    <cfRule type="cellIs" dxfId="2411" priority="323" stopIfTrue="1" operator="equal">
      <formula>$C$24</formula>
    </cfRule>
    <cfRule type="cellIs" dxfId="2410" priority="324" stopIfTrue="1" operator="lessThan">
      <formula>$C$24</formula>
    </cfRule>
  </conditionalFormatting>
  <conditionalFormatting sqref="D25">
    <cfRule type="cellIs" dxfId="2409" priority="193" stopIfTrue="1" operator="equal">
      <formula>$C$25</formula>
    </cfRule>
    <cfRule type="cellIs" dxfId="2408" priority="194" stopIfTrue="1" operator="lessThan">
      <formula>$C$25</formula>
    </cfRule>
  </conditionalFormatting>
  <conditionalFormatting sqref="D26">
    <cfRule type="cellIs" dxfId="2407" priority="195" stopIfTrue="1" operator="equal">
      <formula>$C$26</formula>
    </cfRule>
    <cfRule type="cellIs" dxfId="2406" priority="196" stopIfTrue="1" operator="lessThan">
      <formula>$C$26</formula>
    </cfRule>
  </conditionalFormatting>
  <conditionalFormatting sqref="D27">
    <cfRule type="cellIs" dxfId="2405" priority="197" stopIfTrue="1" operator="equal">
      <formula>$C$27</formula>
    </cfRule>
    <cfRule type="cellIs" dxfId="2404" priority="198" stopIfTrue="1" operator="lessThan">
      <formula>$C$27</formula>
    </cfRule>
  </conditionalFormatting>
  <conditionalFormatting sqref="D28">
    <cfRule type="cellIs" dxfId="2403" priority="199" stopIfTrue="1" operator="equal">
      <formula>$C$28</formula>
    </cfRule>
    <cfRule type="cellIs" dxfId="2402" priority="200" stopIfTrue="1" operator="lessThan">
      <formula>$C$28</formula>
    </cfRule>
  </conditionalFormatting>
  <conditionalFormatting sqref="D29:H29 J29">
    <cfRule type="cellIs" dxfId="2401" priority="338" stopIfTrue="1" operator="equal">
      <formula>0</formula>
    </cfRule>
  </conditionalFormatting>
  <conditionalFormatting sqref="E4">
    <cfRule type="cellIs" dxfId="2400" priority="68" stopIfTrue="1" operator="equal">
      <formula>$D$4</formula>
    </cfRule>
    <cfRule type="cellIs" dxfId="2399" priority="69" stopIfTrue="1" operator="lessThan">
      <formula>$D$4</formula>
    </cfRule>
  </conditionalFormatting>
  <conditionalFormatting sqref="E5">
    <cfRule type="cellIs" dxfId="2398" priority="333" stopIfTrue="1" operator="equal">
      <formula>$D$5</formula>
    </cfRule>
    <cfRule type="cellIs" dxfId="2397" priority="334" stopIfTrue="1" operator="lessThan">
      <formula>$D$5</formula>
    </cfRule>
  </conditionalFormatting>
  <conditionalFormatting sqref="E6">
    <cfRule type="cellIs" dxfId="2396" priority="79" stopIfTrue="1" operator="equal">
      <formula>$D$6</formula>
    </cfRule>
    <cfRule type="cellIs" dxfId="2395" priority="80" stopIfTrue="1" operator="lessThan">
      <formula>$D$6</formula>
    </cfRule>
  </conditionalFormatting>
  <conditionalFormatting sqref="E7">
    <cfRule type="cellIs" dxfId="2394" priority="93" stopIfTrue="1" operator="equal">
      <formula>$D$7</formula>
    </cfRule>
    <cfRule type="cellIs" dxfId="2393" priority="94" stopIfTrue="1" operator="lessThan">
      <formula>$D$7</formula>
    </cfRule>
  </conditionalFormatting>
  <conditionalFormatting sqref="E8">
    <cfRule type="cellIs" dxfId="2392" priority="105" stopIfTrue="1" operator="equal">
      <formula>$D$8</formula>
    </cfRule>
    <cfRule type="cellIs" dxfId="2391" priority="106" stopIfTrue="1" operator="lessThan">
      <formula>$D$8</formula>
    </cfRule>
  </conditionalFormatting>
  <conditionalFormatting sqref="E9">
    <cfRule type="cellIs" dxfId="2390" priority="119" stopIfTrue="1" operator="equal">
      <formula>$D$9</formula>
    </cfRule>
    <cfRule type="cellIs" dxfId="2389" priority="120" stopIfTrue="1" operator="lessThan">
      <formula>$D$9</formula>
    </cfRule>
  </conditionalFormatting>
  <conditionalFormatting sqref="E10">
    <cfRule type="cellIs" dxfId="2388" priority="133" stopIfTrue="1" operator="equal">
      <formula>$D$10</formula>
    </cfRule>
    <cfRule type="cellIs" dxfId="2387" priority="134" stopIfTrue="1" operator="lessThan">
      <formula>$D$10</formula>
    </cfRule>
  </conditionalFormatting>
  <conditionalFormatting sqref="E11">
    <cfRule type="cellIs" dxfId="2386" priority="147" stopIfTrue="1" operator="equal">
      <formula>$D$11</formula>
    </cfRule>
    <cfRule type="cellIs" dxfId="2385" priority="148" stopIfTrue="1" operator="lessThan">
      <formula>$D$11</formula>
    </cfRule>
  </conditionalFormatting>
  <conditionalFormatting sqref="E12">
    <cfRule type="cellIs" dxfId="2384" priority="161" stopIfTrue="1" operator="equal">
      <formula>$D$12</formula>
    </cfRule>
    <cfRule type="cellIs" dxfId="2383" priority="162" stopIfTrue="1" operator="lessThan">
      <formula>$D$12</formula>
    </cfRule>
  </conditionalFormatting>
  <conditionalFormatting sqref="E13">
    <cfRule type="cellIs" dxfId="2382" priority="201" stopIfTrue="1" operator="equal">
      <formula>$D$13</formula>
    </cfRule>
    <cfRule type="cellIs" dxfId="2381" priority="202" stopIfTrue="1" operator="lessThan">
      <formula>$D$13</formula>
    </cfRule>
  </conditionalFormatting>
  <conditionalFormatting sqref="E14">
    <cfRule type="cellIs" dxfId="2380" priority="203" stopIfTrue="1" operator="equal">
      <formula>$D$14</formula>
    </cfRule>
    <cfRule type="cellIs" dxfId="2379" priority="204" stopIfTrue="1" operator="lessThan">
      <formula>$D$14</formula>
    </cfRule>
  </conditionalFormatting>
  <conditionalFormatting sqref="E15">
    <cfRule type="cellIs" dxfId="2378" priority="205" stopIfTrue="1" operator="equal">
      <formula>$D$15</formula>
    </cfRule>
    <cfRule type="cellIs" dxfId="2377" priority="206" stopIfTrue="1" operator="lessThan">
      <formula>$D$15</formula>
    </cfRule>
  </conditionalFormatting>
  <conditionalFormatting sqref="E16">
    <cfRule type="cellIs" dxfId="2376" priority="207" stopIfTrue="1" operator="equal">
      <formula>$D$16</formula>
    </cfRule>
    <cfRule type="cellIs" dxfId="2375" priority="208" stopIfTrue="1" operator="lessThan">
      <formula>$D$16</formula>
    </cfRule>
  </conditionalFormatting>
  <conditionalFormatting sqref="E17">
    <cfRule type="cellIs" dxfId="2374" priority="209" stopIfTrue="1" operator="equal">
      <formula>$D$17</formula>
    </cfRule>
    <cfRule type="cellIs" dxfId="2373" priority="210" stopIfTrue="1" operator="lessThan">
      <formula>$D$17</formula>
    </cfRule>
  </conditionalFormatting>
  <conditionalFormatting sqref="E18">
    <cfRule type="cellIs" dxfId="2372" priority="211" stopIfTrue="1" operator="equal">
      <formula>$D$18</formula>
    </cfRule>
    <cfRule type="cellIs" dxfId="2371" priority="212" stopIfTrue="1" operator="lessThan">
      <formula>$D$18</formula>
    </cfRule>
  </conditionalFormatting>
  <conditionalFormatting sqref="E19">
    <cfRule type="cellIs" dxfId="2370" priority="213" stopIfTrue="1" operator="equal">
      <formula>$D$19</formula>
    </cfRule>
    <cfRule type="cellIs" dxfId="2369" priority="214" stopIfTrue="1" operator="lessThan">
      <formula>$D$19</formula>
    </cfRule>
  </conditionalFormatting>
  <conditionalFormatting sqref="E20">
    <cfRule type="cellIs" dxfId="2368" priority="215" stopIfTrue="1" operator="equal">
      <formula>$D$20</formula>
    </cfRule>
    <cfRule type="cellIs" dxfId="2367" priority="216" stopIfTrue="1" operator="lessThan">
      <formula>$D$20</formula>
    </cfRule>
  </conditionalFormatting>
  <conditionalFormatting sqref="E21">
    <cfRule type="cellIs" dxfId="2366" priority="217" stopIfTrue="1" operator="equal">
      <formula>$D$21</formula>
    </cfRule>
    <cfRule type="cellIs" dxfId="2365" priority="218" stopIfTrue="1" operator="lessThan">
      <formula>$D$21</formula>
    </cfRule>
  </conditionalFormatting>
  <conditionalFormatting sqref="E22">
    <cfRule type="cellIs" dxfId="2364" priority="219" stopIfTrue="1" operator="equal">
      <formula>$D$22</formula>
    </cfRule>
    <cfRule type="cellIs" dxfId="2363" priority="220" stopIfTrue="1" operator="lessThan">
      <formula>$D$22</formula>
    </cfRule>
  </conditionalFormatting>
  <conditionalFormatting sqref="E23">
    <cfRule type="cellIs" dxfId="2362" priority="221" stopIfTrue="1" operator="equal">
      <formula>$D$23</formula>
    </cfRule>
    <cfRule type="cellIs" dxfId="2361" priority="222" stopIfTrue="1" operator="lessThan">
      <formula>$D$23</formula>
    </cfRule>
  </conditionalFormatting>
  <conditionalFormatting sqref="E24">
    <cfRule type="cellIs" dxfId="2360" priority="325" stopIfTrue="1" operator="equal">
      <formula>$D$24</formula>
    </cfRule>
    <cfRule type="cellIs" dxfId="2359" priority="326" stopIfTrue="1" operator="lessThan">
      <formula>$D$24</formula>
    </cfRule>
  </conditionalFormatting>
  <conditionalFormatting sqref="E25">
    <cfRule type="cellIs" dxfId="2358" priority="223" stopIfTrue="1" operator="equal">
      <formula>$D$25</formula>
    </cfRule>
    <cfRule type="cellIs" dxfId="2357" priority="224" stopIfTrue="1" operator="lessThan">
      <formula>$D$25</formula>
    </cfRule>
  </conditionalFormatting>
  <conditionalFormatting sqref="E26">
    <cfRule type="cellIs" dxfId="2356" priority="225" stopIfTrue="1" operator="equal">
      <formula>$D$26</formula>
    </cfRule>
    <cfRule type="cellIs" dxfId="2355" priority="226" stopIfTrue="1" operator="lessThan">
      <formula>$D$26</formula>
    </cfRule>
  </conditionalFormatting>
  <conditionalFormatting sqref="E27">
    <cfRule type="cellIs" dxfId="2354" priority="227" stopIfTrue="1" operator="equal">
      <formula>$D$27</formula>
    </cfRule>
    <cfRule type="cellIs" dxfId="2353" priority="228" stopIfTrue="1" operator="lessThan">
      <formula>$D$27</formula>
    </cfRule>
  </conditionalFormatting>
  <conditionalFormatting sqref="E28">
    <cfRule type="cellIs" dxfId="2352" priority="229" stopIfTrue="1" operator="equal">
      <formula>$D$28</formula>
    </cfRule>
    <cfRule type="cellIs" dxfId="2351" priority="230" stopIfTrue="1" operator="lessThan">
      <formula>$D$28</formula>
    </cfRule>
  </conditionalFormatting>
  <conditionalFormatting sqref="F4">
    <cfRule type="cellIs" dxfId="2350" priority="64" stopIfTrue="1" operator="equal">
      <formula>$E$4</formula>
    </cfRule>
    <cfRule type="cellIs" dxfId="2349" priority="65" stopIfTrue="1" operator="lessThan">
      <formula>$E$4</formula>
    </cfRule>
  </conditionalFormatting>
  <conditionalFormatting sqref="F5">
    <cfRule type="cellIs" dxfId="2348" priority="72" stopIfTrue="1" operator="equal">
      <formula>$E$5</formula>
    </cfRule>
    <cfRule type="cellIs" dxfId="2347" priority="73" stopIfTrue="1" operator="lessThan">
      <formula>$E$5</formula>
    </cfRule>
  </conditionalFormatting>
  <conditionalFormatting sqref="F6">
    <cfRule type="cellIs" dxfId="2346" priority="81" stopIfTrue="1" operator="equal">
      <formula>$E$6</formula>
    </cfRule>
    <cfRule type="cellIs" dxfId="2345" priority="82" stopIfTrue="1" operator="lessThan">
      <formula>$E$6</formula>
    </cfRule>
  </conditionalFormatting>
  <conditionalFormatting sqref="F7">
    <cfRule type="cellIs" dxfId="2344" priority="95" stopIfTrue="1" operator="equal">
      <formula>$E$7</formula>
    </cfRule>
    <cfRule type="cellIs" dxfId="2343" priority="96" stopIfTrue="1" operator="lessThan">
      <formula>$E$7</formula>
    </cfRule>
  </conditionalFormatting>
  <conditionalFormatting sqref="F8">
    <cfRule type="cellIs" dxfId="2342" priority="107" stopIfTrue="1" operator="equal">
      <formula>$E$8</formula>
    </cfRule>
    <cfRule type="cellIs" dxfId="2341" priority="108" stopIfTrue="1" operator="lessThan">
      <formula>$E$8</formula>
    </cfRule>
  </conditionalFormatting>
  <conditionalFormatting sqref="F9">
    <cfRule type="cellIs" dxfId="2340" priority="121" stopIfTrue="1" operator="equal">
      <formula>$E$9</formula>
    </cfRule>
    <cfRule type="cellIs" dxfId="2339" priority="122" stopIfTrue="1" operator="lessThan">
      <formula>$E$9</formula>
    </cfRule>
  </conditionalFormatting>
  <conditionalFormatting sqref="F10">
    <cfRule type="cellIs" dxfId="2338" priority="135" stopIfTrue="1" operator="equal">
      <formula>$E$10</formula>
    </cfRule>
    <cfRule type="cellIs" dxfId="2337" priority="136" stopIfTrue="1" operator="lessThan">
      <formula>$E$10</formula>
    </cfRule>
  </conditionalFormatting>
  <conditionalFormatting sqref="F11">
    <cfRule type="cellIs" dxfId="2336" priority="149" stopIfTrue="1" operator="equal">
      <formula>$E$11</formula>
    </cfRule>
    <cfRule type="cellIs" dxfId="2335" priority="150" stopIfTrue="1" operator="lessThan">
      <formula>$E$11</formula>
    </cfRule>
  </conditionalFormatting>
  <conditionalFormatting sqref="F12">
    <cfRule type="cellIs" dxfId="2334" priority="163" stopIfTrue="1" operator="equal">
      <formula>$E$12</formula>
    </cfRule>
    <cfRule type="cellIs" dxfId="2333" priority="164" stopIfTrue="1" operator="lessThan">
      <formula>$E$12</formula>
    </cfRule>
  </conditionalFormatting>
  <conditionalFormatting sqref="F13">
    <cfRule type="cellIs" dxfId="2332" priority="231" stopIfTrue="1" operator="equal">
      <formula>$E$13</formula>
    </cfRule>
    <cfRule type="cellIs" dxfId="2331" priority="232" stopIfTrue="1" operator="lessThan">
      <formula>$E$13</formula>
    </cfRule>
  </conditionalFormatting>
  <conditionalFormatting sqref="F14">
    <cfRule type="cellIs" dxfId="2330" priority="233" stopIfTrue="1" operator="equal">
      <formula>$E$14</formula>
    </cfRule>
    <cfRule type="cellIs" dxfId="2329" priority="234" stopIfTrue="1" operator="lessThan">
      <formula>$E$14</formula>
    </cfRule>
  </conditionalFormatting>
  <conditionalFormatting sqref="F15">
    <cfRule type="cellIs" dxfId="2328" priority="235" stopIfTrue="1" operator="equal">
      <formula>$E$15</formula>
    </cfRule>
    <cfRule type="cellIs" dxfId="2327" priority="236" stopIfTrue="1" operator="lessThan">
      <formula>$E$15</formula>
    </cfRule>
  </conditionalFormatting>
  <conditionalFormatting sqref="F16">
    <cfRule type="cellIs" dxfId="2326" priority="237" stopIfTrue="1" operator="equal">
      <formula>$E$16</formula>
    </cfRule>
    <cfRule type="cellIs" dxfId="2325" priority="238" stopIfTrue="1" operator="lessThan">
      <formula>$E$16</formula>
    </cfRule>
  </conditionalFormatting>
  <conditionalFormatting sqref="F17">
    <cfRule type="cellIs" dxfId="2324" priority="239" stopIfTrue="1" operator="equal">
      <formula>$E$17</formula>
    </cfRule>
    <cfRule type="cellIs" dxfId="2323" priority="240" stopIfTrue="1" operator="lessThan">
      <formula>$E$17</formula>
    </cfRule>
  </conditionalFormatting>
  <conditionalFormatting sqref="F18">
    <cfRule type="cellIs" dxfId="2322" priority="241" stopIfTrue="1" operator="equal">
      <formula>$E$18</formula>
    </cfRule>
    <cfRule type="cellIs" dxfId="2321" priority="242" stopIfTrue="1" operator="lessThan">
      <formula>$E$18</formula>
    </cfRule>
  </conditionalFormatting>
  <conditionalFormatting sqref="F19">
    <cfRule type="cellIs" dxfId="2320" priority="243" stopIfTrue="1" operator="equal">
      <formula>$E$19</formula>
    </cfRule>
    <cfRule type="cellIs" dxfId="2319" priority="244" stopIfTrue="1" operator="lessThan">
      <formula>$E$19</formula>
    </cfRule>
  </conditionalFormatting>
  <conditionalFormatting sqref="F20">
    <cfRule type="cellIs" dxfId="2318" priority="245" stopIfTrue="1" operator="equal">
      <formula>$E$20</formula>
    </cfRule>
    <cfRule type="cellIs" dxfId="2317" priority="246" stopIfTrue="1" operator="lessThan">
      <formula>$E$20</formula>
    </cfRule>
  </conditionalFormatting>
  <conditionalFormatting sqref="F21">
    <cfRule type="cellIs" dxfId="2316" priority="247" stopIfTrue="1" operator="equal">
      <formula>$E$21</formula>
    </cfRule>
    <cfRule type="cellIs" dxfId="2315" priority="248" stopIfTrue="1" operator="lessThan">
      <formula>$E$21</formula>
    </cfRule>
  </conditionalFormatting>
  <conditionalFormatting sqref="F22">
    <cfRule type="cellIs" dxfId="2314" priority="249" stopIfTrue="1" operator="equal">
      <formula>$E$22</formula>
    </cfRule>
    <cfRule type="cellIs" dxfId="2313" priority="250" stopIfTrue="1" operator="lessThan">
      <formula>$E$22</formula>
    </cfRule>
  </conditionalFormatting>
  <conditionalFormatting sqref="F23">
    <cfRule type="cellIs" dxfId="2312" priority="251" stopIfTrue="1" operator="equal">
      <formula>$E$23</formula>
    </cfRule>
    <cfRule type="cellIs" dxfId="2311" priority="252" stopIfTrue="1" operator="lessThan">
      <formula>$E$23</formula>
    </cfRule>
  </conditionalFormatting>
  <conditionalFormatting sqref="F24">
    <cfRule type="cellIs" dxfId="2310" priority="327" stopIfTrue="1" operator="equal">
      <formula>$E$24</formula>
    </cfRule>
    <cfRule type="cellIs" dxfId="2309" priority="328" stopIfTrue="1" operator="lessThan">
      <formula>$E$24</formula>
    </cfRule>
  </conditionalFormatting>
  <conditionalFormatting sqref="F25">
    <cfRule type="cellIs" dxfId="2308" priority="253" stopIfTrue="1" operator="equal">
      <formula>$E$25</formula>
    </cfRule>
    <cfRule type="cellIs" dxfId="2307" priority="254" stopIfTrue="1" operator="lessThan">
      <formula>$E$25</formula>
    </cfRule>
  </conditionalFormatting>
  <conditionalFormatting sqref="F26">
    <cfRule type="cellIs" dxfId="2306" priority="255" stopIfTrue="1" operator="equal">
      <formula>$E$26</formula>
    </cfRule>
    <cfRule type="cellIs" dxfId="2305" priority="256" stopIfTrue="1" operator="lessThan">
      <formula>$E$26</formula>
    </cfRule>
  </conditionalFormatting>
  <conditionalFormatting sqref="F27">
    <cfRule type="cellIs" dxfId="2304" priority="257" stopIfTrue="1" operator="equal">
      <formula>$E$27</formula>
    </cfRule>
    <cfRule type="cellIs" dxfId="2303" priority="258" stopIfTrue="1" operator="lessThan">
      <formula>$E$27</formula>
    </cfRule>
  </conditionalFormatting>
  <conditionalFormatting sqref="F28">
    <cfRule type="cellIs" dxfId="2302" priority="259" stopIfTrue="1" operator="equal">
      <formula>$E$28</formula>
    </cfRule>
    <cfRule type="cellIs" dxfId="2301" priority="260" stopIfTrue="1" operator="lessThan">
      <formula>$E$28</formula>
    </cfRule>
  </conditionalFormatting>
  <conditionalFormatting sqref="G4">
    <cfRule type="cellIs" dxfId="2300" priority="337" stopIfTrue="1" operator="equal">
      <formula>$F$4</formula>
    </cfRule>
  </conditionalFormatting>
  <conditionalFormatting sqref="G5">
    <cfRule type="cellIs" dxfId="2299" priority="335" stopIfTrue="1" operator="equal">
      <formula>$F$5</formula>
    </cfRule>
    <cfRule type="cellIs" dxfId="2298" priority="336" stopIfTrue="1" operator="lessThan">
      <formula>$F$5</formula>
    </cfRule>
  </conditionalFormatting>
  <conditionalFormatting sqref="G6">
    <cfRule type="cellIs" dxfId="2297" priority="83" stopIfTrue="1" operator="equal">
      <formula>$F$6</formula>
    </cfRule>
    <cfRule type="cellIs" dxfId="2296" priority="84" stopIfTrue="1" operator="lessThan">
      <formula>$F$6</formula>
    </cfRule>
  </conditionalFormatting>
  <conditionalFormatting sqref="G7">
    <cfRule type="cellIs" dxfId="2295" priority="56" stopIfTrue="1" operator="equal">
      <formula>$F$7</formula>
    </cfRule>
    <cfRule type="cellIs" dxfId="2294" priority="57" stopIfTrue="1" operator="lessThan">
      <formula>$F$7</formula>
    </cfRule>
  </conditionalFormatting>
  <conditionalFormatting sqref="G8">
    <cfRule type="cellIs" dxfId="2293" priority="109" stopIfTrue="1" operator="equal">
      <formula>$F$8</formula>
    </cfRule>
    <cfRule type="cellIs" dxfId="2292" priority="110" stopIfTrue="1" operator="lessThan">
      <formula>$F$8</formula>
    </cfRule>
  </conditionalFormatting>
  <conditionalFormatting sqref="G9">
    <cfRule type="cellIs" dxfId="2291" priority="123" stopIfTrue="1" operator="equal">
      <formula>$F$9</formula>
    </cfRule>
    <cfRule type="cellIs" dxfId="2290" priority="124" stopIfTrue="1" operator="lessThan">
      <formula>$F$9</formula>
    </cfRule>
  </conditionalFormatting>
  <conditionalFormatting sqref="G10">
    <cfRule type="cellIs" dxfId="2289" priority="137" stopIfTrue="1" operator="equal">
      <formula>$F$10</formula>
    </cfRule>
    <cfRule type="cellIs" dxfId="2288" priority="138" stopIfTrue="1" operator="lessThan">
      <formula>$F$10</formula>
    </cfRule>
  </conditionalFormatting>
  <conditionalFormatting sqref="G11">
    <cfRule type="cellIs" dxfId="2287" priority="151" stopIfTrue="1" operator="equal">
      <formula>$F$11</formula>
    </cfRule>
    <cfRule type="cellIs" dxfId="2286" priority="152" stopIfTrue="1" operator="lessThan">
      <formula>$F$11</formula>
    </cfRule>
  </conditionalFormatting>
  <conditionalFormatting sqref="G12">
    <cfRule type="cellIs" dxfId="2285" priority="165" stopIfTrue="1" operator="equal">
      <formula>$F$12</formula>
    </cfRule>
    <cfRule type="cellIs" dxfId="2284" priority="166" stopIfTrue="1" operator="lessThan">
      <formula>$F$12</formula>
    </cfRule>
  </conditionalFormatting>
  <conditionalFormatting sqref="G13">
    <cfRule type="cellIs" dxfId="2283" priority="261" stopIfTrue="1" operator="equal">
      <formula>$F$13</formula>
    </cfRule>
    <cfRule type="cellIs" dxfId="2282" priority="262" stopIfTrue="1" operator="lessThan">
      <formula>$F$13</formula>
    </cfRule>
  </conditionalFormatting>
  <conditionalFormatting sqref="G14">
    <cfRule type="cellIs" dxfId="2281" priority="263" stopIfTrue="1" operator="equal">
      <formula>$F$14</formula>
    </cfRule>
    <cfRule type="cellIs" dxfId="2280" priority="264" stopIfTrue="1" operator="lessThan">
      <formula>$F$14</formula>
    </cfRule>
  </conditionalFormatting>
  <conditionalFormatting sqref="G15">
    <cfRule type="cellIs" dxfId="2279" priority="265" stopIfTrue="1" operator="equal">
      <formula>$F$15</formula>
    </cfRule>
    <cfRule type="cellIs" dxfId="2278" priority="266" stopIfTrue="1" operator="lessThan">
      <formula>$F$15</formula>
    </cfRule>
  </conditionalFormatting>
  <conditionalFormatting sqref="G16">
    <cfRule type="cellIs" dxfId="2277" priority="267" stopIfTrue="1" operator="equal">
      <formula>$F$16</formula>
    </cfRule>
    <cfRule type="cellIs" dxfId="2276" priority="268" stopIfTrue="1" operator="lessThan">
      <formula>$F$16</formula>
    </cfRule>
  </conditionalFormatting>
  <conditionalFormatting sqref="G17">
    <cfRule type="cellIs" dxfId="2275" priority="269" stopIfTrue="1" operator="equal">
      <formula>$F$17</formula>
    </cfRule>
    <cfRule type="cellIs" dxfId="2274" priority="270" stopIfTrue="1" operator="lessThan">
      <formula>$F$17</formula>
    </cfRule>
  </conditionalFormatting>
  <conditionalFormatting sqref="G18">
    <cfRule type="cellIs" dxfId="2273" priority="271" stopIfTrue="1" operator="equal">
      <formula>$F$18</formula>
    </cfRule>
    <cfRule type="cellIs" dxfId="2272" priority="272" stopIfTrue="1" operator="lessThan">
      <formula>$F$18</formula>
    </cfRule>
  </conditionalFormatting>
  <conditionalFormatting sqref="G19">
    <cfRule type="cellIs" dxfId="2271" priority="273" stopIfTrue="1" operator="equal">
      <formula>$F$19</formula>
    </cfRule>
    <cfRule type="cellIs" dxfId="2270" priority="274" stopIfTrue="1" operator="lessThan">
      <formula>$F$19</formula>
    </cfRule>
  </conditionalFormatting>
  <conditionalFormatting sqref="G20">
    <cfRule type="cellIs" dxfId="2269" priority="275" stopIfTrue="1" operator="equal">
      <formula>$F$20</formula>
    </cfRule>
    <cfRule type="cellIs" dxfId="2268" priority="276" stopIfTrue="1" operator="lessThan">
      <formula>$F$20</formula>
    </cfRule>
  </conditionalFormatting>
  <conditionalFormatting sqref="G21">
    <cfRule type="cellIs" dxfId="2267" priority="277" stopIfTrue="1" operator="equal">
      <formula>$F$21</formula>
    </cfRule>
    <cfRule type="cellIs" dxfId="2266" priority="278" stopIfTrue="1" operator="lessThan">
      <formula>$F$21</formula>
    </cfRule>
  </conditionalFormatting>
  <conditionalFormatting sqref="G22">
    <cfRule type="cellIs" dxfId="2265" priority="279" stopIfTrue="1" operator="equal">
      <formula>$F$22</formula>
    </cfRule>
    <cfRule type="cellIs" dxfId="2264" priority="280" stopIfTrue="1" operator="lessThan">
      <formula>$F$22</formula>
    </cfRule>
  </conditionalFormatting>
  <conditionalFormatting sqref="G23">
    <cfRule type="cellIs" dxfId="2263" priority="281" stopIfTrue="1" operator="equal">
      <formula>$F$23</formula>
    </cfRule>
    <cfRule type="cellIs" dxfId="2262" priority="282" stopIfTrue="1" operator="lessThan">
      <formula>$F$23</formula>
    </cfRule>
  </conditionalFormatting>
  <conditionalFormatting sqref="G24">
    <cfRule type="cellIs" dxfId="2261" priority="329" stopIfTrue="1" operator="equal">
      <formula>$F$24</formula>
    </cfRule>
    <cfRule type="cellIs" dxfId="2260" priority="330" stopIfTrue="1" operator="lessThan">
      <formula>$F$24</formula>
    </cfRule>
  </conditionalFormatting>
  <conditionalFormatting sqref="G25">
    <cfRule type="cellIs" dxfId="2259" priority="283" stopIfTrue="1" operator="equal">
      <formula>$F$25</formula>
    </cfRule>
    <cfRule type="cellIs" dxfId="2258" priority="284" stopIfTrue="1" operator="lessThan">
      <formula>$F$25</formula>
    </cfRule>
  </conditionalFormatting>
  <conditionalFormatting sqref="G26">
    <cfRule type="cellIs" dxfId="2257" priority="285" stopIfTrue="1" operator="equal">
      <formula>$F$26</formula>
    </cfRule>
    <cfRule type="cellIs" dxfId="2256" priority="286" stopIfTrue="1" operator="lessThan">
      <formula>$F$26</formula>
    </cfRule>
  </conditionalFormatting>
  <conditionalFormatting sqref="G27">
    <cfRule type="cellIs" dxfId="2255" priority="287" stopIfTrue="1" operator="equal">
      <formula>$F$27</formula>
    </cfRule>
    <cfRule type="cellIs" dxfId="2254" priority="288" stopIfTrue="1" operator="lessThan">
      <formula>$F$27</formula>
    </cfRule>
  </conditionalFormatting>
  <conditionalFormatting sqref="G28">
    <cfRule type="cellIs" dxfId="2253" priority="289" stopIfTrue="1" operator="equal">
      <formula>$F$28</formula>
    </cfRule>
    <cfRule type="cellIs" dxfId="2252" priority="290" stopIfTrue="1" operator="lessThan">
      <formula>$F$28</formula>
    </cfRule>
  </conditionalFormatting>
  <conditionalFormatting sqref="H4">
    <cfRule type="cellIs" dxfId="2251" priority="54" stopIfTrue="1" operator="lessThan">
      <formula>$G$4</formula>
    </cfRule>
    <cfRule type="cellIs" dxfId="2250" priority="55" stopIfTrue="1" operator="equal">
      <formula>$G$4</formula>
    </cfRule>
  </conditionalFormatting>
  <conditionalFormatting sqref="H5">
    <cfRule type="cellIs" dxfId="2249" priority="58" stopIfTrue="1" operator="equal">
      <formula>$G$5</formula>
    </cfRule>
    <cfRule type="cellIs" dxfId="2248" priority="59" stopIfTrue="1" operator="lessThan">
      <formula>$G$5</formula>
    </cfRule>
  </conditionalFormatting>
  <conditionalFormatting sqref="H6">
    <cfRule type="cellIs" dxfId="2247" priority="85" stopIfTrue="1" operator="equal">
      <formula>$G$6</formula>
    </cfRule>
    <cfRule type="cellIs" dxfId="2246" priority="86" stopIfTrue="1" operator="lessThan">
      <formula>$G$6</formula>
    </cfRule>
  </conditionalFormatting>
  <conditionalFormatting sqref="H7">
    <cfRule type="cellIs" dxfId="2245" priority="97" stopIfTrue="1" operator="equal">
      <formula>$G$7</formula>
    </cfRule>
    <cfRule type="cellIs" dxfId="2244" priority="98" stopIfTrue="1" operator="lessThan">
      <formula>$G$7</formula>
    </cfRule>
  </conditionalFormatting>
  <conditionalFormatting sqref="H8">
    <cfRule type="cellIs" dxfId="2243" priority="111" stopIfTrue="1" operator="equal">
      <formula>$G$8</formula>
    </cfRule>
    <cfRule type="cellIs" dxfId="2242" priority="112" stopIfTrue="1" operator="lessThan">
      <formula>$G$8</formula>
    </cfRule>
  </conditionalFormatting>
  <conditionalFormatting sqref="H9">
    <cfRule type="cellIs" dxfId="2241" priority="125" stopIfTrue="1" operator="equal">
      <formula>$G$9</formula>
    </cfRule>
    <cfRule type="cellIs" dxfId="2240" priority="126" stopIfTrue="1" operator="lessThan">
      <formula>$G$9</formula>
    </cfRule>
  </conditionalFormatting>
  <conditionalFormatting sqref="H10">
    <cfRule type="cellIs" dxfId="2239" priority="139" stopIfTrue="1" operator="equal">
      <formula>$G$10</formula>
    </cfRule>
    <cfRule type="cellIs" dxfId="2238" priority="140" stopIfTrue="1" operator="lessThan">
      <formula>$G$10</formula>
    </cfRule>
  </conditionalFormatting>
  <conditionalFormatting sqref="H11">
    <cfRule type="cellIs" dxfId="2237" priority="153" stopIfTrue="1" operator="equal">
      <formula>$G$11</formula>
    </cfRule>
    <cfRule type="cellIs" dxfId="2236" priority="154" stopIfTrue="1" operator="lessThan">
      <formula>$G$11</formula>
    </cfRule>
  </conditionalFormatting>
  <conditionalFormatting sqref="H12">
    <cfRule type="cellIs" dxfId="2235" priority="167" stopIfTrue="1" operator="equal">
      <formula>$G$12</formula>
    </cfRule>
    <cfRule type="cellIs" dxfId="2234" priority="168" stopIfTrue="1" operator="lessThan">
      <formula>$G$12</formula>
    </cfRule>
  </conditionalFormatting>
  <conditionalFormatting sqref="H13">
    <cfRule type="cellIs" dxfId="2233" priority="293" stopIfTrue="1" operator="equal">
      <formula>$G$13</formula>
    </cfRule>
    <cfRule type="cellIs" dxfId="2232" priority="294" stopIfTrue="1" operator="lessThan">
      <formula>$G$13</formula>
    </cfRule>
  </conditionalFormatting>
  <conditionalFormatting sqref="H14">
    <cfRule type="cellIs" dxfId="2231" priority="295" stopIfTrue="1" operator="equal">
      <formula>$G$14</formula>
    </cfRule>
    <cfRule type="cellIs" dxfId="2230" priority="296" stopIfTrue="1" operator="lessThan">
      <formula>$G$14</formula>
    </cfRule>
  </conditionalFormatting>
  <conditionalFormatting sqref="H15">
    <cfRule type="cellIs" dxfId="2229" priority="297" stopIfTrue="1" operator="equal">
      <formula>$G$15</formula>
    </cfRule>
    <cfRule type="cellIs" dxfId="2228" priority="298" stopIfTrue="1" operator="lessThan">
      <formula>$G$15</formula>
    </cfRule>
  </conditionalFormatting>
  <conditionalFormatting sqref="H16">
    <cfRule type="cellIs" dxfId="2227" priority="299" stopIfTrue="1" operator="equal">
      <formula>$G$16</formula>
    </cfRule>
    <cfRule type="cellIs" dxfId="2226" priority="300" stopIfTrue="1" operator="lessThan">
      <formula>$G$16</formula>
    </cfRule>
  </conditionalFormatting>
  <conditionalFormatting sqref="H17">
    <cfRule type="cellIs" dxfId="2225" priority="301" stopIfTrue="1" operator="equal">
      <formula>$G$17</formula>
    </cfRule>
    <cfRule type="cellIs" dxfId="2224" priority="302" stopIfTrue="1" operator="lessThan">
      <formula>$G$17</formula>
    </cfRule>
  </conditionalFormatting>
  <conditionalFormatting sqref="H18">
    <cfRule type="cellIs" dxfId="2223" priority="303" stopIfTrue="1" operator="equal">
      <formula>$G$18</formula>
    </cfRule>
    <cfRule type="cellIs" dxfId="2222" priority="304" stopIfTrue="1" operator="lessThan">
      <formula>$G$18</formula>
    </cfRule>
  </conditionalFormatting>
  <conditionalFormatting sqref="H19">
    <cfRule type="cellIs" dxfId="2221" priority="305" stopIfTrue="1" operator="equal">
      <formula>$G$19</formula>
    </cfRule>
    <cfRule type="cellIs" dxfId="2220" priority="306" stopIfTrue="1" operator="lessThan">
      <formula>$G$19</formula>
    </cfRule>
  </conditionalFormatting>
  <conditionalFormatting sqref="H20">
    <cfRule type="cellIs" dxfId="2219" priority="307" stopIfTrue="1" operator="equal">
      <formula>$G$20</formula>
    </cfRule>
    <cfRule type="cellIs" dxfId="2218" priority="308" stopIfTrue="1" operator="lessThan">
      <formula>$G$20</formula>
    </cfRule>
  </conditionalFormatting>
  <conditionalFormatting sqref="H21">
    <cfRule type="cellIs" dxfId="2217" priority="309" stopIfTrue="1" operator="equal">
      <formula>$G$21</formula>
    </cfRule>
    <cfRule type="cellIs" dxfId="2216" priority="310" stopIfTrue="1" operator="lessThan">
      <formula>$G$21</formula>
    </cfRule>
  </conditionalFormatting>
  <conditionalFormatting sqref="H22">
    <cfRule type="cellIs" dxfId="2215" priority="311" stopIfTrue="1" operator="equal">
      <formula>$G$22</formula>
    </cfRule>
    <cfRule type="cellIs" dxfId="2214" priority="312" stopIfTrue="1" operator="lessThan">
      <formula>$G$22</formula>
    </cfRule>
  </conditionalFormatting>
  <conditionalFormatting sqref="H23">
    <cfRule type="cellIs" dxfId="2213" priority="313" stopIfTrue="1" operator="equal">
      <formula>$G$23</formula>
    </cfRule>
    <cfRule type="cellIs" dxfId="2212" priority="314" stopIfTrue="1" operator="lessThan">
      <formula>$G$23</formula>
    </cfRule>
  </conditionalFormatting>
  <conditionalFormatting sqref="H24">
    <cfRule type="cellIs" dxfId="2211" priority="331" stopIfTrue="1" operator="equal">
      <formula>$G$24</formula>
    </cfRule>
    <cfRule type="cellIs" dxfId="2210" priority="332" stopIfTrue="1" operator="lessThan">
      <formula>$G$24</formula>
    </cfRule>
  </conditionalFormatting>
  <conditionalFormatting sqref="H25">
    <cfRule type="cellIs" dxfId="2209" priority="315" stopIfTrue="1" operator="equal">
      <formula>$G$25</formula>
    </cfRule>
    <cfRule type="cellIs" dxfId="2208" priority="316" stopIfTrue="1" operator="lessThan">
      <formula>$G$25</formula>
    </cfRule>
  </conditionalFormatting>
  <conditionalFormatting sqref="H26">
    <cfRule type="cellIs" dxfId="2207" priority="317" stopIfTrue="1" operator="equal">
      <formula>$G$26</formula>
    </cfRule>
    <cfRule type="cellIs" dxfId="2206" priority="318" stopIfTrue="1" operator="lessThan">
      <formula>$G$26</formula>
    </cfRule>
  </conditionalFormatting>
  <conditionalFormatting sqref="H27">
    <cfRule type="cellIs" dxfId="2205" priority="319" stopIfTrue="1" operator="equal">
      <formula>$G$27</formula>
    </cfRule>
    <cfRule type="cellIs" dxfId="2204" priority="320" stopIfTrue="1" operator="lessThan">
      <formula>$G$27</formula>
    </cfRule>
  </conditionalFormatting>
  <conditionalFormatting sqref="H28">
    <cfRule type="cellIs" dxfId="2203" priority="321" stopIfTrue="1" operator="equal">
      <formula>$G$28</formula>
    </cfRule>
    <cfRule type="cellIs" dxfId="2202" priority="322" stopIfTrue="1" operator="lessThan">
      <formula>$G$28</formula>
    </cfRule>
  </conditionalFormatting>
  <conditionalFormatting sqref="I4">
    <cfRule type="cellIs" dxfId="2201" priority="74" stopIfTrue="1" operator="equal">
      <formula>$H$4</formula>
    </cfRule>
  </conditionalFormatting>
  <conditionalFormatting sqref="I5">
    <cfRule type="cellIs" dxfId="2200" priority="60" stopIfTrue="1" operator="equal">
      <formula>$H$5</formula>
    </cfRule>
    <cfRule type="cellIs" dxfId="2199" priority="61" stopIfTrue="1" operator="lessThan">
      <formula>$H$5</formula>
    </cfRule>
  </conditionalFormatting>
  <conditionalFormatting sqref="I6">
    <cfRule type="cellIs" dxfId="2198" priority="87" stopIfTrue="1" operator="equal">
      <formula>$H$6</formula>
    </cfRule>
    <cfRule type="cellIs" dxfId="2197" priority="88" stopIfTrue="1" operator="lessThan">
      <formula>$H$6</formula>
    </cfRule>
  </conditionalFormatting>
  <conditionalFormatting sqref="I7">
    <cfRule type="cellIs" dxfId="2196" priority="99" stopIfTrue="1" operator="equal">
      <formula>$H$7</formula>
    </cfRule>
    <cfRule type="cellIs" dxfId="2195" priority="100" stopIfTrue="1" operator="lessThan">
      <formula>$H$7</formula>
    </cfRule>
  </conditionalFormatting>
  <conditionalFormatting sqref="I8">
    <cfRule type="cellIs" dxfId="2194" priority="113" stopIfTrue="1" operator="equal">
      <formula>$H$8</formula>
    </cfRule>
    <cfRule type="cellIs" dxfId="2193" priority="114" stopIfTrue="1" operator="lessThan">
      <formula>$H$8</formula>
    </cfRule>
  </conditionalFormatting>
  <conditionalFormatting sqref="I9">
    <cfRule type="cellIs" dxfId="2192" priority="127" stopIfTrue="1" operator="equal">
      <formula>$H$9</formula>
    </cfRule>
    <cfRule type="cellIs" dxfId="2191" priority="128" stopIfTrue="1" operator="lessThan">
      <formula>$H$9</formula>
    </cfRule>
  </conditionalFormatting>
  <conditionalFormatting sqref="I10">
    <cfRule type="cellIs" dxfId="2190" priority="141" stopIfTrue="1" operator="equal">
      <formula>$H$10</formula>
    </cfRule>
    <cfRule type="cellIs" dxfId="2189" priority="142" stopIfTrue="1" operator="lessThan">
      <formula>$H$10</formula>
    </cfRule>
  </conditionalFormatting>
  <conditionalFormatting sqref="I11">
    <cfRule type="cellIs" dxfId="2188" priority="155" stopIfTrue="1" operator="equal">
      <formula>$H$11</formula>
    </cfRule>
    <cfRule type="cellIs" dxfId="2187" priority="156" stopIfTrue="1" operator="lessThan">
      <formula>$H$11</formula>
    </cfRule>
  </conditionalFormatting>
  <conditionalFormatting sqref="I12">
    <cfRule type="cellIs" dxfId="2186" priority="169" stopIfTrue="1" operator="equal">
      <formula>$H$12</formula>
    </cfRule>
    <cfRule type="cellIs" dxfId="2185" priority="170" stopIfTrue="1" operator="lessThan">
      <formula>$H$12</formula>
    </cfRule>
  </conditionalFormatting>
  <conditionalFormatting sqref="I13">
    <cfRule type="cellIs" dxfId="2184" priority="339" stopIfTrue="1" operator="equal">
      <formula>$H$13</formula>
    </cfRule>
    <cfRule type="cellIs" dxfId="2183" priority="340" stopIfTrue="1" operator="lessThan">
      <formula>$H$13</formula>
    </cfRule>
  </conditionalFormatting>
  <conditionalFormatting sqref="I14">
    <cfRule type="cellIs" dxfId="2182" priority="341" stopIfTrue="1" operator="equal">
      <formula>$H$14</formula>
    </cfRule>
    <cfRule type="cellIs" dxfId="2181" priority="342" stopIfTrue="1" operator="lessThan">
      <formula>$H$14</formula>
    </cfRule>
  </conditionalFormatting>
  <conditionalFormatting sqref="I15">
    <cfRule type="cellIs" dxfId="2180" priority="343" stopIfTrue="1" operator="equal">
      <formula>$H$15</formula>
    </cfRule>
    <cfRule type="cellIs" dxfId="2179" priority="344" stopIfTrue="1" operator="lessThan">
      <formula>$H$15</formula>
    </cfRule>
  </conditionalFormatting>
  <conditionalFormatting sqref="I16">
    <cfRule type="cellIs" dxfId="2178" priority="345" stopIfTrue="1" operator="equal">
      <formula>$H$16</formula>
    </cfRule>
    <cfRule type="cellIs" dxfId="2177" priority="346" stopIfTrue="1" operator="lessThan">
      <formula>$H$16</formula>
    </cfRule>
  </conditionalFormatting>
  <conditionalFormatting sqref="I17">
    <cfRule type="cellIs" dxfId="2176" priority="347" stopIfTrue="1" operator="equal">
      <formula>$H$17</formula>
    </cfRule>
    <cfRule type="cellIs" dxfId="2175" priority="348" stopIfTrue="1" operator="lessThan">
      <formula>$H$17</formula>
    </cfRule>
  </conditionalFormatting>
  <conditionalFormatting sqref="I18">
    <cfRule type="cellIs" dxfId="2174" priority="349" stopIfTrue="1" operator="equal">
      <formula>$H$18</formula>
    </cfRule>
    <cfRule type="cellIs" dxfId="2173" priority="350" stopIfTrue="1" operator="lessThan">
      <formula>$H$18</formula>
    </cfRule>
  </conditionalFormatting>
  <conditionalFormatting sqref="I19">
    <cfRule type="cellIs" dxfId="2172" priority="351" stopIfTrue="1" operator="equal">
      <formula>$H$19</formula>
    </cfRule>
    <cfRule type="cellIs" dxfId="2171" priority="352" stopIfTrue="1" operator="lessThan">
      <formula>$H$19</formula>
    </cfRule>
  </conditionalFormatting>
  <conditionalFormatting sqref="I20">
    <cfRule type="cellIs" dxfId="2170" priority="353" stopIfTrue="1" operator="equal">
      <formula>$H$20</formula>
    </cfRule>
    <cfRule type="cellIs" dxfId="2169" priority="354" stopIfTrue="1" operator="lessThan">
      <formula>$H$20</formula>
    </cfRule>
  </conditionalFormatting>
  <conditionalFormatting sqref="I21">
    <cfRule type="cellIs" dxfId="2168" priority="355" stopIfTrue="1" operator="equal">
      <formula>$H$21</formula>
    </cfRule>
    <cfRule type="cellIs" dxfId="2167" priority="356" stopIfTrue="1" operator="lessThan">
      <formula>$H$21</formula>
    </cfRule>
  </conditionalFormatting>
  <conditionalFormatting sqref="I22">
    <cfRule type="cellIs" dxfId="2166" priority="357" stopIfTrue="1" operator="equal">
      <formula>$H$22</formula>
    </cfRule>
    <cfRule type="cellIs" dxfId="2165" priority="358" stopIfTrue="1" operator="lessThan">
      <formula>$H$22</formula>
    </cfRule>
  </conditionalFormatting>
  <conditionalFormatting sqref="I23">
    <cfRule type="cellIs" dxfId="2164" priority="359" stopIfTrue="1" operator="equal">
      <formula>$H$23</formula>
    </cfRule>
    <cfRule type="cellIs" dxfId="2163" priority="360" stopIfTrue="1" operator="lessThan">
      <formula>$H$23</formula>
    </cfRule>
  </conditionalFormatting>
  <conditionalFormatting sqref="I24">
    <cfRule type="cellIs" dxfId="2162" priority="361" stopIfTrue="1" operator="equal">
      <formula>$H$24</formula>
    </cfRule>
    <cfRule type="cellIs" dxfId="2161" priority="362" stopIfTrue="1" operator="lessThan">
      <formula>$H$24</formula>
    </cfRule>
  </conditionalFormatting>
  <conditionalFormatting sqref="I25">
    <cfRule type="cellIs" dxfId="2160" priority="363" stopIfTrue="1" operator="equal">
      <formula>$H$25</formula>
    </cfRule>
    <cfRule type="cellIs" dxfId="2159" priority="364" stopIfTrue="1" operator="lessThan">
      <formula>$H$25</formula>
    </cfRule>
  </conditionalFormatting>
  <conditionalFormatting sqref="I26">
    <cfRule type="cellIs" dxfId="2158" priority="365" stopIfTrue="1" operator="equal">
      <formula>$H$26</formula>
    </cfRule>
    <cfRule type="cellIs" dxfId="2157" priority="366" stopIfTrue="1" operator="lessThan">
      <formula>$H$26</formula>
    </cfRule>
  </conditionalFormatting>
  <conditionalFormatting sqref="I27">
    <cfRule type="cellIs" dxfId="2156" priority="367" stopIfTrue="1" operator="equal">
      <formula>$H$27</formula>
    </cfRule>
    <cfRule type="cellIs" dxfId="2155" priority="368" stopIfTrue="1" operator="lessThan">
      <formula>$H$27</formula>
    </cfRule>
  </conditionalFormatting>
  <conditionalFormatting sqref="I28">
    <cfRule type="cellIs" dxfId="2154" priority="370" stopIfTrue="1" operator="equal">
      <formula>$H$28</formula>
    </cfRule>
    <cfRule type="cellIs" dxfId="2153" priority="371" stopIfTrue="1" operator="lessThan">
      <formula>$H$28</formula>
    </cfRule>
  </conditionalFormatting>
  <conditionalFormatting sqref="I29">
    <cfRule type="cellIs" dxfId="2152" priority="372" stopIfTrue="1" operator="equal">
      <formula>$H$29</formula>
    </cfRule>
    <cfRule type="cellIs" dxfId="2151" priority="373" stopIfTrue="1" operator="lessThan">
      <formula>$H$29</formula>
    </cfRule>
  </conditionalFormatting>
  <conditionalFormatting sqref="J4">
    <cfRule type="cellIs" dxfId="2150" priority="75" stopIfTrue="1" operator="lessThan">
      <formula>$I$4</formula>
    </cfRule>
    <cfRule type="cellIs" dxfId="2149" priority="76" stopIfTrue="1" operator="equal">
      <formula>$I$4</formula>
    </cfRule>
  </conditionalFormatting>
  <conditionalFormatting sqref="J5">
    <cfRule type="cellIs" dxfId="2148" priority="62" stopIfTrue="1" operator="equal">
      <formula>$I$5</formula>
    </cfRule>
    <cfRule type="cellIs" dxfId="2147" priority="63" stopIfTrue="1" operator="lessThan">
      <formula>$I$5</formula>
    </cfRule>
  </conditionalFormatting>
  <conditionalFormatting sqref="J6">
    <cfRule type="cellIs" dxfId="2146" priority="89" stopIfTrue="1" operator="equal">
      <formula>$I$6</formula>
    </cfRule>
    <cfRule type="cellIs" dxfId="2145" priority="90" stopIfTrue="1" operator="lessThan">
      <formula>$I$6</formula>
    </cfRule>
  </conditionalFormatting>
  <conditionalFormatting sqref="J7">
    <cfRule type="cellIs" dxfId="2144" priority="101" stopIfTrue="1" operator="equal">
      <formula>$I$7</formula>
    </cfRule>
    <cfRule type="cellIs" dxfId="2143" priority="102" stopIfTrue="1" operator="lessThan">
      <formula>$I$7</formula>
    </cfRule>
  </conditionalFormatting>
  <conditionalFormatting sqref="J8">
    <cfRule type="cellIs" dxfId="2142" priority="115" stopIfTrue="1" operator="equal">
      <formula>$I$8</formula>
    </cfRule>
    <cfRule type="cellIs" dxfId="2141" priority="116" stopIfTrue="1" operator="lessThan">
      <formula>$I$8</formula>
    </cfRule>
  </conditionalFormatting>
  <conditionalFormatting sqref="J9">
    <cfRule type="cellIs" dxfId="2140" priority="129" stopIfTrue="1" operator="equal">
      <formula>$I$9</formula>
    </cfRule>
    <cfRule type="cellIs" dxfId="2139" priority="130" stopIfTrue="1" operator="lessThan">
      <formula>$I$9</formula>
    </cfRule>
  </conditionalFormatting>
  <conditionalFormatting sqref="J10">
    <cfRule type="cellIs" dxfId="2138" priority="143" stopIfTrue="1" operator="equal">
      <formula>$I$10</formula>
    </cfRule>
    <cfRule type="cellIs" dxfId="2137" priority="144" stopIfTrue="1" operator="lessThan">
      <formula>$I$10</formula>
    </cfRule>
  </conditionalFormatting>
  <conditionalFormatting sqref="J11">
    <cfRule type="cellIs" dxfId="2136" priority="157" stopIfTrue="1" operator="equal">
      <formula>$I$11</formula>
    </cfRule>
    <cfRule type="cellIs" dxfId="2135" priority="158" stopIfTrue="1" operator="lessThan">
      <formula>$I$11</formula>
    </cfRule>
  </conditionalFormatting>
  <conditionalFormatting sqref="J12">
    <cfRule type="cellIs" dxfId="2134" priority="171" stopIfTrue="1" operator="equal">
      <formula>$I$12</formula>
    </cfRule>
    <cfRule type="cellIs" dxfId="2133" priority="172" stopIfTrue="1" operator="lessThan">
      <formula>$I$12</formula>
    </cfRule>
  </conditionalFormatting>
  <conditionalFormatting sqref="J13">
    <cfRule type="cellIs" dxfId="2132" priority="374" stopIfTrue="1" operator="equal">
      <formula>$I$13</formula>
    </cfRule>
    <cfRule type="cellIs" dxfId="2131" priority="375" stopIfTrue="1" operator="lessThan">
      <formula>$I$13</formula>
    </cfRule>
  </conditionalFormatting>
  <conditionalFormatting sqref="J14">
    <cfRule type="cellIs" dxfId="2130" priority="376" stopIfTrue="1" operator="equal">
      <formula>$I$14</formula>
    </cfRule>
    <cfRule type="cellIs" dxfId="2129" priority="377" stopIfTrue="1" operator="lessThan">
      <formula>$I$14</formula>
    </cfRule>
  </conditionalFormatting>
  <conditionalFormatting sqref="J15">
    <cfRule type="cellIs" dxfId="2128" priority="378" stopIfTrue="1" operator="equal">
      <formula>$I$15</formula>
    </cfRule>
    <cfRule type="cellIs" dxfId="2127" priority="379" stopIfTrue="1" operator="lessThan">
      <formula>$I$15</formula>
    </cfRule>
  </conditionalFormatting>
  <conditionalFormatting sqref="J16">
    <cfRule type="cellIs" dxfId="2126" priority="380" stopIfTrue="1" operator="equal">
      <formula>$I$16</formula>
    </cfRule>
    <cfRule type="cellIs" dxfId="2125" priority="381" stopIfTrue="1" operator="lessThan">
      <formula>$I$16</formula>
    </cfRule>
  </conditionalFormatting>
  <conditionalFormatting sqref="J17">
    <cfRule type="cellIs" dxfId="2124" priority="382" stopIfTrue="1" operator="equal">
      <formula>$I$17</formula>
    </cfRule>
    <cfRule type="cellIs" dxfId="2123" priority="383" stopIfTrue="1" operator="lessThan">
      <formula>$I$17</formula>
    </cfRule>
  </conditionalFormatting>
  <conditionalFormatting sqref="J18">
    <cfRule type="cellIs" dxfId="2122" priority="384" stopIfTrue="1" operator="equal">
      <formula>$I$18</formula>
    </cfRule>
    <cfRule type="cellIs" dxfId="2121" priority="385" stopIfTrue="1" operator="lessThan">
      <formula>$I$18</formula>
    </cfRule>
  </conditionalFormatting>
  <conditionalFormatting sqref="J19">
    <cfRule type="cellIs" dxfId="2120" priority="386" stopIfTrue="1" operator="equal">
      <formula>$I$19</formula>
    </cfRule>
    <cfRule type="cellIs" dxfId="2119" priority="387" stopIfTrue="1" operator="lessThan">
      <formula>$I$19</formula>
    </cfRule>
  </conditionalFormatting>
  <conditionalFormatting sqref="J20">
    <cfRule type="cellIs" dxfId="2118" priority="388" stopIfTrue="1" operator="equal">
      <formula>$I$20</formula>
    </cfRule>
    <cfRule type="cellIs" dxfId="2117" priority="389" stopIfTrue="1" operator="lessThan">
      <formula>$I$20</formula>
    </cfRule>
  </conditionalFormatting>
  <conditionalFormatting sqref="J21">
    <cfRule type="cellIs" dxfId="2116" priority="390" stopIfTrue="1" operator="equal">
      <formula>$I$21</formula>
    </cfRule>
    <cfRule type="cellIs" dxfId="2115" priority="391" stopIfTrue="1" operator="lessThan">
      <formula>$I$21</formula>
    </cfRule>
  </conditionalFormatting>
  <conditionalFormatting sqref="J22">
    <cfRule type="cellIs" dxfId="2114" priority="392" stopIfTrue="1" operator="equal">
      <formula>$I$22</formula>
    </cfRule>
    <cfRule type="cellIs" dxfId="2113" priority="393" stopIfTrue="1" operator="lessThan">
      <formula>$I$22</formula>
    </cfRule>
  </conditionalFormatting>
  <conditionalFormatting sqref="J23">
    <cfRule type="cellIs" dxfId="2112" priority="394" stopIfTrue="1" operator="equal">
      <formula>$I$23</formula>
    </cfRule>
    <cfRule type="cellIs" dxfId="2111" priority="395" stopIfTrue="1" operator="lessThan">
      <formula>$I$23</formula>
    </cfRule>
  </conditionalFormatting>
  <conditionalFormatting sqref="J24">
    <cfRule type="cellIs" dxfId="2110" priority="396" stopIfTrue="1" operator="equal">
      <formula>$I$24</formula>
    </cfRule>
    <cfRule type="cellIs" dxfId="2109" priority="397" stopIfTrue="1" operator="lessThan">
      <formula>$I$24</formula>
    </cfRule>
  </conditionalFormatting>
  <conditionalFormatting sqref="J25">
    <cfRule type="cellIs" dxfId="2108" priority="398" stopIfTrue="1" operator="equal">
      <formula>$I$25</formula>
    </cfRule>
    <cfRule type="cellIs" dxfId="2107" priority="399" stopIfTrue="1" operator="lessThan">
      <formula>$I$25</formula>
    </cfRule>
  </conditionalFormatting>
  <conditionalFormatting sqref="J26">
    <cfRule type="cellIs" dxfId="2106" priority="400" stopIfTrue="1" operator="equal">
      <formula>$I$26</formula>
    </cfRule>
    <cfRule type="cellIs" dxfId="2105" priority="401" stopIfTrue="1" operator="lessThan">
      <formula>$I$26</formula>
    </cfRule>
  </conditionalFormatting>
  <conditionalFormatting sqref="J27">
    <cfRule type="cellIs" dxfId="2104" priority="402" stopIfTrue="1" operator="equal">
      <formula>$I$27</formula>
    </cfRule>
    <cfRule type="cellIs" dxfId="2103" priority="403" stopIfTrue="1" operator="lessThan">
      <formula>$I$27</formula>
    </cfRule>
  </conditionalFormatting>
  <conditionalFormatting sqref="J28">
    <cfRule type="cellIs" dxfId="2102" priority="404" stopIfTrue="1" operator="equal">
      <formula>$I$28</formula>
    </cfRule>
    <cfRule type="cellIs" dxfId="2101" priority="405" stopIfTrue="1" operator="lessThan">
      <formula>$I$28</formula>
    </cfRule>
  </conditionalFormatting>
  <conditionalFormatting sqref="K4">
    <cfRule type="cellIs" dxfId="2100" priority="406" stopIfTrue="1" operator="equal">
      <formula>$J$4</formula>
    </cfRule>
    <cfRule type="cellIs" dxfId="2099" priority="407" stopIfTrue="1" operator="lessThan">
      <formula>$J$4</formula>
    </cfRule>
  </conditionalFormatting>
  <conditionalFormatting sqref="K5">
    <cfRule type="cellIs" dxfId="2098" priority="408" stopIfTrue="1" operator="equal">
      <formula>$J$5</formula>
    </cfRule>
    <cfRule type="cellIs" dxfId="2097" priority="409" stopIfTrue="1" operator="lessThan">
      <formula>$J$5</formula>
    </cfRule>
  </conditionalFormatting>
  <conditionalFormatting sqref="K6">
    <cfRule type="cellIs" dxfId="2096" priority="410" stopIfTrue="1" operator="equal">
      <formula>$J$6</formula>
    </cfRule>
    <cfRule type="cellIs" dxfId="2095" priority="411" stopIfTrue="1" operator="lessThan">
      <formula>$J$6</formula>
    </cfRule>
  </conditionalFormatting>
  <conditionalFormatting sqref="K7">
    <cfRule type="cellIs" dxfId="2094" priority="412" stopIfTrue="1" operator="equal">
      <formula>$J$7</formula>
    </cfRule>
    <cfRule type="cellIs" dxfId="2093" priority="413" stopIfTrue="1" operator="lessThan">
      <formula>$J$7</formula>
    </cfRule>
  </conditionalFormatting>
  <conditionalFormatting sqref="K8">
    <cfRule type="cellIs" dxfId="2092" priority="414" stopIfTrue="1" operator="equal">
      <formula>$J$8</formula>
    </cfRule>
    <cfRule type="cellIs" dxfId="2091" priority="415" stopIfTrue="1" operator="lessThan">
      <formula>$J$8</formula>
    </cfRule>
  </conditionalFormatting>
  <conditionalFormatting sqref="K9">
    <cfRule type="cellIs" dxfId="2090" priority="416" stopIfTrue="1" operator="equal">
      <formula>$J$9</formula>
    </cfRule>
    <cfRule type="cellIs" dxfId="2089" priority="417" stopIfTrue="1" operator="lessThan">
      <formula>$J$9</formula>
    </cfRule>
  </conditionalFormatting>
  <conditionalFormatting sqref="K10">
    <cfRule type="cellIs" dxfId="2088" priority="418" stopIfTrue="1" operator="equal">
      <formula>$J$10</formula>
    </cfRule>
    <cfRule type="cellIs" dxfId="2087" priority="419" stopIfTrue="1" operator="lessThan">
      <formula>$J$10</formula>
    </cfRule>
  </conditionalFormatting>
  <conditionalFormatting sqref="K11">
    <cfRule type="cellIs" dxfId="2086" priority="420" stopIfTrue="1" operator="equal">
      <formula>$J$11</formula>
    </cfRule>
    <cfRule type="cellIs" dxfId="2085" priority="421" stopIfTrue="1" operator="lessThan">
      <formula>$J$11</formula>
    </cfRule>
  </conditionalFormatting>
  <conditionalFormatting sqref="K12">
    <cfRule type="cellIs" dxfId="2084" priority="422" stopIfTrue="1" operator="equal">
      <formula>$J$12</formula>
    </cfRule>
    <cfRule type="cellIs" dxfId="2083" priority="423" stopIfTrue="1" operator="lessThan">
      <formula>$J$12</formula>
    </cfRule>
  </conditionalFormatting>
  <conditionalFormatting sqref="K13">
    <cfRule type="cellIs" dxfId="2082" priority="424" stopIfTrue="1" operator="equal">
      <formula>$J$13</formula>
    </cfRule>
    <cfRule type="cellIs" dxfId="2081" priority="425" stopIfTrue="1" operator="lessThan">
      <formula>$J$13</formula>
    </cfRule>
  </conditionalFormatting>
  <conditionalFormatting sqref="K14">
    <cfRule type="cellIs" dxfId="2080" priority="426" stopIfTrue="1" operator="equal">
      <formula>$J$14</formula>
    </cfRule>
    <cfRule type="cellIs" dxfId="2079" priority="427" stopIfTrue="1" operator="lessThan">
      <formula>$J$14</formula>
    </cfRule>
  </conditionalFormatting>
  <conditionalFormatting sqref="K15">
    <cfRule type="cellIs" dxfId="2078" priority="428" stopIfTrue="1" operator="equal">
      <formula>$J$15</formula>
    </cfRule>
    <cfRule type="cellIs" dxfId="2077" priority="429" stopIfTrue="1" operator="lessThan">
      <formula>$J$15</formula>
    </cfRule>
  </conditionalFormatting>
  <conditionalFormatting sqref="K16">
    <cfRule type="cellIs" dxfId="2076" priority="430" stopIfTrue="1" operator="equal">
      <formula>$J$16</formula>
    </cfRule>
    <cfRule type="cellIs" dxfId="2075" priority="431" stopIfTrue="1" operator="lessThan">
      <formula>$J$16</formula>
    </cfRule>
  </conditionalFormatting>
  <conditionalFormatting sqref="K17">
    <cfRule type="cellIs" dxfId="2074" priority="432" stopIfTrue="1" operator="equal">
      <formula>$J$17</formula>
    </cfRule>
    <cfRule type="cellIs" dxfId="2073" priority="433" stopIfTrue="1" operator="lessThan">
      <formula>$J$17</formula>
    </cfRule>
  </conditionalFormatting>
  <conditionalFormatting sqref="K18">
    <cfRule type="cellIs" dxfId="2072" priority="434" stopIfTrue="1" operator="equal">
      <formula>$J$18</formula>
    </cfRule>
    <cfRule type="cellIs" dxfId="2071" priority="435" stopIfTrue="1" operator="lessThan">
      <formula>$J$18</formula>
    </cfRule>
  </conditionalFormatting>
  <conditionalFormatting sqref="K19">
    <cfRule type="cellIs" dxfId="2070" priority="436" stopIfTrue="1" operator="equal">
      <formula>$J$19</formula>
    </cfRule>
    <cfRule type="cellIs" dxfId="2069" priority="437" stopIfTrue="1" operator="lessThan">
      <formula>$J$19</formula>
    </cfRule>
  </conditionalFormatting>
  <conditionalFormatting sqref="K20">
    <cfRule type="cellIs" dxfId="2068" priority="438" stopIfTrue="1" operator="equal">
      <formula>$J$20</formula>
    </cfRule>
    <cfRule type="cellIs" dxfId="2067" priority="439" stopIfTrue="1" operator="lessThan">
      <formula>$J$20</formula>
    </cfRule>
  </conditionalFormatting>
  <conditionalFormatting sqref="K21">
    <cfRule type="cellIs" dxfId="2066" priority="440" stopIfTrue="1" operator="equal">
      <formula>$J$21</formula>
    </cfRule>
    <cfRule type="cellIs" dxfId="2065" priority="441" stopIfTrue="1" operator="lessThan">
      <formula>$J$21</formula>
    </cfRule>
  </conditionalFormatting>
  <conditionalFormatting sqref="K22">
    <cfRule type="cellIs" dxfId="2064" priority="442" stopIfTrue="1" operator="equal">
      <formula>$J$22</formula>
    </cfRule>
    <cfRule type="cellIs" dxfId="2063" priority="443" stopIfTrue="1" operator="lessThan">
      <formula>$J$22</formula>
    </cfRule>
  </conditionalFormatting>
  <conditionalFormatting sqref="K23">
    <cfRule type="cellIs" dxfId="2062" priority="444" stopIfTrue="1" operator="equal">
      <formula>$J$23</formula>
    </cfRule>
    <cfRule type="cellIs" dxfId="2061" priority="445" stopIfTrue="1" operator="lessThan">
      <formula>$J$23</formula>
    </cfRule>
  </conditionalFormatting>
  <conditionalFormatting sqref="K24">
    <cfRule type="cellIs" dxfId="2060" priority="446" stopIfTrue="1" operator="equal">
      <formula>$J$24</formula>
    </cfRule>
    <cfRule type="cellIs" dxfId="2059" priority="447" stopIfTrue="1" operator="lessThan">
      <formula>$J$24</formula>
    </cfRule>
  </conditionalFormatting>
  <conditionalFormatting sqref="K25">
    <cfRule type="cellIs" dxfId="2058" priority="448" stopIfTrue="1" operator="equal">
      <formula>$J$25</formula>
    </cfRule>
    <cfRule type="cellIs" dxfId="2057" priority="449" stopIfTrue="1" operator="lessThan">
      <formula>$J$25</formula>
    </cfRule>
  </conditionalFormatting>
  <conditionalFormatting sqref="K26">
    <cfRule type="cellIs" dxfId="2056" priority="450" stopIfTrue="1" operator="equal">
      <formula>$J$26</formula>
    </cfRule>
    <cfRule type="cellIs" dxfId="2055" priority="451" stopIfTrue="1" operator="lessThan">
      <formula>$J$26</formula>
    </cfRule>
  </conditionalFormatting>
  <conditionalFormatting sqref="K27">
    <cfRule type="cellIs" dxfId="2054" priority="452" stopIfTrue="1" operator="equal">
      <formula>$J$27</formula>
    </cfRule>
    <cfRule type="cellIs" dxfId="2053" priority="453" stopIfTrue="1" operator="lessThan">
      <formula>$J$27</formula>
    </cfRule>
  </conditionalFormatting>
  <conditionalFormatting sqref="K28">
    <cfRule type="cellIs" dxfId="2052" priority="454" stopIfTrue="1" operator="lessThan">
      <formula>$J$28</formula>
    </cfRule>
    <cfRule type="cellIs" dxfId="2051" priority="455" stopIfTrue="1" operator="equal">
      <formula>$J$28</formula>
    </cfRule>
  </conditionalFormatting>
  <conditionalFormatting sqref="K29">
    <cfRule type="cellIs" dxfId="2050" priority="456" stopIfTrue="1" operator="equal">
      <formula>$J$29</formula>
    </cfRule>
    <cfRule type="cellIs" dxfId="2049" priority="457" stopIfTrue="1" operator="lessThan">
      <formula>$J$29</formula>
    </cfRule>
  </conditionalFormatting>
  <conditionalFormatting sqref="L4">
    <cfRule type="cellIs" dxfId="2048" priority="458" stopIfTrue="1" operator="equal">
      <formula>$K$4</formula>
    </cfRule>
    <cfRule type="cellIs" dxfId="2047" priority="459" stopIfTrue="1" operator="lessThan">
      <formula>$K$4</formula>
    </cfRule>
  </conditionalFormatting>
  <conditionalFormatting sqref="L5">
    <cfRule type="cellIs" dxfId="2046" priority="460" stopIfTrue="1" operator="equal">
      <formula>$K$5</formula>
    </cfRule>
    <cfRule type="cellIs" dxfId="2045" priority="461" stopIfTrue="1" operator="lessThan">
      <formula>$K$5</formula>
    </cfRule>
  </conditionalFormatting>
  <conditionalFormatting sqref="L6">
    <cfRule type="cellIs" dxfId="2044" priority="462" stopIfTrue="1" operator="equal">
      <formula>$K$6</formula>
    </cfRule>
    <cfRule type="cellIs" dxfId="2043" priority="463" stopIfTrue="1" operator="lessThan">
      <formula>$K$6</formula>
    </cfRule>
  </conditionalFormatting>
  <conditionalFormatting sqref="L7">
    <cfRule type="cellIs" dxfId="2042" priority="464" stopIfTrue="1" operator="equal">
      <formula>$K$7</formula>
    </cfRule>
    <cfRule type="cellIs" dxfId="2041" priority="465" stopIfTrue="1" operator="lessThan">
      <formula>$K$7</formula>
    </cfRule>
  </conditionalFormatting>
  <conditionalFormatting sqref="L8">
    <cfRule type="cellIs" dxfId="2040" priority="466" stopIfTrue="1" operator="equal">
      <formula>$K$8</formula>
    </cfRule>
    <cfRule type="cellIs" dxfId="2039" priority="467" stopIfTrue="1" operator="lessThan">
      <formula>$K$8</formula>
    </cfRule>
  </conditionalFormatting>
  <conditionalFormatting sqref="L9">
    <cfRule type="cellIs" dxfId="2038" priority="468" stopIfTrue="1" operator="equal">
      <formula>$K$9</formula>
    </cfRule>
    <cfRule type="cellIs" dxfId="2037" priority="469" stopIfTrue="1" operator="lessThan">
      <formula>$K$9</formula>
    </cfRule>
  </conditionalFormatting>
  <conditionalFormatting sqref="L10">
    <cfRule type="cellIs" dxfId="2036" priority="470" stopIfTrue="1" operator="equal">
      <formula>$K$10</formula>
    </cfRule>
    <cfRule type="cellIs" dxfId="2035" priority="471" stopIfTrue="1" operator="lessThan">
      <formula>$K$10</formula>
    </cfRule>
  </conditionalFormatting>
  <conditionalFormatting sqref="L11">
    <cfRule type="cellIs" dxfId="2034" priority="492" stopIfTrue="1" operator="equal">
      <formula>$K$11</formula>
    </cfRule>
    <cfRule type="cellIs" dxfId="2033" priority="493" stopIfTrue="1" operator="lessThan">
      <formula>$K$11</formula>
    </cfRule>
  </conditionalFormatting>
  <conditionalFormatting sqref="L12">
    <cfRule type="cellIs" dxfId="2032" priority="472" stopIfTrue="1" operator="equal">
      <formula>$K$12</formula>
    </cfRule>
    <cfRule type="cellIs" dxfId="2031" priority="473" stopIfTrue="1" operator="lessThan">
      <formula>$K$12</formula>
    </cfRule>
  </conditionalFormatting>
  <conditionalFormatting sqref="L13">
    <cfRule type="cellIs" dxfId="2030" priority="474" stopIfTrue="1" operator="equal">
      <formula>$K$13</formula>
    </cfRule>
    <cfRule type="cellIs" dxfId="2029" priority="475" stopIfTrue="1" operator="lessThan">
      <formula>$K$13</formula>
    </cfRule>
  </conditionalFormatting>
  <conditionalFormatting sqref="L14">
    <cfRule type="cellIs" dxfId="2028" priority="476" stopIfTrue="1" operator="equal">
      <formula>$K$14</formula>
    </cfRule>
    <cfRule type="cellIs" dxfId="2027" priority="477" stopIfTrue="1" operator="lessThan">
      <formula>$K$14</formula>
    </cfRule>
  </conditionalFormatting>
  <conditionalFormatting sqref="L15">
    <cfRule type="cellIs" dxfId="2026" priority="478" stopIfTrue="1" operator="equal">
      <formula>$K$15</formula>
    </cfRule>
    <cfRule type="cellIs" dxfId="2025" priority="479" stopIfTrue="1" operator="lessThan">
      <formula>$K$15</formula>
    </cfRule>
  </conditionalFormatting>
  <conditionalFormatting sqref="L16">
    <cfRule type="cellIs" dxfId="2024" priority="480" stopIfTrue="1" operator="equal">
      <formula>$K$16</formula>
    </cfRule>
    <cfRule type="cellIs" dxfId="2023" priority="481" stopIfTrue="1" operator="lessThan">
      <formula>$K$16</formula>
    </cfRule>
  </conditionalFormatting>
  <conditionalFormatting sqref="L17">
    <cfRule type="cellIs" dxfId="2022" priority="482" stopIfTrue="1" operator="equal">
      <formula>$K$17</formula>
    </cfRule>
    <cfRule type="cellIs" dxfId="2021" priority="483" stopIfTrue="1" operator="lessThan">
      <formula>$K$17</formula>
    </cfRule>
  </conditionalFormatting>
  <conditionalFormatting sqref="L18">
    <cfRule type="cellIs" dxfId="2020" priority="484" stopIfTrue="1" operator="equal">
      <formula>$K$18</formula>
    </cfRule>
    <cfRule type="cellIs" dxfId="2019" priority="485" stopIfTrue="1" operator="lessThan">
      <formula>$K$18</formula>
    </cfRule>
  </conditionalFormatting>
  <conditionalFormatting sqref="L19">
    <cfRule type="cellIs" dxfId="2018" priority="486" stopIfTrue="1" operator="equal">
      <formula>$K$19</formula>
    </cfRule>
    <cfRule type="cellIs" dxfId="2017" priority="487" stopIfTrue="1" operator="lessThan">
      <formula>$K$19</formula>
    </cfRule>
  </conditionalFormatting>
  <conditionalFormatting sqref="L20">
    <cfRule type="cellIs" dxfId="2016" priority="488" stopIfTrue="1" operator="equal">
      <formula>$K$20</formula>
    </cfRule>
    <cfRule type="cellIs" dxfId="2015" priority="489" stopIfTrue="1" operator="lessThan">
      <formula>$K$20</formula>
    </cfRule>
  </conditionalFormatting>
  <conditionalFormatting sqref="L21">
    <cfRule type="cellIs" dxfId="2014" priority="490" stopIfTrue="1" operator="equal">
      <formula>$K$21</formula>
    </cfRule>
    <cfRule type="cellIs" dxfId="2013" priority="491" stopIfTrue="1" operator="lessThan">
      <formula>$K$21</formula>
    </cfRule>
  </conditionalFormatting>
  <conditionalFormatting sqref="L22">
    <cfRule type="cellIs" dxfId="2012" priority="494" stopIfTrue="1" operator="equal">
      <formula>$K$22</formula>
    </cfRule>
    <cfRule type="cellIs" dxfId="2011" priority="495" stopIfTrue="1" operator="lessThan">
      <formula>$K$22</formula>
    </cfRule>
  </conditionalFormatting>
  <conditionalFormatting sqref="L23">
    <cfRule type="cellIs" dxfId="2010" priority="496" stopIfTrue="1" operator="equal">
      <formula>$K$23</formula>
    </cfRule>
    <cfRule type="cellIs" dxfId="2009" priority="497" stopIfTrue="1" operator="lessThan">
      <formula>$K$23</formula>
    </cfRule>
  </conditionalFormatting>
  <conditionalFormatting sqref="L24">
    <cfRule type="cellIs" dxfId="2008" priority="498" stopIfTrue="1" operator="equal">
      <formula>$K$24</formula>
    </cfRule>
    <cfRule type="cellIs" dxfId="2007" priority="499" stopIfTrue="1" operator="lessThan">
      <formula>$K$24</formula>
    </cfRule>
  </conditionalFormatting>
  <conditionalFormatting sqref="L25">
    <cfRule type="cellIs" dxfId="2006" priority="500" stopIfTrue="1" operator="equal">
      <formula>$K$25</formula>
    </cfRule>
    <cfRule type="cellIs" dxfId="2005" priority="501" stopIfTrue="1" operator="lessThan">
      <formula>$K$25</formula>
    </cfRule>
  </conditionalFormatting>
  <conditionalFormatting sqref="L26">
    <cfRule type="cellIs" dxfId="2004" priority="502" stopIfTrue="1" operator="equal">
      <formula>$K$26</formula>
    </cfRule>
    <cfRule type="cellIs" dxfId="2003" priority="503" stopIfTrue="1" operator="lessThan">
      <formula>$K$26</formula>
    </cfRule>
  </conditionalFormatting>
  <conditionalFormatting sqref="L27">
    <cfRule type="cellIs" dxfId="2002" priority="504" stopIfTrue="1" operator="equal">
      <formula>$K$27</formula>
    </cfRule>
    <cfRule type="cellIs" dxfId="2001" priority="505" stopIfTrue="1" operator="lessThan">
      <formula>$K$27</formula>
    </cfRule>
  </conditionalFormatting>
  <conditionalFormatting sqref="L28">
    <cfRule type="cellIs" dxfId="2000" priority="506" stopIfTrue="1" operator="equal">
      <formula>$K$28</formula>
    </cfRule>
    <cfRule type="cellIs" dxfId="1999" priority="507" stopIfTrue="1" operator="lessThan">
      <formula>$K$28</formula>
    </cfRule>
  </conditionalFormatting>
  <conditionalFormatting sqref="L29:O29">
    <cfRule type="cellIs" dxfId="1998" priority="1" stopIfTrue="1" operator="equal">
      <formula>0</formula>
    </cfRule>
  </conditionalFormatting>
  <conditionalFormatting sqref="M4">
    <cfRule type="cellIs" dxfId="1997" priority="508" stopIfTrue="1" operator="lessThan">
      <formula>$L$4</formula>
    </cfRule>
    <cfRule type="cellIs" dxfId="1996" priority="509" stopIfTrue="1" operator="equal">
      <formula>$L$4</formula>
    </cfRule>
  </conditionalFormatting>
  <conditionalFormatting sqref="M5">
    <cfRule type="cellIs" dxfId="1995" priority="510" stopIfTrue="1" operator="equal">
      <formula>$L$5</formula>
    </cfRule>
    <cfRule type="cellIs" dxfId="1994" priority="511" stopIfTrue="1" operator="lessThan">
      <formula>$L$5</formula>
    </cfRule>
  </conditionalFormatting>
  <conditionalFormatting sqref="M6">
    <cfRule type="cellIs" dxfId="1993" priority="512" stopIfTrue="1" operator="equal">
      <formula>$L$6</formula>
    </cfRule>
    <cfRule type="cellIs" dxfId="1992" priority="513" stopIfTrue="1" operator="lessThan">
      <formula>$L$6</formula>
    </cfRule>
  </conditionalFormatting>
  <conditionalFormatting sqref="M7">
    <cfRule type="cellIs" dxfId="1991" priority="514" stopIfTrue="1" operator="equal">
      <formula>$L$7</formula>
    </cfRule>
    <cfRule type="cellIs" dxfId="1990" priority="515" stopIfTrue="1" operator="lessThan">
      <formula>$L$7</formula>
    </cfRule>
  </conditionalFormatting>
  <conditionalFormatting sqref="M8">
    <cfRule type="cellIs" dxfId="1989" priority="516" stopIfTrue="1" operator="equal">
      <formula>$L$8</formula>
    </cfRule>
    <cfRule type="cellIs" dxfId="1988" priority="517" stopIfTrue="1" operator="lessThan">
      <formula>$L$8</formula>
    </cfRule>
  </conditionalFormatting>
  <conditionalFormatting sqref="M9">
    <cfRule type="cellIs" dxfId="1987" priority="518" stopIfTrue="1" operator="equal">
      <formula>$L$9</formula>
    </cfRule>
    <cfRule type="cellIs" dxfId="1986" priority="519" stopIfTrue="1" operator="lessThan">
      <formula>$L$9</formula>
    </cfRule>
  </conditionalFormatting>
  <conditionalFormatting sqref="M10">
    <cfRule type="cellIs" dxfId="1985" priority="520" stopIfTrue="1" operator="equal">
      <formula>$L$10</formula>
    </cfRule>
    <cfRule type="cellIs" dxfId="1984" priority="521" stopIfTrue="1" operator="lessThan">
      <formula>$L$10</formula>
    </cfRule>
  </conditionalFormatting>
  <conditionalFormatting sqref="M11">
    <cfRule type="cellIs" dxfId="1983" priority="522" stopIfTrue="1" operator="equal">
      <formula>$L$11</formula>
    </cfRule>
    <cfRule type="cellIs" dxfId="1982" priority="523" stopIfTrue="1" operator="lessThan">
      <formula>$L$11</formula>
    </cfRule>
  </conditionalFormatting>
  <conditionalFormatting sqref="M12">
    <cfRule type="cellIs" dxfId="1981" priority="524" stopIfTrue="1" operator="equal">
      <formula>$L$12</formula>
    </cfRule>
    <cfRule type="cellIs" dxfId="1980" priority="525" stopIfTrue="1" operator="lessThan">
      <formula>$L$12</formula>
    </cfRule>
  </conditionalFormatting>
  <conditionalFormatting sqref="M13">
    <cfRule type="cellIs" dxfId="1979" priority="526" stopIfTrue="1" operator="equal">
      <formula>$L$13</formula>
    </cfRule>
    <cfRule type="cellIs" dxfId="1978" priority="527" stopIfTrue="1" operator="lessThan">
      <formula>$L$13</formula>
    </cfRule>
  </conditionalFormatting>
  <conditionalFormatting sqref="M14">
    <cfRule type="cellIs" dxfId="1977" priority="528" stopIfTrue="1" operator="equal">
      <formula>$L$14</formula>
    </cfRule>
    <cfRule type="cellIs" dxfId="1976" priority="529" stopIfTrue="1" operator="lessThan">
      <formula>$L$14</formula>
    </cfRule>
  </conditionalFormatting>
  <conditionalFormatting sqref="M15">
    <cfRule type="cellIs" dxfId="1975" priority="530" stopIfTrue="1" operator="equal">
      <formula>$L$15</formula>
    </cfRule>
    <cfRule type="cellIs" dxfId="1974" priority="531" stopIfTrue="1" operator="lessThan">
      <formula>$L$15</formula>
    </cfRule>
  </conditionalFormatting>
  <conditionalFormatting sqref="M16">
    <cfRule type="cellIs" dxfId="1973" priority="532" stopIfTrue="1" operator="equal">
      <formula>$L$16</formula>
    </cfRule>
    <cfRule type="cellIs" dxfId="1972" priority="533" stopIfTrue="1" operator="lessThan">
      <formula>$L$16</formula>
    </cfRule>
  </conditionalFormatting>
  <conditionalFormatting sqref="M17">
    <cfRule type="cellIs" dxfId="1971" priority="534" stopIfTrue="1" operator="equal">
      <formula>$L$17</formula>
    </cfRule>
    <cfRule type="cellIs" dxfId="1970" priority="535" stopIfTrue="1" operator="lessThan">
      <formula>$L$17</formula>
    </cfRule>
  </conditionalFormatting>
  <conditionalFormatting sqref="M18">
    <cfRule type="cellIs" dxfId="1969" priority="536" stopIfTrue="1" operator="equal">
      <formula>$L$18</formula>
    </cfRule>
    <cfRule type="cellIs" dxfId="1968" priority="537" stopIfTrue="1" operator="lessThan">
      <formula>$L$18</formula>
    </cfRule>
  </conditionalFormatting>
  <conditionalFormatting sqref="M19">
    <cfRule type="cellIs" dxfId="1967" priority="538" stopIfTrue="1" operator="equal">
      <formula>$L$19</formula>
    </cfRule>
    <cfRule type="cellIs" dxfId="1966" priority="539" stopIfTrue="1" operator="lessThan">
      <formula>$L$19</formula>
    </cfRule>
  </conditionalFormatting>
  <conditionalFormatting sqref="M20">
    <cfRule type="cellIs" dxfId="1965" priority="540" stopIfTrue="1" operator="equal">
      <formula>$L$20</formula>
    </cfRule>
    <cfRule type="cellIs" dxfId="1964" priority="541" stopIfTrue="1" operator="lessThan">
      <formula>$L$20</formula>
    </cfRule>
  </conditionalFormatting>
  <conditionalFormatting sqref="M21">
    <cfRule type="cellIs" dxfId="1963" priority="542" stopIfTrue="1" operator="equal">
      <formula>$L$21</formula>
    </cfRule>
    <cfRule type="cellIs" dxfId="1962" priority="543" stopIfTrue="1" operator="lessThan">
      <formula>$L$21</formula>
    </cfRule>
  </conditionalFormatting>
  <conditionalFormatting sqref="M22">
    <cfRule type="cellIs" dxfId="1961" priority="544" stopIfTrue="1" operator="equal">
      <formula>$L$22</formula>
    </cfRule>
    <cfRule type="cellIs" dxfId="1960" priority="545" stopIfTrue="1" operator="lessThan">
      <formula>$L$22</formula>
    </cfRule>
  </conditionalFormatting>
  <conditionalFormatting sqref="M23">
    <cfRule type="cellIs" dxfId="1959" priority="546" stopIfTrue="1" operator="equal">
      <formula>$L$23</formula>
    </cfRule>
    <cfRule type="cellIs" dxfId="1958" priority="547" stopIfTrue="1" operator="lessThan">
      <formula>$L$23</formula>
    </cfRule>
  </conditionalFormatting>
  <conditionalFormatting sqref="M24">
    <cfRule type="cellIs" dxfId="1957" priority="548" stopIfTrue="1" operator="equal">
      <formula>$L$24</formula>
    </cfRule>
    <cfRule type="cellIs" dxfId="1956" priority="549" stopIfTrue="1" operator="lessThan">
      <formula>$L$24</formula>
    </cfRule>
  </conditionalFormatting>
  <conditionalFormatting sqref="M25">
    <cfRule type="cellIs" dxfId="1955" priority="550" stopIfTrue="1" operator="equal">
      <formula>$L$25</formula>
    </cfRule>
    <cfRule type="cellIs" dxfId="1954" priority="551" stopIfTrue="1" operator="lessThan">
      <formula>$L$25</formula>
    </cfRule>
  </conditionalFormatting>
  <conditionalFormatting sqref="M26">
    <cfRule type="cellIs" dxfId="1953" priority="552" stopIfTrue="1" operator="equal">
      <formula>$L$26</formula>
    </cfRule>
    <cfRule type="cellIs" dxfId="1952" priority="553" stopIfTrue="1" operator="lessThan">
      <formula>$L$26</formula>
    </cfRule>
  </conditionalFormatting>
  <conditionalFormatting sqref="M27">
    <cfRule type="cellIs" dxfId="1951" priority="554" stopIfTrue="1" operator="equal">
      <formula>$L$27</formula>
    </cfRule>
    <cfRule type="cellIs" dxfId="1950" priority="555" stopIfTrue="1" operator="lessThan">
      <formula>$L$27</formula>
    </cfRule>
  </conditionalFormatting>
  <conditionalFormatting sqref="M28">
    <cfRule type="cellIs" dxfId="1949" priority="556" stopIfTrue="1" operator="equal">
      <formula>$L$28</formula>
    </cfRule>
    <cfRule type="cellIs" dxfId="1948" priority="557" stopIfTrue="1" operator="lessThan">
      <formula>$L$28</formula>
    </cfRule>
  </conditionalFormatting>
  <conditionalFormatting sqref="N4">
    <cfRule type="cellIs" dxfId="1947" priority="558" stopIfTrue="1" operator="equal">
      <formula>$M$4</formula>
    </cfRule>
    <cfRule type="cellIs" dxfId="1946" priority="559" stopIfTrue="1" operator="lessThan">
      <formula>$M$4</formula>
    </cfRule>
  </conditionalFormatting>
  <conditionalFormatting sqref="N5">
    <cfRule type="cellIs" dxfId="1945" priority="560" stopIfTrue="1" operator="equal">
      <formula>$M$5</formula>
    </cfRule>
    <cfRule type="cellIs" dxfId="1944" priority="561" stopIfTrue="1" operator="lessThan">
      <formula>$M$5</formula>
    </cfRule>
  </conditionalFormatting>
  <conditionalFormatting sqref="N6">
    <cfRule type="cellIs" dxfId="1943" priority="562" stopIfTrue="1" operator="equal">
      <formula>$M$6</formula>
    </cfRule>
    <cfRule type="cellIs" dxfId="1942" priority="563" stopIfTrue="1" operator="lessThan">
      <formula>$M$6</formula>
    </cfRule>
  </conditionalFormatting>
  <conditionalFormatting sqref="N7">
    <cfRule type="cellIs" dxfId="1941" priority="564" stopIfTrue="1" operator="equal">
      <formula>$M$7</formula>
    </cfRule>
    <cfRule type="cellIs" dxfId="1940" priority="565" stopIfTrue="1" operator="lessThan">
      <formula>$M$7</formula>
    </cfRule>
  </conditionalFormatting>
  <conditionalFormatting sqref="N8">
    <cfRule type="cellIs" dxfId="1939" priority="566" stopIfTrue="1" operator="equal">
      <formula>$M$8</formula>
    </cfRule>
    <cfRule type="cellIs" dxfId="1938" priority="567" stopIfTrue="1" operator="lessThan">
      <formula>$M$8</formula>
    </cfRule>
  </conditionalFormatting>
  <conditionalFormatting sqref="N9">
    <cfRule type="cellIs" dxfId="1937" priority="568" stopIfTrue="1" operator="equal">
      <formula>$M$9</formula>
    </cfRule>
    <cfRule type="cellIs" dxfId="1936" priority="569" stopIfTrue="1" operator="lessThan">
      <formula>$M$9</formula>
    </cfRule>
  </conditionalFormatting>
  <conditionalFormatting sqref="N10">
    <cfRule type="cellIs" dxfId="1935" priority="570" stopIfTrue="1" operator="equal">
      <formula>$M$10</formula>
    </cfRule>
    <cfRule type="cellIs" dxfId="1934" priority="571" stopIfTrue="1" operator="lessThan">
      <formula>$M$10</formula>
    </cfRule>
  </conditionalFormatting>
  <conditionalFormatting sqref="N11">
    <cfRule type="cellIs" dxfId="1933" priority="572" stopIfTrue="1" operator="equal">
      <formula>$M$11</formula>
    </cfRule>
    <cfRule type="cellIs" dxfId="1932" priority="573" stopIfTrue="1" operator="lessThan">
      <formula>$M$11</formula>
    </cfRule>
  </conditionalFormatting>
  <conditionalFormatting sqref="N12">
    <cfRule type="cellIs" dxfId="1931" priority="574" stopIfTrue="1" operator="equal">
      <formula>$M$12</formula>
    </cfRule>
    <cfRule type="cellIs" dxfId="1930" priority="575" stopIfTrue="1" operator="lessThan">
      <formula>$M$12</formula>
    </cfRule>
  </conditionalFormatting>
  <conditionalFormatting sqref="N13">
    <cfRule type="cellIs" dxfId="1929" priority="576" stopIfTrue="1" operator="equal">
      <formula>$M$13</formula>
    </cfRule>
    <cfRule type="cellIs" dxfId="1928" priority="577" stopIfTrue="1" operator="lessThan">
      <formula>$M$13</formula>
    </cfRule>
  </conditionalFormatting>
  <conditionalFormatting sqref="N14">
    <cfRule type="cellIs" dxfId="1927" priority="578" stopIfTrue="1" operator="equal">
      <formula>$M$14</formula>
    </cfRule>
    <cfRule type="cellIs" dxfId="1926" priority="579" stopIfTrue="1" operator="lessThan">
      <formula>$M$14</formula>
    </cfRule>
  </conditionalFormatting>
  <conditionalFormatting sqref="N15">
    <cfRule type="cellIs" dxfId="1925" priority="580" stopIfTrue="1" operator="equal">
      <formula>$M$15</formula>
    </cfRule>
    <cfRule type="cellIs" dxfId="1924" priority="581" stopIfTrue="1" operator="lessThan">
      <formula>$M$15</formula>
    </cfRule>
  </conditionalFormatting>
  <conditionalFormatting sqref="N16">
    <cfRule type="cellIs" dxfId="1923" priority="582" stopIfTrue="1" operator="equal">
      <formula>$M$16</formula>
    </cfRule>
    <cfRule type="cellIs" dxfId="1922" priority="583" stopIfTrue="1" operator="lessThan">
      <formula>$M$16</formula>
    </cfRule>
  </conditionalFormatting>
  <conditionalFormatting sqref="N17">
    <cfRule type="cellIs" dxfId="1921" priority="584" stopIfTrue="1" operator="equal">
      <formula>$M$17</formula>
    </cfRule>
    <cfRule type="cellIs" dxfId="1920" priority="585" stopIfTrue="1" operator="lessThan">
      <formula>$M$17</formula>
    </cfRule>
  </conditionalFormatting>
  <conditionalFormatting sqref="N18">
    <cfRule type="cellIs" dxfId="1919" priority="586" stopIfTrue="1" operator="equal">
      <formula>$M$18</formula>
    </cfRule>
    <cfRule type="cellIs" dxfId="1918" priority="587" stopIfTrue="1" operator="lessThan">
      <formula>$M$18</formula>
    </cfRule>
  </conditionalFormatting>
  <conditionalFormatting sqref="N19">
    <cfRule type="cellIs" dxfId="1917" priority="588" stopIfTrue="1" operator="equal">
      <formula>$M$19</formula>
    </cfRule>
    <cfRule type="cellIs" dxfId="1916" priority="589" stopIfTrue="1" operator="lessThan">
      <formula>$M$19</formula>
    </cfRule>
  </conditionalFormatting>
  <conditionalFormatting sqref="N20">
    <cfRule type="cellIs" dxfId="1915" priority="590" stopIfTrue="1" operator="equal">
      <formula>$M$20</formula>
    </cfRule>
    <cfRule type="cellIs" dxfId="1914" priority="591" stopIfTrue="1" operator="lessThan">
      <formula>$M$20</formula>
    </cfRule>
  </conditionalFormatting>
  <conditionalFormatting sqref="N21">
    <cfRule type="cellIs" dxfId="1913" priority="592" stopIfTrue="1" operator="equal">
      <formula>$M$21</formula>
    </cfRule>
    <cfRule type="cellIs" dxfId="1912" priority="593" stopIfTrue="1" operator="lessThan">
      <formula>$M$21</formula>
    </cfRule>
  </conditionalFormatting>
  <conditionalFormatting sqref="N22">
    <cfRule type="cellIs" dxfId="1911" priority="594" stopIfTrue="1" operator="equal">
      <formula>$M$22</formula>
    </cfRule>
    <cfRule type="cellIs" dxfId="1910" priority="595" stopIfTrue="1" operator="lessThan">
      <formula>$M$22</formula>
    </cfRule>
  </conditionalFormatting>
  <conditionalFormatting sqref="N23">
    <cfRule type="cellIs" dxfId="1909" priority="596" stopIfTrue="1" operator="equal">
      <formula>$M$23</formula>
    </cfRule>
    <cfRule type="cellIs" dxfId="1908" priority="597" stopIfTrue="1" operator="lessThan">
      <formula>$M$23</formula>
    </cfRule>
  </conditionalFormatting>
  <conditionalFormatting sqref="N24">
    <cfRule type="cellIs" dxfId="1907" priority="598" stopIfTrue="1" operator="equal">
      <formula>$M$24</formula>
    </cfRule>
    <cfRule type="cellIs" dxfId="1906" priority="599" stopIfTrue="1" operator="lessThan">
      <formula>$M$24</formula>
    </cfRule>
  </conditionalFormatting>
  <conditionalFormatting sqref="N25">
    <cfRule type="cellIs" dxfId="1905" priority="600" stopIfTrue="1" operator="equal">
      <formula>$M$25</formula>
    </cfRule>
    <cfRule type="cellIs" dxfId="1904" priority="601" stopIfTrue="1" operator="lessThan">
      <formula>$M$25</formula>
    </cfRule>
  </conditionalFormatting>
  <conditionalFormatting sqref="N26">
    <cfRule type="cellIs" dxfId="1903" priority="602" stopIfTrue="1" operator="equal">
      <formula>$M$26</formula>
    </cfRule>
    <cfRule type="cellIs" dxfId="1902" priority="603" stopIfTrue="1" operator="lessThan">
      <formula>$M$26</formula>
    </cfRule>
  </conditionalFormatting>
  <conditionalFormatting sqref="N27">
    <cfRule type="cellIs" dxfId="1901" priority="604" stopIfTrue="1" operator="equal">
      <formula>$M$27</formula>
    </cfRule>
    <cfRule type="cellIs" dxfId="1900" priority="605" stopIfTrue="1" operator="lessThan">
      <formula>$M$27</formula>
    </cfRule>
  </conditionalFormatting>
  <conditionalFormatting sqref="N28">
    <cfRule type="cellIs" dxfId="1899" priority="606" stopIfTrue="1" operator="equal">
      <formula>$M$28</formula>
    </cfRule>
    <cfRule type="cellIs" dxfId="1898" priority="607" stopIfTrue="1" operator="lessThan">
      <formula>$M$28</formula>
    </cfRule>
  </conditionalFormatting>
  <conditionalFormatting sqref="O4">
    <cfRule type="cellIs" dxfId="1897" priority="608" stopIfTrue="1" operator="equal">
      <formula>$N$4</formula>
    </cfRule>
    <cfRule type="cellIs" dxfId="1896" priority="609" stopIfTrue="1" operator="lessThan">
      <formula>$N$4</formula>
    </cfRule>
  </conditionalFormatting>
  <conditionalFormatting sqref="O5">
    <cfRule type="cellIs" dxfId="1895" priority="610" stopIfTrue="1" operator="equal">
      <formula>$N$5</formula>
    </cfRule>
    <cfRule type="cellIs" dxfId="1894" priority="611" stopIfTrue="1" operator="lessThan">
      <formula>$N$5</formula>
    </cfRule>
  </conditionalFormatting>
  <conditionalFormatting sqref="O6">
    <cfRule type="cellIs" dxfId="1893" priority="612" stopIfTrue="1" operator="equal">
      <formula>$N$6</formula>
    </cfRule>
    <cfRule type="cellIs" dxfId="1892" priority="613" stopIfTrue="1" operator="lessThan">
      <formula>$N$6</formula>
    </cfRule>
  </conditionalFormatting>
  <conditionalFormatting sqref="O7">
    <cfRule type="cellIs" dxfId="1891" priority="614" stopIfTrue="1" operator="equal">
      <formula>$N$7</formula>
    </cfRule>
    <cfRule type="cellIs" dxfId="1890" priority="615" stopIfTrue="1" operator="lessThan">
      <formula>$N$7</formula>
    </cfRule>
  </conditionalFormatting>
  <conditionalFormatting sqref="O8">
    <cfRule type="cellIs" dxfId="1889" priority="616" stopIfTrue="1" operator="equal">
      <formula>$N$8</formula>
    </cfRule>
    <cfRule type="cellIs" dxfId="1888" priority="617" stopIfTrue="1" operator="lessThan">
      <formula>$N$8</formula>
    </cfRule>
  </conditionalFormatting>
  <conditionalFormatting sqref="O9">
    <cfRule type="cellIs" dxfId="1887" priority="618" stopIfTrue="1" operator="equal">
      <formula>$N$9</formula>
    </cfRule>
    <cfRule type="cellIs" dxfId="1886" priority="619" stopIfTrue="1" operator="lessThan">
      <formula>$N$9</formula>
    </cfRule>
  </conditionalFormatting>
  <conditionalFormatting sqref="O10">
    <cfRule type="cellIs" dxfId="1885" priority="620" stopIfTrue="1" operator="equal">
      <formula>$N$10</formula>
    </cfRule>
    <cfRule type="cellIs" dxfId="1884" priority="621" stopIfTrue="1" operator="lessThan">
      <formula>$N$10</formula>
    </cfRule>
  </conditionalFormatting>
  <conditionalFormatting sqref="O11">
    <cfRule type="cellIs" dxfId="1883" priority="622" stopIfTrue="1" operator="equal">
      <formula>$N$11</formula>
    </cfRule>
    <cfRule type="cellIs" dxfId="1882" priority="623" stopIfTrue="1" operator="lessThan">
      <formula>$N$11</formula>
    </cfRule>
  </conditionalFormatting>
  <conditionalFormatting sqref="O12">
    <cfRule type="cellIs" dxfId="1881" priority="624" stopIfTrue="1" operator="equal">
      <formula>$N$12</formula>
    </cfRule>
    <cfRule type="cellIs" dxfId="1880" priority="625" stopIfTrue="1" operator="lessThan">
      <formula>$N$12</formula>
    </cfRule>
  </conditionalFormatting>
  <conditionalFormatting sqref="O13">
    <cfRule type="cellIs" dxfId="1879" priority="626" stopIfTrue="1" operator="equal">
      <formula>$N$13</formula>
    </cfRule>
    <cfRule type="cellIs" dxfId="1878" priority="627" stopIfTrue="1" operator="lessThan">
      <formula>$N$13</formula>
    </cfRule>
  </conditionalFormatting>
  <conditionalFormatting sqref="O14">
    <cfRule type="cellIs" dxfId="1877" priority="628" stopIfTrue="1" operator="equal">
      <formula>$N$14</formula>
    </cfRule>
    <cfRule type="cellIs" dxfId="1876" priority="629" stopIfTrue="1" operator="lessThan">
      <formula>$N$14</formula>
    </cfRule>
  </conditionalFormatting>
  <conditionalFormatting sqref="O15">
    <cfRule type="cellIs" dxfId="1875" priority="630" stopIfTrue="1" operator="equal">
      <formula>$N$15</formula>
    </cfRule>
    <cfRule type="cellIs" dxfId="1874" priority="631" stopIfTrue="1" operator="lessThan">
      <formula>$N$15</formula>
    </cfRule>
  </conditionalFormatting>
  <conditionalFormatting sqref="O16">
    <cfRule type="cellIs" dxfId="1873" priority="632" stopIfTrue="1" operator="equal">
      <formula>$N$16</formula>
    </cfRule>
    <cfRule type="cellIs" dxfId="1872" priority="633" stopIfTrue="1" operator="lessThan">
      <formula>$N$16</formula>
    </cfRule>
  </conditionalFormatting>
  <conditionalFormatting sqref="O17">
    <cfRule type="cellIs" dxfId="1871" priority="634" stopIfTrue="1" operator="equal">
      <formula>$N$17</formula>
    </cfRule>
    <cfRule type="cellIs" dxfId="1870" priority="635" stopIfTrue="1" operator="lessThan">
      <formula>$N$17</formula>
    </cfRule>
  </conditionalFormatting>
  <conditionalFormatting sqref="O18">
    <cfRule type="cellIs" dxfId="1869" priority="636" stopIfTrue="1" operator="equal">
      <formula>$N$18</formula>
    </cfRule>
    <cfRule type="cellIs" dxfId="1868" priority="637" stopIfTrue="1" operator="lessThan">
      <formula>$N$18</formula>
    </cfRule>
  </conditionalFormatting>
  <conditionalFormatting sqref="O19">
    <cfRule type="cellIs" dxfId="1867" priority="638" stopIfTrue="1" operator="equal">
      <formula>$N$19</formula>
    </cfRule>
    <cfRule type="cellIs" dxfId="1866" priority="639" stopIfTrue="1" operator="lessThan">
      <formula>$N$19</formula>
    </cfRule>
  </conditionalFormatting>
  <conditionalFormatting sqref="O20">
    <cfRule type="cellIs" dxfId="1865" priority="640" stopIfTrue="1" operator="equal">
      <formula>$N$20</formula>
    </cfRule>
    <cfRule type="cellIs" dxfId="1864" priority="641" stopIfTrue="1" operator="lessThan">
      <formula>$N$20</formula>
    </cfRule>
  </conditionalFormatting>
  <conditionalFormatting sqref="O21">
    <cfRule type="cellIs" dxfId="1863" priority="642" stopIfTrue="1" operator="equal">
      <formula>$N$21</formula>
    </cfRule>
    <cfRule type="cellIs" dxfId="1862" priority="643" stopIfTrue="1" operator="lessThan">
      <formula>$N$21</formula>
    </cfRule>
  </conditionalFormatting>
  <conditionalFormatting sqref="O22">
    <cfRule type="cellIs" dxfId="1861" priority="644" stopIfTrue="1" operator="equal">
      <formula>$N$22</formula>
    </cfRule>
    <cfRule type="cellIs" dxfId="1860" priority="645" stopIfTrue="1" operator="lessThan">
      <formula>$N$22</formula>
    </cfRule>
  </conditionalFormatting>
  <conditionalFormatting sqref="O23">
    <cfRule type="cellIs" dxfId="1859" priority="646" stopIfTrue="1" operator="equal">
      <formula>$N$23</formula>
    </cfRule>
    <cfRule type="cellIs" dxfId="1858" priority="647" stopIfTrue="1" operator="lessThan">
      <formula>$N$23</formula>
    </cfRule>
  </conditionalFormatting>
  <conditionalFormatting sqref="O24">
    <cfRule type="cellIs" dxfId="1857" priority="648" stopIfTrue="1" operator="equal">
      <formula>$N$24</formula>
    </cfRule>
    <cfRule type="cellIs" dxfId="1856" priority="649" stopIfTrue="1" operator="lessThan">
      <formula>$N$24</formula>
    </cfRule>
  </conditionalFormatting>
  <conditionalFormatting sqref="O25">
    <cfRule type="cellIs" dxfId="1855" priority="650" stopIfTrue="1" operator="equal">
      <formula>$N$25</formula>
    </cfRule>
    <cfRule type="cellIs" dxfId="1854" priority="651" stopIfTrue="1" operator="lessThan">
      <formula>$N$25</formula>
    </cfRule>
  </conditionalFormatting>
  <conditionalFormatting sqref="O26">
    <cfRule type="cellIs" dxfId="1853" priority="652" stopIfTrue="1" operator="equal">
      <formula>$N$26</formula>
    </cfRule>
    <cfRule type="cellIs" dxfId="1852" priority="653" stopIfTrue="1" operator="lessThan">
      <formula>$N$26</formula>
    </cfRule>
  </conditionalFormatting>
  <conditionalFormatting sqref="O27">
    <cfRule type="cellIs" dxfId="1851" priority="654" stopIfTrue="1" operator="equal">
      <formula>$N$27</formula>
    </cfRule>
    <cfRule type="cellIs" dxfId="1850" priority="655" stopIfTrue="1" operator="lessThan">
      <formula>$N$27</formula>
    </cfRule>
  </conditionalFormatting>
  <conditionalFormatting sqref="O28">
    <cfRule type="cellIs" dxfId="1849" priority="656" stopIfTrue="1" operator="equal">
      <formula>$N$28</formula>
    </cfRule>
    <cfRule type="cellIs" dxfId="1848" priority="657" stopIfTrue="1" operator="lessThan">
      <formula>$N$28</formula>
    </cfRule>
  </conditionalFormatting>
  <conditionalFormatting sqref="U4:AF23">
    <cfRule type="cellIs" dxfId="1847" priority="2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41"/>
  <sheetViews>
    <sheetView workbookViewId="0">
      <selection activeCell="O2" sqref="O2"/>
    </sheetView>
  </sheetViews>
  <sheetFormatPr defaultRowHeight="14.5" x14ac:dyDescent="0.35"/>
  <cols>
    <col min="1" max="1" width="8.54296875" customWidth="1"/>
    <col min="2" max="2" width="26.26953125" customWidth="1"/>
    <col min="3" max="15" width="10.1796875" customWidth="1"/>
    <col min="16" max="16" width="10" customWidth="1"/>
    <col min="17" max="17" width="11.1796875" bestFit="1" customWidth="1"/>
    <col min="18" max="18" width="9.26953125" bestFit="1" customWidth="1"/>
    <col min="19" max="19" width="3.453125" customWidth="1"/>
    <col min="39" max="39" width="8.7265625" style="1"/>
  </cols>
  <sheetData>
    <row r="1" spans="1:39" ht="15" thickBot="1" x14ac:dyDescent="0.4">
      <c r="AH1" s="275" t="s">
        <v>322</v>
      </c>
      <c r="AI1" s="322" t="s">
        <v>320</v>
      </c>
      <c r="AJ1" s="322"/>
      <c r="AK1" s="322"/>
      <c r="AL1" s="322"/>
      <c r="AM1" s="322"/>
    </row>
    <row r="2" spans="1:39" s="1" customFormat="1" ht="21" customHeight="1" thickBot="1" x14ac:dyDescent="0.55000000000000004">
      <c r="A2" s="112">
        <v>1855</v>
      </c>
      <c r="B2" s="2"/>
      <c r="C2" s="3">
        <f>'1850'!C2</f>
        <v>45658</v>
      </c>
      <c r="D2" s="3">
        <f>'1850'!D2</f>
        <v>45688</v>
      </c>
      <c r="E2" s="3">
        <f>'1850'!E2</f>
        <v>45716</v>
      </c>
      <c r="F2" s="3">
        <f>'1850'!F2</f>
        <v>45748</v>
      </c>
      <c r="G2" s="3">
        <f>'1850'!G2</f>
        <v>45779</v>
      </c>
      <c r="H2" s="3">
        <f>'1850'!H2</f>
        <v>45810</v>
      </c>
      <c r="I2" s="3">
        <f>'1850'!I2</f>
        <v>45839</v>
      </c>
      <c r="J2" s="3">
        <f>'1850'!J2</f>
        <v>45870</v>
      </c>
      <c r="K2" s="3">
        <f>'1850'!K2</f>
        <v>45901</v>
      </c>
      <c r="L2" s="3">
        <f>'1850'!L2</f>
        <v>45931</v>
      </c>
      <c r="M2" s="3">
        <f>'1850'!M2</f>
        <v>45961</v>
      </c>
      <c r="N2" s="3">
        <f>'1850'!N2</f>
        <v>45992</v>
      </c>
      <c r="O2" s="3">
        <f>'1850'!O2</f>
        <v>46022</v>
      </c>
      <c r="P2" s="1" t="s">
        <v>0</v>
      </c>
      <c r="Q2" s="1" t="s">
        <v>1</v>
      </c>
      <c r="R2" s="1" t="s">
        <v>81</v>
      </c>
      <c r="U2" s="142"/>
      <c r="V2" s="143"/>
      <c r="W2" s="143"/>
      <c r="X2" s="143"/>
      <c r="Y2" s="143" t="s">
        <v>106</v>
      </c>
      <c r="Z2" s="143"/>
      <c r="AA2" s="143"/>
      <c r="AB2" s="143"/>
      <c r="AC2" s="143"/>
      <c r="AD2" s="143"/>
      <c r="AE2" s="143"/>
      <c r="AF2" s="147"/>
      <c r="AH2" s="267" t="s">
        <v>105</v>
      </c>
      <c r="AI2" s="266">
        <v>2025</v>
      </c>
      <c r="AJ2" s="266">
        <v>2024</v>
      </c>
      <c r="AK2" s="266">
        <v>2023</v>
      </c>
      <c r="AL2" s="266">
        <v>2022</v>
      </c>
      <c r="AM2" s="266">
        <v>2021</v>
      </c>
    </row>
    <row r="3" spans="1:39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79</v>
      </c>
      <c r="Q3" s="1" t="s">
        <v>78</v>
      </c>
      <c r="R3" s="1" t="s">
        <v>80</v>
      </c>
      <c r="T3" s="1" t="s">
        <v>105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  <c r="AH3" s="267"/>
      <c r="AI3" s="267"/>
      <c r="AJ3" s="267"/>
      <c r="AK3" s="267"/>
      <c r="AL3" s="267"/>
      <c r="AM3" s="267"/>
    </row>
    <row r="4" spans="1:39" ht="15" thickBot="1" x14ac:dyDescent="0.4">
      <c r="A4" s="303">
        <v>1</v>
      </c>
      <c r="B4" s="6" t="s">
        <v>396</v>
      </c>
      <c r="C4" s="76">
        <v>11.974</v>
      </c>
      <c r="D4" s="7">
        <v>23.574999999999999</v>
      </c>
      <c r="E4" s="7">
        <v>34.061999999999998</v>
      </c>
      <c r="F4" s="7">
        <v>47.466000000000001</v>
      </c>
      <c r="G4" s="7">
        <v>58.84</v>
      </c>
      <c r="H4" s="7">
        <v>68.400000000000006</v>
      </c>
      <c r="I4" s="7">
        <v>78.623999999999995</v>
      </c>
      <c r="J4" s="7">
        <v>87.183000000000007</v>
      </c>
      <c r="K4" s="7">
        <v>97.5</v>
      </c>
      <c r="L4" s="8">
        <v>108.76300000000001</v>
      </c>
      <c r="M4" s="7">
        <v>119.08</v>
      </c>
      <c r="N4" s="7">
        <v>129.827</v>
      </c>
      <c r="O4" s="7">
        <v>143.13300000000001</v>
      </c>
      <c r="P4" s="9">
        <f>O4-C4</f>
        <v>131.15900000000002</v>
      </c>
      <c r="T4" s="1">
        <v>1</v>
      </c>
      <c r="U4" s="144">
        <f t="shared" ref="U4:AF5" si="0">D4-C4</f>
        <v>11.600999999999999</v>
      </c>
      <c r="V4" s="144">
        <f t="shared" si="0"/>
        <v>10.486999999999998</v>
      </c>
      <c r="W4" s="144">
        <f t="shared" si="0"/>
        <v>13.404000000000003</v>
      </c>
      <c r="X4" s="144">
        <f t="shared" si="0"/>
        <v>11.374000000000002</v>
      </c>
      <c r="Y4" s="144">
        <f t="shared" si="0"/>
        <v>9.5600000000000023</v>
      </c>
      <c r="Z4" s="144">
        <f t="shared" si="0"/>
        <v>10.22399999999999</v>
      </c>
      <c r="AA4" s="144">
        <f t="shared" si="0"/>
        <v>8.5590000000000117</v>
      </c>
      <c r="AB4" s="144">
        <f t="shared" si="0"/>
        <v>10.316999999999993</v>
      </c>
      <c r="AC4" s="144">
        <f t="shared" si="0"/>
        <v>11.263000000000005</v>
      </c>
      <c r="AD4" s="144">
        <f t="shared" si="0"/>
        <v>10.316999999999993</v>
      </c>
      <c r="AE4" s="144">
        <f t="shared" si="0"/>
        <v>10.747</v>
      </c>
      <c r="AF4" s="144">
        <f t="shared" si="0"/>
        <v>13.306000000000012</v>
      </c>
      <c r="AG4" s="9"/>
      <c r="AH4" s="267">
        <v>1</v>
      </c>
      <c r="AI4" s="268">
        <f>SUM(U4:AE4)</f>
        <v>117.85300000000001</v>
      </c>
      <c r="AJ4" s="268">
        <v>113.33199999999999</v>
      </c>
      <c r="AK4" s="268">
        <v>124.64999999999998</v>
      </c>
      <c r="AL4" s="268">
        <v>143.755</v>
      </c>
      <c r="AM4" s="269">
        <v>166.55600000000001</v>
      </c>
    </row>
    <row r="5" spans="1:39" x14ac:dyDescent="0.35">
      <c r="A5" s="303"/>
      <c r="B5" s="10" t="s">
        <v>242</v>
      </c>
      <c r="C5" s="77">
        <v>121.09</v>
      </c>
      <c r="D5" s="11">
        <v>127.70399999999999</v>
      </c>
      <c r="E5" s="11">
        <v>133.464</v>
      </c>
      <c r="F5" s="11">
        <v>137.57599999999999</v>
      </c>
      <c r="G5" s="11">
        <v>139.964</v>
      </c>
      <c r="H5" s="11">
        <v>141.85</v>
      </c>
      <c r="I5" s="11">
        <v>142.54499999999999</v>
      </c>
      <c r="J5" s="11">
        <v>143.05099999999999</v>
      </c>
      <c r="K5" s="11">
        <v>143.827</v>
      </c>
      <c r="L5" s="12">
        <v>145.19</v>
      </c>
      <c r="M5" s="11">
        <v>147.631</v>
      </c>
      <c r="N5" s="11">
        <v>153.215</v>
      </c>
      <c r="O5" s="11">
        <v>159.82400000000001</v>
      </c>
      <c r="P5" s="9"/>
      <c r="Q5" s="9">
        <f>O5-C5</f>
        <v>38.734000000000009</v>
      </c>
      <c r="T5" s="156" t="s">
        <v>1</v>
      </c>
      <c r="U5" s="155">
        <f t="shared" si="0"/>
        <v>6.6139999999999901</v>
      </c>
      <c r="V5" s="155">
        <f t="shared" si="0"/>
        <v>5.7600000000000051</v>
      </c>
      <c r="W5" s="155">
        <f t="shared" si="0"/>
        <v>4.1119999999999948</v>
      </c>
      <c r="X5" s="155">
        <f t="shared" si="0"/>
        <v>2.3880000000000052</v>
      </c>
      <c r="Y5" s="155">
        <f t="shared" si="0"/>
        <v>1.8859999999999957</v>
      </c>
      <c r="Z5" s="155">
        <f t="shared" si="0"/>
        <v>0.69499999999999318</v>
      </c>
      <c r="AA5" s="155">
        <f t="shared" si="0"/>
        <v>0.50600000000000023</v>
      </c>
      <c r="AB5" s="155">
        <f t="shared" si="0"/>
        <v>0.77600000000001046</v>
      </c>
      <c r="AC5" s="155">
        <f t="shared" si="0"/>
        <v>1.3629999999999995</v>
      </c>
      <c r="AD5" s="155">
        <f t="shared" si="0"/>
        <v>2.4410000000000025</v>
      </c>
      <c r="AE5" s="155">
        <f t="shared" si="0"/>
        <v>5.5840000000000032</v>
      </c>
      <c r="AF5" s="155">
        <f t="shared" si="0"/>
        <v>6.6090000000000089</v>
      </c>
      <c r="AG5" s="264"/>
      <c r="AH5" s="267"/>
      <c r="AI5" s="268"/>
      <c r="AJ5" s="268"/>
      <c r="AK5" s="268"/>
      <c r="AL5" s="268"/>
      <c r="AM5" s="269"/>
    </row>
    <row r="6" spans="1:39" x14ac:dyDescent="0.35">
      <c r="A6" s="302">
        <v>2</v>
      </c>
      <c r="B6" s="10" t="s">
        <v>397</v>
      </c>
      <c r="C6" s="77">
        <v>16.076000000000001</v>
      </c>
      <c r="D6" s="11">
        <v>32.21</v>
      </c>
      <c r="E6" s="11">
        <v>48.555999999999997</v>
      </c>
      <c r="F6" s="11">
        <v>64.572000000000003</v>
      </c>
      <c r="G6" s="11">
        <v>83.721999999999994</v>
      </c>
      <c r="H6" s="11">
        <v>99.3</v>
      </c>
      <c r="I6" s="11">
        <v>111.765</v>
      </c>
      <c r="J6" s="11">
        <v>124.014</v>
      </c>
      <c r="K6" s="11">
        <v>136.29300000000001</v>
      </c>
      <c r="L6" s="11">
        <v>154.49</v>
      </c>
      <c r="M6" s="11">
        <v>171.1</v>
      </c>
      <c r="N6" s="11">
        <v>190.494</v>
      </c>
      <c r="O6" s="11">
        <v>207.697</v>
      </c>
      <c r="P6" s="9">
        <f t="shared" ref="P6" si="1">O6-C6</f>
        <v>191.62100000000001</v>
      </c>
      <c r="T6" s="1">
        <v>2</v>
      </c>
      <c r="U6" s="146">
        <f>D6-C6</f>
        <v>16.134</v>
      </c>
      <c r="V6" s="146">
        <f t="shared" ref="U6:AF21" si="2">E6-D6</f>
        <v>16.345999999999997</v>
      </c>
      <c r="W6" s="146">
        <f t="shared" si="2"/>
        <v>16.016000000000005</v>
      </c>
      <c r="X6" s="146">
        <f t="shared" si="2"/>
        <v>19.149999999999991</v>
      </c>
      <c r="Y6" s="146">
        <f t="shared" si="2"/>
        <v>15.578000000000003</v>
      </c>
      <c r="Z6" s="146">
        <f t="shared" si="2"/>
        <v>12.465000000000003</v>
      </c>
      <c r="AA6" s="146">
        <f t="shared" si="2"/>
        <v>12.248999999999995</v>
      </c>
      <c r="AB6" s="146">
        <f t="shared" si="2"/>
        <v>12.279000000000011</v>
      </c>
      <c r="AC6" s="146">
        <f t="shared" si="2"/>
        <v>18.197000000000003</v>
      </c>
      <c r="AD6" s="146">
        <f t="shared" si="2"/>
        <v>16.609999999999985</v>
      </c>
      <c r="AE6" s="146">
        <f t="shared" si="2"/>
        <v>19.394000000000005</v>
      </c>
      <c r="AF6" s="146">
        <f t="shared" si="2"/>
        <v>17.203000000000003</v>
      </c>
      <c r="AG6" s="9"/>
      <c r="AH6" s="267">
        <v>2</v>
      </c>
      <c r="AI6" s="268">
        <f>SUM(U6:AE6)</f>
        <v>174.41799999999998</v>
      </c>
      <c r="AJ6" s="268">
        <v>163.53399999999999</v>
      </c>
      <c r="AK6" s="268">
        <v>153.82999999999993</v>
      </c>
      <c r="AL6" s="268">
        <v>160.27199999999993</v>
      </c>
      <c r="AM6" s="269">
        <v>194.58399999999997</v>
      </c>
    </row>
    <row r="7" spans="1:39" x14ac:dyDescent="0.35">
      <c r="A7" s="302"/>
      <c r="B7" s="10" t="s">
        <v>241</v>
      </c>
      <c r="C7" s="77">
        <v>99.778999999999996</v>
      </c>
      <c r="D7" s="11">
        <v>105.675</v>
      </c>
      <c r="E7" s="11">
        <v>111.44799999999999</v>
      </c>
      <c r="F7" s="11">
        <v>115.274</v>
      </c>
      <c r="G7" s="11">
        <v>117.479</v>
      </c>
      <c r="H7" s="11">
        <v>118.557</v>
      </c>
      <c r="I7" s="11">
        <v>119.379</v>
      </c>
      <c r="J7" s="11">
        <v>120.041</v>
      </c>
      <c r="K7" s="11">
        <v>120.7</v>
      </c>
      <c r="L7" s="11">
        <v>121.875</v>
      </c>
      <c r="M7" s="11">
        <v>124.511</v>
      </c>
      <c r="N7" s="11">
        <v>129.803</v>
      </c>
      <c r="O7" s="11">
        <v>134.892</v>
      </c>
      <c r="P7" s="9"/>
      <c r="Q7" s="9">
        <f>O7-C7</f>
        <v>35.113</v>
      </c>
      <c r="T7" s="156"/>
      <c r="U7" s="155">
        <f t="shared" ref="U7:AF7" si="3">D7-C7</f>
        <v>5.8960000000000008</v>
      </c>
      <c r="V7" s="155">
        <f t="shared" si="3"/>
        <v>5.7729999999999961</v>
      </c>
      <c r="W7" s="155">
        <f t="shared" si="3"/>
        <v>3.8260000000000076</v>
      </c>
      <c r="X7" s="155">
        <f t="shared" si="3"/>
        <v>2.2049999999999983</v>
      </c>
      <c r="Y7" s="155">
        <f t="shared" si="3"/>
        <v>1.078000000000003</v>
      </c>
      <c r="Z7" s="155">
        <f t="shared" si="3"/>
        <v>0.82200000000000273</v>
      </c>
      <c r="AA7" s="155">
        <f t="shared" si="3"/>
        <v>0.66199999999999193</v>
      </c>
      <c r="AB7" s="155">
        <f t="shared" si="3"/>
        <v>0.65900000000000603</v>
      </c>
      <c r="AC7" s="155">
        <f t="shared" si="3"/>
        <v>1.1749999999999972</v>
      </c>
      <c r="AD7" s="155">
        <f t="shared" si="3"/>
        <v>2.6359999999999957</v>
      </c>
      <c r="AE7" s="155">
        <f t="shared" si="3"/>
        <v>5.2920000000000016</v>
      </c>
      <c r="AF7" s="155">
        <f t="shared" si="3"/>
        <v>5.0889999999999986</v>
      </c>
      <c r="AG7" s="264"/>
      <c r="AH7" s="265"/>
      <c r="AI7" s="268"/>
      <c r="AJ7" s="268"/>
      <c r="AK7" s="268"/>
      <c r="AL7" s="268"/>
      <c r="AM7" s="269"/>
    </row>
    <row r="8" spans="1:39" x14ac:dyDescent="0.35">
      <c r="A8" s="302">
        <v>3</v>
      </c>
      <c r="B8" s="10" t="s">
        <v>398</v>
      </c>
      <c r="C8" s="77">
        <v>2.694</v>
      </c>
      <c r="D8" s="11">
        <v>5.9219999999999997</v>
      </c>
      <c r="E8" s="11">
        <v>9.3239999999999998</v>
      </c>
      <c r="F8" s="11">
        <v>13.595000000000001</v>
      </c>
      <c r="G8" s="11">
        <v>17.471</v>
      </c>
      <c r="H8" s="11">
        <v>21.16</v>
      </c>
      <c r="I8" s="11">
        <v>24.689</v>
      </c>
      <c r="J8" s="11">
        <v>28.268000000000001</v>
      </c>
      <c r="K8" s="11">
        <v>32.49</v>
      </c>
      <c r="L8" s="11">
        <v>36.381</v>
      </c>
      <c r="M8" s="11">
        <v>40.97</v>
      </c>
      <c r="N8" s="11">
        <v>45.448999999999998</v>
      </c>
      <c r="O8" s="11">
        <v>48.601999999999997</v>
      </c>
      <c r="P8" s="9">
        <f t="shared" ref="P8" si="4">O8-C8</f>
        <v>45.907999999999994</v>
      </c>
      <c r="T8" s="1">
        <v>3</v>
      </c>
      <c r="U8" s="146">
        <f t="shared" si="2"/>
        <v>3.2279999999999998</v>
      </c>
      <c r="V8" s="146">
        <f t="shared" si="2"/>
        <v>3.4020000000000001</v>
      </c>
      <c r="W8" s="146">
        <f t="shared" si="2"/>
        <v>4.2710000000000008</v>
      </c>
      <c r="X8" s="146">
        <f t="shared" si="2"/>
        <v>3.8759999999999994</v>
      </c>
      <c r="Y8" s="146">
        <f t="shared" si="2"/>
        <v>3.6890000000000001</v>
      </c>
      <c r="Z8" s="146">
        <f t="shared" si="2"/>
        <v>3.5289999999999999</v>
      </c>
      <c r="AA8" s="146">
        <f t="shared" si="2"/>
        <v>3.5790000000000006</v>
      </c>
      <c r="AB8" s="146">
        <f t="shared" si="2"/>
        <v>4.2220000000000013</v>
      </c>
      <c r="AC8" s="146">
        <f t="shared" si="2"/>
        <v>3.8909999999999982</v>
      </c>
      <c r="AD8" s="146">
        <f t="shared" si="2"/>
        <v>4.5889999999999986</v>
      </c>
      <c r="AE8" s="146">
        <f t="shared" si="2"/>
        <v>4.4789999999999992</v>
      </c>
      <c r="AF8" s="146">
        <f t="shared" si="2"/>
        <v>3.1529999999999987</v>
      </c>
      <c r="AG8" s="9"/>
      <c r="AH8" s="267">
        <v>3</v>
      </c>
      <c r="AI8" s="268">
        <f>SUM(U8:AE8)</f>
        <v>42.754999999999995</v>
      </c>
      <c r="AJ8" s="268">
        <v>39.263999999999982</v>
      </c>
      <c r="AK8" s="268">
        <v>38.844999999999999</v>
      </c>
      <c r="AL8" s="268">
        <v>40.903000000000006</v>
      </c>
      <c r="AM8" s="269">
        <v>45.514999999999993</v>
      </c>
    </row>
    <row r="9" spans="1:39" x14ac:dyDescent="0.35">
      <c r="A9" s="302"/>
      <c r="B9" s="10" t="s">
        <v>243</v>
      </c>
      <c r="C9" s="77">
        <v>59.594999999999999</v>
      </c>
      <c r="D9" s="11">
        <v>64.117999999999995</v>
      </c>
      <c r="E9" s="11">
        <v>68.525999999999996</v>
      </c>
      <c r="F9" s="11">
        <v>71.19</v>
      </c>
      <c r="G9" s="11">
        <v>72.23</v>
      </c>
      <c r="H9" s="11">
        <v>72.897999999999996</v>
      </c>
      <c r="I9" s="11">
        <v>73.126999999999995</v>
      </c>
      <c r="J9" s="11">
        <v>73.346000000000004</v>
      </c>
      <c r="K9" s="11">
        <v>73.599999999999994</v>
      </c>
      <c r="L9" s="11">
        <v>74.134</v>
      </c>
      <c r="M9" s="11">
        <v>76.242999999999995</v>
      </c>
      <c r="N9" s="11">
        <v>79.921999999999997</v>
      </c>
      <c r="O9" s="11">
        <v>82.227000000000004</v>
      </c>
      <c r="P9" s="9"/>
      <c r="Q9" s="9">
        <f>O9-C9</f>
        <v>22.632000000000005</v>
      </c>
      <c r="T9" s="156"/>
      <c r="U9" s="155">
        <f t="shared" si="2"/>
        <v>4.5229999999999961</v>
      </c>
      <c r="V9" s="155">
        <f t="shared" si="2"/>
        <v>4.4080000000000013</v>
      </c>
      <c r="W9" s="155">
        <f t="shared" si="2"/>
        <v>2.6640000000000015</v>
      </c>
      <c r="X9" s="155">
        <f t="shared" si="2"/>
        <v>1.0400000000000063</v>
      </c>
      <c r="Y9" s="155">
        <f t="shared" si="2"/>
        <v>0.66799999999999216</v>
      </c>
      <c r="Z9" s="155">
        <f t="shared" si="2"/>
        <v>0.2289999999999992</v>
      </c>
      <c r="AA9" s="155">
        <f t="shared" si="2"/>
        <v>0.2190000000000083</v>
      </c>
      <c r="AB9" s="155">
        <f t="shared" si="2"/>
        <v>0.25399999999999068</v>
      </c>
      <c r="AC9" s="155">
        <f t="shared" si="2"/>
        <v>0.53400000000000603</v>
      </c>
      <c r="AD9" s="155">
        <f t="shared" si="2"/>
        <v>2.1089999999999947</v>
      </c>
      <c r="AE9" s="155">
        <f t="shared" si="2"/>
        <v>3.679000000000002</v>
      </c>
      <c r="AF9" s="155">
        <f t="shared" si="2"/>
        <v>2.3050000000000068</v>
      </c>
      <c r="AG9" s="264"/>
      <c r="AH9" s="267"/>
      <c r="AI9" s="268"/>
      <c r="AJ9" s="268"/>
      <c r="AK9" s="268"/>
      <c r="AL9" s="268"/>
      <c r="AM9" s="269"/>
    </row>
    <row r="10" spans="1:39" x14ac:dyDescent="0.35">
      <c r="A10" s="302">
        <v>4</v>
      </c>
      <c r="B10" s="10" t="s">
        <v>399</v>
      </c>
      <c r="C10" s="77">
        <v>1.8480000000000001</v>
      </c>
      <c r="D10" s="11">
        <v>3.83</v>
      </c>
      <c r="E10" s="11">
        <v>5.4459999999999997</v>
      </c>
      <c r="F10" s="11">
        <v>11.957000000000001</v>
      </c>
      <c r="G10" s="11">
        <v>17.652000000000001</v>
      </c>
      <c r="H10" s="11">
        <v>22.943000000000001</v>
      </c>
      <c r="I10" s="11">
        <v>28.58</v>
      </c>
      <c r="J10" s="11">
        <v>33.817999999999998</v>
      </c>
      <c r="K10" s="11">
        <v>38.384</v>
      </c>
      <c r="L10" s="11">
        <v>43.085999999999999</v>
      </c>
      <c r="M10" s="11">
        <v>47.316000000000003</v>
      </c>
      <c r="N10" s="11">
        <v>51.933999999999997</v>
      </c>
      <c r="O10" s="11">
        <v>57.064</v>
      </c>
      <c r="P10" s="9">
        <f t="shared" ref="P10" si="5">O10-C10</f>
        <v>55.216000000000001</v>
      </c>
      <c r="T10" s="1">
        <v>4</v>
      </c>
      <c r="U10" s="146">
        <f t="shared" si="2"/>
        <v>1.982</v>
      </c>
      <c r="V10" s="146">
        <f t="shared" si="2"/>
        <v>1.6159999999999997</v>
      </c>
      <c r="W10" s="146">
        <f t="shared" si="2"/>
        <v>6.511000000000001</v>
      </c>
      <c r="X10" s="146">
        <f t="shared" si="2"/>
        <v>5.6950000000000003</v>
      </c>
      <c r="Y10" s="146">
        <f t="shared" si="2"/>
        <v>5.2910000000000004</v>
      </c>
      <c r="Z10" s="146">
        <f t="shared" si="2"/>
        <v>5.6369999999999969</v>
      </c>
      <c r="AA10" s="146">
        <f t="shared" si="2"/>
        <v>5.2379999999999995</v>
      </c>
      <c r="AB10" s="146">
        <f t="shared" si="2"/>
        <v>4.5660000000000025</v>
      </c>
      <c r="AC10" s="146">
        <f t="shared" si="2"/>
        <v>4.7019999999999982</v>
      </c>
      <c r="AD10" s="146">
        <f t="shared" si="2"/>
        <v>4.230000000000004</v>
      </c>
      <c r="AE10" s="146">
        <f t="shared" si="2"/>
        <v>4.617999999999995</v>
      </c>
      <c r="AF10" s="146">
        <f t="shared" si="2"/>
        <v>5.1300000000000026</v>
      </c>
      <c r="AG10" s="9"/>
      <c r="AH10" s="267">
        <v>4</v>
      </c>
      <c r="AI10" s="268">
        <f>SUM(U10:AE10)</f>
        <v>50.085999999999999</v>
      </c>
      <c r="AJ10" s="268">
        <v>22.182999999999993</v>
      </c>
      <c r="AK10" s="268">
        <v>16.192</v>
      </c>
      <c r="AL10" s="268">
        <v>13.024999999999999</v>
      </c>
      <c r="AM10" s="269">
        <v>10.867000000000001</v>
      </c>
    </row>
    <row r="11" spans="1:39" x14ac:dyDescent="0.35">
      <c r="A11" s="302"/>
      <c r="B11" s="10" t="s">
        <v>244</v>
      </c>
      <c r="C11" s="77">
        <v>8.8520000000000003</v>
      </c>
      <c r="D11" s="11">
        <v>9.43</v>
      </c>
      <c r="E11" s="11">
        <v>9.718</v>
      </c>
      <c r="F11" s="11">
        <v>10.048</v>
      </c>
      <c r="G11" s="11">
        <v>10.289</v>
      </c>
      <c r="H11" s="11">
        <v>10.491</v>
      </c>
      <c r="I11" s="11">
        <v>10.65</v>
      </c>
      <c r="J11" s="11">
        <v>10.786</v>
      </c>
      <c r="K11" s="11">
        <v>10.912000000000001</v>
      </c>
      <c r="L11" s="11">
        <v>11.045</v>
      </c>
      <c r="M11" s="11">
        <v>11.215999999999999</v>
      </c>
      <c r="N11" s="11">
        <v>11.555</v>
      </c>
      <c r="O11" s="11">
        <v>11.997</v>
      </c>
      <c r="P11" s="9"/>
      <c r="Q11" s="9">
        <f>O11-C11</f>
        <v>3.1449999999999996</v>
      </c>
      <c r="T11" s="1"/>
      <c r="U11" s="155">
        <f t="shared" si="2"/>
        <v>0.5779999999999994</v>
      </c>
      <c r="V11" s="155">
        <f t="shared" si="2"/>
        <v>0.28800000000000026</v>
      </c>
      <c r="W11" s="155">
        <f t="shared" si="2"/>
        <v>0.33000000000000007</v>
      </c>
      <c r="X11" s="155">
        <f t="shared" si="2"/>
        <v>0.24099999999999966</v>
      </c>
      <c r="Y11" s="155">
        <f t="shared" si="2"/>
        <v>0.20199999999999996</v>
      </c>
      <c r="Z11" s="155">
        <f t="shared" si="2"/>
        <v>0.1590000000000007</v>
      </c>
      <c r="AA11" s="155">
        <f t="shared" si="2"/>
        <v>0.13599999999999923</v>
      </c>
      <c r="AB11" s="155">
        <f t="shared" si="2"/>
        <v>0.12600000000000122</v>
      </c>
      <c r="AC11" s="155">
        <f t="shared" si="2"/>
        <v>0.13299999999999912</v>
      </c>
      <c r="AD11" s="155">
        <f t="shared" si="2"/>
        <v>0.17099999999999937</v>
      </c>
      <c r="AE11" s="155">
        <f t="shared" si="2"/>
        <v>0.33900000000000041</v>
      </c>
      <c r="AF11" s="155">
        <f t="shared" si="2"/>
        <v>0.44200000000000017</v>
      </c>
      <c r="AG11" s="264"/>
      <c r="AH11" s="265"/>
      <c r="AI11" s="268"/>
      <c r="AJ11" s="268"/>
      <c r="AK11" s="268"/>
      <c r="AL11" s="268"/>
      <c r="AM11" s="269"/>
    </row>
    <row r="12" spans="1:39" x14ac:dyDescent="0.35">
      <c r="A12" s="302">
        <v>5</v>
      </c>
      <c r="B12" s="10" t="s">
        <v>400</v>
      </c>
      <c r="C12" s="77">
        <v>7.0019999999999998</v>
      </c>
      <c r="D12" s="11">
        <v>12.701000000000001</v>
      </c>
      <c r="E12" s="11">
        <v>18.128</v>
      </c>
      <c r="F12" s="11">
        <v>24.327000000000002</v>
      </c>
      <c r="G12" s="11">
        <v>29.457999999999998</v>
      </c>
      <c r="H12" s="11">
        <v>34.680999999999997</v>
      </c>
      <c r="I12" s="11">
        <v>39.79</v>
      </c>
      <c r="J12" s="11">
        <v>44.142000000000003</v>
      </c>
      <c r="K12" s="11">
        <v>48.38</v>
      </c>
      <c r="L12" s="11">
        <v>52.313000000000002</v>
      </c>
      <c r="M12" s="11">
        <v>57.822000000000003</v>
      </c>
      <c r="N12" s="11">
        <v>62.927999999999997</v>
      </c>
      <c r="O12" s="11">
        <v>69.183000000000007</v>
      </c>
      <c r="P12" s="9">
        <f t="shared" ref="P12" si="6">O12-C12</f>
        <v>62.181000000000004</v>
      </c>
      <c r="T12" s="1">
        <v>5</v>
      </c>
      <c r="U12" s="146">
        <f t="shared" si="2"/>
        <v>5.6990000000000007</v>
      </c>
      <c r="V12" s="146">
        <f t="shared" si="2"/>
        <v>5.4269999999999996</v>
      </c>
      <c r="W12" s="146">
        <f t="shared" si="2"/>
        <v>6.1990000000000016</v>
      </c>
      <c r="X12" s="146">
        <f t="shared" si="2"/>
        <v>5.1309999999999967</v>
      </c>
      <c r="Y12" s="146">
        <f t="shared" si="2"/>
        <v>5.222999999999999</v>
      </c>
      <c r="Z12" s="146">
        <f t="shared" si="2"/>
        <v>5.1090000000000018</v>
      </c>
      <c r="AA12" s="146">
        <f t="shared" si="2"/>
        <v>4.3520000000000039</v>
      </c>
      <c r="AB12" s="146">
        <f t="shared" si="2"/>
        <v>4.2379999999999995</v>
      </c>
      <c r="AC12" s="146">
        <f t="shared" si="2"/>
        <v>3.9329999999999998</v>
      </c>
      <c r="AD12" s="146">
        <f t="shared" si="2"/>
        <v>5.5090000000000003</v>
      </c>
      <c r="AE12" s="146">
        <f t="shared" si="2"/>
        <v>5.1059999999999945</v>
      </c>
      <c r="AF12" s="146">
        <f t="shared" si="2"/>
        <v>6.2550000000000097</v>
      </c>
      <c r="AG12" s="9"/>
      <c r="AH12" s="267">
        <v>5</v>
      </c>
      <c r="AI12" s="268">
        <f>SUM(U12:AE12)</f>
        <v>55.925999999999995</v>
      </c>
      <c r="AJ12" s="268">
        <v>55.890000000000043</v>
      </c>
      <c r="AK12" s="268">
        <v>51.191000000000003</v>
      </c>
      <c r="AL12" s="268">
        <v>59.693999999999988</v>
      </c>
      <c r="AM12" s="269">
        <v>66.632999999999996</v>
      </c>
    </row>
    <row r="13" spans="1:39" x14ac:dyDescent="0.35">
      <c r="A13" s="302"/>
      <c r="B13" s="10" t="s">
        <v>245</v>
      </c>
      <c r="C13" s="77">
        <v>55.107999999999997</v>
      </c>
      <c r="D13" s="11">
        <v>58.59</v>
      </c>
      <c r="E13" s="11">
        <v>61.524000000000001</v>
      </c>
      <c r="F13" s="11">
        <v>63.389000000000003</v>
      </c>
      <c r="G13" s="11">
        <v>64.087000000000003</v>
      </c>
      <c r="H13" s="11">
        <v>64.350999999999999</v>
      </c>
      <c r="I13" s="11">
        <v>64.563999999999993</v>
      </c>
      <c r="J13" s="11">
        <v>64.731999999999999</v>
      </c>
      <c r="K13" s="11">
        <v>64.89</v>
      </c>
      <c r="L13" s="11">
        <v>65.197000000000003</v>
      </c>
      <c r="M13" s="11">
        <v>66.128</v>
      </c>
      <c r="N13" s="11">
        <v>68.888000000000005</v>
      </c>
      <c r="O13" s="11">
        <v>71.989000000000004</v>
      </c>
      <c r="P13" s="9"/>
      <c r="Q13" s="9">
        <f>O13-C13</f>
        <v>16.881000000000007</v>
      </c>
      <c r="T13" s="1"/>
      <c r="U13" s="155">
        <f t="shared" si="2"/>
        <v>3.4820000000000064</v>
      </c>
      <c r="V13" s="155">
        <f t="shared" si="2"/>
        <v>2.9339999999999975</v>
      </c>
      <c r="W13" s="155">
        <f t="shared" si="2"/>
        <v>1.865000000000002</v>
      </c>
      <c r="X13" s="155">
        <f t="shared" si="2"/>
        <v>0.6980000000000004</v>
      </c>
      <c r="Y13" s="155">
        <f t="shared" si="2"/>
        <v>0.26399999999999579</v>
      </c>
      <c r="Z13" s="155">
        <f t="shared" si="2"/>
        <v>0.21299999999999386</v>
      </c>
      <c r="AA13" s="155">
        <f t="shared" si="2"/>
        <v>0.16800000000000637</v>
      </c>
      <c r="AB13" s="155">
        <f t="shared" si="2"/>
        <v>0.15800000000000125</v>
      </c>
      <c r="AC13" s="155">
        <f t="shared" si="2"/>
        <v>0.30700000000000216</v>
      </c>
      <c r="AD13" s="155">
        <f t="shared" si="2"/>
        <v>0.93099999999999739</v>
      </c>
      <c r="AE13" s="155">
        <f t="shared" si="2"/>
        <v>2.7600000000000051</v>
      </c>
      <c r="AF13" s="155">
        <f t="shared" si="2"/>
        <v>3.1009999999999991</v>
      </c>
      <c r="AG13" s="264"/>
      <c r="AH13" s="267"/>
      <c r="AI13" s="268"/>
      <c r="AJ13" s="268"/>
      <c r="AK13" s="268"/>
      <c r="AL13" s="268"/>
      <c r="AM13" s="269"/>
    </row>
    <row r="14" spans="1:39" x14ac:dyDescent="0.35">
      <c r="A14" s="302">
        <v>6</v>
      </c>
      <c r="B14" s="10" t="s">
        <v>401</v>
      </c>
      <c r="C14" s="77">
        <v>5.7220000000000004</v>
      </c>
      <c r="D14" s="11">
        <v>12.557</v>
      </c>
      <c r="E14" s="11">
        <v>17.68</v>
      </c>
      <c r="F14" s="11">
        <v>23.22</v>
      </c>
      <c r="G14" s="11">
        <v>28.678000000000001</v>
      </c>
      <c r="H14" s="11">
        <v>33.786000000000001</v>
      </c>
      <c r="I14" s="11">
        <v>36.292000000000002</v>
      </c>
      <c r="J14" s="11">
        <v>41.122</v>
      </c>
      <c r="K14" s="11">
        <v>47.49</v>
      </c>
      <c r="L14" s="11">
        <v>53.972999999999999</v>
      </c>
      <c r="M14" s="11">
        <v>60.552</v>
      </c>
      <c r="N14" s="11">
        <v>66.171999999999997</v>
      </c>
      <c r="O14" s="11">
        <v>71.203000000000003</v>
      </c>
      <c r="P14" s="9">
        <f t="shared" ref="P14" si="7">O14-C14</f>
        <v>65.481000000000009</v>
      </c>
      <c r="T14" s="1">
        <v>6</v>
      </c>
      <c r="U14" s="146">
        <f t="shared" si="2"/>
        <v>6.835</v>
      </c>
      <c r="V14" s="146">
        <f t="shared" si="2"/>
        <v>5.1229999999999993</v>
      </c>
      <c r="W14" s="146">
        <f t="shared" si="2"/>
        <v>5.5399999999999991</v>
      </c>
      <c r="X14" s="146">
        <f t="shared" si="2"/>
        <v>5.458000000000002</v>
      </c>
      <c r="Y14" s="146">
        <f t="shared" si="2"/>
        <v>5.1080000000000005</v>
      </c>
      <c r="Z14" s="146">
        <f t="shared" si="2"/>
        <v>2.5060000000000002</v>
      </c>
      <c r="AA14" s="146">
        <f t="shared" si="2"/>
        <v>4.8299999999999983</v>
      </c>
      <c r="AB14" s="146">
        <f t="shared" si="2"/>
        <v>6.3680000000000021</v>
      </c>
      <c r="AC14" s="146">
        <f t="shared" si="2"/>
        <v>6.482999999999997</v>
      </c>
      <c r="AD14" s="146">
        <f t="shared" si="2"/>
        <v>6.5790000000000006</v>
      </c>
      <c r="AE14" s="146">
        <f t="shared" si="2"/>
        <v>5.6199999999999974</v>
      </c>
      <c r="AF14" s="146">
        <f t="shared" si="2"/>
        <v>5.0310000000000059</v>
      </c>
      <c r="AG14" s="9"/>
      <c r="AH14" s="267">
        <v>6</v>
      </c>
      <c r="AI14" s="268">
        <f>SUM(U14:AE14)</f>
        <v>60.449999999999996</v>
      </c>
      <c r="AJ14" s="268">
        <v>52.509999999999991</v>
      </c>
      <c r="AK14" s="268">
        <v>43.543000000000006</v>
      </c>
      <c r="AL14" s="268">
        <v>37.146999999999991</v>
      </c>
      <c r="AM14" s="269">
        <v>30.63600000000001</v>
      </c>
    </row>
    <row r="15" spans="1:39" x14ac:dyDescent="0.35">
      <c r="A15" s="302"/>
      <c r="B15" s="10" t="s">
        <v>246</v>
      </c>
      <c r="C15" s="77">
        <v>97.730999999999995</v>
      </c>
      <c r="D15" s="11">
        <v>102.33</v>
      </c>
      <c r="E15" s="11">
        <v>105.67100000000001</v>
      </c>
      <c r="F15" s="11">
        <v>108.17700000000001</v>
      </c>
      <c r="G15" s="11">
        <v>109.86</v>
      </c>
      <c r="H15" s="11">
        <v>110.77200000000001</v>
      </c>
      <c r="I15" s="11">
        <v>110.928</v>
      </c>
      <c r="J15" s="11">
        <v>111.16200000000001</v>
      </c>
      <c r="K15" s="11">
        <v>111.432</v>
      </c>
      <c r="L15" s="11">
        <v>112.06100000000001</v>
      </c>
      <c r="M15" s="11">
        <v>114.402</v>
      </c>
      <c r="N15" s="11">
        <v>118.661</v>
      </c>
      <c r="O15" s="11">
        <v>123.199</v>
      </c>
      <c r="P15" s="9"/>
      <c r="Q15" s="9">
        <f>O15-C15</f>
        <v>25.468000000000004</v>
      </c>
      <c r="T15" s="1"/>
      <c r="U15" s="155">
        <f t="shared" si="2"/>
        <v>4.5990000000000038</v>
      </c>
      <c r="V15" s="155">
        <f t="shared" si="2"/>
        <v>3.3410000000000082</v>
      </c>
      <c r="W15" s="155">
        <f t="shared" si="2"/>
        <v>2.5060000000000002</v>
      </c>
      <c r="X15" s="155">
        <f t="shared" si="2"/>
        <v>1.6829999999999927</v>
      </c>
      <c r="Y15" s="155">
        <f t="shared" si="2"/>
        <v>0.91200000000000614</v>
      </c>
      <c r="Z15" s="155">
        <f t="shared" si="2"/>
        <v>0.1559999999999917</v>
      </c>
      <c r="AA15" s="155">
        <f t="shared" si="2"/>
        <v>0.23400000000000887</v>
      </c>
      <c r="AB15" s="155">
        <f t="shared" si="2"/>
        <v>0.26999999999999602</v>
      </c>
      <c r="AC15" s="155">
        <f t="shared" si="2"/>
        <v>0.62900000000000489</v>
      </c>
      <c r="AD15" s="155">
        <f t="shared" si="2"/>
        <v>2.340999999999994</v>
      </c>
      <c r="AE15" s="155">
        <f t="shared" si="2"/>
        <v>4.2590000000000003</v>
      </c>
      <c r="AF15" s="155">
        <f t="shared" si="2"/>
        <v>4.5379999999999967</v>
      </c>
      <c r="AG15" s="264"/>
      <c r="AH15" s="265"/>
      <c r="AI15" s="268"/>
      <c r="AJ15" s="268"/>
      <c r="AK15" s="268"/>
      <c r="AL15" s="268"/>
      <c r="AM15" s="269"/>
    </row>
    <row r="16" spans="1:39" x14ac:dyDescent="0.35">
      <c r="A16" s="302">
        <v>7</v>
      </c>
      <c r="B16" s="10" t="s">
        <v>402</v>
      </c>
      <c r="C16" s="77">
        <v>6.1440000000000001</v>
      </c>
      <c r="D16" s="11">
        <v>11.622999999999999</v>
      </c>
      <c r="E16" s="11">
        <v>17.405999999999999</v>
      </c>
      <c r="F16" s="11">
        <v>24.478000000000002</v>
      </c>
      <c r="G16" s="11">
        <v>31.056999999999999</v>
      </c>
      <c r="H16" s="11">
        <v>37.424999999999997</v>
      </c>
      <c r="I16" s="11">
        <v>42.563000000000002</v>
      </c>
      <c r="J16" s="11">
        <v>49.631999999999998</v>
      </c>
      <c r="K16" s="11">
        <v>60.856000000000002</v>
      </c>
      <c r="L16" s="11">
        <v>67.168000000000006</v>
      </c>
      <c r="M16" s="11">
        <v>72.626999999999995</v>
      </c>
      <c r="N16" s="11">
        <v>79.186000000000007</v>
      </c>
      <c r="O16" s="11">
        <v>88.68</v>
      </c>
      <c r="P16" s="9">
        <f t="shared" ref="P16" si="8">O16-C16</f>
        <v>82.536000000000001</v>
      </c>
      <c r="T16" s="1">
        <v>7</v>
      </c>
      <c r="U16" s="146">
        <f t="shared" si="2"/>
        <v>5.4789999999999992</v>
      </c>
      <c r="V16" s="146">
        <f t="shared" si="2"/>
        <v>5.7829999999999995</v>
      </c>
      <c r="W16" s="146">
        <f t="shared" si="2"/>
        <v>7.0720000000000027</v>
      </c>
      <c r="X16" s="146">
        <f t="shared" si="2"/>
        <v>6.5789999999999971</v>
      </c>
      <c r="Y16" s="146">
        <f t="shared" si="2"/>
        <v>6.3679999999999986</v>
      </c>
      <c r="Z16" s="146">
        <f t="shared" si="2"/>
        <v>5.1380000000000052</v>
      </c>
      <c r="AA16" s="146">
        <f t="shared" si="2"/>
        <v>7.0689999999999955</v>
      </c>
      <c r="AB16" s="146">
        <f t="shared" si="2"/>
        <v>11.224000000000004</v>
      </c>
      <c r="AC16" s="146">
        <f t="shared" si="2"/>
        <v>6.3120000000000047</v>
      </c>
      <c r="AD16" s="146">
        <f t="shared" si="2"/>
        <v>5.458999999999989</v>
      </c>
      <c r="AE16" s="146">
        <f t="shared" si="2"/>
        <v>6.5590000000000117</v>
      </c>
      <c r="AF16" s="146">
        <f t="shared" si="2"/>
        <v>9.4939999999999998</v>
      </c>
      <c r="AG16" s="9"/>
      <c r="AH16" s="267">
        <v>7</v>
      </c>
      <c r="AI16" s="268">
        <f>SUM(U16:AE16)</f>
        <v>73.042000000000016</v>
      </c>
      <c r="AJ16" s="268">
        <v>41.961000000000013</v>
      </c>
      <c r="AK16" s="268">
        <v>51.850999999999999</v>
      </c>
      <c r="AL16" s="268">
        <v>14.010000000000005</v>
      </c>
      <c r="AM16" s="269">
        <v>21.308999999999997</v>
      </c>
    </row>
    <row r="17" spans="1:39" x14ac:dyDescent="0.35">
      <c r="A17" s="302"/>
      <c r="B17" s="10" t="s">
        <v>247</v>
      </c>
      <c r="C17" s="77">
        <v>16.783000000000001</v>
      </c>
      <c r="D17" s="11">
        <v>18.451000000000001</v>
      </c>
      <c r="E17" s="11">
        <v>19.683</v>
      </c>
      <c r="F17" s="11">
        <v>20.565999999999999</v>
      </c>
      <c r="G17" s="11">
        <v>21.3</v>
      </c>
      <c r="H17" s="11">
        <v>22.117999999999999</v>
      </c>
      <c r="I17" s="11">
        <v>22.361000000000001</v>
      </c>
      <c r="J17" s="11">
        <v>22.637</v>
      </c>
      <c r="K17" s="11">
        <v>23.074999999999999</v>
      </c>
      <c r="L17" s="11">
        <v>23.35</v>
      </c>
      <c r="M17" s="11">
        <v>23.63</v>
      </c>
      <c r="N17" s="11">
        <v>24.541</v>
      </c>
      <c r="O17" s="11">
        <v>26.045000000000002</v>
      </c>
      <c r="P17" s="9"/>
      <c r="Q17" s="9">
        <f>O17-C17</f>
        <v>9.2620000000000005</v>
      </c>
      <c r="T17" s="1"/>
      <c r="U17" s="155">
        <f t="shared" si="2"/>
        <v>1.6679999999999993</v>
      </c>
      <c r="V17" s="155">
        <f t="shared" si="2"/>
        <v>1.2319999999999993</v>
      </c>
      <c r="W17" s="155">
        <f t="shared" si="2"/>
        <v>0.88299999999999912</v>
      </c>
      <c r="X17" s="155">
        <f t="shared" si="2"/>
        <v>0.73400000000000176</v>
      </c>
      <c r="Y17" s="155">
        <f t="shared" si="2"/>
        <v>0.81799999999999784</v>
      </c>
      <c r="Z17" s="155">
        <f t="shared" si="2"/>
        <v>0.2430000000000021</v>
      </c>
      <c r="AA17" s="155">
        <f t="shared" si="2"/>
        <v>0.2759999999999998</v>
      </c>
      <c r="AB17" s="155">
        <f t="shared" si="2"/>
        <v>0.43799999999999883</v>
      </c>
      <c r="AC17" s="155">
        <f t="shared" si="2"/>
        <v>0.27500000000000213</v>
      </c>
      <c r="AD17" s="155">
        <f t="shared" si="2"/>
        <v>0.27999999999999758</v>
      </c>
      <c r="AE17" s="155">
        <f t="shared" si="2"/>
        <v>0.91100000000000136</v>
      </c>
      <c r="AF17" s="155">
        <f t="shared" si="2"/>
        <v>1.5040000000000013</v>
      </c>
      <c r="AG17" s="264"/>
      <c r="AH17" s="267"/>
      <c r="AI17" s="268"/>
      <c r="AJ17" s="268"/>
      <c r="AK17" s="268"/>
      <c r="AL17" s="268"/>
      <c r="AM17" s="269"/>
    </row>
    <row r="18" spans="1:39" x14ac:dyDescent="0.35">
      <c r="A18" s="302">
        <v>8</v>
      </c>
      <c r="B18" s="10" t="s">
        <v>403</v>
      </c>
      <c r="C18" s="77">
        <v>3.8759999999999999</v>
      </c>
      <c r="D18" s="11">
        <v>7.6340000000000003</v>
      </c>
      <c r="E18" s="11">
        <v>10.933</v>
      </c>
      <c r="F18" s="11">
        <v>14.824</v>
      </c>
      <c r="G18" s="11">
        <v>18.420000000000002</v>
      </c>
      <c r="H18" s="11">
        <v>22.212</v>
      </c>
      <c r="I18" s="11">
        <v>24.841999999999999</v>
      </c>
      <c r="J18" s="11">
        <v>28.196999999999999</v>
      </c>
      <c r="K18" s="11">
        <v>31.827000000000002</v>
      </c>
      <c r="L18" s="11">
        <v>34.018000000000001</v>
      </c>
      <c r="M18" s="11">
        <v>37.552999999999997</v>
      </c>
      <c r="N18" s="11">
        <v>41.576000000000001</v>
      </c>
      <c r="O18" s="11">
        <v>45.595999999999997</v>
      </c>
      <c r="P18" s="9">
        <f t="shared" ref="P18" si="9">O18-C18</f>
        <v>41.72</v>
      </c>
      <c r="T18" s="1">
        <v>8</v>
      </c>
      <c r="U18" s="146">
        <f t="shared" si="2"/>
        <v>3.7580000000000005</v>
      </c>
      <c r="V18" s="146">
        <f t="shared" si="2"/>
        <v>3.2989999999999995</v>
      </c>
      <c r="W18" s="146">
        <f t="shared" si="2"/>
        <v>3.891</v>
      </c>
      <c r="X18" s="146">
        <f t="shared" si="2"/>
        <v>3.5960000000000019</v>
      </c>
      <c r="Y18" s="146">
        <f t="shared" si="2"/>
        <v>3.791999999999998</v>
      </c>
      <c r="Z18" s="146">
        <f t="shared" si="2"/>
        <v>2.629999999999999</v>
      </c>
      <c r="AA18" s="146">
        <f t="shared" si="2"/>
        <v>3.3550000000000004</v>
      </c>
      <c r="AB18" s="146">
        <f t="shared" si="2"/>
        <v>3.6300000000000026</v>
      </c>
      <c r="AC18" s="146">
        <f t="shared" si="2"/>
        <v>2.1909999999999989</v>
      </c>
      <c r="AD18" s="146">
        <f t="shared" si="2"/>
        <v>3.5349999999999966</v>
      </c>
      <c r="AE18" s="146">
        <f t="shared" si="2"/>
        <v>4.0230000000000032</v>
      </c>
      <c r="AF18" s="146">
        <f t="shared" si="2"/>
        <v>4.019999999999996</v>
      </c>
      <c r="AG18" s="9"/>
      <c r="AH18" s="267">
        <v>8</v>
      </c>
      <c r="AI18" s="268">
        <f>SUM(U18:AE18)</f>
        <v>37.699999999999996</v>
      </c>
      <c r="AJ18" s="268">
        <v>34.699999999999989</v>
      </c>
      <c r="AK18" s="268">
        <v>29.063999999999993</v>
      </c>
      <c r="AL18" s="268">
        <v>24.359000000000002</v>
      </c>
      <c r="AM18" s="269">
        <v>19.303000000000001</v>
      </c>
    </row>
    <row r="19" spans="1:39" x14ac:dyDescent="0.35">
      <c r="A19" s="302"/>
      <c r="B19" s="10" t="s">
        <v>248</v>
      </c>
      <c r="C19" s="77">
        <v>41.570999999999998</v>
      </c>
      <c r="D19" s="11">
        <v>44.033000000000001</v>
      </c>
      <c r="E19" s="11">
        <v>45.87</v>
      </c>
      <c r="F19" s="11">
        <v>46.508000000000003</v>
      </c>
      <c r="G19" s="11">
        <v>46.843000000000004</v>
      </c>
      <c r="H19" s="11">
        <v>47.167999999999999</v>
      </c>
      <c r="I19" s="11">
        <v>47.341999999999999</v>
      </c>
      <c r="J19" s="11">
        <v>47.536000000000001</v>
      </c>
      <c r="K19" s="11">
        <v>47.726999999999997</v>
      </c>
      <c r="L19" s="11">
        <v>47.875</v>
      </c>
      <c r="M19" s="11">
        <v>48.387</v>
      </c>
      <c r="N19" s="11">
        <v>50.283000000000001</v>
      </c>
      <c r="O19" s="11">
        <v>52.284999999999997</v>
      </c>
      <c r="P19" s="9"/>
      <c r="Q19" s="9">
        <f>O19-C19</f>
        <v>10.713999999999999</v>
      </c>
      <c r="T19" s="1"/>
      <c r="U19" s="155">
        <f t="shared" si="2"/>
        <v>2.4620000000000033</v>
      </c>
      <c r="V19" s="155">
        <f t="shared" si="2"/>
        <v>1.8369999999999962</v>
      </c>
      <c r="W19" s="155">
        <f t="shared" si="2"/>
        <v>0.63800000000000523</v>
      </c>
      <c r="X19" s="155">
        <f t="shared" si="2"/>
        <v>0.33500000000000085</v>
      </c>
      <c r="Y19" s="155">
        <f t="shared" si="2"/>
        <v>0.32499999999999574</v>
      </c>
      <c r="Z19" s="155">
        <f t="shared" si="2"/>
        <v>0.17399999999999949</v>
      </c>
      <c r="AA19" s="155">
        <f t="shared" si="2"/>
        <v>0.19400000000000261</v>
      </c>
      <c r="AB19" s="155">
        <f t="shared" si="2"/>
        <v>0.1909999999999954</v>
      </c>
      <c r="AC19" s="155">
        <f t="shared" si="2"/>
        <v>0.14800000000000324</v>
      </c>
      <c r="AD19" s="155">
        <f t="shared" si="2"/>
        <v>0.51200000000000045</v>
      </c>
      <c r="AE19" s="155">
        <f t="shared" si="2"/>
        <v>1.8960000000000008</v>
      </c>
      <c r="AF19" s="155">
        <f t="shared" si="2"/>
        <v>2.0019999999999953</v>
      </c>
      <c r="AG19" s="264"/>
      <c r="AH19" s="265"/>
      <c r="AI19" s="268"/>
      <c r="AJ19" s="268"/>
      <c r="AK19" s="268"/>
      <c r="AL19" s="268"/>
      <c r="AM19" s="269"/>
    </row>
    <row r="20" spans="1:39" x14ac:dyDescent="0.35">
      <c r="A20" s="302">
        <v>9</v>
      </c>
      <c r="B20" s="10" t="s">
        <v>404</v>
      </c>
      <c r="C20" s="77">
        <v>6.0759999999999996</v>
      </c>
      <c r="D20" s="11">
        <v>13.12</v>
      </c>
      <c r="E20" s="11">
        <v>19.13</v>
      </c>
      <c r="F20" s="11">
        <v>25.861000000000001</v>
      </c>
      <c r="G20" s="11">
        <v>31.167000000000002</v>
      </c>
      <c r="H20" s="11">
        <v>37.619999999999997</v>
      </c>
      <c r="I20" s="11">
        <v>44.39</v>
      </c>
      <c r="J20" s="11">
        <v>51.435000000000002</v>
      </c>
      <c r="K20" s="11">
        <v>59.18</v>
      </c>
      <c r="L20" s="11">
        <v>66.066999999999993</v>
      </c>
      <c r="M20" s="11">
        <v>72.3</v>
      </c>
      <c r="N20" s="11">
        <v>77.451999999999998</v>
      </c>
      <c r="O20" s="11">
        <v>84.087000000000003</v>
      </c>
      <c r="P20" s="9">
        <f t="shared" ref="P20" si="10">O20-C20</f>
        <v>78.01100000000001</v>
      </c>
      <c r="T20" s="1">
        <v>9</v>
      </c>
      <c r="U20" s="146">
        <f t="shared" si="2"/>
        <v>7.0439999999999996</v>
      </c>
      <c r="V20" s="146">
        <f t="shared" si="2"/>
        <v>6.01</v>
      </c>
      <c r="W20" s="146">
        <f t="shared" si="2"/>
        <v>6.7310000000000016</v>
      </c>
      <c r="X20" s="146">
        <f t="shared" si="2"/>
        <v>5.3060000000000009</v>
      </c>
      <c r="Y20" s="146">
        <f t="shared" si="2"/>
        <v>6.4529999999999959</v>
      </c>
      <c r="Z20" s="146">
        <f t="shared" si="2"/>
        <v>6.7700000000000031</v>
      </c>
      <c r="AA20" s="146">
        <f t="shared" si="2"/>
        <v>7.0450000000000017</v>
      </c>
      <c r="AB20" s="146">
        <f t="shared" si="2"/>
        <v>7.7449999999999974</v>
      </c>
      <c r="AC20" s="146">
        <f t="shared" si="2"/>
        <v>6.8869999999999933</v>
      </c>
      <c r="AD20" s="146">
        <f t="shared" si="2"/>
        <v>6.2330000000000041</v>
      </c>
      <c r="AE20" s="146">
        <f t="shared" si="2"/>
        <v>5.152000000000001</v>
      </c>
      <c r="AF20" s="146">
        <f t="shared" si="2"/>
        <v>6.6350000000000051</v>
      </c>
      <c r="AG20" s="9"/>
      <c r="AH20" s="267">
        <v>9</v>
      </c>
      <c r="AI20" s="268">
        <f>SUM(U20:AE20)</f>
        <v>71.375999999999991</v>
      </c>
      <c r="AJ20" s="268">
        <v>71.37700000000001</v>
      </c>
      <c r="AK20" s="268">
        <v>71.521999999999991</v>
      </c>
      <c r="AL20" s="268">
        <v>69.056999999999988</v>
      </c>
      <c r="AM20" s="269">
        <v>78.231999999999999</v>
      </c>
    </row>
    <row r="21" spans="1:39" x14ac:dyDescent="0.35">
      <c r="A21" s="302"/>
      <c r="B21" s="10" t="s">
        <v>249</v>
      </c>
      <c r="C21" s="77">
        <v>65.319000000000003</v>
      </c>
      <c r="D21" s="11">
        <v>69.900999999999996</v>
      </c>
      <c r="E21" s="11">
        <v>73.244</v>
      </c>
      <c r="F21" s="11">
        <v>75.215000000000003</v>
      </c>
      <c r="G21" s="11">
        <v>75.67</v>
      </c>
      <c r="H21" s="11">
        <v>75.983999999999995</v>
      </c>
      <c r="I21" s="11">
        <v>76.27</v>
      </c>
      <c r="J21" s="11">
        <v>76.537999999999997</v>
      </c>
      <c r="K21" s="11">
        <v>76.820999999999998</v>
      </c>
      <c r="L21" s="11">
        <v>77.097999999999999</v>
      </c>
      <c r="M21" s="11">
        <v>78.405000000000001</v>
      </c>
      <c r="N21" s="11">
        <v>81.045000000000002</v>
      </c>
      <c r="O21" s="11">
        <v>84.504000000000005</v>
      </c>
      <c r="P21" s="9"/>
      <c r="Q21" s="9">
        <f>O21-C21</f>
        <v>19.185000000000002</v>
      </c>
      <c r="T21" s="1"/>
      <c r="U21" s="155">
        <f t="shared" si="2"/>
        <v>4.5819999999999936</v>
      </c>
      <c r="V21" s="155">
        <f t="shared" si="2"/>
        <v>3.3430000000000035</v>
      </c>
      <c r="W21" s="155">
        <f t="shared" si="2"/>
        <v>1.9710000000000036</v>
      </c>
      <c r="X21" s="155">
        <f t="shared" si="2"/>
        <v>0.45499999999999829</v>
      </c>
      <c r="Y21" s="155">
        <f t="shared" si="2"/>
        <v>0.31399999999999295</v>
      </c>
      <c r="Z21" s="155">
        <f t="shared" si="2"/>
        <v>0.28600000000000136</v>
      </c>
      <c r="AA21" s="155">
        <f t="shared" si="2"/>
        <v>0.26800000000000068</v>
      </c>
      <c r="AB21" s="155">
        <f t="shared" si="2"/>
        <v>0.28300000000000125</v>
      </c>
      <c r="AC21" s="155">
        <f t="shared" si="2"/>
        <v>0.27700000000000102</v>
      </c>
      <c r="AD21" s="155">
        <f t="shared" si="2"/>
        <v>1.3070000000000022</v>
      </c>
      <c r="AE21" s="155">
        <f t="shared" si="2"/>
        <v>2.6400000000000006</v>
      </c>
      <c r="AF21" s="155">
        <f t="shared" si="2"/>
        <v>3.4590000000000032</v>
      </c>
      <c r="AG21" s="264"/>
      <c r="AH21" s="267"/>
      <c r="AI21" s="268"/>
      <c r="AJ21" s="268"/>
      <c r="AK21" s="268"/>
      <c r="AL21" s="268"/>
      <c r="AM21" s="269"/>
    </row>
    <row r="22" spans="1:39" x14ac:dyDescent="0.35">
      <c r="A22" s="302">
        <v>10</v>
      </c>
      <c r="B22" s="10" t="s">
        <v>405</v>
      </c>
      <c r="C22" s="77">
        <v>8.7639999999999993</v>
      </c>
      <c r="D22" s="11">
        <v>15.784000000000001</v>
      </c>
      <c r="E22" s="11">
        <v>22.206</v>
      </c>
      <c r="F22" s="11">
        <v>29.757999999999999</v>
      </c>
      <c r="G22" s="11">
        <v>37.738999999999997</v>
      </c>
      <c r="H22" s="11">
        <v>45.58</v>
      </c>
      <c r="I22" s="11">
        <v>52.661999999999999</v>
      </c>
      <c r="J22" s="11">
        <v>58.988</v>
      </c>
      <c r="K22" s="11">
        <v>65.75</v>
      </c>
      <c r="L22" s="11">
        <v>72.614999999999995</v>
      </c>
      <c r="M22" s="11">
        <v>80.325999999999993</v>
      </c>
      <c r="N22" s="11">
        <v>88.71</v>
      </c>
      <c r="O22" s="11">
        <v>102.35299999999999</v>
      </c>
      <c r="P22" s="9">
        <f t="shared" ref="P22" si="11">O22-C22</f>
        <v>93.588999999999999</v>
      </c>
      <c r="T22" s="1">
        <v>10</v>
      </c>
      <c r="U22" s="146">
        <f t="shared" ref="U22:AF23" si="12">D22-C22</f>
        <v>7.0200000000000014</v>
      </c>
      <c r="V22" s="146">
        <f t="shared" si="12"/>
        <v>6.4219999999999988</v>
      </c>
      <c r="W22" s="146">
        <f t="shared" si="12"/>
        <v>7.5519999999999996</v>
      </c>
      <c r="X22" s="146">
        <f t="shared" si="12"/>
        <v>7.9809999999999981</v>
      </c>
      <c r="Y22" s="146">
        <f t="shared" si="12"/>
        <v>7.8410000000000011</v>
      </c>
      <c r="Z22" s="146">
        <f t="shared" si="12"/>
        <v>7.0820000000000007</v>
      </c>
      <c r="AA22" s="146">
        <f t="shared" si="12"/>
        <v>6.3260000000000005</v>
      </c>
      <c r="AB22" s="146">
        <f t="shared" si="12"/>
        <v>6.7620000000000005</v>
      </c>
      <c r="AC22" s="146">
        <f t="shared" si="12"/>
        <v>6.8649999999999949</v>
      </c>
      <c r="AD22" s="146">
        <f t="shared" si="12"/>
        <v>7.7109999999999985</v>
      </c>
      <c r="AE22" s="146">
        <f t="shared" si="12"/>
        <v>8.3840000000000003</v>
      </c>
      <c r="AF22" s="146">
        <f t="shared" si="12"/>
        <v>13.643000000000001</v>
      </c>
      <c r="AG22" s="9"/>
      <c r="AH22" s="270">
        <v>10</v>
      </c>
      <c r="AI22" s="271">
        <f>SUM(U22:AE22)</f>
        <v>79.945999999999998</v>
      </c>
      <c r="AJ22" s="271">
        <v>79.075000000000045</v>
      </c>
      <c r="AK22" s="271">
        <v>94.421000000000049</v>
      </c>
      <c r="AL22" s="271">
        <v>141.68200000000002</v>
      </c>
      <c r="AM22" s="272">
        <v>199.08799999999997</v>
      </c>
    </row>
    <row r="23" spans="1:39" x14ac:dyDescent="0.35">
      <c r="A23" s="302"/>
      <c r="B23" s="10" t="s">
        <v>250</v>
      </c>
      <c r="C23" s="77">
        <v>53.569000000000003</v>
      </c>
      <c r="D23" s="11">
        <v>56.466999999999999</v>
      </c>
      <c r="E23" s="11">
        <v>58.734000000000002</v>
      </c>
      <c r="F23" s="11">
        <v>59.847999999999999</v>
      </c>
      <c r="G23" s="11">
        <v>60.305</v>
      </c>
      <c r="H23" s="11">
        <v>60.676000000000002</v>
      </c>
      <c r="I23" s="11">
        <v>60.984000000000002</v>
      </c>
      <c r="J23" s="11">
        <v>61.191000000000003</v>
      </c>
      <c r="K23" s="11">
        <v>61.442999999999998</v>
      </c>
      <c r="L23" s="11">
        <v>61.768000000000001</v>
      </c>
      <c r="M23" s="11">
        <v>62.286000000000001</v>
      </c>
      <c r="N23" s="11">
        <v>64.316999999999993</v>
      </c>
      <c r="O23" s="11">
        <v>67.725999999999999</v>
      </c>
      <c r="P23" s="13"/>
      <c r="Q23" s="97">
        <f>O23-C23</f>
        <v>14.156999999999996</v>
      </c>
      <c r="U23" s="155">
        <f t="shared" si="12"/>
        <v>2.8979999999999961</v>
      </c>
      <c r="V23" s="155">
        <f t="shared" si="12"/>
        <v>2.267000000000003</v>
      </c>
      <c r="W23" s="155">
        <f t="shared" si="12"/>
        <v>1.1139999999999972</v>
      </c>
      <c r="X23" s="155">
        <f t="shared" si="12"/>
        <v>0.45700000000000074</v>
      </c>
      <c r="Y23" s="155">
        <f t="shared" si="12"/>
        <v>0.37100000000000222</v>
      </c>
      <c r="Z23" s="155">
        <f t="shared" si="12"/>
        <v>0.30799999999999983</v>
      </c>
      <c r="AA23" s="155">
        <f t="shared" si="12"/>
        <v>0.20700000000000074</v>
      </c>
      <c r="AB23" s="155">
        <f t="shared" si="12"/>
        <v>0.25199999999999534</v>
      </c>
      <c r="AC23" s="155">
        <f t="shared" si="12"/>
        <v>0.32500000000000284</v>
      </c>
      <c r="AD23" s="155">
        <f t="shared" si="12"/>
        <v>0.51800000000000068</v>
      </c>
      <c r="AE23" s="155">
        <f t="shared" si="12"/>
        <v>2.0309999999999917</v>
      </c>
      <c r="AF23" s="155">
        <f t="shared" si="12"/>
        <v>3.409000000000006</v>
      </c>
      <c r="AG23" s="264"/>
      <c r="AH23" s="265"/>
      <c r="AI23" s="265"/>
      <c r="AJ23" s="265"/>
      <c r="AK23" s="265"/>
      <c r="AL23" s="265"/>
      <c r="AM23" s="267"/>
    </row>
    <row r="24" spans="1:39" x14ac:dyDescent="0.35">
      <c r="A24" s="113"/>
      <c r="B24" s="10"/>
      <c r="C24" s="78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847.42200000000003</v>
      </c>
      <c r="Q24" s="9">
        <f>SUM(Q4:Q23)</f>
        <v>195.291</v>
      </c>
      <c r="AH24" s="273" t="s">
        <v>179</v>
      </c>
      <c r="AI24" s="269">
        <f>SUM(AI4:AI22)</f>
        <v>763.55200000000002</v>
      </c>
      <c r="AJ24" s="276">
        <f>SUM(AJ4:AJ22)+2.6</f>
        <v>676.42600000000004</v>
      </c>
      <c r="AK24" s="269">
        <f t="shared" ref="AK24:AM24" si="13">SUM(AK4:AK22)</f>
        <v>675.10899999999992</v>
      </c>
      <c r="AL24" s="269">
        <f t="shared" si="13"/>
        <v>703.90399999999988</v>
      </c>
      <c r="AM24" s="269">
        <f t="shared" si="13"/>
        <v>832.72299999999984</v>
      </c>
    </row>
    <row r="25" spans="1:39" x14ac:dyDescent="0.35">
      <c r="A25" s="113" t="s">
        <v>15</v>
      </c>
      <c r="B25" s="10" t="s">
        <v>432</v>
      </c>
      <c r="C25" s="78">
        <v>3253</v>
      </c>
      <c r="D25" s="15">
        <v>3491</v>
      </c>
      <c r="E25" s="15">
        <v>3740</v>
      </c>
      <c r="F25" s="15">
        <v>4041</v>
      </c>
      <c r="G25" s="15">
        <v>4252</v>
      </c>
      <c r="H25" s="15">
        <v>4449</v>
      </c>
      <c r="I25" s="15">
        <v>4634</v>
      </c>
      <c r="J25" s="15">
        <v>4835</v>
      </c>
      <c r="K25" s="15">
        <v>5202</v>
      </c>
      <c r="L25" s="15">
        <v>5416</v>
      </c>
      <c r="M25" s="15">
        <v>5631</v>
      </c>
      <c r="N25" s="15">
        <v>5821</v>
      </c>
      <c r="O25" s="15">
        <v>6197</v>
      </c>
      <c r="P25" s="9"/>
      <c r="R25" s="16">
        <f>O25-C25</f>
        <v>2944</v>
      </c>
      <c r="AH25" s="273"/>
      <c r="AI25" s="267"/>
      <c r="AJ25" s="267"/>
      <c r="AK25" s="267"/>
      <c r="AL25" s="267"/>
      <c r="AM25" s="267"/>
    </row>
    <row r="26" spans="1:39" ht="15" thickBot="1" x14ac:dyDescent="0.4">
      <c r="A26" s="113"/>
      <c r="B26" s="282" t="s">
        <v>406</v>
      </c>
      <c r="C26" s="79">
        <v>71.8</v>
      </c>
      <c r="D26" s="18">
        <v>144.6</v>
      </c>
      <c r="E26" s="18">
        <v>211.9</v>
      </c>
      <c r="F26" s="18">
        <v>293.3</v>
      </c>
      <c r="G26" s="18">
        <v>371.6</v>
      </c>
      <c r="H26" s="18">
        <v>444.6</v>
      </c>
      <c r="I26" s="18">
        <v>509.5</v>
      </c>
      <c r="J26" s="18">
        <v>576.29999999999995</v>
      </c>
      <c r="K26" s="18">
        <v>652.6</v>
      </c>
      <c r="L26" s="18">
        <v>728.4</v>
      </c>
      <c r="M26" s="18">
        <v>804.1</v>
      </c>
      <c r="N26" s="18">
        <v>883.7</v>
      </c>
      <c r="O26" s="18">
        <v>973.3</v>
      </c>
      <c r="P26" s="9">
        <f t="shared" ref="P26" si="14">O26-C26</f>
        <v>901.5</v>
      </c>
      <c r="AH26" s="273" t="s">
        <v>321</v>
      </c>
      <c r="AI26" s="269">
        <f>N26-C26</f>
        <v>811.90000000000009</v>
      </c>
      <c r="AJ26" s="269">
        <v>785.19999999999982</v>
      </c>
      <c r="AK26" s="267">
        <v>771.60000000000036</v>
      </c>
      <c r="AL26" s="267">
        <v>795</v>
      </c>
      <c r="AM26" s="267">
        <v>949.39999999999986</v>
      </c>
    </row>
    <row r="27" spans="1:39" x14ac:dyDescent="0.35">
      <c r="A27" s="119"/>
      <c r="B27" s="205" t="s">
        <v>171</v>
      </c>
      <c r="C27" s="80">
        <v>985.9</v>
      </c>
      <c r="D27" s="19">
        <v>1025.8900000000001</v>
      </c>
      <c r="E27" s="19">
        <v>1059.48</v>
      </c>
      <c r="F27" s="19">
        <v>1081.3499999999999</v>
      </c>
      <c r="G27" s="19">
        <v>1092.3599999999999</v>
      </c>
      <c r="H27" s="19">
        <v>1099.43</v>
      </c>
      <c r="I27" s="19">
        <v>1102.3699999999999</v>
      </c>
      <c r="J27" s="19">
        <v>1104.94</v>
      </c>
      <c r="K27" s="19">
        <v>1108.1300000000001</v>
      </c>
      <c r="L27" s="19">
        <v>1113.4100000000001</v>
      </c>
      <c r="M27" s="19">
        <v>1128.18</v>
      </c>
      <c r="N27" s="19">
        <v>1160.75</v>
      </c>
      <c r="O27" s="19">
        <v>1197.4000000000001</v>
      </c>
      <c r="P27" s="9"/>
      <c r="Q27" s="9">
        <f>O27-C27</f>
        <v>211.50000000000011</v>
      </c>
      <c r="R27" t="s">
        <v>78</v>
      </c>
      <c r="AH27" s="265"/>
      <c r="AI27" s="265"/>
      <c r="AJ27" s="265"/>
      <c r="AK27" s="265"/>
      <c r="AL27" s="265"/>
      <c r="AM27" s="267"/>
    </row>
    <row r="28" spans="1:39" ht="15" thickBot="1" x14ac:dyDescent="0.4">
      <c r="A28" s="4"/>
      <c r="B28" s="26" t="s">
        <v>16</v>
      </c>
      <c r="C28" s="81">
        <v>6854</v>
      </c>
      <c r="D28" s="21">
        <v>7104</v>
      </c>
      <c r="E28" s="21">
        <v>7314</v>
      </c>
      <c r="F28" s="21">
        <v>7463</v>
      </c>
      <c r="G28" s="21">
        <v>7537</v>
      </c>
      <c r="H28" s="21">
        <v>7582</v>
      </c>
      <c r="I28" s="21">
        <v>7601</v>
      </c>
      <c r="J28" s="21">
        <v>7619</v>
      </c>
      <c r="K28" s="21">
        <v>7639</v>
      </c>
      <c r="L28" s="21">
        <v>7676</v>
      </c>
      <c r="M28" s="21">
        <v>7790</v>
      </c>
      <c r="N28" s="21">
        <v>8035</v>
      </c>
      <c r="O28" s="21">
        <v>8361</v>
      </c>
      <c r="P28" s="9"/>
      <c r="Q28" s="16">
        <f>O28-C28</f>
        <v>1507</v>
      </c>
      <c r="R28" t="s">
        <v>79</v>
      </c>
      <c r="AH28" s="265"/>
      <c r="AI28" s="265"/>
      <c r="AJ28" s="265"/>
      <c r="AK28" s="265"/>
      <c r="AL28" s="265"/>
      <c r="AM28" s="267"/>
    </row>
    <row r="29" spans="1:39" ht="15" thickBot="1" x14ac:dyDescent="0.4">
      <c r="A29" s="121" t="str">
        <f>'1854'!A29</f>
        <v>Fakturační vodoměr:      42012114941</v>
      </c>
      <c r="B29" s="22"/>
      <c r="C29" s="23">
        <f>'1854'!C29</f>
        <v>14411</v>
      </c>
      <c r="D29" s="23">
        <f>'1854'!D29</f>
        <v>14697.5</v>
      </c>
      <c r="E29" s="23">
        <f>'1854'!E29</f>
        <v>14958.6</v>
      </c>
      <c r="F29" s="23">
        <f>'1854'!F29</f>
        <v>15244.5</v>
      </c>
      <c r="G29" s="23">
        <f>'1854'!G29</f>
        <v>15535.4</v>
      </c>
      <c r="H29" s="23">
        <f>'1854'!H29</f>
        <v>15809.8</v>
      </c>
      <c r="I29" s="23">
        <f>'1854'!I29</f>
        <v>16049</v>
      </c>
      <c r="J29" s="23">
        <f>'1854'!J29</f>
        <v>16290.6</v>
      </c>
      <c r="K29" s="23">
        <f>'1854'!K29</f>
        <v>16555.3</v>
      </c>
      <c r="L29" s="23">
        <f>'1854'!L29</f>
        <v>16827.2</v>
      </c>
      <c r="M29" s="23">
        <f>'1854'!M29</f>
        <v>16939.400000000001</v>
      </c>
      <c r="N29" s="23">
        <f>'1854'!N29</f>
        <v>17195.5</v>
      </c>
      <c r="O29" s="23">
        <f>'1854'!O29</f>
        <v>211</v>
      </c>
      <c r="P29" s="9">
        <f>'1854'!P29</f>
        <v>3086</v>
      </c>
      <c r="W29" s="104" t="s">
        <v>323</v>
      </c>
      <c r="X29" s="277">
        <v>2.6</v>
      </c>
      <c r="Y29" t="s">
        <v>79</v>
      </c>
      <c r="AH29" s="265"/>
      <c r="AI29" s="274">
        <f>1-AI24/AI26</f>
        <v>5.9549205567188124E-2</v>
      </c>
      <c r="AJ29" s="274">
        <f t="shared" ref="AJ29:AM29" si="15">1-AJ24/AJ26</f>
        <v>0.13853031074885358</v>
      </c>
      <c r="AK29" s="274">
        <f t="shared" si="15"/>
        <v>0.12505313634007309</v>
      </c>
      <c r="AL29" s="274">
        <f t="shared" si="15"/>
        <v>0.11458616352201267</v>
      </c>
      <c r="AM29" s="274">
        <f t="shared" si="15"/>
        <v>0.1228955129555509</v>
      </c>
    </row>
    <row r="32" spans="1:39" x14ac:dyDescent="0.35">
      <c r="E32" t="s">
        <v>130</v>
      </c>
      <c r="H32" s="172" t="s">
        <v>131</v>
      </c>
      <c r="I32" s="1" t="s">
        <v>79</v>
      </c>
      <c r="K32" t="s">
        <v>139</v>
      </c>
      <c r="N32" s="1" t="s">
        <v>79</v>
      </c>
    </row>
    <row r="33" spans="2:14" x14ac:dyDescent="0.35">
      <c r="D33" t="s">
        <v>133</v>
      </c>
      <c r="E33" s="160">
        <v>43984</v>
      </c>
      <c r="F33" s="84" t="s">
        <v>117</v>
      </c>
      <c r="G33" s="84"/>
      <c r="H33" s="167"/>
      <c r="I33" s="108"/>
      <c r="K33" s="177">
        <v>44095</v>
      </c>
      <c r="L33" s="84" t="s">
        <v>117</v>
      </c>
      <c r="M33" s="84"/>
      <c r="N33" s="84"/>
    </row>
    <row r="34" spans="2:14" x14ac:dyDescent="0.35">
      <c r="E34" s="168"/>
      <c r="F34" s="169"/>
      <c r="G34" s="169" t="s">
        <v>132</v>
      </c>
      <c r="H34" s="171" t="s">
        <v>78</v>
      </c>
      <c r="I34" s="170" t="s">
        <v>79</v>
      </c>
      <c r="L34" s="1"/>
      <c r="M34" s="169" t="s">
        <v>132</v>
      </c>
      <c r="N34" s="170" t="s">
        <v>79</v>
      </c>
    </row>
    <row r="35" spans="2:14" x14ac:dyDescent="0.35">
      <c r="D35" t="s">
        <v>134</v>
      </c>
      <c r="E35" s="160">
        <v>43986</v>
      </c>
      <c r="F35" s="84" t="s">
        <v>118</v>
      </c>
      <c r="G35" s="84"/>
      <c r="H35" s="167"/>
      <c r="I35" s="108"/>
      <c r="K35" s="177">
        <v>44095</v>
      </c>
      <c r="L35" s="84" t="s">
        <v>118</v>
      </c>
      <c r="M35" s="84"/>
      <c r="N35" s="84"/>
    </row>
    <row r="37" spans="2:14" x14ac:dyDescent="0.35">
      <c r="C37" t="s">
        <v>129</v>
      </c>
    </row>
    <row r="38" spans="2:14" x14ac:dyDescent="0.35">
      <c r="C38" s="306">
        <v>45415</v>
      </c>
      <c r="D38" s="84" t="s">
        <v>117</v>
      </c>
      <c r="E38" s="309">
        <v>72370870</v>
      </c>
      <c r="F38" s="309"/>
      <c r="G38" s="106"/>
    </row>
    <row r="39" spans="2:14" x14ac:dyDescent="0.35">
      <c r="C39" s="306"/>
      <c r="D39" s="84" t="s">
        <v>118</v>
      </c>
      <c r="E39" s="309">
        <v>72846558</v>
      </c>
      <c r="F39" s="309"/>
      <c r="G39" s="106"/>
    </row>
    <row r="41" spans="2:14" x14ac:dyDescent="0.35">
      <c r="B41" t="s">
        <v>315</v>
      </c>
      <c r="C41" t="s">
        <v>314</v>
      </c>
    </row>
  </sheetData>
  <sheetProtection selectLockedCells="1" selectUnlockedCells="1"/>
  <mergeCells count="14">
    <mergeCell ref="AI1:AM1"/>
    <mergeCell ref="A14:A15"/>
    <mergeCell ref="A4:A5"/>
    <mergeCell ref="A6:A7"/>
    <mergeCell ref="A8:A9"/>
    <mergeCell ref="A10:A11"/>
    <mergeCell ref="A12:A13"/>
    <mergeCell ref="C38:C39"/>
    <mergeCell ref="E38:F38"/>
    <mergeCell ref="E39:F39"/>
    <mergeCell ref="A16:A17"/>
    <mergeCell ref="A18:A19"/>
    <mergeCell ref="A20:A21"/>
    <mergeCell ref="A22:A23"/>
  </mergeCells>
  <conditionalFormatting sqref="D4">
    <cfRule type="cellIs" dxfId="1846" priority="14" stopIfTrue="1" operator="lessThan">
      <formula>$C$4</formula>
    </cfRule>
    <cfRule type="cellIs" dxfId="1845" priority="15" stopIfTrue="1" operator="equal">
      <formula>$C$4</formula>
    </cfRule>
  </conditionalFormatting>
  <conditionalFormatting sqref="D5">
    <cfRule type="cellIs" dxfId="1844" priority="18" stopIfTrue="1" operator="equal">
      <formula>$C$5</formula>
    </cfRule>
    <cfRule type="cellIs" dxfId="1843" priority="19" stopIfTrue="1" operator="lessThan">
      <formula>$C$5</formula>
    </cfRule>
  </conditionalFormatting>
  <conditionalFormatting sqref="D6">
    <cfRule type="cellIs" dxfId="1842" priority="25" stopIfTrue="1" operator="equal">
      <formula>$C$6</formula>
    </cfRule>
    <cfRule type="cellIs" dxfId="1841" priority="26" stopIfTrue="1" operator="lessThan">
      <formula>$C$6</formula>
    </cfRule>
  </conditionalFormatting>
  <conditionalFormatting sqref="D7">
    <cfRule type="cellIs" dxfId="1840" priority="39" stopIfTrue="1" operator="equal">
      <formula>$C$7</formula>
    </cfRule>
    <cfRule type="cellIs" dxfId="1839" priority="40" stopIfTrue="1" operator="lessThan">
      <formula>$C$7</formula>
    </cfRule>
  </conditionalFormatting>
  <conditionalFormatting sqref="D8">
    <cfRule type="cellIs" dxfId="1838" priority="51" stopIfTrue="1" operator="equal">
      <formula>$C$8</formula>
    </cfRule>
    <cfRule type="cellIs" dxfId="1837" priority="52" stopIfTrue="1" operator="lessThan">
      <formula>$C$8</formula>
    </cfRule>
  </conditionalFormatting>
  <conditionalFormatting sqref="D9">
    <cfRule type="cellIs" dxfId="1836" priority="65" stopIfTrue="1" operator="equal">
      <formula>$C$9</formula>
    </cfRule>
    <cfRule type="cellIs" dxfId="1835" priority="66" stopIfTrue="1" operator="lessThan">
      <formula>$C$9</formula>
    </cfRule>
  </conditionalFormatting>
  <conditionalFormatting sqref="D10">
    <cfRule type="cellIs" dxfId="1834" priority="79" stopIfTrue="1" operator="equal">
      <formula>$C$10</formula>
    </cfRule>
    <cfRule type="cellIs" dxfId="1833" priority="80" stopIfTrue="1" operator="lessThan">
      <formula>$C$10</formula>
    </cfRule>
  </conditionalFormatting>
  <conditionalFormatting sqref="D11">
    <cfRule type="cellIs" dxfId="1832" priority="93" stopIfTrue="1" operator="equal">
      <formula>$C$11</formula>
    </cfRule>
    <cfRule type="cellIs" dxfId="1831" priority="94" stopIfTrue="1" operator="lessThan">
      <formula>$C$11</formula>
    </cfRule>
  </conditionalFormatting>
  <conditionalFormatting sqref="D12">
    <cfRule type="cellIs" dxfId="1830" priority="107" stopIfTrue="1" operator="equal">
      <formula>$C$12</formula>
    </cfRule>
    <cfRule type="cellIs" dxfId="1829" priority="108" stopIfTrue="1" operator="lessThan">
      <formula>$C$12</formula>
    </cfRule>
  </conditionalFormatting>
  <conditionalFormatting sqref="D13">
    <cfRule type="cellIs" dxfId="1828" priority="239" stopIfTrue="1" operator="equal">
      <formula>$C$13</formula>
    </cfRule>
    <cfRule type="cellIs" dxfId="1827" priority="240" stopIfTrue="1" operator="lessThan">
      <formula>$C$13</formula>
    </cfRule>
  </conditionalFormatting>
  <conditionalFormatting sqref="D14">
    <cfRule type="cellIs" dxfId="1826" priority="121" stopIfTrue="1" operator="equal">
      <formula>$C$14</formula>
    </cfRule>
    <cfRule type="cellIs" dxfId="1825" priority="122" stopIfTrue="1" operator="lessThan">
      <formula>$C$14</formula>
    </cfRule>
  </conditionalFormatting>
  <conditionalFormatting sqref="D15">
    <cfRule type="cellIs" dxfId="1824" priority="123" stopIfTrue="1" operator="equal">
      <formula>$C$15</formula>
    </cfRule>
    <cfRule type="cellIs" dxfId="1823" priority="124" stopIfTrue="1" operator="lessThan">
      <formula>$C$15</formula>
    </cfRule>
  </conditionalFormatting>
  <conditionalFormatting sqref="D16">
    <cfRule type="cellIs" dxfId="1822" priority="125" stopIfTrue="1" operator="equal">
      <formula>$C$16</formula>
    </cfRule>
    <cfRule type="cellIs" dxfId="1821" priority="126" stopIfTrue="1" operator="lessThan">
      <formula>$C$16</formula>
    </cfRule>
  </conditionalFormatting>
  <conditionalFormatting sqref="D17">
    <cfRule type="cellIs" dxfId="1820" priority="127" stopIfTrue="1" operator="equal">
      <formula>$C$17</formula>
    </cfRule>
    <cfRule type="cellIs" dxfId="1819" priority="128" stopIfTrue="1" operator="lessThan">
      <formula>$C$17</formula>
    </cfRule>
  </conditionalFormatting>
  <conditionalFormatting sqref="D18">
    <cfRule type="cellIs" dxfId="1818" priority="129" stopIfTrue="1" operator="equal">
      <formula>$C$18</formula>
    </cfRule>
    <cfRule type="cellIs" dxfId="1817" priority="130" stopIfTrue="1" operator="lessThan">
      <formula>$C$18</formula>
    </cfRule>
  </conditionalFormatting>
  <conditionalFormatting sqref="D19">
    <cfRule type="cellIs" dxfId="1816" priority="131" stopIfTrue="1" operator="equal">
      <formula>$C$19</formula>
    </cfRule>
    <cfRule type="cellIs" dxfId="1815" priority="132" stopIfTrue="1" operator="lessThan">
      <formula>$C$19</formula>
    </cfRule>
  </conditionalFormatting>
  <conditionalFormatting sqref="D20">
    <cfRule type="cellIs" dxfId="1814" priority="133" stopIfTrue="1" operator="equal">
      <formula>$C$20</formula>
    </cfRule>
    <cfRule type="cellIs" dxfId="1813" priority="134" stopIfTrue="1" operator="lessThan">
      <formula>$C$20</formula>
    </cfRule>
  </conditionalFormatting>
  <conditionalFormatting sqref="D21">
    <cfRule type="cellIs" dxfId="1812" priority="135" stopIfTrue="1" operator="equal">
      <formula>$C$21</formula>
    </cfRule>
    <cfRule type="cellIs" dxfId="1811" priority="136" stopIfTrue="1" operator="lessThan">
      <formula>$C$21</formula>
    </cfRule>
  </conditionalFormatting>
  <conditionalFormatting sqref="D22">
    <cfRule type="cellIs" dxfId="1810" priority="137" stopIfTrue="1" operator="equal">
      <formula>$C$22</formula>
    </cfRule>
    <cfRule type="cellIs" dxfId="1809" priority="138" stopIfTrue="1" operator="lessThan">
      <formula>$C$22</formula>
    </cfRule>
  </conditionalFormatting>
  <conditionalFormatting sqref="D23">
    <cfRule type="cellIs" dxfId="1808" priority="139" stopIfTrue="1" operator="equal">
      <formula>$C$23</formula>
    </cfRule>
    <cfRule type="cellIs" dxfId="1807" priority="140" stopIfTrue="1" operator="lessThan">
      <formula>$C$23</formula>
    </cfRule>
  </conditionalFormatting>
  <conditionalFormatting sqref="D24">
    <cfRule type="cellIs" dxfId="1806" priority="271" stopIfTrue="1" operator="equal">
      <formula>$C$24</formula>
    </cfRule>
    <cfRule type="cellIs" dxfId="1805" priority="272" stopIfTrue="1" operator="lessThan">
      <formula>$C$24</formula>
    </cfRule>
  </conditionalFormatting>
  <conditionalFormatting sqref="D25">
    <cfRule type="cellIs" dxfId="1804" priority="141" stopIfTrue="1" operator="equal">
      <formula>$C$25</formula>
    </cfRule>
    <cfRule type="cellIs" dxfId="1803" priority="142" stopIfTrue="1" operator="lessThan">
      <formula>$C$25</formula>
    </cfRule>
  </conditionalFormatting>
  <conditionalFormatting sqref="D26">
    <cfRule type="cellIs" dxfId="1802" priority="143" stopIfTrue="1" operator="equal">
      <formula>$C$26</formula>
    </cfRule>
    <cfRule type="cellIs" dxfId="1801" priority="144" stopIfTrue="1" operator="lessThan">
      <formula>$C$26</formula>
    </cfRule>
  </conditionalFormatting>
  <conditionalFormatting sqref="D27">
    <cfRule type="cellIs" dxfId="1800" priority="145" stopIfTrue="1" operator="equal">
      <formula>$C$27</formula>
    </cfRule>
    <cfRule type="cellIs" dxfId="1799" priority="146" stopIfTrue="1" operator="lessThan">
      <formula>$C$27</formula>
    </cfRule>
  </conditionalFormatting>
  <conditionalFormatting sqref="D28">
    <cfRule type="cellIs" dxfId="1798" priority="147" stopIfTrue="1" operator="equal">
      <formula>$C$28</formula>
    </cfRule>
    <cfRule type="cellIs" dxfId="1797" priority="148" stopIfTrue="1" operator="lessThan">
      <formula>$C$28</formula>
    </cfRule>
  </conditionalFormatting>
  <conditionalFormatting sqref="D29:H29 J29:O29">
    <cfRule type="cellIs" dxfId="1796" priority="286" stopIfTrue="1" operator="equal">
      <formula>0</formula>
    </cfRule>
  </conditionalFormatting>
  <conditionalFormatting sqref="E4">
    <cfRule type="cellIs" dxfId="1795" priority="16" stopIfTrue="1" operator="equal">
      <formula>$D$4</formula>
    </cfRule>
    <cfRule type="cellIs" dxfId="1794" priority="17" stopIfTrue="1" operator="lessThan">
      <formula>$D$4</formula>
    </cfRule>
  </conditionalFormatting>
  <conditionalFormatting sqref="E5">
    <cfRule type="cellIs" dxfId="1793" priority="281" stopIfTrue="1" operator="equal">
      <formula>$D$5</formula>
    </cfRule>
    <cfRule type="cellIs" dxfId="1792" priority="282" stopIfTrue="1" operator="lessThan">
      <formula>$D$5</formula>
    </cfRule>
  </conditionalFormatting>
  <conditionalFormatting sqref="E6">
    <cfRule type="cellIs" dxfId="1791" priority="27" stopIfTrue="1" operator="equal">
      <formula>$D$6</formula>
    </cfRule>
    <cfRule type="cellIs" dxfId="1790" priority="28" stopIfTrue="1" operator="lessThan">
      <formula>$D$6</formula>
    </cfRule>
  </conditionalFormatting>
  <conditionalFormatting sqref="E7">
    <cfRule type="cellIs" dxfId="1789" priority="41" stopIfTrue="1" operator="equal">
      <formula>$D$7</formula>
    </cfRule>
    <cfRule type="cellIs" dxfId="1788" priority="42" stopIfTrue="1" operator="lessThan">
      <formula>$D$7</formula>
    </cfRule>
  </conditionalFormatting>
  <conditionalFormatting sqref="E8">
    <cfRule type="cellIs" dxfId="1787" priority="53" stopIfTrue="1" operator="equal">
      <formula>$D$8</formula>
    </cfRule>
    <cfRule type="cellIs" dxfId="1786" priority="54" stopIfTrue="1" operator="lessThan">
      <formula>$D$8</formula>
    </cfRule>
  </conditionalFormatting>
  <conditionalFormatting sqref="E9">
    <cfRule type="cellIs" dxfId="1785" priority="67" stopIfTrue="1" operator="equal">
      <formula>$D$9</formula>
    </cfRule>
    <cfRule type="cellIs" dxfId="1784" priority="68" stopIfTrue="1" operator="lessThan">
      <formula>$D$9</formula>
    </cfRule>
  </conditionalFormatting>
  <conditionalFormatting sqref="E10">
    <cfRule type="cellIs" dxfId="1783" priority="81" stopIfTrue="1" operator="equal">
      <formula>$D$10</formula>
    </cfRule>
    <cfRule type="cellIs" dxfId="1782" priority="82" stopIfTrue="1" operator="lessThan">
      <formula>$D$10</formula>
    </cfRule>
  </conditionalFormatting>
  <conditionalFormatting sqref="E11">
    <cfRule type="cellIs" dxfId="1781" priority="95" stopIfTrue="1" operator="equal">
      <formula>$D$11</formula>
    </cfRule>
    <cfRule type="cellIs" dxfId="1780" priority="96" stopIfTrue="1" operator="lessThan">
      <formula>$D$11</formula>
    </cfRule>
  </conditionalFormatting>
  <conditionalFormatting sqref="E12">
    <cfRule type="cellIs" dxfId="1779" priority="109" stopIfTrue="1" operator="equal">
      <formula>$D$12</formula>
    </cfRule>
    <cfRule type="cellIs" dxfId="1778" priority="110" stopIfTrue="1" operator="lessThan">
      <formula>$D$12</formula>
    </cfRule>
  </conditionalFormatting>
  <conditionalFormatting sqref="E13">
    <cfRule type="cellIs" dxfId="1777" priority="149" stopIfTrue="1" operator="equal">
      <formula>$D$13</formula>
    </cfRule>
    <cfRule type="cellIs" dxfId="1776" priority="150" stopIfTrue="1" operator="lessThan">
      <formula>$D$13</formula>
    </cfRule>
  </conditionalFormatting>
  <conditionalFormatting sqref="E14">
    <cfRule type="cellIs" dxfId="1775" priority="151" stopIfTrue="1" operator="equal">
      <formula>$D$14</formula>
    </cfRule>
    <cfRule type="cellIs" dxfId="1774" priority="152" stopIfTrue="1" operator="lessThan">
      <formula>$D$14</formula>
    </cfRule>
  </conditionalFormatting>
  <conditionalFormatting sqref="E15">
    <cfRule type="cellIs" dxfId="1773" priority="153" stopIfTrue="1" operator="equal">
      <formula>$D$15</formula>
    </cfRule>
    <cfRule type="cellIs" dxfId="1772" priority="154" stopIfTrue="1" operator="lessThan">
      <formula>$D$15</formula>
    </cfRule>
  </conditionalFormatting>
  <conditionalFormatting sqref="E16">
    <cfRule type="cellIs" dxfId="1771" priority="155" stopIfTrue="1" operator="equal">
      <formula>$D$16</formula>
    </cfRule>
    <cfRule type="cellIs" dxfId="1770" priority="156" stopIfTrue="1" operator="lessThan">
      <formula>$D$16</formula>
    </cfRule>
  </conditionalFormatting>
  <conditionalFormatting sqref="E17">
    <cfRule type="cellIs" dxfId="1769" priority="157" stopIfTrue="1" operator="equal">
      <formula>$D$17</formula>
    </cfRule>
    <cfRule type="cellIs" dxfId="1768" priority="158" stopIfTrue="1" operator="lessThan">
      <formula>$D$17</formula>
    </cfRule>
  </conditionalFormatting>
  <conditionalFormatting sqref="E18">
    <cfRule type="cellIs" dxfId="1767" priority="159" stopIfTrue="1" operator="equal">
      <formula>$D$18</formula>
    </cfRule>
    <cfRule type="cellIs" dxfId="1766" priority="160" stopIfTrue="1" operator="lessThan">
      <formula>$D$18</formula>
    </cfRule>
  </conditionalFormatting>
  <conditionalFormatting sqref="E19">
    <cfRule type="cellIs" dxfId="1765" priority="161" stopIfTrue="1" operator="equal">
      <formula>$D$19</formula>
    </cfRule>
    <cfRule type="cellIs" dxfId="1764" priority="162" stopIfTrue="1" operator="lessThan">
      <formula>$D$19</formula>
    </cfRule>
  </conditionalFormatting>
  <conditionalFormatting sqref="E20">
    <cfRule type="cellIs" dxfId="1763" priority="163" stopIfTrue="1" operator="equal">
      <formula>$D$20</formula>
    </cfRule>
    <cfRule type="cellIs" dxfId="1762" priority="164" stopIfTrue="1" operator="lessThan">
      <formula>$D$20</formula>
    </cfRule>
  </conditionalFormatting>
  <conditionalFormatting sqref="E21">
    <cfRule type="cellIs" dxfId="1761" priority="165" stopIfTrue="1" operator="equal">
      <formula>$D$21</formula>
    </cfRule>
    <cfRule type="cellIs" dxfId="1760" priority="166" stopIfTrue="1" operator="lessThan">
      <formula>$D$21</formula>
    </cfRule>
  </conditionalFormatting>
  <conditionalFormatting sqref="E22">
    <cfRule type="cellIs" dxfId="1759" priority="167" stopIfTrue="1" operator="equal">
      <formula>$D$22</formula>
    </cfRule>
    <cfRule type="cellIs" dxfId="1758" priority="168" stopIfTrue="1" operator="lessThan">
      <formula>$D$22</formula>
    </cfRule>
  </conditionalFormatting>
  <conditionalFormatting sqref="E23">
    <cfRule type="cellIs" dxfId="1757" priority="169" stopIfTrue="1" operator="equal">
      <formula>$D$23</formula>
    </cfRule>
    <cfRule type="cellIs" dxfId="1756" priority="170" stopIfTrue="1" operator="lessThan">
      <formula>$D$23</formula>
    </cfRule>
  </conditionalFormatting>
  <conditionalFormatting sqref="E24">
    <cfRule type="cellIs" dxfId="1755" priority="273" stopIfTrue="1" operator="equal">
      <formula>$D$24</formula>
    </cfRule>
    <cfRule type="cellIs" dxfId="1754" priority="274" stopIfTrue="1" operator="lessThan">
      <formula>$D$24</formula>
    </cfRule>
  </conditionalFormatting>
  <conditionalFormatting sqref="E25">
    <cfRule type="cellIs" dxfId="1753" priority="171" stopIfTrue="1" operator="equal">
      <formula>$D$25</formula>
    </cfRule>
    <cfRule type="cellIs" dxfId="1752" priority="172" stopIfTrue="1" operator="lessThan">
      <formula>$D$25</formula>
    </cfRule>
  </conditionalFormatting>
  <conditionalFormatting sqref="E26">
    <cfRule type="cellIs" dxfId="1751" priority="173" stopIfTrue="1" operator="equal">
      <formula>$D$26</formula>
    </cfRule>
    <cfRule type="cellIs" dxfId="1750" priority="174" stopIfTrue="1" operator="lessThan">
      <formula>$D$26</formula>
    </cfRule>
  </conditionalFormatting>
  <conditionalFormatting sqref="E27">
    <cfRule type="cellIs" dxfId="1749" priority="175" stopIfTrue="1" operator="equal">
      <formula>$D$27</formula>
    </cfRule>
    <cfRule type="cellIs" dxfId="1748" priority="176" stopIfTrue="1" operator="lessThan">
      <formula>$D$27</formula>
    </cfRule>
  </conditionalFormatting>
  <conditionalFormatting sqref="E28">
    <cfRule type="cellIs" dxfId="1747" priority="177" stopIfTrue="1" operator="equal">
      <formula>$D$28</formula>
    </cfRule>
    <cfRule type="cellIs" dxfId="1746" priority="178" stopIfTrue="1" operator="lessThan">
      <formula>$D$28</formula>
    </cfRule>
  </conditionalFormatting>
  <conditionalFormatting sqref="F4">
    <cfRule type="cellIs" dxfId="1745" priority="12" stopIfTrue="1" operator="equal">
      <formula>$E$4</formula>
    </cfRule>
    <cfRule type="cellIs" dxfId="1744" priority="13" stopIfTrue="1" operator="lessThan">
      <formula>$E$4</formula>
    </cfRule>
  </conditionalFormatting>
  <conditionalFormatting sqref="F5">
    <cfRule type="cellIs" dxfId="1743" priority="20" stopIfTrue="1" operator="equal">
      <formula>$E$5</formula>
    </cfRule>
    <cfRule type="cellIs" dxfId="1742" priority="21" stopIfTrue="1" operator="lessThan">
      <formula>$E$5</formula>
    </cfRule>
  </conditionalFormatting>
  <conditionalFormatting sqref="F6">
    <cfRule type="cellIs" dxfId="1741" priority="29" stopIfTrue="1" operator="equal">
      <formula>$E$6</formula>
    </cfRule>
    <cfRule type="cellIs" dxfId="1740" priority="30" stopIfTrue="1" operator="lessThan">
      <formula>$E$6</formula>
    </cfRule>
  </conditionalFormatting>
  <conditionalFormatting sqref="F7">
    <cfRule type="cellIs" dxfId="1739" priority="43" stopIfTrue="1" operator="equal">
      <formula>$E$7</formula>
    </cfRule>
    <cfRule type="cellIs" dxfId="1738" priority="44" stopIfTrue="1" operator="lessThan">
      <formula>$E$7</formula>
    </cfRule>
  </conditionalFormatting>
  <conditionalFormatting sqref="F8">
    <cfRule type="cellIs" dxfId="1737" priority="55" stopIfTrue="1" operator="equal">
      <formula>$E$8</formula>
    </cfRule>
    <cfRule type="cellIs" dxfId="1736" priority="56" stopIfTrue="1" operator="lessThan">
      <formula>$E$8</formula>
    </cfRule>
  </conditionalFormatting>
  <conditionalFormatting sqref="F9">
    <cfRule type="cellIs" dxfId="1735" priority="69" stopIfTrue="1" operator="equal">
      <formula>$E$9</formula>
    </cfRule>
    <cfRule type="cellIs" dxfId="1734" priority="70" stopIfTrue="1" operator="lessThan">
      <formula>$E$9</formula>
    </cfRule>
  </conditionalFormatting>
  <conditionalFormatting sqref="F10">
    <cfRule type="cellIs" dxfId="1733" priority="83" stopIfTrue="1" operator="equal">
      <formula>$E$10</formula>
    </cfRule>
    <cfRule type="cellIs" dxfId="1732" priority="84" stopIfTrue="1" operator="lessThan">
      <formula>$E$10</formula>
    </cfRule>
  </conditionalFormatting>
  <conditionalFormatting sqref="F11">
    <cfRule type="cellIs" dxfId="1731" priority="97" stopIfTrue="1" operator="equal">
      <formula>$E$11</formula>
    </cfRule>
    <cfRule type="cellIs" dxfId="1730" priority="98" stopIfTrue="1" operator="lessThan">
      <formula>$E$11</formula>
    </cfRule>
  </conditionalFormatting>
  <conditionalFormatting sqref="F12">
    <cfRule type="cellIs" dxfId="1729" priority="111" stopIfTrue="1" operator="equal">
      <formula>$E$12</formula>
    </cfRule>
    <cfRule type="cellIs" dxfId="1728" priority="112" stopIfTrue="1" operator="lessThan">
      <formula>$E$12</formula>
    </cfRule>
  </conditionalFormatting>
  <conditionalFormatting sqref="F13">
    <cfRule type="cellIs" dxfId="1727" priority="179" stopIfTrue="1" operator="equal">
      <formula>$E$13</formula>
    </cfRule>
    <cfRule type="cellIs" dxfId="1726" priority="180" stopIfTrue="1" operator="lessThan">
      <formula>$E$13</formula>
    </cfRule>
  </conditionalFormatting>
  <conditionalFormatting sqref="F14">
    <cfRule type="cellIs" dxfId="1725" priority="181" stopIfTrue="1" operator="equal">
      <formula>$E$14</formula>
    </cfRule>
    <cfRule type="cellIs" dxfId="1724" priority="182" stopIfTrue="1" operator="lessThan">
      <formula>$E$14</formula>
    </cfRule>
  </conditionalFormatting>
  <conditionalFormatting sqref="F15">
    <cfRule type="cellIs" dxfId="1723" priority="183" stopIfTrue="1" operator="equal">
      <formula>$E$15</formula>
    </cfRule>
    <cfRule type="cellIs" dxfId="1722" priority="184" stopIfTrue="1" operator="lessThan">
      <formula>$E$15</formula>
    </cfRule>
  </conditionalFormatting>
  <conditionalFormatting sqref="F16">
    <cfRule type="cellIs" dxfId="1721" priority="185" stopIfTrue="1" operator="equal">
      <formula>$E$16</formula>
    </cfRule>
    <cfRule type="cellIs" dxfId="1720" priority="186" stopIfTrue="1" operator="lessThan">
      <formula>$E$16</formula>
    </cfRule>
  </conditionalFormatting>
  <conditionalFormatting sqref="F17">
    <cfRule type="cellIs" dxfId="1719" priority="187" stopIfTrue="1" operator="equal">
      <formula>$E$17</formula>
    </cfRule>
    <cfRule type="cellIs" dxfId="1718" priority="188" stopIfTrue="1" operator="lessThan">
      <formula>$E$17</formula>
    </cfRule>
  </conditionalFormatting>
  <conditionalFormatting sqref="F18">
    <cfRule type="cellIs" dxfId="1717" priority="189" stopIfTrue="1" operator="equal">
      <formula>$E$18</formula>
    </cfRule>
    <cfRule type="cellIs" dxfId="1716" priority="190" stopIfTrue="1" operator="lessThan">
      <formula>$E$18</formula>
    </cfRule>
  </conditionalFormatting>
  <conditionalFormatting sqref="F19">
    <cfRule type="cellIs" dxfId="1715" priority="191" stopIfTrue="1" operator="equal">
      <formula>$E$19</formula>
    </cfRule>
    <cfRule type="cellIs" dxfId="1714" priority="192" stopIfTrue="1" operator="lessThan">
      <formula>$E$19</formula>
    </cfRule>
  </conditionalFormatting>
  <conditionalFormatting sqref="F20">
    <cfRule type="cellIs" dxfId="1713" priority="193" stopIfTrue="1" operator="equal">
      <formula>$E$20</formula>
    </cfRule>
    <cfRule type="cellIs" dxfId="1712" priority="194" stopIfTrue="1" operator="lessThan">
      <formula>$E$20</formula>
    </cfRule>
  </conditionalFormatting>
  <conditionalFormatting sqref="F21">
    <cfRule type="cellIs" dxfId="1711" priority="195" stopIfTrue="1" operator="equal">
      <formula>$E$21</formula>
    </cfRule>
    <cfRule type="cellIs" dxfId="1710" priority="196" stopIfTrue="1" operator="lessThan">
      <formula>$E$21</formula>
    </cfRule>
  </conditionalFormatting>
  <conditionalFormatting sqref="F22">
    <cfRule type="cellIs" dxfId="1709" priority="197" stopIfTrue="1" operator="equal">
      <formula>$E$22</formula>
    </cfRule>
    <cfRule type="cellIs" dxfId="1708" priority="198" stopIfTrue="1" operator="lessThan">
      <formula>$E$22</formula>
    </cfRule>
  </conditionalFormatting>
  <conditionalFormatting sqref="F23">
    <cfRule type="cellIs" dxfId="1707" priority="199" stopIfTrue="1" operator="equal">
      <formula>$E$23</formula>
    </cfRule>
    <cfRule type="cellIs" dxfId="1706" priority="200" stopIfTrue="1" operator="lessThan">
      <formula>$E$23</formula>
    </cfRule>
  </conditionalFormatting>
  <conditionalFormatting sqref="F24">
    <cfRule type="cellIs" dxfId="1705" priority="275" stopIfTrue="1" operator="equal">
      <formula>$E$24</formula>
    </cfRule>
    <cfRule type="cellIs" dxfId="1704" priority="276" stopIfTrue="1" operator="lessThan">
      <formula>$E$24</formula>
    </cfRule>
  </conditionalFormatting>
  <conditionalFormatting sqref="F25">
    <cfRule type="cellIs" dxfId="1703" priority="201" stopIfTrue="1" operator="equal">
      <formula>$E$25</formula>
    </cfRule>
    <cfRule type="cellIs" dxfId="1702" priority="202" stopIfTrue="1" operator="lessThan">
      <formula>$E$25</formula>
    </cfRule>
  </conditionalFormatting>
  <conditionalFormatting sqref="F26">
    <cfRule type="cellIs" dxfId="1701" priority="203" stopIfTrue="1" operator="equal">
      <formula>$E$26</formula>
    </cfRule>
    <cfRule type="cellIs" dxfId="1700" priority="204" stopIfTrue="1" operator="lessThan">
      <formula>$E$26</formula>
    </cfRule>
  </conditionalFormatting>
  <conditionalFormatting sqref="F27">
    <cfRule type="cellIs" dxfId="1699" priority="205" stopIfTrue="1" operator="equal">
      <formula>$E$27</formula>
    </cfRule>
    <cfRule type="cellIs" dxfId="1698" priority="206" stopIfTrue="1" operator="lessThan">
      <formula>$E$27</formula>
    </cfRule>
  </conditionalFormatting>
  <conditionalFormatting sqref="F28">
    <cfRule type="cellIs" dxfId="1697" priority="207" stopIfTrue="1" operator="equal">
      <formula>$E$28</formula>
    </cfRule>
    <cfRule type="cellIs" dxfId="1696" priority="208" stopIfTrue="1" operator="lessThan">
      <formula>$E$28</formula>
    </cfRule>
  </conditionalFormatting>
  <conditionalFormatting sqref="G4">
    <cfRule type="cellIs" dxfId="1695" priority="285" stopIfTrue="1" operator="equal">
      <formula>$F$4</formula>
    </cfRule>
  </conditionalFormatting>
  <conditionalFormatting sqref="G5">
    <cfRule type="cellIs" dxfId="1694" priority="283" stopIfTrue="1" operator="equal">
      <formula>$F$5</formula>
    </cfRule>
    <cfRule type="cellIs" dxfId="1693" priority="284" stopIfTrue="1" operator="lessThan">
      <formula>$F$5</formula>
    </cfRule>
  </conditionalFormatting>
  <conditionalFormatting sqref="G6">
    <cfRule type="cellIs" dxfId="1692" priority="31" stopIfTrue="1" operator="equal">
      <formula>$F$6</formula>
    </cfRule>
    <cfRule type="cellIs" dxfId="1691" priority="32" stopIfTrue="1" operator="lessThan">
      <formula>$F$6</formula>
    </cfRule>
  </conditionalFormatting>
  <conditionalFormatting sqref="G7">
    <cfRule type="cellIs" dxfId="1690" priority="4" stopIfTrue="1" operator="equal">
      <formula>$F$7</formula>
    </cfRule>
    <cfRule type="cellIs" dxfId="1689" priority="5" stopIfTrue="1" operator="lessThan">
      <formula>$F$7</formula>
    </cfRule>
  </conditionalFormatting>
  <conditionalFormatting sqref="G8">
    <cfRule type="cellIs" dxfId="1688" priority="57" stopIfTrue="1" operator="equal">
      <formula>$F$8</formula>
    </cfRule>
    <cfRule type="cellIs" dxfId="1687" priority="58" stopIfTrue="1" operator="lessThan">
      <formula>$F$8</formula>
    </cfRule>
  </conditionalFormatting>
  <conditionalFormatting sqref="G9">
    <cfRule type="cellIs" dxfId="1686" priority="71" stopIfTrue="1" operator="equal">
      <formula>$F$9</formula>
    </cfRule>
    <cfRule type="cellIs" dxfId="1685" priority="72" stopIfTrue="1" operator="lessThan">
      <formula>$F$9</formula>
    </cfRule>
  </conditionalFormatting>
  <conditionalFormatting sqref="G10">
    <cfRule type="cellIs" dxfId="1684" priority="85" stopIfTrue="1" operator="equal">
      <formula>$F$10</formula>
    </cfRule>
    <cfRule type="cellIs" dxfId="1683" priority="86" stopIfTrue="1" operator="lessThan">
      <formula>$F$10</formula>
    </cfRule>
  </conditionalFormatting>
  <conditionalFormatting sqref="G11">
    <cfRule type="cellIs" dxfId="1682" priority="99" stopIfTrue="1" operator="equal">
      <formula>$F$11</formula>
    </cfRule>
    <cfRule type="cellIs" dxfId="1681" priority="100" stopIfTrue="1" operator="lessThan">
      <formula>$F$11</formula>
    </cfRule>
  </conditionalFormatting>
  <conditionalFormatting sqref="G12">
    <cfRule type="cellIs" dxfId="1680" priority="113" stopIfTrue="1" operator="equal">
      <formula>$F$12</formula>
    </cfRule>
    <cfRule type="cellIs" dxfId="1679" priority="114" stopIfTrue="1" operator="lessThan">
      <formula>$F$12</formula>
    </cfRule>
  </conditionalFormatting>
  <conditionalFormatting sqref="G13">
    <cfRule type="cellIs" dxfId="1678" priority="209" stopIfTrue="1" operator="equal">
      <formula>$F$13</formula>
    </cfRule>
    <cfRule type="cellIs" dxfId="1677" priority="210" stopIfTrue="1" operator="lessThan">
      <formula>$F$13</formula>
    </cfRule>
  </conditionalFormatting>
  <conditionalFormatting sqref="G14">
    <cfRule type="cellIs" dxfId="1676" priority="211" stopIfTrue="1" operator="equal">
      <formula>$F$14</formula>
    </cfRule>
    <cfRule type="cellIs" dxfId="1675" priority="212" stopIfTrue="1" operator="lessThan">
      <formula>$F$14</formula>
    </cfRule>
  </conditionalFormatting>
  <conditionalFormatting sqref="G15">
    <cfRule type="cellIs" dxfId="1674" priority="213" stopIfTrue="1" operator="equal">
      <formula>$F$15</formula>
    </cfRule>
    <cfRule type="cellIs" dxfId="1673" priority="214" stopIfTrue="1" operator="lessThan">
      <formula>$F$15</formula>
    </cfRule>
  </conditionalFormatting>
  <conditionalFormatting sqref="G16">
    <cfRule type="cellIs" dxfId="1672" priority="215" stopIfTrue="1" operator="equal">
      <formula>$F$16</formula>
    </cfRule>
    <cfRule type="cellIs" dxfId="1671" priority="216" stopIfTrue="1" operator="lessThan">
      <formula>$F$16</formula>
    </cfRule>
  </conditionalFormatting>
  <conditionalFormatting sqref="G17">
    <cfRule type="cellIs" dxfId="1670" priority="217" stopIfTrue="1" operator="equal">
      <formula>$F$17</formula>
    </cfRule>
    <cfRule type="cellIs" dxfId="1669" priority="218" stopIfTrue="1" operator="lessThan">
      <formula>$F$17</formula>
    </cfRule>
  </conditionalFormatting>
  <conditionalFormatting sqref="G18">
    <cfRule type="cellIs" dxfId="1668" priority="219" stopIfTrue="1" operator="equal">
      <formula>$F$18</formula>
    </cfRule>
    <cfRule type="cellIs" dxfId="1667" priority="220" stopIfTrue="1" operator="lessThan">
      <formula>$F$18</formula>
    </cfRule>
  </conditionalFormatting>
  <conditionalFormatting sqref="G19">
    <cfRule type="cellIs" dxfId="1666" priority="221" stopIfTrue="1" operator="equal">
      <formula>$F$19</formula>
    </cfRule>
    <cfRule type="cellIs" dxfId="1665" priority="222" stopIfTrue="1" operator="lessThan">
      <formula>$F$19</formula>
    </cfRule>
  </conditionalFormatting>
  <conditionalFormatting sqref="G20">
    <cfRule type="cellIs" dxfId="1664" priority="223" stopIfTrue="1" operator="equal">
      <formula>$F$20</formula>
    </cfRule>
    <cfRule type="cellIs" dxfId="1663" priority="224" stopIfTrue="1" operator="lessThan">
      <formula>$F$20</formula>
    </cfRule>
  </conditionalFormatting>
  <conditionalFormatting sqref="G21">
    <cfRule type="cellIs" dxfId="1662" priority="225" stopIfTrue="1" operator="equal">
      <formula>$F$21</formula>
    </cfRule>
    <cfRule type="cellIs" dxfId="1661" priority="226" stopIfTrue="1" operator="lessThan">
      <formula>$F$21</formula>
    </cfRule>
  </conditionalFormatting>
  <conditionalFormatting sqref="G22">
    <cfRule type="cellIs" dxfId="1660" priority="227" stopIfTrue="1" operator="equal">
      <formula>$F$22</formula>
    </cfRule>
    <cfRule type="cellIs" dxfId="1659" priority="228" stopIfTrue="1" operator="lessThan">
      <formula>$F$22</formula>
    </cfRule>
  </conditionalFormatting>
  <conditionalFormatting sqref="G23">
    <cfRule type="cellIs" dxfId="1658" priority="229" stopIfTrue="1" operator="equal">
      <formula>$F$23</formula>
    </cfRule>
    <cfRule type="cellIs" dxfId="1657" priority="230" stopIfTrue="1" operator="lessThan">
      <formula>$F$23</formula>
    </cfRule>
  </conditionalFormatting>
  <conditionalFormatting sqref="G24">
    <cfRule type="cellIs" dxfId="1656" priority="277" stopIfTrue="1" operator="equal">
      <formula>$F$24</formula>
    </cfRule>
    <cfRule type="cellIs" dxfId="1655" priority="278" stopIfTrue="1" operator="lessThan">
      <formula>$F$24</formula>
    </cfRule>
  </conditionalFormatting>
  <conditionalFormatting sqref="G25">
    <cfRule type="cellIs" dxfId="1654" priority="231" stopIfTrue="1" operator="equal">
      <formula>$F$25</formula>
    </cfRule>
    <cfRule type="cellIs" dxfId="1653" priority="232" stopIfTrue="1" operator="lessThan">
      <formula>$F$25</formula>
    </cfRule>
  </conditionalFormatting>
  <conditionalFormatting sqref="G26">
    <cfRule type="cellIs" dxfId="1652" priority="233" stopIfTrue="1" operator="equal">
      <formula>$F$26</formula>
    </cfRule>
    <cfRule type="cellIs" dxfId="1651" priority="234" stopIfTrue="1" operator="lessThan">
      <formula>$F$26</formula>
    </cfRule>
  </conditionalFormatting>
  <conditionalFormatting sqref="G27">
    <cfRule type="cellIs" dxfId="1650" priority="235" stopIfTrue="1" operator="equal">
      <formula>$F$27</formula>
    </cfRule>
    <cfRule type="cellIs" dxfId="1649" priority="236" stopIfTrue="1" operator="lessThan">
      <formula>$F$27</formula>
    </cfRule>
  </conditionalFormatting>
  <conditionalFormatting sqref="G28">
    <cfRule type="cellIs" dxfId="1648" priority="237" stopIfTrue="1" operator="equal">
      <formula>$F$28</formula>
    </cfRule>
    <cfRule type="cellIs" dxfId="1647" priority="238" stopIfTrue="1" operator="lessThan">
      <formula>$F$28</formula>
    </cfRule>
  </conditionalFormatting>
  <conditionalFormatting sqref="H4">
    <cfRule type="cellIs" dxfId="1646" priority="2" stopIfTrue="1" operator="lessThan">
      <formula>$G$4</formula>
    </cfRule>
    <cfRule type="cellIs" dxfId="1645" priority="3" stopIfTrue="1" operator="equal">
      <formula>$G$4</formula>
    </cfRule>
  </conditionalFormatting>
  <conditionalFormatting sqref="H5">
    <cfRule type="cellIs" dxfId="1644" priority="6" stopIfTrue="1" operator="equal">
      <formula>$G$5</formula>
    </cfRule>
    <cfRule type="cellIs" dxfId="1643" priority="7" stopIfTrue="1" operator="lessThan">
      <formula>$G$5</formula>
    </cfRule>
  </conditionalFormatting>
  <conditionalFormatting sqref="H6">
    <cfRule type="cellIs" dxfId="1642" priority="33" stopIfTrue="1" operator="equal">
      <formula>$G$6</formula>
    </cfRule>
    <cfRule type="cellIs" dxfId="1641" priority="34" stopIfTrue="1" operator="lessThan">
      <formula>$G$6</formula>
    </cfRule>
  </conditionalFormatting>
  <conditionalFormatting sqref="H7">
    <cfRule type="cellIs" dxfId="1640" priority="45" stopIfTrue="1" operator="equal">
      <formula>$G$7</formula>
    </cfRule>
    <cfRule type="cellIs" dxfId="1639" priority="46" stopIfTrue="1" operator="lessThan">
      <formula>$G$7</formula>
    </cfRule>
  </conditionalFormatting>
  <conditionalFormatting sqref="H8">
    <cfRule type="cellIs" dxfId="1638" priority="59" stopIfTrue="1" operator="equal">
      <formula>$G$8</formula>
    </cfRule>
    <cfRule type="cellIs" dxfId="1637" priority="60" stopIfTrue="1" operator="lessThan">
      <formula>$G$8</formula>
    </cfRule>
  </conditionalFormatting>
  <conditionalFormatting sqref="H9">
    <cfRule type="cellIs" dxfId="1636" priority="73" stopIfTrue="1" operator="equal">
      <formula>$G$9</formula>
    </cfRule>
    <cfRule type="cellIs" dxfId="1635" priority="74" stopIfTrue="1" operator="lessThan">
      <formula>$G$9</formula>
    </cfRule>
  </conditionalFormatting>
  <conditionalFormatting sqref="H10">
    <cfRule type="cellIs" dxfId="1634" priority="87" stopIfTrue="1" operator="equal">
      <formula>$G$10</formula>
    </cfRule>
    <cfRule type="cellIs" dxfId="1633" priority="88" stopIfTrue="1" operator="lessThan">
      <formula>$G$10</formula>
    </cfRule>
  </conditionalFormatting>
  <conditionalFormatting sqref="H11">
    <cfRule type="cellIs" dxfId="1632" priority="101" stopIfTrue="1" operator="equal">
      <formula>$G$11</formula>
    </cfRule>
    <cfRule type="cellIs" dxfId="1631" priority="102" stopIfTrue="1" operator="lessThan">
      <formula>$G$11</formula>
    </cfRule>
  </conditionalFormatting>
  <conditionalFormatting sqref="H12">
    <cfRule type="cellIs" dxfId="1630" priority="115" stopIfTrue="1" operator="equal">
      <formula>$G$12</formula>
    </cfRule>
    <cfRule type="cellIs" dxfId="1629" priority="116" stopIfTrue="1" operator="lessThan">
      <formula>$G$12</formula>
    </cfRule>
  </conditionalFormatting>
  <conditionalFormatting sqref="H13">
    <cfRule type="cellIs" dxfId="1628" priority="241" stopIfTrue="1" operator="equal">
      <formula>$G$13</formula>
    </cfRule>
    <cfRule type="cellIs" dxfId="1627" priority="242" stopIfTrue="1" operator="lessThan">
      <formula>$G$13</formula>
    </cfRule>
  </conditionalFormatting>
  <conditionalFormatting sqref="H14">
    <cfRule type="cellIs" dxfId="1626" priority="243" stopIfTrue="1" operator="equal">
      <formula>$G$14</formula>
    </cfRule>
    <cfRule type="cellIs" dxfId="1625" priority="244" stopIfTrue="1" operator="lessThan">
      <formula>$G$14</formula>
    </cfRule>
  </conditionalFormatting>
  <conditionalFormatting sqref="H15">
    <cfRule type="cellIs" dxfId="1624" priority="245" stopIfTrue="1" operator="equal">
      <formula>$G$15</formula>
    </cfRule>
    <cfRule type="cellIs" dxfId="1623" priority="246" stopIfTrue="1" operator="lessThan">
      <formula>$G$15</formula>
    </cfRule>
  </conditionalFormatting>
  <conditionalFormatting sqref="H16">
    <cfRule type="cellIs" dxfId="1622" priority="247" stopIfTrue="1" operator="equal">
      <formula>$G$16</formula>
    </cfRule>
    <cfRule type="cellIs" dxfId="1621" priority="248" stopIfTrue="1" operator="lessThan">
      <formula>$G$16</formula>
    </cfRule>
  </conditionalFormatting>
  <conditionalFormatting sqref="H17">
    <cfRule type="cellIs" dxfId="1620" priority="249" stopIfTrue="1" operator="equal">
      <formula>$G$17</formula>
    </cfRule>
    <cfRule type="cellIs" dxfId="1619" priority="250" stopIfTrue="1" operator="lessThan">
      <formula>$G$17</formula>
    </cfRule>
  </conditionalFormatting>
  <conditionalFormatting sqref="H18">
    <cfRule type="cellIs" dxfId="1618" priority="251" stopIfTrue="1" operator="equal">
      <formula>$G$18</formula>
    </cfRule>
    <cfRule type="cellIs" dxfId="1617" priority="252" stopIfTrue="1" operator="lessThan">
      <formula>$G$18</formula>
    </cfRule>
  </conditionalFormatting>
  <conditionalFormatting sqref="H19">
    <cfRule type="cellIs" dxfId="1616" priority="253" stopIfTrue="1" operator="equal">
      <formula>$G$19</formula>
    </cfRule>
    <cfRule type="cellIs" dxfId="1615" priority="254" stopIfTrue="1" operator="lessThan">
      <formula>$G$19</formula>
    </cfRule>
  </conditionalFormatting>
  <conditionalFormatting sqref="H20">
    <cfRule type="cellIs" dxfId="1614" priority="255" stopIfTrue="1" operator="equal">
      <formula>$G$20</formula>
    </cfRule>
    <cfRule type="cellIs" dxfId="1613" priority="256" stopIfTrue="1" operator="lessThan">
      <formula>$G$20</formula>
    </cfRule>
  </conditionalFormatting>
  <conditionalFormatting sqref="H21">
    <cfRule type="cellIs" dxfId="1612" priority="257" stopIfTrue="1" operator="equal">
      <formula>$G$21</formula>
    </cfRule>
    <cfRule type="cellIs" dxfId="1611" priority="258" stopIfTrue="1" operator="lessThan">
      <formula>$G$21</formula>
    </cfRule>
  </conditionalFormatting>
  <conditionalFormatting sqref="H22">
    <cfRule type="cellIs" dxfId="1610" priority="259" stopIfTrue="1" operator="equal">
      <formula>$G$22</formula>
    </cfRule>
    <cfRule type="cellIs" dxfId="1609" priority="260" stopIfTrue="1" operator="lessThan">
      <formula>$G$22</formula>
    </cfRule>
  </conditionalFormatting>
  <conditionalFormatting sqref="H23">
    <cfRule type="cellIs" dxfId="1608" priority="261" stopIfTrue="1" operator="equal">
      <formula>$G$23</formula>
    </cfRule>
    <cfRule type="cellIs" dxfId="1607" priority="262" stopIfTrue="1" operator="lessThan">
      <formula>$G$23</formula>
    </cfRule>
  </conditionalFormatting>
  <conditionalFormatting sqref="H24">
    <cfRule type="cellIs" dxfId="1606" priority="279" stopIfTrue="1" operator="equal">
      <formula>$G$24</formula>
    </cfRule>
    <cfRule type="cellIs" dxfId="1605" priority="280" stopIfTrue="1" operator="lessThan">
      <formula>$G$24</formula>
    </cfRule>
  </conditionalFormatting>
  <conditionalFormatting sqref="H25">
    <cfRule type="cellIs" dxfId="1604" priority="263" stopIfTrue="1" operator="equal">
      <formula>$G$25</formula>
    </cfRule>
    <cfRule type="cellIs" dxfId="1603" priority="264" stopIfTrue="1" operator="lessThan">
      <formula>$G$25</formula>
    </cfRule>
  </conditionalFormatting>
  <conditionalFormatting sqref="H26">
    <cfRule type="cellIs" dxfId="1602" priority="265" stopIfTrue="1" operator="equal">
      <formula>$G$26</formula>
    </cfRule>
    <cfRule type="cellIs" dxfId="1601" priority="266" stopIfTrue="1" operator="lessThan">
      <formula>$G$26</formula>
    </cfRule>
  </conditionalFormatting>
  <conditionalFormatting sqref="H27">
    <cfRule type="cellIs" dxfId="1600" priority="267" stopIfTrue="1" operator="equal">
      <formula>$G$27</formula>
    </cfRule>
    <cfRule type="cellIs" dxfId="1599" priority="268" stopIfTrue="1" operator="lessThan">
      <formula>$G$27</formula>
    </cfRule>
  </conditionalFormatting>
  <conditionalFormatting sqref="H28">
    <cfRule type="cellIs" dxfId="1598" priority="269" stopIfTrue="1" operator="equal">
      <formula>$G$28</formula>
    </cfRule>
    <cfRule type="cellIs" dxfId="1597" priority="270" stopIfTrue="1" operator="lessThan">
      <formula>$G$28</formula>
    </cfRule>
  </conditionalFormatting>
  <conditionalFormatting sqref="I4">
    <cfRule type="cellIs" dxfId="1596" priority="22" stopIfTrue="1" operator="equal">
      <formula>$H$4</formula>
    </cfRule>
  </conditionalFormatting>
  <conditionalFormatting sqref="I5">
    <cfRule type="cellIs" dxfId="1595" priority="8" stopIfTrue="1" operator="equal">
      <formula>$H$5</formula>
    </cfRule>
    <cfRule type="cellIs" dxfId="1594" priority="9" stopIfTrue="1" operator="lessThan">
      <formula>$H$5</formula>
    </cfRule>
  </conditionalFormatting>
  <conditionalFormatting sqref="I6">
    <cfRule type="cellIs" dxfId="1593" priority="35" stopIfTrue="1" operator="equal">
      <formula>$H$6</formula>
    </cfRule>
    <cfRule type="cellIs" dxfId="1592" priority="36" stopIfTrue="1" operator="lessThan">
      <formula>$H$6</formula>
    </cfRule>
  </conditionalFormatting>
  <conditionalFormatting sqref="I7">
    <cfRule type="cellIs" dxfId="1591" priority="47" stopIfTrue="1" operator="equal">
      <formula>$H$7</formula>
    </cfRule>
    <cfRule type="cellIs" dxfId="1590" priority="48" stopIfTrue="1" operator="lessThan">
      <formula>$H$7</formula>
    </cfRule>
  </conditionalFormatting>
  <conditionalFormatting sqref="I8">
    <cfRule type="cellIs" dxfId="1589" priority="61" stopIfTrue="1" operator="equal">
      <formula>$H$8</formula>
    </cfRule>
    <cfRule type="cellIs" dxfId="1588" priority="62" stopIfTrue="1" operator="lessThan">
      <formula>$H$8</formula>
    </cfRule>
  </conditionalFormatting>
  <conditionalFormatting sqref="I9">
    <cfRule type="cellIs" dxfId="1587" priority="75" stopIfTrue="1" operator="equal">
      <formula>$H$9</formula>
    </cfRule>
    <cfRule type="cellIs" dxfId="1586" priority="76" stopIfTrue="1" operator="lessThan">
      <formula>$H$9</formula>
    </cfRule>
  </conditionalFormatting>
  <conditionalFormatting sqref="I10">
    <cfRule type="cellIs" dxfId="1585" priority="89" stopIfTrue="1" operator="equal">
      <formula>$H$10</formula>
    </cfRule>
    <cfRule type="cellIs" dxfId="1584" priority="90" stopIfTrue="1" operator="lessThan">
      <formula>$H$10</formula>
    </cfRule>
  </conditionalFormatting>
  <conditionalFormatting sqref="I11">
    <cfRule type="cellIs" dxfId="1583" priority="103" stopIfTrue="1" operator="equal">
      <formula>$H$11</formula>
    </cfRule>
    <cfRule type="cellIs" dxfId="1582" priority="104" stopIfTrue="1" operator="lessThan">
      <formula>$H$11</formula>
    </cfRule>
  </conditionalFormatting>
  <conditionalFormatting sqref="I12">
    <cfRule type="cellIs" dxfId="1581" priority="117" stopIfTrue="1" operator="equal">
      <formula>$H$12</formula>
    </cfRule>
    <cfRule type="cellIs" dxfId="1580" priority="118" stopIfTrue="1" operator="lessThan">
      <formula>$H$12</formula>
    </cfRule>
  </conditionalFormatting>
  <conditionalFormatting sqref="I13">
    <cfRule type="cellIs" dxfId="1579" priority="287" stopIfTrue="1" operator="equal">
      <formula>$H$13</formula>
    </cfRule>
    <cfRule type="cellIs" dxfId="1578" priority="288" stopIfTrue="1" operator="lessThan">
      <formula>$H$13</formula>
    </cfRule>
  </conditionalFormatting>
  <conditionalFormatting sqref="I14">
    <cfRule type="cellIs" dxfId="1577" priority="289" stopIfTrue="1" operator="equal">
      <formula>$H$14</formula>
    </cfRule>
    <cfRule type="cellIs" dxfId="1576" priority="290" stopIfTrue="1" operator="lessThan">
      <formula>$H$14</formula>
    </cfRule>
  </conditionalFormatting>
  <conditionalFormatting sqref="I15">
    <cfRule type="cellIs" dxfId="1575" priority="291" stopIfTrue="1" operator="equal">
      <formula>$H$15</formula>
    </cfRule>
    <cfRule type="cellIs" dxfId="1574" priority="292" stopIfTrue="1" operator="lessThan">
      <formula>$H$15</formula>
    </cfRule>
  </conditionalFormatting>
  <conditionalFormatting sqref="I16">
    <cfRule type="cellIs" dxfId="1573" priority="293" stopIfTrue="1" operator="equal">
      <formula>$H$16</formula>
    </cfRule>
    <cfRule type="cellIs" dxfId="1572" priority="294" stopIfTrue="1" operator="lessThan">
      <formula>$H$16</formula>
    </cfRule>
  </conditionalFormatting>
  <conditionalFormatting sqref="I17">
    <cfRule type="cellIs" dxfId="1571" priority="295" stopIfTrue="1" operator="equal">
      <formula>$H$17</formula>
    </cfRule>
    <cfRule type="cellIs" dxfId="1570" priority="296" stopIfTrue="1" operator="lessThan">
      <formula>$H$17</formula>
    </cfRule>
  </conditionalFormatting>
  <conditionalFormatting sqref="I18">
    <cfRule type="cellIs" dxfId="1569" priority="297" stopIfTrue="1" operator="equal">
      <formula>$H$18</formula>
    </cfRule>
    <cfRule type="cellIs" dxfId="1568" priority="298" stopIfTrue="1" operator="lessThan">
      <formula>$H$18</formula>
    </cfRule>
  </conditionalFormatting>
  <conditionalFormatting sqref="I19">
    <cfRule type="cellIs" dxfId="1567" priority="299" stopIfTrue="1" operator="equal">
      <formula>$H$19</formula>
    </cfRule>
    <cfRule type="cellIs" dxfId="1566" priority="300" stopIfTrue="1" operator="lessThan">
      <formula>$H$19</formula>
    </cfRule>
  </conditionalFormatting>
  <conditionalFormatting sqref="I20">
    <cfRule type="cellIs" dxfId="1565" priority="301" stopIfTrue="1" operator="equal">
      <formula>$H$20</formula>
    </cfRule>
    <cfRule type="cellIs" dxfId="1564" priority="302" stopIfTrue="1" operator="lessThan">
      <formula>$H$20</formula>
    </cfRule>
  </conditionalFormatting>
  <conditionalFormatting sqref="I21">
    <cfRule type="cellIs" dxfId="1563" priority="303" stopIfTrue="1" operator="equal">
      <formula>$H$21</formula>
    </cfRule>
    <cfRule type="cellIs" dxfId="1562" priority="304" stopIfTrue="1" operator="lessThan">
      <formula>$H$21</formula>
    </cfRule>
  </conditionalFormatting>
  <conditionalFormatting sqref="I22">
    <cfRule type="cellIs" dxfId="1561" priority="305" stopIfTrue="1" operator="equal">
      <formula>$H$22</formula>
    </cfRule>
    <cfRule type="cellIs" dxfId="1560" priority="306" stopIfTrue="1" operator="lessThan">
      <formula>$H$22</formula>
    </cfRule>
  </conditionalFormatting>
  <conditionalFormatting sqref="I23">
    <cfRule type="cellIs" dxfId="1559" priority="307" stopIfTrue="1" operator="equal">
      <formula>$H$23</formula>
    </cfRule>
    <cfRule type="cellIs" dxfId="1558" priority="308" stopIfTrue="1" operator="lessThan">
      <formula>$H$23</formula>
    </cfRule>
  </conditionalFormatting>
  <conditionalFormatting sqref="I24">
    <cfRule type="cellIs" dxfId="1557" priority="309" stopIfTrue="1" operator="equal">
      <formula>$H$24</formula>
    </cfRule>
    <cfRule type="cellIs" dxfId="1556" priority="310" stopIfTrue="1" operator="lessThan">
      <formula>$H$24</formula>
    </cfRule>
  </conditionalFormatting>
  <conditionalFormatting sqref="I25">
    <cfRule type="cellIs" dxfId="1555" priority="311" stopIfTrue="1" operator="equal">
      <formula>$H$25</formula>
    </cfRule>
    <cfRule type="cellIs" dxfId="1554" priority="312" stopIfTrue="1" operator="lessThan">
      <formula>$H$25</formula>
    </cfRule>
  </conditionalFormatting>
  <conditionalFormatting sqref="I26">
    <cfRule type="cellIs" dxfId="1553" priority="313" stopIfTrue="1" operator="equal">
      <formula>$H$26</formula>
    </cfRule>
    <cfRule type="cellIs" dxfId="1552" priority="314" stopIfTrue="1" operator="lessThan">
      <formula>$H$26</formula>
    </cfRule>
  </conditionalFormatting>
  <conditionalFormatting sqref="I27">
    <cfRule type="cellIs" dxfId="1551" priority="315" stopIfTrue="1" operator="equal">
      <formula>$H$27</formula>
    </cfRule>
    <cfRule type="cellIs" dxfId="1550" priority="316" stopIfTrue="1" operator="lessThan">
      <formula>$H$27</formula>
    </cfRule>
  </conditionalFormatting>
  <conditionalFormatting sqref="I28">
    <cfRule type="cellIs" dxfId="1549" priority="318" stopIfTrue="1" operator="equal">
      <formula>$H$28</formula>
    </cfRule>
    <cfRule type="cellIs" dxfId="1548" priority="319" stopIfTrue="1" operator="lessThan">
      <formula>$H$28</formula>
    </cfRule>
  </conditionalFormatting>
  <conditionalFormatting sqref="I29">
    <cfRule type="cellIs" dxfId="1547" priority="320" stopIfTrue="1" operator="equal">
      <formula>$H$29</formula>
    </cfRule>
    <cfRule type="cellIs" dxfId="1546" priority="321" stopIfTrue="1" operator="lessThan">
      <formula>$H$29</formula>
    </cfRule>
  </conditionalFormatting>
  <conditionalFormatting sqref="J4">
    <cfRule type="cellIs" dxfId="1545" priority="23" stopIfTrue="1" operator="lessThan">
      <formula>$I$4</formula>
    </cfRule>
    <cfRule type="cellIs" dxfId="1544" priority="24" stopIfTrue="1" operator="equal">
      <formula>$I$4</formula>
    </cfRule>
  </conditionalFormatting>
  <conditionalFormatting sqref="J5">
    <cfRule type="cellIs" dxfId="1543" priority="10" stopIfTrue="1" operator="equal">
      <formula>$I$5</formula>
    </cfRule>
    <cfRule type="cellIs" dxfId="1542" priority="11" stopIfTrue="1" operator="lessThan">
      <formula>$I$5</formula>
    </cfRule>
  </conditionalFormatting>
  <conditionalFormatting sqref="J6">
    <cfRule type="cellIs" dxfId="1541" priority="37" stopIfTrue="1" operator="equal">
      <formula>$I$6</formula>
    </cfRule>
    <cfRule type="cellIs" dxfId="1540" priority="38" stopIfTrue="1" operator="lessThan">
      <formula>$I$6</formula>
    </cfRule>
  </conditionalFormatting>
  <conditionalFormatting sqref="J7">
    <cfRule type="cellIs" dxfId="1539" priority="49" stopIfTrue="1" operator="equal">
      <formula>$I$7</formula>
    </cfRule>
    <cfRule type="cellIs" dxfId="1538" priority="50" stopIfTrue="1" operator="lessThan">
      <formula>$I$7</formula>
    </cfRule>
  </conditionalFormatting>
  <conditionalFormatting sqref="J8">
    <cfRule type="cellIs" dxfId="1537" priority="63" stopIfTrue="1" operator="equal">
      <formula>$I$8</formula>
    </cfRule>
    <cfRule type="cellIs" dxfId="1536" priority="64" stopIfTrue="1" operator="lessThan">
      <formula>$I$8</formula>
    </cfRule>
  </conditionalFormatting>
  <conditionalFormatting sqref="J9">
    <cfRule type="cellIs" dxfId="1535" priority="77" stopIfTrue="1" operator="equal">
      <formula>$I$9</formula>
    </cfRule>
    <cfRule type="cellIs" dxfId="1534" priority="78" stopIfTrue="1" operator="lessThan">
      <formula>$I$9</formula>
    </cfRule>
  </conditionalFormatting>
  <conditionalFormatting sqref="J10">
    <cfRule type="cellIs" dxfId="1533" priority="91" stopIfTrue="1" operator="equal">
      <formula>$I$10</formula>
    </cfRule>
    <cfRule type="cellIs" dxfId="1532" priority="92" stopIfTrue="1" operator="lessThan">
      <formula>$I$10</formula>
    </cfRule>
  </conditionalFormatting>
  <conditionalFormatting sqref="J11">
    <cfRule type="cellIs" dxfId="1531" priority="105" stopIfTrue="1" operator="equal">
      <formula>$I$11</formula>
    </cfRule>
    <cfRule type="cellIs" dxfId="1530" priority="106" stopIfTrue="1" operator="lessThan">
      <formula>$I$11</formula>
    </cfRule>
  </conditionalFormatting>
  <conditionalFormatting sqref="J12">
    <cfRule type="cellIs" dxfId="1529" priority="119" stopIfTrue="1" operator="equal">
      <formula>$I$12</formula>
    </cfRule>
    <cfRule type="cellIs" dxfId="1528" priority="120" stopIfTrue="1" operator="lessThan">
      <formula>$I$12</formula>
    </cfRule>
  </conditionalFormatting>
  <conditionalFormatting sqref="J13">
    <cfRule type="cellIs" dxfId="1527" priority="322" stopIfTrue="1" operator="equal">
      <formula>$I$13</formula>
    </cfRule>
    <cfRule type="cellIs" dxfId="1526" priority="323" stopIfTrue="1" operator="lessThan">
      <formula>$I$13</formula>
    </cfRule>
  </conditionalFormatting>
  <conditionalFormatting sqref="J14">
    <cfRule type="cellIs" dxfId="1525" priority="324" stopIfTrue="1" operator="equal">
      <formula>$I$14</formula>
    </cfRule>
    <cfRule type="cellIs" dxfId="1524" priority="325" stopIfTrue="1" operator="lessThan">
      <formula>$I$14</formula>
    </cfRule>
  </conditionalFormatting>
  <conditionalFormatting sqref="J15">
    <cfRule type="cellIs" dxfId="1523" priority="326" stopIfTrue="1" operator="equal">
      <formula>$I$15</formula>
    </cfRule>
    <cfRule type="cellIs" dxfId="1522" priority="327" stopIfTrue="1" operator="lessThan">
      <formula>$I$15</formula>
    </cfRule>
  </conditionalFormatting>
  <conditionalFormatting sqref="J16">
    <cfRule type="cellIs" dxfId="1521" priority="328" stopIfTrue="1" operator="equal">
      <formula>$I$16</formula>
    </cfRule>
    <cfRule type="cellIs" dxfId="1520" priority="329" stopIfTrue="1" operator="lessThan">
      <formula>$I$16</formula>
    </cfRule>
  </conditionalFormatting>
  <conditionalFormatting sqref="J17">
    <cfRule type="cellIs" dxfId="1519" priority="330" stopIfTrue="1" operator="equal">
      <formula>$I$17</formula>
    </cfRule>
    <cfRule type="cellIs" dxfId="1518" priority="331" stopIfTrue="1" operator="lessThan">
      <formula>$I$17</formula>
    </cfRule>
  </conditionalFormatting>
  <conditionalFormatting sqref="J18">
    <cfRule type="cellIs" dxfId="1517" priority="332" stopIfTrue="1" operator="equal">
      <formula>$I$18</formula>
    </cfRule>
    <cfRule type="cellIs" dxfId="1516" priority="333" stopIfTrue="1" operator="lessThan">
      <formula>$I$18</formula>
    </cfRule>
  </conditionalFormatting>
  <conditionalFormatting sqref="J19">
    <cfRule type="cellIs" dxfId="1515" priority="334" stopIfTrue="1" operator="equal">
      <formula>$I$19</formula>
    </cfRule>
    <cfRule type="cellIs" dxfId="1514" priority="335" stopIfTrue="1" operator="lessThan">
      <formula>$I$19</formula>
    </cfRule>
  </conditionalFormatting>
  <conditionalFormatting sqref="J20">
    <cfRule type="cellIs" dxfId="1513" priority="336" stopIfTrue="1" operator="equal">
      <formula>$I$20</formula>
    </cfRule>
    <cfRule type="cellIs" dxfId="1512" priority="337" stopIfTrue="1" operator="lessThan">
      <formula>$I$20</formula>
    </cfRule>
  </conditionalFormatting>
  <conditionalFormatting sqref="J21">
    <cfRule type="cellIs" dxfId="1511" priority="338" stopIfTrue="1" operator="equal">
      <formula>$I$21</formula>
    </cfRule>
    <cfRule type="cellIs" dxfId="1510" priority="339" stopIfTrue="1" operator="lessThan">
      <formula>$I$21</formula>
    </cfRule>
  </conditionalFormatting>
  <conditionalFormatting sqref="J22">
    <cfRule type="cellIs" dxfId="1509" priority="340" stopIfTrue="1" operator="equal">
      <formula>$I$22</formula>
    </cfRule>
    <cfRule type="cellIs" dxfId="1508" priority="341" stopIfTrue="1" operator="lessThan">
      <formula>$I$22</formula>
    </cfRule>
  </conditionalFormatting>
  <conditionalFormatting sqref="J23">
    <cfRule type="cellIs" dxfId="1507" priority="342" stopIfTrue="1" operator="equal">
      <formula>$I$23</formula>
    </cfRule>
    <cfRule type="cellIs" dxfId="1506" priority="343" stopIfTrue="1" operator="lessThan">
      <formula>$I$23</formula>
    </cfRule>
  </conditionalFormatting>
  <conditionalFormatting sqref="J24">
    <cfRule type="cellIs" dxfId="1505" priority="344" stopIfTrue="1" operator="equal">
      <formula>$I$24</formula>
    </cfRule>
    <cfRule type="cellIs" dxfId="1504" priority="345" stopIfTrue="1" operator="lessThan">
      <formula>$I$24</formula>
    </cfRule>
  </conditionalFormatting>
  <conditionalFormatting sqref="J25">
    <cfRule type="cellIs" dxfId="1503" priority="346" stopIfTrue="1" operator="equal">
      <formula>$I$25</formula>
    </cfRule>
    <cfRule type="cellIs" dxfId="1502" priority="347" stopIfTrue="1" operator="lessThan">
      <formula>$I$25</formula>
    </cfRule>
  </conditionalFormatting>
  <conditionalFormatting sqref="J26">
    <cfRule type="cellIs" dxfId="1501" priority="348" stopIfTrue="1" operator="equal">
      <formula>$I$26</formula>
    </cfRule>
    <cfRule type="cellIs" dxfId="1500" priority="349" stopIfTrue="1" operator="lessThan">
      <formula>$I$26</formula>
    </cfRule>
  </conditionalFormatting>
  <conditionalFormatting sqref="J27">
    <cfRule type="cellIs" dxfId="1499" priority="350" stopIfTrue="1" operator="equal">
      <formula>$I$27</formula>
    </cfRule>
    <cfRule type="cellIs" dxfId="1498" priority="351" stopIfTrue="1" operator="lessThan">
      <formula>$I$27</formula>
    </cfRule>
  </conditionalFormatting>
  <conditionalFormatting sqref="J28">
    <cfRule type="cellIs" dxfId="1497" priority="352" stopIfTrue="1" operator="equal">
      <formula>$I$28</formula>
    </cfRule>
    <cfRule type="cellIs" dxfId="1496" priority="353" stopIfTrue="1" operator="lessThan">
      <formula>$I$28</formula>
    </cfRule>
  </conditionalFormatting>
  <conditionalFormatting sqref="K4">
    <cfRule type="cellIs" dxfId="1495" priority="354" stopIfTrue="1" operator="equal">
      <formula>$J$4</formula>
    </cfRule>
    <cfRule type="cellIs" dxfId="1494" priority="355" stopIfTrue="1" operator="lessThan">
      <formula>$J$4</formula>
    </cfRule>
  </conditionalFormatting>
  <conditionalFormatting sqref="K5">
    <cfRule type="cellIs" dxfId="1493" priority="356" stopIfTrue="1" operator="equal">
      <formula>$J$5</formula>
    </cfRule>
    <cfRule type="cellIs" dxfId="1492" priority="357" stopIfTrue="1" operator="lessThan">
      <formula>$J$5</formula>
    </cfRule>
  </conditionalFormatting>
  <conditionalFormatting sqref="K6">
    <cfRule type="cellIs" dxfId="1491" priority="358" stopIfTrue="1" operator="equal">
      <formula>$J$6</formula>
    </cfRule>
    <cfRule type="cellIs" dxfId="1490" priority="359" stopIfTrue="1" operator="lessThan">
      <formula>$J$6</formula>
    </cfRule>
  </conditionalFormatting>
  <conditionalFormatting sqref="K7">
    <cfRule type="cellIs" dxfId="1489" priority="360" stopIfTrue="1" operator="equal">
      <formula>$J$7</formula>
    </cfRule>
    <cfRule type="cellIs" dxfId="1488" priority="361" stopIfTrue="1" operator="lessThan">
      <formula>$J$7</formula>
    </cfRule>
  </conditionalFormatting>
  <conditionalFormatting sqref="K8">
    <cfRule type="cellIs" dxfId="1487" priority="362" stopIfTrue="1" operator="equal">
      <formula>$J$8</formula>
    </cfRule>
    <cfRule type="cellIs" dxfId="1486" priority="363" stopIfTrue="1" operator="lessThan">
      <formula>$J$8</formula>
    </cfRule>
  </conditionalFormatting>
  <conditionalFormatting sqref="K9">
    <cfRule type="cellIs" dxfId="1485" priority="364" stopIfTrue="1" operator="equal">
      <formula>$J$9</formula>
    </cfRule>
    <cfRule type="cellIs" dxfId="1484" priority="365" stopIfTrue="1" operator="lessThan">
      <formula>$J$9</formula>
    </cfRule>
  </conditionalFormatting>
  <conditionalFormatting sqref="K10">
    <cfRule type="cellIs" dxfId="1483" priority="366" stopIfTrue="1" operator="equal">
      <formula>$J$10</formula>
    </cfRule>
    <cfRule type="cellIs" dxfId="1482" priority="367" stopIfTrue="1" operator="lessThan">
      <formula>$J$10</formula>
    </cfRule>
  </conditionalFormatting>
  <conditionalFormatting sqref="K11">
    <cfRule type="cellIs" dxfId="1481" priority="368" stopIfTrue="1" operator="equal">
      <formula>$J$11</formula>
    </cfRule>
    <cfRule type="cellIs" dxfId="1480" priority="369" stopIfTrue="1" operator="lessThan">
      <formula>$J$11</formula>
    </cfRule>
  </conditionalFormatting>
  <conditionalFormatting sqref="K12">
    <cfRule type="cellIs" dxfId="1479" priority="370" stopIfTrue="1" operator="equal">
      <formula>$J$12</formula>
    </cfRule>
    <cfRule type="cellIs" dxfId="1478" priority="371" stopIfTrue="1" operator="lessThan">
      <formula>$J$12</formula>
    </cfRule>
  </conditionalFormatting>
  <conditionalFormatting sqref="K13">
    <cfRule type="cellIs" dxfId="1477" priority="372" stopIfTrue="1" operator="equal">
      <formula>$J$13</formula>
    </cfRule>
    <cfRule type="cellIs" dxfId="1476" priority="373" stopIfTrue="1" operator="lessThan">
      <formula>$J$13</formula>
    </cfRule>
  </conditionalFormatting>
  <conditionalFormatting sqref="K14">
    <cfRule type="cellIs" dxfId="1475" priority="374" stopIfTrue="1" operator="equal">
      <formula>$J$14</formula>
    </cfRule>
    <cfRule type="cellIs" dxfId="1474" priority="375" stopIfTrue="1" operator="lessThan">
      <formula>$J$14</formula>
    </cfRule>
  </conditionalFormatting>
  <conditionalFormatting sqref="K15">
    <cfRule type="cellIs" dxfId="1473" priority="376" stopIfTrue="1" operator="equal">
      <formula>$J$15</formula>
    </cfRule>
    <cfRule type="cellIs" dxfId="1472" priority="377" stopIfTrue="1" operator="lessThan">
      <formula>$J$15</formula>
    </cfRule>
  </conditionalFormatting>
  <conditionalFormatting sqref="K16">
    <cfRule type="cellIs" dxfId="1471" priority="378" stopIfTrue="1" operator="equal">
      <formula>$J$16</formula>
    </cfRule>
    <cfRule type="cellIs" dxfId="1470" priority="379" stopIfTrue="1" operator="lessThan">
      <formula>$J$16</formula>
    </cfRule>
  </conditionalFormatting>
  <conditionalFormatting sqref="K17">
    <cfRule type="cellIs" dxfId="1469" priority="380" stopIfTrue="1" operator="equal">
      <formula>$J$17</formula>
    </cfRule>
    <cfRule type="cellIs" dxfId="1468" priority="381" stopIfTrue="1" operator="lessThan">
      <formula>$J$17</formula>
    </cfRule>
  </conditionalFormatting>
  <conditionalFormatting sqref="K18">
    <cfRule type="cellIs" dxfId="1467" priority="382" stopIfTrue="1" operator="equal">
      <formula>$J$18</formula>
    </cfRule>
    <cfRule type="cellIs" dxfId="1466" priority="383" stopIfTrue="1" operator="lessThan">
      <formula>$J$18</formula>
    </cfRule>
  </conditionalFormatting>
  <conditionalFormatting sqref="K19">
    <cfRule type="cellIs" dxfId="1465" priority="384" stopIfTrue="1" operator="equal">
      <formula>$J$19</formula>
    </cfRule>
    <cfRule type="cellIs" dxfId="1464" priority="385" stopIfTrue="1" operator="lessThan">
      <formula>$J$19</formula>
    </cfRule>
  </conditionalFormatting>
  <conditionalFormatting sqref="K20">
    <cfRule type="cellIs" dxfId="1463" priority="386" stopIfTrue="1" operator="equal">
      <formula>$J$20</formula>
    </cfRule>
    <cfRule type="cellIs" dxfId="1462" priority="387" stopIfTrue="1" operator="lessThan">
      <formula>$J$20</formula>
    </cfRule>
  </conditionalFormatting>
  <conditionalFormatting sqref="K21">
    <cfRule type="cellIs" dxfId="1461" priority="388" stopIfTrue="1" operator="equal">
      <formula>$J$21</formula>
    </cfRule>
    <cfRule type="cellIs" dxfId="1460" priority="389" stopIfTrue="1" operator="lessThan">
      <formula>$J$21</formula>
    </cfRule>
  </conditionalFormatting>
  <conditionalFormatting sqref="K22">
    <cfRule type="cellIs" dxfId="1459" priority="390" stopIfTrue="1" operator="equal">
      <formula>$J$22</formula>
    </cfRule>
    <cfRule type="cellIs" dxfId="1458" priority="391" stopIfTrue="1" operator="lessThan">
      <formula>$J$22</formula>
    </cfRule>
  </conditionalFormatting>
  <conditionalFormatting sqref="K23">
    <cfRule type="cellIs" dxfId="1457" priority="392" stopIfTrue="1" operator="equal">
      <formula>$J$23</formula>
    </cfRule>
    <cfRule type="cellIs" dxfId="1456" priority="393" stopIfTrue="1" operator="lessThan">
      <formula>$J$23</formula>
    </cfRule>
  </conditionalFormatting>
  <conditionalFormatting sqref="K24">
    <cfRule type="cellIs" dxfId="1455" priority="394" stopIfTrue="1" operator="equal">
      <formula>$J$24</formula>
    </cfRule>
    <cfRule type="cellIs" dxfId="1454" priority="395" stopIfTrue="1" operator="lessThan">
      <formula>$J$24</formula>
    </cfRule>
  </conditionalFormatting>
  <conditionalFormatting sqref="K25">
    <cfRule type="cellIs" dxfId="1453" priority="396" stopIfTrue="1" operator="equal">
      <formula>$J$25</formula>
    </cfRule>
    <cfRule type="cellIs" dxfId="1452" priority="397" stopIfTrue="1" operator="lessThan">
      <formula>$J$25</formula>
    </cfRule>
  </conditionalFormatting>
  <conditionalFormatting sqref="K26">
    <cfRule type="cellIs" dxfId="1451" priority="398" stopIfTrue="1" operator="equal">
      <formula>$J$26</formula>
    </cfRule>
    <cfRule type="cellIs" dxfId="1450" priority="399" stopIfTrue="1" operator="lessThan">
      <formula>$J$26</formula>
    </cfRule>
  </conditionalFormatting>
  <conditionalFormatting sqref="K27">
    <cfRule type="cellIs" dxfId="1449" priority="400" stopIfTrue="1" operator="equal">
      <formula>$J$27</formula>
    </cfRule>
    <cfRule type="cellIs" dxfId="1448" priority="401" stopIfTrue="1" operator="lessThan">
      <formula>$J$27</formula>
    </cfRule>
  </conditionalFormatting>
  <conditionalFormatting sqref="K28">
    <cfRule type="cellIs" dxfId="1447" priority="402" stopIfTrue="1" operator="lessThan">
      <formula>$J$28</formula>
    </cfRule>
    <cfRule type="cellIs" dxfId="1446" priority="403" stopIfTrue="1" operator="equal">
      <formula>$J$28</formula>
    </cfRule>
  </conditionalFormatting>
  <conditionalFormatting sqref="L4">
    <cfRule type="cellIs" dxfId="1445" priority="404" stopIfTrue="1" operator="equal">
      <formula>$K$4</formula>
    </cfRule>
    <cfRule type="cellIs" dxfId="1444" priority="405" stopIfTrue="1" operator="lessThan">
      <formula>$K$4</formula>
    </cfRule>
  </conditionalFormatting>
  <conditionalFormatting sqref="L5">
    <cfRule type="cellIs" dxfId="1443" priority="406" stopIfTrue="1" operator="equal">
      <formula>$K$5</formula>
    </cfRule>
    <cfRule type="cellIs" dxfId="1442" priority="407" stopIfTrue="1" operator="lessThan">
      <formula>$K$5</formula>
    </cfRule>
  </conditionalFormatting>
  <conditionalFormatting sqref="L6">
    <cfRule type="cellIs" dxfId="1441" priority="408" stopIfTrue="1" operator="equal">
      <formula>$K$6</formula>
    </cfRule>
    <cfRule type="cellIs" dxfId="1440" priority="409" stopIfTrue="1" operator="lessThan">
      <formula>$K$6</formula>
    </cfRule>
  </conditionalFormatting>
  <conditionalFormatting sqref="L7">
    <cfRule type="cellIs" dxfId="1439" priority="410" stopIfTrue="1" operator="equal">
      <formula>$K$7</formula>
    </cfRule>
    <cfRule type="cellIs" dxfId="1438" priority="411" stopIfTrue="1" operator="lessThan">
      <formula>$K$7</formula>
    </cfRule>
  </conditionalFormatting>
  <conditionalFormatting sqref="L8">
    <cfRule type="cellIs" dxfId="1437" priority="412" stopIfTrue="1" operator="equal">
      <formula>$K$8</formula>
    </cfRule>
    <cfRule type="cellIs" dxfId="1436" priority="413" stopIfTrue="1" operator="lessThan">
      <formula>$K$8</formula>
    </cfRule>
  </conditionalFormatting>
  <conditionalFormatting sqref="L9">
    <cfRule type="cellIs" dxfId="1435" priority="414" stopIfTrue="1" operator="equal">
      <formula>$K$9</formula>
    </cfRule>
    <cfRule type="cellIs" dxfId="1434" priority="415" stopIfTrue="1" operator="lessThan">
      <formula>$K$9</formula>
    </cfRule>
  </conditionalFormatting>
  <conditionalFormatting sqref="L10">
    <cfRule type="cellIs" dxfId="1433" priority="416" stopIfTrue="1" operator="equal">
      <formula>$K$10</formula>
    </cfRule>
    <cfRule type="cellIs" dxfId="1432" priority="417" stopIfTrue="1" operator="lessThan">
      <formula>$K$10</formula>
    </cfRule>
  </conditionalFormatting>
  <conditionalFormatting sqref="L11">
    <cfRule type="cellIs" dxfId="1431" priority="438" stopIfTrue="1" operator="equal">
      <formula>$K$11</formula>
    </cfRule>
    <cfRule type="cellIs" dxfId="1430" priority="439" stopIfTrue="1" operator="lessThan">
      <formula>$K$11</formula>
    </cfRule>
  </conditionalFormatting>
  <conditionalFormatting sqref="L12">
    <cfRule type="cellIs" dxfId="1429" priority="418" stopIfTrue="1" operator="equal">
      <formula>$K$12</formula>
    </cfRule>
    <cfRule type="cellIs" dxfId="1428" priority="419" stopIfTrue="1" operator="lessThan">
      <formula>$K$12</formula>
    </cfRule>
  </conditionalFormatting>
  <conditionalFormatting sqref="L13">
    <cfRule type="cellIs" dxfId="1427" priority="420" stopIfTrue="1" operator="equal">
      <formula>$K$13</formula>
    </cfRule>
    <cfRule type="cellIs" dxfId="1426" priority="421" stopIfTrue="1" operator="lessThan">
      <formula>$K$13</formula>
    </cfRule>
  </conditionalFormatting>
  <conditionalFormatting sqref="L14">
    <cfRule type="cellIs" dxfId="1425" priority="422" stopIfTrue="1" operator="equal">
      <formula>$K$14</formula>
    </cfRule>
    <cfRule type="cellIs" dxfId="1424" priority="423" stopIfTrue="1" operator="lessThan">
      <formula>$K$14</formula>
    </cfRule>
  </conditionalFormatting>
  <conditionalFormatting sqref="L15">
    <cfRule type="cellIs" dxfId="1423" priority="424" stopIfTrue="1" operator="equal">
      <formula>$K$15</formula>
    </cfRule>
    <cfRule type="cellIs" dxfId="1422" priority="425" stopIfTrue="1" operator="lessThan">
      <formula>$K$15</formula>
    </cfRule>
  </conditionalFormatting>
  <conditionalFormatting sqref="L16">
    <cfRule type="cellIs" dxfId="1421" priority="426" stopIfTrue="1" operator="equal">
      <formula>$K$16</formula>
    </cfRule>
    <cfRule type="cellIs" dxfId="1420" priority="427" stopIfTrue="1" operator="lessThan">
      <formula>$K$16</formula>
    </cfRule>
  </conditionalFormatting>
  <conditionalFormatting sqref="L17">
    <cfRule type="cellIs" dxfId="1419" priority="428" stopIfTrue="1" operator="equal">
      <formula>$K$17</formula>
    </cfRule>
    <cfRule type="cellIs" dxfId="1418" priority="429" stopIfTrue="1" operator="lessThan">
      <formula>$K$17</formula>
    </cfRule>
  </conditionalFormatting>
  <conditionalFormatting sqref="L18">
    <cfRule type="cellIs" dxfId="1417" priority="430" stopIfTrue="1" operator="equal">
      <formula>$K$18</formula>
    </cfRule>
    <cfRule type="cellIs" dxfId="1416" priority="431" stopIfTrue="1" operator="lessThan">
      <formula>$K$18</formula>
    </cfRule>
  </conditionalFormatting>
  <conditionalFormatting sqref="L19">
    <cfRule type="cellIs" dxfId="1415" priority="432" stopIfTrue="1" operator="equal">
      <formula>$K$19</formula>
    </cfRule>
    <cfRule type="cellIs" dxfId="1414" priority="433" stopIfTrue="1" operator="lessThan">
      <formula>$K$19</formula>
    </cfRule>
  </conditionalFormatting>
  <conditionalFormatting sqref="L20">
    <cfRule type="cellIs" dxfId="1413" priority="434" stopIfTrue="1" operator="equal">
      <formula>$K$20</formula>
    </cfRule>
    <cfRule type="cellIs" dxfId="1412" priority="435" stopIfTrue="1" operator="lessThan">
      <formula>$K$20</formula>
    </cfRule>
  </conditionalFormatting>
  <conditionalFormatting sqref="L21">
    <cfRule type="cellIs" dxfId="1411" priority="436" stopIfTrue="1" operator="equal">
      <formula>$K$21</formula>
    </cfRule>
    <cfRule type="cellIs" dxfId="1410" priority="437" stopIfTrue="1" operator="lessThan">
      <formula>$K$21</formula>
    </cfRule>
  </conditionalFormatting>
  <conditionalFormatting sqref="L22">
    <cfRule type="cellIs" dxfId="1409" priority="440" stopIfTrue="1" operator="equal">
      <formula>$K$22</formula>
    </cfRule>
    <cfRule type="cellIs" dxfId="1408" priority="441" stopIfTrue="1" operator="lessThan">
      <formula>$K$22</formula>
    </cfRule>
  </conditionalFormatting>
  <conditionalFormatting sqref="L23">
    <cfRule type="cellIs" dxfId="1407" priority="442" stopIfTrue="1" operator="equal">
      <formula>$K$23</formula>
    </cfRule>
    <cfRule type="cellIs" dxfId="1406" priority="443" stopIfTrue="1" operator="lessThan">
      <formula>$K$23</formula>
    </cfRule>
  </conditionalFormatting>
  <conditionalFormatting sqref="L24">
    <cfRule type="cellIs" dxfId="1405" priority="444" stopIfTrue="1" operator="equal">
      <formula>$K$24</formula>
    </cfRule>
    <cfRule type="cellIs" dxfId="1404" priority="445" stopIfTrue="1" operator="lessThan">
      <formula>$K$24</formula>
    </cfRule>
  </conditionalFormatting>
  <conditionalFormatting sqref="L25">
    <cfRule type="cellIs" dxfId="1403" priority="446" stopIfTrue="1" operator="equal">
      <formula>$K$25</formula>
    </cfRule>
    <cfRule type="cellIs" dxfId="1402" priority="447" stopIfTrue="1" operator="lessThan">
      <formula>$K$25</formula>
    </cfRule>
  </conditionalFormatting>
  <conditionalFormatting sqref="L26">
    <cfRule type="cellIs" dxfId="1401" priority="448" stopIfTrue="1" operator="equal">
      <formula>$K$26</formula>
    </cfRule>
    <cfRule type="cellIs" dxfId="1400" priority="449" stopIfTrue="1" operator="lessThan">
      <formula>$K$26</formula>
    </cfRule>
  </conditionalFormatting>
  <conditionalFormatting sqref="L27">
    <cfRule type="cellIs" dxfId="1399" priority="450" stopIfTrue="1" operator="equal">
      <formula>$K$27</formula>
    </cfRule>
    <cfRule type="cellIs" dxfId="1398" priority="451" stopIfTrue="1" operator="lessThan">
      <formula>$K$27</formula>
    </cfRule>
  </conditionalFormatting>
  <conditionalFormatting sqref="L28">
    <cfRule type="cellIs" dxfId="1397" priority="452" stopIfTrue="1" operator="equal">
      <formula>$K$28</formula>
    </cfRule>
    <cfRule type="cellIs" dxfId="1396" priority="453" stopIfTrue="1" operator="lessThan">
      <formula>$K$28</formula>
    </cfRule>
  </conditionalFormatting>
  <conditionalFormatting sqref="M4">
    <cfRule type="cellIs" dxfId="1395" priority="454" stopIfTrue="1" operator="lessThan">
      <formula>$L$4</formula>
    </cfRule>
    <cfRule type="cellIs" dxfId="1394" priority="455" stopIfTrue="1" operator="equal">
      <formula>$L$4</formula>
    </cfRule>
  </conditionalFormatting>
  <conditionalFormatting sqref="M5">
    <cfRule type="cellIs" dxfId="1393" priority="456" stopIfTrue="1" operator="equal">
      <formula>$L$5</formula>
    </cfRule>
    <cfRule type="cellIs" dxfId="1392" priority="457" stopIfTrue="1" operator="lessThan">
      <formula>$L$5</formula>
    </cfRule>
  </conditionalFormatting>
  <conditionalFormatting sqref="M6">
    <cfRule type="cellIs" dxfId="1391" priority="458" stopIfTrue="1" operator="equal">
      <formula>$L$6</formula>
    </cfRule>
    <cfRule type="cellIs" dxfId="1390" priority="459" stopIfTrue="1" operator="lessThan">
      <formula>$L$6</formula>
    </cfRule>
  </conditionalFormatting>
  <conditionalFormatting sqref="M7">
    <cfRule type="cellIs" dxfId="1389" priority="460" stopIfTrue="1" operator="equal">
      <formula>$L$7</formula>
    </cfRule>
    <cfRule type="cellIs" dxfId="1388" priority="461" stopIfTrue="1" operator="lessThan">
      <formula>$L$7</formula>
    </cfRule>
  </conditionalFormatting>
  <conditionalFormatting sqref="M8">
    <cfRule type="cellIs" dxfId="1387" priority="462" stopIfTrue="1" operator="equal">
      <formula>$L$8</formula>
    </cfRule>
    <cfRule type="cellIs" dxfId="1386" priority="463" stopIfTrue="1" operator="lessThan">
      <formula>$L$8</formula>
    </cfRule>
  </conditionalFormatting>
  <conditionalFormatting sqref="M9">
    <cfRule type="cellIs" dxfId="1385" priority="464" stopIfTrue="1" operator="equal">
      <formula>$L$9</formula>
    </cfRule>
    <cfRule type="cellIs" dxfId="1384" priority="465" stopIfTrue="1" operator="lessThan">
      <formula>$L$9</formula>
    </cfRule>
  </conditionalFormatting>
  <conditionalFormatting sqref="M10">
    <cfRule type="cellIs" dxfId="1383" priority="466" stopIfTrue="1" operator="equal">
      <formula>$L$10</formula>
    </cfRule>
    <cfRule type="cellIs" dxfId="1382" priority="467" stopIfTrue="1" operator="lessThan">
      <formula>$L$10</formula>
    </cfRule>
  </conditionalFormatting>
  <conditionalFormatting sqref="M11">
    <cfRule type="cellIs" dxfId="1381" priority="468" stopIfTrue="1" operator="equal">
      <formula>$L$11</formula>
    </cfRule>
    <cfRule type="cellIs" dxfId="1380" priority="469" stopIfTrue="1" operator="lessThan">
      <formula>$L$11</formula>
    </cfRule>
  </conditionalFormatting>
  <conditionalFormatting sqref="M12">
    <cfRule type="cellIs" dxfId="1379" priority="470" stopIfTrue="1" operator="equal">
      <formula>$L$12</formula>
    </cfRule>
    <cfRule type="cellIs" dxfId="1378" priority="471" stopIfTrue="1" operator="lessThan">
      <formula>$L$12</formula>
    </cfRule>
  </conditionalFormatting>
  <conditionalFormatting sqref="M13">
    <cfRule type="cellIs" dxfId="1377" priority="472" stopIfTrue="1" operator="equal">
      <formula>$L$13</formula>
    </cfRule>
    <cfRule type="cellIs" dxfId="1376" priority="473" stopIfTrue="1" operator="lessThan">
      <formula>$L$13</formula>
    </cfRule>
  </conditionalFormatting>
  <conditionalFormatting sqref="M14">
    <cfRule type="cellIs" dxfId="1375" priority="474" stopIfTrue="1" operator="equal">
      <formula>$L$14</formula>
    </cfRule>
    <cfRule type="cellIs" dxfId="1374" priority="475" stopIfTrue="1" operator="lessThan">
      <formula>$L$14</formula>
    </cfRule>
  </conditionalFormatting>
  <conditionalFormatting sqref="M15">
    <cfRule type="cellIs" dxfId="1373" priority="476" stopIfTrue="1" operator="equal">
      <formula>$L$15</formula>
    </cfRule>
    <cfRule type="cellIs" dxfId="1372" priority="477" stopIfTrue="1" operator="lessThan">
      <formula>$L$15</formula>
    </cfRule>
  </conditionalFormatting>
  <conditionalFormatting sqref="M16">
    <cfRule type="cellIs" dxfId="1371" priority="478" stopIfTrue="1" operator="equal">
      <formula>$L$16</formula>
    </cfRule>
    <cfRule type="cellIs" dxfId="1370" priority="479" stopIfTrue="1" operator="lessThan">
      <formula>$L$16</formula>
    </cfRule>
  </conditionalFormatting>
  <conditionalFormatting sqref="M17">
    <cfRule type="cellIs" dxfId="1369" priority="480" stopIfTrue="1" operator="equal">
      <formula>$L$17</formula>
    </cfRule>
    <cfRule type="cellIs" dxfId="1368" priority="481" stopIfTrue="1" operator="lessThan">
      <formula>$L$17</formula>
    </cfRule>
  </conditionalFormatting>
  <conditionalFormatting sqref="M18">
    <cfRule type="cellIs" dxfId="1367" priority="482" stopIfTrue="1" operator="equal">
      <formula>$L$18</formula>
    </cfRule>
    <cfRule type="cellIs" dxfId="1366" priority="483" stopIfTrue="1" operator="lessThan">
      <formula>$L$18</formula>
    </cfRule>
  </conditionalFormatting>
  <conditionalFormatting sqref="M19">
    <cfRule type="cellIs" dxfId="1365" priority="484" stopIfTrue="1" operator="equal">
      <formula>$L$19</formula>
    </cfRule>
    <cfRule type="cellIs" dxfId="1364" priority="485" stopIfTrue="1" operator="lessThan">
      <formula>$L$19</formula>
    </cfRule>
  </conditionalFormatting>
  <conditionalFormatting sqref="M20">
    <cfRule type="cellIs" dxfId="1363" priority="486" stopIfTrue="1" operator="equal">
      <formula>$L$20</formula>
    </cfRule>
    <cfRule type="cellIs" dxfId="1362" priority="487" stopIfTrue="1" operator="lessThan">
      <formula>$L$20</formula>
    </cfRule>
  </conditionalFormatting>
  <conditionalFormatting sqref="M21">
    <cfRule type="cellIs" dxfId="1361" priority="488" stopIfTrue="1" operator="equal">
      <formula>$L$21</formula>
    </cfRule>
    <cfRule type="cellIs" dxfId="1360" priority="489" stopIfTrue="1" operator="lessThan">
      <formula>$L$21</formula>
    </cfRule>
  </conditionalFormatting>
  <conditionalFormatting sqref="M22">
    <cfRule type="cellIs" dxfId="1359" priority="490" stopIfTrue="1" operator="equal">
      <formula>$L$22</formula>
    </cfRule>
    <cfRule type="cellIs" dxfId="1358" priority="491" stopIfTrue="1" operator="lessThan">
      <formula>$L$22</formula>
    </cfRule>
  </conditionalFormatting>
  <conditionalFormatting sqref="M23">
    <cfRule type="cellIs" dxfId="1357" priority="492" stopIfTrue="1" operator="equal">
      <formula>$L$23</formula>
    </cfRule>
    <cfRule type="cellIs" dxfId="1356" priority="493" stopIfTrue="1" operator="lessThan">
      <formula>$L$23</formula>
    </cfRule>
  </conditionalFormatting>
  <conditionalFormatting sqref="M24">
    <cfRule type="cellIs" dxfId="1355" priority="494" stopIfTrue="1" operator="equal">
      <formula>$L$24</formula>
    </cfRule>
    <cfRule type="cellIs" dxfId="1354" priority="495" stopIfTrue="1" operator="lessThan">
      <formula>$L$24</formula>
    </cfRule>
  </conditionalFormatting>
  <conditionalFormatting sqref="M25">
    <cfRule type="cellIs" dxfId="1353" priority="496" stopIfTrue="1" operator="equal">
      <formula>$L$25</formula>
    </cfRule>
    <cfRule type="cellIs" dxfId="1352" priority="497" stopIfTrue="1" operator="lessThan">
      <formula>$L$25</formula>
    </cfRule>
  </conditionalFormatting>
  <conditionalFormatting sqref="M26">
    <cfRule type="cellIs" dxfId="1351" priority="498" stopIfTrue="1" operator="equal">
      <formula>$L$26</formula>
    </cfRule>
    <cfRule type="cellIs" dxfId="1350" priority="499" stopIfTrue="1" operator="lessThan">
      <formula>$L$26</formula>
    </cfRule>
  </conditionalFormatting>
  <conditionalFormatting sqref="M27">
    <cfRule type="cellIs" dxfId="1349" priority="500" stopIfTrue="1" operator="equal">
      <formula>$L$27</formula>
    </cfRule>
    <cfRule type="cellIs" dxfId="1348" priority="501" stopIfTrue="1" operator="lessThan">
      <formula>$L$27</formula>
    </cfRule>
  </conditionalFormatting>
  <conditionalFormatting sqref="M28">
    <cfRule type="cellIs" dxfId="1347" priority="502" stopIfTrue="1" operator="equal">
      <formula>$L$28</formula>
    </cfRule>
    <cfRule type="cellIs" dxfId="1346" priority="503" stopIfTrue="1" operator="lessThan">
      <formula>$L$28</formula>
    </cfRule>
  </conditionalFormatting>
  <conditionalFormatting sqref="N4">
    <cfRule type="cellIs" dxfId="1345" priority="504" stopIfTrue="1" operator="equal">
      <formula>$M$4</formula>
    </cfRule>
    <cfRule type="cellIs" dxfId="1344" priority="505" stopIfTrue="1" operator="lessThan">
      <formula>$M$4</formula>
    </cfRule>
  </conditionalFormatting>
  <conditionalFormatting sqref="N5">
    <cfRule type="cellIs" dxfId="1343" priority="506" stopIfTrue="1" operator="equal">
      <formula>$M$5</formula>
    </cfRule>
    <cfRule type="cellIs" dxfId="1342" priority="507" stopIfTrue="1" operator="lessThan">
      <formula>$M$5</formula>
    </cfRule>
  </conditionalFormatting>
  <conditionalFormatting sqref="N6">
    <cfRule type="cellIs" dxfId="1341" priority="508" stopIfTrue="1" operator="equal">
      <formula>$M$6</formula>
    </cfRule>
    <cfRule type="cellIs" dxfId="1340" priority="509" stopIfTrue="1" operator="lessThan">
      <formula>$M$6</formula>
    </cfRule>
  </conditionalFormatting>
  <conditionalFormatting sqref="N7">
    <cfRule type="cellIs" dxfId="1339" priority="510" stopIfTrue="1" operator="equal">
      <formula>$M$7</formula>
    </cfRule>
    <cfRule type="cellIs" dxfId="1338" priority="511" stopIfTrue="1" operator="lessThan">
      <formula>$M$7</formula>
    </cfRule>
  </conditionalFormatting>
  <conditionalFormatting sqref="N8">
    <cfRule type="cellIs" dxfId="1337" priority="512" stopIfTrue="1" operator="equal">
      <formula>$M$8</formula>
    </cfRule>
    <cfRule type="cellIs" dxfId="1336" priority="513" stopIfTrue="1" operator="lessThan">
      <formula>$M$8</formula>
    </cfRule>
  </conditionalFormatting>
  <conditionalFormatting sqref="N9">
    <cfRule type="cellIs" dxfId="1335" priority="514" stopIfTrue="1" operator="equal">
      <formula>$M$9</formula>
    </cfRule>
    <cfRule type="cellIs" dxfId="1334" priority="515" stopIfTrue="1" operator="lessThan">
      <formula>$M$9</formula>
    </cfRule>
  </conditionalFormatting>
  <conditionalFormatting sqref="N10">
    <cfRule type="cellIs" dxfId="1333" priority="516" stopIfTrue="1" operator="equal">
      <formula>$M$10</formula>
    </cfRule>
    <cfRule type="cellIs" dxfId="1332" priority="517" stopIfTrue="1" operator="lessThan">
      <formula>$M$10</formula>
    </cfRule>
  </conditionalFormatting>
  <conditionalFormatting sqref="N11">
    <cfRule type="cellIs" dxfId="1331" priority="518" stopIfTrue="1" operator="equal">
      <formula>$M$11</formula>
    </cfRule>
    <cfRule type="cellIs" dxfId="1330" priority="519" stopIfTrue="1" operator="lessThan">
      <formula>$M$11</formula>
    </cfRule>
  </conditionalFormatting>
  <conditionalFormatting sqref="N12">
    <cfRule type="cellIs" dxfId="1329" priority="520" stopIfTrue="1" operator="equal">
      <formula>$M$12</formula>
    </cfRule>
    <cfRule type="cellIs" dxfId="1328" priority="521" stopIfTrue="1" operator="lessThan">
      <formula>$M$12</formula>
    </cfRule>
  </conditionalFormatting>
  <conditionalFormatting sqref="N13">
    <cfRule type="cellIs" dxfId="1327" priority="522" stopIfTrue="1" operator="equal">
      <formula>$M$13</formula>
    </cfRule>
    <cfRule type="cellIs" dxfId="1326" priority="523" stopIfTrue="1" operator="lessThan">
      <formula>$M$13</formula>
    </cfRule>
  </conditionalFormatting>
  <conditionalFormatting sqref="N14">
    <cfRule type="cellIs" dxfId="1325" priority="524" stopIfTrue="1" operator="equal">
      <formula>$M$14</formula>
    </cfRule>
    <cfRule type="cellIs" dxfId="1324" priority="525" stopIfTrue="1" operator="lessThan">
      <formula>$M$14</formula>
    </cfRule>
  </conditionalFormatting>
  <conditionalFormatting sqref="N15">
    <cfRule type="cellIs" dxfId="1323" priority="526" stopIfTrue="1" operator="equal">
      <formula>$M$15</formula>
    </cfRule>
    <cfRule type="cellIs" dxfId="1322" priority="527" stopIfTrue="1" operator="lessThan">
      <formula>$M$15</formula>
    </cfRule>
  </conditionalFormatting>
  <conditionalFormatting sqref="N16">
    <cfRule type="cellIs" dxfId="1321" priority="528" stopIfTrue="1" operator="equal">
      <formula>$M$16</formula>
    </cfRule>
    <cfRule type="cellIs" dxfId="1320" priority="529" stopIfTrue="1" operator="lessThan">
      <formula>$M$16</formula>
    </cfRule>
  </conditionalFormatting>
  <conditionalFormatting sqref="N17">
    <cfRule type="cellIs" dxfId="1319" priority="530" stopIfTrue="1" operator="equal">
      <formula>$M$17</formula>
    </cfRule>
    <cfRule type="cellIs" dxfId="1318" priority="531" stopIfTrue="1" operator="lessThan">
      <formula>$M$17</formula>
    </cfRule>
  </conditionalFormatting>
  <conditionalFormatting sqref="N18">
    <cfRule type="cellIs" dxfId="1317" priority="532" stopIfTrue="1" operator="equal">
      <formula>$M$18</formula>
    </cfRule>
    <cfRule type="cellIs" dxfId="1316" priority="533" stopIfTrue="1" operator="lessThan">
      <formula>$M$18</formula>
    </cfRule>
  </conditionalFormatting>
  <conditionalFormatting sqref="N19">
    <cfRule type="cellIs" dxfId="1315" priority="534" stopIfTrue="1" operator="equal">
      <formula>$M$19</formula>
    </cfRule>
    <cfRule type="cellIs" dxfId="1314" priority="535" stopIfTrue="1" operator="lessThan">
      <formula>$M$19</formula>
    </cfRule>
  </conditionalFormatting>
  <conditionalFormatting sqref="N20">
    <cfRule type="cellIs" dxfId="1313" priority="536" stopIfTrue="1" operator="equal">
      <formula>$M$20</formula>
    </cfRule>
    <cfRule type="cellIs" dxfId="1312" priority="537" stopIfTrue="1" operator="lessThan">
      <formula>$M$20</formula>
    </cfRule>
  </conditionalFormatting>
  <conditionalFormatting sqref="N21">
    <cfRule type="cellIs" dxfId="1311" priority="538" stopIfTrue="1" operator="equal">
      <formula>$M$21</formula>
    </cfRule>
    <cfRule type="cellIs" dxfId="1310" priority="539" stopIfTrue="1" operator="lessThan">
      <formula>$M$21</formula>
    </cfRule>
  </conditionalFormatting>
  <conditionalFormatting sqref="N22">
    <cfRule type="cellIs" dxfId="1309" priority="540" stopIfTrue="1" operator="equal">
      <formula>$M$22</formula>
    </cfRule>
    <cfRule type="cellIs" dxfId="1308" priority="541" stopIfTrue="1" operator="lessThan">
      <formula>$M$22</formula>
    </cfRule>
  </conditionalFormatting>
  <conditionalFormatting sqref="N23">
    <cfRule type="cellIs" dxfId="1307" priority="542" stopIfTrue="1" operator="equal">
      <formula>$M$23</formula>
    </cfRule>
    <cfRule type="cellIs" dxfId="1306" priority="543" stopIfTrue="1" operator="lessThan">
      <formula>$M$23</formula>
    </cfRule>
  </conditionalFormatting>
  <conditionalFormatting sqref="N24">
    <cfRule type="cellIs" dxfId="1305" priority="544" stopIfTrue="1" operator="equal">
      <formula>$M$24</formula>
    </cfRule>
    <cfRule type="cellIs" dxfId="1304" priority="545" stopIfTrue="1" operator="lessThan">
      <formula>$M$24</formula>
    </cfRule>
  </conditionalFormatting>
  <conditionalFormatting sqref="N25">
    <cfRule type="cellIs" dxfId="1303" priority="546" stopIfTrue="1" operator="equal">
      <formula>$M$25</formula>
    </cfRule>
    <cfRule type="cellIs" dxfId="1302" priority="547" stopIfTrue="1" operator="lessThan">
      <formula>$M$25</formula>
    </cfRule>
  </conditionalFormatting>
  <conditionalFormatting sqref="N26">
    <cfRule type="cellIs" dxfId="1301" priority="548" stopIfTrue="1" operator="equal">
      <formula>$M$26</formula>
    </cfRule>
    <cfRule type="cellIs" dxfId="1300" priority="549" stopIfTrue="1" operator="lessThan">
      <formula>$M$26</formula>
    </cfRule>
  </conditionalFormatting>
  <conditionalFormatting sqref="N27">
    <cfRule type="cellIs" dxfId="1299" priority="550" stopIfTrue="1" operator="equal">
      <formula>$M$27</formula>
    </cfRule>
    <cfRule type="cellIs" dxfId="1298" priority="551" stopIfTrue="1" operator="lessThan">
      <formula>$M$27</formula>
    </cfRule>
  </conditionalFormatting>
  <conditionalFormatting sqref="N28">
    <cfRule type="cellIs" dxfId="1297" priority="552" stopIfTrue="1" operator="equal">
      <formula>$M$28</formula>
    </cfRule>
    <cfRule type="cellIs" dxfId="1296" priority="553" stopIfTrue="1" operator="lessThan">
      <formula>$M$28</formula>
    </cfRule>
  </conditionalFormatting>
  <conditionalFormatting sqref="O4">
    <cfRule type="cellIs" dxfId="1295" priority="554" stopIfTrue="1" operator="equal">
      <formula>$N$4</formula>
    </cfRule>
    <cfRule type="cellIs" dxfId="1294" priority="555" stopIfTrue="1" operator="lessThan">
      <formula>$N$4</formula>
    </cfRule>
  </conditionalFormatting>
  <conditionalFormatting sqref="O5">
    <cfRule type="cellIs" dxfId="1293" priority="556" stopIfTrue="1" operator="equal">
      <formula>$N$5</formula>
    </cfRule>
    <cfRule type="cellIs" dxfId="1292" priority="557" stopIfTrue="1" operator="lessThan">
      <formula>$N$5</formula>
    </cfRule>
  </conditionalFormatting>
  <conditionalFormatting sqref="O6">
    <cfRule type="cellIs" dxfId="1291" priority="558" stopIfTrue="1" operator="equal">
      <formula>$N$6</formula>
    </cfRule>
    <cfRule type="cellIs" dxfId="1290" priority="559" stopIfTrue="1" operator="lessThan">
      <formula>$N$6</formula>
    </cfRule>
  </conditionalFormatting>
  <conditionalFormatting sqref="O7">
    <cfRule type="cellIs" dxfId="1289" priority="560" stopIfTrue="1" operator="equal">
      <formula>$N$7</formula>
    </cfRule>
    <cfRule type="cellIs" dxfId="1288" priority="561" stopIfTrue="1" operator="lessThan">
      <formula>$N$7</formula>
    </cfRule>
  </conditionalFormatting>
  <conditionalFormatting sqref="O8">
    <cfRule type="cellIs" dxfId="1287" priority="562" stopIfTrue="1" operator="equal">
      <formula>$N$8</formula>
    </cfRule>
    <cfRule type="cellIs" dxfId="1286" priority="563" stopIfTrue="1" operator="lessThan">
      <formula>$N$8</formula>
    </cfRule>
  </conditionalFormatting>
  <conditionalFormatting sqref="O9">
    <cfRule type="cellIs" dxfId="1285" priority="564" stopIfTrue="1" operator="equal">
      <formula>$N$9</formula>
    </cfRule>
    <cfRule type="cellIs" dxfId="1284" priority="565" stopIfTrue="1" operator="lessThan">
      <formula>$N$9</formula>
    </cfRule>
  </conditionalFormatting>
  <conditionalFormatting sqref="O10">
    <cfRule type="cellIs" dxfId="1283" priority="566" stopIfTrue="1" operator="equal">
      <formula>$N$10</formula>
    </cfRule>
    <cfRule type="cellIs" dxfId="1282" priority="567" stopIfTrue="1" operator="lessThan">
      <formula>$N$10</formula>
    </cfRule>
  </conditionalFormatting>
  <conditionalFormatting sqref="O11">
    <cfRule type="cellIs" dxfId="1281" priority="568" stopIfTrue="1" operator="equal">
      <formula>$N$11</formula>
    </cfRule>
    <cfRule type="cellIs" dxfId="1280" priority="569" stopIfTrue="1" operator="lessThan">
      <formula>$N$11</formula>
    </cfRule>
  </conditionalFormatting>
  <conditionalFormatting sqref="O12">
    <cfRule type="cellIs" dxfId="1279" priority="570" stopIfTrue="1" operator="equal">
      <formula>$N$12</formula>
    </cfRule>
    <cfRule type="cellIs" dxfId="1278" priority="571" stopIfTrue="1" operator="lessThan">
      <formula>$N$12</formula>
    </cfRule>
  </conditionalFormatting>
  <conditionalFormatting sqref="O13">
    <cfRule type="cellIs" dxfId="1277" priority="572" stopIfTrue="1" operator="equal">
      <formula>$N$13</formula>
    </cfRule>
    <cfRule type="cellIs" dxfId="1276" priority="573" stopIfTrue="1" operator="lessThan">
      <formula>$N$13</formula>
    </cfRule>
  </conditionalFormatting>
  <conditionalFormatting sqref="O14">
    <cfRule type="cellIs" dxfId="1275" priority="574" stopIfTrue="1" operator="equal">
      <formula>$N$14</formula>
    </cfRule>
    <cfRule type="cellIs" dxfId="1274" priority="575" stopIfTrue="1" operator="lessThan">
      <formula>$N$14</formula>
    </cfRule>
  </conditionalFormatting>
  <conditionalFormatting sqref="O15">
    <cfRule type="cellIs" dxfId="1273" priority="576" stopIfTrue="1" operator="equal">
      <formula>$N$15</formula>
    </cfRule>
    <cfRule type="cellIs" dxfId="1272" priority="577" stopIfTrue="1" operator="lessThan">
      <formula>$N$15</formula>
    </cfRule>
  </conditionalFormatting>
  <conditionalFormatting sqref="O16">
    <cfRule type="cellIs" dxfId="1271" priority="578" stopIfTrue="1" operator="equal">
      <formula>$N$16</formula>
    </cfRule>
    <cfRule type="cellIs" dxfId="1270" priority="579" stopIfTrue="1" operator="lessThan">
      <formula>$N$16</formula>
    </cfRule>
  </conditionalFormatting>
  <conditionalFormatting sqref="O17">
    <cfRule type="cellIs" dxfId="1269" priority="580" stopIfTrue="1" operator="equal">
      <formula>$N$17</formula>
    </cfRule>
    <cfRule type="cellIs" dxfId="1268" priority="581" stopIfTrue="1" operator="lessThan">
      <formula>$N$17</formula>
    </cfRule>
  </conditionalFormatting>
  <conditionalFormatting sqref="O18">
    <cfRule type="cellIs" dxfId="1267" priority="582" stopIfTrue="1" operator="equal">
      <formula>$N$18</formula>
    </cfRule>
    <cfRule type="cellIs" dxfId="1266" priority="583" stopIfTrue="1" operator="lessThan">
      <formula>$N$18</formula>
    </cfRule>
  </conditionalFormatting>
  <conditionalFormatting sqref="O19">
    <cfRule type="cellIs" dxfId="1265" priority="584" stopIfTrue="1" operator="equal">
      <formula>$N$19</formula>
    </cfRule>
    <cfRule type="cellIs" dxfId="1264" priority="585" stopIfTrue="1" operator="lessThan">
      <formula>$N$19</formula>
    </cfRule>
  </conditionalFormatting>
  <conditionalFormatting sqref="O20">
    <cfRule type="cellIs" dxfId="1263" priority="586" stopIfTrue="1" operator="equal">
      <formula>$N$20</formula>
    </cfRule>
    <cfRule type="cellIs" dxfId="1262" priority="587" stopIfTrue="1" operator="lessThan">
      <formula>$N$20</formula>
    </cfRule>
  </conditionalFormatting>
  <conditionalFormatting sqref="O21">
    <cfRule type="cellIs" dxfId="1261" priority="588" stopIfTrue="1" operator="equal">
      <formula>$N$21</formula>
    </cfRule>
    <cfRule type="cellIs" dxfId="1260" priority="589" stopIfTrue="1" operator="lessThan">
      <formula>$N$21</formula>
    </cfRule>
  </conditionalFormatting>
  <conditionalFormatting sqref="O22">
    <cfRule type="cellIs" dxfId="1259" priority="590" stopIfTrue="1" operator="equal">
      <formula>$N$22</formula>
    </cfRule>
    <cfRule type="cellIs" dxfId="1258" priority="591" stopIfTrue="1" operator="lessThan">
      <formula>$N$22</formula>
    </cfRule>
  </conditionalFormatting>
  <conditionalFormatting sqref="O23">
    <cfRule type="cellIs" dxfId="1257" priority="592" stopIfTrue="1" operator="equal">
      <formula>$N$23</formula>
    </cfRule>
    <cfRule type="cellIs" dxfId="1256" priority="593" stopIfTrue="1" operator="lessThan">
      <formula>$N$23</formula>
    </cfRule>
  </conditionalFormatting>
  <conditionalFormatting sqref="O24">
    <cfRule type="cellIs" dxfId="1255" priority="594" stopIfTrue="1" operator="equal">
      <formula>$N$24</formula>
    </cfRule>
    <cfRule type="cellIs" dxfId="1254" priority="595" stopIfTrue="1" operator="lessThan">
      <formula>$N$24</formula>
    </cfRule>
  </conditionalFormatting>
  <conditionalFormatting sqref="O25">
    <cfRule type="cellIs" dxfId="1253" priority="596" stopIfTrue="1" operator="equal">
      <formula>$N$25</formula>
    </cfRule>
    <cfRule type="cellIs" dxfId="1252" priority="597" stopIfTrue="1" operator="lessThan">
      <formula>$N$25</formula>
    </cfRule>
  </conditionalFormatting>
  <conditionalFormatting sqref="O26">
    <cfRule type="cellIs" dxfId="1251" priority="598" stopIfTrue="1" operator="equal">
      <formula>$N$26</formula>
    </cfRule>
    <cfRule type="cellIs" dxfId="1250" priority="599" stopIfTrue="1" operator="lessThan">
      <formula>$N$26</formula>
    </cfRule>
  </conditionalFormatting>
  <conditionalFormatting sqref="O27">
    <cfRule type="cellIs" dxfId="1249" priority="600" stopIfTrue="1" operator="equal">
      <formula>$N$27</formula>
    </cfRule>
    <cfRule type="cellIs" dxfId="1248" priority="601" stopIfTrue="1" operator="lessThan">
      <formula>$N$27</formula>
    </cfRule>
  </conditionalFormatting>
  <conditionalFormatting sqref="O28">
    <cfRule type="cellIs" dxfId="1247" priority="602" stopIfTrue="1" operator="equal">
      <formula>$N$28</formula>
    </cfRule>
    <cfRule type="cellIs" dxfId="1246" priority="603" stopIfTrue="1" operator="lessThan">
      <formula>$N$28</formula>
    </cfRule>
  </conditionalFormatting>
  <conditionalFormatting sqref="U4:AG23">
    <cfRule type="cellIs" dxfId="1245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1"/>
  <sheetViews>
    <sheetView workbookViewId="0">
      <selection activeCell="O2" sqref="O2"/>
    </sheetView>
  </sheetViews>
  <sheetFormatPr defaultRowHeight="14.5" x14ac:dyDescent="0.35"/>
  <cols>
    <col min="1" max="1" width="8.54296875" style="1" customWidth="1"/>
    <col min="2" max="2" width="26.1796875" customWidth="1"/>
    <col min="3" max="15" width="10.1796875" customWidth="1"/>
    <col min="16" max="16" width="9.81640625" bestFit="1" customWidth="1"/>
    <col min="17" max="17" width="11.1796875" bestFit="1" customWidth="1"/>
    <col min="18" max="18" width="9.26953125" bestFit="1" customWidth="1"/>
    <col min="19" max="19" width="3.54296875" customWidth="1"/>
  </cols>
  <sheetData>
    <row r="1" spans="1:32" ht="15" thickBot="1" x14ac:dyDescent="0.4"/>
    <row r="2" spans="1:32" s="1" customFormat="1" ht="21" customHeight="1" thickBot="1" x14ac:dyDescent="0.55000000000000004">
      <c r="A2" s="112">
        <v>1856</v>
      </c>
      <c r="B2" s="2"/>
      <c r="C2" s="3">
        <f>'1850'!C2</f>
        <v>45658</v>
      </c>
      <c r="D2" s="3">
        <f>'1850'!D2</f>
        <v>45688</v>
      </c>
      <c r="E2" s="3">
        <f>'1850'!E2</f>
        <v>45716</v>
      </c>
      <c r="F2" s="3">
        <f>'1850'!F2</f>
        <v>45748</v>
      </c>
      <c r="G2" s="3">
        <f>'1850'!G2</f>
        <v>45779</v>
      </c>
      <c r="H2" s="3">
        <f>'1850'!H2</f>
        <v>45810</v>
      </c>
      <c r="I2" s="3">
        <f>'1850'!I2</f>
        <v>45839</v>
      </c>
      <c r="J2" s="3">
        <f>'1850'!J2</f>
        <v>45870</v>
      </c>
      <c r="K2" s="3">
        <f>'1850'!K2</f>
        <v>45901</v>
      </c>
      <c r="L2" s="3">
        <f>'1850'!L2</f>
        <v>45931</v>
      </c>
      <c r="M2" s="3">
        <f>'1850'!M2</f>
        <v>45961</v>
      </c>
      <c r="N2" s="3">
        <f>'1850'!N2</f>
        <v>45992</v>
      </c>
      <c r="O2" s="3">
        <f>'1850'!O2</f>
        <v>46022</v>
      </c>
      <c r="P2" s="1" t="s">
        <v>25</v>
      </c>
      <c r="Q2" s="1" t="s">
        <v>26</v>
      </c>
      <c r="R2" s="1" t="s">
        <v>27</v>
      </c>
      <c r="U2" s="142"/>
      <c r="V2" s="143"/>
      <c r="W2" s="143"/>
      <c r="X2" s="143"/>
      <c r="Y2" s="143" t="s">
        <v>106</v>
      </c>
      <c r="Z2" s="143"/>
      <c r="AA2" s="143"/>
      <c r="AB2" s="143"/>
      <c r="AC2" s="143"/>
      <c r="AD2" s="143"/>
      <c r="AE2" s="143"/>
      <c r="AF2" s="147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79</v>
      </c>
      <c r="Q3" s="1" t="s">
        <v>78</v>
      </c>
      <c r="R3" s="1" t="s">
        <v>80</v>
      </c>
      <c r="T3" s="1" t="s">
        <v>105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303">
        <v>1</v>
      </c>
      <c r="B4" s="6" t="s">
        <v>407</v>
      </c>
      <c r="C4" s="76">
        <v>13.94</v>
      </c>
      <c r="D4" s="7">
        <v>26.047999999999998</v>
      </c>
      <c r="E4" s="7">
        <v>36.412999999999997</v>
      </c>
      <c r="F4" s="7">
        <v>44.695</v>
      </c>
      <c r="G4" s="7">
        <v>55.801000000000002</v>
      </c>
      <c r="H4" s="7">
        <v>68.403000000000006</v>
      </c>
      <c r="I4" s="7">
        <v>79.213999999999999</v>
      </c>
      <c r="J4" s="7">
        <v>84.244</v>
      </c>
      <c r="K4" s="7">
        <v>97.399000000000001</v>
      </c>
      <c r="L4" s="8">
        <v>110.378</v>
      </c>
      <c r="M4" s="7">
        <v>123.536</v>
      </c>
      <c r="N4" s="7">
        <v>135.11000000000001</v>
      </c>
      <c r="O4" s="7">
        <v>146.869</v>
      </c>
      <c r="P4" s="32">
        <f>O4-C4</f>
        <v>132.929</v>
      </c>
      <c r="Q4" s="9"/>
      <c r="T4" s="1">
        <v>1</v>
      </c>
      <c r="U4" s="144">
        <f t="shared" ref="U4:AF4" si="0">D4-C4</f>
        <v>12.107999999999999</v>
      </c>
      <c r="V4" s="144">
        <f t="shared" si="0"/>
        <v>10.364999999999998</v>
      </c>
      <c r="W4" s="144">
        <f t="shared" si="0"/>
        <v>8.2820000000000036</v>
      </c>
      <c r="X4" s="144">
        <f t="shared" si="0"/>
        <v>11.106000000000002</v>
      </c>
      <c r="Y4" s="144">
        <f t="shared" si="0"/>
        <v>12.602000000000004</v>
      </c>
      <c r="Z4" s="144">
        <f t="shared" si="0"/>
        <v>10.810999999999993</v>
      </c>
      <c r="AA4" s="144">
        <f t="shared" si="0"/>
        <v>5.0300000000000011</v>
      </c>
      <c r="AB4" s="144">
        <f t="shared" si="0"/>
        <v>13.155000000000001</v>
      </c>
      <c r="AC4" s="144">
        <f t="shared" si="0"/>
        <v>12.978999999999999</v>
      </c>
      <c r="AD4" s="144">
        <f t="shared" si="0"/>
        <v>13.158000000000001</v>
      </c>
      <c r="AE4" s="144">
        <f t="shared" si="0"/>
        <v>11.574000000000012</v>
      </c>
      <c r="AF4" s="144">
        <f t="shared" si="0"/>
        <v>11.758999999999986</v>
      </c>
    </row>
    <row r="5" spans="1:32" x14ac:dyDescent="0.35">
      <c r="A5" s="303"/>
      <c r="B5" s="10" t="s">
        <v>301</v>
      </c>
      <c r="C5" s="77">
        <v>42.305</v>
      </c>
      <c r="D5" s="11">
        <v>47.405000000000001</v>
      </c>
      <c r="E5" s="11">
        <v>52.305999999999997</v>
      </c>
      <c r="F5" s="11">
        <v>55.75</v>
      </c>
      <c r="G5" s="11">
        <v>57.584000000000003</v>
      </c>
      <c r="H5" s="11">
        <v>59.073</v>
      </c>
      <c r="I5" s="11">
        <v>59.567</v>
      </c>
      <c r="J5" s="11">
        <v>59.765999999999998</v>
      </c>
      <c r="K5" s="11">
        <v>60.289000000000001</v>
      </c>
      <c r="L5" s="12">
        <v>61.320999999999998</v>
      </c>
      <c r="M5" s="11">
        <v>63.963000000000001</v>
      </c>
      <c r="N5" s="11">
        <v>68.153000000000006</v>
      </c>
      <c r="O5" s="11">
        <v>72.936999999999998</v>
      </c>
      <c r="Q5" s="9">
        <f>O5-C5</f>
        <v>30.631999999999998</v>
      </c>
      <c r="T5" s="1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</row>
    <row r="6" spans="1:32" x14ac:dyDescent="0.35">
      <c r="A6" s="302">
        <v>2</v>
      </c>
      <c r="B6" s="10" t="s">
        <v>408</v>
      </c>
      <c r="C6" s="77">
        <v>5.9189999999999996</v>
      </c>
      <c r="D6" s="11">
        <v>10.936999999999999</v>
      </c>
      <c r="E6" s="11">
        <v>14.786</v>
      </c>
      <c r="F6" s="11">
        <v>19.524999999999999</v>
      </c>
      <c r="G6" s="11">
        <v>25.198</v>
      </c>
      <c r="H6" s="11">
        <v>29.821000000000002</v>
      </c>
      <c r="I6" s="11">
        <v>34.386000000000003</v>
      </c>
      <c r="J6" s="11">
        <v>39.926000000000002</v>
      </c>
      <c r="K6" s="11">
        <v>44.953000000000003</v>
      </c>
      <c r="L6" s="11">
        <v>49.942</v>
      </c>
      <c r="M6" s="11">
        <v>54.890999999999998</v>
      </c>
      <c r="N6" s="11">
        <v>59.372999999999998</v>
      </c>
      <c r="O6" s="11">
        <v>64.721000000000004</v>
      </c>
      <c r="P6" s="32">
        <f t="shared" ref="P6" si="1">O6-C6</f>
        <v>58.802000000000007</v>
      </c>
      <c r="Q6" s="9"/>
      <c r="T6" s="1">
        <v>2</v>
      </c>
      <c r="U6" s="146">
        <f t="shared" ref="U6:AF6" si="2">D6-C6</f>
        <v>5.0179999999999998</v>
      </c>
      <c r="V6" s="146">
        <f t="shared" si="2"/>
        <v>3.8490000000000002</v>
      </c>
      <c r="W6" s="146">
        <f t="shared" si="2"/>
        <v>4.738999999999999</v>
      </c>
      <c r="X6" s="146">
        <f t="shared" si="2"/>
        <v>5.6730000000000018</v>
      </c>
      <c r="Y6" s="146">
        <f t="shared" si="2"/>
        <v>4.6230000000000011</v>
      </c>
      <c r="Z6" s="146">
        <f t="shared" si="2"/>
        <v>4.5650000000000013</v>
      </c>
      <c r="AA6" s="146">
        <f t="shared" si="2"/>
        <v>5.5399999999999991</v>
      </c>
      <c r="AB6" s="146">
        <f t="shared" si="2"/>
        <v>5.027000000000001</v>
      </c>
      <c r="AC6" s="146">
        <f t="shared" si="2"/>
        <v>4.9889999999999972</v>
      </c>
      <c r="AD6" s="146">
        <f t="shared" si="2"/>
        <v>4.9489999999999981</v>
      </c>
      <c r="AE6" s="146">
        <f t="shared" si="2"/>
        <v>4.4819999999999993</v>
      </c>
      <c r="AF6" s="146">
        <f t="shared" si="2"/>
        <v>5.3480000000000061</v>
      </c>
    </row>
    <row r="7" spans="1:32" x14ac:dyDescent="0.35">
      <c r="A7" s="302"/>
      <c r="B7" s="10" t="s">
        <v>302</v>
      </c>
      <c r="C7" s="77">
        <v>11.413</v>
      </c>
      <c r="D7" s="11">
        <v>13.067</v>
      </c>
      <c r="E7" s="11">
        <v>14.339</v>
      </c>
      <c r="F7" s="11">
        <v>15</v>
      </c>
      <c r="G7" s="11">
        <v>15.428000000000001</v>
      </c>
      <c r="H7" s="11">
        <v>15.715</v>
      </c>
      <c r="I7" s="11">
        <v>15.978999999999999</v>
      </c>
      <c r="J7" s="11">
        <v>16.262</v>
      </c>
      <c r="K7" s="11">
        <v>16.495000000000001</v>
      </c>
      <c r="L7" s="11">
        <v>16.811</v>
      </c>
      <c r="M7" s="11">
        <v>17.285</v>
      </c>
      <c r="N7" s="11">
        <v>18.436</v>
      </c>
      <c r="O7" s="11">
        <v>19.777000000000001</v>
      </c>
      <c r="Q7" s="9">
        <f t="shared" ref="Q7" si="3">O7-C7</f>
        <v>8.3640000000000008</v>
      </c>
      <c r="T7" s="1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</row>
    <row r="8" spans="1:32" x14ac:dyDescent="0.35">
      <c r="A8" s="302">
        <v>3</v>
      </c>
      <c r="B8" s="10" t="s">
        <v>409</v>
      </c>
      <c r="C8" s="77">
        <v>3.323</v>
      </c>
      <c r="D8" s="11">
        <v>7.5389999999999997</v>
      </c>
      <c r="E8" s="11">
        <v>10.172000000000001</v>
      </c>
      <c r="F8" s="11">
        <v>14.824</v>
      </c>
      <c r="G8" s="11">
        <v>18.722999999999999</v>
      </c>
      <c r="H8" s="11">
        <v>21.138999999999999</v>
      </c>
      <c r="I8" s="11">
        <v>24.295000000000002</v>
      </c>
      <c r="J8" s="11">
        <v>27.686</v>
      </c>
      <c r="K8" s="11">
        <v>30.826000000000001</v>
      </c>
      <c r="L8" s="11">
        <v>33.323999999999998</v>
      </c>
      <c r="M8" s="11">
        <v>36.770000000000003</v>
      </c>
      <c r="N8" s="11">
        <v>39.481999999999999</v>
      </c>
      <c r="O8" s="11">
        <v>43.377000000000002</v>
      </c>
      <c r="P8" s="32">
        <f t="shared" ref="P8" si="4">O8-C8</f>
        <v>40.054000000000002</v>
      </c>
      <c r="Q8" s="9"/>
      <c r="T8" s="1">
        <v>3</v>
      </c>
      <c r="U8" s="146">
        <f t="shared" ref="U8:AF8" si="5">D8-C8</f>
        <v>4.2159999999999993</v>
      </c>
      <c r="V8" s="146">
        <f t="shared" si="5"/>
        <v>2.6330000000000009</v>
      </c>
      <c r="W8" s="146">
        <f t="shared" si="5"/>
        <v>4.6519999999999992</v>
      </c>
      <c r="X8" s="146">
        <f t="shared" si="5"/>
        <v>3.8989999999999991</v>
      </c>
      <c r="Y8" s="146">
        <f t="shared" si="5"/>
        <v>2.4160000000000004</v>
      </c>
      <c r="Z8" s="146">
        <f t="shared" si="5"/>
        <v>3.1560000000000024</v>
      </c>
      <c r="AA8" s="146">
        <f t="shared" si="5"/>
        <v>3.3909999999999982</v>
      </c>
      <c r="AB8" s="146">
        <f t="shared" si="5"/>
        <v>3.1400000000000006</v>
      </c>
      <c r="AC8" s="146">
        <f t="shared" si="5"/>
        <v>2.4979999999999976</v>
      </c>
      <c r="AD8" s="146">
        <f t="shared" si="5"/>
        <v>3.4460000000000051</v>
      </c>
      <c r="AE8" s="146">
        <f t="shared" si="5"/>
        <v>2.7119999999999962</v>
      </c>
      <c r="AF8" s="146">
        <f t="shared" si="5"/>
        <v>3.8950000000000031</v>
      </c>
    </row>
    <row r="9" spans="1:32" x14ac:dyDescent="0.35">
      <c r="A9" s="302"/>
      <c r="B9" s="10" t="s">
        <v>303</v>
      </c>
      <c r="C9" s="77">
        <v>25.652000000000001</v>
      </c>
      <c r="D9" s="11">
        <v>29.515999999999998</v>
      </c>
      <c r="E9" s="11">
        <v>33.164000000000001</v>
      </c>
      <c r="F9" s="11">
        <v>36.064999999999998</v>
      </c>
      <c r="G9" s="11">
        <v>37.201999999999998</v>
      </c>
      <c r="H9" s="11">
        <v>37.715000000000003</v>
      </c>
      <c r="I9" s="11">
        <v>37.923000000000002</v>
      </c>
      <c r="J9" s="11">
        <v>38.093000000000004</v>
      </c>
      <c r="K9" s="11">
        <v>38.295000000000002</v>
      </c>
      <c r="L9" s="11">
        <v>38.508000000000003</v>
      </c>
      <c r="M9" s="11">
        <v>40.130000000000003</v>
      </c>
      <c r="N9" s="11">
        <v>43.831000000000003</v>
      </c>
      <c r="O9" s="11">
        <v>47.966999999999999</v>
      </c>
      <c r="Q9" s="9">
        <f t="shared" ref="Q9" si="6">O9-C9</f>
        <v>22.314999999999998</v>
      </c>
      <c r="T9" s="1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</row>
    <row r="10" spans="1:32" x14ac:dyDescent="0.35">
      <c r="A10" s="302">
        <v>4</v>
      </c>
      <c r="B10" s="10" t="s">
        <v>410</v>
      </c>
      <c r="C10" s="77">
        <v>11.144</v>
      </c>
      <c r="D10" s="11">
        <v>19.888000000000002</v>
      </c>
      <c r="E10" s="11">
        <v>26.687000000000001</v>
      </c>
      <c r="F10" s="11">
        <v>35.819000000000003</v>
      </c>
      <c r="G10" s="11">
        <v>45.637999999999998</v>
      </c>
      <c r="H10" s="11">
        <v>51.404000000000003</v>
      </c>
      <c r="I10" s="11">
        <v>60.170999999999999</v>
      </c>
      <c r="J10" s="11">
        <v>68.873999999999995</v>
      </c>
      <c r="K10" s="11">
        <v>75.222999999999999</v>
      </c>
      <c r="L10" s="11">
        <v>82.135000000000005</v>
      </c>
      <c r="M10" s="11">
        <v>89.968999999999994</v>
      </c>
      <c r="N10" s="11">
        <v>98.271000000000001</v>
      </c>
      <c r="O10" s="11">
        <v>107.32</v>
      </c>
      <c r="P10" s="32">
        <f t="shared" ref="P10" si="7">O10-C10</f>
        <v>96.175999999999988</v>
      </c>
      <c r="Q10" s="9"/>
      <c r="T10" s="1">
        <v>4</v>
      </c>
      <c r="U10" s="146">
        <f t="shared" ref="U10:AF10" si="8">D10-C10</f>
        <v>8.7440000000000015</v>
      </c>
      <c r="V10" s="146">
        <f t="shared" si="8"/>
        <v>6.7989999999999995</v>
      </c>
      <c r="W10" s="146">
        <f t="shared" si="8"/>
        <v>9.1320000000000014</v>
      </c>
      <c r="X10" s="146">
        <f t="shared" si="8"/>
        <v>9.8189999999999955</v>
      </c>
      <c r="Y10" s="146">
        <f t="shared" si="8"/>
        <v>5.7660000000000053</v>
      </c>
      <c r="Z10" s="146">
        <f t="shared" si="8"/>
        <v>8.7669999999999959</v>
      </c>
      <c r="AA10" s="146">
        <f t="shared" si="8"/>
        <v>8.7029999999999959</v>
      </c>
      <c r="AB10" s="146">
        <f t="shared" si="8"/>
        <v>6.3490000000000038</v>
      </c>
      <c r="AC10" s="146">
        <f t="shared" si="8"/>
        <v>6.9120000000000061</v>
      </c>
      <c r="AD10" s="146">
        <f t="shared" si="8"/>
        <v>7.833999999999989</v>
      </c>
      <c r="AE10" s="146">
        <f t="shared" si="8"/>
        <v>8.3020000000000067</v>
      </c>
      <c r="AF10" s="146">
        <f t="shared" si="8"/>
        <v>9.0489999999999924</v>
      </c>
    </row>
    <row r="11" spans="1:32" x14ac:dyDescent="0.35">
      <c r="A11" s="302"/>
      <c r="B11" s="10" t="s">
        <v>304</v>
      </c>
      <c r="C11" s="77">
        <v>30.146000000000001</v>
      </c>
      <c r="D11" s="256">
        <v>33.906999999999996</v>
      </c>
      <c r="E11" s="11">
        <v>36.072000000000003</v>
      </c>
      <c r="F11" s="11">
        <v>38.722000000000001</v>
      </c>
      <c r="G11" s="11">
        <v>39.872</v>
      </c>
      <c r="H11" s="11">
        <v>40.569000000000003</v>
      </c>
      <c r="I11" s="11">
        <v>41.311999999999998</v>
      </c>
      <c r="J11" s="11">
        <v>41.960999999999999</v>
      </c>
      <c r="K11" s="11">
        <v>42.481999999999999</v>
      </c>
      <c r="L11" s="11">
        <v>43.087000000000003</v>
      </c>
      <c r="M11" s="252">
        <v>44.308999999999997</v>
      </c>
      <c r="N11" s="252">
        <v>46.548000000000002</v>
      </c>
      <c r="O11" s="252">
        <v>49.029000000000003</v>
      </c>
      <c r="Q11" s="9">
        <f t="shared" ref="Q11" si="9">O11-C11</f>
        <v>18.883000000000003</v>
      </c>
      <c r="T11" s="1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</row>
    <row r="12" spans="1:32" x14ac:dyDescent="0.35">
      <c r="A12" s="302">
        <v>5</v>
      </c>
      <c r="B12" s="10" t="s">
        <v>411</v>
      </c>
      <c r="C12" s="77">
        <v>7.65</v>
      </c>
      <c r="D12" s="11">
        <v>12.087</v>
      </c>
      <c r="E12" s="11">
        <v>15.192</v>
      </c>
      <c r="F12" s="11">
        <v>18.024000000000001</v>
      </c>
      <c r="G12" s="11">
        <v>21.225999999999999</v>
      </c>
      <c r="H12" s="11">
        <v>24.460999999999999</v>
      </c>
      <c r="I12" s="11">
        <v>24.835000000000001</v>
      </c>
      <c r="J12" s="11">
        <v>25.442</v>
      </c>
      <c r="K12" s="11">
        <v>25.998000000000001</v>
      </c>
      <c r="L12" s="11">
        <v>26.768999999999998</v>
      </c>
      <c r="M12" s="11">
        <v>27.875</v>
      </c>
      <c r="N12" s="11">
        <v>30.193999999999999</v>
      </c>
      <c r="O12" s="11">
        <v>30.992000000000001</v>
      </c>
      <c r="P12" s="32">
        <f t="shared" ref="P12" si="10">O12-C12</f>
        <v>23.341999999999999</v>
      </c>
      <c r="Q12" s="9"/>
      <c r="T12" s="1">
        <v>5</v>
      </c>
      <c r="U12" s="146">
        <f t="shared" ref="U12:AF12" si="11">D12-C12</f>
        <v>4.4369999999999994</v>
      </c>
      <c r="V12" s="146">
        <f t="shared" si="11"/>
        <v>3.1050000000000004</v>
      </c>
      <c r="W12" s="146">
        <f t="shared" si="11"/>
        <v>2.8320000000000007</v>
      </c>
      <c r="X12" s="146">
        <f t="shared" si="11"/>
        <v>3.2019999999999982</v>
      </c>
      <c r="Y12" s="146">
        <f t="shared" si="11"/>
        <v>3.2349999999999994</v>
      </c>
      <c r="Z12" s="146">
        <f t="shared" si="11"/>
        <v>0.37400000000000233</v>
      </c>
      <c r="AA12" s="146">
        <f t="shared" si="11"/>
        <v>0.60699999999999932</v>
      </c>
      <c r="AB12" s="146">
        <f t="shared" si="11"/>
        <v>0.55600000000000094</v>
      </c>
      <c r="AC12" s="146">
        <f t="shared" si="11"/>
        <v>0.77099999999999724</v>
      </c>
      <c r="AD12" s="146">
        <f t="shared" si="11"/>
        <v>1.1060000000000016</v>
      </c>
      <c r="AE12" s="146">
        <f t="shared" si="11"/>
        <v>2.3189999999999991</v>
      </c>
      <c r="AF12" s="146">
        <f t="shared" si="11"/>
        <v>0.79800000000000182</v>
      </c>
    </row>
    <row r="13" spans="1:32" x14ac:dyDescent="0.35">
      <c r="A13" s="302"/>
      <c r="B13" s="10" t="s">
        <v>305</v>
      </c>
      <c r="C13" s="77">
        <v>11.288</v>
      </c>
      <c r="D13" s="11">
        <v>12.64</v>
      </c>
      <c r="E13" s="11">
        <v>13.699</v>
      </c>
      <c r="F13" s="11">
        <v>14.067</v>
      </c>
      <c r="G13" s="11">
        <v>14.401999999999999</v>
      </c>
      <c r="H13" s="11">
        <v>14.67</v>
      </c>
      <c r="I13" s="11">
        <v>14.682</v>
      </c>
      <c r="J13" s="11">
        <v>14.696</v>
      </c>
      <c r="K13" s="11">
        <v>14.707000000000001</v>
      </c>
      <c r="L13" s="11">
        <v>14.728</v>
      </c>
      <c r="M13" s="11">
        <v>14.821</v>
      </c>
      <c r="N13" s="11">
        <v>15.356</v>
      </c>
      <c r="O13" s="11">
        <v>16.123000000000001</v>
      </c>
      <c r="Q13" s="9">
        <f t="shared" ref="Q13" si="12">O13-C13</f>
        <v>4.8350000000000009</v>
      </c>
      <c r="T13" s="1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</row>
    <row r="14" spans="1:32" x14ac:dyDescent="0.35">
      <c r="A14" s="302">
        <v>6</v>
      </c>
      <c r="B14" s="10" t="s">
        <v>412</v>
      </c>
      <c r="C14" s="77">
        <v>5.7370000000000001</v>
      </c>
      <c r="D14" s="11">
        <v>11.106</v>
      </c>
      <c r="E14" s="11">
        <v>15.694000000000001</v>
      </c>
      <c r="F14" s="11">
        <v>20.623999999999999</v>
      </c>
      <c r="G14" s="11">
        <v>25.343</v>
      </c>
      <c r="H14" s="11">
        <v>30.172000000000001</v>
      </c>
      <c r="I14" s="11">
        <v>35.292999999999999</v>
      </c>
      <c r="J14" s="11">
        <v>39.250999999999998</v>
      </c>
      <c r="K14" s="11">
        <v>43.311</v>
      </c>
      <c r="L14" s="11">
        <v>47.829000000000001</v>
      </c>
      <c r="M14" s="11">
        <v>53.043999999999997</v>
      </c>
      <c r="N14" s="11">
        <v>57.820999999999998</v>
      </c>
      <c r="O14" s="11">
        <v>63.375</v>
      </c>
      <c r="P14" s="32">
        <f t="shared" ref="P14" si="13">O14-C14</f>
        <v>57.637999999999998</v>
      </c>
      <c r="Q14" s="9"/>
      <c r="T14" s="1">
        <v>6</v>
      </c>
      <c r="U14" s="146">
        <f t="shared" ref="U14:AF14" si="14">D14-C14</f>
        <v>5.3689999999999998</v>
      </c>
      <c r="V14" s="146">
        <f t="shared" si="14"/>
        <v>4.588000000000001</v>
      </c>
      <c r="W14" s="146">
        <f t="shared" si="14"/>
        <v>4.9299999999999979</v>
      </c>
      <c r="X14" s="146">
        <f t="shared" si="14"/>
        <v>4.7190000000000012</v>
      </c>
      <c r="Y14" s="146">
        <f t="shared" si="14"/>
        <v>4.8290000000000006</v>
      </c>
      <c r="Z14" s="146">
        <f t="shared" si="14"/>
        <v>5.1209999999999987</v>
      </c>
      <c r="AA14" s="146">
        <f t="shared" si="14"/>
        <v>3.9579999999999984</v>
      </c>
      <c r="AB14" s="146">
        <f t="shared" si="14"/>
        <v>4.0600000000000023</v>
      </c>
      <c r="AC14" s="146">
        <f t="shared" si="14"/>
        <v>4.5180000000000007</v>
      </c>
      <c r="AD14" s="146">
        <f t="shared" si="14"/>
        <v>5.2149999999999963</v>
      </c>
      <c r="AE14" s="146">
        <f t="shared" si="14"/>
        <v>4.777000000000001</v>
      </c>
      <c r="AF14" s="146">
        <f t="shared" si="14"/>
        <v>5.554000000000002</v>
      </c>
    </row>
    <row r="15" spans="1:32" x14ac:dyDescent="0.35">
      <c r="A15" s="302"/>
      <c r="B15" s="10" t="s">
        <v>306</v>
      </c>
      <c r="C15" s="77">
        <v>20.805</v>
      </c>
      <c r="D15" s="11">
        <v>23.556999999999999</v>
      </c>
      <c r="E15" s="11">
        <v>26.17</v>
      </c>
      <c r="F15" s="11">
        <v>28.164999999999999</v>
      </c>
      <c r="G15" s="11">
        <v>29.033999999999999</v>
      </c>
      <c r="H15" s="11">
        <v>29.38</v>
      </c>
      <c r="I15" s="11">
        <v>29.707000000000001</v>
      </c>
      <c r="J15" s="11">
        <v>29.94</v>
      </c>
      <c r="K15" s="11">
        <v>30.207999999999998</v>
      </c>
      <c r="L15" s="11">
        <v>30.478999999999999</v>
      </c>
      <c r="M15" s="11">
        <v>31.614999999999998</v>
      </c>
      <c r="N15" s="11">
        <v>33.996000000000002</v>
      </c>
      <c r="O15" s="11">
        <v>36.256999999999998</v>
      </c>
      <c r="Q15" s="9">
        <f t="shared" ref="Q15" si="15">O15-C15</f>
        <v>15.451999999999998</v>
      </c>
      <c r="T15" s="1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</row>
    <row r="16" spans="1:32" x14ac:dyDescent="0.35">
      <c r="A16" s="302">
        <v>7</v>
      </c>
      <c r="B16" s="10" t="s">
        <v>413</v>
      </c>
      <c r="C16" s="77">
        <v>7.46</v>
      </c>
      <c r="D16" s="11">
        <v>13.268000000000001</v>
      </c>
      <c r="E16" s="11">
        <v>18.16</v>
      </c>
      <c r="F16" s="11">
        <v>23.736000000000001</v>
      </c>
      <c r="G16" s="11">
        <v>29.289000000000001</v>
      </c>
      <c r="H16" s="11">
        <v>35.097000000000001</v>
      </c>
      <c r="I16" s="11">
        <v>39.982999999999997</v>
      </c>
      <c r="J16" s="11">
        <v>45.695</v>
      </c>
      <c r="K16" s="11">
        <v>50.225000000000001</v>
      </c>
      <c r="L16" s="11">
        <v>55.390999999999998</v>
      </c>
      <c r="M16" s="11">
        <v>61.031999999999996</v>
      </c>
      <c r="N16" s="11">
        <v>66.757999999999996</v>
      </c>
      <c r="O16" s="11">
        <v>72.197999999999993</v>
      </c>
      <c r="P16" s="32">
        <f t="shared" ref="P16" si="16">O16-C16</f>
        <v>64.738</v>
      </c>
      <c r="Q16" s="9"/>
      <c r="T16" s="1">
        <v>7</v>
      </c>
      <c r="U16" s="146">
        <f t="shared" ref="U16:AF16" si="17">D16-C16</f>
        <v>5.8080000000000007</v>
      </c>
      <c r="V16" s="146">
        <f t="shared" si="17"/>
        <v>4.8919999999999995</v>
      </c>
      <c r="W16" s="146">
        <f t="shared" si="17"/>
        <v>5.5760000000000005</v>
      </c>
      <c r="X16" s="146">
        <f t="shared" si="17"/>
        <v>5.5530000000000008</v>
      </c>
      <c r="Y16" s="146">
        <f t="shared" si="17"/>
        <v>5.8079999999999998</v>
      </c>
      <c r="Z16" s="146">
        <f t="shared" si="17"/>
        <v>4.8859999999999957</v>
      </c>
      <c r="AA16" s="146">
        <f t="shared" si="17"/>
        <v>5.7120000000000033</v>
      </c>
      <c r="AB16" s="146">
        <f t="shared" si="17"/>
        <v>4.5300000000000011</v>
      </c>
      <c r="AC16" s="146">
        <f t="shared" si="17"/>
        <v>5.1659999999999968</v>
      </c>
      <c r="AD16" s="146">
        <f t="shared" si="17"/>
        <v>5.6409999999999982</v>
      </c>
      <c r="AE16" s="146">
        <f t="shared" si="17"/>
        <v>5.7259999999999991</v>
      </c>
      <c r="AF16" s="146">
        <f t="shared" si="17"/>
        <v>5.4399999999999977</v>
      </c>
    </row>
    <row r="17" spans="1:32" x14ac:dyDescent="0.35">
      <c r="A17" s="302"/>
      <c r="B17" s="10" t="s">
        <v>307</v>
      </c>
      <c r="C17" s="77">
        <v>20.965</v>
      </c>
      <c r="D17" s="11">
        <v>24.52</v>
      </c>
      <c r="E17" s="11">
        <v>27.146000000000001</v>
      </c>
      <c r="F17" s="11">
        <v>28.212</v>
      </c>
      <c r="G17" s="11">
        <v>28.742000000000001</v>
      </c>
      <c r="H17" s="11">
        <v>29.216000000000001</v>
      </c>
      <c r="I17" s="11">
        <v>29.597000000000001</v>
      </c>
      <c r="J17" s="11">
        <v>29.975999999999999</v>
      </c>
      <c r="K17" s="11">
        <v>30.346</v>
      </c>
      <c r="L17" s="11">
        <v>30.716999999999999</v>
      </c>
      <c r="M17" s="11">
        <v>31.898</v>
      </c>
      <c r="N17" s="11">
        <v>34.851999999999997</v>
      </c>
      <c r="O17" s="11">
        <v>38.493000000000002</v>
      </c>
      <c r="Q17" s="9">
        <f t="shared" ref="Q17" si="18">O17-C17</f>
        <v>17.528000000000002</v>
      </c>
      <c r="T17" s="1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</row>
    <row r="18" spans="1:32" x14ac:dyDescent="0.35">
      <c r="A18" s="302">
        <v>8</v>
      </c>
      <c r="B18" s="10" t="s">
        <v>414</v>
      </c>
      <c r="C18" s="77">
        <v>11.898</v>
      </c>
      <c r="D18" s="11">
        <v>22.701000000000001</v>
      </c>
      <c r="E18" s="11">
        <v>33.520000000000003</v>
      </c>
      <c r="F18" s="11">
        <v>44.615000000000002</v>
      </c>
      <c r="G18" s="11">
        <v>54.500999999999998</v>
      </c>
      <c r="H18" s="11">
        <v>66.084000000000003</v>
      </c>
      <c r="I18" s="11">
        <v>75.710999999999999</v>
      </c>
      <c r="J18" s="11">
        <v>84.846999999999994</v>
      </c>
      <c r="K18" s="11">
        <v>95.421999999999997</v>
      </c>
      <c r="L18" s="11">
        <v>105.866</v>
      </c>
      <c r="M18" s="11">
        <v>116.54300000000001</v>
      </c>
      <c r="N18" s="11">
        <v>127.70399999999999</v>
      </c>
      <c r="O18" s="11">
        <v>138.29400000000001</v>
      </c>
      <c r="P18" s="32">
        <f t="shared" ref="P18" si="19">O18-C18</f>
        <v>126.39600000000002</v>
      </c>
      <c r="Q18" s="9"/>
      <c r="T18" s="1">
        <v>8</v>
      </c>
      <c r="U18" s="146">
        <f t="shared" ref="U18:AF18" si="20">D18-C18</f>
        <v>10.803000000000001</v>
      </c>
      <c r="V18" s="146">
        <f t="shared" si="20"/>
        <v>10.819000000000003</v>
      </c>
      <c r="W18" s="146">
        <f t="shared" si="20"/>
        <v>11.094999999999999</v>
      </c>
      <c r="X18" s="146">
        <f t="shared" si="20"/>
        <v>9.8859999999999957</v>
      </c>
      <c r="Y18" s="146">
        <f t="shared" si="20"/>
        <v>11.583000000000006</v>
      </c>
      <c r="Z18" s="146">
        <f t="shared" si="20"/>
        <v>9.6269999999999953</v>
      </c>
      <c r="AA18" s="146">
        <f t="shared" si="20"/>
        <v>9.1359999999999957</v>
      </c>
      <c r="AB18" s="146">
        <f t="shared" si="20"/>
        <v>10.575000000000003</v>
      </c>
      <c r="AC18" s="146">
        <f t="shared" si="20"/>
        <v>10.444000000000003</v>
      </c>
      <c r="AD18" s="146">
        <f t="shared" si="20"/>
        <v>10.677000000000007</v>
      </c>
      <c r="AE18" s="146">
        <f t="shared" si="20"/>
        <v>11.160999999999987</v>
      </c>
      <c r="AF18" s="146">
        <f t="shared" si="20"/>
        <v>10.590000000000018</v>
      </c>
    </row>
    <row r="19" spans="1:32" x14ac:dyDescent="0.35">
      <c r="A19" s="302"/>
      <c r="B19" s="10" t="s">
        <v>308</v>
      </c>
      <c r="C19" s="77">
        <v>20.018999999999998</v>
      </c>
      <c r="D19" s="11">
        <v>24.751999999999999</v>
      </c>
      <c r="E19" s="11">
        <v>28.565000000000001</v>
      </c>
      <c r="F19" s="11">
        <v>30.934000000000001</v>
      </c>
      <c r="G19" s="11">
        <v>31.445</v>
      </c>
      <c r="H19" s="11">
        <v>31.981000000000002</v>
      </c>
      <c r="I19" s="11">
        <v>32.417999999999999</v>
      </c>
      <c r="J19" s="11">
        <v>32.698</v>
      </c>
      <c r="K19" s="11">
        <v>33.048000000000002</v>
      </c>
      <c r="L19" s="11">
        <v>33.392000000000003</v>
      </c>
      <c r="M19" s="11">
        <v>33.878</v>
      </c>
      <c r="N19" s="11">
        <v>36.555999999999997</v>
      </c>
      <c r="O19" s="11">
        <v>40.786000000000001</v>
      </c>
      <c r="Q19" s="9">
        <f t="shared" ref="Q19" si="21">O19-C19</f>
        <v>20.767000000000003</v>
      </c>
      <c r="T19" s="1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</row>
    <row r="20" spans="1:32" x14ac:dyDescent="0.35">
      <c r="A20" s="302">
        <v>9</v>
      </c>
      <c r="B20" s="10" t="s">
        <v>415</v>
      </c>
      <c r="C20" s="77">
        <v>7.5519999999999996</v>
      </c>
      <c r="D20" s="11">
        <v>13.753</v>
      </c>
      <c r="E20" s="11">
        <v>19.148</v>
      </c>
      <c r="F20" s="11">
        <v>24.827000000000002</v>
      </c>
      <c r="G20" s="11">
        <v>31.771999999999998</v>
      </c>
      <c r="H20" s="11">
        <v>39.24</v>
      </c>
      <c r="I20" s="11">
        <v>43.347999999999999</v>
      </c>
      <c r="J20" s="11">
        <v>46.466000000000001</v>
      </c>
      <c r="K20" s="11">
        <v>50.073999999999998</v>
      </c>
      <c r="L20" s="11">
        <v>55.195</v>
      </c>
      <c r="M20" s="11">
        <v>62.305999999999997</v>
      </c>
      <c r="N20" s="11">
        <v>69.933999999999997</v>
      </c>
      <c r="O20" s="11">
        <v>75.885000000000005</v>
      </c>
      <c r="P20" s="32">
        <f t="shared" ref="P20" si="22">O20-C20</f>
        <v>68.332999999999998</v>
      </c>
      <c r="Q20" s="9"/>
      <c r="T20" s="1">
        <v>9</v>
      </c>
      <c r="U20" s="146">
        <f t="shared" ref="U20:AF20" si="23">D20-C20</f>
        <v>6.2010000000000005</v>
      </c>
      <c r="V20" s="146">
        <f t="shared" si="23"/>
        <v>5.3949999999999996</v>
      </c>
      <c r="W20" s="146">
        <f t="shared" si="23"/>
        <v>5.679000000000002</v>
      </c>
      <c r="X20" s="146">
        <f t="shared" si="23"/>
        <v>6.9449999999999967</v>
      </c>
      <c r="Y20" s="146">
        <f t="shared" si="23"/>
        <v>7.4680000000000035</v>
      </c>
      <c r="Z20" s="146">
        <f t="shared" si="23"/>
        <v>4.107999999999997</v>
      </c>
      <c r="AA20" s="146">
        <f t="shared" si="23"/>
        <v>3.1180000000000021</v>
      </c>
      <c r="AB20" s="146">
        <f t="shared" si="23"/>
        <v>3.607999999999997</v>
      </c>
      <c r="AC20" s="146">
        <f t="shared" si="23"/>
        <v>5.1210000000000022</v>
      </c>
      <c r="AD20" s="146">
        <f t="shared" si="23"/>
        <v>7.1109999999999971</v>
      </c>
      <c r="AE20" s="146">
        <f t="shared" si="23"/>
        <v>7.6280000000000001</v>
      </c>
      <c r="AF20" s="146">
        <f t="shared" si="23"/>
        <v>5.9510000000000076</v>
      </c>
    </row>
    <row r="21" spans="1:32" x14ac:dyDescent="0.35">
      <c r="A21" s="302"/>
      <c r="B21" s="10" t="s">
        <v>309</v>
      </c>
      <c r="C21" s="77">
        <v>21.071000000000002</v>
      </c>
      <c r="D21" s="11">
        <v>24.832999999999998</v>
      </c>
      <c r="E21" s="11">
        <v>27.803000000000001</v>
      </c>
      <c r="F21" s="11">
        <v>29.07</v>
      </c>
      <c r="G21" s="11">
        <v>29.536999999999999</v>
      </c>
      <c r="H21" s="11">
        <v>29.907</v>
      </c>
      <c r="I21" s="11">
        <v>30.091999999999999</v>
      </c>
      <c r="J21" s="11">
        <v>30.253</v>
      </c>
      <c r="K21" s="11">
        <v>30.45</v>
      </c>
      <c r="L21" s="11">
        <v>30.690999999999999</v>
      </c>
      <c r="M21" s="11">
        <v>31.515000000000001</v>
      </c>
      <c r="N21" s="11">
        <v>34.058999999999997</v>
      </c>
      <c r="O21" s="11">
        <v>36.893000000000001</v>
      </c>
      <c r="Q21" s="9">
        <f t="shared" ref="Q21" si="24">O21-C21</f>
        <v>15.821999999999999</v>
      </c>
      <c r="T21" s="1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</row>
    <row r="22" spans="1:32" x14ac:dyDescent="0.35">
      <c r="A22" s="302">
        <v>10</v>
      </c>
      <c r="B22" s="10" t="s">
        <v>416</v>
      </c>
      <c r="C22" s="77">
        <v>6.2690000000000001</v>
      </c>
      <c r="D22" s="11">
        <v>11.957000000000001</v>
      </c>
      <c r="E22" s="11">
        <v>16.696999999999999</v>
      </c>
      <c r="F22" s="11">
        <v>24.529</v>
      </c>
      <c r="G22" s="11">
        <v>32.613999999999997</v>
      </c>
      <c r="H22" s="11">
        <v>41.645000000000003</v>
      </c>
      <c r="I22" s="11">
        <v>46.404000000000003</v>
      </c>
      <c r="J22" s="11">
        <v>50.408999999999999</v>
      </c>
      <c r="K22" s="11">
        <v>55.869</v>
      </c>
      <c r="L22" s="11">
        <v>62.6</v>
      </c>
      <c r="M22" s="11">
        <v>68.933000000000007</v>
      </c>
      <c r="N22" s="11">
        <v>74.245000000000005</v>
      </c>
      <c r="O22" s="11">
        <v>83.114999999999995</v>
      </c>
      <c r="P22" s="32">
        <f t="shared" ref="P22" si="25">O22-C22</f>
        <v>76.845999999999989</v>
      </c>
      <c r="Q22" s="9"/>
      <c r="T22" s="1">
        <v>10</v>
      </c>
      <c r="U22" s="146">
        <f t="shared" ref="U22:AF22" si="26">D22-C22</f>
        <v>5.6880000000000006</v>
      </c>
      <c r="V22" s="146">
        <f t="shared" si="26"/>
        <v>4.7399999999999984</v>
      </c>
      <c r="W22" s="146">
        <f t="shared" si="26"/>
        <v>7.8320000000000007</v>
      </c>
      <c r="X22" s="146">
        <f t="shared" si="26"/>
        <v>8.0849999999999973</v>
      </c>
      <c r="Y22" s="146">
        <f t="shared" si="26"/>
        <v>9.0310000000000059</v>
      </c>
      <c r="Z22" s="146">
        <f t="shared" si="26"/>
        <v>4.7590000000000003</v>
      </c>
      <c r="AA22" s="146">
        <f t="shared" si="26"/>
        <v>4.0049999999999955</v>
      </c>
      <c r="AB22" s="146">
        <f t="shared" si="26"/>
        <v>5.4600000000000009</v>
      </c>
      <c r="AC22" s="146">
        <f t="shared" si="26"/>
        <v>6.7310000000000016</v>
      </c>
      <c r="AD22" s="146">
        <f t="shared" si="26"/>
        <v>6.3330000000000055</v>
      </c>
      <c r="AE22" s="146">
        <f t="shared" si="26"/>
        <v>5.3119999999999976</v>
      </c>
      <c r="AF22" s="146">
        <f t="shared" si="26"/>
        <v>8.8699999999999903</v>
      </c>
    </row>
    <row r="23" spans="1:32" x14ac:dyDescent="0.35">
      <c r="A23" s="302"/>
      <c r="B23" s="10" t="s">
        <v>310</v>
      </c>
      <c r="C23" s="77">
        <v>22.85</v>
      </c>
      <c r="D23" s="11">
        <v>26.478999999999999</v>
      </c>
      <c r="E23" s="11">
        <v>29.361000000000001</v>
      </c>
      <c r="F23" s="11">
        <v>30.86</v>
      </c>
      <c r="G23" s="11">
        <v>31.536999999999999</v>
      </c>
      <c r="H23" s="11">
        <v>32.085999999999999</v>
      </c>
      <c r="I23" s="11">
        <v>32.378999999999998</v>
      </c>
      <c r="J23" s="11">
        <v>32.631</v>
      </c>
      <c r="K23" s="11">
        <v>32.939</v>
      </c>
      <c r="L23" s="11">
        <v>33.329000000000001</v>
      </c>
      <c r="M23" s="11">
        <v>34.365000000000002</v>
      </c>
      <c r="N23" s="11">
        <v>37.896999999999998</v>
      </c>
      <c r="O23" s="11">
        <v>41.863</v>
      </c>
      <c r="P23" s="31"/>
      <c r="Q23" s="97">
        <f>O23-C23</f>
        <v>19.012999999999998</v>
      </c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</row>
    <row r="24" spans="1:32" x14ac:dyDescent="0.35">
      <c r="A24" s="113"/>
      <c r="B24" s="10"/>
      <c r="C24" s="78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745.25400000000002</v>
      </c>
      <c r="Q24" s="9">
        <f>SUM(Q4:Q23)</f>
        <v>173.61100000000002</v>
      </c>
    </row>
    <row r="25" spans="1:32" x14ac:dyDescent="0.35">
      <c r="A25" s="113" t="s">
        <v>15</v>
      </c>
      <c r="B25" s="10" t="s">
        <v>429</v>
      </c>
      <c r="C25" s="78">
        <v>1581</v>
      </c>
      <c r="D25" s="15">
        <v>1756</v>
      </c>
      <c r="E25" s="15">
        <v>1921</v>
      </c>
      <c r="F25" s="15">
        <v>2126</v>
      </c>
      <c r="G25" s="15">
        <v>2312</v>
      </c>
      <c r="H25" s="15">
        <v>2499</v>
      </c>
      <c r="I25" s="15">
        <v>2682</v>
      </c>
      <c r="J25" s="15">
        <v>2864</v>
      </c>
      <c r="K25" s="15">
        <v>3068</v>
      </c>
      <c r="L25" s="15">
        <v>3253</v>
      </c>
      <c r="M25" s="15">
        <v>3432</v>
      </c>
      <c r="N25" s="15">
        <v>3625</v>
      </c>
      <c r="O25" s="15">
        <v>3806</v>
      </c>
      <c r="Q25" s="9"/>
      <c r="R25" s="16">
        <f>O25-C25</f>
        <v>2225</v>
      </c>
    </row>
    <row r="26" spans="1:32" ht="15" thickBot="1" x14ac:dyDescent="0.4">
      <c r="A26" s="113"/>
      <c r="B26" s="282" t="s">
        <v>417</v>
      </c>
      <c r="C26" s="79">
        <v>88.7</v>
      </c>
      <c r="D26" s="18">
        <v>164.6</v>
      </c>
      <c r="E26" s="18">
        <v>227.7</v>
      </c>
      <c r="F26" s="18">
        <v>299.60000000000002</v>
      </c>
      <c r="G26" s="18">
        <v>375.2</v>
      </c>
      <c r="H26" s="18">
        <v>449.2</v>
      </c>
      <c r="I26" s="18">
        <v>510.7</v>
      </c>
      <c r="J26" s="18">
        <v>565</v>
      </c>
      <c r="K26" s="18">
        <v>627.5</v>
      </c>
      <c r="L26" s="18">
        <v>693.7</v>
      </c>
      <c r="M26" s="18">
        <v>766.3</v>
      </c>
      <c r="N26" s="18">
        <v>836.8</v>
      </c>
      <c r="O26" s="18">
        <v>911.4</v>
      </c>
      <c r="P26" s="32">
        <f t="shared" ref="P26" si="27">O26-C26</f>
        <v>822.69999999999993</v>
      </c>
      <c r="Q26" s="9"/>
    </row>
    <row r="27" spans="1:32" x14ac:dyDescent="0.35">
      <c r="A27" s="119"/>
      <c r="B27" s="205" t="s">
        <v>172</v>
      </c>
      <c r="C27" s="80">
        <v>846.3</v>
      </c>
      <c r="D27" s="19">
        <v>883.19</v>
      </c>
      <c r="E27" s="19">
        <v>913.38</v>
      </c>
      <c r="F27" s="19">
        <v>932.63</v>
      </c>
      <c r="G27" s="19">
        <v>940.25</v>
      </c>
      <c r="H27" s="19">
        <v>945.26</v>
      </c>
      <c r="I27" s="19">
        <v>947.94</v>
      </c>
      <c r="J27" s="19">
        <v>949.92</v>
      </c>
      <c r="K27" s="19">
        <v>952.26</v>
      </c>
      <c r="L27" s="19">
        <v>955.5</v>
      </c>
      <c r="M27" s="19">
        <v>966.5</v>
      </c>
      <c r="N27" s="19">
        <v>994.1</v>
      </c>
      <c r="O27" s="19">
        <v>1026.43</v>
      </c>
      <c r="Q27" s="9">
        <f>O27-C27</f>
        <v>180.13000000000011</v>
      </c>
      <c r="R27" t="s">
        <v>78</v>
      </c>
    </row>
    <row r="28" spans="1:32" ht="15" thickBot="1" x14ac:dyDescent="0.4">
      <c r="A28" s="4"/>
      <c r="B28" s="26" t="s">
        <v>16</v>
      </c>
      <c r="C28" s="81">
        <v>5788</v>
      </c>
      <c r="D28" s="21">
        <v>6035</v>
      </c>
      <c r="E28" s="21">
        <v>6234</v>
      </c>
      <c r="F28" s="21">
        <v>6359</v>
      </c>
      <c r="G28" s="21">
        <v>6404</v>
      </c>
      <c r="H28" s="21">
        <v>6434</v>
      </c>
      <c r="I28" s="21">
        <v>6450</v>
      </c>
      <c r="J28" s="21">
        <v>6464</v>
      </c>
      <c r="K28" s="21">
        <v>6479</v>
      </c>
      <c r="L28" s="21">
        <v>6501</v>
      </c>
      <c r="M28" s="21">
        <v>6581</v>
      </c>
      <c r="N28" s="21">
        <v>6760</v>
      </c>
      <c r="O28" s="21">
        <v>6961</v>
      </c>
      <c r="Q28" s="16">
        <f>O28-C28</f>
        <v>1173</v>
      </c>
      <c r="R28" t="s">
        <v>79</v>
      </c>
    </row>
    <row r="29" spans="1:32" ht="15" thickBot="1" x14ac:dyDescent="0.4">
      <c r="A29" s="121" t="str">
        <f>'1854'!A29</f>
        <v>Fakturační vodoměr:      42012114941</v>
      </c>
      <c r="B29" s="22"/>
      <c r="C29" s="23">
        <f>'1854'!C29</f>
        <v>14411</v>
      </c>
      <c r="D29" s="23">
        <f>'1854'!D29</f>
        <v>14697.5</v>
      </c>
      <c r="E29" s="23">
        <f>'1854'!E29</f>
        <v>14958.6</v>
      </c>
      <c r="F29" s="23">
        <f>'1854'!F29</f>
        <v>15244.5</v>
      </c>
      <c r="G29" s="23">
        <f>'1854'!G29</f>
        <v>15535.4</v>
      </c>
      <c r="H29" s="23">
        <f>'1854'!H29</f>
        <v>15809.8</v>
      </c>
      <c r="I29" s="23">
        <f>'1854'!I29</f>
        <v>16049</v>
      </c>
      <c r="J29" s="23">
        <f>'1854'!J29</f>
        <v>16290.6</v>
      </c>
      <c r="K29" s="23">
        <f>'1854'!K29</f>
        <v>16555.3</v>
      </c>
      <c r="L29" s="23">
        <f>'1854'!L29</f>
        <v>16827.2</v>
      </c>
      <c r="M29" s="23">
        <f>'1854'!M29</f>
        <v>16939.400000000001</v>
      </c>
      <c r="N29" s="23">
        <f>'1854'!N29</f>
        <v>17195.5</v>
      </c>
      <c r="O29" s="23">
        <f>'1854'!O29</f>
        <v>211</v>
      </c>
      <c r="P29">
        <f>'1854'!P29</f>
        <v>3086</v>
      </c>
      <c r="Q29" s="9"/>
    </row>
    <row r="32" spans="1:32" x14ac:dyDescent="0.35">
      <c r="E32" t="s">
        <v>130</v>
      </c>
      <c r="H32" s="172" t="s">
        <v>131</v>
      </c>
      <c r="I32" s="1" t="s">
        <v>79</v>
      </c>
      <c r="K32" t="s">
        <v>139</v>
      </c>
      <c r="N32" s="1" t="s">
        <v>79</v>
      </c>
    </row>
    <row r="33" spans="3:14" x14ac:dyDescent="0.35">
      <c r="D33" t="s">
        <v>133</v>
      </c>
      <c r="E33" s="160">
        <v>43984</v>
      </c>
      <c r="F33" s="84" t="s">
        <v>117</v>
      </c>
      <c r="G33" s="84"/>
      <c r="H33" s="167"/>
      <c r="I33" s="108"/>
      <c r="K33" s="177">
        <v>44095</v>
      </c>
      <c r="L33" s="84" t="s">
        <v>117</v>
      </c>
      <c r="M33" s="84"/>
      <c r="N33" s="84"/>
    </row>
    <row r="34" spans="3:14" x14ac:dyDescent="0.35">
      <c r="E34" s="168"/>
      <c r="F34" s="169"/>
      <c r="G34" s="169" t="s">
        <v>132</v>
      </c>
      <c r="H34" s="171" t="s">
        <v>78</v>
      </c>
      <c r="I34" s="170" t="s">
        <v>79</v>
      </c>
      <c r="L34" s="1"/>
      <c r="M34" s="169" t="s">
        <v>132</v>
      </c>
      <c r="N34" s="170" t="s">
        <v>79</v>
      </c>
    </row>
    <row r="35" spans="3:14" x14ac:dyDescent="0.35">
      <c r="D35" t="s">
        <v>134</v>
      </c>
      <c r="E35" s="160">
        <v>43986</v>
      </c>
      <c r="F35" s="84" t="s">
        <v>118</v>
      </c>
      <c r="G35" s="84"/>
      <c r="H35" s="167"/>
      <c r="I35" s="108"/>
      <c r="K35" s="177">
        <v>44095</v>
      </c>
      <c r="L35" s="84" t="s">
        <v>118</v>
      </c>
      <c r="M35" s="84"/>
      <c r="N35" s="84"/>
    </row>
    <row r="37" spans="3:14" x14ac:dyDescent="0.35">
      <c r="E37" t="s">
        <v>299</v>
      </c>
    </row>
    <row r="39" spans="3:14" x14ac:dyDescent="0.35">
      <c r="C39" t="s">
        <v>129</v>
      </c>
    </row>
    <row r="40" spans="3:14" x14ac:dyDescent="0.35">
      <c r="C40" s="306">
        <v>45415</v>
      </c>
      <c r="D40" s="84" t="s">
        <v>117</v>
      </c>
      <c r="E40" s="309">
        <v>72371793</v>
      </c>
      <c r="F40" s="309"/>
      <c r="G40" s="106"/>
    </row>
    <row r="41" spans="3:14" x14ac:dyDescent="0.35">
      <c r="C41" s="306"/>
      <c r="D41" s="84" t="s">
        <v>118</v>
      </c>
      <c r="E41" s="309">
        <v>2480481656</v>
      </c>
      <c r="F41" s="309"/>
      <c r="G41" s="106"/>
    </row>
  </sheetData>
  <sheetProtection selectLockedCells="1" selectUnlockedCells="1"/>
  <mergeCells count="13">
    <mergeCell ref="A14:A15"/>
    <mergeCell ref="A4:A5"/>
    <mergeCell ref="A6:A7"/>
    <mergeCell ref="A8:A9"/>
    <mergeCell ref="A10:A11"/>
    <mergeCell ref="A12:A13"/>
    <mergeCell ref="C40:C41"/>
    <mergeCell ref="E40:F40"/>
    <mergeCell ref="E41:F41"/>
    <mergeCell ref="A16:A17"/>
    <mergeCell ref="A18:A19"/>
    <mergeCell ref="A20:A21"/>
    <mergeCell ref="A22:A23"/>
  </mergeCells>
  <conditionalFormatting sqref="D4">
    <cfRule type="cellIs" dxfId="1244" priority="14" stopIfTrue="1" operator="lessThan">
      <formula>$C$4</formula>
    </cfRule>
    <cfRule type="cellIs" dxfId="1243" priority="15" stopIfTrue="1" operator="equal">
      <formula>$C$4</formula>
    </cfRule>
  </conditionalFormatting>
  <conditionalFormatting sqref="D5">
    <cfRule type="cellIs" dxfId="1242" priority="18" stopIfTrue="1" operator="equal">
      <formula>$C$5</formula>
    </cfRule>
    <cfRule type="cellIs" dxfId="1241" priority="19" stopIfTrue="1" operator="lessThan">
      <formula>$C$5</formula>
    </cfRule>
  </conditionalFormatting>
  <conditionalFormatting sqref="D6">
    <cfRule type="cellIs" dxfId="1240" priority="25" stopIfTrue="1" operator="equal">
      <formula>$C$6</formula>
    </cfRule>
    <cfRule type="cellIs" dxfId="1239" priority="26" stopIfTrue="1" operator="lessThan">
      <formula>$C$6</formula>
    </cfRule>
  </conditionalFormatting>
  <conditionalFormatting sqref="D7">
    <cfRule type="cellIs" dxfId="1238" priority="39" stopIfTrue="1" operator="equal">
      <formula>$C$7</formula>
    </cfRule>
    <cfRule type="cellIs" dxfId="1237" priority="40" stopIfTrue="1" operator="lessThan">
      <formula>$C$7</formula>
    </cfRule>
  </conditionalFormatting>
  <conditionalFormatting sqref="D8">
    <cfRule type="cellIs" dxfId="1236" priority="51" stopIfTrue="1" operator="equal">
      <formula>$C$8</formula>
    </cfRule>
    <cfRule type="cellIs" dxfId="1235" priority="52" stopIfTrue="1" operator="lessThan">
      <formula>$C$8</formula>
    </cfRule>
  </conditionalFormatting>
  <conditionalFormatting sqref="D9">
    <cfRule type="cellIs" dxfId="1234" priority="65" stopIfTrue="1" operator="equal">
      <formula>$C$9</formula>
    </cfRule>
    <cfRule type="cellIs" dxfId="1233" priority="66" stopIfTrue="1" operator="lessThan">
      <formula>$C$9</formula>
    </cfRule>
  </conditionalFormatting>
  <conditionalFormatting sqref="D10">
    <cfRule type="cellIs" dxfId="1232" priority="79" stopIfTrue="1" operator="equal">
      <formula>$C$10</formula>
    </cfRule>
    <cfRule type="cellIs" dxfId="1231" priority="80" stopIfTrue="1" operator="lessThan">
      <formula>$C$10</formula>
    </cfRule>
  </conditionalFormatting>
  <conditionalFormatting sqref="D11">
    <cfRule type="cellIs" dxfId="1230" priority="93" stopIfTrue="1" operator="equal">
      <formula>$C$11</formula>
    </cfRule>
    <cfRule type="cellIs" dxfId="1229" priority="94" stopIfTrue="1" operator="lessThan">
      <formula>$C$11</formula>
    </cfRule>
  </conditionalFormatting>
  <conditionalFormatting sqref="D12">
    <cfRule type="cellIs" dxfId="1228" priority="107" stopIfTrue="1" operator="equal">
      <formula>$C$12</formula>
    </cfRule>
    <cfRule type="cellIs" dxfId="1227" priority="108" stopIfTrue="1" operator="lessThan">
      <formula>$C$12</formula>
    </cfRule>
  </conditionalFormatting>
  <conditionalFormatting sqref="D13">
    <cfRule type="cellIs" dxfId="1226" priority="239" stopIfTrue="1" operator="equal">
      <formula>$C$13</formula>
    </cfRule>
    <cfRule type="cellIs" dxfId="1225" priority="240" stopIfTrue="1" operator="lessThan">
      <formula>$C$13</formula>
    </cfRule>
  </conditionalFormatting>
  <conditionalFormatting sqref="D14">
    <cfRule type="cellIs" dxfId="1224" priority="121" stopIfTrue="1" operator="equal">
      <formula>$C$14</formula>
    </cfRule>
    <cfRule type="cellIs" dxfId="1223" priority="122" stopIfTrue="1" operator="lessThan">
      <formula>$C$14</formula>
    </cfRule>
  </conditionalFormatting>
  <conditionalFormatting sqref="D15">
    <cfRule type="cellIs" dxfId="1222" priority="123" stopIfTrue="1" operator="equal">
      <formula>$C$15</formula>
    </cfRule>
    <cfRule type="cellIs" dxfId="1221" priority="124" stopIfTrue="1" operator="lessThan">
      <formula>$C$15</formula>
    </cfRule>
  </conditionalFormatting>
  <conditionalFormatting sqref="D16">
    <cfRule type="cellIs" dxfId="1220" priority="125" stopIfTrue="1" operator="equal">
      <formula>$C$16</formula>
    </cfRule>
    <cfRule type="cellIs" dxfId="1219" priority="126" stopIfTrue="1" operator="lessThan">
      <formula>$C$16</formula>
    </cfRule>
  </conditionalFormatting>
  <conditionalFormatting sqref="D17">
    <cfRule type="cellIs" dxfId="1218" priority="127" stopIfTrue="1" operator="equal">
      <formula>$C$17</formula>
    </cfRule>
    <cfRule type="cellIs" dxfId="1217" priority="128" stopIfTrue="1" operator="lessThan">
      <formula>$C$17</formula>
    </cfRule>
  </conditionalFormatting>
  <conditionalFormatting sqref="D18">
    <cfRule type="cellIs" dxfId="1216" priority="129" stopIfTrue="1" operator="equal">
      <formula>$C$18</formula>
    </cfRule>
    <cfRule type="cellIs" dxfId="1215" priority="130" stopIfTrue="1" operator="lessThan">
      <formula>$C$18</formula>
    </cfRule>
  </conditionalFormatting>
  <conditionalFormatting sqref="D19">
    <cfRule type="cellIs" dxfId="1214" priority="131" stopIfTrue="1" operator="equal">
      <formula>$C$19</formula>
    </cfRule>
    <cfRule type="cellIs" dxfId="1213" priority="132" stopIfTrue="1" operator="lessThan">
      <formula>$C$19</formula>
    </cfRule>
  </conditionalFormatting>
  <conditionalFormatting sqref="D20">
    <cfRule type="cellIs" dxfId="1212" priority="133" stopIfTrue="1" operator="equal">
      <formula>$C$20</formula>
    </cfRule>
    <cfRule type="cellIs" dxfId="1211" priority="134" stopIfTrue="1" operator="lessThan">
      <formula>$C$20</formula>
    </cfRule>
  </conditionalFormatting>
  <conditionalFormatting sqref="D21">
    <cfRule type="cellIs" dxfId="1210" priority="135" stopIfTrue="1" operator="equal">
      <formula>$C$21</formula>
    </cfRule>
    <cfRule type="cellIs" dxfId="1209" priority="136" stopIfTrue="1" operator="lessThan">
      <formula>$C$21</formula>
    </cfRule>
  </conditionalFormatting>
  <conditionalFormatting sqref="D22">
    <cfRule type="cellIs" dxfId="1208" priority="137" stopIfTrue="1" operator="equal">
      <formula>$C$22</formula>
    </cfRule>
    <cfRule type="cellIs" dxfId="1207" priority="138" stopIfTrue="1" operator="lessThan">
      <formula>$C$22</formula>
    </cfRule>
  </conditionalFormatting>
  <conditionalFormatting sqref="D23">
    <cfRule type="cellIs" dxfId="1206" priority="139" stopIfTrue="1" operator="equal">
      <formula>$C$23</formula>
    </cfRule>
    <cfRule type="cellIs" dxfId="1205" priority="140" stopIfTrue="1" operator="lessThan">
      <formula>$C$23</formula>
    </cfRule>
  </conditionalFormatting>
  <conditionalFormatting sqref="D24">
    <cfRule type="cellIs" dxfId="1204" priority="271" stopIfTrue="1" operator="equal">
      <formula>$C$24</formula>
    </cfRule>
    <cfRule type="cellIs" dxfId="1203" priority="272" stopIfTrue="1" operator="lessThan">
      <formula>$C$24</formula>
    </cfRule>
  </conditionalFormatting>
  <conditionalFormatting sqref="D25">
    <cfRule type="cellIs" dxfId="1202" priority="141" stopIfTrue="1" operator="equal">
      <formula>$C$25</formula>
    </cfRule>
    <cfRule type="cellIs" dxfId="1201" priority="142" stopIfTrue="1" operator="lessThan">
      <formula>$C$25</formula>
    </cfRule>
  </conditionalFormatting>
  <conditionalFormatting sqref="D26">
    <cfRule type="cellIs" dxfId="1200" priority="143" stopIfTrue="1" operator="equal">
      <formula>$C$26</formula>
    </cfRule>
    <cfRule type="cellIs" dxfId="1199" priority="144" stopIfTrue="1" operator="lessThan">
      <formula>$C$26</formula>
    </cfRule>
  </conditionalFormatting>
  <conditionalFormatting sqref="D27">
    <cfRule type="cellIs" dxfId="1198" priority="145" stopIfTrue="1" operator="equal">
      <formula>$C$27</formula>
    </cfRule>
    <cfRule type="cellIs" dxfId="1197" priority="146" stopIfTrue="1" operator="lessThan">
      <formula>$C$27</formula>
    </cfRule>
  </conditionalFormatting>
  <conditionalFormatting sqref="D28">
    <cfRule type="cellIs" dxfId="1196" priority="147" stopIfTrue="1" operator="equal">
      <formula>$C$28</formula>
    </cfRule>
    <cfRule type="cellIs" dxfId="1195" priority="148" stopIfTrue="1" operator="lessThan">
      <formula>$C$28</formula>
    </cfRule>
  </conditionalFormatting>
  <conditionalFormatting sqref="D29:H29 J29:O29">
    <cfRule type="cellIs" dxfId="1194" priority="286" stopIfTrue="1" operator="equal">
      <formula>0</formula>
    </cfRule>
  </conditionalFormatting>
  <conditionalFormatting sqref="E4">
    <cfRule type="cellIs" dxfId="1193" priority="16" stopIfTrue="1" operator="equal">
      <formula>$D$4</formula>
    </cfRule>
    <cfRule type="cellIs" dxfId="1192" priority="17" stopIfTrue="1" operator="lessThan">
      <formula>$D$4</formula>
    </cfRule>
  </conditionalFormatting>
  <conditionalFormatting sqref="E5">
    <cfRule type="cellIs" dxfId="1191" priority="281" stopIfTrue="1" operator="equal">
      <formula>$D$5</formula>
    </cfRule>
    <cfRule type="cellIs" dxfId="1190" priority="282" stopIfTrue="1" operator="lessThan">
      <formula>$D$5</formula>
    </cfRule>
  </conditionalFormatting>
  <conditionalFormatting sqref="E6">
    <cfRule type="cellIs" dxfId="1189" priority="27" stopIfTrue="1" operator="equal">
      <formula>$D$6</formula>
    </cfRule>
    <cfRule type="cellIs" dxfId="1188" priority="28" stopIfTrue="1" operator="lessThan">
      <formula>$D$6</formula>
    </cfRule>
  </conditionalFormatting>
  <conditionalFormatting sqref="E7">
    <cfRule type="cellIs" dxfId="1187" priority="41" stopIfTrue="1" operator="equal">
      <formula>$D$7</formula>
    </cfRule>
    <cfRule type="cellIs" dxfId="1186" priority="42" stopIfTrue="1" operator="lessThan">
      <formula>$D$7</formula>
    </cfRule>
  </conditionalFormatting>
  <conditionalFormatting sqref="E8">
    <cfRule type="cellIs" dxfId="1185" priority="53" stopIfTrue="1" operator="equal">
      <formula>$D$8</formula>
    </cfRule>
    <cfRule type="cellIs" dxfId="1184" priority="54" stopIfTrue="1" operator="lessThan">
      <formula>$D$8</formula>
    </cfRule>
  </conditionalFormatting>
  <conditionalFormatting sqref="E9">
    <cfRule type="cellIs" dxfId="1183" priority="67" stopIfTrue="1" operator="equal">
      <formula>$D$9</formula>
    </cfRule>
    <cfRule type="cellIs" dxfId="1182" priority="68" stopIfTrue="1" operator="lessThan">
      <formula>$D$9</formula>
    </cfRule>
  </conditionalFormatting>
  <conditionalFormatting sqref="E10">
    <cfRule type="cellIs" dxfId="1181" priority="81" stopIfTrue="1" operator="equal">
      <formula>$D$10</formula>
    </cfRule>
    <cfRule type="cellIs" dxfId="1180" priority="82" stopIfTrue="1" operator="lessThan">
      <formula>$D$10</formula>
    </cfRule>
  </conditionalFormatting>
  <conditionalFormatting sqref="E11">
    <cfRule type="cellIs" dxfId="1179" priority="95" stopIfTrue="1" operator="equal">
      <formula>$D$11</formula>
    </cfRule>
    <cfRule type="cellIs" dxfId="1178" priority="96" stopIfTrue="1" operator="lessThan">
      <formula>$D$11</formula>
    </cfRule>
  </conditionalFormatting>
  <conditionalFormatting sqref="E12">
    <cfRule type="cellIs" dxfId="1177" priority="109" stopIfTrue="1" operator="equal">
      <formula>$D$12</formula>
    </cfRule>
    <cfRule type="cellIs" dxfId="1176" priority="110" stopIfTrue="1" operator="lessThan">
      <formula>$D$12</formula>
    </cfRule>
  </conditionalFormatting>
  <conditionalFormatting sqref="E13">
    <cfRule type="cellIs" dxfId="1175" priority="149" stopIfTrue="1" operator="equal">
      <formula>$D$13</formula>
    </cfRule>
    <cfRule type="cellIs" dxfId="1174" priority="150" stopIfTrue="1" operator="lessThan">
      <formula>$D$13</formula>
    </cfRule>
  </conditionalFormatting>
  <conditionalFormatting sqref="E14">
    <cfRule type="cellIs" dxfId="1173" priority="151" stopIfTrue="1" operator="equal">
      <formula>$D$14</formula>
    </cfRule>
    <cfRule type="cellIs" dxfId="1172" priority="152" stopIfTrue="1" operator="lessThan">
      <formula>$D$14</formula>
    </cfRule>
  </conditionalFormatting>
  <conditionalFormatting sqref="E15">
    <cfRule type="cellIs" dxfId="1171" priority="153" stopIfTrue="1" operator="equal">
      <formula>$D$15</formula>
    </cfRule>
    <cfRule type="cellIs" dxfId="1170" priority="154" stopIfTrue="1" operator="lessThan">
      <formula>$D$15</formula>
    </cfRule>
  </conditionalFormatting>
  <conditionalFormatting sqref="E16">
    <cfRule type="cellIs" dxfId="1169" priority="155" stopIfTrue="1" operator="equal">
      <formula>$D$16</formula>
    </cfRule>
    <cfRule type="cellIs" dxfId="1168" priority="156" stopIfTrue="1" operator="lessThan">
      <formula>$D$16</formula>
    </cfRule>
  </conditionalFormatting>
  <conditionalFormatting sqref="E17">
    <cfRule type="cellIs" dxfId="1167" priority="157" stopIfTrue="1" operator="equal">
      <formula>$D$17</formula>
    </cfRule>
    <cfRule type="cellIs" dxfId="1166" priority="158" stopIfTrue="1" operator="lessThan">
      <formula>$D$17</formula>
    </cfRule>
  </conditionalFormatting>
  <conditionalFormatting sqref="E18">
    <cfRule type="cellIs" dxfId="1165" priority="159" stopIfTrue="1" operator="equal">
      <formula>$D$18</formula>
    </cfRule>
    <cfRule type="cellIs" dxfId="1164" priority="160" stopIfTrue="1" operator="lessThan">
      <formula>$D$18</formula>
    </cfRule>
  </conditionalFormatting>
  <conditionalFormatting sqref="E19">
    <cfRule type="cellIs" dxfId="1163" priority="161" stopIfTrue="1" operator="equal">
      <formula>$D$19</formula>
    </cfRule>
    <cfRule type="cellIs" dxfId="1162" priority="162" stopIfTrue="1" operator="lessThan">
      <formula>$D$19</formula>
    </cfRule>
  </conditionalFormatting>
  <conditionalFormatting sqref="E20">
    <cfRule type="cellIs" dxfId="1161" priority="163" stopIfTrue="1" operator="equal">
      <formula>$D$20</formula>
    </cfRule>
    <cfRule type="cellIs" dxfId="1160" priority="164" stopIfTrue="1" operator="lessThan">
      <formula>$D$20</formula>
    </cfRule>
  </conditionalFormatting>
  <conditionalFormatting sqref="E21">
    <cfRule type="cellIs" dxfId="1159" priority="165" stopIfTrue="1" operator="equal">
      <formula>$D$21</formula>
    </cfRule>
    <cfRule type="cellIs" dxfId="1158" priority="166" stopIfTrue="1" operator="lessThan">
      <formula>$D$21</formula>
    </cfRule>
  </conditionalFormatting>
  <conditionalFormatting sqref="E22">
    <cfRule type="cellIs" dxfId="1157" priority="167" stopIfTrue="1" operator="equal">
      <formula>$D$22</formula>
    </cfRule>
    <cfRule type="cellIs" dxfId="1156" priority="168" stopIfTrue="1" operator="lessThan">
      <formula>$D$22</formula>
    </cfRule>
  </conditionalFormatting>
  <conditionalFormatting sqref="E23">
    <cfRule type="cellIs" dxfId="1155" priority="169" stopIfTrue="1" operator="equal">
      <formula>$D$23</formula>
    </cfRule>
    <cfRule type="cellIs" dxfId="1154" priority="170" stopIfTrue="1" operator="lessThan">
      <formula>$D$23</formula>
    </cfRule>
  </conditionalFormatting>
  <conditionalFormatting sqref="E24">
    <cfRule type="cellIs" dxfId="1153" priority="273" stopIfTrue="1" operator="equal">
      <formula>$D$24</formula>
    </cfRule>
    <cfRule type="cellIs" dxfId="1152" priority="274" stopIfTrue="1" operator="lessThan">
      <formula>$D$24</formula>
    </cfRule>
  </conditionalFormatting>
  <conditionalFormatting sqref="E25">
    <cfRule type="cellIs" dxfId="1151" priority="171" stopIfTrue="1" operator="equal">
      <formula>$D$25</formula>
    </cfRule>
    <cfRule type="cellIs" dxfId="1150" priority="172" stopIfTrue="1" operator="lessThan">
      <formula>$D$25</formula>
    </cfRule>
  </conditionalFormatting>
  <conditionalFormatting sqref="E26">
    <cfRule type="cellIs" dxfId="1149" priority="173" stopIfTrue="1" operator="equal">
      <formula>$D$26</formula>
    </cfRule>
    <cfRule type="cellIs" dxfId="1148" priority="174" stopIfTrue="1" operator="lessThan">
      <formula>$D$26</formula>
    </cfRule>
  </conditionalFormatting>
  <conditionalFormatting sqref="E27">
    <cfRule type="cellIs" dxfId="1147" priority="175" stopIfTrue="1" operator="equal">
      <formula>$D$27</formula>
    </cfRule>
    <cfRule type="cellIs" dxfId="1146" priority="176" stopIfTrue="1" operator="lessThan">
      <formula>$D$27</formula>
    </cfRule>
  </conditionalFormatting>
  <conditionalFormatting sqref="E28">
    <cfRule type="cellIs" dxfId="1145" priority="177" stopIfTrue="1" operator="equal">
      <formula>$D$28</formula>
    </cfRule>
    <cfRule type="cellIs" dxfId="1144" priority="178" stopIfTrue="1" operator="lessThan">
      <formula>$D$28</formula>
    </cfRule>
  </conditionalFormatting>
  <conditionalFormatting sqref="F4">
    <cfRule type="cellIs" dxfId="1143" priority="12" stopIfTrue="1" operator="equal">
      <formula>$E$4</formula>
    </cfRule>
    <cfRule type="cellIs" dxfId="1142" priority="13" stopIfTrue="1" operator="lessThan">
      <formula>$E$4</formula>
    </cfRule>
  </conditionalFormatting>
  <conditionalFormatting sqref="F5">
    <cfRule type="cellIs" dxfId="1141" priority="20" stopIfTrue="1" operator="equal">
      <formula>$E$5</formula>
    </cfRule>
    <cfRule type="cellIs" dxfId="1140" priority="21" stopIfTrue="1" operator="lessThan">
      <formula>$E$5</formula>
    </cfRule>
  </conditionalFormatting>
  <conditionalFormatting sqref="F6">
    <cfRule type="cellIs" dxfId="1139" priority="29" stopIfTrue="1" operator="equal">
      <formula>$E$6</formula>
    </cfRule>
    <cfRule type="cellIs" dxfId="1138" priority="30" stopIfTrue="1" operator="lessThan">
      <formula>$E$6</formula>
    </cfRule>
  </conditionalFormatting>
  <conditionalFormatting sqref="F7">
    <cfRule type="cellIs" dxfId="1137" priority="43" stopIfTrue="1" operator="equal">
      <formula>$E$7</formula>
    </cfRule>
    <cfRule type="cellIs" dxfId="1136" priority="44" stopIfTrue="1" operator="lessThan">
      <formula>$E$7</formula>
    </cfRule>
  </conditionalFormatting>
  <conditionalFormatting sqref="F8">
    <cfRule type="cellIs" dxfId="1135" priority="55" stopIfTrue="1" operator="equal">
      <formula>$E$8</formula>
    </cfRule>
    <cfRule type="cellIs" dxfId="1134" priority="56" stopIfTrue="1" operator="lessThan">
      <formula>$E$8</formula>
    </cfRule>
  </conditionalFormatting>
  <conditionalFormatting sqref="F9">
    <cfRule type="cellIs" dxfId="1133" priority="69" stopIfTrue="1" operator="equal">
      <formula>$E$9</formula>
    </cfRule>
    <cfRule type="cellIs" dxfId="1132" priority="70" stopIfTrue="1" operator="lessThan">
      <formula>$E$9</formula>
    </cfRule>
  </conditionalFormatting>
  <conditionalFormatting sqref="F10">
    <cfRule type="cellIs" dxfId="1131" priority="83" stopIfTrue="1" operator="equal">
      <formula>$E$10</formula>
    </cfRule>
    <cfRule type="cellIs" dxfId="1130" priority="84" stopIfTrue="1" operator="lessThan">
      <formula>$E$10</formula>
    </cfRule>
  </conditionalFormatting>
  <conditionalFormatting sqref="F11">
    <cfRule type="cellIs" dxfId="1129" priority="97" stopIfTrue="1" operator="equal">
      <formula>$E$11</formula>
    </cfRule>
    <cfRule type="cellIs" dxfId="1128" priority="98" stopIfTrue="1" operator="lessThan">
      <formula>$E$11</formula>
    </cfRule>
  </conditionalFormatting>
  <conditionalFormatting sqref="F12">
    <cfRule type="cellIs" dxfId="1127" priority="111" stopIfTrue="1" operator="equal">
      <formula>$E$12</formula>
    </cfRule>
    <cfRule type="cellIs" dxfId="1126" priority="112" stopIfTrue="1" operator="lessThan">
      <formula>$E$12</formula>
    </cfRule>
  </conditionalFormatting>
  <conditionalFormatting sqref="F13">
    <cfRule type="cellIs" dxfId="1125" priority="179" stopIfTrue="1" operator="equal">
      <formula>$E$13</formula>
    </cfRule>
    <cfRule type="cellIs" dxfId="1124" priority="180" stopIfTrue="1" operator="lessThan">
      <formula>$E$13</formula>
    </cfRule>
  </conditionalFormatting>
  <conditionalFormatting sqref="F14">
    <cfRule type="cellIs" dxfId="1123" priority="181" stopIfTrue="1" operator="equal">
      <formula>$E$14</formula>
    </cfRule>
    <cfRule type="cellIs" dxfId="1122" priority="182" stopIfTrue="1" operator="lessThan">
      <formula>$E$14</formula>
    </cfRule>
  </conditionalFormatting>
  <conditionalFormatting sqref="F15">
    <cfRule type="cellIs" dxfId="1121" priority="183" stopIfTrue="1" operator="equal">
      <formula>$E$15</formula>
    </cfRule>
    <cfRule type="cellIs" dxfId="1120" priority="184" stopIfTrue="1" operator="lessThan">
      <formula>$E$15</formula>
    </cfRule>
  </conditionalFormatting>
  <conditionalFormatting sqref="F16">
    <cfRule type="cellIs" dxfId="1119" priority="185" stopIfTrue="1" operator="equal">
      <formula>$E$16</formula>
    </cfRule>
    <cfRule type="cellIs" dxfId="1118" priority="186" stopIfTrue="1" operator="lessThan">
      <formula>$E$16</formula>
    </cfRule>
  </conditionalFormatting>
  <conditionalFormatting sqref="F17">
    <cfRule type="cellIs" dxfId="1117" priority="187" stopIfTrue="1" operator="equal">
      <formula>$E$17</formula>
    </cfRule>
    <cfRule type="cellIs" dxfId="1116" priority="188" stopIfTrue="1" operator="lessThan">
      <formula>$E$17</formula>
    </cfRule>
  </conditionalFormatting>
  <conditionalFormatting sqref="F18">
    <cfRule type="cellIs" dxfId="1115" priority="189" stopIfTrue="1" operator="equal">
      <formula>$E$18</formula>
    </cfRule>
    <cfRule type="cellIs" dxfId="1114" priority="190" stopIfTrue="1" operator="lessThan">
      <formula>$E$18</formula>
    </cfRule>
  </conditionalFormatting>
  <conditionalFormatting sqref="F19">
    <cfRule type="cellIs" dxfId="1113" priority="191" stopIfTrue="1" operator="equal">
      <formula>$E$19</formula>
    </cfRule>
    <cfRule type="cellIs" dxfId="1112" priority="192" stopIfTrue="1" operator="lessThan">
      <formula>$E$19</formula>
    </cfRule>
  </conditionalFormatting>
  <conditionalFormatting sqref="F20">
    <cfRule type="cellIs" dxfId="1111" priority="193" stopIfTrue="1" operator="equal">
      <formula>$E$20</formula>
    </cfRule>
    <cfRule type="cellIs" dxfId="1110" priority="194" stopIfTrue="1" operator="lessThan">
      <formula>$E$20</formula>
    </cfRule>
  </conditionalFormatting>
  <conditionalFormatting sqref="F21">
    <cfRule type="cellIs" dxfId="1109" priority="195" stopIfTrue="1" operator="equal">
      <formula>$E$21</formula>
    </cfRule>
    <cfRule type="cellIs" dxfId="1108" priority="196" stopIfTrue="1" operator="lessThan">
      <formula>$E$21</formula>
    </cfRule>
  </conditionalFormatting>
  <conditionalFormatting sqref="F22">
    <cfRule type="cellIs" dxfId="1107" priority="197" stopIfTrue="1" operator="equal">
      <formula>$E$22</formula>
    </cfRule>
    <cfRule type="cellIs" dxfId="1106" priority="198" stopIfTrue="1" operator="lessThan">
      <formula>$E$22</formula>
    </cfRule>
  </conditionalFormatting>
  <conditionalFormatting sqref="F23">
    <cfRule type="cellIs" dxfId="1105" priority="199" stopIfTrue="1" operator="equal">
      <formula>$E$23</formula>
    </cfRule>
    <cfRule type="cellIs" dxfId="1104" priority="200" stopIfTrue="1" operator="lessThan">
      <formula>$E$23</formula>
    </cfRule>
  </conditionalFormatting>
  <conditionalFormatting sqref="F24">
    <cfRule type="cellIs" dxfId="1103" priority="275" stopIfTrue="1" operator="equal">
      <formula>$E$24</formula>
    </cfRule>
    <cfRule type="cellIs" dxfId="1102" priority="276" stopIfTrue="1" operator="lessThan">
      <formula>$E$24</formula>
    </cfRule>
  </conditionalFormatting>
  <conditionalFormatting sqref="F25">
    <cfRule type="cellIs" dxfId="1101" priority="201" stopIfTrue="1" operator="equal">
      <formula>$E$25</formula>
    </cfRule>
    <cfRule type="cellIs" dxfId="1100" priority="202" stopIfTrue="1" operator="lessThan">
      <formula>$E$25</formula>
    </cfRule>
  </conditionalFormatting>
  <conditionalFormatting sqref="F26">
    <cfRule type="cellIs" dxfId="1099" priority="203" stopIfTrue="1" operator="equal">
      <formula>$E$26</formula>
    </cfRule>
    <cfRule type="cellIs" dxfId="1098" priority="204" stopIfTrue="1" operator="lessThan">
      <formula>$E$26</formula>
    </cfRule>
  </conditionalFormatting>
  <conditionalFormatting sqref="F27">
    <cfRule type="cellIs" dxfId="1097" priority="205" stopIfTrue="1" operator="equal">
      <formula>$E$27</formula>
    </cfRule>
    <cfRule type="cellIs" dxfId="1096" priority="206" stopIfTrue="1" operator="lessThan">
      <formula>$E$27</formula>
    </cfRule>
  </conditionalFormatting>
  <conditionalFormatting sqref="F28">
    <cfRule type="cellIs" dxfId="1095" priority="207" stopIfTrue="1" operator="equal">
      <formula>$E$28</formula>
    </cfRule>
    <cfRule type="cellIs" dxfId="1094" priority="208" stopIfTrue="1" operator="lessThan">
      <formula>$E$28</formula>
    </cfRule>
  </conditionalFormatting>
  <conditionalFormatting sqref="G4">
    <cfRule type="cellIs" dxfId="1093" priority="285" stopIfTrue="1" operator="equal">
      <formula>$F$4</formula>
    </cfRule>
  </conditionalFormatting>
  <conditionalFormatting sqref="G5">
    <cfRule type="cellIs" dxfId="1092" priority="283" stopIfTrue="1" operator="equal">
      <formula>$F$5</formula>
    </cfRule>
    <cfRule type="cellIs" dxfId="1091" priority="284" stopIfTrue="1" operator="lessThan">
      <formula>$F$5</formula>
    </cfRule>
  </conditionalFormatting>
  <conditionalFormatting sqref="G6">
    <cfRule type="cellIs" dxfId="1090" priority="31" stopIfTrue="1" operator="equal">
      <formula>$F$6</formula>
    </cfRule>
    <cfRule type="cellIs" dxfId="1089" priority="32" stopIfTrue="1" operator="lessThan">
      <formula>$F$6</formula>
    </cfRule>
  </conditionalFormatting>
  <conditionalFormatting sqref="G7">
    <cfRule type="cellIs" dxfId="1088" priority="4" stopIfTrue="1" operator="equal">
      <formula>$F$7</formula>
    </cfRule>
    <cfRule type="cellIs" dxfId="1087" priority="5" stopIfTrue="1" operator="lessThan">
      <formula>$F$7</formula>
    </cfRule>
  </conditionalFormatting>
  <conditionalFormatting sqref="G8">
    <cfRule type="cellIs" dxfId="1086" priority="57" stopIfTrue="1" operator="equal">
      <formula>$F$8</formula>
    </cfRule>
    <cfRule type="cellIs" dxfId="1085" priority="58" stopIfTrue="1" operator="lessThan">
      <formula>$F$8</formula>
    </cfRule>
  </conditionalFormatting>
  <conditionalFormatting sqref="G9">
    <cfRule type="cellIs" dxfId="1084" priority="71" stopIfTrue="1" operator="equal">
      <formula>$F$9</formula>
    </cfRule>
    <cfRule type="cellIs" dxfId="1083" priority="72" stopIfTrue="1" operator="lessThan">
      <formula>$F$9</formula>
    </cfRule>
  </conditionalFormatting>
  <conditionalFormatting sqref="G10">
    <cfRule type="cellIs" dxfId="1082" priority="85" stopIfTrue="1" operator="equal">
      <formula>$F$10</formula>
    </cfRule>
    <cfRule type="cellIs" dxfId="1081" priority="86" stopIfTrue="1" operator="lessThan">
      <formula>$F$10</formula>
    </cfRule>
  </conditionalFormatting>
  <conditionalFormatting sqref="G11">
    <cfRule type="cellIs" dxfId="1080" priority="99" stopIfTrue="1" operator="equal">
      <formula>$F$11</formula>
    </cfRule>
    <cfRule type="cellIs" dxfId="1079" priority="100" stopIfTrue="1" operator="lessThan">
      <formula>$F$11</formula>
    </cfRule>
  </conditionalFormatting>
  <conditionalFormatting sqref="G12">
    <cfRule type="cellIs" dxfId="1078" priority="113" stopIfTrue="1" operator="equal">
      <formula>$F$12</formula>
    </cfRule>
    <cfRule type="cellIs" dxfId="1077" priority="114" stopIfTrue="1" operator="lessThan">
      <formula>$F$12</formula>
    </cfRule>
  </conditionalFormatting>
  <conditionalFormatting sqref="G13">
    <cfRule type="cellIs" dxfId="1076" priority="209" stopIfTrue="1" operator="equal">
      <formula>$F$13</formula>
    </cfRule>
    <cfRule type="cellIs" dxfId="1075" priority="210" stopIfTrue="1" operator="lessThan">
      <formula>$F$13</formula>
    </cfRule>
  </conditionalFormatting>
  <conditionalFormatting sqref="G14">
    <cfRule type="cellIs" dxfId="1074" priority="211" stopIfTrue="1" operator="equal">
      <formula>$F$14</formula>
    </cfRule>
    <cfRule type="cellIs" dxfId="1073" priority="212" stopIfTrue="1" operator="lessThan">
      <formula>$F$14</formula>
    </cfRule>
  </conditionalFormatting>
  <conditionalFormatting sqref="G15">
    <cfRule type="cellIs" dxfId="1072" priority="213" stopIfTrue="1" operator="equal">
      <formula>$F$15</formula>
    </cfRule>
    <cfRule type="cellIs" dxfId="1071" priority="214" stopIfTrue="1" operator="lessThan">
      <formula>$F$15</formula>
    </cfRule>
  </conditionalFormatting>
  <conditionalFormatting sqref="G16">
    <cfRule type="cellIs" dxfId="1070" priority="215" stopIfTrue="1" operator="equal">
      <formula>$F$16</formula>
    </cfRule>
    <cfRule type="cellIs" dxfId="1069" priority="216" stopIfTrue="1" operator="lessThan">
      <formula>$F$16</formula>
    </cfRule>
  </conditionalFormatting>
  <conditionalFormatting sqref="G17">
    <cfRule type="cellIs" dxfId="1068" priority="217" stopIfTrue="1" operator="equal">
      <formula>$F$17</formula>
    </cfRule>
    <cfRule type="cellIs" dxfId="1067" priority="218" stopIfTrue="1" operator="lessThan">
      <formula>$F$17</formula>
    </cfRule>
  </conditionalFormatting>
  <conditionalFormatting sqref="G18">
    <cfRule type="cellIs" dxfId="1066" priority="219" stopIfTrue="1" operator="equal">
      <formula>$F$18</formula>
    </cfRule>
    <cfRule type="cellIs" dxfId="1065" priority="220" stopIfTrue="1" operator="lessThan">
      <formula>$F$18</formula>
    </cfRule>
  </conditionalFormatting>
  <conditionalFormatting sqref="G19">
    <cfRule type="cellIs" dxfId="1064" priority="221" stopIfTrue="1" operator="equal">
      <formula>$F$19</formula>
    </cfRule>
    <cfRule type="cellIs" dxfId="1063" priority="222" stopIfTrue="1" operator="lessThan">
      <formula>$F$19</formula>
    </cfRule>
  </conditionalFormatting>
  <conditionalFormatting sqref="G20">
    <cfRule type="cellIs" dxfId="1062" priority="223" stopIfTrue="1" operator="equal">
      <formula>$F$20</formula>
    </cfRule>
    <cfRule type="cellIs" dxfId="1061" priority="224" stopIfTrue="1" operator="lessThan">
      <formula>$F$20</formula>
    </cfRule>
  </conditionalFormatting>
  <conditionalFormatting sqref="G21">
    <cfRule type="cellIs" dxfId="1060" priority="225" stopIfTrue="1" operator="equal">
      <formula>$F$21</formula>
    </cfRule>
    <cfRule type="cellIs" dxfId="1059" priority="226" stopIfTrue="1" operator="lessThan">
      <formula>$F$21</formula>
    </cfRule>
  </conditionalFormatting>
  <conditionalFormatting sqref="G22">
    <cfRule type="cellIs" dxfId="1058" priority="227" stopIfTrue="1" operator="equal">
      <formula>$F$22</formula>
    </cfRule>
    <cfRule type="cellIs" dxfId="1057" priority="228" stopIfTrue="1" operator="lessThan">
      <formula>$F$22</formula>
    </cfRule>
  </conditionalFormatting>
  <conditionalFormatting sqref="G23">
    <cfRule type="cellIs" dxfId="1056" priority="229" stopIfTrue="1" operator="equal">
      <formula>$F$23</formula>
    </cfRule>
    <cfRule type="cellIs" dxfId="1055" priority="230" stopIfTrue="1" operator="lessThan">
      <formula>$F$23</formula>
    </cfRule>
  </conditionalFormatting>
  <conditionalFormatting sqref="G24">
    <cfRule type="cellIs" dxfId="1054" priority="277" stopIfTrue="1" operator="equal">
      <formula>$F$24</formula>
    </cfRule>
    <cfRule type="cellIs" dxfId="1053" priority="278" stopIfTrue="1" operator="lessThan">
      <formula>$F$24</formula>
    </cfRule>
  </conditionalFormatting>
  <conditionalFormatting sqref="G25">
    <cfRule type="cellIs" dxfId="1052" priority="231" stopIfTrue="1" operator="equal">
      <formula>$F$25</formula>
    </cfRule>
    <cfRule type="cellIs" dxfId="1051" priority="232" stopIfTrue="1" operator="lessThan">
      <formula>$F$25</formula>
    </cfRule>
  </conditionalFormatting>
  <conditionalFormatting sqref="G26">
    <cfRule type="cellIs" dxfId="1050" priority="233" stopIfTrue="1" operator="equal">
      <formula>$F$26</formula>
    </cfRule>
    <cfRule type="cellIs" dxfId="1049" priority="234" stopIfTrue="1" operator="lessThan">
      <formula>$F$26</formula>
    </cfRule>
  </conditionalFormatting>
  <conditionalFormatting sqref="G27">
    <cfRule type="cellIs" dxfId="1048" priority="235" stopIfTrue="1" operator="equal">
      <formula>$F$27</formula>
    </cfRule>
    <cfRule type="cellIs" dxfId="1047" priority="236" stopIfTrue="1" operator="lessThan">
      <formula>$F$27</formula>
    </cfRule>
  </conditionalFormatting>
  <conditionalFormatting sqref="G28">
    <cfRule type="cellIs" dxfId="1046" priority="237" stopIfTrue="1" operator="equal">
      <formula>$F$28</formula>
    </cfRule>
    <cfRule type="cellIs" dxfId="1045" priority="238" stopIfTrue="1" operator="lessThan">
      <formula>$F$28</formula>
    </cfRule>
  </conditionalFormatting>
  <conditionalFormatting sqref="H4">
    <cfRule type="cellIs" dxfId="1044" priority="2" stopIfTrue="1" operator="lessThan">
      <formula>$G$4</formula>
    </cfRule>
    <cfRule type="cellIs" dxfId="1043" priority="3" stopIfTrue="1" operator="equal">
      <formula>$G$4</formula>
    </cfRule>
  </conditionalFormatting>
  <conditionalFormatting sqref="H5">
    <cfRule type="cellIs" dxfId="1042" priority="6" stopIfTrue="1" operator="equal">
      <formula>$G$5</formula>
    </cfRule>
    <cfRule type="cellIs" dxfId="1041" priority="7" stopIfTrue="1" operator="lessThan">
      <formula>$G$5</formula>
    </cfRule>
  </conditionalFormatting>
  <conditionalFormatting sqref="H6">
    <cfRule type="cellIs" dxfId="1040" priority="33" stopIfTrue="1" operator="equal">
      <formula>$G$6</formula>
    </cfRule>
    <cfRule type="cellIs" dxfId="1039" priority="34" stopIfTrue="1" operator="lessThan">
      <formula>$G$6</formula>
    </cfRule>
  </conditionalFormatting>
  <conditionalFormatting sqref="H7">
    <cfRule type="cellIs" dxfId="1038" priority="45" stopIfTrue="1" operator="equal">
      <formula>$G$7</formula>
    </cfRule>
    <cfRule type="cellIs" dxfId="1037" priority="46" stopIfTrue="1" operator="lessThan">
      <formula>$G$7</formula>
    </cfRule>
  </conditionalFormatting>
  <conditionalFormatting sqref="H8">
    <cfRule type="cellIs" dxfId="1036" priority="59" stopIfTrue="1" operator="equal">
      <formula>$G$8</formula>
    </cfRule>
    <cfRule type="cellIs" dxfId="1035" priority="60" stopIfTrue="1" operator="lessThan">
      <formula>$G$8</formula>
    </cfRule>
  </conditionalFormatting>
  <conditionalFormatting sqref="H9">
    <cfRule type="cellIs" dxfId="1034" priority="73" stopIfTrue="1" operator="equal">
      <formula>$G$9</formula>
    </cfRule>
    <cfRule type="cellIs" dxfId="1033" priority="74" stopIfTrue="1" operator="lessThan">
      <formula>$G$9</formula>
    </cfRule>
  </conditionalFormatting>
  <conditionalFormatting sqref="H10">
    <cfRule type="cellIs" dxfId="1032" priority="87" stopIfTrue="1" operator="equal">
      <formula>$G$10</formula>
    </cfRule>
    <cfRule type="cellIs" dxfId="1031" priority="88" stopIfTrue="1" operator="lessThan">
      <formula>$G$10</formula>
    </cfRule>
  </conditionalFormatting>
  <conditionalFormatting sqref="H11">
    <cfRule type="cellIs" dxfId="1030" priority="101" stopIfTrue="1" operator="equal">
      <formula>$G$11</formula>
    </cfRule>
    <cfRule type="cellIs" dxfId="1029" priority="102" stopIfTrue="1" operator="lessThan">
      <formula>$G$11</formula>
    </cfRule>
  </conditionalFormatting>
  <conditionalFormatting sqref="H12">
    <cfRule type="cellIs" dxfId="1028" priority="115" stopIfTrue="1" operator="equal">
      <formula>$G$12</formula>
    </cfRule>
    <cfRule type="cellIs" dxfId="1027" priority="116" stopIfTrue="1" operator="lessThan">
      <formula>$G$12</formula>
    </cfRule>
  </conditionalFormatting>
  <conditionalFormatting sqref="H13">
    <cfRule type="cellIs" dxfId="1026" priority="241" stopIfTrue="1" operator="equal">
      <formula>$G$13</formula>
    </cfRule>
    <cfRule type="cellIs" dxfId="1025" priority="242" stopIfTrue="1" operator="lessThan">
      <formula>$G$13</formula>
    </cfRule>
  </conditionalFormatting>
  <conditionalFormatting sqref="H14">
    <cfRule type="cellIs" dxfId="1024" priority="243" stopIfTrue="1" operator="equal">
      <formula>$G$14</formula>
    </cfRule>
    <cfRule type="cellIs" dxfId="1023" priority="244" stopIfTrue="1" operator="lessThan">
      <formula>$G$14</formula>
    </cfRule>
  </conditionalFormatting>
  <conditionalFormatting sqref="H15">
    <cfRule type="cellIs" dxfId="1022" priority="245" stopIfTrue="1" operator="equal">
      <formula>$G$15</formula>
    </cfRule>
    <cfRule type="cellIs" dxfId="1021" priority="246" stopIfTrue="1" operator="lessThan">
      <formula>$G$15</formula>
    </cfRule>
  </conditionalFormatting>
  <conditionalFormatting sqref="H16">
    <cfRule type="cellIs" dxfId="1020" priority="247" stopIfTrue="1" operator="equal">
      <formula>$G$16</formula>
    </cfRule>
    <cfRule type="cellIs" dxfId="1019" priority="248" stopIfTrue="1" operator="lessThan">
      <formula>$G$16</formula>
    </cfRule>
  </conditionalFormatting>
  <conditionalFormatting sqref="H17">
    <cfRule type="cellIs" dxfId="1018" priority="249" stopIfTrue="1" operator="equal">
      <formula>$G$17</formula>
    </cfRule>
    <cfRule type="cellIs" dxfId="1017" priority="250" stopIfTrue="1" operator="lessThan">
      <formula>$G$17</formula>
    </cfRule>
  </conditionalFormatting>
  <conditionalFormatting sqref="H18">
    <cfRule type="cellIs" dxfId="1016" priority="251" stopIfTrue="1" operator="equal">
      <formula>$G$18</formula>
    </cfRule>
    <cfRule type="cellIs" dxfId="1015" priority="252" stopIfTrue="1" operator="lessThan">
      <formula>$G$18</formula>
    </cfRule>
  </conditionalFormatting>
  <conditionalFormatting sqref="H19">
    <cfRule type="cellIs" dxfId="1014" priority="253" stopIfTrue="1" operator="equal">
      <formula>$G$19</formula>
    </cfRule>
    <cfRule type="cellIs" dxfId="1013" priority="254" stopIfTrue="1" operator="lessThan">
      <formula>$G$19</formula>
    </cfRule>
  </conditionalFormatting>
  <conditionalFormatting sqref="H20">
    <cfRule type="cellIs" dxfId="1012" priority="255" stopIfTrue="1" operator="equal">
      <formula>$G$20</formula>
    </cfRule>
    <cfRule type="cellIs" dxfId="1011" priority="256" stopIfTrue="1" operator="lessThan">
      <formula>$G$20</formula>
    </cfRule>
  </conditionalFormatting>
  <conditionalFormatting sqref="H21">
    <cfRule type="cellIs" dxfId="1010" priority="257" stopIfTrue="1" operator="equal">
      <formula>$G$21</formula>
    </cfRule>
    <cfRule type="cellIs" dxfId="1009" priority="258" stopIfTrue="1" operator="lessThan">
      <formula>$G$21</formula>
    </cfRule>
  </conditionalFormatting>
  <conditionalFormatting sqref="H22">
    <cfRule type="cellIs" dxfId="1008" priority="259" stopIfTrue="1" operator="equal">
      <formula>$G$22</formula>
    </cfRule>
    <cfRule type="cellIs" dxfId="1007" priority="260" stopIfTrue="1" operator="lessThan">
      <formula>$G$22</formula>
    </cfRule>
  </conditionalFormatting>
  <conditionalFormatting sqref="H23">
    <cfRule type="cellIs" dxfId="1006" priority="261" stopIfTrue="1" operator="equal">
      <formula>$G$23</formula>
    </cfRule>
    <cfRule type="cellIs" dxfId="1005" priority="262" stopIfTrue="1" operator="lessThan">
      <formula>$G$23</formula>
    </cfRule>
  </conditionalFormatting>
  <conditionalFormatting sqref="H24">
    <cfRule type="cellIs" dxfId="1004" priority="279" stopIfTrue="1" operator="equal">
      <formula>$G$24</formula>
    </cfRule>
    <cfRule type="cellIs" dxfId="1003" priority="280" stopIfTrue="1" operator="lessThan">
      <formula>$G$24</formula>
    </cfRule>
  </conditionalFormatting>
  <conditionalFormatting sqref="H25">
    <cfRule type="cellIs" dxfId="1002" priority="263" stopIfTrue="1" operator="equal">
      <formula>$G$25</formula>
    </cfRule>
    <cfRule type="cellIs" dxfId="1001" priority="264" stopIfTrue="1" operator="lessThan">
      <formula>$G$25</formula>
    </cfRule>
  </conditionalFormatting>
  <conditionalFormatting sqref="H26">
    <cfRule type="cellIs" dxfId="1000" priority="265" stopIfTrue="1" operator="equal">
      <formula>$G$26</formula>
    </cfRule>
    <cfRule type="cellIs" dxfId="999" priority="266" stopIfTrue="1" operator="lessThan">
      <formula>$G$26</formula>
    </cfRule>
  </conditionalFormatting>
  <conditionalFormatting sqref="H27">
    <cfRule type="cellIs" dxfId="998" priority="267" stopIfTrue="1" operator="equal">
      <formula>$G$27</formula>
    </cfRule>
    <cfRule type="cellIs" dxfId="997" priority="268" stopIfTrue="1" operator="lessThan">
      <formula>$G$27</formula>
    </cfRule>
  </conditionalFormatting>
  <conditionalFormatting sqref="H28">
    <cfRule type="cellIs" dxfId="996" priority="269" stopIfTrue="1" operator="equal">
      <formula>$G$28</formula>
    </cfRule>
    <cfRule type="cellIs" dxfId="995" priority="270" stopIfTrue="1" operator="lessThan">
      <formula>$G$28</formula>
    </cfRule>
  </conditionalFormatting>
  <conditionalFormatting sqref="I4">
    <cfRule type="cellIs" dxfId="994" priority="22" stopIfTrue="1" operator="equal">
      <formula>$H$4</formula>
    </cfRule>
  </conditionalFormatting>
  <conditionalFormatting sqref="I5">
    <cfRule type="cellIs" dxfId="993" priority="8" stopIfTrue="1" operator="equal">
      <formula>$H$5</formula>
    </cfRule>
    <cfRule type="cellIs" dxfId="992" priority="9" stopIfTrue="1" operator="lessThan">
      <formula>$H$5</formula>
    </cfRule>
  </conditionalFormatting>
  <conditionalFormatting sqref="I6">
    <cfRule type="cellIs" dxfId="991" priority="35" stopIfTrue="1" operator="equal">
      <formula>$H$6</formula>
    </cfRule>
    <cfRule type="cellIs" dxfId="990" priority="36" stopIfTrue="1" operator="lessThan">
      <formula>$H$6</formula>
    </cfRule>
  </conditionalFormatting>
  <conditionalFormatting sqref="I7">
    <cfRule type="cellIs" dxfId="989" priority="47" stopIfTrue="1" operator="equal">
      <formula>$H$7</formula>
    </cfRule>
    <cfRule type="cellIs" dxfId="988" priority="48" stopIfTrue="1" operator="lessThan">
      <formula>$H$7</formula>
    </cfRule>
  </conditionalFormatting>
  <conditionalFormatting sqref="I8">
    <cfRule type="cellIs" dxfId="987" priority="61" stopIfTrue="1" operator="equal">
      <formula>$H$8</formula>
    </cfRule>
    <cfRule type="cellIs" dxfId="986" priority="62" stopIfTrue="1" operator="lessThan">
      <formula>$H$8</formula>
    </cfRule>
  </conditionalFormatting>
  <conditionalFormatting sqref="I9">
    <cfRule type="cellIs" dxfId="985" priority="75" stopIfTrue="1" operator="equal">
      <formula>$H$9</formula>
    </cfRule>
    <cfRule type="cellIs" dxfId="984" priority="76" stopIfTrue="1" operator="lessThan">
      <formula>$H$9</formula>
    </cfRule>
  </conditionalFormatting>
  <conditionalFormatting sqref="I10">
    <cfRule type="cellIs" dxfId="983" priority="89" stopIfTrue="1" operator="equal">
      <formula>$H$10</formula>
    </cfRule>
    <cfRule type="cellIs" dxfId="982" priority="90" stopIfTrue="1" operator="lessThan">
      <formula>$H$10</formula>
    </cfRule>
  </conditionalFormatting>
  <conditionalFormatting sqref="I11">
    <cfRule type="cellIs" dxfId="981" priority="103" stopIfTrue="1" operator="equal">
      <formula>$H$11</formula>
    </cfRule>
    <cfRule type="cellIs" dxfId="980" priority="104" stopIfTrue="1" operator="lessThan">
      <formula>$H$11</formula>
    </cfRule>
  </conditionalFormatting>
  <conditionalFormatting sqref="I12">
    <cfRule type="cellIs" dxfId="979" priority="117" stopIfTrue="1" operator="equal">
      <formula>$H$12</formula>
    </cfRule>
    <cfRule type="cellIs" dxfId="978" priority="118" stopIfTrue="1" operator="lessThan">
      <formula>$H$12</formula>
    </cfRule>
  </conditionalFormatting>
  <conditionalFormatting sqref="I13">
    <cfRule type="cellIs" dxfId="977" priority="287" stopIfTrue="1" operator="equal">
      <formula>$H$13</formula>
    </cfRule>
    <cfRule type="cellIs" dxfId="976" priority="288" stopIfTrue="1" operator="lessThan">
      <formula>$H$13</formula>
    </cfRule>
  </conditionalFormatting>
  <conditionalFormatting sqref="I14">
    <cfRule type="cellIs" dxfId="975" priority="289" stopIfTrue="1" operator="equal">
      <formula>$H$14</formula>
    </cfRule>
    <cfRule type="cellIs" dxfId="974" priority="290" stopIfTrue="1" operator="lessThan">
      <formula>$H$14</formula>
    </cfRule>
  </conditionalFormatting>
  <conditionalFormatting sqref="I15">
    <cfRule type="cellIs" dxfId="973" priority="291" stopIfTrue="1" operator="equal">
      <formula>$H$15</formula>
    </cfRule>
    <cfRule type="cellIs" dxfId="972" priority="292" stopIfTrue="1" operator="lessThan">
      <formula>$H$15</formula>
    </cfRule>
  </conditionalFormatting>
  <conditionalFormatting sqref="I16">
    <cfRule type="cellIs" dxfId="971" priority="293" stopIfTrue="1" operator="equal">
      <formula>$H$16</formula>
    </cfRule>
    <cfRule type="cellIs" dxfId="970" priority="294" stopIfTrue="1" operator="lessThan">
      <formula>$H$16</formula>
    </cfRule>
  </conditionalFormatting>
  <conditionalFormatting sqref="I17">
    <cfRule type="cellIs" dxfId="969" priority="295" stopIfTrue="1" operator="equal">
      <formula>$H$17</formula>
    </cfRule>
    <cfRule type="cellIs" dxfId="968" priority="296" stopIfTrue="1" operator="lessThan">
      <formula>$H$17</formula>
    </cfRule>
  </conditionalFormatting>
  <conditionalFormatting sqref="I18">
    <cfRule type="cellIs" dxfId="967" priority="297" stopIfTrue="1" operator="equal">
      <formula>$H$18</formula>
    </cfRule>
    <cfRule type="cellIs" dxfId="966" priority="298" stopIfTrue="1" operator="lessThan">
      <formula>$H$18</formula>
    </cfRule>
  </conditionalFormatting>
  <conditionalFormatting sqref="I19">
    <cfRule type="cellIs" dxfId="965" priority="299" stopIfTrue="1" operator="equal">
      <formula>$H$19</formula>
    </cfRule>
    <cfRule type="cellIs" dxfId="964" priority="300" stopIfTrue="1" operator="lessThan">
      <formula>$H$19</formula>
    </cfRule>
  </conditionalFormatting>
  <conditionalFormatting sqref="I20">
    <cfRule type="cellIs" dxfId="963" priority="301" stopIfTrue="1" operator="equal">
      <formula>$H$20</formula>
    </cfRule>
    <cfRule type="cellIs" dxfId="962" priority="302" stopIfTrue="1" operator="lessThan">
      <formula>$H$20</formula>
    </cfRule>
  </conditionalFormatting>
  <conditionalFormatting sqref="I21">
    <cfRule type="cellIs" dxfId="961" priority="303" stopIfTrue="1" operator="equal">
      <formula>$H$21</formula>
    </cfRule>
    <cfRule type="cellIs" dxfId="960" priority="304" stopIfTrue="1" operator="lessThan">
      <formula>$H$21</formula>
    </cfRule>
  </conditionalFormatting>
  <conditionalFormatting sqref="I22">
    <cfRule type="cellIs" dxfId="959" priority="305" stopIfTrue="1" operator="equal">
      <formula>$H$22</formula>
    </cfRule>
    <cfRule type="cellIs" dxfId="958" priority="306" stopIfTrue="1" operator="lessThan">
      <formula>$H$22</formula>
    </cfRule>
  </conditionalFormatting>
  <conditionalFormatting sqref="I23">
    <cfRule type="cellIs" dxfId="957" priority="307" stopIfTrue="1" operator="equal">
      <formula>$H$23</formula>
    </cfRule>
    <cfRule type="cellIs" dxfId="956" priority="308" stopIfTrue="1" operator="lessThan">
      <formula>$H$23</formula>
    </cfRule>
  </conditionalFormatting>
  <conditionalFormatting sqref="I24">
    <cfRule type="cellIs" dxfId="955" priority="309" stopIfTrue="1" operator="equal">
      <formula>$H$24</formula>
    </cfRule>
    <cfRule type="cellIs" dxfId="954" priority="310" stopIfTrue="1" operator="lessThan">
      <formula>$H$24</formula>
    </cfRule>
  </conditionalFormatting>
  <conditionalFormatting sqref="I25">
    <cfRule type="cellIs" dxfId="953" priority="311" stopIfTrue="1" operator="equal">
      <formula>$H$25</formula>
    </cfRule>
    <cfRule type="cellIs" dxfId="952" priority="312" stopIfTrue="1" operator="lessThan">
      <formula>$H$25</formula>
    </cfRule>
  </conditionalFormatting>
  <conditionalFormatting sqref="I26">
    <cfRule type="cellIs" dxfId="951" priority="313" stopIfTrue="1" operator="equal">
      <formula>$H$26</formula>
    </cfRule>
    <cfRule type="cellIs" dxfId="950" priority="314" stopIfTrue="1" operator="lessThan">
      <formula>$H$26</formula>
    </cfRule>
  </conditionalFormatting>
  <conditionalFormatting sqref="I27">
    <cfRule type="cellIs" dxfId="949" priority="315" stopIfTrue="1" operator="equal">
      <formula>$H$27</formula>
    </cfRule>
    <cfRule type="cellIs" dxfId="948" priority="316" stopIfTrue="1" operator="lessThan">
      <formula>$H$27</formula>
    </cfRule>
  </conditionalFormatting>
  <conditionalFormatting sqref="I28">
    <cfRule type="cellIs" dxfId="947" priority="318" stopIfTrue="1" operator="equal">
      <formula>$H$28</formula>
    </cfRule>
    <cfRule type="cellIs" dxfId="946" priority="319" stopIfTrue="1" operator="lessThan">
      <formula>$H$28</formula>
    </cfRule>
  </conditionalFormatting>
  <conditionalFormatting sqref="I29">
    <cfRule type="cellIs" dxfId="945" priority="320" stopIfTrue="1" operator="equal">
      <formula>$H$29</formula>
    </cfRule>
    <cfRule type="cellIs" dxfId="944" priority="321" stopIfTrue="1" operator="lessThan">
      <formula>$H$29</formula>
    </cfRule>
  </conditionalFormatting>
  <conditionalFormatting sqref="J4">
    <cfRule type="cellIs" dxfId="943" priority="23" stopIfTrue="1" operator="lessThan">
      <formula>$I$4</formula>
    </cfRule>
    <cfRule type="cellIs" dxfId="942" priority="24" stopIfTrue="1" operator="equal">
      <formula>$I$4</formula>
    </cfRule>
  </conditionalFormatting>
  <conditionalFormatting sqref="J5">
    <cfRule type="cellIs" dxfId="941" priority="10" stopIfTrue="1" operator="equal">
      <formula>$I$5</formula>
    </cfRule>
    <cfRule type="cellIs" dxfId="940" priority="11" stopIfTrue="1" operator="lessThan">
      <formula>$I$5</formula>
    </cfRule>
  </conditionalFormatting>
  <conditionalFormatting sqref="J6">
    <cfRule type="cellIs" dxfId="939" priority="37" stopIfTrue="1" operator="equal">
      <formula>$I$6</formula>
    </cfRule>
    <cfRule type="cellIs" dxfId="938" priority="38" stopIfTrue="1" operator="lessThan">
      <formula>$I$6</formula>
    </cfRule>
  </conditionalFormatting>
  <conditionalFormatting sqref="J7">
    <cfRule type="cellIs" dxfId="937" priority="49" stopIfTrue="1" operator="equal">
      <formula>$I$7</formula>
    </cfRule>
    <cfRule type="cellIs" dxfId="936" priority="50" stopIfTrue="1" operator="lessThan">
      <formula>$I$7</formula>
    </cfRule>
  </conditionalFormatting>
  <conditionalFormatting sqref="J8">
    <cfRule type="cellIs" dxfId="935" priority="63" stopIfTrue="1" operator="equal">
      <formula>$I$8</formula>
    </cfRule>
    <cfRule type="cellIs" dxfId="934" priority="64" stopIfTrue="1" operator="lessThan">
      <formula>$I$8</formula>
    </cfRule>
  </conditionalFormatting>
  <conditionalFormatting sqref="J9">
    <cfRule type="cellIs" dxfId="933" priority="77" stopIfTrue="1" operator="equal">
      <formula>$I$9</formula>
    </cfRule>
    <cfRule type="cellIs" dxfId="932" priority="78" stopIfTrue="1" operator="lessThan">
      <formula>$I$9</formula>
    </cfRule>
  </conditionalFormatting>
  <conditionalFormatting sqref="J10">
    <cfRule type="cellIs" dxfId="931" priority="91" stopIfTrue="1" operator="equal">
      <formula>$I$10</formula>
    </cfRule>
    <cfRule type="cellIs" dxfId="930" priority="92" stopIfTrue="1" operator="lessThan">
      <formula>$I$10</formula>
    </cfRule>
  </conditionalFormatting>
  <conditionalFormatting sqref="J11">
    <cfRule type="cellIs" dxfId="929" priority="105" stopIfTrue="1" operator="equal">
      <formula>$I$11</formula>
    </cfRule>
    <cfRule type="cellIs" dxfId="928" priority="106" stopIfTrue="1" operator="lessThan">
      <formula>$I$11</formula>
    </cfRule>
  </conditionalFormatting>
  <conditionalFormatting sqref="J12">
    <cfRule type="cellIs" dxfId="927" priority="119" stopIfTrue="1" operator="equal">
      <formula>$I$12</formula>
    </cfRule>
    <cfRule type="cellIs" dxfId="926" priority="120" stopIfTrue="1" operator="lessThan">
      <formula>$I$12</formula>
    </cfRule>
  </conditionalFormatting>
  <conditionalFormatting sqref="J13">
    <cfRule type="cellIs" dxfId="925" priority="322" stopIfTrue="1" operator="equal">
      <formula>$I$13</formula>
    </cfRule>
    <cfRule type="cellIs" dxfId="924" priority="323" stopIfTrue="1" operator="lessThan">
      <formula>$I$13</formula>
    </cfRule>
  </conditionalFormatting>
  <conditionalFormatting sqref="J14">
    <cfRule type="cellIs" dxfId="923" priority="324" stopIfTrue="1" operator="equal">
      <formula>$I$14</formula>
    </cfRule>
    <cfRule type="cellIs" dxfId="922" priority="325" stopIfTrue="1" operator="lessThan">
      <formula>$I$14</formula>
    </cfRule>
  </conditionalFormatting>
  <conditionalFormatting sqref="J15">
    <cfRule type="cellIs" dxfId="921" priority="326" stopIfTrue="1" operator="equal">
      <formula>$I$15</formula>
    </cfRule>
    <cfRule type="cellIs" dxfId="920" priority="327" stopIfTrue="1" operator="lessThan">
      <formula>$I$15</formula>
    </cfRule>
  </conditionalFormatting>
  <conditionalFormatting sqref="J16">
    <cfRule type="cellIs" dxfId="919" priority="328" stopIfTrue="1" operator="equal">
      <formula>$I$16</formula>
    </cfRule>
    <cfRule type="cellIs" dxfId="918" priority="329" stopIfTrue="1" operator="lessThan">
      <formula>$I$16</formula>
    </cfRule>
  </conditionalFormatting>
  <conditionalFormatting sqref="J17">
    <cfRule type="cellIs" dxfId="917" priority="330" stopIfTrue="1" operator="equal">
      <formula>$I$17</formula>
    </cfRule>
    <cfRule type="cellIs" dxfId="916" priority="331" stopIfTrue="1" operator="lessThan">
      <formula>$I$17</formula>
    </cfRule>
  </conditionalFormatting>
  <conditionalFormatting sqref="J18">
    <cfRule type="cellIs" dxfId="915" priority="332" stopIfTrue="1" operator="equal">
      <formula>$I$18</formula>
    </cfRule>
    <cfRule type="cellIs" dxfId="914" priority="333" stopIfTrue="1" operator="lessThan">
      <formula>$I$18</formula>
    </cfRule>
  </conditionalFormatting>
  <conditionalFormatting sqref="J19">
    <cfRule type="cellIs" dxfId="913" priority="334" stopIfTrue="1" operator="equal">
      <formula>$I$19</formula>
    </cfRule>
    <cfRule type="cellIs" dxfId="912" priority="335" stopIfTrue="1" operator="lessThan">
      <formula>$I$19</formula>
    </cfRule>
  </conditionalFormatting>
  <conditionalFormatting sqref="J20">
    <cfRule type="cellIs" dxfId="911" priority="336" stopIfTrue="1" operator="equal">
      <formula>$I$20</formula>
    </cfRule>
    <cfRule type="cellIs" dxfId="910" priority="337" stopIfTrue="1" operator="lessThan">
      <formula>$I$20</formula>
    </cfRule>
  </conditionalFormatting>
  <conditionalFormatting sqref="J21">
    <cfRule type="cellIs" dxfId="909" priority="338" stopIfTrue="1" operator="equal">
      <formula>$I$21</formula>
    </cfRule>
    <cfRule type="cellIs" dxfId="908" priority="339" stopIfTrue="1" operator="lessThan">
      <formula>$I$21</formula>
    </cfRule>
  </conditionalFormatting>
  <conditionalFormatting sqref="J22">
    <cfRule type="cellIs" dxfId="907" priority="340" stopIfTrue="1" operator="equal">
      <formula>$I$22</formula>
    </cfRule>
    <cfRule type="cellIs" dxfId="906" priority="341" stopIfTrue="1" operator="lessThan">
      <formula>$I$22</formula>
    </cfRule>
  </conditionalFormatting>
  <conditionalFormatting sqref="J23">
    <cfRule type="cellIs" dxfId="905" priority="342" stopIfTrue="1" operator="equal">
      <formula>$I$23</formula>
    </cfRule>
    <cfRule type="cellIs" dxfId="904" priority="343" stopIfTrue="1" operator="lessThan">
      <formula>$I$23</formula>
    </cfRule>
  </conditionalFormatting>
  <conditionalFormatting sqref="J24">
    <cfRule type="cellIs" dxfId="903" priority="344" stopIfTrue="1" operator="equal">
      <formula>$I$24</formula>
    </cfRule>
    <cfRule type="cellIs" dxfId="902" priority="345" stopIfTrue="1" operator="lessThan">
      <formula>$I$24</formula>
    </cfRule>
  </conditionalFormatting>
  <conditionalFormatting sqref="J25">
    <cfRule type="cellIs" dxfId="901" priority="346" stopIfTrue="1" operator="equal">
      <formula>$I$25</formula>
    </cfRule>
    <cfRule type="cellIs" dxfId="900" priority="347" stopIfTrue="1" operator="lessThan">
      <formula>$I$25</formula>
    </cfRule>
  </conditionalFormatting>
  <conditionalFormatting sqref="J26">
    <cfRule type="cellIs" dxfId="899" priority="348" stopIfTrue="1" operator="equal">
      <formula>$I$26</formula>
    </cfRule>
    <cfRule type="cellIs" dxfId="898" priority="349" stopIfTrue="1" operator="lessThan">
      <formula>$I$26</formula>
    </cfRule>
  </conditionalFormatting>
  <conditionalFormatting sqref="J27">
    <cfRule type="cellIs" dxfId="897" priority="350" stopIfTrue="1" operator="equal">
      <formula>$I$27</formula>
    </cfRule>
    <cfRule type="cellIs" dxfId="896" priority="351" stopIfTrue="1" operator="lessThan">
      <formula>$I$27</formula>
    </cfRule>
  </conditionalFormatting>
  <conditionalFormatting sqref="J28">
    <cfRule type="cellIs" dxfId="895" priority="352" stopIfTrue="1" operator="equal">
      <formula>$I$28</formula>
    </cfRule>
    <cfRule type="cellIs" dxfId="894" priority="353" stopIfTrue="1" operator="lessThan">
      <formula>$I$28</formula>
    </cfRule>
  </conditionalFormatting>
  <conditionalFormatting sqref="K4">
    <cfRule type="cellIs" dxfId="893" priority="354" stopIfTrue="1" operator="equal">
      <formula>$J$4</formula>
    </cfRule>
    <cfRule type="cellIs" dxfId="892" priority="355" stopIfTrue="1" operator="lessThan">
      <formula>$J$4</formula>
    </cfRule>
  </conditionalFormatting>
  <conditionalFormatting sqref="K5">
    <cfRule type="cellIs" dxfId="891" priority="356" stopIfTrue="1" operator="equal">
      <formula>$J$5</formula>
    </cfRule>
    <cfRule type="cellIs" dxfId="890" priority="357" stopIfTrue="1" operator="lessThan">
      <formula>$J$5</formula>
    </cfRule>
  </conditionalFormatting>
  <conditionalFormatting sqref="K6">
    <cfRule type="cellIs" dxfId="889" priority="358" stopIfTrue="1" operator="equal">
      <formula>$J$6</formula>
    </cfRule>
    <cfRule type="cellIs" dxfId="888" priority="359" stopIfTrue="1" operator="lessThan">
      <formula>$J$6</formula>
    </cfRule>
  </conditionalFormatting>
  <conditionalFormatting sqref="K7">
    <cfRule type="cellIs" dxfId="887" priority="360" stopIfTrue="1" operator="equal">
      <formula>$J$7</formula>
    </cfRule>
    <cfRule type="cellIs" dxfId="886" priority="361" stopIfTrue="1" operator="lessThan">
      <formula>$J$7</formula>
    </cfRule>
  </conditionalFormatting>
  <conditionalFormatting sqref="K8">
    <cfRule type="cellIs" dxfId="885" priority="362" stopIfTrue="1" operator="equal">
      <formula>$J$8</formula>
    </cfRule>
    <cfRule type="cellIs" dxfId="884" priority="363" stopIfTrue="1" operator="lessThan">
      <formula>$J$8</formula>
    </cfRule>
  </conditionalFormatting>
  <conditionalFormatting sqref="K9">
    <cfRule type="cellIs" dxfId="883" priority="364" stopIfTrue="1" operator="equal">
      <formula>$J$9</formula>
    </cfRule>
    <cfRule type="cellIs" dxfId="882" priority="365" stopIfTrue="1" operator="lessThan">
      <formula>$J$9</formula>
    </cfRule>
  </conditionalFormatting>
  <conditionalFormatting sqref="K10">
    <cfRule type="cellIs" dxfId="881" priority="366" stopIfTrue="1" operator="equal">
      <formula>$J$10</formula>
    </cfRule>
    <cfRule type="cellIs" dxfId="880" priority="367" stopIfTrue="1" operator="lessThan">
      <formula>$J$10</formula>
    </cfRule>
  </conditionalFormatting>
  <conditionalFormatting sqref="K11">
    <cfRule type="cellIs" dxfId="879" priority="368" stopIfTrue="1" operator="equal">
      <formula>$J$11</formula>
    </cfRule>
    <cfRule type="cellIs" dxfId="878" priority="369" stopIfTrue="1" operator="lessThan">
      <formula>$J$11</formula>
    </cfRule>
  </conditionalFormatting>
  <conditionalFormatting sqref="K12">
    <cfRule type="cellIs" dxfId="877" priority="370" stopIfTrue="1" operator="equal">
      <formula>$J$12</formula>
    </cfRule>
    <cfRule type="cellIs" dxfId="876" priority="371" stopIfTrue="1" operator="lessThan">
      <formula>$J$12</formula>
    </cfRule>
  </conditionalFormatting>
  <conditionalFormatting sqref="K13">
    <cfRule type="cellIs" dxfId="875" priority="372" stopIfTrue="1" operator="equal">
      <formula>$J$13</formula>
    </cfRule>
    <cfRule type="cellIs" dxfId="874" priority="373" stopIfTrue="1" operator="lessThan">
      <formula>$J$13</formula>
    </cfRule>
  </conditionalFormatting>
  <conditionalFormatting sqref="K14">
    <cfRule type="cellIs" dxfId="873" priority="374" stopIfTrue="1" operator="equal">
      <formula>$J$14</formula>
    </cfRule>
    <cfRule type="cellIs" dxfId="872" priority="375" stopIfTrue="1" operator="lessThan">
      <formula>$J$14</formula>
    </cfRule>
  </conditionalFormatting>
  <conditionalFormatting sqref="K15">
    <cfRule type="cellIs" dxfId="871" priority="376" stopIfTrue="1" operator="equal">
      <formula>$J$15</formula>
    </cfRule>
    <cfRule type="cellIs" dxfId="870" priority="377" stopIfTrue="1" operator="lessThan">
      <formula>$J$15</formula>
    </cfRule>
  </conditionalFormatting>
  <conditionalFormatting sqref="K16">
    <cfRule type="cellIs" dxfId="869" priority="378" stopIfTrue="1" operator="equal">
      <formula>$J$16</formula>
    </cfRule>
    <cfRule type="cellIs" dxfId="868" priority="379" stopIfTrue="1" operator="lessThan">
      <formula>$J$16</formula>
    </cfRule>
  </conditionalFormatting>
  <conditionalFormatting sqref="K17">
    <cfRule type="cellIs" dxfId="867" priority="380" stopIfTrue="1" operator="equal">
      <formula>$J$17</formula>
    </cfRule>
    <cfRule type="cellIs" dxfId="866" priority="381" stopIfTrue="1" operator="lessThan">
      <formula>$J$17</formula>
    </cfRule>
  </conditionalFormatting>
  <conditionalFormatting sqref="K18">
    <cfRule type="cellIs" dxfId="865" priority="382" stopIfTrue="1" operator="equal">
      <formula>$J$18</formula>
    </cfRule>
    <cfRule type="cellIs" dxfId="864" priority="383" stopIfTrue="1" operator="lessThan">
      <formula>$J$18</formula>
    </cfRule>
  </conditionalFormatting>
  <conditionalFormatting sqref="K19">
    <cfRule type="cellIs" dxfId="863" priority="384" stopIfTrue="1" operator="equal">
      <formula>$J$19</formula>
    </cfRule>
    <cfRule type="cellIs" dxfId="862" priority="385" stopIfTrue="1" operator="lessThan">
      <formula>$J$19</formula>
    </cfRule>
  </conditionalFormatting>
  <conditionalFormatting sqref="K20">
    <cfRule type="cellIs" dxfId="861" priority="386" stopIfTrue="1" operator="equal">
      <formula>$J$20</formula>
    </cfRule>
    <cfRule type="cellIs" dxfId="860" priority="387" stopIfTrue="1" operator="lessThan">
      <formula>$J$20</formula>
    </cfRule>
  </conditionalFormatting>
  <conditionalFormatting sqref="K21">
    <cfRule type="cellIs" dxfId="859" priority="388" stopIfTrue="1" operator="equal">
      <formula>$J$21</formula>
    </cfRule>
    <cfRule type="cellIs" dxfId="858" priority="389" stopIfTrue="1" operator="lessThan">
      <formula>$J$21</formula>
    </cfRule>
  </conditionalFormatting>
  <conditionalFormatting sqref="K22">
    <cfRule type="cellIs" dxfId="857" priority="390" stopIfTrue="1" operator="equal">
      <formula>$J$22</formula>
    </cfRule>
    <cfRule type="cellIs" dxfId="856" priority="391" stopIfTrue="1" operator="lessThan">
      <formula>$J$22</formula>
    </cfRule>
  </conditionalFormatting>
  <conditionalFormatting sqref="K23">
    <cfRule type="cellIs" dxfId="855" priority="392" stopIfTrue="1" operator="equal">
      <formula>$J$23</formula>
    </cfRule>
    <cfRule type="cellIs" dxfId="854" priority="393" stopIfTrue="1" operator="lessThan">
      <formula>$J$23</formula>
    </cfRule>
  </conditionalFormatting>
  <conditionalFormatting sqref="K24">
    <cfRule type="cellIs" dxfId="853" priority="394" stopIfTrue="1" operator="equal">
      <formula>$J$24</formula>
    </cfRule>
    <cfRule type="cellIs" dxfId="852" priority="395" stopIfTrue="1" operator="lessThan">
      <formula>$J$24</formula>
    </cfRule>
  </conditionalFormatting>
  <conditionalFormatting sqref="K25">
    <cfRule type="cellIs" dxfId="851" priority="396" stopIfTrue="1" operator="equal">
      <formula>$J$25</formula>
    </cfRule>
    <cfRule type="cellIs" dxfId="850" priority="397" stopIfTrue="1" operator="lessThan">
      <formula>$J$25</formula>
    </cfRule>
  </conditionalFormatting>
  <conditionalFormatting sqref="K26">
    <cfRule type="cellIs" dxfId="849" priority="398" stopIfTrue="1" operator="equal">
      <formula>$J$26</formula>
    </cfRule>
    <cfRule type="cellIs" dxfId="848" priority="399" stopIfTrue="1" operator="lessThan">
      <formula>$J$26</formula>
    </cfRule>
  </conditionalFormatting>
  <conditionalFormatting sqref="K27">
    <cfRule type="cellIs" dxfId="847" priority="400" stopIfTrue="1" operator="equal">
      <formula>$J$27</formula>
    </cfRule>
    <cfRule type="cellIs" dxfId="846" priority="401" stopIfTrue="1" operator="lessThan">
      <formula>$J$27</formula>
    </cfRule>
  </conditionalFormatting>
  <conditionalFormatting sqref="K28">
    <cfRule type="cellIs" dxfId="845" priority="402" stopIfTrue="1" operator="lessThan">
      <formula>$J$28</formula>
    </cfRule>
    <cfRule type="cellIs" dxfId="844" priority="403" stopIfTrue="1" operator="equal">
      <formula>$J$28</formula>
    </cfRule>
  </conditionalFormatting>
  <conditionalFormatting sqref="L4">
    <cfRule type="cellIs" dxfId="843" priority="404" stopIfTrue="1" operator="equal">
      <formula>$K$4</formula>
    </cfRule>
    <cfRule type="cellIs" dxfId="842" priority="405" stopIfTrue="1" operator="lessThan">
      <formula>$K$4</formula>
    </cfRule>
  </conditionalFormatting>
  <conditionalFormatting sqref="L5">
    <cfRule type="cellIs" dxfId="841" priority="406" stopIfTrue="1" operator="equal">
      <formula>$K$5</formula>
    </cfRule>
    <cfRule type="cellIs" dxfId="840" priority="407" stopIfTrue="1" operator="lessThan">
      <formula>$K$5</formula>
    </cfRule>
  </conditionalFormatting>
  <conditionalFormatting sqref="L6">
    <cfRule type="cellIs" dxfId="839" priority="408" stopIfTrue="1" operator="equal">
      <formula>$K$6</formula>
    </cfRule>
    <cfRule type="cellIs" dxfId="838" priority="409" stopIfTrue="1" operator="lessThan">
      <formula>$K$6</formula>
    </cfRule>
  </conditionalFormatting>
  <conditionalFormatting sqref="L7">
    <cfRule type="cellIs" dxfId="837" priority="410" stopIfTrue="1" operator="equal">
      <formula>$K$7</formula>
    </cfRule>
    <cfRule type="cellIs" dxfId="836" priority="411" stopIfTrue="1" operator="lessThan">
      <formula>$K$7</formula>
    </cfRule>
  </conditionalFormatting>
  <conditionalFormatting sqref="L8">
    <cfRule type="cellIs" dxfId="835" priority="412" stopIfTrue="1" operator="equal">
      <formula>$K$8</formula>
    </cfRule>
    <cfRule type="cellIs" dxfId="834" priority="413" stopIfTrue="1" operator="lessThan">
      <formula>$K$8</formula>
    </cfRule>
  </conditionalFormatting>
  <conditionalFormatting sqref="L9">
    <cfRule type="cellIs" dxfId="833" priority="414" stopIfTrue="1" operator="equal">
      <formula>$K$9</formula>
    </cfRule>
    <cfRule type="cellIs" dxfId="832" priority="415" stopIfTrue="1" operator="lessThan">
      <formula>$K$9</formula>
    </cfRule>
  </conditionalFormatting>
  <conditionalFormatting sqref="L10">
    <cfRule type="cellIs" dxfId="831" priority="416" stopIfTrue="1" operator="equal">
      <formula>$K$10</formula>
    </cfRule>
    <cfRule type="cellIs" dxfId="830" priority="417" stopIfTrue="1" operator="lessThan">
      <formula>$K$10</formula>
    </cfRule>
  </conditionalFormatting>
  <conditionalFormatting sqref="L11">
    <cfRule type="cellIs" dxfId="829" priority="438" stopIfTrue="1" operator="equal">
      <formula>$K$11</formula>
    </cfRule>
    <cfRule type="cellIs" dxfId="828" priority="439" stopIfTrue="1" operator="lessThan">
      <formula>$K$11</formula>
    </cfRule>
  </conditionalFormatting>
  <conditionalFormatting sqref="L12">
    <cfRule type="cellIs" dxfId="827" priority="418" stopIfTrue="1" operator="equal">
      <formula>$K$12</formula>
    </cfRule>
    <cfRule type="cellIs" dxfId="826" priority="419" stopIfTrue="1" operator="lessThan">
      <formula>$K$12</formula>
    </cfRule>
  </conditionalFormatting>
  <conditionalFormatting sqref="L13">
    <cfRule type="cellIs" dxfId="825" priority="420" stopIfTrue="1" operator="equal">
      <formula>$K$13</formula>
    </cfRule>
    <cfRule type="cellIs" dxfId="824" priority="421" stopIfTrue="1" operator="lessThan">
      <formula>$K$13</formula>
    </cfRule>
  </conditionalFormatting>
  <conditionalFormatting sqref="L14">
    <cfRule type="cellIs" dxfId="823" priority="422" stopIfTrue="1" operator="equal">
      <formula>$K$14</formula>
    </cfRule>
    <cfRule type="cellIs" dxfId="822" priority="423" stopIfTrue="1" operator="lessThan">
      <formula>$K$14</formula>
    </cfRule>
  </conditionalFormatting>
  <conditionalFormatting sqref="L15">
    <cfRule type="cellIs" dxfId="821" priority="424" stopIfTrue="1" operator="equal">
      <formula>$K$15</formula>
    </cfRule>
    <cfRule type="cellIs" dxfId="820" priority="425" stopIfTrue="1" operator="lessThan">
      <formula>$K$15</formula>
    </cfRule>
  </conditionalFormatting>
  <conditionalFormatting sqref="L16">
    <cfRule type="cellIs" dxfId="819" priority="426" stopIfTrue="1" operator="equal">
      <formula>$K$16</formula>
    </cfRule>
    <cfRule type="cellIs" dxfId="818" priority="427" stopIfTrue="1" operator="lessThan">
      <formula>$K$16</formula>
    </cfRule>
  </conditionalFormatting>
  <conditionalFormatting sqref="L17">
    <cfRule type="cellIs" dxfId="817" priority="428" stopIfTrue="1" operator="equal">
      <formula>$K$17</formula>
    </cfRule>
    <cfRule type="cellIs" dxfId="816" priority="429" stopIfTrue="1" operator="lessThan">
      <formula>$K$17</formula>
    </cfRule>
  </conditionalFormatting>
  <conditionalFormatting sqref="L18">
    <cfRule type="cellIs" dxfId="815" priority="430" stopIfTrue="1" operator="equal">
      <formula>$K$18</formula>
    </cfRule>
    <cfRule type="cellIs" dxfId="814" priority="431" stopIfTrue="1" operator="lessThan">
      <formula>$K$18</formula>
    </cfRule>
  </conditionalFormatting>
  <conditionalFormatting sqref="L19">
    <cfRule type="cellIs" dxfId="813" priority="432" stopIfTrue="1" operator="equal">
      <formula>$K$19</formula>
    </cfRule>
    <cfRule type="cellIs" dxfId="812" priority="433" stopIfTrue="1" operator="lessThan">
      <formula>$K$19</formula>
    </cfRule>
  </conditionalFormatting>
  <conditionalFormatting sqref="L20">
    <cfRule type="cellIs" dxfId="811" priority="434" stopIfTrue="1" operator="equal">
      <formula>$K$20</formula>
    </cfRule>
    <cfRule type="cellIs" dxfId="810" priority="435" stopIfTrue="1" operator="lessThan">
      <formula>$K$20</formula>
    </cfRule>
  </conditionalFormatting>
  <conditionalFormatting sqref="L21">
    <cfRule type="cellIs" dxfId="809" priority="436" stopIfTrue="1" operator="equal">
      <formula>$K$21</formula>
    </cfRule>
    <cfRule type="cellIs" dxfId="808" priority="437" stopIfTrue="1" operator="lessThan">
      <formula>$K$21</formula>
    </cfRule>
  </conditionalFormatting>
  <conditionalFormatting sqref="L22">
    <cfRule type="cellIs" dxfId="807" priority="440" stopIfTrue="1" operator="equal">
      <formula>$K$22</formula>
    </cfRule>
    <cfRule type="cellIs" dxfId="806" priority="441" stopIfTrue="1" operator="lessThan">
      <formula>$K$22</formula>
    </cfRule>
  </conditionalFormatting>
  <conditionalFormatting sqref="L23">
    <cfRule type="cellIs" dxfId="805" priority="442" stopIfTrue="1" operator="equal">
      <formula>$K$23</formula>
    </cfRule>
    <cfRule type="cellIs" dxfId="804" priority="443" stopIfTrue="1" operator="lessThan">
      <formula>$K$23</formula>
    </cfRule>
  </conditionalFormatting>
  <conditionalFormatting sqref="L24">
    <cfRule type="cellIs" dxfId="803" priority="444" stopIfTrue="1" operator="equal">
      <formula>$K$24</formula>
    </cfRule>
    <cfRule type="cellIs" dxfId="802" priority="445" stopIfTrue="1" operator="lessThan">
      <formula>$K$24</formula>
    </cfRule>
  </conditionalFormatting>
  <conditionalFormatting sqref="L25">
    <cfRule type="cellIs" dxfId="801" priority="446" stopIfTrue="1" operator="equal">
      <formula>$K$25</formula>
    </cfRule>
    <cfRule type="cellIs" dxfId="800" priority="447" stopIfTrue="1" operator="lessThan">
      <formula>$K$25</formula>
    </cfRule>
  </conditionalFormatting>
  <conditionalFormatting sqref="L26">
    <cfRule type="cellIs" dxfId="799" priority="448" stopIfTrue="1" operator="equal">
      <formula>$K$26</formula>
    </cfRule>
    <cfRule type="cellIs" dxfId="798" priority="449" stopIfTrue="1" operator="lessThan">
      <formula>$K$26</formula>
    </cfRule>
  </conditionalFormatting>
  <conditionalFormatting sqref="L27">
    <cfRule type="cellIs" dxfId="797" priority="450" stopIfTrue="1" operator="equal">
      <formula>$K$27</formula>
    </cfRule>
    <cfRule type="cellIs" dxfId="796" priority="451" stopIfTrue="1" operator="lessThan">
      <formula>$K$27</formula>
    </cfRule>
  </conditionalFormatting>
  <conditionalFormatting sqref="L28">
    <cfRule type="cellIs" dxfId="795" priority="452" stopIfTrue="1" operator="equal">
      <formula>$K$28</formula>
    </cfRule>
    <cfRule type="cellIs" dxfId="794" priority="453" stopIfTrue="1" operator="lessThan">
      <formula>$K$28</formula>
    </cfRule>
  </conditionalFormatting>
  <conditionalFormatting sqref="M4">
    <cfRule type="cellIs" dxfId="793" priority="454" stopIfTrue="1" operator="lessThan">
      <formula>$L$4</formula>
    </cfRule>
    <cfRule type="cellIs" dxfId="792" priority="455" stopIfTrue="1" operator="equal">
      <formula>$L$4</formula>
    </cfRule>
  </conditionalFormatting>
  <conditionalFormatting sqref="M5">
    <cfRule type="cellIs" dxfId="791" priority="456" stopIfTrue="1" operator="equal">
      <formula>$L$5</formula>
    </cfRule>
    <cfRule type="cellIs" dxfId="790" priority="457" stopIfTrue="1" operator="lessThan">
      <formula>$L$5</formula>
    </cfRule>
  </conditionalFormatting>
  <conditionalFormatting sqref="M6">
    <cfRule type="cellIs" dxfId="789" priority="458" stopIfTrue="1" operator="equal">
      <formula>$L$6</formula>
    </cfRule>
    <cfRule type="cellIs" dxfId="788" priority="459" stopIfTrue="1" operator="lessThan">
      <formula>$L$6</formula>
    </cfRule>
  </conditionalFormatting>
  <conditionalFormatting sqref="M7">
    <cfRule type="cellIs" dxfId="787" priority="460" stopIfTrue="1" operator="equal">
      <formula>$L$7</formula>
    </cfRule>
    <cfRule type="cellIs" dxfId="786" priority="461" stopIfTrue="1" operator="lessThan">
      <formula>$L$7</formula>
    </cfRule>
  </conditionalFormatting>
  <conditionalFormatting sqref="M8">
    <cfRule type="cellIs" dxfId="785" priority="462" stopIfTrue="1" operator="equal">
      <formula>$L$8</formula>
    </cfRule>
    <cfRule type="cellIs" dxfId="784" priority="463" stopIfTrue="1" operator="lessThan">
      <formula>$L$8</formula>
    </cfRule>
  </conditionalFormatting>
  <conditionalFormatting sqref="M9">
    <cfRule type="cellIs" dxfId="783" priority="464" stopIfTrue="1" operator="equal">
      <formula>$L$9</formula>
    </cfRule>
    <cfRule type="cellIs" dxfId="782" priority="465" stopIfTrue="1" operator="lessThan">
      <formula>$L$9</formula>
    </cfRule>
  </conditionalFormatting>
  <conditionalFormatting sqref="M10">
    <cfRule type="cellIs" dxfId="781" priority="466" stopIfTrue="1" operator="equal">
      <formula>$L$10</formula>
    </cfRule>
    <cfRule type="cellIs" dxfId="780" priority="467" stopIfTrue="1" operator="lessThan">
      <formula>$L$10</formula>
    </cfRule>
  </conditionalFormatting>
  <conditionalFormatting sqref="M11">
    <cfRule type="cellIs" dxfId="779" priority="468" stopIfTrue="1" operator="equal">
      <formula>$L$11</formula>
    </cfRule>
    <cfRule type="cellIs" dxfId="778" priority="469" stopIfTrue="1" operator="lessThan">
      <formula>$L$11</formula>
    </cfRule>
  </conditionalFormatting>
  <conditionalFormatting sqref="M12">
    <cfRule type="cellIs" dxfId="777" priority="470" stopIfTrue="1" operator="equal">
      <formula>$L$12</formula>
    </cfRule>
    <cfRule type="cellIs" dxfId="776" priority="471" stopIfTrue="1" operator="lessThan">
      <formula>$L$12</formula>
    </cfRule>
  </conditionalFormatting>
  <conditionalFormatting sqref="M13">
    <cfRule type="cellIs" dxfId="775" priority="472" stopIfTrue="1" operator="equal">
      <formula>$L$13</formula>
    </cfRule>
    <cfRule type="cellIs" dxfId="774" priority="473" stopIfTrue="1" operator="lessThan">
      <formula>$L$13</formula>
    </cfRule>
  </conditionalFormatting>
  <conditionalFormatting sqref="M14">
    <cfRule type="cellIs" dxfId="773" priority="474" stopIfTrue="1" operator="equal">
      <formula>$L$14</formula>
    </cfRule>
    <cfRule type="cellIs" dxfId="772" priority="475" stopIfTrue="1" operator="lessThan">
      <formula>$L$14</formula>
    </cfRule>
  </conditionalFormatting>
  <conditionalFormatting sqref="M15">
    <cfRule type="cellIs" dxfId="771" priority="476" stopIfTrue="1" operator="equal">
      <formula>$L$15</formula>
    </cfRule>
    <cfRule type="cellIs" dxfId="770" priority="477" stopIfTrue="1" operator="lessThan">
      <formula>$L$15</formula>
    </cfRule>
  </conditionalFormatting>
  <conditionalFormatting sqref="M16">
    <cfRule type="cellIs" dxfId="769" priority="478" stopIfTrue="1" operator="equal">
      <formula>$L$16</formula>
    </cfRule>
    <cfRule type="cellIs" dxfId="768" priority="479" stopIfTrue="1" operator="lessThan">
      <formula>$L$16</formula>
    </cfRule>
  </conditionalFormatting>
  <conditionalFormatting sqref="M17">
    <cfRule type="cellIs" dxfId="767" priority="480" stopIfTrue="1" operator="equal">
      <formula>$L$17</formula>
    </cfRule>
    <cfRule type="cellIs" dxfId="766" priority="481" stopIfTrue="1" operator="lessThan">
      <formula>$L$17</formula>
    </cfRule>
  </conditionalFormatting>
  <conditionalFormatting sqref="M18">
    <cfRule type="cellIs" dxfId="765" priority="482" stopIfTrue="1" operator="equal">
      <formula>$L$18</formula>
    </cfRule>
    <cfRule type="cellIs" dxfId="764" priority="483" stopIfTrue="1" operator="lessThan">
      <formula>$L$18</formula>
    </cfRule>
  </conditionalFormatting>
  <conditionalFormatting sqref="M19">
    <cfRule type="cellIs" dxfId="763" priority="484" stopIfTrue="1" operator="equal">
      <formula>$L$19</formula>
    </cfRule>
    <cfRule type="cellIs" dxfId="762" priority="485" stopIfTrue="1" operator="lessThan">
      <formula>$L$19</formula>
    </cfRule>
  </conditionalFormatting>
  <conditionalFormatting sqref="M20">
    <cfRule type="cellIs" dxfId="761" priority="486" stopIfTrue="1" operator="equal">
      <formula>$L$20</formula>
    </cfRule>
    <cfRule type="cellIs" dxfId="760" priority="487" stopIfTrue="1" operator="lessThan">
      <formula>$L$20</formula>
    </cfRule>
  </conditionalFormatting>
  <conditionalFormatting sqref="M21">
    <cfRule type="cellIs" dxfId="759" priority="488" stopIfTrue="1" operator="equal">
      <formula>$L$21</formula>
    </cfRule>
    <cfRule type="cellIs" dxfId="758" priority="489" stopIfTrue="1" operator="lessThan">
      <formula>$L$21</formula>
    </cfRule>
  </conditionalFormatting>
  <conditionalFormatting sqref="M22">
    <cfRule type="cellIs" dxfId="757" priority="490" stopIfTrue="1" operator="equal">
      <formula>$L$22</formula>
    </cfRule>
    <cfRule type="cellIs" dxfId="756" priority="491" stopIfTrue="1" operator="lessThan">
      <formula>$L$22</formula>
    </cfRule>
  </conditionalFormatting>
  <conditionalFormatting sqref="M23">
    <cfRule type="cellIs" dxfId="755" priority="492" stopIfTrue="1" operator="equal">
      <formula>$L$23</formula>
    </cfRule>
    <cfRule type="cellIs" dxfId="754" priority="493" stopIfTrue="1" operator="lessThan">
      <formula>$L$23</formula>
    </cfRule>
  </conditionalFormatting>
  <conditionalFormatting sqref="M24">
    <cfRule type="cellIs" dxfId="753" priority="494" stopIfTrue="1" operator="equal">
      <formula>$L$24</formula>
    </cfRule>
    <cfRule type="cellIs" dxfId="752" priority="495" stopIfTrue="1" operator="lessThan">
      <formula>$L$24</formula>
    </cfRule>
  </conditionalFormatting>
  <conditionalFormatting sqref="M25">
    <cfRule type="cellIs" dxfId="751" priority="496" stopIfTrue="1" operator="equal">
      <formula>$L$25</formula>
    </cfRule>
    <cfRule type="cellIs" dxfId="750" priority="497" stopIfTrue="1" operator="lessThan">
      <formula>$L$25</formula>
    </cfRule>
  </conditionalFormatting>
  <conditionalFormatting sqref="M26">
    <cfRule type="cellIs" dxfId="749" priority="498" stopIfTrue="1" operator="equal">
      <formula>$L$26</formula>
    </cfRule>
    <cfRule type="cellIs" dxfId="748" priority="499" stopIfTrue="1" operator="lessThan">
      <formula>$L$26</formula>
    </cfRule>
  </conditionalFormatting>
  <conditionalFormatting sqref="M27">
    <cfRule type="cellIs" dxfId="747" priority="500" stopIfTrue="1" operator="equal">
      <formula>$L$27</formula>
    </cfRule>
    <cfRule type="cellIs" dxfId="746" priority="501" stopIfTrue="1" operator="lessThan">
      <formula>$L$27</formula>
    </cfRule>
  </conditionalFormatting>
  <conditionalFormatting sqref="M28">
    <cfRule type="cellIs" dxfId="745" priority="502" stopIfTrue="1" operator="equal">
      <formula>$L$28</formula>
    </cfRule>
    <cfRule type="cellIs" dxfId="744" priority="503" stopIfTrue="1" operator="lessThan">
      <formula>$L$28</formula>
    </cfRule>
  </conditionalFormatting>
  <conditionalFormatting sqref="N4">
    <cfRule type="cellIs" dxfId="743" priority="504" stopIfTrue="1" operator="equal">
      <formula>$M$4</formula>
    </cfRule>
    <cfRule type="cellIs" dxfId="742" priority="505" stopIfTrue="1" operator="lessThan">
      <formula>$M$4</formula>
    </cfRule>
  </conditionalFormatting>
  <conditionalFormatting sqref="N5">
    <cfRule type="cellIs" dxfId="741" priority="506" stopIfTrue="1" operator="equal">
      <formula>$M$5</formula>
    </cfRule>
    <cfRule type="cellIs" dxfId="740" priority="507" stopIfTrue="1" operator="lessThan">
      <formula>$M$5</formula>
    </cfRule>
  </conditionalFormatting>
  <conditionalFormatting sqref="N6">
    <cfRule type="cellIs" dxfId="739" priority="508" stopIfTrue="1" operator="equal">
      <formula>$M$6</formula>
    </cfRule>
    <cfRule type="cellIs" dxfId="738" priority="509" stopIfTrue="1" operator="lessThan">
      <formula>$M$6</formula>
    </cfRule>
  </conditionalFormatting>
  <conditionalFormatting sqref="N7">
    <cfRule type="cellIs" dxfId="737" priority="510" stopIfTrue="1" operator="equal">
      <formula>$M$7</formula>
    </cfRule>
    <cfRule type="cellIs" dxfId="736" priority="511" stopIfTrue="1" operator="lessThan">
      <formula>$M$7</formula>
    </cfRule>
  </conditionalFormatting>
  <conditionalFormatting sqref="N8">
    <cfRule type="cellIs" dxfId="735" priority="512" stopIfTrue="1" operator="equal">
      <formula>$M$8</formula>
    </cfRule>
    <cfRule type="cellIs" dxfId="734" priority="513" stopIfTrue="1" operator="lessThan">
      <formula>$M$8</formula>
    </cfRule>
  </conditionalFormatting>
  <conditionalFormatting sqref="N9">
    <cfRule type="cellIs" dxfId="733" priority="514" stopIfTrue="1" operator="equal">
      <formula>$M$9</formula>
    </cfRule>
    <cfRule type="cellIs" dxfId="732" priority="515" stopIfTrue="1" operator="lessThan">
      <formula>$M$9</formula>
    </cfRule>
  </conditionalFormatting>
  <conditionalFormatting sqref="N10">
    <cfRule type="cellIs" dxfId="731" priority="516" stopIfTrue="1" operator="equal">
      <formula>$M$10</formula>
    </cfRule>
    <cfRule type="cellIs" dxfId="730" priority="517" stopIfTrue="1" operator="lessThan">
      <formula>$M$10</formula>
    </cfRule>
  </conditionalFormatting>
  <conditionalFormatting sqref="N11">
    <cfRule type="cellIs" dxfId="729" priority="518" stopIfTrue="1" operator="equal">
      <formula>$M$11</formula>
    </cfRule>
    <cfRule type="cellIs" dxfId="728" priority="519" stopIfTrue="1" operator="lessThan">
      <formula>$M$11</formula>
    </cfRule>
  </conditionalFormatting>
  <conditionalFormatting sqref="N12">
    <cfRule type="cellIs" dxfId="727" priority="520" stopIfTrue="1" operator="equal">
      <formula>$M$12</formula>
    </cfRule>
    <cfRule type="cellIs" dxfId="726" priority="521" stopIfTrue="1" operator="lessThan">
      <formula>$M$12</formula>
    </cfRule>
  </conditionalFormatting>
  <conditionalFormatting sqref="N13">
    <cfRule type="cellIs" dxfId="725" priority="522" stopIfTrue="1" operator="equal">
      <formula>$M$13</formula>
    </cfRule>
    <cfRule type="cellIs" dxfId="724" priority="523" stopIfTrue="1" operator="lessThan">
      <formula>$M$13</formula>
    </cfRule>
  </conditionalFormatting>
  <conditionalFormatting sqref="N14">
    <cfRule type="cellIs" dxfId="723" priority="524" stopIfTrue="1" operator="equal">
      <formula>$M$14</formula>
    </cfRule>
    <cfRule type="cellIs" dxfId="722" priority="525" stopIfTrue="1" operator="lessThan">
      <formula>$M$14</formula>
    </cfRule>
  </conditionalFormatting>
  <conditionalFormatting sqref="N15">
    <cfRule type="cellIs" dxfId="721" priority="526" stopIfTrue="1" operator="equal">
      <formula>$M$15</formula>
    </cfRule>
    <cfRule type="cellIs" dxfId="720" priority="527" stopIfTrue="1" operator="lessThan">
      <formula>$M$15</formula>
    </cfRule>
  </conditionalFormatting>
  <conditionalFormatting sqref="N16">
    <cfRule type="cellIs" dxfId="719" priority="528" stopIfTrue="1" operator="equal">
      <formula>$M$16</formula>
    </cfRule>
    <cfRule type="cellIs" dxfId="718" priority="529" stopIfTrue="1" operator="lessThan">
      <formula>$M$16</formula>
    </cfRule>
  </conditionalFormatting>
  <conditionalFormatting sqref="N17">
    <cfRule type="cellIs" dxfId="717" priority="530" stopIfTrue="1" operator="equal">
      <formula>$M$17</formula>
    </cfRule>
    <cfRule type="cellIs" dxfId="716" priority="531" stopIfTrue="1" operator="lessThan">
      <formula>$M$17</formula>
    </cfRule>
  </conditionalFormatting>
  <conditionalFormatting sqref="N18">
    <cfRule type="cellIs" dxfId="715" priority="532" stopIfTrue="1" operator="equal">
      <formula>$M$18</formula>
    </cfRule>
    <cfRule type="cellIs" dxfId="714" priority="533" stopIfTrue="1" operator="lessThan">
      <formula>$M$18</formula>
    </cfRule>
  </conditionalFormatting>
  <conditionalFormatting sqref="N19">
    <cfRule type="cellIs" dxfId="713" priority="534" stopIfTrue="1" operator="equal">
      <formula>$M$19</formula>
    </cfRule>
    <cfRule type="cellIs" dxfId="712" priority="535" stopIfTrue="1" operator="lessThan">
      <formula>$M$19</formula>
    </cfRule>
  </conditionalFormatting>
  <conditionalFormatting sqref="N20">
    <cfRule type="cellIs" dxfId="711" priority="536" stopIfTrue="1" operator="equal">
      <formula>$M$20</formula>
    </cfRule>
    <cfRule type="cellIs" dxfId="710" priority="537" stopIfTrue="1" operator="lessThan">
      <formula>$M$20</formula>
    </cfRule>
  </conditionalFormatting>
  <conditionalFormatting sqref="N21">
    <cfRule type="cellIs" dxfId="709" priority="538" stopIfTrue="1" operator="equal">
      <formula>$M$21</formula>
    </cfRule>
    <cfRule type="cellIs" dxfId="708" priority="539" stopIfTrue="1" operator="lessThan">
      <formula>$M$21</formula>
    </cfRule>
  </conditionalFormatting>
  <conditionalFormatting sqref="N22">
    <cfRule type="cellIs" dxfId="707" priority="540" stopIfTrue="1" operator="equal">
      <formula>$M$22</formula>
    </cfRule>
    <cfRule type="cellIs" dxfId="706" priority="541" stopIfTrue="1" operator="lessThan">
      <formula>$M$22</formula>
    </cfRule>
  </conditionalFormatting>
  <conditionalFormatting sqref="N23">
    <cfRule type="cellIs" dxfId="705" priority="542" stopIfTrue="1" operator="equal">
      <formula>$M$23</formula>
    </cfRule>
    <cfRule type="cellIs" dxfId="704" priority="543" stopIfTrue="1" operator="lessThan">
      <formula>$M$23</formula>
    </cfRule>
  </conditionalFormatting>
  <conditionalFormatting sqref="N24">
    <cfRule type="cellIs" dxfId="703" priority="544" stopIfTrue="1" operator="equal">
      <formula>$M$24</formula>
    </cfRule>
    <cfRule type="cellIs" dxfId="702" priority="545" stopIfTrue="1" operator="lessThan">
      <formula>$M$24</formula>
    </cfRule>
  </conditionalFormatting>
  <conditionalFormatting sqref="N25">
    <cfRule type="cellIs" dxfId="701" priority="546" stopIfTrue="1" operator="equal">
      <formula>$M$25</formula>
    </cfRule>
    <cfRule type="cellIs" dxfId="700" priority="547" stopIfTrue="1" operator="lessThan">
      <formula>$M$25</formula>
    </cfRule>
  </conditionalFormatting>
  <conditionalFormatting sqref="N26">
    <cfRule type="cellIs" dxfId="699" priority="548" stopIfTrue="1" operator="equal">
      <formula>$M$26</formula>
    </cfRule>
    <cfRule type="cellIs" dxfId="698" priority="549" stopIfTrue="1" operator="lessThan">
      <formula>$M$26</formula>
    </cfRule>
  </conditionalFormatting>
  <conditionalFormatting sqref="N27">
    <cfRule type="cellIs" dxfId="697" priority="550" stopIfTrue="1" operator="equal">
      <formula>$M$27</formula>
    </cfRule>
    <cfRule type="cellIs" dxfId="696" priority="551" stopIfTrue="1" operator="lessThan">
      <formula>$M$27</formula>
    </cfRule>
  </conditionalFormatting>
  <conditionalFormatting sqref="N28">
    <cfRule type="cellIs" dxfId="695" priority="552" stopIfTrue="1" operator="equal">
      <formula>$M$28</formula>
    </cfRule>
    <cfRule type="cellIs" dxfId="694" priority="553" stopIfTrue="1" operator="lessThan">
      <formula>$M$28</formula>
    </cfRule>
  </conditionalFormatting>
  <conditionalFormatting sqref="O4">
    <cfRule type="cellIs" dxfId="693" priority="554" stopIfTrue="1" operator="equal">
      <formula>$N$4</formula>
    </cfRule>
    <cfRule type="cellIs" dxfId="692" priority="555" stopIfTrue="1" operator="lessThan">
      <formula>$N$4</formula>
    </cfRule>
  </conditionalFormatting>
  <conditionalFormatting sqref="O5">
    <cfRule type="cellIs" dxfId="691" priority="556" stopIfTrue="1" operator="equal">
      <formula>$N$5</formula>
    </cfRule>
    <cfRule type="cellIs" dxfId="690" priority="557" stopIfTrue="1" operator="lessThan">
      <formula>$N$5</formula>
    </cfRule>
  </conditionalFormatting>
  <conditionalFormatting sqref="O6">
    <cfRule type="cellIs" dxfId="689" priority="558" stopIfTrue="1" operator="equal">
      <formula>$N$6</formula>
    </cfRule>
    <cfRule type="cellIs" dxfId="688" priority="559" stopIfTrue="1" operator="lessThan">
      <formula>$N$6</formula>
    </cfRule>
  </conditionalFormatting>
  <conditionalFormatting sqref="O7">
    <cfRule type="cellIs" dxfId="687" priority="560" stopIfTrue="1" operator="equal">
      <formula>$N$7</formula>
    </cfRule>
    <cfRule type="cellIs" dxfId="686" priority="561" stopIfTrue="1" operator="lessThan">
      <formula>$N$7</formula>
    </cfRule>
  </conditionalFormatting>
  <conditionalFormatting sqref="O8">
    <cfRule type="cellIs" dxfId="685" priority="562" stopIfTrue="1" operator="equal">
      <formula>$N$8</formula>
    </cfRule>
    <cfRule type="cellIs" dxfId="684" priority="563" stopIfTrue="1" operator="lessThan">
      <formula>$N$8</formula>
    </cfRule>
  </conditionalFormatting>
  <conditionalFormatting sqref="O9">
    <cfRule type="cellIs" dxfId="683" priority="564" stopIfTrue="1" operator="equal">
      <formula>$N$9</formula>
    </cfRule>
    <cfRule type="cellIs" dxfId="682" priority="565" stopIfTrue="1" operator="lessThan">
      <formula>$N$9</formula>
    </cfRule>
  </conditionalFormatting>
  <conditionalFormatting sqref="O10">
    <cfRule type="cellIs" dxfId="681" priority="566" stopIfTrue="1" operator="equal">
      <formula>$N$10</formula>
    </cfRule>
    <cfRule type="cellIs" dxfId="680" priority="567" stopIfTrue="1" operator="lessThan">
      <formula>$N$10</formula>
    </cfRule>
  </conditionalFormatting>
  <conditionalFormatting sqref="O11">
    <cfRule type="cellIs" dxfId="679" priority="568" stopIfTrue="1" operator="equal">
      <formula>$N$11</formula>
    </cfRule>
    <cfRule type="cellIs" dxfId="678" priority="569" stopIfTrue="1" operator="lessThan">
      <formula>$N$11</formula>
    </cfRule>
  </conditionalFormatting>
  <conditionalFormatting sqref="O12">
    <cfRule type="cellIs" dxfId="677" priority="570" stopIfTrue="1" operator="equal">
      <formula>$N$12</formula>
    </cfRule>
    <cfRule type="cellIs" dxfId="676" priority="571" stopIfTrue="1" operator="lessThan">
      <formula>$N$12</formula>
    </cfRule>
  </conditionalFormatting>
  <conditionalFormatting sqref="O13">
    <cfRule type="cellIs" dxfId="675" priority="572" stopIfTrue="1" operator="equal">
      <formula>$N$13</formula>
    </cfRule>
    <cfRule type="cellIs" dxfId="674" priority="573" stopIfTrue="1" operator="lessThan">
      <formula>$N$13</formula>
    </cfRule>
  </conditionalFormatting>
  <conditionalFormatting sqref="O14">
    <cfRule type="cellIs" dxfId="673" priority="574" stopIfTrue="1" operator="equal">
      <formula>$N$14</formula>
    </cfRule>
    <cfRule type="cellIs" dxfId="672" priority="575" stopIfTrue="1" operator="lessThan">
      <formula>$N$14</formula>
    </cfRule>
  </conditionalFormatting>
  <conditionalFormatting sqref="O15">
    <cfRule type="cellIs" dxfId="671" priority="576" stopIfTrue="1" operator="equal">
      <formula>$N$15</formula>
    </cfRule>
    <cfRule type="cellIs" dxfId="670" priority="577" stopIfTrue="1" operator="lessThan">
      <formula>$N$15</formula>
    </cfRule>
  </conditionalFormatting>
  <conditionalFormatting sqref="O16">
    <cfRule type="cellIs" dxfId="669" priority="578" stopIfTrue="1" operator="equal">
      <formula>$N$16</formula>
    </cfRule>
    <cfRule type="cellIs" dxfId="668" priority="579" stopIfTrue="1" operator="lessThan">
      <formula>$N$16</formula>
    </cfRule>
  </conditionalFormatting>
  <conditionalFormatting sqref="O17">
    <cfRule type="cellIs" dxfId="667" priority="580" stopIfTrue="1" operator="equal">
      <formula>$N$17</formula>
    </cfRule>
    <cfRule type="cellIs" dxfId="666" priority="581" stopIfTrue="1" operator="lessThan">
      <formula>$N$17</formula>
    </cfRule>
  </conditionalFormatting>
  <conditionalFormatting sqref="O18">
    <cfRule type="cellIs" dxfId="665" priority="582" stopIfTrue="1" operator="equal">
      <formula>$N$18</formula>
    </cfRule>
    <cfRule type="cellIs" dxfId="664" priority="583" stopIfTrue="1" operator="lessThan">
      <formula>$N$18</formula>
    </cfRule>
  </conditionalFormatting>
  <conditionalFormatting sqref="O19">
    <cfRule type="cellIs" dxfId="663" priority="584" stopIfTrue="1" operator="equal">
      <formula>$N$19</formula>
    </cfRule>
    <cfRule type="cellIs" dxfId="662" priority="585" stopIfTrue="1" operator="lessThan">
      <formula>$N$19</formula>
    </cfRule>
  </conditionalFormatting>
  <conditionalFormatting sqref="O20">
    <cfRule type="cellIs" dxfId="661" priority="586" stopIfTrue="1" operator="equal">
      <formula>$N$20</formula>
    </cfRule>
    <cfRule type="cellIs" dxfId="660" priority="587" stopIfTrue="1" operator="lessThan">
      <formula>$N$20</formula>
    </cfRule>
  </conditionalFormatting>
  <conditionalFormatting sqref="O21">
    <cfRule type="cellIs" dxfId="659" priority="588" stopIfTrue="1" operator="equal">
      <formula>$N$21</formula>
    </cfRule>
    <cfRule type="cellIs" dxfId="658" priority="589" stopIfTrue="1" operator="lessThan">
      <formula>$N$21</formula>
    </cfRule>
  </conditionalFormatting>
  <conditionalFormatting sqref="O22">
    <cfRule type="cellIs" dxfId="657" priority="590" stopIfTrue="1" operator="equal">
      <formula>$N$22</formula>
    </cfRule>
    <cfRule type="cellIs" dxfId="656" priority="591" stopIfTrue="1" operator="lessThan">
      <formula>$N$22</formula>
    </cfRule>
  </conditionalFormatting>
  <conditionalFormatting sqref="O23">
    <cfRule type="cellIs" dxfId="655" priority="592" stopIfTrue="1" operator="equal">
      <formula>$N$23</formula>
    </cfRule>
    <cfRule type="cellIs" dxfId="654" priority="593" stopIfTrue="1" operator="lessThan">
      <formula>$N$23</formula>
    </cfRule>
  </conditionalFormatting>
  <conditionalFormatting sqref="O24">
    <cfRule type="cellIs" dxfId="653" priority="594" stopIfTrue="1" operator="equal">
      <formula>$N$24</formula>
    </cfRule>
    <cfRule type="cellIs" dxfId="652" priority="595" stopIfTrue="1" operator="lessThan">
      <formula>$N$24</formula>
    </cfRule>
  </conditionalFormatting>
  <conditionalFormatting sqref="O25">
    <cfRule type="cellIs" dxfId="651" priority="596" stopIfTrue="1" operator="equal">
      <formula>$N$25</formula>
    </cfRule>
    <cfRule type="cellIs" dxfId="650" priority="597" stopIfTrue="1" operator="lessThan">
      <formula>$N$25</formula>
    </cfRule>
  </conditionalFormatting>
  <conditionalFormatting sqref="O26">
    <cfRule type="cellIs" dxfId="649" priority="598" stopIfTrue="1" operator="equal">
      <formula>$N$26</formula>
    </cfRule>
    <cfRule type="cellIs" dxfId="648" priority="599" stopIfTrue="1" operator="lessThan">
      <formula>$N$26</formula>
    </cfRule>
  </conditionalFormatting>
  <conditionalFormatting sqref="O27">
    <cfRule type="cellIs" dxfId="647" priority="600" stopIfTrue="1" operator="equal">
      <formula>$N$27</formula>
    </cfRule>
    <cfRule type="cellIs" dxfId="646" priority="601" stopIfTrue="1" operator="lessThan">
      <formula>$N$27</formula>
    </cfRule>
  </conditionalFormatting>
  <conditionalFormatting sqref="O28">
    <cfRule type="cellIs" dxfId="645" priority="602" stopIfTrue="1" operator="equal">
      <formula>$N$28</formula>
    </cfRule>
    <cfRule type="cellIs" dxfId="644" priority="603" stopIfTrue="1" operator="lessThan">
      <formula>$N$28</formula>
    </cfRule>
  </conditionalFormatting>
  <conditionalFormatting sqref="U4:AF23">
    <cfRule type="cellIs" dxfId="643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4"/>
  <sheetViews>
    <sheetView workbookViewId="0">
      <selection activeCell="O29" sqref="O29"/>
    </sheetView>
  </sheetViews>
  <sheetFormatPr defaultRowHeight="14.5" x14ac:dyDescent="0.35"/>
  <cols>
    <col min="1" max="1" width="8.54296875" style="1" customWidth="1"/>
    <col min="2" max="2" width="26.1796875" customWidth="1"/>
    <col min="3" max="15" width="10.1796875" customWidth="1"/>
    <col min="16" max="17" width="11.1796875" bestFit="1" customWidth="1"/>
    <col min="18" max="18" width="9.26953125" bestFit="1" customWidth="1"/>
    <col min="19" max="19" width="3.54296875" customWidth="1"/>
  </cols>
  <sheetData>
    <row r="1" spans="1:32" ht="15" thickBot="1" x14ac:dyDescent="0.4"/>
    <row r="2" spans="1:32" s="1" customFormat="1" ht="21" customHeight="1" thickBot="1" x14ac:dyDescent="0.55000000000000004">
      <c r="A2" s="112">
        <v>1857</v>
      </c>
      <c r="B2" s="2"/>
      <c r="C2" s="3">
        <f>'1850'!C2</f>
        <v>45658</v>
      </c>
      <c r="D2" s="3">
        <f>'1850'!D2</f>
        <v>45688</v>
      </c>
      <c r="E2" s="3">
        <f>'1850'!E2</f>
        <v>45716</v>
      </c>
      <c r="F2" s="3">
        <f>'1850'!F2</f>
        <v>45748</v>
      </c>
      <c r="G2" s="3">
        <f>'1850'!G2</f>
        <v>45779</v>
      </c>
      <c r="H2" s="3">
        <f>'1850'!H2</f>
        <v>45810</v>
      </c>
      <c r="I2" s="3">
        <f>'1850'!I2</f>
        <v>45839</v>
      </c>
      <c r="J2" s="3">
        <f>'1850'!J2</f>
        <v>45870</v>
      </c>
      <c r="K2" s="3">
        <f>'1850'!K2</f>
        <v>45901</v>
      </c>
      <c r="L2" s="3">
        <f>'1850'!L2</f>
        <v>45931</v>
      </c>
      <c r="M2" s="3">
        <f>'1850'!M2</f>
        <v>45961</v>
      </c>
      <c r="N2" s="3">
        <f>'1850'!N2</f>
        <v>45992</v>
      </c>
      <c r="O2" s="3">
        <f>'1850'!O2</f>
        <v>46022</v>
      </c>
      <c r="P2" s="1" t="s">
        <v>0</v>
      </c>
      <c r="Q2" s="1" t="s">
        <v>1</v>
      </c>
      <c r="R2" s="1" t="s">
        <v>81</v>
      </c>
      <c r="U2" s="142"/>
      <c r="V2" s="143"/>
      <c r="W2" s="143"/>
      <c r="X2" s="143"/>
      <c r="Y2" s="143" t="s">
        <v>106</v>
      </c>
      <c r="Z2" s="143"/>
      <c r="AA2" s="143"/>
      <c r="AB2" s="143"/>
      <c r="AC2" s="143"/>
      <c r="AD2" s="143"/>
      <c r="AE2" s="143"/>
      <c r="AF2" s="147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79</v>
      </c>
      <c r="Q3" s="1" t="s">
        <v>78</v>
      </c>
      <c r="R3" s="1" t="s">
        <v>80</v>
      </c>
      <c r="T3" s="1" t="s">
        <v>105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303">
        <v>1</v>
      </c>
      <c r="B4" s="6" t="s">
        <v>418</v>
      </c>
      <c r="C4" s="76">
        <v>5.1769999999999996</v>
      </c>
      <c r="D4" s="7">
        <v>7.4240000000000004</v>
      </c>
      <c r="E4" s="7">
        <v>9.9570000000000007</v>
      </c>
      <c r="F4" s="7">
        <v>13.512</v>
      </c>
      <c r="G4" s="7">
        <v>17.120999999999999</v>
      </c>
      <c r="H4" s="7">
        <v>20.105</v>
      </c>
      <c r="I4" s="7">
        <v>23.678000000000001</v>
      </c>
      <c r="J4" s="7">
        <v>26.661000000000001</v>
      </c>
      <c r="K4" s="7">
        <v>27.366</v>
      </c>
      <c r="L4" s="8">
        <v>27.75</v>
      </c>
      <c r="M4" s="7">
        <v>35.92</v>
      </c>
      <c r="N4" s="7">
        <v>44.698</v>
      </c>
      <c r="O4" s="7">
        <v>52.499000000000002</v>
      </c>
      <c r="P4" s="9">
        <f>O4-C4</f>
        <v>47.322000000000003</v>
      </c>
      <c r="T4" s="1">
        <v>1</v>
      </c>
      <c r="U4" s="144">
        <f t="shared" ref="U4:AF4" si="0">D4-C4</f>
        <v>2.2470000000000008</v>
      </c>
      <c r="V4" s="144">
        <f t="shared" si="0"/>
        <v>2.5330000000000004</v>
      </c>
      <c r="W4" s="144">
        <f t="shared" si="0"/>
        <v>3.5549999999999997</v>
      </c>
      <c r="X4" s="144">
        <f t="shared" si="0"/>
        <v>3.6089999999999982</v>
      </c>
      <c r="Y4" s="144">
        <f t="shared" si="0"/>
        <v>2.9840000000000018</v>
      </c>
      <c r="Z4" s="144">
        <f t="shared" si="0"/>
        <v>3.5730000000000004</v>
      </c>
      <c r="AA4" s="144">
        <f t="shared" si="0"/>
        <v>2.9830000000000005</v>
      </c>
      <c r="AB4" s="144">
        <f t="shared" si="0"/>
        <v>0.70499999999999829</v>
      </c>
      <c r="AC4" s="144">
        <f t="shared" si="0"/>
        <v>0.38400000000000034</v>
      </c>
      <c r="AD4" s="144">
        <f t="shared" si="0"/>
        <v>8.1700000000000017</v>
      </c>
      <c r="AE4" s="144">
        <f t="shared" si="0"/>
        <v>8.7779999999999987</v>
      </c>
      <c r="AF4" s="144">
        <f t="shared" si="0"/>
        <v>7.8010000000000019</v>
      </c>
    </row>
    <row r="5" spans="1:32" x14ac:dyDescent="0.35">
      <c r="A5" s="303"/>
      <c r="B5" s="10" t="s">
        <v>251</v>
      </c>
      <c r="C5" s="77">
        <v>100.145</v>
      </c>
      <c r="D5" s="11">
        <v>106.077</v>
      </c>
      <c r="E5" s="11">
        <v>111.461</v>
      </c>
      <c r="F5" s="11">
        <v>115.569</v>
      </c>
      <c r="G5" s="11">
        <v>117.441</v>
      </c>
      <c r="H5" s="11">
        <v>118.60299999999999</v>
      </c>
      <c r="I5" s="11">
        <v>118.818</v>
      </c>
      <c r="J5" s="11">
        <v>118.931</v>
      </c>
      <c r="K5" s="11">
        <v>118.974</v>
      </c>
      <c r="L5" s="12">
        <v>119.142</v>
      </c>
      <c r="M5" s="11">
        <v>120.246</v>
      </c>
      <c r="N5" s="11">
        <v>123.104</v>
      </c>
      <c r="O5" s="11">
        <v>126.751</v>
      </c>
      <c r="P5" s="9"/>
      <c r="Q5" s="9">
        <f>O5-C5</f>
        <v>26.606000000000009</v>
      </c>
      <c r="T5" s="1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</row>
    <row r="6" spans="1:32" x14ac:dyDescent="0.35">
      <c r="A6" s="302">
        <v>2</v>
      </c>
      <c r="B6" s="10" t="s">
        <v>419</v>
      </c>
      <c r="C6" s="77">
        <v>4.1559999999999997</v>
      </c>
      <c r="D6" s="11">
        <v>7.7770000000000001</v>
      </c>
      <c r="E6" s="11">
        <v>10.706</v>
      </c>
      <c r="F6" s="11">
        <v>14.481999999999999</v>
      </c>
      <c r="G6" s="11">
        <v>18.236000000000001</v>
      </c>
      <c r="H6" s="11">
        <v>22.018000000000001</v>
      </c>
      <c r="I6" s="11">
        <v>26.077000000000002</v>
      </c>
      <c r="J6" s="11">
        <v>29.707999999999998</v>
      </c>
      <c r="K6" s="11">
        <v>33.326999999999998</v>
      </c>
      <c r="L6" s="11">
        <v>36.658000000000001</v>
      </c>
      <c r="M6" s="11">
        <v>39.875999999999998</v>
      </c>
      <c r="N6" s="11">
        <v>43.6</v>
      </c>
      <c r="O6" s="11">
        <v>47.058999999999997</v>
      </c>
      <c r="P6" s="9">
        <f t="shared" ref="P6" si="1">O6-C6</f>
        <v>42.902999999999999</v>
      </c>
      <c r="T6" s="1">
        <v>2</v>
      </c>
      <c r="U6" s="146">
        <f t="shared" ref="U6:AF6" si="2">D6-C6</f>
        <v>3.6210000000000004</v>
      </c>
      <c r="V6" s="146">
        <f t="shared" si="2"/>
        <v>2.9289999999999994</v>
      </c>
      <c r="W6" s="146">
        <f t="shared" si="2"/>
        <v>3.7759999999999998</v>
      </c>
      <c r="X6" s="146">
        <f t="shared" si="2"/>
        <v>3.7540000000000013</v>
      </c>
      <c r="Y6" s="146">
        <f t="shared" si="2"/>
        <v>3.782</v>
      </c>
      <c r="Z6" s="146">
        <f t="shared" si="2"/>
        <v>4.0590000000000011</v>
      </c>
      <c r="AA6" s="146">
        <f t="shared" si="2"/>
        <v>3.6309999999999967</v>
      </c>
      <c r="AB6" s="146">
        <f t="shared" si="2"/>
        <v>3.6189999999999998</v>
      </c>
      <c r="AC6" s="146">
        <f t="shared" si="2"/>
        <v>3.3310000000000031</v>
      </c>
      <c r="AD6" s="146">
        <f t="shared" si="2"/>
        <v>3.2179999999999964</v>
      </c>
      <c r="AE6" s="146">
        <f t="shared" si="2"/>
        <v>3.7240000000000038</v>
      </c>
      <c r="AF6" s="146">
        <f t="shared" si="2"/>
        <v>3.4589999999999961</v>
      </c>
    </row>
    <row r="7" spans="1:32" x14ac:dyDescent="0.35">
      <c r="A7" s="302"/>
      <c r="B7" s="10" t="s">
        <v>252</v>
      </c>
      <c r="C7" s="77">
        <v>30.457000000000001</v>
      </c>
      <c r="D7" s="11">
        <v>32.365000000000002</v>
      </c>
      <c r="E7" s="11">
        <v>33.935000000000002</v>
      </c>
      <c r="F7" s="11">
        <v>34.875999999999998</v>
      </c>
      <c r="G7" s="11">
        <v>35.408000000000001</v>
      </c>
      <c r="H7" s="11">
        <v>35.761000000000003</v>
      </c>
      <c r="I7" s="11">
        <v>36.119999999999997</v>
      </c>
      <c r="J7" s="11">
        <v>36.395000000000003</v>
      </c>
      <c r="K7" s="11">
        <v>36.680999999999997</v>
      </c>
      <c r="L7" s="11">
        <v>37.098999999999997</v>
      </c>
      <c r="M7" s="11">
        <v>38.066000000000003</v>
      </c>
      <c r="N7" s="11">
        <v>39.787999999999997</v>
      </c>
      <c r="O7" s="11">
        <v>41.578000000000003</v>
      </c>
      <c r="P7" s="9"/>
      <c r="Q7" s="9">
        <f>O7-C7</f>
        <v>11.121000000000002</v>
      </c>
      <c r="T7" s="1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</row>
    <row r="8" spans="1:32" x14ac:dyDescent="0.35">
      <c r="A8" s="314">
        <v>3</v>
      </c>
      <c r="B8" s="10" t="s">
        <v>420</v>
      </c>
      <c r="C8" s="77">
        <v>18.53</v>
      </c>
      <c r="D8" s="11">
        <v>36.802</v>
      </c>
      <c r="E8" s="11">
        <v>50.881999999999998</v>
      </c>
      <c r="F8" s="11">
        <v>68.11</v>
      </c>
      <c r="G8" s="11">
        <v>84.747</v>
      </c>
      <c r="H8" s="11">
        <v>101.934</v>
      </c>
      <c r="I8" s="11">
        <v>117.69</v>
      </c>
      <c r="J8" s="11">
        <v>131.99799999999999</v>
      </c>
      <c r="K8" s="11">
        <v>147.99199999999999</v>
      </c>
      <c r="L8" s="11">
        <v>164.86600000000001</v>
      </c>
      <c r="M8" s="11">
        <v>179.80799999999999</v>
      </c>
      <c r="N8" s="11">
        <v>200.167</v>
      </c>
      <c r="O8" s="11">
        <v>217.80799999999999</v>
      </c>
      <c r="P8" s="9">
        <f t="shared" ref="P8" si="3">O8-C8</f>
        <v>199.27799999999999</v>
      </c>
      <c r="T8" s="1">
        <v>3</v>
      </c>
      <c r="U8" s="146">
        <f t="shared" ref="U8:AF8" si="4">D8-C8</f>
        <v>18.271999999999998</v>
      </c>
      <c r="V8" s="146">
        <f t="shared" si="4"/>
        <v>14.079999999999998</v>
      </c>
      <c r="W8" s="146">
        <f t="shared" si="4"/>
        <v>17.228000000000002</v>
      </c>
      <c r="X8" s="146">
        <f t="shared" si="4"/>
        <v>16.637</v>
      </c>
      <c r="Y8" s="146">
        <f t="shared" si="4"/>
        <v>17.186999999999998</v>
      </c>
      <c r="Z8" s="146">
        <f t="shared" si="4"/>
        <v>15.756</v>
      </c>
      <c r="AA8" s="146">
        <f t="shared" si="4"/>
        <v>14.307999999999993</v>
      </c>
      <c r="AB8" s="146">
        <f t="shared" si="4"/>
        <v>15.994</v>
      </c>
      <c r="AC8" s="146">
        <f t="shared" si="4"/>
        <v>16.874000000000024</v>
      </c>
      <c r="AD8" s="146">
        <f t="shared" si="4"/>
        <v>14.941999999999979</v>
      </c>
      <c r="AE8" s="146">
        <f t="shared" si="4"/>
        <v>20.359000000000009</v>
      </c>
      <c r="AF8" s="146">
        <f t="shared" si="4"/>
        <v>17.640999999999991</v>
      </c>
    </row>
    <row r="9" spans="1:32" x14ac:dyDescent="0.35">
      <c r="A9" s="314"/>
      <c r="B9" s="10" t="s">
        <v>253</v>
      </c>
      <c r="C9" s="77">
        <v>94.093000000000004</v>
      </c>
      <c r="D9" s="11">
        <v>99.28</v>
      </c>
      <c r="E9" s="11">
        <v>104.223</v>
      </c>
      <c r="F9" s="11">
        <v>108.596</v>
      </c>
      <c r="G9" s="11">
        <v>110.675</v>
      </c>
      <c r="H9" s="11">
        <v>112.21599999999999</v>
      </c>
      <c r="I9" s="11">
        <v>112.916</v>
      </c>
      <c r="J9" s="11">
        <v>113.408</v>
      </c>
      <c r="K9" s="11">
        <v>113.982</v>
      </c>
      <c r="L9" s="11">
        <v>114.879</v>
      </c>
      <c r="M9" s="11">
        <v>117.018</v>
      </c>
      <c r="N9" s="11">
        <v>122.111</v>
      </c>
      <c r="O9" s="11">
        <v>126.97</v>
      </c>
      <c r="P9" s="9"/>
      <c r="Q9" s="9">
        <f>O9-C9</f>
        <v>32.876999999999995</v>
      </c>
      <c r="T9" s="1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</row>
    <row r="10" spans="1:32" x14ac:dyDescent="0.35">
      <c r="A10" s="314">
        <v>4</v>
      </c>
      <c r="B10" s="10" t="s">
        <v>421</v>
      </c>
      <c r="C10" s="77">
        <v>5.3970000000000002</v>
      </c>
      <c r="D10" s="11">
        <v>12.661</v>
      </c>
      <c r="E10" s="11">
        <v>17.553000000000001</v>
      </c>
      <c r="F10" s="11">
        <v>24.07</v>
      </c>
      <c r="G10" s="11">
        <v>28.974</v>
      </c>
      <c r="H10" s="11">
        <v>35.698999999999998</v>
      </c>
      <c r="I10" s="11">
        <v>41.716999999999999</v>
      </c>
      <c r="J10" s="11">
        <v>48.107999999999997</v>
      </c>
      <c r="K10" s="11">
        <v>54.823</v>
      </c>
      <c r="L10" s="11">
        <v>61.692999999999998</v>
      </c>
      <c r="M10" s="11">
        <v>68.849999999999994</v>
      </c>
      <c r="N10" s="11">
        <v>75.665999999999997</v>
      </c>
      <c r="O10" s="11">
        <v>82.515000000000001</v>
      </c>
      <c r="P10" s="9">
        <f t="shared" ref="P10" si="5">O10-C10</f>
        <v>77.117999999999995</v>
      </c>
      <c r="T10" s="1">
        <v>4</v>
      </c>
      <c r="U10" s="146">
        <f t="shared" ref="U10:AF10" si="6">D10-C10</f>
        <v>7.2639999999999993</v>
      </c>
      <c r="V10" s="146">
        <f t="shared" si="6"/>
        <v>4.8920000000000012</v>
      </c>
      <c r="W10" s="146">
        <f t="shared" si="6"/>
        <v>6.5169999999999995</v>
      </c>
      <c r="X10" s="146">
        <f t="shared" si="6"/>
        <v>4.9039999999999999</v>
      </c>
      <c r="Y10" s="146">
        <f t="shared" si="6"/>
        <v>6.7249999999999979</v>
      </c>
      <c r="Z10" s="146">
        <f t="shared" si="6"/>
        <v>6.0180000000000007</v>
      </c>
      <c r="AA10" s="146">
        <f t="shared" si="6"/>
        <v>6.3909999999999982</v>
      </c>
      <c r="AB10" s="146">
        <f t="shared" si="6"/>
        <v>6.7150000000000034</v>
      </c>
      <c r="AC10" s="146">
        <f t="shared" si="6"/>
        <v>6.8699999999999974</v>
      </c>
      <c r="AD10" s="146">
        <f t="shared" si="6"/>
        <v>7.1569999999999965</v>
      </c>
      <c r="AE10" s="146">
        <f t="shared" si="6"/>
        <v>6.8160000000000025</v>
      </c>
      <c r="AF10" s="146">
        <f t="shared" si="6"/>
        <v>6.8490000000000038</v>
      </c>
    </row>
    <row r="11" spans="1:32" x14ac:dyDescent="0.35">
      <c r="A11" s="314"/>
      <c r="B11" s="10" t="s">
        <v>254</v>
      </c>
      <c r="C11" s="77">
        <v>23.329000000000001</v>
      </c>
      <c r="D11" s="11">
        <v>24.992000000000001</v>
      </c>
      <c r="E11" s="11">
        <v>26.17</v>
      </c>
      <c r="F11" s="11">
        <v>26.798999999999999</v>
      </c>
      <c r="G11" s="11">
        <v>27.242999999999999</v>
      </c>
      <c r="H11" s="11">
        <v>27.792999999999999</v>
      </c>
      <c r="I11" s="11">
        <v>28.263000000000002</v>
      </c>
      <c r="J11" s="11">
        <v>28.684000000000001</v>
      </c>
      <c r="K11" s="11">
        <v>29.091999999999999</v>
      </c>
      <c r="L11" s="11">
        <v>29.582000000000001</v>
      </c>
      <c r="M11" s="11">
        <v>30.692</v>
      </c>
      <c r="N11" s="11">
        <v>32.991</v>
      </c>
      <c r="O11" s="11">
        <v>35.015999999999998</v>
      </c>
      <c r="P11" s="9"/>
      <c r="Q11" s="9">
        <f>O11-C11</f>
        <v>11.686999999999998</v>
      </c>
      <c r="T11" s="1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</row>
    <row r="12" spans="1:32" x14ac:dyDescent="0.35">
      <c r="A12" s="302">
        <v>5</v>
      </c>
      <c r="B12" s="10" t="s">
        <v>422</v>
      </c>
      <c r="C12" s="77">
        <v>11.214</v>
      </c>
      <c r="D12" s="11">
        <v>21.41</v>
      </c>
      <c r="E12" s="11">
        <v>30.523</v>
      </c>
      <c r="F12" s="11">
        <v>41.131999999999998</v>
      </c>
      <c r="G12" s="11">
        <v>51.661000000000001</v>
      </c>
      <c r="H12" s="11">
        <v>60.473999999999997</v>
      </c>
      <c r="I12" s="11">
        <v>68.048000000000002</v>
      </c>
      <c r="J12" s="11">
        <v>75.918000000000006</v>
      </c>
      <c r="K12" s="11">
        <v>83.903999999999996</v>
      </c>
      <c r="L12" s="11">
        <v>92.364000000000004</v>
      </c>
      <c r="M12" s="11">
        <v>100.229</v>
      </c>
      <c r="N12" s="11">
        <v>108.83799999999999</v>
      </c>
      <c r="O12" s="11">
        <v>117.4</v>
      </c>
      <c r="P12" s="9">
        <f t="shared" ref="P12" si="7">O12-C12</f>
        <v>106.18600000000001</v>
      </c>
      <c r="T12" s="1">
        <v>5</v>
      </c>
      <c r="U12" s="146">
        <f t="shared" ref="U12:AF12" si="8">D12-C12</f>
        <v>10.196</v>
      </c>
      <c r="V12" s="146">
        <f t="shared" si="8"/>
        <v>9.1129999999999995</v>
      </c>
      <c r="W12" s="146">
        <f t="shared" si="8"/>
        <v>10.608999999999998</v>
      </c>
      <c r="X12" s="146">
        <f t="shared" si="8"/>
        <v>10.529000000000003</v>
      </c>
      <c r="Y12" s="146">
        <f t="shared" si="8"/>
        <v>8.8129999999999953</v>
      </c>
      <c r="Z12" s="146">
        <f t="shared" si="8"/>
        <v>7.5740000000000052</v>
      </c>
      <c r="AA12" s="146">
        <f t="shared" si="8"/>
        <v>7.8700000000000045</v>
      </c>
      <c r="AB12" s="146">
        <f t="shared" si="8"/>
        <v>7.98599999999999</v>
      </c>
      <c r="AC12" s="146">
        <f t="shared" si="8"/>
        <v>8.460000000000008</v>
      </c>
      <c r="AD12" s="146">
        <f t="shared" si="8"/>
        <v>7.8649999999999949</v>
      </c>
      <c r="AE12" s="146">
        <f t="shared" si="8"/>
        <v>8.6089999999999947</v>
      </c>
      <c r="AF12" s="146">
        <f t="shared" si="8"/>
        <v>8.5620000000000118</v>
      </c>
    </row>
    <row r="13" spans="1:32" x14ac:dyDescent="0.35">
      <c r="A13" s="302"/>
      <c r="B13" s="10" t="s">
        <v>255</v>
      </c>
      <c r="C13" s="77">
        <v>42.301000000000002</v>
      </c>
      <c r="D13" s="11">
        <v>44.712000000000003</v>
      </c>
      <c r="E13" s="11">
        <v>46.402000000000001</v>
      </c>
      <c r="F13" s="11">
        <v>47.588999999999999</v>
      </c>
      <c r="G13" s="11">
        <v>48.418999999999997</v>
      </c>
      <c r="H13" s="11">
        <v>49.040999999999997</v>
      </c>
      <c r="I13" s="11">
        <v>49.554000000000002</v>
      </c>
      <c r="J13" s="11">
        <v>50.02</v>
      </c>
      <c r="K13" s="11">
        <v>50.497999999999998</v>
      </c>
      <c r="L13" s="11">
        <v>51.122</v>
      </c>
      <c r="M13" s="11">
        <v>51.933999999999997</v>
      </c>
      <c r="N13" s="11">
        <v>53.884</v>
      </c>
      <c r="O13" s="11">
        <v>56.393000000000001</v>
      </c>
      <c r="P13" s="9"/>
      <c r="Q13" s="9">
        <f>O13-C13</f>
        <v>14.091999999999999</v>
      </c>
      <c r="T13" s="1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</row>
    <row r="14" spans="1:32" x14ac:dyDescent="0.35">
      <c r="A14" s="302">
        <v>6</v>
      </c>
      <c r="B14" s="10" t="s">
        <v>423</v>
      </c>
      <c r="C14" s="77">
        <v>4.9690000000000003</v>
      </c>
      <c r="D14" s="11">
        <v>8.1509999999999998</v>
      </c>
      <c r="E14" s="11">
        <v>12.076000000000001</v>
      </c>
      <c r="F14" s="11">
        <v>12.127000000000001</v>
      </c>
      <c r="G14" s="11">
        <v>14.516</v>
      </c>
      <c r="H14" s="11">
        <v>18.672000000000001</v>
      </c>
      <c r="I14" s="11">
        <v>20.202999999999999</v>
      </c>
      <c r="J14" s="11">
        <v>24.088000000000001</v>
      </c>
      <c r="K14" s="11">
        <v>26.515000000000001</v>
      </c>
      <c r="L14" s="11">
        <v>30.27</v>
      </c>
      <c r="M14" s="11">
        <v>33.094000000000001</v>
      </c>
      <c r="N14" s="11">
        <v>33.252000000000002</v>
      </c>
      <c r="O14" s="11">
        <v>37.942999999999998</v>
      </c>
      <c r="P14" s="9">
        <f t="shared" ref="P14" si="9">O14-C14</f>
        <v>32.973999999999997</v>
      </c>
      <c r="T14" s="1">
        <v>6</v>
      </c>
      <c r="U14" s="146">
        <f t="shared" ref="U14:AF14" si="10">D14-C14</f>
        <v>3.1819999999999995</v>
      </c>
      <c r="V14" s="146">
        <f t="shared" si="10"/>
        <v>3.9250000000000007</v>
      </c>
      <c r="W14" s="146">
        <f t="shared" si="10"/>
        <v>5.1000000000000156E-2</v>
      </c>
      <c r="X14" s="146">
        <f t="shared" si="10"/>
        <v>2.3889999999999993</v>
      </c>
      <c r="Y14" s="146">
        <f t="shared" si="10"/>
        <v>4.1560000000000006</v>
      </c>
      <c r="Z14" s="146">
        <f t="shared" si="10"/>
        <v>1.5309999999999988</v>
      </c>
      <c r="AA14" s="146">
        <f t="shared" si="10"/>
        <v>3.8850000000000016</v>
      </c>
      <c r="AB14" s="146">
        <f t="shared" si="10"/>
        <v>2.4269999999999996</v>
      </c>
      <c r="AC14" s="146">
        <f t="shared" si="10"/>
        <v>3.754999999999999</v>
      </c>
      <c r="AD14" s="146">
        <f t="shared" si="10"/>
        <v>2.8240000000000016</v>
      </c>
      <c r="AE14" s="146">
        <f t="shared" si="10"/>
        <v>0.15800000000000125</v>
      </c>
      <c r="AF14" s="146">
        <f t="shared" si="10"/>
        <v>4.6909999999999954</v>
      </c>
    </row>
    <row r="15" spans="1:32" x14ac:dyDescent="0.35">
      <c r="A15" s="302"/>
      <c r="B15" s="10" t="s">
        <v>256</v>
      </c>
      <c r="C15" s="77">
        <v>51.493000000000002</v>
      </c>
      <c r="D15" s="11">
        <v>55.003</v>
      </c>
      <c r="E15" s="11">
        <v>57.896000000000001</v>
      </c>
      <c r="F15" s="11">
        <v>57.984000000000002</v>
      </c>
      <c r="G15" s="11">
        <v>58.235999999999997</v>
      </c>
      <c r="H15" s="11">
        <v>58.578000000000003</v>
      </c>
      <c r="I15" s="11">
        <v>58.777999999999999</v>
      </c>
      <c r="J15" s="11">
        <v>59.043999999999997</v>
      </c>
      <c r="K15" s="11">
        <v>59.276000000000003</v>
      </c>
      <c r="L15" s="11">
        <v>59.573</v>
      </c>
      <c r="M15" s="11">
        <v>60.292000000000002</v>
      </c>
      <c r="N15" s="11">
        <v>60.344000000000001</v>
      </c>
      <c r="O15" s="11">
        <v>63.279000000000003</v>
      </c>
      <c r="P15" s="9"/>
      <c r="Q15" s="9">
        <f>O15-C15</f>
        <v>11.786000000000001</v>
      </c>
      <c r="T15" s="1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</row>
    <row r="16" spans="1:32" x14ac:dyDescent="0.35">
      <c r="A16" s="302">
        <v>7</v>
      </c>
      <c r="B16" s="10" t="s">
        <v>424</v>
      </c>
      <c r="C16" s="77">
        <v>16.535</v>
      </c>
      <c r="D16" s="11">
        <v>29.526</v>
      </c>
      <c r="E16" s="11">
        <v>42.241999999999997</v>
      </c>
      <c r="F16" s="11">
        <v>53.622999999999998</v>
      </c>
      <c r="G16" s="11">
        <v>65.16</v>
      </c>
      <c r="H16" s="11">
        <v>78.551000000000002</v>
      </c>
      <c r="I16" s="11">
        <v>84.998999999999995</v>
      </c>
      <c r="J16" s="11">
        <v>90.912999999999997</v>
      </c>
      <c r="K16" s="11">
        <v>94.087999999999994</v>
      </c>
      <c r="L16" s="11">
        <v>105.89400000000001</v>
      </c>
      <c r="M16" s="11">
        <v>118.57899999999999</v>
      </c>
      <c r="N16" s="11">
        <v>132.97</v>
      </c>
      <c r="O16" s="11">
        <v>146.77600000000001</v>
      </c>
      <c r="P16" s="9">
        <f t="shared" ref="P16" si="11">O16-C16</f>
        <v>130.24100000000001</v>
      </c>
      <c r="T16" s="1">
        <v>7</v>
      </c>
      <c r="U16" s="146">
        <f t="shared" ref="U16:AF16" si="12">D16-C16</f>
        <v>12.991</v>
      </c>
      <c r="V16" s="146">
        <f t="shared" si="12"/>
        <v>12.715999999999998</v>
      </c>
      <c r="W16" s="146">
        <f t="shared" si="12"/>
        <v>11.381</v>
      </c>
      <c r="X16" s="146">
        <f t="shared" si="12"/>
        <v>11.536999999999999</v>
      </c>
      <c r="Y16" s="146">
        <f t="shared" si="12"/>
        <v>13.391000000000005</v>
      </c>
      <c r="Z16" s="146">
        <f t="shared" si="12"/>
        <v>6.4479999999999933</v>
      </c>
      <c r="AA16" s="146">
        <f t="shared" si="12"/>
        <v>5.9140000000000015</v>
      </c>
      <c r="AB16" s="146">
        <f t="shared" si="12"/>
        <v>3.1749999999999972</v>
      </c>
      <c r="AC16" s="146">
        <f t="shared" si="12"/>
        <v>11.806000000000012</v>
      </c>
      <c r="AD16" s="146">
        <f t="shared" si="12"/>
        <v>12.684999999999988</v>
      </c>
      <c r="AE16" s="146">
        <f t="shared" si="12"/>
        <v>14.391000000000005</v>
      </c>
      <c r="AF16" s="146">
        <f t="shared" si="12"/>
        <v>13.806000000000012</v>
      </c>
    </row>
    <row r="17" spans="1:32" x14ac:dyDescent="0.35">
      <c r="A17" s="302"/>
      <c r="B17" s="10" t="s">
        <v>257</v>
      </c>
      <c r="C17" s="77">
        <v>100.364</v>
      </c>
      <c r="D17" s="11">
        <v>106.146</v>
      </c>
      <c r="E17" s="11">
        <v>110.846</v>
      </c>
      <c r="F17" s="11">
        <v>113.705</v>
      </c>
      <c r="G17" s="11">
        <v>115.148</v>
      </c>
      <c r="H17" s="11">
        <v>116.352</v>
      </c>
      <c r="I17" s="11">
        <v>117.011</v>
      </c>
      <c r="J17" s="11">
        <v>117.607</v>
      </c>
      <c r="K17" s="11">
        <v>118.306</v>
      </c>
      <c r="L17" s="11">
        <v>119.45099999999999</v>
      </c>
      <c r="M17" s="11">
        <v>122.09399999999999</v>
      </c>
      <c r="N17" s="11">
        <v>126.621</v>
      </c>
      <c r="O17" s="11">
        <v>131.68700000000001</v>
      </c>
      <c r="P17" s="9"/>
      <c r="Q17" s="9">
        <f>O17-C17</f>
        <v>31.323000000000008</v>
      </c>
      <c r="T17" s="1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</row>
    <row r="18" spans="1:32" x14ac:dyDescent="0.35">
      <c r="A18" s="302">
        <v>8</v>
      </c>
      <c r="B18" s="10" t="s">
        <v>425</v>
      </c>
      <c r="C18" s="77">
        <v>9.1690000000000005</v>
      </c>
      <c r="D18" s="11">
        <v>17.087</v>
      </c>
      <c r="E18" s="11">
        <v>24.663</v>
      </c>
      <c r="F18" s="11">
        <v>30.148</v>
      </c>
      <c r="G18" s="11">
        <v>34.777000000000001</v>
      </c>
      <c r="H18" s="11">
        <v>38.375</v>
      </c>
      <c r="I18" s="11">
        <v>41.423999999999999</v>
      </c>
      <c r="J18" s="11">
        <v>44.222999999999999</v>
      </c>
      <c r="K18" s="11">
        <v>48.247999999999998</v>
      </c>
      <c r="L18" s="11">
        <v>51.954999999999998</v>
      </c>
      <c r="M18" s="11">
        <v>55.298000000000002</v>
      </c>
      <c r="N18" s="11">
        <v>59.222000000000001</v>
      </c>
      <c r="O18" s="11">
        <v>62.396000000000001</v>
      </c>
      <c r="P18" s="9">
        <f t="shared" ref="P18" si="13">O18-C18</f>
        <v>53.227000000000004</v>
      </c>
      <c r="T18" s="1">
        <v>8</v>
      </c>
      <c r="U18" s="146">
        <f t="shared" ref="U18:AF18" si="14">D18-C18</f>
        <v>7.9179999999999993</v>
      </c>
      <c r="V18" s="146">
        <f t="shared" si="14"/>
        <v>7.5760000000000005</v>
      </c>
      <c r="W18" s="146">
        <f t="shared" si="14"/>
        <v>5.4849999999999994</v>
      </c>
      <c r="X18" s="146">
        <f t="shared" si="14"/>
        <v>4.6290000000000013</v>
      </c>
      <c r="Y18" s="146">
        <f t="shared" si="14"/>
        <v>3.597999999999999</v>
      </c>
      <c r="Z18" s="146">
        <f t="shared" si="14"/>
        <v>3.0489999999999995</v>
      </c>
      <c r="AA18" s="146">
        <f t="shared" si="14"/>
        <v>2.7989999999999995</v>
      </c>
      <c r="AB18" s="146">
        <f t="shared" si="14"/>
        <v>4.0249999999999986</v>
      </c>
      <c r="AC18" s="146">
        <f t="shared" si="14"/>
        <v>3.7070000000000007</v>
      </c>
      <c r="AD18" s="146">
        <f t="shared" si="14"/>
        <v>3.3430000000000035</v>
      </c>
      <c r="AE18" s="146">
        <f t="shared" si="14"/>
        <v>3.9239999999999995</v>
      </c>
      <c r="AF18" s="146">
        <f t="shared" si="14"/>
        <v>3.1739999999999995</v>
      </c>
    </row>
    <row r="19" spans="1:32" x14ac:dyDescent="0.35">
      <c r="A19" s="302"/>
      <c r="B19" s="10" t="s">
        <v>258</v>
      </c>
      <c r="C19" s="77">
        <v>50.76</v>
      </c>
      <c r="D19" s="11">
        <v>54.042999999999999</v>
      </c>
      <c r="E19" s="11">
        <v>56.591999999999999</v>
      </c>
      <c r="F19" s="11">
        <v>58.006</v>
      </c>
      <c r="G19" s="11">
        <v>58.442999999999998</v>
      </c>
      <c r="H19" s="11">
        <v>58.67</v>
      </c>
      <c r="I19" s="11">
        <v>58.837000000000003</v>
      </c>
      <c r="J19" s="11">
        <v>58.975999999999999</v>
      </c>
      <c r="K19" s="11">
        <v>59.164999999999999</v>
      </c>
      <c r="L19" s="11">
        <v>59.390999999999998</v>
      </c>
      <c r="M19" s="11">
        <v>60.164000000000001</v>
      </c>
      <c r="N19" s="11">
        <v>62.942999999999998</v>
      </c>
      <c r="O19" s="11">
        <v>66.11</v>
      </c>
      <c r="P19" s="9"/>
      <c r="Q19" s="9">
        <f>O19-C19</f>
        <v>15.350000000000001</v>
      </c>
      <c r="T19" s="1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</row>
    <row r="20" spans="1:32" x14ac:dyDescent="0.35">
      <c r="A20" s="302">
        <v>9</v>
      </c>
      <c r="B20" s="10" t="s">
        <v>426</v>
      </c>
      <c r="C20" s="77">
        <v>3.294</v>
      </c>
      <c r="D20" s="11">
        <v>5.9269999999999996</v>
      </c>
      <c r="E20" s="11">
        <v>8.2390000000000008</v>
      </c>
      <c r="F20" s="11">
        <v>11.936</v>
      </c>
      <c r="G20" s="11">
        <v>15</v>
      </c>
      <c r="H20" s="11">
        <v>18.041</v>
      </c>
      <c r="I20" s="11">
        <v>20.922000000000001</v>
      </c>
      <c r="J20" s="11">
        <v>23.306999999999999</v>
      </c>
      <c r="K20" s="11">
        <v>26.670999999999999</v>
      </c>
      <c r="L20" s="11">
        <v>29.623000000000001</v>
      </c>
      <c r="M20" s="11">
        <v>32.241</v>
      </c>
      <c r="N20" s="11">
        <v>34.734999999999999</v>
      </c>
      <c r="O20" s="11">
        <v>37.701999999999998</v>
      </c>
      <c r="P20" s="9">
        <f t="shared" ref="P20" si="15">O20-C20</f>
        <v>34.408000000000001</v>
      </c>
      <c r="T20" s="1">
        <v>9</v>
      </c>
      <c r="U20" s="146">
        <f t="shared" ref="U20:AF20" si="16">D20-C20</f>
        <v>2.6329999999999996</v>
      </c>
      <c r="V20" s="146">
        <f t="shared" si="16"/>
        <v>2.3120000000000012</v>
      </c>
      <c r="W20" s="146">
        <f t="shared" si="16"/>
        <v>3.6969999999999992</v>
      </c>
      <c r="X20" s="146">
        <f t="shared" si="16"/>
        <v>3.0640000000000001</v>
      </c>
      <c r="Y20" s="146">
        <f t="shared" si="16"/>
        <v>3.0410000000000004</v>
      </c>
      <c r="Z20" s="146">
        <f t="shared" si="16"/>
        <v>2.8810000000000002</v>
      </c>
      <c r="AA20" s="146">
        <f t="shared" si="16"/>
        <v>2.384999999999998</v>
      </c>
      <c r="AB20" s="146">
        <f t="shared" si="16"/>
        <v>3.3640000000000008</v>
      </c>
      <c r="AC20" s="146">
        <f t="shared" si="16"/>
        <v>2.9520000000000017</v>
      </c>
      <c r="AD20" s="146">
        <f t="shared" si="16"/>
        <v>2.6179999999999986</v>
      </c>
      <c r="AE20" s="146">
        <f t="shared" si="16"/>
        <v>2.4939999999999998</v>
      </c>
      <c r="AF20" s="146">
        <f t="shared" si="16"/>
        <v>2.9669999999999987</v>
      </c>
    </row>
    <row r="21" spans="1:32" x14ac:dyDescent="0.35">
      <c r="A21" s="302"/>
      <c r="B21" s="10" t="s">
        <v>259</v>
      </c>
      <c r="C21" s="77">
        <v>31.082999999999998</v>
      </c>
      <c r="D21" s="11">
        <v>33.798000000000002</v>
      </c>
      <c r="E21" s="11">
        <v>35.975000000000001</v>
      </c>
      <c r="F21" s="11">
        <v>36.829000000000001</v>
      </c>
      <c r="G21" s="11">
        <v>36.953000000000003</v>
      </c>
      <c r="H21" s="11">
        <v>37.012999999999998</v>
      </c>
      <c r="I21" s="11">
        <v>37.061999999999998</v>
      </c>
      <c r="J21" s="11">
        <v>37.091000000000001</v>
      </c>
      <c r="K21" s="11">
        <v>37.134999999999998</v>
      </c>
      <c r="L21" s="11">
        <v>37.22</v>
      </c>
      <c r="M21" s="11">
        <v>37.683</v>
      </c>
      <c r="N21" s="11">
        <v>39.837000000000003</v>
      </c>
      <c r="O21" s="11">
        <v>42.999000000000002</v>
      </c>
      <c r="P21" s="9"/>
      <c r="Q21" s="9">
        <f>O21-C21</f>
        <v>11.916000000000004</v>
      </c>
      <c r="T21" s="1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</row>
    <row r="22" spans="1:32" x14ac:dyDescent="0.35">
      <c r="A22" s="302">
        <v>10</v>
      </c>
      <c r="B22" s="10" t="s">
        <v>427</v>
      </c>
      <c r="C22" s="77">
        <v>12.856999999999999</v>
      </c>
      <c r="D22" s="11">
        <v>24.617999999999999</v>
      </c>
      <c r="E22" s="11">
        <v>36.344999999999999</v>
      </c>
      <c r="F22" s="11">
        <v>45.667000000000002</v>
      </c>
      <c r="G22" s="11">
        <v>57.07</v>
      </c>
      <c r="H22" s="11">
        <v>66.995999999999995</v>
      </c>
      <c r="I22" s="11">
        <v>76.950999999999993</v>
      </c>
      <c r="J22" s="11">
        <v>84.472999999999999</v>
      </c>
      <c r="K22" s="11">
        <v>93.641000000000005</v>
      </c>
      <c r="L22" s="11">
        <v>106.22199999999999</v>
      </c>
      <c r="M22" s="11">
        <v>118.917</v>
      </c>
      <c r="N22" s="11">
        <v>131.30500000000001</v>
      </c>
      <c r="O22" s="11">
        <v>143.63200000000001</v>
      </c>
      <c r="P22" s="9">
        <f t="shared" ref="P22" si="17">O22-C22</f>
        <v>130.77500000000001</v>
      </c>
      <c r="T22" s="1">
        <v>10</v>
      </c>
      <c r="U22" s="146">
        <f t="shared" ref="U22:AF22" si="18">D22-C22</f>
        <v>11.760999999999999</v>
      </c>
      <c r="V22" s="146">
        <f t="shared" si="18"/>
        <v>11.727</v>
      </c>
      <c r="W22" s="146">
        <f t="shared" si="18"/>
        <v>9.3220000000000027</v>
      </c>
      <c r="X22" s="146">
        <f t="shared" si="18"/>
        <v>11.402999999999999</v>
      </c>
      <c r="Y22" s="146">
        <f t="shared" si="18"/>
        <v>9.9259999999999948</v>
      </c>
      <c r="Z22" s="146">
        <f t="shared" si="18"/>
        <v>9.9549999999999983</v>
      </c>
      <c r="AA22" s="146">
        <f t="shared" si="18"/>
        <v>7.5220000000000056</v>
      </c>
      <c r="AB22" s="146">
        <f t="shared" si="18"/>
        <v>9.1680000000000064</v>
      </c>
      <c r="AC22" s="146">
        <f t="shared" si="18"/>
        <v>12.580999999999989</v>
      </c>
      <c r="AD22" s="146">
        <f t="shared" si="18"/>
        <v>12.695000000000007</v>
      </c>
      <c r="AE22" s="146">
        <f t="shared" si="18"/>
        <v>12.388000000000005</v>
      </c>
      <c r="AF22" s="146">
        <f t="shared" si="18"/>
        <v>12.326999999999998</v>
      </c>
    </row>
    <row r="23" spans="1:32" x14ac:dyDescent="0.35">
      <c r="A23" s="302"/>
      <c r="B23" s="10" t="s">
        <v>260</v>
      </c>
      <c r="C23" s="77">
        <v>72.903000000000006</v>
      </c>
      <c r="D23" s="11">
        <v>77.801000000000002</v>
      </c>
      <c r="E23" s="11">
        <v>82.174999999999997</v>
      </c>
      <c r="F23" s="11">
        <v>84.256</v>
      </c>
      <c r="G23" s="11">
        <v>85.212000000000003</v>
      </c>
      <c r="H23" s="11">
        <v>85.891999999999996</v>
      </c>
      <c r="I23" s="11">
        <v>86.475999999999999</v>
      </c>
      <c r="J23" s="11">
        <v>86.873999999999995</v>
      </c>
      <c r="K23" s="11">
        <v>87.369</v>
      </c>
      <c r="L23" s="11">
        <v>88.088999999999999</v>
      </c>
      <c r="M23" s="11">
        <v>90.024000000000001</v>
      </c>
      <c r="N23" s="11">
        <v>94.528999999999996</v>
      </c>
      <c r="O23" s="11">
        <v>98.89</v>
      </c>
      <c r="P23" s="13"/>
      <c r="Q23" s="97">
        <f>O23-C23</f>
        <v>25.986999999999995</v>
      </c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</row>
    <row r="24" spans="1:32" x14ac:dyDescent="0.35">
      <c r="A24" s="113"/>
      <c r="B24" s="10"/>
      <c r="C24" s="78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854.43200000000002</v>
      </c>
      <c r="Q24" s="9">
        <f>SUM(Q4:Q23)</f>
        <v>192.745</v>
      </c>
    </row>
    <row r="25" spans="1:32" x14ac:dyDescent="0.35">
      <c r="A25" s="113" t="s">
        <v>15</v>
      </c>
      <c r="B25" s="10" t="s">
        <v>430</v>
      </c>
      <c r="C25" s="78">
        <v>37354</v>
      </c>
      <c r="D25" s="15">
        <v>37661</v>
      </c>
      <c r="E25" s="15">
        <v>37954</v>
      </c>
      <c r="F25" s="15">
        <v>38165</v>
      </c>
      <c r="G25" s="15">
        <v>38372</v>
      </c>
      <c r="H25" s="15">
        <v>38610</v>
      </c>
      <c r="I25" s="15">
        <v>38797</v>
      </c>
      <c r="J25" s="15">
        <v>38995</v>
      </c>
      <c r="K25" s="15">
        <v>39199</v>
      </c>
      <c r="L25" s="15">
        <v>39380</v>
      </c>
      <c r="M25" s="15">
        <v>39583</v>
      </c>
      <c r="N25" s="15">
        <v>39914</v>
      </c>
      <c r="O25" s="15">
        <v>40115</v>
      </c>
      <c r="P25" s="9"/>
      <c r="R25" s="16">
        <f>O25-C25</f>
        <v>2761</v>
      </c>
    </row>
    <row r="26" spans="1:32" ht="15" thickBot="1" x14ac:dyDescent="0.4">
      <c r="A26" s="113"/>
      <c r="B26" s="282" t="s">
        <v>428</v>
      </c>
      <c r="C26" s="79">
        <v>98.9</v>
      </c>
      <c r="D26" s="18">
        <v>185.5</v>
      </c>
      <c r="E26" s="18">
        <v>264</v>
      </c>
      <c r="F26" s="18">
        <v>342.3</v>
      </c>
      <c r="G26" s="18">
        <v>421.7</v>
      </c>
      <c r="H26" s="18">
        <v>502</v>
      </c>
      <c r="I26" s="18">
        <v>571.5</v>
      </c>
      <c r="J26" s="18">
        <v>638.9</v>
      </c>
      <c r="K26" s="18">
        <v>709.8</v>
      </c>
      <c r="L26" s="18">
        <v>789.1</v>
      </c>
      <c r="M26" s="18">
        <v>871.1</v>
      </c>
      <c r="N26" s="18">
        <v>959.8</v>
      </c>
      <c r="O26" s="18">
        <v>1047.2</v>
      </c>
      <c r="P26" s="9">
        <f t="shared" ref="P26" si="19">O26-C26</f>
        <v>948.30000000000007</v>
      </c>
    </row>
    <row r="27" spans="1:32" x14ac:dyDescent="0.35">
      <c r="A27" s="119"/>
      <c r="B27" s="205" t="s">
        <v>170</v>
      </c>
      <c r="C27" s="80">
        <v>909.03</v>
      </c>
      <c r="D27" s="19">
        <v>949.75</v>
      </c>
      <c r="E27" s="19">
        <v>984</v>
      </c>
      <c r="F27" s="19">
        <v>1003.93</v>
      </c>
      <c r="G27" s="19">
        <v>1012.61</v>
      </c>
      <c r="H27" s="19">
        <v>1018.76</v>
      </c>
      <c r="I27" s="19">
        <v>1021.78</v>
      </c>
      <c r="J27" s="19">
        <v>1024.1600000000001</v>
      </c>
      <c r="K27" s="19">
        <v>1026.69</v>
      </c>
      <c r="L27" s="19">
        <v>1031.2</v>
      </c>
      <c r="M27" s="19">
        <v>1043.99</v>
      </c>
      <c r="N27" s="19">
        <v>1073.1199999999999</v>
      </c>
      <c r="O27" s="19">
        <v>1109.3499999999999</v>
      </c>
      <c r="P27" s="9"/>
      <c r="Q27" s="9">
        <f>O27-C27</f>
        <v>200.31999999999994</v>
      </c>
      <c r="R27" t="s">
        <v>78</v>
      </c>
    </row>
    <row r="28" spans="1:32" ht="15" thickBot="1" x14ac:dyDescent="0.4">
      <c r="A28" s="4"/>
      <c r="B28" s="26" t="s">
        <v>16</v>
      </c>
      <c r="C28" s="81">
        <v>6959</v>
      </c>
      <c r="D28" s="21">
        <v>7247</v>
      </c>
      <c r="E28" s="21">
        <v>7474</v>
      </c>
      <c r="F28" s="21">
        <v>7608</v>
      </c>
      <c r="G28" s="21">
        <v>7671</v>
      </c>
      <c r="H28" s="21">
        <v>7717</v>
      </c>
      <c r="I28" s="21">
        <v>7742</v>
      </c>
      <c r="J28" s="21">
        <v>7764</v>
      </c>
      <c r="K28" s="21">
        <v>7784</v>
      </c>
      <c r="L28" s="21">
        <v>7823</v>
      </c>
      <c r="M28" s="21">
        <v>7937</v>
      </c>
      <c r="N28" s="21">
        <v>8140</v>
      </c>
      <c r="O28" s="21">
        <v>8405</v>
      </c>
      <c r="P28" s="9"/>
      <c r="Q28" s="16">
        <f>O28-C28</f>
        <v>1446</v>
      </c>
      <c r="R28" t="s">
        <v>79</v>
      </c>
    </row>
    <row r="29" spans="1:32" ht="15" thickBot="1" x14ac:dyDescent="0.4">
      <c r="A29" s="121" t="str">
        <f>'1854'!A29</f>
        <v>Fakturační vodoměr:      42012114941</v>
      </c>
      <c r="B29" s="22"/>
      <c r="C29" s="23">
        <f>'1854'!C29</f>
        <v>14411</v>
      </c>
      <c r="D29" s="23">
        <f>'1854'!D29</f>
        <v>14697.5</v>
      </c>
      <c r="E29" s="23">
        <f>'1854'!E29</f>
        <v>14958.6</v>
      </c>
      <c r="F29" s="23">
        <f>'1854'!F29</f>
        <v>15244.5</v>
      </c>
      <c r="G29" s="23">
        <f>'1854'!G29</f>
        <v>15535.4</v>
      </c>
      <c r="H29" s="23">
        <f>'1854'!H29</f>
        <v>15809.8</v>
      </c>
      <c r="I29" s="23">
        <f>'1854'!I29</f>
        <v>16049</v>
      </c>
      <c r="J29" s="23">
        <f>'1854'!J29</f>
        <v>16290.6</v>
      </c>
      <c r="K29" s="23">
        <f>'1854'!K29</f>
        <v>16555.3</v>
      </c>
      <c r="L29" s="23">
        <f>'1854'!L29</f>
        <v>16827.2</v>
      </c>
      <c r="M29" s="23">
        <f>'1854'!M29</f>
        <v>16939.400000000001</v>
      </c>
      <c r="N29" s="23">
        <f>'1854'!N29</f>
        <v>17195.5</v>
      </c>
      <c r="O29" s="23">
        <f>'1854'!O29</f>
        <v>211</v>
      </c>
      <c r="P29" s="9">
        <f>'1854'!P29</f>
        <v>3086</v>
      </c>
    </row>
    <row r="31" spans="1:32" x14ac:dyDescent="0.35">
      <c r="D31" s="25" t="s">
        <v>119</v>
      </c>
      <c r="F31" s="136"/>
    </row>
    <row r="32" spans="1:32" x14ac:dyDescent="0.35">
      <c r="C32" s="310">
        <v>4</v>
      </c>
      <c r="D32" s="306">
        <v>43950</v>
      </c>
      <c r="E32" s="84" t="s">
        <v>117</v>
      </c>
      <c r="F32" s="106"/>
      <c r="G32" s="106"/>
      <c r="K32" t="s">
        <v>139</v>
      </c>
      <c r="N32" s="1" t="s">
        <v>79</v>
      </c>
    </row>
    <row r="33" spans="2:14" x14ac:dyDescent="0.35">
      <c r="C33" s="310"/>
      <c r="D33" s="306"/>
      <c r="E33" s="84" t="s">
        <v>118</v>
      </c>
      <c r="F33" s="106"/>
      <c r="G33" s="106"/>
      <c r="K33" s="177">
        <v>44095</v>
      </c>
      <c r="L33" s="84" t="s">
        <v>117</v>
      </c>
      <c r="M33" s="84"/>
      <c r="N33" s="84"/>
    </row>
    <row r="34" spans="2:14" x14ac:dyDescent="0.35">
      <c r="L34" s="1"/>
      <c r="M34" s="169" t="s">
        <v>132</v>
      </c>
      <c r="N34" s="170" t="s">
        <v>79</v>
      </c>
    </row>
    <row r="35" spans="2:14" x14ac:dyDescent="0.35">
      <c r="E35" t="s">
        <v>130</v>
      </c>
      <c r="H35" s="172" t="s">
        <v>131</v>
      </c>
      <c r="I35" s="1" t="s">
        <v>79</v>
      </c>
      <c r="K35" s="177">
        <v>44095</v>
      </c>
      <c r="L35" s="84" t="s">
        <v>118</v>
      </c>
      <c r="M35" s="84"/>
      <c r="N35" s="84"/>
    </row>
    <row r="36" spans="2:14" x14ac:dyDescent="0.35">
      <c r="D36" t="s">
        <v>133</v>
      </c>
      <c r="E36" s="160">
        <v>43984</v>
      </c>
      <c r="F36" s="84" t="s">
        <v>117</v>
      </c>
      <c r="G36" s="84"/>
      <c r="H36" s="167"/>
      <c r="I36" s="108"/>
    </row>
    <row r="37" spans="2:14" x14ac:dyDescent="0.35">
      <c r="E37" s="168"/>
      <c r="F37" s="169"/>
      <c r="G37" s="169" t="s">
        <v>132</v>
      </c>
      <c r="H37" s="171" t="s">
        <v>78</v>
      </c>
      <c r="I37" s="170" t="s">
        <v>79</v>
      </c>
    </row>
    <row r="38" spans="2:14" x14ac:dyDescent="0.35">
      <c r="D38" t="s">
        <v>134</v>
      </c>
      <c r="E38" s="160">
        <v>43986</v>
      </c>
      <c r="F38" s="84" t="s">
        <v>118</v>
      </c>
      <c r="G38" s="84"/>
      <c r="H38" s="167"/>
      <c r="I38" s="108"/>
    </row>
    <row r="40" spans="2:14" x14ac:dyDescent="0.35">
      <c r="C40" t="s">
        <v>129</v>
      </c>
    </row>
    <row r="41" spans="2:14" x14ac:dyDescent="0.35">
      <c r="C41" s="306">
        <v>45415</v>
      </c>
      <c r="D41" s="84" t="s">
        <v>117</v>
      </c>
      <c r="E41" s="309">
        <v>72370868</v>
      </c>
      <c r="F41" s="309"/>
      <c r="G41" s="106"/>
    </row>
    <row r="42" spans="2:14" x14ac:dyDescent="0.35">
      <c r="C42" s="306"/>
      <c r="D42" s="84" t="s">
        <v>118</v>
      </c>
      <c r="E42" s="309">
        <v>72954852</v>
      </c>
      <c r="F42" s="309"/>
      <c r="G42" s="106"/>
    </row>
    <row r="44" spans="2:14" x14ac:dyDescent="0.35">
      <c r="B44" t="s">
        <v>315</v>
      </c>
      <c r="C44" t="s">
        <v>316</v>
      </c>
    </row>
  </sheetData>
  <sheetProtection selectLockedCells="1" selectUnlockedCells="1"/>
  <mergeCells count="15">
    <mergeCell ref="A4:A5"/>
    <mergeCell ref="A6:A7"/>
    <mergeCell ref="A8:A9"/>
    <mergeCell ref="A10:A11"/>
    <mergeCell ref="A12:A13"/>
    <mergeCell ref="A16:A17"/>
    <mergeCell ref="A18:A19"/>
    <mergeCell ref="A20:A21"/>
    <mergeCell ref="A22:A23"/>
    <mergeCell ref="A14:A15"/>
    <mergeCell ref="C41:C42"/>
    <mergeCell ref="E41:F41"/>
    <mergeCell ref="E42:F42"/>
    <mergeCell ref="C32:C33"/>
    <mergeCell ref="D32:D33"/>
  </mergeCells>
  <conditionalFormatting sqref="D4">
    <cfRule type="cellIs" dxfId="642" priority="64" stopIfTrue="1" operator="lessThan">
      <formula>$C$4</formula>
    </cfRule>
    <cfRule type="cellIs" dxfId="641" priority="65" stopIfTrue="1" operator="equal">
      <formula>$C$4</formula>
    </cfRule>
  </conditionalFormatting>
  <conditionalFormatting sqref="D5">
    <cfRule type="cellIs" dxfId="640" priority="68" stopIfTrue="1" operator="equal">
      <formula>$C$5</formula>
    </cfRule>
    <cfRule type="cellIs" dxfId="639" priority="69" stopIfTrue="1" operator="lessThan">
      <formula>$C$5</formula>
    </cfRule>
  </conditionalFormatting>
  <conditionalFormatting sqref="D6">
    <cfRule type="cellIs" dxfId="638" priority="75" stopIfTrue="1" operator="equal">
      <formula>$C$6</formula>
    </cfRule>
    <cfRule type="cellIs" dxfId="637" priority="76" stopIfTrue="1" operator="lessThan">
      <formula>$C$6</formula>
    </cfRule>
  </conditionalFormatting>
  <conditionalFormatting sqref="D7">
    <cfRule type="cellIs" dxfId="636" priority="89" stopIfTrue="1" operator="equal">
      <formula>$C$7</formula>
    </cfRule>
    <cfRule type="cellIs" dxfId="635" priority="90" stopIfTrue="1" operator="lessThan">
      <formula>$C$7</formula>
    </cfRule>
  </conditionalFormatting>
  <conditionalFormatting sqref="D8">
    <cfRule type="cellIs" dxfId="634" priority="101" stopIfTrue="1" operator="equal">
      <formula>$C$8</formula>
    </cfRule>
    <cfRule type="cellIs" dxfId="633" priority="102" stopIfTrue="1" operator="lessThan">
      <formula>$C$8</formula>
    </cfRule>
  </conditionalFormatting>
  <conditionalFormatting sqref="D9">
    <cfRule type="cellIs" dxfId="632" priority="115" stopIfTrue="1" operator="equal">
      <formula>$C$9</formula>
    </cfRule>
    <cfRule type="cellIs" dxfId="631" priority="116" stopIfTrue="1" operator="lessThan">
      <formula>$C$9</formula>
    </cfRule>
  </conditionalFormatting>
  <conditionalFormatting sqref="D10">
    <cfRule type="cellIs" dxfId="630" priority="129" stopIfTrue="1" operator="equal">
      <formula>$C$10</formula>
    </cfRule>
    <cfRule type="cellIs" dxfId="629" priority="130" stopIfTrue="1" operator="lessThan">
      <formula>$C$10</formula>
    </cfRule>
  </conditionalFormatting>
  <conditionalFormatting sqref="D11">
    <cfRule type="cellIs" dxfId="628" priority="143" stopIfTrue="1" operator="equal">
      <formula>$C$11</formula>
    </cfRule>
    <cfRule type="cellIs" dxfId="627" priority="144" stopIfTrue="1" operator="lessThan">
      <formula>$C$11</formula>
    </cfRule>
  </conditionalFormatting>
  <conditionalFormatting sqref="D12">
    <cfRule type="cellIs" dxfId="626" priority="157" stopIfTrue="1" operator="equal">
      <formula>$C$12</formula>
    </cfRule>
    <cfRule type="cellIs" dxfId="625" priority="158" stopIfTrue="1" operator="lessThan">
      <formula>$C$12</formula>
    </cfRule>
  </conditionalFormatting>
  <conditionalFormatting sqref="D13">
    <cfRule type="cellIs" dxfId="624" priority="289" stopIfTrue="1" operator="equal">
      <formula>$C$13</formula>
    </cfRule>
    <cfRule type="cellIs" dxfId="623" priority="290" stopIfTrue="1" operator="lessThan">
      <formula>$C$13</formula>
    </cfRule>
  </conditionalFormatting>
  <conditionalFormatting sqref="D14">
    <cfRule type="cellIs" dxfId="622" priority="171" stopIfTrue="1" operator="equal">
      <formula>$C$14</formula>
    </cfRule>
    <cfRule type="cellIs" dxfId="621" priority="172" stopIfTrue="1" operator="lessThan">
      <formula>$C$14</formula>
    </cfRule>
  </conditionalFormatting>
  <conditionalFormatting sqref="D15">
    <cfRule type="cellIs" dxfId="620" priority="173" stopIfTrue="1" operator="equal">
      <formula>$C$15</formula>
    </cfRule>
    <cfRule type="cellIs" dxfId="619" priority="174" stopIfTrue="1" operator="lessThan">
      <formula>$C$15</formula>
    </cfRule>
  </conditionalFormatting>
  <conditionalFormatting sqref="D16">
    <cfRule type="cellIs" dxfId="618" priority="175" stopIfTrue="1" operator="equal">
      <formula>$C$16</formula>
    </cfRule>
    <cfRule type="cellIs" dxfId="617" priority="176" stopIfTrue="1" operator="lessThan">
      <formula>$C$16</formula>
    </cfRule>
  </conditionalFormatting>
  <conditionalFormatting sqref="D17">
    <cfRule type="cellIs" dxfId="616" priority="177" stopIfTrue="1" operator="equal">
      <formula>$C$17</formula>
    </cfRule>
    <cfRule type="cellIs" dxfId="615" priority="178" stopIfTrue="1" operator="lessThan">
      <formula>$C$17</formula>
    </cfRule>
  </conditionalFormatting>
  <conditionalFormatting sqref="D18">
    <cfRule type="cellIs" dxfId="614" priority="179" stopIfTrue="1" operator="equal">
      <formula>$C$18</formula>
    </cfRule>
    <cfRule type="cellIs" dxfId="613" priority="180" stopIfTrue="1" operator="lessThan">
      <formula>$C$18</formula>
    </cfRule>
  </conditionalFormatting>
  <conditionalFormatting sqref="D19">
    <cfRule type="cellIs" dxfId="612" priority="181" stopIfTrue="1" operator="equal">
      <formula>$C$19</formula>
    </cfRule>
    <cfRule type="cellIs" dxfId="611" priority="182" stopIfTrue="1" operator="lessThan">
      <formula>$C$19</formula>
    </cfRule>
  </conditionalFormatting>
  <conditionalFormatting sqref="D20">
    <cfRule type="cellIs" dxfId="610" priority="183" stopIfTrue="1" operator="equal">
      <formula>$C$20</formula>
    </cfRule>
    <cfRule type="cellIs" dxfId="609" priority="184" stopIfTrue="1" operator="lessThan">
      <formula>$C$20</formula>
    </cfRule>
  </conditionalFormatting>
  <conditionalFormatting sqref="D21">
    <cfRule type="cellIs" dxfId="608" priority="185" stopIfTrue="1" operator="equal">
      <formula>$C$21</formula>
    </cfRule>
    <cfRule type="cellIs" dxfId="607" priority="186" stopIfTrue="1" operator="lessThan">
      <formula>$C$21</formula>
    </cfRule>
  </conditionalFormatting>
  <conditionalFormatting sqref="D22">
    <cfRule type="cellIs" dxfId="606" priority="187" stopIfTrue="1" operator="equal">
      <formula>$C$22</formula>
    </cfRule>
    <cfRule type="cellIs" dxfId="605" priority="188" stopIfTrue="1" operator="lessThan">
      <formula>$C$22</formula>
    </cfRule>
  </conditionalFormatting>
  <conditionalFormatting sqref="D23">
    <cfRule type="cellIs" dxfId="604" priority="189" stopIfTrue="1" operator="equal">
      <formula>$C$23</formula>
    </cfRule>
    <cfRule type="cellIs" dxfId="603" priority="190" stopIfTrue="1" operator="lessThan">
      <formula>$C$23</formula>
    </cfRule>
  </conditionalFormatting>
  <conditionalFormatting sqref="D24">
    <cfRule type="cellIs" dxfId="602" priority="321" stopIfTrue="1" operator="equal">
      <formula>$C$24</formula>
    </cfRule>
    <cfRule type="cellIs" dxfId="601" priority="322" stopIfTrue="1" operator="lessThan">
      <formula>$C$24</formula>
    </cfRule>
  </conditionalFormatting>
  <conditionalFormatting sqref="D25">
    <cfRule type="cellIs" dxfId="600" priority="191" stopIfTrue="1" operator="equal">
      <formula>$C$25</formula>
    </cfRule>
    <cfRule type="cellIs" dxfId="599" priority="192" stopIfTrue="1" operator="lessThan">
      <formula>$C$25</formula>
    </cfRule>
  </conditionalFormatting>
  <conditionalFormatting sqref="D26">
    <cfRule type="cellIs" dxfId="598" priority="193" stopIfTrue="1" operator="equal">
      <formula>$C$26</formula>
    </cfRule>
    <cfRule type="cellIs" dxfId="597" priority="194" stopIfTrue="1" operator="lessThan">
      <formula>$C$26</formula>
    </cfRule>
  </conditionalFormatting>
  <conditionalFormatting sqref="D27">
    <cfRule type="cellIs" dxfId="596" priority="195" stopIfTrue="1" operator="equal">
      <formula>$C$27</formula>
    </cfRule>
    <cfRule type="cellIs" dxfId="595" priority="196" stopIfTrue="1" operator="lessThan">
      <formula>$C$27</formula>
    </cfRule>
  </conditionalFormatting>
  <conditionalFormatting sqref="D28">
    <cfRule type="cellIs" dxfId="594" priority="197" stopIfTrue="1" operator="equal">
      <formula>$C$28</formula>
    </cfRule>
    <cfRule type="cellIs" dxfId="593" priority="198" stopIfTrue="1" operator="lessThan">
      <formula>$C$28</formula>
    </cfRule>
  </conditionalFormatting>
  <conditionalFormatting sqref="D29:H29 J29:O29">
    <cfRule type="cellIs" dxfId="592" priority="336" stopIfTrue="1" operator="equal">
      <formula>0</formula>
    </cfRule>
  </conditionalFormatting>
  <conditionalFormatting sqref="E4">
    <cfRule type="cellIs" dxfId="591" priority="66" stopIfTrue="1" operator="equal">
      <formula>$D$4</formula>
    </cfRule>
    <cfRule type="cellIs" dxfId="590" priority="67" stopIfTrue="1" operator="lessThan">
      <formula>$D$4</formula>
    </cfRule>
  </conditionalFormatting>
  <conditionalFormatting sqref="E5">
    <cfRule type="cellIs" dxfId="589" priority="331" stopIfTrue="1" operator="equal">
      <formula>$D$5</formula>
    </cfRule>
    <cfRule type="cellIs" dxfId="588" priority="332" stopIfTrue="1" operator="lessThan">
      <formula>$D$5</formula>
    </cfRule>
  </conditionalFormatting>
  <conditionalFormatting sqref="E6">
    <cfRule type="cellIs" dxfId="587" priority="77" stopIfTrue="1" operator="equal">
      <formula>$D$6</formula>
    </cfRule>
    <cfRule type="cellIs" dxfId="586" priority="78" stopIfTrue="1" operator="lessThan">
      <formula>$D$6</formula>
    </cfRule>
  </conditionalFormatting>
  <conditionalFormatting sqref="E7">
    <cfRule type="cellIs" dxfId="585" priority="91" stopIfTrue="1" operator="equal">
      <formula>$D$7</formula>
    </cfRule>
    <cfRule type="cellIs" dxfId="584" priority="92" stopIfTrue="1" operator="lessThan">
      <formula>$D$7</formula>
    </cfRule>
  </conditionalFormatting>
  <conditionalFormatting sqref="E8">
    <cfRule type="cellIs" dxfId="583" priority="103" stopIfTrue="1" operator="equal">
      <formula>$D$8</formula>
    </cfRule>
    <cfRule type="cellIs" dxfId="582" priority="104" stopIfTrue="1" operator="lessThan">
      <formula>$D$8</formula>
    </cfRule>
  </conditionalFormatting>
  <conditionalFormatting sqref="E9">
    <cfRule type="cellIs" dxfId="581" priority="117" stopIfTrue="1" operator="equal">
      <formula>$D$9</formula>
    </cfRule>
    <cfRule type="cellIs" dxfId="580" priority="118" stopIfTrue="1" operator="lessThan">
      <formula>$D$9</formula>
    </cfRule>
  </conditionalFormatting>
  <conditionalFormatting sqref="E10">
    <cfRule type="cellIs" dxfId="579" priority="131" stopIfTrue="1" operator="equal">
      <formula>$D$10</formula>
    </cfRule>
    <cfRule type="cellIs" dxfId="578" priority="132" stopIfTrue="1" operator="lessThan">
      <formula>$D$10</formula>
    </cfRule>
  </conditionalFormatting>
  <conditionalFormatting sqref="E11">
    <cfRule type="cellIs" dxfId="577" priority="145" stopIfTrue="1" operator="equal">
      <formula>$D$11</formula>
    </cfRule>
    <cfRule type="cellIs" dxfId="576" priority="146" stopIfTrue="1" operator="lessThan">
      <formula>$D$11</formula>
    </cfRule>
  </conditionalFormatting>
  <conditionalFormatting sqref="E12">
    <cfRule type="cellIs" dxfId="575" priority="159" stopIfTrue="1" operator="equal">
      <formula>$D$12</formula>
    </cfRule>
    <cfRule type="cellIs" dxfId="574" priority="160" stopIfTrue="1" operator="lessThan">
      <formula>$D$12</formula>
    </cfRule>
  </conditionalFormatting>
  <conditionalFormatting sqref="E13">
    <cfRule type="cellIs" dxfId="573" priority="199" stopIfTrue="1" operator="equal">
      <formula>$D$13</formula>
    </cfRule>
    <cfRule type="cellIs" dxfId="572" priority="200" stopIfTrue="1" operator="lessThan">
      <formula>$D$13</formula>
    </cfRule>
  </conditionalFormatting>
  <conditionalFormatting sqref="E14">
    <cfRule type="cellIs" dxfId="571" priority="201" stopIfTrue="1" operator="equal">
      <formula>$D$14</formula>
    </cfRule>
    <cfRule type="cellIs" dxfId="570" priority="202" stopIfTrue="1" operator="lessThan">
      <formula>$D$14</formula>
    </cfRule>
  </conditionalFormatting>
  <conditionalFormatting sqref="E15">
    <cfRule type="cellIs" dxfId="569" priority="203" stopIfTrue="1" operator="equal">
      <formula>$D$15</formula>
    </cfRule>
    <cfRule type="cellIs" dxfId="568" priority="204" stopIfTrue="1" operator="lessThan">
      <formula>$D$15</formula>
    </cfRule>
  </conditionalFormatting>
  <conditionalFormatting sqref="E16">
    <cfRule type="cellIs" dxfId="567" priority="205" stopIfTrue="1" operator="equal">
      <formula>$D$16</formula>
    </cfRule>
    <cfRule type="cellIs" dxfId="566" priority="206" stopIfTrue="1" operator="lessThan">
      <formula>$D$16</formula>
    </cfRule>
  </conditionalFormatting>
  <conditionalFormatting sqref="E17">
    <cfRule type="cellIs" dxfId="565" priority="207" stopIfTrue="1" operator="equal">
      <formula>$D$17</formula>
    </cfRule>
    <cfRule type="cellIs" dxfId="564" priority="208" stopIfTrue="1" operator="lessThan">
      <formula>$D$17</formula>
    </cfRule>
  </conditionalFormatting>
  <conditionalFormatting sqref="E18">
    <cfRule type="cellIs" dxfId="563" priority="209" stopIfTrue="1" operator="equal">
      <formula>$D$18</formula>
    </cfRule>
    <cfRule type="cellIs" dxfId="562" priority="210" stopIfTrue="1" operator="lessThan">
      <formula>$D$18</formula>
    </cfRule>
  </conditionalFormatting>
  <conditionalFormatting sqref="E19">
    <cfRule type="cellIs" dxfId="561" priority="211" stopIfTrue="1" operator="equal">
      <formula>$D$19</formula>
    </cfRule>
    <cfRule type="cellIs" dxfId="560" priority="212" stopIfTrue="1" operator="lessThan">
      <formula>$D$19</formula>
    </cfRule>
  </conditionalFormatting>
  <conditionalFormatting sqref="E20">
    <cfRule type="cellIs" dxfId="559" priority="213" stopIfTrue="1" operator="equal">
      <formula>$D$20</formula>
    </cfRule>
    <cfRule type="cellIs" dxfId="558" priority="214" stopIfTrue="1" operator="lessThan">
      <formula>$D$20</formula>
    </cfRule>
  </conditionalFormatting>
  <conditionalFormatting sqref="E21">
    <cfRule type="cellIs" dxfId="557" priority="215" stopIfTrue="1" operator="equal">
      <formula>$D$21</formula>
    </cfRule>
    <cfRule type="cellIs" dxfId="556" priority="216" stopIfTrue="1" operator="lessThan">
      <formula>$D$21</formula>
    </cfRule>
  </conditionalFormatting>
  <conditionalFormatting sqref="E22">
    <cfRule type="cellIs" dxfId="555" priority="217" stopIfTrue="1" operator="equal">
      <formula>$D$22</formula>
    </cfRule>
    <cfRule type="cellIs" dxfId="554" priority="218" stopIfTrue="1" operator="lessThan">
      <formula>$D$22</formula>
    </cfRule>
  </conditionalFormatting>
  <conditionalFormatting sqref="E23">
    <cfRule type="cellIs" dxfId="553" priority="219" stopIfTrue="1" operator="equal">
      <formula>$D$23</formula>
    </cfRule>
    <cfRule type="cellIs" dxfId="552" priority="220" stopIfTrue="1" operator="lessThan">
      <formula>$D$23</formula>
    </cfRule>
  </conditionalFormatting>
  <conditionalFormatting sqref="E24">
    <cfRule type="cellIs" dxfId="551" priority="323" stopIfTrue="1" operator="equal">
      <formula>$D$24</formula>
    </cfRule>
    <cfRule type="cellIs" dxfId="550" priority="324" stopIfTrue="1" operator="lessThan">
      <formula>$D$24</formula>
    </cfRule>
  </conditionalFormatting>
  <conditionalFormatting sqref="E25">
    <cfRule type="cellIs" dxfId="549" priority="221" stopIfTrue="1" operator="equal">
      <formula>$D$25</formula>
    </cfRule>
    <cfRule type="cellIs" dxfId="548" priority="222" stopIfTrue="1" operator="lessThan">
      <formula>$D$25</formula>
    </cfRule>
  </conditionalFormatting>
  <conditionalFormatting sqref="E26">
    <cfRule type="cellIs" dxfId="547" priority="223" stopIfTrue="1" operator="equal">
      <formula>$D$26</formula>
    </cfRule>
    <cfRule type="cellIs" dxfId="546" priority="224" stopIfTrue="1" operator="lessThan">
      <formula>$D$26</formula>
    </cfRule>
  </conditionalFormatting>
  <conditionalFormatting sqref="E27">
    <cfRule type="cellIs" dxfId="545" priority="225" stopIfTrue="1" operator="equal">
      <formula>$D$27</formula>
    </cfRule>
    <cfRule type="cellIs" dxfId="544" priority="226" stopIfTrue="1" operator="lessThan">
      <formula>$D$27</formula>
    </cfRule>
  </conditionalFormatting>
  <conditionalFormatting sqref="E28">
    <cfRule type="cellIs" dxfId="543" priority="227" stopIfTrue="1" operator="equal">
      <formula>$D$28</formula>
    </cfRule>
    <cfRule type="cellIs" dxfId="542" priority="228" stopIfTrue="1" operator="lessThan">
      <formula>$D$28</formula>
    </cfRule>
  </conditionalFormatting>
  <conditionalFormatting sqref="F4">
    <cfRule type="cellIs" dxfId="541" priority="62" stopIfTrue="1" operator="equal">
      <formula>$E$4</formula>
    </cfRule>
    <cfRule type="cellIs" dxfId="540" priority="63" stopIfTrue="1" operator="lessThan">
      <formula>$E$4</formula>
    </cfRule>
  </conditionalFormatting>
  <conditionalFormatting sqref="F5">
    <cfRule type="cellIs" dxfId="539" priority="70" stopIfTrue="1" operator="equal">
      <formula>$E$5</formula>
    </cfRule>
    <cfRule type="cellIs" dxfId="538" priority="71" stopIfTrue="1" operator="lessThan">
      <formula>$E$5</formula>
    </cfRule>
  </conditionalFormatting>
  <conditionalFormatting sqref="F6">
    <cfRule type="cellIs" dxfId="537" priority="79" stopIfTrue="1" operator="equal">
      <formula>$E$6</formula>
    </cfRule>
    <cfRule type="cellIs" dxfId="536" priority="80" stopIfTrue="1" operator="lessThan">
      <formula>$E$6</formula>
    </cfRule>
  </conditionalFormatting>
  <conditionalFormatting sqref="F7">
    <cfRule type="cellIs" dxfId="535" priority="93" stopIfTrue="1" operator="equal">
      <formula>$E$7</formula>
    </cfRule>
    <cfRule type="cellIs" dxfId="534" priority="94" stopIfTrue="1" operator="lessThan">
      <formula>$E$7</formula>
    </cfRule>
  </conditionalFormatting>
  <conditionalFormatting sqref="F8">
    <cfRule type="cellIs" dxfId="533" priority="105" stopIfTrue="1" operator="equal">
      <formula>$E$8</formula>
    </cfRule>
    <cfRule type="cellIs" dxfId="532" priority="106" stopIfTrue="1" operator="lessThan">
      <formula>$E$8</formula>
    </cfRule>
  </conditionalFormatting>
  <conditionalFormatting sqref="F9">
    <cfRule type="cellIs" dxfId="531" priority="119" stopIfTrue="1" operator="equal">
      <formula>$E$9</formula>
    </cfRule>
    <cfRule type="cellIs" dxfId="530" priority="120" stopIfTrue="1" operator="lessThan">
      <formula>$E$9</formula>
    </cfRule>
  </conditionalFormatting>
  <conditionalFormatting sqref="F10">
    <cfRule type="cellIs" dxfId="529" priority="133" stopIfTrue="1" operator="equal">
      <formula>$E$10</formula>
    </cfRule>
    <cfRule type="cellIs" dxfId="528" priority="134" stopIfTrue="1" operator="lessThan">
      <formula>$E$10</formula>
    </cfRule>
  </conditionalFormatting>
  <conditionalFormatting sqref="F11">
    <cfRule type="cellIs" dxfId="527" priority="147" stopIfTrue="1" operator="equal">
      <formula>$E$11</formula>
    </cfRule>
    <cfRule type="cellIs" dxfId="526" priority="148" stopIfTrue="1" operator="lessThan">
      <formula>$E$11</formula>
    </cfRule>
  </conditionalFormatting>
  <conditionalFormatting sqref="F12">
    <cfRule type="cellIs" dxfId="525" priority="161" stopIfTrue="1" operator="equal">
      <formula>$E$12</formula>
    </cfRule>
    <cfRule type="cellIs" dxfId="524" priority="162" stopIfTrue="1" operator="lessThan">
      <formula>$E$12</formula>
    </cfRule>
  </conditionalFormatting>
  <conditionalFormatting sqref="F13">
    <cfRule type="cellIs" dxfId="523" priority="229" stopIfTrue="1" operator="equal">
      <formula>$E$13</formula>
    </cfRule>
    <cfRule type="cellIs" dxfId="522" priority="230" stopIfTrue="1" operator="lessThan">
      <formula>$E$13</formula>
    </cfRule>
  </conditionalFormatting>
  <conditionalFormatting sqref="F14">
    <cfRule type="cellIs" dxfId="521" priority="231" stopIfTrue="1" operator="equal">
      <formula>$E$14</formula>
    </cfRule>
    <cfRule type="cellIs" dxfId="520" priority="232" stopIfTrue="1" operator="lessThan">
      <formula>$E$14</formula>
    </cfRule>
  </conditionalFormatting>
  <conditionalFormatting sqref="F15">
    <cfRule type="cellIs" dxfId="519" priority="233" stopIfTrue="1" operator="equal">
      <formula>$E$15</formula>
    </cfRule>
    <cfRule type="cellIs" dxfId="518" priority="234" stopIfTrue="1" operator="lessThan">
      <formula>$E$15</formula>
    </cfRule>
  </conditionalFormatting>
  <conditionalFormatting sqref="F16">
    <cfRule type="cellIs" dxfId="517" priority="235" stopIfTrue="1" operator="equal">
      <formula>$E$16</formula>
    </cfRule>
    <cfRule type="cellIs" dxfId="516" priority="236" stopIfTrue="1" operator="lessThan">
      <formula>$E$16</formula>
    </cfRule>
  </conditionalFormatting>
  <conditionalFormatting sqref="F17">
    <cfRule type="cellIs" dxfId="515" priority="237" stopIfTrue="1" operator="equal">
      <formula>$E$17</formula>
    </cfRule>
    <cfRule type="cellIs" dxfId="514" priority="238" stopIfTrue="1" operator="lessThan">
      <formula>$E$17</formula>
    </cfRule>
  </conditionalFormatting>
  <conditionalFormatting sqref="F18">
    <cfRule type="cellIs" dxfId="513" priority="239" stopIfTrue="1" operator="equal">
      <formula>$E$18</formula>
    </cfRule>
    <cfRule type="cellIs" dxfId="512" priority="240" stopIfTrue="1" operator="lessThan">
      <formula>$E$18</formula>
    </cfRule>
  </conditionalFormatting>
  <conditionalFormatting sqref="F19">
    <cfRule type="cellIs" dxfId="511" priority="241" stopIfTrue="1" operator="equal">
      <formula>$E$19</formula>
    </cfRule>
    <cfRule type="cellIs" dxfId="510" priority="242" stopIfTrue="1" operator="lessThan">
      <formula>$E$19</formula>
    </cfRule>
  </conditionalFormatting>
  <conditionalFormatting sqref="F20">
    <cfRule type="cellIs" dxfId="509" priority="243" stopIfTrue="1" operator="equal">
      <formula>$E$20</formula>
    </cfRule>
    <cfRule type="cellIs" dxfId="508" priority="244" stopIfTrue="1" operator="lessThan">
      <formula>$E$20</formula>
    </cfRule>
  </conditionalFormatting>
  <conditionalFormatting sqref="F21">
    <cfRule type="cellIs" dxfId="507" priority="245" stopIfTrue="1" operator="equal">
      <formula>$E$21</formula>
    </cfRule>
    <cfRule type="cellIs" dxfId="506" priority="246" stopIfTrue="1" operator="lessThan">
      <formula>$E$21</formula>
    </cfRule>
  </conditionalFormatting>
  <conditionalFormatting sqref="F22">
    <cfRule type="cellIs" dxfId="505" priority="247" stopIfTrue="1" operator="equal">
      <formula>$E$22</formula>
    </cfRule>
    <cfRule type="cellIs" dxfId="504" priority="248" stopIfTrue="1" operator="lessThan">
      <formula>$E$22</formula>
    </cfRule>
  </conditionalFormatting>
  <conditionalFormatting sqref="F23">
    <cfRule type="cellIs" dxfId="503" priority="249" stopIfTrue="1" operator="equal">
      <formula>$E$23</formula>
    </cfRule>
    <cfRule type="cellIs" dxfId="502" priority="250" stopIfTrue="1" operator="lessThan">
      <formula>$E$23</formula>
    </cfRule>
  </conditionalFormatting>
  <conditionalFormatting sqref="F24">
    <cfRule type="cellIs" dxfId="501" priority="325" stopIfTrue="1" operator="equal">
      <formula>$E$24</formula>
    </cfRule>
    <cfRule type="cellIs" dxfId="500" priority="326" stopIfTrue="1" operator="lessThan">
      <formula>$E$24</formula>
    </cfRule>
  </conditionalFormatting>
  <conditionalFormatting sqref="F25">
    <cfRule type="cellIs" dxfId="499" priority="251" stopIfTrue="1" operator="equal">
      <formula>$E$25</formula>
    </cfRule>
    <cfRule type="cellIs" dxfId="498" priority="252" stopIfTrue="1" operator="lessThan">
      <formula>$E$25</formula>
    </cfRule>
  </conditionalFormatting>
  <conditionalFormatting sqref="F26">
    <cfRule type="cellIs" dxfId="497" priority="253" stopIfTrue="1" operator="equal">
      <formula>$E$26</formula>
    </cfRule>
    <cfRule type="cellIs" dxfId="496" priority="254" stopIfTrue="1" operator="lessThan">
      <formula>$E$26</formula>
    </cfRule>
  </conditionalFormatting>
  <conditionalFormatting sqref="F27">
    <cfRule type="cellIs" dxfId="495" priority="255" stopIfTrue="1" operator="equal">
      <formula>$E$27</formula>
    </cfRule>
    <cfRule type="cellIs" dxfId="494" priority="256" stopIfTrue="1" operator="lessThan">
      <formula>$E$27</formula>
    </cfRule>
  </conditionalFormatting>
  <conditionalFormatting sqref="F28">
    <cfRule type="cellIs" dxfId="493" priority="257" stopIfTrue="1" operator="equal">
      <formula>$E$28</formula>
    </cfRule>
    <cfRule type="cellIs" dxfId="492" priority="258" stopIfTrue="1" operator="lessThan">
      <formula>$E$28</formula>
    </cfRule>
  </conditionalFormatting>
  <conditionalFormatting sqref="G4">
    <cfRule type="cellIs" dxfId="491" priority="335" stopIfTrue="1" operator="equal">
      <formula>$F$4</formula>
    </cfRule>
  </conditionalFormatting>
  <conditionalFormatting sqref="G5">
    <cfRule type="cellIs" dxfId="490" priority="333" stopIfTrue="1" operator="equal">
      <formula>$F$5</formula>
    </cfRule>
    <cfRule type="cellIs" dxfId="489" priority="334" stopIfTrue="1" operator="lessThan">
      <formula>$F$5</formula>
    </cfRule>
  </conditionalFormatting>
  <conditionalFormatting sqref="G6">
    <cfRule type="cellIs" dxfId="488" priority="81" stopIfTrue="1" operator="equal">
      <formula>$F$6</formula>
    </cfRule>
    <cfRule type="cellIs" dxfId="487" priority="82" stopIfTrue="1" operator="lessThan">
      <formula>$F$6</formula>
    </cfRule>
  </conditionalFormatting>
  <conditionalFormatting sqref="G7">
    <cfRule type="cellIs" dxfId="486" priority="54" stopIfTrue="1" operator="equal">
      <formula>$F$7</formula>
    </cfRule>
    <cfRule type="cellIs" dxfId="485" priority="55" stopIfTrue="1" operator="lessThan">
      <formula>$F$7</formula>
    </cfRule>
  </conditionalFormatting>
  <conditionalFormatting sqref="G8">
    <cfRule type="cellIs" dxfId="484" priority="107" stopIfTrue="1" operator="equal">
      <formula>$F$8</formula>
    </cfRule>
    <cfRule type="cellIs" dxfId="483" priority="108" stopIfTrue="1" operator="lessThan">
      <formula>$F$8</formula>
    </cfRule>
  </conditionalFormatting>
  <conditionalFormatting sqref="G9">
    <cfRule type="cellIs" dxfId="482" priority="121" stopIfTrue="1" operator="equal">
      <formula>$F$9</formula>
    </cfRule>
    <cfRule type="cellIs" dxfId="481" priority="122" stopIfTrue="1" operator="lessThan">
      <formula>$F$9</formula>
    </cfRule>
  </conditionalFormatting>
  <conditionalFormatting sqref="G10">
    <cfRule type="cellIs" dxfId="480" priority="135" stopIfTrue="1" operator="equal">
      <formula>$F$10</formula>
    </cfRule>
    <cfRule type="cellIs" dxfId="479" priority="136" stopIfTrue="1" operator="lessThan">
      <formula>$F$10</formula>
    </cfRule>
  </conditionalFormatting>
  <conditionalFormatting sqref="G11">
    <cfRule type="cellIs" dxfId="478" priority="149" stopIfTrue="1" operator="equal">
      <formula>$F$11</formula>
    </cfRule>
    <cfRule type="cellIs" dxfId="477" priority="150" stopIfTrue="1" operator="lessThan">
      <formula>$F$11</formula>
    </cfRule>
  </conditionalFormatting>
  <conditionalFormatting sqref="G12">
    <cfRule type="cellIs" dxfId="476" priority="163" stopIfTrue="1" operator="equal">
      <formula>$F$12</formula>
    </cfRule>
    <cfRule type="cellIs" dxfId="475" priority="164" stopIfTrue="1" operator="lessThan">
      <formula>$F$12</formula>
    </cfRule>
  </conditionalFormatting>
  <conditionalFormatting sqref="G13">
    <cfRule type="cellIs" dxfId="474" priority="259" stopIfTrue="1" operator="equal">
      <formula>$F$13</formula>
    </cfRule>
    <cfRule type="cellIs" dxfId="473" priority="260" stopIfTrue="1" operator="lessThan">
      <formula>$F$13</formula>
    </cfRule>
  </conditionalFormatting>
  <conditionalFormatting sqref="G14">
    <cfRule type="cellIs" dxfId="472" priority="261" stopIfTrue="1" operator="equal">
      <formula>$F$14</formula>
    </cfRule>
    <cfRule type="cellIs" dxfId="471" priority="262" stopIfTrue="1" operator="lessThan">
      <formula>$F$14</formula>
    </cfRule>
  </conditionalFormatting>
  <conditionalFormatting sqref="G15">
    <cfRule type="cellIs" dxfId="470" priority="263" stopIfTrue="1" operator="equal">
      <formula>$F$15</formula>
    </cfRule>
    <cfRule type="cellIs" dxfId="469" priority="264" stopIfTrue="1" operator="lessThan">
      <formula>$F$15</formula>
    </cfRule>
  </conditionalFormatting>
  <conditionalFormatting sqref="G16">
    <cfRule type="cellIs" dxfId="468" priority="265" stopIfTrue="1" operator="equal">
      <formula>$F$16</formula>
    </cfRule>
    <cfRule type="cellIs" dxfId="467" priority="266" stopIfTrue="1" operator="lessThan">
      <formula>$F$16</formula>
    </cfRule>
  </conditionalFormatting>
  <conditionalFormatting sqref="G17">
    <cfRule type="cellIs" dxfId="466" priority="267" stopIfTrue="1" operator="equal">
      <formula>$F$17</formula>
    </cfRule>
    <cfRule type="cellIs" dxfId="465" priority="268" stopIfTrue="1" operator="lessThan">
      <formula>$F$17</formula>
    </cfRule>
  </conditionalFormatting>
  <conditionalFormatting sqref="G18">
    <cfRule type="cellIs" dxfId="464" priority="269" stopIfTrue="1" operator="equal">
      <formula>$F$18</formula>
    </cfRule>
    <cfRule type="cellIs" dxfId="463" priority="270" stopIfTrue="1" operator="lessThan">
      <formula>$F$18</formula>
    </cfRule>
  </conditionalFormatting>
  <conditionalFormatting sqref="G19">
    <cfRule type="cellIs" dxfId="462" priority="271" stopIfTrue="1" operator="equal">
      <formula>$F$19</formula>
    </cfRule>
    <cfRule type="cellIs" dxfId="461" priority="272" stopIfTrue="1" operator="lessThan">
      <formula>$F$19</formula>
    </cfRule>
  </conditionalFormatting>
  <conditionalFormatting sqref="G20">
    <cfRule type="cellIs" dxfId="460" priority="273" stopIfTrue="1" operator="equal">
      <formula>$F$20</formula>
    </cfRule>
    <cfRule type="cellIs" dxfId="459" priority="274" stopIfTrue="1" operator="lessThan">
      <formula>$F$20</formula>
    </cfRule>
  </conditionalFormatting>
  <conditionalFormatting sqref="G21">
    <cfRule type="cellIs" dxfId="458" priority="275" stopIfTrue="1" operator="equal">
      <formula>$F$21</formula>
    </cfRule>
    <cfRule type="cellIs" dxfId="457" priority="276" stopIfTrue="1" operator="lessThan">
      <formula>$F$21</formula>
    </cfRule>
  </conditionalFormatting>
  <conditionalFormatting sqref="G22">
    <cfRule type="cellIs" dxfId="456" priority="277" stopIfTrue="1" operator="equal">
      <formula>$F$22</formula>
    </cfRule>
    <cfRule type="cellIs" dxfId="455" priority="278" stopIfTrue="1" operator="lessThan">
      <formula>$F$22</formula>
    </cfRule>
  </conditionalFormatting>
  <conditionalFormatting sqref="G23">
    <cfRule type="cellIs" dxfId="454" priority="279" stopIfTrue="1" operator="equal">
      <formula>$F$23</formula>
    </cfRule>
    <cfRule type="cellIs" dxfId="453" priority="280" stopIfTrue="1" operator="lessThan">
      <formula>$F$23</formula>
    </cfRule>
  </conditionalFormatting>
  <conditionalFormatting sqref="G24">
    <cfRule type="cellIs" dxfId="452" priority="327" stopIfTrue="1" operator="equal">
      <formula>$F$24</formula>
    </cfRule>
    <cfRule type="cellIs" dxfId="451" priority="328" stopIfTrue="1" operator="lessThan">
      <formula>$F$24</formula>
    </cfRule>
  </conditionalFormatting>
  <conditionalFormatting sqref="G25">
    <cfRule type="cellIs" dxfId="450" priority="281" stopIfTrue="1" operator="equal">
      <formula>$F$25</formula>
    </cfRule>
    <cfRule type="cellIs" dxfId="449" priority="282" stopIfTrue="1" operator="lessThan">
      <formula>$F$25</formula>
    </cfRule>
  </conditionalFormatting>
  <conditionalFormatting sqref="G26">
    <cfRule type="cellIs" dxfId="448" priority="283" stopIfTrue="1" operator="equal">
      <formula>$F$26</formula>
    </cfRule>
    <cfRule type="cellIs" dxfId="447" priority="284" stopIfTrue="1" operator="lessThan">
      <formula>$F$26</formula>
    </cfRule>
  </conditionalFormatting>
  <conditionalFormatting sqref="G27">
    <cfRule type="cellIs" dxfId="446" priority="285" stopIfTrue="1" operator="equal">
      <formula>$F$27</formula>
    </cfRule>
    <cfRule type="cellIs" dxfId="445" priority="286" stopIfTrue="1" operator="lessThan">
      <formula>$F$27</formula>
    </cfRule>
  </conditionalFormatting>
  <conditionalFormatting sqref="G28">
    <cfRule type="cellIs" dxfId="444" priority="287" stopIfTrue="1" operator="equal">
      <formula>$F$28</formula>
    </cfRule>
    <cfRule type="cellIs" dxfId="443" priority="288" stopIfTrue="1" operator="lessThan">
      <formula>$F$28</formula>
    </cfRule>
  </conditionalFormatting>
  <conditionalFormatting sqref="H4">
    <cfRule type="cellIs" dxfId="442" priority="52" stopIfTrue="1" operator="lessThan">
      <formula>$G$4</formula>
    </cfRule>
    <cfRule type="cellIs" dxfId="441" priority="53" stopIfTrue="1" operator="equal">
      <formula>$G$4</formula>
    </cfRule>
  </conditionalFormatting>
  <conditionalFormatting sqref="H5">
    <cfRule type="cellIs" dxfId="440" priority="56" stopIfTrue="1" operator="equal">
      <formula>$G$5</formula>
    </cfRule>
    <cfRule type="cellIs" dxfId="439" priority="57" stopIfTrue="1" operator="lessThan">
      <formula>$G$5</formula>
    </cfRule>
  </conditionalFormatting>
  <conditionalFormatting sqref="H6">
    <cfRule type="cellIs" dxfId="438" priority="83" stopIfTrue="1" operator="equal">
      <formula>$G$6</formula>
    </cfRule>
    <cfRule type="cellIs" dxfId="437" priority="84" stopIfTrue="1" operator="lessThan">
      <formula>$G$6</formula>
    </cfRule>
  </conditionalFormatting>
  <conditionalFormatting sqref="H7">
    <cfRule type="cellIs" dxfId="436" priority="95" stopIfTrue="1" operator="equal">
      <formula>$G$7</formula>
    </cfRule>
    <cfRule type="cellIs" dxfId="435" priority="96" stopIfTrue="1" operator="lessThan">
      <formula>$G$7</formula>
    </cfRule>
  </conditionalFormatting>
  <conditionalFormatting sqref="H8">
    <cfRule type="cellIs" dxfId="434" priority="109" stopIfTrue="1" operator="equal">
      <formula>$G$8</formula>
    </cfRule>
    <cfRule type="cellIs" dxfId="433" priority="110" stopIfTrue="1" operator="lessThan">
      <formula>$G$8</formula>
    </cfRule>
  </conditionalFormatting>
  <conditionalFormatting sqref="H9">
    <cfRule type="cellIs" dxfId="432" priority="123" stopIfTrue="1" operator="equal">
      <formula>$G$9</formula>
    </cfRule>
    <cfRule type="cellIs" dxfId="431" priority="124" stopIfTrue="1" operator="lessThan">
      <formula>$G$9</formula>
    </cfRule>
  </conditionalFormatting>
  <conditionalFormatting sqref="H10">
    <cfRule type="cellIs" dxfId="430" priority="137" stopIfTrue="1" operator="equal">
      <formula>$G$10</formula>
    </cfRule>
    <cfRule type="cellIs" dxfId="429" priority="138" stopIfTrue="1" operator="lessThan">
      <formula>$G$10</formula>
    </cfRule>
  </conditionalFormatting>
  <conditionalFormatting sqref="H11">
    <cfRule type="cellIs" dxfId="428" priority="151" stopIfTrue="1" operator="equal">
      <formula>$G$11</formula>
    </cfRule>
    <cfRule type="cellIs" dxfId="427" priority="152" stopIfTrue="1" operator="lessThan">
      <formula>$G$11</formula>
    </cfRule>
  </conditionalFormatting>
  <conditionalFormatting sqref="H12">
    <cfRule type="cellIs" dxfId="426" priority="165" stopIfTrue="1" operator="equal">
      <formula>$G$12</formula>
    </cfRule>
    <cfRule type="cellIs" dxfId="425" priority="166" stopIfTrue="1" operator="lessThan">
      <formula>$G$12</formula>
    </cfRule>
  </conditionalFormatting>
  <conditionalFormatting sqref="H13">
    <cfRule type="cellIs" dxfId="424" priority="291" stopIfTrue="1" operator="equal">
      <formula>$G$13</formula>
    </cfRule>
    <cfRule type="cellIs" dxfId="423" priority="292" stopIfTrue="1" operator="lessThan">
      <formula>$G$13</formula>
    </cfRule>
  </conditionalFormatting>
  <conditionalFormatting sqref="H14">
    <cfRule type="cellIs" dxfId="422" priority="293" stopIfTrue="1" operator="equal">
      <formula>$G$14</formula>
    </cfRule>
    <cfRule type="cellIs" dxfId="421" priority="294" stopIfTrue="1" operator="lessThan">
      <formula>$G$14</formula>
    </cfRule>
  </conditionalFormatting>
  <conditionalFormatting sqref="H15">
    <cfRule type="cellIs" dxfId="420" priority="295" stopIfTrue="1" operator="equal">
      <formula>$G$15</formula>
    </cfRule>
    <cfRule type="cellIs" dxfId="419" priority="296" stopIfTrue="1" operator="lessThan">
      <formula>$G$15</formula>
    </cfRule>
  </conditionalFormatting>
  <conditionalFormatting sqref="H16">
    <cfRule type="cellIs" dxfId="418" priority="297" stopIfTrue="1" operator="equal">
      <formula>$G$16</formula>
    </cfRule>
    <cfRule type="cellIs" dxfId="417" priority="298" stopIfTrue="1" operator="lessThan">
      <formula>$G$16</formula>
    </cfRule>
  </conditionalFormatting>
  <conditionalFormatting sqref="H17">
    <cfRule type="cellIs" dxfId="416" priority="299" stopIfTrue="1" operator="equal">
      <formula>$G$17</formula>
    </cfRule>
    <cfRule type="cellIs" dxfId="415" priority="300" stopIfTrue="1" operator="lessThan">
      <formula>$G$17</formula>
    </cfRule>
  </conditionalFormatting>
  <conditionalFormatting sqref="H18">
    <cfRule type="cellIs" dxfId="414" priority="301" stopIfTrue="1" operator="equal">
      <formula>$G$18</formula>
    </cfRule>
    <cfRule type="cellIs" dxfId="413" priority="302" stopIfTrue="1" operator="lessThan">
      <formula>$G$18</formula>
    </cfRule>
  </conditionalFormatting>
  <conditionalFormatting sqref="H19">
    <cfRule type="cellIs" dxfId="412" priority="303" stopIfTrue="1" operator="equal">
      <formula>$G$19</formula>
    </cfRule>
    <cfRule type="cellIs" dxfId="411" priority="304" stopIfTrue="1" operator="lessThan">
      <formula>$G$19</formula>
    </cfRule>
  </conditionalFormatting>
  <conditionalFormatting sqref="H20">
    <cfRule type="cellIs" dxfId="410" priority="305" stopIfTrue="1" operator="equal">
      <formula>$G$20</formula>
    </cfRule>
    <cfRule type="cellIs" dxfId="409" priority="306" stopIfTrue="1" operator="lessThan">
      <formula>$G$20</formula>
    </cfRule>
  </conditionalFormatting>
  <conditionalFormatting sqref="H21">
    <cfRule type="cellIs" dxfId="408" priority="307" stopIfTrue="1" operator="equal">
      <formula>$G$21</formula>
    </cfRule>
    <cfRule type="cellIs" dxfId="407" priority="308" stopIfTrue="1" operator="lessThan">
      <formula>$G$21</formula>
    </cfRule>
  </conditionalFormatting>
  <conditionalFormatting sqref="H22">
    <cfRule type="cellIs" dxfId="406" priority="309" stopIfTrue="1" operator="equal">
      <formula>$G$22</formula>
    </cfRule>
    <cfRule type="cellIs" dxfId="405" priority="310" stopIfTrue="1" operator="lessThan">
      <formula>$G$22</formula>
    </cfRule>
  </conditionalFormatting>
  <conditionalFormatting sqref="H23">
    <cfRule type="cellIs" dxfId="404" priority="311" stopIfTrue="1" operator="equal">
      <formula>$G$23</formula>
    </cfRule>
    <cfRule type="cellIs" dxfId="403" priority="312" stopIfTrue="1" operator="lessThan">
      <formula>$G$23</formula>
    </cfRule>
  </conditionalFormatting>
  <conditionalFormatting sqref="H24">
    <cfRule type="cellIs" dxfId="402" priority="329" stopIfTrue="1" operator="equal">
      <formula>$G$24</formula>
    </cfRule>
    <cfRule type="cellIs" dxfId="401" priority="330" stopIfTrue="1" operator="lessThan">
      <formula>$G$24</formula>
    </cfRule>
  </conditionalFormatting>
  <conditionalFormatting sqref="H25">
    <cfRule type="cellIs" dxfId="400" priority="313" stopIfTrue="1" operator="equal">
      <formula>$G$25</formula>
    </cfRule>
    <cfRule type="cellIs" dxfId="399" priority="314" stopIfTrue="1" operator="lessThan">
      <formula>$G$25</formula>
    </cfRule>
  </conditionalFormatting>
  <conditionalFormatting sqref="H26">
    <cfRule type="cellIs" dxfId="398" priority="315" stopIfTrue="1" operator="equal">
      <formula>$G$26</formula>
    </cfRule>
    <cfRule type="cellIs" dxfId="397" priority="316" stopIfTrue="1" operator="lessThan">
      <formula>$G$26</formula>
    </cfRule>
  </conditionalFormatting>
  <conditionalFormatting sqref="H27">
    <cfRule type="cellIs" dxfId="396" priority="317" stopIfTrue="1" operator="equal">
      <formula>$G$27</formula>
    </cfRule>
    <cfRule type="cellIs" dxfId="395" priority="318" stopIfTrue="1" operator="lessThan">
      <formula>$G$27</formula>
    </cfRule>
  </conditionalFormatting>
  <conditionalFormatting sqref="H28">
    <cfRule type="cellIs" dxfId="394" priority="319" stopIfTrue="1" operator="equal">
      <formula>$G$28</formula>
    </cfRule>
    <cfRule type="cellIs" dxfId="393" priority="320" stopIfTrue="1" operator="lessThan">
      <formula>$G$28</formula>
    </cfRule>
  </conditionalFormatting>
  <conditionalFormatting sqref="I4">
    <cfRule type="cellIs" dxfId="392" priority="72" stopIfTrue="1" operator="equal">
      <formula>$H$4</formula>
    </cfRule>
  </conditionalFormatting>
  <conditionalFormatting sqref="I5">
    <cfRule type="cellIs" dxfId="391" priority="58" stopIfTrue="1" operator="equal">
      <formula>$H$5</formula>
    </cfRule>
    <cfRule type="cellIs" dxfId="390" priority="59" stopIfTrue="1" operator="lessThan">
      <formula>$H$5</formula>
    </cfRule>
  </conditionalFormatting>
  <conditionalFormatting sqref="I6">
    <cfRule type="cellIs" dxfId="389" priority="85" stopIfTrue="1" operator="equal">
      <formula>$H$6</formula>
    </cfRule>
    <cfRule type="cellIs" dxfId="388" priority="86" stopIfTrue="1" operator="lessThan">
      <formula>$H$6</formula>
    </cfRule>
  </conditionalFormatting>
  <conditionalFormatting sqref="I7">
    <cfRule type="cellIs" dxfId="387" priority="97" stopIfTrue="1" operator="equal">
      <formula>$H$7</formula>
    </cfRule>
    <cfRule type="cellIs" dxfId="386" priority="98" stopIfTrue="1" operator="lessThan">
      <formula>$H$7</formula>
    </cfRule>
  </conditionalFormatting>
  <conditionalFormatting sqref="I8">
    <cfRule type="cellIs" dxfId="385" priority="111" stopIfTrue="1" operator="equal">
      <formula>$H$8</formula>
    </cfRule>
    <cfRule type="cellIs" dxfId="384" priority="112" stopIfTrue="1" operator="lessThan">
      <formula>$H$8</formula>
    </cfRule>
  </conditionalFormatting>
  <conditionalFormatting sqref="I9">
    <cfRule type="cellIs" dxfId="383" priority="125" stopIfTrue="1" operator="equal">
      <formula>$H$9</formula>
    </cfRule>
    <cfRule type="cellIs" dxfId="382" priority="126" stopIfTrue="1" operator="lessThan">
      <formula>$H$9</formula>
    </cfRule>
  </conditionalFormatting>
  <conditionalFormatting sqref="I10">
    <cfRule type="cellIs" dxfId="381" priority="139" stopIfTrue="1" operator="equal">
      <formula>$H$10</formula>
    </cfRule>
    <cfRule type="cellIs" dxfId="380" priority="140" stopIfTrue="1" operator="lessThan">
      <formula>$H$10</formula>
    </cfRule>
  </conditionalFormatting>
  <conditionalFormatting sqref="I11">
    <cfRule type="cellIs" dxfId="379" priority="153" stopIfTrue="1" operator="equal">
      <formula>$H$11</formula>
    </cfRule>
    <cfRule type="cellIs" dxfId="378" priority="154" stopIfTrue="1" operator="lessThan">
      <formula>$H$11</formula>
    </cfRule>
  </conditionalFormatting>
  <conditionalFormatting sqref="I12">
    <cfRule type="cellIs" dxfId="377" priority="167" stopIfTrue="1" operator="equal">
      <formula>$H$12</formula>
    </cfRule>
    <cfRule type="cellIs" dxfId="376" priority="168" stopIfTrue="1" operator="lessThan">
      <formula>$H$12</formula>
    </cfRule>
  </conditionalFormatting>
  <conditionalFormatting sqref="I13">
    <cfRule type="cellIs" dxfId="375" priority="337" stopIfTrue="1" operator="equal">
      <formula>$H$13</formula>
    </cfRule>
    <cfRule type="cellIs" dxfId="374" priority="338" stopIfTrue="1" operator="lessThan">
      <formula>$H$13</formula>
    </cfRule>
  </conditionalFormatting>
  <conditionalFormatting sqref="I14">
    <cfRule type="cellIs" dxfId="373" priority="339" stopIfTrue="1" operator="equal">
      <formula>$H$14</formula>
    </cfRule>
    <cfRule type="cellIs" dxfId="372" priority="340" stopIfTrue="1" operator="lessThan">
      <formula>$H$14</formula>
    </cfRule>
  </conditionalFormatting>
  <conditionalFormatting sqref="I15">
    <cfRule type="cellIs" dxfId="371" priority="341" stopIfTrue="1" operator="equal">
      <formula>$H$15</formula>
    </cfRule>
    <cfRule type="cellIs" dxfId="370" priority="342" stopIfTrue="1" operator="lessThan">
      <formula>$H$15</formula>
    </cfRule>
  </conditionalFormatting>
  <conditionalFormatting sqref="I16">
    <cfRule type="cellIs" dxfId="369" priority="343" stopIfTrue="1" operator="equal">
      <formula>$H$16</formula>
    </cfRule>
    <cfRule type="cellIs" dxfId="368" priority="344" stopIfTrue="1" operator="lessThan">
      <formula>$H$16</formula>
    </cfRule>
  </conditionalFormatting>
  <conditionalFormatting sqref="I17">
    <cfRule type="cellIs" dxfId="367" priority="345" stopIfTrue="1" operator="equal">
      <formula>$H$17</formula>
    </cfRule>
    <cfRule type="cellIs" dxfId="366" priority="346" stopIfTrue="1" operator="lessThan">
      <formula>$H$17</formula>
    </cfRule>
  </conditionalFormatting>
  <conditionalFormatting sqref="I18">
    <cfRule type="cellIs" dxfId="365" priority="347" stopIfTrue="1" operator="equal">
      <formula>$H$18</formula>
    </cfRule>
    <cfRule type="cellIs" dxfId="364" priority="348" stopIfTrue="1" operator="lessThan">
      <formula>$H$18</formula>
    </cfRule>
  </conditionalFormatting>
  <conditionalFormatting sqref="I19">
    <cfRule type="cellIs" dxfId="363" priority="349" stopIfTrue="1" operator="equal">
      <formula>$H$19</formula>
    </cfRule>
    <cfRule type="cellIs" dxfId="362" priority="350" stopIfTrue="1" operator="lessThan">
      <formula>$H$19</formula>
    </cfRule>
  </conditionalFormatting>
  <conditionalFormatting sqref="I20">
    <cfRule type="cellIs" dxfId="361" priority="351" stopIfTrue="1" operator="equal">
      <formula>$H$20</formula>
    </cfRule>
    <cfRule type="cellIs" dxfId="360" priority="352" stopIfTrue="1" operator="lessThan">
      <formula>$H$20</formula>
    </cfRule>
  </conditionalFormatting>
  <conditionalFormatting sqref="I21">
    <cfRule type="cellIs" dxfId="359" priority="353" stopIfTrue="1" operator="equal">
      <formula>$H$21</formula>
    </cfRule>
    <cfRule type="cellIs" dxfId="358" priority="354" stopIfTrue="1" operator="lessThan">
      <formula>$H$21</formula>
    </cfRule>
  </conditionalFormatting>
  <conditionalFormatting sqref="I22">
    <cfRule type="cellIs" dxfId="357" priority="355" stopIfTrue="1" operator="equal">
      <formula>$H$22</formula>
    </cfRule>
    <cfRule type="cellIs" dxfId="356" priority="356" stopIfTrue="1" operator="lessThan">
      <formula>$H$22</formula>
    </cfRule>
  </conditionalFormatting>
  <conditionalFormatting sqref="I23">
    <cfRule type="cellIs" dxfId="355" priority="357" stopIfTrue="1" operator="equal">
      <formula>$H$23</formula>
    </cfRule>
    <cfRule type="cellIs" dxfId="354" priority="358" stopIfTrue="1" operator="lessThan">
      <formula>$H$23</formula>
    </cfRule>
  </conditionalFormatting>
  <conditionalFormatting sqref="I24">
    <cfRule type="cellIs" dxfId="353" priority="359" stopIfTrue="1" operator="equal">
      <formula>$H$24</formula>
    </cfRule>
    <cfRule type="cellIs" dxfId="352" priority="360" stopIfTrue="1" operator="lessThan">
      <formula>$H$24</formula>
    </cfRule>
  </conditionalFormatting>
  <conditionalFormatting sqref="I25">
    <cfRule type="cellIs" dxfId="351" priority="361" stopIfTrue="1" operator="equal">
      <formula>$H$25</formula>
    </cfRule>
    <cfRule type="cellIs" dxfId="350" priority="362" stopIfTrue="1" operator="lessThan">
      <formula>$H$25</formula>
    </cfRule>
  </conditionalFormatting>
  <conditionalFormatting sqref="I26">
    <cfRule type="cellIs" dxfId="349" priority="363" stopIfTrue="1" operator="equal">
      <formula>$H$26</formula>
    </cfRule>
    <cfRule type="cellIs" dxfId="348" priority="364" stopIfTrue="1" operator="lessThan">
      <formula>$H$26</formula>
    </cfRule>
  </conditionalFormatting>
  <conditionalFormatting sqref="I27">
    <cfRule type="cellIs" dxfId="347" priority="365" stopIfTrue="1" operator="equal">
      <formula>$H$27</formula>
    </cfRule>
    <cfRule type="cellIs" dxfId="346" priority="366" stopIfTrue="1" operator="lessThan">
      <formula>$H$27</formula>
    </cfRule>
  </conditionalFormatting>
  <conditionalFormatting sqref="I28">
    <cfRule type="cellIs" dxfId="345" priority="368" stopIfTrue="1" operator="equal">
      <formula>$H$28</formula>
    </cfRule>
    <cfRule type="cellIs" dxfId="344" priority="369" stopIfTrue="1" operator="lessThan">
      <formula>$H$28</formula>
    </cfRule>
  </conditionalFormatting>
  <conditionalFormatting sqref="I29">
    <cfRule type="cellIs" dxfId="343" priority="370" stopIfTrue="1" operator="equal">
      <formula>$H$29</formula>
    </cfRule>
    <cfRule type="cellIs" dxfId="342" priority="371" stopIfTrue="1" operator="lessThan">
      <formula>$H$29</formula>
    </cfRule>
  </conditionalFormatting>
  <conditionalFormatting sqref="J4">
    <cfRule type="cellIs" dxfId="341" priority="73" stopIfTrue="1" operator="lessThan">
      <formula>$I$4</formula>
    </cfRule>
    <cfRule type="cellIs" dxfId="340" priority="74" stopIfTrue="1" operator="equal">
      <formula>$I$4</formula>
    </cfRule>
  </conditionalFormatting>
  <conditionalFormatting sqref="J5">
    <cfRule type="cellIs" dxfId="339" priority="60" stopIfTrue="1" operator="equal">
      <formula>$I$5</formula>
    </cfRule>
    <cfRule type="cellIs" dxfId="338" priority="61" stopIfTrue="1" operator="lessThan">
      <formula>$I$5</formula>
    </cfRule>
  </conditionalFormatting>
  <conditionalFormatting sqref="J6">
    <cfRule type="cellIs" dxfId="337" priority="87" stopIfTrue="1" operator="equal">
      <formula>$I$6</formula>
    </cfRule>
    <cfRule type="cellIs" dxfId="336" priority="88" stopIfTrue="1" operator="lessThan">
      <formula>$I$6</formula>
    </cfRule>
  </conditionalFormatting>
  <conditionalFormatting sqref="J7">
    <cfRule type="cellIs" dxfId="335" priority="99" stopIfTrue="1" operator="equal">
      <formula>$I$7</formula>
    </cfRule>
    <cfRule type="cellIs" dxfId="334" priority="100" stopIfTrue="1" operator="lessThan">
      <formula>$I$7</formula>
    </cfRule>
  </conditionalFormatting>
  <conditionalFormatting sqref="J8">
    <cfRule type="cellIs" dxfId="333" priority="113" stopIfTrue="1" operator="equal">
      <formula>$I$8</formula>
    </cfRule>
    <cfRule type="cellIs" dxfId="332" priority="114" stopIfTrue="1" operator="lessThan">
      <formula>$I$8</formula>
    </cfRule>
  </conditionalFormatting>
  <conditionalFormatting sqref="J9">
    <cfRule type="cellIs" dxfId="331" priority="127" stopIfTrue="1" operator="equal">
      <formula>$I$9</formula>
    </cfRule>
    <cfRule type="cellIs" dxfId="330" priority="128" stopIfTrue="1" operator="lessThan">
      <formula>$I$9</formula>
    </cfRule>
  </conditionalFormatting>
  <conditionalFormatting sqref="J10">
    <cfRule type="cellIs" dxfId="329" priority="141" stopIfTrue="1" operator="equal">
      <formula>$I$10</formula>
    </cfRule>
    <cfRule type="cellIs" dxfId="328" priority="142" stopIfTrue="1" operator="lessThan">
      <formula>$I$10</formula>
    </cfRule>
  </conditionalFormatting>
  <conditionalFormatting sqref="J11">
    <cfRule type="cellIs" dxfId="327" priority="155" stopIfTrue="1" operator="equal">
      <formula>$I$11</formula>
    </cfRule>
    <cfRule type="cellIs" dxfId="326" priority="156" stopIfTrue="1" operator="lessThan">
      <formula>$I$11</formula>
    </cfRule>
  </conditionalFormatting>
  <conditionalFormatting sqref="J12">
    <cfRule type="cellIs" dxfId="325" priority="169" stopIfTrue="1" operator="equal">
      <formula>$I$12</formula>
    </cfRule>
    <cfRule type="cellIs" dxfId="324" priority="170" stopIfTrue="1" operator="lessThan">
      <formula>$I$12</formula>
    </cfRule>
  </conditionalFormatting>
  <conditionalFormatting sqref="J13">
    <cfRule type="cellIs" dxfId="323" priority="372" stopIfTrue="1" operator="equal">
      <formula>$I$13</formula>
    </cfRule>
    <cfRule type="cellIs" dxfId="322" priority="373" stopIfTrue="1" operator="lessThan">
      <formula>$I$13</formula>
    </cfRule>
  </conditionalFormatting>
  <conditionalFormatting sqref="J14">
    <cfRule type="cellIs" dxfId="321" priority="374" stopIfTrue="1" operator="equal">
      <formula>$I$14</formula>
    </cfRule>
    <cfRule type="cellIs" dxfId="320" priority="375" stopIfTrue="1" operator="lessThan">
      <formula>$I$14</formula>
    </cfRule>
  </conditionalFormatting>
  <conditionalFormatting sqref="J15">
    <cfRule type="cellIs" dxfId="319" priority="376" stopIfTrue="1" operator="equal">
      <formula>$I$15</formula>
    </cfRule>
    <cfRule type="cellIs" dxfId="318" priority="377" stopIfTrue="1" operator="lessThan">
      <formula>$I$15</formula>
    </cfRule>
  </conditionalFormatting>
  <conditionalFormatting sqref="J16">
    <cfRule type="cellIs" dxfId="317" priority="378" stopIfTrue="1" operator="equal">
      <formula>$I$16</formula>
    </cfRule>
    <cfRule type="cellIs" dxfId="316" priority="379" stopIfTrue="1" operator="lessThan">
      <formula>$I$16</formula>
    </cfRule>
  </conditionalFormatting>
  <conditionalFormatting sqref="J17">
    <cfRule type="cellIs" dxfId="315" priority="380" stopIfTrue="1" operator="equal">
      <formula>$I$17</formula>
    </cfRule>
    <cfRule type="cellIs" dxfId="314" priority="381" stopIfTrue="1" operator="lessThan">
      <formula>$I$17</formula>
    </cfRule>
  </conditionalFormatting>
  <conditionalFormatting sqref="J18">
    <cfRule type="cellIs" dxfId="313" priority="382" stopIfTrue="1" operator="equal">
      <formula>$I$18</formula>
    </cfRule>
    <cfRule type="cellIs" dxfId="312" priority="383" stopIfTrue="1" operator="lessThan">
      <formula>$I$18</formula>
    </cfRule>
  </conditionalFormatting>
  <conditionalFormatting sqref="J19">
    <cfRule type="cellIs" dxfId="311" priority="384" stopIfTrue="1" operator="equal">
      <formula>$I$19</formula>
    </cfRule>
    <cfRule type="cellIs" dxfId="310" priority="385" stopIfTrue="1" operator="lessThan">
      <formula>$I$19</formula>
    </cfRule>
  </conditionalFormatting>
  <conditionalFormatting sqref="J20">
    <cfRule type="cellIs" dxfId="309" priority="386" stopIfTrue="1" operator="equal">
      <formula>$I$20</formula>
    </cfRule>
    <cfRule type="cellIs" dxfId="308" priority="387" stopIfTrue="1" operator="lessThan">
      <formula>$I$20</formula>
    </cfRule>
  </conditionalFormatting>
  <conditionalFormatting sqref="J21">
    <cfRule type="cellIs" dxfId="307" priority="388" stopIfTrue="1" operator="equal">
      <formula>$I$21</formula>
    </cfRule>
    <cfRule type="cellIs" dxfId="306" priority="389" stopIfTrue="1" operator="lessThan">
      <formula>$I$21</formula>
    </cfRule>
  </conditionalFormatting>
  <conditionalFormatting sqref="J22">
    <cfRule type="cellIs" dxfId="305" priority="390" stopIfTrue="1" operator="equal">
      <formula>$I$22</formula>
    </cfRule>
    <cfRule type="cellIs" dxfId="304" priority="391" stopIfTrue="1" operator="lessThan">
      <formula>$I$22</formula>
    </cfRule>
  </conditionalFormatting>
  <conditionalFormatting sqref="J23">
    <cfRule type="cellIs" dxfId="303" priority="392" stopIfTrue="1" operator="equal">
      <formula>$I$23</formula>
    </cfRule>
    <cfRule type="cellIs" dxfId="302" priority="393" stopIfTrue="1" operator="lessThan">
      <formula>$I$23</formula>
    </cfRule>
  </conditionalFormatting>
  <conditionalFormatting sqref="J24">
    <cfRule type="cellIs" dxfId="301" priority="394" stopIfTrue="1" operator="equal">
      <formula>$I$24</formula>
    </cfRule>
    <cfRule type="cellIs" dxfId="300" priority="395" stopIfTrue="1" operator="lessThan">
      <formula>$I$24</formula>
    </cfRule>
  </conditionalFormatting>
  <conditionalFormatting sqref="J25">
    <cfRule type="cellIs" dxfId="299" priority="396" stopIfTrue="1" operator="equal">
      <formula>$I$25</formula>
    </cfRule>
    <cfRule type="cellIs" dxfId="298" priority="397" stopIfTrue="1" operator="lessThan">
      <formula>$I$25</formula>
    </cfRule>
  </conditionalFormatting>
  <conditionalFormatting sqref="J26">
    <cfRule type="cellIs" dxfId="297" priority="398" stopIfTrue="1" operator="equal">
      <formula>$I$26</formula>
    </cfRule>
    <cfRule type="cellIs" dxfId="296" priority="399" stopIfTrue="1" operator="lessThan">
      <formula>$I$26</formula>
    </cfRule>
  </conditionalFormatting>
  <conditionalFormatting sqref="J27">
    <cfRule type="cellIs" dxfId="295" priority="400" stopIfTrue="1" operator="equal">
      <formula>$I$27</formula>
    </cfRule>
    <cfRule type="cellIs" dxfId="294" priority="401" stopIfTrue="1" operator="lessThan">
      <formula>$I$27</formula>
    </cfRule>
  </conditionalFormatting>
  <conditionalFormatting sqref="J28">
    <cfRule type="cellIs" dxfId="293" priority="402" stopIfTrue="1" operator="equal">
      <formula>$I$28</formula>
    </cfRule>
    <cfRule type="cellIs" dxfId="292" priority="403" stopIfTrue="1" operator="lessThan">
      <formula>$I$28</formula>
    </cfRule>
  </conditionalFormatting>
  <conditionalFormatting sqref="K4">
    <cfRule type="cellIs" dxfId="291" priority="404" stopIfTrue="1" operator="equal">
      <formula>$J$4</formula>
    </cfRule>
    <cfRule type="cellIs" dxfId="290" priority="405" stopIfTrue="1" operator="lessThan">
      <formula>$J$4</formula>
    </cfRule>
  </conditionalFormatting>
  <conditionalFormatting sqref="K5">
    <cfRule type="cellIs" dxfId="289" priority="406" stopIfTrue="1" operator="equal">
      <formula>$J$5</formula>
    </cfRule>
    <cfRule type="cellIs" dxfId="288" priority="407" stopIfTrue="1" operator="lessThan">
      <formula>$J$5</formula>
    </cfRule>
  </conditionalFormatting>
  <conditionalFormatting sqref="K6">
    <cfRule type="cellIs" dxfId="287" priority="408" stopIfTrue="1" operator="equal">
      <formula>$J$6</formula>
    </cfRule>
    <cfRule type="cellIs" dxfId="286" priority="409" stopIfTrue="1" operator="lessThan">
      <formula>$J$6</formula>
    </cfRule>
  </conditionalFormatting>
  <conditionalFormatting sqref="K7">
    <cfRule type="cellIs" dxfId="285" priority="410" stopIfTrue="1" operator="equal">
      <formula>$J$7</formula>
    </cfRule>
    <cfRule type="cellIs" dxfId="284" priority="411" stopIfTrue="1" operator="lessThan">
      <formula>$J$7</formula>
    </cfRule>
  </conditionalFormatting>
  <conditionalFormatting sqref="K8">
    <cfRule type="cellIs" dxfId="283" priority="412" stopIfTrue="1" operator="equal">
      <formula>$J$8</formula>
    </cfRule>
    <cfRule type="cellIs" dxfId="282" priority="413" stopIfTrue="1" operator="lessThan">
      <formula>$J$8</formula>
    </cfRule>
  </conditionalFormatting>
  <conditionalFormatting sqref="K9">
    <cfRule type="cellIs" dxfId="281" priority="414" stopIfTrue="1" operator="equal">
      <formula>$J$9</formula>
    </cfRule>
    <cfRule type="cellIs" dxfId="280" priority="415" stopIfTrue="1" operator="lessThan">
      <formula>$J$9</formula>
    </cfRule>
  </conditionalFormatting>
  <conditionalFormatting sqref="K10">
    <cfRule type="cellIs" dxfId="279" priority="416" stopIfTrue="1" operator="equal">
      <formula>$J$10</formula>
    </cfRule>
    <cfRule type="cellIs" dxfId="278" priority="417" stopIfTrue="1" operator="lessThan">
      <formula>$J$10</formula>
    </cfRule>
  </conditionalFormatting>
  <conditionalFormatting sqref="K11">
    <cfRule type="cellIs" dxfId="277" priority="418" stopIfTrue="1" operator="equal">
      <formula>$J$11</formula>
    </cfRule>
    <cfRule type="cellIs" dxfId="276" priority="419" stopIfTrue="1" operator="lessThan">
      <formula>$J$11</formula>
    </cfRule>
  </conditionalFormatting>
  <conditionalFormatting sqref="K12">
    <cfRule type="cellIs" dxfId="275" priority="420" stopIfTrue="1" operator="equal">
      <formula>$J$12</formula>
    </cfRule>
    <cfRule type="cellIs" dxfId="274" priority="421" stopIfTrue="1" operator="lessThan">
      <formula>$J$12</formula>
    </cfRule>
  </conditionalFormatting>
  <conditionalFormatting sqref="K13">
    <cfRule type="cellIs" dxfId="273" priority="422" stopIfTrue="1" operator="equal">
      <formula>$J$13</formula>
    </cfRule>
    <cfRule type="cellIs" dxfId="272" priority="423" stopIfTrue="1" operator="lessThan">
      <formula>$J$13</formula>
    </cfRule>
  </conditionalFormatting>
  <conditionalFormatting sqref="K14">
    <cfRule type="cellIs" dxfId="271" priority="424" stopIfTrue="1" operator="equal">
      <formula>$J$14</formula>
    </cfRule>
    <cfRule type="cellIs" dxfId="270" priority="425" stopIfTrue="1" operator="lessThan">
      <formula>$J$14</formula>
    </cfRule>
  </conditionalFormatting>
  <conditionalFormatting sqref="K15">
    <cfRule type="cellIs" dxfId="269" priority="426" stopIfTrue="1" operator="equal">
      <formula>$J$15</formula>
    </cfRule>
    <cfRule type="cellIs" dxfId="268" priority="427" stopIfTrue="1" operator="lessThan">
      <formula>$J$15</formula>
    </cfRule>
  </conditionalFormatting>
  <conditionalFormatting sqref="K16">
    <cfRule type="cellIs" dxfId="267" priority="428" stopIfTrue="1" operator="equal">
      <formula>$J$16</formula>
    </cfRule>
    <cfRule type="cellIs" dxfId="266" priority="429" stopIfTrue="1" operator="lessThan">
      <formula>$J$16</formula>
    </cfRule>
  </conditionalFormatting>
  <conditionalFormatting sqref="K17">
    <cfRule type="cellIs" dxfId="265" priority="430" stopIfTrue="1" operator="equal">
      <formula>$J$17</formula>
    </cfRule>
    <cfRule type="cellIs" dxfId="264" priority="431" stopIfTrue="1" operator="lessThan">
      <formula>$J$17</formula>
    </cfRule>
  </conditionalFormatting>
  <conditionalFormatting sqref="K18">
    <cfRule type="cellIs" dxfId="263" priority="432" stopIfTrue="1" operator="equal">
      <formula>$J$18</formula>
    </cfRule>
    <cfRule type="cellIs" dxfId="262" priority="433" stopIfTrue="1" operator="lessThan">
      <formula>$J$18</formula>
    </cfRule>
  </conditionalFormatting>
  <conditionalFormatting sqref="K19">
    <cfRule type="cellIs" dxfId="261" priority="434" stopIfTrue="1" operator="equal">
      <formula>$J$19</formula>
    </cfRule>
    <cfRule type="cellIs" dxfId="260" priority="435" stopIfTrue="1" operator="lessThan">
      <formula>$J$19</formula>
    </cfRule>
  </conditionalFormatting>
  <conditionalFormatting sqref="K20">
    <cfRule type="cellIs" dxfId="259" priority="436" stopIfTrue="1" operator="equal">
      <formula>$J$20</formula>
    </cfRule>
    <cfRule type="cellIs" dxfId="258" priority="437" stopIfTrue="1" operator="lessThan">
      <formula>$J$20</formula>
    </cfRule>
  </conditionalFormatting>
  <conditionalFormatting sqref="K21">
    <cfRule type="cellIs" dxfId="257" priority="438" stopIfTrue="1" operator="equal">
      <formula>$J$21</formula>
    </cfRule>
    <cfRule type="cellIs" dxfId="256" priority="439" stopIfTrue="1" operator="lessThan">
      <formula>$J$21</formula>
    </cfRule>
  </conditionalFormatting>
  <conditionalFormatting sqref="K22">
    <cfRule type="cellIs" dxfId="255" priority="440" stopIfTrue="1" operator="equal">
      <formula>$J$22</formula>
    </cfRule>
    <cfRule type="cellIs" dxfId="254" priority="441" stopIfTrue="1" operator="lessThan">
      <formula>$J$22</formula>
    </cfRule>
  </conditionalFormatting>
  <conditionalFormatting sqref="K23">
    <cfRule type="cellIs" dxfId="253" priority="442" stopIfTrue="1" operator="equal">
      <formula>$J$23</formula>
    </cfRule>
    <cfRule type="cellIs" dxfId="252" priority="443" stopIfTrue="1" operator="lessThan">
      <formula>$J$23</formula>
    </cfRule>
  </conditionalFormatting>
  <conditionalFormatting sqref="K24">
    <cfRule type="cellIs" dxfId="251" priority="444" stopIfTrue="1" operator="equal">
      <formula>$J$24</formula>
    </cfRule>
    <cfRule type="cellIs" dxfId="250" priority="445" stopIfTrue="1" operator="lessThan">
      <formula>$J$24</formula>
    </cfRule>
  </conditionalFormatting>
  <conditionalFormatting sqref="K25">
    <cfRule type="cellIs" dxfId="249" priority="446" stopIfTrue="1" operator="equal">
      <formula>$J$25</formula>
    </cfRule>
    <cfRule type="cellIs" dxfId="248" priority="447" stopIfTrue="1" operator="lessThan">
      <formula>$J$25</formula>
    </cfRule>
  </conditionalFormatting>
  <conditionalFormatting sqref="K26">
    <cfRule type="cellIs" dxfId="247" priority="448" stopIfTrue="1" operator="equal">
      <formula>$J$26</formula>
    </cfRule>
    <cfRule type="cellIs" dxfId="246" priority="449" stopIfTrue="1" operator="lessThan">
      <formula>$J$26</formula>
    </cfRule>
  </conditionalFormatting>
  <conditionalFormatting sqref="K27">
    <cfRule type="cellIs" dxfId="245" priority="450" stopIfTrue="1" operator="equal">
      <formula>$J$27</formula>
    </cfRule>
    <cfRule type="cellIs" dxfId="244" priority="451" stopIfTrue="1" operator="lessThan">
      <formula>$J$27</formula>
    </cfRule>
  </conditionalFormatting>
  <conditionalFormatting sqref="K28">
    <cfRule type="cellIs" dxfId="243" priority="452" stopIfTrue="1" operator="lessThan">
      <formula>$J$28</formula>
    </cfRule>
    <cfRule type="cellIs" dxfId="242" priority="453" stopIfTrue="1" operator="equal">
      <formula>$J$28</formula>
    </cfRule>
  </conditionalFormatting>
  <conditionalFormatting sqref="L4">
    <cfRule type="cellIs" dxfId="241" priority="454" stopIfTrue="1" operator="equal">
      <formula>$K$4</formula>
    </cfRule>
    <cfRule type="cellIs" dxfId="240" priority="455" stopIfTrue="1" operator="lessThan">
      <formula>$K$4</formula>
    </cfRule>
  </conditionalFormatting>
  <conditionalFormatting sqref="L5">
    <cfRule type="cellIs" dxfId="239" priority="456" stopIfTrue="1" operator="equal">
      <formula>$K$5</formula>
    </cfRule>
    <cfRule type="cellIs" dxfId="238" priority="457" stopIfTrue="1" operator="lessThan">
      <formula>$K$5</formula>
    </cfRule>
  </conditionalFormatting>
  <conditionalFormatting sqref="L6">
    <cfRule type="cellIs" dxfId="237" priority="458" stopIfTrue="1" operator="equal">
      <formula>$K$6</formula>
    </cfRule>
    <cfRule type="cellIs" dxfId="236" priority="459" stopIfTrue="1" operator="lessThan">
      <formula>$K$6</formula>
    </cfRule>
  </conditionalFormatting>
  <conditionalFormatting sqref="L7">
    <cfRule type="cellIs" dxfId="235" priority="460" stopIfTrue="1" operator="equal">
      <formula>$K$7</formula>
    </cfRule>
    <cfRule type="cellIs" dxfId="234" priority="461" stopIfTrue="1" operator="lessThan">
      <formula>$K$7</formula>
    </cfRule>
  </conditionalFormatting>
  <conditionalFormatting sqref="L8">
    <cfRule type="cellIs" dxfId="233" priority="462" stopIfTrue="1" operator="equal">
      <formula>$K$8</formula>
    </cfRule>
    <cfRule type="cellIs" dxfId="232" priority="463" stopIfTrue="1" operator="lessThan">
      <formula>$K$8</formula>
    </cfRule>
  </conditionalFormatting>
  <conditionalFormatting sqref="L9">
    <cfRule type="cellIs" dxfId="231" priority="464" stopIfTrue="1" operator="equal">
      <formula>$K$9</formula>
    </cfRule>
    <cfRule type="cellIs" dxfId="230" priority="465" stopIfTrue="1" operator="lessThan">
      <formula>$K$9</formula>
    </cfRule>
  </conditionalFormatting>
  <conditionalFormatting sqref="L10">
    <cfRule type="cellIs" dxfId="229" priority="466" stopIfTrue="1" operator="equal">
      <formula>$K$10</formula>
    </cfRule>
    <cfRule type="cellIs" dxfId="228" priority="467" stopIfTrue="1" operator="lessThan">
      <formula>$K$10</formula>
    </cfRule>
  </conditionalFormatting>
  <conditionalFormatting sqref="L11">
    <cfRule type="cellIs" dxfId="227" priority="488" stopIfTrue="1" operator="equal">
      <formula>$K$11</formula>
    </cfRule>
    <cfRule type="cellIs" dxfId="226" priority="489" stopIfTrue="1" operator="lessThan">
      <formula>$K$11</formula>
    </cfRule>
  </conditionalFormatting>
  <conditionalFormatting sqref="L12">
    <cfRule type="cellIs" dxfId="225" priority="468" stopIfTrue="1" operator="equal">
      <formula>$K$12</formula>
    </cfRule>
    <cfRule type="cellIs" dxfId="224" priority="469" stopIfTrue="1" operator="lessThan">
      <formula>$K$12</formula>
    </cfRule>
  </conditionalFormatting>
  <conditionalFormatting sqref="L13">
    <cfRule type="cellIs" dxfId="223" priority="470" stopIfTrue="1" operator="equal">
      <formula>$K$13</formula>
    </cfRule>
    <cfRule type="cellIs" dxfId="222" priority="471" stopIfTrue="1" operator="lessThan">
      <formula>$K$13</formula>
    </cfRule>
  </conditionalFormatting>
  <conditionalFormatting sqref="L14">
    <cfRule type="cellIs" dxfId="221" priority="472" stopIfTrue="1" operator="equal">
      <formula>$K$14</formula>
    </cfRule>
    <cfRule type="cellIs" dxfId="220" priority="473" stopIfTrue="1" operator="lessThan">
      <formula>$K$14</formula>
    </cfRule>
  </conditionalFormatting>
  <conditionalFormatting sqref="L15">
    <cfRule type="cellIs" dxfId="219" priority="474" stopIfTrue="1" operator="equal">
      <formula>$K$15</formula>
    </cfRule>
    <cfRule type="cellIs" dxfId="218" priority="475" stopIfTrue="1" operator="lessThan">
      <formula>$K$15</formula>
    </cfRule>
  </conditionalFormatting>
  <conditionalFormatting sqref="L16">
    <cfRule type="cellIs" dxfId="217" priority="476" stopIfTrue="1" operator="equal">
      <formula>$K$16</formula>
    </cfRule>
    <cfRule type="cellIs" dxfId="216" priority="477" stopIfTrue="1" operator="lessThan">
      <formula>$K$16</formula>
    </cfRule>
  </conditionalFormatting>
  <conditionalFormatting sqref="L17">
    <cfRule type="cellIs" dxfId="215" priority="478" stopIfTrue="1" operator="equal">
      <formula>$K$17</formula>
    </cfRule>
    <cfRule type="cellIs" dxfId="214" priority="479" stopIfTrue="1" operator="lessThan">
      <formula>$K$17</formula>
    </cfRule>
  </conditionalFormatting>
  <conditionalFormatting sqref="L18">
    <cfRule type="cellIs" dxfId="213" priority="480" stopIfTrue="1" operator="equal">
      <formula>$K$18</formula>
    </cfRule>
    <cfRule type="cellIs" dxfId="212" priority="481" stopIfTrue="1" operator="lessThan">
      <formula>$K$18</formula>
    </cfRule>
  </conditionalFormatting>
  <conditionalFormatting sqref="L19">
    <cfRule type="cellIs" dxfId="211" priority="482" stopIfTrue="1" operator="equal">
      <formula>$K$19</formula>
    </cfRule>
    <cfRule type="cellIs" dxfId="210" priority="483" stopIfTrue="1" operator="lessThan">
      <formula>$K$19</formula>
    </cfRule>
  </conditionalFormatting>
  <conditionalFormatting sqref="L20">
    <cfRule type="cellIs" dxfId="209" priority="484" stopIfTrue="1" operator="equal">
      <formula>$K$20</formula>
    </cfRule>
    <cfRule type="cellIs" dxfId="208" priority="485" stopIfTrue="1" operator="lessThan">
      <formula>$K$20</formula>
    </cfRule>
  </conditionalFormatting>
  <conditionalFormatting sqref="L21">
    <cfRule type="cellIs" dxfId="207" priority="486" stopIfTrue="1" operator="equal">
      <formula>$K$21</formula>
    </cfRule>
    <cfRule type="cellIs" dxfId="206" priority="487" stopIfTrue="1" operator="lessThan">
      <formula>$K$21</formula>
    </cfRule>
  </conditionalFormatting>
  <conditionalFormatting sqref="L22">
    <cfRule type="cellIs" dxfId="205" priority="490" stopIfTrue="1" operator="equal">
      <formula>$K$22</formula>
    </cfRule>
    <cfRule type="cellIs" dxfId="204" priority="491" stopIfTrue="1" operator="lessThan">
      <formula>$K$22</formula>
    </cfRule>
  </conditionalFormatting>
  <conditionalFormatting sqref="L23">
    <cfRule type="cellIs" dxfId="203" priority="492" stopIfTrue="1" operator="equal">
      <formula>$K$23</formula>
    </cfRule>
    <cfRule type="cellIs" dxfId="202" priority="493" stopIfTrue="1" operator="lessThan">
      <formula>$K$23</formula>
    </cfRule>
  </conditionalFormatting>
  <conditionalFormatting sqref="L24">
    <cfRule type="cellIs" dxfId="201" priority="494" stopIfTrue="1" operator="equal">
      <formula>$K$24</formula>
    </cfRule>
    <cfRule type="cellIs" dxfId="200" priority="495" stopIfTrue="1" operator="lessThan">
      <formula>$K$24</formula>
    </cfRule>
  </conditionalFormatting>
  <conditionalFormatting sqref="L25">
    <cfRule type="cellIs" dxfId="199" priority="496" stopIfTrue="1" operator="equal">
      <formula>$K$25</formula>
    </cfRule>
    <cfRule type="cellIs" dxfId="198" priority="497" stopIfTrue="1" operator="lessThan">
      <formula>$K$25</formula>
    </cfRule>
  </conditionalFormatting>
  <conditionalFormatting sqref="L26">
    <cfRule type="cellIs" dxfId="197" priority="498" stopIfTrue="1" operator="equal">
      <formula>$K$26</formula>
    </cfRule>
    <cfRule type="cellIs" dxfId="196" priority="499" stopIfTrue="1" operator="lessThan">
      <formula>$K$26</formula>
    </cfRule>
  </conditionalFormatting>
  <conditionalFormatting sqref="L27">
    <cfRule type="cellIs" dxfId="195" priority="500" stopIfTrue="1" operator="equal">
      <formula>$K$27</formula>
    </cfRule>
    <cfRule type="cellIs" dxfId="194" priority="501" stopIfTrue="1" operator="lessThan">
      <formula>$K$27</formula>
    </cfRule>
  </conditionalFormatting>
  <conditionalFormatting sqref="L28">
    <cfRule type="cellIs" dxfId="193" priority="502" stopIfTrue="1" operator="equal">
      <formula>$K$28</formula>
    </cfRule>
    <cfRule type="cellIs" dxfId="192" priority="503" stopIfTrue="1" operator="lessThan">
      <formula>$K$28</formula>
    </cfRule>
  </conditionalFormatting>
  <conditionalFormatting sqref="M4">
    <cfRule type="cellIs" dxfId="191" priority="504" stopIfTrue="1" operator="lessThan">
      <formula>$L$4</formula>
    </cfRule>
    <cfRule type="cellIs" dxfId="190" priority="505" stopIfTrue="1" operator="equal">
      <formula>$L$4</formula>
    </cfRule>
  </conditionalFormatting>
  <conditionalFormatting sqref="M5">
    <cfRule type="cellIs" dxfId="189" priority="506" stopIfTrue="1" operator="equal">
      <formula>$L$5</formula>
    </cfRule>
    <cfRule type="cellIs" dxfId="188" priority="507" stopIfTrue="1" operator="lessThan">
      <formula>$L$5</formula>
    </cfRule>
  </conditionalFormatting>
  <conditionalFormatting sqref="M6">
    <cfRule type="cellIs" dxfId="187" priority="508" stopIfTrue="1" operator="equal">
      <formula>$L$6</formula>
    </cfRule>
    <cfRule type="cellIs" dxfId="186" priority="509" stopIfTrue="1" operator="lessThan">
      <formula>$L$6</formula>
    </cfRule>
  </conditionalFormatting>
  <conditionalFormatting sqref="M7">
    <cfRule type="cellIs" dxfId="185" priority="510" stopIfTrue="1" operator="equal">
      <formula>$L$7</formula>
    </cfRule>
    <cfRule type="cellIs" dxfId="184" priority="511" stopIfTrue="1" operator="lessThan">
      <formula>$L$7</formula>
    </cfRule>
  </conditionalFormatting>
  <conditionalFormatting sqref="M8">
    <cfRule type="cellIs" dxfId="183" priority="512" stopIfTrue="1" operator="equal">
      <formula>$L$8</formula>
    </cfRule>
    <cfRule type="cellIs" dxfId="182" priority="513" stopIfTrue="1" operator="lessThan">
      <formula>$L$8</formula>
    </cfRule>
  </conditionalFormatting>
  <conditionalFormatting sqref="M9">
    <cfRule type="cellIs" dxfId="181" priority="514" stopIfTrue="1" operator="equal">
      <formula>$L$9</formula>
    </cfRule>
    <cfRule type="cellIs" dxfId="180" priority="515" stopIfTrue="1" operator="lessThan">
      <formula>$L$9</formula>
    </cfRule>
  </conditionalFormatting>
  <conditionalFormatting sqref="M10">
    <cfRule type="cellIs" dxfId="179" priority="516" stopIfTrue="1" operator="equal">
      <formula>$L$10</formula>
    </cfRule>
    <cfRule type="cellIs" dxfId="178" priority="517" stopIfTrue="1" operator="lessThan">
      <formula>$L$10</formula>
    </cfRule>
  </conditionalFormatting>
  <conditionalFormatting sqref="M11">
    <cfRule type="cellIs" dxfId="177" priority="518" stopIfTrue="1" operator="equal">
      <formula>$L$11</formula>
    </cfRule>
    <cfRule type="cellIs" dxfId="176" priority="519" stopIfTrue="1" operator="lessThan">
      <formula>$L$11</formula>
    </cfRule>
  </conditionalFormatting>
  <conditionalFormatting sqref="M12">
    <cfRule type="cellIs" dxfId="175" priority="520" stopIfTrue="1" operator="equal">
      <formula>$L$12</formula>
    </cfRule>
    <cfRule type="cellIs" dxfId="174" priority="521" stopIfTrue="1" operator="lessThan">
      <formula>$L$12</formula>
    </cfRule>
  </conditionalFormatting>
  <conditionalFormatting sqref="M13">
    <cfRule type="cellIs" dxfId="173" priority="522" stopIfTrue="1" operator="equal">
      <formula>$L$13</formula>
    </cfRule>
    <cfRule type="cellIs" dxfId="172" priority="523" stopIfTrue="1" operator="lessThan">
      <formula>$L$13</formula>
    </cfRule>
  </conditionalFormatting>
  <conditionalFormatting sqref="M14">
    <cfRule type="cellIs" dxfId="171" priority="524" stopIfTrue="1" operator="equal">
      <formula>$L$14</formula>
    </cfRule>
    <cfRule type="cellIs" dxfId="170" priority="525" stopIfTrue="1" operator="lessThan">
      <formula>$L$14</formula>
    </cfRule>
  </conditionalFormatting>
  <conditionalFormatting sqref="M15">
    <cfRule type="cellIs" dxfId="169" priority="526" stopIfTrue="1" operator="equal">
      <formula>$L$15</formula>
    </cfRule>
    <cfRule type="cellIs" dxfId="168" priority="527" stopIfTrue="1" operator="lessThan">
      <formula>$L$15</formula>
    </cfRule>
  </conditionalFormatting>
  <conditionalFormatting sqref="M16">
    <cfRule type="cellIs" dxfId="167" priority="528" stopIfTrue="1" operator="equal">
      <formula>$L$16</formula>
    </cfRule>
    <cfRule type="cellIs" dxfId="166" priority="529" stopIfTrue="1" operator="lessThan">
      <formula>$L$16</formula>
    </cfRule>
  </conditionalFormatting>
  <conditionalFormatting sqref="M17">
    <cfRule type="cellIs" dxfId="165" priority="530" stopIfTrue="1" operator="equal">
      <formula>$L$17</formula>
    </cfRule>
    <cfRule type="cellIs" dxfId="164" priority="531" stopIfTrue="1" operator="lessThan">
      <formula>$L$17</formula>
    </cfRule>
  </conditionalFormatting>
  <conditionalFormatting sqref="M18">
    <cfRule type="cellIs" dxfId="163" priority="532" stopIfTrue="1" operator="equal">
      <formula>$L$18</formula>
    </cfRule>
    <cfRule type="cellIs" dxfId="162" priority="533" stopIfTrue="1" operator="lessThan">
      <formula>$L$18</formula>
    </cfRule>
  </conditionalFormatting>
  <conditionalFormatting sqref="M19">
    <cfRule type="cellIs" dxfId="161" priority="534" stopIfTrue="1" operator="equal">
      <formula>$L$19</formula>
    </cfRule>
    <cfRule type="cellIs" dxfId="160" priority="535" stopIfTrue="1" operator="lessThan">
      <formula>$L$19</formula>
    </cfRule>
  </conditionalFormatting>
  <conditionalFormatting sqref="M20">
    <cfRule type="cellIs" dxfId="159" priority="536" stopIfTrue="1" operator="equal">
      <formula>$L$20</formula>
    </cfRule>
    <cfRule type="cellIs" dxfId="158" priority="537" stopIfTrue="1" operator="lessThan">
      <formula>$L$20</formula>
    </cfRule>
  </conditionalFormatting>
  <conditionalFormatting sqref="M21">
    <cfRule type="cellIs" dxfId="157" priority="538" stopIfTrue="1" operator="equal">
      <formula>$L$21</formula>
    </cfRule>
    <cfRule type="cellIs" dxfId="156" priority="539" stopIfTrue="1" operator="lessThan">
      <formula>$L$21</formula>
    </cfRule>
  </conditionalFormatting>
  <conditionalFormatting sqref="M22">
    <cfRule type="cellIs" dxfId="155" priority="540" stopIfTrue="1" operator="equal">
      <formula>$L$22</formula>
    </cfRule>
    <cfRule type="cellIs" dxfId="154" priority="541" stopIfTrue="1" operator="lessThan">
      <formula>$L$22</formula>
    </cfRule>
  </conditionalFormatting>
  <conditionalFormatting sqref="M23">
    <cfRule type="cellIs" dxfId="153" priority="542" stopIfTrue="1" operator="equal">
      <formula>$L$23</formula>
    </cfRule>
    <cfRule type="cellIs" dxfId="152" priority="543" stopIfTrue="1" operator="lessThan">
      <formula>$L$23</formula>
    </cfRule>
  </conditionalFormatting>
  <conditionalFormatting sqref="M24">
    <cfRule type="cellIs" dxfId="151" priority="544" stopIfTrue="1" operator="equal">
      <formula>$L$24</formula>
    </cfRule>
    <cfRule type="cellIs" dxfId="150" priority="545" stopIfTrue="1" operator="lessThan">
      <formula>$L$24</formula>
    </cfRule>
  </conditionalFormatting>
  <conditionalFormatting sqref="M25">
    <cfRule type="cellIs" dxfId="149" priority="546" stopIfTrue="1" operator="equal">
      <formula>$L$25</formula>
    </cfRule>
    <cfRule type="cellIs" dxfId="148" priority="547" stopIfTrue="1" operator="lessThan">
      <formula>$L$25</formula>
    </cfRule>
  </conditionalFormatting>
  <conditionalFormatting sqref="M26">
    <cfRule type="cellIs" dxfId="147" priority="548" stopIfTrue="1" operator="equal">
      <formula>$L$26</formula>
    </cfRule>
    <cfRule type="cellIs" dxfId="146" priority="549" stopIfTrue="1" operator="lessThan">
      <formula>$L$26</formula>
    </cfRule>
  </conditionalFormatting>
  <conditionalFormatting sqref="M27">
    <cfRule type="cellIs" dxfId="145" priority="550" stopIfTrue="1" operator="equal">
      <formula>$L$27</formula>
    </cfRule>
    <cfRule type="cellIs" dxfId="144" priority="551" stopIfTrue="1" operator="lessThan">
      <formula>$L$27</formula>
    </cfRule>
  </conditionalFormatting>
  <conditionalFormatting sqref="M28">
    <cfRule type="cellIs" dxfId="143" priority="552" stopIfTrue="1" operator="equal">
      <formula>$L$28</formula>
    </cfRule>
    <cfRule type="cellIs" dxfId="142" priority="553" stopIfTrue="1" operator="lessThan">
      <formula>$L$28</formula>
    </cfRule>
  </conditionalFormatting>
  <conditionalFormatting sqref="N4">
    <cfRule type="cellIs" dxfId="141" priority="554" stopIfTrue="1" operator="equal">
      <formula>$M$4</formula>
    </cfRule>
    <cfRule type="cellIs" dxfId="140" priority="555" stopIfTrue="1" operator="lessThan">
      <formula>$M$4</formula>
    </cfRule>
  </conditionalFormatting>
  <conditionalFormatting sqref="N5">
    <cfRule type="cellIs" dxfId="139" priority="556" stopIfTrue="1" operator="equal">
      <formula>$M$5</formula>
    </cfRule>
    <cfRule type="cellIs" dxfId="138" priority="557" stopIfTrue="1" operator="lessThan">
      <formula>$M$5</formula>
    </cfRule>
  </conditionalFormatting>
  <conditionalFormatting sqref="N6">
    <cfRule type="cellIs" dxfId="137" priority="558" stopIfTrue="1" operator="equal">
      <formula>$M$6</formula>
    </cfRule>
    <cfRule type="cellIs" dxfId="136" priority="559" stopIfTrue="1" operator="lessThan">
      <formula>$M$6</formula>
    </cfRule>
  </conditionalFormatting>
  <conditionalFormatting sqref="N7">
    <cfRule type="cellIs" dxfId="135" priority="560" stopIfTrue="1" operator="equal">
      <formula>$M$7</formula>
    </cfRule>
    <cfRule type="cellIs" dxfId="134" priority="561" stopIfTrue="1" operator="lessThan">
      <formula>$M$7</formula>
    </cfRule>
  </conditionalFormatting>
  <conditionalFormatting sqref="N8">
    <cfRule type="cellIs" dxfId="133" priority="562" stopIfTrue="1" operator="equal">
      <formula>$M$8</formula>
    </cfRule>
    <cfRule type="cellIs" dxfId="132" priority="563" stopIfTrue="1" operator="lessThan">
      <formula>$M$8</formula>
    </cfRule>
  </conditionalFormatting>
  <conditionalFormatting sqref="N9">
    <cfRule type="cellIs" dxfId="131" priority="564" stopIfTrue="1" operator="equal">
      <formula>$M$9</formula>
    </cfRule>
    <cfRule type="cellIs" dxfId="130" priority="565" stopIfTrue="1" operator="lessThan">
      <formula>$M$9</formula>
    </cfRule>
  </conditionalFormatting>
  <conditionalFormatting sqref="N10">
    <cfRule type="cellIs" dxfId="129" priority="566" stopIfTrue="1" operator="equal">
      <formula>$M$10</formula>
    </cfRule>
    <cfRule type="cellIs" dxfId="128" priority="567" stopIfTrue="1" operator="lessThan">
      <formula>$M$10</formula>
    </cfRule>
  </conditionalFormatting>
  <conditionalFormatting sqref="N11">
    <cfRule type="cellIs" dxfId="127" priority="568" stopIfTrue="1" operator="equal">
      <formula>$M$11</formula>
    </cfRule>
    <cfRule type="cellIs" dxfId="126" priority="569" stopIfTrue="1" operator="lessThan">
      <formula>$M$11</formula>
    </cfRule>
  </conditionalFormatting>
  <conditionalFormatting sqref="N12">
    <cfRule type="cellIs" dxfId="125" priority="570" stopIfTrue="1" operator="equal">
      <formula>$M$12</formula>
    </cfRule>
    <cfRule type="cellIs" dxfId="124" priority="571" stopIfTrue="1" operator="lessThan">
      <formula>$M$12</formula>
    </cfRule>
  </conditionalFormatting>
  <conditionalFormatting sqref="N13">
    <cfRule type="cellIs" dxfId="123" priority="572" stopIfTrue="1" operator="equal">
      <formula>$M$13</formula>
    </cfRule>
    <cfRule type="cellIs" dxfId="122" priority="573" stopIfTrue="1" operator="lessThan">
      <formula>$M$13</formula>
    </cfRule>
  </conditionalFormatting>
  <conditionalFormatting sqref="N14">
    <cfRule type="cellIs" dxfId="121" priority="574" stopIfTrue="1" operator="equal">
      <formula>$M$14</formula>
    </cfRule>
    <cfRule type="cellIs" dxfId="120" priority="575" stopIfTrue="1" operator="lessThan">
      <formula>$M$14</formula>
    </cfRule>
  </conditionalFormatting>
  <conditionalFormatting sqref="N15">
    <cfRule type="cellIs" dxfId="119" priority="576" stopIfTrue="1" operator="equal">
      <formula>$M$15</formula>
    </cfRule>
    <cfRule type="cellIs" dxfId="118" priority="577" stopIfTrue="1" operator="lessThan">
      <formula>$M$15</formula>
    </cfRule>
  </conditionalFormatting>
  <conditionalFormatting sqref="N16">
    <cfRule type="cellIs" dxfId="117" priority="578" stopIfTrue="1" operator="equal">
      <formula>$M$16</formula>
    </cfRule>
    <cfRule type="cellIs" dxfId="116" priority="579" stopIfTrue="1" operator="lessThan">
      <formula>$M$16</formula>
    </cfRule>
  </conditionalFormatting>
  <conditionalFormatting sqref="N17">
    <cfRule type="cellIs" dxfId="115" priority="580" stopIfTrue="1" operator="equal">
      <formula>$M$17</formula>
    </cfRule>
    <cfRule type="cellIs" dxfId="114" priority="581" stopIfTrue="1" operator="lessThan">
      <formula>$M$17</formula>
    </cfRule>
  </conditionalFormatting>
  <conditionalFormatting sqref="N18">
    <cfRule type="cellIs" dxfId="113" priority="582" stopIfTrue="1" operator="equal">
      <formula>$M$18</formula>
    </cfRule>
    <cfRule type="cellIs" dxfId="112" priority="583" stopIfTrue="1" operator="lessThan">
      <formula>$M$18</formula>
    </cfRule>
  </conditionalFormatting>
  <conditionalFormatting sqref="N19">
    <cfRule type="cellIs" dxfId="111" priority="584" stopIfTrue="1" operator="equal">
      <formula>$M$19</formula>
    </cfRule>
    <cfRule type="cellIs" dxfId="110" priority="585" stopIfTrue="1" operator="lessThan">
      <formula>$M$19</formula>
    </cfRule>
  </conditionalFormatting>
  <conditionalFormatting sqref="N20">
    <cfRule type="cellIs" dxfId="109" priority="586" stopIfTrue="1" operator="equal">
      <formula>$M$20</formula>
    </cfRule>
    <cfRule type="cellIs" dxfId="108" priority="587" stopIfTrue="1" operator="lessThan">
      <formula>$M$20</formula>
    </cfRule>
  </conditionalFormatting>
  <conditionalFormatting sqref="N21">
    <cfRule type="cellIs" dxfId="107" priority="588" stopIfTrue="1" operator="equal">
      <formula>$M$21</formula>
    </cfRule>
    <cfRule type="cellIs" dxfId="106" priority="589" stopIfTrue="1" operator="lessThan">
      <formula>$M$21</formula>
    </cfRule>
  </conditionalFormatting>
  <conditionalFormatting sqref="N22">
    <cfRule type="cellIs" dxfId="105" priority="590" stopIfTrue="1" operator="equal">
      <formula>$M$22</formula>
    </cfRule>
    <cfRule type="cellIs" dxfId="104" priority="591" stopIfTrue="1" operator="lessThan">
      <formula>$M$22</formula>
    </cfRule>
  </conditionalFormatting>
  <conditionalFormatting sqref="N23">
    <cfRule type="cellIs" dxfId="103" priority="592" stopIfTrue="1" operator="equal">
      <formula>$M$23</formula>
    </cfRule>
    <cfRule type="cellIs" dxfId="102" priority="593" stopIfTrue="1" operator="lessThan">
      <formula>$M$23</formula>
    </cfRule>
  </conditionalFormatting>
  <conditionalFormatting sqref="N24">
    <cfRule type="cellIs" dxfId="101" priority="594" stopIfTrue="1" operator="equal">
      <formula>$M$24</formula>
    </cfRule>
    <cfRule type="cellIs" dxfId="100" priority="595" stopIfTrue="1" operator="lessThan">
      <formula>$M$24</formula>
    </cfRule>
  </conditionalFormatting>
  <conditionalFormatting sqref="N25">
    <cfRule type="cellIs" dxfId="99" priority="596" stopIfTrue="1" operator="equal">
      <formula>$M$25</formula>
    </cfRule>
    <cfRule type="cellIs" dxfId="98" priority="597" stopIfTrue="1" operator="lessThan">
      <formula>$M$25</formula>
    </cfRule>
  </conditionalFormatting>
  <conditionalFormatting sqref="N26">
    <cfRule type="cellIs" dxfId="97" priority="598" stopIfTrue="1" operator="equal">
      <formula>$M$26</formula>
    </cfRule>
    <cfRule type="cellIs" dxfId="96" priority="599" stopIfTrue="1" operator="lessThan">
      <formula>$M$26</formula>
    </cfRule>
  </conditionalFormatting>
  <conditionalFormatting sqref="N27">
    <cfRule type="cellIs" dxfId="95" priority="600" stopIfTrue="1" operator="equal">
      <formula>$M$27</formula>
    </cfRule>
    <cfRule type="cellIs" dxfId="94" priority="601" stopIfTrue="1" operator="lessThan">
      <formula>$M$27</formula>
    </cfRule>
  </conditionalFormatting>
  <conditionalFormatting sqref="N28">
    <cfRule type="cellIs" dxfId="93" priority="602" stopIfTrue="1" operator="equal">
      <formula>$M$28</formula>
    </cfRule>
    <cfRule type="cellIs" dxfId="92" priority="603" stopIfTrue="1" operator="lessThan">
      <formula>$M$28</formula>
    </cfRule>
  </conditionalFormatting>
  <conditionalFormatting sqref="O4">
    <cfRule type="cellIs" dxfId="91" priority="604" stopIfTrue="1" operator="equal">
      <formula>$N$4</formula>
    </cfRule>
    <cfRule type="cellIs" dxfId="90" priority="605" stopIfTrue="1" operator="lessThan">
      <formula>$N$4</formula>
    </cfRule>
  </conditionalFormatting>
  <conditionalFormatting sqref="O5">
    <cfRule type="cellIs" dxfId="89" priority="606" stopIfTrue="1" operator="equal">
      <formula>$N$5</formula>
    </cfRule>
    <cfRule type="cellIs" dxfId="88" priority="607" stopIfTrue="1" operator="lessThan">
      <formula>$N$5</formula>
    </cfRule>
  </conditionalFormatting>
  <conditionalFormatting sqref="O6">
    <cfRule type="cellIs" dxfId="87" priority="608" stopIfTrue="1" operator="equal">
      <formula>$N$6</formula>
    </cfRule>
    <cfRule type="cellIs" dxfId="86" priority="609" stopIfTrue="1" operator="lessThan">
      <formula>$N$6</formula>
    </cfRule>
  </conditionalFormatting>
  <conditionalFormatting sqref="O7">
    <cfRule type="cellIs" dxfId="85" priority="610" stopIfTrue="1" operator="equal">
      <formula>$N$7</formula>
    </cfRule>
    <cfRule type="cellIs" dxfId="84" priority="611" stopIfTrue="1" operator="lessThan">
      <formula>$N$7</formula>
    </cfRule>
  </conditionalFormatting>
  <conditionalFormatting sqref="O8">
    <cfRule type="cellIs" dxfId="83" priority="612" stopIfTrue="1" operator="equal">
      <formula>$N$8</formula>
    </cfRule>
    <cfRule type="cellIs" dxfId="82" priority="613" stopIfTrue="1" operator="lessThan">
      <formula>$N$8</formula>
    </cfRule>
  </conditionalFormatting>
  <conditionalFormatting sqref="O9">
    <cfRule type="cellIs" dxfId="81" priority="614" stopIfTrue="1" operator="equal">
      <formula>$N$9</formula>
    </cfRule>
    <cfRule type="cellIs" dxfId="80" priority="615" stopIfTrue="1" operator="lessThan">
      <formula>$N$9</formula>
    </cfRule>
  </conditionalFormatting>
  <conditionalFormatting sqref="O10">
    <cfRule type="cellIs" dxfId="79" priority="616" stopIfTrue="1" operator="equal">
      <formula>$N$10</formula>
    </cfRule>
    <cfRule type="cellIs" dxfId="78" priority="617" stopIfTrue="1" operator="lessThan">
      <formula>$N$10</formula>
    </cfRule>
  </conditionalFormatting>
  <conditionalFormatting sqref="O11">
    <cfRule type="cellIs" dxfId="77" priority="618" stopIfTrue="1" operator="equal">
      <formula>$N$11</formula>
    </cfRule>
    <cfRule type="cellIs" dxfId="76" priority="619" stopIfTrue="1" operator="lessThan">
      <formula>$N$11</formula>
    </cfRule>
  </conditionalFormatting>
  <conditionalFormatting sqref="O12">
    <cfRule type="cellIs" dxfId="75" priority="620" stopIfTrue="1" operator="equal">
      <formula>$N$12</formula>
    </cfRule>
    <cfRule type="cellIs" dxfId="74" priority="621" stopIfTrue="1" operator="lessThan">
      <formula>$N$12</formula>
    </cfRule>
  </conditionalFormatting>
  <conditionalFormatting sqref="O13">
    <cfRule type="cellIs" dxfId="73" priority="622" stopIfTrue="1" operator="equal">
      <formula>$N$13</formula>
    </cfRule>
    <cfRule type="cellIs" dxfId="72" priority="623" stopIfTrue="1" operator="lessThan">
      <formula>$N$13</formula>
    </cfRule>
  </conditionalFormatting>
  <conditionalFormatting sqref="O14">
    <cfRule type="cellIs" dxfId="71" priority="624" stopIfTrue="1" operator="equal">
      <formula>$N$14</formula>
    </cfRule>
    <cfRule type="cellIs" dxfId="70" priority="625" stopIfTrue="1" operator="lessThan">
      <formula>$N$14</formula>
    </cfRule>
  </conditionalFormatting>
  <conditionalFormatting sqref="O15">
    <cfRule type="cellIs" dxfId="69" priority="626" stopIfTrue="1" operator="equal">
      <formula>$N$15</formula>
    </cfRule>
    <cfRule type="cellIs" dxfId="68" priority="627" stopIfTrue="1" operator="lessThan">
      <formula>$N$15</formula>
    </cfRule>
  </conditionalFormatting>
  <conditionalFormatting sqref="O16">
    <cfRule type="cellIs" dxfId="67" priority="628" stopIfTrue="1" operator="equal">
      <formula>$N$16</formula>
    </cfRule>
    <cfRule type="cellIs" dxfId="66" priority="629" stopIfTrue="1" operator="lessThan">
      <formula>$N$16</formula>
    </cfRule>
  </conditionalFormatting>
  <conditionalFormatting sqref="O17">
    <cfRule type="cellIs" dxfId="65" priority="630" stopIfTrue="1" operator="equal">
      <formula>$N$17</formula>
    </cfRule>
    <cfRule type="cellIs" dxfId="64" priority="631" stopIfTrue="1" operator="lessThan">
      <formula>$N$17</formula>
    </cfRule>
  </conditionalFormatting>
  <conditionalFormatting sqref="O18">
    <cfRule type="cellIs" dxfId="63" priority="632" stopIfTrue="1" operator="equal">
      <formula>$N$18</formula>
    </cfRule>
    <cfRule type="cellIs" dxfId="62" priority="633" stopIfTrue="1" operator="lessThan">
      <formula>$N$18</formula>
    </cfRule>
  </conditionalFormatting>
  <conditionalFormatting sqref="O19">
    <cfRule type="cellIs" dxfId="61" priority="634" stopIfTrue="1" operator="equal">
      <formula>$N$19</formula>
    </cfRule>
    <cfRule type="cellIs" dxfId="60" priority="635" stopIfTrue="1" operator="lessThan">
      <formula>$N$19</formula>
    </cfRule>
  </conditionalFormatting>
  <conditionalFormatting sqref="O20">
    <cfRule type="cellIs" dxfId="59" priority="636" stopIfTrue="1" operator="equal">
      <formula>$N$20</formula>
    </cfRule>
    <cfRule type="cellIs" dxfId="58" priority="637" stopIfTrue="1" operator="lessThan">
      <formula>$N$20</formula>
    </cfRule>
  </conditionalFormatting>
  <conditionalFormatting sqref="O21">
    <cfRule type="cellIs" dxfId="57" priority="638" stopIfTrue="1" operator="equal">
      <formula>$N$21</formula>
    </cfRule>
    <cfRule type="cellIs" dxfId="56" priority="639" stopIfTrue="1" operator="lessThan">
      <formula>$N$21</formula>
    </cfRule>
  </conditionalFormatting>
  <conditionalFormatting sqref="O22">
    <cfRule type="cellIs" dxfId="55" priority="640" stopIfTrue="1" operator="equal">
      <formula>$N$22</formula>
    </cfRule>
    <cfRule type="cellIs" dxfId="54" priority="641" stopIfTrue="1" operator="lessThan">
      <formula>$N$22</formula>
    </cfRule>
  </conditionalFormatting>
  <conditionalFormatting sqref="O23">
    <cfRule type="cellIs" dxfId="53" priority="642" stopIfTrue="1" operator="equal">
      <formula>$N$23</formula>
    </cfRule>
    <cfRule type="cellIs" dxfId="52" priority="643" stopIfTrue="1" operator="lessThan">
      <formula>$N$23</formula>
    </cfRule>
  </conditionalFormatting>
  <conditionalFormatting sqref="O24">
    <cfRule type="cellIs" dxfId="51" priority="644" stopIfTrue="1" operator="equal">
      <formula>$N$24</formula>
    </cfRule>
    <cfRule type="cellIs" dxfId="50" priority="645" stopIfTrue="1" operator="lessThan">
      <formula>$N$24</formula>
    </cfRule>
  </conditionalFormatting>
  <conditionalFormatting sqref="O25">
    <cfRule type="cellIs" dxfId="49" priority="646" stopIfTrue="1" operator="equal">
      <formula>$N$25</formula>
    </cfRule>
    <cfRule type="cellIs" dxfId="48" priority="647" stopIfTrue="1" operator="lessThan">
      <formula>$N$25</formula>
    </cfRule>
  </conditionalFormatting>
  <conditionalFormatting sqref="O26">
    <cfRule type="cellIs" dxfId="47" priority="648" stopIfTrue="1" operator="equal">
      <formula>$N$26</formula>
    </cfRule>
    <cfRule type="cellIs" dxfId="46" priority="649" stopIfTrue="1" operator="lessThan">
      <formula>$N$26</formula>
    </cfRule>
  </conditionalFormatting>
  <conditionalFormatting sqref="O27">
    <cfRule type="cellIs" dxfId="45" priority="650" stopIfTrue="1" operator="equal">
      <formula>$N$27</formula>
    </cfRule>
    <cfRule type="cellIs" dxfId="44" priority="651" stopIfTrue="1" operator="lessThan">
      <formula>$N$27</formula>
    </cfRule>
  </conditionalFormatting>
  <conditionalFormatting sqref="O28">
    <cfRule type="cellIs" dxfId="43" priority="652" stopIfTrue="1" operator="equal">
      <formula>$N$28</formula>
    </cfRule>
    <cfRule type="cellIs" dxfId="42" priority="653" stopIfTrue="1" operator="lessThan">
      <formula>$N$28</formula>
    </cfRule>
  </conditionalFormatting>
  <conditionalFormatting sqref="U4:AF23">
    <cfRule type="cellIs" dxfId="41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27"/>
  <sheetViews>
    <sheetView workbookViewId="0">
      <selection activeCell="M14" sqref="M14"/>
    </sheetView>
  </sheetViews>
  <sheetFormatPr defaultColWidth="9" defaultRowHeight="17.5" x14ac:dyDescent="0.35"/>
  <cols>
    <col min="1" max="1" width="35" style="33" customWidth="1"/>
    <col min="2" max="5" width="11.453125" style="33" customWidth="1"/>
    <col min="6" max="6" width="6.453125" style="33" customWidth="1"/>
    <col min="7" max="10" width="9.453125" style="33" customWidth="1"/>
    <col min="11" max="11" width="4.08984375" style="33" customWidth="1"/>
    <col min="12" max="15" width="8.1796875" style="289" customWidth="1"/>
    <col min="16" max="16" width="4.08984375" style="33" customWidth="1"/>
    <col min="17" max="20" width="8.1796875" style="33" customWidth="1"/>
    <col min="21" max="21" width="4.08984375" style="33" customWidth="1"/>
    <col min="22" max="25" width="8.1796875" style="33" customWidth="1"/>
    <col min="26" max="16384" width="9" style="33"/>
  </cols>
  <sheetData>
    <row r="1" spans="1:25" ht="18" x14ac:dyDescent="0.4">
      <c r="A1" s="34" t="s">
        <v>30</v>
      </c>
      <c r="B1" s="35">
        <v>2025</v>
      </c>
    </row>
    <row r="2" spans="1:25" x14ac:dyDescent="0.35">
      <c r="L2" s="289" t="s">
        <v>434</v>
      </c>
      <c r="Q2" s="259" t="s">
        <v>300</v>
      </c>
      <c r="R2" s="259"/>
      <c r="S2" s="259"/>
      <c r="T2" s="259"/>
      <c r="V2" s="249" t="s">
        <v>295</v>
      </c>
    </row>
    <row r="3" spans="1:25" ht="18" x14ac:dyDescent="0.4">
      <c r="A3" s="123" t="s">
        <v>31</v>
      </c>
      <c r="B3" s="124">
        <v>1850</v>
      </c>
      <c r="C3" s="124">
        <v>1851</v>
      </c>
      <c r="D3" s="124">
        <v>1852</v>
      </c>
      <c r="E3" s="124">
        <v>1853</v>
      </c>
      <c r="Q3" s="259"/>
      <c r="R3" s="259"/>
      <c r="S3" s="259"/>
      <c r="T3" s="259"/>
    </row>
    <row r="4" spans="1:25" x14ac:dyDescent="0.35">
      <c r="A4" s="36" t="s">
        <v>32</v>
      </c>
      <c r="B4" s="36">
        <f>'1850'!D4-'1850'!C4+'1850'!D6-'1850'!C6+'1850'!D8-'1850'!C8+'1850'!D10-'1850'!C10+'1850'!D12-'1850'!C12+'1850'!D14-'1850'!C14+'1850'!D16-'1850'!C16+'1850'!D18-'1850'!C18+'1850'!D20-'1850'!C20+'1850'!D22-'1850'!C22</f>
        <v>67.40100000000001</v>
      </c>
      <c r="C4" s="36">
        <f>'1851'!E4-'1851'!D4+'1851'!E6-'1851'!D6+'1851'!E8-'1851'!D8+'1851'!E10-'1851'!D10+'1851'!E12-'1851'!D12+'1851'!E14-'1851'!D14+'1851'!E16-'1851'!D16+'1851'!E18-'1851'!D18+'1851'!E20-'1851'!D20+'1851'!E22-'1851'!D22+'1851'!E33-'1851'!D33+'1851'!E34-'1851'!D34+'1851'!E35-'1851'!D35+'1851'!E36-'1851'!D36+'1851'!E37-'1851'!D37+'1851'!E40-'1851'!D40+'1851'!E41-'1851'!D41+'1851'!E42-'1851'!D42+'1851'!E43-'1851'!D43+'1851'!E44-'1851'!D44+'1851'!E45-'1851'!D45+'1851'!E46-'1851'!D46+'1851'!E47-'1851'!D47+'1851'!E48-'1851'!D48+'1851'!E49-'1851'!D49</f>
        <v>74.353000000000009</v>
      </c>
      <c r="D4" s="36">
        <f>'1852'!D4-'1852'!C4+'1852'!D6-'1852'!C6+'1852'!D8-'1852'!C8+'1852'!D10-'1852'!C10+'1852'!D12-'1852'!C12+'1852'!D14-'1852'!C14+'1852'!D16-'1852'!C16+'1852'!D18-'1852'!C18+'1852'!D20-'1852'!C20+'1852'!D22-'1852'!C22</f>
        <v>79.760000000000005</v>
      </c>
      <c r="E4" s="36">
        <f>'1853'!D4-'1853'!C4+'1853'!D6-'1853'!C6+'1853'!D8-'1853'!C8+'1853'!D10-'1853'!C10+'1853'!D12-'1853'!C12+'1853'!D14-'1853'!C14+'1853'!D16-'1853'!C16+'1853'!D18-'1853'!C18+'1853'!D20-'1853'!C20+'1853'!D22-'1853'!C22+'1853'!D26-'1853'!C26</f>
        <v>69.864000000000033</v>
      </c>
      <c r="G4" s="133">
        <f>1-B4/B5</f>
        <v>8.2979591836734534E-2</v>
      </c>
      <c r="H4" s="133">
        <f>1-C4/C5</f>
        <v>7.6360248447205015E-2</v>
      </c>
      <c r="I4" s="133">
        <f>1-D4/D5</f>
        <v>9.0535917901938268E-2</v>
      </c>
      <c r="J4" s="133">
        <f>1-E4/E5</f>
        <v>0.12560700876095066</v>
      </c>
      <c r="L4" s="290">
        <v>0.12094059405940627</v>
      </c>
      <c r="M4" s="290">
        <v>8.2933333333333747E-2</v>
      </c>
      <c r="N4" s="290">
        <v>9.226530612245043E-2</v>
      </c>
      <c r="O4" s="290">
        <v>9.1522012578615808E-2</v>
      </c>
      <c r="Q4" s="260">
        <v>0.12214642262895303</v>
      </c>
      <c r="R4" s="260">
        <v>6.0734341252698276E-2</v>
      </c>
      <c r="S4" s="260">
        <v>9.9550209205024109E-2</v>
      </c>
      <c r="T4" s="260">
        <v>8.908571428571499E-2</v>
      </c>
      <c r="V4" s="248">
        <v>0.10776056338028184</v>
      </c>
      <c r="W4" s="248">
        <v>6.3344017094016269E-2</v>
      </c>
      <c r="X4" s="248">
        <v>0.1015005476451285</v>
      </c>
      <c r="Y4" s="248">
        <v>8.1363057324841503E-2</v>
      </c>
    </row>
    <row r="5" spans="1:25" x14ac:dyDescent="0.35">
      <c r="A5" s="36" t="s">
        <v>33</v>
      </c>
      <c r="B5" s="36">
        <f>'1850'!D26-'1850'!C26</f>
        <v>73.5</v>
      </c>
      <c r="C5" s="36">
        <f>'1851'!E26-'1851'!D26</f>
        <v>80.500000000000014</v>
      </c>
      <c r="D5" s="37">
        <f>'1852'!D26-'1852'!C26</f>
        <v>87.699999999999989</v>
      </c>
      <c r="E5" s="36">
        <f>'1853'!D27-'1853'!C27</f>
        <v>79.899999999999991</v>
      </c>
      <c r="Q5" s="260"/>
      <c r="R5" s="260"/>
      <c r="S5" s="260"/>
      <c r="T5" s="260"/>
      <c r="V5" s="248"/>
      <c r="W5" s="248"/>
      <c r="X5" s="248"/>
      <c r="Y5" s="248"/>
    </row>
    <row r="6" spans="1:25" x14ac:dyDescent="0.35">
      <c r="A6" s="36" t="s">
        <v>34</v>
      </c>
      <c r="B6" s="323">
        <f>B5+C5+D5+E5</f>
        <v>321.59999999999997</v>
      </c>
      <c r="C6" s="323"/>
      <c r="D6" s="323"/>
      <c r="E6" s="323"/>
      <c r="G6" s="133">
        <f>1-B6/B7</f>
        <v>3.307276007215465E-2</v>
      </c>
      <c r="L6" s="290">
        <v>3.6982682712065729E-2</v>
      </c>
      <c r="Q6" s="260">
        <v>4.500450045004234E-2</v>
      </c>
      <c r="R6" s="260"/>
      <c r="S6" s="260"/>
      <c r="T6" s="260"/>
      <c r="V6" s="248">
        <v>4.2930738408704316E-2</v>
      </c>
      <c r="W6" s="248"/>
      <c r="X6" s="248"/>
      <c r="Y6" s="248"/>
    </row>
    <row r="7" spans="1:25" x14ac:dyDescent="0.35">
      <c r="A7" s="36" t="s">
        <v>35</v>
      </c>
      <c r="B7" s="323">
        <f>'1850'!D29-'1850'!C29</f>
        <v>332.59999999999854</v>
      </c>
      <c r="C7" s="323"/>
      <c r="D7" s="323"/>
      <c r="E7" s="323"/>
      <c r="Q7" s="260"/>
      <c r="R7" s="260"/>
      <c r="S7" s="260"/>
      <c r="T7" s="260"/>
      <c r="V7" s="248"/>
      <c r="W7" s="248"/>
      <c r="X7" s="248"/>
      <c r="Y7" s="248"/>
    </row>
    <row r="8" spans="1:25" ht="18" x14ac:dyDescent="0.4">
      <c r="A8" s="125" t="s">
        <v>36</v>
      </c>
      <c r="B8" s="126"/>
      <c r="C8" s="126"/>
      <c r="D8" s="126"/>
      <c r="E8" s="127"/>
      <c r="Q8" s="260"/>
      <c r="R8" s="260"/>
      <c r="S8" s="260"/>
      <c r="T8" s="260"/>
      <c r="V8" s="248"/>
      <c r="W8" s="248"/>
      <c r="X8" s="248"/>
      <c r="Y8" s="248"/>
    </row>
    <row r="9" spans="1:25" x14ac:dyDescent="0.35">
      <c r="A9" s="36" t="s">
        <v>37</v>
      </c>
      <c r="B9" s="36">
        <f>'1850'!D5-'1850'!C5+'1850'!D7-'1850'!C7+'1850'!D9-'1850'!C9+'1850'!D11-'1850'!C11+'1850'!D13-'1850'!C13+'1850'!D15-'1850'!C15+'1850'!D17-'1850'!C17+'1850'!D19-'1850'!C19+'1850'!D21-'1850'!C21+'1850'!D23-'1850'!C23</f>
        <v>36.01900000000002</v>
      </c>
      <c r="C9" s="36">
        <f>'1851'!E5-'1851'!D5+'1851'!E7-'1851'!D7+'1851'!E9-'1851'!D9+'1851'!E11-'1851'!D11+'1851'!E13-'1851'!D13+'1851'!E15-'1851'!D15+'1851'!E17-'1851'!D17+'1851'!E19-'1851'!D19+'1851'!E21-'1851'!D21+'1851'!E23-'1851'!D23</f>
        <v>39.394999999999953</v>
      </c>
      <c r="D9" s="36">
        <f>'1852'!D5-'1852'!C5+'1852'!D7-'1852'!C7+'1852'!D9-'1852'!C9+'1852'!D11-'1852'!C11+'1852'!D13-'1852'!C13+'1852'!D15-'1852'!C15+'1852'!D17-'1852'!C17+'1852'!D19-'1852'!C19+'1852'!D21-'1852'!C21+'1852'!D23-'1852'!C23</f>
        <v>38.619999999999976</v>
      </c>
      <c r="E9" s="36">
        <f>'1853'!D5-'1853'!C5+'1853'!D7-'1853'!C7+'1853'!D9-'1853'!C9+'1853'!D11-'1853'!C11+'1853'!D13-'1853'!C13+'1853'!D15-'1853'!C15+'1853'!D17-'1853'!C17+'1853'!D19-'1853'!C19+'1853'!D21-'1853'!C21+'1853'!D23-'1853'!C23</f>
        <v>35.767000000000039</v>
      </c>
      <c r="G9" s="133">
        <f>1-B9/B10</f>
        <v>3.3480907581625585E-3</v>
      </c>
      <c r="H9" s="133">
        <f>1-C9/C10</f>
        <v>7.5451771884535557E-2</v>
      </c>
      <c r="I9" s="133">
        <f>1-D9/D10</f>
        <v>-7.3030777256128943E-3</v>
      </c>
      <c r="J9" s="133">
        <f>1-E9/E10</f>
        <v>2.4092769440653194E-2</v>
      </c>
      <c r="L9" s="290">
        <v>8.9801627670396567E-2</v>
      </c>
      <c r="M9" s="290">
        <v>7.4682971014492505E-2</v>
      </c>
      <c r="N9" s="290">
        <v>4.8453608247422619E-2</v>
      </c>
      <c r="O9" s="290">
        <v>4.8181576851605623E-2</v>
      </c>
      <c r="Q9" s="260">
        <v>8.4226410445923161E-2</v>
      </c>
      <c r="R9" s="260">
        <v>0.10960399126909892</v>
      </c>
      <c r="S9" s="260">
        <v>6.2670765027321607E-2</v>
      </c>
      <c r="T9" s="260">
        <v>5.0868252170631401E-2</v>
      </c>
      <c r="V9" s="248">
        <v>7.274340208472041E-2</v>
      </c>
      <c r="W9" s="248">
        <v>9.7352024922118696E-2</v>
      </c>
      <c r="X9" s="248">
        <v>5.4242244028147812E-2</v>
      </c>
      <c r="Y9" s="248">
        <v>7.7654693968891686E-2</v>
      </c>
    </row>
    <row r="10" spans="1:25" x14ac:dyDescent="0.35">
      <c r="A10" s="36" t="s">
        <v>38</v>
      </c>
      <c r="B10" s="38">
        <f>('1850'!D27-'1850'!C27)</f>
        <v>36.140000000000015</v>
      </c>
      <c r="C10" s="43">
        <f>('1851'!E27-'1851'!D27)</f>
        <v>42.610000000000014</v>
      </c>
      <c r="D10" s="43">
        <f>('1852'!D27-'1852'!C27)</f>
        <v>38.339999999999975</v>
      </c>
      <c r="E10" s="43">
        <f>('1853'!D28-'1853'!C28)</f>
        <v>36.649999999999977</v>
      </c>
      <c r="Q10" s="260"/>
      <c r="R10" s="260"/>
      <c r="S10" s="260"/>
      <c r="T10" s="260"/>
      <c r="V10" s="248"/>
      <c r="W10" s="248"/>
      <c r="X10" s="248"/>
      <c r="Y10" s="248"/>
    </row>
    <row r="11" spans="1:25" ht="18" x14ac:dyDescent="0.4">
      <c r="A11" s="125" t="s">
        <v>39</v>
      </c>
      <c r="B11" s="126"/>
      <c r="C11" s="126"/>
      <c r="D11" s="126"/>
      <c r="E11" s="127"/>
      <c r="Q11" s="260"/>
      <c r="R11" s="260"/>
      <c r="S11" s="260"/>
      <c r="T11" s="260"/>
      <c r="V11" s="248"/>
      <c r="W11" s="248"/>
      <c r="X11" s="248"/>
      <c r="Y11" s="248"/>
    </row>
    <row r="12" spans="1:25" x14ac:dyDescent="0.35">
      <c r="A12" s="36" t="s">
        <v>40</v>
      </c>
      <c r="B12" s="39">
        <f>'1850'!D25-'1850'!C25</f>
        <v>181</v>
      </c>
      <c r="C12" s="39">
        <f>'1851'!E24-'1851'!D24</f>
        <v>182</v>
      </c>
      <c r="D12" s="39">
        <f>'1852'!D25-'1852'!C25</f>
        <v>186</v>
      </c>
      <c r="E12" s="39">
        <f>'1853'!D24-'1853'!C24</f>
        <v>176</v>
      </c>
      <c r="Q12" s="260"/>
      <c r="R12" s="260"/>
      <c r="S12" s="260"/>
      <c r="T12" s="260"/>
      <c r="V12" s="248"/>
      <c r="W12" s="248"/>
      <c r="X12" s="248"/>
      <c r="Y12" s="248"/>
    </row>
    <row r="13" spans="1:25" x14ac:dyDescent="0.35">
      <c r="B13" s="40"/>
      <c r="C13" s="40"/>
      <c r="D13" s="40"/>
      <c r="E13" s="40"/>
      <c r="G13" s="40"/>
      <c r="H13" s="40"/>
      <c r="I13" s="40"/>
      <c r="J13" s="40"/>
      <c r="L13" s="291"/>
      <c r="M13" s="291"/>
      <c r="N13" s="291"/>
      <c r="O13" s="291"/>
      <c r="Q13" s="260"/>
      <c r="R13" s="260"/>
      <c r="S13" s="260"/>
      <c r="T13" s="260"/>
      <c r="V13" s="248"/>
      <c r="W13" s="248"/>
      <c r="X13" s="248"/>
      <c r="Y13" s="248"/>
    </row>
    <row r="14" spans="1:25" x14ac:dyDescent="0.35">
      <c r="A14" s="33" t="s">
        <v>41</v>
      </c>
      <c r="B14" s="40">
        <f>'1853'!D25-'1853'!C25</f>
        <v>374</v>
      </c>
      <c r="C14" s="40"/>
      <c r="D14" s="40"/>
      <c r="E14" s="40"/>
      <c r="G14" s="40"/>
      <c r="H14" s="40"/>
      <c r="I14" s="40"/>
      <c r="J14" s="40"/>
      <c r="L14" s="291"/>
      <c r="M14" s="291"/>
      <c r="N14" s="291"/>
      <c r="O14" s="291"/>
      <c r="Q14" s="260"/>
      <c r="R14" s="260"/>
      <c r="S14" s="260"/>
      <c r="T14" s="260"/>
      <c r="V14" s="248"/>
      <c r="W14" s="248"/>
      <c r="X14" s="248"/>
      <c r="Y14" s="248"/>
    </row>
    <row r="15" spans="1:25" x14ac:dyDescent="0.35">
      <c r="A15" s="33" t="s">
        <v>42</v>
      </c>
      <c r="B15" s="41">
        <f>'1853'!D26-'1853'!C26</f>
        <v>0</v>
      </c>
      <c r="C15" s="40"/>
      <c r="D15" s="40"/>
      <c r="E15" s="40"/>
      <c r="G15" s="40"/>
      <c r="H15" s="40"/>
      <c r="I15" s="40"/>
      <c r="J15" s="40"/>
      <c r="L15" s="291"/>
      <c r="M15" s="291"/>
      <c r="N15" s="291"/>
      <c r="O15" s="291"/>
      <c r="Q15" s="260"/>
      <c r="R15" s="260"/>
      <c r="S15" s="260"/>
      <c r="T15" s="260"/>
      <c r="V15" s="248"/>
      <c r="W15" s="248"/>
      <c r="X15" s="248"/>
      <c r="Y15" s="248"/>
    </row>
    <row r="16" spans="1:25" x14ac:dyDescent="0.35">
      <c r="B16" s="40"/>
      <c r="C16" s="40"/>
      <c r="D16" s="40"/>
      <c r="E16" s="40"/>
      <c r="G16" s="40"/>
      <c r="H16" s="40"/>
      <c r="I16" s="40"/>
      <c r="J16" s="40"/>
      <c r="L16" s="291"/>
      <c r="M16" s="291"/>
      <c r="N16" s="291"/>
      <c r="O16" s="291"/>
      <c r="Q16" s="260"/>
      <c r="R16" s="260"/>
      <c r="S16" s="260"/>
      <c r="T16" s="260"/>
      <c r="V16" s="248"/>
      <c r="W16" s="248"/>
      <c r="X16" s="248"/>
      <c r="Y16" s="248"/>
    </row>
    <row r="17" spans="1:25" x14ac:dyDescent="0.35">
      <c r="Q17" s="260"/>
      <c r="R17" s="260"/>
      <c r="S17" s="260"/>
      <c r="T17" s="260"/>
      <c r="V17" s="248"/>
      <c r="W17" s="248"/>
      <c r="X17" s="248"/>
      <c r="Y17" s="248"/>
    </row>
    <row r="18" spans="1:25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  <c r="Q18" s="260"/>
      <c r="R18" s="260"/>
      <c r="S18" s="260"/>
      <c r="T18" s="260"/>
      <c r="V18" s="248"/>
      <c r="W18" s="248"/>
      <c r="X18" s="248"/>
      <c r="Y18" s="248"/>
    </row>
    <row r="19" spans="1:25" x14ac:dyDescent="0.35">
      <c r="A19" s="36" t="s">
        <v>32</v>
      </c>
      <c r="B19" s="36">
        <f>'1854'!D4-'1854'!C4+'1854'!D6-'1854'!C6+'1854'!D8-'1854'!C8+'1854'!D10-'1854'!C10+'1854'!D12-'1854'!C12+'1854'!D14-'1854'!C14+'1854'!D16-'1854'!C16+'1854'!D18-'1854'!C18+'1854'!D20-'1854'!C20+'1854'!D22-'1854'!C22</f>
        <v>52.963999999999992</v>
      </c>
      <c r="C19" s="36">
        <f>'1855'!D4-'1855'!C4+'1855'!D6-'1855'!C6+'1855'!D8-'1855'!C8+'1855'!D10-'1855'!C10+'1855'!D12-'1855'!C12+'1855'!D14-'1855'!C14+'1855'!D16-'1855'!C16+'1855'!D18-'1855'!C18+'1855'!D20-'1855'!C20+'1855'!D22-'1855'!C22</f>
        <v>68.78</v>
      </c>
      <c r="D19" s="36">
        <f>'1856'!D4-'1856'!C4+'1856'!D6-'1856'!C6+'1856'!D8-'1856'!C8+'1856'!D10-'1856'!C10+'1856'!D12-'1856'!C12+'1856'!D14-'1856'!C14+'1856'!D16-'1856'!C16+'1856'!D18-'1856'!C18+'1856'!D20-'1856'!C20+'1856'!D22-'1856'!C22</f>
        <v>68.39200000000001</v>
      </c>
      <c r="E19" s="36">
        <f>'1857'!D4-'1857'!C4+'1857'!D6-'1857'!C6+'1857'!D8-'1857'!C8+'1857'!D10-'1857'!C10+'1857'!D12-'1857'!C12+'1857'!D14-'1857'!C14+'1857'!D16-'1857'!C16+'1857'!D18-'1857'!C18+'1857'!D20-'1857'!C20+'1857'!D22-'1857'!C22</f>
        <v>80.085000000000022</v>
      </c>
      <c r="G19" s="133">
        <f>1-B19/B20</f>
        <v>8.5250431778929436E-2</v>
      </c>
      <c r="H19" s="133">
        <f>1-C19/C20</f>
        <v>5.5219780219780135E-2</v>
      </c>
      <c r="I19" s="133">
        <f>1-D19/D20</f>
        <v>9.8919631093543847E-2</v>
      </c>
      <c r="J19" s="133">
        <f>1-E19/E20</f>
        <v>7.5230946882216765E-2</v>
      </c>
      <c r="L19" s="290">
        <v>0.10742753623188139</v>
      </c>
      <c r="M19" s="290">
        <v>0.13766497461928995</v>
      </c>
      <c r="N19" s="290">
        <v>7.1048951048948705E-2</v>
      </c>
      <c r="O19" s="290">
        <v>9.8954895489551387E-2</v>
      </c>
      <c r="Q19" s="260">
        <v>9.0062305295953937E-2</v>
      </c>
      <c r="R19" s="260">
        <v>0.10805405405405222</v>
      </c>
      <c r="S19" s="260">
        <v>9.1619156214365005E-2</v>
      </c>
      <c r="T19" s="260">
        <v>0.11914864864864871</v>
      </c>
      <c r="V19" s="248">
        <v>9.1895803183790092E-2</v>
      </c>
      <c r="W19" s="248">
        <v>0.1014319526627222</v>
      </c>
      <c r="X19" s="248">
        <v>9.2536136662284774E-2</v>
      </c>
      <c r="Y19" s="248">
        <v>9.1850060459489957E-2</v>
      </c>
    </row>
    <row r="20" spans="1:25" x14ac:dyDescent="0.35">
      <c r="A20" s="36" t="s">
        <v>33</v>
      </c>
      <c r="B20" s="36">
        <f>'1854'!D26-'1854'!C26</f>
        <v>57.900000000000006</v>
      </c>
      <c r="C20" s="36">
        <f>'1855'!D26-'1855'!C26</f>
        <v>72.8</v>
      </c>
      <c r="D20" s="36">
        <f>'1856'!D26-'1856'!C26</f>
        <v>75.899999999999991</v>
      </c>
      <c r="E20" s="36">
        <f>'1857'!D26-'1857'!C26</f>
        <v>86.6</v>
      </c>
      <c r="Q20" s="260"/>
      <c r="R20" s="260"/>
      <c r="S20" s="260"/>
      <c r="T20" s="260"/>
      <c r="V20" s="248"/>
      <c r="W20" s="248"/>
      <c r="X20" s="248"/>
      <c r="Y20" s="248"/>
    </row>
    <row r="21" spans="1:25" x14ac:dyDescent="0.35">
      <c r="A21" s="36" t="s">
        <v>34</v>
      </c>
      <c r="B21" s="323">
        <f>B20+C20+D20+E20</f>
        <v>293.19999999999993</v>
      </c>
      <c r="C21" s="323"/>
      <c r="D21" s="323"/>
      <c r="E21" s="323"/>
      <c r="G21" s="133">
        <f>1-B21/B22</f>
        <v>-2.338568935427543E-2</v>
      </c>
      <c r="L21" s="290">
        <v>-5.0371872887087887E-2</v>
      </c>
      <c r="Q21" s="260">
        <v>-4.1319444444444686E-2</v>
      </c>
      <c r="R21" s="260"/>
      <c r="S21" s="260"/>
      <c r="T21" s="260"/>
      <c r="V21" s="248">
        <v>-3.9254823685958895E-2</v>
      </c>
      <c r="W21" s="248"/>
      <c r="X21" s="248"/>
      <c r="Y21" s="248"/>
    </row>
    <row r="22" spans="1:25" x14ac:dyDescent="0.35">
      <c r="A22" s="36" t="s">
        <v>35</v>
      </c>
      <c r="B22" s="323">
        <f>'1854'!D29-'1854'!C29</f>
        <v>286.5</v>
      </c>
      <c r="C22" s="323"/>
      <c r="D22" s="323"/>
      <c r="E22" s="323"/>
      <c r="Q22" s="260"/>
      <c r="R22" s="260"/>
      <c r="S22" s="260"/>
      <c r="T22" s="260"/>
      <c r="V22" s="248"/>
      <c r="W22" s="248"/>
      <c r="X22" s="248"/>
      <c r="Y22" s="248"/>
    </row>
    <row r="23" spans="1:25" ht="18" x14ac:dyDescent="0.4">
      <c r="A23" s="125" t="s">
        <v>36</v>
      </c>
      <c r="B23" s="126"/>
      <c r="C23" s="126"/>
      <c r="D23" s="126"/>
      <c r="E23" s="127"/>
      <c r="Q23" s="260"/>
      <c r="R23" s="260"/>
      <c r="S23" s="260"/>
      <c r="T23" s="260"/>
      <c r="V23" s="248"/>
      <c r="W23" s="248"/>
      <c r="X23" s="248"/>
      <c r="Y23" s="248"/>
    </row>
    <row r="24" spans="1:25" x14ac:dyDescent="0.35">
      <c r="A24" s="36" t="s">
        <v>37</v>
      </c>
      <c r="B24" s="36">
        <f>'1854'!D5-'1854'!C5+'1854'!D7-'1854'!C7+'1854'!D9-'1854'!C9+'1854'!D11-'1854'!C11+'1854'!D13-'1854'!C13+'1854'!D15-'1854'!C15+'1854'!D17-'1854'!C17+'1854'!D19-'1854'!C19+'1854'!D21-'1854'!C21+'1854'!D23-'1854'!C23</f>
        <v>33.877999999999986</v>
      </c>
      <c r="C24" s="36">
        <f>'1855'!D5-'1855'!C5+'1855'!D7-'1855'!C7+'1855'!D9-'1855'!C9+'1855'!D11-'1855'!C11+'1855'!D13-'1855'!C13+'1855'!D15-'1855'!C15+'1855'!D17-'1855'!C17+'1855'!D19-'1855'!C19+'1855'!D21-'1855'!C21+'1855'!D23-'1855'!C23</f>
        <v>37.301999999999992</v>
      </c>
      <c r="D24" s="36">
        <f>'1856'!D5-'1856'!C5+'1856'!D7-'1856'!C7+'1856'!D9-'1856'!C9+'1856'!D11-'1856'!C11+'1856'!D13-'1856'!C13+'1856'!D15-'1856'!C15+'1856'!D17-'1856'!C17+'1856'!D19-'1856'!C19+'1856'!D21-'1856'!C21+'1856'!D23-'1856'!C23</f>
        <v>34.161999999999985</v>
      </c>
      <c r="E24" s="36">
        <f>'1857'!D5-'1857'!C5+'1857'!D7-'1857'!C7+'1857'!D9-'1857'!C9+'1857'!D11-'1857'!C11+'1857'!D13-'1857'!C13+'1857'!D15-'1857'!C15+'1857'!D17-'1857'!C17+'1857'!D19-'1857'!C19+'1857'!D21-'1857'!C21+'1857'!D23-'1857'!C23</f>
        <v>37.289000000000001</v>
      </c>
      <c r="G24" s="133">
        <f>1-B24/B25</f>
        <v>8.1149986438839639E-2</v>
      </c>
      <c r="H24" s="133">
        <f>1-C24/C25</f>
        <v>6.721680420105336E-2</v>
      </c>
      <c r="I24" s="133">
        <f>1-D24/D25</f>
        <v>7.394957983193573E-2</v>
      </c>
      <c r="J24" s="133">
        <f>1-E24/E25</f>
        <v>8.4258349705305102E-2</v>
      </c>
      <c r="L24" s="290">
        <v>6.7762430939227847E-2</v>
      </c>
      <c r="M24" s="290">
        <v>7.0835345243842496E-2</v>
      </c>
      <c r="N24" s="290">
        <v>6.9851213782300969E-2</v>
      </c>
      <c r="O24" s="290">
        <v>9.6922313229088286E-2</v>
      </c>
      <c r="Q24" s="260">
        <v>7.2464219041692868E-2</v>
      </c>
      <c r="R24" s="260">
        <v>7.4006476302620583E-2</v>
      </c>
      <c r="S24" s="260">
        <v>8.6205817954331798E-2</v>
      </c>
      <c r="T24" s="260">
        <v>7.6633478531424659E-2</v>
      </c>
      <c r="V24" s="248">
        <v>5.8015267175572705E-2</v>
      </c>
      <c r="W24" s="248">
        <v>7.2727272727273196E-2</v>
      </c>
      <c r="X24" s="248">
        <v>7.8701986754966646E-2</v>
      </c>
      <c r="Y24" s="248">
        <v>8.7025071077797667E-2</v>
      </c>
    </row>
    <row r="25" spans="1:25" x14ac:dyDescent="0.35">
      <c r="A25" s="36" t="s">
        <v>38</v>
      </c>
      <c r="B25" s="43">
        <f>('1854'!D27-'1854'!C27)</f>
        <v>36.870000000000005</v>
      </c>
      <c r="C25" s="43">
        <f>('1855'!D27-'1855'!C27)</f>
        <v>39.990000000000123</v>
      </c>
      <c r="D25" s="43">
        <f>('1856'!D27-'1856'!C27)</f>
        <v>36.8900000000001</v>
      </c>
      <c r="E25" s="43">
        <f>('1857'!D27-'1857'!C27)</f>
        <v>40.720000000000027</v>
      </c>
    </row>
    <row r="26" spans="1:25" ht="18" x14ac:dyDescent="0.4">
      <c r="A26" s="125" t="s">
        <v>39</v>
      </c>
      <c r="B26" s="126"/>
      <c r="C26" s="126"/>
      <c r="D26" s="126"/>
      <c r="E26" s="127"/>
    </row>
    <row r="27" spans="1:25" x14ac:dyDescent="0.35">
      <c r="A27" s="36" t="s">
        <v>40</v>
      </c>
      <c r="B27" s="39">
        <f>'1854'!D25-'1854'!C25</f>
        <v>181</v>
      </c>
      <c r="C27" s="39">
        <f>'1855'!D25-'1855'!C25</f>
        <v>238</v>
      </c>
      <c r="D27" s="39">
        <f>'1856'!D25-'1856'!C25</f>
        <v>175</v>
      </c>
      <c r="E27" s="39">
        <f>'1857'!D25-'1857'!C25</f>
        <v>307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I13:J13 G13:J17 I16:J17 G28:J65536">
    <cfRule type="cellIs" dxfId="40" priority="3" stopIfTrue="1" operator="lessThan">
      <formula>0</formula>
    </cfRule>
  </conditionalFormatting>
  <conditionalFormatting sqref="L13:O17">
    <cfRule type="cellIs" dxfId="39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"/>
  <sheetViews>
    <sheetView workbookViewId="0">
      <selection activeCell="L14" sqref="L14"/>
    </sheetView>
  </sheetViews>
  <sheetFormatPr defaultColWidth="9" defaultRowHeight="17.5" x14ac:dyDescent="0.35"/>
  <cols>
    <col min="1" max="1" width="35" style="33" customWidth="1"/>
    <col min="2" max="5" width="11.453125" style="33" customWidth="1"/>
    <col min="6" max="6" width="6.7265625" style="33" customWidth="1"/>
    <col min="7" max="10" width="11.453125" style="33" customWidth="1"/>
    <col min="11" max="12" width="9" style="33" customWidth="1"/>
    <col min="13" max="16384" width="9" style="33"/>
  </cols>
  <sheetData>
    <row r="1" spans="1:10" ht="18" x14ac:dyDescent="0.4">
      <c r="A1" s="34" t="s">
        <v>43</v>
      </c>
      <c r="B1" s="35">
        <f>'S1'!B1</f>
        <v>2025</v>
      </c>
    </row>
    <row r="3" spans="1:10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10" x14ac:dyDescent="0.35">
      <c r="A4" s="42" t="s">
        <v>32</v>
      </c>
      <c r="B4" s="36">
        <f>'1850'!E4-'1850'!D4+'1850'!E6-'1850'!D6+'1850'!E8-'1850'!D8+'1850'!E10-'1850'!D10+'1850'!E12-'1850'!D12+'1850'!E14-'1850'!D14+'1850'!E16-'1850'!D16+'1850'!E18-'1850'!D18+'1850'!E20-'1850'!D20+'1850'!E22-'1850'!D22</f>
        <v>61.870999999999995</v>
      </c>
      <c r="C4" s="36">
        <f>'1851'!F4-'1851'!E4+'1851'!F6-'1851'!E6+'1851'!F8-'1851'!E8+'1851'!F10-'1851'!E10+'1851'!F12-'1851'!E12+'1851'!F14-'1851'!E14+'1851'!F16-'1851'!E16+'1851'!F18-'1851'!E18+'1851'!F20-'1851'!E20+'1851'!F22-'1851'!E22+'1851'!F33-'1851'!E33+'1851'!F34-'1851'!E34+'1851'!F35-'1851'!E35+'1851'!F36-'1851'!E36+'1851'!F37-'1851'!E37+'1851'!F40-'1851'!E40+'1851'!F41-'1851'!E41+'1851'!F42-'1851'!E42+'1851'!F43-'1851'!E43+'1851'!F44-'1851'!E44+'1851'!F45-'1851'!E45+'1851'!F46-'1851'!E46+'1851'!F47-'1851'!E47+'1851'!F48-'1851'!E48+'1851'!F49-'1851'!E49</f>
        <v>74.716000000000022</v>
      </c>
      <c r="D4" s="36">
        <f>'1852'!E4-'1852'!D4+'1852'!E6-'1852'!D6+'1852'!E8-'1852'!D8+'1852'!E10-'1852'!D10+'1852'!E12-'1852'!D12+'1852'!E14-'1852'!D14+'1852'!E16-'1852'!D16+'1852'!E18-'1852'!D18+'1852'!E20-'1852'!D20+'1852'!E22-'1852'!D22</f>
        <v>73.23599999999999</v>
      </c>
      <c r="E4" s="36">
        <f>'1853'!E4-'1853'!D4+'1853'!E6-'1853'!D6+'1853'!E8-'1853'!D8+'1853'!E10-'1853'!D10+'1853'!E12-'1853'!D12+'1853'!E14-'1853'!D14+'1853'!E16-'1853'!D16+'1853'!E18-'1853'!D18+'1853'!E20-'1853'!D20+'1853'!E22-'1853'!D22+'1853'!E26-'1853'!D26</f>
        <v>66.177000000000021</v>
      </c>
      <c r="G4" s="133">
        <f>1-B4/B5</f>
        <v>9.412884333821403E-2</v>
      </c>
      <c r="H4" s="133">
        <f>1-C4/C5</f>
        <v>8.3239263803680741E-2</v>
      </c>
      <c r="I4" s="133">
        <f>1-D4/D5</f>
        <v>8.9104477611940514E-2</v>
      </c>
      <c r="J4" s="133">
        <f>1-E4/E5</f>
        <v>0.13039421813403385</v>
      </c>
    </row>
    <row r="5" spans="1:10" x14ac:dyDescent="0.35">
      <c r="A5" s="42" t="s">
        <v>33</v>
      </c>
      <c r="B5" s="36">
        <f>'1850'!E26-'1850'!D26</f>
        <v>68.300000000000011</v>
      </c>
      <c r="C5" s="36">
        <f>'1851'!F26-'1851'!E26</f>
        <v>81.5</v>
      </c>
      <c r="D5" s="36">
        <f>'1852'!E26-'1852'!D26</f>
        <v>80.400000000000006</v>
      </c>
      <c r="E5" s="36">
        <f>'1853'!E27-'1853'!D27</f>
        <v>76.099999999999994</v>
      </c>
    </row>
    <row r="6" spans="1:10" x14ac:dyDescent="0.35">
      <c r="A6" s="42" t="s">
        <v>34</v>
      </c>
      <c r="B6" s="323">
        <f>SUM(B5:E5)</f>
        <v>306.3</v>
      </c>
      <c r="C6" s="323"/>
      <c r="D6" s="323"/>
      <c r="E6" s="323"/>
      <c r="G6" s="133">
        <f>1-B6/B7</f>
        <v>3.4667507091089789E-2</v>
      </c>
    </row>
    <row r="7" spans="1:10" x14ac:dyDescent="0.35">
      <c r="A7" s="42" t="s">
        <v>35</v>
      </c>
      <c r="B7" s="323">
        <f>'1850'!E29-'1850'!D29</f>
        <v>317.30000000000291</v>
      </c>
      <c r="C7" s="323"/>
      <c r="D7" s="323"/>
      <c r="E7" s="323"/>
    </row>
    <row r="8" spans="1:10" ht="18" x14ac:dyDescent="0.4">
      <c r="A8" s="125" t="s">
        <v>36</v>
      </c>
      <c r="B8" s="128"/>
      <c r="C8" s="126"/>
      <c r="D8" s="126"/>
      <c r="E8" s="127"/>
    </row>
    <row r="9" spans="1:10" x14ac:dyDescent="0.35">
      <c r="A9" s="36" t="s">
        <v>37</v>
      </c>
      <c r="B9" s="36">
        <f>'1850'!E5-'1850'!D5+'1850'!E7-'1850'!D7+'1850'!E9-'1850'!D9+'1850'!E11-'1850'!D11+'1850'!E13-'1850'!D13+'1850'!E15-'1850'!D15+'1850'!E17-'1850'!D17+'1850'!E19-'1850'!D19+'1850'!E21-'1850'!D21+'1850'!E23-'1850'!D23</f>
        <v>28.942999999999984</v>
      </c>
      <c r="C9" s="36">
        <f>'1851'!F5-'1851'!E5+'1851'!F7-'1851'!E7+'1851'!F9-'1851'!E9+'1851'!F11-'1851'!E11+'1851'!F13-'1851'!E13+'1851'!F15-'1851'!E15+'1851'!F17-'1851'!E17+'1851'!F19-'1851'!E19+'1851'!F21-'1851'!E21+'1851'!F23-'1851'!E23</f>
        <v>36.210000000000029</v>
      </c>
      <c r="D9" s="36">
        <f>'1852'!E5-'1852'!D5+'1852'!E7-'1852'!D7+'1852'!E9-'1852'!D9+'1852'!E11-'1852'!D11+'1852'!E13-'1852'!D13+'1852'!E15-'1852'!D15+'1852'!E17-'1852'!D17+'1852'!E19-'1852'!D19+'1852'!E21-'1852'!D21+'1852'!E23-'1852'!D23</f>
        <v>33.208000000000027</v>
      </c>
      <c r="E9" s="36">
        <f>'1853'!E5-'1853'!D5+'1853'!E7-'1853'!D7+'1853'!E9-'1853'!D9+'1853'!E11-'1853'!D11+'1853'!E13-'1853'!D13+'1853'!E15-'1853'!D15+'1853'!E17-'1853'!D17+'1853'!E19-'1853'!D19+'1853'!E21-'1853'!D21+'1853'!E23-'1853'!D23</f>
        <v>30.603000000000009</v>
      </c>
      <c r="G9" s="133">
        <f>1-B9/B10</f>
        <v>2.1534820824881673E-2</v>
      </c>
      <c r="H9" s="133">
        <f>1-C9/C10</f>
        <v>8.4218512898330489E-2</v>
      </c>
      <c r="I9" s="133">
        <f>1-D9/D10</f>
        <v>2.127910403772415E-2</v>
      </c>
      <c r="J9" s="133">
        <f>1-E9/E10</f>
        <v>5.5171349181847296E-2</v>
      </c>
    </row>
    <row r="10" spans="1:10" x14ac:dyDescent="0.35">
      <c r="A10" s="36" t="s">
        <v>38</v>
      </c>
      <c r="B10" s="43">
        <f>('1850'!E27-'1850'!D27)</f>
        <v>29.579999999999984</v>
      </c>
      <c r="C10" s="43">
        <f>('1851'!F27-'1851'!E27)</f>
        <v>39.54000000000002</v>
      </c>
      <c r="D10" s="43">
        <f>('1852'!E27-'1852'!D27)</f>
        <v>33.930000000000007</v>
      </c>
      <c r="E10" s="43">
        <f>('1853'!E28-'1853'!D28)</f>
        <v>32.390000000000043</v>
      </c>
    </row>
    <row r="11" spans="1:10" ht="18" x14ac:dyDescent="0.4">
      <c r="A11" s="125" t="s">
        <v>44</v>
      </c>
      <c r="B11" s="126"/>
      <c r="C11" s="126"/>
      <c r="D11" s="126"/>
      <c r="E11" s="127"/>
    </row>
    <row r="12" spans="1:10" x14ac:dyDescent="0.35">
      <c r="A12" s="36" t="s">
        <v>40</v>
      </c>
      <c r="B12" s="39">
        <f>'1850'!E25-'1850'!D25</f>
        <v>198</v>
      </c>
      <c r="C12" s="39">
        <f>'1851'!F24-'1851'!E24</f>
        <v>183</v>
      </c>
      <c r="D12" s="39">
        <f>'1852'!E25-'1852'!D25</f>
        <v>161</v>
      </c>
      <c r="E12" s="39">
        <f>'1853'!E24-'1853'!D24</f>
        <v>160</v>
      </c>
    </row>
    <row r="13" spans="1:10" x14ac:dyDescent="0.35">
      <c r="B13" s="40"/>
      <c r="C13" s="40"/>
      <c r="D13" s="40"/>
      <c r="E13" s="40"/>
      <c r="F13" s="40"/>
      <c r="G13" s="40"/>
      <c r="H13" s="40"/>
      <c r="I13" s="40"/>
      <c r="J13" s="40"/>
    </row>
    <row r="14" spans="1:10" x14ac:dyDescent="0.35">
      <c r="A14" s="33" t="s">
        <v>41</v>
      </c>
      <c r="B14" s="40">
        <f>'1853'!E25-'1853'!D25</f>
        <v>308</v>
      </c>
      <c r="C14" s="40"/>
      <c r="D14" s="40"/>
      <c r="E14" s="40"/>
      <c r="F14" s="40"/>
      <c r="G14" s="40"/>
      <c r="H14" s="40"/>
      <c r="I14" s="40"/>
      <c r="J14" s="40"/>
    </row>
    <row r="15" spans="1:10" x14ac:dyDescent="0.35">
      <c r="A15" s="33" t="s">
        <v>42</v>
      </c>
      <c r="B15" s="41">
        <f>'1853'!E26-'1853'!D26</f>
        <v>0</v>
      </c>
      <c r="C15" s="40"/>
      <c r="D15" s="40"/>
      <c r="E15" s="40"/>
      <c r="F15" s="40"/>
      <c r="G15" s="40"/>
      <c r="H15" s="40"/>
      <c r="I15" s="40"/>
      <c r="J15" s="40"/>
    </row>
    <row r="16" spans="1:10" x14ac:dyDescent="0.35">
      <c r="B16" s="40"/>
      <c r="C16" s="40"/>
      <c r="D16" s="40"/>
      <c r="E16" s="40"/>
      <c r="F16" s="40"/>
      <c r="G16" s="40"/>
      <c r="H16" s="40"/>
      <c r="I16" s="40"/>
      <c r="J16" s="40"/>
    </row>
    <row r="18" spans="1:10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0" x14ac:dyDescent="0.35">
      <c r="A19" s="36" t="s">
        <v>32</v>
      </c>
      <c r="B19" s="36">
        <f>'1854'!E4-'1854'!D4+'1854'!E6-'1854'!D6+'1854'!E8-'1854'!D8+'1854'!E10-'1854'!D10+'1854'!E12-'1854'!D12+'1854'!E14-'1854'!D14+'1854'!E16-'1854'!D16+'1854'!E18-'1854'!D18+'1854'!E20-'1854'!D20+'1854'!E22-'1854'!D22</f>
        <v>54.409000000000027</v>
      </c>
      <c r="C19" s="36">
        <f>'1855'!E4-'1855'!D4+'1855'!E6-'1855'!D6+'1855'!E8-'1855'!D8+'1855'!E10-'1855'!D10+'1855'!E12-'1855'!D12+'1855'!E14-'1855'!D14+'1855'!E16-'1855'!D16+'1855'!E18-'1855'!D18+'1855'!E20-'1855'!D20+'1855'!E22-'1855'!D22</f>
        <v>63.914999999999985</v>
      </c>
      <c r="D19" s="36">
        <f>'1856'!E4-'1856'!D4+'1856'!E6-'1856'!D6+'1856'!E8-'1856'!D8+'1856'!E10-'1856'!D10+'1856'!E12-'1856'!D12+'1856'!E14-'1856'!D14+'1856'!E16-'1856'!D16+'1856'!E18-'1856'!D18+'1856'!E20-'1856'!D20+'1856'!E22-'1856'!D22</f>
        <v>57.185000000000009</v>
      </c>
      <c r="E19" s="36">
        <f>'1857'!E4-'1857'!D4+'1857'!E6-'1857'!D6+'1857'!E8-'1857'!D8+'1857'!E10-'1857'!D10+'1857'!E12-'1857'!D12+'1857'!E14-'1857'!D14+'1857'!E16-'1857'!D16+'1857'!E18-'1857'!D18+'1857'!E20-'1857'!D20+'1857'!E22-'1857'!D22</f>
        <v>71.802999999999997</v>
      </c>
      <c r="G19" s="133">
        <f>1-B19/B20</f>
        <v>7.1518771331057662E-2</v>
      </c>
      <c r="H19" s="133">
        <f>1-C19/C20</f>
        <v>5.02971768202084E-2</v>
      </c>
      <c r="I19" s="133">
        <f>1-D19/D20</f>
        <v>9.3740095087162967E-2</v>
      </c>
      <c r="J19" s="133">
        <f>1-E19/E20</f>
        <v>8.5312101910828053E-2</v>
      </c>
    </row>
    <row r="20" spans="1:10" x14ac:dyDescent="0.35">
      <c r="A20" s="36" t="s">
        <v>33</v>
      </c>
      <c r="B20" s="36">
        <f>'1854'!E26-'1854'!D26</f>
        <v>58.600000000000009</v>
      </c>
      <c r="C20" s="36">
        <f>'1855'!E26-'1855'!D26</f>
        <v>67.300000000000011</v>
      </c>
      <c r="D20" s="36">
        <f>'1856'!E26-'1856'!D26</f>
        <v>63.099999999999994</v>
      </c>
      <c r="E20" s="36">
        <f>'1857'!E26-'1857'!D26</f>
        <v>78.5</v>
      </c>
    </row>
    <row r="21" spans="1:10" x14ac:dyDescent="0.35">
      <c r="A21" s="36" t="s">
        <v>34</v>
      </c>
      <c r="B21" s="323">
        <f>SUM(B20:E20)</f>
        <v>267.5</v>
      </c>
      <c r="C21" s="323"/>
      <c r="D21" s="323"/>
      <c r="E21" s="323"/>
      <c r="G21" s="133">
        <f>1-B21/B22</f>
        <v>-2.4511681348140968E-2</v>
      </c>
    </row>
    <row r="22" spans="1:10" x14ac:dyDescent="0.35">
      <c r="A22" s="36" t="s">
        <v>35</v>
      </c>
      <c r="B22" s="323">
        <f>'1854'!E29-'1854'!D29</f>
        <v>261.10000000000036</v>
      </c>
      <c r="C22" s="323"/>
      <c r="D22" s="323"/>
      <c r="E22" s="323"/>
    </row>
    <row r="23" spans="1:10" ht="18" x14ac:dyDescent="0.4">
      <c r="A23" s="125" t="s">
        <v>36</v>
      </c>
      <c r="B23" s="126"/>
      <c r="C23" s="126"/>
      <c r="D23" s="126"/>
      <c r="E23" s="127"/>
    </row>
    <row r="24" spans="1:10" x14ac:dyDescent="0.35">
      <c r="A24" s="36" t="s">
        <v>37</v>
      </c>
      <c r="B24" s="36">
        <f>'1854'!E5-'1854'!D5+'1854'!E7-'1854'!D7+'1854'!E9-'1854'!D9+'1854'!E11-'1854'!D11+'1854'!E13-'1854'!D13+'1854'!E15-'1854'!D15+'1854'!E17-'1854'!D17+'1854'!E19-'1854'!D19+'1854'!E21-'1854'!D21+'1854'!E23-'1854'!D23</f>
        <v>30.06699999999999</v>
      </c>
      <c r="C24" s="36">
        <f>'1855'!E5-'1855'!D5+'1855'!E7-'1855'!D7+'1855'!E9-'1855'!D9+'1855'!E11-'1855'!D11+'1855'!E13-'1855'!D13+'1855'!E15-'1855'!D15+'1855'!E17-'1855'!D17+'1855'!E19-'1855'!D19+'1855'!E21-'1855'!D21+'1855'!E23-'1855'!D23</f>
        <v>31.183000000000007</v>
      </c>
      <c r="D24" s="36">
        <f>'1856'!E5-'1856'!D5+'1856'!E7-'1856'!D7+'1856'!E9-'1856'!D9+'1856'!E11-'1856'!D11+'1856'!E13-'1856'!D13+'1856'!E15-'1856'!D15+'1856'!E17-'1856'!D17+'1856'!E19-'1856'!D19+'1856'!E21-'1856'!D21+'1856'!E23-'1856'!D23</f>
        <v>27.949000000000012</v>
      </c>
      <c r="E24" s="36">
        <f>'1857'!E5-'1857'!D5+'1857'!E7-'1857'!D7+'1857'!E9-'1857'!D9+'1857'!E11-'1857'!D11+'1857'!E13-'1857'!D13+'1857'!E15-'1857'!D15+'1857'!E17-'1857'!D17+'1857'!E19-'1857'!D19+'1857'!E21-'1857'!D21+'1857'!E23-'1857'!D23</f>
        <v>31.457999999999984</v>
      </c>
      <c r="G24" s="133">
        <f>1-B24/B25</f>
        <v>8.0519877675842566E-2</v>
      </c>
      <c r="H24" s="133">
        <f>1-C24/C25</f>
        <v>7.165823161655005E-2</v>
      </c>
      <c r="I24" s="133">
        <f>1-D24/D25</f>
        <v>7.4229877442859693E-2</v>
      </c>
      <c r="J24" s="133">
        <f>1-E24/E25</f>
        <v>8.1518248175182939E-2</v>
      </c>
    </row>
    <row r="25" spans="1:10" x14ac:dyDescent="0.35">
      <c r="A25" s="36" t="s">
        <v>38</v>
      </c>
      <c r="B25" s="43">
        <f>('1854'!E27-'1854'!D27)</f>
        <v>32.700000000000045</v>
      </c>
      <c r="C25" s="43">
        <f>('1855'!E27-'1855'!D27)</f>
        <v>33.589999999999918</v>
      </c>
      <c r="D25" s="43">
        <f>('1856'!E27-'1856'!D27)</f>
        <v>30.189999999999941</v>
      </c>
      <c r="E25" s="43">
        <f>('1857'!E27-'1857'!D27)</f>
        <v>34.25</v>
      </c>
    </row>
    <row r="26" spans="1:10" ht="18" x14ac:dyDescent="0.4">
      <c r="A26" s="125" t="s">
        <v>44</v>
      </c>
      <c r="B26" s="126"/>
      <c r="C26" s="126"/>
      <c r="D26" s="126"/>
      <c r="E26" s="127"/>
    </row>
    <row r="27" spans="1:10" x14ac:dyDescent="0.35">
      <c r="A27" s="36" t="s">
        <v>40</v>
      </c>
      <c r="B27" s="39">
        <f>'1854'!E25-'1854'!D25</f>
        <v>176</v>
      </c>
      <c r="C27" s="39">
        <f>'1855'!E25-'1855'!D25</f>
        <v>249</v>
      </c>
      <c r="D27" s="39">
        <f>'1856'!E25-'1856'!D25</f>
        <v>165</v>
      </c>
      <c r="E27" s="39">
        <f>'1857'!E25-'1857'!D25</f>
        <v>293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3:I13 G16:I17">
    <cfRule type="cellIs" dxfId="38" priority="4" stopIfTrue="1" operator="lessThan">
      <formula>0</formula>
    </cfRule>
  </conditionalFormatting>
  <conditionalFormatting sqref="G1:J2 G28:J65536">
    <cfRule type="cellIs" dxfId="37" priority="2" stopIfTrue="1" operator="lessThan">
      <formula>0</formula>
    </cfRule>
  </conditionalFormatting>
  <conditionalFormatting sqref="G13:J17">
    <cfRule type="cellIs" dxfId="36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9"/>
  <sheetViews>
    <sheetView workbookViewId="0">
      <selection activeCell="D5" sqref="D5"/>
    </sheetView>
  </sheetViews>
  <sheetFormatPr defaultColWidth="9" defaultRowHeight="17.5" x14ac:dyDescent="0.35"/>
  <cols>
    <col min="1" max="1" width="35" style="33" customWidth="1"/>
    <col min="2" max="5" width="11.453125" style="33" customWidth="1"/>
    <col min="6" max="6" width="9.81640625" style="33" customWidth="1"/>
    <col min="7" max="10" width="11.453125" style="33" customWidth="1"/>
    <col min="11" max="13" width="6.453125" style="33" customWidth="1"/>
    <col min="14" max="14" width="13.1796875" style="33" customWidth="1"/>
    <col min="15" max="15" width="6.453125" style="33" customWidth="1"/>
    <col min="16" max="16384" width="9" style="33"/>
  </cols>
  <sheetData>
    <row r="1" spans="1:14" ht="18" x14ac:dyDescent="0.4">
      <c r="A1" s="34" t="s">
        <v>45</v>
      </c>
      <c r="B1" s="35">
        <f>'S1'!B1</f>
        <v>2025</v>
      </c>
    </row>
    <row r="3" spans="1:14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  <c r="N3" s="66" t="s">
        <v>438</v>
      </c>
    </row>
    <row r="4" spans="1:14" x14ac:dyDescent="0.35">
      <c r="A4" s="42" t="s">
        <v>32</v>
      </c>
      <c r="B4" s="36">
        <f>'1850'!F4-'1850'!E4+'1850'!F6-'1850'!E6+'1850'!F8-'1850'!E8+'1850'!F10-'1850'!E10+'1850'!F12-'1850'!E12+'1850'!F14-'1850'!E14+'1850'!F16-'1850'!E16+'1850'!F18-'1850'!E18+'1850'!F20-'1850'!E20+'1850'!F22-'1850'!E22</f>
        <v>74.804000000000002</v>
      </c>
      <c r="C4" s="36">
        <f>'1851'!G4-'1851'!F4+'1851'!G6-'1851'!F6+'1851'!G8-'1851'!F8+'1851'!G10-'1851'!F10+'1851'!G12-'1851'!F12+'1851'!G14-'1851'!F14+'1851'!G16-'1851'!F16+'1851'!G18-'1851'!F18+'1851'!G20-'1851'!F20+'1851'!G22-'1851'!F22+'1851'!G33-'1851'!F33+'1851'!G34-'1851'!F34+'1851'!G35-'1851'!F35+'1851'!G36-'1851'!F36+'1851'!G37-'1851'!F37+'1851'!G40-'1851'!F40+'1851'!G41-'1851'!F41+'1851'!G42-'1851'!F42+'1851'!G43-'1851'!F43+'1851'!G44-'1851'!F44+'1851'!G45-'1851'!F45+'1851'!G46-'1851'!F46+'1851'!G47-'1851'!F47+'1851'!G48-'1851'!F48+'1851'!G49-'1851'!F49</f>
        <v>87.015999999999991</v>
      </c>
      <c r="D4" s="300">
        <f>'1852'!F4-'1852'!E4+'1852'!F6-'1852'!E6+'1852'!F8-'1852'!E8+'1852'!F10+'1852'!G32-'1852'!E10+'1852'!F12-'1852'!E12+'1852'!F14-'1852'!E14+'1852'!F16-'1852'!E16+'1852'!F18-'1852'!E18+'1852'!F20-'1852'!E20+'1852'!F22-'1852'!E22</f>
        <v>80.270999999999987</v>
      </c>
      <c r="E4" s="36">
        <f>'1853'!F4-'1853'!E4+'1853'!F6-'1853'!E6+'1853'!F8-'1853'!E8+'1853'!F10-'1853'!E10+'1853'!F12-'1853'!E12+'1853'!F14-'1853'!E14+'1853'!F16-'1853'!E16+'1853'!F18-'1853'!E18+'1853'!F20-'1853'!E20+'1853'!F22-'1853'!E22+'1853'!F26-'1853'!E26</f>
        <v>84.583000000000084</v>
      </c>
      <c r="G4" s="133">
        <f>1-B4/B5</f>
        <v>8.3284313725490056E-2</v>
      </c>
      <c r="H4" s="133">
        <f>1-C4/C5</f>
        <v>8.016913319238872E-2</v>
      </c>
      <c r="I4" s="301">
        <f>1-D4/D5</f>
        <v>8.67918088737204E-2</v>
      </c>
      <c r="J4" s="133">
        <f>1-E4/E5</f>
        <v>0.12349222797927373</v>
      </c>
      <c r="N4" s="300">
        <f>'1852'!P4-'1852'!O4+'1852'!P6-'1852'!O6+'1852'!P8-'1852'!O8+'1852'!P10-'1852'!O10+'1852'!P12-'1852'!O12+'1852'!P14-'1852'!O14+'1852'!P16-'1852'!O16+'1852'!P18-'1852'!O18+'1852'!P20-'1852'!O20+'1852'!P22-'1852'!O22</f>
        <v>-47.036999999999992</v>
      </c>
    </row>
    <row r="5" spans="1:14" x14ac:dyDescent="0.35">
      <c r="A5" s="42" t="s">
        <v>33</v>
      </c>
      <c r="B5" s="36">
        <f>'1850'!F26-'1850'!E26</f>
        <v>81.599999999999994</v>
      </c>
      <c r="C5" s="36">
        <f>'1851'!G26-'1851'!F26</f>
        <v>94.599999999999966</v>
      </c>
      <c r="D5" s="36">
        <f>'1852'!F26-'1852'!E26</f>
        <v>87.9</v>
      </c>
      <c r="E5" s="36">
        <f>'1853'!F27-'1853'!E27</f>
        <v>96.5</v>
      </c>
    </row>
    <row r="6" spans="1:14" x14ac:dyDescent="0.35">
      <c r="A6" s="42" t="s">
        <v>34</v>
      </c>
      <c r="B6" s="323">
        <f>SUM(B5:E5)</f>
        <v>360.59999999999997</v>
      </c>
      <c r="C6" s="323"/>
      <c r="D6" s="323"/>
      <c r="E6" s="323"/>
      <c r="G6" s="133">
        <f>1-B6/B7</f>
        <v>3.168635875402237E-2</v>
      </c>
    </row>
    <row r="7" spans="1:14" x14ac:dyDescent="0.35">
      <c r="A7" s="42" t="s">
        <v>35</v>
      </c>
      <c r="B7" s="323">
        <f>'1850'!F29-'1850'!E29</f>
        <v>372.39999999999782</v>
      </c>
      <c r="C7" s="323"/>
      <c r="D7" s="323"/>
      <c r="E7" s="323"/>
    </row>
    <row r="8" spans="1:14" ht="18" x14ac:dyDescent="0.4">
      <c r="A8" s="125" t="s">
        <v>36</v>
      </c>
      <c r="B8" s="128"/>
      <c r="C8" s="126"/>
      <c r="D8" s="126"/>
      <c r="E8" s="127"/>
    </row>
    <row r="9" spans="1:14" x14ac:dyDescent="0.35">
      <c r="A9" s="36" t="s">
        <v>37</v>
      </c>
      <c r="B9" s="36">
        <f>'1850'!F5-'1850'!E5+'1850'!F7-'1850'!E7+'1850'!F9-'1850'!E9+'1850'!F11-'1850'!E11+'1850'!F13-'1850'!E13+'1850'!F15-'1850'!E15+'1850'!F17-'1850'!E17+'1850'!F19-'1850'!E19+'1850'!F21-'1850'!E21+'1850'!F23-'1850'!E23</f>
        <v>19.943999999999988</v>
      </c>
      <c r="C9" s="36">
        <f>'1851'!G5-'1851'!F5+'1851'!G7-'1851'!F7+'1851'!G9-'1851'!F9+'1851'!G11-'1851'!F11+'1851'!G13-'1851'!F13+'1851'!G15-'1851'!F15+'1851'!G17-'1851'!F17+'1851'!G19-'1851'!F19+'1851'!G21-'1851'!F21+'1851'!G23-'1851'!F23</f>
        <v>22.317999999999955</v>
      </c>
      <c r="D9" s="36">
        <f>'1852'!F5-'1852'!E5+'1852'!F7-'1852'!E7+'1852'!F9-'1852'!E9+'1852'!F11-'1852'!E11+'1852'!F13-'1852'!E13+'1852'!F15-'1852'!E15+'1852'!F17-'1852'!E17+'1852'!F19-'1852'!E19+'1852'!F21-'1852'!E21+'1852'!F23-'1852'!E23</f>
        <v>19.342999999999989</v>
      </c>
      <c r="E9" s="36">
        <f>'1853'!F5-'1853'!E5+'1853'!F7-'1853'!E7+'1853'!F9-'1853'!E9+'1853'!F11-'1853'!E11+'1853'!F13-'1853'!E13+'1853'!F15-'1853'!E15+'1853'!F17-'1853'!E17+'1853'!F19-'1853'!E19+'1853'!F21-'1853'!E21+'1853'!F23-'1853'!E23</f>
        <v>18.35799999999999</v>
      </c>
      <c r="G9" s="133">
        <f>1-B9/B10</f>
        <v>-0.10677025527192052</v>
      </c>
      <c r="H9" s="133">
        <f>1-C9/C10</f>
        <v>3.3852813852814356E-2</v>
      </c>
      <c r="I9" s="133">
        <f>1-D9/D10</f>
        <v>1.1599386816556145E-2</v>
      </c>
      <c r="J9" s="133">
        <f>1-E9/E10</f>
        <v>1.5656836461125367E-2</v>
      </c>
    </row>
    <row r="10" spans="1:14" x14ac:dyDescent="0.35">
      <c r="A10" s="36" t="s">
        <v>38</v>
      </c>
      <c r="B10" s="43">
        <f>('1850'!F27-'1850'!E27)</f>
        <v>18.019999999999982</v>
      </c>
      <c r="C10" s="43">
        <f>('1851'!G27-'1851'!F27)</f>
        <v>23.099999999999966</v>
      </c>
      <c r="D10" s="43">
        <f>('1852'!F27-'1852'!E27)</f>
        <v>19.569999999999993</v>
      </c>
      <c r="E10" s="43">
        <f>('1853'!F28-'1853'!E28)</f>
        <v>18.649999999999977</v>
      </c>
    </row>
    <row r="11" spans="1:14" ht="18" x14ac:dyDescent="0.4">
      <c r="A11" s="125" t="s">
        <v>44</v>
      </c>
      <c r="B11" s="126"/>
      <c r="C11" s="126"/>
      <c r="D11" s="126"/>
      <c r="E11" s="127"/>
    </row>
    <row r="12" spans="1:14" x14ac:dyDescent="0.35">
      <c r="A12" s="36" t="s">
        <v>40</v>
      </c>
      <c r="B12" s="39">
        <f>'1850'!F25-'1850'!E25</f>
        <v>192</v>
      </c>
      <c r="C12" s="39">
        <f>'1851'!G24-'1851'!F24</f>
        <v>198</v>
      </c>
      <c r="D12" s="39">
        <f>'1852'!F25-'1852'!E25</f>
        <v>179</v>
      </c>
      <c r="E12" s="39">
        <f>'1853'!F24-'1853'!E24</f>
        <v>180</v>
      </c>
    </row>
    <row r="13" spans="1:14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</row>
    <row r="14" spans="1:14" x14ac:dyDescent="0.35">
      <c r="A14" s="33" t="s">
        <v>41</v>
      </c>
      <c r="B14" s="40">
        <f>'1853'!F25-'1853'!E25</f>
        <v>316</v>
      </c>
      <c r="C14" s="40"/>
      <c r="D14" s="40"/>
      <c r="E14" s="40"/>
      <c r="F14" s="40"/>
      <c r="G14" s="40"/>
      <c r="H14" s="40"/>
      <c r="I14" s="40"/>
      <c r="J14" s="40"/>
    </row>
    <row r="15" spans="1:14" x14ac:dyDescent="0.35">
      <c r="A15" s="33" t="s">
        <v>42</v>
      </c>
      <c r="B15" s="41">
        <f>'1853'!F26-'1853'!E26</f>
        <v>0</v>
      </c>
      <c r="C15" s="40"/>
      <c r="D15" s="40"/>
      <c r="E15" s="40"/>
      <c r="F15" s="40"/>
      <c r="G15" s="40"/>
      <c r="H15" s="40"/>
      <c r="I15" s="40"/>
      <c r="J15" s="40"/>
    </row>
    <row r="16" spans="1:14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</row>
    <row r="18" spans="1:10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0" x14ac:dyDescent="0.35">
      <c r="A19" s="36" t="s">
        <v>32</v>
      </c>
      <c r="B19" s="36">
        <f>'1854'!F4-'1854'!E4+'1854'!F6-'1854'!E6+'1854'!F8-'1854'!E8+'1854'!F10-'1854'!E10+'1854'!F12-'1854'!E12+'1854'!F14-'1854'!E14+'1854'!F16-'1854'!E16+'1854'!F18-'1854'!E18+'1854'!F20-'1854'!E20+'1854'!F22-'1854'!E22</f>
        <v>57.187999999999995</v>
      </c>
      <c r="C19" s="36">
        <f>'1855'!F4-'1855'!E4+'1855'!F6-'1855'!E6+'1855'!F8-'1855'!E8+'1855'!F10-'1855'!E10+'1855'!F12-'1855'!E12+'1855'!F14-'1855'!E14+'1855'!F16-'1855'!E16+'1855'!F18-'1855'!E18+'1855'!F20-'1855'!E20+'1855'!F22-'1855'!E22</f>
        <v>77.187000000000012</v>
      </c>
      <c r="D19" s="36">
        <f>'1856'!F4-'1856'!E4+'1856'!F6-'1856'!E6+'1856'!F8-'1856'!E8+'1856'!F10-'1856'!E10+'1856'!F12-'1856'!E12+'1856'!F14-'1856'!E14+'1856'!F16-'1856'!E16+'1856'!F18-'1856'!E18+'1856'!F20-'1856'!E20+'1856'!F22-'1856'!E22</f>
        <v>64.749000000000009</v>
      </c>
      <c r="E19" s="36">
        <f>'1857'!F4-'1857'!E4+'1857'!F6-'1857'!E6+'1857'!F8-'1857'!E8+'1857'!F10-'1857'!E10+'1857'!F12-'1857'!E12+'1857'!F14-'1857'!E14+'1857'!F16-'1857'!E16+'1857'!F18-'1857'!E18+'1857'!F20-'1857'!E20+'1857'!F22-'1857'!E22</f>
        <v>71.621000000000009</v>
      </c>
      <c r="G19" s="133">
        <f>1-B19/B20</f>
        <v>7.9098228663446069E-2</v>
      </c>
      <c r="H19" s="133">
        <f>1-C19/C20</f>
        <v>5.1756756756756728E-2</v>
      </c>
      <c r="I19" s="133">
        <f>1-D19/D20</f>
        <v>9.9457579972183852E-2</v>
      </c>
      <c r="J19" s="133">
        <f>1-E19/E20</f>
        <v>8.5300127713920815E-2</v>
      </c>
    </row>
    <row r="20" spans="1:10" x14ac:dyDescent="0.35">
      <c r="A20" s="36" t="s">
        <v>33</v>
      </c>
      <c r="B20" s="36">
        <f>'1854'!F26-'1854'!E26</f>
        <v>62.099999999999994</v>
      </c>
      <c r="C20" s="36">
        <f>'1855'!F26-'1855'!E26</f>
        <v>81.400000000000006</v>
      </c>
      <c r="D20" s="36">
        <f>'1856'!F26-'1856'!E26</f>
        <v>71.900000000000034</v>
      </c>
      <c r="E20" s="36">
        <f>'1857'!F26-'1857'!E26</f>
        <v>78.300000000000011</v>
      </c>
    </row>
    <row r="21" spans="1:10" x14ac:dyDescent="0.35">
      <c r="A21" s="36" t="s">
        <v>34</v>
      </c>
      <c r="B21" s="323">
        <f>SUM(B20:E20)</f>
        <v>293.70000000000005</v>
      </c>
      <c r="C21" s="323"/>
      <c r="D21" s="323"/>
      <c r="E21" s="323"/>
      <c r="G21" s="133">
        <f>1-B21/B22</f>
        <v>-2.7282266526759136E-2</v>
      </c>
    </row>
    <row r="22" spans="1:10" x14ac:dyDescent="0.35">
      <c r="A22" s="36" t="s">
        <v>35</v>
      </c>
      <c r="B22" s="323">
        <f>'1854'!F29-'1854'!E29</f>
        <v>285.89999999999964</v>
      </c>
      <c r="C22" s="323"/>
      <c r="D22" s="323"/>
      <c r="E22" s="323"/>
    </row>
    <row r="23" spans="1:10" ht="18" x14ac:dyDescent="0.4">
      <c r="A23" s="125" t="s">
        <v>36</v>
      </c>
      <c r="B23" s="126"/>
      <c r="C23" s="126"/>
      <c r="D23" s="126"/>
      <c r="E23" s="127"/>
    </row>
    <row r="24" spans="1:10" x14ac:dyDescent="0.35">
      <c r="A24" s="36" t="s">
        <v>37</v>
      </c>
      <c r="B24" s="36">
        <f>'1854'!F5-'1854'!E5+'1854'!F7-'1854'!E7+'1854'!F9-'1854'!E9+'1854'!F11-'1854'!E11+'1854'!F13-'1854'!E13+'1854'!F15-'1854'!E15+'1854'!F17-'1854'!E17+'1854'!F19-'1854'!E19+'1854'!F21-'1854'!E21+'1854'!F23-'1854'!E23</f>
        <v>21.787999999999972</v>
      </c>
      <c r="C24" s="36">
        <f>'1855'!F5-'1855'!E5+'1855'!F7-'1855'!E7+'1855'!F9-'1855'!E9+'1855'!F11-'1855'!E11+'1855'!F13-'1855'!E13+'1855'!F15-'1855'!E15+'1855'!F17-'1855'!E17+'1855'!F19-'1855'!E19+'1855'!F21-'1855'!E21+'1855'!F23-'1855'!E23</f>
        <v>19.909000000000013</v>
      </c>
      <c r="D24" s="36">
        <f>'1856'!F5-'1856'!E5+'1856'!F7-'1856'!E7+'1856'!F9-'1856'!E9+'1856'!F11-'1856'!E11+'1856'!F13-'1856'!E13+'1856'!F15-'1856'!E15+'1856'!F17-'1856'!E17+'1856'!F19-'1856'!E19+'1856'!F21-'1856'!E21+'1856'!F23-'1856'!E23</f>
        <v>18.219999999999988</v>
      </c>
      <c r="E24" s="36">
        <f>'1857'!F5-'1857'!E5+'1857'!F7-'1857'!E7+'1857'!F9-'1857'!E9+'1857'!F11-'1857'!E11+'1857'!F13-'1857'!E13+'1857'!F15-'1857'!E15+'1857'!F17-'1857'!E17+'1857'!F19-'1857'!E19+'1857'!F21-'1857'!E21+'1857'!F23-'1857'!E23</f>
        <v>18.534000000000006</v>
      </c>
      <c r="G24" s="133">
        <f>1-B24/B25</f>
        <v>0.11682205107417887</v>
      </c>
      <c r="H24" s="133">
        <f>1-C24/C25</f>
        <v>8.966620941929071E-2</v>
      </c>
      <c r="I24" s="133">
        <f>1-D24/D25</f>
        <v>5.3506493506494168E-2</v>
      </c>
      <c r="J24" s="133">
        <f>1-E24/E25</f>
        <v>7.0045158053183565E-2</v>
      </c>
    </row>
    <row r="25" spans="1:10" x14ac:dyDescent="0.35">
      <c r="A25" s="36" t="s">
        <v>38</v>
      </c>
      <c r="B25" s="43">
        <f>('1854'!F27-'1854'!E27)</f>
        <v>24.669999999999959</v>
      </c>
      <c r="C25" s="43">
        <f>('1855'!F27-'1855'!E27)</f>
        <v>21.869999999999891</v>
      </c>
      <c r="D25" s="43">
        <f>('1856'!F27-'1856'!E27)</f>
        <v>19.25</v>
      </c>
      <c r="E25" s="43">
        <f>('1857'!F27-'1857'!E27)</f>
        <v>19.92999999999995</v>
      </c>
    </row>
    <row r="26" spans="1:10" ht="18" x14ac:dyDescent="0.4">
      <c r="A26" s="125" t="s">
        <v>44</v>
      </c>
      <c r="B26" s="126"/>
      <c r="C26" s="126"/>
      <c r="D26" s="126"/>
      <c r="E26" s="127"/>
    </row>
    <row r="27" spans="1:10" x14ac:dyDescent="0.35">
      <c r="A27" s="36" t="s">
        <v>40</v>
      </c>
      <c r="B27" s="39">
        <f>'1854'!F25-'1854'!E25</f>
        <v>193</v>
      </c>
      <c r="C27" s="39">
        <f>'1855'!F25-'1855'!E25</f>
        <v>301</v>
      </c>
      <c r="D27" s="39">
        <f>'1856'!F25-'1856'!E25</f>
        <v>205</v>
      </c>
      <c r="E27" s="39">
        <f>'1857'!F25-'1857'!E25</f>
        <v>211</v>
      </c>
    </row>
    <row r="28" spans="1:10" x14ac:dyDescent="0.35">
      <c r="H28" s="33">
        <f>60*24</f>
        <v>1440</v>
      </c>
    </row>
    <row r="29" spans="1:10" x14ac:dyDescent="0.35">
      <c r="H29" s="33">
        <f>11*58</f>
        <v>638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I13:J13 G13:J17 I16:J17 G28:J65536">
    <cfRule type="cellIs" dxfId="35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7"/>
  <sheetViews>
    <sheetView workbookViewId="0">
      <selection activeCell="H14" sqref="H14"/>
    </sheetView>
  </sheetViews>
  <sheetFormatPr defaultColWidth="9" defaultRowHeight="17.5" x14ac:dyDescent="0.35"/>
  <cols>
    <col min="1" max="1" width="35" style="33" customWidth="1"/>
    <col min="2" max="5" width="11.453125" style="33" customWidth="1"/>
    <col min="6" max="6" width="6.81640625" style="33" customWidth="1"/>
    <col min="7" max="10" width="11.453125" style="33" customWidth="1"/>
    <col min="11" max="11" width="9.81640625" style="33" customWidth="1"/>
    <col min="12" max="15" width="9.7265625" style="33" customWidth="1"/>
    <col min="16" max="16" width="6.453125" style="33" customWidth="1"/>
    <col min="17" max="16384" width="9" style="33"/>
  </cols>
  <sheetData>
    <row r="1" spans="1:15" ht="18" x14ac:dyDescent="0.4">
      <c r="A1" s="34" t="s">
        <v>46</v>
      </c>
      <c r="B1" s="35">
        <f>'S1'!B1</f>
        <v>2025</v>
      </c>
    </row>
    <row r="2" spans="1:15" x14ac:dyDescent="0.35">
      <c r="L2" s="259" t="s">
        <v>313</v>
      </c>
    </row>
    <row r="3" spans="1:15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15" x14ac:dyDescent="0.35">
      <c r="A4" s="42" t="s">
        <v>32</v>
      </c>
      <c r="B4" s="36">
        <f>'1850'!G4-'1850'!F4+'1850'!G6-'1850'!F6+'1850'!G8-'1850'!F8+'1850'!G10-'1850'!F10+'1850'!G12-'1850'!F12+'1850'!G14-'1850'!F14+'1850'!G16-'1850'!F16+'1850'!G18-'1850'!F18+'1850'!G20-'1850'!F20+'1850'!G22-'1850'!F22</f>
        <v>81.423000000000002</v>
      </c>
      <c r="C4" s="36">
        <f>'1851'!H4-'1851'!G4+'1851'!H6-'1851'!G6+'1851'!H8-'1851'!G8+'1851'!H10-'1851'!G10+'1851'!H12-'1851'!G12+'1851'!H14-'1851'!G14+'1851'!H16-'1851'!G16+'1851'!H18-'1851'!G18+'1851'!H20-'1851'!G20+'1851'!H22-'1851'!G22+'1851'!H33-'1851'!G33+'1851'!H34-'1851'!G34+'1851'!H35-'1851'!G35+'1851'!H36-'1851'!G36+'1851'!H37-'1851'!G37+'1851'!H40-'1851'!G40+'1851'!H41-'1851'!G41+'1851'!H42-'1851'!G42+'1851'!H43-'1851'!G43+'1851'!H44-'1851'!G44+'1851'!H45-'1851'!G45+'1851'!H46-'1851'!G46+'1851'!H47-'1851'!G47+'1851'!H48-'1851'!G48+'1851'!H49-'1851'!G49</f>
        <v>84.988</v>
      </c>
      <c r="D4" s="36">
        <f>'1852'!G4-'1852'!F4+'1852'!G6-'1852'!F6+'1852'!G8-'1852'!F8+'1852'!G10-'1852'!F10+'1852'!G12-'1852'!F12+'1852'!G14-'1852'!F14+'1852'!G16-'1852'!F16+'1852'!G18-'1852'!F18+'1852'!G20-'1852'!F20+'1852'!G22-'1852'!F22</f>
        <v>81.137999999999977</v>
      </c>
      <c r="E4" s="36">
        <f>'1853'!G4-'1853'!F4+'1853'!G6-'1853'!F6+'1853'!G8-'1853'!F8+'1853'!G10-'1853'!F10+'1853'!G12-'1853'!F12+'1853'!G14-'1853'!F14+'1853'!G16-'1853'!F16+'1853'!G18-'1853'!F18+'1853'!G20-'1853'!F20+'1853'!G22-'1853'!F22+'1853'!G26-'1853'!F26</f>
        <v>85.230000000000018</v>
      </c>
      <c r="G4" s="133">
        <f>1-B4/B5</f>
        <v>7.3686006825938288E-2</v>
      </c>
      <c r="H4" s="133">
        <f>1-C4/C5</f>
        <v>7.4204793028322613E-2</v>
      </c>
      <c r="I4" s="133">
        <f>1-D4/D5</f>
        <v>8.7311586051743606E-2</v>
      </c>
      <c r="J4" s="133">
        <f>1-E4/E5</f>
        <v>0.10284210526315773</v>
      </c>
      <c r="L4" s="260">
        <v>0.12156089193824882</v>
      </c>
      <c r="M4" s="260">
        <v>6.317685589520039E-2</v>
      </c>
      <c r="N4" s="260">
        <v>8.7252873563218536E-2</v>
      </c>
      <c r="O4" s="260">
        <v>9.6567567567567014E-2</v>
      </c>
    </row>
    <row r="5" spans="1:15" x14ac:dyDescent="0.35">
      <c r="A5" s="42" t="s">
        <v>33</v>
      </c>
      <c r="B5" s="36">
        <f>'1850'!G26-'1850'!F26</f>
        <v>87.899999999999977</v>
      </c>
      <c r="C5" s="36">
        <f>'1851'!H26-'1851'!G26</f>
        <v>91.800000000000011</v>
      </c>
      <c r="D5" s="36">
        <f>'1852'!G26-'1852'!F26</f>
        <v>88.899999999999977</v>
      </c>
      <c r="E5" s="36">
        <f>'1853'!G27-'1853'!F27</f>
        <v>95</v>
      </c>
      <c r="L5" s="259"/>
      <c r="M5" s="259"/>
      <c r="N5" s="259"/>
      <c r="O5" s="259"/>
    </row>
    <row r="6" spans="1:15" x14ac:dyDescent="0.35">
      <c r="A6" s="42" t="s">
        <v>34</v>
      </c>
      <c r="B6" s="323">
        <f>SUM(B5:E5)</f>
        <v>363.59999999999997</v>
      </c>
      <c r="C6" s="323"/>
      <c r="D6" s="323"/>
      <c r="E6" s="323"/>
      <c r="G6" s="133">
        <f>1-B6/B7</f>
        <v>3.1691078561917552E-2</v>
      </c>
      <c r="L6" s="260">
        <v>4.2795566502460636E-2</v>
      </c>
      <c r="M6" s="259"/>
      <c r="N6" s="259"/>
      <c r="O6" s="259"/>
    </row>
    <row r="7" spans="1:15" x14ac:dyDescent="0.35">
      <c r="A7" s="42" t="s">
        <v>35</v>
      </c>
      <c r="B7" s="323">
        <f>'1850'!G29-'1850'!F29</f>
        <v>375.5</v>
      </c>
      <c r="C7" s="323"/>
      <c r="D7" s="323"/>
      <c r="E7" s="323"/>
      <c r="L7" s="259"/>
      <c r="M7" s="259"/>
      <c r="N7" s="259"/>
      <c r="O7" s="259"/>
    </row>
    <row r="8" spans="1:15" ht="18" x14ac:dyDescent="0.4">
      <c r="A8" s="125" t="s">
        <v>36</v>
      </c>
      <c r="B8" s="128"/>
      <c r="C8" s="126"/>
      <c r="D8" s="126"/>
      <c r="E8" s="127"/>
      <c r="L8" s="259"/>
      <c r="M8" s="259"/>
      <c r="N8" s="259"/>
      <c r="O8" s="259"/>
    </row>
    <row r="9" spans="1:15" x14ac:dyDescent="0.35">
      <c r="A9" s="36" t="s">
        <v>37</v>
      </c>
      <c r="B9" s="36">
        <f>'1850'!G5-'1850'!F5+'1850'!G7-'1850'!F7+'1850'!G9-'1850'!F9+'1850'!G11-'1850'!F11+'1850'!G13-'1850'!F13+'1850'!G15-'1850'!F15+'1850'!G17-'1850'!F17+'1850'!G19-'1850'!F19+'1850'!G21-'1850'!F21+'1850'!G23-'1850'!F23</f>
        <v>8.619000000000014</v>
      </c>
      <c r="C9" s="36">
        <f>'1851'!H5-'1851'!G5+'1851'!H7-'1851'!G7+'1851'!H9-'1851'!G9+'1851'!H11-'1851'!G11+'1851'!H13-'1851'!G13+'1851'!H15-'1851'!G15+'1851'!H17-'1851'!G17+'1851'!H19-'1851'!G19+'1851'!H21-'1851'!G21+'1851'!H23-'1851'!G23</f>
        <v>11.774999999999984</v>
      </c>
      <c r="D9" s="36">
        <f>'1852'!G5-'1852'!F5+'1852'!G7-'1852'!F7+'1852'!G9-'1852'!F9+'1852'!G11-'1852'!F11+'1852'!G13-'1852'!F13+'1852'!G15-'1852'!F15+'1852'!G17-'1852'!F17+'1852'!G19-'1852'!F19+'1852'!G21-'1852'!F21+'1852'!G23-'1852'!F23</f>
        <v>10.930999999999983</v>
      </c>
      <c r="E9" s="36">
        <f>'1853'!G5-'1853'!F5+'1853'!G7-'1853'!F7+'1853'!G9-'1853'!F9+'1853'!G11-'1853'!F11+'1853'!G13-'1853'!F13+'1853'!G15-'1853'!F15+'1853'!G17-'1853'!F17+'1853'!G19-'1853'!F19+'1853'!G21-'1853'!F21+'1853'!G23-'1853'!F23</f>
        <v>9.0579999999999927</v>
      </c>
      <c r="G9" s="133">
        <f>1-B9/B10</f>
        <v>-0.38346709470304807</v>
      </c>
      <c r="H9" s="133">
        <f>1-C9/C10</f>
        <v>6.3990461049288849E-2</v>
      </c>
      <c r="I9" s="133">
        <f>1-D9/D10</f>
        <v>-0.25355504587155386</v>
      </c>
      <c r="J9" s="133">
        <f>1-E9/E10</f>
        <v>-5.0812064965195747E-2</v>
      </c>
      <c r="L9" s="260">
        <v>5.2057094878253163E-2</v>
      </c>
      <c r="M9" s="260">
        <v>0.12181409295351819</v>
      </c>
      <c r="N9" s="260">
        <v>1.9920318725095143E-2</v>
      </c>
      <c r="O9" s="260">
        <v>3.7235627047957576E-2</v>
      </c>
    </row>
    <row r="10" spans="1:15" x14ac:dyDescent="0.35">
      <c r="A10" s="36" t="s">
        <v>38</v>
      </c>
      <c r="B10" s="43">
        <f>('1850'!G27-'1850'!F27)</f>
        <v>6.2300000000000182</v>
      </c>
      <c r="C10" s="43">
        <f>('1851'!H27-'1851'!G27)</f>
        <v>12.580000000000041</v>
      </c>
      <c r="D10" s="43">
        <f>('1852'!G27-'1852'!F27)</f>
        <v>8.7200000000000273</v>
      </c>
      <c r="E10" s="43">
        <f>('1853'!G28-'1853'!F28)</f>
        <v>8.6200000000000045</v>
      </c>
      <c r="L10" s="259"/>
      <c r="M10" s="259"/>
      <c r="N10" s="259"/>
      <c r="O10" s="259"/>
    </row>
    <row r="11" spans="1:15" ht="18" x14ac:dyDescent="0.4">
      <c r="A11" s="125" t="s">
        <v>44</v>
      </c>
      <c r="B11" s="126"/>
      <c r="C11" s="126"/>
      <c r="D11" s="126"/>
      <c r="E11" s="127"/>
      <c r="L11" s="259"/>
      <c r="M11" s="259"/>
      <c r="N11" s="259"/>
      <c r="O11" s="259"/>
    </row>
    <row r="12" spans="1:15" x14ac:dyDescent="0.35">
      <c r="A12" s="36" t="s">
        <v>40</v>
      </c>
      <c r="B12" s="39">
        <f>'1850'!G25-'1850'!F25</f>
        <v>187</v>
      </c>
      <c r="C12" s="39">
        <f>'1851'!H24-'1851'!G24</f>
        <v>202</v>
      </c>
      <c r="D12" s="39">
        <f>'1852'!G25-'1852'!F25</f>
        <v>237</v>
      </c>
      <c r="E12" s="39">
        <f>'1853'!G24-'1853'!F24</f>
        <v>177</v>
      </c>
      <c r="L12" s="259"/>
      <c r="M12" s="259"/>
      <c r="N12" s="259"/>
      <c r="O12" s="259"/>
    </row>
    <row r="13" spans="1:15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261"/>
      <c r="M13" s="261"/>
      <c r="N13" s="261"/>
      <c r="O13" s="261"/>
    </row>
    <row r="14" spans="1:15" x14ac:dyDescent="0.35">
      <c r="A14" s="33" t="s">
        <v>41</v>
      </c>
      <c r="B14" s="40">
        <f>'1853'!G25-'1853'!F25</f>
        <v>265</v>
      </c>
      <c r="C14" s="40"/>
      <c r="D14" s="40"/>
      <c r="E14" s="40"/>
      <c r="F14" s="40"/>
      <c r="G14" s="40"/>
      <c r="H14" s="40"/>
      <c r="I14" s="40"/>
      <c r="J14" s="40"/>
      <c r="L14" s="261"/>
      <c r="M14" s="261"/>
      <c r="N14" s="261"/>
      <c r="O14" s="261"/>
    </row>
    <row r="15" spans="1:15" x14ac:dyDescent="0.35">
      <c r="A15" s="33" t="s">
        <v>42</v>
      </c>
      <c r="B15" s="41">
        <f>'1853'!G26-'1853'!F26</f>
        <v>8.5660000000000309</v>
      </c>
      <c r="C15" s="40"/>
      <c r="D15" s="40"/>
      <c r="E15" s="40"/>
      <c r="F15" s="40"/>
      <c r="G15" s="40"/>
      <c r="H15" s="40"/>
      <c r="I15" s="40"/>
      <c r="J15" s="40"/>
      <c r="K15" s="40"/>
      <c r="L15" s="261"/>
      <c r="M15" s="261"/>
      <c r="N15" s="261"/>
      <c r="O15" s="261"/>
    </row>
    <row r="16" spans="1:15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261"/>
      <c r="M16" s="261"/>
      <c r="N16" s="261"/>
      <c r="O16" s="261"/>
    </row>
    <row r="17" spans="1:15" x14ac:dyDescent="0.35">
      <c r="L17" s="259"/>
      <c r="M17" s="259"/>
      <c r="N17" s="259"/>
      <c r="O17" s="259"/>
    </row>
    <row r="18" spans="1:15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  <c r="L18" s="259"/>
      <c r="M18" s="259"/>
      <c r="N18" s="259"/>
      <c r="O18" s="259"/>
    </row>
    <row r="19" spans="1:15" x14ac:dyDescent="0.35">
      <c r="A19" s="36" t="s">
        <v>32</v>
      </c>
      <c r="B19" s="36">
        <f>'1854'!G4-'1854'!F4+'1854'!G6-'1854'!F6+'1854'!G8-'1854'!F8+'1854'!G10-'1854'!F10+'1854'!G12-'1854'!F12+'1854'!G14-'1854'!F14+'1854'!G16-'1854'!F16+'1854'!G18-'1854'!F18+'1854'!G20-'1854'!F20+'1854'!G22-'1854'!F22</f>
        <v>60.835000000000015</v>
      </c>
      <c r="C19" s="36">
        <f>'1855'!G4-'1855'!F4+'1855'!G6-'1855'!F6+'1855'!G8-'1855'!F8+'1855'!G10-'1855'!F10+'1855'!G12-'1855'!F12+'1855'!G14-'1855'!F14+'1855'!G16-'1855'!F16+'1855'!G18-'1855'!F18+'1855'!G20-'1855'!F20+'1855'!G22-'1855'!F22</f>
        <v>74.146000000000001</v>
      </c>
      <c r="D19" s="36">
        <f>'1856'!G4-'1856'!F4+'1856'!G6-'1856'!F6+'1856'!G8-'1856'!F8+'1856'!G10-'1856'!F10+'1856'!G12-'1856'!F12+'1856'!G14-'1856'!F14+'1856'!G16-'1856'!F16+'1856'!G18-'1856'!F18+'1856'!G20-'1856'!F20+'1856'!G22-'1856'!F22</f>
        <v>68.887</v>
      </c>
      <c r="E19" s="36">
        <f>'1857'!G4-'1857'!F4+'1857'!G6-'1857'!F6+'1857'!G8-'1857'!F8+'1857'!G10-'1857'!F10+'1857'!G12-'1857'!F12+'1857'!G14-'1857'!F14+'1857'!G16-'1857'!F16+'1857'!G18-'1857'!F18+'1857'!G20-'1857'!F20+'1857'!G22-'1857'!F22</f>
        <v>72.454999999999998</v>
      </c>
      <c r="G19" s="133">
        <f>1-B19/B20</f>
        <v>8.2428355957767208E-2</v>
      </c>
      <c r="H19" s="133">
        <f>1-C19/C20</f>
        <v>5.3052362707535217E-2</v>
      </c>
      <c r="I19" s="133">
        <f>1-D19/D20</f>
        <v>8.8796296296295929E-2</v>
      </c>
      <c r="J19" s="133">
        <f>1-E19/E20</f>
        <v>8.7468513853904084E-2</v>
      </c>
      <c r="L19" s="260">
        <v>9.4204152249139472E-2</v>
      </c>
      <c r="M19" s="260">
        <v>0.12833558863329009</v>
      </c>
      <c r="N19" s="260">
        <v>9.7749683944373222E-2</v>
      </c>
      <c r="O19" s="260">
        <v>0.10306849315068489</v>
      </c>
    </row>
    <row r="20" spans="1:15" x14ac:dyDescent="0.35">
      <c r="A20" s="36" t="s">
        <v>33</v>
      </c>
      <c r="B20" s="36">
        <f>'1854'!G26-'1854'!F26</f>
        <v>66.299999999999983</v>
      </c>
      <c r="C20" s="36">
        <f>'1855'!G26-'1855'!F26</f>
        <v>78.300000000000011</v>
      </c>
      <c r="D20" s="36">
        <f>'1856'!G26-'1856'!F26</f>
        <v>75.599999999999966</v>
      </c>
      <c r="E20" s="36">
        <f>'1857'!G26-'1857'!F26</f>
        <v>79.399999999999977</v>
      </c>
      <c r="L20" s="259"/>
      <c r="M20" s="259"/>
      <c r="N20" s="259"/>
      <c r="O20" s="259"/>
    </row>
    <row r="21" spans="1:15" x14ac:dyDescent="0.35">
      <c r="A21" s="36" t="s">
        <v>34</v>
      </c>
      <c r="B21" s="323">
        <f>SUM(B20:E20)</f>
        <v>299.59999999999991</v>
      </c>
      <c r="C21" s="323"/>
      <c r="D21" s="323"/>
      <c r="E21" s="323"/>
      <c r="G21" s="133">
        <f>1-B21/B22</f>
        <v>-2.9907184599519798E-2</v>
      </c>
      <c r="L21" s="260">
        <v>-4.7619047619042565E-2</v>
      </c>
      <c r="M21" s="259"/>
      <c r="N21" s="259"/>
      <c r="O21" s="259"/>
    </row>
    <row r="22" spans="1:15" x14ac:dyDescent="0.35">
      <c r="A22" s="36" t="s">
        <v>35</v>
      </c>
      <c r="B22" s="323">
        <f>'1854'!G29-'1854'!F29</f>
        <v>290.89999999999964</v>
      </c>
      <c r="C22" s="323"/>
      <c r="D22" s="323"/>
      <c r="E22" s="323"/>
      <c r="L22" s="259"/>
      <c r="M22" s="259"/>
      <c r="N22" s="259"/>
      <c r="O22" s="259"/>
    </row>
    <row r="23" spans="1:15" ht="18" x14ac:dyDescent="0.4">
      <c r="A23" s="125" t="s">
        <v>36</v>
      </c>
      <c r="B23" s="126"/>
      <c r="C23" s="126"/>
      <c r="D23" s="126"/>
      <c r="E23" s="127"/>
      <c r="L23" s="259"/>
      <c r="M23" s="259"/>
      <c r="N23" s="259"/>
      <c r="O23" s="259"/>
    </row>
    <row r="24" spans="1:15" x14ac:dyDescent="0.35">
      <c r="A24" s="36" t="s">
        <v>37</v>
      </c>
      <c r="B24" s="36">
        <f>'1854'!G5-'1854'!F5+'1854'!G7-'1854'!F7+'1854'!G9-'1854'!F9+'1854'!G11-'1854'!F11+'1854'!G13-'1854'!F13+'1854'!G15-'1854'!F15+'1854'!G17-'1854'!F17+'1854'!G19-'1854'!F19+'1854'!G21-'1854'!F21+'1854'!G23-'1854'!F23</f>
        <v>11.623999999999995</v>
      </c>
      <c r="C24" s="36">
        <f>'1855'!G5-'1855'!F5+'1855'!G7-'1855'!F7+'1855'!G9-'1855'!F9+'1855'!G11-'1855'!F11+'1855'!G13-'1855'!F13+'1855'!G15-'1855'!F15+'1855'!G17-'1855'!F17+'1855'!G19-'1855'!F19+'1855'!G21-'1855'!F21+'1855'!G23-'1855'!F23</f>
        <v>10.236000000000004</v>
      </c>
      <c r="D24" s="36">
        <f>'1856'!G5-'1856'!F5+'1856'!G7-'1856'!F7+'1856'!G9-'1856'!F9+'1856'!G11-'1856'!F11+'1856'!G13-'1856'!F13+'1856'!G15-'1856'!F15+'1856'!G17-'1856'!F17+'1856'!G19-'1856'!F19+'1856'!G21-'1856'!F21+'1856'!G23-'1856'!F23</f>
        <v>7.9380000000000024</v>
      </c>
      <c r="E24" s="36">
        <f>'1857'!G5-'1857'!F5+'1857'!G7-'1857'!F7+'1857'!G9-'1857'!F9+'1857'!G11-'1857'!F11+'1857'!G13-'1857'!F13+'1857'!G15-'1857'!F15+'1857'!G17-'1857'!F17+'1857'!G19-'1857'!F19+'1857'!G21-'1857'!F21+'1857'!G23-'1857'!F23</f>
        <v>8.9689999999999941</v>
      </c>
      <c r="G24" s="133">
        <f>1-B24/B25</f>
        <v>8.6881382560881515E-2</v>
      </c>
      <c r="H24" s="133">
        <f>1-C24/C25</f>
        <v>7.0299727520434785E-2</v>
      </c>
      <c r="I24" s="133">
        <f>1-D24/D25</f>
        <v>-4.1732283464566589E-2</v>
      </c>
      <c r="J24" s="133">
        <f>1-E24/E25</f>
        <v>-3.3294930875567674E-2</v>
      </c>
      <c r="L24" s="260">
        <v>4.3912529550825363E-2</v>
      </c>
      <c r="M24" s="260">
        <v>9.7775242441528909E-2</v>
      </c>
      <c r="N24" s="260">
        <v>2.7994428969354668E-2</v>
      </c>
      <c r="O24" s="260">
        <v>7.4728588661038708E-2</v>
      </c>
    </row>
    <row r="25" spans="1:15" x14ac:dyDescent="0.35">
      <c r="A25" s="36" t="s">
        <v>38</v>
      </c>
      <c r="B25" s="43">
        <f>('1854'!G27-'1854'!F27)</f>
        <v>12.730000000000018</v>
      </c>
      <c r="C25" s="43">
        <f>('1855'!G27-'1855'!F27)</f>
        <v>11.009999999999991</v>
      </c>
      <c r="D25" s="43">
        <f>('1856'!G27-'1856'!F27)</f>
        <v>7.6200000000000045</v>
      </c>
      <c r="E25" s="43">
        <f>('1857'!G27-'1857'!F27)</f>
        <v>8.6800000000000637</v>
      </c>
    </row>
    <row r="26" spans="1:15" ht="18" x14ac:dyDescent="0.4">
      <c r="A26" s="125" t="s">
        <v>44</v>
      </c>
      <c r="B26" s="126"/>
      <c r="C26" s="126"/>
      <c r="D26" s="126"/>
      <c r="E26" s="127"/>
    </row>
    <row r="27" spans="1:15" x14ac:dyDescent="0.35">
      <c r="A27" s="36" t="s">
        <v>40</v>
      </c>
      <c r="B27" s="39">
        <f>'1854'!G25-'1854'!F25</f>
        <v>186</v>
      </c>
      <c r="C27" s="39">
        <f>'1855'!G25-'1855'!F25</f>
        <v>211</v>
      </c>
      <c r="D27" s="39">
        <f>'1856'!G25-'1856'!F25</f>
        <v>186</v>
      </c>
      <c r="E27" s="39">
        <f>'1857'!G25-'1857'!F25</f>
        <v>207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13 C16:E20 C23:E65536">
    <cfRule type="cellIs" dxfId="34" priority="4" stopIfTrue="1" operator="lessThan">
      <formula>0</formula>
    </cfRule>
  </conditionalFormatting>
  <conditionalFormatting sqref="G1:J2 I13:J13 G13:J17 I16:J17 G28:J65536">
    <cfRule type="cellIs" dxfId="33" priority="2" stopIfTrue="1" operator="lessThan">
      <formula>0</formula>
    </cfRule>
  </conditionalFormatting>
  <conditionalFormatting sqref="L13:O17">
    <cfRule type="cellIs" dxfId="32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7"/>
  <sheetViews>
    <sheetView workbookViewId="0">
      <selection activeCell="B27" sqref="B27:E27"/>
    </sheetView>
  </sheetViews>
  <sheetFormatPr defaultColWidth="9" defaultRowHeight="17.5" x14ac:dyDescent="0.35"/>
  <cols>
    <col min="1" max="1" width="35" style="33" customWidth="1"/>
    <col min="2" max="10" width="11.453125" style="33" customWidth="1"/>
    <col min="11" max="17" width="9.81640625" style="33" customWidth="1"/>
    <col min="18" max="21" width="6.453125" style="33" customWidth="1"/>
    <col min="22" max="16384" width="9" style="33"/>
  </cols>
  <sheetData>
    <row r="1" spans="1:17" ht="18" x14ac:dyDescent="0.4">
      <c r="A1" s="34" t="s">
        <v>47</v>
      </c>
      <c r="B1" s="35">
        <f>'S1'!B1</f>
        <v>2025</v>
      </c>
    </row>
    <row r="3" spans="1:17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17" x14ac:dyDescent="0.35">
      <c r="A4" s="42" t="s">
        <v>32</v>
      </c>
      <c r="B4" s="36">
        <f>'1850'!H4-'1850'!G4+'1850'!H6-'1850'!G6+'1850'!H8-'1850'!G8+'1850'!H10-'1850'!G10+'1850'!H12-'1850'!G12+'1850'!H14-'1850'!G14+'1850'!H16-'1850'!G16+'1850'!H18-'1850'!G18+'1850'!H20-'1850'!G20+'1850'!H22-'1850'!G22</f>
        <v>72.66</v>
      </c>
      <c r="C4" s="36">
        <f>'1851'!I4-'1851'!H4+'1851'!I6-'1851'!H6+'1851'!I8-'1851'!H8+'1851'!I10-'1851'!H10+'1851'!I12-'1851'!H12+'1851'!I14-'1851'!H14+'1851'!I16-'1851'!H16+'1851'!I18-'1851'!H18+'1851'!I20-'1851'!H20+'1851'!I22-'1851'!H22+'1851'!I33-'1851'!H33+'1851'!I34-'1851'!H34+'1851'!I35-'1851'!H35+'1851'!I36-'1851'!H36+'1851'!I37-'1851'!H37+'1851'!I40-'1851'!H40+'1851'!I41-'1851'!H41+'1851'!I42-'1851'!H42+'1851'!I43-'1851'!H43+'1851'!I44-'1851'!H44+'1851'!I45-'1851'!H45+'1851'!I46-'1851'!H46+'1851'!I47-'1851'!H47+'1851'!I48-'1851'!H48+'1851'!I49-'1851'!H49</f>
        <v>81.241100000000046</v>
      </c>
      <c r="D4" s="36">
        <f>'1852'!H4-'1852'!G4+'1852'!H6-'1852'!G6+'1852'!H8-'1852'!G8+'1852'!H10-'1852'!G10+'1852'!H12-'1852'!G12+'1852'!H14-'1852'!G14+'1852'!H16-'1852'!G16+'1852'!H18-'1852'!G18+'1852'!H20-'1852'!G20+'1852'!H22-'1852'!G22</f>
        <v>78.948000000000008</v>
      </c>
      <c r="E4" s="36">
        <f>'1853'!H4-'1853'!G4+'1853'!H6-'1853'!G6+'1853'!H8-'1853'!G8+'1853'!H10-'1853'!G10+'1853'!H12-'1853'!G12+'1853'!H14-'1853'!G14+'1853'!H16-'1853'!G16+'1853'!H18-'1853'!G18+'1853'!H20-'1853'!G20+'1853'!H22-'1853'!G22+'1853'!H26-'1853'!G26</f>
        <v>88.821000000000026</v>
      </c>
      <c r="G4" s="133">
        <f>1-B4/B5</f>
        <v>8.2575757575758191E-2</v>
      </c>
      <c r="H4" s="133">
        <f>1-C4/C5</f>
        <v>8.4091319052986946E-2</v>
      </c>
      <c r="I4" s="133">
        <f>1-D4/D5</f>
        <v>9.1507479861909879E-2</v>
      </c>
      <c r="J4" s="133">
        <f>1-E4/E5</f>
        <v>9.1809815950920082E-2</v>
      </c>
    </row>
    <row r="5" spans="1:17" x14ac:dyDescent="0.35">
      <c r="A5" s="42" t="s">
        <v>33</v>
      </c>
      <c r="B5" s="36">
        <f>'1850'!H26-'1850'!G26</f>
        <v>79.200000000000045</v>
      </c>
      <c r="C5" s="36">
        <f>'1851'!I26-'1851'!H26</f>
        <v>88.699999999999989</v>
      </c>
      <c r="D5" s="36">
        <f>'1852'!H26-'1852'!G26</f>
        <v>86.899999999999977</v>
      </c>
      <c r="E5" s="36">
        <f>'1853'!H27-'1853'!G27</f>
        <v>97.800000000000011</v>
      </c>
    </row>
    <row r="6" spans="1:17" x14ac:dyDescent="0.35">
      <c r="A6" s="42" t="s">
        <v>34</v>
      </c>
      <c r="B6" s="323">
        <f>SUM(B5:E5)</f>
        <v>352.6</v>
      </c>
      <c r="C6" s="323"/>
      <c r="D6" s="323"/>
      <c r="E6" s="323"/>
      <c r="G6" s="133">
        <f>1-B6/B7</f>
        <v>3.185063152114409E-2</v>
      </c>
    </row>
    <row r="7" spans="1:17" x14ac:dyDescent="0.35">
      <c r="A7" s="42" t="s">
        <v>35</v>
      </c>
      <c r="B7" s="323">
        <f>'1850'!H29-'1850'!G29</f>
        <v>364.20000000000073</v>
      </c>
      <c r="C7" s="323"/>
      <c r="D7" s="323"/>
      <c r="E7" s="323"/>
    </row>
    <row r="8" spans="1:17" ht="18" x14ac:dyDescent="0.4">
      <c r="A8" s="125" t="s">
        <v>36</v>
      </c>
      <c r="B8" s="128"/>
      <c r="C8" s="128"/>
      <c r="D8" s="126"/>
      <c r="E8" s="127"/>
    </row>
    <row r="9" spans="1:17" x14ac:dyDescent="0.35">
      <c r="A9" s="36" t="s">
        <v>37</v>
      </c>
      <c r="B9" s="36">
        <f>'1850'!H5-'1850'!G5+'1850'!H7-'1850'!G7+'1850'!H9-'1850'!G9+'1850'!H11-'1850'!G11+'1850'!H13-'1850'!G13+'1850'!H15-'1850'!G15+'1850'!H17-'1850'!G17+'1850'!H19-'1850'!G19+'1850'!H21-'1850'!G21+'1850'!H23-'1850'!G23</f>
        <v>5.7679999999999865</v>
      </c>
      <c r="C9" s="36">
        <f>'1851'!I5-'1851'!H5+'1851'!I7-'1851'!H7+'1851'!I9-'1851'!H9+'1851'!I11-'1851'!H11+'1851'!I13-'1851'!H13+'1851'!I15-'1851'!H15+'1851'!I17-'1851'!H17+'1851'!I19-'1851'!H19+'1851'!I21-'1851'!H21+'1851'!I23-'1851'!H23</f>
        <v>7.0799999999999912</v>
      </c>
      <c r="D9" s="36">
        <f>'1852'!H5-'1852'!G5+'1852'!H7-'1852'!G7+'1852'!H9-'1852'!G9+'1852'!H11-'1852'!G11+'1852'!H13-'1852'!G13+'1852'!H15-'1852'!G15+'1852'!H17-'1852'!G17+'1852'!H19-'1852'!G19+'1852'!H21-'1852'!G21+'1852'!H23-'1852'!G23</f>
        <v>6.2260000000000133</v>
      </c>
      <c r="E9" s="36">
        <f>'1853'!H5-'1853'!G5+'1853'!H7-'1853'!G7+'1853'!H9-'1853'!G9+'1853'!H11-'1853'!G11+'1853'!H13-'1853'!G13+'1853'!H15-'1853'!G15+'1853'!H17-'1853'!G17+'1853'!H19-'1853'!G19+'1853'!H21-'1853'!G21+'1853'!H23-'1853'!G23</f>
        <v>5.1680000000000064</v>
      </c>
      <c r="G9" s="133">
        <f>1-B9/B10</f>
        <v>-0.72179104477610379</v>
      </c>
      <c r="H9" s="133">
        <f>1-C9/C10</f>
        <v>0.15914489311163593</v>
      </c>
      <c r="I9" s="133">
        <f>1-D9/D10</f>
        <v>-0.26032388663967931</v>
      </c>
      <c r="J9" s="133">
        <f>1-E9/E10</f>
        <v>-0.14844444444444593</v>
      </c>
    </row>
    <row r="10" spans="1:17" x14ac:dyDescent="0.35">
      <c r="A10" s="36" t="s">
        <v>38</v>
      </c>
      <c r="B10" s="43">
        <f>('1850'!H27-'1850'!G27)</f>
        <v>3.3500000000000227</v>
      </c>
      <c r="C10" s="43">
        <f>('1851'!I27-'1851'!H27)</f>
        <v>8.4199999999999591</v>
      </c>
      <c r="D10" s="43">
        <f>('1852'!H27-'1852'!G27)</f>
        <v>4.9399999999999977</v>
      </c>
      <c r="E10" s="43">
        <f>('1853'!H28-'1853'!G28)</f>
        <v>4.5</v>
      </c>
    </row>
    <row r="11" spans="1:17" ht="18" x14ac:dyDescent="0.4">
      <c r="A11" s="125" t="s">
        <v>44</v>
      </c>
      <c r="B11" s="126"/>
      <c r="C11" s="126"/>
      <c r="D11" s="126"/>
      <c r="E11" s="127"/>
    </row>
    <row r="12" spans="1:17" x14ac:dyDescent="0.35">
      <c r="A12" s="36" t="s">
        <v>40</v>
      </c>
      <c r="B12" s="39">
        <f>'1850'!H25-'1850'!G25</f>
        <v>220</v>
      </c>
      <c r="C12" s="39">
        <f>'1851'!I24-'1851'!H24</f>
        <v>189</v>
      </c>
      <c r="D12" s="39">
        <f>'1852'!H25-'1852'!G25</f>
        <v>177</v>
      </c>
      <c r="E12" s="39">
        <f>'1853'!H24-'1853'!G24</f>
        <v>167</v>
      </c>
    </row>
    <row r="13" spans="1:17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</row>
    <row r="14" spans="1:17" x14ac:dyDescent="0.35">
      <c r="A14" s="33" t="s">
        <v>41</v>
      </c>
      <c r="B14" s="40">
        <f>'1853'!H25-'1853'!G25</f>
        <v>228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spans="1:17" x14ac:dyDescent="0.35">
      <c r="A15" s="33" t="s">
        <v>42</v>
      </c>
      <c r="B15" s="41">
        <f>'1853'!H26-'1853'!G26</f>
        <v>15.412000000000035</v>
      </c>
      <c r="C15" s="41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 spans="1:17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</row>
    <row r="18" spans="1:14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4" x14ac:dyDescent="0.35">
      <c r="A19" s="36" t="s">
        <v>32</v>
      </c>
      <c r="B19" s="36">
        <f>'1854'!H4-'1854'!G4+'1854'!H6-'1854'!G6+'1854'!H8-'1854'!G8+'1854'!H10-'1854'!G10+'1854'!H12-'1854'!G12+'1854'!H14-'1854'!G14+'1854'!H16-'1854'!G16+'1854'!H18-'1854'!G18+'1854'!H20-'1854'!G20+'1854'!H22-'1854'!G22</f>
        <v>51.726999999999983</v>
      </c>
      <c r="C19" s="36">
        <f>'1855'!H4-'1855'!G4+'1855'!H6-'1855'!G6+'1855'!H8-'1855'!G8+'1855'!H10-'1855'!G10+'1855'!H12-'1855'!G12+'1855'!H14-'1855'!G14+'1855'!H16-'1855'!G16+'1855'!H18-'1855'!G18+'1855'!H20-'1855'!G20+'1855'!H22-'1855'!G22</f>
        <v>68.90300000000002</v>
      </c>
      <c r="D19" s="36">
        <f>'1856'!H4-'1856'!G4+'1856'!H6-'1856'!G6+'1856'!H8-'1856'!G8+'1856'!H10-'1856'!G10+'1856'!H12-'1856'!G12+'1856'!H14-'1856'!G14+'1856'!H16-'1856'!G16+'1856'!H18-'1856'!G18+'1856'!H20-'1856'!G20+'1856'!H22-'1856'!G22</f>
        <v>67.361000000000018</v>
      </c>
      <c r="E19" s="36">
        <f>'1857'!H4-'1857'!G4+'1857'!H6-'1857'!G6+'1857'!H8-'1857'!G8+'1857'!H10-'1857'!G10+'1857'!H12-'1857'!G12+'1857'!H14-'1857'!G14+'1857'!H16-'1857'!G16+'1857'!H18-'1857'!G18+'1857'!H20-'1857'!G20+'1857'!H22-'1857'!G22</f>
        <v>73.603000000000009</v>
      </c>
      <c r="G19" s="133">
        <f>1-B19/B20</f>
        <v>8.6095406360424676E-2</v>
      </c>
      <c r="H19" s="133">
        <f>1-C19/C20</f>
        <v>5.6123287671232647E-2</v>
      </c>
      <c r="I19" s="133">
        <f>1-D19/D20</f>
        <v>8.9716216216215949E-2</v>
      </c>
      <c r="J19" s="133">
        <f>1-E19/E20</f>
        <v>8.3399750933997541E-2</v>
      </c>
    </row>
    <row r="20" spans="1:14" x14ac:dyDescent="0.35">
      <c r="A20" s="36" t="s">
        <v>33</v>
      </c>
      <c r="B20" s="36">
        <f>'1854'!H26-'1854'!G26</f>
        <v>56.600000000000023</v>
      </c>
      <c r="C20" s="36">
        <f>'1855'!H26-'1855'!G26</f>
        <v>73</v>
      </c>
      <c r="D20" s="36">
        <f>'1856'!H26-'1856'!G26</f>
        <v>74</v>
      </c>
      <c r="E20" s="36">
        <f>'1857'!H26-'1857'!G26</f>
        <v>80.300000000000011</v>
      </c>
    </row>
    <row r="21" spans="1:14" x14ac:dyDescent="0.35">
      <c r="A21" s="36" t="s">
        <v>34</v>
      </c>
      <c r="B21" s="323">
        <f>SUM(B20:E20)</f>
        <v>283.90000000000003</v>
      </c>
      <c r="C21" s="323"/>
      <c r="D21" s="323"/>
      <c r="E21" s="323"/>
      <c r="G21" s="133">
        <f>1-B21/B22</f>
        <v>-3.4620991253645705E-2</v>
      </c>
    </row>
    <row r="22" spans="1:14" x14ac:dyDescent="0.35">
      <c r="A22" s="36" t="s">
        <v>35</v>
      </c>
      <c r="B22" s="323">
        <f>'1854'!H29-'1854'!G29</f>
        <v>274.39999999999964</v>
      </c>
      <c r="C22" s="323"/>
      <c r="D22" s="323"/>
      <c r="E22" s="323"/>
    </row>
    <row r="23" spans="1:14" ht="18" x14ac:dyDescent="0.4">
      <c r="A23" s="125" t="s">
        <v>36</v>
      </c>
      <c r="B23" s="126"/>
      <c r="C23" s="126"/>
      <c r="D23" s="126"/>
      <c r="E23" s="127"/>
    </row>
    <row r="24" spans="1:14" x14ac:dyDescent="0.35">
      <c r="A24" s="36" t="s">
        <v>37</v>
      </c>
      <c r="B24" s="36">
        <f>'1854'!H5-'1854'!G5+'1854'!H7-'1854'!G7+'1854'!H9-'1854'!G9+'1854'!H11-'1854'!G11+'1854'!H13-'1854'!G13+'1854'!H15-'1854'!G15+'1854'!H17-'1854'!G17+'1854'!H19-'1854'!G19+'1854'!H21-'1854'!G21+'1854'!H23-'1854'!G23</f>
        <v>6.5739999999999936</v>
      </c>
      <c r="C24" s="36">
        <f>'1855'!H5-'1855'!G5+'1855'!H7-'1855'!G7+'1855'!H9-'1855'!G9+'1855'!H11-'1855'!G11+'1855'!H13-'1855'!G13+'1855'!H15-'1855'!G15+'1855'!H17-'1855'!G17+'1855'!H19-'1855'!G19+'1855'!H21-'1855'!G21+'1855'!H23-'1855'!G23</f>
        <v>6.8379999999999725</v>
      </c>
      <c r="D24" s="36">
        <f>'1856'!H5-'1856'!G5+'1856'!H7-'1856'!G7+'1856'!H9-'1856'!G9+'1856'!H11-'1856'!G11+'1856'!H13-'1856'!G13+'1856'!H15-'1856'!G15+'1856'!H17-'1856'!G17+'1856'!H19-'1856'!G19+'1856'!H21-'1856'!G21+'1856'!H23-'1856'!G23</f>
        <v>5.5290000000000106</v>
      </c>
      <c r="E24" s="36">
        <f>'1857'!H5-'1857'!G5+'1857'!H7-'1857'!G7+'1857'!H9-'1857'!G9+'1857'!H11-'1857'!G11+'1857'!H13-'1857'!G13+'1857'!H15-'1857'!G15+'1857'!H17-'1857'!G17+'1857'!H19-'1857'!G19+'1857'!H21-'1857'!G21+'1857'!H23-'1857'!G23</f>
        <v>6.7409999999999997</v>
      </c>
      <c r="G24" s="133">
        <f>1-B24/B25</f>
        <v>-1.4506172839502396E-2</v>
      </c>
      <c r="H24" s="133">
        <f>1-C24/C25</f>
        <v>3.2814710042459061E-2</v>
      </c>
      <c r="I24" s="133">
        <f>1-D24/D25</f>
        <v>-0.10359281437126167</v>
      </c>
      <c r="J24" s="133">
        <f>1-E24/E25</f>
        <v>-9.6097560975613838E-2</v>
      </c>
    </row>
    <row r="25" spans="1:14" x14ac:dyDescent="0.35">
      <c r="A25" s="36" t="s">
        <v>38</v>
      </c>
      <c r="B25" s="43">
        <f>('1854'!H27-'1854'!G27)</f>
        <v>6.4800000000000182</v>
      </c>
      <c r="C25" s="43">
        <f>('1855'!H27-'1855'!G27)</f>
        <v>7.0700000000001637</v>
      </c>
      <c r="D25" s="43">
        <f>('1856'!H27-'1856'!G27)</f>
        <v>5.0099999999999909</v>
      </c>
      <c r="E25" s="43">
        <f>('1857'!H27-'1857'!G27)</f>
        <v>6.1499999999999773</v>
      </c>
    </row>
    <row r="26" spans="1:14" ht="18" x14ac:dyDescent="0.4">
      <c r="A26" s="125" t="s">
        <v>44</v>
      </c>
      <c r="B26" s="126"/>
      <c r="C26" s="126"/>
      <c r="D26" s="126"/>
      <c r="E26" s="127"/>
      <c r="N26" s="33" t="s">
        <v>317</v>
      </c>
    </row>
    <row r="27" spans="1:14" x14ac:dyDescent="0.35">
      <c r="A27" s="36" t="s">
        <v>40</v>
      </c>
      <c r="B27" s="39">
        <f>'1854'!H25-'1854'!G25</f>
        <v>184</v>
      </c>
      <c r="C27" s="39">
        <f>'1855'!H25-'1855'!G25</f>
        <v>197</v>
      </c>
      <c r="D27" s="39">
        <f>'1856'!H25-'1856'!G25</f>
        <v>187</v>
      </c>
      <c r="E27" s="39">
        <f>'1857'!H25-'1857'!G25</f>
        <v>238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7:E27">
    <cfRule type="cellIs" dxfId="31" priority="1" stopIfTrue="1" operator="lessThan">
      <formula>0</formula>
    </cfRule>
  </conditionalFormatting>
  <conditionalFormatting sqref="C1:E5 B1:B26 C8:E20 C23:E26 F27:F65536 C28:E65536 B28:B1048576">
    <cfRule type="cellIs" dxfId="30" priority="5" stopIfTrue="1" operator="lessThan">
      <formula>0</formula>
    </cfRule>
  </conditionalFormatting>
  <conditionalFormatting sqref="F1:J2 F13:J13 G13:J17 F16:J17 G28:J65536">
    <cfRule type="cellIs" dxfId="29" priority="3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7"/>
  <sheetViews>
    <sheetView workbookViewId="0">
      <selection activeCell="G14" sqref="G14"/>
    </sheetView>
  </sheetViews>
  <sheetFormatPr defaultColWidth="9" defaultRowHeight="17.5" x14ac:dyDescent="0.35"/>
  <cols>
    <col min="1" max="1" width="35" style="33" customWidth="1"/>
    <col min="2" max="12" width="11.453125" style="33" customWidth="1"/>
    <col min="13" max="20" width="9.81640625" style="33" customWidth="1"/>
    <col min="21" max="24" width="6.453125" style="33" customWidth="1"/>
    <col min="25" max="16384" width="9" style="33"/>
  </cols>
  <sheetData>
    <row r="1" spans="1:20" ht="18" x14ac:dyDescent="0.4">
      <c r="A1" s="34" t="s">
        <v>48</v>
      </c>
      <c r="B1" s="35">
        <f>'S1'!B1</f>
        <v>2025</v>
      </c>
    </row>
    <row r="3" spans="1:20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20" x14ac:dyDescent="0.35">
      <c r="A4" s="42" t="s">
        <v>32</v>
      </c>
      <c r="B4" s="36">
        <f>'1850'!I4-'1850'!H4+'1850'!I6-'1850'!H6+'1850'!I8-'1850'!H8+'1850'!I10-'1850'!H10+'1850'!I12-'1850'!H12+'1850'!I14-'1850'!H14+'1850'!I16-'1850'!H16+'1850'!I18-'1850'!H18+'1850'!I20-'1850'!H20+'1850'!I22-'1850'!H22</f>
        <v>69.768000000000015</v>
      </c>
      <c r="C4" s="36">
        <f>'1851'!J4-'1851'!I4+'1851'!J6-'1851'!I6+'1851'!J8-'1851'!I8+'1851'!J10-'1851'!I10+'1851'!J12-'1851'!I12+'1851'!J14-'1851'!I14+'1851'!J16-'1851'!I16+'1851'!J18-'1851'!I18+'1851'!J20-'1851'!I20+'1851'!J22-'1851'!I22+'1851'!J33-'1851'!I33+'1851'!J34-'1851'!I34+'1851'!J35-'1851'!I35+'1851'!J36-'1851'!I36+'1851'!J37-'1851'!I37+'1851'!J40-'1851'!I40+'1851'!J41-'1851'!I41+'1851'!J42-'1851'!I42+'1851'!J43-'1851'!I43+'1851'!J44-'1851'!I44+'1851'!J45-'1851'!I45+'1851'!J46-'1851'!I46+'1851'!J47-'1851'!I47+'1851'!J48-'1851'!I48+'1851'!J49-'1851'!I49</f>
        <v>74.084899999999976</v>
      </c>
      <c r="D4" s="36">
        <f>'1852'!I4-'1852'!H4+'1852'!I6-'1852'!H6+'1852'!I8-'1852'!H8+'1852'!I10-'1852'!H10+'1852'!I12-'1852'!H12+'1852'!I14-'1852'!H14+'1852'!I16-'1852'!H16+'1852'!I18-'1852'!H18+'1852'!I20-'1852'!H20+'1852'!I22-'1852'!H22</f>
        <v>66.800000000000011</v>
      </c>
      <c r="E4" s="36">
        <f>'1853'!I4-'1853'!H4+'1853'!I6-'1853'!H6+'1853'!I8-'1853'!H8+'1853'!I10-'1853'!H10+'1853'!I12-'1853'!H12+'1853'!I14-'1853'!H14+'1853'!I16-'1853'!H16+'1853'!I18-'1853'!H18+'1853'!I20-'1853'!H20+'1853'!I22-'1853'!H22+'1853'!I26-'1853'!H26</f>
        <v>87.427000000000021</v>
      </c>
      <c r="G4" s="133">
        <f>1-B4/B5</f>
        <v>8.1999999999999851E-2</v>
      </c>
      <c r="H4" s="133">
        <f>1-C4/C5</f>
        <v>7.8546019900497588E-2</v>
      </c>
      <c r="I4" s="133">
        <f>1-D4/D5</f>
        <v>8.2417582417583124E-2</v>
      </c>
      <c r="J4" s="133">
        <f>1-E4/E5</f>
        <v>8.3574423480083371E-2</v>
      </c>
    </row>
    <row r="5" spans="1:20" x14ac:dyDescent="0.35">
      <c r="A5" s="42" t="s">
        <v>33</v>
      </c>
      <c r="B5" s="36">
        <f>'1850'!I26-'1850'!H26</f>
        <v>76</v>
      </c>
      <c r="C5" s="36">
        <f>'1851'!J26-'1851'!I26</f>
        <v>80.399999999999977</v>
      </c>
      <c r="D5" s="36">
        <f>'1852'!I26-'1852'!H26</f>
        <v>72.800000000000068</v>
      </c>
      <c r="E5" s="36">
        <f>'1853'!I27-'1853'!H27</f>
        <v>95.399999999999977</v>
      </c>
    </row>
    <row r="6" spans="1:20" x14ac:dyDescent="0.35">
      <c r="A6" s="42" t="s">
        <v>34</v>
      </c>
      <c r="B6" s="323">
        <f>SUM(B5:E5)</f>
        <v>324.60000000000002</v>
      </c>
      <c r="C6" s="323"/>
      <c r="D6" s="323"/>
      <c r="E6" s="323"/>
      <c r="G6" s="133">
        <f>1-B6/B7</f>
        <v>3.3928571428571308E-2</v>
      </c>
    </row>
    <row r="7" spans="1:20" x14ac:dyDescent="0.35">
      <c r="A7" s="42" t="s">
        <v>35</v>
      </c>
      <c r="B7" s="323">
        <f>'1850'!I29-'1850'!H29</f>
        <v>336</v>
      </c>
      <c r="C7" s="323"/>
      <c r="D7" s="323"/>
      <c r="E7" s="323"/>
    </row>
    <row r="8" spans="1:20" ht="18" x14ac:dyDescent="0.4">
      <c r="A8" s="125" t="s">
        <v>36</v>
      </c>
      <c r="B8" s="126"/>
      <c r="C8" s="126"/>
      <c r="D8" s="126"/>
      <c r="E8" s="127"/>
    </row>
    <row r="9" spans="1:20" x14ac:dyDescent="0.35">
      <c r="A9" s="36" t="s">
        <v>37</v>
      </c>
      <c r="B9" s="36">
        <f>'1850'!I5-'1850'!H5+'1850'!I7-'1850'!H7+'1850'!I9-'1850'!H9+'1850'!I11-'1850'!H11+'1850'!I13-'1850'!H13+'1850'!I15-'1850'!H15+'1850'!I17-'1850'!H17+'1850'!I19-'1850'!H19+'1850'!I21-'1850'!H21+'1850'!I23-'1850'!H23</f>
        <v>4.5650000000000261</v>
      </c>
      <c r="C9" s="36">
        <f>'1851'!J5-'1851'!I5+'1851'!J7-'1851'!I7+'1851'!J9-'1851'!I9+'1851'!J11-'1851'!I11+'1851'!J13-'1851'!I13+'1851'!J15-'1851'!I15+'1851'!J17-'1851'!I17+'1851'!J19-'1851'!I19+'1851'!J21-'1851'!I21+'1851'!J23-'1851'!I23</f>
        <v>4.7839999999999989</v>
      </c>
      <c r="D9" s="36">
        <f>'1852'!I5-'1852'!H5+'1852'!I7-'1852'!H7+'1852'!I9-'1852'!H9+'1852'!I11-'1852'!H11+'1852'!I13-'1852'!H13+'1852'!I15-'1852'!H15+'1852'!I17-'1852'!H17+'1852'!I19-'1852'!H19+'1852'!I21-'1852'!H21+'1852'!I23-'1852'!H23</f>
        <v>4.4599999999999795</v>
      </c>
      <c r="E9" s="36">
        <f>'1853'!I5-'1853'!H5+'1853'!I7-'1853'!H7+'1853'!I9-'1853'!H9+'1853'!I11-'1853'!H11+'1853'!I13-'1853'!H13+'1853'!I15-'1853'!H15+'1853'!I17-'1853'!H17+'1853'!I19-'1853'!H19+'1853'!I21-'1853'!H21+'1853'!I23-'1853'!H23</f>
        <v>3.5670000000000215</v>
      </c>
      <c r="G9" s="133">
        <f>1-B9/B10</f>
        <v>-0.66000000000000947</v>
      </c>
      <c r="H9" s="133">
        <f>1-C9/C10</f>
        <v>0.23578274760383289</v>
      </c>
      <c r="I9" s="133">
        <f>1-D9/D10</f>
        <v>-0.33933933933933957</v>
      </c>
      <c r="J9" s="133">
        <f>1-E9/E10</f>
        <v>-0.2132653061224572</v>
      </c>
    </row>
    <row r="10" spans="1:20" x14ac:dyDescent="0.35">
      <c r="A10" s="36" t="s">
        <v>38</v>
      </c>
      <c r="B10" s="38">
        <f>('1850'!I27-'1850'!H27)</f>
        <v>2.75</v>
      </c>
      <c r="C10" s="43">
        <f>('1851'!J27-'1851'!I27)</f>
        <v>6.2599999999999909</v>
      </c>
      <c r="D10" s="43">
        <f>('1852'!I27-'1852'!H27)</f>
        <v>3.3299999999999841</v>
      </c>
      <c r="E10" s="43">
        <f>('1853'!I28-'1853'!H28)</f>
        <v>2.9399999999999977</v>
      </c>
    </row>
    <row r="11" spans="1:20" ht="18" x14ac:dyDescent="0.4">
      <c r="A11" s="125" t="s">
        <v>44</v>
      </c>
      <c r="B11" s="126"/>
      <c r="C11" s="126"/>
      <c r="D11" s="126"/>
      <c r="E11" s="127"/>
    </row>
    <row r="12" spans="1:20" x14ac:dyDescent="0.35">
      <c r="A12" s="36" t="s">
        <v>40</v>
      </c>
      <c r="B12" s="39">
        <f>'1850'!I25-'1850'!H25</f>
        <v>194</v>
      </c>
      <c r="C12" s="39">
        <f>'1851'!J24-'1851'!I24</f>
        <v>181</v>
      </c>
      <c r="D12" s="39">
        <f>'1852'!I25-'1852'!H25</f>
        <v>163</v>
      </c>
      <c r="E12" s="39">
        <f>'1853'!I24-'1853'!H24</f>
        <v>173</v>
      </c>
    </row>
    <row r="13" spans="1:20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</row>
    <row r="14" spans="1:20" x14ac:dyDescent="0.35">
      <c r="A14" s="33" t="s">
        <v>41</v>
      </c>
      <c r="B14" s="40">
        <f>'1853'!I25-'1853'!H25</f>
        <v>198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</row>
    <row r="15" spans="1:20" x14ac:dyDescent="0.35">
      <c r="A15" s="33" t="s">
        <v>42</v>
      </c>
      <c r="B15" s="41">
        <f>'1853'!I26-'1853'!H26</f>
        <v>24</v>
      </c>
      <c r="C15" s="41"/>
      <c r="D15" s="41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20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</row>
    <row r="18" spans="1:10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0" x14ac:dyDescent="0.35">
      <c r="A19" s="36" t="s">
        <v>32</v>
      </c>
      <c r="B19" s="36">
        <f>'1854'!I4-'1854'!H4+'1854'!I6-'1854'!H6+'1854'!I8-'1854'!H8+'1854'!I10-'1854'!H10+'1854'!I12-'1854'!H12+'1854'!I14-'1854'!H14+'1854'!I16-'1854'!H16+'1854'!I18-'1854'!H18+'1854'!I20-'1854'!H20+'1854'!I22-'1854'!H22</f>
        <v>46.725000000000016</v>
      </c>
      <c r="C19" s="36">
        <f>'1855'!I4-'1855'!H4+'1855'!I6-'1855'!H6+'1855'!I8-'1855'!H8+'1855'!I10-'1855'!H10+'1855'!I12-'1855'!H12+'1855'!I14-'1855'!H14+'1855'!I16-'1855'!H16+'1855'!I18-'1855'!H18+'1855'!I20-'1855'!H20+'1855'!I22-'1855'!H22</f>
        <v>61.089999999999989</v>
      </c>
      <c r="D19" s="36">
        <f>'1856'!I4-'1856'!H4+'1856'!I6-'1856'!H6+'1856'!I8-'1856'!H8+'1856'!I10-'1856'!H10+'1856'!I12-'1856'!H12+'1856'!I14-'1856'!H14+'1856'!I16-'1856'!H16+'1856'!I18-'1856'!H18+'1856'!I20-'1856'!H20+'1856'!I22-'1856'!H22</f>
        <v>56.173999999999985</v>
      </c>
      <c r="E19" s="36">
        <f>'1857'!I4-'1857'!H4+'1857'!I6-'1857'!H6+'1857'!I8-'1857'!H8+'1857'!I10-'1857'!H10+'1857'!I12-'1857'!H12+'1857'!I14-'1857'!H14+'1857'!I16-'1857'!H16+'1857'!I18-'1857'!H18+'1857'!I20-'1857'!H20+'1857'!I22-'1857'!H22</f>
        <v>60.844000000000008</v>
      </c>
      <c r="G19" s="133">
        <f>1-B19/B20</f>
        <v>7.8402366863904782E-2</v>
      </c>
      <c r="H19" s="133">
        <f>1-C19/C20</f>
        <v>5.8705701078582306E-2</v>
      </c>
      <c r="I19" s="133">
        <f>1-D19/D20</f>
        <v>8.6601626016260425E-2</v>
      </c>
      <c r="J19" s="133">
        <f>1-E19/E20</f>
        <v>0.12454676258992792</v>
      </c>
    </row>
    <row r="20" spans="1:10" x14ac:dyDescent="0.35">
      <c r="A20" s="36" t="s">
        <v>33</v>
      </c>
      <c r="B20" s="36">
        <f>'1854'!I26-'1854'!H26</f>
        <v>50.699999999999989</v>
      </c>
      <c r="C20" s="37">
        <f>'1855'!I26-'1855'!H26</f>
        <v>64.899999999999977</v>
      </c>
      <c r="D20" s="36">
        <f>'1856'!I26-'1856'!H26</f>
        <v>61.5</v>
      </c>
      <c r="E20" s="36">
        <f>'1857'!I26-'1857'!H26</f>
        <v>69.5</v>
      </c>
    </row>
    <row r="21" spans="1:10" x14ac:dyDescent="0.35">
      <c r="A21" s="36" t="s">
        <v>34</v>
      </c>
      <c r="B21" s="323">
        <f>SUM(B20:E20)</f>
        <v>246.59999999999997</v>
      </c>
      <c r="C21" s="323"/>
      <c r="D21" s="323"/>
      <c r="E21" s="323"/>
      <c r="G21" s="133">
        <f>1-B21/B22</f>
        <v>-3.0936454849495032E-2</v>
      </c>
    </row>
    <row r="22" spans="1:10" x14ac:dyDescent="0.35">
      <c r="A22" s="36" t="s">
        <v>35</v>
      </c>
      <c r="B22" s="323">
        <f>'1854'!I29-'1854'!H29</f>
        <v>239.20000000000073</v>
      </c>
      <c r="C22" s="323"/>
      <c r="D22" s="323"/>
      <c r="E22" s="323"/>
    </row>
    <row r="23" spans="1:10" ht="18" x14ac:dyDescent="0.4">
      <c r="A23" s="125" t="s">
        <v>36</v>
      </c>
      <c r="B23" s="126"/>
      <c r="C23" s="126"/>
      <c r="D23" s="126"/>
      <c r="E23" s="127"/>
    </row>
    <row r="24" spans="1:10" x14ac:dyDescent="0.35">
      <c r="A24" s="36" t="s">
        <v>37</v>
      </c>
      <c r="B24" s="36">
        <f>'1854'!I5-'1854'!H5+'1854'!I7-'1854'!H7+'1854'!I9-'1854'!H9+'1854'!I11-'1854'!H11+'1854'!I13-'1854'!H13+'1854'!I15-'1854'!H15+'1854'!I17-'1854'!H17+'1854'!I19-'1854'!H19+'1854'!I21-'1854'!H21+'1854'!I23-'1854'!H23</f>
        <v>3.1629999999999825</v>
      </c>
      <c r="C24" s="36">
        <f>'1855'!I5-'1855'!H5+'1855'!I7-'1855'!H7+'1855'!I9-'1855'!H9+'1855'!I11-'1855'!H11+'1855'!I13-'1855'!H13+'1855'!I15-'1855'!H15+'1855'!I17-'1855'!H17+'1855'!I19-'1855'!H19+'1855'!I21-'1855'!H21+'1855'!I23-'1855'!H23</f>
        <v>3.2849999999999895</v>
      </c>
      <c r="D24" s="36">
        <f>'1856'!I5-'1856'!H5+'1856'!I7-'1856'!H7+'1856'!I9-'1856'!H9+'1856'!I11-'1856'!H11+'1856'!I13-'1856'!H13+'1856'!I15-'1856'!H15+'1856'!I17-'1856'!H17+'1856'!I19-'1856'!H19+'1856'!I21-'1856'!H21+'1856'!I23-'1856'!H23</f>
        <v>3.3439999999999941</v>
      </c>
      <c r="E24" s="36">
        <f>'1857'!I5-'1857'!H5+'1857'!I7-'1857'!H7+'1857'!I9-'1857'!H9+'1857'!I11-'1857'!H11+'1857'!I13-'1857'!H13+'1857'!I15-'1857'!H15+'1857'!I17-'1857'!H17+'1857'!I19-'1857'!H19+'1857'!I21-'1857'!H21+'1857'!I23-'1857'!H23</f>
        <v>3.9159999999999968</v>
      </c>
      <c r="G24" s="133">
        <f>1-B24/B25</f>
        <v>-8.3219178082200918E-2</v>
      </c>
      <c r="H24" s="133">
        <f>1-C24/C25</f>
        <v>-0.11734693877557234</v>
      </c>
      <c r="I24" s="133">
        <f>1-D24/D25</f>
        <v>-0.247761194029819</v>
      </c>
      <c r="J24" s="133">
        <f>1-E24/E25</f>
        <v>-0.2966887417218611</v>
      </c>
    </row>
    <row r="25" spans="1:10" x14ac:dyDescent="0.35">
      <c r="A25" s="36" t="s">
        <v>38</v>
      </c>
      <c r="B25" s="43">
        <f>'1854'!I27-'1854'!H27</f>
        <v>2.9199999999999591</v>
      </c>
      <c r="C25" s="43">
        <f>'1855'!I27-'1855'!H27</f>
        <v>2.9399999999998272</v>
      </c>
      <c r="D25" s="43">
        <f>'1856'!I27-'1856'!H27</f>
        <v>2.6800000000000637</v>
      </c>
      <c r="E25" s="43">
        <f>'1857'!I27-'1857'!H27</f>
        <v>3.0199999999999818</v>
      </c>
    </row>
    <row r="26" spans="1:10" ht="18" x14ac:dyDescent="0.4">
      <c r="A26" s="125" t="s">
        <v>44</v>
      </c>
      <c r="B26" s="126"/>
      <c r="C26" s="126"/>
      <c r="D26" s="126"/>
      <c r="E26" s="127"/>
    </row>
    <row r="27" spans="1:10" x14ac:dyDescent="0.35">
      <c r="A27" s="36" t="s">
        <v>40</v>
      </c>
      <c r="B27" s="39">
        <f>'1854'!I25-'1854'!H25</f>
        <v>173</v>
      </c>
      <c r="C27" s="39">
        <f>'1855'!I25-'1855'!H25</f>
        <v>185</v>
      </c>
      <c r="D27" s="39">
        <f>'1856'!I25-'1856'!H25</f>
        <v>183</v>
      </c>
      <c r="E27" s="39">
        <f>'1857'!I25-'1857'!H25</f>
        <v>187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F1:L2 C1:E5 B1:B65536 C8:E20 I13:L13 F13:H17 I16:L17 C23:E65536 F28:L65536">
    <cfRule type="cellIs" dxfId="28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27"/>
  <sheetViews>
    <sheetView workbookViewId="0">
      <selection activeCell="E25" sqref="E25"/>
    </sheetView>
  </sheetViews>
  <sheetFormatPr defaultColWidth="9" defaultRowHeight="17.5" x14ac:dyDescent="0.35"/>
  <cols>
    <col min="1" max="1" width="35" style="33" customWidth="1"/>
    <col min="2" max="15" width="11.453125" style="33" customWidth="1"/>
    <col min="16" max="23" width="9.81640625" style="33" customWidth="1"/>
    <col min="24" max="27" width="6.453125" style="33" customWidth="1"/>
    <col min="28" max="16384" width="9" style="33"/>
  </cols>
  <sheetData>
    <row r="1" spans="1:23" ht="18" x14ac:dyDescent="0.4">
      <c r="A1" s="34" t="s">
        <v>49</v>
      </c>
      <c r="B1" s="35">
        <f>'S1'!B1</f>
        <v>2025</v>
      </c>
    </row>
    <row r="3" spans="1:23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23" x14ac:dyDescent="0.35">
      <c r="A4" s="42" t="s">
        <v>32</v>
      </c>
      <c r="B4" s="36">
        <f>'1850'!J4-'1850'!I4+'1850'!J6-'1850'!I6+'1850'!J8-'1850'!I8+'1850'!J10-'1850'!I10+'1850'!J12-'1850'!I12+'1850'!J14-'1850'!I14+'1850'!J16-'1850'!I16+'1850'!J18-'1850'!I18+'1850'!J20-'1850'!I20+'1850'!J22-'1850'!I22</f>
        <v>60.57499999999996</v>
      </c>
      <c r="C4" s="36">
        <f>'1851'!K4-'1851'!J4+'1851'!K6-'1851'!J6+'1851'!K8-'1851'!J8+'1851'!K10-'1851'!J10+'1851'!K12-'1851'!J12+'1851'!K14-'1851'!J14+'1851'!K16-'1851'!J16+'1851'!K18-'1851'!J18+'1851'!K20-'1851'!J20+'1851'!K22-'1851'!J22+'1851'!K33-'1851'!J33+'1851'!K34-'1851'!J34+'1851'!K35-'1851'!J35+'1851'!K36-'1851'!J36+'1851'!K37-'1851'!J37+'1851'!K40-'1851'!J40+'1851'!K41-'1851'!J41+'1851'!K42-'1851'!J42+'1851'!K43-'1851'!J43+'1851'!K44-'1851'!J44+'1851'!K45-'1851'!J45+'1851'!K46-'1851'!J46+'1851'!K47-'1851'!J47+'1851'!K48-'1851'!J48+'1851'!K49-'1851'!J49</f>
        <v>79.2</v>
      </c>
      <c r="D4" s="36">
        <f>'1852'!J4-'1852'!I4+'1852'!J6-'1852'!I6+'1852'!J8-'1852'!I8+'1852'!J10-'1852'!I10+'1852'!J12-'1852'!I12+'1852'!J14-'1852'!I14+'1852'!J16-'1852'!I16+'1852'!J18-'1852'!I18+'1852'!J20-'1852'!I20+'1852'!J22-'1852'!I22</f>
        <v>70.15300000000002</v>
      </c>
      <c r="E4" s="36">
        <f>'1853'!J4-'1853'!I4+'1853'!J6-'1853'!I6+'1853'!J8-'1853'!I8+'1853'!J10-'1853'!I10+'1853'!J12-'1853'!I12+'1853'!J14-'1853'!I14+'1853'!J16-'1853'!I16+'1853'!J18-'1853'!I18+'1853'!J20-'1853'!I20+'1853'!J22-'1853'!I22+'1853'!J26-'1853'!I26</f>
        <v>78.20900000000006</v>
      </c>
      <c r="G4" s="133">
        <f>1-B4/B5</f>
        <v>8.6349924585218729E-2</v>
      </c>
      <c r="H4" s="133">
        <f>1-C4/C5</f>
        <v>8.1206496519722005E-2</v>
      </c>
      <c r="I4" s="133">
        <f>1-D4/D5</f>
        <v>7.9356955380576299E-2</v>
      </c>
      <c r="J4" s="133">
        <f>1-E4/E5</f>
        <v>8.313012895662375E-2</v>
      </c>
    </row>
    <row r="5" spans="1:23" x14ac:dyDescent="0.35">
      <c r="A5" s="42" t="s">
        <v>33</v>
      </c>
      <c r="B5" s="36">
        <f>'1850'!J26-'1850'!I26</f>
        <v>66.299999999999955</v>
      </c>
      <c r="C5" s="36">
        <f>'1851'!K26-'1851'!J26</f>
        <v>86.200000000000045</v>
      </c>
      <c r="D5" s="36">
        <f>'1852'!J26-'1852'!I26</f>
        <v>76.199999999999932</v>
      </c>
      <c r="E5" s="36">
        <f>'1853'!J27-'1853'!I27</f>
        <v>85.300000000000068</v>
      </c>
    </row>
    <row r="6" spans="1:23" x14ac:dyDescent="0.35">
      <c r="A6" s="42" t="s">
        <v>34</v>
      </c>
      <c r="B6" s="323">
        <f>SUM(B5:E5)</f>
        <v>314</v>
      </c>
      <c r="C6" s="323"/>
      <c r="D6" s="323"/>
      <c r="E6" s="323"/>
      <c r="G6" s="133">
        <f>1-B6/B7</f>
        <v>3.9167686658504564E-2</v>
      </c>
    </row>
    <row r="7" spans="1:23" x14ac:dyDescent="0.35">
      <c r="A7" s="42" t="s">
        <v>35</v>
      </c>
      <c r="B7" s="323">
        <f>'1850'!J29-'1850'!I29</f>
        <v>326.79999999999927</v>
      </c>
      <c r="C7" s="323"/>
      <c r="D7" s="323"/>
      <c r="E7" s="323"/>
    </row>
    <row r="8" spans="1:23" ht="18" x14ac:dyDescent="0.4">
      <c r="A8" s="125" t="s">
        <v>36</v>
      </c>
      <c r="B8" s="126"/>
      <c r="C8" s="126"/>
      <c r="D8" s="126"/>
      <c r="E8" s="127"/>
    </row>
    <row r="9" spans="1:23" x14ac:dyDescent="0.35">
      <c r="A9" s="36" t="s">
        <v>37</v>
      </c>
      <c r="B9" s="36">
        <f>'1850'!J5-'1850'!I5+'1850'!J7-'1850'!I7+'1850'!J9-'1850'!I9+'1850'!J11-'1850'!I11+'1850'!J13-'1850'!I13+'1850'!J15-'1850'!I15+'1850'!J17-'1850'!I17+'1850'!J19-'1850'!I19+'1850'!J21-'1850'!I21+'1850'!J23-'1850'!I23</f>
        <v>3.73599999999999</v>
      </c>
      <c r="C9" s="36">
        <f>'1851'!K5-'1851'!J5+'1851'!K7-'1851'!J7+'1851'!K9-'1851'!J9+'1851'!K11-'1851'!J11+'1851'!K13-'1851'!J13+'1851'!K15-'1851'!J15+'1851'!K17-'1851'!J17+'1851'!K19-'1851'!J19+'1851'!K21-'1851'!J21+'1851'!K23-'1851'!J23</f>
        <v>4.3500000000000298</v>
      </c>
      <c r="D9" s="36">
        <f>'1852'!J5-'1852'!I5+'1852'!J7-'1852'!I7+'1852'!J9-'1852'!I9+'1852'!J11-'1852'!I11+'1852'!J13-'1852'!I13+'1852'!J15-'1852'!I15+'1852'!J17-'1852'!I17+'1852'!J19-'1852'!I19+'1852'!J21-'1852'!I21+'1852'!J23-'1852'!I23</f>
        <v>4.0210000000000008</v>
      </c>
      <c r="E9" s="36">
        <f>'1853'!J5-'1853'!I5+'1853'!J7-'1853'!I7+'1853'!J9-'1853'!I9+'1853'!J11-'1853'!I11+'1853'!J13-'1853'!I13+'1853'!J15-'1853'!I15+'1853'!J17-'1853'!I17+'1853'!J19-'1853'!I19+'1853'!J21-'1853'!I21+'1853'!J23-'1853'!I23</f>
        <v>2.9369999999999976</v>
      </c>
      <c r="G9" s="133">
        <f>1-B9/B10</f>
        <v>-0.77904761904764319</v>
      </c>
      <c r="H9" s="133">
        <f>1-C9/C10</f>
        <v>0.19144981412638784</v>
      </c>
      <c r="I9" s="133">
        <f>1-D9/D10</f>
        <v>-0.36305084745763261</v>
      </c>
      <c r="J9" s="133">
        <f>1-E9/E10</f>
        <v>-0.24449152542372055</v>
      </c>
    </row>
    <row r="10" spans="1:23" x14ac:dyDescent="0.35">
      <c r="A10" s="36" t="s">
        <v>38</v>
      </c>
      <c r="B10" s="43">
        <f>('1850'!J27-'1850'!I27)</f>
        <v>2.0999999999999659</v>
      </c>
      <c r="C10" s="43">
        <f>('1851'!K27-'1851'!J27)</f>
        <v>5.3799999999999955</v>
      </c>
      <c r="D10" s="43">
        <f>('1852'!J27-'1852'!I27)</f>
        <v>2.9499999999999886</v>
      </c>
      <c r="E10" s="43">
        <f>('1853'!J28-'1853'!I28)</f>
        <v>2.3600000000000136</v>
      </c>
    </row>
    <row r="11" spans="1:23" ht="18" x14ac:dyDescent="0.4">
      <c r="A11" s="125" t="s">
        <v>44</v>
      </c>
      <c r="B11" s="126"/>
      <c r="C11" s="126"/>
      <c r="D11" s="126"/>
      <c r="E11" s="127"/>
    </row>
    <row r="12" spans="1:23" x14ac:dyDescent="0.35">
      <c r="A12" s="36" t="s">
        <v>40</v>
      </c>
      <c r="B12" s="39">
        <f>'1850'!J25-'1850'!I25</f>
        <v>171</v>
      </c>
      <c r="C12" s="39">
        <f>'1851'!K24-'1851'!J24</f>
        <v>176</v>
      </c>
      <c r="D12" s="39">
        <f>'1852'!J25-'1852'!I25</f>
        <v>168</v>
      </c>
      <c r="E12" s="39">
        <f>'1853'!J24-'1853'!I24</f>
        <v>213</v>
      </c>
    </row>
    <row r="13" spans="1:23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</row>
    <row r="14" spans="1:23" x14ac:dyDescent="0.35">
      <c r="A14" s="33" t="s">
        <v>41</v>
      </c>
      <c r="B14" s="40">
        <f>'1853'!J25-'1853'!I25</f>
        <v>226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spans="1:23" x14ac:dyDescent="0.35">
      <c r="A15" s="33" t="s">
        <v>42</v>
      </c>
      <c r="B15" s="41">
        <f>'1853'!J26-'1853'!I26</f>
        <v>19.966000000000008</v>
      </c>
      <c r="C15" s="41"/>
      <c r="D15" s="41"/>
      <c r="E15" s="41"/>
      <c r="F15" s="41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</row>
    <row r="16" spans="1:23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</row>
    <row r="18" spans="1:10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0" x14ac:dyDescent="0.35">
      <c r="A19" s="36" t="s">
        <v>32</v>
      </c>
      <c r="B19" s="36">
        <f>'1854'!J4-'1854'!I4+'1854'!J6-'1854'!I6+'1854'!J8-'1854'!I8+'1854'!J10-'1854'!I10+'1854'!J12-'1854'!I12+'1854'!J14-'1854'!I14+'1854'!J16-'1854'!I16+'1854'!J18-'1854'!I18+'1854'!J20-'1854'!I20+'1854'!J22-'1854'!I22</f>
        <v>55.000000000000007</v>
      </c>
      <c r="C19" s="36">
        <f>'1855'!J4-'1855'!I4+'1855'!J6-'1855'!I6+'1855'!J8-'1855'!I8+'1855'!J10-'1855'!I10+'1855'!J12-'1855'!I12+'1855'!J14-'1855'!I14+'1855'!J16-'1855'!I16+'1855'!J18-'1855'!I18+'1855'!J20-'1855'!I20+'1855'!J22-'1855'!I22</f>
        <v>62.602000000000025</v>
      </c>
      <c r="D19" s="36">
        <f>'1856'!J4-'1856'!I4+'1856'!J6-'1856'!I6+'1856'!J8-'1856'!I8+'1856'!J10-'1856'!I10+'1856'!J12-'1856'!I12+'1856'!J14-'1856'!I14+'1856'!J16-'1856'!I16+'1856'!J18-'1856'!I18+'1856'!J20-'1856'!I20+'1856'!J22-'1856'!I22</f>
        <v>49.199999999999982</v>
      </c>
      <c r="E19" s="36">
        <f>'1857'!J4-'1857'!I4+'1857'!J6-'1857'!I6+'1857'!J8-'1857'!I8+'1857'!J10-'1857'!I10+'1857'!J12-'1857'!I12+'1857'!J14-'1857'!I14+'1857'!J16-'1857'!I16+'1857'!J18-'1857'!I18+'1857'!J20-'1857'!I20+'1857'!J22-'1857'!I22</f>
        <v>57.688000000000017</v>
      </c>
      <c r="G19" s="133">
        <f>1-B19/B20</f>
        <v>8.1803005008346807E-2</v>
      </c>
      <c r="H19" s="133">
        <f>1-C19/C20</f>
        <v>6.2844311377244444E-2</v>
      </c>
      <c r="I19" s="133">
        <f>1-D19/D20</f>
        <v>9.3922651933702195E-2</v>
      </c>
      <c r="J19" s="133">
        <f>1-E19/E20</f>
        <v>0.14409495548961371</v>
      </c>
    </row>
    <row r="20" spans="1:10" x14ac:dyDescent="0.35">
      <c r="A20" s="36" t="s">
        <v>33</v>
      </c>
      <c r="B20" s="36">
        <f>'1854'!J26-'1854'!I26</f>
        <v>59.899999999999977</v>
      </c>
      <c r="C20" s="36">
        <f>'1855'!J26-'1855'!I26</f>
        <v>66.799999999999955</v>
      </c>
      <c r="D20" s="36">
        <f>'1856'!J26-'1856'!I26</f>
        <v>54.300000000000011</v>
      </c>
      <c r="E20" s="36">
        <f>'1857'!J26-'1857'!I26</f>
        <v>67.399999999999977</v>
      </c>
    </row>
    <row r="21" spans="1:10" x14ac:dyDescent="0.35">
      <c r="A21" s="36" t="s">
        <v>34</v>
      </c>
      <c r="B21" s="323">
        <f>SUM(B20:E20)</f>
        <v>248.39999999999992</v>
      </c>
      <c r="C21" s="323"/>
      <c r="D21" s="323"/>
      <c r="E21" s="323"/>
      <c r="G21" s="133">
        <f>1-B21/B22</f>
        <v>-2.81456953642365E-2</v>
      </c>
    </row>
    <row r="22" spans="1:10" x14ac:dyDescent="0.35">
      <c r="A22" s="36" t="s">
        <v>35</v>
      </c>
      <c r="B22" s="323">
        <f>'1854'!J29-'1854'!I29</f>
        <v>241.60000000000036</v>
      </c>
      <c r="C22" s="323"/>
      <c r="D22" s="323"/>
      <c r="E22" s="323"/>
    </row>
    <row r="23" spans="1:10" ht="18" x14ac:dyDescent="0.4">
      <c r="A23" s="125" t="s">
        <v>36</v>
      </c>
      <c r="B23" s="126"/>
      <c r="C23" s="126"/>
      <c r="D23" s="126"/>
      <c r="E23" s="127"/>
    </row>
    <row r="24" spans="1:10" x14ac:dyDescent="0.35">
      <c r="A24" s="36" t="s">
        <v>37</v>
      </c>
      <c r="B24" s="36">
        <f>'1854'!J5-'1854'!I5+'1854'!J7-'1854'!I7+'1854'!J9-'1854'!I9+'1854'!J11-'1854'!I11+'1854'!J13-'1854'!I13+'1854'!J15-'1854'!I15+'1854'!J17-'1854'!I17+'1854'!J19-'1854'!I19+'1854'!J21-'1854'!I21+'1854'!J23-'1854'!I23</f>
        <v>3.060999999999988</v>
      </c>
      <c r="C24" s="36">
        <f>'1855'!J5-'1855'!I5+'1855'!J7-'1855'!I7+'1855'!J9-'1855'!I9+'1855'!J11-'1855'!I11+'1855'!J13-'1855'!I13+'1855'!J15-'1855'!I15+'1855'!J17-'1855'!I17+'1855'!J19-'1855'!I19+'1855'!J21-'1855'!I21+'1855'!J23-'1855'!I23</f>
        <v>2.8700000000000117</v>
      </c>
      <c r="D24" s="36">
        <f>'1856'!J5-'1856'!I5+'1856'!J7-'1856'!I7+'1856'!J9-'1856'!I9+'1856'!J11-'1856'!I11+'1856'!J13-'1856'!I13+'1856'!J15-'1856'!I15+'1856'!J17-'1856'!I17+'1856'!J19-'1856'!I19+'1856'!J21-'1856'!I21+'1856'!J23-'1856'!I23</f>
        <v>2.6200000000000045</v>
      </c>
      <c r="E24" s="36">
        <f>'1857'!J5-'1857'!I5+'1857'!J7-'1857'!I7+'1857'!J9-'1857'!I9+'1857'!J11-'1857'!I11+'1857'!J13-'1857'!I13+'1857'!J15-'1857'!I15+'1857'!J17-'1857'!I17+'1857'!J19-'1857'!I19+'1857'!J21-'1857'!I21+'1857'!J23-'1857'!I23</f>
        <v>3.1950000000000216</v>
      </c>
      <c r="G24" s="133">
        <f>1-B24/B25</f>
        <v>-0.1295202952029324</v>
      </c>
      <c r="H24" s="133">
        <f>1-C24/C25</f>
        <v>-0.11673151750966104</v>
      </c>
      <c r="I24" s="133">
        <f>1-D24/D25</f>
        <v>-0.32323232323238926</v>
      </c>
      <c r="J24" s="133">
        <f>1-E24/E25</f>
        <v>-0.34243697478986346</v>
      </c>
    </row>
    <row r="25" spans="1:10" x14ac:dyDescent="0.35">
      <c r="A25" s="36" t="s">
        <v>38</v>
      </c>
      <c r="B25" s="43">
        <f>'1854'!J27-'1854'!I27</f>
        <v>2.7100000000000364</v>
      </c>
      <c r="C25" s="43">
        <f>'1855'!J27-'1855'!I27</f>
        <v>2.5700000000001637</v>
      </c>
      <c r="D25" s="43">
        <f>'1856'!J27-'1856'!I27</f>
        <v>1.9799999999999045</v>
      </c>
      <c r="E25" s="43">
        <f>'1857'!J27-'1857'!I27</f>
        <v>2.3800000000001091</v>
      </c>
    </row>
    <row r="26" spans="1:10" ht="18" x14ac:dyDescent="0.4">
      <c r="A26" s="125" t="s">
        <v>44</v>
      </c>
      <c r="B26" s="126"/>
      <c r="C26" s="126"/>
      <c r="D26" s="126"/>
      <c r="E26" s="127"/>
    </row>
    <row r="27" spans="1:10" x14ac:dyDescent="0.35">
      <c r="A27" s="36" t="s">
        <v>40</v>
      </c>
      <c r="B27" s="39">
        <f>'1854'!J25-'1854'!I25</f>
        <v>185</v>
      </c>
      <c r="C27" s="39">
        <f>'1855'!J25-'1855'!I25</f>
        <v>201</v>
      </c>
      <c r="D27" s="39">
        <f>'1856'!J25-'1856'!I25</f>
        <v>182</v>
      </c>
      <c r="E27" s="39">
        <f>'1857'!J25-'1857'!I25</f>
        <v>198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65536 C8:E20 C23:E65536">
    <cfRule type="cellIs" dxfId="27" priority="2" stopIfTrue="1" operator="lessThan">
      <formula>0</formula>
    </cfRule>
  </conditionalFormatting>
  <conditionalFormatting sqref="F1:O2 I13:N13 F13:J17 I16:O17 F28:O65536">
    <cfRule type="cellIs" dxfId="26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7"/>
  <sheetViews>
    <sheetView workbookViewId="0">
      <selection activeCell="N18" sqref="N18"/>
    </sheetView>
  </sheetViews>
  <sheetFormatPr defaultColWidth="9" defaultRowHeight="17.5" x14ac:dyDescent="0.35"/>
  <cols>
    <col min="1" max="1" width="35" style="33" customWidth="1"/>
    <col min="2" max="18" width="11.453125" style="33" customWidth="1"/>
    <col min="19" max="26" width="9.81640625" style="33" customWidth="1"/>
    <col min="27" max="30" width="6.453125" style="33" customWidth="1"/>
    <col min="31" max="16384" width="9" style="33"/>
  </cols>
  <sheetData>
    <row r="1" spans="1:26" ht="18" x14ac:dyDescent="0.4">
      <c r="A1" s="34" t="s">
        <v>50</v>
      </c>
      <c r="B1" s="35">
        <f>'S1'!B1</f>
        <v>2025</v>
      </c>
    </row>
    <row r="3" spans="1:26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26" x14ac:dyDescent="0.35">
      <c r="A4" s="42" t="s">
        <v>32</v>
      </c>
      <c r="B4" s="36">
        <f>'1850'!K4-'1850'!J4+'1850'!K6-'1850'!J6+'1850'!K8-'1850'!J8+'1850'!K10-'1850'!J10+'1850'!K12-'1850'!J12+'1850'!K14-'1850'!J14+'1850'!K16-'1850'!J16+'1850'!K18-'1850'!J18+'1850'!K20-'1850'!J20+'1850'!K22-'1850'!J22</f>
        <v>68.658000000000044</v>
      </c>
      <c r="C4" s="36">
        <f>'1851'!L4-'1851'!K4+'1851'!L6-'1851'!K6+'1851'!L8-'1851'!K8+'1851'!L10-'1851'!K10+'1851'!L12-'1851'!K12+'1851'!L14-'1851'!K14+'1851'!L16-'1851'!K16+'1851'!L18-'1851'!K18+'1851'!L20-'1851'!K20+'1851'!L22-'1851'!K22+'1851'!L33-'1851'!K33+'1851'!L34-'1851'!K34+'1851'!L35-'1851'!K35+'1851'!L36-'1851'!K36+'1851'!L37-'1851'!K37+'1851'!L40-'1851'!K40+'1851'!L41-'1851'!K41+'1851'!L42-'1851'!K42+'1851'!L43-'1851'!K43+'1851'!L44-'1851'!K44+'1851'!L45-'1851'!K45+'1851'!L46-'1851'!K46+'1851'!L47-'1851'!K47+'1851'!L48-'1851'!K48+'1851'!L49-'1851'!K49</f>
        <v>82.518000000000001</v>
      </c>
      <c r="D4" s="36">
        <f>'1852'!K4-'1852'!J4+'1852'!K6-'1852'!J6+'1852'!K8-'1852'!J8+'1852'!K10-'1852'!J10+'1852'!K12-'1852'!J12+'1852'!K14-'1852'!J14+'1852'!K16-'1852'!J16+'1852'!K18-'1852'!J18+'1852'!K20-'1852'!J20+'1852'!K22-'1852'!J22</f>
        <v>71.302999999999969</v>
      </c>
      <c r="E4" s="36">
        <f>'1853'!K4-'1853'!J4+'1853'!K6-'1853'!J6+'1853'!K8-'1853'!J8+'1853'!K10-'1853'!J10+'1853'!K12-'1853'!J12+'1853'!K14-'1853'!J14+'1853'!K16-'1853'!J16+'1853'!K18-'1853'!J18+'1853'!K20-'1853'!J20+'1853'!K22-'1853'!J22+'1853'!K26-'1853'!J26</f>
        <v>95.197000000000003</v>
      </c>
      <c r="G4" s="133">
        <f>1-B4/B5</f>
        <v>9.3025099075297213E-2</v>
      </c>
      <c r="H4" s="133">
        <f>1-C4/C5</f>
        <v>8.7190265486725371E-2</v>
      </c>
      <c r="I4" s="133">
        <f>1-D4/D5</f>
        <v>9.2837150127227153E-2</v>
      </c>
      <c r="J4" s="133">
        <f>1-E4/E5</f>
        <v>8.4644230769230777E-2</v>
      </c>
    </row>
    <row r="5" spans="1:26" x14ac:dyDescent="0.35">
      <c r="A5" s="42" t="s">
        <v>33</v>
      </c>
      <c r="B5" s="36">
        <f>'1850'!K26-'1850'!J26</f>
        <v>75.700000000000045</v>
      </c>
      <c r="C5" s="36">
        <f>'1851'!L26-'1851'!K26</f>
        <v>90.399999999999977</v>
      </c>
      <c r="D5" s="36">
        <f>'1852'!K26-'1852'!J26</f>
        <v>78.600000000000023</v>
      </c>
      <c r="E5" s="36">
        <f>'1853'!K27-'1853'!J27</f>
        <v>104</v>
      </c>
    </row>
    <row r="6" spans="1:26" x14ac:dyDescent="0.35">
      <c r="A6" s="42" t="s">
        <v>34</v>
      </c>
      <c r="B6" s="323">
        <f>SUM(B5:E5)</f>
        <v>348.70000000000005</v>
      </c>
      <c r="C6" s="323"/>
      <c r="D6" s="323"/>
      <c r="E6" s="323"/>
      <c r="G6" s="133">
        <f>1-B6/B7</f>
        <v>3.0850472484711622E-2</v>
      </c>
    </row>
    <row r="7" spans="1:26" x14ac:dyDescent="0.35">
      <c r="A7" s="42" t="s">
        <v>35</v>
      </c>
      <c r="B7" s="323">
        <f>'1850'!K29-'1850'!J29</f>
        <v>359.79999999999927</v>
      </c>
      <c r="C7" s="323"/>
      <c r="D7" s="323"/>
      <c r="E7" s="323"/>
    </row>
    <row r="8" spans="1:26" ht="18" x14ac:dyDescent="0.4">
      <c r="A8" s="125" t="s">
        <v>36</v>
      </c>
      <c r="B8" s="126"/>
      <c r="C8" s="126"/>
      <c r="D8" s="126"/>
      <c r="E8" s="127"/>
    </row>
    <row r="9" spans="1:26" x14ac:dyDescent="0.35">
      <c r="A9" s="36" t="s">
        <v>37</v>
      </c>
      <c r="B9" s="36">
        <f>'1850'!K5-'1850'!J5+'1850'!K7-'1850'!J7+'1850'!K9-'1850'!J9+'1850'!K11-'1850'!J11+'1850'!K13-'1850'!J13+'1850'!K15-'1850'!J15+'1850'!K17-'1850'!J17+'1850'!K19-'1850'!J19+'1850'!K21-'1850'!J21+'1850'!K23-'1850'!J23</f>
        <v>4.1880000000000024</v>
      </c>
      <c r="C9" s="36">
        <f>'1851'!L5-'1851'!K5+'1851'!L7-'1851'!K7+'1851'!L9-'1851'!K9+'1851'!L11-'1851'!K11+'1851'!L13-'1851'!K13+'1851'!L15-'1851'!K15+'1851'!L17-'1851'!K17+'1851'!L19-'1851'!K19+'1851'!L21-'1851'!K21+'1851'!L23-'1851'!K23</f>
        <v>4.5979999999999848</v>
      </c>
      <c r="D9" s="36">
        <f>'1852'!K5-'1852'!J5+'1852'!K7-'1852'!J7+'1852'!K9-'1852'!J9+'1852'!K11-'1852'!J11+'1852'!K13-'1852'!J13+'1852'!K15-'1852'!J15+'1852'!K17-'1852'!J17+'1852'!K19-'1852'!J19+'1852'!K21-'1852'!J21+'1852'!K23-'1852'!J23</f>
        <v>4.4070000000000249</v>
      </c>
      <c r="E9" s="36">
        <f>'1853'!K5-'1853'!J5+'1853'!K7-'1853'!J7+'1853'!K9-'1853'!J9+'1853'!K11-'1853'!J11+'1853'!K13-'1853'!J13+'1853'!K15-'1853'!J15+'1853'!K17-'1853'!J17+'1853'!K19-'1853'!J19+'1853'!K21-'1853'!J21+'1853'!K23-'1853'!J23</f>
        <v>3.6699999999999875</v>
      </c>
      <c r="G9" s="133">
        <f>1-B9/B10</f>
        <v>-1.0330097087378629</v>
      </c>
      <c r="H9" s="133">
        <f>1-C9/C10</f>
        <v>-6.6821345707652524E-2</v>
      </c>
      <c r="I9" s="133">
        <f>1-D9/D10</f>
        <v>-0.3728971962616745</v>
      </c>
      <c r="J9" s="133">
        <f>1-E9/E10</f>
        <v>-0.18006430868168444</v>
      </c>
    </row>
    <row r="10" spans="1:26" x14ac:dyDescent="0.35">
      <c r="A10" s="36" t="s">
        <v>38</v>
      </c>
      <c r="B10" s="38">
        <f>('1850'!K27-'1850'!J27)</f>
        <v>2.0600000000000023</v>
      </c>
      <c r="C10" s="43">
        <f>('1851'!L27-'1851'!K27)</f>
        <v>4.3100000000000023</v>
      </c>
      <c r="D10" s="43">
        <f>('1852'!K27-'1852'!J27)</f>
        <v>3.2100000000000364</v>
      </c>
      <c r="E10" s="43">
        <f>('1853'!K28-'1853'!J28)</f>
        <v>3.1099999999999568</v>
      </c>
    </row>
    <row r="11" spans="1:26" ht="18" x14ac:dyDescent="0.4">
      <c r="A11" s="125" t="s">
        <v>44</v>
      </c>
      <c r="B11" s="126"/>
      <c r="C11" s="126"/>
      <c r="D11" s="126"/>
      <c r="E11" s="127"/>
    </row>
    <row r="12" spans="1:26" x14ac:dyDescent="0.35">
      <c r="A12" s="36" t="s">
        <v>40</v>
      </c>
      <c r="B12" s="39">
        <f>'1850'!K25-'1850'!J25</f>
        <v>179</v>
      </c>
      <c r="C12" s="39">
        <f>'1851'!L24-'1851'!K24</f>
        <v>190</v>
      </c>
      <c r="D12" s="39">
        <f>'1852'!K25-'1852'!J25</f>
        <v>180</v>
      </c>
      <c r="E12" s="39">
        <f>'1853'!K24-'1853'!J24</f>
        <v>170</v>
      </c>
    </row>
    <row r="13" spans="1:26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</row>
    <row r="14" spans="1:26" x14ac:dyDescent="0.35">
      <c r="A14" s="33" t="s">
        <v>41</v>
      </c>
      <c r="B14" s="40">
        <f>'1853'!K25-'1853'!J25</f>
        <v>253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</row>
    <row r="15" spans="1:26" x14ac:dyDescent="0.35">
      <c r="A15" s="33" t="s">
        <v>42</v>
      </c>
      <c r="B15" s="41">
        <f>'1853'!K26-'1853'!J26</f>
        <v>23.905999999999949</v>
      </c>
      <c r="C15" s="41"/>
      <c r="D15" s="41"/>
      <c r="E15" s="41"/>
      <c r="F15" s="41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</row>
    <row r="16" spans="1:26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8" spans="1:10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0" x14ac:dyDescent="0.35">
      <c r="A19" s="36" t="s">
        <v>32</v>
      </c>
      <c r="B19" s="36">
        <f>'1854'!K4-'1854'!J4+'1854'!K6-'1854'!J6+'1854'!K8-'1854'!J8+'1854'!K10-'1854'!J10+'1854'!K12-'1854'!J12+'1854'!K14-'1854'!J14+'1854'!K16-'1854'!J16+'1854'!K18-'1854'!J18+'1854'!K20-'1854'!J20+'1854'!K22-'1854'!J22</f>
        <v>58.360000000000007</v>
      </c>
      <c r="C19" s="36">
        <f>'1855'!K4-'1855'!J4+'1855'!K6-'1855'!J6+'1855'!K8-'1855'!J8+'1855'!K10-'1855'!J10+'1855'!K12-'1855'!J12+'1855'!K14-'1855'!J14+'1855'!K16-'1855'!J16+'1855'!K18-'1855'!J18+'1855'!K20-'1855'!J20+'1855'!K22-'1855'!J22</f>
        <v>71.351000000000028</v>
      </c>
      <c r="D19" s="36">
        <f>'1856'!K4-'1856'!J4+'1856'!K6-'1856'!J6+'1856'!K8-'1856'!J8+'1856'!K10-'1856'!J10+'1856'!K12-'1856'!J12+'1856'!K14-'1856'!J14+'1856'!K16-'1856'!J16+'1856'!K18-'1856'!J18+'1856'!K20-'1856'!J20+'1856'!K22-'1856'!J22</f>
        <v>56.46</v>
      </c>
      <c r="E19" s="36">
        <f>'1857'!K4-'1857'!J4+'1857'!K6-'1857'!J6+'1857'!K8-'1857'!J8+'1857'!K10-'1857'!J10+'1857'!K12-'1857'!J12+'1857'!K14-'1857'!J14+'1857'!K16-'1857'!J16+'1857'!K18-'1857'!J18+'1857'!K20-'1857'!J20+'1857'!K22-'1857'!J22</f>
        <v>57.177999999999983</v>
      </c>
      <c r="G19" s="133">
        <f>1-B19/B20</f>
        <v>7.8041074249605935E-2</v>
      </c>
      <c r="H19" s="133">
        <f>1-C19/C20</f>
        <v>6.4862385321101446E-2</v>
      </c>
      <c r="I19" s="133">
        <f>1-D19/D20</f>
        <v>9.6639999999999948E-2</v>
      </c>
      <c r="J19" s="133">
        <f>1-E19/E20</f>
        <v>0.19354019746121298</v>
      </c>
    </row>
    <row r="20" spans="1:10" x14ac:dyDescent="0.35">
      <c r="A20" s="36" t="s">
        <v>33</v>
      </c>
      <c r="B20" s="36">
        <f>'1854'!K26-'1854'!J26</f>
        <v>63.300000000000068</v>
      </c>
      <c r="C20" s="36">
        <f>'1855'!K26-'1855'!J26</f>
        <v>76.300000000000068</v>
      </c>
      <c r="D20" s="36">
        <f>'1856'!K26-'1856'!J26</f>
        <v>62.5</v>
      </c>
      <c r="E20" s="36">
        <f>'1857'!K26-'1857'!J26</f>
        <v>70.899999999999977</v>
      </c>
    </row>
    <row r="21" spans="1:10" x14ac:dyDescent="0.35">
      <c r="A21" s="36" t="s">
        <v>34</v>
      </c>
      <c r="B21" s="323">
        <f>SUM(B20:E20)</f>
        <v>273.00000000000011</v>
      </c>
      <c r="C21" s="323"/>
      <c r="D21" s="323"/>
      <c r="E21" s="323"/>
      <c r="G21" s="133">
        <f>1-B21/B22</f>
        <v>-3.1356252361168346E-2</v>
      </c>
    </row>
    <row r="22" spans="1:10" x14ac:dyDescent="0.35">
      <c r="A22" s="36" t="s">
        <v>35</v>
      </c>
      <c r="B22" s="323">
        <f>'1854'!K29-'1854'!J29</f>
        <v>264.69999999999891</v>
      </c>
      <c r="C22" s="323"/>
      <c r="D22" s="323"/>
      <c r="E22" s="323"/>
    </row>
    <row r="23" spans="1:10" ht="18" x14ac:dyDescent="0.4">
      <c r="A23" s="125" t="s">
        <v>36</v>
      </c>
      <c r="B23" s="126"/>
      <c r="C23" s="126"/>
      <c r="D23" s="126"/>
      <c r="E23" s="127"/>
    </row>
    <row r="24" spans="1:10" x14ac:dyDescent="0.35">
      <c r="A24" s="36" t="s">
        <v>37</v>
      </c>
      <c r="B24" s="36">
        <f>'1854'!K5-'1854'!J5+'1854'!K7-'1854'!J7+'1854'!K9-'1854'!J9+'1854'!K11-'1854'!J11+'1854'!K13-'1854'!J13+'1854'!K15-'1854'!J15+'1854'!K17-'1854'!J17+'1854'!K19-'1854'!J19+'1854'!K21-'1854'!J21+'1854'!K23-'1854'!J23</f>
        <v>3.4100000000000108</v>
      </c>
      <c r="C24" s="36">
        <f>'1855'!K5-'1855'!J5+'1855'!K7-'1855'!J7+'1855'!K9-'1855'!J9+'1855'!K11-'1855'!J11+'1855'!K13-'1855'!J13+'1855'!K15-'1855'!J15+'1855'!K17-'1855'!J17+'1855'!K19-'1855'!J19+'1855'!K21-'1855'!J21+'1855'!K23-'1855'!J23</f>
        <v>3.4069999999999965</v>
      </c>
      <c r="D24" s="36">
        <f>'1856'!K5-'1856'!J5+'1856'!K7-'1856'!J7+'1856'!K9-'1856'!J9+'1856'!K11-'1856'!J11+'1856'!K13-'1856'!J13+'1856'!K15-'1856'!J15+'1856'!K17-'1856'!J17+'1856'!K19-'1856'!J19+'1856'!K21-'1856'!J21+'1856'!K23-'1856'!J23</f>
        <v>2.982999999999997</v>
      </c>
      <c r="E24" s="36">
        <f>'1857'!K5-'1857'!J5+'1857'!K7-'1857'!J7+'1857'!K9-'1857'!J9+'1857'!K11-'1857'!J11+'1857'!K13-'1857'!J13+'1857'!K15-'1857'!J15+'1857'!K17-'1857'!J17+'1857'!K19-'1857'!J19+'1857'!K21-'1857'!J21+'1857'!K23-'1857'!J23</f>
        <v>3.4480000000000075</v>
      </c>
      <c r="G24" s="133">
        <f>1-B24/B25</f>
        <v>-0.20070422535215116</v>
      </c>
      <c r="H24" s="133">
        <f>1-C24/C25</f>
        <v>-6.8025078369886582E-2</v>
      </c>
      <c r="I24" s="133">
        <f>1-D24/D25</f>
        <v>-0.27478632478630605</v>
      </c>
      <c r="J24" s="133">
        <f>1-E24/E25</f>
        <v>-0.36284584980238921</v>
      </c>
    </row>
    <row r="25" spans="1:10" x14ac:dyDescent="0.35">
      <c r="A25" s="36" t="s">
        <v>38</v>
      </c>
      <c r="B25" s="38">
        <f>('1854'!K27-'1854'!J27)</f>
        <v>2.8399999999999181</v>
      </c>
      <c r="C25" s="43">
        <f>('1855'!K27-'1855'!J27)</f>
        <v>3.1900000000000546</v>
      </c>
      <c r="D25" s="43">
        <f>('1856'!K27-'1856'!J27)</f>
        <v>2.3400000000000318</v>
      </c>
      <c r="E25" s="43">
        <f>('1857'!K27-'1857'!J27)</f>
        <v>2.5299999999999727</v>
      </c>
    </row>
    <row r="26" spans="1:10" ht="18" x14ac:dyDescent="0.4">
      <c r="A26" s="125" t="s">
        <v>44</v>
      </c>
      <c r="B26" s="126"/>
      <c r="C26" s="126"/>
      <c r="D26" s="126"/>
      <c r="E26" s="127"/>
    </row>
    <row r="27" spans="1:10" x14ac:dyDescent="0.35">
      <c r="A27" s="36" t="s">
        <v>40</v>
      </c>
      <c r="B27" s="39">
        <f>'1854'!K25-'1854'!J25</f>
        <v>189</v>
      </c>
      <c r="C27" s="39">
        <f>'1855'!K25-'1855'!J25</f>
        <v>367</v>
      </c>
      <c r="D27" s="39">
        <f>'1856'!K25-'1856'!J25</f>
        <v>204</v>
      </c>
      <c r="E27" s="39">
        <f>'1857'!K25-'1857'!J25</f>
        <v>204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65536 C8:E20 M13:P13 M16:R17 C23:E65536">
    <cfRule type="cellIs" dxfId="25" priority="3" stopIfTrue="1" operator="lessThan">
      <formula>0</formula>
    </cfRule>
  </conditionalFormatting>
  <conditionalFormatting sqref="F1:R2 I13:J13 F13:L17 I16:J17 F28:R65536">
    <cfRule type="cellIs" dxfId="24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27"/>
  <sheetViews>
    <sheetView workbookViewId="0">
      <selection activeCell="E4" sqref="E4"/>
    </sheetView>
  </sheetViews>
  <sheetFormatPr defaultColWidth="9" defaultRowHeight="17.5" x14ac:dyDescent="0.35"/>
  <cols>
    <col min="1" max="1" width="35" style="33" customWidth="1"/>
    <col min="2" max="21" width="11.453125" style="33" customWidth="1"/>
    <col min="22" max="29" width="9.81640625" style="33" customWidth="1"/>
    <col min="30" max="33" width="6.453125" style="33" customWidth="1"/>
    <col min="34" max="16384" width="9" style="33"/>
  </cols>
  <sheetData>
    <row r="1" spans="1:29" ht="18" x14ac:dyDescent="0.4">
      <c r="A1" s="34" t="s">
        <v>51</v>
      </c>
      <c r="B1" s="35">
        <f>'S1'!B1</f>
        <v>2025</v>
      </c>
    </row>
    <row r="3" spans="1:29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29" x14ac:dyDescent="0.35">
      <c r="A4" s="42" t="s">
        <v>32</v>
      </c>
      <c r="B4" s="36">
        <f>'1850'!L4-'1850'!K4+'1850'!L6-'1850'!K6+'1850'!L8-'1850'!K8+'1850'!L10-'1850'!K10+'1850'!L12-'1850'!K12+'1850'!L14-'1850'!K14+'1850'!L16-'1850'!K16+'1850'!L18-'1850'!K18+'1850'!L20-'1850'!K20+'1850'!L22-'1850'!K22</f>
        <v>63.826999999999998</v>
      </c>
      <c r="C4" s="36">
        <f>'1851'!M4-'1851'!L4+'1851'!M6-'1851'!L6+'1851'!M8-'1851'!L8+'1851'!M10-'1851'!L10+'1851'!M12-'1851'!L12+'1851'!M14-'1851'!L14+'1851'!M16-'1851'!L16+'1851'!M18-'1851'!L18+'1851'!M20-'1851'!L20+'1851'!M22-'1851'!L22+'1851'!M33-'1851'!L33+'1851'!M34-'1851'!L34+'1851'!M35-'1851'!L35+'1851'!M36-'1851'!L36+'1851'!M37-'1851'!L37+'1851'!M40-'1851'!L40+'1851'!M41-'1851'!L41+'1851'!M42-'1851'!L42+'1851'!M43-'1851'!L43+'1851'!M44-'1851'!L44+'1851'!M45-'1851'!L45+'1851'!M46-'1851'!L46+'1851'!M47-'1851'!L47+'1851'!M48-'1851'!L48+'1851'!M49-'1851'!L49</f>
        <v>78.649000000000015</v>
      </c>
      <c r="D4" s="36">
        <f>'1852'!L4-'1852'!K4+'1852'!L6-'1852'!K6+'1852'!L8-'1852'!K8+'1852'!L10-'1852'!K10+'1852'!L12-'1852'!K12+'1852'!L14-'1852'!K14+'1852'!L16-'1852'!K16+'1852'!L18-'1852'!K18+'1852'!L20-'1852'!K20+'1852'!L22-'1852'!K22</f>
        <v>80.677999999999997</v>
      </c>
      <c r="E4" s="36">
        <f>'1853'!L4-'1853'!K4+'1853'!L6-'1853'!K6+'1853'!L8-'1853'!K8+'1853'!L10-'1853'!K10+'1853'!L12-'1853'!K12+'1853'!L14-'1853'!K14+'1853'!L16-'1853'!K16+'1853'!L18-'1853'!K18+'1853'!L20-'1853'!K20+'1853'!L22-'1853'!K22+'1853'!L26-'1853'!K26</f>
        <v>85.300999999999931</v>
      </c>
      <c r="G4" s="133">
        <f>1-B4/B5</f>
        <v>8.5573065902578183E-2</v>
      </c>
      <c r="H4" s="133">
        <f>1-C4/C5</f>
        <v>7.9051522248243189E-2</v>
      </c>
      <c r="I4" s="133">
        <f>1-D4/D5</f>
        <v>9.452300785634149E-2</v>
      </c>
      <c r="J4" s="133">
        <f>1-E4/E5</f>
        <v>0.11052137643378568</v>
      </c>
    </row>
    <row r="5" spans="1:29" x14ac:dyDescent="0.35">
      <c r="A5" s="42" t="s">
        <v>33</v>
      </c>
      <c r="B5" s="36">
        <f>'1850'!L26-'1850'!K26</f>
        <v>69.799999999999955</v>
      </c>
      <c r="C5" s="36">
        <f>'1851'!M26-'1851'!L26</f>
        <v>85.399999999999977</v>
      </c>
      <c r="D5" s="36">
        <f>'1852'!L26-'1852'!K26</f>
        <v>89.100000000000023</v>
      </c>
      <c r="E5" s="36">
        <f>'1853'!L27-'1853'!K27</f>
        <v>95.899999999999977</v>
      </c>
    </row>
    <row r="6" spans="1:29" x14ac:dyDescent="0.35">
      <c r="A6" s="42" t="s">
        <v>34</v>
      </c>
      <c r="B6" s="323">
        <f>SUM(B5:E5)</f>
        <v>340.19999999999993</v>
      </c>
      <c r="C6" s="323"/>
      <c r="D6" s="323"/>
      <c r="E6" s="323"/>
      <c r="G6" s="133">
        <f>1-B6/B7</f>
        <v>3.0769230769230993E-2</v>
      </c>
    </row>
    <row r="7" spans="1:29" x14ac:dyDescent="0.35">
      <c r="A7" s="42" t="s">
        <v>35</v>
      </c>
      <c r="B7" s="323">
        <f>'1850'!L29-'1850'!K29</f>
        <v>351</v>
      </c>
      <c r="C7" s="323"/>
      <c r="D7" s="323"/>
      <c r="E7" s="323"/>
    </row>
    <row r="8" spans="1:29" ht="18" x14ac:dyDescent="0.4">
      <c r="A8" s="125" t="s">
        <v>36</v>
      </c>
      <c r="B8" s="126"/>
      <c r="C8" s="126"/>
      <c r="D8" s="126"/>
      <c r="E8" s="127"/>
    </row>
    <row r="9" spans="1:29" x14ac:dyDescent="0.35">
      <c r="A9" s="36" t="s">
        <v>37</v>
      </c>
      <c r="B9" s="36">
        <f>'1850'!L5-'1850'!K5+'1850'!L7-'1850'!K7+'1850'!L9-'1850'!K9+'1850'!L11-'1850'!K11+'1850'!L13-'1850'!K13+'1850'!L15-'1850'!K15+'1850'!L17-'1850'!K17+'1850'!L19-'1850'!K19+'1850'!L21-'1850'!K21+'1850'!L23-'1850'!K23</f>
        <v>4.4210000000000065</v>
      </c>
      <c r="C9" s="36">
        <f>'1851'!M5-'1851'!L5+'1851'!M7-'1851'!L7+'1851'!M9-'1851'!L9+'1851'!M11-'1851'!L11+'1851'!M13-'1851'!L13+'1851'!M15-'1851'!L15+'1851'!M17-'1851'!L17+'1851'!M19-'1851'!L19+'1851'!M21-'1851'!L21+'1851'!M23-'1851'!L23</f>
        <v>5.5740000000000123</v>
      </c>
      <c r="D9" s="36">
        <f>'1852'!L5-'1852'!K5+'1852'!L7-'1852'!K7+'1852'!L9-'1852'!K9+'1852'!L11-'1852'!K11+'1852'!L13-'1852'!K13+'1852'!L15-'1852'!K15+'1852'!L17-'1852'!K17+'1852'!L19-'1852'!K19+'1852'!L21-'1852'!K21+'1852'!L23-'1852'!K23</f>
        <v>5.9129999999999967</v>
      </c>
      <c r="E9" s="36">
        <f>'1853'!L5-'1853'!K5+'1853'!L7-'1853'!K7+'1853'!L9-'1853'!K9+'1853'!L11-'1853'!K11+'1853'!L13-'1853'!K13+'1853'!L15-'1853'!K15+'1853'!L17-'1853'!K17+'1853'!L19-'1853'!K19+'1853'!L21-'1853'!K21+'1853'!L23-'1853'!K23</f>
        <v>4.6650000000000063</v>
      </c>
      <c r="G9" s="133">
        <f>1-B9/B10</f>
        <v>-0.66203007518795665</v>
      </c>
      <c r="H9" s="133">
        <f>1-C9/C10</f>
        <v>0.23643835616438302</v>
      </c>
      <c r="I9" s="133">
        <f>1-D9/D10</f>
        <v>-0.22931392931392813</v>
      </c>
      <c r="J9" s="133">
        <f>1-E9/E10</f>
        <v>-0.1405867970660073</v>
      </c>
    </row>
    <row r="10" spans="1:29" x14ac:dyDescent="0.35">
      <c r="A10" s="36" t="s">
        <v>38</v>
      </c>
      <c r="B10" s="38">
        <f>('1850'!L27-'1850'!K27)</f>
        <v>2.660000000000025</v>
      </c>
      <c r="C10" s="43">
        <f>('1851'!M27-'1851'!L27)</f>
        <v>7.3000000000000114</v>
      </c>
      <c r="D10" s="43">
        <f>('1852'!L27-'1852'!K27)</f>
        <v>4.8100000000000023</v>
      </c>
      <c r="E10" s="43">
        <f>('1853'!L28-'1853'!K28)</f>
        <v>4.0900000000000318</v>
      </c>
    </row>
    <row r="11" spans="1:29" ht="18" x14ac:dyDescent="0.4">
      <c r="A11" s="125" t="s">
        <v>44</v>
      </c>
      <c r="B11" s="126"/>
      <c r="C11" s="126"/>
      <c r="D11" s="126"/>
      <c r="E11" s="127"/>
    </row>
    <row r="12" spans="1:29" x14ac:dyDescent="0.35">
      <c r="A12" s="36" t="s">
        <v>40</v>
      </c>
      <c r="B12" s="39">
        <f>'1850'!L25-'1850'!K25</f>
        <v>183</v>
      </c>
      <c r="C12" s="39">
        <f>'1851'!M24-'1851'!L24</f>
        <v>192</v>
      </c>
      <c r="D12" s="39">
        <f>'1852'!L25-'1852'!K25</f>
        <v>168</v>
      </c>
      <c r="E12" s="39">
        <f>'1853'!L24-'1853'!K24</f>
        <v>206</v>
      </c>
    </row>
    <row r="13" spans="1:29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</row>
    <row r="14" spans="1:29" x14ac:dyDescent="0.35">
      <c r="A14" s="33" t="s">
        <v>41</v>
      </c>
      <c r="B14" s="40">
        <f>'1853'!L25-'1853'!K25</f>
        <v>288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</row>
    <row r="15" spans="1:29" x14ac:dyDescent="0.35">
      <c r="A15" s="33" t="s">
        <v>42</v>
      </c>
      <c r="B15" s="41">
        <f>'1853'!L26-'1853'!K26</f>
        <v>10.828999999999951</v>
      </c>
      <c r="C15" s="41"/>
      <c r="D15" s="41"/>
      <c r="E15" s="41"/>
      <c r="F15" s="41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 spans="1:29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</row>
    <row r="18" spans="1:10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0" x14ac:dyDescent="0.35">
      <c r="A19" s="36" t="s">
        <v>32</v>
      </c>
      <c r="B19" s="36">
        <f>'1854'!L4-'1854'!K4+'1854'!L6-'1854'!K6+'1854'!L8-'1854'!K8+'1854'!L10-'1854'!K10+'1854'!L12-'1854'!K12+'1854'!L14-'1854'!K14+'1854'!L16-'1854'!K16+'1854'!L18-'1854'!K18+'1854'!L20-'1854'!K20+'1854'!L22-'1854'!K22</f>
        <v>55.385000000000026</v>
      </c>
      <c r="C19" s="36">
        <f>'1855'!L4-'1855'!K4+'1855'!L6-'1855'!K6+'1855'!L8-'1855'!K8+'1855'!L10-'1855'!K10+'1855'!L12-'1855'!K12+'1855'!L14-'1855'!K14+'1855'!L16-'1855'!K16+'1855'!L18-'1855'!K18+'1855'!L20-'1855'!K20+'1855'!L22-'1855'!K22</f>
        <v>70.72399999999999</v>
      </c>
      <c r="D19" s="36">
        <f>'1856'!L4-'1856'!K4+'1856'!L6-'1856'!K6+'1856'!L8-'1856'!K8+'1856'!L10-'1856'!K10+'1856'!L12-'1856'!K12+'1856'!L14-'1856'!K14+'1856'!L16-'1856'!K16+'1856'!L18-'1856'!K18+'1856'!L20-'1856'!K20+'1856'!L22-'1856'!K22</f>
        <v>60.128999999999991</v>
      </c>
      <c r="E19" s="36">
        <f>'1857'!L4-'1857'!K4+'1857'!L6-'1857'!K6+'1857'!L8-'1857'!K8+'1857'!L10-'1857'!K10+'1857'!L12-'1857'!K12+'1857'!L14-'1857'!K14+'1857'!L16-'1857'!K16+'1857'!L18-'1857'!K18+'1857'!L20-'1857'!K20+'1857'!L22-'1857'!K22</f>
        <v>70.720000000000041</v>
      </c>
      <c r="G19" s="133">
        <f>1-B19/B20</f>
        <v>7.9983388704317426E-2</v>
      </c>
      <c r="H19" s="133">
        <f>1-C19/C20</f>
        <v>6.6965699208442864E-2</v>
      </c>
      <c r="I19" s="133">
        <f>1-D19/D20</f>
        <v>9.1706948640484121E-2</v>
      </c>
      <c r="J19" s="133">
        <f>1-E19/E20</f>
        <v>0.10819672131147562</v>
      </c>
    </row>
    <row r="20" spans="1:10" x14ac:dyDescent="0.35">
      <c r="A20" s="36" t="s">
        <v>33</v>
      </c>
      <c r="B20" s="36">
        <f>'1854'!L26-'1854'!K26</f>
        <v>60.199999999999932</v>
      </c>
      <c r="C20" s="36">
        <f>'1855'!L26-'1855'!K26</f>
        <v>75.799999999999955</v>
      </c>
      <c r="D20" s="36">
        <f>'1856'!L26-'1856'!K26</f>
        <v>66.200000000000045</v>
      </c>
      <c r="E20" s="36">
        <f>'1857'!L26-'1857'!K26</f>
        <v>79.300000000000068</v>
      </c>
    </row>
    <row r="21" spans="1:10" x14ac:dyDescent="0.35">
      <c r="A21" s="36" t="s">
        <v>34</v>
      </c>
      <c r="B21" s="323">
        <f>SUM(B20:E20)</f>
        <v>281.5</v>
      </c>
      <c r="C21" s="323"/>
      <c r="D21" s="323"/>
      <c r="E21" s="323"/>
      <c r="G21" s="133">
        <f>1-B21/B22</f>
        <v>-3.5307098197861375E-2</v>
      </c>
    </row>
    <row r="22" spans="1:10" x14ac:dyDescent="0.35">
      <c r="A22" s="36" t="s">
        <v>35</v>
      </c>
      <c r="B22" s="323">
        <f>'1854'!L29-'1854'!K29</f>
        <v>271.90000000000146</v>
      </c>
      <c r="C22" s="323"/>
      <c r="D22" s="323"/>
      <c r="E22" s="323"/>
    </row>
    <row r="23" spans="1:10" ht="18" x14ac:dyDescent="0.4">
      <c r="A23" s="125" t="s">
        <v>36</v>
      </c>
      <c r="B23" s="126"/>
      <c r="C23" s="126"/>
      <c r="D23" s="126"/>
      <c r="E23" s="127"/>
    </row>
    <row r="24" spans="1:10" x14ac:dyDescent="0.35">
      <c r="A24" s="36" t="s">
        <v>37</v>
      </c>
      <c r="B24" s="36">
        <f>'1854'!L5-'1854'!K5+'1854'!L7-'1854'!K7+'1854'!L9-'1854'!K9+'1854'!L11-'1854'!K11+'1854'!L13-'1854'!K13+'1854'!L15-'1854'!K15+'1854'!L17-'1854'!K17+'1854'!L19-'1854'!K19+'1854'!L21-'1854'!K21+'1854'!L23-'1854'!K23</f>
        <v>5.4350000000000254</v>
      </c>
      <c r="C24" s="36">
        <f>'1855'!L5-'1855'!K5+'1855'!L7-'1855'!K7+'1855'!L9-'1855'!K9+'1855'!L11-'1855'!K11+'1855'!L13-'1855'!K13+'1855'!L15-'1855'!K15+'1855'!L17-'1855'!K17+'1855'!L19-'1855'!K19+'1855'!L21-'1855'!K21+'1855'!L23-'1855'!K23</f>
        <v>5.166000000000011</v>
      </c>
      <c r="D24" s="36">
        <f>'1856'!L5-'1856'!K5+'1856'!L7-'1856'!K7+'1856'!L9-'1856'!K9+'1856'!L11-'1856'!K11+'1856'!L13-'1856'!K13+'1856'!L15-'1856'!K15+'1856'!L17-'1856'!K17+'1856'!L19-'1856'!K19+'1856'!L21-'1856'!K21+'1856'!L23-'1856'!K23</f>
        <v>3.8040000000000092</v>
      </c>
      <c r="E24" s="36">
        <f>'1857'!L5-'1857'!K5+'1857'!L7-'1857'!K7+'1857'!L9-'1857'!K9+'1857'!L11-'1857'!K11+'1857'!L13-'1857'!K13+'1857'!L15-'1857'!K15+'1857'!L17-'1857'!K17+'1857'!L19-'1857'!K19+'1857'!L21-'1857'!K21+'1857'!L23-'1857'!K23</f>
        <v>5.0699999999999932</v>
      </c>
      <c r="G24" s="133">
        <f>1-B24/B25</f>
        <v>0.1702290076335925</v>
      </c>
      <c r="H24" s="133">
        <f>1-C24/C25</f>
        <v>2.1590909090902E-2</v>
      </c>
      <c r="I24" s="133">
        <f>1-D24/D25</f>
        <v>-0.1740740740740736</v>
      </c>
      <c r="J24" s="133">
        <f>1-E24/E25</f>
        <v>-0.12416851441241761</v>
      </c>
    </row>
    <row r="25" spans="1:10" x14ac:dyDescent="0.35">
      <c r="A25" s="36" t="s">
        <v>38</v>
      </c>
      <c r="B25" s="43">
        <f>('1854'!L27-'1854'!K27)</f>
        <v>6.5500000000000682</v>
      </c>
      <c r="C25" s="43">
        <f>('1855'!L27-'1855'!K27)</f>
        <v>5.2799999999999727</v>
      </c>
      <c r="D25" s="43">
        <f>('1856'!L27-'1856'!K27)</f>
        <v>3.2400000000000091</v>
      </c>
      <c r="E25" s="43">
        <f>('1857'!L27-'1857'!K27)</f>
        <v>4.5099999999999909</v>
      </c>
    </row>
    <row r="26" spans="1:10" ht="18" x14ac:dyDescent="0.4">
      <c r="A26" s="125" t="s">
        <v>44</v>
      </c>
      <c r="B26" s="126"/>
      <c r="C26" s="126"/>
      <c r="D26" s="126"/>
      <c r="E26" s="127"/>
    </row>
    <row r="27" spans="1:10" x14ac:dyDescent="0.35">
      <c r="A27" s="36" t="s">
        <v>40</v>
      </c>
      <c r="B27" s="39">
        <f>'1854'!L25-'1854'!K25</f>
        <v>190</v>
      </c>
      <c r="C27" s="39">
        <f>'1855'!L25-'1855'!K25</f>
        <v>214</v>
      </c>
      <c r="D27" s="39">
        <f>'1856'!L25-'1856'!K25</f>
        <v>185</v>
      </c>
      <c r="E27" s="39">
        <f>'1857'!L25-'1857'!K25</f>
        <v>181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65536">
    <cfRule type="cellIs" dxfId="23" priority="4" stopIfTrue="1" operator="lessThan">
      <formula>0</formula>
    </cfRule>
  </conditionalFormatting>
  <conditionalFormatting sqref="C1:E5 C8:E20 O13:R13 O16:U17 C23:E65536">
    <cfRule type="cellIs" dxfId="22" priority="5" stopIfTrue="1" operator="lessThan">
      <formula>0</formula>
    </cfRule>
  </conditionalFormatting>
  <conditionalFormatting sqref="F1:U2 I13:J13 F13:N17 I16:J17 F28:U65536">
    <cfRule type="cellIs" dxfId="21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27"/>
  <sheetViews>
    <sheetView workbookViewId="0">
      <selection activeCell="G21" sqref="G21"/>
    </sheetView>
  </sheetViews>
  <sheetFormatPr defaultColWidth="9" defaultRowHeight="17.5" x14ac:dyDescent="0.35"/>
  <cols>
    <col min="1" max="1" width="35" style="33" customWidth="1"/>
    <col min="2" max="15" width="11.453125" style="33" customWidth="1"/>
    <col min="16" max="16" width="13.36328125" style="33" customWidth="1"/>
    <col min="17" max="24" width="11.453125" style="33" customWidth="1"/>
    <col min="25" max="32" width="9.81640625" style="33" customWidth="1"/>
    <col min="33" max="36" width="6.453125" style="33" customWidth="1"/>
    <col min="37" max="16384" width="9" style="33"/>
  </cols>
  <sheetData>
    <row r="1" spans="1:32" ht="18" x14ac:dyDescent="0.4">
      <c r="A1" s="34" t="s">
        <v>52</v>
      </c>
      <c r="B1" s="35">
        <f>'S1'!B1</f>
        <v>2025</v>
      </c>
      <c r="C1" s="35"/>
    </row>
    <row r="3" spans="1:32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32" x14ac:dyDescent="0.35">
      <c r="A4" s="42" t="s">
        <v>32</v>
      </c>
      <c r="B4" s="36">
        <f>'1850'!M4-'1850'!L4+'1850'!M6-'1850'!L6+'1850'!M8-'1850'!L8+'1850'!M10-'1850'!L10+'1850'!M12-'1850'!L12+'1850'!M14-'1850'!L14+'1850'!M16-'1850'!L16+'1850'!M18-'1850'!L18+'1850'!M20-'1850'!L20+'1850'!M22-'1850'!L22</f>
        <v>59.937000000000026</v>
      </c>
      <c r="C4" s="36">
        <f>'1851'!N4-'1851'!M4+'1851'!N6-'1851'!M6+'1851'!N8-'1851'!M8+'1851'!N10-'1851'!M10+'1851'!N12-'1851'!M12+'1851'!N14-'1851'!M14+'1851'!N16-'1851'!M16+'1851'!N18-'1851'!M18+'1851'!N20-'1851'!M20+'1851'!N22-'1851'!M22+'1851'!N33-'1851'!M33+'1851'!N34-'1851'!M34+'1851'!N35-'1851'!M35+'1851'!N36-'1851'!M36+'1851'!N37-'1851'!M37+'1851'!N40-'1851'!M40+'1851'!N41-'1851'!M41+'1851'!N42-'1851'!M42+'1851'!N43-'1851'!M43+'1851'!N44-'1851'!M44+'1851'!N45-'1851'!M45+'1851'!N46-'1851'!M46+'1851'!N47-'1851'!M47+'1851'!N48-'1851'!M48+'1851'!N49-'1851'!M49</f>
        <v>76.322999999999951</v>
      </c>
      <c r="D4" s="36">
        <f>'1852'!M4-'1852'!L4+'1852'!M6-'1852'!L6+'1852'!M8-'1852'!L8+'1852'!M10-'1852'!L10+'1852'!M12-'1852'!L12+'1852'!M14-'1852'!L14+'1852'!M16-'1852'!L16+'1852'!M18-'1852'!L18+'1852'!M20-'1852'!L20+'1852'!M22-'1852'!L22</f>
        <v>78.144999999999982</v>
      </c>
      <c r="E4" s="36">
        <f>'1853'!M4-'1853'!L4+'1853'!M6-'1853'!L6+'1853'!M8-'1853'!L8+'1853'!M10-'1853'!L10+'1853'!M12-'1853'!L12+'1853'!M14-'1853'!L14+'1853'!M16-'1853'!L16+'1853'!M18-'1853'!L18+'1853'!M20-'1853'!L20+'1853'!M22-'1853'!L22+'1853'!M26-'1853'!L26</f>
        <v>73.840000000000032</v>
      </c>
      <c r="G4" s="133">
        <f>1-B4/B5</f>
        <v>8.9103343465046114E-2</v>
      </c>
      <c r="H4" s="133">
        <f>1-C4/C5</f>
        <v>8.7045454545455425E-2</v>
      </c>
      <c r="I4" s="133">
        <f>1-D4/D5</f>
        <v>9.3445475638051723E-2</v>
      </c>
      <c r="J4" s="133">
        <f>1-E4/E5</f>
        <v>0.11249999999999893</v>
      </c>
    </row>
    <row r="5" spans="1:32" x14ac:dyDescent="0.35">
      <c r="A5" s="42" t="s">
        <v>33</v>
      </c>
      <c r="B5" s="36">
        <f>'1850'!M26-'1850'!L26</f>
        <v>65.800000000000068</v>
      </c>
      <c r="C5" s="36">
        <f>'1851'!N26-'1851'!M26</f>
        <v>83.600000000000023</v>
      </c>
      <c r="D5" s="36">
        <f>'1852'!M26-'1852'!L26</f>
        <v>86.200000000000045</v>
      </c>
      <c r="E5" s="36">
        <f>'1853'!M27-'1853'!L27</f>
        <v>83.199999999999932</v>
      </c>
    </row>
    <row r="6" spans="1:32" x14ac:dyDescent="0.35">
      <c r="A6" s="42" t="s">
        <v>34</v>
      </c>
      <c r="B6" s="323">
        <f>SUM(B5:E5)</f>
        <v>318.80000000000007</v>
      </c>
      <c r="C6" s="323"/>
      <c r="D6" s="323"/>
      <c r="E6" s="323"/>
      <c r="G6" s="133">
        <f>1-B6/B7</f>
        <v>3.8890563762437824E-2</v>
      </c>
    </row>
    <row r="7" spans="1:32" x14ac:dyDescent="0.35">
      <c r="A7" s="42" t="s">
        <v>35</v>
      </c>
      <c r="B7" s="323">
        <f>'1850'!M29-'1850'!L29</f>
        <v>331.70000000000073</v>
      </c>
      <c r="C7" s="323"/>
      <c r="D7" s="323"/>
      <c r="E7" s="323"/>
    </row>
    <row r="8" spans="1:32" ht="18" x14ac:dyDescent="0.4">
      <c r="A8" s="125" t="s">
        <v>36</v>
      </c>
      <c r="B8" s="126"/>
      <c r="C8" s="126"/>
      <c r="D8" s="126"/>
      <c r="E8" s="127"/>
    </row>
    <row r="9" spans="1:32" x14ac:dyDescent="0.35">
      <c r="A9" s="36" t="s">
        <v>37</v>
      </c>
      <c r="B9" s="36">
        <f>'1850'!M5-'1850'!L5+'1850'!M7-'1850'!L7+'1850'!M9-'1850'!L9+'1850'!M11-'1850'!L11+'1850'!M13-'1850'!L13+'1850'!M15-'1850'!L15+'1850'!M17-'1850'!L17+'1850'!M19-'1850'!L19+'1850'!M21-'1850'!L21+'1850'!M23-'1850'!L23</f>
        <v>10.337999999999994</v>
      </c>
      <c r="C9" s="36">
        <f>'1851'!N5-'1851'!M5+'1851'!N7-'1851'!M7+'1851'!N9-'1851'!M9+'1851'!N11-'1851'!M11+'1851'!N13-'1851'!M13+'1851'!N15-'1851'!M15+'1851'!N17-'1851'!M17+'1851'!N19-'1851'!M19+'1851'!N21-'1851'!M21+'1851'!N23-'1851'!M23</f>
        <v>15.517000000000031</v>
      </c>
      <c r="D9" s="36">
        <f>'1852'!M5-'1852'!L5+'1852'!M7-'1852'!L7+'1852'!M9-'1852'!L9+'1852'!M11-'1852'!L11+'1852'!M13-'1852'!L13+'1852'!M15-'1852'!L15+'1852'!M17-'1852'!L17+'1852'!M19-'1852'!L19+'1852'!M21-'1852'!L21+'1852'!M23-'1852'!L23</f>
        <v>13.365999999999985</v>
      </c>
      <c r="E9" s="36">
        <f>'1853'!M5-'1853'!L5+'1853'!M7-'1853'!L7+'1853'!M9-'1853'!L9+'1853'!M11-'1853'!L11+'1853'!M13-'1853'!L13+'1853'!M15-'1853'!L15+'1853'!M17-'1853'!L17+'1853'!M19-'1853'!L19+'1853'!M21-'1853'!L21+'1853'!M23-'1853'!L23</f>
        <v>12.242000000000019</v>
      </c>
      <c r="G9" s="133">
        <f>1-B9/B10</f>
        <v>-0.20489510489510643</v>
      </c>
      <c r="H9" s="133">
        <f>1-C9/C10</f>
        <v>4.6824887748556643E-3</v>
      </c>
      <c r="I9" s="133">
        <f>1-D9/D10</f>
        <v>-0.12888513513513633</v>
      </c>
      <c r="J9" s="133">
        <f>1-E9/E10</f>
        <v>-5.9161873459327996E-3</v>
      </c>
    </row>
    <row r="10" spans="1:32" x14ac:dyDescent="0.35">
      <c r="A10" s="36" t="s">
        <v>38</v>
      </c>
      <c r="B10" s="43">
        <f>('1850'!M27-'1850'!L27)</f>
        <v>8.5799999999999841</v>
      </c>
      <c r="C10" s="43">
        <f>('1851'!N27-'1851'!M27)</f>
        <v>15.590000000000032</v>
      </c>
      <c r="D10" s="43">
        <f>('1852'!M27-'1852'!L27)</f>
        <v>11.839999999999975</v>
      </c>
      <c r="E10" s="43">
        <f>('1853'!M28-'1853'!L28)</f>
        <v>12.170000000000016</v>
      </c>
    </row>
    <row r="11" spans="1:32" ht="18" x14ac:dyDescent="0.4">
      <c r="A11" s="125" t="s">
        <v>44</v>
      </c>
      <c r="B11" s="126"/>
      <c r="C11" s="126"/>
      <c r="D11" s="126"/>
      <c r="E11" s="127"/>
    </row>
    <row r="12" spans="1:32" x14ac:dyDescent="0.35">
      <c r="A12" s="36" t="s">
        <v>40</v>
      </c>
      <c r="B12" s="39">
        <f>'1850'!M25-'1850'!L25</f>
        <v>172</v>
      </c>
      <c r="C12" s="39">
        <f>'1851'!N24-'1851'!M24</f>
        <v>201</v>
      </c>
      <c r="D12" s="39">
        <f>'1852'!M25-'1852'!L25</f>
        <v>176</v>
      </c>
      <c r="E12" s="39">
        <f>'1853'!M24-'1853'!L24</f>
        <v>174</v>
      </c>
    </row>
    <row r="13" spans="1:32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32" x14ac:dyDescent="0.35">
      <c r="A14" s="33" t="s">
        <v>41</v>
      </c>
      <c r="B14" s="40">
        <f>'1853'!M25-'1853'!L25</f>
        <v>329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</row>
    <row r="15" spans="1:32" x14ac:dyDescent="0.35">
      <c r="A15" s="33" t="s">
        <v>42</v>
      </c>
      <c r="B15" s="41">
        <f>'1853'!M26-'1853'!L26</f>
        <v>1.1970000000000027</v>
      </c>
      <c r="C15" s="41"/>
      <c r="D15" s="41"/>
      <c r="E15" s="41"/>
      <c r="F15" s="41"/>
      <c r="G15" s="40"/>
      <c r="H15" s="40"/>
      <c r="I15" s="40"/>
      <c r="J15" s="40"/>
      <c r="K15" s="41"/>
      <c r="L15" s="41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</row>
    <row r="16" spans="1:32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</row>
    <row r="18" spans="1:16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6" x14ac:dyDescent="0.35">
      <c r="A19" s="36" t="s">
        <v>32</v>
      </c>
      <c r="B19" s="36">
        <f>'1854'!M4-'1854'!L4+'1854'!M6-'1854'!L6+'1854'!M8-'1854'!L8+'1854'!M10-'1854'!L10+'1854'!M12-'1854'!L12+'1854'!M14-'1854'!L14+'1854'!M16-'1854'!L16+'1854'!M18-'1854'!L18+'1854'!M20-'1854'!L20+'1854'!M22-'1854'!L22</f>
        <v>51.720000000000006</v>
      </c>
      <c r="C19" s="36">
        <f>'1855'!M4-'1855'!L4+'1855'!M6-'1855'!L6+'1855'!M8-'1855'!L8+'1855'!M10-'1855'!L10+'1855'!M12-'1855'!L12+'1855'!M14-'1855'!L14+'1855'!M16-'1855'!L16+'1855'!M18-'1855'!L18+'1855'!M20-'1855'!L20+'1855'!M22-'1855'!L22</f>
        <v>70.771999999999949</v>
      </c>
      <c r="D19" s="36">
        <f>'1856'!M4-'1856'!L4+'1856'!M6-'1856'!L6+'1856'!M8-'1856'!L8+'1856'!M10-'1856'!L10+'1856'!M12-'1856'!L12+'1856'!M14-'1856'!L14+'1856'!M16-'1856'!L16+'1856'!M18-'1856'!L18+'1856'!M20-'1856'!L20+'1856'!M22-'1856'!L22</f>
        <v>65.470000000000027</v>
      </c>
      <c r="E19" s="36">
        <f>'1857'!M4-'1857'!L4+'1857'!M6-'1857'!L6+'1857'!M8-'1857'!L8+'1857'!M10-'1857'!L10+'1857'!M12-'1857'!L12+'1857'!M14-'1857'!L14+'1857'!M16-'1857'!L16+'1857'!M18-'1857'!L18+'1857'!M20-'1857'!L20+'1857'!M22-'1857'!L22</f>
        <v>75.516999999999982</v>
      </c>
      <c r="G19" s="133">
        <f>1-B19/B20</f>
        <v>8.7830687830688481E-2</v>
      </c>
      <c r="H19" s="133">
        <f>1-C19/C20</f>
        <v>6.5099075297227138E-2</v>
      </c>
      <c r="I19" s="133">
        <f>1-D19/D20</f>
        <v>9.8209366391183051E-2</v>
      </c>
      <c r="J19" s="133">
        <f>1-E19/E20</f>
        <v>7.9060975609756334E-2</v>
      </c>
    </row>
    <row r="20" spans="1:16" x14ac:dyDescent="0.35">
      <c r="A20" s="36" t="s">
        <v>33</v>
      </c>
      <c r="B20" s="36">
        <f>'1854'!M26-'1854'!L26</f>
        <v>56.700000000000045</v>
      </c>
      <c r="C20" s="36">
        <f>'1855'!M26-'1855'!L26</f>
        <v>75.700000000000045</v>
      </c>
      <c r="D20" s="36">
        <f>'1856'!M26-'1856'!L26</f>
        <v>72.599999999999909</v>
      </c>
      <c r="E20" s="36">
        <f>'1857'!M26-'1857'!L26</f>
        <v>82</v>
      </c>
    </row>
    <row r="21" spans="1:16" x14ac:dyDescent="0.35">
      <c r="A21" s="36" t="s">
        <v>34</v>
      </c>
      <c r="B21" s="323">
        <f>SUM(B20:E20)</f>
        <v>287</v>
      </c>
      <c r="C21" s="323"/>
      <c r="D21" s="323"/>
      <c r="E21" s="323"/>
      <c r="G21" s="299">
        <f>1-B21/B22</f>
        <v>-1.5579322638146</v>
      </c>
      <c r="M21" s="33">
        <f>B21</f>
        <v>287</v>
      </c>
      <c r="O21" s="299">
        <f>1-M21/M22</f>
        <v>-3.5353535353532584E-2</v>
      </c>
    </row>
    <row r="22" spans="1:16" x14ac:dyDescent="0.35">
      <c r="A22" s="36" t="s">
        <v>35</v>
      </c>
      <c r="B22" s="324">
        <f>'1854'!M29-'1854'!L29</f>
        <v>112.20000000000073</v>
      </c>
      <c r="C22" s="324"/>
      <c r="D22" s="324"/>
      <c r="E22" s="324"/>
      <c r="M22" s="33">
        <f>B22+165</f>
        <v>277.20000000000073</v>
      </c>
    </row>
    <row r="23" spans="1:16" ht="18" x14ac:dyDescent="0.4">
      <c r="A23" s="125" t="s">
        <v>36</v>
      </c>
      <c r="B23" s="126"/>
      <c r="C23" s="126"/>
      <c r="D23" s="126"/>
      <c r="E23" s="127"/>
      <c r="O23" s="257"/>
      <c r="P23" s="66"/>
    </row>
    <row r="24" spans="1:16" x14ac:dyDescent="0.35">
      <c r="A24" s="36" t="s">
        <v>37</v>
      </c>
      <c r="B24" s="36">
        <f>'1854'!M5-'1854'!L5+'1854'!M7-'1854'!L7+'1854'!M9-'1854'!L9+'1854'!M11-'1854'!L11+'1854'!M13-'1854'!L13+'1854'!M15-'1854'!L15+'1854'!M17-'1854'!L17+'1854'!M19-'1854'!L19+'1854'!M21-'1854'!L21+'1854'!M23-'1854'!L23</f>
        <v>17.326000000000001</v>
      </c>
      <c r="C24" s="36">
        <f>'1855'!M5-'1855'!L5+'1855'!M7-'1855'!L7+'1855'!M9-'1855'!L9+'1855'!M11-'1855'!L11+'1855'!M13-'1855'!L13+'1855'!M15-'1855'!L15+'1855'!M17-'1855'!L17+'1855'!M19-'1855'!L19+'1855'!M21-'1855'!L21+'1855'!M23-'1855'!L23</f>
        <v>13.245999999999995</v>
      </c>
      <c r="D24" s="36">
        <f>'1856'!M5-'1856'!L5+'1856'!M7-'1856'!L7+'1856'!M9-'1856'!L9+'1856'!M11-'1856'!L11+'1856'!M13-'1856'!L13+'1856'!M15-'1856'!L15+'1856'!M17-'1856'!L17+'1856'!M19-'1856'!L19+'1856'!M21-'1856'!L21+'1856'!M23-'1856'!L23</f>
        <v>10.716000000000001</v>
      </c>
      <c r="E24" s="36">
        <f>'1857'!M5-'1857'!L5+'1857'!M7-'1857'!L7+'1857'!M9-'1857'!L9+'1857'!M11-'1857'!L11+'1857'!M13-'1857'!L13+'1857'!M15-'1857'!L15+'1857'!M17-'1857'!L17+'1857'!M19-'1857'!L19+'1857'!M21-'1857'!L21+'1857'!M23-'1857'!L23</f>
        <v>12.665000000000006</v>
      </c>
      <c r="G24" s="133">
        <f>1-B24/B25</f>
        <v>0.1191662430096575</v>
      </c>
      <c r="H24" s="133">
        <f>1-C24/C25</f>
        <v>0.10318212593094034</v>
      </c>
      <c r="I24" s="133">
        <f>1-D24/D25</f>
        <v>2.581818181818174E-2</v>
      </c>
      <c r="J24" s="133">
        <f>1-E24/E25</f>
        <v>9.7732603596526468E-3</v>
      </c>
      <c r="O24" s="257"/>
      <c r="P24" s="258"/>
    </row>
    <row r="25" spans="1:16" x14ac:dyDescent="0.35">
      <c r="A25" s="36" t="s">
        <v>38</v>
      </c>
      <c r="B25" s="43">
        <f>('1854'!M27-'1854'!L27)</f>
        <v>19.669999999999959</v>
      </c>
      <c r="C25" s="43">
        <f>('1855'!M27-'1855'!L27)</f>
        <v>14.769999999999982</v>
      </c>
      <c r="D25" s="43">
        <f>('1856'!M27-'1856'!L27)</f>
        <v>11</v>
      </c>
      <c r="E25" s="43">
        <f>('1857'!M27-'1857'!L27)</f>
        <v>12.789999999999964</v>
      </c>
    </row>
    <row r="26" spans="1:16" ht="18" x14ac:dyDescent="0.4">
      <c r="A26" s="125" t="s">
        <v>44</v>
      </c>
      <c r="B26" s="126"/>
      <c r="C26" s="126"/>
      <c r="D26" s="126"/>
      <c r="E26" s="127"/>
    </row>
    <row r="27" spans="1:16" x14ac:dyDescent="0.35">
      <c r="A27" s="36" t="s">
        <v>40</v>
      </c>
      <c r="B27" s="39">
        <f>'1854'!M25-'1854'!L25</f>
        <v>186</v>
      </c>
      <c r="C27" s="39">
        <f>'1855'!M25-'1855'!L25</f>
        <v>215</v>
      </c>
      <c r="D27" s="39">
        <f>'1856'!M25-'1856'!L25</f>
        <v>179</v>
      </c>
      <c r="E27" s="39">
        <f>'1857'!M25-'1857'!L25</f>
        <v>203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20 Q13:T13 Q16:X17 C23:E65536">
    <cfRule type="cellIs" dxfId="20" priority="5" stopIfTrue="1" operator="lessThan">
      <formula>0</formula>
    </cfRule>
  </conditionalFormatting>
  <conditionalFormatting sqref="F1:X2 I13:J13 F13:P17 I16:J17 F28:X65536">
    <cfRule type="cellIs" dxfId="19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27"/>
  <sheetViews>
    <sheetView workbookViewId="0">
      <selection activeCell="J23" sqref="J23"/>
    </sheetView>
  </sheetViews>
  <sheetFormatPr defaultColWidth="9" defaultRowHeight="17.5" x14ac:dyDescent="0.35"/>
  <cols>
    <col min="1" max="1" width="35" style="33" customWidth="1"/>
    <col min="2" max="6" width="11.453125" style="33" customWidth="1"/>
    <col min="7" max="7" width="12.08984375" style="33" bestFit="1" customWidth="1"/>
    <col min="8" max="27" width="11.453125" style="33" customWidth="1"/>
    <col min="28" max="35" width="9.81640625" style="33" customWidth="1"/>
    <col min="36" max="39" width="6.453125" style="33" customWidth="1"/>
    <col min="40" max="16384" width="9" style="33"/>
  </cols>
  <sheetData>
    <row r="1" spans="1:35" ht="18" x14ac:dyDescent="0.4">
      <c r="A1" s="34" t="s">
        <v>53</v>
      </c>
      <c r="B1" s="35">
        <f>'S1'!B1</f>
        <v>2025</v>
      </c>
      <c r="C1" s="35"/>
      <c r="D1" s="35"/>
      <c r="E1" s="35"/>
    </row>
    <row r="3" spans="1:35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35" x14ac:dyDescent="0.35">
      <c r="A4" s="42" t="s">
        <v>32</v>
      </c>
      <c r="B4" s="36">
        <f>'1850'!N4-'1850'!M4+'1850'!N6-'1850'!M6+'1850'!N8-'1850'!M8+'1850'!N10-'1850'!M10+'1850'!N12-'1850'!M12+'1850'!N14-'1850'!M14+'1850'!N16-'1850'!M16+'1850'!N18-'1850'!M18+'1850'!N20-'1850'!M20+'1850'!N22-'1850'!M22</f>
        <v>81.275999999999982</v>
      </c>
      <c r="C4" s="253">
        <f>'1851'!O4-'1851'!N4+'1851'!O6-'1851'!N6+'1851'!O8-'1851'!N8+'1851'!O10-'1851'!N10+'1851'!O12-'1851'!N12+'1851'!O14-'1851'!N14+'1851'!O16-'1851'!N16+'1851'!O18-'1851'!N18+'1851'!O20-'1851'!N20+'1851'!O22-'1851'!N22+'1851'!O33-'1851'!N33+'1851'!O34-'1851'!N34+'1851'!O35-'1851'!N35+'1851'!O36-'1851'!N36+'1851'!O37-'1851'!N37+'1851'!O40-'1851'!N40+'1851'!O41-'1851'!N41+'1851'!O42-'1851'!N42+'1851'!O43-'1851'!N43+'1851'!O44-'1851'!N44+'1851'!O45-'1851'!N45+'1851'!O46-'1851'!N46+'1851'!O47-'1851'!N47+'1851'!O48-'1851'!N48+'1851'!O49-'1851'!N49</f>
        <v>83.609000000000009</v>
      </c>
      <c r="D4" s="253">
        <f>'1852'!N4-'1852'!M4+'1852'!N6-'1852'!M6+'1852'!N8-'1852'!M8+'1852'!N10-'1852'!M10+'1852'!N12-'1852'!M12+'1852'!N14-'1852'!M14+'1852'!N16-'1852'!M16+'1852'!N18-'1852'!M18+'1852'!N20-'1852'!M20+'1852'!N22-'1852'!M22</f>
        <v>78.523999999999958</v>
      </c>
      <c r="E4" s="36">
        <f>'1853'!N4-'1853'!M4+'1853'!N6-'1853'!M6+'1853'!N8-'1853'!M8+'1853'!N10-'1853'!M10+'1853'!N12-'1853'!M12+'1853'!N14-'1853'!M14+'1853'!N16-'1853'!M16+'1853'!N18-'1853'!M18+'1853'!N20-'1853'!M20+'1853'!N22-'1853'!M22+'1853'!N26-'1853'!M26</f>
        <v>76.02800000000002</v>
      </c>
      <c r="G4" s="133">
        <f>1-B4/B5</f>
        <v>7.6409090909091093E-2</v>
      </c>
      <c r="H4" s="133">
        <f>1-C4/C5</f>
        <v>9.1206521739131463E-2</v>
      </c>
      <c r="I4" s="133">
        <f>1-D4/D5</f>
        <v>9.5345622119815676E-2</v>
      </c>
      <c r="J4" s="133">
        <f>1-E4/E5</f>
        <v>0.12106358381502869</v>
      </c>
    </row>
    <row r="5" spans="1:35" x14ac:dyDescent="0.35">
      <c r="A5" s="42" t="s">
        <v>33</v>
      </c>
      <c r="B5" s="36">
        <f>'1850'!N26-'1850'!M26</f>
        <v>88</v>
      </c>
      <c r="C5" s="36">
        <f>'1851'!O26-'1851'!N26</f>
        <v>92.000000000000114</v>
      </c>
      <c r="D5" s="36">
        <f>'1852'!N26-'1852'!M26</f>
        <v>86.799999999999955</v>
      </c>
      <c r="E5" s="36">
        <f>'1853'!N27-'1853'!M27</f>
        <v>86.5</v>
      </c>
    </row>
    <row r="6" spans="1:35" x14ac:dyDescent="0.35">
      <c r="A6" s="42" t="s">
        <v>34</v>
      </c>
      <c r="B6" s="323">
        <f>SUM(B5:E5)</f>
        <v>353.30000000000007</v>
      </c>
      <c r="C6" s="323"/>
      <c r="D6" s="323"/>
      <c r="E6" s="323"/>
      <c r="G6" s="133">
        <f>1-B6/B7</f>
        <v>3.1258568686593491E-2</v>
      </c>
    </row>
    <row r="7" spans="1:35" x14ac:dyDescent="0.35">
      <c r="A7" s="42" t="s">
        <v>35</v>
      </c>
      <c r="B7" s="323">
        <f>'1850'!N29-'1850'!M29</f>
        <v>364.70000000000073</v>
      </c>
      <c r="C7" s="323"/>
      <c r="D7" s="323"/>
      <c r="E7" s="323"/>
    </row>
    <row r="8" spans="1:35" ht="18" x14ac:dyDescent="0.4">
      <c r="A8" s="125" t="s">
        <v>36</v>
      </c>
      <c r="B8" s="126"/>
      <c r="C8" s="126"/>
      <c r="D8" s="126"/>
      <c r="E8" s="127"/>
    </row>
    <row r="9" spans="1:35" x14ac:dyDescent="0.35">
      <c r="A9" s="36" t="s">
        <v>37</v>
      </c>
      <c r="B9" s="36">
        <f>'1850'!N5-'1850'!M5+'1850'!N7-'1850'!M7+'1850'!N9-'1850'!M9+'1850'!N11-'1850'!M11+'1850'!N13-'1850'!M13+'1850'!N15-'1850'!M15+'1850'!N17-'1850'!M17+'1850'!N19-'1850'!M19+'1850'!N21-'1850'!M21+'1850'!N23-'1850'!M23</f>
        <v>27.650999999999996</v>
      </c>
      <c r="C9" s="36">
        <f>'1851'!O5-'1851'!N5+'1851'!O7-'1851'!N7+'1851'!O9-'1851'!N9+'1851'!O11-'1851'!N11+'1851'!O13-'1851'!N13+'1851'!O15-'1851'!N15+'1851'!O17-'1851'!N17+'1851'!O19-'1851'!N19+'1851'!O21-'1851'!N21+'1851'!O23-'1851'!N23</f>
        <v>30.588999999999984</v>
      </c>
      <c r="D9" s="36">
        <f>'1852'!N5-'1852'!M5+'1852'!N7-'1852'!M7+'1852'!N9-'1852'!M9+'1852'!N11-'1852'!M11+'1852'!N13-'1852'!M13+'1852'!N15-'1852'!M15+'1852'!N17-'1852'!M17+'1852'!N19-'1852'!M19+'1852'!N21-'1852'!M21+'1852'!N23-'1852'!M23</f>
        <v>31.077000000000012</v>
      </c>
      <c r="E9" s="36">
        <f>'1853'!N5-'1853'!M5+'1853'!N7-'1853'!M7+'1853'!N9-'1853'!M9+'1853'!N11-'1853'!M11+'1853'!N13-'1853'!M13+'1853'!N15-'1853'!M15+'1853'!N17-'1853'!M17+'1853'!N19-'1853'!M19+'1853'!N21-'1853'!M21+'1853'!N23-'1853'!M23</f>
        <v>26.807999999999979</v>
      </c>
      <c r="G9" s="133">
        <f>1-B9/B10</f>
        <v>2.4891774891786511E-3</v>
      </c>
      <c r="H9" s="133">
        <f>1-C9/C10</f>
        <v>1.1983204134368597E-2</v>
      </c>
      <c r="I9" s="133">
        <f>1-D9/D10</f>
        <v>-2.1933574482077889E-2</v>
      </c>
      <c r="J9" s="133">
        <f>1-E9/E10</f>
        <v>1.909989023051617E-2</v>
      </c>
    </row>
    <row r="10" spans="1:35" x14ac:dyDescent="0.35">
      <c r="A10" s="36" t="s">
        <v>38</v>
      </c>
      <c r="B10" s="43">
        <f>('1850'!N27-'1850'!M27)</f>
        <v>27.720000000000027</v>
      </c>
      <c r="C10" s="43">
        <f>('1851'!O27-'1851'!N27)</f>
        <v>30.960000000000036</v>
      </c>
      <c r="D10" s="43">
        <f>('1852'!N27-'1852'!M27)</f>
        <v>30.410000000000025</v>
      </c>
      <c r="E10" s="43">
        <f>('1853'!N28-'1853'!M28)</f>
        <v>27.329999999999984</v>
      </c>
    </row>
    <row r="11" spans="1:35" ht="18" x14ac:dyDescent="0.4">
      <c r="A11" s="125" t="s">
        <v>44</v>
      </c>
      <c r="B11" s="126"/>
      <c r="C11" s="126"/>
      <c r="D11" s="126"/>
      <c r="E11" s="127"/>
    </row>
    <row r="12" spans="1:35" x14ac:dyDescent="0.35">
      <c r="A12" s="36" t="s">
        <v>40</v>
      </c>
      <c r="B12" s="39">
        <f>'1850'!N25-'1850'!M25</f>
        <v>186</v>
      </c>
      <c r="C12" s="39">
        <f>'1851'!O24-'1851'!N24</f>
        <v>188</v>
      </c>
      <c r="D12" s="39">
        <f>'1852'!N25-'1852'!M25</f>
        <v>200</v>
      </c>
      <c r="E12" s="39">
        <f>'1853'!N24-'1853'!M24</f>
        <v>181</v>
      </c>
    </row>
    <row r="13" spans="1:35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</row>
    <row r="14" spans="1:35" x14ac:dyDescent="0.35">
      <c r="A14" s="33" t="s">
        <v>41</v>
      </c>
      <c r="B14" s="40">
        <f>'1853'!N25-'1853'!M25</f>
        <v>379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spans="1:35" x14ac:dyDescent="0.35">
      <c r="A15" s="33" t="s">
        <v>42</v>
      </c>
      <c r="B15" s="41">
        <f>'1853'!N26-'1853'!M26</f>
        <v>1.7730000000000246</v>
      </c>
      <c r="C15" s="41"/>
      <c r="D15" s="41"/>
      <c r="E15" s="41"/>
      <c r="F15" s="41"/>
      <c r="G15" s="40"/>
      <c r="H15" s="40"/>
      <c r="I15" s="40"/>
      <c r="J15" s="40"/>
      <c r="K15" s="41"/>
      <c r="L15" s="41"/>
      <c r="M15" s="41"/>
      <c r="N15" s="41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35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287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</row>
    <row r="17" spans="1:15" x14ac:dyDescent="0.35">
      <c r="M17" s="66"/>
    </row>
    <row r="18" spans="1:15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  <c r="M18" s="66"/>
    </row>
    <row r="19" spans="1:15" x14ac:dyDescent="0.35">
      <c r="A19" s="36" t="s">
        <v>32</v>
      </c>
      <c r="B19" s="253">
        <f>'1854'!N4-'1854'!M4+'1854'!N6-'1854'!M6+'1854'!N8-'1854'!M8+'1854'!N10-'1854'!M10+'1854'!N12-'1854'!M12+'1854'!N14-'1854'!M14+'1854'!N16-'1854'!M16+'1854'!N18-'1854'!M18+'1854'!N20-'1854'!M20+'1854'!N22-'1854'!M22</f>
        <v>60.375</v>
      </c>
      <c r="C19" s="36">
        <f>'1855'!N4-'1855'!M4+'1855'!N6-'1855'!M6+'1855'!N8-'1855'!M8+'1855'!N10-'1855'!M10+'1855'!N12-'1855'!M12+'1855'!N14-'1855'!M14+'1855'!N16-'1855'!M16+'1855'!N18-'1855'!M18+'1855'!N20-'1855'!M20+'1855'!N22-'1855'!M22</f>
        <v>74.081999999999994</v>
      </c>
      <c r="D19" s="36">
        <f>'1856'!N4-'1856'!M4+'1856'!N6-'1856'!M6+'1856'!N8-'1856'!M8+'1856'!N10-'1856'!M10+'1856'!N12-'1856'!M12+'1856'!N14-'1856'!M14+'1856'!N16-'1856'!M16+'1856'!N18-'1856'!M18+'1856'!N20-'1856'!M20+'1856'!N22-'1856'!M22</f>
        <v>63.992999999999981</v>
      </c>
      <c r="E19" s="36">
        <f>'1857'!N4-'1857'!M4+'1857'!N6-'1857'!M6+'1857'!N8-'1857'!M8+'1857'!N10-'1857'!M10+'1857'!N12-'1857'!M12+'1857'!N14-'1857'!M14+'1857'!N16-'1857'!M16+'1857'!N18-'1857'!M18+'1857'!N20-'1857'!M20+'1857'!N22-'1857'!M22</f>
        <v>81.64100000000002</v>
      </c>
      <c r="G19" s="133">
        <f>1-B19/B20</f>
        <v>7.5421133231239779E-2</v>
      </c>
      <c r="H19" s="133">
        <f>1-C19/C20</f>
        <v>6.9321608040201377E-2</v>
      </c>
      <c r="I19" s="133">
        <f>1-D19/D20</f>
        <v>9.2297872340425857E-2</v>
      </c>
      <c r="J19" s="133">
        <f>1-E19/E20</f>
        <v>7.9582863585117458E-2</v>
      </c>
      <c r="M19" s="133"/>
    </row>
    <row r="20" spans="1:15" x14ac:dyDescent="0.35">
      <c r="A20" s="36" t="s">
        <v>33</v>
      </c>
      <c r="B20" s="36">
        <f>'1854'!N26-'1854'!M26</f>
        <v>65.299999999999955</v>
      </c>
      <c r="C20" s="36">
        <f>'1855'!N26-'1855'!M26</f>
        <v>79.600000000000023</v>
      </c>
      <c r="D20" s="36">
        <f>'1856'!N26-'1856'!M26</f>
        <v>70.5</v>
      </c>
      <c r="E20" s="36">
        <f>'1857'!N26-'1857'!M26</f>
        <v>88.699999999999932</v>
      </c>
    </row>
    <row r="21" spans="1:15" x14ac:dyDescent="0.35">
      <c r="A21" s="36" t="s">
        <v>34</v>
      </c>
      <c r="B21" s="323">
        <f>SUM(B20:E20)</f>
        <v>304.09999999999991</v>
      </c>
      <c r="C21" s="323"/>
      <c r="D21" s="323"/>
      <c r="E21" s="323"/>
      <c r="G21" s="299">
        <f>1-B21/B22</f>
        <v>-0.18742678641156441</v>
      </c>
      <c r="M21" s="33">
        <f>B21</f>
        <v>304.09999999999991</v>
      </c>
      <c r="O21" s="299">
        <f>1-M21/M22</f>
        <v>-4.465819306080876E-2</v>
      </c>
    </row>
    <row r="22" spans="1:15" x14ac:dyDescent="0.35">
      <c r="A22" s="36" t="s">
        <v>35</v>
      </c>
      <c r="B22" s="323">
        <f>'1854'!N29-'1854'!M29</f>
        <v>256.09999999999854</v>
      </c>
      <c r="C22" s="323"/>
      <c r="D22" s="323"/>
      <c r="E22" s="323"/>
      <c r="M22" s="33">
        <f>B22+35</f>
        <v>291.09999999999854</v>
      </c>
    </row>
    <row r="23" spans="1:15" ht="18" x14ac:dyDescent="0.4">
      <c r="A23" s="125" t="s">
        <v>36</v>
      </c>
      <c r="B23" s="126"/>
      <c r="C23" s="126"/>
      <c r="D23" s="126"/>
      <c r="E23" s="127"/>
    </row>
    <row r="24" spans="1:15" x14ac:dyDescent="0.35">
      <c r="A24" s="36" t="s">
        <v>37</v>
      </c>
      <c r="B24" s="36">
        <f>'1854'!N5-'1854'!M5+'1854'!N7-'1854'!M7+'1854'!N9-'1854'!M9+'1854'!N11-'1854'!M11+'1854'!N13-'1854'!M13+'1854'!N15-'1854'!M15+'1854'!N17-'1854'!M17+'1854'!N19-'1854'!M19+'1854'!N21-'1854'!M21+'1854'!N23-'1854'!M23</f>
        <v>30.723000000000013</v>
      </c>
      <c r="C24" s="36">
        <f>'1855'!N5-'1855'!M5+'1855'!N7-'1855'!M7+'1855'!N9-'1855'!M9+'1855'!N11-'1855'!M11+'1855'!N13-'1855'!M13+'1855'!N15-'1855'!M15+'1855'!N17-'1855'!M17+'1855'!N19-'1855'!M19+'1855'!N21-'1855'!M21+'1855'!N23-'1855'!M23</f>
        <v>29.390999999999991</v>
      </c>
      <c r="D24" s="36">
        <f>'1856'!N5-'1856'!M5+'1856'!N7-'1856'!M7+'1856'!N9-'1856'!M9+'1856'!N11-'1856'!M11+'1856'!N13-'1856'!M13+'1856'!N15-'1856'!M15+'1856'!N17-'1856'!M17+'1856'!N19-'1856'!M19+'1856'!N21-'1856'!M21+'1856'!N23-'1856'!M23</f>
        <v>25.905000000000015</v>
      </c>
      <c r="E24" s="36">
        <f>'1857'!N5-'1857'!M5+'1857'!N7-'1857'!M7+'1857'!N9-'1857'!M9+'1857'!N11-'1857'!M11+'1857'!N13-'1857'!M13+'1857'!N15-'1857'!M15+'1857'!N17-'1857'!M17+'1857'!N19-'1857'!M19+'1857'!N21-'1857'!M21+'1857'!N23-'1857'!M23</f>
        <v>27.938999999999965</v>
      </c>
      <c r="G24" s="133">
        <f>1-B24/B25</f>
        <v>9.0497335701600568E-2</v>
      </c>
      <c r="H24" s="133">
        <f>1-C24/C25</f>
        <v>9.7605158120968705E-2</v>
      </c>
      <c r="I24" s="133">
        <f>1-D24/D25</f>
        <v>6.1413043478261042E-2</v>
      </c>
      <c r="J24" s="133">
        <f>1-E24/E25</f>
        <v>4.0885684860965443E-2</v>
      </c>
    </row>
    <row r="25" spans="1:15" x14ac:dyDescent="0.35">
      <c r="A25" s="36" t="s">
        <v>38</v>
      </c>
      <c r="B25" s="43">
        <f>('1854'!N27-'1854'!M27)</f>
        <v>33.780000000000086</v>
      </c>
      <c r="C25" s="43">
        <f>('1855'!N27-'1855'!M27)</f>
        <v>32.569999999999936</v>
      </c>
      <c r="D25" s="43">
        <f>('1856'!N27-'1856'!M27)</f>
        <v>27.600000000000023</v>
      </c>
      <c r="E25" s="43">
        <f>('1857'!N27-'1857'!M27)</f>
        <v>29.129999999999882</v>
      </c>
    </row>
    <row r="26" spans="1:15" ht="18" x14ac:dyDescent="0.4">
      <c r="A26" s="125" t="s">
        <v>44</v>
      </c>
      <c r="B26" s="126"/>
      <c r="C26" s="126"/>
      <c r="D26" s="126"/>
      <c r="E26" s="127"/>
    </row>
    <row r="27" spans="1:15" x14ac:dyDescent="0.35">
      <c r="A27" s="36" t="s">
        <v>40</v>
      </c>
      <c r="B27" s="39">
        <f>'1854'!N25-'1854'!M25</f>
        <v>321</v>
      </c>
      <c r="C27" s="39">
        <f>'1855'!N25-'1855'!M25</f>
        <v>190</v>
      </c>
      <c r="D27" s="39">
        <f>'1856'!N25-'1856'!M25</f>
        <v>193</v>
      </c>
      <c r="E27" s="39">
        <f>'1857'!N25-'1857'!M25</f>
        <v>331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20 S13:V13 S16:AA17 C23:E65536">
    <cfRule type="cellIs" dxfId="18" priority="6" stopIfTrue="1" operator="lessThan">
      <formula>0</formula>
    </cfRule>
  </conditionalFormatting>
  <conditionalFormatting sqref="F1:AA2 I13:J13 F13:R17 I16:J17 F28:AA65536">
    <cfRule type="cellIs" dxfId="17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27"/>
  <sheetViews>
    <sheetView tabSelected="1" workbookViewId="0">
      <selection activeCell="L12" sqref="L12"/>
    </sheetView>
  </sheetViews>
  <sheetFormatPr defaultColWidth="9" defaultRowHeight="17.5" x14ac:dyDescent="0.35"/>
  <cols>
    <col min="1" max="1" width="36.26953125" style="33" customWidth="1"/>
    <col min="2" max="30" width="11.453125" style="33" customWidth="1"/>
    <col min="31" max="38" width="9.81640625" style="33" customWidth="1"/>
    <col min="39" max="42" width="6.453125" style="33" customWidth="1"/>
    <col min="43" max="16384" width="9" style="33"/>
  </cols>
  <sheetData>
    <row r="1" spans="1:34" ht="18" x14ac:dyDescent="0.4">
      <c r="A1" s="34" t="s">
        <v>54</v>
      </c>
      <c r="B1" s="35">
        <f>'S1'!B1</f>
        <v>2025</v>
      </c>
      <c r="C1" s="35"/>
      <c r="D1" s="35"/>
      <c r="E1" s="35"/>
      <c r="F1" s="35"/>
    </row>
    <row r="2" spans="1:34" x14ac:dyDescent="0.35">
      <c r="N2" s="278" t="s">
        <v>317</v>
      </c>
      <c r="O2" s="278"/>
    </row>
    <row r="3" spans="1:34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34" x14ac:dyDescent="0.35">
      <c r="A4" s="42" t="s">
        <v>32</v>
      </c>
      <c r="B4" s="36">
        <f>'1850'!O4-'1850'!N4+'1850'!O6-'1850'!N6+'1850'!O8-'1850'!N8+'1850'!O10-'1850'!N10+'1850'!O12-'1850'!N12+'1850'!O14-'1850'!N14+'1850'!O16-'1850'!N16+'1850'!O18-'1850'!N18+'1850'!O20-'1850'!N20+'1850'!O22-'1850'!N22</f>
        <v>78.226999999999975</v>
      </c>
      <c r="C4" s="36">
        <f>'1851'!P4-'1851'!O4+'1851'!P6-'1851'!O6+'1851'!P8-'1851'!O8+'1851'!P10-'1851'!O10+'1851'!P12-'1851'!O12+'1851'!P14-'1851'!O14+'1851'!P16-'1851'!O16+'1851'!P18-'1851'!O18+'1851'!P20-'1851'!O20+'1851'!P22-'1851'!O22+'1851'!P33-'1851'!O33+'1851'!P34-'1851'!O34+'1851'!P35-'1851'!O35+'1851'!P36-'1851'!O36+'1851'!P37-'1851'!O37+'1851'!P40-'1851'!O40+'1851'!P41-'1851'!O41+'1851'!P42-'1851'!O42+'1851'!P43-'1851'!O43+'1851'!P44-'1851'!O44+'1851'!P45-'1851'!O45+'1851'!P46-'1851'!O46+'1851'!P47-'1851'!O47+'1851'!P48-'1851'!O48+'1851'!P49-'1851'!O49</f>
        <v>76.091999999999999</v>
      </c>
      <c r="D4" s="36">
        <f>'1852'!O4-'1852'!N4+'1852'!O6-'1852'!N6+'1852'!O8-'1852'!N8+'1852'!O10-'1852'!N10+'1852'!O12-'1852'!N12+'1852'!O14-'1852'!N14+'1852'!O16-'1852'!N16+'1852'!O18-'1852'!N18+'1852'!O20-'1852'!N20+'1852'!O22-'1852'!N22</f>
        <v>65.627000000000066</v>
      </c>
      <c r="E4" s="36">
        <f>'1853'!O4-'1853'!N4+'1853'!O6-'1853'!N6+'1853'!O8-'1853'!N8+'1853'!O10-'1853'!N10+'1853'!O12-'1853'!N12+'1853'!O14-'1853'!N14+'1853'!O16-'1853'!N16+'1853'!O18-'1853'!N18+'1853'!O20-'1853'!N20+'1853'!O22-'1853'!N22+'1853'!O26-'1853'!N26</f>
        <v>75.293999999999983</v>
      </c>
      <c r="G4" s="133">
        <f>1-B4/B5</f>
        <v>8.3992974238875973E-2</v>
      </c>
      <c r="H4" s="133">
        <f>1-C4/C5</f>
        <v>9.0896057347668258E-2</v>
      </c>
      <c r="I4" s="133">
        <f>1-D4/D5</f>
        <v>9.229598893499158E-2</v>
      </c>
      <c r="J4" s="133">
        <f>1-E4/E5</f>
        <v>0.13255760368663572</v>
      </c>
    </row>
    <row r="5" spans="1:34" x14ac:dyDescent="0.35">
      <c r="A5" s="42" t="s">
        <v>33</v>
      </c>
      <c r="B5" s="36">
        <f>'1850'!O26-'1850'!N26</f>
        <v>85.399999999999977</v>
      </c>
      <c r="C5" s="36">
        <f>'1851'!P26-'1851'!O26</f>
        <v>83.699999999999818</v>
      </c>
      <c r="D5" s="36">
        <f>'1852'!O26-'1852'!N26</f>
        <v>72.299999999999955</v>
      </c>
      <c r="E5" s="36">
        <f>'1853'!O27-'1853'!N27</f>
        <v>86.799999999999955</v>
      </c>
    </row>
    <row r="6" spans="1:34" x14ac:dyDescent="0.35">
      <c r="A6" s="42" t="s">
        <v>34</v>
      </c>
      <c r="B6" s="323">
        <f>SUM(B5:E5)</f>
        <v>328.1999999999997</v>
      </c>
      <c r="C6" s="323"/>
      <c r="D6" s="323"/>
      <c r="E6" s="323"/>
      <c r="G6" s="133">
        <f>1-B6/B7</f>
        <v>5.1445086705203202E-2</v>
      </c>
      <c r="L6" s="362"/>
      <c r="M6" s="362"/>
    </row>
    <row r="7" spans="1:34" x14ac:dyDescent="0.35">
      <c r="A7" s="42" t="s">
        <v>35</v>
      </c>
      <c r="B7" s="324">
        <f>'1850'!O29-'1850'!E33+'1850'!E32-'1850'!N29</f>
        <v>346</v>
      </c>
      <c r="C7" s="324"/>
      <c r="D7" s="324"/>
      <c r="E7" s="324"/>
      <c r="L7" s="354" t="s">
        <v>450</v>
      </c>
      <c r="M7" s="354"/>
      <c r="N7" s="324">
        <f>'1850'!AA29-'1850'!Z29</f>
        <v>0</v>
      </c>
      <c r="O7" s="324"/>
      <c r="P7" s="324"/>
      <c r="Q7" s="324"/>
    </row>
    <row r="8" spans="1:34" ht="18" x14ac:dyDescent="0.4">
      <c r="A8" s="125" t="s">
        <v>36</v>
      </c>
      <c r="B8" s="126"/>
      <c r="C8" s="126"/>
      <c r="D8" s="126"/>
      <c r="E8" s="127"/>
    </row>
    <row r="9" spans="1:34" x14ac:dyDescent="0.35">
      <c r="A9" s="36" t="s">
        <v>37</v>
      </c>
      <c r="B9" s="36">
        <f>'1850'!O5-'1850'!N5+'1850'!O7-'1850'!N7+'1850'!O9-'1850'!N9+'1850'!O11-'1850'!N11+'1850'!O13-'1850'!N13+'1850'!O15-'1850'!N15+'1850'!O17-'1850'!N17+'1850'!O19-'1850'!N19+'1850'!O21-'1850'!N21+'1850'!O23-'1850'!N23</f>
        <v>32.058999999999969</v>
      </c>
      <c r="C9" s="36">
        <f>'1851'!P5-'1851'!O5+'1851'!P7-'1851'!O7+'1851'!P9-'1851'!O9+'1851'!P11-'1851'!O11+'1851'!P13-'1851'!O13+'1851'!P15-'1851'!O15+'1851'!P17-'1851'!O17+'1851'!P19-'1851'!O19+'1851'!P21-'1851'!O21+'1851'!P23-'1851'!O23</f>
        <v>35.037000000000006</v>
      </c>
      <c r="D9" s="36">
        <f>'1852'!O5-'1852'!N5+'1852'!O7-'1852'!N7+'1852'!O9-'1852'!N9+'1852'!O11-'1852'!N11+'1852'!O13-'1852'!N13+'1852'!O15-'1852'!N15+'1852'!O17-'1852'!N17+'1852'!O19-'1852'!N19+'1852'!O21-'1852'!N21+'1852'!O23-'1852'!N23</f>
        <v>33.618999999999986</v>
      </c>
      <c r="E9" s="36">
        <f>'1853'!O5-'1853'!N5+'1853'!O7-'1853'!N7+'1853'!O9-'1853'!N9+'1853'!O11-'1853'!N11+'1853'!O13-'1853'!N13+'1853'!O15-'1853'!N15+'1853'!O17-'1853'!N17+'1853'!O19-'1853'!N19+'1853'!O21-'1853'!N21+'1853'!O23-'1853'!N23</f>
        <v>30.499999999999986</v>
      </c>
      <c r="G9" s="133">
        <f>1-B9/B10</f>
        <v>1.8702173247627463E-2</v>
      </c>
      <c r="H9" s="133">
        <f>1-C9/C10</f>
        <v>4.531335149863569E-2</v>
      </c>
      <c r="I9" s="133">
        <f>1-D9/D10</f>
        <v>2.9952550415179857E-3</v>
      </c>
      <c r="J9" s="133">
        <f>1-E9/E10</f>
        <v>3.6030341340075878E-2</v>
      </c>
    </row>
    <row r="10" spans="1:34" x14ac:dyDescent="0.35">
      <c r="A10" s="36" t="s">
        <v>38</v>
      </c>
      <c r="B10" s="38">
        <f>('1850'!O27-'1850'!N27)</f>
        <v>32.669999999999959</v>
      </c>
      <c r="C10" s="43">
        <f>('1851'!P27-'1851'!O27)</f>
        <v>36.699999999999932</v>
      </c>
      <c r="D10" s="43">
        <f>('1852'!O27-'1852'!N27)</f>
        <v>33.71999999999997</v>
      </c>
      <c r="E10" s="43">
        <f>('1853'!O28-'1853'!N28)</f>
        <v>31.639999999999986</v>
      </c>
    </row>
    <row r="11" spans="1:34" ht="18" x14ac:dyDescent="0.4">
      <c r="A11" s="125" t="s">
        <v>44</v>
      </c>
      <c r="B11" s="126"/>
      <c r="C11" s="126"/>
      <c r="D11" s="126"/>
      <c r="E11" s="127"/>
    </row>
    <row r="12" spans="1:34" x14ac:dyDescent="0.35">
      <c r="A12" s="36" t="s">
        <v>40</v>
      </c>
      <c r="B12" s="39">
        <f>'1850'!O25-'1850'!N25</f>
        <v>189</v>
      </c>
      <c r="C12" s="39">
        <f>'1851'!P24-'1851'!O24</f>
        <v>166</v>
      </c>
      <c r="D12" s="39">
        <f>'1852'!O25-'1852'!N25</f>
        <v>287</v>
      </c>
      <c r="E12" s="39">
        <f>'1853'!O24-'1853'!N24</f>
        <v>156</v>
      </c>
    </row>
    <row r="13" spans="1:34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spans="1:34" x14ac:dyDescent="0.35">
      <c r="A14" s="33" t="s">
        <v>41</v>
      </c>
      <c r="B14" s="40">
        <f>'1853'!O25-'1853'!N25</f>
        <v>386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</row>
    <row r="15" spans="1:34" x14ac:dyDescent="0.35">
      <c r="A15" s="33" t="s">
        <v>42</v>
      </c>
      <c r="B15" s="41">
        <f>'1853'!O26-'1853'!N26</f>
        <v>0</v>
      </c>
      <c r="C15" s="41"/>
      <c r="D15" s="41"/>
      <c r="E15" s="41"/>
      <c r="F15" s="41"/>
      <c r="G15" s="40"/>
      <c r="H15" s="40"/>
      <c r="I15" s="40"/>
      <c r="J15" s="40"/>
      <c r="K15" s="41"/>
      <c r="L15" s="41"/>
      <c r="M15" s="41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</row>
    <row r="16" spans="1:34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spans="1:17" x14ac:dyDescent="0.35">
      <c r="L17" s="358" t="s">
        <v>446</v>
      </c>
      <c r="M17" s="359" t="s">
        <v>447</v>
      </c>
    </row>
    <row r="18" spans="1:17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  <c r="L18" s="357" t="s">
        <v>444</v>
      </c>
      <c r="M18" s="356" t="s">
        <v>445</v>
      </c>
    </row>
    <row r="19" spans="1:17" x14ac:dyDescent="0.35">
      <c r="A19" s="36" t="s">
        <v>32</v>
      </c>
      <c r="B19" s="36">
        <f>'1854'!O4-'1854'!N4+'1854'!O6-'1854'!N6+'1854'!O8-'1854'!N8+'1854'!O10-'1854'!N10+'1854'!O12-'1854'!N12+'1854'!O14-'1854'!N14+'1854'!O16-'1854'!N16+'1854'!O18-'1854'!N18+'1854'!O20-'1854'!N20+'1854'!O22-'1854'!N22</f>
        <v>55.087000000000039</v>
      </c>
      <c r="C19" s="36">
        <f>'1855'!O4-'1855'!N4+'1855'!O6-'1855'!N6+'1855'!O8-'1855'!N8+'1855'!O10-'1855'!N10+'1855'!O12-'1855'!N12+'1855'!O14-'1855'!N14+'1855'!O16-'1855'!N16+'1855'!O18-'1855'!N18+'1855'!O20-'1855'!N20+'1855'!O22-'1855'!N22</f>
        <v>83.870000000000047</v>
      </c>
      <c r="D19" s="36">
        <f>'1856'!O4-'1856'!N4+'1856'!O6-'1856'!N6+'1856'!O8-'1856'!N8+'1856'!O10-'1856'!N10+'1856'!O12-'1856'!N12+'1856'!O14-'1856'!N14+'1856'!O16-'1856'!N16+'1856'!O18-'1856'!N18+'1856'!O20-'1856'!N20+'1856'!O22-'1856'!N22</f>
        <v>67.254000000000019</v>
      </c>
      <c r="E19" s="36">
        <f>'1857'!O4-'1857'!N4+'1857'!O6-'1857'!N6+'1857'!O8-'1857'!N8+'1857'!O10-'1857'!N10+'1857'!O12-'1857'!N12+'1857'!O14-'1857'!N14+'1857'!O16-'1857'!N16+'1857'!O18-'1857'!N18+'1857'!O20-'1857'!N20+'1857'!O22-'1857'!N22</f>
        <v>81.276999999999987</v>
      </c>
      <c r="G19" s="133">
        <f>1-B19/B20</f>
        <v>7.8812709030100736E-2</v>
      </c>
      <c r="H19" s="133">
        <f>1-C19/C20</f>
        <v>6.3950892857141395E-2</v>
      </c>
      <c r="I19" s="133">
        <f>1-D19/D20</f>
        <v>9.847184986595181E-2</v>
      </c>
      <c r="J19" s="133">
        <f>1-E19/E20</f>
        <v>7.0057208237987334E-2</v>
      </c>
      <c r="L19" s="354">
        <f>39.712+63.302+54.127+60.075</f>
        <v>217.21600000000001</v>
      </c>
      <c r="M19" s="355">
        <f>1-L19/L20</f>
        <v>-2.9459715639810424E-2</v>
      </c>
    </row>
    <row r="20" spans="1:17" x14ac:dyDescent="0.35">
      <c r="A20" s="36" t="s">
        <v>33</v>
      </c>
      <c r="B20" s="36">
        <f>'1854'!O26-'1854'!N26</f>
        <v>59.800000000000068</v>
      </c>
      <c r="C20" s="36">
        <f>'1855'!O26-'1855'!N26</f>
        <v>89.599999999999909</v>
      </c>
      <c r="D20" s="36">
        <f>'1856'!O26-'1856'!N26</f>
        <v>74.600000000000023</v>
      </c>
      <c r="E20" s="36">
        <f>'1857'!O26-'1857'!N26</f>
        <v>87.400000000000091</v>
      </c>
      <c r="L20" s="354">
        <v>211</v>
      </c>
      <c r="M20" s="354"/>
    </row>
    <row r="21" spans="1:17" x14ac:dyDescent="0.35">
      <c r="A21" s="36" t="s">
        <v>34</v>
      </c>
      <c r="B21" s="323">
        <f>SUM(B20:E20)</f>
        <v>311.40000000000009</v>
      </c>
      <c r="C21" s="323"/>
      <c r="D21" s="323"/>
      <c r="E21" s="323"/>
      <c r="G21" s="133">
        <f>1-B21/B22</f>
        <v>-3.2835820895522616E-2</v>
      </c>
      <c r="L21" s="347">
        <v>94.200000000000045</v>
      </c>
      <c r="M21" s="348">
        <f>1-L21/L22</f>
        <v>-4.0883977900552981E-2</v>
      </c>
    </row>
    <row r="22" spans="1:17" x14ac:dyDescent="0.35">
      <c r="A22" s="36" t="s">
        <v>35</v>
      </c>
      <c r="B22" s="324">
        <f>'1854'!O29-'1854'!N35+'1854'!N33-'1854'!N29</f>
        <v>301.5</v>
      </c>
      <c r="C22" s="324"/>
      <c r="D22" s="324"/>
      <c r="E22" s="324"/>
      <c r="L22" s="347">
        <v>90.5</v>
      </c>
      <c r="M22" s="347"/>
      <c r="N22" s="324">
        <f>'1854'!AA29-'1854'!Z29</f>
        <v>0</v>
      </c>
      <c r="O22" s="324"/>
      <c r="P22" s="324"/>
      <c r="Q22" s="324"/>
    </row>
    <row r="23" spans="1:17" ht="18" x14ac:dyDescent="0.4">
      <c r="A23" s="125" t="s">
        <v>36</v>
      </c>
      <c r="B23" s="126"/>
      <c r="C23" s="126"/>
      <c r="D23" s="126"/>
      <c r="E23" s="127"/>
    </row>
    <row r="24" spans="1:17" x14ac:dyDescent="0.35">
      <c r="A24" s="36" t="s">
        <v>37</v>
      </c>
      <c r="B24" s="36">
        <f>'1854'!O5-'1854'!N5+'1854'!O7-'1854'!N7+'1854'!O9-'1854'!N9+'1854'!O11-'1854'!N11+'1854'!O13-'1854'!N13+'1854'!O15-'1854'!N15+'1854'!O17-'1854'!N17+'1854'!O19-'1854'!N19+'1854'!O21-'1854'!N21+'1854'!O23-'1854'!N23</f>
        <v>30.816000000000017</v>
      </c>
      <c r="C24" s="36">
        <f>'1855'!O5-'1855'!N5+'1855'!O7-'1855'!N7+'1855'!O9-'1855'!N9+'1855'!O11-'1855'!N11+'1855'!O13-'1855'!N13+'1855'!O15-'1855'!N15+'1855'!O17-'1855'!N17+'1855'!O19-'1855'!N19+'1855'!O21-'1855'!N21+'1855'!O23-'1855'!N23</f>
        <v>32.458000000000013</v>
      </c>
      <c r="D24" s="36">
        <f>'1856'!O5-'1856'!N5+'1856'!O7-'1856'!N7+'1856'!O9-'1856'!N9+'1856'!O11-'1856'!N11+'1856'!O13-'1856'!N13+'1856'!O15-'1856'!N15+'1856'!O17-'1856'!N17+'1856'!O19-'1856'!N19+'1856'!O21-'1856'!N21+'1856'!O23-'1856'!N23</f>
        <v>30.440999999999995</v>
      </c>
      <c r="E24" s="36">
        <f>'1857'!O5-'1857'!N5+'1857'!O7-'1857'!N7+'1857'!O9-'1857'!N9+'1857'!O11-'1857'!N11+'1857'!O13-'1857'!N13+'1857'!O15-'1857'!N15+'1857'!O17-'1857'!N17+'1857'!O19-'1857'!N19+'1857'!O21-'1857'!N21+'1857'!O23-'1857'!N23</f>
        <v>33.521000000000043</v>
      </c>
      <c r="G24" s="133">
        <f>1-B24/B25</f>
        <v>8.3130020827131501E-2</v>
      </c>
      <c r="H24" s="133">
        <f>1-C24/C25</f>
        <v>0.1143792633015025</v>
      </c>
      <c r="I24" s="133">
        <f>1-D24/D25</f>
        <v>5.8428703990103359E-2</v>
      </c>
      <c r="J24" s="133">
        <f>1-E24/E25</f>
        <v>7.4772288158983513E-2</v>
      </c>
    </row>
    <row r="25" spans="1:17" x14ac:dyDescent="0.35">
      <c r="A25" s="36" t="s">
        <v>38</v>
      </c>
      <c r="B25" s="43">
        <f>('1854'!O27-'1854'!N27)</f>
        <v>33.6099999999999</v>
      </c>
      <c r="C25" s="43">
        <f>('1855'!O27-'1855'!N27)</f>
        <v>36.650000000000091</v>
      </c>
      <c r="D25" s="43">
        <f>('1856'!O27-'1856'!N27)</f>
        <v>32.330000000000041</v>
      </c>
      <c r="E25" s="43">
        <f>('1857'!O27-'1857'!N27)</f>
        <v>36.230000000000018</v>
      </c>
    </row>
    <row r="26" spans="1:17" ht="18" x14ac:dyDescent="0.4">
      <c r="A26" s="125" t="s">
        <v>44</v>
      </c>
      <c r="B26" s="126"/>
      <c r="C26" s="126"/>
      <c r="D26" s="126"/>
      <c r="E26" s="127"/>
    </row>
    <row r="27" spans="1:17" x14ac:dyDescent="0.35">
      <c r="A27" s="36" t="s">
        <v>40</v>
      </c>
      <c r="B27" s="39">
        <f>'1854'!O25-'1854'!N25</f>
        <v>257</v>
      </c>
      <c r="C27" s="288">
        <f>'1855'!O25-'1855'!N25</f>
        <v>376</v>
      </c>
      <c r="D27" s="39">
        <f>'1856'!O25-'1856'!N25</f>
        <v>181</v>
      </c>
      <c r="E27" s="39">
        <f>'1857'!O25-'1857'!N25</f>
        <v>201</v>
      </c>
    </row>
  </sheetData>
  <sheetProtection selectLockedCells="1" selectUnlockedCells="1"/>
  <mergeCells count="6">
    <mergeCell ref="B6:E6"/>
    <mergeCell ref="B7:E7"/>
    <mergeCell ref="B21:E21"/>
    <mergeCell ref="B22:E22"/>
    <mergeCell ref="N7:Q7"/>
    <mergeCell ref="N22:Q22"/>
  </mergeCells>
  <conditionalFormatting sqref="B6 C8:E20 B8:B1048576">
    <cfRule type="cellIs" dxfId="16" priority="4" stopIfTrue="1" operator="lessThan">
      <formula>0</formula>
    </cfRule>
  </conditionalFormatting>
  <conditionalFormatting sqref="B1:E5">
    <cfRule type="cellIs" dxfId="15" priority="6" stopIfTrue="1" operator="lessThan">
      <formula>0</formula>
    </cfRule>
  </conditionalFormatting>
  <conditionalFormatting sqref="F1:AD1 F2:M2 O2:AD2 F28:AD65536">
    <cfRule type="cellIs" dxfId="14" priority="10" stopIfTrue="1" operator="lessThan">
      <formula>0</formula>
    </cfRule>
  </conditionalFormatting>
  <conditionalFormatting sqref="Q13:U13 F13:P17 Q16:Z17 C23:E65536">
    <cfRule type="cellIs" dxfId="13" priority="16" stopIfTrue="1" operator="lessThan">
      <formula>0</formula>
    </cfRule>
  </conditionalFormatting>
  <conditionalFormatting sqref="N7">
    <cfRule type="cellIs" dxfId="12" priority="3" stopIfTrue="1" operator="lessThan">
      <formula>0</formula>
    </cfRule>
  </conditionalFormatting>
  <conditionalFormatting sqref="B7">
    <cfRule type="cellIs" dxfId="11" priority="2" stopIfTrue="1" operator="lessThan">
      <formula>0</formula>
    </cfRule>
  </conditionalFormatting>
  <conditionalFormatting sqref="N22">
    <cfRule type="cellIs" dxfId="10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A40"/>
  <sheetViews>
    <sheetView topLeftCell="A7" workbookViewId="0">
      <selection activeCell="B28" sqref="A28:XFD29"/>
    </sheetView>
  </sheetViews>
  <sheetFormatPr defaultColWidth="9.1796875" defaultRowHeight="14.5" x14ac:dyDescent="0.35"/>
  <cols>
    <col min="1" max="1" width="9.1796875" style="44"/>
    <col min="2" max="2" width="10.26953125" style="44" customWidth="1"/>
    <col min="3" max="4" width="7" style="44" customWidth="1"/>
    <col min="5" max="5" width="9" style="44" customWidth="1"/>
    <col min="6" max="7" width="7" style="44" customWidth="1"/>
    <col min="8" max="8" width="7.7265625" style="44" customWidth="1"/>
    <col min="9" max="9" width="7" style="44" customWidth="1"/>
    <col min="10" max="10" width="6.81640625" style="44" customWidth="1"/>
    <col min="11" max="11" width="9" style="44" customWidth="1"/>
    <col min="12" max="19" width="7" style="44" customWidth="1"/>
    <col min="20" max="20" width="7.7265625" style="44" customWidth="1"/>
    <col min="21" max="22" width="7" style="44" customWidth="1"/>
    <col min="23" max="23" width="8" style="44" customWidth="1"/>
    <col min="24" max="26" width="7" style="44" customWidth="1"/>
    <col min="27" max="16384" width="9.1796875" style="44"/>
  </cols>
  <sheetData>
    <row r="1" spans="1:27" ht="18.5" x14ac:dyDescent="0.35">
      <c r="A1" s="45" t="s">
        <v>55</v>
      </c>
    </row>
    <row r="2" spans="1:27" ht="11.25" customHeight="1" x14ac:dyDescent="0.35">
      <c r="A2" s="45"/>
    </row>
    <row r="3" spans="1:27" hidden="1" x14ac:dyDescent="0.35">
      <c r="C3" s="44">
        <v>1850</v>
      </c>
      <c r="F3" s="44">
        <v>51</v>
      </c>
      <c r="I3" s="44">
        <v>52</v>
      </c>
      <c r="L3" s="44">
        <v>53</v>
      </c>
      <c r="O3" s="44">
        <v>54</v>
      </c>
      <c r="R3" s="44">
        <v>55</v>
      </c>
      <c r="U3" s="44">
        <v>56</v>
      </c>
      <c r="X3" s="44">
        <v>57</v>
      </c>
    </row>
    <row r="4" spans="1:27" s="47" customFormat="1" ht="18.5" x14ac:dyDescent="0.35">
      <c r="A4" s="329"/>
      <c r="B4" s="329"/>
      <c r="C4" s="325">
        <v>1850</v>
      </c>
      <c r="D4" s="325"/>
      <c r="E4" s="325"/>
      <c r="F4" s="325">
        <v>1851</v>
      </c>
      <c r="G4" s="325"/>
      <c r="H4" s="325"/>
      <c r="I4" s="325">
        <v>1852</v>
      </c>
      <c r="J4" s="325"/>
      <c r="K4" s="325"/>
      <c r="L4" s="325">
        <v>1853</v>
      </c>
      <c r="M4" s="325"/>
      <c r="N4" s="325"/>
      <c r="O4" s="325">
        <v>1854</v>
      </c>
      <c r="P4" s="325"/>
      <c r="Q4" s="325"/>
      <c r="R4" s="325">
        <v>1855</v>
      </c>
      <c r="S4" s="325"/>
      <c r="T4" s="325"/>
      <c r="U4" s="325">
        <v>1856</v>
      </c>
      <c r="V4" s="325"/>
      <c r="W4" s="325"/>
      <c r="X4" s="325">
        <v>1857</v>
      </c>
      <c r="Y4" s="325"/>
      <c r="Z4" s="325"/>
      <c r="AA4" s="46"/>
    </row>
    <row r="5" spans="1:27" ht="29" x14ac:dyDescent="0.35">
      <c r="A5" s="329"/>
      <c r="B5" s="329"/>
      <c r="C5" s="48" t="s">
        <v>56</v>
      </c>
      <c r="D5" s="49" t="s">
        <v>57</v>
      </c>
      <c r="E5" s="49" t="s">
        <v>58</v>
      </c>
      <c r="F5" s="48" t="s">
        <v>56</v>
      </c>
      <c r="G5" s="49" t="s">
        <v>57</v>
      </c>
      <c r="H5" s="49" t="s">
        <v>58</v>
      </c>
      <c r="I5" s="48" t="s">
        <v>56</v>
      </c>
      <c r="J5" s="49" t="s">
        <v>57</v>
      </c>
      <c r="K5" s="49" t="s">
        <v>58</v>
      </c>
      <c r="L5" s="48" t="s">
        <v>56</v>
      </c>
      <c r="M5" s="49" t="s">
        <v>57</v>
      </c>
      <c r="N5" s="49" t="s">
        <v>58</v>
      </c>
      <c r="O5" s="48" t="s">
        <v>56</v>
      </c>
      <c r="P5" s="49" t="s">
        <v>57</v>
      </c>
      <c r="Q5" s="49" t="s">
        <v>58</v>
      </c>
      <c r="R5" s="48" t="s">
        <v>56</v>
      </c>
      <c r="S5" s="49" t="s">
        <v>57</v>
      </c>
      <c r="T5" s="49" t="s">
        <v>58</v>
      </c>
      <c r="U5" s="48" t="s">
        <v>56</v>
      </c>
      <c r="V5" s="49" t="s">
        <v>57</v>
      </c>
      <c r="W5" s="49" t="s">
        <v>58</v>
      </c>
      <c r="X5" s="48" t="s">
        <v>56</v>
      </c>
      <c r="Y5" s="49" t="s">
        <v>57</v>
      </c>
      <c r="Z5" s="49" t="s">
        <v>58</v>
      </c>
      <c r="AA5" s="50"/>
    </row>
    <row r="6" spans="1:27" x14ac:dyDescent="0.35">
      <c r="A6" s="326" t="s">
        <v>4</v>
      </c>
      <c r="B6" s="51" t="s">
        <v>59</v>
      </c>
      <c r="C6" s="51">
        <f>'S1'!B9</f>
        <v>36.01900000000002</v>
      </c>
      <c r="D6" s="327">
        <f>'S1'!B10-'S1'!B9</f>
        <v>0.12099999999999511</v>
      </c>
      <c r="E6" s="328">
        <f>D6/C7</f>
        <v>3.3480907581625642E-3</v>
      </c>
      <c r="F6" s="51">
        <f>'S1'!C9</f>
        <v>39.394999999999953</v>
      </c>
      <c r="G6" s="327">
        <f>'S1'!C10-'S1'!C9</f>
        <v>3.2150000000000603</v>
      </c>
      <c r="H6" s="328">
        <f>G6/F7</f>
        <v>7.5451771884535543E-2</v>
      </c>
      <c r="I6" s="51">
        <f>'S1'!D9</f>
        <v>38.619999999999976</v>
      </c>
      <c r="J6" s="327">
        <f>'S1'!D10-'S1'!D9</f>
        <v>-0.28000000000000114</v>
      </c>
      <c r="K6" s="328">
        <f>J6/I7</f>
        <v>-7.3030777256129715E-3</v>
      </c>
      <c r="L6" s="51">
        <f>'S1'!E9</f>
        <v>35.767000000000039</v>
      </c>
      <c r="M6" s="327">
        <f>'S1'!E10-'S1'!E9</f>
        <v>0.88299999999993872</v>
      </c>
      <c r="N6" s="328">
        <f>M6/L7</f>
        <v>2.4092769440653188E-2</v>
      </c>
      <c r="O6" s="51">
        <f>'S1'!B24</f>
        <v>33.877999999999986</v>
      </c>
      <c r="P6" s="327">
        <f>'S1'!B25-'S1'!B24</f>
        <v>2.9920000000000186</v>
      </c>
      <c r="Q6" s="328">
        <f>P6/O7</f>
        <v>8.1149986438839666E-2</v>
      </c>
      <c r="R6" s="51">
        <f>'S1'!C24</f>
        <v>37.301999999999992</v>
      </c>
      <c r="S6" s="327">
        <f>'S1'!C25-'S1'!C24</f>
        <v>2.6880000000001303</v>
      </c>
      <c r="T6" s="328">
        <f>S6/R7</f>
        <v>6.7216804201053318E-2</v>
      </c>
      <c r="U6" s="51">
        <f>'S1'!D24</f>
        <v>34.161999999999985</v>
      </c>
      <c r="V6" s="327">
        <f>'S1'!D25-'S1'!D24</f>
        <v>2.7280000000001152</v>
      </c>
      <c r="W6" s="328">
        <f>V6/U7</f>
        <v>7.3949579831935702E-2</v>
      </c>
      <c r="X6" s="51">
        <f>'S1'!E24</f>
        <v>37.289000000000001</v>
      </c>
      <c r="Y6" s="327">
        <f>'S1'!E25-'S1'!E24</f>
        <v>3.4310000000000258</v>
      </c>
      <c r="Z6" s="328">
        <f>Y6/X7</f>
        <v>8.4258349705305102E-2</v>
      </c>
    </row>
    <row r="7" spans="1:27" x14ac:dyDescent="0.35">
      <c r="A7" s="326"/>
      <c r="B7" s="51" t="s">
        <v>60</v>
      </c>
      <c r="C7" s="51">
        <f>'S1'!B10</f>
        <v>36.140000000000015</v>
      </c>
      <c r="D7" s="327"/>
      <c r="E7" s="328"/>
      <c r="F7" s="51">
        <f>'S1'!C10</f>
        <v>42.610000000000014</v>
      </c>
      <c r="G7" s="327"/>
      <c r="H7" s="328"/>
      <c r="I7" s="51">
        <f>'S1'!D10</f>
        <v>38.339999999999975</v>
      </c>
      <c r="J7" s="327"/>
      <c r="K7" s="328"/>
      <c r="L7" s="51">
        <f>'S1'!E10</f>
        <v>36.649999999999977</v>
      </c>
      <c r="M7" s="327"/>
      <c r="N7" s="328"/>
      <c r="O7" s="51">
        <f>'S1'!B25</f>
        <v>36.870000000000005</v>
      </c>
      <c r="P7" s="327"/>
      <c r="Q7" s="328"/>
      <c r="R7" s="51">
        <f>'S1'!C25</f>
        <v>39.990000000000123</v>
      </c>
      <c r="S7" s="327"/>
      <c r="T7" s="328"/>
      <c r="U7" s="51">
        <f>'S1'!D25</f>
        <v>36.8900000000001</v>
      </c>
      <c r="V7" s="327"/>
      <c r="W7" s="328"/>
      <c r="X7" s="51">
        <f>'S1'!E25</f>
        <v>40.720000000000027</v>
      </c>
      <c r="Y7" s="327"/>
      <c r="Z7" s="328"/>
    </row>
    <row r="8" spans="1:27" x14ac:dyDescent="0.35">
      <c r="A8" s="326" t="s">
        <v>5</v>
      </c>
      <c r="B8" s="51" t="s">
        <v>59</v>
      </c>
      <c r="C8" s="51">
        <f>'S2'!B9</f>
        <v>28.942999999999984</v>
      </c>
      <c r="D8" s="330">
        <f>'S2'!B10-'S2'!B9</f>
        <v>0.63700000000000045</v>
      </c>
      <c r="E8" s="328">
        <f>D8/C9</f>
        <v>2.1534820824881704E-2</v>
      </c>
      <c r="F8" s="52">
        <f>'S2'!C9</f>
        <v>36.210000000000029</v>
      </c>
      <c r="G8" s="330">
        <f>'S2'!C10-'S2'!C9</f>
        <v>3.3299999999999912</v>
      </c>
      <c r="H8" s="328">
        <f>G8/F9</f>
        <v>8.4218512898330544E-2</v>
      </c>
      <c r="I8" s="52">
        <f>'S2'!D9</f>
        <v>33.208000000000027</v>
      </c>
      <c r="J8" s="330">
        <f>'S2'!D10-'S2'!D9</f>
        <v>0.72199999999997999</v>
      </c>
      <c r="K8" s="328">
        <f>J8/I9</f>
        <v>2.1279104037724133E-2</v>
      </c>
      <c r="L8" s="52">
        <f>'S2'!E9</f>
        <v>30.603000000000009</v>
      </c>
      <c r="M8" s="330">
        <f>'S2'!E10-'S2'!E9</f>
        <v>1.7870000000000346</v>
      </c>
      <c r="N8" s="328">
        <f>M8/L9</f>
        <v>5.517134918184724E-2</v>
      </c>
      <c r="O8" s="52">
        <f>'S2'!B24</f>
        <v>30.06699999999999</v>
      </c>
      <c r="P8" s="330">
        <f>'S2'!B25-'S2'!B24</f>
        <v>2.633000000000056</v>
      </c>
      <c r="Q8" s="328">
        <f>P8/O9</f>
        <v>8.051987767584258E-2</v>
      </c>
      <c r="R8" s="52">
        <f>'S2'!C24</f>
        <v>31.183000000000007</v>
      </c>
      <c r="S8" s="330">
        <f>'S2'!C25-'S2'!C24</f>
        <v>2.4069999999999112</v>
      </c>
      <c r="T8" s="328">
        <f>S8/R9</f>
        <v>7.1658231616550078E-2</v>
      </c>
      <c r="U8" s="52">
        <f>'S2'!D24</f>
        <v>27.949000000000012</v>
      </c>
      <c r="V8" s="330">
        <f>'S2'!D25-'S2'!D24</f>
        <v>2.2409999999999286</v>
      </c>
      <c r="W8" s="328">
        <f>V8/U9</f>
        <v>7.4229877442859651E-2</v>
      </c>
      <c r="X8" s="52">
        <f>'S2'!E24</f>
        <v>31.457999999999984</v>
      </c>
      <c r="Y8" s="330">
        <f>'S2'!E25-'S2'!E24</f>
        <v>2.7920000000000158</v>
      </c>
      <c r="Z8" s="328">
        <f>Y8/X9</f>
        <v>8.1518248175182939E-2</v>
      </c>
    </row>
    <row r="9" spans="1:27" x14ac:dyDescent="0.35">
      <c r="A9" s="326"/>
      <c r="B9" s="51" t="s">
        <v>60</v>
      </c>
      <c r="C9" s="52">
        <f>'S2'!B10</f>
        <v>29.579999999999984</v>
      </c>
      <c r="D9" s="330"/>
      <c r="E9" s="328"/>
      <c r="F9" s="52">
        <f>'S2'!C10</f>
        <v>39.54000000000002</v>
      </c>
      <c r="G9" s="330"/>
      <c r="H9" s="328"/>
      <c r="I9" s="52">
        <f>'S2'!D10</f>
        <v>33.930000000000007</v>
      </c>
      <c r="J9" s="330"/>
      <c r="K9" s="328"/>
      <c r="L9" s="52">
        <f>'S2'!E10</f>
        <v>32.390000000000043</v>
      </c>
      <c r="M9" s="330"/>
      <c r="N9" s="328"/>
      <c r="O9" s="52">
        <f>'S2'!B25</f>
        <v>32.700000000000045</v>
      </c>
      <c r="P9" s="330"/>
      <c r="Q9" s="328"/>
      <c r="R9" s="52">
        <f>'S2'!C25</f>
        <v>33.589999999999918</v>
      </c>
      <c r="S9" s="330"/>
      <c r="T9" s="328"/>
      <c r="U9" s="52">
        <f>'S2'!D25</f>
        <v>30.189999999999941</v>
      </c>
      <c r="V9" s="330"/>
      <c r="W9" s="328"/>
      <c r="X9" s="52">
        <f>'S2'!E25</f>
        <v>34.25</v>
      </c>
      <c r="Y9" s="330"/>
      <c r="Z9" s="328"/>
    </row>
    <row r="10" spans="1:27" x14ac:dyDescent="0.35">
      <c r="A10" s="326" t="s">
        <v>6</v>
      </c>
      <c r="B10" s="51" t="s">
        <v>59</v>
      </c>
      <c r="C10" s="51">
        <f>'S3'!B9</f>
        <v>19.943999999999988</v>
      </c>
      <c r="D10" s="330">
        <f>'S3'!B10-'S3'!B9</f>
        <v>-1.9240000000000066</v>
      </c>
      <c r="E10" s="328">
        <f>D10/C11</f>
        <v>-0.10677025527192056</v>
      </c>
      <c r="F10" s="52">
        <f>'S3'!C9</f>
        <v>22.317999999999955</v>
      </c>
      <c r="G10" s="330">
        <f>'S3'!C10-'S3'!C9</f>
        <v>0.78200000000001069</v>
      </c>
      <c r="H10" s="328">
        <f>G10/F11</f>
        <v>3.3852813852814363E-2</v>
      </c>
      <c r="I10" s="52">
        <f>'S3'!D9</f>
        <v>19.342999999999989</v>
      </c>
      <c r="J10" s="330">
        <f>'S3'!D10-'S3'!D9</f>
        <v>0.22700000000000387</v>
      </c>
      <c r="K10" s="328">
        <f>J10/I11</f>
        <v>1.1599386816556154E-2</v>
      </c>
      <c r="L10" s="52">
        <f>'S3'!E9</f>
        <v>18.35799999999999</v>
      </c>
      <c r="M10" s="330">
        <f>'S3'!E10-'S3'!E9</f>
        <v>0.29199999999998738</v>
      </c>
      <c r="N10" s="328">
        <f>M10/L11</f>
        <v>1.5656836461125347E-2</v>
      </c>
      <c r="O10" s="52">
        <f>'S3'!B24</f>
        <v>21.787999999999972</v>
      </c>
      <c r="P10" s="327">
        <f>'S3'!B25-'S3'!B24</f>
        <v>2.8819999999999872</v>
      </c>
      <c r="Q10" s="328">
        <f>P10/O11</f>
        <v>0.11682205107417884</v>
      </c>
      <c r="R10" s="51">
        <f>'S3'!C24</f>
        <v>19.909000000000013</v>
      </c>
      <c r="S10" s="327">
        <f>'S3'!C25-'S3'!C24</f>
        <v>1.9609999999998777</v>
      </c>
      <c r="T10" s="328">
        <f>S10/R11</f>
        <v>8.9666209419290696E-2</v>
      </c>
      <c r="U10" s="51">
        <f>'S3'!D24</f>
        <v>18.219999999999988</v>
      </c>
      <c r="V10" s="327">
        <f>'S3'!D25-'S3'!D24</f>
        <v>1.0300000000000118</v>
      </c>
      <c r="W10" s="328">
        <f>V10/U11</f>
        <v>5.350649350649412E-2</v>
      </c>
      <c r="X10" s="51">
        <f>'S3'!E24</f>
        <v>18.534000000000006</v>
      </c>
      <c r="Y10" s="327">
        <f>'S3'!E25-'S3'!E24</f>
        <v>1.395999999999944</v>
      </c>
      <c r="Z10" s="328">
        <f>Y10/X11</f>
        <v>7.0045158053183509E-2</v>
      </c>
    </row>
    <row r="11" spans="1:27" x14ac:dyDescent="0.35">
      <c r="A11" s="326"/>
      <c r="B11" s="51" t="s">
        <v>60</v>
      </c>
      <c r="C11" s="52">
        <f>'S3'!B10</f>
        <v>18.019999999999982</v>
      </c>
      <c r="D11" s="330"/>
      <c r="E11" s="328"/>
      <c r="F11" s="52">
        <f>'S3'!C10</f>
        <v>23.099999999999966</v>
      </c>
      <c r="G11" s="330"/>
      <c r="H11" s="328"/>
      <c r="I11" s="52">
        <f>'S3'!D10</f>
        <v>19.569999999999993</v>
      </c>
      <c r="J11" s="330"/>
      <c r="K11" s="328"/>
      <c r="L11" s="52">
        <f>'S3'!E10</f>
        <v>18.649999999999977</v>
      </c>
      <c r="M11" s="330"/>
      <c r="N11" s="328"/>
      <c r="O11" s="52">
        <f>'S3'!B25</f>
        <v>24.669999999999959</v>
      </c>
      <c r="P11" s="327"/>
      <c r="Q11" s="328"/>
      <c r="R11" s="51">
        <f>'S3'!C25</f>
        <v>21.869999999999891</v>
      </c>
      <c r="S11" s="327"/>
      <c r="T11" s="328"/>
      <c r="U11" s="51">
        <f>'S3'!D25</f>
        <v>19.25</v>
      </c>
      <c r="V11" s="327"/>
      <c r="W11" s="328"/>
      <c r="X11" s="51">
        <f>'S3'!E25</f>
        <v>19.92999999999995</v>
      </c>
      <c r="Y11" s="327"/>
      <c r="Z11" s="328"/>
    </row>
    <row r="12" spans="1:27" x14ac:dyDescent="0.35">
      <c r="A12" s="326" t="s">
        <v>7</v>
      </c>
      <c r="B12" s="51" t="s">
        <v>59</v>
      </c>
      <c r="C12" s="51">
        <f>'S4'!B9</f>
        <v>8.619000000000014</v>
      </c>
      <c r="D12" s="330">
        <f>'S4'!B10-'S4'!B9</f>
        <v>-2.3889999999999958</v>
      </c>
      <c r="E12" s="328">
        <f>D12/C13</f>
        <v>-0.38346709470304796</v>
      </c>
      <c r="F12" s="52">
        <f>'S4'!C9</f>
        <v>11.774999999999984</v>
      </c>
      <c r="G12" s="327">
        <f>'S4'!C10-'S4'!C9</f>
        <v>0.80500000000005656</v>
      </c>
      <c r="H12" s="328">
        <f>G12/F13</f>
        <v>6.3990461049288863E-2</v>
      </c>
      <c r="I12" s="51">
        <f>'S4'!D9</f>
        <v>10.930999999999983</v>
      </c>
      <c r="J12" s="327">
        <f>'S4'!D10-'S4'!D9</f>
        <v>-2.2109999999999559</v>
      </c>
      <c r="K12" s="328">
        <f>J12/I13</f>
        <v>-0.25355504587155381</v>
      </c>
      <c r="L12" s="51">
        <f>'S4'!E9</f>
        <v>9.0579999999999927</v>
      </c>
      <c r="M12" s="327">
        <f>'S4'!E10-'S4'!E9</f>
        <v>-0.43799999999998818</v>
      </c>
      <c r="N12" s="328">
        <f>M12/L13</f>
        <v>-5.0812064965195816E-2</v>
      </c>
      <c r="O12" s="51">
        <f>'S4'!B24</f>
        <v>11.623999999999995</v>
      </c>
      <c r="P12" s="327">
        <f>'S4'!B25-'S4'!B24</f>
        <v>1.106000000000023</v>
      </c>
      <c r="Q12" s="328">
        <f>P12/O13</f>
        <v>8.6881382560881487E-2</v>
      </c>
      <c r="R12" s="51">
        <f>'S4'!C24</f>
        <v>10.236000000000004</v>
      </c>
      <c r="S12" s="327">
        <f>'S4'!C25-'S4'!C24</f>
        <v>0.7739999999999867</v>
      </c>
      <c r="T12" s="328">
        <f>S12/R13</f>
        <v>7.0299727520434813E-2</v>
      </c>
      <c r="U12" s="51">
        <f>'S4'!D24</f>
        <v>7.9380000000000024</v>
      </c>
      <c r="V12" s="327">
        <f>'S4'!D25-'S4'!D24</f>
        <v>-0.31799999999999784</v>
      </c>
      <c r="W12" s="328">
        <f>V12/U13</f>
        <v>-4.1732283464566623E-2</v>
      </c>
      <c r="X12" s="51">
        <f>'S4'!E24</f>
        <v>8.9689999999999941</v>
      </c>
      <c r="Y12" s="327">
        <f>'S4'!E25-'S4'!E24</f>
        <v>-0.28899999999993042</v>
      </c>
      <c r="Z12" s="328">
        <f>Y12/X13</f>
        <v>-3.3294930875567778E-2</v>
      </c>
    </row>
    <row r="13" spans="1:27" x14ac:dyDescent="0.35">
      <c r="A13" s="326"/>
      <c r="B13" s="51" t="s">
        <v>60</v>
      </c>
      <c r="C13" s="52">
        <f>'S4'!B10</f>
        <v>6.2300000000000182</v>
      </c>
      <c r="D13" s="330"/>
      <c r="E13" s="328"/>
      <c r="F13" s="52">
        <f>'S4'!C10</f>
        <v>12.580000000000041</v>
      </c>
      <c r="G13" s="327"/>
      <c r="H13" s="328"/>
      <c r="I13" s="51">
        <f>'S4'!D10</f>
        <v>8.7200000000000273</v>
      </c>
      <c r="J13" s="327"/>
      <c r="K13" s="328"/>
      <c r="L13" s="51">
        <f>'S4'!E10</f>
        <v>8.6200000000000045</v>
      </c>
      <c r="M13" s="327"/>
      <c r="N13" s="328"/>
      <c r="O13" s="51">
        <f>'S4'!B25</f>
        <v>12.730000000000018</v>
      </c>
      <c r="P13" s="327"/>
      <c r="Q13" s="328"/>
      <c r="R13" s="51">
        <f>'S4'!C25</f>
        <v>11.009999999999991</v>
      </c>
      <c r="S13" s="327"/>
      <c r="T13" s="328"/>
      <c r="U13" s="51">
        <f>'S4'!D25</f>
        <v>7.6200000000000045</v>
      </c>
      <c r="V13" s="327"/>
      <c r="W13" s="328"/>
      <c r="X13" s="51">
        <f>'S4'!E25</f>
        <v>8.6800000000000637</v>
      </c>
      <c r="Y13" s="327"/>
      <c r="Z13" s="328"/>
    </row>
    <row r="14" spans="1:27" x14ac:dyDescent="0.35">
      <c r="A14" s="326" t="s">
        <v>8</v>
      </c>
      <c r="B14" s="51" t="s">
        <v>59</v>
      </c>
      <c r="C14" s="51">
        <f>'S5'!B9</f>
        <v>5.7679999999999865</v>
      </c>
      <c r="D14" s="330">
        <f>'S5'!B10-'S5'!B9</f>
        <v>-2.4179999999999637</v>
      </c>
      <c r="E14" s="328">
        <f>D14/C15</f>
        <v>-0.72179104477610367</v>
      </c>
      <c r="F14" s="51">
        <f>'S5'!C9</f>
        <v>7.0799999999999912</v>
      </c>
      <c r="G14" s="330">
        <f>'S5'!C10-'S5'!C9</f>
        <v>1.3399999999999679</v>
      </c>
      <c r="H14" s="328">
        <f>G14/F15</f>
        <v>0.1591448931116359</v>
      </c>
      <c r="I14" s="51">
        <f>'S5'!D9</f>
        <v>6.2260000000000133</v>
      </c>
      <c r="J14" s="330">
        <f>'S5'!D10-'S5'!D9</f>
        <v>-1.2860000000000156</v>
      </c>
      <c r="K14" s="328">
        <f>J14/I15</f>
        <v>-0.26032388663967937</v>
      </c>
      <c r="L14" s="51">
        <f>'S5'!E9</f>
        <v>5.1680000000000064</v>
      </c>
      <c r="M14" s="330">
        <f>'S5'!E10-'S5'!E9</f>
        <v>-0.66800000000000637</v>
      </c>
      <c r="N14" s="328">
        <f>M14/L15</f>
        <v>-0.14844444444444585</v>
      </c>
      <c r="O14" s="51">
        <f>'S5'!B24</f>
        <v>6.5739999999999936</v>
      </c>
      <c r="P14" s="330">
        <f>'S5'!B25-'S5'!B24</f>
        <v>-9.3999999999975437E-2</v>
      </c>
      <c r="Q14" s="328">
        <f>P14/O15</f>
        <v>-1.4506172839502342E-2</v>
      </c>
      <c r="R14" s="51">
        <f>'S5'!C24</f>
        <v>6.8379999999999725</v>
      </c>
      <c r="S14" s="330">
        <f>'S5'!C25-'S5'!C24</f>
        <v>0.23200000000019116</v>
      </c>
      <c r="T14" s="328">
        <f>S14/R15</f>
        <v>3.2814710042459096E-2</v>
      </c>
      <c r="U14" s="51">
        <f>'S5'!D24</f>
        <v>5.5290000000000106</v>
      </c>
      <c r="V14" s="330">
        <f>'S5'!D25-'S5'!D24</f>
        <v>-0.51900000000001967</v>
      </c>
      <c r="W14" s="328">
        <f>V14/U15</f>
        <v>-0.1035928143712616</v>
      </c>
      <c r="X14" s="51">
        <f>'S5'!E24</f>
        <v>6.7409999999999997</v>
      </c>
      <c r="Y14" s="330">
        <f>'S5'!E25-'S5'!E24</f>
        <v>-0.5910000000000224</v>
      </c>
      <c r="Z14" s="328">
        <f>Y14/X15</f>
        <v>-9.6097560975613755E-2</v>
      </c>
    </row>
    <row r="15" spans="1:27" x14ac:dyDescent="0.35">
      <c r="A15" s="326"/>
      <c r="B15" s="51" t="s">
        <v>60</v>
      </c>
      <c r="C15" s="52">
        <f>'S5'!B10</f>
        <v>3.3500000000000227</v>
      </c>
      <c r="D15" s="330"/>
      <c r="E15" s="328"/>
      <c r="F15" s="52">
        <f>'S5'!C10</f>
        <v>8.4199999999999591</v>
      </c>
      <c r="G15" s="330"/>
      <c r="H15" s="328"/>
      <c r="I15" s="52">
        <f>'S5'!D10</f>
        <v>4.9399999999999977</v>
      </c>
      <c r="J15" s="330"/>
      <c r="K15" s="328"/>
      <c r="L15" s="52">
        <f>'S5'!E10</f>
        <v>4.5</v>
      </c>
      <c r="M15" s="330"/>
      <c r="N15" s="328"/>
      <c r="O15" s="52">
        <f>'S5'!B25</f>
        <v>6.4800000000000182</v>
      </c>
      <c r="P15" s="330"/>
      <c r="Q15" s="328"/>
      <c r="R15" s="52">
        <f>'S5'!C25</f>
        <v>7.0700000000001637</v>
      </c>
      <c r="S15" s="330"/>
      <c r="T15" s="328"/>
      <c r="U15" s="52">
        <f>'S5'!D25</f>
        <v>5.0099999999999909</v>
      </c>
      <c r="V15" s="330"/>
      <c r="W15" s="328"/>
      <c r="X15" s="52">
        <f>'S5'!E25</f>
        <v>6.1499999999999773</v>
      </c>
      <c r="Y15" s="330"/>
      <c r="Z15" s="328"/>
    </row>
    <row r="16" spans="1:27" x14ac:dyDescent="0.35">
      <c r="A16" s="326" t="s">
        <v>9</v>
      </c>
      <c r="B16" s="51" t="s">
        <v>59</v>
      </c>
      <c r="C16" s="51">
        <f>'S6'!B9</f>
        <v>4.5650000000000261</v>
      </c>
      <c r="D16" s="330">
        <f>'S6'!B10-'S6'!B9</f>
        <v>-1.8150000000000261</v>
      </c>
      <c r="E16" s="328">
        <f>D16/C17</f>
        <v>-0.66000000000000947</v>
      </c>
      <c r="F16" s="51">
        <f>'S6'!C9</f>
        <v>4.7839999999999989</v>
      </c>
      <c r="G16" s="330">
        <f>'S6'!C10-'S6'!C9</f>
        <v>1.475999999999992</v>
      </c>
      <c r="H16" s="328">
        <f>G16/F17</f>
        <v>0.23578274760383292</v>
      </c>
      <c r="I16" s="51">
        <f>'S6'!D9</f>
        <v>4.4599999999999795</v>
      </c>
      <c r="J16" s="330">
        <f>'S6'!D10-'S6'!D9</f>
        <v>-1.1299999999999955</v>
      </c>
      <c r="K16" s="328">
        <f>J16/I17</f>
        <v>-0.33933933933933957</v>
      </c>
      <c r="L16" s="51">
        <f>'S6'!E9</f>
        <v>3.5670000000000215</v>
      </c>
      <c r="M16" s="330">
        <f>'S6'!E10-'S6'!E9</f>
        <v>-0.62700000000002376</v>
      </c>
      <c r="N16" s="328">
        <f>M16/L17</f>
        <v>-0.21326530612245723</v>
      </c>
      <c r="O16" s="51">
        <f>'S6'!B24</f>
        <v>3.1629999999999825</v>
      </c>
      <c r="P16" s="330">
        <f>'S6'!B25-'S6'!B24</f>
        <v>-0.24300000000002342</v>
      </c>
      <c r="Q16" s="328">
        <f>P16/O17</f>
        <v>-8.3219178082200973E-2</v>
      </c>
      <c r="R16" s="51">
        <f>'S6'!C24</f>
        <v>3.2849999999999895</v>
      </c>
      <c r="S16" s="330">
        <f>'S6'!C25-'S6'!C24</f>
        <v>-0.34500000000016229</v>
      </c>
      <c r="T16" s="328">
        <f>S16/R17</f>
        <v>-0.1173469387755723</v>
      </c>
      <c r="U16" s="51">
        <f>'S6'!D24</f>
        <v>3.3439999999999941</v>
      </c>
      <c r="V16" s="330">
        <f>'S6'!D25-'S6'!D24</f>
        <v>-0.66399999999993042</v>
      </c>
      <c r="W16" s="328">
        <f>V16/U17</f>
        <v>-0.24776119402981889</v>
      </c>
      <c r="X16" s="51">
        <f>'S6'!E24</f>
        <v>3.9159999999999968</v>
      </c>
      <c r="Y16" s="330">
        <f>'S6'!E25-'S6'!E24</f>
        <v>-0.89600000000001501</v>
      </c>
      <c r="Z16" s="328">
        <f>Y16/X17</f>
        <v>-0.29668874172186105</v>
      </c>
    </row>
    <row r="17" spans="1:26" x14ac:dyDescent="0.35">
      <c r="A17" s="326"/>
      <c r="B17" s="51" t="s">
        <v>60</v>
      </c>
      <c r="C17" s="51">
        <f>'S6'!B10</f>
        <v>2.75</v>
      </c>
      <c r="D17" s="330"/>
      <c r="E17" s="328"/>
      <c r="F17" s="51">
        <f>'S6'!C10</f>
        <v>6.2599999999999909</v>
      </c>
      <c r="G17" s="330"/>
      <c r="H17" s="328"/>
      <c r="I17" s="51">
        <f>'S6'!D10</f>
        <v>3.3299999999999841</v>
      </c>
      <c r="J17" s="330"/>
      <c r="K17" s="328"/>
      <c r="L17" s="51">
        <f>'S6'!E10</f>
        <v>2.9399999999999977</v>
      </c>
      <c r="M17" s="330"/>
      <c r="N17" s="328"/>
      <c r="O17" s="51">
        <f>'S6'!B25</f>
        <v>2.9199999999999591</v>
      </c>
      <c r="P17" s="330"/>
      <c r="Q17" s="328"/>
      <c r="R17" s="51">
        <f>'S6'!C25</f>
        <v>2.9399999999998272</v>
      </c>
      <c r="S17" s="330"/>
      <c r="T17" s="328"/>
      <c r="U17" s="51">
        <f>'S6'!D25</f>
        <v>2.6800000000000637</v>
      </c>
      <c r="V17" s="330"/>
      <c r="W17" s="328"/>
      <c r="X17" s="51">
        <f>'S6'!E25</f>
        <v>3.0199999999999818</v>
      </c>
      <c r="Y17" s="330"/>
      <c r="Z17" s="328"/>
    </row>
    <row r="18" spans="1:26" x14ac:dyDescent="0.35">
      <c r="A18" s="326" t="s">
        <v>10</v>
      </c>
      <c r="B18" s="51" t="s">
        <v>59</v>
      </c>
      <c r="C18" s="51">
        <f>'S7'!B9</f>
        <v>3.73599999999999</v>
      </c>
      <c r="D18" s="330">
        <f>'S7'!B10-'S7'!B9</f>
        <v>-1.6360000000000241</v>
      </c>
      <c r="E18" s="328">
        <f>D18/C19</f>
        <v>-0.77904761904764319</v>
      </c>
      <c r="F18" s="51">
        <f>'S7'!C9</f>
        <v>4.3500000000000298</v>
      </c>
      <c r="G18" s="330">
        <f>'S7'!C10-'S7'!C9</f>
        <v>1.0299999999999656</v>
      </c>
      <c r="H18" s="328">
        <f>G18/F19</f>
        <v>0.19144981412638781</v>
      </c>
      <c r="I18" s="51">
        <f>'S7'!D9</f>
        <v>4.0210000000000008</v>
      </c>
      <c r="J18" s="330">
        <f>'S7'!D10-'S7'!D9</f>
        <v>-1.0710000000000122</v>
      </c>
      <c r="K18" s="328">
        <f>J18/I19</f>
        <v>-0.36305084745763266</v>
      </c>
      <c r="L18" s="51">
        <f>'S7'!E9</f>
        <v>2.9369999999999976</v>
      </c>
      <c r="M18" s="330">
        <f>'S7'!E10-'S7'!E9</f>
        <v>-0.57699999999998397</v>
      </c>
      <c r="N18" s="328">
        <f>M18/L19</f>
        <v>-0.2444915254237206</v>
      </c>
      <c r="O18" s="51">
        <f>'S7'!B24</f>
        <v>3.060999999999988</v>
      </c>
      <c r="P18" s="330">
        <f>'S7'!B25-'S7'!B24</f>
        <v>-0.35099999999995157</v>
      </c>
      <c r="Q18" s="328">
        <f>P18/O19</f>
        <v>-0.12952029520293243</v>
      </c>
      <c r="R18" s="51">
        <f>'S7'!C24</f>
        <v>2.8700000000000117</v>
      </c>
      <c r="S18" s="330">
        <f>'S7'!C25-'S7'!C24</f>
        <v>-0.29999999999984794</v>
      </c>
      <c r="T18" s="328">
        <f>S18/R19</f>
        <v>-0.11673151750966103</v>
      </c>
      <c r="U18" s="51">
        <f>'S7'!D24</f>
        <v>2.6200000000000045</v>
      </c>
      <c r="V18" s="330">
        <f>'S7'!D25-'S7'!D24</f>
        <v>-0.64000000000010004</v>
      </c>
      <c r="W18" s="328">
        <f>V18/U19</f>
        <v>-0.32323232323238937</v>
      </c>
      <c r="X18" s="51">
        <f>'S7'!E24</f>
        <v>3.1950000000000216</v>
      </c>
      <c r="Y18" s="330">
        <f>'S7'!E25-'S7'!E24</f>
        <v>-0.81499999999991246</v>
      </c>
      <c r="Z18" s="328">
        <f>Y18/X19</f>
        <v>-0.34243697478986346</v>
      </c>
    </row>
    <row r="19" spans="1:26" x14ac:dyDescent="0.35">
      <c r="A19" s="326"/>
      <c r="B19" s="51" t="s">
        <v>60</v>
      </c>
      <c r="C19" s="51">
        <f>'S7'!B10</f>
        <v>2.0999999999999659</v>
      </c>
      <c r="D19" s="330"/>
      <c r="E19" s="328"/>
      <c r="F19" s="52">
        <f>'S7'!C10</f>
        <v>5.3799999999999955</v>
      </c>
      <c r="G19" s="330"/>
      <c r="H19" s="328"/>
      <c r="I19" s="51">
        <f>'S7'!D10</f>
        <v>2.9499999999999886</v>
      </c>
      <c r="J19" s="330"/>
      <c r="K19" s="328"/>
      <c r="L19" s="51">
        <f>'S7'!E10</f>
        <v>2.3600000000000136</v>
      </c>
      <c r="M19" s="330"/>
      <c r="N19" s="328"/>
      <c r="O19" s="51">
        <f>'S7'!B25</f>
        <v>2.7100000000000364</v>
      </c>
      <c r="P19" s="330"/>
      <c r="Q19" s="328"/>
      <c r="R19" s="51">
        <f>'S7'!C25</f>
        <v>2.5700000000001637</v>
      </c>
      <c r="S19" s="330"/>
      <c r="T19" s="328"/>
      <c r="U19" s="51">
        <f>'S7'!D25</f>
        <v>1.9799999999999045</v>
      </c>
      <c r="V19" s="330"/>
      <c r="W19" s="328"/>
      <c r="X19" s="51">
        <f>'S7'!E25</f>
        <v>2.3800000000001091</v>
      </c>
      <c r="Y19" s="330"/>
      <c r="Z19" s="328"/>
    </row>
    <row r="20" spans="1:26" x14ac:dyDescent="0.35">
      <c r="A20" s="326" t="s">
        <v>11</v>
      </c>
      <c r="B20" s="51" t="s">
        <v>59</v>
      </c>
      <c r="C20" s="51">
        <f>'S8'!B9</f>
        <v>4.1880000000000024</v>
      </c>
      <c r="D20" s="330">
        <f>'S8'!B10-'S8'!B9</f>
        <v>-2.1280000000000001</v>
      </c>
      <c r="E20" s="328">
        <f>D20/C21</f>
        <v>-1.0330097087378629</v>
      </c>
      <c r="F20" s="51">
        <f>'S8'!C9</f>
        <v>4.5979999999999848</v>
      </c>
      <c r="G20" s="330">
        <f>'S8'!C10-'S8'!C9</f>
        <v>-0.28799999999998249</v>
      </c>
      <c r="H20" s="328">
        <f>G20/F21</f>
        <v>-6.682134570765251E-2</v>
      </c>
      <c r="I20" s="51">
        <f>'S8'!D9</f>
        <v>4.4070000000000249</v>
      </c>
      <c r="J20" s="330">
        <f>'S8'!D10-'S8'!D9</f>
        <v>-1.1969999999999885</v>
      </c>
      <c r="K20" s="328">
        <f>J20/I21</f>
        <v>-0.37289719626167445</v>
      </c>
      <c r="L20" s="51">
        <f>'S8'!E9</f>
        <v>3.6699999999999875</v>
      </c>
      <c r="M20" s="330">
        <f>'S8'!E10-'S8'!E9</f>
        <v>-0.5600000000000307</v>
      </c>
      <c r="N20" s="328">
        <f>M20/L21</f>
        <v>-0.18006430868168441</v>
      </c>
      <c r="O20" s="51">
        <f>'S8'!B24</f>
        <v>3.4100000000000108</v>
      </c>
      <c r="P20" s="330">
        <f>'S8'!B25-'S8'!B24</f>
        <v>-0.57000000000009265</v>
      </c>
      <c r="Q20" s="328">
        <f>P20/O21</f>
        <v>-0.20070422535215107</v>
      </c>
      <c r="R20" s="51">
        <f>'S8'!C24</f>
        <v>3.4069999999999965</v>
      </c>
      <c r="S20" s="330">
        <f>'S8'!C25-'S8'!C24</f>
        <v>-0.21699999999994191</v>
      </c>
      <c r="T20" s="328">
        <f>S20/R21</f>
        <v>-6.8025078369886582E-2</v>
      </c>
      <c r="U20" s="51">
        <f>'S8'!D24</f>
        <v>2.982999999999997</v>
      </c>
      <c r="V20" s="330">
        <f>'S8'!D25-'S8'!D24</f>
        <v>-0.64299999999996515</v>
      </c>
      <c r="W20" s="328">
        <f>V20/U21</f>
        <v>-0.27478632478630616</v>
      </c>
      <c r="X20" s="51">
        <f>'S8'!E24</f>
        <v>3.4480000000000075</v>
      </c>
      <c r="Y20" s="330">
        <f>'S8'!E25-'S8'!E24</f>
        <v>-0.91800000000003479</v>
      </c>
      <c r="Z20" s="328">
        <f>Y20/X21</f>
        <v>-0.36284584980238921</v>
      </c>
    </row>
    <row r="21" spans="1:26" x14ac:dyDescent="0.35">
      <c r="A21" s="326"/>
      <c r="B21" s="51" t="s">
        <v>60</v>
      </c>
      <c r="C21" s="51">
        <f>'S8'!B10</f>
        <v>2.0600000000000023</v>
      </c>
      <c r="D21" s="330"/>
      <c r="E21" s="328"/>
      <c r="F21" s="51">
        <f>'S8'!C10</f>
        <v>4.3100000000000023</v>
      </c>
      <c r="G21" s="330"/>
      <c r="H21" s="328"/>
      <c r="I21" s="51">
        <f>'S8'!D10</f>
        <v>3.2100000000000364</v>
      </c>
      <c r="J21" s="330"/>
      <c r="K21" s="328"/>
      <c r="L21" s="51">
        <f>'S8'!E10</f>
        <v>3.1099999999999568</v>
      </c>
      <c r="M21" s="330"/>
      <c r="N21" s="328"/>
      <c r="O21" s="51">
        <f>'S8'!B25</f>
        <v>2.8399999999999181</v>
      </c>
      <c r="P21" s="330"/>
      <c r="Q21" s="328"/>
      <c r="R21" s="51">
        <f>'S8'!C25</f>
        <v>3.1900000000000546</v>
      </c>
      <c r="S21" s="330"/>
      <c r="T21" s="328"/>
      <c r="U21" s="51">
        <f>'S8'!D25</f>
        <v>2.3400000000000318</v>
      </c>
      <c r="V21" s="330"/>
      <c r="W21" s="328"/>
      <c r="X21" s="51">
        <f>'S8'!E25</f>
        <v>2.5299999999999727</v>
      </c>
      <c r="Y21" s="330"/>
      <c r="Z21" s="328"/>
    </row>
    <row r="22" spans="1:26" ht="15" customHeight="1" x14ac:dyDescent="0.35">
      <c r="A22" s="331" t="s">
        <v>12</v>
      </c>
      <c r="B22" s="51" t="s">
        <v>59</v>
      </c>
      <c r="C22" s="51">
        <f>'S9'!B9</f>
        <v>4.4210000000000065</v>
      </c>
      <c r="D22" s="330">
        <f>'S9'!B10-'S9'!B9</f>
        <v>-1.7609999999999815</v>
      </c>
      <c r="E22" s="333">
        <f>D22/C23</f>
        <v>-0.66203007518795676</v>
      </c>
      <c r="F22" s="51">
        <f>'S9'!C9</f>
        <v>5.5740000000000123</v>
      </c>
      <c r="G22" s="330">
        <f>'S9'!C10-'S9'!C9</f>
        <v>1.7259999999999991</v>
      </c>
      <c r="H22" s="333">
        <f>G22/F23</f>
        <v>0.23643835616438308</v>
      </c>
      <c r="I22" s="51">
        <f>'S9'!D9</f>
        <v>5.9129999999999967</v>
      </c>
      <c r="J22" s="330">
        <f>'S9'!D10-'S9'!D9</f>
        <v>-1.1029999999999944</v>
      </c>
      <c r="K22" s="333">
        <f>J22/I23</f>
        <v>-0.22931392931392805</v>
      </c>
      <c r="L22" s="51">
        <f>'S9'!E9</f>
        <v>4.6650000000000063</v>
      </c>
      <c r="M22" s="330">
        <f>'S9'!E10-'S9'!E9</f>
        <v>-0.57499999999997442</v>
      </c>
      <c r="N22" s="333">
        <f>M22/L23</f>
        <v>-0.14058679706600732</v>
      </c>
      <c r="O22" s="110">
        <f>'S9'!B24</f>
        <v>5.4350000000000254</v>
      </c>
      <c r="P22" s="330">
        <f>'S9'!B25-'S9'!B24</f>
        <v>1.1150000000000428</v>
      </c>
      <c r="Q22" s="333">
        <f>P22/O23</f>
        <v>0.17022900763359256</v>
      </c>
      <c r="R22" s="51">
        <f>'S9'!C24</f>
        <v>5.166000000000011</v>
      </c>
      <c r="S22" s="330">
        <f>'S9'!C25-'S9'!C24</f>
        <v>0.11399999999996169</v>
      </c>
      <c r="T22" s="333">
        <f>S22/R23</f>
        <v>2.1590909090901948E-2</v>
      </c>
      <c r="U22" s="51">
        <f>'S9'!D24</f>
        <v>3.8040000000000092</v>
      </c>
      <c r="V22" s="330">
        <f>'S9'!D25-'S9'!D24</f>
        <v>-0.56400000000000006</v>
      </c>
      <c r="W22" s="333">
        <f>V22/U23</f>
        <v>-0.1740740740740736</v>
      </c>
      <c r="X22" s="51">
        <f>'S9'!E24</f>
        <v>5.0699999999999932</v>
      </c>
      <c r="Y22" s="330">
        <f>'S9'!E25-'S9'!E24</f>
        <v>-0.56000000000000227</v>
      </c>
      <c r="Z22" s="333">
        <f>Y22/X23</f>
        <v>-0.12416851441241761</v>
      </c>
    </row>
    <row r="23" spans="1:26" ht="15" customHeight="1" x14ac:dyDescent="0.35">
      <c r="A23" s="332"/>
      <c r="B23" s="51" t="s">
        <v>60</v>
      </c>
      <c r="C23" s="53">
        <f>'S9'!B10</f>
        <v>2.660000000000025</v>
      </c>
      <c r="D23" s="330"/>
      <c r="E23" s="334"/>
      <c r="F23" s="53">
        <f>'S9'!C10</f>
        <v>7.3000000000000114</v>
      </c>
      <c r="G23" s="330"/>
      <c r="H23" s="334"/>
      <c r="I23" s="53">
        <f>'S9'!D10</f>
        <v>4.8100000000000023</v>
      </c>
      <c r="J23" s="330"/>
      <c r="K23" s="334"/>
      <c r="L23" s="53">
        <f>'S9'!E10</f>
        <v>4.0900000000000318</v>
      </c>
      <c r="M23" s="330"/>
      <c r="N23" s="334"/>
      <c r="O23" s="111">
        <f>'S9'!B25</f>
        <v>6.5500000000000682</v>
      </c>
      <c r="P23" s="330"/>
      <c r="Q23" s="334"/>
      <c r="R23" s="51">
        <f>'S9'!C25</f>
        <v>5.2799999999999727</v>
      </c>
      <c r="S23" s="330"/>
      <c r="T23" s="334"/>
      <c r="U23" s="53">
        <f>'S9'!D25</f>
        <v>3.2400000000000091</v>
      </c>
      <c r="V23" s="330"/>
      <c r="W23" s="334"/>
      <c r="X23" s="51">
        <f>'S9'!E25</f>
        <v>4.5099999999999909</v>
      </c>
      <c r="Y23" s="330"/>
      <c r="Z23" s="334"/>
    </row>
    <row r="24" spans="1:26" x14ac:dyDescent="0.35">
      <c r="A24" s="326" t="s">
        <v>13</v>
      </c>
      <c r="B24" s="51" t="s">
        <v>59</v>
      </c>
      <c r="C24" s="51">
        <f>'S10'!B9</f>
        <v>10.337999999999994</v>
      </c>
      <c r="D24" s="330">
        <f>'S10'!B10-'S10'!B9</f>
        <v>-1.7580000000000098</v>
      </c>
      <c r="E24" s="328">
        <f>D24/C25</f>
        <v>-0.20489510489510643</v>
      </c>
      <c r="F24" s="51">
        <f>'S10'!C9</f>
        <v>15.517000000000031</v>
      </c>
      <c r="G24" s="330">
        <f>'S10'!C10-'S10'!C9</f>
        <v>7.3000000000000398E-2</v>
      </c>
      <c r="H24" s="328">
        <f>G24/F25</f>
        <v>4.6824887748556929E-3</v>
      </c>
      <c r="I24" s="51">
        <f>'S10'!D9</f>
        <v>13.365999999999985</v>
      </c>
      <c r="J24" s="330">
        <f>'S10'!D10-'S10'!D9</f>
        <v>-1.5260000000000105</v>
      </c>
      <c r="K24" s="328">
        <f>J24/I25</f>
        <v>-0.1288851351351363</v>
      </c>
      <c r="L24" s="51">
        <f>'S10'!E9</f>
        <v>12.242000000000019</v>
      </c>
      <c r="M24" s="330">
        <f>'S10'!E10-'S10'!E9</f>
        <v>-7.2000000000002728E-2</v>
      </c>
      <c r="N24" s="328">
        <f>M24/L25</f>
        <v>-5.9161873459328378E-3</v>
      </c>
      <c r="O24" s="51">
        <f>'S10'!B24</f>
        <v>17.326000000000001</v>
      </c>
      <c r="P24" s="330">
        <f>'S10'!B25-'S10'!B24</f>
        <v>2.3439999999999586</v>
      </c>
      <c r="Q24" s="328">
        <f>P24/O25</f>
        <v>0.11916624300965752</v>
      </c>
      <c r="R24" s="51">
        <f>'S10'!C24</f>
        <v>13.245999999999995</v>
      </c>
      <c r="S24" s="330">
        <f>'S10'!C25-'S10'!C24</f>
        <v>1.5239999999999867</v>
      </c>
      <c r="T24" s="328">
        <f>S24/R25</f>
        <v>0.10318212593094032</v>
      </c>
      <c r="U24" s="51">
        <f>'S10'!D24</f>
        <v>10.716000000000001</v>
      </c>
      <c r="V24" s="330">
        <f>'S10'!D25-'S10'!D24</f>
        <v>0.28399999999999892</v>
      </c>
      <c r="W24" s="328">
        <f>V24/U25</f>
        <v>2.5818181818181719E-2</v>
      </c>
      <c r="X24" s="51">
        <f>'S10'!E24</f>
        <v>12.665000000000006</v>
      </c>
      <c r="Y24" s="330">
        <f>'S10'!E25-'S10'!E24</f>
        <v>0.12499999999995737</v>
      </c>
      <c r="Z24" s="328">
        <f>Y24/X25</f>
        <v>9.7732603596526763E-3</v>
      </c>
    </row>
    <row r="25" spans="1:26" x14ac:dyDescent="0.35">
      <c r="A25" s="326"/>
      <c r="B25" s="51" t="s">
        <v>60</v>
      </c>
      <c r="C25" s="53">
        <f>'S10'!B10</f>
        <v>8.5799999999999841</v>
      </c>
      <c r="D25" s="330"/>
      <c r="E25" s="328"/>
      <c r="F25" s="53">
        <f>'S10'!C10</f>
        <v>15.590000000000032</v>
      </c>
      <c r="G25" s="330"/>
      <c r="H25" s="328"/>
      <c r="I25" s="53">
        <f>'S10'!D10</f>
        <v>11.839999999999975</v>
      </c>
      <c r="J25" s="330"/>
      <c r="K25" s="328"/>
      <c r="L25" s="53">
        <f>'S10'!E10</f>
        <v>12.170000000000016</v>
      </c>
      <c r="M25" s="330"/>
      <c r="N25" s="328"/>
      <c r="O25" s="53">
        <f>'S10'!B25</f>
        <v>19.669999999999959</v>
      </c>
      <c r="P25" s="330"/>
      <c r="Q25" s="328"/>
      <c r="R25" s="53">
        <f>'S10'!C25</f>
        <v>14.769999999999982</v>
      </c>
      <c r="S25" s="330"/>
      <c r="T25" s="328"/>
      <c r="U25" s="53">
        <f>'S10'!D25</f>
        <v>11</v>
      </c>
      <c r="V25" s="330"/>
      <c r="W25" s="328"/>
      <c r="X25" s="53">
        <f>'S10'!E25</f>
        <v>12.789999999999964</v>
      </c>
      <c r="Y25" s="330"/>
      <c r="Z25" s="328"/>
    </row>
    <row r="26" spans="1:26" x14ac:dyDescent="0.35">
      <c r="A26" s="326" t="s">
        <v>14</v>
      </c>
      <c r="B26" s="51" t="s">
        <v>59</v>
      </c>
      <c r="C26" s="51">
        <f>'S11'!B9</f>
        <v>27.650999999999996</v>
      </c>
      <c r="D26" s="330">
        <f>'S11'!B10-'S11'!B9</f>
        <v>6.9000000000031037E-2</v>
      </c>
      <c r="E26" s="328">
        <f>D26/C27</f>
        <v>2.4891774891786064E-3</v>
      </c>
      <c r="F26" s="51">
        <f>'S11'!C9</f>
        <v>30.588999999999984</v>
      </c>
      <c r="G26" s="330">
        <f>'S11'!C10-'S11'!C9</f>
        <v>0.37100000000005195</v>
      </c>
      <c r="H26" s="328">
        <f>G26/F27</f>
        <v>1.198320413436859E-2</v>
      </c>
      <c r="I26" s="51">
        <f>'S11'!D9</f>
        <v>31.077000000000012</v>
      </c>
      <c r="J26" s="330">
        <f>'S11'!D10-'S11'!D9</f>
        <v>-0.66699999999998738</v>
      </c>
      <c r="K26" s="328">
        <f>J26/I27</f>
        <v>-2.193357448207783E-2</v>
      </c>
      <c r="L26" s="51">
        <f>'S11'!E9</f>
        <v>26.807999999999979</v>
      </c>
      <c r="M26" s="330">
        <f>'S11'!E10-'S11'!E9</f>
        <v>0.52200000000000557</v>
      </c>
      <c r="N26" s="328">
        <f>M26/L27</f>
        <v>1.9099890230516132E-2</v>
      </c>
      <c r="O26" s="51">
        <f>'S11'!B24</f>
        <v>30.723000000000013</v>
      </c>
      <c r="P26" s="330">
        <f>'S11'!B25-'S11'!B24</f>
        <v>3.0570000000000732</v>
      </c>
      <c r="Q26" s="328">
        <f>P26/O27</f>
        <v>9.0497335701600512E-2</v>
      </c>
      <c r="R26" s="51">
        <f>'S11'!C24</f>
        <v>29.390999999999991</v>
      </c>
      <c r="S26" s="330">
        <f>'S11'!C25-'S11'!C24</f>
        <v>3.1789999999999452</v>
      </c>
      <c r="T26" s="328">
        <f>S26/R27</f>
        <v>9.7605158120968732E-2</v>
      </c>
      <c r="U26" s="51">
        <f>'S11'!D24</f>
        <v>25.905000000000015</v>
      </c>
      <c r="V26" s="330">
        <f>'S11'!D25-'S11'!D24</f>
        <v>1.6950000000000074</v>
      </c>
      <c r="W26" s="328">
        <f>V26/U27</f>
        <v>6.1413043478261084E-2</v>
      </c>
      <c r="X26" s="51">
        <f>'S11'!E24</f>
        <v>27.938999999999965</v>
      </c>
      <c r="Y26" s="330">
        <f>'S11'!E25-'S11'!E24</f>
        <v>1.1909999999999172</v>
      </c>
      <c r="Z26" s="328">
        <f>Y26/X27</f>
        <v>4.0885684860965402E-2</v>
      </c>
    </row>
    <row r="27" spans="1:26" x14ac:dyDescent="0.35">
      <c r="A27" s="326"/>
      <c r="B27" s="51" t="s">
        <v>60</v>
      </c>
      <c r="C27" s="51">
        <f>'S11'!B10</f>
        <v>27.720000000000027</v>
      </c>
      <c r="D27" s="330"/>
      <c r="E27" s="328"/>
      <c r="F27" s="51">
        <f>'S11'!C10</f>
        <v>30.960000000000036</v>
      </c>
      <c r="G27" s="330"/>
      <c r="H27" s="328"/>
      <c r="I27" s="51">
        <f>'S11'!D10</f>
        <v>30.410000000000025</v>
      </c>
      <c r="J27" s="330"/>
      <c r="K27" s="328"/>
      <c r="L27" s="51">
        <f>'S11'!E10</f>
        <v>27.329999999999984</v>
      </c>
      <c r="M27" s="330"/>
      <c r="N27" s="328"/>
      <c r="O27" s="51">
        <f>'S11'!B25</f>
        <v>33.780000000000086</v>
      </c>
      <c r="P27" s="330"/>
      <c r="Q27" s="328"/>
      <c r="R27" s="51">
        <f>'S11'!C25</f>
        <v>32.569999999999936</v>
      </c>
      <c r="S27" s="330"/>
      <c r="T27" s="328"/>
      <c r="U27" s="51">
        <f>'S11'!D25</f>
        <v>27.600000000000023</v>
      </c>
      <c r="V27" s="330"/>
      <c r="W27" s="328"/>
      <c r="X27" s="51">
        <f>'S11'!E25</f>
        <v>29.129999999999882</v>
      </c>
      <c r="Y27" s="330"/>
      <c r="Z27" s="328"/>
    </row>
    <row r="28" spans="1:26" x14ac:dyDescent="0.35">
      <c r="A28" s="326" t="s">
        <v>3</v>
      </c>
      <c r="B28" s="51" t="s">
        <v>59</v>
      </c>
      <c r="C28" s="51">
        <f>'S12'!B9</f>
        <v>32.058999999999969</v>
      </c>
      <c r="D28" s="330">
        <f>'S12'!B10-'S12'!B9</f>
        <v>0.61099999999999</v>
      </c>
      <c r="E28" s="328">
        <f>D28/C29</f>
        <v>1.8702173247627511E-2</v>
      </c>
      <c r="F28" s="51">
        <f>'S12'!C9</f>
        <v>35.037000000000006</v>
      </c>
      <c r="G28" s="330">
        <f>'S12'!C10-'S12'!C9</f>
        <v>1.6629999999999256</v>
      </c>
      <c r="H28" s="328">
        <f>G28/F29</f>
        <v>4.5313351498635662E-2</v>
      </c>
      <c r="I28" s="51">
        <f>'S12'!D9</f>
        <v>33.618999999999986</v>
      </c>
      <c r="J28" s="330">
        <f>'S12'!D10-'S12'!D9</f>
        <v>0.10099999999998488</v>
      </c>
      <c r="K28" s="328">
        <f>J28/I29</f>
        <v>2.995255041517941E-3</v>
      </c>
      <c r="L28" s="51">
        <f>'S12'!E9</f>
        <v>30.499999999999986</v>
      </c>
      <c r="M28" s="330">
        <f>'S12'!E10-'S12'!E9</f>
        <v>1.1400000000000006</v>
      </c>
      <c r="N28" s="328">
        <f>M28/L29</f>
        <v>3.6030341340075885E-2</v>
      </c>
      <c r="O28" s="51">
        <f>'S12'!B24</f>
        <v>30.816000000000017</v>
      </c>
      <c r="P28" s="330">
        <f>'S12'!B25-'S12'!B24</f>
        <v>2.7939999999998832</v>
      </c>
      <c r="Q28" s="328">
        <f>P28/O29</f>
        <v>8.3130020827131557E-2</v>
      </c>
      <c r="R28" s="51">
        <f>'S12'!C24</f>
        <v>32.458000000000013</v>
      </c>
      <c r="S28" s="330">
        <f>'S12'!C25-'S12'!C24</f>
        <v>4.1920000000000783</v>
      </c>
      <c r="T28" s="328">
        <f>S28/R29</f>
        <v>0.11437926330150254</v>
      </c>
      <c r="U28" s="51">
        <f>'S12'!D24</f>
        <v>30.440999999999995</v>
      </c>
      <c r="V28" s="330">
        <f>'S12'!D25-'S12'!D24</f>
        <v>1.8890000000000455</v>
      </c>
      <c r="W28" s="328">
        <f>V28/U29</f>
        <v>5.8428703990103407E-2</v>
      </c>
      <c r="X28" s="51">
        <f>'S12'!E24</f>
        <v>33.521000000000043</v>
      </c>
      <c r="Y28" s="330">
        <f>'S12'!E25-'S12'!E24</f>
        <v>2.7089999999999748</v>
      </c>
      <c r="Z28" s="328">
        <f>Y28/X29</f>
        <v>7.4772288158983527E-2</v>
      </c>
    </row>
    <row r="29" spans="1:26" x14ac:dyDescent="0.35">
      <c r="A29" s="326"/>
      <c r="B29" s="51" t="s">
        <v>60</v>
      </c>
      <c r="C29" s="53">
        <f>'S12'!B10</f>
        <v>32.669999999999959</v>
      </c>
      <c r="D29" s="330"/>
      <c r="E29" s="328"/>
      <c r="F29" s="53">
        <f>'S12'!C10</f>
        <v>36.699999999999932</v>
      </c>
      <c r="G29" s="330"/>
      <c r="H29" s="328"/>
      <c r="I29" s="53">
        <f>'S12'!D10</f>
        <v>33.71999999999997</v>
      </c>
      <c r="J29" s="330"/>
      <c r="K29" s="328"/>
      <c r="L29" s="53">
        <f>'S12'!E10</f>
        <v>31.639999999999986</v>
      </c>
      <c r="M29" s="330"/>
      <c r="N29" s="328"/>
      <c r="O29" s="53">
        <f>'S12'!B25</f>
        <v>33.6099999999999</v>
      </c>
      <c r="P29" s="330"/>
      <c r="Q29" s="328"/>
      <c r="R29" s="53">
        <f>'S12'!C25</f>
        <v>36.650000000000091</v>
      </c>
      <c r="S29" s="330"/>
      <c r="T29" s="328"/>
      <c r="U29" s="53">
        <f>'S12'!D25</f>
        <v>32.330000000000041</v>
      </c>
      <c r="V29" s="330"/>
      <c r="W29" s="328"/>
      <c r="X29" s="53">
        <f>'S12'!E25</f>
        <v>36.230000000000018</v>
      </c>
      <c r="Y29" s="330"/>
      <c r="Z29" s="328"/>
    </row>
    <row r="30" spans="1:26" ht="15.5" x14ac:dyDescent="0.35">
      <c r="A30" s="54"/>
      <c r="C30" s="55"/>
      <c r="D30" s="56"/>
      <c r="E30" s="56"/>
      <c r="F30" s="55"/>
      <c r="G30" s="56"/>
      <c r="H30" s="56"/>
      <c r="I30" s="55"/>
      <c r="J30" s="56"/>
      <c r="K30" s="56"/>
      <c r="L30" s="55"/>
      <c r="M30" s="56"/>
      <c r="N30" s="56"/>
      <c r="O30" s="55"/>
      <c r="P30" s="56"/>
      <c r="Q30" s="56"/>
      <c r="R30" s="55"/>
      <c r="S30" s="56"/>
      <c r="T30" s="56"/>
      <c r="U30" s="55"/>
      <c r="V30" s="56"/>
      <c r="W30" s="56"/>
      <c r="X30" s="55"/>
      <c r="Y30" s="56"/>
      <c r="Z30" s="56"/>
    </row>
    <row r="31" spans="1:26" s="57" customFormat="1" ht="15.5" x14ac:dyDescent="0.35">
      <c r="A31" s="57" t="s">
        <v>61</v>
      </c>
      <c r="D31" s="57">
        <f>SUM(D6:D29)</f>
        <v>-14.390999999999991</v>
      </c>
      <c r="G31" s="57">
        <f>SUM(G6:G29)</f>
        <v>15.523000000000039</v>
      </c>
      <c r="J31" s="57">
        <f>SUM(J6:J29)</f>
        <v>-9.4209999999999923</v>
      </c>
      <c r="M31" s="57">
        <f>SUM(M6:M29)</f>
        <v>1.1069999999999567</v>
      </c>
      <c r="P31" s="57">
        <f>SUM(P6:P29)</f>
        <v>17.664999999999999</v>
      </c>
      <c r="S31" s="57">
        <f>SUM(S6:S29)</f>
        <v>16.209000000000117</v>
      </c>
      <c r="V31" s="57">
        <f>SUM(V6:V29)</f>
        <v>6.5190000000000943</v>
      </c>
      <c r="Y31" s="57">
        <f>SUM(Y6:Y29)</f>
        <v>7.5749999999999176</v>
      </c>
    </row>
    <row r="32" spans="1:26" ht="6.75" customHeight="1" x14ac:dyDescent="0.35"/>
    <row r="33" spans="1:25" s="58" customFormat="1" ht="15.5" x14ac:dyDescent="0.35">
      <c r="A33" s="57" t="s">
        <v>62</v>
      </c>
      <c r="D33" s="59">
        <f>(D6+D8+D10+D12+D14+D16+D18+D20+D22+D24+D26+D28)/(C7+C9+C11+C13+C15+C17+C19+C21+C23+C25+C27+C29)</f>
        <v>-8.3736762481089216E-2</v>
      </c>
      <c r="G33" s="59">
        <f>(G6+G8+G10+G12+G14+G16+G18+G20+G22+G24+G26+G28)/(F7+F9+F11+F13+F15+F17+F19+F21+F23+F25+F27+F29)</f>
        <v>6.6693877551020575E-2</v>
      </c>
      <c r="J33" s="59">
        <f>(J6+J8+J10+J12+J14+J16+J18+J20+J22+J24+J26+J28)/(I7+I9+I11+I13+I15+I17+I19+I21+I23+I25+I27+I29)</f>
        <v>-4.8122797159932541E-2</v>
      </c>
      <c r="M33" s="59">
        <f>(M6+M8+M10+M12+M14+M16+M18+M20+M22+M24+M26+M28)/(L7+L9+L11+L13+L15+L17+L19+L21+L23+L25+L27+L29)</f>
        <v>6.0016264570341921E-3</v>
      </c>
      <c r="P33" s="59">
        <f>(P6+P8+P10+P12+P14+P16+P18+P20+P22+P24+P26+P28)/(O7+O9+O11+O13+O15+O17+O19+O21+O23+O25+O27+O29)</f>
        <v>8.1960747923722918E-2</v>
      </c>
      <c r="S33" s="59">
        <f>(S6+S8+S10+S12+S14+S16+S18+S20+S22+S24+S26+S28)/(R7+R9+R11+R13+R15+R17+R19+R21+R23+R25+R27+R29)</f>
        <v>7.6638297872340944E-2</v>
      </c>
      <c r="V33" s="59">
        <f>(V6+V8+V10+V12+V14+V16+V18+V20+V22+V24+V26+V28)/(U7+U9+U11+U13+U15+U17+U19+U21+U23+U25+U27+U29)</f>
        <v>3.6190529062344365E-2</v>
      </c>
      <c r="Y33" s="59">
        <f>(Y6+Y8+Y10+Y12+Y14+Y16+Y18+Y20+Y22+Y24+Y26+Y28)/(X7+X9+X11+X13+X15+X17+X19+X21+X23+X25+X27+X29)</f>
        <v>3.7814496805111425E-2</v>
      </c>
    </row>
    <row r="34" spans="1:25" s="60" customFormat="1" x14ac:dyDescent="0.35">
      <c r="D34" s="60">
        <v>1850</v>
      </c>
      <c r="G34" s="60">
        <v>1851</v>
      </c>
      <c r="J34" s="60">
        <v>1852</v>
      </c>
      <c r="M34" s="60">
        <v>1853</v>
      </c>
      <c r="P34" s="60">
        <v>1854</v>
      </c>
      <c r="S34" s="60">
        <v>1855</v>
      </c>
      <c r="V34" s="60">
        <v>1856</v>
      </c>
      <c r="Y34" s="60">
        <v>1857</v>
      </c>
    </row>
    <row r="38" spans="1:25" x14ac:dyDescent="0.35">
      <c r="A38" s="61"/>
    </row>
    <row r="39" spans="1:25" x14ac:dyDescent="0.35">
      <c r="A39"/>
    </row>
    <row r="40" spans="1:25" x14ac:dyDescent="0.35">
      <c r="A40" s="61"/>
    </row>
  </sheetData>
  <sheetProtection selectLockedCells="1" selectUnlockedCells="1"/>
  <mergeCells count="213"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  <mergeCell ref="A28:A29"/>
    <mergeCell ref="D28:D29"/>
    <mergeCell ref="E28:E29"/>
    <mergeCell ref="G28:G29"/>
    <mergeCell ref="H28:H29"/>
    <mergeCell ref="J28:J29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  <mergeCell ref="T24:T25"/>
    <mergeCell ref="V24:V25"/>
    <mergeCell ref="W24:W25"/>
    <mergeCell ref="Y24:Y25"/>
    <mergeCell ref="Z24:Z25"/>
    <mergeCell ref="A26:A27"/>
    <mergeCell ref="D26:D27"/>
    <mergeCell ref="E26:E27"/>
    <mergeCell ref="G26:G27"/>
    <mergeCell ref="H26:H27"/>
    <mergeCell ref="K24:K25"/>
    <mergeCell ref="M24:M25"/>
    <mergeCell ref="N24:N25"/>
    <mergeCell ref="P24:P25"/>
    <mergeCell ref="Q24:Q25"/>
    <mergeCell ref="S24:S25"/>
    <mergeCell ref="A24:A25"/>
    <mergeCell ref="D24:D25"/>
    <mergeCell ref="E24:E25"/>
    <mergeCell ref="G24:G25"/>
    <mergeCell ref="H24:H25"/>
    <mergeCell ref="J24:J25"/>
    <mergeCell ref="W26:W27"/>
    <mergeCell ref="Y26:Y27"/>
    <mergeCell ref="V22:V23"/>
    <mergeCell ref="W22:W23"/>
    <mergeCell ref="Y22:Y23"/>
    <mergeCell ref="Z22:Z23"/>
    <mergeCell ref="J22:J23"/>
    <mergeCell ref="K22:K23"/>
    <mergeCell ref="M22:M23"/>
    <mergeCell ref="N22:N23"/>
    <mergeCell ref="P22:P23"/>
    <mergeCell ref="Q22:Q23"/>
    <mergeCell ref="T20:T21"/>
    <mergeCell ref="V20:V21"/>
    <mergeCell ref="W20:W21"/>
    <mergeCell ref="Y20:Y21"/>
    <mergeCell ref="Z20:Z21"/>
    <mergeCell ref="A22:A23"/>
    <mergeCell ref="D22:D23"/>
    <mergeCell ref="E22:E23"/>
    <mergeCell ref="G22:G23"/>
    <mergeCell ref="H22:H23"/>
    <mergeCell ref="K20:K21"/>
    <mergeCell ref="M20:M21"/>
    <mergeCell ref="N20:N21"/>
    <mergeCell ref="P20:P21"/>
    <mergeCell ref="Q20:Q21"/>
    <mergeCell ref="S20:S21"/>
    <mergeCell ref="A20:A21"/>
    <mergeCell ref="D20:D21"/>
    <mergeCell ref="E20:E21"/>
    <mergeCell ref="G20:G21"/>
    <mergeCell ref="H20:H21"/>
    <mergeCell ref="J20:J21"/>
    <mergeCell ref="S22:S23"/>
    <mergeCell ref="T22:T23"/>
    <mergeCell ref="V18:V19"/>
    <mergeCell ref="W18:W19"/>
    <mergeCell ref="Y18:Y19"/>
    <mergeCell ref="Z18:Z19"/>
    <mergeCell ref="J18:J19"/>
    <mergeCell ref="K18:K19"/>
    <mergeCell ref="M18:M19"/>
    <mergeCell ref="N18:N19"/>
    <mergeCell ref="P18:P19"/>
    <mergeCell ref="Q18:Q19"/>
    <mergeCell ref="T16:T17"/>
    <mergeCell ref="V16:V17"/>
    <mergeCell ref="W16:W17"/>
    <mergeCell ref="Y16:Y17"/>
    <mergeCell ref="Z16:Z17"/>
    <mergeCell ref="A18:A19"/>
    <mergeCell ref="D18:D19"/>
    <mergeCell ref="E18:E19"/>
    <mergeCell ref="G18:G19"/>
    <mergeCell ref="H18:H19"/>
    <mergeCell ref="K16:K17"/>
    <mergeCell ref="M16:M17"/>
    <mergeCell ref="N16:N17"/>
    <mergeCell ref="P16:P17"/>
    <mergeCell ref="Q16:Q17"/>
    <mergeCell ref="S16:S17"/>
    <mergeCell ref="A16:A17"/>
    <mergeCell ref="D16:D17"/>
    <mergeCell ref="E16:E17"/>
    <mergeCell ref="G16:G17"/>
    <mergeCell ref="H16:H17"/>
    <mergeCell ref="J16:J17"/>
    <mergeCell ref="S18:S19"/>
    <mergeCell ref="T18:T19"/>
    <mergeCell ref="S14:S15"/>
    <mergeCell ref="T14:T15"/>
    <mergeCell ref="V14:V15"/>
    <mergeCell ref="W14:W15"/>
    <mergeCell ref="Y14:Y15"/>
    <mergeCell ref="Z14:Z15"/>
    <mergeCell ref="J14:J15"/>
    <mergeCell ref="K14:K15"/>
    <mergeCell ref="M14:M15"/>
    <mergeCell ref="N14:N15"/>
    <mergeCell ref="P14:P15"/>
    <mergeCell ref="Q14:Q15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M10:M11"/>
    <mergeCell ref="N10:N11"/>
    <mergeCell ref="P10:P11"/>
    <mergeCell ref="Q10:Q11"/>
    <mergeCell ref="T12:T13"/>
    <mergeCell ref="V12:V13"/>
    <mergeCell ref="W12:W13"/>
    <mergeCell ref="Y12:Y13"/>
    <mergeCell ref="Z12:Z13"/>
    <mergeCell ref="Q12:Q13"/>
    <mergeCell ref="S12:S13"/>
    <mergeCell ref="T8:T9"/>
    <mergeCell ref="V8:V9"/>
    <mergeCell ref="W8:W9"/>
    <mergeCell ref="Y8:Y9"/>
    <mergeCell ref="Z8:Z9"/>
    <mergeCell ref="A10:A11"/>
    <mergeCell ref="D10:D11"/>
    <mergeCell ref="E10:E11"/>
    <mergeCell ref="G10:G11"/>
    <mergeCell ref="H10:H11"/>
    <mergeCell ref="K8:K9"/>
    <mergeCell ref="M8:M9"/>
    <mergeCell ref="N8:N9"/>
    <mergeCell ref="P8:P9"/>
    <mergeCell ref="Q8:Q9"/>
    <mergeCell ref="S8:S9"/>
    <mergeCell ref="S10:S11"/>
    <mergeCell ref="T10:T11"/>
    <mergeCell ref="V10:V11"/>
    <mergeCell ref="W10:W11"/>
    <mergeCell ref="Y10:Y11"/>
    <mergeCell ref="Z10:Z11"/>
    <mergeCell ref="J10:J11"/>
    <mergeCell ref="K10:K11"/>
    <mergeCell ref="A8:A9"/>
    <mergeCell ref="D8:D9"/>
    <mergeCell ref="E8:E9"/>
    <mergeCell ref="G8:G9"/>
    <mergeCell ref="H8:H9"/>
    <mergeCell ref="J8:J9"/>
    <mergeCell ref="M6:M7"/>
    <mergeCell ref="N6:N7"/>
    <mergeCell ref="P6:P7"/>
    <mergeCell ref="R4:T4"/>
    <mergeCell ref="U4:W4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</mergeCells>
  <printOptions horizontalCentered="1" verticalCentered="1"/>
  <pageMargins left="0" right="0" top="0.19652777777777777" bottom="0.19652777777777777" header="0.51180555555555551" footer="0.51180555555555551"/>
  <pageSetup paperSize="9" scale="73" firstPageNumber="0" orientation="landscape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K33"/>
  <sheetViews>
    <sheetView workbookViewId="0">
      <selection activeCell="H5" sqref="H5"/>
    </sheetView>
  </sheetViews>
  <sheetFormatPr defaultColWidth="9" defaultRowHeight="17.5" x14ac:dyDescent="0.35"/>
  <cols>
    <col min="1" max="1" width="36.26953125" style="33" customWidth="1"/>
    <col min="2" max="5" width="13.1796875" style="33" customWidth="1"/>
    <col min="6" max="6" width="2.54296875" style="33" customWidth="1"/>
    <col min="7" max="7" width="11.453125" style="33" customWidth="1"/>
    <col min="8" max="8" width="14.1796875" style="33" customWidth="1"/>
    <col min="9" max="9" width="14.453125" style="33" customWidth="1"/>
    <col min="10" max="11" width="9.81640625" style="33" customWidth="1"/>
    <col min="12" max="12" width="8.81640625" style="33" customWidth="1"/>
    <col min="13" max="13" width="5" style="33" customWidth="1"/>
    <col min="14" max="14" width="2.7265625" style="33" customWidth="1"/>
    <col min="15" max="15" width="8.1796875" style="33" customWidth="1"/>
    <col min="16" max="16" width="5.7265625" style="33" customWidth="1"/>
    <col min="17" max="17" width="2.7265625" style="33" customWidth="1"/>
    <col min="18" max="19" width="7.7265625" style="33" customWidth="1"/>
    <col min="20" max="20" width="7.7265625" style="99" customWidth="1"/>
    <col min="21" max="21" width="11.453125" style="99" customWidth="1"/>
    <col min="22" max="26" width="7.7265625" style="99" customWidth="1"/>
    <col min="27" max="29" width="9.81640625" style="99" customWidth="1"/>
    <col min="30" max="33" width="6.453125" style="99" customWidth="1"/>
    <col min="34" max="37" width="9" style="99"/>
    <col min="38" max="16384" width="9" style="33"/>
  </cols>
  <sheetData>
    <row r="1" spans="1:37" ht="18" x14ac:dyDescent="0.4">
      <c r="A1" s="34" t="s">
        <v>63</v>
      </c>
      <c r="B1" s="35">
        <f>'S1'!B1</f>
        <v>2025</v>
      </c>
      <c r="C1" s="35"/>
      <c r="D1" s="35"/>
      <c r="E1" s="35"/>
      <c r="F1" s="35"/>
      <c r="O1" s="201"/>
    </row>
    <row r="2" spans="1:37" x14ac:dyDescent="0.35">
      <c r="O2" s="201"/>
    </row>
    <row r="3" spans="1:37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  <c r="F3" s="62"/>
      <c r="H3" s="210"/>
      <c r="O3" s="201"/>
    </row>
    <row r="4" spans="1:37" x14ac:dyDescent="0.35">
      <c r="A4" s="42" t="s">
        <v>32</v>
      </c>
      <c r="B4" s="38">
        <f>'S1'!B4+'S2'!B4+'S3'!B4+'S4'!B4+'S5'!B4+'S6'!B4+'S7'!B4+'S8'!B4+'S9'!B4+'S10'!B4+'S11'!B4+'S12'!B4</f>
        <v>840.42699999999991</v>
      </c>
      <c r="C4" s="38">
        <f>'S1'!C4+'S2'!C4+'S3'!C4+'S4'!C4+'S5'!C4+'S6'!C4+'S7'!C4+'S8'!C4+'S9'!C4+'S10'!C4+'S11'!C4+'S12'!C4</f>
        <v>952.79000000000008</v>
      </c>
      <c r="D4" s="38">
        <f>'S1'!D4+'S2'!D4+'S3'!D4+'S4'!D4+'S5'!D4+'S6'!D4+'S7'!D4+'S8'!D4+'S9'!D4+'S10'!D4+'S11'!D4+'S12'!D4</f>
        <v>904.58300000000008</v>
      </c>
      <c r="E4" s="214">
        <f>'S1'!E4+'S2'!E4+'S3'!E4+'S4'!E4+'S5'!E4+'S6'!E4+'S7'!E4+'S8'!E4+'S9'!E4+'S10'!E4+'S11'!E4+'S12'!E4</f>
        <v>965.97100000000023</v>
      </c>
      <c r="G4" s="207"/>
      <c r="H4" s="215">
        <f>'1853'!P24</f>
        <v>860.32199999999989</v>
      </c>
      <c r="I4" s="216" t="s">
        <v>177</v>
      </c>
      <c r="J4" s="217"/>
      <c r="K4" s="66"/>
      <c r="O4" s="211"/>
    </row>
    <row r="5" spans="1:37" x14ac:dyDescent="0.35">
      <c r="A5" s="42" t="s">
        <v>33</v>
      </c>
      <c r="B5" s="37">
        <f>'1850'!O26-'1850'!C26</f>
        <v>917.5</v>
      </c>
      <c r="C5" s="37">
        <f>'1851'!P26-'1851'!D26</f>
        <v>1038.8</v>
      </c>
      <c r="D5" s="37">
        <f>'1852'!O26-'1852'!C26</f>
        <v>993.8</v>
      </c>
      <c r="E5" s="103">
        <f>'1853'!O27-'1853'!C27</f>
        <v>1082.3999999999999</v>
      </c>
      <c r="G5" s="63" t="s">
        <v>64</v>
      </c>
      <c r="H5" s="208">
        <f>E5-C15</f>
        <v>976.39999999999986</v>
      </c>
      <c r="I5" s="209" t="s">
        <v>65</v>
      </c>
      <c r="J5" s="209" t="s">
        <v>66</v>
      </c>
      <c r="K5" s="66" t="s">
        <v>67</v>
      </c>
      <c r="O5" s="212" t="s">
        <v>176</v>
      </c>
    </row>
    <row r="6" spans="1:37" x14ac:dyDescent="0.35">
      <c r="A6" s="42" t="s">
        <v>34</v>
      </c>
      <c r="B6" s="335">
        <f>SUM(B5:E5)</f>
        <v>4032.5</v>
      </c>
      <c r="C6" s="336"/>
      <c r="D6" s="336"/>
      <c r="E6" s="337"/>
      <c r="F6" s="67"/>
      <c r="G6" s="63" t="s">
        <v>68</v>
      </c>
      <c r="H6" s="64">
        <f>C15</f>
        <v>106</v>
      </c>
      <c r="I6" s="65" t="s">
        <v>69</v>
      </c>
      <c r="J6" s="65" t="s">
        <v>70</v>
      </c>
      <c r="K6" s="68" t="s">
        <v>71</v>
      </c>
      <c r="O6" s="222">
        <f>B6-H6</f>
        <v>3926.5</v>
      </c>
      <c r="P6" s="223" t="s">
        <v>180</v>
      </c>
    </row>
    <row r="7" spans="1:37" x14ac:dyDescent="0.35">
      <c r="A7" s="42" t="s">
        <v>35</v>
      </c>
      <c r="B7" s="338">
        <f>'1850'!O29-'1850'!C29</f>
        <v>37353</v>
      </c>
      <c r="C7" s="339"/>
      <c r="D7" s="339"/>
      <c r="E7" s="340"/>
      <c r="F7" s="67"/>
      <c r="G7" s="69" t="s">
        <v>64</v>
      </c>
      <c r="H7" s="70">
        <f>B7-C15</f>
        <v>37247</v>
      </c>
      <c r="I7" s="71" t="s">
        <v>72</v>
      </c>
      <c r="J7" s="71"/>
      <c r="K7" s="66" t="s">
        <v>67</v>
      </c>
      <c r="O7" s="213"/>
    </row>
    <row r="8" spans="1:37" ht="18" x14ac:dyDescent="0.4">
      <c r="A8" s="125" t="s">
        <v>36</v>
      </c>
      <c r="B8" s="129"/>
      <c r="C8" s="129"/>
      <c r="D8" s="129"/>
      <c r="E8" s="130"/>
      <c r="G8" s="69" t="s">
        <v>68</v>
      </c>
      <c r="H8" s="70">
        <f>C15</f>
        <v>106</v>
      </c>
      <c r="I8" s="71" t="s">
        <v>69</v>
      </c>
      <c r="J8" s="71"/>
      <c r="K8" s="66" t="s">
        <v>71</v>
      </c>
    </row>
    <row r="9" spans="1:37" x14ac:dyDescent="0.35">
      <c r="A9" s="36" t="s">
        <v>37</v>
      </c>
      <c r="B9" s="38">
        <f>'S1'!B9+'S2'!B9+'S3'!B9+'S4'!B9+'S5'!B9+'S6'!B9+'S7'!B9+'S8'!B9+'S9'!B9+'S10'!B9+'S11'!B9+'S12'!B9</f>
        <v>186.25099999999998</v>
      </c>
      <c r="C9" s="38">
        <f>'S1'!C9+'S2'!C9+'S3'!C9+'S4'!C9+'S5'!C9+'S6'!C9+'S7'!C9+'S8'!C9+'S9'!C9+'S10'!C9+'S11'!C9+'S12'!C9</f>
        <v>217.22699999999995</v>
      </c>
      <c r="D9" s="38">
        <f>'S1'!D9+'S2'!D9+'S3'!D9+'S4'!D9+'S5'!D9+'S6'!D9+'S7'!D9+'S8'!D9+'S9'!D9+'S10'!D9+'S11'!D9+'S12'!D9</f>
        <v>205.19099999999997</v>
      </c>
      <c r="E9" s="38">
        <f>'S1'!E9+'S2'!E9+'S3'!E9+'S4'!E9+'S5'!E9+'S6'!E9+'S7'!E9+'S8'!E9+'S9'!E9+'S10'!E9+'S11'!E9+'S12'!E9</f>
        <v>183.34300000000002</v>
      </c>
      <c r="O9" s="132" t="s">
        <v>160</v>
      </c>
      <c r="T9" s="134"/>
    </row>
    <row r="10" spans="1:37" x14ac:dyDescent="0.35">
      <c r="A10" s="36" t="s">
        <v>38</v>
      </c>
      <c r="B10" s="38">
        <f>('1850'!O27-'1850'!C27)</f>
        <v>171.85999999999999</v>
      </c>
      <c r="C10" s="38">
        <f>('1851'!P27-'1851'!D27)</f>
        <v>232.75</v>
      </c>
      <c r="D10" s="38">
        <f>('1852'!O27-'1852'!C27)</f>
        <v>195.76999999999998</v>
      </c>
      <c r="E10" s="38">
        <f>('1853'!O28-'1853'!C28)</f>
        <v>184.45</v>
      </c>
      <c r="I10" s="24" t="s">
        <v>89</v>
      </c>
      <c r="N10" s="182"/>
      <c r="O10" s="198" t="s">
        <v>98</v>
      </c>
      <c r="P10" s="182"/>
      <c r="Q10" s="134"/>
      <c r="R10" s="200" t="s">
        <v>162</v>
      </c>
    </row>
    <row r="11" spans="1:37" ht="18.5" thickBot="1" x14ac:dyDescent="0.45">
      <c r="A11" s="125" t="s">
        <v>44</v>
      </c>
      <c r="B11" s="129"/>
      <c r="C11" s="129"/>
      <c r="D11" s="129"/>
      <c r="E11" s="130"/>
      <c r="I11" s="99" t="s">
        <v>92</v>
      </c>
      <c r="J11" s="100" t="s">
        <v>93</v>
      </c>
      <c r="K11" s="100" t="s">
        <v>94</v>
      </c>
      <c r="L11" s="100" t="s">
        <v>91</v>
      </c>
      <c r="M11" s="99"/>
      <c r="N11"/>
      <c r="O11" s="87" t="s">
        <v>82</v>
      </c>
      <c r="Q11" s="134"/>
      <c r="R11" s="99" t="s">
        <v>173</v>
      </c>
      <c r="AF11" s="33"/>
      <c r="AG11" s="33"/>
      <c r="AH11" s="33"/>
      <c r="AI11" s="33"/>
      <c r="AJ11" s="33"/>
      <c r="AK11" s="33"/>
    </row>
    <row r="12" spans="1:37" x14ac:dyDescent="0.35">
      <c r="A12" s="36" t="s">
        <v>40</v>
      </c>
      <c r="B12" s="101">
        <f>'1850'!O25-'1850'!E35+'1850'!E34-'1850'!C25</f>
        <v>2252</v>
      </c>
      <c r="C12" s="101">
        <f>'1851'!P24-'1851'!I58+'1851'!I57-'1851'!D24</f>
        <v>2248</v>
      </c>
      <c r="D12" s="101">
        <f>'1852'!O25-'1852'!H37+'1852'!H36-'1852'!C25</f>
        <v>2282</v>
      </c>
      <c r="E12" s="101">
        <f>'1853'!O24-'1853'!H37+'1853'!H36-'1853'!C24</f>
        <v>2133</v>
      </c>
      <c r="F12" s="40"/>
      <c r="H12" s="190" t="s">
        <v>146</v>
      </c>
      <c r="I12" s="184" t="s">
        <v>140</v>
      </c>
      <c r="J12" s="157">
        <v>0</v>
      </c>
      <c r="K12" s="232">
        <v>5.5259999999999998</v>
      </c>
      <c r="L12" s="157">
        <f t="shared" ref="L12:L17" si="0">K12-J12</f>
        <v>5.5259999999999998</v>
      </c>
      <c r="M12" s="158" t="s">
        <v>79</v>
      </c>
      <c r="N12" s="44"/>
      <c r="O12" s="95">
        <f t="shared" ref="O12:O28" si="1">L$30/L$29*L12</f>
        <v>6.6999439532409877</v>
      </c>
      <c r="P12" s="96" t="s">
        <v>79</v>
      </c>
      <c r="Q12" s="134"/>
      <c r="R12" s="100" t="s">
        <v>93</v>
      </c>
      <c r="S12" s="100" t="s">
        <v>94</v>
      </c>
      <c r="T12" s="100" t="s">
        <v>91</v>
      </c>
      <c r="AF12" s="33"/>
      <c r="AG12" s="33"/>
      <c r="AH12" s="33"/>
      <c r="AI12" s="33"/>
      <c r="AJ12" s="33"/>
      <c r="AK12" s="33"/>
    </row>
    <row r="13" spans="1:37" x14ac:dyDescent="0.35">
      <c r="B13" s="41"/>
      <c r="C13" s="41"/>
      <c r="D13" s="41"/>
      <c r="E13" s="41"/>
      <c r="F13" s="40"/>
      <c r="G13" s="40"/>
      <c r="H13" s="190" t="s">
        <v>147</v>
      </c>
      <c r="I13" s="185" t="s">
        <v>140</v>
      </c>
      <c r="J13" s="186">
        <v>0</v>
      </c>
      <c r="K13" s="186">
        <v>2.3450000000000002</v>
      </c>
      <c r="L13" s="204">
        <f t="shared" si="0"/>
        <v>2.3450000000000002</v>
      </c>
      <c r="M13" s="187" t="s">
        <v>79</v>
      </c>
      <c r="N13" s="44"/>
      <c r="O13" s="95">
        <f t="shared" si="1"/>
        <v>2.8431720177977051</v>
      </c>
      <c r="P13" s="96" t="s">
        <v>79</v>
      </c>
      <c r="Q13" s="134"/>
      <c r="R13" s="99">
        <v>51.387</v>
      </c>
      <c r="S13" s="99">
        <v>59.2</v>
      </c>
      <c r="T13" s="99">
        <f>S13-R13</f>
        <v>7.8130000000000024</v>
      </c>
      <c r="AF13" s="33"/>
      <c r="AG13" s="33"/>
      <c r="AH13" s="33"/>
      <c r="AI13" s="33"/>
      <c r="AJ13" s="33"/>
      <c r="AK13" s="33"/>
    </row>
    <row r="14" spans="1:37" x14ac:dyDescent="0.35">
      <c r="A14" s="33" t="s">
        <v>41</v>
      </c>
      <c r="B14" s="102">
        <f>'1853'!O25-'1853'!H40+'1853'!H39-'1853'!C25</f>
        <v>3550</v>
      </c>
      <c r="C14" s="41"/>
      <c r="D14" s="41"/>
      <c r="E14" s="41"/>
      <c r="F14" s="40"/>
      <c r="H14" s="190" t="s">
        <v>190</v>
      </c>
      <c r="I14" s="185" t="s">
        <v>191</v>
      </c>
      <c r="J14" s="186">
        <v>18.536000000000001</v>
      </c>
      <c r="K14" s="186">
        <v>24.312999999999999</v>
      </c>
      <c r="L14" s="186">
        <f t="shared" si="0"/>
        <v>5.7769999999999975</v>
      </c>
      <c r="M14" s="187" t="s">
        <v>79</v>
      </c>
      <c r="N14" s="44"/>
      <c r="O14" s="95">
        <f t="shared" si="1"/>
        <v>7.004266416553234</v>
      </c>
      <c r="P14" s="96" t="s">
        <v>79</v>
      </c>
      <c r="Q14" s="134"/>
      <c r="R14" s="99"/>
      <c r="S14" s="99"/>
      <c r="AF14" s="33"/>
      <c r="AG14" s="33"/>
      <c r="AH14" s="33"/>
      <c r="AI14" s="33"/>
      <c r="AJ14" s="33"/>
      <c r="AK14" s="33"/>
    </row>
    <row r="15" spans="1:37" x14ac:dyDescent="0.35">
      <c r="A15" s="33" t="s">
        <v>42</v>
      </c>
      <c r="B15" s="41">
        <f>'1853'!O26-'1853'!D26</f>
        <v>105.649</v>
      </c>
      <c r="C15" s="73">
        <f>ROUND(B15,0)</f>
        <v>106</v>
      </c>
      <c r="D15" s="41"/>
      <c r="E15" s="72" t="s">
        <v>145</v>
      </c>
      <c r="F15" s="72"/>
      <c r="G15" s="182"/>
      <c r="H15" s="190" t="s">
        <v>148</v>
      </c>
      <c r="I15" s="185" t="s">
        <v>102</v>
      </c>
      <c r="J15" s="186">
        <v>114.869</v>
      </c>
      <c r="K15" s="186">
        <v>125.621</v>
      </c>
      <c r="L15" s="186">
        <f t="shared" si="0"/>
        <v>10.751999999999995</v>
      </c>
      <c r="M15" s="187" t="s">
        <v>79</v>
      </c>
      <c r="N15" s="44"/>
      <c r="O15" s="95">
        <f t="shared" si="1"/>
        <v>13.036155878618725</v>
      </c>
      <c r="P15" s="96" t="s">
        <v>79</v>
      </c>
      <c r="Q15" s="134"/>
    </row>
    <row r="16" spans="1:37" x14ac:dyDescent="0.35">
      <c r="A16" s="202" t="s">
        <v>163</v>
      </c>
      <c r="B16" s="203">
        <f>C15-B15</f>
        <v>0.35099999999999909</v>
      </c>
      <c r="C16" s="41"/>
      <c r="D16" s="41"/>
      <c r="E16" s="41"/>
      <c r="F16" s="40"/>
      <c r="G16" s="40"/>
      <c r="H16" s="190" t="s">
        <v>149</v>
      </c>
      <c r="I16" s="185" t="s">
        <v>101</v>
      </c>
      <c r="J16" s="186">
        <v>56.878999999999998</v>
      </c>
      <c r="K16" s="186">
        <v>62.874000000000002</v>
      </c>
      <c r="L16" s="186">
        <f t="shared" si="0"/>
        <v>5.9950000000000045</v>
      </c>
      <c r="M16" s="187" t="s">
        <v>79</v>
      </c>
      <c r="N16" s="44"/>
      <c r="O16" s="95">
        <f t="shared" si="1"/>
        <v>7.2685783568005347</v>
      </c>
      <c r="P16" s="96" t="s">
        <v>79</v>
      </c>
      <c r="Q16" s="134"/>
      <c r="S16" s="44"/>
      <c r="T16" s="44"/>
      <c r="W16" s="135"/>
      <c r="X16" s="135"/>
      <c r="Y16" s="135"/>
      <c r="Z16" s="135"/>
    </row>
    <row r="17" spans="1:23" x14ac:dyDescent="0.35">
      <c r="B17" s="41"/>
      <c r="C17" s="41"/>
      <c r="D17" s="41"/>
      <c r="E17" s="41"/>
      <c r="H17" s="190" t="s">
        <v>150</v>
      </c>
      <c r="I17" s="185" t="s">
        <v>142</v>
      </c>
      <c r="J17" s="186">
        <v>26.152000000000001</v>
      </c>
      <c r="K17" s="186">
        <v>35.063000000000002</v>
      </c>
      <c r="L17" s="186">
        <f t="shared" si="0"/>
        <v>8.9110000000000014</v>
      </c>
      <c r="M17" s="187" t="s">
        <v>79</v>
      </c>
      <c r="N17" s="44"/>
      <c r="O17" s="95">
        <f t="shared" si="1"/>
        <v>10.80405366763128</v>
      </c>
      <c r="P17" s="96" t="s">
        <v>79</v>
      </c>
      <c r="Q17" s="134"/>
    </row>
    <row r="18" spans="1:23" ht="18" x14ac:dyDescent="0.4">
      <c r="A18" s="123" t="s">
        <v>31</v>
      </c>
      <c r="B18" s="131">
        <v>1854</v>
      </c>
      <c r="C18" s="131">
        <v>1855</v>
      </c>
      <c r="D18" s="131">
        <v>1856</v>
      </c>
      <c r="E18" s="131">
        <v>1857</v>
      </c>
      <c r="F18" s="62"/>
      <c r="H18" s="190" t="s">
        <v>151</v>
      </c>
      <c r="I18" s="185" t="s">
        <v>143</v>
      </c>
      <c r="J18" s="186">
        <v>9.3420000000000005</v>
      </c>
      <c r="K18" s="186">
        <v>11.037000000000001</v>
      </c>
      <c r="L18" s="186">
        <f>K18-J18</f>
        <v>1.6950000000000003</v>
      </c>
      <c r="M18" s="187" t="s">
        <v>79</v>
      </c>
      <c r="N18" s="44"/>
      <c r="O18" s="95">
        <f t="shared" si="1"/>
        <v>2.0550859574273392</v>
      </c>
      <c r="P18" s="96" t="s">
        <v>79</v>
      </c>
      <c r="Q18" s="135"/>
    </row>
    <row r="19" spans="1:23" x14ac:dyDescent="0.35">
      <c r="A19" s="36" t="s">
        <v>32</v>
      </c>
      <c r="B19" s="38">
        <f>'S1'!B19+'S2'!B19+'S3'!B19+'S4'!B19+'S5'!B19+'S6'!B19+'S7'!B19+'S8'!B19+'S9'!B19+'S10'!B19+'S11'!B19+'S12'!B19</f>
        <v>659.77500000000009</v>
      </c>
      <c r="C19" s="38">
        <f>'S1'!C19+'S2'!C19+'S3'!C19+'S4'!C19+'S5'!C19+'S6'!C19+'S7'!C19+'S8'!C19+'S9'!C19+'S10'!C19+'S11'!C19+'S12'!C19</f>
        <v>847.42200000000003</v>
      </c>
      <c r="D19" s="38">
        <f>'S1'!D19+'S2'!D19+'S3'!D19+'S4'!D19+'S5'!D19+'S6'!D19+'S7'!D19+'S8'!D19+'S9'!D19+'S10'!D19+'S11'!D19+'S12'!D19</f>
        <v>745.25400000000002</v>
      </c>
      <c r="E19" s="38">
        <f>'S1'!E19+'S2'!E19+'S3'!E19+'S4'!E19+'S5'!E19+'S6'!E19+'S7'!E19+'S8'!E19+'S9'!E19+'S10'!E19+'S11'!E19+'S12'!E19</f>
        <v>854.43200000000002</v>
      </c>
      <c r="H19" s="190" t="s">
        <v>152</v>
      </c>
      <c r="I19" s="185" t="s">
        <v>144</v>
      </c>
      <c r="J19" s="186">
        <v>5.6859999999999999</v>
      </c>
      <c r="K19" s="186">
        <v>5.7119999999999997</v>
      </c>
      <c r="L19" s="186">
        <f>K19-J19</f>
        <v>2.5999999999999801E-2</v>
      </c>
      <c r="M19" s="187" t="s">
        <v>79</v>
      </c>
      <c r="N19" s="44"/>
      <c r="O19" s="95">
        <f t="shared" si="1"/>
        <v>3.1523442414814397E-2</v>
      </c>
      <c r="P19" s="96" t="s">
        <v>79</v>
      </c>
      <c r="Q19" s="135"/>
    </row>
    <row r="20" spans="1:23" x14ac:dyDescent="0.35">
      <c r="A20" s="36" t="s">
        <v>33</v>
      </c>
      <c r="B20" s="37">
        <f>'1854'!O26-'1854'!C26</f>
        <v>717.40000000000009</v>
      </c>
      <c r="C20" s="37">
        <f>'1855'!O26-'1855'!C26</f>
        <v>901.5</v>
      </c>
      <c r="D20" s="37">
        <f>'1856'!O26-'1856'!C26</f>
        <v>822.69999999999993</v>
      </c>
      <c r="E20" s="37">
        <f>'1857'!O26-'1857'!C26</f>
        <v>948.30000000000007</v>
      </c>
      <c r="H20" s="190" t="s">
        <v>153</v>
      </c>
      <c r="I20" s="185" t="s">
        <v>141</v>
      </c>
      <c r="J20" s="186">
        <v>21.635000000000002</v>
      </c>
      <c r="K20" s="186">
        <v>22.504999999999999</v>
      </c>
      <c r="L20" s="186">
        <f t="shared" ref="L20:L27" si="2">K20-J20</f>
        <v>0.86999999999999744</v>
      </c>
      <c r="M20" s="187" t="s">
        <v>79</v>
      </c>
      <c r="N20" s="44"/>
      <c r="O20" s="95">
        <f t="shared" si="1"/>
        <v>1.0548228808034099</v>
      </c>
      <c r="P20" s="96" t="s">
        <v>79</v>
      </c>
      <c r="Q20" s="135"/>
    </row>
    <row r="21" spans="1:23" x14ac:dyDescent="0.35">
      <c r="A21" s="36" t="s">
        <v>34</v>
      </c>
      <c r="B21" s="335">
        <f>SUM(B20:E20)</f>
        <v>3389.9</v>
      </c>
      <c r="C21" s="336"/>
      <c r="D21" s="336"/>
      <c r="E21" s="337"/>
      <c r="F21" s="67"/>
      <c r="H21" s="190" t="s">
        <v>154</v>
      </c>
      <c r="I21" s="185" t="s">
        <v>84</v>
      </c>
      <c r="J21" s="186">
        <v>371.77199999999999</v>
      </c>
      <c r="K21" s="186">
        <v>383.55</v>
      </c>
      <c r="L21" s="186">
        <f t="shared" si="2"/>
        <v>11.77800000000002</v>
      </c>
      <c r="M21" s="187" t="s">
        <v>79</v>
      </c>
      <c r="N21" s="44"/>
      <c r="O21" s="95">
        <f t="shared" si="1"/>
        <v>14.280119413911056</v>
      </c>
      <c r="P21" s="96" t="s">
        <v>79</v>
      </c>
      <c r="Q21" s="99"/>
    </row>
    <row r="22" spans="1:23" x14ac:dyDescent="0.35">
      <c r="A22" s="36" t="s">
        <v>35</v>
      </c>
      <c r="B22" s="335">
        <f>'1854'!O29-'1854'!N35+'1854'!N33-'1854'!C29</f>
        <v>3086</v>
      </c>
      <c r="C22" s="336"/>
      <c r="D22" s="336"/>
      <c r="E22" s="337"/>
      <c r="F22" s="67"/>
      <c r="H22" s="190" t="s">
        <v>155</v>
      </c>
      <c r="I22" s="188" t="s">
        <v>103</v>
      </c>
      <c r="J22" s="186">
        <v>23.369</v>
      </c>
      <c r="K22" s="186">
        <v>31.507999999999999</v>
      </c>
      <c r="L22" s="186">
        <f t="shared" si="2"/>
        <v>8.1389999999999993</v>
      </c>
      <c r="M22" s="187" t="s">
        <v>79</v>
      </c>
      <c r="N22" s="44"/>
      <c r="O22" s="95">
        <f t="shared" si="1"/>
        <v>9.8680499159298591</v>
      </c>
      <c r="P22" s="96" t="s">
        <v>79</v>
      </c>
      <c r="Q22" s="99"/>
    </row>
    <row r="23" spans="1:23" ht="18" x14ac:dyDescent="0.4">
      <c r="A23" s="125" t="s">
        <v>36</v>
      </c>
      <c r="B23" s="129"/>
      <c r="C23" s="129"/>
      <c r="D23" s="129"/>
      <c r="E23" s="130"/>
      <c r="H23" s="190" t="s">
        <v>156</v>
      </c>
      <c r="I23" s="185" t="s">
        <v>85</v>
      </c>
      <c r="J23" s="186">
        <v>69.135999999999996</v>
      </c>
      <c r="K23" s="186">
        <v>78.555999999999997</v>
      </c>
      <c r="L23" s="186">
        <f t="shared" si="2"/>
        <v>9.4200000000000017</v>
      </c>
      <c r="M23" s="187" t="s">
        <v>79</v>
      </c>
      <c r="N23" s="44"/>
      <c r="O23" s="95">
        <f t="shared" si="1"/>
        <v>11.421185674905921</v>
      </c>
      <c r="P23" s="96" t="s">
        <v>79</v>
      </c>
      <c r="Q23" s="99"/>
    </row>
    <row r="24" spans="1:23" x14ac:dyDescent="0.35">
      <c r="A24" s="36" t="s">
        <v>37</v>
      </c>
      <c r="B24" s="38">
        <f>'S1'!B24+'S2'!B24+'S3'!B24+'S4'!B24+'S5'!B24+'S6'!B24+'S7'!B24+'S8'!B24+'S9'!B24+'S10'!B24+'S11'!B24+'S12'!B24</f>
        <v>197.86500000000001</v>
      </c>
      <c r="C24" s="38">
        <f>'S1'!C24+'S2'!C24+'S3'!C24+'S4'!C24+'S5'!C24+'S6'!C24+'S7'!C24+'S8'!C24+'S9'!C24+'S10'!C24+'S11'!C24+'S12'!C24</f>
        <v>195.291</v>
      </c>
      <c r="D24" s="38">
        <f>'S1'!D24+'S2'!D24+'S3'!D24+'S4'!D24+'S5'!D24+'S6'!D24+'S7'!D24+'S8'!D24+'S9'!D24+'S10'!D24+'S11'!D24+'S12'!D24</f>
        <v>173.61100000000002</v>
      </c>
      <c r="E24" s="38">
        <f>'S1'!E24+'S2'!E24+'S3'!E24+'S4'!E24+'S5'!E24+'S6'!E24+'S7'!E24+'S8'!E24+'S9'!E24+'S10'!E24+'S11'!E24+'S12'!E24</f>
        <v>192.74500000000003</v>
      </c>
      <c r="H24" s="190" t="s">
        <v>174</v>
      </c>
      <c r="I24" s="185" t="s">
        <v>175</v>
      </c>
      <c r="J24" s="186">
        <v>0</v>
      </c>
      <c r="K24" s="186">
        <v>0</v>
      </c>
      <c r="L24" s="189">
        <f t="shared" si="2"/>
        <v>0</v>
      </c>
      <c r="M24" s="187" t="s">
        <v>79</v>
      </c>
      <c r="N24" s="44"/>
      <c r="O24" s="95">
        <f t="shared" si="1"/>
        <v>0</v>
      </c>
      <c r="P24" s="96" t="s">
        <v>79</v>
      </c>
      <c r="Q24" s="99"/>
      <c r="R24" s="200" t="s">
        <v>162</v>
      </c>
    </row>
    <row r="25" spans="1:23" x14ac:dyDescent="0.35">
      <c r="A25" s="36" t="s">
        <v>38</v>
      </c>
      <c r="B25" s="38">
        <f>('1854'!O27-'1854'!C27)</f>
        <v>215.52999999999997</v>
      </c>
      <c r="C25" s="38">
        <f>('1855'!O27-'1855'!C27)</f>
        <v>211.50000000000011</v>
      </c>
      <c r="D25" s="38">
        <f>('1856'!O27-'1856'!C27)</f>
        <v>180.13000000000011</v>
      </c>
      <c r="E25" s="38">
        <f>('1857'!O27-'1857'!C27)</f>
        <v>200.31999999999994</v>
      </c>
      <c r="H25" s="190" t="s">
        <v>157</v>
      </c>
      <c r="I25" s="188" t="s">
        <v>99</v>
      </c>
      <c r="J25" s="186">
        <v>0</v>
      </c>
      <c r="K25" s="186">
        <v>6</v>
      </c>
      <c r="L25" s="186">
        <f t="shared" si="2"/>
        <v>6</v>
      </c>
      <c r="M25" s="187" t="s">
        <v>79</v>
      </c>
      <c r="N25" s="44"/>
      <c r="O25" s="95">
        <f t="shared" si="1"/>
        <v>7.2746405572649167</v>
      </c>
      <c r="P25" s="96" t="s">
        <v>79</v>
      </c>
      <c r="Q25" s="99"/>
      <c r="R25" s="99" t="s">
        <v>161</v>
      </c>
    </row>
    <row r="26" spans="1:23" ht="18" x14ac:dyDescent="0.4">
      <c r="A26" s="125" t="s">
        <v>44</v>
      </c>
      <c r="B26" s="129"/>
      <c r="C26" s="129"/>
      <c r="D26" s="129"/>
      <c r="E26" s="130"/>
      <c r="H26" s="190" t="s">
        <v>158</v>
      </c>
      <c r="I26" s="188" t="s">
        <v>100</v>
      </c>
      <c r="J26" s="186">
        <v>0</v>
      </c>
      <c r="K26" s="186">
        <v>4</v>
      </c>
      <c r="L26" s="186">
        <f t="shared" si="2"/>
        <v>4</v>
      </c>
      <c r="M26" s="187" t="s">
        <v>79</v>
      </c>
      <c r="N26" s="44"/>
      <c r="O26" s="95">
        <f t="shared" si="1"/>
        <v>4.8497603715099444</v>
      </c>
      <c r="P26" s="96" t="s">
        <v>79</v>
      </c>
      <c r="Q26" s="99"/>
      <c r="R26" s="100" t="s">
        <v>93</v>
      </c>
      <c r="S26" s="100" t="s">
        <v>94</v>
      </c>
      <c r="T26" s="100" t="s">
        <v>91</v>
      </c>
      <c r="U26" s="199"/>
    </row>
    <row r="27" spans="1:23" ht="18" thickBot="1" x14ac:dyDescent="0.4">
      <c r="A27" s="36" t="s">
        <v>40</v>
      </c>
      <c r="B27" s="101">
        <f>'1854'!O25-'1854'!G44+'1854'!G43-'1854'!C25</f>
        <v>2421</v>
      </c>
      <c r="C27" s="101">
        <f>'1855'!O25-'1855'!G39+'1855'!G38-'1855'!C25</f>
        <v>2944</v>
      </c>
      <c r="D27" s="101">
        <f>'1856'!O25-'1856'!G41+'1856'!G40-'1856'!C25</f>
        <v>2225</v>
      </c>
      <c r="E27" s="101">
        <f>'1857'!O25-'1857'!G42+'1857'!G41-'1857'!C25</f>
        <v>2761</v>
      </c>
      <c r="F27" s="40"/>
      <c r="H27" s="193" t="s">
        <v>159</v>
      </c>
      <c r="I27" s="194" t="s">
        <v>83</v>
      </c>
      <c r="J27" s="195">
        <v>0</v>
      </c>
      <c r="K27" s="195">
        <v>4.6639999999999997</v>
      </c>
      <c r="L27" s="195">
        <f t="shared" si="2"/>
        <v>4.6639999999999997</v>
      </c>
      <c r="M27" s="196" t="s">
        <v>79</v>
      </c>
      <c r="N27" s="44"/>
      <c r="O27" s="197">
        <f t="shared" si="1"/>
        <v>5.6548205931805953</v>
      </c>
      <c r="P27" s="96" t="s">
        <v>79</v>
      </c>
      <c r="Q27" s="99"/>
      <c r="R27" s="99">
        <v>138.16300000000001</v>
      </c>
      <c r="S27" s="99">
        <v>152.827</v>
      </c>
      <c r="T27" s="99">
        <f>S27-R27</f>
        <v>14.663999999999987</v>
      </c>
    </row>
    <row r="28" spans="1:23" ht="18" thickBot="1" x14ac:dyDescent="0.4">
      <c r="H28" s="190" t="s">
        <v>86</v>
      </c>
      <c r="I28" s="183"/>
      <c r="J28" s="191">
        <v>17.943000000000001</v>
      </c>
      <c r="K28" s="191">
        <v>19.472000000000001</v>
      </c>
      <c r="L28" s="191">
        <f>K28-J28</f>
        <v>1.5289999999999999</v>
      </c>
      <c r="M28" s="192" t="s">
        <v>79</v>
      </c>
      <c r="N28" s="44"/>
      <c r="O28" s="95">
        <f t="shared" si="1"/>
        <v>1.8538209020096761</v>
      </c>
      <c r="P28" s="96" t="s">
        <v>79</v>
      </c>
      <c r="Q28" s="99"/>
      <c r="R28" s="99"/>
      <c r="S28" s="99"/>
    </row>
    <row r="29" spans="1:23" x14ac:dyDescent="0.35">
      <c r="I29" s="88" t="s">
        <v>90</v>
      </c>
      <c r="J29" s="88"/>
      <c r="K29" s="88"/>
      <c r="L29" s="88">
        <f>SUM(L12:L28)</f>
        <v>87.427000000000021</v>
      </c>
      <c r="M29" s="89" t="s">
        <v>79</v>
      </c>
      <c r="N29" s="88"/>
      <c r="O29" s="88"/>
      <c r="P29" s="40"/>
      <c r="Q29" s="99"/>
      <c r="R29" s="99"/>
      <c r="S29" s="99"/>
    </row>
    <row r="30" spans="1:23" x14ac:dyDescent="0.35">
      <c r="I30" s="90" t="s">
        <v>87</v>
      </c>
      <c r="J30" s="90"/>
      <c r="K30" s="90"/>
      <c r="L30" s="91">
        <f>C15</f>
        <v>106</v>
      </c>
      <c r="M30" s="92" t="s">
        <v>79</v>
      </c>
      <c r="N30"/>
      <c r="O30" s="94">
        <f>SUM(O12:O28)</f>
        <v>105.99999999999999</v>
      </c>
      <c r="P30" s="40"/>
      <c r="Q30" s="99"/>
      <c r="R30" s="200"/>
      <c r="S30" s="99"/>
      <c r="V30" s="100"/>
      <c r="W30" s="100"/>
    </row>
    <row r="31" spans="1:23" x14ac:dyDescent="0.35">
      <c r="I31"/>
      <c r="J31"/>
      <c r="K31" t="s">
        <v>88</v>
      </c>
      <c r="L31" s="9">
        <f>L30-L29</f>
        <v>18.572999999999979</v>
      </c>
      <c r="M31" s="93" t="s">
        <v>79</v>
      </c>
      <c r="N31"/>
      <c r="O31"/>
      <c r="Q31" s="99"/>
      <c r="R31" s="229"/>
      <c r="S31" s="230"/>
    </row>
    <row r="32" spans="1:23" x14ac:dyDescent="0.35">
      <c r="J32"/>
      <c r="K32"/>
      <c r="L32" s="233"/>
      <c r="M32" s="100"/>
      <c r="Q32" s="99"/>
      <c r="R32" s="99"/>
      <c r="S32" s="99"/>
    </row>
    <row r="33" spans="19:19" x14ac:dyDescent="0.35">
      <c r="S33" s="99"/>
    </row>
  </sheetData>
  <sheetProtection selectLockedCells="1" selectUnlockedCells="1"/>
  <mergeCells count="4">
    <mergeCell ref="B22:E22"/>
    <mergeCell ref="B6:E6"/>
    <mergeCell ref="B7:E7"/>
    <mergeCell ref="B21:E21"/>
  </mergeCells>
  <conditionalFormatting sqref="G1:U2 C1:F5 B1:B1048576 G4:G8 C8:F20 J12:K12 M12:M14 I12:I21 G13 K13 K15:K17 J15:J19 S16:T16 G16:G17 M17 K18:L19 Q19:Q21 J21:L21 C23:F65536 I24:M24 N24:N30 P27:P31 I28:M30 G28:G65536 H29:H65538 R30:R32 Q32 S33 T33:T65539 U34:U65538 I34:J65539 K35:K65539 Q35:Q65544 R36:S65544 L36:P65546 Q37:R65545 S38:S65545">
    <cfRule type="cellIs" dxfId="9" priority="11" stopIfTrue="1" operator="lessThan">
      <formula>0</formula>
    </cfRule>
  </conditionalFormatting>
  <conditionalFormatting sqref="T31">
    <cfRule type="cellIs" dxfId="8" priority="2" stopIfTrue="1" operator="lessThan">
      <formula>0</formula>
    </cfRule>
  </conditionalFormatting>
  <pageMargins left="0.37" right="0.28000000000000003" top="0.78740157480314965" bottom="0.78740157480314965" header="0.53" footer="0.51181102362204722"/>
  <pageSetup paperSize="9" scale="77" firstPageNumber="0" orientation="landscape" horizontalDpi="300" verticalDpi="300" r:id="rId1"/>
  <headerFooter alignWithMargins="0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7"/>
  <sheetViews>
    <sheetView workbookViewId="0">
      <selection activeCell="E12" sqref="E12"/>
    </sheetView>
  </sheetViews>
  <sheetFormatPr defaultColWidth="9" defaultRowHeight="17.5" x14ac:dyDescent="0.35"/>
  <cols>
    <col min="1" max="1" width="36.26953125" style="33" customWidth="1"/>
    <col min="2" max="5" width="13.1796875" style="33" customWidth="1"/>
    <col min="6" max="6" width="11" style="33" customWidth="1"/>
    <col min="7" max="10" width="11.453125" style="33" customWidth="1"/>
    <col min="11" max="11" width="16" style="33" customWidth="1"/>
    <col min="12" max="15" width="6.453125" style="33" customWidth="1"/>
    <col min="16" max="16384" width="9" style="33"/>
  </cols>
  <sheetData>
    <row r="1" spans="1:11" ht="18" x14ac:dyDescent="0.4">
      <c r="A1" s="34" t="s">
        <v>63</v>
      </c>
      <c r="B1" s="35">
        <f>'S1'!B1</f>
        <v>2025</v>
      </c>
      <c r="C1" s="35"/>
      <c r="D1" s="35"/>
      <c r="E1" s="35"/>
      <c r="F1" s="35"/>
    </row>
    <row r="2" spans="1:11" x14ac:dyDescent="0.35">
      <c r="K2" s="67"/>
    </row>
    <row r="3" spans="1:11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  <c r="F3" s="62"/>
      <c r="K3" s="218"/>
    </row>
    <row r="4" spans="1:11" x14ac:dyDescent="0.35">
      <c r="A4" s="42" t="s">
        <v>32</v>
      </c>
      <c r="B4" s="38">
        <f>'S1'!B4+'S2'!B4+'S3'!B4+'S4'!B4+'S5'!B4+'S6'!B4+'S7'!B4+'S8'!B4+'S9'!B4+'S10'!B4+'S11'!B4+'S12'!B4</f>
        <v>840.42699999999991</v>
      </c>
      <c r="C4" s="38">
        <f>'S1'!C4+'S2'!C4+'S3'!C4+'S4'!C4+'S5'!C4+'S6'!C4+'S7'!C4+'S8'!C4+'S9'!C4+'S10'!C4+'S11'!C4+'S12'!C4</f>
        <v>952.79000000000008</v>
      </c>
      <c r="D4" s="38">
        <f>'S1'!D4+'S2'!D4+'S3'!D4+'S4'!D4+'S5'!D4+'S6'!D4+'S7'!D4+'S8'!D4+'S9'!D4+'S10'!D4+'S11'!D4+'S12'!D4</f>
        <v>904.58300000000008</v>
      </c>
      <c r="E4" s="38">
        <f>'S1'!E4+'S2'!E4+'S3'!E4+'S4'!E4+'S5'!E4+'S6'!E4+'S7'!E4+'S8'!E4+'S9'!E4+'S10'!E4+'S11'!E4+'S12'!E4</f>
        <v>965.97100000000023</v>
      </c>
      <c r="G4" s="133">
        <f>1-B4/B5</f>
        <v>8.4003269754768461E-2</v>
      </c>
      <c r="H4" s="133">
        <f>1-C4/C5</f>
        <v>8.2797458606083785E-2</v>
      </c>
      <c r="I4" s="133">
        <f>1-D4/D5</f>
        <v>8.9773596297041514E-2</v>
      </c>
      <c r="J4" s="133">
        <f>1-E4/E5</f>
        <v>0.10756559497413121</v>
      </c>
      <c r="K4" s="219"/>
    </row>
    <row r="5" spans="1:11" x14ac:dyDescent="0.35">
      <c r="A5" s="42" t="s">
        <v>33</v>
      </c>
      <c r="B5" s="37">
        <f>'S 2025'!B5</f>
        <v>917.5</v>
      </c>
      <c r="C5" s="37">
        <f>'S 2025'!C5</f>
        <v>1038.8</v>
      </c>
      <c r="D5" s="37">
        <f>'S 2025'!D5</f>
        <v>993.8</v>
      </c>
      <c r="E5" s="103">
        <f>'S 2025'!E5</f>
        <v>1082.3999999999999</v>
      </c>
    </row>
    <row r="6" spans="1:11" x14ac:dyDescent="0.35">
      <c r="A6" s="42" t="s">
        <v>34</v>
      </c>
      <c r="B6" s="335">
        <f>SUM(B5:E5)</f>
        <v>4032.5</v>
      </c>
      <c r="C6" s="336"/>
      <c r="D6" s="336"/>
      <c r="E6" s="337"/>
      <c r="F6" s="67"/>
      <c r="G6" s="133">
        <f>1-B6/B7</f>
        <v>0.89204347709688647</v>
      </c>
    </row>
    <row r="7" spans="1:11" x14ac:dyDescent="0.35">
      <c r="A7" s="42" t="s">
        <v>35</v>
      </c>
      <c r="B7" s="338">
        <f>'1850'!O29-'1850'!C29</f>
        <v>37353</v>
      </c>
      <c r="C7" s="339"/>
      <c r="D7" s="339"/>
      <c r="E7" s="340"/>
      <c r="F7" s="67"/>
    </row>
    <row r="8" spans="1:11" ht="18" x14ac:dyDescent="0.4">
      <c r="A8" s="125" t="s">
        <v>36</v>
      </c>
      <c r="B8" s="129"/>
      <c r="C8" s="129"/>
      <c r="D8" s="129"/>
      <c r="E8" s="130"/>
    </row>
    <row r="9" spans="1:11" x14ac:dyDescent="0.35">
      <c r="A9" s="36" t="s">
        <v>37</v>
      </c>
      <c r="B9" s="38">
        <f>'S1'!B9+'S2'!B9+'S3'!B9+'S4'!B9+'S5'!B9+'S6'!B9+'S7'!B9+'S8'!B9+'S9'!B9+'S10'!B9+'S11'!B9+'S12'!B9</f>
        <v>186.25099999999998</v>
      </c>
      <c r="C9" s="38">
        <f>'S1'!C9+'S2'!C9+'S3'!C9+'S4'!C9+'S5'!C9+'S6'!C9+'S7'!C9+'S8'!C9+'S9'!C9+'S10'!C9+'S11'!C9+'S12'!C9</f>
        <v>217.22699999999995</v>
      </c>
      <c r="D9" s="38">
        <f>'S1'!D9+'S2'!D9+'S3'!D9+'S4'!D9+'S5'!D9+'S6'!D9+'S7'!D9+'S8'!D9+'S9'!D9+'S10'!D9+'S11'!D9+'S12'!D9</f>
        <v>205.19099999999997</v>
      </c>
      <c r="E9" s="38">
        <f>'S1'!E9+'S2'!E9+'S3'!E9+'S4'!E9+'S5'!E9+'S6'!E9+'S7'!E9+'S8'!E9+'S9'!E9+'S10'!E9+'S11'!E9+'S12'!E9</f>
        <v>183.34300000000002</v>
      </c>
      <c r="G9" s="133">
        <f>1-B9/B10</f>
        <v>-8.3736762481089189E-2</v>
      </c>
      <c r="H9" s="133">
        <f>1-C9/C10</f>
        <v>6.6693877551020631E-2</v>
      </c>
      <c r="I9" s="133">
        <f>1-D9/D10</f>
        <v>-4.8122797159932507E-2</v>
      </c>
      <c r="J9" s="133">
        <f>1-E9/E10</f>
        <v>6.0016264570342814E-3</v>
      </c>
    </row>
    <row r="10" spans="1:11" x14ac:dyDescent="0.35">
      <c r="A10" s="36" t="s">
        <v>38</v>
      </c>
      <c r="B10" s="38">
        <f>'S 2025'!B10</f>
        <v>171.85999999999999</v>
      </c>
      <c r="C10" s="38">
        <f>'S 2025'!C10</f>
        <v>232.75</v>
      </c>
      <c r="D10" s="38">
        <f>'S 2025'!D10</f>
        <v>195.76999999999998</v>
      </c>
      <c r="E10" s="38">
        <f>'S 2025'!E10</f>
        <v>184.45</v>
      </c>
    </row>
    <row r="11" spans="1:11" ht="18" x14ac:dyDescent="0.4">
      <c r="A11" s="125" t="s">
        <v>44</v>
      </c>
      <c r="B11" s="129"/>
      <c r="C11" s="129"/>
      <c r="D11" s="129"/>
      <c r="E11" s="130"/>
    </row>
    <row r="12" spans="1:11" x14ac:dyDescent="0.35">
      <c r="A12" s="36" t="s">
        <v>40</v>
      </c>
      <c r="B12" s="101">
        <f>'S 2025'!B12</f>
        <v>2252</v>
      </c>
      <c r="C12" s="101">
        <f>'S 2025'!C12</f>
        <v>2248</v>
      </c>
      <c r="D12" s="101">
        <f>'S 2025'!D12</f>
        <v>2282</v>
      </c>
      <c r="E12" s="101">
        <f>'S 2025'!E12</f>
        <v>2133</v>
      </c>
      <c r="F12" s="40"/>
    </row>
    <row r="13" spans="1:11" x14ac:dyDescent="0.35">
      <c r="B13" s="41"/>
      <c r="C13" s="41"/>
      <c r="D13" s="41"/>
      <c r="E13" s="41"/>
      <c r="F13" s="40"/>
      <c r="G13" s="40"/>
      <c r="H13" s="40"/>
      <c r="I13" s="40"/>
      <c r="J13" s="40"/>
    </row>
    <row r="14" spans="1:11" x14ac:dyDescent="0.35">
      <c r="A14" s="33" t="s">
        <v>41</v>
      </c>
      <c r="B14" s="102">
        <f>'1853'!O25-'1853'!H40+'1853'!H39-'1853'!C25</f>
        <v>3550</v>
      </c>
      <c r="C14" s="41"/>
      <c r="D14" s="41"/>
      <c r="E14" s="41"/>
      <c r="F14" s="40"/>
      <c r="G14" s="40"/>
      <c r="H14" s="40"/>
      <c r="I14" s="40"/>
      <c r="J14" s="40"/>
    </row>
    <row r="15" spans="1:11" x14ac:dyDescent="0.35">
      <c r="A15" s="33" t="s">
        <v>42</v>
      </c>
      <c r="B15" s="41">
        <f>'1853'!O26-'1853'!D26</f>
        <v>105.649</v>
      </c>
      <c r="C15" s="73">
        <f>'S 2025'!C15</f>
        <v>106</v>
      </c>
      <c r="D15" s="41"/>
      <c r="E15" s="41"/>
      <c r="F15" s="41"/>
      <c r="G15" s="40"/>
      <c r="H15" s="40"/>
      <c r="I15" s="40"/>
      <c r="J15" s="40"/>
    </row>
    <row r="16" spans="1:11" x14ac:dyDescent="0.35">
      <c r="B16" s="41"/>
      <c r="C16" s="41"/>
      <c r="D16" s="41"/>
      <c r="E16" s="41"/>
      <c r="F16" s="40"/>
      <c r="G16" s="40"/>
      <c r="H16" s="40"/>
      <c r="I16" s="40"/>
      <c r="J16" s="40"/>
      <c r="K16" s="40"/>
    </row>
    <row r="17" spans="1:10" x14ac:dyDescent="0.35">
      <c r="B17" s="41"/>
      <c r="C17" s="41"/>
      <c r="D17" s="41"/>
      <c r="E17" s="41"/>
    </row>
    <row r="18" spans="1:10" ht="18" x14ac:dyDescent="0.4">
      <c r="A18" s="123" t="s">
        <v>31</v>
      </c>
      <c r="B18" s="131">
        <v>1854</v>
      </c>
      <c r="C18" s="131">
        <v>1855</v>
      </c>
      <c r="D18" s="131">
        <v>1856</v>
      </c>
      <c r="E18" s="131">
        <v>1857</v>
      </c>
      <c r="F18" s="62"/>
    </row>
    <row r="19" spans="1:10" x14ac:dyDescent="0.35">
      <c r="A19" s="36" t="s">
        <v>32</v>
      </c>
      <c r="B19" s="38">
        <f>'S1'!B19+'S2'!B19+'S3'!B19+'S4'!B19+'S5'!B19+'S6'!B19+'S7'!B19+'S8'!B19+'S9'!B19+'S10'!B19+'S11'!B19+'S12'!B19</f>
        <v>659.77500000000009</v>
      </c>
      <c r="C19" s="38">
        <f>'S1'!C19+'S2'!C19+'S3'!C19+'S4'!C19+'S5'!C19+'S6'!C19+'S7'!C19+'S8'!C19+'S9'!C19+'S10'!C19+'S11'!C19+'S12'!C19</f>
        <v>847.42200000000003</v>
      </c>
      <c r="D19" s="38">
        <f>'S1'!D19+'S2'!D19+'S3'!D19+'S4'!D19+'S5'!D19+'S6'!D19+'S7'!D19+'S8'!D19+'S9'!D19+'S10'!D19+'S11'!D19+'S12'!D19</f>
        <v>745.25400000000002</v>
      </c>
      <c r="E19" s="38">
        <f>'S1'!E19+'S2'!E19+'S3'!E19+'S4'!E19+'S5'!E19+'S6'!E19+'S7'!E19+'S8'!E19+'S9'!E19+'S10'!E19+'S11'!E19+'S12'!E19</f>
        <v>854.43200000000002</v>
      </c>
      <c r="G19" s="133">
        <f>1-B19/B20</f>
        <v>8.0324783942012812E-2</v>
      </c>
      <c r="H19" s="133">
        <f>1-C19/C20</f>
        <v>5.9986688851913494E-2</v>
      </c>
      <c r="I19" s="133">
        <f>1-D19/D20</f>
        <v>9.4136380211498616E-2</v>
      </c>
      <c r="J19" s="133">
        <f>1-E19/E20</f>
        <v>9.8985553095012224E-2</v>
      </c>
    </row>
    <row r="20" spans="1:10" x14ac:dyDescent="0.35">
      <c r="A20" s="36" t="s">
        <v>33</v>
      </c>
      <c r="B20" s="37">
        <f>'S 2025'!B20</f>
        <v>717.40000000000009</v>
      </c>
      <c r="C20" s="37">
        <f>'S 2025'!C20</f>
        <v>901.5</v>
      </c>
      <c r="D20" s="37">
        <f>'S 2025'!D20</f>
        <v>822.69999999999993</v>
      </c>
      <c r="E20" s="37">
        <f>'S 2025'!E20</f>
        <v>948.30000000000007</v>
      </c>
    </row>
    <row r="21" spans="1:10" x14ac:dyDescent="0.35">
      <c r="A21" s="36" t="s">
        <v>34</v>
      </c>
      <c r="B21" s="335">
        <f>SUM(B20:E20)</f>
        <v>3389.9</v>
      </c>
      <c r="C21" s="336"/>
      <c r="D21" s="336"/>
      <c r="E21" s="337"/>
      <c r="F21" s="67"/>
      <c r="G21" s="133">
        <f>1-B21/B22</f>
        <v>-9.8476992871030511E-2</v>
      </c>
    </row>
    <row r="22" spans="1:10" x14ac:dyDescent="0.35">
      <c r="A22" s="36" t="s">
        <v>35</v>
      </c>
      <c r="B22" s="335">
        <f>'1854'!O29-'1854'!N35+'1854'!N33-'1854'!C29</f>
        <v>3086</v>
      </c>
      <c r="C22" s="336"/>
      <c r="D22" s="336"/>
      <c r="E22" s="337"/>
      <c r="F22" s="67"/>
    </row>
    <row r="23" spans="1:10" ht="18" x14ac:dyDescent="0.4">
      <c r="A23" s="125" t="s">
        <v>36</v>
      </c>
      <c r="B23" s="129"/>
      <c r="C23" s="129"/>
      <c r="D23" s="129"/>
      <c r="E23" s="130"/>
    </row>
    <row r="24" spans="1:10" x14ac:dyDescent="0.35">
      <c r="A24" s="36" t="s">
        <v>37</v>
      </c>
      <c r="B24" s="38">
        <f>'S1'!B24+'S2'!B24+'S3'!B24+'S4'!B24+'S5'!B24+'S6'!B24+'S7'!B24+'S8'!B24+'S9'!B24+'S10'!B24+'S11'!B24+'S12'!B24</f>
        <v>197.86500000000001</v>
      </c>
      <c r="C24" s="38">
        <f>'S1'!C24+'S2'!C24+'S3'!C24+'S4'!C24+'S5'!C24+'S6'!C24+'S7'!C24+'S8'!C24+'S9'!C24+'S10'!C24+'S11'!C24+'S12'!C24</f>
        <v>195.291</v>
      </c>
      <c r="D24" s="38">
        <f>'S1'!D24+'S2'!D24+'S3'!D24+'S4'!D24+'S5'!D24+'S6'!D24+'S7'!D24+'S8'!D24+'S9'!D24+'S10'!D24+'S11'!D24+'S12'!D24</f>
        <v>173.61100000000002</v>
      </c>
      <c r="E24" s="38">
        <f>'S1'!E24+'S2'!E24+'S3'!E24+'S4'!E24+'S5'!E24+'S6'!E24+'S7'!E24+'S8'!E24+'S9'!E24+'S10'!E24+'S11'!E24+'S12'!E24</f>
        <v>192.74500000000003</v>
      </c>
      <c r="G24" s="133">
        <f>1-B24/B25</f>
        <v>8.1960747923722765E-2</v>
      </c>
      <c r="H24" s="133">
        <f>1-C24/C25</f>
        <v>7.6638297872340888E-2</v>
      </c>
      <c r="I24" s="133">
        <f>1-D24/D25</f>
        <v>3.6190529062344323E-2</v>
      </c>
      <c r="J24" s="133">
        <f>1-E24/E25</f>
        <v>3.7814496805111397E-2</v>
      </c>
    </row>
    <row r="25" spans="1:10" x14ac:dyDescent="0.35">
      <c r="A25" s="36" t="s">
        <v>38</v>
      </c>
      <c r="B25" s="38">
        <f>('1854'!O27-'1854'!C27)</f>
        <v>215.52999999999997</v>
      </c>
      <c r="C25" s="38">
        <f>('1855'!O27-'1855'!C27)</f>
        <v>211.50000000000011</v>
      </c>
      <c r="D25" s="38">
        <f>('1856'!O27-'1856'!C27)</f>
        <v>180.13000000000011</v>
      </c>
      <c r="E25" s="38">
        <f>('1857'!O27-'1857'!C27)</f>
        <v>200.31999999999994</v>
      </c>
    </row>
    <row r="26" spans="1:10" ht="18" x14ac:dyDescent="0.4">
      <c r="A26" s="125" t="s">
        <v>44</v>
      </c>
      <c r="B26" s="129"/>
      <c r="C26" s="129"/>
      <c r="D26" s="129"/>
      <c r="E26" s="130"/>
    </row>
    <row r="27" spans="1:10" x14ac:dyDescent="0.35">
      <c r="A27" s="36" t="s">
        <v>40</v>
      </c>
      <c r="B27" s="101">
        <f>'S 2025'!B27</f>
        <v>2421</v>
      </c>
      <c r="C27" s="101">
        <f>'S 2025'!C27</f>
        <v>2944</v>
      </c>
      <c r="D27" s="101">
        <f>'S 2025'!D27</f>
        <v>2225</v>
      </c>
      <c r="E27" s="101">
        <f>'S 2025'!E27</f>
        <v>2761</v>
      </c>
      <c r="F27" s="40"/>
    </row>
  </sheetData>
  <sheetProtection selectLockedCells="1" selectUnlockedCells="1"/>
  <mergeCells count="4">
    <mergeCell ref="B22:E22"/>
    <mergeCell ref="B6:E6"/>
    <mergeCell ref="B7:E7"/>
    <mergeCell ref="B21:E21"/>
  </mergeCells>
  <conditionalFormatting sqref="B1:B1048576 C8:F20 C23:F65536">
    <cfRule type="cellIs" dxfId="7" priority="14" stopIfTrue="1" operator="lessThan">
      <formula>0</formula>
    </cfRule>
  </conditionalFormatting>
  <conditionalFormatting sqref="B25:E25">
    <cfRule type="cellIs" dxfId="6" priority="2" stopIfTrue="1" operator="lessThan">
      <formula>0</formula>
    </cfRule>
  </conditionalFormatting>
  <conditionalFormatting sqref="C1:F5">
    <cfRule type="cellIs" dxfId="5" priority="1" stopIfTrue="1" operator="lessThan">
      <formula>0</formula>
    </cfRule>
  </conditionalFormatting>
  <conditionalFormatting sqref="G1:J2 I13:J13 G13:J17 I16:J17 G28:J65536">
    <cfRule type="cellIs" dxfId="4" priority="3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A40"/>
  <sheetViews>
    <sheetView workbookViewId="0">
      <pane ySplit="1" topLeftCell="A26" activePane="bottomLeft" state="frozen"/>
      <selection pane="bottomLeft" activeCell="T28" sqref="T28:T29"/>
    </sheetView>
  </sheetViews>
  <sheetFormatPr defaultColWidth="9.1796875" defaultRowHeight="14.5" x14ac:dyDescent="0.35"/>
  <cols>
    <col min="1" max="1" width="9.1796875" style="44"/>
    <col min="2" max="2" width="10.26953125" style="44" customWidth="1"/>
    <col min="3" max="4" width="7" style="44" customWidth="1"/>
    <col min="5" max="5" width="9" style="44" customWidth="1"/>
    <col min="6" max="7" width="7" style="44" customWidth="1"/>
    <col min="8" max="8" width="7.7265625" style="44" customWidth="1"/>
    <col min="9" max="9" width="7" style="44" customWidth="1"/>
    <col min="10" max="10" width="6.81640625" style="44" customWidth="1"/>
    <col min="11" max="11" width="9" style="44" customWidth="1"/>
    <col min="12" max="22" width="7" style="44" customWidth="1"/>
    <col min="23" max="23" width="8" style="44" customWidth="1"/>
    <col min="24" max="26" width="7" style="44" customWidth="1"/>
    <col min="27" max="16384" width="9.1796875" style="44"/>
  </cols>
  <sheetData>
    <row r="1" spans="1:27" ht="18.5" x14ac:dyDescent="0.35">
      <c r="A1" s="45" t="s">
        <v>55</v>
      </c>
      <c r="F1" s="45">
        <f>'S1'!B1</f>
        <v>2025</v>
      </c>
    </row>
    <row r="2" spans="1:27" ht="11.25" customHeight="1" x14ac:dyDescent="0.35">
      <c r="A2" s="45"/>
    </row>
    <row r="3" spans="1:27" hidden="1" x14ac:dyDescent="0.35">
      <c r="C3" s="44">
        <v>1850</v>
      </c>
      <c r="F3" s="44">
        <v>51</v>
      </c>
      <c r="I3" s="44">
        <v>52</v>
      </c>
      <c r="L3" s="44">
        <v>53</v>
      </c>
      <c r="O3" s="44">
        <v>54</v>
      </c>
      <c r="R3" s="44">
        <v>55</v>
      </c>
      <c r="U3" s="44">
        <v>56</v>
      </c>
      <c r="X3" s="44">
        <v>57</v>
      </c>
    </row>
    <row r="4" spans="1:27" s="47" customFormat="1" ht="18.5" x14ac:dyDescent="0.35">
      <c r="A4" s="329"/>
      <c r="B4" s="329"/>
      <c r="C4" s="325">
        <v>1850</v>
      </c>
      <c r="D4" s="325"/>
      <c r="E4" s="325"/>
      <c r="F4" s="325">
        <v>1851</v>
      </c>
      <c r="G4" s="325"/>
      <c r="H4" s="325"/>
      <c r="I4" s="325">
        <v>1852</v>
      </c>
      <c r="J4" s="325"/>
      <c r="K4" s="325"/>
      <c r="L4" s="325">
        <v>1853</v>
      </c>
      <c r="M4" s="325"/>
      <c r="N4" s="325"/>
      <c r="O4" s="325">
        <v>1854</v>
      </c>
      <c r="P4" s="325"/>
      <c r="Q4" s="325"/>
      <c r="R4" s="325">
        <v>1855</v>
      </c>
      <c r="S4" s="325"/>
      <c r="T4" s="325"/>
      <c r="U4" s="325">
        <v>1856</v>
      </c>
      <c r="V4" s="325"/>
      <c r="W4" s="325"/>
      <c r="X4" s="325">
        <v>1857</v>
      </c>
      <c r="Y4" s="325"/>
      <c r="Z4" s="325"/>
      <c r="AA4" s="46"/>
    </row>
    <row r="5" spans="1:27" ht="29" x14ac:dyDescent="0.35">
      <c r="A5" s="329"/>
      <c r="B5" s="329"/>
      <c r="C5" s="48" t="s">
        <v>56</v>
      </c>
      <c r="D5" s="49" t="s">
        <v>57</v>
      </c>
      <c r="E5" s="49" t="s">
        <v>58</v>
      </c>
      <c r="F5" s="48" t="s">
        <v>56</v>
      </c>
      <c r="G5" s="49" t="s">
        <v>57</v>
      </c>
      <c r="H5" s="49" t="s">
        <v>58</v>
      </c>
      <c r="I5" s="48" t="s">
        <v>56</v>
      </c>
      <c r="J5" s="49" t="s">
        <v>57</v>
      </c>
      <c r="K5" s="49" t="s">
        <v>58</v>
      </c>
      <c r="L5" s="48" t="s">
        <v>56</v>
      </c>
      <c r="M5" s="49" t="s">
        <v>57</v>
      </c>
      <c r="N5" s="49" t="s">
        <v>58</v>
      </c>
      <c r="O5" s="48" t="s">
        <v>56</v>
      </c>
      <c r="P5" s="49" t="s">
        <v>57</v>
      </c>
      <c r="Q5" s="49" t="s">
        <v>58</v>
      </c>
      <c r="R5" s="48" t="s">
        <v>56</v>
      </c>
      <c r="S5" s="49" t="s">
        <v>57</v>
      </c>
      <c r="T5" s="49" t="s">
        <v>58</v>
      </c>
      <c r="U5" s="48" t="s">
        <v>56</v>
      </c>
      <c r="V5" s="49" t="s">
        <v>57</v>
      </c>
      <c r="W5" s="49" t="s">
        <v>58</v>
      </c>
      <c r="X5" s="48" t="s">
        <v>56</v>
      </c>
      <c r="Y5" s="49" t="s">
        <v>57</v>
      </c>
      <c r="Z5" s="49" t="s">
        <v>58</v>
      </c>
      <c r="AA5" s="50"/>
    </row>
    <row r="6" spans="1:27" x14ac:dyDescent="0.35">
      <c r="A6" s="326" t="s">
        <v>4</v>
      </c>
      <c r="B6" s="51" t="s">
        <v>59</v>
      </c>
      <c r="C6" s="51">
        <f>'S1'!B9</f>
        <v>36.01900000000002</v>
      </c>
      <c r="D6" s="327">
        <f>'S1'!B10-'S1'!B9</f>
        <v>0.12099999999999511</v>
      </c>
      <c r="E6" s="328">
        <f>D6/C7</f>
        <v>3.3480907581625642E-3</v>
      </c>
      <c r="F6" s="51">
        <f>'S1'!C9</f>
        <v>39.394999999999953</v>
      </c>
      <c r="G6" s="327">
        <f>'S1'!C10-'S1'!C9</f>
        <v>3.2150000000000603</v>
      </c>
      <c r="H6" s="328">
        <f>G6/F7</f>
        <v>7.5451771884535543E-2</v>
      </c>
      <c r="I6" s="51">
        <f>'S1'!D9</f>
        <v>38.619999999999976</v>
      </c>
      <c r="J6" s="327">
        <f>'S1'!D10-'S1'!D9</f>
        <v>-0.28000000000000114</v>
      </c>
      <c r="K6" s="328">
        <f>J6/I7</f>
        <v>-7.3030777256129715E-3</v>
      </c>
      <c r="L6" s="51">
        <f>'S1'!E9</f>
        <v>35.767000000000039</v>
      </c>
      <c r="M6" s="327">
        <f>'S1'!E10-'S1'!E9</f>
        <v>0.88299999999993872</v>
      </c>
      <c r="N6" s="328">
        <f>M6/L7</f>
        <v>2.4092769440653188E-2</v>
      </c>
      <c r="O6" s="51">
        <f>'S1'!B24</f>
        <v>33.877999999999986</v>
      </c>
      <c r="P6" s="327">
        <f>'S1'!B25-'S1'!B24</f>
        <v>2.9920000000000186</v>
      </c>
      <c r="Q6" s="328">
        <f>P6/O7</f>
        <v>8.1149986438839666E-2</v>
      </c>
      <c r="R6" s="51">
        <f>'S1'!C24</f>
        <v>37.301999999999992</v>
      </c>
      <c r="S6" s="327">
        <f>'S1'!C25-'S1'!C24</f>
        <v>2.6880000000001303</v>
      </c>
      <c r="T6" s="328">
        <f>S6/R7</f>
        <v>6.7216804201053318E-2</v>
      </c>
      <c r="U6" s="51">
        <f>'S1'!D24</f>
        <v>34.161999999999985</v>
      </c>
      <c r="V6" s="327">
        <f>'S1'!D25-'S1'!D24</f>
        <v>2.7280000000001152</v>
      </c>
      <c r="W6" s="328">
        <f>V6/U7</f>
        <v>7.3949579831935702E-2</v>
      </c>
      <c r="X6" s="51">
        <f>'S1'!E24</f>
        <v>37.289000000000001</v>
      </c>
      <c r="Y6" s="327">
        <f>'S1'!E25-'S1'!E24</f>
        <v>3.4310000000000258</v>
      </c>
      <c r="Z6" s="328">
        <f>Y6/X7</f>
        <v>8.4258349705305102E-2</v>
      </c>
    </row>
    <row r="7" spans="1:27" x14ac:dyDescent="0.35">
      <c r="A7" s="326"/>
      <c r="B7" s="51" t="s">
        <v>60</v>
      </c>
      <c r="C7" s="51">
        <f>'S1'!B10</f>
        <v>36.140000000000015</v>
      </c>
      <c r="D7" s="327"/>
      <c r="E7" s="328"/>
      <c r="F7" s="51">
        <f>'S1'!C10</f>
        <v>42.610000000000014</v>
      </c>
      <c r="G7" s="327"/>
      <c r="H7" s="328"/>
      <c r="I7" s="51">
        <f>'S1'!D10</f>
        <v>38.339999999999975</v>
      </c>
      <c r="J7" s="327"/>
      <c r="K7" s="328"/>
      <c r="L7" s="51">
        <f>'S1'!E10</f>
        <v>36.649999999999977</v>
      </c>
      <c r="M7" s="327"/>
      <c r="N7" s="328"/>
      <c r="O7" s="51">
        <f>'S1'!B25</f>
        <v>36.870000000000005</v>
      </c>
      <c r="P7" s="327"/>
      <c r="Q7" s="328"/>
      <c r="R7" s="51">
        <f>'S1'!C25</f>
        <v>39.990000000000123</v>
      </c>
      <c r="S7" s="327"/>
      <c r="T7" s="328"/>
      <c r="U7" s="51">
        <f>'S1'!D25</f>
        <v>36.8900000000001</v>
      </c>
      <c r="V7" s="327"/>
      <c r="W7" s="328"/>
      <c r="X7" s="51">
        <f>'S1'!E25</f>
        <v>40.720000000000027</v>
      </c>
      <c r="Y7" s="327"/>
      <c r="Z7" s="328"/>
    </row>
    <row r="8" spans="1:27" x14ac:dyDescent="0.35">
      <c r="A8" s="331" t="s">
        <v>5</v>
      </c>
      <c r="B8" s="51" t="s">
        <v>59</v>
      </c>
      <c r="C8" s="51">
        <f>'S2'!B9</f>
        <v>28.942999999999984</v>
      </c>
      <c r="D8" s="341">
        <f>'S2'!B10-'S2'!B9</f>
        <v>0.63700000000000045</v>
      </c>
      <c r="E8" s="333">
        <f>D8/C9</f>
        <v>2.1534820824881704E-2</v>
      </c>
      <c r="F8" s="52">
        <f>'S2'!C9</f>
        <v>36.210000000000029</v>
      </c>
      <c r="G8" s="341">
        <f>'S2'!C10-'S2'!C9</f>
        <v>3.3299999999999912</v>
      </c>
      <c r="H8" s="333">
        <f>G8/F9</f>
        <v>8.4218512898330544E-2</v>
      </c>
      <c r="I8" s="52">
        <f>'S2'!D9</f>
        <v>33.208000000000027</v>
      </c>
      <c r="J8" s="341">
        <f>'S2'!D10-'S2'!D9</f>
        <v>0.72199999999997999</v>
      </c>
      <c r="K8" s="333">
        <f>J8/I9</f>
        <v>2.1279104037724133E-2</v>
      </c>
      <c r="L8" s="52">
        <f>'S2'!E9</f>
        <v>30.603000000000009</v>
      </c>
      <c r="M8" s="341">
        <f>'S2'!E10-'S2'!E9</f>
        <v>1.7870000000000346</v>
      </c>
      <c r="N8" s="333">
        <f>M8/L9</f>
        <v>5.517134918184724E-2</v>
      </c>
      <c r="O8" s="52">
        <f>'S2'!B24</f>
        <v>30.06699999999999</v>
      </c>
      <c r="P8" s="341">
        <f>'S2'!B25-'S2'!B24</f>
        <v>2.633000000000056</v>
      </c>
      <c r="Q8" s="333">
        <f>P8/O9</f>
        <v>8.051987767584258E-2</v>
      </c>
      <c r="R8" s="52">
        <f>'S2'!C24</f>
        <v>31.183000000000007</v>
      </c>
      <c r="S8" s="341">
        <f>'S2'!C25-'S2'!C24</f>
        <v>2.4069999999999112</v>
      </c>
      <c r="T8" s="333">
        <f>S8/R9</f>
        <v>7.1658231616550078E-2</v>
      </c>
      <c r="U8" s="52">
        <f>'S2'!D24</f>
        <v>27.949000000000012</v>
      </c>
      <c r="V8" s="341">
        <f>'S2'!D25-'S2'!D24</f>
        <v>2.2409999999999286</v>
      </c>
      <c r="W8" s="333">
        <f>V8/U9</f>
        <v>7.4229877442859651E-2</v>
      </c>
      <c r="X8" s="52">
        <f>'S2'!E24</f>
        <v>31.457999999999984</v>
      </c>
      <c r="Y8" s="341">
        <f>'S2'!E25-'S2'!E24</f>
        <v>2.7920000000000158</v>
      </c>
      <c r="Z8" s="333">
        <f>Y8/X9</f>
        <v>8.1518248175182939E-2</v>
      </c>
    </row>
    <row r="9" spans="1:27" x14ac:dyDescent="0.35">
      <c r="A9" s="332"/>
      <c r="B9" s="51" t="s">
        <v>60</v>
      </c>
      <c r="C9" s="52">
        <f>'S2'!B10</f>
        <v>29.579999999999984</v>
      </c>
      <c r="D9" s="342"/>
      <c r="E9" s="334"/>
      <c r="F9" s="52">
        <f>'S2'!C10</f>
        <v>39.54000000000002</v>
      </c>
      <c r="G9" s="342"/>
      <c r="H9" s="334"/>
      <c r="I9" s="52">
        <f>'S2'!D10</f>
        <v>33.930000000000007</v>
      </c>
      <c r="J9" s="342"/>
      <c r="K9" s="334"/>
      <c r="L9" s="52">
        <f>'S2'!E10</f>
        <v>32.390000000000043</v>
      </c>
      <c r="M9" s="342"/>
      <c r="N9" s="334"/>
      <c r="O9" s="52">
        <f>'S2'!B25</f>
        <v>32.700000000000045</v>
      </c>
      <c r="P9" s="342"/>
      <c r="Q9" s="334"/>
      <c r="R9" s="52">
        <f>'S2'!C25</f>
        <v>33.589999999999918</v>
      </c>
      <c r="S9" s="342"/>
      <c r="T9" s="334"/>
      <c r="U9" s="52">
        <f>'S2'!D25</f>
        <v>30.189999999999941</v>
      </c>
      <c r="V9" s="342"/>
      <c r="W9" s="334"/>
      <c r="X9" s="52">
        <f>'S2'!E25</f>
        <v>34.25</v>
      </c>
      <c r="Y9" s="342"/>
      <c r="Z9" s="334"/>
    </row>
    <row r="10" spans="1:27" x14ac:dyDescent="0.35">
      <c r="A10" s="326" t="s">
        <v>6</v>
      </c>
      <c r="B10" s="51" t="s">
        <v>59</v>
      </c>
      <c r="C10" s="51">
        <f>'S3'!B9</f>
        <v>19.943999999999988</v>
      </c>
      <c r="D10" s="330">
        <f>'S3'!B10-'S3'!B9</f>
        <v>-1.9240000000000066</v>
      </c>
      <c r="E10" s="328">
        <f>D10/C11</f>
        <v>-0.10677025527192056</v>
      </c>
      <c r="F10" s="52">
        <f>'S3'!C9</f>
        <v>22.317999999999955</v>
      </c>
      <c r="G10" s="330">
        <f>'S3'!C10-'S3'!C9</f>
        <v>0.78200000000001069</v>
      </c>
      <c r="H10" s="328">
        <f>G10/F11</f>
        <v>3.3852813852814363E-2</v>
      </c>
      <c r="I10" s="52">
        <f>'S3'!D9</f>
        <v>19.342999999999989</v>
      </c>
      <c r="J10" s="330">
        <f>'S3'!D10-'S3'!D9</f>
        <v>0.22700000000000387</v>
      </c>
      <c r="K10" s="328">
        <f>J10/I11</f>
        <v>1.1599386816556154E-2</v>
      </c>
      <c r="L10" s="52">
        <f>'S3'!E9</f>
        <v>18.35799999999999</v>
      </c>
      <c r="M10" s="330">
        <f>'S3'!E10-'S3'!E9</f>
        <v>0.29199999999998738</v>
      </c>
      <c r="N10" s="328">
        <f>M10/L11</f>
        <v>1.5656836461125347E-2</v>
      </c>
      <c r="O10" s="52">
        <f>'S3'!B24</f>
        <v>21.787999999999972</v>
      </c>
      <c r="P10" s="327">
        <f>'S3'!B25-'S3'!B24</f>
        <v>2.8819999999999872</v>
      </c>
      <c r="Q10" s="328">
        <f>P10/O11</f>
        <v>0.11682205107417884</v>
      </c>
      <c r="R10" s="51">
        <f>'S3'!C24</f>
        <v>19.909000000000013</v>
      </c>
      <c r="S10" s="327">
        <f>'S3'!C25-'S3'!C24</f>
        <v>1.9609999999998777</v>
      </c>
      <c r="T10" s="328">
        <f>S10/R11</f>
        <v>8.9666209419290696E-2</v>
      </c>
      <c r="U10" s="51">
        <f>'S3'!D24</f>
        <v>18.219999999999988</v>
      </c>
      <c r="V10" s="327">
        <f>'S3'!D25-'S3'!D24</f>
        <v>1.0300000000000118</v>
      </c>
      <c r="W10" s="328">
        <f>V10/U11</f>
        <v>5.350649350649412E-2</v>
      </c>
      <c r="X10" s="51">
        <f>'S3'!E24</f>
        <v>18.534000000000006</v>
      </c>
      <c r="Y10" s="327">
        <f>'S3'!E25-'S3'!E24</f>
        <v>1.395999999999944</v>
      </c>
      <c r="Z10" s="328">
        <f>Y10/X11</f>
        <v>7.0045158053183509E-2</v>
      </c>
    </row>
    <row r="11" spans="1:27" x14ac:dyDescent="0.35">
      <c r="A11" s="326"/>
      <c r="B11" s="51" t="s">
        <v>60</v>
      </c>
      <c r="C11" s="52">
        <f>'S3'!B10</f>
        <v>18.019999999999982</v>
      </c>
      <c r="D11" s="330"/>
      <c r="E11" s="328"/>
      <c r="F11" s="52">
        <f>'S3'!C10</f>
        <v>23.099999999999966</v>
      </c>
      <c r="G11" s="330"/>
      <c r="H11" s="328"/>
      <c r="I11" s="52">
        <f>'S3'!D10</f>
        <v>19.569999999999993</v>
      </c>
      <c r="J11" s="330"/>
      <c r="K11" s="328"/>
      <c r="L11" s="52">
        <f>'S3'!E10</f>
        <v>18.649999999999977</v>
      </c>
      <c r="M11" s="330"/>
      <c r="N11" s="328"/>
      <c r="O11" s="52">
        <f>'S3'!B25</f>
        <v>24.669999999999959</v>
      </c>
      <c r="P11" s="327"/>
      <c r="Q11" s="328"/>
      <c r="R11" s="51">
        <f>'S3'!C25</f>
        <v>21.869999999999891</v>
      </c>
      <c r="S11" s="327"/>
      <c r="T11" s="328"/>
      <c r="U11" s="51">
        <f>'S3'!D25</f>
        <v>19.25</v>
      </c>
      <c r="V11" s="327"/>
      <c r="W11" s="328"/>
      <c r="X11" s="51">
        <f>'S3'!E25</f>
        <v>19.92999999999995</v>
      </c>
      <c r="Y11" s="327"/>
      <c r="Z11" s="328"/>
    </row>
    <row r="12" spans="1:27" x14ac:dyDescent="0.35">
      <c r="A12" s="326" t="s">
        <v>7</v>
      </c>
      <c r="B12" s="51" t="s">
        <v>59</v>
      </c>
      <c r="C12" s="51">
        <f>'S4'!B9</f>
        <v>8.619000000000014</v>
      </c>
      <c r="D12" s="330">
        <f>'S4'!B10-'S4'!B9</f>
        <v>-2.3889999999999958</v>
      </c>
      <c r="E12" s="328">
        <f>D12/C13</f>
        <v>-0.38346709470304796</v>
      </c>
      <c r="F12" s="52">
        <f>'S4'!C9</f>
        <v>11.774999999999984</v>
      </c>
      <c r="G12" s="327">
        <f>'S4'!C10-'S4'!C9</f>
        <v>0.80500000000005656</v>
      </c>
      <c r="H12" s="328">
        <f>G12/F13</f>
        <v>6.3990461049288863E-2</v>
      </c>
      <c r="I12" s="51">
        <f>'S4'!D9</f>
        <v>10.930999999999983</v>
      </c>
      <c r="J12" s="327">
        <f>'S4'!D10-'S4'!D9</f>
        <v>-2.2109999999999559</v>
      </c>
      <c r="K12" s="328">
        <f>J12/I13</f>
        <v>-0.25355504587155381</v>
      </c>
      <c r="L12" s="51">
        <f>'S4'!E9</f>
        <v>9.0579999999999927</v>
      </c>
      <c r="M12" s="327">
        <f>'S4'!E10-'S4'!E9</f>
        <v>-0.43799999999998818</v>
      </c>
      <c r="N12" s="328">
        <f>M12/L13</f>
        <v>-5.0812064965195816E-2</v>
      </c>
      <c r="O12" s="51">
        <f>'S4'!B24</f>
        <v>11.623999999999995</v>
      </c>
      <c r="P12" s="327">
        <f>'S4'!B25-'S4'!B24</f>
        <v>1.106000000000023</v>
      </c>
      <c r="Q12" s="328">
        <f>P12/O13</f>
        <v>8.6881382560881487E-2</v>
      </c>
      <c r="R12" s="51">
        <f>'S4'!C24</f>
        <v>10.236000000000004</v>
      </c>
      <c r="S12" s="327">
        <f>'S4'!C25-'S4'!C24</f>
        <v>0.7739999999999867</v>
      </c>
      <c r="T12" s="328">
        <f>S12/R13</f>
        <v>7.0299727520434813E-2</v>
      </c>
      <c r="U12" s="51">
        <f>'S4'!D24</f>
        <v>7.9380000000000024</v>
      </c>
      <c r="V12" s="327">
        <f>'S4'!D25-'S4'!D24</f>
        <v>-0.31799999999999784</v>
      </c>
      <c r="W12" s="328">
        <f>V12/U13</f>
        <v>-4.1732283464566623E-2</v>
      </c>
      <c r="X12" s="51">
        <f>'S4'!E24</f>
        <v>8.9689999999999941</v>
      </c>
      <c r="Y12" s="327">
        <f>'S4'!E25-'S4'!E24</f>
        <v>-0.28899999999993042</v>
      </c>
      <c r="Z12" s="328">
        <f>Y12/X13</f>
        <v>-3.3294930875567778E-2</v>
      </c>
    </row>
    <row r="13" spans="1:27" x14ac:dyDescent="0.35">
      <c r="A13" s="326"/>
      <c r="B13" s="51" t="s">
        <v>60</v>
      </c>
      <c r="C13" s="52">
        <f>'S4'!B10</f>
        <v>6.2300000000000182</v>
      </c>
      <c r="D13" s="330"/>
      <c r="E13" s="328"/>
      <c r="F13" s="52">
        <f>'S4'!C10</f>
        <v>12.580000000000041</v>
      </c>
      <c r="G13" s="327"/>
      <c r="H13" s="328"/>
      <c r="I13" s="51">
        <f>'S4'!D10</f>
        <v>8.7200000000000273</v>
      </c>
      <c r="J13" s="327"/>
      <c r="K13" s="328"/>
      <c r="L13" s="51">
        <f>'S4'!E10</f>
        <v>8.6200000000000045</v>
      </c>
      <c r="M13" s="327"/>
      <c r="N13" s="328"/>
      <c r="O13" s="51">
        <f>'S4'!B25</f>
        <v>12.730000000000018</v>
      </c>
      <c r="P13" s="327"/>
      <c r="Q13" s="328"/>
      <c r="R13" s="51">
        <f>'S4'!C25</f>
        <v>11.009999999999991</v>
      </c>
      <c r="S13" s="327"/>
      <c r="T13" s="328"/>
      <c r="U13" s="51">
        <f>'S4'!D25</f>
        <v>7.6200000000000045</v>
      </c>
      <c r="V13" s="327"/>
      <c r="W13" s="328"/>
      <c r="X13" s="51">
        <f>'S4'!E25</f>
        <v>8.6800000000000637</v>
      </c>
      <c r="Y13" s="327"/>
      <c r="Z13" s="328"/>
    </row>
    <row r="14" spans="1:27" x14ac:dyDescent="0.35">
      <c r="A14" s="326" t="s">
        <v>8</v>
      </c>
      <c r="B14" s="51" t="s">
        <v>59</v>
      </c>
      <c r="C14" s="51">
        <f>'S5'!B9</f>
        <v>5.7679999999999865</v>
      </c>
      <c r="D14" s="330">
        <f>'S5'!B10-'S5'!B9</f>
        <v>-2.4179999999999637</v>
      </c>
      <c r="E14" s="328">
        <f>D14/C15</f>
        <v>-0.72179104477610367</v>
      </c>
      <c r="F14" s="51">
        <f>'S5'!C9</f>
        <v>7.0799999999999912</v>
      </c>
      <c r="G14" s="330">
        <f>'S5'!C10-'S5'!C9</f>
        <v>1.3399999999999679</v>
      </c>
      <c r="H14" s="328">
        <f>G14/F15</f>
        <v>0.1591448931116359</v>
      </c>
      <c r="I14" s="51">
        <f>'S5'!D9</f>
        <v>6.2260000000000133</v>
      </c>
      <c r="J14" s="330">
        <f>'S5'!D10-'S5'!D9</f>
        <v>-1.2860000000000156</v>
      </c>
      <c r="K14" s="328">
        <f>J14/I15</f>
        <v>-0.26032388663967937</v>
      </c>
      <c r="L14" s="51">
        <f>'S5'!E9</f>
        <v>5.1680000000000064</v>
      </c>
      <c r="M14" s="330">
        <f>'S5'!E10-'S5'!E9</f>
        <v>-0.66800000000000637</v>
      </c>
      <c r="N14" s="328">
        <f>M14/L15</f>
        <v>-0.14844444444444585</v>
      </c>
      <c r="O14" s="51">
        <f>'S5'!B24</f>
        <v>6.5739999999999936</v>
      </c>
      <c r="P14" s="330">
        <f>'S5'!B25-'S5'!B24</f>
        <v>-9.3999999999975437E-2</v>
      </c>
      <c r="Q14" s="328">
        <f>P14/O15</f>
        <v>-1.4506172839502342E-2</v>
      </c>
      <c r="R14" s="51">
        <f>'S5'!C24</f>
        <v>6.8379999999999725</v>
      </c>
      <c r="S14" s="330">
        <f>'S5'!C25-'S5'!C24</f>
        <v>0.23200000000019116</v>
      </c>
      <c r="T14" s="328">
        <f>S14/R15</f>
        <v>3.2814710042459096E-2</v>
      </c>
      <c r="U14" s="51">
        <f>'S5'!D24</f>
        <v>5.5290000000000106</v>
      </c>
      <c r="V14" s="330">
        <f>'S5'!D25-'S5'!D24</f>
        <v>-0.51900000000001967</v>
      </c>
      <c r="W14" s="328">
        <f>V14/U15</f>
        <v>-0.1035928143712616</v>
      </c>
      <c r="X14" s="51">
        <f>'S5'!E24</f>
        <v>6.7409999999999997</v>
      </c>
      <c r="Y14" s="330">
        <f>'S5'!E25-'S5'!E24</f>
        <v>-0.5910000000000224</v>
      </c>
      <c r="Z14" s="328">
        <f>Y14/X15</f>
        <v>-9.6097560975613755E-2</v>
      </c>
    </row>
    <row r="15" spans="1:27" x14ac:dyDescent="0.35">
      <c r="A15" s="326"/>
      <c r="B15" s="51" t="s">
        <v>60</v>
      </c>
      <c r="C15" s="52">
        <f>'S5'!B10</f>
        <v>3.3500000000000227</v>
      </c>
      <c r="D15" s="330"/>
      <c r="E15" s="328"/>
      <c r="F15" s="52">
        <f>'S5'!C10</f>
        <v>8.4199999999999591</v>
      </c>
      <c r="G15" s="330"/>
      <c r="H15" s="328"/>
      <c r="I15" s="52">
        <f>'S5'!D10</f>
        <v>4.9399999999999977</v>
      </c>
      <c r="J15" s="330"/>
      <c r="K15" s="328"/>
      <c r="L15" s="52">
        <f>'S5'!E10</f>
        <v>4.5</v>
      </c>
      <c r="M15" s="330"/>
      <c r="N15" s="328"/>
      <c r="O15" s="52">
        <f>'S5'!B25</f>
        <v>6.4800000000000182</v>
      </c>
      <c r="P15" s="330"/>
      <c r="Q15" s="328"/>
      <c r="R15" s="52">
        <f>'S5'!C25</f>
        <v>7.0700000000001637</v>
      </c>
      <c r="S15" s="330"/>
      <c r="T15" s="328"/>
      <c r="U15" s="52">
        <f>'S5'!D25</f>
        <v>5.0099999999999909</v>
      </c>
      <c r="V15" s="330"/>
      <c r="W15" s="328"/>
      <c r="X15" s="52">
        <f>'S5'!E25</f>
        <v>6.1499999999999773</v>
      </c>
      <c r="Y15" s="330"/>
      <c r="Z15" s="328"/>
    </row>
    <row r="16" spans="1:27" x14ac:dyDescent="0.35">
      <c r="A16" s="326" t="s">
        <v>9</v>
      </c>
      <c r="B16" s="51" t="s">
        <v>59</v>
      </c>
      <c r="C16" s="51">
        <f>'S6'!B9</f>
        <v>4.5650000000000261</v>
      </c>
      <c r="D16" s="330">
        <f>'S6'!B10-'S6'!B9</f>
        <v>-1.8150000000000261</v>
      </c>
      <c r="E16" s="328">
        <f>D16/C17</f>
        <v>-0.66000000000000947</v>
      </c>
      <c r="F16" s="51">
        <f>'S6'!C9</f>
        <v>4.7839999999999989</v>
      </c>
      <c r="G16" s="330">
        <f>'S6'!C10-'S6'!C9</f>
        <v>1.475999999999992</v>
      </c>
      <c r="H16" s="328">
        <f>G16/F17</f>
        <v>0.23578274760383292</v>
      </c>
      <c r="I16" s="51">
        <f>'S6'!D9</f>
        <v>4.4599999999999795</v>
      </c>
      <c r="J16" s="330">
        <f>'S6'!D10-'S6'!D9</f>
        <v>-1.1299999999999955</v>
      </c>
      <c r="K16" s="328">
        <f>J16/I17</f>
        <v>-0.33933933933933957</v>
      </c>
      <c r="L16" s="51">
        <f>'S6'!E9</f>
        <v>3.5670000000000215</v>
      </c>
      <c r="M16" s="330">
        <f>'S6'!E10-'S6'!E9</f>
        <v>-0.62700000000002376</v>
      </c>
      <c r="N16" s="328">
        <f>M16/L17</f>
        <v>-0.21326530612245723</v>
      </c>
      <c r="O16" s="51">
        <f>'S6'!B24</f>
        <v>3.1629999999999825</v>
      </c>
      <c r="P16" s="330">
        <f>'S6'!B25-'S6'!B24</f>
        <v>-0.24300000000002342</v>
      </c>
      <c r="Q16" s="328">
        <f>P16/O17</f>
        <v>-8.3219178082200973E-2</v>
      </c>
      <c r="R16" s="51">
        <f>'S6'!C24</f>
        <v>3.2849999999999895</v>
      </c>
      <c r="S16" s="330">
        <f>'S6'!C25-'S6'!C24</f>
        <v>-0.34500000000016229</v>
      </c>
      <c r="T16" s="328">
        <f>S16/R17</f>
        <v>-0.1173469387755723</v>
      </c>
      <c r="U16" s="51">
        <f>'S6'!D24</f>
        <v>3.3439999999999941</v>
      </c>
      <c r="V16" s="330">
        <f>'S6'!D25-'S6'!D24</f>
        <v>-0.66399999999993042</v>
      </c>
      <c r="W16" s="328">
        <f>V16/U17</f>
        <v>-0.24776119402981889</v>
      </c>
      <c r="X16" s="51">
        <f>'S6'!E24</f>
        <v>3.9159999999999968</v>
      </c>
      <c r="Y16" s="330">
        <f>'S6'!E25-'S6'!E24</f>
        <v>-0.89600000000001501</v>
      </c>
      <c r="Z16" s="328">
        <f>Y16/X17</f>
        <v>-0.29668874172186105</v>
      </c>
    </row>
    <row r="17" spans="1:26" x14ac:dyDescent="0.35">
      <c r="A17" s="326"/>
      <c r="B17" s="51" t="s">
        <v>60</v>
      </c>
      <c r="C17" s="51">
        <f>'S6'!B10</f>
        <v>2.75</v>
      </c>
      <c r="D17" s="330"/>
      <c r="E17" s="328"/>
      <c r="F17" s="51">
        <f>'S6'!C10</f>
        <v>6.2599999999999909</v>
      </c>
      <c r="G17" s="330"/>
      <c r="H17" s="328"/>
      <c r="I17" s="51">
        <f>'S6'!D10</f>
        <v>3.3299999999999841</v>
      </c>
      <c r="J17" s="330"/>
      <c r="K17" s="328"/>
      <c r="L17" s="51">
        <f>'S6'!E10</f>
        <v>2.9399999999999977</v>
      </c>
      <c r="M17" s="330"/>
      <c r="N17" s="328"/>
      <c r="O17" s="51">
        <f>'S6'!B25</f>
        <v>2.9199999999999591</v>
      </c>
      <c r="P17" s="330"/>
      <c r="Q17" s="328"/>
      <c r="R17" s="51">
        <f>'S6'!C25</f>
        <v>2.9399999999998272</v>
      </c>
      <c r="S17" s="330"/>
      <c r="T17" s="328"/>
      <c r="U17" s="51">
        <f>'S6'!D25</f>
        <v>2.6800000000000637</v>
      </c>
      <c r="V17" s="330"/>
      <c r="W17" s="328"/>
      <c r="X17" s="51">
        <f>'S6'!E25</f>
        <v>3.0199999999999818</v>
      </c>
      <c r="Y17" s="330"/>
      <c r="Z17" s="328"/>
    </row>
    <row r="18" spans="1:26" x14ac:dyDescent="0.35">
      <c r="A18" s="331" t="s">
        <v>10</v>
      </c>
      <c r="B18" s="51" t="s">
        <v>59</v>
      </c>
      <c r="C18" s="51">
        <f>'S7'!B9</f>
        <v>3.73599999999999</v>
      </c>
      <c r="D18" s="341">
        <f>'S7'!B10-'S7'!B9</f>
        <v>-1.6360000000000241</v>
      </c>
      <c r="E18" s="333">
        <f>D18/C19</f>
        <v>-0.77904761904764319</v>
      </c>
      <c r="F18" s="51">
        <f>'S7'!C9</f>
        <v>4.3500000000000298</v>
      </c>
      <c r="G18" s="341">
        <f>'S7'!C10-'S7'!C9</f>
        <v>1.0299999999999656</v>
      </c>
      <c r="H18" s="333">
        <f>G18/F19</f>
        <v>0.19144981412638781</v>
      </c>
      <c r="I18" s="51">
        <f>'S7'!D9</f>
        <v>4.0210000000000008</v>
      </c>
      <c r="J18" s="341">
        <f>'S7'!D10-'S7'!D9</f>
        <v>-1.0710000000000122</v>
      </c>
      <c r="K18" s="333">
        <f>J18/I19</f>
        <v>-0.36305084745763266</v>
      </c>
      <c r="L18" s="51">
        <f>'S7'!E9</f>
        <v>2.9369999999999976</v>
      </c>
      <c r="M18" s="341">
        <f>'S7'!E10-'S7'!E9</f>
        <v>-0.57699999999998397</v>
      </c>
      <c r="N18" s="333">
        <f>M18/L19</f>
        <v>-0.2444915254237206</v>
      </c>
      <c r="O18" s="51">
        <f>'S7'!B24</f>
        <v>3.060999999999988</v>
      </c>
      <c r="P18" s="341">
        <f>'S7'!B25-'S7'!B24</f>
        <v>-0.35099999999995157</v>
      </c>
      <c r="Q18" s="333">
        <f>P18/O19</f>
        <v>-0.12952029520293243</v>
      </c>
      <c r="R18" s="51">
        <f>'S7'!C24</f>
        <v>2.8700000000000117</v>
      </c>
      <c r="S18" s="341">
        <f>'S7'!C25-'S7'!C24</f>
        <v>-0.29999999999984794</v>
      </c>
      <c r="T18" s="333">
        <f>S18/R19</f>
        <v>-0.11673151750966103</v>
      </c>
      <c r="U18" s="51">
        <f>'S7'!D24</f>
        <v>2.6200000000000045</v>
      </c>
      <c r="V18" s="341">
        <f>'S7'!D25-'S7'!D24</f>
        <v>-0.64000000000010004</v>
      </c>
      <c r="W18" s="333">
        <f>V18/U19</f>
        <v>-0.32323232323238937</v>
      </c>
      <c r="X18" s="51">
        <f>'S7'!E24</f>
        <v>3.1950000000000216</v>
      </c>
      <c r="Y18" s="341">
        <f>'S7'!E25-'S7'!E24</f>
        <v>-0.81499999999991246</v>
      </c>
      <c r="Z18" s="333">
        <f>Y18/X19</f>
        <v>-0.34243697478986346</v>
      </c>
    </row>
    <row r="19" spans="1:26" x14ac:dyDescent="0.35">
      <c r="A19" s="332"/>
      <c r="B19" s="51" t="s">
        <v>60</v>
      </c>
      <c r="C19" s="51">
        <f>'S7'!B10</f>
        <v>2.0999999999999659</v>
      </c>
      <c r="D19" s="342"/>
      <c r="E19" s="334"/>
      <c r="F19" s="52">
        <f>'S7'!C10</f>
        <v>5.3799999999999955</v>
      </c>
      <c r="G19" s="342"/>
      <c r="H19" s="334"/>
      <c r="I19" s="51">
        <f>'S7'!D10</f>
        <v>2.9499999999999886</v>
      </c>
      <c r="J19" s="342"/>
      <c r="K19" s="334"/>
      <c r="L19" s="51">
        <f>'S7'!E10</f>
        <v>2.3600000000000136</v>
      </c>
      <c r="M19" s="342"/>
      <c r="N19" s="334"/>
      <c r="O19" s="51">
        <f>'S7'!B25</f>
        <v>2.7100000000000364</v>
      </c>
      <c r="P19" s="342"/>
      <c r="Q19" s="334"/>
      <c r="R19" s="51">
        <f>'S7'!C25</f>
        <v>2.5700000000001637</v>
      </c>
      <c r="S19" s="342"/>
      <c r="T19" s="334"/>
      <c r="U19" s="51">
        <f>'S7'!D25</f>
        <v>1.9799999999999045</v>
      </c>
      <c r="V19" s="342"/>
      <c r="W19" s="334"/>
      <c r="X19" s="51">
        <f>'S7'!E25</f>
        <v>2.3800000000001091</v>
      </c>
      <c r="Y19" s="342"/>
      <c r="Z19" s="334"/>
    </row>
    <row r="20" spans="1:26" x14ac:dyDescent="0.35">
      <c r="A20" s="326" t="s">
        <v>11</v>
      </c>
      <c r="B20" s="51" t="s">
        <v>59</v>
      </c>
      <c r="C20" s="51">
        <f>'S8'!B9</f>
        <v>4.1880000000000024</v>
      </c>
      <c r="D20" s="330">
        <f>'S8'!B10-'S8'!B9</f>
        <v>-2.1280000000000001</v>
      </c>
      <c r="E20" s="328">
        <f>D20/C21</f>
        <v>-1.0330097087378629</v>
      </c>
      <c r="F20" s="51">
        <f>'S8'!C9</f>
        <v>4.5979999999999848</v>
      </c>
      <c r="G20" s="330">
        <f>'S8'!C10-'S8'!C9</f>
        <v>-0.28799999999998249</v>
      </c>
      <c r="H20" s="328">
        <f>G20/F21</f>
        <v>-6.682134570765251E-2</v>
      </c>
      <c r="I20" s="51">
        <f>'S8'!D9</f>
        <v>4.4070000000000249</v>
      </c>
      <c r="J20" s="330">
        <f>'S8'!D10-'S8'!D9</f>
        <v>-1.1969999999999885</v>
      </c>
      <c r="K20" s="328">
        <f>J20/I21</f>
        <v>-0.37289719626167445</v>
      </c>
      <c r="L20" s="51">
        <f>'S8'!E9</f>
        <v>3.6699999999999875</v>
      </c>
      <c r="M20" s="330">
        <f>'S8'!E10-'S8'!E9</f>
        <v>-0.5600000000000307</v>
      </c>
      <c r="N20" s="328">
        <f>M20/L21</f>
        <v>-0.18006430868168441</v>
      </c>
      <c r="O20" s="51">
        <f>'S8'!B24</f>
        <v>3.4100000000000108</v>
      </c>
      <c r="P20" s="330">
        <f>'S8'!B25-'S8'!B24</f>
        <v>-0.57000000000009265</v>
      </c>
      <c r="Q20" s="328">
        <f>P20/O21</f>
        <v>-0.20070422535215107</v>
      </c>
      <c r="R20" s="51">
        <f>'S8'!C24</f>
        <v>3.4069999999999965</v>
      </c>
      <c r="S20" s="330">
        <f>'S8'!C25-'S8'!C24</f>
        <v>-0.21699999999994191</v>
      </c>
      <c r="T20" s="328">
        <f>S20/R21</f>
        <v>-6.8025078369886582E-2</v>
      </c>
      <c r="U20" s="51">
        <f>'S8'!D24</f>
        <v>2.982999999999997</v>
      </c>
      <c r="V20" s="330">
        <f>'S8'!D25-'S8'!D24</f>
        <v>-0.64299999999996515</v>
      </c>
      <c r="W20" s="328">
        <f>V20/U21</f>
        <v>-0.27478632478630616</v>
      </c>
      <c r="X20" s="51">
        <f>'S8'!E24</f>
        <v>3.4480000000000075</v>
      </c>
      <c r="Y20" s="330">
        <f>'S8'!E25-'S8'!E24</f>
        <v>-0.91800000000003479</v>
      </c>
      <c r="Z20" s="328">
        <f>Y20/X21</f>
        <v>-0.36284584980238921</v>
      </c>
    </row>
    <row r="21" spans="1:26" x14ac:dyDescent="0.35">
      <c r="A21" s="326"/>
      <c r="B21" s="51" t="s">
        <v>60</v>
      </c>
      <c r="C21" s="51">
        <f>'S8'!B10</f>
        <v>2.0600000000000023</v>
      </c>
      <c r="D21" s="330"/>
      <c r="E21" s="328"/>
      <c r="F21" s="51">
        <f>'S8'!C10</f>
        <v>4.3100000000000023</v>
      </c>
      <c r="G21" s="330"/>
      <c r="H21" s="328"/>
      <c r="I21" s="51">
        <f>'S8'!D10</f>
        <v>3.2100000000000364</v>
      </c>
      <c r="J21" s="330"/>
      <c r="K21" s="328"/>
      <c r="L21" s="51">
        <f>'S8'!E10</f>
        <v>3.1099999999999568</v>
      </c>
      <c r="M21" s="330"/>
      <c r="N21" s="328"/>
      <c r="O21" s="51">
        <f>'S8'!B25</f>
        <v>2.8399999999999181</v>
      </c>
      <c r="P21" s="330"/>
      <c r="Q21" s="328"/>
      <c r="R21" s="51">
        <f>'S8'!C25</f>
        <v>3.1900000000000546</v>
      </c>
      <c r="S21" s="330"/>
      <c r="T21" s="328"/>
      <c r="U21" s="51">
        <f>'S8'!D25</f>
        <v>2.3400000000000318</v>
      </c>
      <c r="V21" s="330"/>
      <c r="W21" s="328"/>
      <c r="X21" s="51">
        <f>'S8'!E25</f>
        <v>2.5299999999999727</v>
      </c>
      <c r="Y21" s="330"/>
      <c r="Z21" s="328"/>
    </row>
    <row r="22" spans="1:26" ht="15" customHeight="1" x14ac:dyDescent="0.35">
      <c r="A22" s="331" t="s">
        <v>12</v>
      </c>
      <c r="B22" s="51" t="s">
        <v>59</v>
      </c>
      <c r="C22" s="51">
        <f>'S9'!B9</f>
        <v>4.4210000000000065</v>
      </c>
      <c r="D22" s="330">
        <f>'S9'!B10-'S9'!B9</f>
        <v>-1.7609999999999815</v>
      </c>
      <c r="E22" s="333">
        <f>D22/C23</f>
        <v>-0.66203007518795676</v>
      </c>
      <c r="F22" s="51">
        <f>'S9'!C9</f>
        <v>5.5740000000000123</v>
      </c>
      <c r="G22" s="330">
        <f>'S9'!C10-'S9'!C9</f>
        <v>1.7259999999999991</v>
      </c>
      <c r="H22" s="333">
        <f>G22/F23</f>
        <v>0.23643835616438308</v>
      </c>
      <c r="I22" s="51">
        <f>'S9'!D9</f>
        <v>5.9129999999999967</v>
      </c>
      <c r="J22" s="330">
        <f>'S9'!D10-'S9'!D9</f>
        <v>-1.1029999999999944</v>
      </c>
      <c r="K22" s="333">
        <f>J22/I23</f>
        <v>-0.22931392931392805</v>
      </c>
      <c r="L22" s="51">
        <f>'S9'!E9</f>
        <v>4.6650000000000063</v>
      </c>
      <c r="M22" s="330">
        <f>'S9'!E10-'S9'!E9</f>
        <v>-0.57499999999997442</v>
      </c>
      <c r="N22" s="333">
        <f>M22/L23</f>
        <v>-0.14058679706600732</v>
      </c>
      <c r="O22" s="110">
        <f>'S9'!B24</f>
        <v>5.4350000000000254</v>
      </c>
      <c r="P22" s="330">
        <f>'S9'!B25-'S9'!B24</f>
        <v>1.1150000000000428</v>
      </c>
      <c r="Q22" s="333">
        <f>P22/O23</f>
        <v>0.17022900763359256</v>
      </c>
      <c r="R22" s="51">
        <f>'S9'!C24</f>
        <v>5.166000000000011</v>
      </c>
      <c r="S22" s="330">
        <f>'S9'!C25-'S9'!C24</f>
        <v>0.11399999999996169</v>
      </c>
      <c r="T22" s="333">
        <f>S22/R23</f>
        <v>2.1590909090901948E-2</v>
      </c>
      <c r="U22" s="51">
        <f>'S9'!D24</f>
        <v>3.8040000000000092</v>
      </c>
      <c r="V22" s="330">
        <f>'S9'!D25-'S9'!D24</f>
        <v>-0.56400000000000006</v>
      </c>
      <c r="W22" s="333">
        <f>V22/U23</f>
        <v>-0.1740740740740736</v>
      </c>
      <c r="X22" s="51">
        <f>'S9'!E24</f>
        <v>5.0699999999999932</v>
      </c>
      <c r="Y22" s="330">
        <f>'S9'!E25-'S9'!E24</f>
        <v>-0.56000000000000227</v>
      </c>
      <c r="Z22" s="333">
        <f>Y22/X23</f>
        <v>-0.12416851441241761</v>
      </c>
    </row>
    <row r="23" spans="1:26" ht="15" customHeight="1" x14ac:dyDescent="0.35">
      <c r="A23" s="332"/>
      <c r="B23" s="51" t="s">
        <v>60</v>
      </c>
      <c r="C23" s="53">
        <f>'S9'!B10</f>
        <v>2.660000000000025</v>
      </c>
      <c r="D23" s="330"/>
      <c r="E23" s="334"/>
      <c r="F23" s="53">
        <f>'S9'!C10</f>
        <v>7.3000000000000114</v>
      </c>
      <c r="G23" s="330"/>
      <c r="H23" s="334"/>
      <c r="I23" s="53">
        <f>'S9'!D10</f>
        <v>4.8100000000000023</v>
      </c>
      <c r="J23" s="330"/>
      <c r="K23" s="334"/>
      <c r="L23" s="53">
        <f>'S9'!E10</f>
        <v>4.0900000000000318</v>
      </c>
      <c r="M23" s="330"/>
      <c r="N23" s="334"/>
      <c r="O23" s="111">
        <f>'S9'!B25</f>
        <v>6.5500000000000682</v>
      </c>
      <c r="P23" s="330"/>
      <c r="Q23" s="334"/>
      <c r="R23" s="51">
        <f>'S9'!C25</f>
        <v>5.2799999999999727</v>
      </c>
      <c r="S23" s="330"/>
      <c r="T23" s="334"/>
      <c r="U23" s="53">
        <f>'S9'!D25</f>
        <v>3.2400000000000091</v>
      </c>
      <c r="V23" s="330"/>
      <c r="W23" s="334"/>
      <c r="X23" s="51">
        <f>'S9'!E25</f>
        <v>4.5099999999999909</v>
      </c>
      <c r="Y23" s="330"/>
      <c r="Z23" s="334"/>
    </row>
    <row r="24" spans="1:26" x14ac:dyDescent="0.35">
      <c r="A24" s="326" t="s">
        <v>13</v>
      </c>
      <c r="B24" s="51" t="s">
        <v>59</v>
      </c>
      <c r="C24" s="51">
        <f>'S10'!B9</f>
        <v>10.337999999999994</v>
      </c>
      <c r="D24" s="330">
        <f>'S10'!B10-'S10'!B9</f>
        <v>-1.7580000000000098</v>
      </c>
      <c r="E24" s="328">
        <f>D24/C25</f>
        <v>-0.20489510489510643</v>
      </c>
      <c r="F24" s="51">
        <f>'S10'!C9</f>
        <v>15.517000000000031</v>
      </c>
      <c r="G24" s="330">
        <f>'S10'!C10-'S10'!C9</f>
        <v>7.3000000000000398E-2</v>
      </c>
      <c r="H24" s="328">
        <f>G24/F25</f>
        <v>4.6824887748556929E-3</v>
      </c>
      <c r="I24" s="51">
        <f>'S10'!D9</f>
        <v>13.365999999999985</v>
      </c>
      <c r="J24" s="330">
        <f>'S10'!D10-'S10'!D9</f>
        <v>-1.5260000000000105</v>
      </c>
      <c r="K24" s="328">
        <f>J24/I25</f>
        <v>-0.1288851351351363</v>
      </c>
      <c r="L24" s="51">
        <f>'S10'!E9</f>
        <v>12.242000000000019</v>
      </c>
      <c r="M24" s="330">
        <f>'S10'!E10-'S10'!E9</f>
        <v>-7.2000000000002728E-2</v>
      </c>
      <c r="N24" s="328">
        <f>M24/L25</f>
        <v>-5.9161873459328378E-3</v>
      </c>
      <c r="O24" s="51">
        <f>'S10'!B24</f>
        <v>17.326000000000001</v>
      </c>
      <c r="P24" s="330">
        <f>'S10'!B25-'S10'!B24</f>
        <v>2.3439999999999586</v>
      </c>
      <c r="Q24" s="328">
        <f>P24/O25</f>
        <v>0.11916624300965752</v>
      </c>
      <c r="R24" s="51">
        <f>'S10'!C24</f>
        <v>13.245999999999995</v>
      </c>
      <c r="S24" s="330">
        <f>'S10'!C25-'S10'!C24</f>
        <v>1.5239999999999867</v>
      </c>
      <c r="T24" s="328">
        <f>S24/R25</f>
        <v>0.10318212593094032</v>
      </c>
      <c r="U24" s="51">
        <f>'S10'!D24</f>
        <v>10.716000000000001</v>
      </c>
      <c r="V24" s="330">
        <f>'S10'!D25-'S10'!D24</f>
        <v>0.28399999999999892</v>
      </c>
      <c r="W24" s="328">
        <f>V24/U25</f>
        <v>2.5818181818181719E-2</v>
      </c>
      <c r="X24" s="51">
        <f>'S10'!E24</f>
        <v>12.665000000000006</v>
      </c>
      <c r="Y24" s="330">
        <f>'S10'!E25-'S10'!E24</f>
        <v>0.12499999999995737</v>
      </c>
      <c r="Z24" s="328">
        <f>Y24/X25</f>
        <v>9.7732603596526763E-3</v>
      </c>
    </row>
    <row r="25" spans="1:26" x14ac:dyDescent="0.35">
      <c r="A25" s="326"/>
      <c r="B25" s="51" t="s">
        <v>60</v>
      </c>
      <c r="C25" s="53">
        <f>'S10'!B10</f>
        <v>8.5799999999999841</v>
      </c>
      <c r="D25" s="330"/>
      <c r="E25" s="328"/>
      <c r="F25" s="53">
        <f>'S10'!C10</f>
        <v>15.590000000000032</v>
      </c>
      <c r="G25" s="330"/>
      <c r="H25" s="328"/>
      <c r="I25" s="53">
        <f>'S10'!D10</f>
        <v>11.839999999999975</v>
      </c>
      <c r="J25" s="330"/>
      <c r="K25" s="328"/>
      <c r="L25" s="53">
        <f>'S10'!E10</f>
        <v>12.170000000000016</v>
      </c>
      <c r="M25" s="330"/>
      <c r="N25" s="328"/>
      <c r="O25" s="53">
        <f>'S10'!B25</f>
        <v>19.669999999999959</v>
      </c>
      <c r="P25" s="330"/>
      <c r="Q25" s="328"/>
      <c r="R25" s="53">
        <f>'S10'!C25</f>
        <v>14.769999999999982</v>
      </c>
      <c r="S25" s="330"/>
      <c r="T25" s="328"/>
      <c r="U25" s="53">
        <f>'S10'!D25</f>
        <v>11</v>
      </c>
      <c r="V25" s="330"/>
      <c r="W25" s="328"/>
      <c r="X25" s="53">
        <f>'S10'!E25</f>
        <v>12.789999999999964</v>
      </c>
      <c r="Y25" s="330"/>
      <c r="Z25" s="328"/>
    </row>
    <row r="26" spans="1:26" x14ac:dyDescent="0.35">
      <c r="A26" s="331" t="s">
        <v>14</v>
      </c>
      <c r="B26" s="51" t="s">
        <v>59</v>
      </c>
      <c r="C26" s="51">
        <f>'S11'!B9</f>
        <v>27.650999999999996</v>
      </c>
      <c r="D26" s="341">
        <f>'S11'!B10-'S11'!B9</f>
        <v>6.9000000000031037E-2</v>
      </c>
      <c r="E26" s="333">
        <f>D26/C27</f>
        <v>2.4891774891786064E-3</v>
      </c>
      <c r="F26" s="51">
        <f>'S11'!C9</f>
        <v>30.588999999999984</v>
      </c>
      <c r="G26" s="341">
        <f>'S11'!C10-'S11'!C9</f>
        <v>0.37100000000005195</v>
      </c>
      <c r="H26" s="333">
        <f>G26/F27</f>
        <v>1.198320413436859E-2</v>
      </c>
      <c r="I26" s="51">
        <f>'S11'!D9</f>
        <v>31.077000000000012</v>
      </c>
      <c r="J26" s="341">
        <f>'S11'!D10-'S11'!D9</f>
        <v>-0.66699999999998738</v>
      </c>
      <c r="K26" s="333">
        <f>J26/I27</f>
        <v>-2.193357448207783E-2</v>
      </c>
      <c r="L26" s="51">
        <f>'S11'!E9</f>
        <v>26.807999999999979</v>
      </c>
      <c r="M26" s="341">
        <f>'S11'!E10-'S11'!E9</f>
        <v>0.52200000000000557</v>
      </c>
      <c r="N26" s="333">
        <f>M26/L27</f>
        <v>1.9099890230516132E-2</v>
      </c>
      <c r="O26" s="51">
        <f>'S11'!B24</f>
        <v>30.723000000000013</v>
      </c>
      <c r="P26" s="341">
        <f>'S11'!B25-'S11'!B24</f>
        <v>3.0570000000000732</v>
      </c>
      <c r="Q26" s="333">
        <f>P26/O27</f>
        <v>9.0497335701600512E-2</v>
      </c>
      <c r="R26" s="51">
        <f>'S11'!C24</f>
        <v>29.390999999999991</v>
      </c>
      <c r="S26" s="341">
        <f>'S11'!C25-'S11'!C24</f>
        <v>3.1789999999999452</v>
      </c>
      <c r="T26" s="333">
        <f>S26/R27</f>
        <v>9.7605158120968732E-2</v>
      </c>
      <c r="U26" s="51">
        <f>'S11'!D24</f>
        <v>25.905000000000015</v>
      </c>
      <c r="V26" s="341">
        <f>'S11'!D25-'S11'!D24</f>
        <v>1.6950000000000074</v>
      </c>
      <c r="W26" s="333">
        <f>V26/U27</f>
        <v>6.1413043478261084E-2</v>
      </c>
      <c r="X26" s="51">
        <f>'S11'!E24</f>
        <v>27.938999999999965</v>
      </c>
      <c r="Y26" s="341">
        <f>'S11'!E25-'S11'!E24</f>
        <v>1.1909999999999172</v>
      </c>
      <c r="Z26" s="333">
        <f>Y26/X27</f>
        <v>4.0885684860965402E-2</v>
      </c>
    </row>
    <row r="27" spans="1:26" x14ac:dyDescent="0.35">
      <c r="A27" s="332"/>
      <c r="B27" s="51" t="s">
        <v>60</v>
      </c>
      <c r="C27" s="51">
        <f>'S11'!B10</f>
        <v>27.720000000000027</v>
      </c>
      <c r="D27" s="342"/>
      <c r="E27" s="334"/>
      <c r="F27" s="51">
        <f>'S11'!C10</f>
        <v>30.960000000000036</v>
      </c>
      <c r="G27" s="342"/>
      <c r="H27" s="334"/>
      <c r="I27" s="51">
        <f>'S11'!D10</f>
        <v>30.410000000000025</v>
      </c>
      <c r="J27" s="342"/>
      <c r="K27" s="334"/>
      <c r="L27" s="51">
        <f>'S11'!E10</f>
        <v>27.329999999999984</v>
      </c>
      <c r="M27" s="342"/>
      <c r="N27" s="334"/>
      <c r="O27" s="51">
        <f>'S11'!B25</f>
        <v>33.780000000000086</v>
      </c>
      <c r="P27" s="342"/>
      <c r="Q27" s="334"/>
      <c r="R27" s="51">
        <f>'S11'!C25</f>
        <v>32.569999999999936</v>
      </c>
      <c r="S27" s="342"/>
      <c r="T27" s="334"/>
      <c r="U27" s="51">
        <f>'S11'!D25</f>
        <v>27.600000000000023</v>
      </c>
      <c r="V27" s="342"/>
      <c r="W27" s="334"/>
      <c r="X27" s="51">
        <f>'S11'!E25</f>
        <v>29.129999999999882</v>
      </c>
      <c r="Y27" s="342"/>
      <c r="Z27" s="334"/>
    </row>
    <row r="28" spans="1:26" x14ac:dyDescent="0.35">
      <c r="A28" s="326" t="s">
        <v>3</v>
      </c>
      <c r="B28" s="51" t="s">
        <v>59</v>
      </c>
      <c r="C28" s="51">
        <f>'S12'!B9</f>
        <v>32.058999999999969</v>
      </c>
      <c r="D28" s="330">
        <f>'S12'!B10-'S12'!B9</f>
        <v>0.61099999999999</v>
      </c>
      <c r="E28" s="328">
        <f>D28/C29</f>
        <v>1.8702173247627511E-2</v>
      </c>
      <c r="F28" s="51">
        <f>'S12'!C9</f>
        <v>35.037000000000006</v>
      </c>
      <c r="G28" s="330">
        <f>'S12'!C10-'S12'!C9</f>
        <v>1.6629999999999256</v>
      </c>
      <c r="H28" s="328">
        <f>G28/F29</f>
        <v>4.5313351498635662E-2</v>
      </c>
      <c r="I28" s="51">
        <f>'S12'!D9</f>
        <v>33.618999999999986</v>
      </c>
      <c r="J28" s="330">
        <f>'S12'!D10-'S12'!D9</f>
        <v>0.10099999999998488</v>
      </c>
      <c r="K28" s="328">
        <f>J28/I29</f>
        <v>2.995255041517941E-3</v>
      </c>
      <c r="L28" s="51">
        <f>'S12'!E9</f>
        <v>30.499999999999986</v>
      </c>
      <c r="M28" s="330">
        <f>'S12'!E10-'S12'!E9</f>
        <v>1.1400000000000006</v>
      </c>
      <c r="N28" s="328">
        <f>M28/L29</f>
        <v>3.6030341340075885E-2</v>
      </c>
      <c r="O28" s="51">
        <f>'S12'!B24</f>
        <v>30.816000000000017</v>
      </c>
      <c r="P28" s="330">
        <f>'S12'!B25-'S12'!B24</f>
        <v>2.7939999999998832</v>
      </c>
      <c r="Q28" s="328">
        <f>P28/O29</f>
        <v>8.3130020827131557E-2</v>
      </c>
      <c r="R28" s="51">
        <f>'S12'!C24</f>
        <v>32.458000000000013</v>
      </c>
      <c r="S28" s="330">
        <f>'S12'!C25-'S12'!C24</f>
        <v>4.1920000000000783</v>
      </c>
      <c r="T28" s="328">
        <f>S28/R29</f>
        <v>0.11437926330150254</v>
      </c>
      <c r="U28" s="51">
        <f>'S12'!D24</f>
        <v>30.440999999999995</v>
      </c>
      <c r="V28" s="330">
        <f>'S12'!D25-'S12'!D24</f>
        <v>1.8890000000000455</v>
      </c>
      <c r="W28" s="328">
        <f>V28/U29</f>
        <v>5.8428703990103407E-2</v>
      </c>
      <c r="X28" s="51">
        <f>'S12'!E24</f>
        <v>33.521000000000043</v>
      </c>
      <c r="Y28" s="330">
        <f>'S12'!E25-'S12'!E24</f>
        <v>2.7089999999999748</v>
      </c>
      <c r="Z28" s="328">
        <f>Y28/X29</f>
        <v>7.4772288158983527E-2</v>
      </c>
    </row>
    <row r="29" spans="1:26" x14ac:dyDescent="0.35">
      <c r="A29" s="326"/>
      <c r="B29" s="51" t="s">
        <v>60</v>
      </c>
      <c r="C29" s="53">
        <f>'S12'!B10</f>
        <v>32.669999999999959</v>
      </c>
      <c r="D29" s="330"/>
      <c r="E29" s="328"/>
      <c r="F29" s="53">
        <f>'S12'!C10</f>
        <v>36.699999999999932</v>
      </c>
      <c r="G29" s="330"/>
      <c r="H29" s="328"/>
      <c r="I29" s="53">
        <f>'S12'!D10</f>
        <v>33.71999999999997</v>
      </c>
      <c r="J29" s="330"/>
      <c r="K29" s="328"/>
      <c r="L29" s="53">
        <f>'S12'!E10</f>
        <v>31.639999999999986</v>
      </c>
      <c r="M29" s="330"/>
      <c r="N29" s="328"/>
      <c r="O29" s="53">
        <f>'S12'!B25</f>
        <v>33.6099999999999</v>
      </c>
      <c r="P29" s="330"/>
      <c r="Q29" s="328"/>
      <c r="R29" s="53">
        <f>'S12'!C25</f>
        <v>36.650000000000091</v>
      </c>
      <c r="S29" s="330"/>
      <c r="T29" s="328"/>
      <c r="U29" s="53">
        <f>'S12'!D25</f>
        <v>32.330000000000041</v>
      </c>
      <c r="V29" s="330"/>
      <c r="W29" s="328"/>
      <c r="X29" s="53">
        <f>'S12'!E25</f>
        <v>36.230000000000018</v>
      </c>
      <c r="Y29" s="330"/>
      <c r="Z29" s="328"/>
    </row>
    <row r="30" spans="1:26" ht="15.5" x14ac:dyDescent="0.35">
      <c r="A30" s="54"/>
      <c r="B30" s="98" t="s">
        <v>95</v>
      </c>
      <c r="C30" s="55"/>
      <c r="D30" s="154"/>
      <c r="E30" s="56"/>
      <c r="F30" s="105"/>
      <c r="G30" s="56"/>
      <c r="H30" s="56"/>
      <c r="I30" s="55"/>
      <c r="J30" s="56"/>
      <c r="K30" s="56"/>
      <c r="L30" s="55"/>
      <c r="M30" s="56"/>
      <c r="N30" s="56"/>
      <c r="O30" s="55"/>
      <c r="P30" s="56"/>
      <c r="Q30" s="56"/>
      <c r="R30" s="55"/>
      <c r="S30" s="56"/>
      <c r="T30" s="56"/>
      <c r="U30" s="55"/>
      <c r="V30" s="56"/>
      <c r="W30" s="56"/>
      <c r="X30" s="55"/>
      <c r="Y30" s="56"/>
      <c r="Z30" s="56"/>
    </row>
    <row r="31" spans="1:26" s="57" customFormat="1" ht="15.5" x14ac:dyDescent="0.35">
      <c r="A31" s="57" t="s">
        <v>61</v>
      </c>
      <c r="D31" s="57">
        <f>SUM(D6:D29)</f>
        <v>-14.390999999999991</v>
      </c>
      <c r="G31" s="57">
        <f>SUM(G6:G29)</f>
        <v>15.523000000000039</v>
      </c>
      <c r="J31" s="57">
        <f>SUM(J6:J29)</f>
        <v>-9.4209999999999923</v>
      </c>
      <c r="M31" s="57">
        <f>SUM(M6:M29)</f>
        <v>1.1069999999999567</v>
      </c>
      <c r="P31" s="57">
        <f>SUM(P6:P29)</f>
        <v>17.664999999999999</v>
      </c>
      <c r="S31" s="57">
        <f>SUM(S6:S29)</f>
        <v>16.209000000000117</v>
      </c>
      <c r="V31" s="57">
        <f>SUM(V6:V29)</f>
        <v>6.5190000000000943</v>
      </c>
      <c r="Y31" s="57">
        <f>SUM(Y6:Y29)</f>
        <v>7.5749999999999176</v>
      </c>
    </row>
    <row r="32" spans="1:26" ht="6.75" customHeight="1" x14ac:dyDescent="0.35"/>
    <row r="33" spans="1:25" s="58" customFormat="1" ht="15.5" x14ac:dyDescent="0.35">
      <c r="A33" s="57" t="s">
        <v>62</v>
      </c>
      <c r="D33" s="59">
        <f>(D6+D8+D10+D12+D14+D16+D18+D20+D22+D24+D26+D28)/(C7+C9+C11+C13+C15+C17+C19+C21+C23+C25+C27+C29)</f>
        <v>-8.3736762481089216E-2</v>
      </c>
      <c r="G33" s="59">
        <f>(G6+G8+G10+G12+G14+G16+G18+G20+G22+G24+G26+G28)/(F7+F9+F11+F13+F15+F17+F19+F21+F23+F25+F27+F29)</f>
        <v>6.6693877551020575E-2</v>
      </c>
      <c r="J33" s="59">
        <f>(J6+J8+J10+J12+J14+J16+J18+J20+J22+J24+J26+J28)/(I7+I9+I11+I13+I15+I17+I19+I21+I23+I25+I27+I29)</f>
        <v>-4.8122797159932541E-2</v>
      </c>
      <c r="M33" s="59">
        <f>(M6+M8+M10+M12+M14+M16+M18+M20+M22+M24+M26+M28)/(L7+L9+L11+L13+L15+L17+L19+L21+L23+L25+L27+L29)</f>
        <v>6.0016264570341921E-3</v>
      </c>
      <c r="P33" s="59">
        <f>(P6+P8+P10+P12+P14+P16+P18+P20+P22+P24+P26+P28)/(O7+O9+O11+O13+O15+O17+O19+O21+O23+O25+O27+O29)</f>
        <v>8.1960747923722918E-2</v>
      </c>
      <c r="S33" s="59">
        <f>(S6+S8+S10+S12+S14+S16+S18+S20+S22+S24+S26+S28)/(R7+R9+R11+R13+R15+R17+R19+R21+R23+R25+R27+R29)</f>
        <v>7.6638297872340944E-2</v>
      </c>
      <c r="V33" s="59">
        <f>(V6+V8+V10+V12+V14+V16+V18+V20+V22+V24+V26+V28)/(U7+U9+U11+U13+U15+U17+U19+U21+U23+U25+U27+U29)</f>
        <v>3.6190529062344365E-2</v>
      </c>
      <c r="Y33" s="59">
        <f>(Y6+Y8+Y10+Y12+Y14+Y16+Y18+Y20+Y22+Y24+Y26+Y28)/(X7+X9+X11+X13+X15+X17+X19+X21+X23+X25+X27+X29)</f>
        <v>3.7814496805111425E-2</v>
      </c>
    </row>
    <row r="34" spans="1:25" s="60" customFormat="1" x14ac:dyDescent="0.35">
      <c r="D34" s="60">
        <v>1850</v>
      </c>
      <c r="G34" s="60">
        <v>1851</v>
      </c>
      <c r="J34" s="60">
        <v>1852</v>
      </c>
      <c r="M34" s="60">
        <v>1853</v>
      </c>
      <c r="P34" s="60">
        <v>1854</v>
      </c>
      <c r="S34" s="60">
        <v>1855</v>
      </c>
      <c r="V34" s="60">
        <v>1856</v>
      </c>
      <c r="Y34" s="60">
        <v>1857</v>
      </c>
    </row>
    <row r="38" spans="1:25" x14ac:dyDescent="0.35">
      <c r="A38" s="61"/>
    </row>
    <row r="39" spans="1:25" x14ac:dyDescent="0.35">
      <c r="A39"/>
    </row>
    <row r="40" spans="1:25" x14ac:dyDescent="0.35">
      <c r="A40" s="61"/>
    </row>
  </sheetData>
  <sheetProtection selectLockedCells="1" selectUnlockedCells="1"/>
  <mergeCells count="213"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  <mergeCell ref="W26:W27"/>
    <mergeCell ref="Y26:Y27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  <mergeCell ref="A24:A25"/>
    <mergeCell ref="D24:D25"/>
    <mergeCell ref="E24:E25"/>
    <mergeCell ref="G24:G25"/>
    <mergeCell ref="H24:H25"/>
    <mergeCell ref="J24:J25"/>
    <mergeCell ref="A28:A29"/>
    <mergeCell ref="D28:D29"/>
    <mergeCell ref="E28:E29"/>
    <mergeCell ref="G28:G29"/>
    <mergeCell ref="H28:H29"/>
    <mergeCell ref="J28:J29"/>
    <mergeCell ref="A26:A27"/>
    <mergeCell ref="D26:D27"/>
    <mergeCell ref="E26:E27"/>
    <mergeCell ref="G26:G27"/>
    <mergeCell ref="H26:H27"/>
    <mergeCell ref="Z22:Z23"/>
    <mergeCell ref="J22:J23"/>
    <mergeCell ref="K22:K23"/>
    <mergeCell ref="M22:M23"/>
    <mergeCell ref="N22:N23"/>
    <mergeCell ref="P22:P23"/>
    <mergeCell ref="Q22:Q23"/>
    <mergeCell ref="T24:T25"/>
    <mergeCell ref="V24:V25"/>
    <mergeCell ref="W24:W25"/>
    <mergeCell ref="Y24:Y25"/>
    <mergeCell ref="Z24:Z25"/>
    <mergeCell ref="Q24:Q25"/>
    <mergeCell ref="S24:S25"/>
    <mergeCell ref="K24:K25"/>
    <mergeCell ref="M24:M25"/>
    <mergeCell ref="N24:N25"/>
    <mergeCell ref="P24:P25"/>
    <mergeCell ref="A20:A21"/>
    <mergeCell ref="D20:D21"/>
    <mergeCell ref="E20:E21"/>
    <mergeCell ref="G20:G21"/>
    <mergeCell ref="H20:H21"/>
    <mergeCell ref="J20:J21"/>
    <mergeCell ref="V22:V23"/>
    <mergeCell ref="W22:W23"/>
    <mergeCell ref="Y22:Y23"/>
    <mergeCell ref="T20:T21"/>
    <mergeCell ref="V20:V21"/>
    <mergeCell ref="W20:W21"/>
    <mergeCell ref="Y20:Y21"/>
    <mergeCell ref="A22:A23"/>
    <mergeCell ref="D22:D23"/>
    <mergeCell ref="E22:E23"/>
    <mergeCell ref="G22:G23"/>
    <mergeCell ref="H22:H23"/>
    <mergeCell ref="S22:S23"/>
    <mergeCell ref="T22:T23"/>
    <mergeCell ref="Z20:Z21"/>
    <mergeCell ref="K20:K21"/>
    <mergeCell ref="M20:M21"/>
    <mergeCell ref="N20:N21"/>
    <mergeCell ref="P20:P21"/>
    <mergeCell ref="Q20:Q21"/>
    <mergeCell ref="S20:S21"/>
    <mergeCell ref="W18:W19"/>
    <mergeCell ref="Y18:Y19"/>
    <mergeCell ref="Z18:Z19"/>
    <mergeCell ref="S18:S19"/>
    <mergeCell ref="T18:T19"/>
    <mergeCell ref="V18:V19"/>
    <mergeCell ref="A16:A17"/>
    <mergeCell ref="D16:D17"/>
    <mergeCell ref="E16:E17"/>
    <mergeCell ref="G16:G17"/>
    <mergeCell ref="H16:H17"/>
    <mergeCell ref="J16:J17"/>
    <mergeCell ref="E18:E19"/>
    <mergeCell ref="G18:G19"/>
    <mergeCell ref="H18:H19"/>
    <mergeCell ref="A18:A19"/>
    <mergeCell ref="D18:D19"/>
    <mergeCell ref="Y14:Y15"/>
    <mergeCell ref="Z14:Z15"/>
    <mergeCell ref="J14:J15"/>
    <mergeCell ref="K14:K15"/>
    <mergeCell ref="M14:M15"/>
    <mergeCell ref="N14:N15"/>
    <mergeCell ref="P14:P15"/>
    <mergeCell ref="Q14:Q15"/>
    <mergeCell ref="T16:T17"/>
    <mergeCell ref="V16:V17"/>
    <mergeCell ref="W16:W17"/>
    <mergeCell ref="Y16:Y17"/>
    <mergeCell ref="Z16:Z17"/>
    <mergeCell ref="K16:K17"/>
    <mergeCell ref="M16:M17"/>
    <mergeCell ref="N16:N17"/>
    <mergeCell ref="P16:P17"/>
    <mergeCell ref="Q16:Q17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Y10:Y11"/>
    <mergeCell ref="Z10:Z11"/>
    <mergeCell ref="J10:J11"/>
    <mergeCell ref="K10:K11"/>
    <mergeCell ref="M10:M11"/>
    <mergeCell ref="N10:N11"/>
    <mergeCell ref="P10:P11"/>
    <mergeCell ref="Y12:Y13"/>
    <mergeCell ref="Z12:Z13"/>
    <mergeCell ref="Q12:Q13"/>
    <mergeCell ref="S12:S13"/>
    <mergeCell ref="Q10:Q11"/>
    <mergeCell ref="T12:T13"/>
    <mergeCell ref="V12:V13"/>
    <mergeCell ref="W12:W13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  <mergeCell ref="M6:M7"/>
    <mergeCell ref="N6:N7"/>
    <mergeCell ref="P6:P7"/>
    <mergeCell ref="R4:T4"/>
    <mergeCell ref="U4:W4"/>
    <mergeCell ref="S16:S17"/>
    <mergeCell ref="J18:J19"/>
    <mergeCell ref="K18:K19"/>
    <mergeCell ref="M18:M19"/>
    <mergeCell ref="N18:N19"/>
    <mergeCell ref="P18:P19"/>
    <mergeCell ref="Q18:Q19"/>
    <mergeCell ref="P8:P9"/>
    <mergeCell ref="Q8:Q9"/>
    <mergeCell ref="S8:S9"/>
    <mergeCell ref="T8:T9"/>
    <mergeCell ref="V8:V9"/>
    <mergeCell ref="W8:W9"/>
    <mergeCell ref="S14:S15"/>
    <mergeCell ref="T14:T15"/>
    <mergeCell ref="V14:V15"/>
    <mergeCell ref="W14:W15"/>
    <mergeCell ref="A10:A11"/>
    <mergeCell ref="D10:D11"/>
    <mergeCell ref="E10:E11"/>
    <mergeCell ref="G10:G11"/>
    <mergeCell ref="H10:H11"/>
    <mergeCell ref="S10:S11"/>
    <mergeCell ref="T10:T11"/>
    <mergeCell ref="V10:V11"/>
    <mergeCell ref="W10:W11"/>
    <mergeCell ref="Y8:Y9"/>
    <mergeCell ref="Z8:Z9"/>
    <mergeCell ref="A8:A9"/>
    <mergeCell ref="D8:D9"/>
    <mergeCell ref="E8:E9"/>
    <mergeCell ref="G8:G9"/>
    <mergeCell ref="H8:H9"/>
    <mergeCell ref="J8:J9"/>
    <mergeCell ref="K8:K9"/>
    <mergeCell ref="M8:M9"/>
    <mergeCell ref="N8:N9"/>
  </mergeCells>
  <printOptions horizontalCentered="1" verticalCentered="1"/>
  <pageMargins left="0" right="0" top="0.19652777777777777" bottom="0.19652777777777777" header="0.51180555555555551" footer="0.51180555555555551"/>
  <pageSetup paperSize="9" scale="73" firstPageNumber="0" orientation="landscape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27"/>
  <sheetViews>
    <sheetView workbookViewId="0">
      <selection activeCell="T34" sqref="T34"/>
    </sheetView>
  </sheetViews>
  <sheetFormatPr defaultRowHeight="14.5" x14ac:dyDescent="0.35"/>
  <cols>
    <col min="1" max="1" width="6.26953125" customWidth="1"/>
    <col min="2" max="2" width="8.81640625" customWidth="1"/>
  </cols>
  <sheetData>
    <row r="1" spans="1:14" x14ac:dyDescent="0.35">
      <c r="A1" s="24" t="s">
        <v>135</v>
      </c>
    </row>
    <row r="2" spans="1:14" ht="3.75" customHeight="1" x14ac:dyDescent="0.35">
      <c r="A2" s="24"/>
    </row>
    <row r="3" spans="1:14" x14ac:dyDescent="0.35">
      <c r="A3" s="106"/>
      <c r="B3" s="106"/>
      <c r="C3" s="84" t="s">
        <v>4</v>
      </c>
      <c r="D3" s="84" t="s">
        <v>5</v>
      </c>
      <c r="E3" s="84" t="s">
        <v>6</v>
      </c>
      <c r="F3" s="84" t="s">
        <v>7</v>
      </c>
      <c r="G3" s="84" t="s">
        <v>8</v>
      </c>
      <c r="H3" s="84" t="s">
        <v>9</v>
      </c>
      <c r="I3" s="84" t="s">
        <v>10</v>
      </c>
      <c r="J3" s="84" t="s">
        <v>11</v>
      </c>
      <c r="K3" s="84" t="s">
        <v>12</v>
      </c>
      <c r="L3" s="84" t="s">
        <v>13</v>
      </c>
      <c r="M3" s="84" t="s">
        <v>14</v>
      </c>
      <c r="N3" s="84" t="s">
        <v>3</v>
      </c>
    </row>
    <row r="4" spans="1:14" ht="15" hidden="1" customHeight="1" x14ac:dyDescent="0.35">
      <c r="A4" s="84">
        <v>1850</v>
      </c>
      <c r="B4" s="84" t="s">
        <v>78</v>
      </c>
      <c r="C4" s="167">
        <f>('1850'!D27-'1850'!C27)</f>
        <v>36.140000000000015</v>
      </c>
      <c r="D4" s="167">
        <f>('1850'!E27-'1850'!D27)</f>
        <v>29.579999999999984</v>
      </c>
      <c r="E4" s="167">
        <f>('1850'!F27-'1850'!E27)</f>
        <v>18.019999999999982</v>
      </c>
      <c r="F4" s="167">
        <f>('1850'!G27-'1850'!F27)</f>
        <v>6.2300000000000182</v>
      </c>
      <c r="G4" s="167">
        <f>('1850'!H27-'1850'!G27)</f>
        <v>3.3500000000000227</v>
      </c>
      <c r="H4" s="167">
        <f>('1850'!I27-'1850'!H27)</f>
        <v>2.75</v>
      </c>
      <c r="I4" s="167">
        <f>('1850'!J27-'1850'!I27)</f>
        <v>2.0999999999999659</v>
      </c>
      <c r="J4" s="167">
        <f>('1850'!K27-'1850'!J27)</f>
        <v>2.0600000000000023</v>
      </c>
      <c r="K4" s="173">
        <f>'1850'!L27-'1850'!K27</f>
        <v>2.660000000000025</v>
      </c>
      <c r="L4" s="173">
        <f>'1850'!M27-'1850'!L27</f>
        <v>8.5799999999999841</v>
      </c>
      <c r="M4" s="173">
        <f>'1850'!N27-'1850'!M27</f>
        <v>27.720000000000027</v>
      </c>
      <c r="N4" s="173">
        <f>'1850'!O27-'1850'!N27</f>
        <v>32.669999999999959</v>
      </c>
    </row>
    <row r="5" spans="1:14" ht="17.25" hidden="1" customHeight="1" x14ac:dyDescent="0.35">
      <c r="A5" s="84">
        <v>1850</v>
      </c>
      <c r="B5" s="107" t="s">
        <v>96</v>
      </c>
      <c r="C5" s="108">
        <f>'1850'!D28-'1850'!C28</f>
        <v>304</v>
      </c>
      <c r="D5" s="108">
        <f>'1850'!E28-'1850'!D28</f>
        <v>235</v>
      </c>
      <c r="E5" s="108">
        <f>'1850'!F28-'1850'!E28</f>
        <v>141</v>
      </c>
      <c r="F5" s="108">
        <f>'1850'!G28-'1850'!F28</f>
        <v>50</v>
      </c>
      <c r="G5" s="108">
        <f>'1850'!H28-'1850'!G28</f>
        <v>29</v>
      </c>
      <c r="H5" s="108">
        <f>'1850'!I28-'1850'!H28</f>
        <v>25</v>
      </c>
      <c r="I5" s="108">
        <f>'1850'!J28-'1850'!I28</f>
        <v>24</v>
      </c>
      <c r="J5" s="174">
        <f>'1850'!K28-'1850'!J28</f>
        <v>20</v>
      </c>
      <c r="K5" s="174">
        <f>'1850'!L28-'1850'!K28</f>
        <v>25</v>
      </c>
      <c r="L5" s="174">
        <f>'1850'!M28-'1850'!L28</f>
        <v>82</v>
      </c>
      <c r="M5" s="174">
        <f>'1850'!N28-'1850'!M28</f>
        <v>206</v>
      </c>
      <c r="N5" s="174">
        <f>'1850'!O28-'1850'!N28</f>
        <v>222</v>
      </c>
    </row>
    <row r="6" spans="1:14" ht="16.5" x14ac:dyDescent="0.35">
      <c r="A6" s="84">
        <v>1850</v>
      </c>
      <c r="B6" s="107" t="s">
        <v>97</v>
      </c>
      <c r="C6" s="109">
        <f t="shared" ref="C6:D6" si="0">C4/C5*1000</f>
        <v>118.88157894736847</v>
      </c>
      <c r="D6" s="109">
        <f t="shared" si="0"/>
        <v>125.87234042553186</v>
      </c>
      <c r="E6" s="109">
        <f t="shared" ref="E6:F6" si="1">E4/E5*1000</f>
        <v>127.80141843971619</v>
      </c>
      <c r="F6" s="109">
        <f t="shared" si="1"/>
        <v>124.60000000000036</v>
      </c>
      <c r="G6" s="109">
        <f t="shared" ref="G6:H6" si="2">G4/G5*1000</f>
        <v>115.51724137931113</v>
      </c>
      <c r="H6" s="109">
        <f t="shared" si="2"/>
        <v>110</v>
      </c>
      <c r="I6" s="109">
        <f t="shared" ref="I6" si="3">I4/I5*1000</f>
        <v>87.499999999998579</v>
      </c>
      <c r="J6" s="109">
        <f t="shared" ref="J6:K6" si="4">J4/J5*1000</f>
        <v>103.00000000000011</v>
      </c>
      <c r="K6" s="109">
        <f t="shared" si="4"/>
        <v>106.400000000001</v>
      </c>
      <c r="L6" s="109">
        <f t="shared" ref="L6:M6" si="5">L4/L5*1000</f>
        <v>104.63414634146322</v>
      </c>
      <c r="M6" s="109">
        <f t="shared" si="5"/>
        <v>134.56310679611664</v>
      </c>
      <c r="N6" s="109">
        <f t="shared" ref="N6" si="6">N4/N5*1000</f>
        <v>147.16216216216199</v>
      </c>
    </row>
    <row r="7" spans="1:14" ht="15" hidden="1" customHeight="1" x14ac:dyDescent="0.35">
      <c r="A7" s="84">
        <v>1851</v>
      </c>
      <c r="B7" s="84" t="s">
        <v>78</v>
      </c>
      <c r="C7" s="167">
        <f>('1851'!E27-'1851'!D27)</f>
        <v>42.610000000000014</v>
      </c>
      <c r="D7" s="167">
        <f>('1851'!F27-'1851'!E27)</f>
        <v>39.54000000000002</v>
      </c>
      <c r="E7" s="167">
        <f>('1851'!G27-'1851'!F27)</f>
        <v>23.099999999999966</v>
      </c>
      <c r="F7" s="167">
        <f>('1851'!H27-'1851'!G27)</f>
        <v>12.580000000000041</v>
      </c>
      <c r="G7" s="167">
        <f>('1851'!I27-'1851'!H27)</f>
        <v>8.4199999999999591</v>
      </c>
      <c r="H7" s="167">
        <f>('1851'!J27-'1851'!I27)</f>
        <v>6.2599999999999909</v>
      </c>
      <c r="I7" s="167">
        <f>('1851'!K27-'1851'!J27)</f>
        <v>5.3799999999999955</v>
      </c>
      <c r="J7" s="167">
        <f>('1851'!L27-'1851'!K27)</f>
        <v>4.3100000000000023</v>
      </c>
      <c r="K7" s="167">
        <f>('1851'!M27-'1851'!L27)</f>
        <v>7.3000000000000114</v>
      </c>
      <c r="L7" s="167">
        <f>('1851'!N27-'1851'!M27)</f>
        <v>15.590000000000032</v>
      </c>
      <c r="M7" s="167">
        <f>('1851'!O27-'1851'!N27)</f>
        <v>30.960000000000036</v>
      </c>
      <c r="N7" s="167">
        <f>('1851'!P27-'1851'!O27)</f>
        <v>36.699999999999932</v>
      </c>
    </row>
    <row r="8" spans="1:14" ht="17.25" hidden="1" customHeight="1" x14ac:dyDescent="0.35">
      <c r="A8" s="84">
        <v>1851</v>
      </c>
      <c r="B8" s="107" t="s">
        <v>96</v>
      </c>
      <c r="C8" s="108">
        <f>'1851'!E28-'1851'!D28</f>
        <v>424</v>
      </c>
      <c r="D8" s="108">
        <f>'1851'!F28-'1851'!E28</f>
        <v>398</v>
      </c>
      <c r="E8" s="108">
        <f>'1851'!G28-'1851'!F28</f>
        <v>204</v>
      </c>
      <c r="F8" s="108">
        <f>'1851'!H28-'1851'!G28</f>
        <v>157</v>
      </c>
      <c r="G8" s="108">
        <f>'1851'!I28-'1851'!H28</f>
        <v>138</v>
      </c>
      <c r="H8" s="108">
        <f>'1851'!J28-'1851'!I28</f>
        <v>114.10000000000036</v>
      </c>
      <c r="I8" s="108">
        <f>'1851'!K28-'1851'!J28</f>
        <v>94.899999999999636</v>
      </c>
      <c r="J8" s="108">
        <f>'1851'!L28-'1851'!K28</f>
        <v>69</v>
      </c>
      <c r="K8" s="108">
        <f>'1851'!M28-'1851'!L28</f>
        <v>168</v>
      </c>
      <c r="L8" s="108">
        <f>'1851'!N28-'1851'!M28</f>
        <v>184</v>
      </c>
      <c r="M8" s="108">
        <f>'1851'!O28-'1851'!N28</f>
        <v>275</v>
      </c>
      <c r="N8" s="108">
        <f>'1851'!P28-'1851'!O28</f>
        <v>319</v>
      </c>
    </row>
    <row r="9" spans="1:14" ht="16.5" x14ac:dyDescent="0.35">
      <c r="A9" s="84">
        <v>1851</v>
      </c>
      <c r="B9" s="107" t="s">
        <v>97</v>
      </c>
      <c r="C9" s="109">
        <f t="shared" ref="C9:D9" si="7">C7/C8*1000</f>
        <v>100.49528301886795</v>
      </c>
      <c r="D9" s="109">
        <f t="shared" si="7"/>
        <v>99.34673366834177</v>
      </c>
      <c r="E9" s="109">
        <f t="shared" ref="E9:F9" si="8">E7/E8*1000</f>
        <v>113.23529411764689</v>
      </c>
      <c r="F9" s="109">
        <f t="shared" si="8"/>
        <v>80.127388535032111</v>
      </c>
      <c r="G9" s="109">
        <f t="shared" ref="G9:H9" si="9">G7/G8*1000</f>
        <v>61.014492753622889</v>
      </c>
      <c r="H9" s="109">
        <f t="shared" si="9"/>
        <v>54.864154250657066</v>
      </c>
      <c r="I9" s="109">
        <f t="shared" ref="I9" si="10">I7/I8*1000</f>
        <v>56.691253951528097</v>
      </c>
      <c r="J9" s="109">
        <f t="shared" ref="J9:K9" si="11">J7/J8*1000</f>
        <v>62.463768115942067</v>
      </c>
      <c r="K9" s="109">
        <f t="shared" si="11"/>
        <v>43.45238095238102</v>
      </c>
      <c r="L9" s="109">
        <f t="shared" ref="L9:M9" si="12">L7/L8*1000</f>
        <v>84.728260869565389</v>
      </c>
      <c r="M9" s="109">
        <f t="shared" si="12"/>
        <v>112.58181818181831</v>
      </c>
      <c r="N9" s="109">
        <f t="shared" ref="N9" si="13">N7/N8*1000</f>
        <v>115.04702194357345</v>
      </c>
    </row>
    <row r="10" spans="1:14" ht="15" hidden="1" customHeight="1" x14ac:dyDescent="0.35">
      <c r="A10" s="84">
        <v>1852</v>
      </c>
      <c r="B10" s="84" t="s">
        <v>78</v>
      </c>
      <c r="C10" s="167">
        <f>('1852'!D27-'1852'!C27)</f>
        <v>38.339999999999975</v>
      </c>
      <c r="D10" s="167">
        <f>('1852'!E27-'1852'!D27)</f>
        <v>33.930000000000007</v>
      </c>
      <c r="E10" s="167">
        <f>('1852'!F27-'1852'!E27)</f>
        <v>19.569999999999993</v>
      </c>
      <c r="F10" s="167">
        <f>('1852'!G27-'1852'!F27)</f>
        <v>8.7200000000000273</v>
      </c>
      <c r="G10" s="167">
        <f>('1852'!H27-'1852'!G27)</f>
        <v>4.9399999999999977</v>
      </c>
      <c r="H10" s="167">
        <f>('1852'!I27-'1852'!H27)</f>
        <v>3.3299999999999841</v>
      </c>
      <c r="I10" s="167">
        <f>('1852'!J27-'1852'!I27)</f>
        <v>2.9499999999999886</v>
      </c>
      <c r="J10" s="167">
        <f>('1852'!K27-'1852'!J27)</f>
        <v>3.2100000000000364</v>
      </c>
      <c r="K10" s="167">
        <f>('1852'!L27-'1852'!K27)</f>
        <v>4.8100000000000023</v>
      </c>
      <c r="L10" s="167">
        <f>('1852'!M27-'1852'!L27)</f>
        <v>11.839999999999975</v>
      </c>
      <c r="M10" s="167">
        <f>('1852'!N27-'1852'!M27)</f>
        <v>30.410000000000025</v>
      </c>
      <c r="N10" s="167">
        <f>('1852'!O27-'1852'!N27)</f>
        <v>33.71999999999997</v>
      </c>
    </row>
    <row r="11" spans="1:14" ht="17.25" hidden="1" customHeight="1" x14ac:dyDescent="0.35">
      <c r="A11" s="84">
        <v>1852</v>
      </c>
      <c r="B11" s="107" t="s">
        <v>96</v>
      </c>
      <c r="C11" s="108">
        <f>'1852'!D28-'1852'!C28</f>
        <v>229</v>
      </c>
      <c r="D11" s="108">
        <f>'1852'!E28-'1852'!D28</f>
        <v>214</v>
      </c>
      <c r="E11" s="108">
        <f>'1852'!F28-'1852'!E28</f>
        <v>164</v>
      </c>
      <c r="F11" s="108">
        <f>'1852'!G28-'1852'!F28</f>
        <v>70</v>
      </c>
      <c r="G11" s="108">
        <f>'1852'!H28-'1852'!G28</f>
        <v>32</v>
      </c>
      <c r="H11" s="108">
        <f>'1852'!I28-'1852'!H28</f>
        <v>23</v>
      </c>
      <c r="I11" s="108">
        <f>'1852'!J28-'1852'!I28</f>
        <v>23</v>
      </c>
      <c r="J11" s="108">
        <f>'1852'!K28-'1852'!J28</f>
        <v>23</v>
      </c>
      <c r="K11" s="108">
        <f>'1852'!L28-'1852'!K28</f>
        <v>33</v>
      </c>
      <c r="L11" s="108">
        <f>'1852'!M28-'1852'!L28</f>
        <v>91</v>
      </c>
      <c r="M11" s="108">
        <f>'1852'!N28-'1852'!M28</f>
        <v>192</v>
      </c>
      <c r="N11" s="108">
        <f>'1852'!O28-'1852'!N28</f>
        <v>195</v>
      </c>
    </row>
    <row r="12" spans="1:14" ht="16.5" x14ac:dyDescent="0.35">
      <c r="A12" s="84">
        <v>1852</v>
      </c>
      <c r="B12" s="107" t="s">
        <v>97</v>
      </c>
      <c r="C12" s="109">
        <f t="shared" ref="C12:D12" si="14">C10/C11*1000</f>
        <v>167.42358078602609</v>
      </c>
      <c r="D12" s="109">
        <f t="shared" si="14"/>
        <v>158.55140186915892</v>
      </c>
      <c r="E12" s="109">
        <f t="shared" ref="E12:F12" si="15">E10/E11*1000</f>
        <v>119.32926829268288</v>
      </c>
      <c r="F12" s="109">
        <f t="shared" si="15"/>
        <v>124.57142857142895</v>
      </c>
      <c r="G12" s="109">
        <f t="shared" ref="G12:H12" si="16">G10/G11*1000</f>
        <v>154.37499999999994</v>
      </c>
      <c r="H12" s="109">
        <f t="shared" si="16"/>
        <v>144.78260869565148</v>
      </c>
      <c r="I12" s="109">
        <f t="shared" ref="I12" si="17">I10/I11*1000</f>
        <v>128.26086956521689</v>
      </c>
      <c r="J12" s="109">
        <f t="shared" ref="J12:K12" si="18">J10/J11*1000</f>
        <v>139.56521739130594</v>
      </c>
      <c r="K12" s="109">
        <f t="shared" si="18"/>
        <v>145.75757575757584</v>
      </c>
      <c r="L12" s="109">
        <f t="shared" ref="L12:M12" si="19">L10/L11*1000</f>
        <v>130.10989010988982</v>
      </c>
      <c r="M12" s="109">
        <f t="shared" si="19"/>
        <v>158.3854166666668</v>
      </c>
      <c r="N12" s="109">
        <f t="shared" ref="N12" si="20">N10/N11*1000</f>
        <v>172.92307692307676</v>
      </c>
    </row>
    <row r="13" spans="1:14" ht="15" hidden="1" customHeight="1" x14ac:dyDescent="0.35">
      <c r="A13" s="84">
        <v>1853</v>
      </c>
      <c r="B13" s="84" t="s">
        <v>78</v>
      </c>
      <c r="C13" s="167">
        <f>('1853'!D28-'1853'!C28)</f>
        <v>36.649999999999977</v>
      </c>
      <c r="D13" s="167">
        <f>('1853'!E28-'1853'!D28)</f>
        <v>32.390000000000043</v>
      </c>
      <c r="E13" s="167">
        <f>('1853'!F28-'1853'!E28)</f>
        <v>18.649999999999977</v>
      </c>
      <c r="F13" s="167">
        <f>('1853'!G28-'1853'!F28)</f>
        <v>8.6200000000000045</v>
      </c>
      <c r="G13" s="167">
        <f>('1853'!H28-'1853'!G28)</f>
        <v>4.5</v>
      </c>
      <c r="H13" s="167">
        <f>('1853'!I28-'1853'!H28)</f>
        <v>2.9399999999999977</v>
      </c>
      <c r="I13" s="167">
        <f>('1853'!J28-'1853'!I28)</f>
        <v>2.3600000000000136</v>
      </c>
      <c r="J13" s="167">
        <f>('1853'!K28-'1853'!J28)</f>
        <v>3.1099999999999568</v>
      </c>
      <c r="K13" s="167">
        <f>('1853'!L28-'1853'!K28)</f>
        <v>4.0900000000000318</v>
      </c>
      <c r="L13" s="167">
        <f>('1853'!M28-'1853'!L28)</f>
        <v>12.170000000000016</v>
      </c>
      <c r="M13" s="167">
        <f>('1853'!N28-'1853'!M28)</f>
        <v>27.329999999999984</v>
      </c>
      <c r="N13" s="167">
        <f>('1853'!O28-'1853'!N28)</f>
        <v>31.639999999999986</v>
      </c>
    </row>
    <row r="14" spans="1:14" ht="17.25" hidden="1" customHeight="1" x14ac:dyDescent="0.35">
      <c r="A14" s="84">
        <v>1853</v>
      </c>
      <c r="B14" s="107" t="s">
        <v>96</v>
      </c>
      <c r="C14" s="108">
        <f>'1853'!D29-'1853'!C29</f>
        <v>231</v>
      </c>
      <c r="D14" s="108">
        <f>'1853'!E29-'1853'!D29</f>
        <v>217</v>
      </c>
      <c r="E14" s="108">
        <f>'1853'!F29-'1853'!E29</f>
        <v>136</v>
      </c>
      <c r="F14" s="108">
        <f>'1853'!G29-'1853'!F29</f>
        <v>64</v>
      </c>
      <c r="G14" s="108">
        <f>'1853'!H29-'1853'!G29</f>
        <v>33</v>
      </c>
      <c r="H14" s="108">
        <f>'1853'!I29-'1853'!H29</f>
        <v>22</v>
      </c>
      <c r="I14" s="108">
        <f>'1853'!J29-'1853'!I29</f>
        <v>22</v>
      </c>
      <c r="J14" s="108">
        <f>'1853'!K29-'1853'!J29</f>
        <v>23</v>
      </c>
      <c r="K14" s="108">
        <f>'1853'!L29-'1853'!K29</f>
        <v>32</v>
      </c>
      <c r="L14" s="108">
        <f>'1853'!M29-'1853'!L29</f>
        <v>101</v>
      </c>
      <c r="M14" s="108">
        <f>'1853'!N29-'1853'!M29</f>
        <v>172</v>
      </c>
      <c r="N14" s="108">
        <f>'1853'!O29-'1853'!N29</f>
        <v>192</v>
      </c>
    </row>
    <row r="15" spans="1:14" ht="16.5" x14ac:dyDescent="0.35">
      <c r="A15" s="84">
        <v>1853</v>
      </c>
      <c r="B15" s="107" t="s">
        <v>97</v>
      </c>
      <c r="C15" s="109">
        <f t="shared" ref="C15:D15" si="21">C13/C14*1000</f>
        <v>158.65800865800855</v>
      </c>
      <c r="D15" s="109">
        <f t="shared" si="21"/>
        <v>149.2626728110601</v>
      </c>
      <c r="E15" s="109">
        <f t="shared" ref="E15:F15" si="22">E13/E14*1000</f>
        <v>137.13235294117632</v>
      </c>
      <c r="F15" s="109">
        <f t="shared" si="22"/>
        <v>134.68750000000006</v>
      </c>
      <c r="G15" s="109">
        <f t="shared" ref="G15:H15" si="23">G13/G14*1000</f>
        <v>136.36363636363635</v>
      </c>
      <c r="H15" s="109">
        <f t="shared" si="23"/>
        <v>133.63636363636351</v>
      </c>
      <c r="I15" s="109">
        <f t="shared" ref="I15" si="24">I13/I14*1000</f>
        <v>107.27272727272789</v>
      </c>
      <c r="J15" s="109">
        <f t="shared" ref="J15:K15" si="25">J13/J14*1000</f>
        <v>135.21739130434597</v>
      </c>
      <c r="K15" s="109">
        <f t="shared" si="25"/>
        <v>127.81250000000099</v>
      </c>
      <c r="L15" s="109">
        <f t="shared" ref="L15:M15" si="26">L13/L14*1000</f>
        <v>120.49504950495066</v>
      </c>
      <c r="M15" s="109">
        <f t="shared" si="26"/>
        <v>158.89534883720921</v>
      </c>
      <c r="N15" s="109">
        <f t="shared" ref="N15" si="27">N13/N14*1000</f>
        <v>164.7916666666666</v>
      </c>
    </row>
    <row r="16" spans="1:14" ht="15" hidden="1" customHeight="1" x14ac:dyDescent="0.35">
      <c r="A16" s="84">
        <v>1854</v>
      </c>
      <c r="B16" s="84" t="s">
        <v>78</v>
      </c>
      <c r="C16" s="167">
        <f>'1854'!D27-'1854'!C27</f>
        <v>36.870000000000005</v>
      </c>
      <c r="D16" s="167">
        <f>'1854'!E27-'1854'!D27</f>
        <v>32.700000000000045</v>
      </c>
      <c r="E16" s="167">
        <f>'1854'!F27-'1854'!E27</f>
        <v>24.669999999999959</v>
      </c>
      <c r="F16" s="167">
        <f>'1854'!G27-'1854'!F27</f>
        <v>12.730000000000018</v>
      </c>
      <c r="G16" s="167">
        <f>'1854'!H27-'1854'!G27</f>
        <v>6.4800000000000182</v>
      </c>
      <c r="H16" s="167">
        <f>'1854'!I27-'1854'!H27</f>
        <v>2.9199999999999591</v>
      </c>
      <c r="I16" s="167">
        <f>'1854'!J27-'1854'!I27</f>
        <v>2.7100000000000364</v>
      </c>
      <c r="J16" s="167">
        <f>'1854'!K27-'1854'!J27</f>
        <v>2.8399999999999181</v>
      </c>
      <c r="K16" s="167">
        <f>'1854'!L27-'1854'!K27</f>
        <v>6.5500000000000682</v>
      </c>
      <c r="L16" s="167">
        <f>'1854'!M27-'1854'!L27</f>
        <v>19.669999999999959</v>
      </c>
      <c r="M16" s="167">
        <f>'1854'!N27-'1854'!M27</f>
        <v>33.780000000000086</v>
      </c>
      <c r="N16" s="167">
        <f>'1854'!O27-'1854'!N27</f>
        <v>33.6099999999999</v>
      </c>
    </row>
    <row r="17" spans="1:14" ht="17.25" hidden="1" customHeight="1" x14ac:dyDescent="0.35">
      <c r="A17" s="84">
        <v>1854</v>
      </c>
      <c r="B17" s="107" t="s">
        <v>96</v>
      </c>
      <c r="C17" s="108">
        <f>'1854'!D28-'1854'!C28</f>
        <v>259</v>
      </c>
      <c r="D17" s="108">
        <f>'1854'!E28-'1854'!D28</f>
        <v>220</v>
      </c>
      <c r="E17" s="108">
        <f>'1854'!F28-'1854'!E28</f>
        <v>199</v>
      </c>
      <c r="F17" s="108">
        <f>'1854'!G28-'1854'!F28</f>
        <v>111</v>
      </c>
      <c r="G17" s="108">
        <f>'1854'!H28-'1854'!G28</f>
        <v>53</v>
      </c>
      <c r="H17" s="108">
        <f>'1854'!I28-'1854'!H28</f>
        <v>30</v>
      </c>
      <c r="I17" s="108">
        <f>'1854'!J28-'1854'!I28</f>
        <v>29</v>
      </c>
      <c r="J17" s="108">
        <f>'1854'!K28-'1854'!J28</f>
        <v>26</v>
      </c>
      <c r="K17" s="108">
        <f>'1854'!L28-'1854'!K28</f>
        <v>72</v>
      </c>
      <c r="L17" s="108">
        <f>'1854'!M28-'1854'!L28</f>
        <v>178</v>
      </c>
      <c r="M17" s="108">
        <f>'1854'!N28-'1854'!M28</f>
        <v>229</v>
      </c>
      <c r="N17" s="108">
        <f>'1854'!O28-'1854'!N28</f>
        <v>200</v>
      </c>
    </row>
    <row r="18" spans="1:14" ht="16.5" x14ac:dyDescent="0.35">
      <c r="A18" s="84">
        <v>1854</v>
      </c>
      <c r="B18" s="107" t="s">
        <v>97</v>
      </c>
      <c r="C18" s="109">
        <f t="shared" ref="C18:D18" si="28">C16/C17*1000</f>
        <v>142.35521235521236</v>
      </c>
      <c r="D18" s="109">
        <f t="shared" si="28"/>
        <v>148.63636363636385</v>
      </c>
      <c r="E18" s="109">
        <f t="shared" ref="E18:F18" si="29">E16/E17*1000</f>
        <v>123.96984924623095</v>
      </c>
      <c r="F18" s="109">
        <f t="shared" si="29"/>
        <v>114.68468468468484</v>
      </c>
      <c r="G18" s="109">
        <f t="shared" ref="G18:H18" si="30">G16/G17*1000</f>
        <v>122.26415094339657</v>
      </c>
      <c r="H18" s="109">
        <f t="shared" si="30"/>
        <v>97.333333333331964</v>
      </c>
      <c r="I18" s="109">
        <f t="shared" ref="I18" si="31">I16/I17*1000</f>
        <v>93.448275862070219</v>
      </c>
      <c r="J18" s="109">
        <f t="shared" ref="J18:K18" si="32">J16/J17*1000</f>
        <v>109.23076923076607</v>
      </c>
      <c r="K18" s="109">
        <f t="shared" si="32"/>
        <v>90.972222222223181</v>
      </c>
      <c r="L18" s="109">
        <f t="shared" ref="L18:M18" si="33">L16/L17*1000</f>
        <v>110.50561797752786</v>
      </c>
      <c r="M18" s="109">
        <f t="shared" si="33"/>
        <v>147.51091703056807</v>
      </c>
      <c r="N18" s="109">
        <f t="shared" ref="N18" si="34">N16/N17*1000</f>
        <v>168.0499999999995</v>
      </c>
    </row>
    <row r="19" spans="1:14" ht="15" hidden="1" customHeight="1" x14ac:dyDescent="0.35">
      <c r="A19" s="84">
        <v>1855</v>
      </c>
      <c r="B19" s="84" t="s">
        <v>78</v>
      </c>
      <c r="C19" s="167">
        <f>'1855'!D27-'1855'!C27</f>
        <v>39.990000000000123</v>
      </c>
      <c r="D19" s="167">
        <f>'1855'!E27-'1855'!D27</f>
        <v>33.589999999999918</v>
      </c>
      <c r="E19" s="167">
        <f>'1855'!F27-'1855'!E27</f>
        <v>21.869999999999891</v>
      </c>
      <c r="F19" s="167">
        <f>'1855'!G27-'1855'!F27</f>
        <v>11.009999999999991</v>
      </c>
      <c r="G19" s="167">
        <f>'1855'!H27-'1855'!G27</f>
        <v>7.0700000000001637</v>
      </c>
      <c r="H19" s="167">
        <f>'1855'!I27-'1855'!H27</f>
        <v>2.9399999999998272</v>
      </c>
      <c r="I19" s="167">
        <f>'1855'!J27-'1855'!I27</f>
        <v>2.5700000000001637</v>
      </c>
      <c r="J19" s="167">
        <f>'1855'!K27-'1855'!J27</f>
        <v>3.1900000000000546</v>
      </c>
      <c r="K19" s="167">
        <f>'1855'!L27-'1855'!K27</f>
        <v>5.2799999999999727</v>
      </c>
      <c r="L19" s="167">
        <f>'1855'!M27-'1855'!L27</f>
        <v>14.769999999999982</v>
      </c>
      <c r="M19" s="167">
        <f>'1855'!N27-'1855'!M27</f>
        <v>32.569999999999936</v>
      </c>
      <c r="N19" s="167">
        <f>'1855'!O27-'1855'!N27</f>
        <v>36.650000000000091</v>
      </c>
    </row>
    <row r="20" spans="1:14" ht="17.25" hidden="1" customHeight="1" x14ac:dyDescent="0.35">
      <c r="A20" s="84">
        <v>1855</v>
      </c>
      <c r="B20" s="107" t="s">
        <v>96</v>
      </c>
      <c r="C20" s="108">
        <f>'1855'!D28-'1855'!C28</f>
        <v>250</v>
      </c>
      <c r="D20" s="108">
        <f>'1855'!E28-'1855'!D28</f>
        <v>210</v>
      </c>
      <c r="E20" s="108">
        <f>'1855'!F28-'1855'!E28</f>
        <v>149</v>
      </c>
      <c r="F20" s="108">
        <f>'1855'!G28-'1855'!F28</f>
        <v>74</v>
      </c>
      <c r="G20" s="108">
        <f>'1855'!H28-'1855'!G28</f>
        <v>45</v>
      </c>
      <c r="H20" s="108">
        <f>'1855'!I28-'1855'!H28</f>
        <v>19</v>
      </c>
      <c r="I20" s="108">
        <f>'1855'!J28-'1855'!I28</f>
        <v>18</v>
      </c>
      <c r="J20" s="108">
        <f>'1855'!K28-'1855'!J28</f>
        <v>20</v>
      </c>
      <c r="K20" s="108">
        <f>'1855'!L28-'1855'!K28</f>
        <v>37</v>
      </c>
      <c r="L20" s="108">
        <f>'1855'!M28-'1855'!L28</f>
        <v>114</v>
      </c>
      <c r="M20" s="108">
        <f>'1855'!N28-'1855'!M28</f>
        <v>245</v>
      </c>
      <c r="N20" s="108">
        <f>'1855'!O28-'1855'!N28</f>
        <v>326</v>
      </c>
    </row>
    <row r="21" spans="1:14" ht="16.5" x14ac:dyDescent="0.35">
      <c r="A21" s="84">
        <v>1855</v>
      </c>
      <c r="B21" s="107" t="s">
        <v>97</v>
      </c>
      <c r="C21" s="109">
        <f t="shared" ref="C21:D21" si="35">C19/C20*1000</f>
        <v>159.96000000000049</v>
      </c>
      <c r="D21" s="109">
        <f t="shared" si="35"/>
        <v>159.95238095238057</v>
      </c>
      <c r="E21" s="109">
        <f t="shared" ref="E21:F21" si="36">E19/E20*1000</f>
        <v>146.77852348993216</v>
      </c>
      <c r="F21" s="109">
        <f t="shared" si="36"/>
        <v>148.78378378378366</v>
      </c>
      <c r="G21" s="109">
        <f t="shared" ref="G21:H21" si="37">G19/G20*1000</f>
        <v>157.11111111111475</v>
      </c>
      <c r="H21" s="109">
        <f t="shared" si="37"/>
        <v>154.73684210525406</v>
      </c>
      <c r="I21" s="109">
        <f t="shared" ref="I21" si="38">I19/I20*1000</f>
        <v>142.77777777778689</v>
      </c>
      <c r="J21" s="109">
        <f t="shared" ref="J21:K21" si="39">J19/J20*1000</f>
        <v>159.50000000000273</v>
      </c>
      <c r="K21" s="109">
        <f t="shared" si="39"/>
        <v>142.70270270270197</v>
      </c>
      <c r="L21" s="109">
        <f t="shared" ref="L21:M21" si="40">L19/L20*1000</f>
        <v>129.56140350877178</v>
      </c>
      <c r="M21" s="109">
        <f t="shared" si="40"/>
        <v>132.93877551020384</v>
      </c>
      <c r="N21" s="109">
        <f t="shared" ref="N21" si="41">N19/N20*1000</f>
        <v>112.42331288343587</v>
      </c>
    </row>
    <row r="22" spans="1:14" ht="15" hidden="1" customHeight="1" x14ac:dyDescent="0.35">
      <c r="A22" s="84">
        <v>1856</v>
      </c>
      <c r="B22" s="84" t="s">
        <v>78</v>
      </c>
      <c r="C22" s="167">
        <f>'1856'!D27-'1856'!C27</f>
        <v>36.8900000000001</v>
      </c>
      <c r="D22" s="167">
        <f>'1856'!E27-'1856'!D27</f>
        <v>30.189999999999941</v>
      </c>
      <c r="E22" s="167">
        <f>'1856'!F27-'1856'!E27</f>
        <v>19.25</v>
      </c>
      <c r="F22" s="167">
        <f>'1856'!G27-'1856'!F27</f>
        <v>7.6200000000000045</v>
      </c>
      <c r="G22" s="167">
        <f>'1856'!H27-'1856'!G27</f>
        <v>5.0099999999999909</v>
      </c>
      <c r="H22" s="167">
        <f>'1856'!I27-'1856'!H27</f>
        <v>2.6800000000000637</v>
      </c>
      <c r="I22" s="167">
        <f>'1856'!J27-'1856'!I27</f>
        <v>1.9799999999999045</v>
      </c>
      <c r="J22" s="167">
        <f>'1856'!K27-'1856'!J27</f>
        <v>2.3400000000000318</v>
      </c>
      <c r="K22" s="167">
        <f>'1856'!L27-'1856'!K27</f>
        <v>3.2400000000000091</v>
      </c>
      <c r="L22" s="167">
        <f>'1856'!M27-'1856'!L27</f>
        <v>11</v>
      </c>
      <c r="M22" s="167">
        <f>'1856'!N27-'1856'!M27</f>
        <v>27.600000000000023</v>
      </c>
      <c r="N22" s="167">
        <f>'1856'!O27-'1856'!N27</f>
        <v>32.330000000000041</v>
      </c>
    </row>
    <row r="23" spans="1:14" ht="17.25" hidden="1" customHeight="1" x14ac:dyDescent="0.35">
      <c r="A23" s="84">
        <v>1856</v>
      </c>
      <c r="B23" s="107" t="s">
        <v>96</v>
      </c>
      <c r="C23" s="108">
        <f>'1856'!D28-'1856'!C28</f>
        <v>247</v>
      </c>
      <c r="D23" s="108">
        <f>'1856'!E28-'1856'!D28</f>
        <v>199</v>
      </c>
      <c r="E23" s="108">
        <f>'1856'!F28-'1856'!E28</f>
        <v>125</v>
      </c>
      <c r="F23" s="108">
        <f>'1856'!G28-'1856'!F28</f>
        <v>45</v>
      </c>
      <c r="G23" s="108">
        <f>'1856'!H28-'1856'!G28</f>
        <v>30</v>
      </c>
      <c r="H23" s="108">
        <f>'1856'!I28-'1856'!H28</f>
        <v>16</v>
      </c>
      <c r="I23" s="108">
        <f>'1856'!J28-'1856'!I28</f>
        <v>14</v>
      </c>
      <c r="J23" s="108">
        <f>'1856'!K28-'1856'!J28</f>
        <v>15</v>
      </c>
      <c r="K23" s="108">
        <f>'1856'!L28-'1856'!K28</f>
        <v>22</v>
      </c>
      <c r="L23" s="108">
        <f>'1856'!M28-'1856'!L28</f>
        <v>80</v>
      </c>
      <c r="M23" s="108">
        <f>'1856'!N28-'1856'!M28</f>
        <v>179</v>
      </c>
      <c r="N23" s="108">
        <f>'1856'!O28-'1856'!N28</f>
        <v>201</v>
      </c>
    </row>
    <row r="24" spans="1:14" ht="16.5" x14ac:dyDescent="0.35">
      <c r="A24" s="84">
        <v>1856</v>
      </c>
      <c r="B24" s="107" t="s">
        <v>97</v>
      </c>
      <c r="C24" s="109">
        <f t="shared" ref="C24:D24" si="42">C22/C23*1000</f>
        <v>149.35222672064819</v>
      </c>
      <c r="D24" s="109">
        <f t="shared" si="42"/>
        <v>151.70854271356754</v>
      </c>
      <c r="E24" s="109">
        <f t="shared" ref="E24:F24" si="43">E22/E23*1000</f>
        <v>154</v>
      </c>
      <c r="F24" s="109">
        <f t="shared" si="43"/>
        <v>169.33333333333346</v>
      </c>
      <c r="G24" s="109">
        <f t="shared" ref="G24:H24" si="44">G22/G23*1000</f>
        <v>166.99999999999972</v>
      </c>
      <c r="H24" s="109">
        <f t="shared" si="44"/>
        <v>167.50000000000398</v>
      </c>
      <c r="I24" s="109">
        <f t="shared" ref="I24" si="45">I22/I23*1000</f>
        <v>141.4285714285646</v>
      </c>
      <c r="J24" s="109">
        <f t="shared" ref="J24:K24" si="46">J22/J23*1000</f>
        <v>156.0000000000021</v>
      </c>
      <c r="K24" s="109">
        <f t="shared" si="46"/>
        <v>147.27272727272771</v>
      </c>
      <c r="L24" s="109">
        <f t="shared" ref="L24:M24" si="47">L22/L23*1000</f>
        <v>137.5</v>
      </c>
      <c r="M24" s="109">
        <f t="shared" si="47"/>
        <v>154.18994413407833</v>
      </c>
      <c r="N24" s="109">
        <f t="shared" ref="N24" si="48">N22/N23*1000</f>
        <v>160.84577114427881</v>
      </c>
    </row>
    <row r="25" spans="1:14" ht="15" hidden="1" customHeight="1" x14ac:dyDescent="0.35">
      <c r="A25" s="84">
        <v>1857</v>
      </c>
      <c r="B25" s="84" t="s">
        <v>78</v>
      </c>
      <c r="C25" s="167">
        <f>'1857'!D27-'1857'!C27</f>
        <v>40.720000000000027</v>
      </c>
      <c r="D25" s="167">
        <f>'1857'!E27-'1857'!D27</f>
        <v>34.25</v>
      </c>
      <c r="E25" s="167">
        <f>'1857'!F27-'1857'!E27</f>
        <v>19.92999999999995</v>
      </c>
      <c r="F25" s="167">
        <f>'1857'!G27-'1857'!F27</f>
        <v>8.6800000000000637</v>
      </c>
      <c r="G25" s="167">
        <f>'1857'!H27-'1857'!G27</f>
        <v>6.1499999999999773</v>
      </c>
      <c r="H25" s="167">
        <f>'1857'!I27-'1857'!H27</f>
        <v>3.0199999999999818</v>
      </c>
      <c r="I25" s="167">
        <f>'1857'!J27-'1857'!I27</f>
        <v>2.3800000000001091</v>
      </c>
      <c r="J25" s="167">
        <f>'1857'!K27-'1857'!J27</f>
        <v>2.5299999999999727</v>
      </c>
      <c r="K25" s="167">
        <f>'1857'!L27-'1857'!K27</f>
        <v>4.5099999999999909</v>
      </c>
      <c r="L25" s="167">
        <f>'1857'!M27-'1857'!L27</f>
        <v>12.789999999999964</v>
      </c>
      <c r="M25" s="167">
        <f>'1857'!N27-'1857'!M27</f>
        <v>29.129999999999882</v>
      </c>
      <c r="N25" s="167">
        <f>'1857'!O27-'1857'!N27</f>
        <v>36.230000000000018</v>
      </c>
    </row>
    <row r="26" spans="1:14" ht="17.25" hidden="1" customHeight="1" x14ac:dyDescent="0.35">
      <c r="A26" s="84">
        <v>1857</v>
      </c>
      <c r="B26" s="107" t="s">
        <v>96</v>
      </c>
      <c r="C26" s="108">
        <f>'1857'!D28-'1857'!C28</f>
        <v>288</v>
      </c>
      <c r="D26" s="108">
        <f>'1857'!E28-'1857'!D28</f>
        <v>227</v>
      </c>
      <c r="E26" s="108">
        <f>'1857'!F28-'1857'!E28</f>
        <v>134</v>
      </c>
      <c r="F26" s="108">
        <f>'1857'!G28-'1857'!F28</f>
        <v>63</v>
      </c>
      <c r="G26" s="108">
        <f>'1857'!H28-'1857'!G28</f>
        <v>46</v>
      </c>
      <c r="H26" s="108">
        <f>'1857'!I28-'1857'!H28</f>
        <v>25</v>
      </c>
      <c r="I26" s="108">
        <f>'1857'!J28-'1857'!I28</f>
        <v>22</v>
      </c>
      <c r="J26" s="108">
        <f>'1857'!K28-'1857'!J28</f>
        <v>20</v>
      </c>
      <c r="K26" s="108">
        <f>'1857'!L28-'1857'!K28</f>
        <v>39</v>
      </c>
      <c r="L26" s="108">
        <f>'1857'!M28-'1857'!L28</f>
        <v>114</v>
      </c>
      <c r="M26" s="108">
        <f>'1857'!N28-'1857'!M28</f>
        <v>203</v>
      </c>
      <c r="N26" s="108">
        <f>'1857'!O28-'1857'!N28</f>
        <v>265</v>
      </c>
    </row>
    <row r="27" spans="1:14" ht="16.5" x14ac:dyDescent="0.35">
      <c r="A27" s="84">
        <v>1857</v>
      </c>
      <c r="B27" s="107" t="s">
        <v>97</v>
      </c>
      <c r="C27" s="109">
        <f t="shared" ref="C27:D27" si="49">C25/C26*1000</f>
        <v>141.38888888888897</v>
      </c>
      <c r="D27" s="109">
        <f t="shared" si="49"/>
        <v>150.88105726872249</v>
      </c>
      <c r="E27" s="109">
        <f t="shared" ref="E27:F27" si="50">E25/E26*1000</f>
        <v>148.73134328358174</v>
      </c>
      <c r="F27" s="109">
        <f t="shared" si="50"/>
        <v>137.77777777777877</v>
      </c>
      <c r="G27" s="109">
        <f t="shared" ref="G27:H27" si="51">G25/G26*1000</f>
        <v>133.69565217391255</v>
      </c>
      <c r="H27" s="109">
        <f t="shared" si="51"/>
        <v>120.79999999999927</v>
      </c>
      <c r="I27" s="109">
        <f t="shared" ref="I27" si="52">I25/I26*1000</f>
        <v>108.18181818182313</v>
      </c>
      <c r="J27" s="109">
        <f t="shared" ref="J27:K27" si="53">J25/J26*1000</f>
        <v>126.49999999999864</v>
      </c>
      <c r="K27" s="109">
        <f t="shared" si="53"/>
        <v>115.64102564102541</v>
      </c>
      <c r="L27" s="109">
        <f t="shared" ref="L27:M27" si="54">L25/L26*1000</f>
        <v>112.19298245614003</v>
      </c>
      <c r="M27" s="109">
        <f t="shared" si="54"/>
        <v>143.49753694581221</v>
      </c>
      <c r="N27" s="109">
        <f t="shared" ref="N27" si="55">N25/N26*1000</f>
        <v>136.71698113207555</v>
      </c>
    </row>
  </sheetData>
  <conditionalFormatting sqref="D4:N5">
    <cfRule type="cellIs" dxfId="3" priority="4" stopIfTrue="1" operator="equal">
      <formula>0</formula>
    </cfRule>
    <cfRule type="cellIs" dxfId="2" priority="5" stopIfTrue="1" operator="less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14"/>
  <sheetViews>
    <sheetView zoomScaleNormal="100" workbookViewId="0">
      <selection activeCell="W23" sqref="W23"/>
    </sheetView>
  </sheetViews>
  <sheetFormatPr defaultRowHeight="14.5" x14ac:dyDescent="0.35"/>
  <cols>
    <col min="1" max="1" width="9" customWidth="1"/>
    <col min="2" max="2" width="8.81640625" customWidth="1"/>
    <col min="16" max="16" width="8.7265625" customWidth="1"/>
    <col min="21" max="21" width="2.81640625" customWidth="1"/>
    <col min="23" max="23" width="9.26953125" customWidth="1"/>
  </cols>
  <sheetData>
    <row r="1" spans="1:25" x14ac:dyDescent="0.35">
      <c r="A1" s="24" t="s">
        <v>123</v>
      </c>
      <c r="E1" s="24" t="s">
        <v>122</v>
      </c>
      <c r="H1" s="24" t="s">
        <v>124</v>
      </c>
      <c r="O1" s="175">
        <f>'S1'!B1</f>
        <v>2025</v>
      </c>
    </row>
    <row r="2" spans="1:25" ht="2.25" customHeight="1" x14ac:dyDescent="0.35">
      <c r="A2" s="24"/>
      <c r="O2" s="176"/>
    </row>
    <row r="3" spans="1:25" ht="13.5" customHeight="1" x14ac:dyDescent="0.35">
      <c r="A3" s="106"/>
      <c r="B3" s="106"/>
      <c r="C3" s="84" t="s">
        <v>4</v>
      </c>
      <c r="D3" s="84" t="s">
        <v>5</v>
      </c>
      <c r="E3" s="84" t="s">
        <v>6</v>
      </c>
      <c r="F3" s="84" t="s">
        <v>7</v>
      </c>
      <c r="G3" s="84" t="s">
        <v>8</v>
      </c>
      <c r="H3" s="84" t="s">
        <v>9</v>
      </c>
      <c r="I3" s="84" t="s">
        <v>10</v>
      </c>
      <c r="J3" s="84" t="s">
        <v>11</v>
      </c>
      <c r="K3" s="84" t="s">
        <v>12</v>
      </c>
      <c r="L3" s="84" t="s">
        <v>13</v>
      </c>
      <c r="M3" s="84" t="s">
        <v>14</v>
      </c>
      <c r="N3" s="84" t="s">
        <v>3</v>
      </c>
      <c r="O3" s="175" t="s">
        <v>138</v>
      </c>
      <c r="Q3" s="159" t="s">
        <v>121</v>
      </c>
    </row>
    <row r="4" spans="1:25" ht="13.5" customHeight="1" x14ac:dyDescent="0.35">
      <c r="A4" s="84">
        <v>1850</v>
      </c>
      <c r="B4" s="84" t="s">
        <v>79</v>
      </c>
      <c r="C4" s="178">
        <f>'1850'!D26-'1850'!C26</f>
        <v>73.5</v>
      </c>
      <c r="D4" s="178">
        <f>'1850'!E26-'1850'!D26</f>
        <v>68.300000000000011</v>
      </c>
      <c r="E4" s="178">
        <f>'1850'!F26-'1850'!E26</f>
        <v>81.599999999999994</v>
      </c>
      <c r="F4" s="178">
        <f>'1850'!G26-'1850'!F26</f>
        <v>87.899999999999977</v>
      </c>
      <c r="G4" s="178">
        <f>'1850'!H26-'1850'!G26</f>
        <v>79.200000000000045</v>
      </c>
      <c r="H4" s="178">
        <f>'1850'!I26-'1850'!H26</f>
        <v>76</v>
      </c>
      <c r="I4" s="178">
        <f>'1850'!J26-'1850'!I26</f>
        <v>66.299999999999955</v>
      </c>
      <c r="J4" s="178">
        <f>'1850'!K26-'1850'!J26</f>
        <v>75.700000000000045</v>
      </c>
      <c r="K4" s="178">
        <f>'1850'!L26-'1850'!K26</f>
        <v>69.799999999999955</v>
      </c>
      <c r="L4" s="178">
        <f>'1850'!M26-'1850'!L26</f>
        <v>65.800000000000068</v>
      </c>
      <c r="M4" s="178">
        <f>'1850'!N26-'1850'!M26</f>
        <v>88</v>
      </c>
      <c r="N4" s="178">
        <f>'1850'!O26-'1850'!N26</f>
        <v>85.399999999999977</v>
      </c>
      <c r="O4" s="179">
        <f>SUM(C4:N4)</f>
        <v>917.5</v>
      </c>
    </row>
    <row r="5" spans="1:25" ht="13.5" customHeight="1" x14ac:dyDescent="0.35">
      <c r="A5" s="84">
        <v>1851</v>
      </c>
      <c r="B5" s="84" t="s">
        <v>79</v>
      </c>
      <c r="C5" s="178">
        <f>'1851'!E26-'1851'!D26</f>
        <v>80.500000000000014</v>
      </c>
      <c r="D5" s="178">
        <f>'1851'!F26-'1851'!E26</f>
        <v>81.5</v>
      </c>
      <c r="E5" s="178">
        <f>'1851'!G26-'1851'!F26</f>
        <v>94.599999999999966</v>
      </c>
      <c r="F5" s="178">
        <f>'1851'!H26-'1851'!G26</f>
        <v>91.800000000000011</v>
      </c>
      <c r="G5" s="178">
        <f>'1851'!I26-'1851'!H26</f>
        <v>88.699999999999989</v>
      </c>
      <c r="H5" s="178">
        <f>'1851'!J26-'1851'!I26</f>
        <v>80.399999999999977</v>
      </c>
      <c r="I5" s="178">
        <f>'1851'!K26-'1851'!J26</f>
        <v>86.200000000000045</v>
      </c>
      <c r="J5" s="178">
        <f>'1851'!L26-'1851'!K26</f>
        <v>90.399999999999977</v>
      </c>
      <c r="K5" s="178">
        <f>'1851'!M26-'1851'!L26</f>
        <v>85.399999999999977</v>
      </c>
      <c r="L5" s="178">
        <f>'1851'!N26-'1851'!M26</f>
        <v>83.600000000000023</v>
      </c>
      <c r="M5" s="178">
        <f>'1851'!O26-'1851'!N26</f>
        <v>92.000000000000114</v>
      </c>
      <c r="N5" s="178">
        <f>'1851'!P26-'1851'!O26</f>
        <v>83.699999999999818</v>
      </c>
      <c r="O5" s="179">
        <f t="shared" ref="O5:O14" si="0">SUM(C5:N5)</f>
        <v>1038.8</v>
      </c>
    </row>
    <row r="6" spans="1:25" ht="13.5" customHeight="1" x14ac:dyDescent="0.35">
      <c r="A6" s="84">
        <v>1852</v>
      </c>
      <c r="B6" s="84" t="s">
        <v>79</v>
      </c>
      <c r="C6" s="178">
        <f>'1852'!D26-'1852'!C26</f>
        <v>87.699999999999989</v>
      </c>
      <c r="D6" s="178">
        <f>'1852'!E26-'1852'!D26</f>
        <v>80.400000000000006</v>
      </c>
      <c r="E6" s="178">
        <f>'1852'!F26-'1852'!E26</f>
        <v>87.9</v>
      </c>
      <c r="F6" s="178">
        <f>'1852'!G26-'1852'!F26</f>
        <v>88.899999999999977</v>
      </c>
      <c r="G6" s="178">
        <f>'1852'!H26-'1852'!G26</f>
        <v>86.899999999999977</v>
      </c>
      <c r="H6" s="178">
        <f>'1852'!I26-'1852'!H26</f>
        <v>72.800000000000068</v>
      </c>
      <c r="I6" s="178">
        <f>'1852'!J26-'1852'!I26</f>
        <v>76.199999999999932</v>
      </c>
      <c r="J6" s="178">
        <f>'1852'!K26-'1852'!J26</f>
        <v>78.600000000000023</v>
      </c>
      <c r="K6" s="178">
        <f>'1852'!L26-'1852'!K26</f>
        <v>89.100000000000023</v>
      </c>
      <c r="L6" s="178">
        <f>'1852'!M26-'1852'!L26</f>
        <v>86.200000000000045</v>
      </c>
      <c r="M6" s="178">
        <f>'1852'!N26-'1852'!M26</f>
        <v>86.799999999999955</v>
      </c>
      <c r="N6" s="178">
        <f>'1852'!O26-'1852'!N26</f>
        <v>72.299999999999955</v>
      </c>
      <c r="O6" s="179">
        <f t="shared" si="0"/>
        <v>993.8</v>
      </c>
    </row>
    <row r="7" spans="1:25" ht="13.5" customHeight="1" x14ac:dyDescent="0.35">
      <c r="A7" s="84">
        <v>1853</v>
      </c>
      <c r="B7" s="84" t="s">
        <v>79</v>
      </c>
      <c r="C7" s="178">
        <f>'1853'!D27-'1853'!C27+'1853'!C26-'1853'!D26</f>
        <v>79.899999999999977</v>
      </c>
      <c r="D7" s="178">
        <f>'1853'!E27-'1853'!D27+'1853'!D26-'1853'!E26</f>
        <v>76.100000000000023</v>
      </c>
      <c r="E7" s="178">
        <f>'1853'!F27-'1853'!E27+'1853'!E26-'1853'!F26</f>
        <v>96.5</v>
      </c>
      <c r="F7" s="178">
        <f>'1853'!G27-'1853'!F27+'1853'!F26-'1853'!G26</f>
        <v>86.433999999999969</v>
      </c>
      <c r="G7" s="178">
        <f>'1853'!H27-'1853'!G27+'1853'!G26-'1853'!H26</f>
        <v>82.38799999999992</v>
      </c>
      <c r="H7" s="178">
        <f>'1853'!I27-'1853'!H27+'1853'!H26-'1853'!I26</f>
        <v>71.399999999999977</v>
      </c>
      <c r="I7" s="178">
        <f>'1853'!J27-'1853'!I27+'1853'!I26-'1853'!J26</f>
        <v>65.33400000000006</v>
      </c>
      <c r="J7" s="178">
        <f>'1853'!K27-'1853'!J27+'1853'!J26-'1853'!K26</f>
        <v>80.094000000000051</v>
      </c>
      <c r="K7" s="178">
        <f>'1853'!L27-'1853'!K27+'1853'!K26-'1853'!L26</f>
        <v>85.071000000000026</v>
      </c>
      <c r="L7" s="178">
        <f>'1853'!M27-'1853'!L27+'1853'!L26-'1853'!M26</f>
        <v>82.002999999999929</v>
      </c>
      <c r="M7" s="178">
        <f>'1853'!N27-'1853'!M27+'1853'!M26-'1853'!N26</f>
        <v>84.726999999999975</v>
      </c>
      <c r="N7" s="178">
        <f>'1853'!O27-'1853'!N27+'1853'!N26-'1853'!O26</f>
        <v>86.799999999999955</v>
      </c>
      <c r="O7" s="179">
        <f t="shared" si="0"/>
        <v>976.75099999999986</v>
      </c>
      <c r="W7" s="361" t="s">
        <v>449</v>
      </c>
      <c r="X7" s="361" t="s">
        <v>448</v>
      </c>
      <c r="Y7" s="361"/>
    </row>
    <row r="8" spans="1:25" ht="13.5" customHeight="1" x14ac:dyDescent="0.35">
      <c r="A8" s="84">
        <v>1854</v>
      </c>
      <c r="B8" s="84" t="s">
        <v>79</v>
      </c>
      <c r="C8" s="178">
        <f>'1854'!D26-'1854'!C26</f>
        <v>57.900000000000006</v>
      </c>
      <c r="D8" s="178">
        <f>'1854'!E26-'1854'!D26</f>
        <v>58.600000000000009</v>
      </c>
      <c r="E8" s="178">
        <f>'1854'!F26-'1854'!E26</f>
        <v>62.099999999999994</v>
      </c>
      <c r="F8" s="178">
        <f>'1854'!G26-'1854'!F26</f>
        <v>66.299999999999983</v>
      </c>
      <c r="G8" s="178">
        <f>'1854'!H26-'1854'!G26</f>
        <v>56.600000000000023</v>
      </c>
      <c r="H8" s="178">
        <f>'1854'!I26-'1854'!H26</f>
        <v>50.699999999999989</v>
      </c>
      <c r="I8" s="178">
        <f>'1854'!J26-'1854'!I26</f>
        <v>59.899999999999977</v>
      </c>
      <c r="J8" s="178">
        <f>'1854'!K26-'1854'!J26</f>
        <v>63.300000000000068</v>
      </c>
      <c r="K8" s="178">
        <f>'1854'!L26-'1854'!K26</f>
        <v>60.199999999999932</v>
      </c>
      <c r="L8" s="178">
        <f>'1854'!M26-'1854'!L26</f>
        <v>56.700000000000045</v>
      </c>
      <c r="M8" s="178">
        <f>'1854'!N26-'1854'!M26</f>
        <v>65.299999999999955</v>
      </c>
      <c r="N8" s="178">
        <f>'1854'!O26-'1854'!N26</f>
        <v>59.800000000000068</v>
      </c>
      <c r="O8" s="179">
        <f t="shared" si="0"/>
        <v>717.4</v>
      </c>
    </row>
    <row r="9" spans="1:25" ht="13.5" customHeight="1" x14ac:dyDescent="0.35">
      <c r="A9" s="84">
        <v>1855</v>
      </c>
      <c r="B9" s="84" t="s">
        <v>79</v>
      </c>
      <c r="C9" s="178">
        <f>'1855'!D26-'1855'!C26</f>
        <v>72.8</v>
      </c>
      <c r="D9" s="178">
        <f>'1855'!E26-'1855'!D26</f>
        <v>67.300000000000011</v>
      </c>
      <c r="E9" s="178">
        <f>'1855'!F26-'1855'!E26</f>
        <v>81.400000000000006</v>
      </c>
      <c r="F9" s="178">
        <f>'1855'!G26-'1855'!F26</f>
        <v>78.300000000000011</v>
      </c>
      <c r="G9" s="178">
        <f>'1855'!H26-'1855'!G26</f>
        <v>73</v>
      </c>
      <c r="H9" s="178">
        <f>'1855'!I26-'1855'!H26</f>
        <v>64.899999999999977</v>
      </c>
      <c r="I9" s="178">
        <f>'1855'!J26-'1855'!I26</f>
        <v>66.799999999999955</v>
      </c>
      <c r="J9" s="178">
        <f>'1855'!K26-'1855'!J26</f>
        <v>76.300000000000068</v>
      </c>
      <c r="K9" s="178">
        <f>'1855'!L26-'1855'!K26</f>
        <v>75.799999999999955</v>
      </c>
      <c r="L9" s="178">
        <f>'1855'!M26-'1855'!L26</f>
        <v>75.700000000000045</v>
      </c>
      <c r="M9" s="178">
        <f>'1855'!N26-'1855'!M26</f>
        <v>79.600000000000023</v>
      </c>
      <c r="N9" s="178">
        <f>'1855'!O26-'1855'!N26</f>
        <v>89.599999999999909</v>
      </c>
      <c r="O9" s="179">
        <f t="shared" si="0"/>
        <v>901.5</v>
      </c>
    </row>
    <row r="10" spans="1:25" ht="13.5" customHeight="1" x14ac:dyDescent="0.35">
      <c r="A10" s="84">
        <v>1856</v>
      </c>
      <c r="B10" s="84" t="s">
        <v>79</v>
      </c>
      <c r="C10" s="178">
        <f>'1856'!D26-'1856'!C26</f>
        <v>75.899999999999991</v>
      </c>
      <c r="D10" s="178">
        <f>'1856'!E26-'1856'!D26</f>
        <v>63.099999999999994</v>
      </c>
      <c r="E10" s="178">
        <f>'1856'!F26-'1856'!E26</f>
        <v>71.900000000000034</v>
      </c>
      <c r="F10" s="178">
        <f>'1856'!G26-'1856'!F26</f>
        <v>75.599999999999966</v>
      </c>
      <c r="G10" s="178">
        <f>'1856'!H26-'1856'!G26</f>
        <v>74</v>
      </c>
      <c r="H10" s="178">
        <f>'1856'!I26-'1856'!H26</f>
        <v>61.5</v>
      </c>
      <c r="I10" s="178">
        <f>'1856'!J26-'1856'!I26</f>
        <v>54.300000000000011</v>
      </c>
      <c r="J10" s="178">
        <f>'1856'!K26-'1856'!J26</f>
        <v>62.5</v>
      </c>
      <c r="K10" s="178">
        <f>'1856'!L26-'1856'!K26</f>
        <v>66.200000000000045</v>
      </c>
      <c r="L10" s="178">
        <f>'1856'!M26-'1856'!L26</f>
        <v>72.599999999999909</v>
      </c>
      <c r="M10" s="178">
        <f>'1856'!N26-'1856'!M26</f>
        <v>70.5</v>
      </c>
      <c r="N10" s="178">
        <f>'1856'!O26-'1856'!N26</f>
        <v>74.600000000000023</v>
      </c>
      <c r="O10" s="179">
        <f t="shared" si="0"/>
        <v>822.69999999999993</v>
      </c>
      <c r="X10" s="353" t="s">
        <v>317</v>
      </c>
    </row>
    <row r="11" spans="1:25" ht="13.5" customHeight="1" x14ac:dyDescent="0.35">
      <c r="A11" s="84">
        <v>1857</v>
      </c>
      <c r="B11" s="84" t="s">
        <v>79</v>
      </c>
      <c r="C11" s="178">
        <f>'1857'!D26-'1857'!C26</f>
        <v>86.6</v>
      </c>
      <c r="D11" s="178">
        <f>'1857'!E26-'1857'!D26</f>
        <v>78.5</v>
      </c>
      <c r="E11" s="178">
        <f>'1857'!F26-'1857'!E26</f>
        <v>78.300000000000011</v>
      </c>
      <c r="F11" s="178">
        <f>'1857'!G26-'1857'!F26</f>
        <v>79.399999999999977</v>
      </c>
      <c r="G11" s="178">
        <f>'1857'!H26-'1857'!G26</f>
        <v>80.300000000000011</v>
      </c>
      <c r="H11" s="178">
        <f>'1857'!I26-'1857'!H26</f>
        <v>69.5</v>
      </c>
      <c r="I11" s="178">
        <f>'1857'!J26-'1857'!I26</f>
        <v>67.399999999999977</v>
      </c>
      <c r="J11" s="178">
        <f>'1857'!K26-'1857'!J26</f>
        <v>70.899999999999977</v>
      </c>
      <c r="K11" s="178">
        <f>'1857'!L26-'1857'!K26</f>
        <v>79.300000000000068</v>
      </c>
      <c r="L11" s="178">
        <f>'1857'!M26-'1857'!L26</f>
        <v>82</v>
      </c>
      <c r="M11" s="178">
        <f>'1857'!N26-'1857'!M26</f>
        <v>88.699999999999932</v>
      </c>
      <c r="N11" s="178">
        <f>'1857'!O26-'1857'!N26</f>
        <v>87.400000000000091</v>
      </c>
      <c r="O11" s="179">
        <f t="shared" si="0"/>
        <v>948.30000000000007</v>
      </c>
    </row>
    <row r="12" spans="1:25" ht="13.5" customHeight="1" x14ac:dyDescent="0.35">
      <c r="A12" s="84" t="s">
        <v>136</v>
      </c>
      <c r="B12" s="84" t="s">
        <v>79</v>
      </c>
      <c r="C12" s="178">
        <f>'1850'!D29-'1850'!C29</f>
        <v>332.59999999999854</v>
      </c>
      <c r="D12" s="178">
        <f>'1850'!E29-'1850'!D29</f>
        <v>317.30000000000291</v>
      </c>
      <c r="E12" s="178">
        <f>'1850'!F29-'1850'!E29</f>
        <v>372.39999999999782</v>
      </c>
      <c r="F12" s="178">
        <f>'1850'!G29-'1850'!F29</f>
        <v>375.5</v>
      </c>
      <c r="G12" s="178">
        <f>'1850'!H29-'1850'!G29</f>
        <v>364.20000000000073</v>
      </c>
      <c r="H12" s="178">
        <f>'1850'!I29-'1850'!H29</f>
        <v>336</v>
      </c>
      <c r="I12" s="178">
        <f>'1850'!J29-'1850'!I29</f>
        <v>326.79999999999927</v>
      </c>
      <c r="J12" s="178">
        <f>'1850'!K29-'1850'!J29</f>
        <v>359.79999999999927</v>
      </c>
      <c r="K12" s="178">
        <f>'1850'!L29-'1850'!K29</f>
        <v>351</v>
      </c>
      <c r="L12" s="178">
        <f>'1850'!M29-'1850'!L29</f>
        <v>331.70000000000073</v>
      </c>
      <c r="M12" s="178">
        <f>'1850'!N29-'1850'!M29</f>
        <v>364.70000000000073</v>
      </c>
      <c r="N12" s="352">
        <f>'1850'!O29-'1850'!E33+'1850'!E32-'1850'!N29</f>
        <v>346</v>
      </c>
      <c r="O12" s="179">
        <f t="shared" si="0"/>
        <v>4178</v>
      </c>
      <c r="X12" s="352">
        <f>'1850'!Y29-'1850'!X29</f>
        <v>0</v>
      </c>
    </row>
    <row r="13" spans="1:25" ht="13.5" customHeight="1" x14ac:dyDescent="0.35">
      <c r="A13" s="84" t="s">
        <v>137</v>
      </c>
      <c r="B13" s="84" t="s">
        <v>79</v>
      </c>
      <c r="C13" s="178">
        <f>'1854'!D29-'1854'!C29</f>
        <v>286.5</v>
      </c>
      <c r="D13" s="178">
        <f>'1854'!E29-'1854'!D29</f>
        <v>261.10000000000036</v>
      </c>
      <c r="E13" s="178">
        <f>'1854'!F29-'1854'!E29</f>
        <v>285.89999999999964</v>
      </c>
      <c r="F13" s="178">
        <f>'1854'!G29-'1854'!F29</f>
        <v>290.89999999999964</v>
      </c>
      <c r="G13" s="178">
        <f>'1854'!H29-'1854'!G29</f>
        <v>274.39999999999964</v>
      </c>
      <c r="H13" s="178">
        <f>'1854'!I29-'1854'!H29</f>
        <v>239.20000000000073</v>
      </c>
      <c r="I13" s="178">
        <f>'1854'!J29-'1854'!I29</f>
        <v>241.60000000000036</v>
      </c>
      <c r="J13" s="178">
        <f>'1854'!K29-'1854'!J29</f>
        <v>264.69999999999891</v>
      </c>
      <c r="K13" s="178">
        <f>'1854'!L29-'1854'!K29</f>
        <v>271.90000000000146</v>
      </c>
      <c r="L13" s="360">
        <f>'1854'!M29-'1854'!L29</f>
        <v>112.20000000000073</v>
      </c>
      <c r="M13" s="360">
        <f>'1854'!N29-'1854'!M29</f>
        <v>256.09999999999854</v>
      </c>
      <c r="N13" s="352">
        <f>'1854'!O29-'1854'!N35+'1854'!N33-'1854'!N29</f>
        <v>301.5</v>
      </c>
      <c r="O13" s="179">
        <f t="shared" si="0"/>
        <v>3086</v>
      </c>
      <c r="X13" s="352">
        <f>'1854'!Y29-'1854'!X29</f>
        <v>0</v>
      </c>
    </row>
    <row r="14" spans="1:25" ht="13.5" customHeight="1" x14ac:dyDescent="0.35">
      <c r="A14" s="106" t="s">
        <v>120</v>
      </c>
      <c r="B14" s="84" t="s">
        <v>79</v>
      </c>
      <c r="C14" s="180">
        <f>'1853'!D26-'1853'!C26</f>
        <v>0</v>
      </c>
      <c r="D14" s="180">
        <f>'1853'!E26-'1853'!D26</f>
        <v>0</v>
      </c>
      <c r="E14" s="180">
        <f>'1853'!F26-'1853'!E26</f>
        <v>0</v>
      </c>
      <c r="F14" s="180">
        <f>'1853'!G26-'1853'!F26</f>
        <v>8.5660000000000309</v>
      </c>
      <c r="G14" s="180">
        <f>'1853'!H26-'1853'!G26</f>
        <v>15.412000000000035</v>
      </c>
      <c r="H14" s="180">
        <f>'1853'!I26-'1853'!H26</f>
        <v>24</v>
      </c>
      <c r="I14" s="180">
        <f>'1853'!J26-'1853'!I26</f>
        <v>19.966000000000008</v>
      </c>
      <c r="J14" s="180">
        <f>'1853'!K26-'1853'!J26</f>
        <v>23.905999999999949</v>
      </c>
      <c r="K14" s="180">
        <f>'1853'!L26-'1853'!K26</f>
        <v>10.828999999999951</v>
      </c>
      <c r="L14" s="180">
        <f>'1853'!M26-'1853'!L26</f>
        <v>1.1970000000000027</v>
      </c>
      <c r="M14" s="180">
        <f>'1853'!N26-'1853'!M26</f>
        <v>1.7730000000000246</v>
      </c>
      <c r="N14" s="180">
        <f>'1853'!O26-'1853'!N26</f>
        <v>0</v>
      </c>
      <c r="O14" s="181">
        <f t="shared" si="0"/>
        <v>105.649</v>
      </c>
    </row>
  </sheetData>
  <conditionalFormatting sqref="O4:O14">
    <cfRule type="cellIs" dxfId="1" priority="1" stopIfTrue="1" operator="equal">
      <formula>0</formula>
    </cfRule>
    <cfRule type="cellIs" dxfId="0" priority="2" stopIfTrue="1" operator="lessThan">
      <formula>0</formula>
    </cfRule>
  </conditionalFormatting>
  <pageMargins left="0.70866141732283472" right="0.70866141732283472" top="0.78740157480314965" bottom="0.78740157480314965" header="0.31496062992125984" footer="0.31496062992125984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26</vt:i4>
      </vt:variant>
      <vt:variant>
        <vt:lpstr>Pojmenované oblasti</vt:lpstr>
      </vt:variant>
      <vt:variant>
        <vt:i4>9</vt:i4>
      </vt:variant>
    </vt:vector>
  </HeadingPairs>
  <TitlesOfParts>
    <vt:vector size="35" baseType="lpstr">
      <vt:lpstr>1850</vt:lpstr>
      <vt:lpstr>1851</vt:lpstr>
      <vt:lpstr>1852</vt:lpstr>
      <vt:lpstr>1853</vt:lpstr>
      <vt:lpstr>1854</vt:lpstr>
      <vt:lpstr>1855</vt:lpstr>
      <vt:lpstr>1856</vt:lpstr>
      <vt:lpstr>1857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  <vt:lpstr>S11</vt:lpstr>
      <vt:lpstr>S12</vt:lpstr>
      <vt:lpstr>Rozdíly (2)</vt:lpstr>
      <vt:lpstr>S 2025</vt:lpstr>
      <vt:lpstr>S 2024 %</vt:lpstr>
      <vt:lpstr>Rozdíly</vt:lpstr>
      <vt:lpstr>Teplo-Paty</vt:lpstr>
      <vt:lpstr>Voda-Paty</vt:lpstr>
      <vt:lpstr>'1850'!Oblast_tisku</vt:lpstr>
      <vt:lpstr>'1851'!Oblast_tisku</vt:lpstr>
      <vt:lpstr>'1852'!Oblast_tisku</vt:lpstr>
      <vt:lpstr>'1853'!Oblast_tisku</vt:lpstr>
      <vt:lpstr>'1854'!Oblast_tisku</vt:lpstr>
      <vt:lpstr>'1855'!Oblast_tisku</vt:lpstr>
      <vt:lpstr>'1856'!Oblast_tisku</vt:lpstr>
      <vt:lpstr>'1857'!Oblast_tisku</vt:lpstr>
      <vt:lpstr>'S 2025'!Oblast_tisku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HP-HP</dc:creator>
  <cp:lastModifiedBy>Ivo Mraz</cp:lastModifiedBy>
  <cp:lastPrinted>2025-11-03T15:31:12Z</cp:lastPrinted>
  <dcterms:created xsi:type="dcterms:W3CDTF">2013-05-06T13:45:20Z</dcterms:created>
  <dcterms:modified xsi:type="dcterms:W3CDTF">2026-01-02T19:10:03Z</dcterms:modified>
</cp:coreProperties>
</file>