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6.xml" ContentType="application/vnd.openxmlformats-officedocument.drawingml.chartshapes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C:\Users\Ivo Mraz\Documents\Záloha Ivo 2023_09_04\Osobní\Osobní\Kybalovka\Odečty, faktury, objednávky\Odečty\Odečty 2023\"/>
    </mc:Choice>
  </mc:AlternateContent>
  <xr:revisionPtr revIDLastSave="0" documentId="13_ncr:1_{69FC78C5-BA6D-4655-B29D-4102FA027BE1}" xr6:coauthVersionLast="47" xr6:coauthVersionMax="47" xr10:uidLastSave="{00000000-0000-0000-0000-000000000000}"/>
  <bookViews>
    <workbookView xWindow="-110" yWindow="-110" windowWidth="25820" windowHeight="14020" tabRatio="743" activeTab="19" xr2:uid="{00000000-000D-0000-FFFF-FFFF00000000}"/>
  </bookViews>
  <sheets>
    <sheet name="1850" sheetId="1" r:id="rId1"/>
    <sheet name="1851" sheetId="2" r:id="rId2"/>
    <sheet name="1852" sheetId="3" r:id="rId3"/>
    <sheet name="1853" sheetId="4" r:id="rId4"/>
    <sheet name="1854" sheetId="5" r:id="rId5"/>
    <sheet name="1855" sheetId="6" r:id="rId6"/>
    <sheet name="1856" sheetId="7" r:id="rId7"/>
    <sheet name="1857" sheetId="8" r:id="rId8"/>
    <sheet name="S1" sheetId="9" r:id="rId9"/>
    <sheet name="S2" sheetId="10" r:id="rId10"/>
    <sheet name="S3" sheetId="11" r:id="rId11"/>
    <sheet name="S4" sheetId="12" r:id="rId12"/>
    <sheet name="S5" sheetId="13" r:id="rId13"/>
    <sheet name="S6" sheetId="14" r:id="rId14"/>
    <sheet name="S7" sheetId="15" r:id="rId15"/>
    <sheet name="S8" sheetId="16" r:id="rId16"/>
    <sheet name="S9" sheetId="24" r:id="rId17"/>
    <sheet name="S10" sheetId="18" r:id="rId18"/>
    <sheet name="S11" sheetId="19" r:id="rId19"/>
    <sheet name="S12" sheetId="20" r:id="rId20"/>
    <sheet name="Rozdíly" sheetId="21" r:id="rId21"/>
    <sheet name="Rozdíly (2)" sheetId="22" state="hidden" r:id="rId22"/>
    <sheet name="S 2022" sheetId="23" state="hidden" r:id="rId23"/>
    <sheet name="S 2022 %" sheetId="27" state="hidden" r:id="rId24"/>
    <sheet name="Teplo-Paty" sheetId="25" r:id="rId25"/>
    <sheet name="Voda-Paty" sheetId="26" r:id="rId26"/>
  </sheets>
  <definedNames>
    <definedName name="_xlnm.Print_Area" localSheetId="0">'1850'!$A$1:$O$29</definedName>
    <definedName name="_xlnm.Print_Area" localSheetId="1">'1851'!$A$1:$P$49</definedName>
    <definedName name="_xlnm.Print_Area" localSheetId="2">'1852'!$A$1:$O$30</definedName>
    <definedName name="_xlnm.Print_Area" localSheetId="3">'1853'!$A$1:$O$33</definedName>
    <definedName name="_xlnm.Print_Area" localSheetId="4">'1854'!$A$1:$O$30</definedName>
    <definedName name="_xlnm.Print_Area" localSheetId="5">'1855'!$A$1:$O$31</definedName>
    <definedName name="_xlnm.Print_Area" localSheetId="6">'1856'!$A$1:$O$31</definedName>
    <definedName name="_xlnm.Print_Area" localSheetId="7">'1857'!$A$1:$O$30</definedName>
    <definedName name="_xlnm.Print_Area" localSheetId="22">'S 2022'!$A$1:$P$31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" i="7" l="1"/>
  <c r="Q7" i="7"/>
  <c r="Q9" i="7"/>
  <c r="Q11" i="7"/>
  <c r="Q13" i="7"/>
  <c r="Q15" i="7"/>
  <c r="Q17" i="7"/>
  <c r="Q19" i="7"/>
  <c r="Q21" i="7"/>
  <c r="Q5" i="7"/>
  <c r="O42" i="5"/>
  <c r="R28" i="2"/>
  <c r="AV47" i="2"/>
  <c r="AV48" i="2"/>
  <c r="B10" i="27" l="1"/>
  <c r="E10" i="23"/>
  <c r="E10" i="27" s="1"/>
  <c r="D10" i="23"/>
  <c r="D10" i="27" s="1"/>
  <c r="C10" i="23"/>
  <c r="C10" i="27" s="1"/>
  <c r="B10" i="23"/>
  <c r="W13" i="23"/>
  <c r="R13" i="23"/>
  <c r="L28" i="23" l="1"/>
  <c r="E10" i="20"/>
  <c r="L29" i="21" s="1"/>
  <c r="D10" i="20"/>
  <c r="C10" i="20"/>
  <c r="F29" i="21" s="1"/>
  <c r="B10" i="20"/>
  <c r="C29" i="21" s="1"/>
  <c r="O2" i="8"/>
  <c r="O2" i="7"/>
  <c r="O2" i="6"/>
  <c r="O2" i="5"/>
  <c r="O2" i="4"/>
  <c r="O2" i="3"/>
  <c r="P2" i="2"/>
  <c r="N4" i="26"/>
  <c r="N5" i="26"/>
  <c r="N6" i="26"/>
  <c r="N7" i="26"/>
  <c r="N8" i="26"/>
  <c r="N9" i="26"/>
  <c r="N10" i="26"/>
  <c r="N11" i="26"/>
  <c r="N12" i="26"/>
  <c r="N13" i="26"/>
  <c r="N14" i="26"/>
  <c r="N7" i="25"/>
  <c r="N8" i="25"/>
  <c r="N9" i="25" s="1"/>
  <c r="N10" i="25"/>
  <c r="N11" i="25"/>
  <c r="N13" i="25"/>
  <c r="N14" i="25"/>
  <c r="N15" i="25" s="1"/>
  <c r="N16" i="25"/>
  <c r="N17" i="25"/>
  <c r="N19" i="25"/>
  <c r="N21" i="25" s="1"/>
  <c r="N20" i="25"/>
  <c r="N22" i="25"/>
  <c r="N23" i="25"/>
  <c r="N25" i="25"/>
  <c r="N26" i="25"/>
  <c r="N27" i="25"/>
  <c r="I29" i="21"/>
  <c r="N2" i="8"/>
  <c r="N2" i="7"/>
  <c r="N2" i="6"/>
  <c r="N2" i="5"/>
  <c r="N2" i="4"/>
  <c r="N2" i="3"/>
  <c r="AS47" i="2"/>
  <c r="AT47" i="2"/>
  <c r="AU47" i="2"/>
  <c r="AS48" i="2"/>
  <c r="AT48" i="2"/>
  <c r="AU48" i="2"/>
  <c r="O2" i="2"/>
  <c r="B19" i="19"/>
  <c r="D4" i="19"/>
  <c r="C4" i="19"/>
  <c r="E10" i="19"/>
  <c r="L27" i="21" s="1"/>
  <c r="D10" i="19"/>
  <c r="I27" i="21" s="1"/>
  <c r="C10" i="19"/>
  <c r="F27" i="21" s="1"/>
  <c r="B10" i="19"/>
  <c r="M4" i="26"/>
  <c r="M5" i="26"/>
  <c r="M6" i="26"/>
  <c r="M7" i="26"/>
  <c r="M8" i="26"/>
  <c r="M9" i="26"/>
  <c r="M10" i="26"/>
  <c r="M11" i="26"/>
  <c r="M12" i="26"/>
  <c r="M13" i="26"/>
  <c r="M14" i="26"/>
  <c r="M7" i="25"/>
  <c r="M8" i="25"/>
  <c r="M10" i="25"/>
  <c r="M11" i="25"/>
  <c r="M13" i="25"/>
  <c r="M14" i="25"/>
  <c r="M15" i="25"/>
  <c r="M16" i="25"/>
  <c r="M18" i="25" s="1"/>
  <c r="M17" i="25"/>
  <c r="M19" i="25"/>
  <c r="M20" i="25"/>
  <c r="M22" i="25"/>
  <c r="M24" i="25" s="1"/>
  <c r="M23" i="25"/>
  <c r="M25" i="25"/>
  <c r="M26" i="25"/>
  <c r="M27" i="25"/>
  <c r="C27" i="21"/>
  <c r="L4" i="26"/>
  <c r="L5" i="26"/>
  <c r="L6" i="26"/>
  <c r="L7" i="26"/>
  <c r="L8" i="26"/>
  <c r="L9" i="26"/>
  <c r="L10" i="26"/>
  <c r="L11" i="26"/>
  <c r="L12" i="26"/>
  <c r="L13" i="26"/>
  <c r="L14" i="26"/>
  <c r="L6" i="25"/>
  <c r="L7" i="25"/>
  <c r="L9" i="25" s="1"/>
  <c r="L8" i="25"/>
  <c r="L10" i="25"/>
  <c r="L11" i="25"/>
  <c r="L12" i="25" s="1"/>
  <c r="L13" i="25"/>
  <c r="L14" i="25"/>
  <c r="L15" i="25"/>
  <c r="L16" i="25"/>
  <c r="L18" i="25" s="1"/>
  <c r="L17" i="25"/>
  <c r="L19" i="25"/>
  <c r="L21" i="25" s="1"/>
  <c r="L20" i="25"/>
  <c r="L22" i="25"/>
  <c r="L23" i="25"/>
  <c r="L24" i="25" s="1"/>
  <c r="L25" i="25"/>
  <c r="L26" i="25"/>
  <c r="L27" i="25"/>
  <c r="X25" i="21"/>
  <c r="U25" i="21"/>
  <c r="R25" i="21"/>
  <c r="O25" i="21"/>
  <c r="L25" i="21"/>
  <c r="I25" i="21"/>
  <c r="F25" i="21"/>
  <c r="C25" i="21"/>
  <c r="Y24" i="21"/>
  <c r="Z24" i="21" s="1"/>
  <c r="X24" i="21"/>
  <c r="W24" i="21"/>
  <c r="V24" i="21"/>
  <c r="U24" i="21"/>
  <c r="S24" i="21"/>
  <c r="T24" i="21" s="1"/>
  <c r="R24" i="21"/>
  <c r="P24" i="21"/>
  <c r="Q24" i="21" s="1"/>
  <c r="O24" i="21"/>
  <c r="M24" i="21"/>
  <c r="N24" i="21" s="1"/>
  <c r="L24" i="21"/>
  <c r="K24" i="21"/>
  <c r="J24" i="21"/>
  <c r="I24" i="21"/>
  <c r="H24" i="21"/>
  <c r="G24" i="21"/>
  <c r="F24" i="21"/>
  <c r="E24" i="21"/>
  <c r="D24" i="21"/>
  <c r="C24" i="21"/>
  <c r="D24" i="18"/>
  <c r="O24" i="18"/>
  <c r="E10" i="18"/>
  <c r="D10" i="18"/>
  <c r="C10" i="18"/>
  <c r="B10" i="18"/>
  <c r="M2" i="8"/>
  <c r="M2" i="7"/>
  <c r="M2" i="6"/>
  <c r="AE12" i="5"/>
  <c r="AF12" i="5"/>
  <c r="M2" i="5"/>
  <c r="M2" i="4"/>
  <c r="AG8" i="2"/>
  <c r="AF20" i="3"/>
  <c r="AE20" i="3"/>
  <c r="M2" i="3"/>
  <c r="AF8" i="2"/>
  <c r="N2" i="2"/>
  <c r="K4" i="26"/>
  <c r="K5" i="26"/>
  <c r="K6" i="26"/>
  <c r="K7" i="26"/>
  <c r="K8" i="26"/>
  <c r="K9" i="26"/>
  <c r="K10" i="26"/>
  <c r="K11" i="26"/>
  <c r="K12" i="26"/>
  <c r="K13" i="26"/>
  <c r="K14" i="26"/>
  <c r="K6" i="25"/>
  <c r="K7" i="25"/>
  <c r="K9" i="25" s="1"/>
  <c r="K8" i="25"/>
  <c r="K10" i="25"/>
  <c r="K12" i="25" s="1"/>
  <c r="K11" i="25"/>
  <c r="K13" i="25"/>
  <c r="K14" i="25"/>
  <c r="K15" i="25"/>
  <c r="K16" i="25"/>
  <c r="K18" i="25" s="1"/>
  <c r="K17" i="25"/>
  <c r="K19" i="25"/>
  <c r="K21" i="25" s="1"/>
  <c r="K20" i="25"/>
  <c r="K22" i="25"/>
  <c r="K24" i="25" s="1"/>
  <c r="K23" i="25"/>
  <c r="K25" i="25"/>
  <c r="K26" i="25"/>
  <c r="K27" i="25"/>
  <c r="X23" i="21"/>
  <c r="U23" i="21"/>
  <c r="R23" i="21"/>
  <c r="O23" i="21"/>
  <c r="L23" i="21"/>
  <c r="I23" i="21"/>
  <c r="F23" i="21"/>
  <c r="C23" i="21"/>
  <c r="Y22" i="21"/>
  <c r="Z22" i="21" s="1"/>
  <c r="X22" i="21"/>
  <c r="W22" i="21"/>
  <c r="V22" i="21"/>
  <c r="U22" i="21"/>
  <c r="S22" i="21"/>
  <c r="T22" i="21" s="1"/>
  <c r="R22" i="21"/>
  <c r="Q22" i="21"/>
  <c r="P22" i="21"/>
  <c r="O22" i="21"/>
  <c r="M22" i="21"/>
  <c r="N22" i="21" s="1"/>
  <c r="L22" i="21"/>
  <c r="K22" i="21"/>
  <c r="J22" i="21"/>
  <c r="I22" i="21"/>
  <c r="H22" i="21"/>
  <c r="G22" i="21"/>
  <c r="F22" i="21"/>
  <c r="E22" i="21"/>
  <c r="D22" i="21"/>
  <c r="C22" i="21"/>
  <c r="L11" i="7"/>
  <c r="E10" i="24"/>
  <c r="D10" i="24"/>
  <c r="C10" i="24"/>
  <c r="B10" i="24"/>
  <c r="L2" i="8"/>
  <c r="L2" i="7"/>
  <c r="L2" i="6"/>
  <c r="L2" i="5"/>
  <c r="L2" i="4"/>
  <c r="L2" i="3"/>
  <c r="M2" i="2"/>
  <c r="X21" i="21"/>
  <c r="U21" i="21"/>
  <c r="R21" i="21"/>
  <c r="O21" i="21"/>
  <c r="L21" i="21"/>
  <c r="I21" i="21"/>
  <c r="F21" i="21"/>
  <c r="H20" i="21" s="1"/>
  <c r="C21" i="21"/>
  <c r="Y20" i="21"/>
  <c r="Z20" i="21" s="1"/>
  <c r="X20" i="21"/>
  <c r="W20" i="21"/>
  <c r="V20" i="21"/>
  <c r="U20" i="21"/>
  <c r="T20" i="21"/>
  <c r="S20" i="21"/>
  <c r="R20" i="21"/>
  <c r="P20" i="21"/>
  <c r="Q20" i="21" s="1"/>
  <c r="O20" i="21"/>
  <c r="M20" i="21"/>
  <c r="N20" i="21" s="1"/>
  <c r="L20" i="21"/>
  <c r="K20" i="21"/>
  <c r="J20" i="21"/>
  <c r="I20" i="21"/>
  <c r="G20" i="21"/>
  <c r="F20" i="21"/>
  <c r="D20" i="21"/>
  <c r="E20" i="21" s="1"/>
  <c r="C20" i="21"/>
  <c r="J14" i="25"/>
  <c r="J13" i="25"/>
  <c r="J11" i="25"/>
  <c r="J10" i="25"/>
  <c r="J7" i="25"/>
  <c r="L4" i="25"/>
  <c r="M4" i="25"/>
  <c r="N4" i="25"/>
  <c r="K4" i="25"/>
  <c r="J4" i="25"/>
  <c r="J8" i="25"/>
  <c r="J9" i="25" s="1"/>
  <c r="J5" i="25"/>
  <c r="J4" i="26"/>
  <c r="J5" i="26"/>
  <c r="J6" i="26"/>
  <c r="J7" i="26"/>
  <c r="J8" i="26"/>
  <c r="J9" i="26"/>
  <c r="J10" i="26"/>
  <c r="J11" i="26"/>
  <c r="J12" i="26"/>
  <c r="J13" i="26"/>
  <c r="J14" i="26"/>
  <c r="J6" i="25"/>
  <c r="J12" i="25"/>
  <c r="J15" i="25"/>
  <c r="J16" i="25"/>
  <c r="J17" i="25"/>
  <c r="J18" i="25"/>
  <c r="J19" i="25"/>
  <c r="J20" i="25"/>
  <c r="J21" i="25"/>
  <c r="J22" i="25"/>
  <c r="J24" i="25" s="1"/>
  <c r="J23" i="25"/>
  <c r="J25" i="25"/>
  <c r="J27" i="25" s="1"/>
  <c r="J26" i="25"/>
  <c r="E10" i="16"/>
  <c r="D10" i="16"/>
  <c r="C10" i="16"/>
  <c r="B10" i="16"/>
  <c r="K2" i="8"/>
  <c r="K11" i="7"/>
  <c r="K2" i="7"/>
  <c r="K2" i="6"/>
  <c r="K2" i="5"/>
  <c r="AD28" i="4"/>
  <c r="AE28" i="4"/>
  <c r="AF28" i="4"/>
  <c r="AC28" i="4"/>
  <c r="AB28" i="4"/>
  <c r="K2" i="4"/>
  <c r="K2" i="3"/>
  <c r="AR47" i="2"/>
  <c r="AR48" i="2"/>
  <c r="L2" i="2"/>
  <c r="Q29" i="4"/>
  <c r="Q28" i="3"/>
  <c r="R27" i="2"/>
  <c r="Q27" i="3"/>
  <c r="Q28" i="4"/>
  <c r="Q28" i="1"/>
  <c r="Q27" i="1"/>
  <c r="I4" i="26"/>
  <c r="I5" i="26"/>
  <c r="I6" i="26"/>
  <c r="I7" i="26"/>
  <c r="I8" i="26"/>
  <c r="I9" i="26"/>
  <c r="I10" i="26"/>
  <c r="I11" i="26"/>
  <c r="I12" i="26"/>
  <c r="I13" i="26"/>
  <c r="I14" i="26"/>
  <c r="I7" i="25"/>
  <c r="I8" i="25"/>
  <c r="I9" i="25" s="1"/>
  <c r="I10" i="25"/>
  <c r="I11" i="25"/>
  <c r="I12" i="25"/>
  <c r="I13" i="25"/>
  <c r="I15" i="25" s="1"/>
  <c r="I14" i="25"/>
  <c r="I16" i="25"/>
  <c r="I17" i="25"/>
  <c r="I18" i="25"/>
  <c r="I19" i="25"/>
  <c r="I20" i="25"/>
  <c r="I21" i="25"/>
  <c r="I22" i="25"/>
  <c r="I23" i="25"/>
  <c r="I24" i="25"/>
  <c r="I25" i="25"/>
  <c r="I27" i="25" s="1"/>
  <c r="I26" i="25"/>
  <c r="J11" i="7"/>
  <c r="AB4" i="1"/>
  <c r="AB6" i="1"/>
  <c r="AB8" i="1"/>
  <c r="AB10" i="1"/>
  <c r="AB12" i="1"/>
  <c r="AB14" i="1"/>
  <c r="AB16" i="1"/>
  <c r="AB18" i="1"/>
  <c r="AB20" i="1"/>
  <c r="AB22" i="1"/>
  <c r="J2" i="8"/>
  <c r="J2" i="7"/>
  <c r="J2" i="6"/>
  <c r="J2" i="5"/>
  <c r="J2" i="4"/>
  <c r="J2" i="3"/>
  <c r="K2" i="2"/>
  <c r="H4" i="26"/>
  <c r="H5" i="26"/>
  <c r="H6" i="26"/>
  <c r="H7" i="26"/>
  <c r="H8" i="26"/>
  <c r="H9" i="26"/>
  <c r="H10" i="26"/>
  <c r="H11" i="26"/>
  <c r="H12" i="26"/>
  <c r="H13" i="26"/>
  <c r="H14" i="26"/>
  <c r="H7" i="25"/>
  <c r="H8" i="25"/>
  <c r="H10" i="25"/>
  <c r="H11" i="25"/>
  <c r="H12" i="25"/>
  <c r="H13" i="25"/>
  <c r="H14" i="25"/>
  <c r="H15" i="25" s="1"/>
  <c r="H16" i="25"/>
  <c r="H17" i="25"/>
  <c r="H18" i="25" s="1"/>
  <c r="H19" i="25"/>
  <c r="H20" i="25"/>
  <c r="H22" i="25"/>
  <c r="H24" i="25" s="1"/>
  <c r="H23" i="25"/>
  <c r="H25" i="25"/>
  <c r="H26" i="25"/>
  <c r="H27" i="25" s="1"/>
  <c r="I11" i="7"/>
  <c r="I2" i="8"/>
  <c r="I2" i="7"/>
  <c r="I2" i="6"/>
  <c r="I2" i="5"/>
  <c r="I2" i="4"/>
  <c r="I2" i="3"/>
  <c r="J2" i="2"/>
  <c r="G4" i="26"/>
  <c r="G5" i="26"/>
  <c r="G6" i="26"/>
  <c r="G7" i="26"/>
  <c r="G8" i="26"/>
  <c r="G9" i="26"/>
  <c r="G10" i="26"/>
  <c r="G11" i="26"/>
  <c r="G12" i="26"/>
  <c r="G13" i="26"/>
  <c r="G14" i="26"/>
  <c r="G7" i="25"/>
  <c r="G8" i="25"/>
  <c r="G10" i="25"/>
  <c r="G11" i="25"/>
  <c r="G13" i="25"/>
  <c r="G14" i="25"/>
  <c r="G16" i="25"/>
  <c r="G17" i="25"/>
  <c r="G18" i="25" s="1"/>
  <c r="G19" i="25"/>
  <c r="G20" i="25"/>
  <c r="G21" i="25" s="1"/>
  <c r="G22" i="25"/>
  <c r="G23" i="25"/>
  <c r="G25" i="25"/>
  <c r="G26" i="25"/>
  <c r="H11" i="7"/>
  <c r="H2" i="8"/>
  <c r="H2" i="7"/>
  <c r="H2" i="6"/>
  <c r="H2" i="5"/>
  <c r="H2" i="4"/>
  <c r="H2" i="3"/>
  <c r="I2" i="2"/>
  <c r="F4" i="26"/>
  <c r="F5" i="26"/>
  <c r="F6" i="26"/>
  <c r="F7" i="26"/>
  <c r="F8" i="26"/>
  <c r="F9" i="26"/>
  <c r="F10" i="26"/>
  <c r="F11" i="26"/>
  <c r="F12" i="26"/>
  <c r="F13" i="26"/>
  <c r="F14" i="26"/>
  <c r="F7" i="25"/>
  <c r="F8" i="25"/>
  <c r="F9" i="25" s="1"/>
  <c r="F10" i="25"/>
  <c r="F11" i="25"/>
  <c r="F12" i="25" s="1"/>
  <c r="F13" i="25"/>
  <c r="F14" i="25"/>
  <c r="F16" i="25"/>
  <c r="F17" i="25"/>
  <c r="F19" i="25"/>
  <c r="F20" i="25"/>
  <c r="F22" i="25"/>
  <c r="F23" i="25"/>
  <c r="F24" i="25" s="1"/>
  <c r="F25" i="25"/>
  <c r="F26" i="25"/>
  <c r="G2" i="8"/>
  <c r="G11" i="7"/>
  <c r="G2" i="7"/>
  <c r="G2" i="6"/>
  <c r="G2" i="5"/>
  <c r="G2" i="4"/>
  <c r="G2" i="3"/>
  <c r="Q8" i="2"/>
  <c r="H2" i="2"/>
  <c r="F11" i="7"/>
  <c r="E4" i="26"/>
  <c r="E5" i="26"/>
  <c r="E6" i="26"/>
  <c r="E7" i="26"/>
  <c r="E8" i="26"/>
  <c r="E9" i="26"/>
  <c r="E10" i="26"/>
  <c r="E11" i="26"/>
  <c r="E12" i="26"/>
  <c r="E13" i="26"/>
  <c r="E14" i="26"/>
  <c r="E7" i="25"/>
  <c r="E8" i="25"/>
  <c r="E10" i="25"/>
  <c r="E11" i="25"/>
  <c r="E13" i="25"/>
  <c r="E14" i="25"/>
  <c r="E16" i="25"/>
  <c r="E17" i="25"/>
  <c r="E19" i="25"/>
  <c r="E20" i="25"/>
  <c r="E22" i="25"/>
  <c r="E23" i="25"/>
  <c r="E25" i="25"/>
  <c r="E26" i="25"/>
  <c r="F2" i="8"/>
  <c r="F2" i="7"/>
  <c r="F2" i="6"/>
  <c r="F2" i="5"/>
  <c r="F2" i="4"/>
  <c r="F2" i="3"/>
  <c r="G2" i="2"/>
  <c r="D4" i="26"/>
  <c r="D5" i="26"/>
  <c r="D6" i="26"/>
  <c r="D7" i="26"/>
  <c r="D8" i="26"/>
  <c r="D9" i="26"/>
  <c r="D10" i="26"/>
  <c r="D11" i="26"/>
  <c r="D12" i="26"/>
  <c r="D13" i="26"/>
  <c r="D14" i="26"/>
  <c r="D7" i="25"/>
  <c r="D8" i="25"/>
  <c r="D10" i="25"/>
  <c r="D11" i="25"/>
  <c r="D13" i="25"/>
  <c r="D14" i="25"/>
  <c r="D16" i="25"/>
  <c r="D17" i="25"/>
  <c r="D19" i="25"/>
  <c r="D20" i="25"/>
  <c r="D22" i="25"/>
  <c r="D23" i="25"/>
  <c r="D25" i="25"/>
  <c r="D26" i="25"/>
  <c r="B12" i="10"/>
  <c r="R25" i="1"/>
  <c r="E11" i="7"/>
  <c r="E2" i="8"/>
  <c r="E2" i="7"/>
  <c r="E2" i="6"/>
  <c r="E2" i="5"/>
  <c r="E2" i="4"/>
  <c r="E2" i="3"/>
  <c r="F2" i="2"/>
  <c r="D11" i="7"/>
  <c r="E29" i="2"/>
  <c r="F29" i="2"/>
  <c r="G29" i="2"/>
  <c r="H29" i="2"/>
  <c r="I29" i="2"/>
  <c r="J29" i="2"/>
  <c r="K29" i="2"/>
  <c r="L29" i="2"/>
  <c r="M29" i="2"/>
  <c r="N29" i="2"/>
  <c r="O29" i="2"/>
  <c r="P29" i="2"/>
  <c r="D29" i="2"/>
  <c r="D2" i="3"/>
  <c r="N24" i="25" l="1"/>
  <c r="N18" i="25"/>
  <c r="N12" i="25"/>
  <c r="M21" i="25"/>
  <c r="M12" i="25"/>
  <c r="M9" i="25"/>
  <c r="G24" i="25"/>
  <c r="F18" i="25"/>
  <c r="F15" i="25"/>
  <c r="D9" i="25"/>
  <c r="G12" i="25"/>
  <c r="G9" i="25"/>
  <c r="H21" i="25"/>
  <c r="H9" i="25"/>
  <c r="D24" i="25"/>
  <c r="D21" i="25"/>
  <c r="D18" i="25"/>
  <c r="D15" i="25"/>
  <c r="D12" i="25"/>
  <c r="F27" i="25"/>
  <c r="G27" i="25"/>
  <c r="G15" i="25"/>
  <c r="E24" i="25"/>
  <c r="E21" i="25"/>
  <c r="E18" i="25"/>
  <c r="E15" i="25"/>
  <c r="E12" i="25"/>
  <c r="F21" i="25"/>
  <c r="E9" i="25"/>
  <c r="E27" i="25"/>
  <c r="D27" i="25"/>
  <c r="V27" i="4"/>
  <c r="W27" i="4"/>
  <c r="X27" i="4"/>
  <c r="Y27" i="4"/>
  <c r="Z27" i="4"/>
  <c r="AA27" i="4"/>
  <c r="AB27" i="4"/>
  <c r="AC27" i="4"/>
  <c r="AD27" i="4"/>
  <c r="AE27" i="4"/>
  <c r="AF27" i="4"/>
  <c r="U27" i="4"/>
  <c r="V28" i="4"/>
  <c r="W28" i="4"/>
  <c r="X28" i="4"/>
  <c r="Y28" i="4"/>
  <c r="Z28" i="4"/>
  <c r="AA28" i="4"/>
  <c r="U28" i="4"/>
  <c r="O41" i="1"/>
  <c r="Q23" i="1" l="1"/>
  <c r="R23" i="2"/>
  <c r="R7" i="2"/>
  <c r="R9" i="2"/>
  <c r="R11" i="2"/>
  <c r="R13" i="2"/>
  <c r="R15" i="2"/>
  <c r="R17" i="2"/>
  <c r="R19" i="2"/>
  <c r="R21" i="2"/>
  <c r="R5" i="2"/>
  <c r="Q23" i="3"/>
  <c r="Q7" i="3"/>
  <c r="Q9" i="3"/>
  <c r="Q11" i="3"/>
  <c r="Q13" i="3"/>
  <c r="Q15" i="3"/>
  <c r="Q17" i="3"/>
  <c r="Q19" i="3"/>
  <c r="Q21" i="3"/>
  <c r="Q5" i="3"/>
  <c r="Q23" i="4"/>
  <c r="Q7" i="4"/>
  <c r="Q9" i="4"/>
  <c r="Q11" i="4"/>
  <c r="Q13" i="4"/>
  <c r="Q15" i="4"/>
  <c r="Q17" i="4"/>
  <c r="Q19" i="4"/>
  <c r="Q21" i="4"/>
  <c r="Q5" i="4"/>
  <c r="Q23" i="5"/>
  <c r="Q7" i="5"/>
  <c r="Q9" i="5"/>
  <c r="Q11" i="5"/>
  <c r="Q13" i="5"/>
  <c r="Q15" i="5"/>
  <c r="Q17" i="5"/>
  <c r="Q19" i="5"/>
  <c r="Q21" i="5"/>
  <c r="Q5" i="5"/>
  <c r="Q23" i="6"/>
  <c r="Q7" i="6"/>
  <c r="Q9" i="6"/>
  <c r="Q11" i="6"/>
  <c r="Q13" i="6"/>
  <c r="Q15" i="6"/>
  <c r="Q17" i="6"/>
  <c r="Q19" i="6"/>
  <c r="Q21" i="6"/>
  <c r="Q5" i="6"/>
  <c r="Q23" i="8"/>
  <c r="Q7" i="8"/>
  <c r="Q9" i="8"/>
  <c r="Q11" i="8"/>
  <c r="Q13" i="8"/>
  <c r="Q15" i="8"/>
  <c r="Q17" i="8"/>
  <c r="Q19" i="8"/>
  <c r="Q21" i="8"/>
  <c r="Q5" i="8"/>
  <c r="B12" i="27"/>
  <c r="B12" i="23"/>
  <c r="AF4" i="8"/>
  <c r="AF6" i="8"/>
  <c r="AF8" i="8"/>
  <c r="AF10" i="8"/>
  <c r="AF12" i="8"/>
  <c r="AF14" i="8"/>
  <c r="AF16" i="8"/>
  <c r="AF18" i="8"/>
  <c r="AF20" i="8"/>
  <c r="AF22" i="8"/>
  <c r="AF4" i="7"/>
  <c r="AF6" i="7"/>
  <c r="AF8" i="7"/>
  <c r="AF10" i="7"/>
  <c r="AF12" i="7"/>
  <c r="AF14" i="7"/>
  <c r="AF16" i="7"/>
  <c r="AF18" i="7"/>
  <c r="AF20" i="7"/>
  <c r="AF22" i="7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4" i="5"/>
  <c r="AF6" i="5"/>
  <c r="AF8" i="5"/>
  <c r="AF10" i="5"/>
  <c r="AF14" i="5"/>
  <c r="AF16" i="5"/>
  <c r="AF18" i="5"/>
  <c r="AF20" i="5"/>
  <c r="AF22" i="5"/>
  <c r="AF4" i="4"/>
  <c r="AF6" i="4"/>
  <c r="AF8" i="4"/>
  <c r="AF10" i="4"/>
  <c r="AF12" i="4"/>
  <c r="AF14" i="4"/>
  <c r="AF16" i="4"/>
  <c r="AF18" i="4"/>
  <c r="AF20" i="4"/>
  <c r="AF22" i="4"/>
  <c r="AF25" i="4"/>
  <c r="AF32" i="4"/>
  <c r="AF33" i="4"/>
  <c r="AF4" i="3"/>
  <c r="AF6" i="3"/>
  <c r="AF8" i="3"/>
  <c r="AF10" i="3"/>
  <c r="AF12" i="3"/>
  <c r="AF14" i="3"/>
  <c r="AF16" i="3"/>
  <c r="AF18" i="3"/>
  <c r="AF22" i="3"/>
  <c r="AG33" i="2"/>
  <c r="AG34" i="2"/>
  <c r="AG35" i="2"/>
  <c r="AG36" i="2"/>
  <c r="AG37" i="2"/>
  <c r="AG40" i="2"/>
  <c r="AG7" i="2" s="1"/>
  <c r="AG41" i="2"/>
  <c r="AG42" i="2"/>
  <c r="AG9" i="2" s="1"/>
  <c r="AV8" i="2" s="1"/>
  <c r="AG43" i="2"/>
  <c r="AG44" i="2"/>
  <c r="AG13" i="2" s="1"/>
  <c r="AG45" i="2"/>
  <c r="AG46" i="2"/>
  <c r="AG15" i="2" s="1"/>
  <c r="AG47" i="2"/>
  <c r="AG48" i="2"/>
  <c r="AG19" i="2" s="1"/>
  <c r="AG49" i="2"/>
  <c r="AG4" i="2"/>
  <c r="AG6" i="2"/>
  <c r="AG10" i="2"/>
  <c r="AG12" i="2"/>
  <c r="AG14" i="2"/>
  <c r="AG16" i="2"/>
  <c r="AG18" i="2"/>
  <c r="AG20" i="2"/>
  <c r="AG22" i="2"/>
  <c r="AF4" i="1"/>
  <c r="AF6" i="1"/>
  <c r="AF8" i="1"/>
  <c r="AF10" i="1"/>
  <c r="AF12" i="1"/>
  <c r="AF14" i="1"/>
  <c r="AF16" i="1"/>
  <c r="AF18" i="1"/>
  <c r="AF20" i="1"/>
  <c r="AF22" i="1"/>
  <c r="X13" i="23"/>
  <c r="X12" i="23"/>
  <c r="X14" i="23" s="1"/>
  <c r="L14" i="23"/>
  <c r="AV18" i="2" l="1"/>
  <c r="AV12" i="2"/>
  <c r="AV6" i="2"/>
  <c r="AV14" i="2"/>
  <c r="D5" i="19"/>
  <c r="AE4" i="8" l="1"/>
  <c r="AE6" i="8"/>
  <c r="AE8" i="8"/>
  <c r="AE10" i="8"/>
  <c r="AE12" i="8"/>
  <c r="AE14" i="8"/>
  <c r="AE16" i="8"/>
  <c r="AE18" i="8"/>
  <c r="AE20" i="8"/>
  <c r="AE22" i="8"/>
  <c r="AE4" i="7"/>
  <c r="AE6" i="7"/>
  <c r="AE8" i="7"/>
  <c r="AE10" i="7"/>
  <c r="AE12" i="7"/>
  <c r="AE14" i="7"/>
  <c r="AE16" i="7"/>
  <c r="AE18" i="7"/>
  <c r="AE20" i="7"/>
  <c r="AE22" i="7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4" i="5"/>
  <c r="AE6" i="5"/>
  <c r="AE8" i="5"/>
  <c r="AE10" i="5"/>
  <c r="AE14" i="5"/>
  <c r="AE16" i="5"/>
  <c r="AE18" i="5"/>
  <c r="AE20" i="5"/>
  <c r="AE22" i="5"/>
  <c r="P12" i="5"/>
  <c r="AE4" i="4"/>
  <c r="AE6" i="4"/>
  <c r="AE8" i="4"/>
  <c r="AE10" i="4"/>
  <c r="AE12" i="4"/>
  <c r="AE14" i="4"/>
  <c r="AE16" i="4"/>
  <c r="AE18" i="4"/>
  <c r="AE20" i="4"/>
  <c r="AE22" i="4"/>
  <c r="AE25" i="4"/>
  <c r="AE32" i="4"/>
  <c r="AE33" i="4"/>
  <c r="AE4" i="3"/>
  <c r="AE6" i="3"/>
  <c r="AE8" i="3"/>
  <c r="AE10" i="3"/>
  <c r="AE12" i="3"/>
  <c r="AE14" i="3"/>
  <c r="AE16" i="3"/>
  <c r="AE18" i="3"/>
  <c r="AE22" i="3"/>
  <c r="AF33" i="2"/>
  <c r="AF34" i="2"/>
  <c r="AF35" i="2"/>
  <c r="AF36" i="2"/>
  <c r="AF37" i="2"/>
  <c r="AF40" i="2"/>
  <c r="AF41" i="2"/>
  <c r="AF42" i="2"/>
  <c r="AF9" i="2" s="1"/>
  <c r="AU8" i="2" s="1"/>
  <c r="AF43" i="2"/>
  <c r="AF44" i="2"/>
  <c r="AF13" i="2" s="1"/>
  <c r="AF45" i="2"/>
  <c r="AF46" i="2"/>
  <c r="AF15" i="2" s="1"/>
  <c r="AF47" i="2"/>
  <c r="AF48" i="2"/>
  <c r="AF19" i="2" s="1"/>
  <c r="AF49" i="2"/>
  <c r="AF4" i="2"/>
  <c r="AF6" i="2"/>
  <c r="AF10" i="2"/>
  <c r="AF12" i="2"/>
  <c r="AF14" i="2"/>
  <c r="AF16" i="2"/>
  <c r="AF18" i="2"/>
  <c r="AF20" i="2"/>
  <c r="AF22" i="2"/>
  <c r="AE4" i="1"/>
  <c r="AE6" i="1"/>
  <c r="AE8" i="1"/>
  <c r="AE10" i="1"/>
  <c r="AE12" i="1"/>
  <c r="AE14" i="1"/>
  <c r="AE16" i="1"/>
  <c r="AE18" i="1"/>
  <c r="AE20" i="1"/>
  <c r="AE22" i="1"/>
  <c r="AD4" i="8"/>
  <c r="AD6" i="8"/>
  <c r="AD8" i="8"/>
  <c r="AD10" i="8"/>
  <c r="AD12" i="8"/>
  <c r="AD14" i="8"/>
  <c r="AD16" i="8"/>
  <c r="AD18" i="8"/>
  <c r="AD20" i="8"/>
  <c r="AD22" i="8"/>
  <c r="AD4" i="7"/>
  <c r="AD6" i="7"/>
  <c r="AD8" i="7"/>
  <c r="AD10" i="7"/>
  <c r="AD12" i="7"/>
  <c r="AD14" i="7"/>
  <c r="AD16" i="7"/>
  <c r="AD18" i="7"/>
  <c r="AD20" i="7"/>
  <c r="AD22" i="7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4" i="5"/>
  <c r="AD6" i="5"/>
  <c r="AD8" i="5"/>
  <c r="AD10" i="5"/>
  <c r="AD12" i="5"/>
  <c r="AD14" i="5"/>
  <c r="AD16" i="5"/>
  <c r="AD18" i="5"/>
  <c r="AD20" i="5"/>
  <c r="AD22" i="5"/>
  <c r="AD4" i="4"/>
  <c r="AD6" i="4"/>
  <c r="AD8" i="4"/>
  <c r="AD10" i="4"/>
  <c r="AD12" i="4"/>
  <c r="AD14" i="4"/>
  <c r="AD16" i="4"/>
  <c r="AD18" i="4"/>
  <c r="AD20" i="4"/>
  <c r="AD22" i="4"/>
  <c r="AD25" i="4"/>
  <c r="AD32" i="4"/>
  <c r="AD33" i="4"/>
  <c r="AD4" i="3"/>
  <c r="AD6" i="3"/>
  <c r="AD8" i="3"/>
  <c r="AD10" i="3"/>
  <c r="AD12" i="3"/>
  <c r="AD14" i="3"/>
  <c r="AD16" i="3"/>
  <c r="AD18" i="3"/>
  <c r="AD22" i="3"/>
  <c r="AE33" i="2"/>
  <c r="AE34" i="2"/>
  <c r="AE35" i="2"/>
  <c r="AE36" i="2"/>
  <c r="AE37" i="2"/>
  <c r="AE40" i="2"/>
  <c r="AE41" i="2"/>
  <c r="AE42" i="2"/>
  <c r="AE43" i="2"/>
  <c r="AE44" i="2"/>
  <c r="AE13" i="2" s="1"/>
  <c r="AE45" i="2"/>
  <c r="AE46" i="2"/>
  <c r="AE15" i="2" s="1"/>
  <c r="AE47" i="2"/>
  <c r="AE48" i="2"/>
  <c r="AE49" i="2"/>
  <c r="AE4" i="2"/>
  <c r="AE6" i="2"/>
  <c r="AE7" i="2"/>
  <c r="AE8" i="2"/>
  <c r="AE9" i="2"/>
  <c r="AE10" i="2"/>
  <c r="AE12" i="2"/>
  <c r="AE14" i="2"/>
  <c r="AE16" i="2"/>
  <c r="AE18" i="2"/>
  <c r="AE19" i="2"/>
  <c r="AE20" i="2"/>
  <c r="AE22" i="2"/>
  <c r="AD4" i="1"/>
  <c r="AD6" i="1"/>
  <c r="AD8" i="1"/>
  <c r="AD10" i="1"/>
  <c r="AD12" i="1"/>
  <c r="AD14" i="1"/>
  <c r="AD16" i="1"/>
  <c r="AD18" i="1"/>
  <c r="AD20" i="1"/>
  <c r="AD22" i="1"/>
  <c r="AC4" i="8"/>
  <c r="AC6" i="8"/>
  <c r="AC8" i="8"/>
  <c r="AC10" i="8"/>
  <c r="AC12" i="8"/>
  <c r="AC14" i="8"/>
  <c r="AC16" i="8"/>
  <c r="AC18" i="8"/>
  <c r="AC20" i="8"/>
  <c r="AC22" i="8"/>
  <c r="AC4" i="7"/>
  <c r="AC6" i="7"/>
  <c r="AC8" i="7"/>
  <c r="AC10" i="7"/>
  <c r="AC12" i="7"/>
  <c r="AC14" i="7"/>
  <c r="AC16" i="7"/>
  <c r="AC18" i="7"/>
  <c r="AC20" i="7"/>
  <c r="AC22" i="7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4" i="5"/>
  <c r="AC6" i="5"/>
  <c r="AC8" i="5"/>
  <c r="AC10" i="5"/>
  <c r="AC12" i="5"/>
  <c r="AC14" i="5"/>
  <c r="AC16" i="5"/>
  <c r="AC18" i="5"/>
  <c r="AC20" i="5"/>
  <c r="AC22" i="5"/>
  <c r="AC4" i="4"/>
  <c r="AC6" i="4"/>
  <c r="AC8" i="4"/>
  <c r="AC10" i="4"/>
  <c r="AC12" i="4"/>
  <c r="AC14" i="4"/>
  <c r="AC16" i="4"/>
  <c r="AC18" i="4"/>
  <c r="AC20" i="4"/>
  <c r="AC22" i="4"/>
  <c r="AC25" i="4"/>
  <c r="AC32" i="4"/>
  <c r="AC33" i="4"/>
  <c r="AC4" i="3"/>
  <c r="AC6" i="3"/>
  <c r="AC8" i="3"/>
  <c r="AC10" i="3"/>
  <c r="AC12" i="3"/>
  <c r="AC14" i="3"/>
  <c r="AC16" i="3"/>
  <c r="AC18" i="3"/>
  <c r="AC22" i="3"/>
  <c r="AD4" i="2"/>
  <c r="AD6" i="2"/>
  <c r="AD8" i="2"/>
  <c r="AD10" i="2"/>
  <c r="AD12" i="2"/>
  <c r="AD14" i="2"/>
  <c r="AD16" i="2"/>
  <c r="AD18" i="2"/>
  <c r="AD20" i="2"/>
  <c r="AD22" i="2"/>
  <c r="AD33" i="2"/>
  <c r="AD34" i="2"/>
  <c r="AD35" i="2"/>
  <c r="AD36" i="2"/>
  <c r="AD37" i="2"/>
  <c r="AD40" i="2"/>
  <c r="AD41" i="2"/>
  <c r="AD42" i="2"/>
  <c r="AD9" i="2" s="1"/>
  <c r="AD43" i="2"/>
  <c r="AD44" i="2"/>
  <c r="AD13" i="2" s="1"/>
  <c r="AD45" i="2"/>
  <c r="AD46" i="2"/>
  <c r="AD15" i="2" s="1"/>
  <c r="AD47" i="2"/>
  <c r="AD48" i="2"/>
  <c r="AD19" i="2" s="1"/>
  <c r="AD49" i="2"/>
  <c r="AC4" i="1"/>
  <c r="AC6" i="1"/>
  <c r="AC8" i="1"/>
  <c r="AC10" i="1"/>
  <c r="AC12" i="1"/>
  <c r="AC14" i="1"/>
  <c r="AC16" i="1"/>
  <c r="AC18" i="1"/>
  <c r="AC20" i="1"/>
  <c r="AC22" i="1"/>
  <c r="AB4" i="8"/>
  <c r="AB6" i="8"/>
  <c r="AB8" i="8"/>
  <c r="AB10" i="8"/>
  <c r="AB12" i="8"/>
  <c r="AB14" i="8"/>
  <c r="AB16" i="8"/>
  <c r="AB18" i="8"/>
  <c r="AB20" i="8"/>
  <c r="AB22" i="8"/>
  <c r="AB4" i="7"/>
  <c r="AB6" i="7"/>
  <c r="AB8" i="7"/>
  <c r="AB10" i="7"/>
  <c r="AB12" i="7"/>
  <c r="AB14" i="7"/>
  <c r="AB16" i="7"/>
  <c r="AB18" i="7"/>
  <c r="AB20" i="7"/>
  <c r="AB22" i="7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4" i="5"/>
  <c r="AB6" i="5"/>
  <c r="AB8" i="5"/>
  <c r="AB10" i="5"/>
  <c r="AB12" i="5"/>
  <c r="AB14" i="5"/>
  <c r="AB16" i="5"/>
  <c r="AB18" i="5"/>
  <c r="AB20" i="5"/>
  <c r="AB22" i="5"/>
  <c r="AB4" i="4"/>
  <c r="AB6" i="4"/>
  <c r="AB8" i="4"/>
  <c r="AB10" i="4"/>
  <c r="AB12" i="4"/>
  <c r="AB14" i="4"/>
  <c r="AB16" i="4"/>
  <c r="AB18" i="4"/>
  <c r="AB20" i="4"/>
  <c r="AB22" i="4"/>
  <c r="AB25" i="4"/>
  <c r="AB32" i="4"/>
  <c r="AB33" i="4"/>
  <c r="AB4" i="3"/>
  <c r="AB6" i="3"/>
  <c r="AB8" i="3"/>
  <c r="AB10" i="3"/>
  <c r="AB12" i="3"/>
  <c r="AB14" i="3"/>
  <c r="AB16" i="3"/>
  <c r="AB18" i="3"/>
  <c r="AB22" i="3"/>
  <c r="AC33" i="2"/>
  <c r="AC34" i="2"/>
  <c r="AC35" i="2"/>
  <c r="AC36" i="2"/>
  <c r="AC37" i="2"/>
  <c r="AC40" i="2"/>
  <c r="AC7" i="2" s="1"/>
  <c r="AC41" i="2"/>
  <c r="AC42" i="2"/>
  <c r="AC9" i="2" s="1"/>
  <c r="AC43" i="2"/>
  <c r="AC44" i="2"/>
  <c r="AC13" i="2" s="1"/>
  <c r="AC45" i="2"/>
  <c r="AC46" i="2"/>
  <c r="AC15" i="2" s="1"/>
  <c r="AC47" i="2"/>
  <c r="AC48" i="2"/>
  <c r="AC19" i="2" s="1"/>
  <c r="AC49" i="2"/>
  <c r="AC4" i="2"/>
  <c r="AC6" i="2"/>
  <c r="AC8" i="2"/>
  <c r="AC10" i="2"/>
  <c r="AC12" i="2"/>
  <c r="AC14" i="2"/>
  <c r="AC16" i="2"/>
  <c r="AC18" i="2"/>
  <c r="AC20" i="2"/>
  <c r="AC22" i="2"/>
  <c r="AA4" i="8"/>
  <c r="AA6" i="8"/>
  <c r="AA8" i="8"/>
  <c r="AA10" i="8"/>
  <c r="AA12" i="8"/>
  <c r="AA14" i="8"/>
  <c r="AA16" i="8"/>
  <c r="AA18" i="8"/>
  <c r="AA20" i="8"/>
  <c r="AA22" i="8"/>
  <c r="AA4" i="7"/>
  <c r="AA6" i="7"/>
  <c r="AA8" i="7"/>
  <c r="AA10" i="7"/>
  <c r="AA12" i="7"/>
  <c r="AA14" i="7"/>
  <c r="AA16" i="7"/>
  <c r="AA18" i="7"/>
  <c r="AA20" i="7"/>
  <c r="AA22" i="7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4" i="5"/>
  <c r="AA6" i="5"/>
  <c r="AA8" i="5"/>
  <c r="AA10" i="5"/>
  <c r="AA12" i="5"/>
  <c r="AA14" i="5"/>
  <c r="AA16" i="5"/>
  <c r="AA18" i="5"/>
  <c r="AA20" i="5"/>
  <c r="AA22" i="5"/>
  <c r="AA4" i="4"/>
  <c r="AA6" i="4"/>
  <c r="AA8" i="4"/>
  <c r="AA10" i="4"/>
  <c r="AA12" i="4"/>
  <c r="AA14" i="4"/>
  <c r="AA16" i="4"/>
  <c r="AA18" i="4"/>
  <c r="AA20" i="4"/>
  <c r="AA22" i="4"/>
  <c r="AA25" i="4"/>
  <c r="AA32" i="4"/>
  <c r="AA33" i="4"/>
  <c r="AA4" i="3"/>
  <c r="AA6" i="3"/>
  <c r="AA8" i="3"/>
  <c r="AA10" i="3"/>
  <c r="AA12" i="3"/>
  <c r="AA14" i="3"/>
  <c r="AA16" i="3"/>
  <c r="AA18" i="3"/>
  <c r="AA20" i="3"/>
  <c r="AA22" i="3"/>
  <c r="AB33" i="2"/>
  <c r="AB34" i="2"/>
  <c r="AB35" i="2"/>
  <c r="AB36" i="2"/>
  <c r="AB37" i="2"/>
  <c r="AB40" i="2"/>
  <c r="AB41" i="2"/>
  <c r="AB42" i="2"/>
  <c r="AB43" i="2"/>
  <c r="AB44" i="2"/>
  <c r="AB13" i="2" s="1"/>
  <c r="AB45" i="2"/>
  <c r="AB46" i="2"/>
  <c r="AB15" i="2" s="1"/>
  <c r="AB47" i="2"/>
  <c r="AB48" i="2"/>
  <c r="AB49" i="2"/>
  <c r="AB4" i="2"/>
  <c r="AB6" i="2"/>
  <c r="AB7" i="2"/>
  <c r="AB8" i="2"/>
  <c r="AB9" i="2"/>
  <c r="AB10" i="2"/>
  <c r="AB12" i="2"/>
  <c r="AQ12" i="2" s="1"/>
  <c r="AB14" i="2"/>
  <c r="AB16" i="2"/>
  <c r="AB18" i="2"/>
  <c r="AB19" i="2"/>
  <c r="AB20" i="2"/>
  <c r="AB22" i="2"/>
  <c r="AA4" i="1"/>
  <c r="AA6" i="1"/>
  <c r="AA8" i="1"/>
  <c r="AA10" i="1"/>
  <c r="AA12" i="1"/>
  <c r="AA14" i="1"/>
  <c r="AA16" i="1"/>
  <c r="AA18" i="1"/>
  <c r="AA20" i="1"/>
  <c r="AA22" i="1"/>
  <c r="Z4" i="8"/>
  <c r="Z6" i="8"/>
  <c r="Z8" i="8"/>
  <c r="Z10" i="8"/>
  <c r="Z12" i="8"/>
  <c r="Z14" i="8"/>
  <c r="Z16" i="8"/>
  <c r="Z18" i="8"/>
  <c r="Z20" i="8"/>
  <c r="Z22" i="8"/>
  <c r="Z4" i="7"/>
  <c r="Z6" i="7"/>
  <c r="Z8" i="7"/>
  <c r="Z10" i="7"/>
  <c r="Z12" i="7"/>
  <c r="Z14" i="7"/>
  <c r="Z16" i="7"/>
  <c r="Z18" i="7"/>
  <c r="Z20" i="7"/>
  <c r="Z22" i="7"/>
  <c r="Z4" i="6"/>
  <c r="Z5" i="6"/>
  <c r="Z6" i="6"/>
  <c r="Z7" i="6"/>
  <c r="Z8" i="6"/>
  <c r="Z9" i="6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4" i="5"/>
  <c r="Z6" i="5"/>
  <c r="Z8" i="5"/>
  <c r="Z10" i="5"/>
  <c r="Z12" i="5"/>
  <c r="Z14" i="5"/>
  <c r="Z16" i="5"/>
  <c r="Z18" i="5"/>
  <c r="Z20" i="5"/>
  <c r="Z22" i="5"/>
  <c r="Z4" i="4"/>
  <c r="Z6" i="4"/>
  <c r="Z8" i="4"/>
  <c r="Z10" i="4"/>
  <c r="Z12" i="4"/>
  <c r="Z14" i="4"/>
  <c r="Z16" i="4"/>
  <c r="Z18" i="4"/>
  <c r="Z20" i="4"/>
  <c r="Z22" i="4"/>
  <c r="Z25" i="4"/>
  <c r="Z32" i="4"/>
  <c r="Z33" i="4"/>
  <c r="Z4" i="3"/>
  <c r="Z6" i="3"/>
  <c r="Z8" i="3"/>
  <c r="Z10" i="3"/>
  <c r="Z12" i="3"/>
  <c r="Z14" i="3"/>
  <c r="Z16" i="3"/>
  <c r="Z18" i="3"/>
  <c r="Z20" i="3"/>
  <c r="Z22" i="3"/>
  <c r="AA33" i="2"/>
  <c r="AA34" i="2"/>
  <c r="AA35" i="2"/>
  <c r="AA36" i="2"/>
  <c r="AA37" i="2"/>
  <c r="AA40" i="2"/>
  <c r="AA41" i="2"/>
  <c r="AA42" i="2"/>
  <c r="AA43" i="2"/>
  <c r="AA44" i="2"/>
  <c r="AA45" i="2"/>
  <c r="AA46" i="2"/>
  <c r="AA47" i="2"/>
  <c r="AA48" i="2"/>
  <c r="AA49" i="2"/>
  <c r="AA4" i="2"/>
  <c r="AA6" i="2"/>
  <c r="AA7" i="2"/>
  <c r="AA8" i="2"/>
  <c r="AA9" i="2"/>
  <c r="AA10" i="2"/>
  <c r="AA12" i="2"/>
  <c r="AA13" i="2"/>
  <c r="AA14" i="2"/>
  <c r="AA15" i="2"/>
  <c r="AA16" i="2"/>
  <c r="AA18" i="2"/>
  <c r="AA19" i="2"/>
  <c r="AA20" i="2"/>
  <c r="AA22" i="2"/>
  <c r="Z4" i="1"/>
  <c r="Z6" i="1"/>
  <c r="Z8" i="1"/>
  <c r="Z10" i="1"/>
  <c r="Z12" i="1"/>
  <c r="Z14" i="1"/>
  <c r="Z16" i="1"/>
  <c r="Z18" i="1"/>
  <c r="Z20" i="1"/>
  <c r="Z22" i="1"/>
  <c r="E40" i="1"/>
  <c r="E39" i="1"/>
  <c r="D40" i="1"/>
  <c r="D39" i="1"/>
  <c r="AU18" i="2" l="1"/>
  <c r="AU12" i="2"/>
  <c r="AT18" i="2"/>
  <c r="AT14" i="2"/>
  <c r="AT6" i="2"/>
  <c r="AR18" i="2"/>
  <c r="AR8" i="2"/>
  <c r="AR6" i="2"/>
  <c r="AS18" i="2"/>
  <c r="AS14" i="2"/>
  <c r="AP8" i="2"/>
  <c r="AP47" i="2"/>
  <c r="AR14" i="2"/>
  <c r="AU14" i="2"/>
  <c r="AP18" i="2"/>
  <c r="AR12" i="2"/>
  <c r="AS12" i="2"/>
  <c r="AT12" i="2"/>
  <c r="AQ47" i="2"/>
  <c r="AS8" i="2"/>
  <c r="AT8" i="2"/>
  <c r="AQ18" i="2"/>
  <c r="AQ14" i="2"/>
  <c r="AQ8" i="2"/>
  <c r="AQ6" i="2"/>
  <c r="AP14" i="2"/>
  <c r="AP12" i="2"/>
  <c r="AP6" i="2"/>
  <c r="AF7" i="2"/>
  <c r="AU6" i="2" s="1"/>
  <c r="AD7" i="2"/>
  <c r="AS6" i="2" s="1"/>
  <c r="AB20" i="3"/>
  <c r="Y4" i="1"/>
  <c r="Y6" i="1"/>
  <c r="Y8" i="1"/>
  <c r="Y10" i="1"/>
  <c r="Y12" i="1"/>
  <c r="Y14" i="1"/>
  <c r="Y16" i="1"/>
  <c r="Y18" i="1"/>
  <c r="Y20" i="1"/>
  <c r="Y22" i="1"/>
  <c r="Z33" i="2"/>
  <c r="Z34" i="2"/>
  <c r="Z35" i="2"/>
  <c r="Z36" i="2"/>
  <c r="Z37" i="2"/>
  <c r="Z40" i="2"/>
  <c r="Z41" i="2"/>
  <c r="Z42" i="2"/>
  <c r="Z9" i="2" s="1"/>
  <c r="Z43" i="2"/>
  <c r="Z44" i="2"/>
  <c r="Z13" i="2" s="1"/>
  <c r="Z45" i="2"/>
  <c r="Z46" i="2"/>
  <c r="Z15" i="2" s="1"/>
  <c r="Z47" i="2"/>
  <c r="Z48" i="2"/>
  <c r="Z19" i="2" s="1"/>
  <c r="Z49" i="2"/>
  <c r="Z4" i="2"/>
  <c r="Z6" i="2"/>
  <c r="Z7" i="2"/>
  <c r="Z8" i="2"/>
  <c r="Z10" i="2"/>
  <c r="Z12" i="2"/>
  <c r="AO12" i="2" s="1"/>
  <c r="Z14" i="2"/>
  <c r="Z16" i="2"/>
  <c r="Z18" i="2"/>
  <c r="Z20" i="2"/>
  <c r="Z22" i="2"/>
  <c r="Y4" i="3"/>
  <c r="Y6" i="3"/>
  <c r="Y8" i="3"/>
  <c r="Y10" i="3"/>
  <c r="Y12" i="3"/>
  <c r="Y14" i="3"/>
  <c r="Y16" i="3"/>
  <c r="Y18" i="3"/>
  <c r="Y20" i="3"/>
  <c r="Y22" i="3"/>
  <c r="Y4" i="4"/>
  <c r="Y6" i="4"/>
  <c r="Y8" i="4"/>
  <c r="Y10" i="4"/>
  <c r="Y12" i="4"/>
  <c r="Y14" i="4"/>
  <c r="Y16" i="4"/>
  <c r="Y18" i="4"/>
  <c r="Y20" i="4"/>
  <c r="Y22" i="4"/>
  <c r="Y25" i="4"/>
  <c r="Y32" i="4"/>
  <c r="Y33" i="4"/>
  <c r="Y4" i="5"/>
  <c r="Y6" i="5"/>
  <c r="Y8" i="5"/>
  <c r="Y10" i="5"/>
  <c r="Y12" i="5"/>
  <c r="Y14" i="5"/>
  <c r="Y16" i="5"/>
  <c r="Y18" i="5"/>
  <c r="Y20" i="5"/>
  <c r="Y22" i="5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4" i="7"/>
  <c r="Y6" i="7"/>
  <c r="Y8" i="7"/>
  <c r="Y10" i="7"/>
  <c r="Y12" i="7"/>
  <c r="Y14" i="7"/>
  <c r="Y16" i="7"/>
  <c r="Y18" i="7"/>
  <c r="Y20" i="7"/>
  <c r="Y22" i="7"/>
  <c r="Y4" i="8"/>
  <c r="Y6" i="8"/>
  <c r="Y8" i="8"/>
  <c r="Y10" i="8"/>
  <c r="Y12" i="8"/>
  <c r="Y14" i="8"/>
  <c r="Y16" i="8"/>
  <c r="Y18" i="8"/>
  <c r="Y20" i="8"/>
  <c r="Y22" i="8"/>
  <c r="X4" i="8"/>
  <c r="X6" i="8"/>
  <c r="X8" i="8"/>
  <c r="X10" i="8"/>
  <c r="X12" i="8"/>
  <c r="X14" i="8"/>
  <c r="X16" i="8"/>
  <c r="X18" i="8"/>
  <c r="X20" i="8"/>
  <c r="X22" i="8"/>
  <c r="X4" i="7"/>
  <c r="X6" i="7"/>
  <c r="X8" i="7"/>
  <c r="X10" i="7"/>
  <c r="X12" i="7"/>
  <c r="X14" i="7"/>
  <c r="X16" i="7"/>
  <c r="X18" i="7"/>
  <c r="X20" i="7"/>
  <c r="X22" i="7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4" i="5"/>
  <c r="X6" i="5"/>
  <c r="X8" i="5"/>
  <c r="X10" i="5"/>
  <c r="X12" i="5"/>
  <c r="X14" i="5"/>
  <c r="X16" i="5"/>
  <c r="X18" i="5"/>
  <c r="X20" i="5"/>
  <c r="X22" i="5"/>
  <c r="X4" i="4"/>
  <c r="X6" i="4"/>
  <c r="X8" i="4"/>
  <c r="X10" i="4"/>
  <c r="X12" i="4"/>
  <c r="X14" i="4"/>
  <c r="X16" i="4"/>
  <c r="X18" i="4"/>
  <c r="X20" i="4"/>
  <c r="X22" i="4"/>
  <c r="X25" i="4"/>
  <c r="X32" i="4"/>
  <c r="X33" i="4"/>
  <c r="X4" i="3"/>
  <c r="X6" i="3"/>
  <c r="X8" i="3"/>
  <c r="X10" i="3"/>
  <c r="X12" i="3"/>
  <c r="X14" i="3"/>
  <c r="X16" i="3"/>
  <c r="X18" i="3"/>
  <c r="X20" i="3"/>
  <c r="X22" i="3"/>
  <c r="Y33" i="2"/>
  <c r="Y34" i="2"/>
  <c r="Y35" i="2"/>
  <c r="Y36" i="2"/>
  <c r="Y37" i="2"/>
  <c r="Y40" i="2"/>
  <c r="Y41" i="2"/>
  <c r="Y42" i="2"/>
  <c r="Y43" i="2"/>
  <c r="Y44" i="2"/>
  <c r="Y13" i="2" s="1"/>
  <c r="Y45" i="2"/>
  <c r="Y46" i="2"/>
  <c r="Y15" i="2" s="1"/>
  <c r="AN14" i="2" s="1"/>
  <c r="Y47" i="2"/>
  <c r="Y48" i="2"/>
  <c r="Y49" i="2"/>
  <c r="Y4" i="2"/>
  <c r="Y6" i="2"/>
  <c r="Y7" i="2"/>
  <c r="Y8" i="2"/>
  <c r="Y9" i="2"/>
  <c r="AN8" i="2" s="1"/>
  <c r="Y10" i="2"/>
  <c r="Y12" i="2"/>
  <c r="Y14" i="2"/>
  <c r="Y16" i="2"/>
  <c r="Y18" i="2"/>
  <c r="Y19" i="2"/>
  <c r="AN18" i="2" s="1"/>
  <c r="Y20" i="2"/>
  <c r="Y22" i="2"/>
  <c r="X4" i="1"/>
  <c r="X6" i="1"/>
  <c r="X8" i="1"/>
  <c r="X10" i="1"/>
  <c r="X12" i="1"/>
  <c r="X14" i="1"/>
  <c r="X16" i="1"/>
  <c r="X18" i="1"/>
  <c r="X20" i="1"/>
  <c r="X22" i="1"/>
  <c r="W4" i="8"/>
  <c r="W6" i="8"/>
  <c r="W8" i="8"/>
  <c r="W10" i="8"/>
  <c r="W12" i="8"/>
  <c r="W14" i="8"/>
  <c r="W16" i="8"/>
  <c r="W18" i="8"/>
  <c r="W20" i="8"/>
  <c r="W22" i="8"/>
  <c r="W4" i="7"/>
  <c r="W6" i="7"/>
  <c r="W8" i="7"/>
  <c r="W10" i="7"/>
  <c r="W12" i="7"/>
  <c r="W14" i="7"/>
  <c r="W16" i="7"/>
  <c r="W18" i="7"/>
  <c r="W20" i="7"/>
  <c r="W22" i="7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4" i="5"/>
  <c r="W6" i="5"/>
  <c r="W8" i="5"/>
  <c r="W10" i="5"/>
  <c r="W12" i="5"/>
  <c r="W14" i="5"/>
  <c r="W16" i="5"/>
  <c r="W18" i="5"/>
  <c r="W20" i="5"/>
  <c r="W22" i="5"/>
  <c r="W4" i="4"/>
  <c r="W6" i="4"/>
  <c r="W8" i="4"/>
  <c r="W10" i="4"/>
  <c r="W12" i="4"/>
  <c r="W14" i="4"/>
  <c r="W16" i="4"/>
  <c r="W18" i="4"/>
  <c r="W20" i="4"/>
  <c r="W22" i="4"/>
  <c r="W25" i="4"/>
  <c r="W32" i="4"/>
  <c r="W33" i="4"/>
  <c r="W4" i="3"/>
  <c r="W6" i="3"/>
  <c r="W8" i="3"/>
  <c r="W10" i="3"/>
  <c r="W12" i="3"/>
  <c r="W14" i="3"/>
  <c r="W16" i="3"/>
  <c r="W18" i="3"/>
  <c r="W20" i="3"/>
  <c r="W22" i="3"/>
  <c r="X33" i="2"/>
  <c r="X34" i="2"/>
  <c r="X35" i="2"/>
  <c r="X36" i="2"/>
  <c r="X37" i="2"/>
  <c r="X40" i="2"/>
  <c r="X41" i="2"/>
  <c r="X42" i="2"/>
  <c r="X43" i="2"/>
  <c r="X44" i="2"/>
  <c r="X13" i="2" s="1"/>
  <c r="X45" i="2"/>
  <c r="X46" i="2"/>
  <c r="X15" i="2" s="1"/>
  <c r="X47" i="2"/>
  <c r="X48" i="2"/>
  <c r="X19" i="2" s="1"/>
  <c r="X49" i="2"/>
  <c r="X4" i="2"/>
  <c r="X6" i="2"/>
  <c r="X7" i="2"/>
  <c r="X8" i="2"/>
  <c r="X9" i="2"/>
  <c r="X10" i="2"/>
  <c r="X12" i="2"/>
  <c r="X14" i="2"/>
  <c r="X16" i="2"/>
  <c r="X18" i="2"/>
  <c r="X20" i="2"/>
  <c r="X22" i="2"/>
  <c r="W4" i="1"/>
  <c r="W6" i="1"/>
  <c r="W8" i="1"/>
  <c r="W10" i="1"/>
  <c r="W12" i="1"/>
  <c r="W14" i="1"/>
  <c r="W16" i="1"/>
  <c r="W18" i="1"/>
  <c r="W20" i="1"/>
  <c r="W22" i="1"/>
  <c r="V4" i="7"/>
  <c r="V6" i="7"/>
  <c r="V8" i="7"/>
  <c r="V10" i="7"/>
  <c r="V12" i="7"/>
  <c r="V14" i="7"/>
  <c r="V16" i="7"/>
  <c r="V18" i="7"/>
  <c r="V20" i="7"/>
  <c r="V22" i="7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4" i="5"/>
  <c r="V6" i="5"/>
  <c r="V8" i="5"/>
  <c r="V10" i="5"/>
  <c r="V12" i="5"/>
  <c r="V14" i="5"/>
  <c r="V16" i="5"/>
  <c r="V18" i="5"/>
  <c r="V20" i="5"/>
  <c r="V22" i="5"/>
  <c r="V4" i="4"/>
  <c r="V6" i="4"/>
  <c r="V8" i="4"/>
  <c r="V10" i="4"/>
  <c r="V12" i="4"/>
  <c r="V14" i="4"/>
  <c r="V16" i="4"/>
  <c r="V18" i="4"/>
  <c r="V20" i="4"/>
  <c r="V22" i="4"/>
  <c r="V25" i="4"/>
  <c r="V32" i="4"/>
  <c r="V33" i="4"/>
  <c r="V4" i="3"/>
  <c r="V6" i="3"/>
  <c r="V8" i="3"/>
  <c r="V10" i="3"/>
  <c r="V12" i="3"/>
  <c r="V14" i="3"/>
  <c r="V16" i="3"/>
  <c r="V18" i="3"/>
  <c r="V20" i="3"/>
  <c r="V22" i="3"/>
  <c r="W40" i="2"/>
  <c r="W7" i="2" s="1"/>
  <c r="W41" i="2"/>
  <c r="W42" i="2"/>
  <c r="W43" i="2"/>
  <c r="W44" i="2"/>
  <c r="W13" i="2" s="1"/>
  <c r="W45" i="2"/>
  <c r="W46" i="2"/>
  <c r="W47" i="2"/>
  <c r="W48" i="2"/>
  <c r="W19" i="2" s="1"/>
  <c r="W49" i="2"/>
  <c r="W33" i="2"/>
  <c r="W34" i="2"/>
  <c r="W35" i="2"/>
  <c r="W36" i="2"/>
  <c r="W37" i="2"/>
  <c r="W4" i="2"/>
  <c r="W6" i="2"/>
  <c r="W8" i="2"/>
  <c r="W9" i="2"/>
  <c r="W10" i="2"/>
  <c r="W12" i="2"/>
  <c r="W14" i="2"/>
  <c r="W15" i="2"/>
  <c r="W16" i="2"/>
  <c r="W18" i="2"/>
  <c r="W20" i="2"/>
  <c r="W22" i="2"/>
  <c r="V4" i="1"/>
  <c r="V6" i="1"/>
  <c r="V8" i="1"/>
  <c r="V10" i="1"/>
  <c r="V12" i="1"/>
  <c r="V14" i="1"/>
  <c r="V16" i="1"/>
  <c r="V18" i="1"/>
  <c r="V20" i="1"/>
  <c r="V22" i="1"/>
  <c r="AO18" i="2" l="1"/>
  <c r="AO14" i="2"/>
  <c r="AO8" i="2"/>
  <c r="AO47" i="2"/>
  <c r="AO6" i="2"/>
  <c r="AM14" i="2"/>
  <c r="AM8" i="2"/>
  <c r="AN6" i="2"/>
  <c r="AL14" i="2"/>
  <c r="AL12" i="2"/>
  <c r="AM6" i="2"/>
  <c r="AL18" i="2"/>
  <c r="AL8" i="2"/>
  <c r="AL6" i="2"/>
  <c r="AM12" i="2"/>
  <c r="AM47" i="2"/>
  <c r="AL47" i="2"/>
  <c r="AM18" i="2"/>
  <c r="AN12" i="2"/>
  <c r="AN47" i="2"/>
  <c r="AC20" i="3"/>
  <c r="C29" i="7"/>
  <c r="C29" i="8"/>
  <c r="D2" i="8"/>
  <c r="D2" i="7"/>
  <c r="D2" i="6"/>
  <c r="C29" i="6"/>
  <c r="D2" i="5"/>
  <c r="D2" i="4"/>
  <c r="D30" i="4"/>
  <c r="E30" i="4"/>
  <c r="F30" i="4"/>
  <c r="G30" i="4"/>
  <c r="H30" i="4"/>
  <c r="I30" i="4"/>
  <c r="J30" i="4"/>
  <c r="K30" i="4"/>
  <c r="L30" i="4"/>
  <c r="M30" i="4"/>
  <c r="N30" i="4"/>
  <c r="O30" i="4"/>
  <c r="C30" i="4"/>
  <c r="C29" i="3"/>
  <c r="E2" i="2"/>
  <c r="Q7" i="1"/>
  <c r="Q9" i="1"/>
  <c r="Q11" i="1"/>
  <c r="Q13" i="1"/>
  <c r="Q15" i="1"/>
  <c r="Q17" i="1"/>
  <c r="Q19" i="1"/>
  <c r="Q21" i="1"/>
  <c r="Q5" i="1"/>
  <c r="G32" i="3" l="1"/>
  <c r="AD20" i="3"/>
  <c r="E24" i="19"/>
  <c r="C24" i="19"/>
  <c r="B24" i="19"/>
  <c r="E9" i="19"/>
  <c r="D9" i="19"/>
  <c r="C9" i="19"/>
  <c r="B9" i="19"/>
  <c r="X26" i="21" l="1"/>
  <c r="R26" i="21"/>
  <c r="O26" i="21"/>
  <c r="L26" i="21"/>
  <c r="M26" i="21"/>
  <c r="N26" i="21" s="1"/>
  <c r="J26" i="21"/>
  <c r="K26" i="21" s="1"/>
  <c r="I26" i="21"/>
  <c r="G26" i="21"/>
  <c r="H26" i="21" s="1"/>
  <c r="F26" i="21"/>
  <c r="D26" i="21"/>
  <c r="E26" i="21" s="1"/>
  <c r="C26" i="21"/>
  <c r="P20" i="3"/>
  <c r="H6" i="23"/>
  <c r="H8" i="23"/>
  <c r="E25" i="27"/>
  <c r="D25" i="27"/>
  <c r="C25" i="27"/>
  <c r="B25" i="27"/>
  <c r="E25" i="23"/>
  <c r="D25" i="23"/>
  <c r="C25" i="23"/>
  <c r="B25" i="23"/>
  <c r="AG55" i="2"/>
  <c r="AV54" i="2" s="1"/>
  <c r="AG57" i="2"/>
  <c r="AG59" i="2"/>
  <c r="AG61" i="2"/>
  <c r="AG63" i="2"/>
  <c r="AG54" i="2"/>
  <c r="AG56" i="2"/>
  <c r="AG58" i="2"/>
  <c r="AG60" i="2"/>
  <c r="AG62" i="2"/>
  <c r="B15" i="23"/>
  <c r="B16" i="23" s="1"/>
  <c r="T13" i="23"/>
  <c r="AF55" i="2"/>
  <c r="AF57" i="2"/>
  <c r="AF59" i="2"/>
  <c r="AF61" i="2"/>
  <c r="AF63" i="2"/>
  <c r="AF54" i="2"/>
  <c r="AF56" i="2"/>
  <c r="AF58" i="2"/>
  <c r="AF60" i="2"/>
  <c r="AF62" i="2"/>
  <c r="AE56" i="2"/>
  <c r="AE60" i="2"/>
  <c r="AE54" i="2"/>
  <c r="AE58" i="2"/>
  <c r="AE62" i="2"/>
  <c r="AE55" i="2"/>
  <c r="AE57" i="2"/>
  <c r="AE59" i="2"/>
  <c r="AE61" i="2"/>
  <c r="AT60" i="2" s="1"/>
  <c r="AE63" i="2"/>
  <c r="AT62" i="2" s="1"/>
  <c r="AV60" i="2" l="1"/>
  <c r="AU62" i="2"/>
  <c r="AT56" i="2"/>
  <c r="AT54" i="2"/>
  <c r="AT58" i="2"/>
  <c r="AV62" i="2"/>
  <c r="AU54" i="2"/>
  <c r="AV58" i="2"/>
  <c r="AU60" i="2"/>
  <c r="AU58" i="2"/>
  <c r="AU56" i="2"/>
  <c r="AV56" i="2"/>
  <c r="Y13" i="23"/>
  <c r="Z13" i="23" s="1"/>
  <c r="K13" i="23" s="1"/>
  <c r="L13" i="23" s="1"/>
  <c r="Y12" i="23"/>
  <c r="Z12" i="23" s="1"/>
  <c r="AD55" i="2"/>
  <c r="AD57" i="2"/>
  <c r="AD59" i="2"/>
  <c r="AD61" i="2"/>
  <c r="AD63" i="2"/>
  <c r="AD54" i="2"/>
  <c r="AD56" i="2"/>
  <c r="AD58" i="2"/>
  <c r="AD60" i="2"/>
  <c r="AD62" i="2"/>
  <c r="AC54" i="2"/>
  <c r="AC56" i="2"/>
  <c r="AC58" i="2"/>
  <c r="AC60" i="2"/>
  <c r="AC62" i="2"/>
  <c r="AC55" i="2"/>
  <c r="AC57" i="2"/>
  <c r="AC59" i="2"/>
  <c r="AC61" i="2"/>
  <c r="AC63" i="2"/>
  <c r="AB54" i="2"/>
  <c r="AB56" i="2"/>
  <c r="AQ56" i="2" s="1"/>
  <c r="AB58" i="2"/>
  <c r="AB60" i="2"/>
  <c r="AQ60" i="2" s="1"/>
  <c r="AB62" i="2"/>
  <c r="AB55" i="2"/>
  <c r="AB57" i="2"/>
  <c r="AB59" i="2"/>
  <c r="AB61" i="2"/>
  <c r="AB63" i="2"/>
  <c r="AA54" i="2"/>
  <c r="AA56" i="2"/>
  <c r="AP56" i="2" s="1"/>
  <c r="AA58" i="2"/>
  <c r="AA60" i="2"/>
  <c r="AP60" i="2" s="1"/>
  <c r="AA62" i="2"/>
  <c r="AA55" i="2"/>
  <c r="AA57" i="2"/>
  <c r="AA59" i="2"/>
  <c r="AA61" i="2"/>
  <c r="AA63" i="2"/>
  <c r="AV26" i="2" l="1"/>
  <c r="AT26" i="2"/>
  <c r="AR60" i="2"/>
  <c r="AR56" i="2"/>
  <c r="AQ48" i="2"/>
  <c r="AS60" i="2"/>
  <c r="Z14" i="23"/>
  <c r="K12" i="23"/>
  <c r="L12" i="23" s="1"/>
  <c r="AP48" i="2"/>
  <c r="AS62" i="2"/>
  <c r="AS58" i="2"/>
  <c r="AU26" i="2"/>
  <c r="AS56" i="2"/>
  <c r="AS54" i="2"/>
  <c r="AR62" i="2"/>
  <c r="AR58" i="2"/>
  <c r="AR54" i="2"/>
  <c r="AQ62" i="2"/>
  <c r="AQ58" i="2"/>
  <c r="AQ54" i="2"/>
  <c r="AP62" i="2"/>
  <c r="AP58" i="2"/>
  <c r="AP54" i="2"/>
  <c r="AP26" i="2" s="1"/>
  <c r="Z56" i="2"/>
  <c r="Z60" i="2"/>
  <c r="AO60" i="2" s="1"/>
  <c r="Z54" i="2"/>
  <c r="Z58" i="2"/>
  <c r="Z62" i="2"/>
  <c r="AO62" i="2" s="1"/>
  <c r="Z55" i="2"/>
  <c r="Z57" i="2"/>
  <c r="Z59" i="2"/>
  <c r="Z61" i="2"/>
  <c r="Z63" i="2"/>
  <c r="E25" i="13"/>
  <c r="D25" i="13"/>
  <c r="C25" i="13"/>
  <c r="B25" i="13"/>
  <c r="Y54" i="2"/>
  <c r="Y56" i="2"/>
  <c r="Y58" i="2"/>
  <c r="Y60" i="2"/>
  <c r="Y62" i="2"/>
  <c r="Y55" i="2"/>
  <c r="Y57" i="2"/>
  <c r="Y59" i="2"/>
  <c r="Y61" i="2"/>
  <c r="Y63" i="2"/>
  <c r="E25" i="12"/>
  <c r="D25" i="12"/>
  <c r="C25" i="12"/>
  <c r="B25" i="12"/>
  <c r="E25" i="11"/>
  <c r="X11" i="21" s="1"/>
  <c r="D25" i="11"/>
  <c r="U11" i="21" s="1"/>
  <c r="C25" i="11"/>
  <c r="R11" i="21" s="1"/>
  <c r="B25" i="11"/>
  <c r="O11" i="21" s="1"/>
  <c r="X56" i="2"/>
  <c r="X60" i="2"/>
  <c r="X54" i="2"/>
  <c r="X58" i="2"/>
  <c r="X62" i="2"/>
  <c r="X55" i="2"/>
  <c r="X57" i="2"/>
  <c r="AM56" i="2" s="1"/>
  <c r="X59" i="2"/>
  <c r="AM58" i="2" s="1"/>
  <c r="X61" i="2"/>
  <c r="X63" i="2"/>
  <c r="E25" i="10"/>
  <c r="D25" i="10"/>
  <c r="C25" i="10"/>
  <c r="B25" i="10"/>
  <c r="V4" i="8"/>
  <c r="V6" i="8"/>
  <c r="V8" i="8"/>
  <c r="V10" i="8"/>
  <c r="V12" i="8"/>
  <c r="V14" i="8"/>
  <c r="V16" i="8"/>
  <c r="V18" i="8"/>
  <c r="V20" i="8"/>
  <c r="V22" i="8"/>
  <c r="W55" i="2"/>
  <c r="W57" i="2"/>
  <c r="W59" i="2"/>
  <c r="W61" i="2"/>
  <c r="W63" i="2"/>
  <c r="W54" i="2"/>
  <c r="W56" i="2"/>
  <c r="W58" i="2"/>
  <c r="W60" i="2"/>
  <c r="W62" i="2"/>
  <c r="E25" i="9"/>
  <c r="D25" i="9"/>
  <c r="C25" i="9"/>
  <c r="B25" i="9"/>
  <c r="U8" i="1"/>
  <c r="U10" i="1"/>
  <c r="U12" i="1"/>
  <c r="U14" i="1"/>
  <c r="U16" i="1"/>
  <c r="U18" i="1"/>
  <c r="U20" i="1"/>
  <c r="U22" i="1"/>
  <c r="C7" i="25"/>
  <c r="C8" i="25"/>
  <c r="C10" i="25"/>
  <c r="C11" i="25"/>
  <c r="C13" i="25"/>
  <c r="C14" i="25"/>
  <c r="C16" i="25"/>
  <c r="C17" i="25"/>
  <c r="C19" i="25"/>
  <c r="C20" i="25"/>
  <c r="C22" i="25"/>
  <c r="C23" i="25"/>
  <c r="C25" i="25"/>
  <c r="C26" i="25"/>
  <c r="E19" i="12"/>
  <c r="P10" i="8"/>
  <c r="Q28" i="7"/>
  <c r="Q27" i="7"/>
  <c r="Q28" i="6"/>
  <c r="Q27" i="6"/>
  <c r="Q28" i="8"/>
  <c r="Q27" i="8"/>
  <c r="E25" i="14"/>
  <c r="X17" i="21" s="1"/>
  <c r="D25" i="14"/>
  <c r="U17" i="21" s="1"/>
  <c r="C25" i="14"/>
  <c r="R17" i="21" s="1"/>
  <c r="B25" i="14"/>
  <c r="O17" i="21" s="1"/>
  <c r="B22" i="24"/>
  <c r="P29" i="5"/>
  <c r="Q28" i="5"/>
  <c r="Q27" i="5"/>
  <c r="R25" i="4"/>
  <c r="R24" i="4"/>
  <c r="B14" i="13"/>
  <c r="R25" i="3"/>
  <c r="E12" i="13"/>
  <c r="C12" i="13"/>
  <c r="D12" i="13"/>
  <c r="D4" i="12"/>
  <c r="B4" i="12"/>
  <c r="C4" i="12"/>
  <c r="P18" i="1"/>
  <c r="Q43" i="2"/>
  <c r="Q44" i="2"/>
  <c r="Q45" i="2"/>
  <c r="Q46" i="2"/>
  <c r="Q47" i="2"/>
  <c r="Q48" i="2"/>
  <c r="Q49" i="2"/>
  <c r="Q40" i="2"/>
  <c r="Q41" i="2"/>
  <c r="Q35" i="2"/>
  <c r="Q36" i="2"/>
  <c r="Q37" i="2"/>
  <c r="Q33" i="2"/>
  <c r="S24" i="2"/>
  <c r="Q6" i="2"/>
  <c r="Q10" i="2"/>
  <c r="Q12" i="2"/>
  <c r="Q14" i="2"/>
  <c r="Q16" i="2"/>
  <c r="Q18" i="2"/>
  <c r="Q20" i="2"/>
  <c r="Q22" i="2"/>
  <c r="P8" i="3"/>
  <c r="AS26" i="2" l="1"/>
  <c r="AR26" i="2"/>
  <c r="AQ26" i="2"/>
  <c r="O15" i="21"/>
  <c r="U15" i="21"/>
  <c r="R15" i="21"/>
  <c r="X15" i="21"/>
  <c r="AO58" i="2"/>
  <c r="AO56" i="2"/>
  <c r="AO54" i="2"/>
  <c r="AO26" i="2" s="1"/>
  <c r="AO48" i="2"/>
  <c r="R13" i="21"/>
  <c r="X13" i="21"/>
  <c r="O13" i="21"/>
  <c r="U13" i="21"/>
  <c r="AN60" i="2"/>
  <c r="AN56" i="2"/>
  <c r="O9" i="21"/>
  <c r="U9" i="21"/>
  <c r="R9" i="21"/>
  <c r="X9" i="21"/>
  <c r="AM60" i="2"/>
  <c r="AL48" i="2"/>
  <c r="AL62" i="2"/>
  <c r="AL58" i="2"/>
  <c r="AL54" i="2"/>
  <c r="AM48" i="2"/>
  <c r="AN48" i="2"/>
  <c r="AL60" i="2"/>
  <c r="AL56" i="2"/>
  <c r="AM62" i="2"/>
  <c r="AM54" i="2"/>
  <c r="AM26" i="2" s="1"/>
  <c r="AN62" i="2"/>
  <c r="AN58" i="2"/>
  <c r="AN54" i="2"/>
  <c r="C27" i="25"/>
  <c r="C24" i="25"/>
  <c r="C21" i="25"/>
  <c r="C18" i="25"/>
  <c r="C15" i="25"/>
  <c r="C12" i="25"/>
  <c r="C9" i="25"/>
  <c r="AN26" i="2" l="1"/>
  <c r="AL26" i="2"/>
  <c r="T27" i="23"/>
  <c r="C15" i="27" l="1"/>
  <c r="B15" i="27"/>
  <c r="L18" i="23"/>
  <c r="L19" i="23"/>
  <c r="L17" i="23"/>
  <c r="L30" i="23" l="1"/>
  <c r="B22" i="23"/>
  <c r="B14" i="27"/>
  <c r="E12" i="27"/>
  <c r="D12" i="27"/>
  <c r="D12" i="23"/>
  <c r="C12" i="27"/>
  <c r="B14" i="23"/>
  <c r="E12" i="23"/>
  <c r="C12" i="23"/>
  <c r="B22" i="27"/>
  <c r="E25" i="20"/>
  <c r="X29" i="21" s="1"/>
  <c r="D25" i="20"/>
  <c r="U29" i="21" s="1"/>
  <c r="C25" i="20"/>
  <c r="R29" i="21" s="1"/>
  <c r="B25" i="20"/>
  <c r="O29" i="21" s="1"/>
  <c r="E27" i="27"/>
  <c r="D27" i="27"/>
  <c r="C27" i="27"/>
  <c r="B27" i="27"/>
  <c r="E20" i="27"/>
  <c r="D20" i="27"/>
  <c r="C20" i="27"/>
  <c r="B20" i="27"/>
  <c r="B7" i="27"/>
  <c r="E5" i="27"/>
  <c r="D5" i="27"/>
  <c r="C5" i="27"/>
  <c r="B5" i="27"/>
  <c r="B1" i="27"/>
  <c r="E25" i="19"/>
  <c r="D25" i="19"/>
  <c r="U27" i="21" s="1"/>
  <c r="C25" i="19"/>
  <c r="B25" i="19"/>
  <c r="E25" i="18"/>
  <c r="D25" i="18"/>
  <c r="C25" i="18"/>
  <c r="B25" i="18"/>
  <c r="E25" i="24"/>
  <c r="D25" i="24"/>
  <c r="C25" i="24"/>
  <c r="B25" i="24"/>
  <c r="X27" i="21" l="1"/>
  <c r="Y26" i="21"/>
  <c r="Z26" i="21" s="1"/>
  <c r="R27" i="21"/>
  <c r="S26" i="21"/>
  <c r="T26" i="21" s="1"/>
  <c r="O27" i="21"/>
  <c r="P26" i="21"/>
  <c r="Q26" i="21" s="1"/>
  <c r="B6" i="27"/>
  <c r="G6" i="27" s="1"/>
  <c r="B21" i="27"/>
  <c r="G21" i="27" s="1"/>
  <c r="O1" i="26" l="1"/>
  <c r="E25" i="16" l="1"/>
  <c r="D25" i="16"/>
  <c r="C25" i="16"/>
  <c r="B25" i="16"/>
  <c r="E25" i="15"/>
  <c r="D25" i="15"/>
  <c r="C25" i="15"/>
  <c r="B25" i="15"/>
  <c r="O19" i="21" l="1"/>
  <c r="R19" i="21"/>
  <c r="X19" i="21"/>
  <c r="U19" i="21"/>
  <c r="H4" i="25"/>
  <c r="H6" i="25" s="1"/>
  <c r="H5" i="25"/>
  <c r="B10" i="14"/>
  <c r="C17" i="21" s="1"/>
  <c r="E10" i="14"/>
  <c r="L17" i="21" s="1"/>
  <c r="D10" i="14"/>
  <c r="I17" i="21" s="1"/>
  <c r="C10" i="14"/>
  <c r="F17" i="21" s="1"/>
  <c r="E4" i="13" l="1"/>
  <c r="U33" i="4" l="1"/>
  <c r="P33" i="4"/>
  <c r="U32" i="4"/>
  <c r="P32" i="4"/>
  <c r="C14" i="26"/>
  <c r="C12" i="26"/>
  <c r="C13" i="26"/>
  <c r="C11" i="26"/>
  <c r="C10" i="26"/>
  <c r="C9" i="26"/>
  <c r="C8" i="26"/>
  <c r="C7" i="26"/>
  <c r="C6" i="26"/>
  <c r="C5" i="26"/>
  <c r="C4" i="26"/>
  <c r="U25" i="4"/>
  <c r="B7" i="10"/>
  <c r="E4" i="12"/>
  <c r="L24" i="23"/>
  <c r="L16" i="23"/>
  <c r="L15" i="23"/>
  <c r="L21" i="23"/>
  <c r="L20" i="23"/>
  <c r="L23" i="23"/>
  <c r="L22" i="23"/>
  <c r="L27" i="23"/>
  <c r="L26" i="23"/>
  <c r="L25" i="23"/>
  <c r="B1" i="23"/>
  <c r="B5" i="23"/>
  <c r="C5" i="23"/>
  <c r="D5" i="23"/>
  <c r="E5" i="23"/>
  <c r="H5" i="23" s="1"/>
  <c r="B7" i="23"/>
  <c r="H7" i="23" s="1"/>
  <c r="B20" i="23"/>
  <c r="C20" i="23"/>
  <c r="D20" i="23"/>
  <c r="E20" i="23"/>
  <c r="B27" i="23"/>
  <c r="C27" i="23"/>
  <c r="D27" i="23"/>
  <c r="E27" i="23"/>
  <c r="P37" i="4" l="1"/>
  <c r="L29" i="23"/>
  <c r="O4" i="26"/>
  <c r="O5" i="26"/>
  <c r="O6" i="26"/>
  <c r="O7" i="26"/>
  <c r="O8" i="26"/>
  <c r="O9" i="26"/>
  <c r="O10" i="26"/>
  <c r="O11" i="26"/>
  <c r="O14" i="26"/>
  <c r="O13" i="26"/>
  <c r="O12" i="26"/>
  <c r="B21" i="23"/>
  <c r="B6" i="23"/>
  <c r="O6" i="23" s="1"/>
  <c r="O14" i="23" l="1"/>
  <c r="L31" i="23"/>
  <c r="O28" i="23"/>
  <c r="O21" i="23"/>
  <c r="O12" i="23"/>
  <c r="O23" i="23"/>
  <c r="O15" i="23"/>
  <c r="O16" i="23"/>
  <c r="O20" i="23"/>
  <c r="O24" i="23"/>
  <c r="O25" i="23"/>
  <c r="O17" i="23"/>
  <c r="O27" i="23"/>
  <c r="O19" i="23"/>
  <c r="O13" i="23"/>
  <c r="O18" i="23"/>
  <c r="O22" i="23"/>
  <c r="O26" i="23"/>
  <c r="O30" i="23" l="1"/>
  <c r="F4" i="25"/>
  <c r="F5" i="25"/>
  <c r="D4" i="25"/>
  <c r="D5" i="25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7" i="6"/>
  <c r="U5" i="6"/>
  <c r="V49" i="2"/>
  <c r="V63" i="2" s="1"/>
  <c r="V48" i="2"/>
  <c r="V19" i="2" s="1"/>
  <c r="V47" i="2"/>
  <c r="V61" i="2" s="1"/>
  <c r="V46" i="2"/>
  <c r="V15" i="2" s="1"/>
  <c r="V45" i="2"/>
  <c r="V59" i="2" s="1"/>
  <c r="V44" i="2"/>
  <c r="V13" i="2" s="1"/>
  <c r="V43" i="2"/>
  <c r="V57" i="2" s="1"/>
  <c r="V42" i="2"/>
  <c r="V9" i="2" s="1"/>
  <c r="V41" i="2"/>
  <c r="V55" i="2" s="1"/>
  <c r="V40" i="2"/>
  <c r="V37" i="2"/>
  <c r="V62" i="2" s="1"/>
  <c r="V36" i="2"/>
  <c r="V60" i="2" s="1"/>
  <c r="V35" i="2"/>
  <c r="V58" i="2" s="1"/>
  <c r="V34" i="2"/>
  <c r="V56" i="2" s="1"/>
  <c r="V33" i="2"/>
  <c r="V54" i="2" s="1"/>
  <c r="V22" i="2"/>
  <c r="V20" i="2"/>
  <c r="V18" i="2"/>
  <c r="V16" i="2"/>
  <c r="V14" i="2"/>
  <c r="V12" i="2"/>
  <c r="V10" i="2"/>
  <c r="V8" i="2"/>
  <c r="V6" i="2"/>
  <c r="V4" i="2"/>
  <c r="U22" i="8"/>
  <c r="U20" i="8"/>
  <c r="U18" i="8"/>
  <c r="U16" i="8"/>
  <c r="U14" i="8"/>
  <c r="U12" i="8"/>
  <c r="U10" i="8"/>
  <c r="U8" i="8"/>
  <c r="U6" i="8"/>
  <c r="U4" i="8"/>
  <c r="U22" i="7"/>
  <c r="U20" i="7"/>
  <c r="U18" i="7"/>
  <c r="U16" i="7"/>
  <c r="U14" i="7"/>
  <c r="U12" i="7"/>
  <c r="U10" i="7"/>
  <c r="U8" i="7"/>
  <c r="U6" i="7"/>
  <c r="U4" i="7"/>
  <c r="U6" i="6"/>
  <c r="U4" i="6"/>
  <c r="U22" i="5"/>
  <c r="U20" i="5"/>
  <c r="U18" i="5"/>
  <c r="U16" i="5"/>
  <c r="U14" i="5"/>
  <c r="U12" i="5"/>
  <c r="U10" i="5"/>
  <c r="U8" i="5"/>
  <c r="U6" i="5"/>
  <c r="U4" i="5"/>
  <c r="U22" i="4"/>
  <c r="U20" i="4"/>
  <c r="U18" i="4"/>
  <c r="U16" i="4"/>
  <c r="U14" i="4"/>
  <c r="U12" i="4"/>
  <c r="U10" i="4"/>
  <c r="U8" i="4"/>
  <c r="U6" i="4"/>
  <c r="U4" i="4"/>
  <c r="U22" i="3"/>
  <c r="U20" i="3"/>
  <c r="U18" i="3"/>
  <c r="U16" i="3"/>
  <c r="U14" i="3"/>
  <c r="U12" i="3"/>
  <c r="U10" i="3"/>
  <c r="U8" i="3"/>
  <c r="U6" i="3"/>
  <c r="U4" i="3"/>
  <c r="U6" i="1"/>
  <c r="U4" i="1"/>
  <c r="F6" i="25" l="1"/>
  <c r="D6" i="25"/>
  <c r="V7" i="2"/>
  <c r="AK6" i="2" s="1"/>
  <c r="AK47" i="2"/>
  <c r="AW47" i="2" s="1"/>
  <c r="AK48" i="2"/>
  <c r="AW48" i="2" s="1"/>
  <c r="AK8" i="2"/>
  <c r="AW8" i="2" s="1"/>
  <c r="AK12" i="2"/>
  <c r="AW12" i="2" s="1"/>
  <c r="AK14" i="2"/>
  <c r="AW14" i="2" s="1"/>
  <c r="AK18" i="2"/>
  <c r="AW18" i="2" s="1"/>
  <c r="AK54" i="2"/>
  <c r="AW54" i="2" s="1"/>
  <c r="AK56" i="2"/>
  <c r="AW56" i="2" s="1"/>
  <c r="AK58" i="2"/>
  <c r="AW58" i="2" s="1"/>
  <c r="AK60" i="2"/>
  <c r="AW60" i="2" s="1"/>
  <c r="AK62" i="2"/>
  <c r="AW62" i="2" s="1"/>
  <c r="D29" i="8"/>
  <c r="E29" i="8"/>
  <c r="F29" i="8"/>
  <c r="G29" i="8"/>
  <c r="H29" i="8"/>
  <c r="I29" i="8"/>
  <c r="J29" i="8"/>
  <c r="K29" i="8"/>
  <c r="L29" i="8"/>
  <c r="AK26" i="2" l="1"/>
  <c r="AW6" i="2"/>
  <c r="AW26" i="2" s="1"/>
  <c r="P16" i="4"/>
  <c r="N5" i="25"/>
  <c r="N6" i="25" s="1"/>
  <c r="C4" i="25"/>
  <c r="E4" i="25"/>
  <c r="G4" i="25"/>
  <c r="I4" i="25"/>
  <c r="C5" i="25"/>
  <c r="E5" i="25"/>
  <c r="G5" i="25"/>
  <c r="I5" i="25"/>
  <c r="K5" i="25"/>
  <c r="L5" i="25"/>
  <c r="M5" i="25"/>
  <c r="M6" i="25" s="1"/>
  <c r="F1" i="21"/>
  <c r="B1" i="20"/>
  <c r="B4" i="20"/>
  <c r="C4" i="20"/>
  <c r="D4" i="20"/>
  <c r="B5" i="20"/>
  <c r="C5" i="20"/>
  <c r="D5" i="20"/>
  <c r="E5" i="20"/>
  <c r="B7" i="20"/>
  <c r="B9" i="20"/>
  <c r="C9" i="20"/>
  <c r="D9" i="20"/>
  <c r="E9" i="20"/>
  <c r="B12" i="20"/>
  <c r="C12" i="20"/>
  <c r="D12" i="20"/>
  <c r="E12" i="20"/>
  <c r="B14" i="20"/>
  <c r="B15" i="20"/>
  <c r="B19" i="20"/>
  <c r="C19" i="20"/>
  <c r="D19" i="20"/>
  <c r="E19" i="20"/>
  <c r="B20" i="20"/>
  <c r="C20" i="20"/>
  <c r="D20" i="20"/>
  <c r="E20" i="20"/>
  <c r="B22" i="20"/>
  <c r="B24" i="20"/>
  <c r="C24" i="20"/>
  <c r="D24" i="20"/>
  <c r="E24" i="20"/>
  <c r="O29" i="22"/>
  <c r="R29" i="22"/>
  <c r="U29" i="22"/>
  <c r="X29" i="22"/>
  <c r="B27" i="20"/>
  <c r="C27" i="20"/>
  <c r="D27" i="20"/>
  <c r="E27" i="20"/>
  <c r="B1" i="19"/>
  <c r="B4" i="19"/>
  <c r="B5" i="19"/>
  <c r="C5" i="19"/>
  <c r="E5" i="19"/>
  <c r="B7" i="19"/>
  <c r="B12" i="19"/>
  <c r="C12" i="19"/>
  <c r="D12" i="19"/>
  <c r="E12" i="19"/>
  <c r="B14" i="19"/>
  <c r="B15" i="19"/>
  <c r="C19" i="19"/>
  <c r="D19" i="19"/>
  <c r="E19" i="19"/>
  <c r="B20" i="19"/>
  <c r="C20" i="19"/>
  <c r="D20" i="19"/>
  <c r="E20" i="19"/>
  <c r="B22" i="19"/>
  <c r="D24" i="19"/>
  <c r="O27" i="22"/>
  <c r="R27" i="22"/>
  <c r="U27" i="22"/>
  <c r="B27" i="19"/>
  <c r="C27" i="19"/>
  <c r="D27" i="19"/>
  <c r="E27" i="19"/>
  <c r="B1" i="18"/>
  <c r="B4" i="18"/>
  <c r="C4" i="18"/>
  <c r="D4" i="18"/>
  <c r="B5" i="18"/>
  <c r="C5" i="18"/>
  <c r="D5" i="18"/>
  <c r="E5" i="18"/>
  <c r="B7" i="18"/>
  <c r="B9" i="18"/>
  <c r="C9" i="18"/>
  <c r="D9" i="18"/>
  <c r="E9" i="18"/>
  <c r="B12" i="18"/>
  <c r="C12" i="18"/>
  <c r="D12" i="18"/>
  <c r="E12" i="18"/>
  <c r="B14" i="18"/>
  <c r="B15" i="18"/>
  <c r="B19" i="18"/>
  <c r="C19" i="18"/>
  <c r="D19" i="18"/>
  <c r="E19" i="18"/>
  <c r="B20" i="18"/>
  <c r="C20" i="18"/>
  <c r="D20" i="18"/>
  <c r="E20" i="18"/>
  <c r="B22" i="18"/>
  <c r="B24" i="18"/>
  <c r="C24" i="18"/>
  <c r="E24" i="18"/>
  <c r="O25" i="22"/>
  <c r="R25" i="22"/>
  <c r="U25" i="22"/>
  <c r="B27" i="18"/>
  <c r="C27" i="18"/>
  <c r="D27" i="18"/>
  <c r="E27" i="18"/>
  <c r="B1" i="24"/>
  <c r="B4" i="24"/>
  <c r="C4" i="24"/>
  <c r="D4" i="24"/>
  <c r="B5" i="24"/>
  <c r="C5" i="24"/>
  <c r="D5" i="24"/>
  <c r="E5" i="24"/>
  <c r="B7" i="24"/>
  <c r="B9" i="24"/>
  <c r="C9" i="24"/>
  <c r="D9" i="24"/>
  <c r="E9" i="24"/>
  <c r="B12" i="24"/>
  <c r="C12" i="24"/>
  <c r="D12" i="24"/>
  <c r="E12" i="24"/>
  <c r="B14" i="24"/>
  <c r="B15" i="24"/>
  <c r="B19" i="24"/>
  <c r="C19" i="24"/>
  <c r="D19" i="24"/>
  <c r="E19" i="24"/>
  <c r="B20" i="24"/>
  <c r="C20" i="24"/>
  <c r="D20" i="24"/>
  <c r="E20" i="24"/>
  <c r="B24" i="24"/>
  <c r="C24" i="24"/>
  <c r="D24" i="24"/>
  <c r="E24" i="24"/>
  <c r="B27" i="24"/>
  <c r="C27" i="24"/>
  <c r="D27" i="24"/>
  <c r="E27" i="24"/>
  <c r="B1" i="16"/>
  <c r="B4" i="16"/>
  <c r="C4" i="16"/>
  <c r="D4" i="16"/>
  <c r="B5" i="16"/>
  <c r="C5" i="16"/>
  <c r="D5" i="16"/>
  <c r="E5" i="16"/>
  <c r="B7" i="16"/>
  <c r="B9" i="16"/>
  <c r="C9" i="16"/>
  <c r="D9" i="16"/>
  <c r="E9" i="16"/>
  <c r="B12" i="16"/>
  <c r="C12" i="16"/>
  <c r="D12" i="16"/>
  <c r="E12" i="16"/>
  <c r="B14" i="16"/>
  <c r="B15" i="16"/>
  <c r="B19" i="16"/>
  <c r="C19" i="16"/>
  <c r="D19" i="16"/>
  <c r="E19" i="16"/>
  <c r="B20" i="16"/>
  <c r="C20" i="16"/>
  <c r="D20" i="16"/>
  <c r="E20" i="16"/>
  <c r="B22" i="16"/>
  <c r="B24" i="16"/>
  <c r="C24" i="16"/>
  <c r="D24" i="16"/>
  <c r="E24" i="16"/>
  <c r="R21" i="22"/>
  <c r="B27" i="16"/>
  <c r="C27" i="16"/>
  <c r="D27" i="16"/>
  <c r="E27" i="16"/>
  <c r="B1" i="15"/>
  <c r="B4" i="15"/>
  <c r="C4" i="15"/>
  <c r="D4" i="15"/>
  <c r="B5" i="15"/>
  <c r="C5" i="15"/>
  <c r="D5" i="15"/>
  <c r="E5" i="15"/>
  <c r="B7" i="15"/>
  <c r="B9" i="15"/>
  <c r="C18" i="21" s="1"/>
  <c r="C9" i="15"/>
  <c r="F18" i="21" s="1"/>
  <c r="D9" i="15"/>
  <c r="I18" i="21" s="1"/>
  <c r="E9" i="15"/>
  <c r="L18" i="21" s="1"/>
  <c r="B10" i="15"/>
  <c r="C10" i="15"/>
  <c r="D10" i="15"/>
  <c r="E10" i="15"/>
  <c r="B12" i="15"/>
  <c r="C12" i="15"/>
  <c r="D12" i="15"/>
  <c r="E12" i="15"/>
  <c r="B14" i="15"/>
  <c r="B15" i="15"/>
  <c r="B19" i="15"/>
  <c r="C19" i="15"/>
  <c r="D19" i="15"/>
  <c r="E19" i="15"/>
  <c r="B20" i="15"/>
  <c r="C20" i="15"/>
  <c r="D20" i="15"/>
  <c r="E20" i="15"/>
  <c r="B22" i="15"/>
  <c r="B24" i="15"/>
  <c r="C24" i="15"/>
  <c r="D24" i="15"/>
  <c r="E24" i="15"/>
  <c r="O19" i="22"/>
  <c r="R19" i="22"/>
  <c r="B27" i="15"/>
  <c r="C27" i="15"/>
  <c r="D27" i="15"/>
  <c r="E27" i="15"/>
  <c r="B1" i="14"/>
  <c r="B4" i="14"/>
  <c r="C4" i="14"/>
  <c r="D4" i="14"/>
  <c r="B5" i="14"/>
  <c r="C5" i="14"/>
  <c r="D5" i="14"/>
  <c r="E5" i="14"/>
  <c r="B7" i="14"/>
  <c r="B9" i="14"/>
  <c r="C9" i="14"/>
  <c r="D9" i="14"/>
  <c r="E9" i="14"/>
  <c r="C17" i="22"/>
  <c r="B12" i="14"/>
  <c r="C12" i="14"/>
  <c r="D12" i="14"/>
  <c r="E12" i="14"/>
  <c r="B14" i="14"/>
  <c r="B15" i="14"/>
  <c r="B19" i="14"/>
  <c r="C19" i="14"/>
  <c r="D19" i="14"/>
  <c r="E19" i="14"/>
  <c r="B20" i="14"/>
  <c r="C20" i="14"/>
  <c r="D20" i="14"/>
  <c r="E20" i="14"/>
  <c r="B22" i="14"/>
  <c r="B24" i="14"/>
  <c r="C24" i="14"/>
  <c r="D24" i="14"/>
  <c r="E24" i="14"/>
  <c r="B27" i="14"/>
  <c r="C27" i="14"/>
  <c r="D27" i="14"/>
  <c r="E27" i="14"/>
  <c r="B1" i="13"/>
  <c r="B4" i="13"/>
  <c r="C4" i="13"/>
  <c r="D4" i="13"/>
  <c r="B5" i="13"/>
  <c r="C5" i="13"/>
  <c r="D5" i="13"/>
  <c r="E5" i="13"/>
  <c r="B7" i="13"/>
  <c r="B9" i="13"/>
  <c r="C14" i="21" s="1"/>
  <c r="C9" i="13"/>
  <c r="F14" i="21" s="1"/>
  <c r="D9" i="13"/>
  <c r="I14" i="21" s="1"/>
  <c r="E9" i="13"/>
  <c r="L14" i="21" s="1"/>
  <c r="B10" i="13"/>
  <c r="C10" i="13"/>
  <c r="D10" i="13"/>
  <c r="E10" i="13"/>
  <c r="B12" i="13"/>
  <c r="B15" i="13"/>
  <c r="B19" i="13"/>
  <c r="C19" i="13"/>
  <c r="D19" i="13"/>
  <c r="E19" i="13"/>
  <c r="B20" i="13"/>
  <c r="C20" i="13"/>
  <c r="D20" i="13"/>
  <c r="E20" i="13"/>
  <c r="B22" i="13"/>
  <c r="B24" i="13"/>
  <c r="C24" i="13"/>
  <c r="D24" i="13"/>
  <c r="E24" i="13"/>
  <c r="B27" i="13"/>
  <c r="C27" i="13"/>
  <c r="D27" i="13"/>
  <c r="E27" i="13"/>
  <c r="B1" i="12"/>
  <c r="B5" i="12"/>
  <c r="C5" i="12"/>
  <c r="D5" i="12"/>
  <c r="E5" i="12"/>
  <c r="B7" i="12"/>
  <c r="B9" i="12"/>
  <c r="C12" i="21" s="1"/>
  <c r="C9" i="12"/>
  <c r="F12" i="21" s="1"/>
  <c r="D9" i="12"/>
  <c r="I12" i="21" s="1"/>
  <c r="E9" i="12"/>
  <c r="L12" i="21" s="1"/>
  <c r="B10" i="12"/>
  <c r="C10" i="12"/>
  <c r="D10" i="12"/>
  <c r="E10" i="12"/>
  <c r="B12" i="12"/>
  <c r="C12" i="12"/>
  <c r="D12" i="12"/>
  <c r="E12" i="12"/>
  <c r="B14" i="12"/>
  <c r="B15" i="12"/>
  <c r="B19" i="12"/>
  <c r="C19" i="12"/>
  <c r="D19" i="12"/>
  <c r="B20" i="12"/>
  <c r="C20" i="12"/>
  <c r="D20" i="12"/>
  <c r="E20" i="12"/>
  <c r="B22" i="12"/>
  <c r="B24" i="12"/>
  <c r="C24" i="12"/>
  <c r="D24" i="12"/>
  <c r="E24" i="12"/>
  <c r="B27" i="12"/>
  <c r="C27" i="12"/>
  <c r="D27" i="12"/>
  <c r="E27" i="12"/>
  <c r="B1" i="11"/>
  <c r="B4" i="11"/>
  <c r="C4" i="11"/>
  <c r="D4" i="11"/>
  <c r="B5" i="11"/>
  <c r="C5" i="11"/>
  <c r="D5" i="11"/>
  <c r="E5" i="11"/>
  <c r="B7" i="11"/>
  <c r="B9" i="11"/>
  <c r="C9" i="11"/>
  <c r="D9" i="11"/>
  <c r="E9" i="11"/>
  <c r="B10" i="11"/>
  <c r="C11" i="21" s="1"/>
  <c r="C10" i="11"/>
  <c r="F11" i="21" s="1"/>
  <c r="D10" i="11"/>
  <c r="I11" i="21" s="1"/>
  <c r="E10" i="11"/>
  <c r="L11" i="21" s="1"/>
  <c r="B12" i="11"/>
  <c r="C12" i="11"/>
  <c r="D12" i="11"/>
  <c r="E12" i="11"/>
  <c r="B14" i="11"/>
  <c r="B15" i="11"/>
  <c r="B19" i="11"/>
  <c r="C19" i="11"/>
  <c r="D19" i="11"/>
  <c r="E19" i="11"/>
  <c r="B20" i="11"/>
  <c r="C20" i="11"/>
  <c r="D20" i="11"/>
  <c r="E20" i="11"/>
  <c r="B22" i="11"/>
  <c r="B24" i="11"/>
  <c r="C24" i="11"/>
  <c r="D24" i="11"/>
  <c r="E24" i="11"/>
  <c r="B27" i="11"/>
  <c r="C27" i="11"/>
  <c r="D27" i="11"/>
  <c r="E27" i="11"/>
  <c r="B1" i="10"/>
  <c r="B4" i="10"/>
  <c r="C4" i="10"/>
  <c r="D4" i="10"/>
  <c r="E4" i="10"/>
  <c r="B5" i="10"/>
  <c r="C5" i="10"/>
  <c r="D5" i="10"/>
  <c r="E5" i="10"/>
  <c r="B9" i="10"/>
  <c r="C8" i="21" s="1"/>
  <c r="C9" i="10"/>
  <c r="F8" i="21" s="1"/>
  <c r="D9" i="10"/>
  <c r="I8" i="21" s="1"/>
  <c r="E9" i="10"/>
  <c r="L8" i="21" s="1"/>
  <c r="B10" i="10"/>
  <c r="C10" i="10"/>
  <c r="D10" i="10"/>
  <c r="E10" i="10"/>
  <c r="C12" i="10"/>
  <c r="D12" i="10"/>
  <c r="E12" i="10"/>
  <c r="B14" i="10"/>
  <c r="B15" i="10"/>
  <c r="B19" i="10"/>
  <c r="C19" i="10"/>
  <c r="D19" i="10"/>
  <c r="E19" i="10"/>
  <c r="B20" i="10"/>
  <c r="C20" i="10"/>
  <c r="D20" i="10"/>
  <c r="E20" i="10"/>
  <c r="B22" i="10"/>
  <c r="B24" i="10"/>
  <c r="C24" i="10"/>
  <c r="D24" i="10"/>
  <c r="E24" i="10"/>
  <c r="B27" i="10"/>
  <c r="C27" i="10"/>
  <c r="D27" i="10"/>
  <c r="E27" i="10"/>
  <c r="B4" i="9"/>
  <c r="C4" i="9"/>
  <c r="D4" i="9"/>
  <c r="E4" i="9"/>
  <c r="B5" i="9"/>
  <c r="C5" i="9"/>
  <c r="D5" i="9"/>
  <c r="E5" i="9"/>
  <c r="B7" i="9"/>
  <c r="B9" i="9"/>
  <c r="C9" i="9"/>
  <c r="D9" i="9"/>
  <c r="E9" i="9"/>
  <c r="B10" i="9"/>
  <c r="C7" i="21" s="1"/>
  <c r="C10" i="9"/>
  <c r="F7" i="22" s="1"/>
  <c r="D10" i="9"/>
  <c r="J6" i="21" s="1"/>
  <c r="E10" i="9"/>
  <c r="L7" i="22" s="1"/>
  <c r="B12" i="9"/>
  <c r="C12" i="9"/>
  <c r="D12" i="9"/>
  <c r="E12" i="9"/>
  <c r="B14" i="9"/>
  <c r="B15" i="9"/>
  <c r="B19" i="9"/>
  <c r="C19" i="9"/>
  <c r="D19" i="9"/>
  <c r="E19" i="9"/>
  <c r="B20" i="9"/>
  <c r="C20" i="9"/>
  <c r="D20" i="9"/>
  <c r="E20" i="9"/>
  <c r="B22" i="9"/>
  <c r="B24" i="9"/>
  <c r="O6" i="22" s="1"/>
  <c r="C24" i="9"/>
  <c r="D24" i="9"/>
  <c r="U6" i="22" s="1"/>
  <c r="E24" i="9"/>
  <c r="O7" i="21"/>
  <c r="R7" i="21"/>
  <c r="U7" i="21"/>
  <c r="X7" i="22"/>
  <c r="B27" i="9"/>
  <c r="C27" i="9"/>
  <c r="D27" i="9"/>
  <c r="E27" i="9"/>
  <c r="C2" i="8"/>
  <c r="P4" i="8"/>
  <c r="P6" i="8"/>
  <c r="P8" i="8"/>
  <c r="P12" i="8"/>
  <c r="P14" i="8"/>
  <c r="P16" i="8"/>
  <c r="P18" i="8"/>
  <c r="P20" i="8"/>
  <c r="P22" i="8"/>
  <c r="R25" i="8"/>
  <c r="P26" i="8"/>
  <c r="A29" i="8"/>
  <c r="M29" i="8"/>
  <c r="N29" i="8"/>
  <c r="O29" i="8"/>
  <c r="P29" i="8" s="1"/>
  <c r="C2" i="7"/>
  <c r="P4" i="7"/>
  <c r="P6" i="7"/>
  <c r="P8" i="7"/>
  <c r="P10" i="7"/>
  <c r="P12" i="7"/>
  <c r="P14" i="7"/>
  <c r="P16" i="7"/>
  <c r="P18" i="7"/>
  <c r="P20" i="7"/>
  <c r="P22" i="7"/>
  <c r="R25" i="7"/>
  <c r="P26" i="7"/>
  <c r="A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 s="1"/>
  <c r="C2" i="6"/>
  <c r="P4" i="6"/>
  <c r="P6" i="6"/>
  <c r="P8" i="6"/>
  <c r="P10" i="6"/>
  <c r="P12" i="6"/>
  <c r="P14" i="6"/>
  <c r="P16" i="6"/>
  <c r="P18" i="6"/>
  <c r="P20" i="6"/>
  <c r="P22" i="6"/>
  <c r="R25" i="6"/>
  <c r="P26" i="6"/>
  <c r="A29" i="6"/>
  <c r="D29" i="6"/>
  <c r="E29" i="6"/>
  <c r="F29" i="6"/>
  <c r="G29" i="6"/>
  <c r="H29" i="6"/>
  <c r="I29" i="6"/>
  <c r="J29" i="6"/>
  <c r="K29" i="6"/>
  <c r="L29" i="6"/>
  <c r="M29" i="6"/>
  <c r="N29" i="6"/>
  <c r="O29" i="6"/>
  <c r="P29" i="6" s="1"/>
  <c r="C2" i="5"/>
  <c r="P4" i="5"/>
  <c r="P6" i="5"/>
  <c r="P8" i="5"/>
  <c r="P10" i="5"/>
  <c r="P14" i="5"/>
  <c r="P16" i="5"/>
  <c r="P18" i="5"/>
  <c r="P20" i="5"/>
  <c r="P22" i="5"/>
  <c r="Q24" i="5"/>
  <c r="R25" i="5"/>
  <c r="P26" i="5"/>
  <c r="C2" i="4"/>
  <c r="P4" i="4"/>
  <c r="P6" i="4"/>
  <c r="P8" i="4"/>
  <c r="P36" i="4" s="1"/>
  <c r="P38" i="4" s="1"/>
  <c r="P10" i="4"/>
  <c r="P12" i="4"/>
  <c r="P14" i="4"/>
  <c r="P18" i="4"/>
  <c r="P20" i="4"/>
  <c r="P22" i="4"/>
  <c r="P26" i="4"/>
  <c r="Q26" i="4" s="1"/>
  <c r="P27" i="4"/>
  <c r="A30" i="4"/>
  <c r="P30" i="4"/>
  <c r="C2" i="3"/>
  <c r="P4" i="3"/>
  <c r="P6" i="3"/>
  <c r="P10" i="3"/>
  <c r="P12" i="3"/>
  <c r="P14" i="3"/>
  <c r="P16" i="3"/>
  <c r="P18" i="3"/>
  <c r="P22" i="3"/>
  <c r="P26" i="3"/>
  <c r="A29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 s="1"/>
  <c r="D2" i="2"/>
  <c r="Q4" i="2"/>
  <c r="Q26" i="2"/>
  <c r="B29" i="2"/>
  <c r="Q29" i="2"/>
  <c r="Q34" i="2"/>
  <c r="Q42" i="2"/>
  <c r="P4" i="1"/>
  <c r="P6" i="1"/>
  <c r="P8" i="1"/>
  <c r="P10" i="1"/>
  <c r="P12" i="1"/>
  <c r="P14" i="1"/>
  <c r="P16" i="1"/>
  <c r="P20" i="1"/>
  <c r="P22" i="1"/>
  <c r="P26" i="1"/>
  <c r="P29" i="1"/>
  <c r="U13" i="22"/>
  <c r="U21" i="22"/>
  <c r="O21" i="22"/>
  <c r="X27" i="22"/>
  <c r="V18" i="22"/>
  <c r="X25" i="22"/>
  <c r="Y28" i="21" l="1"/>
  <c r="Z28" i="21" s="1"/>
  <c r="X28" i="21"/>
  <c r="Q24" i="7"/>
  <c r="P24" i="7"/>
  <c r="V28" i="21"/>
  <c r="W28" i="21" s="1"/>
  <c r="U28" i="21"/>
  <c r="S28" i="21"/>
  <c r="T28" i="21" s="1"/>
  <c r="R28" i="21"/>
  <c r="P28" i="21"/>
  <c r="Q28" i="21" s="1"/>
  <c r="O28" i="21"/>
  <c r="M28" i="21"/>
  <c r="N28" i="21" s="1"/>
  <c r="L28" i="21"/>
  <c r="I28" i="21"/>
  <c r="J28" i="21"/>
  <c r="K28" i="21" s="1"/>
  <c r="F28" i="21"/>
  <c r="G28" i="21"/>
  <c r="H28" i="21" s="1"/>
  <c r="D28" i="21"/>
  <c r="E28" i="21" s="1"/>
  <c r="C28" i="21"/>
  <c r="V26" i="21"/>
  <c r="W26" i="21" s="1"/>
  <c r="U26" i="21"/>
  <c r="L19" i="22"/>
  <c r="L19" i="21"/>
  <c r="M18" i="21"/>
  <c r="I19" i="21"/>
  <c r="J18" i="21"/>
  <c r="K18" i="21" s="1"/>
  <c r="I6" i="25"/>
  <c r="C19" i="21"/>
  <c r="D18" i="21"/>
  <c r="E18" i="21" s="1"/>
  <c r="X18" i="21"/>
  <c r="Y18" i="21"/>
  <c r="Z18" i="21" s="1"/>
  <c r="U18" i="21"/>
  <c r="V18" i="21"/>
  <c r="W18" i="21" s="1"/>
  <c r="R18" i="21"/>
  <c r="S18" i="21"/>
  <c r="T18" i="21" s="1"/>
  <c r="F19" i="21"/>
  <c r="G18" i="21"/>
  <c r="H18" i="21" s="1"/>
  <c r="O18" i="21"/>
  <c r="P18" i="21"/>
  <c r="Q18" i="21" s="1"/>
  <c r="X16" i="21"/>
  <c r="Y16" i="21"/>
  <c r="Z16" i="21" s="1"/>
  <c r="U16" i="21"/>
  <c r="V16" i="21"/>
  <c r="W16" i="21" s="1"/>
  <c r="S16" i="21"/>
  <c r="T16" i="21" s="1"/>
  <c r="R16" i="21"/>
  <c r="O16" i="21"/>
  <c r="P16" i="21"/>
  <c r="Q16" i="21" s="1"/>
  <c r="M16" i="21"/>
  <c r="N16" i="21" s="1"/>
  <c r="L16" i="21"/>
  <c r="I16" i="21"/>
  <c r="J16" i="21"/>
  <c r="K16" i="21" s="1"/>
  <c r="G16" i="21"/>
  <c r="H16" i="21" s="1"/>
  <c r="F16" i="21"/>
  <c r="C16" i="21"/>
  <c r="D16" i="21"/>
  <c r="E16" i="21" s="1"/>
  <c r="X14" i="21"/>
  <c r="Y14" i="21"/>
  <c r="Z14" i="21" s="1"/>
  <c r="R14" i="21"/>
  <c r="S14" i="21"/>
  <c r="T14" i="21" s="1"/>
  <c r="I15" i="21"/>
  <c r="J14" i="21"/>
  <c r="C15" i="21"/>
  <c r="D14" i="21"/>
  <c r="E14" i="21" s="1"/>
  <c r="G6" i="25"/>
  <c r="U14" i="21"/>
  <c r="V14" i="21"/>
  <c r="W14" i="21" s="1"/>
  <c r="O14" i="21"/>
  <c r="P14" i="21"/>
  <c r="Q14" i="21" s="1"/>
  <c r="L15" i="21"/>
  <c r="M14" i="21"/>
  <c r="F15" i="21"/>
  <c r="G14" i="21"/>
  <c r="X12" i="21"/>
  <c r="Y12" i="21"/>
  <c r="Z12" i="21" s="1"/>
  <c r="R12" i="21"/>
  <c r="S12" i="21"/>
  <c r="T12" i="21" s="1"/>
  <c r="L13" i="21"/>
  <c r="M12" i="21"/>
  <c r="F13" i="21"/>
  <c r="G12" i="21"/>
  <c r="U12" i="21"/>
  <c r="V12" i="21"/>
  <c r="W12" i="21" s="1"/>
  <c r="O12" i="21"/>
  <c r="P12" i="21"/>
  <c r="Q12" i="21" s="1"/>
  <c r="I13" i="21"/>
  <c r="J12" i="21"/>
  <c r="D12" i="21"/>
  <c r="C13" i="21"/>
  <c r="Y10" i="21"/>
  <c r="Z10" i="21" s="1"/>
  <c r="X10" i="21"/>
  <c r="V10" i="21"/>
  <c r="W10" i="21" s="1"/>
  <c r="U10" i="21"/>
  <c r="R10" i="21"/>
  <c r="S10" i="21"/>
  <c r="T10" i="21" s="1"/>
  <c r="P10" i="21"/>
  <c r="Q10" i="21" s="1"/>
  <c r="O10" i="21"/>
  <c r="L10" i="21"/>
  <c r="M10" i="21"/>
  <c r="N10" i="21" s="1"/>
  <c r="J10" i="21"/>
  <c r="K10" i="21" s="1"/>
  <c r="I10" i="21"/>
  <c r="F10" i="21"/>
  <c r="G10" i="21"/>
  <c r="H10" i="21" s="1"/>
  <c r="E6" i="25"/>
  <c r="D10" i="21"/>
  <c r="E10" i="21" s="1"/>
  <c r="C10" i="21"/>
  <c r="U8" i="21"/>
  <c r="V8" i="21"/>
  <c r="W8" i="21" s="1"/>
  <c r="O8" i="21"/>
  <c r="P8" i="21"/>
  <c r="Q8" i="21" s="1"/>
  <c r="I9" i="21"/>
  <c r="J8" i="21"/>
  <c r="C9" i="21"/>
  <c r="D8" i="21"/>
  <c r="X8" i="21"/>
  <c r="Y8" i="21"/>
  <c r="Z8" i="21" s="1"/>
  <c r="R8" i="21"/>
  <c r="S8" i="21"/>
  <c r="T8" i="21" s="1"/>
  <c r="L9" i="21"/>
  <c r="M8" i="21"/>
  <c r="G8" i="21"/>
  <c r="F9" i="21"/>
  <c r="AW2" i="2"/>
  <c r="P24" i="5"/>
  <c r="Q27" i="4"/>
  <c r="Q24" i="3"/>
  <c r="J24" i="19"/>
  <c r="I24" i="19"/>
  <c r="H24" i="19"/>
  <c r="G24" i="19"/>
  <c r="C12" i="22"/>
  <c r="X9" i="22"/>
  <c r="G8" i="22"/>
  <c r="P6" i="22"/>
  <c r="C6" i="25"/>
  <c r="H4" i="19"/>
  <c r="P24" i="1"/>
  <c r="P24" i="8"/>
  <c r="Q24" i="8"/>
  <c r="X28" i="22"/>
  <c r="J24" i="20"/>
  <c r="E24" i="27"/>
  <c r="J24" i="27" s="1"/>
  <c r="J19" i="20"/>
  <c r="E19" i="27"/>
  <c r="J19" i="27" s="1"/>
  <c r="U28" i="22"/>
  <c r="I24" i="20"/>
  <c r="D24" i="27"/>
  <c r="I24" i="27" s="1"/>
  <c r="I19" i="20"/>
  <c r="D19" i="27"/>
  <c r="I19" i="27" s="1"/>
  <c r="P24" i="6"/>
  <c r="R28" i="22"/>
  <c r="H24" i="20"/>
  <c r="C24" i="27"/>
  <c r="H24" i="27" s="1"/>
  <c r="H19" i="20"/>
  <c r="C19" i="27"/>
  <c r="H19" i="27" s="1"/>
  <c r="O28" i="22"/>
  <c r="G24" i="20"/>
  <c r="B24" i="27"/>
  <c r="G24" i="27" s="1"/>
  <c r="G19" i="20"/>
  <c r="B19" i="27"/>
  <c r="G19" i="27" s="1"/>
  <c r="L29" i="22"/>
  <c r="L28" i="22"/>
  <c r="E9" i="27"/>
  <c r="J9" i="27" s="1"/>
  <c r="J9" i="20"/>
  <c r="Q24" i="4"/>
  <c r="I29" i="22"/>
  <c r="I28" i="22"/>
  <c r="D9" i="27"/>
  <c r="I9" i="27" s="1"/>
  <c r="I9" i="20"/>
  <c r="I4" i="20"/>
  <c r="D4" i="27"/>
  <c r="I4" i="27" s="1"/>
  <c r="F29" i="22"/>
  <c r="F28" i="22"/>
  <c r="H9" i="20"/>
  <c r="C9" i="27"/>
  <c r="H9" i="27" s="1"/>
  <c r="H4" i="20"/>
  <c r="C4" i="27"/>
  <c r="H4" i="27" s="1"/>
  <c r="Q24" i="1"/>
  <c r="C28" i="22"/>
  <c r="B9" i="27"/>
  <c r="G9" i="27" s="1"/>
  <c r="G9" i="20"/>
  <c r="G4" i="20"/>
  <c r="B4" i="27"/>
  <c r="G4" i="27" s="1"/>
  <c r="J19" i="19"/>
  <c r="H19" i="19"/>
  <c r="J9" i="19"/>
  <c r="H9" i="19"/>
  <c r="H4" i="18"/>
  <c r="I19" i="19"/>
  <c r="G19" i="19"/>
  <c r="I9" i="19"/>
  <c r="G9" i="19"/>
  <c r="I4" i="19"/>
  <c r="G4" i="19"/>
  <c r="X26" i="22"/>
  <c r="U26" i="22"/>
  <c r="R26" i="22"/>
  <c r="O26" i="22"/>
  <c r="L27" i="22"/>
  <c r="L26" i="22"/>
  <c r="I27" i="22"/>
  <c r="I26" i="22"/>
  <c r="F27" i="22"/>
  <c r="F26" i="22"/>
  <c r="C27" i="22"/>
  <c r="C26" i="22"/>
  <c r="U24" i="22"/>
  <c r="I24" i="18"/>
  <c r="O24" i="22"/>
  <c r="G24" i="18"/>
  <c r="L25" i="22"/>
  <c r="F25" i="22"/>
  <c r="L24" i="22"/>
  <c r="J9" i="18"/>
  <c r="F24" i="22"/>
  <c r="H9" i="18"/>
  <c r="J19" i="18"/>
  <c r="H19" i="18"/>
  <c r="X24" i="22"/>
  <c r="J24" i="18"/>
  <c r="R24" i="22"/>
  <c r="H24" i="18"/>
  <c r="I25" i="22"/>
  <c r="I24" i="22"/>
  <c r="I9" i="18"/>
  <c r="C24" i="22"/>
  <c r="G9" i="18"/>
  <c r="I19" i="18"/>
  <c r="G19" i="18"/>
  <c r="I4" i="18"/>
  <c r="G4" i="18"/>
  <c r="P24" i="22"/>
  <c r="Q24" i="22" s="1"/>
  <c r="C4" i="23"/>
  <c r="U20" i="22"/>
  <c r="O20" i="22"/>
  <c r="F21" i="22"/>
  <c r="L20" i="22"/>
  <c r="F20" i="22"/>
  <c r="X20" i="22"/>
  <c r="I21" i="22"/>
  <c r="D20" i="22"/>
  <c r="I20" i="22"/>
  <c r="C20" i="22"/>
  <c r="V26" i="22"/>
  <c r="W26" i="22" s="1"/>
  <c r="L21" i="22"/>
  <c r="J10" i="22"/>
  <c r="V24" i="22"/>
  <c r="W24" i="22" s="1"/>
  <c r="U18" i="22"/>
  <c r="O18" i="22"/>
  <c r="F19" i="22"/>
  <c r="L18" i="22"/>
  <c r="F18" i="22"/>
  <c r="X18" i="22"/>
  <c r="R18" i="22"/>
  <c r="C19" i="22"/>
  <c r="I18" i="22"/>
  <c r="C18" i="22"/>
  <c r="X7" i="21"/>
  <c r="C16" i="22"/>
  <c r="J28" i="22"/>
  <c r="X16" i="22"/>
  <c r="U16" i="22"/>
  <c r="V16" i="22"/>
  <c r="R17" i="22"/>
  <c r="R16" i="22"/>
  <c r="P16" i="22"/>
  <c r="O16" i="22"/>
  <c r="L16" i="22"/>
  <c r="I17" i="22"/>
  <c r="I16" i="22"/>
  <c r="F17" i="22"/>
  <c r="F16" i="22"/>
  <c r="X15" i="22"/>
  <c r="R15" i="22"/>
  <c r="X14" i="22"/>
  <c r="R14" i="22"/>
  <c r="I15" i="22"/>
  <c r="D14" i="22"/>
  <c r="I14" i="22"/>
  <c r="C14" i="22"/>
  <c r="U15" i="22"/>
  <c r="U14" i="22"/>
  <c r="M14" i="22"/>
  <c r="L14" i="22"/>
  <c r="O15" i="22"/>
  <c r="O14" i="22"/>
  <c r="G28" i="22"/>
  <c r="G26" i="22"/>
  <c r="G14" i="22"/>
  <c r="F14" i="22"/>
  <c r="D4" i="23"/>
  <c r="B4" i="23"/>
  <c r="F6" i="21"/>
  <c r="C9" i="23"/>
  <c r="P12" i="22"/>
  <c r="I13" i="22"/>
  <c r="D12" i="22"/>
  <c r="I12" i="22"/>
  <c r="I6" i="21"/>
  <c r="D9" i="23"/>
  <c r="C6" i="21"/>
  <c r="B9" i="23"/>
  <c r="X13" i="22"/>
  <c r="R13" i="22"/>
  <c r="L12" i="22"/>
  <c r="F12" i="22"/>
  <c r="L6" i="21"/>
  <c r="E9" i="23"/>
  <c r="E19" i="23"/>
  <c r="X12" i="22"/>
  <c r="E24" i="23"/>
  <c r="U12" i="22"/>
  <c r="D24" i="23"/>
  <c r="D19" i="23"/>
  <c r="C19" i="23"/>
  <c r="R12" i="22"/>
  <c r="C24" i="23"/>
  <c r="O12" i="22"/>
  <c r="B24" i="23"/>
  <c r="B19" i="23"/>
  <c r="G4" i="16"/>
  <c r="X11" i="22"/>
  <c r="U11" i="22"/>
  <c r="R11" i="22"/>
  <c r="S10" i="22"/>
  <c r="R10" i="22"/>
  <c r="O11" i="22"/>
  <c r="L11" i="22"/>
  <c r="L10" i="22"/>
  <c r="I10" i="22"/>
  <c r="F11" i="22"/>
  <c r="F10" i="22"/>
  <c r="C10" i="22"/>
  <c r="U9" i="22"/>
  <c r="P8" i="22"/>
  <c r="O8" i="22"/>
  <c r="L9" i="22"/>
  <c r="F9" i="22"/>
  <c r="H4" i="11"/>
  <c r="H4" i="12"/>
  <c r="H4" i="13"/>
  <c r="G4" i="24"/>
  <c r="C8" i="22"/>
  <c r="C6" i="22"/>
  <c r="Q24" i="6"/>
  <c r="D6" i="22"/>
  <c r="D10" i="22"/>
  <c r="C9" i="22"/>
  <c r="D6" i="21"/>
  <c r="G6" i="21"/>
  <c r="F8" i="22"/>
  <c r="R24" i="2"/>
  <c r="I4" i="16"/>
  <c r="I4" i="24"/>
  <c r="P24" i="3"/>
  <c r="J6" i="22"/>
  <c r="I9" i="22"/>
  <c r="I6" i="22"/>
  <c r="I7" i="21"/>
  <c r="K6" i="21" s="1"/>
  <c r="L6" i="22"/>
  <c r="M6" i="21"/>
  <c r="X22" i="22"/>
  <c r="J24" i="24"/>
  <c r="R22" i="22"/>
  <c r="H24" i="24"/>
  <c r="D22" i="22"/>
  <c r="I9" i="24"/>
  <c r="C22" i="22"/>
  <c r="G9" i="24"/>
  <c r="U22" i="22"/>
  <c r="I24" i="24"/>
  <c r="O22" i="22"/>
  <c r="G24" i="24"/>
  <c r="F23" i="22"/>
  <c r="J9" i="24"/>
  <c r="H9" i="24"/>
  <c r="J19" i="9"/>
  <c r="H19" i="9"/>
  <c r="I4" i="9"/>
  <c r="G4" i="9"/>
  <c r="J19" i="10"/>
  <c r="H19" i="10"/>
  <c r="J4" i="10"/>
  <c r="H4" i="10"/>
  <c r="J19" i="11"/>
  <c r="H19" i="11"/>
  <c r="J19" i="12"/>
  <c r="H19" i="12"/>
  <c r="J19" i="13"/>
  <c r="H19" i="13"/>
  <c r="I19" i="16"/>
  <c r="G19" i="16"/>
  <c r="I19" i="24"/>
  <c r="G19" i="24"/>
  <c r="X21" i="22"/>
  <c r="F13" i="22"/>
  <c r="L8" i="22"/>
  <c r="M8" i="22"/>
  <c r="F6" i="22"/>
  <c r="G6" i="22"/>
  <c r="H6" i="22" s="1"/>
  <c r="M6" i="22"/>
  <c r="N6" i="22" s="1"/>
  <c r="O17" i="22"/>
  <c r="Q16" i="22" s="1"/>
  <c r="U17" i="22"/>
  <c r="V6" i="22"/>
  <c r="J24" i="9"/>
  <c r="H24" i="9"/>
  <c r="I19" i="9"/>
  <c r="G19" i="9"/>
  <c r="J4" i="9"/>
  <c r="H4" i="9"/>
  <c r="I19" i="10"/>
  <c r="G19" i="10"/>
  <c r="I4" i="10"/>
  <c r="G4" i="10"/>
  <c r="H24" i="11"/>
  <c r="I19" i="11"/>
  <c r="G19" i="11"/>
  <c r="I4" i="11"/>
  <c r="G4" i="11"/>
  <c r="I19" i="12"/>
  <c r="G19" i="12"/>
  <c r="G9" i="12"/>
  <c r="I4" i="12"/>
  <c r="G4" i="12"/>
  <c r="I19" i="13"/>
  <c r="G19" i="13"/>
  <c r="I4" i="13"/>
  <c r="G4" i="13"/>
  <c r="J19" i="16"/>
  <c r="H19" i="16"/>
  <c r="H4" i="16"/>
  <c r="J19" i="24"/>
  <c r="H19" i="24"/>
  <c r="H4" i="24"/>
  <c r="J19" i="15"/>
  <c r="H19" i="15"/>
  <c r="G9" i="16"/>
  <c r="I9" i="16"/>
  <c r="H24" i="16"/>
  <c r="J24" i="16"/>
  <c r="G9" i="13"/>
  <c r="I9" i="13"/>
  <c r="H24" i="13"/>
  <c r="J24" i="13"/>
  <c r="I9" i="12"/>
  <c r="H24" i="12"/>
  <c r="J24" i="12"/>
  <c r="G9" i="11"/>
  <c r="I9" i="11"/>
  <c r="J24" i="11"/>
  <c r="G9" i="9"/>
  <c r="I9" i="9"/>
  <c r="G9" i="10"/>
  <c r="I9" i="10"/>
  <c r="H24" i="10"/>
  <c r="J24" i="10"/>
  <c r="I4" i="14"/>
  <c r="G4" i="14"/>
  <c r="I19" i="15"/>
  <c r="G19" i="15"/>
  <c r="H4" i="15"/>
  <c r="I4" i="15"/>
  <c r="G4" i="15"/>
  <c r="H9" i="16"/>
  <c r="J9" i="16"/>
  <c r="G24" i="16"/>
  <c r="I24" i="16"/>
  <c r="H9" i="13"/>
  <c r="J9" i="13"/>
  <c r="G24" i="13"/>
  <c r="I24" i="13"/>
  <c r="H9" i="12"/>
  <c r="J9" i="12"/>
  <c r="G24" i="12"/>
  <c r="I24" i="12"/>
  <c r="H9" i="11"/>
  <c r="J9" i="11"/>
  <c r="G24" i="11"/>
  <c r="I24" i="11"/>
  <c r="H9" i="9"/>
  <c r="J9" i="9"/>
  <c r="G24" i="9"/>
  <c r="I24" i="9"/>
  <c r="H9" i="10"/>
  <c r="J9" i="10"/>
  <c r="G24" i="10"/>
  <c r="I24" i="10"/>
  <c r="J19" i="14"/>
  <c r="H19" i="14"/>
  <c r="G9" i="15"/>
  <c r="I9" i="15"/>
  <c r="H24" i="15"/>
  <c r="J24" i="15"/>
  <c r="I19" i="14"/>
  <c r="G19" i="14"/>
  <c r="H4" i="14"/>
  <c r="H9" i="15"/>
  <c r="J9" i="15"/>
  <c r="G24" i="15"/>
  <c r="I24" i="15"/>
  <c r="J9" i="14"/>
  <c r="H9" i="14"/>
  <c r="G24" i="14"/>
  <c r="J24" i="14"/>
  <c r="H24" i="14"/>
  <c r="G9" i="14"/>
  <c r="I9" i="14"/>
  <c r="I24" i="14"/>
  <c r="Y18" i="22"/>
  <c r="D16" i="22"/>
  <c r="E16" i="22" s="1"/>
  <c r="Y16" i="22"/>
  <c r="S16" i="22"/>
  <c r="S14" i="22"/>
  <c r="L15" i="22"/>
  <c r="M16" i="22"/>
  <c r="J16" i="22"/>
  <c r="Y14" i="22"/>
  <c r="V14" i="22"/>
  <c r="S12" i="22"/>
  <c r="O13" i="22"/>
  <c r="P14" i="22"/>
  <c r="F15" i="22"/>
  <c r="X10" i="22"/>
  <c r="R9" i="22"/>
  <c r="R7" i="22"/>
  <c r="I8" i="22"/>
  <c r="D8" i="22"/>
  <c r="E8" i="22" s="1"/>
  <c r="J8" i="22"/>
  <c r="C7" i="22"/>
  <c r="I7" i="22"/>
  <c r="V10" i="22"/>
  <c r="U10" i="22"/>
  <c r="P10" i="22"/>
  <c r="O10" i="22"/>
  <c r="Y8" i="22"/>
  <c r="Z8" i="22" s="1"/>
  <c r="X8" i="22"/>
  <c r="V8" i="22"/>
  <c r="U7" i="22"/>
  <c r="U8" i="22"/>
  <c r="U6" i="21"/>
  <c r="S8" i="22"/>
  <c r="R6" i="22"/>
  <c r="S6" i="22"/>
  <c r="R8" i="22"/>
  <c r="R6" i="21"/>
  <c r="S6" i="21"/>
  <c r="O7" i="22"/>
  <c r="O6" i="21"/>
  <c r="X6" i="21"/>
  <c r="Y6" i="21"/>
  <c r="X6" i="22"/>
  <c r="Y6" i="22"/>
  <c r="Z6" i="22" s="1"/>
  <c r="I11" i="22"/>
  <c r="G16" i="22"/>
  <c r="G12" i="22"/>
  <c r="G18" i="22"/>
  <c r="G10" i="22"/>
  <c r="C15" i="22"/>
  <c r="C11" i="22"/>
  <c r="D28" i="22"/>
  <c r="C25" i="22"/>
  <c r="C13" i="22"/>
  <c r="B21" i="12"/>
  <c r="G21" i="12" s="1"/>
  <c r="V28" i="22"/>
  <c r="W28" i="22" s="1"/>
  <c r="P24" i="4"/>
  <c r="H4" i="23" s="1"/>
  <c r="E4" i="20"/>
  <c r="M28" i="22"/>
  <c r="Q24" i="2"/>
  <c r="C29" i="22"/>
  <c r="X17" i="22"/>
  <c r="J14" i="22"/>
  <c r="Y12" i="22"/>
  <c r="F7" i="21"/>
  <c r="L7" i="21"/>
  <c r="J12" i="22"/>
  <c r="V12" i="22"/>
  <c r="W12" i="22" s="1"/>
  <c r="Y10" i="22"/>
  <c r="O9" i="22"/>
  <c r="P6" i="21"/>
  <c r="V6" i="21"/>
  <c r="Y28" i="22"/>
  <c r="Z28" i="22" s="1"/>
  <c r="Y26" i="22"/>
  <c r="Z26" i="22" s="1"/>
  <c r="S28" i="22"/>
  <c r="T28" i="22" s="1"/>
  <c r="S26" i="22"/>
  <c r="T26" i="22" s="1"/>
  <c r="P28" i="22"/>
  <c r="Q28" i="22" s="1"/>
  <c r="B6" i="9"/>
  <c r="G6" i="9" s="1"/>
  <c r="B6" i="10"/>
  <c r="G6" i="10" s="1"/>
  <c r="E4" i="18"/>
  <c r="J4" i="18" s="1"/>
  <c r="M26" i="22"/>
  <c r="E4" i="19"/>
  <c r="J4" i="19" s="1"/>
  <c r="E4" i="24"/>
  <c r="J4" i="24" s="1"/>
  <c r="L17" i="22"/>
  <c r="M12" i="22"/>
  <c r="L13" i="22"/>
  <c r="M10" i="22"/>
  <c r="E4" i="11"/>
  <c r="J4" i="11" s="1"/>
  <c r="E4" i="16"/>
  <c r="J4" i="16" s="1"/>
  <c r="E4" i="15"/>
  <c r="J4" i="15" s="1"/>
  <c r="E4" i="14"/>
  <c r="J4" i="14" s="1"/>
  <c r="J4" i="13"/>
  <c r="J4" i="12"/>
  <c r="Y24" i="22"/>
  <c r="Z24" i="22" s="1"/>
  <c r="S24" i="22"/>
  <c r="T24" i="22" s="1"/>
  <c r="P26" i="22"/>
  <c r="Q26" i="22" s="1"/>
  <c r="M24" i="22"/>
  <c r="J26" i="22"/>
  <c r="D26" i="22"/>
  <c r="B6" i="19"/>
  <c r="G6" i="19" s="1"/>
  <c r="L22" i="22"/>
  <c r="G22" i="22"/>
  <c r="L23" i="22"/>
  <c r="O23" i="22"/>
  <c r="R23" i="22"/>
  <c r="U23" i="22"/>
  <c r="X23" i="22"/>
  <c r="P22" i="22"/>
  <c r="Q22" i="22" s="1"/>
  <c r="V22" i="22"/>
  <c r="C23" i="22"/>
  <c r="I23" i="22"/>
  <c r="B21" i="19"/>
  <c r="G21" i="19" s="1"/>
  <c r="F22" i="22"/>
  <c r="I22" i="22"/>
  <c r="J22" i="22"/>
  <c r="M22" i="22"/>
  <c r="S22" i="22"/>
  <c r="T22" i="22" s="1"/>
  <c r="Y22" i="22"/>
  <c r="J24" i="22"/>
  <c r="G24" i="22"/>
  <c r="B6" i="24"/>
  <c r="G6" i="24" s="1"/>
  <c r="D24" i="22"/>
  <c r="B21" i="9"/>
  <c r="G21" i="9" s="1"/>
  <c r="B21" i="10"/>
  <c r="G21" i="10" s="1"/>
  <c r="B6" i="11"/>
  <c r="G6" i="11" s="1"/>
  <c r="B21" i="13"/>
  <c r="G21" i="13" s="1"/>
  <c r="B21" i="18"/>
  <c r="G21" i="18" s="1"/>
  <c r="B21" i="20"/>
  <c r="G21" i="20" s="1"/>
  <c r="B21" i="11"/>
  <c r="G21" i="11" s="1"/>
  <c r="B6" i="12"/>
  <c r="G6" i="12" s="1"/>
  <c r="B6" i="13"/>
  <c r="G6" i="13" s="1"/>
  <c r="B21" i="14"/>
  <c r="G21" i="14" s="1"/>
  <c r="B6" i="14"/>
  <c r="G6" i="14" s="1"/>
  <c r="B6" i="18"/>
  <c r="G6" i="18" s="1"/>
  <c r="B6" i="20"/>
  <c r="G6" i="20" s="1"/>
  <c r="B21" i="24"/>
  <c r="G21" i="24" s="1"/>
  <c r="S20" i="22"/>
  <c r="T20" i="22" s="1"/>
  <c r="R20" i="22"/>
  <c r="C21" i="22"/>
  <c r="X19" i="22"/>
  <c r="B21" i="15"/>
  <c r="G21" i="15" s="1"/>
  <c r="Y20" i="22"/>
  <c r="U19" i="22"/>
  <c r="W18" i="22" s="1"/>
  <c r="B21" i="16"/>
  <c r="G21" i="16" s="1"/>
  <c r="V20" i="22"/>
  <c r="W20" i="22" s="1"/>
  <c r="S18" i="22"/>
  <c r="P20" i="22"/>
  <c r="Q20" i="22" s="1"/>
  <c r="P18" i="22"/>
  <c r="B6" i="15"/>
  <c r="G6" i="15" s="1"/>
  <c r="M20" i="22"/>
  <c r="M18" i="22"/>
  <c r="N18" i="22" s="1"/>
  <c r="I19" i="22"/>
  <c r="J20" i="22"/>
  <c r="J18" i="22"/>
  <c r="G20" i="22"/>
  <c r="B6" i="16"/>
  <c r="G6" i="16" s="1"/>
  <c r="D18" i="22"/>
  <c r="K28" i="22" l="1"/>
  <c r="E6" i="22"/>
  <c r="K8" i="22"/>
  <c r="Z14" i="22"/>
  <c r="N18" i="21"/>
  <c r="K14" i="21"/>
  <c r="K12" i="21"/>
  <c r="H14" i="21"/>
  <c r="N14" i="21"/>
  <c r="E12" i="21"/>
  <c r="H12" i="21"/>
  <c r="N12" i="21"/>
  <c r="H8" i="21"/>
  <c r="N8" i="21"/>
  <c r="E8" i="21"/>
  <c r="K8" i="21"/>
  <c r="H24" i="22"/>
  <c r="E14" i="22"/>
  <c r="H10" i="22"/>
  <c r="H8" i="22"/>
  <c r="H26" i="22"/>
  <c r="H28" i="22"/>
  <c r="K20" i="22"/>
  <c r="H20" i="22"/>
  <c r="V31" i="21"/>
  <c r="D31" i="21"/>
  <c r="T10" i="22"/>
  <c r="K10" i="22"/>
  <c r="N24" i="22"/>
  <c r="E12" i="22"/>
  <c r="H16" i="22"/>
  <c r="W14" i="22"/>
  <c r="W8" i="22"/>
  <c r="Q6" i="22"/>
  <c r="M31" i="21"/>
  <c r="J31" i="21"/>
  <c r="E4" i="23"/>
  <c r="E20" i="22"/>
  <c r="K24" i="22"/>
  <c r="P31" i="21"/>
  <c r="Z10" i="22"/>
  <c r="K12" i="22"/>
  <c r="K14" i="22"/>
  <c r="N28" i="22"/>
  <c r="Y31" i="21"/>
  <c r="S31" i="21"/>
  <c r="G31" i="21"/>
  <c r="E4" i="27"/>
  <c r="J4" i="27" s="1"/>
  <c r="J4" i="20"/>
  <c r="N26" i="22"/>
  <c r="K26" i="22"/>
  <c r="E26" i="22"/>
  <c r="M33" i="21"/>
  <c r="J33" i="21"/>
  <c r="Q6" i="21"/>
  <c r="P33" i="21"/>
  <c r="E6" i="21"/>
  <c r="D33" i="21"/>
  <c r="W6" i="21"/>
  <c r="V33" i="21"/>
  <c r="Z6" i="21"/>
  <c r="Y33" i="21"/>
  <c r="T6" i="21"/>
  <c r="S33" i="21"/>
  <c r="N20" i="22"/>
  <c r="Z18" i="22"/>
  <c r="N10" i="22"/>
  <c r="Z12" i="22"/>
  <c r="H18" i="22"/>
  <c r="Q10" i="22"/>
  <c r="W10" i="22"/>
  <c r="N14" i="22"/>
  <c r="N8" i="22"/>
  <c r="G33" i="21"/>
  <c r="N6" i="21"/>
  <c r="Z20" i="22"/>
  <c r="Q12" i="22"/>
  <c r="E22" i="22"/>
  <c r="H22" i="22"/>
  <c r="Q8" i="22"/>
  <c r="H12" i="22"/>
  <c r="K6" i="22"/>
  <c r="Q14" i="22"/>
  <c r="T12" i="22"/>
  <c r="T14" i="22"/>
  <c r="W16" i="22"/>
  <c r="T16" i="22"/>
  <c r="K16" i="22"/>
  <c r="H14" i="22"/>
  <c r="T8" i="22"/>
  <c r="E28" i="22"/>
  <c r="E10" i="22"/>
  <c r="W6" i="22"/>
  <c r="H6" i="21"/>
  <c r="Z16" i="22"/>
  <c r="N16" i="22"/>
  <c r="E24" i="22"/>
  <c r="T6" i="22"/>
  <c r="W22" i="22"/>
  <c r="N22" i="22"/>
  <c r="N12" i="22"/>
  <c r="V31" i="22"/>
  <c r="Z22" i="22"/>
  <c r="Y33" i="22"/>
  <c r="K22" i="22"/>
  <c r="S31" i="22"/>
  <c r="J33" i="22"/>
  <c r="G31" i="22"/>
  <c r="G33" i="22"/>
  <c r="D33" i="22"/>
  <c r="Y31" i="22"/>
  <c r="V33" i="22"/>
  <c r="T18" i="22"/>
  <c r="S33" i="22"/>
  <c r="P31" i="22"/>
  <c r="Q18" i="22"/>
  <c r="P33" i="22"/>
  <c r="M33" i="22"/>
  <c r="M31" i="22"/>
  <c r="K18" i="22"/>
  <c r="J31" i="22"/>
  <c r="D31" i="22"/>
  <c r="E18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Mráz</author>
  </authors>
  <commentList>
    <comment ref="AH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Je nutné brát s rezervou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Mráz</author>
  </authors>
  <commentList>
    <comment ref="D11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</t>
        </r>
        <r>
          <rPr>
            <b/>
            <sz val="11"/>
            <color indexed="10"/>
            <rFont val="Tahoma"/>
            <family val="2"/>
            <charset val="238"/>
          </rPr>
          <t xml:space="preserve">Kalorimetr neměří
</t>
        </r>
        <r>
          <rPr>
            <b/>
            <sz val="11"/>
            <color indexed="81"/>
            <rFont val="Tahoma"/>
            <family val="2"/>
            <charset val="238"/>
          </rPr>
          <t xml:space="preserve">UMŘEL 
</t>
        </r>
        <r>
          <rPr>
            <sz val="9"/>
            <color indexed="81"/>
            <rFont val="Tahoma"/>
            <family val="2"/>
            <charset val="238"/>
          </rPr>
          <t>dopočet odhadem</t>
        </r>
      </text>
    </comment>
    <comment ref="E11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Kalorimetr neměří
UMŘEL 
dopočet odhadem</t>
        </r>
      </text>
    </comment>
    <comment ref="F11" authorId="0" shapeId="0" xr:uid="{00000000-0006-0000-0600-000003000000}">
      <text>
        <r>
          <rPr>
            <b/>
            <sz val="9"/>
            <color indexed="81"/>
            <rFont val="Tahoma"/>
            <family val="2"/>
            <charset val="238"/>
          </rPr>
          <t>Ivo Mráz:
Kalorimetr neměří
UMŘEL 
dopočet odhadem</t>
        </r>
      </text>
    </comment>
    <comment ref="G11" authorId="0" shapeId="0" xr:uid="{00000000-0006-0000-0600-000004000000}">
      <text>
        <r>
          <rPr>
            <b/>
            <sz val="9"/>
            <color indexed="81"/>
            <rFont val="Tahoma"/>
            <family val="2"/>
            <charset val="238"/>
          </rPr>
          <t>Ivo Mráz:
Kalorimetr neměří
UMŘEL 
dopočet odhadem</t>
        </r>
      </text>
    </comment>
    <comment ref="H11" authorId="0" shapeId="0" xr:uid="{00000000-0006-0000-0600-000005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Kalorimetr neměří
UMŘEL 
dopočet odhadem</t>
        </r>
      </text>
    </comment>
    <comment ref="I11" authorId="0" shapeId="0" xr:uid="{00000000-0006-0000-0600-000006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Kalorimetr neměří
UMŘEL 
dopočet odhadem</t>
        </r>
      </text>
    </comment>
    <comment ref="J11" authorId="0" shapeId="0" xr:uid="{00000000-0006-0000-0600-000007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Kalorimetr neměří
UMŘEL 
dopočet odhadem</t>
        </r>
      </text>
    </comment>
    <comment ref="K11" authorId="0" shapeId="0" xr:uid="{00000000-0006-0000-0600-000008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Kalorimetr neměří
UMŘEL 
dopočet odhadem</t>
        </r>
      </text>
    </comment>
    <comment ref="L11" authorId="0" shapeId="0" xr:uid="{00000000-0006-0000-0600-000009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Kalorimetr neměří
UMŘEL 
dopočet odhadem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Mráz</author>
  </authors>
  <commentList>
    <comment ref="B7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38"/>
          </rPr>
          <t>14.2.2019 výměna faktur.vodoměru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Ivo Mraz</author>
  </authors>
  <commentList>
    <comment ref="D24" authorId="0" shapeId="0" xr:uid="{B75A3904-BE38-4121-9A1F-560BE1B81418}">
      <text>
        <r>
          <rPr>
            <b/>
            <sz val="9"/>
            <color indexed="81"/>
            <rFont val="Tahoma"/>
            <family val="2"/>
            <charset val="238"/>
          </rPr>
          <t>Ivo Mraz:</t>
        </r>
        <r>
          <rPr>
            <sz val="9"/>
            <color indexed="81"/>
            <rFont val="Tahoma"/>
            <family val="2"/>
            <charset val="238"/>
          </rPr>
          <t xml:space="preserve">
Nové kalorimetry
vzorec upraven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>Ivo Mraz</author>
    <author/>
    <author>Ivo Mráz</author>
  </authors>
  <commentList>
    <comment ref="E5" authorId="0" shapeId="0" xr:uid="{00000000-0006-0000-17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W12" authorId="1" shapeId="0" xr:uid="{B8D3AEA2-FBA0-4292-B268-604A05D6253B}">
      <text>
        <r>
          <rPr>
            <b/>
            <sz val="9"/>
            <color indexed="81"/>
            <rFont val="Tahoma"/>
            <charset val="1"/>
          </rPr>
          <t>Ivo Mraz:</t>
        </r>
        <r>
          <rPr>
            <sz val="9"/>
            <color indexed="81"/>
            <rFont val="Tahoma"/>
            <charset val="1"/>
          </rPr>
          <t xml:space="preserve">
Únik vody
konec 12,898
dopočet +4 m3</t>
        </r>
      </text>
    </comment>
    <comment ref="W13" authorId="1" shapeId="0" xr:uid="{EA394F0D-F90A-4F85-A00E-7E5B308A454E}">
      <text>
        <r>
          <rPr>
            <b/>
            <sz val="9"/>
            <color indexed="81"/>
            <rFont val="Tahoma"/>
            <charset val="1"/>
          </rPr>
          <t>Ivo Mraz:</t>
        </r>
        <r>
          <rPr>
            <sz val="9"/>
            <color indexed="81"/>
            <rFont val="Tahoma"/>
            <charset val="1"/>
          </rPr>
          <t xml:space="preserve">
Vadný vodoměr
konec 43,99
dopočet +4 m3</t>
        </r>
      </text>
    </comment>
    <comment ref="B15" authorId="2" shapeId="0" xr:uid="{00000000-0006-0000-1700-000002000000}">
      <text>
        <r>
          <rPr>
            <b/>
            <sz val="9"/>
            <color indexed="8"/>
            <rFont val="Tahoma"/>
            <family val="2"/>
            <charset val="238"/>
          </rPr>
          <t>bez korekce</t>
        </r>
      </text>
    </comment>
    <comment ref="C15" authorId="3" shapeId="0" xr:uid="{00000000-0006-0000-1700-000003000000}">
      <text>
        <r>
          <rPr>
            <b/>
            <sz val="9"/>
            <color indexed="81"/>
            <rFont val="Tahoma"/>
            <family val="2"/>
            <charset val="238"/>
          </rPr>
          <t>po zaokrouhlení rozpis pro vyúčtování vedle</t>
        </r>
      </text>
    </comment>
    <comment ref="R31" authorId="3" shapeId="0" xr:uid="{00000000-0006-0000-1700-000004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spotřeba starý vodoměr poškození 6.9.2022
počátek 78,6 m3
konec 80 m3</t>
        </r>
      </text>
    </comment>
    <comment ref="R32" authorId="3" shapeId="0" xr:uid="{00000000-0006-0000-1700-000005000000}">
      <text>
        <r>
          <rPr>
            <b/>
            <sz val="9"/>
            <color indexed="81"/>
            <rFont val="Tahoma"/>
            <family val="2"/>
            <charset val="238"/>
          </rPr>
          <t>Ivo Mráz:</t>
        </r>
        <r>
          <rPr>
            <sz val="9"/>
            <color indexed="81"/>
            <rFont val="Tahoma"/>
            <family val="2"/>
            <charset val="238"/>
          </rPr>
          <t xml:space="preserve">
nový vodoměr počátek 4,9 m3
konec 6,88 m3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HP-HP</author>
    <author>Ivo Mráz</author>
  </authors>
  <commentList>
    <comment ref="E5" authorId="0" shapeId="0" xr:uid="{00000000-0006-0000-1600-000001000000}">
      <text>
        <r>
          <rPr>
            <b/>
            <sz val="9"/>
            <color indexed="81"/>
            <rFont val="Tahoma"/>
            <family val="2"/>
            <charset val="238"/>
          </rPr>
          <t>Včetně zahrady</t>
        </r>
      </text>
    </comment>
    <comment ref="C15" authorId="1" shapeId="0" xr:uid="{00000000-0006-0000-1600-000002000000}">
      <text>
        <r>
          <rPr>
            <b/>
            <sz val="9"/>
            <color indexed="81"/>
            <rFont val="Tahoma"/>
            <family val="2"/>
            <charset val="238"/>
          </rPr>
          <t>upravená spotřeba blíže k vodoměrům</t>
        </r>
      </text>
    </comment>
  </commentList>
</comments>
</file>

<file path=xl/sharedStrings.xml><?xml version="1.0" encoding="utf-8"?>
<sst xmlns="http://schemas.openxmlformats.org/spreadsheetml/2006/main" count="1448" uniqueCount="437">
  <si>
    <t>voda</t>
  </si>
  <si>
    <t>teplo</t>
  </si>
  <si>
    <t xml:space="preserve">byt č. </t>
  </si>
  <si>
    <t>prosinec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</si>
  <si>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</si>
  <si>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</si>
  <si>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</si>
  <si>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</si>
  <si>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</si>
  <si>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</si>
  <si>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</si>
  <si>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</si>
  <si>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</si>
  <si>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</si>
  <si>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</si>
  <si>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spol.spotř.</t>
  </si>
  <si>
    <t>patní kalorimetr č./MWh</t>
  </si>
  <si>
    <t>patní kalorimetr č./kub.m</t>
  </si>
  <si>
    <t>Nové</t>
  </si>
  <si>
    <t>číslování</t>
  </si>
  <si>
    <t>2 a 3</t>
  </si>
  <si>
    <t>5 a 6</t>
  </si>
  <si>
    <t>8 a 9</t>
  </si>
  <si>
    <t>11 a 15</t>
  </si>
  <si>
    <t>12 a 13</t>
  </si>
  <si>
    <t>patní kalorimetr č. /MWh</t>
  </si>
  <si>
    <t>VODOMĚRY TEPLÁ VODA</t>
  </si>
  <si>
    <t>Voda</t>
  </si>
  <si>
    <t>Teplo</t>
  </si>
  <si>
    <t>Elektr</t>
  </si>
  <si>
    <t>patní kalorimetr č./ MWh</t>
  </si>
  <si>
    <t>patní kalorimetr č. /kub.m</t>
  </si>
  <si>
    <t>elektroměr č.        72370871</t>
  </si>
  <si>
    <t>patní kalorimetr č.  / kub.m</t>
  </si>
  <si>
    <t>elektroměr č.        72370870</t>
  </si>
  <si>
    <t>kalorimetr č.    SN 34672813</t>
  </si>
  <si>
    <t>kalorimetr č.    SN 34672830</t>
  </si>
  <si>
    <t>kalorimetr č.    SN 34672808</t>
  </si>
  <si>
    <t>kalorimetr č.    SN 34672836</t>
  </si>
  <si>
    <t>kalorimetr č.    SN 34672800</t>
  </si>
  <si>
    <t>kalorimetr č.    SN 34672833</t>
  </si>
  <si>
    <t>kalorimetr č.    SN 34672817</t>
  </si>
  <si>
    <t>kalorimetr č.    SN 34672810</t>
  </si>
  <si>
    <t>kalorimetr č.    SN 34672824</t>
  </si>
  <si>
    <t>kalorimetr č.    SN 34672832</t>
  </si>
  <si>
    <t>elektroměr č.         72371793</t>
  </si>
  <si>
    <t>elektroměr č.        72370868</t>
  </si>
  <si>
    <t>Sumář - spotřeba leden</t>
  </si>
  <si>
    <t>Voda - m3</t>
  </si>
  <si>
    <t>Náměry bytových vodoměrů</t>
  </si>
  <si>
    <t>Patní vodoměry</t>
  </si>
  <si>
    <t>Součet patních vodoměrů</t>
  </si>
  <si>
    <t>fakturační vodoměr</t>
  </si>
  <si>
    <t>Teplo - GJ</t>
  </si>
  <si>
    <t>Náměry bytových kalorimetrů</t>
  </si>
  <si>
    <t>Fakturační kalorimetry</t>
  </si>
  <si>
    <t>Elektřina - kWh</t>
  </si>
  <si>
    <t>Elektroměr dům</t>
  </si>
  <si>
    <t>Elektroměr areál</t>
  </si>
  <si>
    <t>Vodoměr areál</t>
  </si>
  <si>
    <t>Sumář - spotřeba únor</t>
  </si>
  <si>
    <t xml:space="preserve">Elektřina - </t>
  </si>
  <si>
    <t>Sumář - spotřeba březen</t>
  </si>
  <si>
    <t>Sumář - spotřeba duben</t>
  </si>
  <si>
    <t>Sumář - spotřeba květen</t>
  </si>
  <si>
    <t>Sumář - spotřeba červen</t>
  </si>
  <si>
    <t>Sumář - spotřeba červenec</t>
  </si>
  <si>
    <t>Sumář - spotřeba srpen</t>
  </si>
  <si>
    <t>Sumář - spotřeba září</t>
  </si>
  <si>
    <t>Sumář - spotřeba říjen</t>
  </si>
  <si>
    <t>Sumář - spotřeba listopad</t>
  </si>
  <si>
    <t>Sumář - spotřeba prosinec</t>
  </si>
  <si>
    <t>Přehled rozdílů a ztrát za teplo v GJ</t>
  </si>
  <si>
    <t>odečet</t>
  </si>
  <si>
    <t>rozdíl [GJ]</t>
  </si>
  <si>
    <t>rozdíl [%]</t>
  </si>
  <si>
    <t>součty kal.</t>
  </si>
  <si>
    <t>faktur.kal.</t>
  </si>
  <si>
    <t>CELKEM ROZDÍL v GJ</t>
  </si>
  <si>
    <t>CELKEM ROZDÍL v %</t>
  </si>
  <si>
    <t>Sumář - spotřeba rok</t>
  </si>
  <si>
    <t>z toho do</t>
  </si>
  <si>
    <t>pro byty 1853</t>
  </si>
  <si>
    <t>se solí</t>
  </si>
  <si>
    <t>vodné + stočné</t>
  </si>
  <si>
    <t>vyúčtování</t>
  </si>
  <si>
    <t>pro zahradu</t>
  </si>
  <si>
    <t>bez soli</t>
  </si>
  <si>
    <t>vodné</t>
  </si>
  <si>
    <t>pro domy 1850 - 1853</t>
  </si>
  <si>
    <t>2B</t>
  </si>
  <si>
    <t>3B</t>
  </si>
  <si>
    <t>5B</t>
  </si>
  <si>
    <t>6B</t>
  </si>
  <si>
    <t>8B</t>
  </si>
  <si>
    <t>GJ</t>
  </si>
  <si>
    <t>m3</t>
  </si>
  <si>
    <t>KWh</t>
  </si>
  <si>
    <t>elektr</t>
  </si>
  <si>
    <t>Přepočet spotřeb</t>
  </si>
  <si>
    <t>Brantovi</t>
  </si>
  <si>
    <t xml:space="preserve">Hřebečkovi </t>
  </si>
  <si>
    <t>Morongovi</t>
  </si>
  <si>
    <t>SVJ 1850 - 1857</t>
  </si>
  <si>
    <t>Celkem zahradní fakturační vodoměr</t>
  </si>
  <si>
    <t xml:space="preserve">Rozdíl </t>
  </si>
  <si>
    <t>Spotřeby dle zahradních poměr.vodoměrů</t>
  </si>
  <si>
    <t>Celkem zahrada dle poměr.vodoměrů</t>
  </si>
  <si>
    <t>rozdíl</t>
  </si>
  <si>
    <t>Odběrné místo</t>
  </si>
  <si>
    <t>počátek</t>
  </si>
  <si>
    <t>konec</t>
  </si>
  <si>
    <t>Poznámka:</t>
  </si>
  <si>
    <r>
      <t>m</t>
    </r>
    <r>
      <rPr>
        <vertAlign val="superscript"/>
        <sz val="11"/>
        <color indexed="8"/>
        <rFont val="Calibri"/>
        <family val="2"/>
        <charset val="238"/>
      </rPr>
      <t>3</t>
    </r>
  </si>
  <si>
    <r>
      <t>MJ/m</t>
    </r>
    <r>
      <rPr>
        <vertAlign val="superscript"/>
        <sz val="11"/>
        <color indexed="8"/>
        <rFont val="Calibri"/>
        <family val="2"/>
        <charset val="238"/>
      </rPr>
      <t>3</t>
    </r>
  </si>
  <si>
    <t>Pro fakturaci</t>
  </si>
  <si>
    <t>Hiršalová</t>
  </si>
  <si>
    <t>Lazarová</t>
  </si>
  <si>
    <t>Bodnarovi</t>
  </si>
  <si>
    <t>Vuová</t>
  </si>
  <si>
    <t>Písaříkovi</t>
  </si>
  <si>
    <t>vodoměr č.          190834092</t>
  </si>
  <si>
    <t>vodoměr č.          190834090</t>
  </si>
  <si>
    <t>vodoměr č.          190834097</t>
  </si>
  <si>
    <t>vodoměr č.          190834098</t>
  </si>
  <si>
    <t>vodoměr č.          190834095</t>
  </si>
  <si>
    <t>vodoměr č.          190834099</t>
  </si>
  <si>
    <t>vodoměr č.          190834102</t>
  </si>
  <si>
    <t>vodoměr č.          190834109</t>
  </si>
  <si>
    <t>vodoměr č.          191519263</t>
  </si>
  <si>
    <t>patní vodoměr č. 190976787</t>
  </si>
  <si>
    <t>fakturační vodoměr č.         63796</t>
  </si>
  <si>
    <t>vodoměr č.          190834116</t>
  </si>
  <si>
    <t>vodoměr  SV č.   190834120</t>
  </si>
  <si>
    <t>vodoměr č.          190834126</t>
  </si>
  <si>
    <t>vodoměr  SV č.   190834122</t>
  </si>
  <si>
    <t>vodoměr č.          190834119</t>
  </si>
  <si>
    <t>vodoměr  SV č.   190834112</t>
  </si>
  <si>
    <t>vodoměr č.          190834124</t>
  </si>
  <si>
    <t>vodoměr č.          190834091</t>
  </si>
  <si>
    <t>patní vodoměr č. 190976791</t>
  </si>
  <si>
    <t>vodoměr  SV č.     190834107</t>
  </si>
  <si>
    <t>vodoměr  SV č.     190834094</t>
  </si>
  <si>
    <t>vodoměr  SV č.     190834128</t>
  </si>
  <si>
    <t>vodoměr  TUV č.  190049448</t>
  </si>
  <si>
    <t>vodoměr  TUV č.  190049255</t>
  </si>
  <si>
    <t>vodoměr  TUV č.  190049234</t>
  </si>
  <si>
    <t>vodoměr  TUV č.  190049258</t>
  </si>
  <si>
    <t>vodoměr  TUV č.  190049444</t>
  </si>
  <si>
    <t>vodoměr  TUV č.  190049253</t>
  </si>
  <si>
    <t>vodoměr č.          190834115</t>
  </si>
  <si>
    <t>vodoměr č.          190834121</t>
  </si>
  <si>
    <t>vodoměr č.          190834096</t>
  </si>
  <si>
    <t>vodoměr č.          190834110</t>
  </si>
  <si>
    <t>vodoměr č.          190834127</t>
  </si>
  <si>
    <t>vodoměr č.          190834123</t>
  </si>
  <si>
    <t>vodoměr č.          190834118</t>
  </si>
  <si>
    <t>vodoměr č.          190834129</t>
  </si>
  <si>
    <t>patní vodoměr č. 190976792</t>
  </si>
  <si>
    <t>vodoměr č.          190834100</t>
  </si>
  <si>
    <t>vodoměr č.          190906789</t>
  </si>
  <si>
    <t>vodoměr č.          190906786</t>
  </si>
  <si>
    <t>vodoměr č.          190834105</t>
  </si>
  <si>
    <t>vodoměr č.          190906792</t>
  </si>
  <si>
    <t>vodoměr č.          190906795</t>
  </si>
  <si>
    <t>vodoměr č.          190834103</t>
  </si>
  <si>
    <t>vodoměr č.          190834101</t>
  </si>
  <si>
    <t>vodoměr č.          190834108</t>
  </si>
  <si>
    <t>vodoměr č.          190906953</t>
  </si>
  <si>
    <t>patní vodoměr č. 190976789</t>
  </si>
  <si>
    <t>vodoměr č.          190906992</t>
  </si>
  <si>
    <t>vodoměr č.          190906991</t>
  </si>
  <si>
    <t>vodoměr č.          190906988</t>
  </si>
  <si>
    <t xml:space="preserve">vodoměr č.          190906987   </t>
  </si>
  <si>
    <t>vodoměr č.          190906994</t>
  </si>
  <si>
    <t>vodoměr č.          190906986</t>
  </si>
  <si>
    <t>vodoměr č.          191519281</t>
  </si>
  <si>
    <t>vodoměr č.          190906990</t>
  </si>
  <si>
    <t>vodoměr č.          190906995</t>
  </si>
  <si>
    <t>patní vodoměr č. 190976793</t>
  </si>
  <si>
    <t>vodoměr č.          191519259</t>
  </si>
  <si>
    <t>vodoměr č.          191519283</t>
  </si>
  <si>
    <t>vodoměr č.          190907001</t>
  </si>
  <si>
    <t>vodoměr č.          190907005</t>
  </si>
  <si>
    <t>vodoměr č.          190907004</t>
  </si>
  <si>
    <t>vodoměr č.          190045692</t>
  </si>
  <si>
    <t>vodoměr č.          190906998</t>
  </si>
  <si>
    <t>vodoměr č.          191519269</t>
  </si>
  <si>
    <t>vodoměr č.          191519268</t>
  </si>
  <si>
    <t>vodoměr č.          190906996</t>
  </si>
  <si>
    <t>patní vodoměr č.  190544822</t>
  </si>
  <si>
    <t>vodoměr č.          190907008</t>
  </si>
  <si>
    <t>vodoměr č.          191519260</t>
  </si>
  <si>
    <t>vodoměr č.          190907023</t>
  </si>
  <si>
    <t>vodoměr č.         190907015</t>
  </si>
  <si>
    <t>vodoměr č.          190907020</t>
  </si>
  <si>
    <t>vodoměr č.          190907016</t>
  </si>
  <si>
    <t>vodoměr č.          191519256</t>
  </si>
  <si>
    <t>vodoměr č.          190907024</t>
  </si>
  <si>
    <t>vodoměr č.          191519266</t>
  </si>
  <si>
    <t>vodoměr č.          190907019</t>
  </si>
  <si>
    <t>patní vodoměr č. 190976786</t>
  </si>
  <si>
    <t>vodoměr č.          190907022</t>
  </si>
  <si>
    <t>vodoměr č.          191519284</t>
  </si>
  <si>
    <t>vodoměr č.          191519282</t>
  </si>
  <si>
    <t>vodoměr č.          191519276</t>
  </si>
  <si>
    <t>vodoměr č.          191519285</t>
  </si>
  <si>
    <t>vodoměr č.          191519267</t>
  </si>
  <si>
    <t>vodoměr č.          190907014</t>
  </si>
  <si>
    <t>vodoměr č.          190907021</t>
  </si>
  <si>
    <t>vodoměr č.          190907025</t>
  </si>
  <si>
    <t>patní vodoměr č. 190976785</t>
  </si>
  <si>
    <t>byt</t>
  </si>
  <si>
    <t>spotřeby po měsících</t>
  </si>
  <si>
    <t>Vytipování vadných vodoměrů</t>
  </si>
  <si>
    <t>průměr</t>
  </si>
  <si>
    <t>xx</t>
  </si>
  <si>
    <t>TV</t>
  </si>
  <si>
    <t>kWh</t>
  </si>
  <si>
    <t>studená voda</t>
  </si>
  <si>
    <t>teplá voda</t>
  </si>
  <si>
    <t>SROVNÁVACÍ TABULKA ZBYTKU DĚLENÝCH BYTŮ - spotřeby SV a TV</t>
  </si>
  <si>
    <t>Vodom.</t>
  </si>
  <si>
    <t>SV</t>
  </si>
  <si>
    <t>vodoměr areál  č.200076532</t>
  </si>
  <si>
    <t>starý</t>
  </si>
  <si>
    <t>nový</t>
  </si>
  <si>
    <t>Reklamace - výměna</t>
  </si>
  <si>
    <t>Zahrada</t>
  </si>
  <si>
    <t>Spotřeby fakturčních vodoměrů 1 a 2</t>
  </si>
  <si>
    <t xml:space="preserve">  fakturačních vodoměrů 1 a 2</t>
  </si>
  <si>
    <t>Porovnání spotřeb vody na patách domů,</t>
  </si>
  <si>
    <t>a    zahrady</t>
  </si>
  <si>
    <t>vodoměr SV  č.      11717149</t>
  </si>
  <si>
    <t>vodoměr TV  č.      11683196</t>
  </si>
  <si>
    <t>Výměna elektroměru</t>
  </si>
  <si>
    <t>Výměna elektroměru AREÁL</t>
  </si>
  <si>
    <t>Výměna elektroměru DŮM</t>
  </si>
  <si>
    <t>Výměna kalorimetru pata</t>
  </si>
  <si>
    <t>MWh</t>
  </si>
  <si>
    <t>výr.č.</t>
  </si>
  <si>
    <t>demontáž</t>
  </si>
  <si>
    <t>montáž</t>
  </si>
  <si>
    <t>Rozdíly v předávání tepla na patním měřidle v jednotlivých domech po měsících v MJ/m3 (GJ*1000/m3)</t>
  </si>
  <si>
    <t>Faktur.1</t>
  </si>
  <si>
    <t>Faktur.2</t>
  </si>
  <si>
    <t>Celkem</t>
  </si>
  <si>
    <t>Výměna faktur.vodoměru    výr.č.</t>
  </si>
  <si>
    <t>Šmejcká</t>
  </si>
  <si>
    <t>Chvapil</t>
  </si>
  <si>
    <t>Němec</t>
  </si>
  <si>
    <t>Smola</t>
  </si>
  <si>
    <t>Bendlová</t>
  </si>
  <si>
    <t>z toho do vyúčtování</t>
  </si>
  <si>
    <t>1851/1</t>
  </si>
  <si>
    <t>1851/2</t>
  </si>
  <si>
    <t>1853/1</t>
  </si>
  <si>
    <t>1853/2</t>
  </si>
  <si>
    <t>1853/3</t>
  </si>
  <si>
    <t>1854/1</t>
  </si>
  <si>
    <t>1854/2</t>
  </si>
  <si>
    <t>1855/1</t>
  </si>
  <si>
    <t>1855/2</t>
  </si>
  <si>
    <t>1856/1</t>
  </si>
  <si>
    <t>1856/2</t>
  </si>
  <si>
    <t>1857/1</t>
  </si>
  <si>
    <t>1857/2</t>
  </si>
  <si>
    <t>1857/3</t>
  </si>
  <si>
    <t>Bez stočného</t>
  </si>
  <si>
    <t>Zahrada hlavní vod. 1857</t>
  </si>
  <si>
    <t>Kontrola:</t>
  </si>
  <si>
    <t>zaokrouhlení voda areál</t>
  </si>
  <si>
    <t>vodoměr č.          200015742</t>
  </si>
  <si>
    <t>vodoměr  SV č.  200015757</t>
  </si>
  <si>
    <t>vodoměr  TUV č.  200105142</t>
  </si>
  <si>
    <t>vodoměr  SV č.     200015745</t>
  </si>
  <si>
    <t>vodoměr  TUV č.  200105133</t>
  </si>
  <si>
    <t>vodoměr  TUV č.  200105131</t>
  </si>
  <si>
    <t>vodoměr  TUV č.  200105152</t>
  </si>
  <si>
    <t xml:space="preserve">vodoměr  SV č.     200015744 </t>
  </si>
  <si>
    <t>elektroměr č.    2080200096</t>
  </si>
  <si>
    <t>vodoměr č.          200015760</t>
  </si>
  <si>
    <t>elektroměr č.      2080200097</t>
  </si>
  <si>
    <t>elektroměr č.2080200105 dům</t>
  </si>
  <si>
    <t>elektroměr č. 2080200100 VO</t>
  </si>
  <si>
    <t>Fakturační vodoměr:      42012114941</t>
  </si>
  <si>
    <t>patní kalorimetr č. 70465263/ GJ</t>
  </si>
  <si>
    <t>patní kalorimetr č. 70465266/ GJ</t>
  </si>
  <si>
    <t>patní kalorimetr č.70465264/GJ</t>
  </si>
  <si>
    <t>patní kalorimetr č.70465265/GJ</t>
  </si>
  <si>
    <t>vodoměr č.          200015758</t>
  </si>
  <si>
    <t>Zahrada hlavní vod. 1851</t>
  </si>
  <si>
    <t>1856/3</t>
  </si>
  <si>
    <t>Baťkovi</t>
  </si>
  <si>
    <t>Kontrola</t>
  </si>
  <si>
    <t>byty 1853 bez zahrady</t>
  </si>
  <si>
    <t>zahrada</t>
  </si>
  <si>
    <t>byty</t>
  </si>
  <si>
    <t>součet pat bez zahrady</t>
  </si>
  <si>
    <t>Odečet vodárny 31.12.2022</t>
  </si>
  <si>
    <t>Výměna fakturač. vodoměru</t>
  </si>
  <si>
    <t xml:space="preserve">stav: </t>
  </si>
  <si>
    <t>dne 14.2.2019</t>
  </si>
  <si>
    <t>Výměna elekroměru</t>
  </si>
  <si>
    <t>dne 13.2.2022</t>
  </si>
  <si>
    <t>číslo</t>
  </si>
  <si>
    <t>stav</t>
  </si>
  <si>
    <t>Změna vlastnictví Taufer-Slavíkovi</t>
  </si>
  <si>
    <t>do 31.5. a od 1.6.2022</t>
  </si>
  <si>
    <t>Taufer 1.1.-31.5.2022</t>
  </si>
  <si>
    <t>spotřeba</t>
  </si>
  <si>
    <t>Slavíkovi 1.6.-31.12.2022</t>
  </si>
  <si>
    <t>Reklamace - výměna vodoměru</t>
  </si>
  <si>
    <t>3A - SV</t>
  </si>
  <si>
    <t>1852/1</t>
  </si>
  <si>
    <t>Zýmová</t>
  </si>
  <si>
    <t>Kulhánek</t>
  </si>
  <si>
    <t>Haladová</t>
  </si>
  <si>
    <t>poč.</t>
  </si>
  <si>
    <t>zahrádka</t>
  </si>
  <si>
    <t>koef.</t>
  </si>
  <si>
    <t>přepočet</t>
  </si>
  <si>
    <t>předloňský</t>
  </si>
  <si>
    <t>kalorimetr č.       71182278</t>
  </si>
  <si>
    <t>kalorimetr č.       71182225</t>
  </si>
  <si>
    <t>kalorimetr č.       71182284</t>
  </si>
  <si>
    <t>kalorimetr č.       71182235</t>
  </si>
  <si>
    <t>kalorimetr č.       71182238</t>
  </si>
  <si>
    <t>kalorimetr č.       71182269</t>
  </si>
  <si>
    <t>kalorimetr č.       71182265</t>
  </si>
  <si>
    <t>kalorimetr č.       71182245</t>
  </si>
  <si>
    <t>kalorimetr č.       71182280</t>
  </si>
  <si>
    <t>kalorimetr č.       71182243</t>
  </si>
  <si>
    <t>kalorimetr č.       71182262</t>
  </si>
  <si>
    <t>kalorimetr č.       71182271</t>
  </si>
  <si>
    <t>kalorimetr č.       71182241</t>
  </si>
  <si>
    <t>kalorimetr č.       71182237</t>
  </si>
  <si>
    <t>kalorimetr č.       71182221</t>
  </si>
  <si>
    <t>kalorimetr č.       71182276</t>
  </si>
  <si>
    <t>kalorimetr č.       71182256</t>
  </si>
  <si>
    <t>kalorimetr č.       71182279</t>
  </si>
  <si>
    <t>kalorimetr č.       71182234</t>
  </si>
  <si>
    <t>kalorimetr č.       71182233</t>
  </si>
  <si>
    <t>kalorimetr č.       71182270</t>
  </si>
  <si>
    <t>kalorimetr č.       71182274</t>
  </si>
  <si>
    <t>kalorimetr č.       71182244</t>
  </si>
  <si>
    <t>kalorimetr č.       71182251</t>
  </si>
  <si>
    <t>kalorimetr č.       71182283</t>
  </si>
  <si>
    <t>kalorimetr č.       71182277</t>
  </si>
  <si>
    <t>kalorimetr č.       71182246</t>
  </si>
  <si>
    <t>kalorimetr č.       71182282</t>
  </si>
  <si>
    <t>kalorimetr č.       71182240</t>
  </si>
  <si>
    <t>kalorimetr č.       71182275</t>
  </si>
  <si>
    <t>kalorimetr č.       71182253</t>
  </si>
  <si>
    <t>kalorimetr č.       71182217</t>
  </si>
  <si>
    <t>kalorimetr č.       71182254</t>
  </si>
  <si>
    <t>kalorimetr č.       71182267</t>
  </si>
  <si>
    <t>kalorimetr č.       71182261</t>
  </si>
  <si>
    <t>kalorimetr č.       71182272</t>
  </si>
  <si>
    <t>kalorimetr č.       71182249</t>
  </si>
  <si>
    <t>kalorimetr č.       71182281</t>
  </si>
  <si>
    <t>kalorimetr č.       71182268</t>
  </si>
  <si>
    <t>kalorimetr č.       71182259</t>
  </si>
  <si>
    <t>kalorimetr č.       71182248</t>
  </si>
  <si>
    <t>kalorimetr č.       71182258</t>
  </si>
  <si>
    <t>kalorimetr č.       71182242</t>
  </si>
  <si>
    <t>kalorimetr č.       71182255</t>
  </si>
  <si>
    <t>kalorimetr č.       71182230</t>
  </si>
  <si>
    <t>kalorimetr č.       71182247</t>
  </si>
  <si>
    <t>kalorimetr č.       71182232</t>
  </si>
  <si>
    <t>kalorimetr č.       71182228</t>
  </si>
  <si>
    <t>kalorimetr č.       71182263</t>
  </si>
  <si>
    <t>kalorimetr č.       71182224</t>
  </si>
  <si>
    <t>kalorimetr č.       71182223</t>
  </si>
  <si>
    <t>kalorimetr č.       71182236</t>
  </si>
  <si>
    <t>kalorimetr č.       71182218</t>
  </si>
  <si>
    <t>kalorimetr č.       71182273</t>
  </si>
  <si>
    <t>kalorimetr č.       71182215</t>
  </si>
  <si>
    <t>kalorimetr č.       71182220</t>
  </si>
  <si>
    <t>kalorimetr č.       71182264</t>
  </si>
  <si>
    <t>kalorimetr č.       71182231</t>
  </si>
  <si>
    <t>kalorimetr č.       71182227</t>
  </si>
  <si>
    <t>kalorimetr č.       71182250</t>
  </si>
  <si>
    <t>kalorimetr č.       71182222</t>
  </si>
  <si>
    <t>kalorimetr č.       71182219</t>
  </si>
  <si>
    <t>kalorimetr č.       71182257</t>
  </si>
  <si>
    <t>kalorimetr č.       71182260</t>
  </si>
  <si>
    <t>kalorimetr č.       71182266</t>
  </si>
  <si>
    <t>kalorimetr č.       71182229</t>
  </si>
  <si>
    <t>kalorimetr č.       71182239</t>
  </si>
  <si>
    <t>kalorimetr č.       71182226</t>
  </si>
  <si>
    <t>kalorimetr č.       71182216</t>
  </si>
  <si>
    <t>spotřeba SV byt č.3 pro vyúčt.</t>
  </si>
  <si>
    <t>spotřeba SV sklad č.11 pro vyúčt.</t>
  </si>
  <si>
    <t>CELKEM :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</si>
  <si>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</si>
  <si>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</si>
  <si>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</si>
  <si>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</si>
  <si>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</si>
  <si>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</si>
  <si>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</si>
  <si>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</si>
  <si>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</si>
  <si>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</si>
  <si>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</si>
  <si>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</si>
  <si>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Průměr</t>
  </si>
  <si>
    <t>CELKOVÝ</t>
  </si>
  <si>
    <t>CELKEM</t>
  </si>
  <si>
    <t>byt 2</t>
  </si>
  <si>
    <t>byt 5</t>
  </si>
  <si>
    <t>byt 9</t>
  </si>
  <si>
    <t>byt 15</t>
  </si>
  <si>
    <t>byt 13</t>
  </si>
  <si>
    <t>byt 3</t>
  </si>
  <si>
    <t>byt 6</t>
  </si>
  <si>
    <t>byt 8</t>
  </si>
  <si>
    <t>byt 11</t>
  </si>
  <si>
    <t>byt 12</t>
  </si>
  <si>
    <t>Podíl TV po bytech</t>
  </si>
  <si>
    <t>Podíl teplé vody na celkové spotřebě vody u dělených bytů (%)</t>
  </si>
  <si>
    <t>kalorimetr č.       71182252</t>
  </si>
  <si>
    <t>vodoměr č.          221525395</t>
  </si>
  <si>
    <t>vodoměr  SV č.   221525378</t>
  </si>
  <si>
    <t>vodoměr č.          221525380</t>
  </si>
  <si>
    <t>Podíl teplé vody na celkové spotřebě vody u dělených bytů po měsících (%)</t>
  </si>
  <si>
    <t>Průměr po měsících</t>
  </si>
  <si>
    <t>Celková spotřeba SV a TV dělených bytů po měsících v m3</t>
  </si>
  <si>
    <t>Porovnání leden 2022</t>
  </si>
  <si>
    <t>elektroměr č.     1025291034</t>
  </si>
  <si>
    <t xml:space="preserve">Dne 31.7.2023 odpojen kalor. (cejchování), </t>
  </si>
  <si>
    <t>Dne 3.8.2023 zapojen znovuzapojení,</t>
  </si>
  <si>
    <r>
      <rPr>
        <u/>
        <sz val="11"/>
        <color rgb="FF000000"/>
        <rFont val="Calibri"/>
        <family val="2"/>
        <charset val="238"/>
      </rPr>
      <t>Výměna kalorimetrů byty</t>
    </r>
    <r>
      <rPr>
        <sz val="11"/>
        <color indexed="8"/>
        <rFont val="Calibri"/>
        <family val="2"/>
        <charset val="238"/>
      </rPr>
      <t xml:space="preserve"> - demontáž/montáž </t>
    </r>
    <r>
      <rPr>
        <u/>
        <sz val="11"/>
        <color rgb="FF000000"/>
        <rFont val="Calibri"/>
        <family val="2"/>
        <charset val="238"/>
      </rPr>
      <t>2.10.2023</t>
    </r>
    <r>
      <rPr>
        <sz val="11"/>
        <color indexed="8"/>
        <rFont val="Calibri"/>
        <family val="2"/>
        <charset val="238"/>
      </rPr>
      <t xml:space="preserve"> - stav nových 0,000</t>
    </r>
  </si>
  <si>
    <t>Standardní vzorec 1856</t>
  </si>
  <si>
    <t>- buňka D24</t>
  </si>
  <si>
    <t>Odečet vodárny 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</si>
</sst>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%"/>
    <numFmt numFmtId="167" formatCode="#,##0.0"/>
    <numFmt numFmtId="168" formatCode="#,##0.000"/>
  </numFmts>
  <fonts count="50" x14ac:knownFonts="1">
    <font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6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48"/>
      <name val="Calibri"/>
      <family val="2"/>
      <charset val="238"/>
    </font>
    <font>
      <b/>
      <sz val="11"/>
      <color indexed="10"/>
      <name val="Calibri"/>
      <family val="2"/>
      <charset val="238"/>
    </font>
    <font>
      <sz val="14"/>
      <color indexed="8"/>
      <name val="Arial"/>
      <family val="2"/>
      <charset val="238"/>
    </font>
    <font>
      <b/>
      <sz val="14"/>
      <color indexed="8"/>
      <name val="Arial"/>
      <family val="2"/>
      <charset val="238"/>
    </font>
    <font>
      <b/>
      <sz val="9"/>
      <color indexed="8"/>
      <name val="Tahoma"/>
      <family val="2"/>
      <charset val="238"/>
    </font>
    <font>
      <b/>
      <sz val="14"/>
      <color indexed="8"/>
      <name val="Calibri"/>
      <family val="2"/>
      <charset val="238"/>
    </font>
    <font>
      <sz val="14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color indexed="53"/>
      <name val="Calibri"/>
      <family val="2"/>
      <charset val="238"/>
    </font>
    <font>
      <sz val="12"/>
      <color indexed="8"/>
      <name val="Arial"/>
      <family val="2"/>
      <charset val="238"/>
    </font>
    <font>
      <sz val="11"/>
      <name val="Calibri"/>
      <family val="2"/>
      <charset val="238"/>
    </font>
    <font>
      <b/>
      <sz val="9"/>
      <color indexed="81"/>
      <name val="Tahoma"/>
      <family val="2"/>
      <charset val="238"/>
    </font>
    <font>
      <vertAlign val="superscript"/>
      <sz val="11"/>
      <color indexed="8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70C0"/>
      <name val="Calibri"/>
      <family val="2"/>
      <charset val="238"/>
    </font>
    <font>
      <sz val="11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theme="0" tint="-0.249977111117893"/>
      <name val="Calibri"/>
      <family val="2"/>
      <charset val="238"/>
    </font>
    <font>
      <sz val="11"/>
      <color theme="0" tint="-0.34998626667073579"/>
      <name val="Calibri"/>
      <family val="2"/>
      <charset val="238"/>
    </font>
    <font>
      <sz val="11"/>
      <color indexed="8"/>
      <name val="Arial"/>
      <family val="2"/>
      <charset val="238"/>
    </font>
    <font>
      <sz val="12"/>
      <color indexed="8"/>
      <name val="Calibri"/>
      <family val="2"/>
      <charset val="238"/>
      <scheme val="minor"/>
    </font>
    <font>
      <u/>
      <sz val="11"/>
      <color indexed="8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9"/>
      <color rgb="FF00B050"/>
      <name val="Arial"/>
      <family val="2"/>
      <charset val="238"/>
    </font>
    <font>
      <sz val="11"/>
      <color rgb="FF00B050"/>
      <name val="Calibri"/>
      <family val="2"/>
      <charset val="238"/>
    </font>
    <font>
      <sz val="9"/>
      <color indexed="81"/>
      <name val="Tahoma"/>
      <family val="2"/>
      <charset val="238"/>
    </font>
    <font>
      <b/>
      <sz val="11"/>
      <color indexed="10"/>
      <name val="Tahoma"/>
      <family val="2"/>
      <charset val="238"/>
    </font>
    <font>
      <b/>
      <sz val="11"/>
      <color indexed="81"/>
      <name val="Tahoma"/>
      <family val="2"/>
      <charset val="238"/>
    </font>
    <font>
      <b/>
      <sz val="11"/>
      <color rgb="FF0070C0"/>
      <name val="Calibri"/>
      <family val="2"/>
      <charset val="238"/>
    </font>
    <font>
      <b/>
      <sz val="11"/>
      <name val="Calibri"/>
      <family val="2"/>
      <charset val="238"/>
    </font>
    <font>
      <sz val="11"/>
      <color theme="9" tint="-0.499984740745262"/>
      <name val="Calibri"/>
      <family val="2"/>
      <charset val="238"/>
    </font>
    <font>
      <sz val="14"/>
      <color theme="8" tint="0.39997558519241921"/>
      <name val="Arial"/>
      <family val="2"/>
      <charset val="238"/>
    </font>
    <font>
      <b/>
      <sz val="11"/>
      <color rgb="FFFFC000"/>
      <name val="Calibri"/>
      <family val="2"/>
      <charset val="238"/>
    </font>
    <font>
      <u/>
      <sz val="11"/>
      <color rgb="FF000000"/>
      <name val="Calibri"/>
      <family val="2"/>
      <charset val="238"/>
    </font>
    <font>
      <sz val="12"/>
      <color rgb="FFFF0000"/>
      <name val="Arial"/>
      <family val="2"/>
      <charset val="238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6">
    <fill>
      <patternFill patternType="none"/>
    </fill>
    <fill>
      <patternFill patternType="gray125"/>
    </fill>
    <fill>
      <patternFill patternType="solid">
        <fgColor indexed="51"/>
        <bgColor indexed="13"/>
      </patternFill>
    </fill>
    <fill>
      <patternFill patternType="solid">
        <fgColor indexed="27"/>
        <bgColor indexed="41"/>
      </patternFill>
    </fill>
    <fill>
      <patternFill patternType="solid">
        <fgColor indexed="11"/>
        <bgColor indexed="49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7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4" fillId="0" borderId="0"/>
  </cellStyleXfs>
  <cellXfs count="319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0" borderId="5" xfId="0" applyFont="1" applyBorder="1"/>
    <xf numFmtId="164" fontId="0" fillId="0" borderId="1" xfId="0" applyNumberFormat="1" applyBorder="1"/>
    <xf numFmtId="164" fontId="0" fillId="0" borderId="6" xfId="0" applyNumberFormat="1" applyBorder="1"/>
    <xf numFmtId="164" fontId="0" fillId="0" borderId="0" xfId="0" applyNumberFormat="1"/>
    <xf numFmtId="0" fontId="10" fillId="0" borderId="7" xfId="0" applyFont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0" fillId="0" borderId="11" xfId="0" applyNumberFormat="1" applyBorder="1"/>
    <xf numFmtId="1" fontId="0" fillId="0" borderId="8" xfId="0" applyNumberFormat="1" applyBorder="1"/>
    <xf numFmtId="1" fontId="0" fillId="0" borderId="0" xfId="0" applyNumberFormat="1"/>
    <xf numFmtId="0" fontId="10" fillId="0" borderId="8" xfId="0" applyFont="1" applyBorder="1"/>
    <xf numFmtId="165" fontId="0" fillId="0" borderId="8" xfId="0" applyNumberFormat="1" applyBorder="1"/>
    <xf numFmtId="2" fontId="0" fillId="0" borderId="8" xfId="0" applyNumberFormat="1" applyBorder="1"/>
    <xf numFmtId="0" fontId="10" fillId="0" borderId="12" xfId="0" applyFont="1" applyBorder="1"/>
    <xf numFmtId="1" fontId="0" fillId="0" borderId="12" xfId="0" applyNumberFormat="1" applyBorder="1"/>
    <xf numFmtId="0" fontId="0" fillId="0" borderId="14" xfId="0" applyBorder="1"/>
    <xf numFmtId="0" fontId="0" fillId="0" borderId="15" xfId="0" applyBorder="1"/>
    <xf numFmtId="0" fontId="10" fillId="0" borderId="0" xfId="0" applyFont="1"/>
    <xf numFmtId="0" fontId="11" fillId="0" borderId="0" xfId="0" applyFont="1"/>
    <xf numFmtId="0" fontId="10" fillId="0" borderId="17" xfId="0" applyFont="1" applyBorder="1"/>
    <xf numFmtId="0" fontId="10" fillId="0" borderId="18" xfId="0" applyFont="1" applyBorder="1"/>
    <xf numFmtId="3" fontId="0" fillId="0" borderId="0" xfId="0" applyNumberFormat="1"/>
    <xf numFmtId="0" fontId="10" fillId="0" borderId="19" xfId="0" applyFont="1" applyBorder="1"/>
    <xf numFmtId="1" fontId="0" fillId="0" borderId="3" xfId="0" applyNumberFormat="1" applyBorder="1"/>
    <xf numFmtId="0" fontId="10" fillId="0" borderId="2" xfId="0" applyFont="1" applyBorder="1"/>
    <xf numFmtId="0" fontId="0" fillId="0" borderId="10" xfId="0" applyBorder="1"/>
    <xf numFmtId="165" fontId="0" fillId="0" borderId="0" xfId="0" applyNumberFormat="1"/>
    <xf numFmtId="0" fontId="13" fillId="0" borderId="0" xfId="0" applyFont="1"/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0" fontId="13" fillId="0" borderId="20" xfId="0" applyFont="1" applyBorder="1"/>
    <xf numFmtId="165" fontId="13" fillId="0" borderId="20" xfId="0" applyNumberFormat="1" applyFont="1" applyBorder="1"/>
    <xf numFmtId="164" fontId="13" fillId="0" borderId="20" xfId="0" applyNumberFormat="1" applyFont="1" applyBorder="1"/>
    <xf numFmtId="1" fontId="13" fillId="0" borderId="20" xfId="0" applyNumberFormat="1" applyFont="1" applyBorder="1"/>
    <xf numFmtId="1" fontId="13" fillId="0" borderId="0" xfId="0" applyNumberFormat="1" applyFont="1"/>
    <xf numFmtId="164" fontId="13" fillId="0" borderId="0" xfId="0" applyNumberFormat="1" applyFont="1"/>
    <xf numFmtId="0" fontId="13" fillId="0" borderId="21" xfId="0" applyFont="1" applyBorder="1"/>
    <xf numFmtId="2" fontId="13" fillId="0" borderId="20" xfId="0" applyNumberFormat="1" applyFont="1" applyBorder="1"/>
    <xf numFmtId="0" fontId="14" fillId="0" borderId="0" xfId="0" applyFo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0" fillId="0" borderId="20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20" xfId="0" applyBorder="1" applyAlignment="1">
      <alignment vertical="center"/>
    </xf>
    <xf numFmtId="2" fontId="0" fillId="0" borderId="20" xfId="0" applyNumberFormat="1" applyBorder="1" applyAlignment="1">
      <alignment vertical="center"/>
    </xf>
    <xf numFmtId="164" fontId="0" fillId="0" borderId="20" xfId="0" applyNumberFormat="1" applyBorder="1" applyAlignment="1">
      <alignment vertical="center"/>
    </xf>
    <xf numFmtId="0" fontId="18" fillId="0" borderId="0" xfId="0" applyFont="1" applyAlignment="1">
      <alignment horizontal="left" vertical="center"/>
    </xf>
    <xf numFmtId="2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0" fontId="1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6" fontId="10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4" fillId="0" borderId="0" xfId="0" applyFont="1" applyAlignment="1">
      <alignment horizontal="center"/>
    </xf>
    <xf numFmtId="164" fontId="20" fillId="3" borderId="0" xfId="0" applyNumberFormat="1" applyFont="1" applyFill="1"/>
    <xf numFmtId="164" fontId="13" fillId="3" borderId="20" xfId="0" applyNumberFormat="1" applyFont="1" applyFill="1" applyBorder="1"/>
    <xf numFmtId="0" fontId="20" fillId="3" borderId="20" xfId="0" applyFont="1" applyFill="1" applyBorder="1"/>
    <xf numFmtId="0" fontId="20" fillId="0" borderId="0" xfId="0" applyFont="1"/>
    <xf numFmtId="0" fontId="13" fillId="0" borderId="0" xfId="0" applyFont="1" applyAlignment="1">
      <alignment horizontal="center"/>
    </xf>
    <xf numFmtId="0" fontId="20" fillId="0" borderId="24" xfId="0" applyFont="1" applyBorder="1"/>
    <xf numFmtId="164" fontId="20" fillId="4" borderId="0" xfId="0" applyNumberFormat="1" applyFont="1" applyFill="1"/>
    <xf numFmtId="164" fontId="13" fillId="4" borderId="20" xfId="0" applyNumberFormat="1" applyFont="1" applyFill="1" applyBorder="1"/>
    <xf numFmtId="0" fontId="20" fillId="4" borderId="20" xfId="0" applyFont="1" applyFill="1" applyBorder="1"/>
    <xf numFmtId="164" fontId="20" fillId="2" borderId="0" xfId="0" applyNumberFormat="1" applyFont="1" applyFill="1"/>
    <xf numFmtId="164" fontId="13" fillId="2" borderId="0" xfId="0" applyNumberFormat="1" applyFont="1" applyFill="1"/>
    <xf numFmtId="0" fontId="24" fillId="0" borderId="0" xfId="1"/>
    <xf numFmtId="0" fontId="24" fillId="0" borderId="0" xfId="1" applyAlignment="1">
      <alignment horizontal="right"/>
    </xf>
    <xf numFmtId="164" fontId="21" fillId="0" borderId="1" xfId="0" applyNumberFormat="1" applyFont="1" applyBorder="1"/>
    <xf numFmtId="164" fontId="21" fillId="0" borderId="8" xfId="0" applyNumberFormat="1" applyFont="1" applyBorder="1"/>
    <xf numFmtId="1" fontId="21" fillId="0" borderId="8" xfId="0" applyNumberFormat="1" applyFont="1" applyBorder="1"/>
    <xf numFmtId="165" fontId="21" fillId="0" borderId="8" xfId="0" applyNumberFormat="1" applyFont="1" applyBorder="1"/>
    <xf numFmtId="2" fontId="21" fillId="0" borderId="8" xfId="0" applyNumberFormat="1" applyFont="1" applyBorder="1"/>
    <xf numFmtId="1" fontId="21" fillId="0" borderId="12" xfId="0" applyNumberFormat="1" applyFont="1" applyBorder="1"/>
    <xf numFmtId="0" fontId="21" fillId="0" borderId="15" xfId="0" applyFont="1" applyBorder="1"/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164" fontId="0" fillId="0" borderId="28" xfId="0" applyNumberFormat="1" applyBorder="1"/>
    <xf numFmtId="0" fontId="24" fillId="0" borderId="0" xfId="1" applyAlignment="1">
      <alignment horizont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left" vertical="center" indent="1"/>
    </xf>
    <xf numFmtId="0" fontId="25" fillId="0" borderId="0" xfId="0" applyFont="1"/>
    <xf numFmtId="164" fontId="25" fillId="0" borderId="0" xfId="0" applyNumberFormat="1" applyFont="1"/>
    <xf numFmtId="0" fontId="25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164" fontId="25" fillId="0" borderId="0" xfId="0" applyNumberFormat="1" applyFont="1" applyAlignment="1">
      <alignment vertical="center"/>
    </xf>
    <xf numFmtId="164" fontId="25" fillId="5" borderId="0" xfId="0" applyNumberFormat="1" applyFont="1" applyFill="1" applyAlignment="1">
      <alignment vertical="center"/>
    </xf>
    <xf numFmtId="0" fontId="0" fillId="0" borderId="0" xfId="0" applyAlignment="1">
      <alignment horizontal="left" vertical="center" indent="1"/>
    </xf>
    <xf numFmtId="164" fontId="0" fillId="0" borderId="32" xfId="0" applyNumberFormat="1" applyBorder="1"/>
    <xf numFmtId="2" fontId="26" fillId="0" borderId="0" xfId="0" applyNumberFormat="1" applyFont="1" applyAlignment="1">
      <alignment horizontal="left" vertical="center"/>
    </xf>
    <xf numFmtId="0" fontId="27" fillId="0" borderId="0" xfId="0" applyFont="1"/>
    <xf numFmtId="0" fontId="27" fillId="0" borderId="0" xfId="0" applyFont="1" applyAlignment="1">
      <alignment horizontal="center"/>
    </xf>
    <xf numFmtId="3" fontId="13" fillId="0" borderId="20" xfId="0" applyNumberFormat="1" applyFont="1" applyBorder="1"/>
    <xf numFmtId="3" fontId="13" fillId="0" borderId="0" xfId="0" applyNumberFormat="1" applyFont="1"/>
    <xf numFmtId="165" fontId="13" fillId="3" borderId="20" xfId="0" applyNumberFormat="1" applyFont="1" applyFill="1" applyBorder="1"/>
    <xf numFmtId="0" fontId="0" fillId="0" borderId="0" xfId="0" applyAlignment="1">
      <alignment horizontal="right"/>
    </xf>
    <xf numFmtId="2" fontId="26" fillId="0" borderId="0" xfId="0" applyNumberFormat="1" applyFont="1" applyAlignment="1">
      <alignment vertical="center"/>
    </xf>
    <xf numFmtId="0" fontId="0" fillId="0" borderId="27" xfId="0" applyBorder="1"/>
    <xf numFmtId="0" fontId="0" fillId="0" borderId="27" xfId="0" applyBorder="1" applyAlignment="1">
      <alignment horizontal="center" vertical="center"/>
    </xf>
    <xf numFmtId="1" fontId="0" fillId="0" borderId="27" xfId="0" applyNumberFormat="1" applyBorder="1"/>
    <xf numFmtId="164" fontId="0" fillId="0" borderId="27" xfId="0" applyNumberFormat="1" applyBorder="1"/>
    <xf numFmtId="0" fontId="0" fillId="0" borderId="20" xfId="0" quotePrefix="1" applyBorder="1" applyAlignment="1">
      <alignment vertical="center"/>
    </xf>
    <xf numFmtId="164" fontId="0" fillId="0" borderId="20" xfId="0" quotePrefix="1" applyNumberFormat="1" applyBorder="1" applyAlignment="1">
      <alignment vertical="center"/>
    </xf>
    <xf numFmtId="0" fontId="9" fillId="0" borderId="1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 vertical="center"/>
    </xf>
    <xf numFmtId="0" fontId="10" fillId="0" borderId="13" xfId="0" applyFont="1" applyBorder="1"/>
    <xf numFmtId="14" fontId="0" fillId="0" borderId="0" xfId="0" applyNumberFormat="1"/>
    <xf numFmtId="0" fontId="14" fillId="7" borderId="20" xfId="0" applyFont="1" applyFill="1" applyBorder="1"/>
    <xf numFmtId="0" fontId="14" fillId="7" borderId="20" xfId="0" applyFont="1" applyFill="1" applyBorder="1" applyAlignment="1">
      <alignment horizontal="center"/>
    </xf>
    <xf numFmtId="0" fontId="14" fillId="7" borderId="21" xfId="0" applyFont="1" applyFill="1" applyBorder="1"/>
    <xf numFmtId="0" fontId="13" fillId="7" borderId="22" xfId="0" applyFont="1" applyFill="1" applyBorder="1"/>
    <xf numFmtId="0" fontId="13" fillId="7" borderId="23" xfId="0" applyFont="1" applyFill="1" applyBorder="1"/>
    <xf numFmtId="0" fontId="13" fillId="7" borderId="21" xfId="0" applyFont="1" applyFill="1" applyBorder="1"/>
    <xf numFmtId="164" fontId="13" fillId="7" borderId="22" xfId="0" applyNumberFormat="1" applyFont="1" applyFill="1" applyBorder="1"/>
    <xf numFmtId="164" fontId="13" fillId="7" borderId="23" xfId="0" applyNumberFormat="1" applyFont="1" applyFill="1" applyBorder="1"/>
    <xf numFmtId="1" fontId="14" fillId="7" borderId="20" xfId="0" applyNumberFormat="1" applyFont="1" applyFill="1" applyBorder="1" applyAlignment="1">
      <alignment horizontal="center"/>
    </xf>
    <xf numFmtId="0" fontId="28" fillId="0" borderId="0" xfId="0" applyFont="1" applyAlignment="1">
      <alignment horizontal="center"/>
    </xf>
    <xf numFmtId="166" fontId="13" fillId="0" borderId="0" xfId="0" applyNumberFormat="1" applyFont="1"/>
    <xf numFmtId="0" fontId="27" fillId="0" borderId="0" xfId="0" applyFont="1" applyAlignment="1">
      <alignment horizontal="left" vertical="center" indent="1"/>
    </xf>
    <xf numFmtId="1" fontId="27" fillId="0" borderId="0" xfId="0" applyNumberFormat="1" applyFont="1"/>
    <xf numFmtId="0" fontId="12" fillId="0" borderId="0" xfId="0" applyFont="1"/>
    <xf numFmtId="0" fontId="8" fillId="0" borderId="0" xfId="1" applyFont="1"/>
    <xf numFmtId="0" fontId="8" fillId="0" borderId="0" xfId="1" applyFont="1" applyAlignment="1">
      <alignment horizontal="right"/>
    </xf>
    <xf numFmtId="0" fontId="8" fillId="0" borderId="0" xfId="1" applyFont="1" applyAlignment="1">
      <alignment horizontal="center"/>
    </xf>
    <xf numFmtId="0" fontId="7" fillId="0" borderId="0" xfId="1" applyFont="1"/>
    <xf numFmtId="0" fontId="6" fillId="0" borderId="0" xfId="1" applyFont="1"/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164" fontId="0" fillId="0" borderId="43" xfId="0" applyNumberFormat="1" applyBorder="1"/>
    <xf numFmtId="0" fontId="0" fillId="0" borderId="44" xfId="0" applyBorder="1"/>
    <xf numFmtId="164" fontId="0" fillId="0" borderId="45" xfId="0" applyNumberFormat="1" applyBorder="1"/>
    <xf numFmtId="0" fontId="0" fillId="0" borderId="42" xfId="0" applyBorder="1" applyAlignment="1">
      <alignment horizontal="center"/>
    </xf>
    <xf numFmtId="0" fontId="0" fillId="6" borderId="0" xfId="0" applyFill="1"/>
    <xf numFmtId="0" fontId="0" fillId="9" borderId="0" xfId="0" applyFill="1" applyAlignment="1">
      <alignment horizontal="center"/>
    </xf>
    <xf numFmtId="164" fontId="0" fillId="9" borderId="0" xfId="0" applyNumberFormat="1" applyFill="1"/>
    <xf numFmtId="0" fontId="29" fillId="0" borderId="0" xfId="0" applyFont="1" applyAlignment="1">
      <alignment horizontal="right"/>
    </xf>
    <xf numFmtId="164" fontId="29" fillId="9" borderId="0" xfId="0" applyNumberFormat="1" applyFont="1" applyFill="1"/>
    <xf numFmtId="0" fontId="0" fillId="0" borderId="46" xfId="0" applyBorder="1" applyAlignment="1">
      <alignment horizontal="center"/>
    </xf>
    <xf numFmtId="0" fontId="29" fillId="0" borderId="47" xfId="0" applyFont="1" applyBorder="1" applyAlignment="1">
      <alignment horizontal="center"/>
    </xf>
    <xf numFmtId="164" fontId="29" fillId="0" borderId="27" xfId="0" applyNumberFormat="1" applyFont="1" applyBorder="1"/>
    <xf numFmtId="164" fontId="29" fillId="0" borderId="44" xfId="0" applyNumberFormat="1" applyFont="1" applyBorder="1"/>
    <xf numFmtId="2" fontId="26" fillId="0" borderId="0" xfId="0" applyNumberFormat="1" applyFont="1" applyAlignment="1">
      <alignment horizontal="center" vertical="center"/>
    </xf>
    <xf numFmtId="164" fontId="30" fillId="0" borderId="44" xfId="0" applyNumberFormat="1" applyFont="1" applyBorder="1"/>
    <xf numFmtId="0" fontId="29" fillId="0" borderId="0" xfId="0" applyFont="1" applyAlignment="1">
      <alignment horizontal="center"/>
    </xf>
    <xf numFmtId="0" fontId="0" fillId="6" borderId="30" xfId="0" applyFill="1" applyBorder="1" applyAlignment="1">
      <alignment vertical="center"/>
    </xf>
    <xf numFmtId="0" fontId="0" fillId="6" borderId="31" xfId="0" applyFill="1" applyBorder="1" applyAlignment="1">
      <alignment horizontal="left" vertical="center" indent="1"/>
    </xf>
    <xf numFmtId="0" fontId="0" fillId="0" borderId="0" xfId="0" applyAlignment="1">
      <alignment horizontal="left"/>
    </xf>
    <xf numFmtId="14" fontId="0" fillId="0" borderId="27" xfId="0" applyNumberFormat="1" applyBorder="1" applyAlignment="1">
      <alignment horizontal="center" vertical="center"/>
    </xf>
    <xf numFmtId="0" fontId="10" fillId="0" borderId="53" xfId="0" applyFont="1" applyBorder="1"/>
    <xf numFmtId="164" fontId="0" fillId="0" borderId="54" xfId="0" applyNumberFormat="1" applyBorder="1"/>
    <xf numFmtId="164" fontId="0" fillId="0" borderId="55" xfId="0" applyNumberFormat="1" applyBorder="1"/>
    <xf numFmtId="0" fontId="10" fillId="0" borderId="56" xfId="0" applyFont="1" applyBorder="1"/>
    <xf numFmtId="164" fontId="0" fillId="0" borderId="57" xfId="0" applyNumberFormat="1" applyBorder="1"/>
    <xf numFmtId="164" fontId="0" fillId="0" borderId="58" xfId="0" applyNumberFormat="1" applyBorder="1"/>
    <xf numFmtId="2" fontId="0" fillId="0" borderId="27" xfId="0" applyNumberFormat="1" applyBorder="1"/>
    <xf numFmtId="14" fontId="0" fillId="0" borderId="59" xfId="0" applyNumberFormat="1" applyBorder="1" applyAlignment="1">
      <alignment horizontal="center" vertical="center"/>
    </xf>
    <xf numFmtId="0" fontId="0" fillId="0" borderId="59" xfId="0" applyBorder="1" applyAlignment="1">
      <alignment horizontal="center"/>
    </xf>
    <xf numFmtId="1" fontId="0" fillId="0" borderId="59" xfId="0" applyNumberFormat="1" applyBorder="1" applyAlignment="1">
      <alignment horizontal="center"/>
    </xf>
    <xf numFmtId="2" fontId="0" fillId="6" borderId="59" xfId="0" applyNumberFormat="1" applyFill="1" applyBorder="1" applyAlignment="1">
      <alignment horizontal="center"/>
    </xf>
    <xf numFmtId="0" fontId="0" fillId="8" borderId="0" xfId="0" applyFill="1" applyAlignment="1">
      <alignment horizontal="center"/>
    </xf>
    <xf numFmtId="164" fontId="0" fillId="10" borderId="27" xfId="0" applyNumberFormat="1" applyFill="1" applyBorder="1"/>
    <xf numFmtId="2" fontId="0" fillId="10" borderId="27" xfId="0" applyNumberFormat="1" applyFill="1" applyBorder="1"/>
    <xf numFmtId="1" fontId="0" fillId="10" borderId="27" xfId="0" applyNumberFormat="1" applyFill="1" applyBorder="1"/>
    <xf numFmtId="0" fontId="0" fillId="11" borderId="0" xfId="0" applyFill="1" applyAlignment="1">
      <alignment horizontal="center"/>
    </xf>
    <xf numFmtId="0" fontId="0" fillId="11" borderId="0" xfId="0" applyFill="1"/>
    <xf numFmtId="14" fontId="0" fillId="0" borderId="27" xfId="0" applyNumberFormat="1" applyBorder="1"/>
    <xf numFmtId="167" fontId="0" fillId="0" borderId="27" xfId="0" applyNumberFormat="1" applyBorder="1"/>
    <xf numFmtId="167" fontId="0" fillId="11" borderId="0" xfId="0" applyNumberFormat="1" applyFill="1"/>
    <xf numFmtId="168" fontId="0" fillId="0" borderId="27" xfId="0" applyNumberFormat="1" applyBorder="1"/>
    <xf numFmtId="168" fontId="0" fillId="11" borderId="0" xfId="0" applyNumberFormat="1" applyFill="1"/>
    <xf numFmtId="0" fontId="13" fillId="5" borderId="0" xfId="0" applyFont="1" applyFill="1"/>
    <xf numFmtId="0" fontId="0" fillId="5" borderId="33" xfId="0" applyFill="1" applyBorder="1" applyAlignment="1">
      <alignment vertical="center"/>
    </xf>
    <xf numFmtId="0" fontId="0" fillId="6" borderId="29" xfId="0" applyFill="1" applyBorder="1" applyAlignment="1">
      <alignment vertical="center"/>
    </xf>
    <xf numFmtId="0" fontId="0" fillId="6" borderId="60" xfId="0" applyFill="1" applyBorder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61" xfId="0" applyFill="1" applyBorder="1" applyAlignment="1">
      <alignment horizontal="left" vertical="center" indent="1"/>
    </xf>
    <xf numFmtId="14" fontId="0" fillId="6" borderId="60" xfId="0" applyNumberFormat="1" applyFill="1" applyBorder="1" applyAlignment="1">
      <alignment vertical="center"/>
    </xf>
    <xf numFmtId="0" fontId="0" fillId="6" borderId="59" xfId="0" applyFill="1" applyBorder="1" applyAlignment="1">
      <alignment horizontal="right" vertical="center"/>
    </xf>
    <xf numFmtId="0" fontId="20" fillId="5" borderId="0" xfId="0" applyFont="1" applyFill="1"/>
    <xf numFmtId="0" fontId="0" fillId="12" borderId="34" xfId="0" applyFill="1" applyBorder="1" applyAlignment="1">
      <alignment vertical="center"/>
    </xf>
    <xf numFmtId="0" fontId="0" fillId="12" borderId="35" xfId="0" applyFill="1" applyBorder="1" applyAlignment="1">
      <alignment horizontal="left" vertical="center" indent="1"/>
    </xf>
    <xf numFmtId="0" fontId="20" fillId="5" borderId="34" xfId="0" applyFont="1" applyFill="1" applyBorder="1"/>
    <xf numFmtId="14" fontId="0" fillId="6" borderId="62" xfId="0" applyNumberFormat="1" applyFill="1" applyBorder="1" applyAlignment="1">
      <alignment vertical="center"/>
    </xf>
    <xf numFmtId="0" fontId="0" fillId="6" borderId="63" xfId="0" applyFill="1" applyBorder="1" applyAlignment="1">
      <alignment vertical="center"/>
    </xf>
    <xf numFmtId="0" fontId="0" fillId="6" borderId="64" xfId="0" applyFill="1" applyBorder="1" applyAlignment="1">
      <alignment horizontal="left" vertical="center" indent="1"/>
    </xf>
    <xf numFmtId="164" fontId="25" fillId="5" borderId="34" xfId="0" applyNumberFormat="1" applyFont="1" applyFill="1" applyBorder="1" applyAlignment="1">
      <alignment vertical="center"/>
    </xf>
    <xf numFmtId="0" fontId="28" fillId="5" borderId="0" xfId="0" applyFont="1" applyFill="1" applyAlignment="1">
      <alignment horizontal="center"/>
    </xf>
    <xf numFmtId="0" fontId="32" fillId="0" borderId="0" xfId="0" applyFont="1"/>
    <xf numFmtId="0" fontId="33" fillId="0" borderId="0" xfId="0" applyFont="1"/>
    <xf numFmtId="165" fontId="13" fillId="0" borderId="0" xfId="0" applyNumberFormat="1" applyFont="1"/>
    <xf numFmtId="0" fontId="34" fillId="0" borderId="0" xfId="0" applyFont="1" applyAlignment="1">
      <alignment horizontal="right"/>
    </xf>
    <xf numFmtId="164" fontId="34" fillId="0" borderId="0" xfId="0" applyNumberFormat="1" applyFont="1"/>
    <xf numFmtId="0" fontId="0" fillId="6" borderId="32" xfId="0" applyFill="1" applyBorder="1" applyAlignment="1">
      <alignment vertical="center"/>
    </xf>
    <xf numFmtId="0" fontId="10" fillId="0" borderId="7" xfId="0" applyFont="1" applyBorder="1" applyAlignment="1">
      <alignment horizontal="right"/>
    </xf>
    <xf numFmtId="0" fontId="5" fillId="0" borderId="0" xfId="1" applyFont="1" applyAlignment="1">
      <alignment horizontal="right"/>
    </xf>
    <xf numFmtId="164" fontId="20" fillId="0" borderId="0" xfId="0" applyNumberFormat="1" applyFont="1"/>
    <xf numFmtId="164" fontId="13" fillId="3" borderId="39" xfId="0" applyNumberFormat="1" applyFont="1" applyFill="1" applyBorder="1"/>
    <xf numFmtId="0" fontId="20" fillId="3" borderId="39" xfId="0" applyFont="1" applyFill="1" applyBorder="1"/>
    <xf numFmtId="0" fontId="35" fillId="0" borderId="0" xfId="0" applyFont="1"/>
    <xf numFmtId="164" fontId="35" fillId="0" borderId="0" xfId="0" applyNumberFormat="1" applyFont="1" applyAlignment="1">
      <alignment horizontal="center"/>
    </xf>
    <xf numFmtId="164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13" fillId="11" borderId="20" xfId="0" applyNumberFormat="1" applyFont="1" applyFill="1" applyBorder="1"/>
    <xf numFmtId="164" fontId="34" fillId="11" borderId="32" xfId="0" applyNumberFormat="1" applyFont="1" applyFill="1" applyBorder="1" applyAlignment="1">
      <alignment horizontal="right" vertical="center" indent="1"/>
    </xf>
    <xf numFmtId="0" fontId="34" fillId="11" borderId="32" xfId="0" applyFont="1" applyFill="1" applyBorder="1" applyAlignment="1">
      <alignment vertical="center"/>
    </xf>
    <xf numFmtId="0" fontId="20" fillId="11" borderId="32" xfId="0" applyFont="1" applyFill="1" applyBorder="1"/>
    <xf numFmtId="0" fontId="31" fillId="0" borderId="0" xfId="0" applyFont="1" applyAlignment="1">
      <alignment horizontal="center"/>
    </xf>
    <xf numFmtId="166" fontId="13" fillId="0" borderId="0" xfId="0" applyNumberFormat="1" applyFont="1" applyAlignment="1">
      <alignment horizontal="center"/>
    </xf>
    <xf numFmtId="164" fontId="37" fillId="0" borderId="0" xfId="0" applyNumberFormat="1" applyFont="1"/>
    <xf numFmtId="0" fontId="37" fillId="0" borderId="0" xfId="0" applyFont="1"/>
    <xf numFmtId="165" fontId="36" fillId="0" borderId="0" xfId="0" applyNumberFormat="1" applyFont="1" applyAlignment="1">
      <alignment horizontal="center"/>
    </xf>
    <xf numFmtId="0" fontId="36" fillId="0" borderId="0" xfId="0" applyFont="1"/>
    <xf numFmtId="0" fontId="4" fillId="0" borderId="0" xfId="1" applyFont="1" applyAlignment="1">
      <alignment horizontal="right"/>
    </xf>
    <xf numFmtId="0" fontId="4" fillId="13" borderId="0" xfId="1" applyFont="1" applyFill="1"/>
    <xf numFmtId="0" fontId="4" fillId="6" borderId="0" xfId="1" applyFont="1" applyFill="1"/>
    <xf numFmtId="0" fontId="4" fillId="13" borderId="0" xfId="1" applyFont="1" applyFill="1" applyAlignment="1">
      <alignment horizontal="right"/>
    </xf>
    <xf numFmtId="0" fontId="4" fillId="13" borderId="0" xfId="1" applyFont="1" applyFill="1" applyAlignment="1">
      <alignment horizontal="center"/>
    </xf>
    <xf numFmtId="0" fontId="4" fillId="0" borderId="0" xfId="1" applyFont="1"/>
    <xf numFmtId="164" fontId="0" fillId="6" borderId="8" xfId="0" applyNumberFormat="1" applyFill="1" applyBorder="1" applyAlignment="1">
      <alignment horizontal="right"/>
    </xf>
    <xf numFmtId="164" fontId="0" fillId="6" borderId="8" xfId="0" applyNumberFormat="1" applyFill="1" applyBorder="1"/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13" fillId="6" borderId="20" xfId="0" applyFont="1" applyFill="1" applyBorder="1"/>
    <xf numFmtId="0" fontId="21" fillId="0" borderId="0" xfId="0" applyFont="1" applyAlignment="1">
      <alignment horizontal="center"/>
    </xf>
    <xf numFmtId="0" fontId="0" fillId="0" borderId="65" xfId="0" applyBorder="1" applyAlignment="1">
      <alignment horizontal="right" vertical="center"/>
    </xf>
    <xf numFmtId="0" fontId="27" fillId="0" borderId="65" xfId="0" applyFont="1" applyBorder="1" applyAlignment="1">
      <alignment horizontal="right"/>
    </xf>
    <xf numFmtId="0" fontId="27" fillId="0" borderId="0" xfId="0" applyFont="1" applyAlignment="1">
      <alignment vertical="center"/>
    </xf>
    <xf numFmtId="0" fontId="27" fillId="0" borderId="32" xfId="0" applyFont="1" applyBorder="1" applyAlignment="1">
      <alignment vertical="center"/>
    </xf>
    <xf numFmtId="164" fontId="27" fillId="0" borderId="0" xfId="0" applyNumberFormat="1" applyFont="1"/>
    <xf numFmtId="164" fontId="27" fillId="0" borderId="32" xfId="0" applyNumberFormat="1" applyFont="1" applyBorder="1"/>
    <xf numFmtId="10" fontId="27" fillId="0" borderId="0" xfId="0" applyNumberFormat="1" applyFont="1" applyAlignment="1">
      <alignment horizontal="right"/>
    </xf>
    <xf numFmtId="0" fontId="3" fillId="0" borderId="0" xfId="1" applyFont="1" applyAlignment="1">
      <alignment horizontal="right"/>
    </xf>
    <xf numFmtId="0" fontId="0" fillId="0" borderId="32" xfId="0" applyBorder="1"/>
    <xf numFmtId="0" fontId="0" fillId="0" borderId="32" xfId="0" applyBorder="1" applyAlignment="1">
      <alignment horizontal="right"/>
    </xf>
    <xf numFmtId="164" fontId="26" fillId="0" borderId="27" xfId="0" applyNumberFormat="1" applyFont="1" applyBorder="1"/>
    <xf numFmtId="0" fontId="26" fillId="0" borderId="0" xfId="0" applyFont="1"/>
    <xf numFmtId="0" fontId="41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166" fontId="41" fillId="0" borderId="0" xfId="0" applyNumberFormat="1" applyFont="1" applyAlignment="1">
      <alignment horizontal="center"/>
    </xf>
    <xf numFmtId="166" fontId="26" fillId="0" borderId="0" xfId="0" applyNumberFormat="1" applyFont="1"/>
    <xf numFmtId="0" fontId="26" fillId="0" borderId="0" xfId="0" applyFont="1" applyAlignment="1">
      <alignment horizontal="right"/>
    </xf>
    <xf numFmtId="0" fontId="42" fillId="0" borderId="0" xfId="0" applyFont="1" applyAlignment="1">
      <alignment horizontal="center"/>
    </xf>
    <xf numFmtId="0" fontId="0" fillId="0" borderId="0" xfId="0" applyAlignment="1">
      <alignment horizontal="right" indent="1"/>
    </xf>
    <xf numFmtId="0" fontId="41" fillId="0" borderId="0" xfId="0" applyFont="1"/>
    <xf numFmtId="164" fontId="43" fillId="0" borderId="0" xfId="0" applyNumberFormat="1" applyFont="1"/>
    <xf numFmtId="164" fontId="21" fillId="6" borderId="8" xfId="0" applyNumberFormat="1" applyFont="1" applyFill="1" applyBorder="1"/>
    <xf numFmtId="166" fontId="44" fillId="0" borderId="0" xfId="0" applyNumberFormat="1" applyFont="1"/>
    <xf numFmtId="0" fontId="44" fillId="0" borderId="0" xfId="0" applyFont="1"/>
    <xf numFmtId="0" fontId="45" fillId="0" borderId="0" xfId="0" applyFont="1" applyAlignment="1">
      <alignment horizontal="center"/>
    </xf>
    <xf numFmtId="0" fontId="2" fillId="13" borderId="0" xfId="1" applyFont="1" applyFill="1"/>
    <xf numFmtId="164" fontId="0" fillId="6" borderId="0" xfId="0" applyNumberFormat="1" applyFill="1"/>
    <xf numFmtId="1" fontId="0" fillId="6" borderId="0" xfId="0" applyNumberFormat="1" applyFill="1"/>
    <xf numFmtId="164" fontId="26" fillId="6" borderId="27" xfId="0" applyNumberFormat="1" applyFont="1" applyFill="1" applyBorder="1"/>
    <xf numFmtId="164" fontId="0" fillId="14" borderId="8" xfId="0" applyNumberFormat="1" applyFill="1" applyBorder="1"/>
    <xf numFmtId="49" fontId="20" fillId="0" borderId="0" xfId="0" applyNumberFormat="1" applyFont="1"/>
    <xf numFmtId="0" fontId="47" fillId="15" borderId="0" xfId="0" applyFont="1" applyFill="1"/>
    <xf numFmtId="0" fontId="20" fillId="15" borderId="0" xfId="0" applyFont="1" applyFill="1"/>
    <xf numFmtId="0" fontId="13" fillId="14" borderId="20" xfId="0" applyFont="1" applyFill="1" applyBorder="1"/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50" xfId="0" applyBorder="1" applyAlignment="1">
      <alignment horizontal="right" vertical="center" indent="2"/>
    </xf>
    <xf numFmtId="0" fontId="0" fillId="0" borderId="27" xfId="0" applyBorder="1" applyAlignment="1">
      <alignment horizontal="center"/>
    </xf>
    <xf numFmtId="3" fontId="0" fillId="0" borderId="27" xfId="0" applyNumberFormat="1" applyBorder="1" applyAlignment="1">
      <alignment horizont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13" fillId="0" borderId="20" xfId="0" applyFont="1" applyBorder="1" applyAlignment="1">
      <alignment horizontal="center"/>
    </xf>
    <xf numFmtId="166" fontId="0" fillId="0" borderId="20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0" fontId="18" fillId="0" borderId="20" xfId="0" applyFont="1" applyBorder="1" applyAlignment="1">
      <alignment horizontal="left" vertical="center"/>
    </xf>
    <xf numFmtId="166" fontId="0" fillId="0" borderId="38" xfId="0" applyNumberFormat="1" applyBorder="1" applyAlignment="1">
      <alignment horizontal="center" vertical="center"/>
    </xf>
    <xf numFmtId="166" fontId="0" fillId="0" borderId="39" xfId="0" applyNumberFormat="1" applyBorder="1" applyAlignment="1">
      <alignment horizontal="center" vertical="center"/>
    </xf>
    <xf numFmtId="0" fontId="18" fillId="0" borderId="38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165" fontId="13" fillId="0" borderId="21" xfId="0" applyNumberFormat="1" applyFont="1" applyBorder="1" applyAlignment="1">
      <alignment horizontal="center"/>
    </xf>
    <xf numFmtId="165" fontId="13" fillId="0" borderId="22" xfId="0" applyNumberFormat="1" applyFont="1" applyBorder="1" applyAlignment="1">
      <alignment horizontal="center"/>
    </xf>
    <xf numFmtId="165" fontId="13" fillId="0" borderId="23" xfId="0" applyNumberFormat="1" applyFont="1" applyBorder="1" applyAlignment="1">
      <alignment horizontal="center"/>
    </xf>
    <xf numFmtId="165" fontId="13" fillId="4" borderId="21" xfId="0" applyNumberFormat="1" applyFont="1" applyFill="1" applyBorder="1" applyAlignment="1">
      <alignment horizontal="center"/>
    </xf>
    <xf numFmtId="165" fontId="13" fillId="4" borderId="22" xfId="0" applyNumberFormat="1" applyFont="1" applyFill="1" applyBorder="1" applyAlignment="1">
      <alignment horizontal="center"/>
    </xf>
    <xf numFmtId="165" fontId="13" fillId="4" borderId="23" xfId="0" applyNumberFormat="1" applyFont="1" applyFill="1" applyBorder="1" applyAlignment="1">
      <alignment horizontal="center"/>
    </xf>
    <xf numFmtId="0" fontId="0" fillId="0" borderId="66" xfId="0" applyFill="1" applyBorder="1" applyAlignment="1">
      <alignment vertical="center"/>
    </xf>
    <xf numFmtId="0" fontId="0" fillId="0" borderId="59" xfId="0" applyFill="1" applyBorder="1" applyAlignment="1">
      <alignment vertical="center"/>
    </xf>
    <xf numFmtId="164" fontId="13" fillId="6" borderId="20" xfId="0" applyNumberFormat="1" applyFont="1" applyFill="1" applyBorder="1"/>
    <xf numFmtId="0" fontId="1" fillId="0" borderId="0" xfId="1" applyFont="1" applyAlignment="1">
      <alignment horizontal="right"/>
    </xf>
    <xf numFmtId="164" fontId="0" fillId="6" borderId="32" xfId="0" applyNumberFormat="1" applyFill="1" applyBorder="1"/>
  </cellXfs>
  <cellStyles count="2">
    <cellStyle name="Normální" xfId="0" builtinId="0"/>
    <cellStyle name="normální 2" xfId="1" xr:uid="{00000000-0005-0000-0000-000001000000}"/>
  </cellStyles>
  <dxfs count="488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b val="0"/>
        <condense val="0"/>
        <extend val="0"/>
        <sz val="11"/>
        <color indexed="22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9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rgb="FF0070C0"/>
      </font>
    </dxf>
    <dxf>
      <font>
        <b/>
        <i val="0"/>
        <color rgb="FFFF0000"/>
      </font>
    </dxf>
    <dxf>
      <font>
        <color rgb="FF0070C0"/>
      </font>
    </dxf>
    <dxf>
      <font>
        <b/>
        <i val="0"/>
        <color rgb="FFFF000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color theme="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  <fill>
        <patternFill patternType="none">
          <fgColor indexed="64"/>
          <bgColor indexed="65"/>
        </patternFill>
      </fill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9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i val="0"/>
        <condense val="0"/>
        <extend val="0"/>
        <sz val="11"/>
        <color indexed="3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  <dxf>
      <font>
        <b/>
        <i val="0"/>
        <condense val="0"/>
        <extend val="0"/>
        <sz val="11"/>
        <color indexed="10"/>
      </font>
    </dxf>
    <dxf>
      <font>
        <b val="0"/>
        <condense val="0"/>
        <extend val="0"/>
        <sz val="11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2D050"/>
      <rgbColor rgb="00FFCC00"/>
      <rgbColor rgb="00FF9900"/>
      <rgbColor rgb="00FF6600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cs-CZ"/>
              <a:t>Celkový </a:t>
            </a:r>
            <a:r>
              <a:rPr lang="en-US"/>
              <a:t>Průměr po měsících</a:t>
            </a:r>
          </a:p>
        </c:rich>
      </c:tx>
      <c:layout>
        <c:manualLayout>
          <c:xMode val="edge"/>
          <c:yMode val="edge"/>
          <c:x val="0.20602777777777778"/>
          <c:y val="3.240740740740746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'1851'!$AJ$26</c:f>
              <c:strCache>
                <c:ptCount val="1"/>
                <c:pt idx="0">
                  <c:v>Průměr po měsících</c:v>
                </c:pt>
              </c:strCache>
            </c:strRef>
          </c:tx>
          <c:invertIfNegative val="0"/>
          <c:cat>
            <c:strRef>
              <c:f>'1851'!$AK$25:$AV$25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'1851'!$AK$26:$AV$26</c:f>
              <c:numCache>
                <c:formatCode>0.0%</c:formatCode>
                <c:ptCount val="12"/>
                <c:pt idx="0">
                  <c:v>0.37510111366923182</c:v>
                </c:pt>
                <c:pt idx="1">
                  <c:v>0.38990646139627083</c:v>
                </c:pt>
                <c:pt idx="2">
                  <c:v>0.39816563758833423</c:v>
                </c:pt>
                <c:pt idx="3">
                  <c:v>0.3826925955077467</c:v>
                </c:pt>
                <c:pt idx="4">
                  <c:v>0.35898213823621883</c:v>
                </c:pt>
                <c:pt idx="5">
                  <c:v>0.30614145331798392</c:v>
                </c:pt>
                <c:pt idx="6">
                  <c:v>0.31647023480709036</c:v>
                </c:pt>
                <c:pt idx="7">
                  <c:v>0.31520720526068713</c:v>
                </c:pt>
                <c:pt idx="8">
                  <c:v>0.31656161576677116</c:v>
                </c:pt>
                <c:pt idx="9">
                  <c:v>0.31085232001308716</c:v>
                </c:pt>
                <c:pt idx="10">
                  <c:v>0.34771835935410866</c:v>
                </c:pt>
                <c:pt idx="11">
                  <c:v>0.35257444518159947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C-423F-B401-34E9886F9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647936"/>
        <c:axId val="86649472"/>
      </c:barChart>
      <c:catAx>
        <c:axId val="86647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6649472"/>
        <c:crosses val="autoZero"/>
        <c:auto val="1"/>
        <c:lblAlgn val="ctr"/>
        <c:lblOffset val="100"/>
        <c:noMultiLvlLbl val="0"/>
      </c:catAx>
      <c:valAx>
        <c:axId val="866494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866479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633569680194641E-2"/>
          <c:y val="2.633233952552055E-2"/>
          <c:w val="0.74233894920438315"/>
          <c:h val="0.85508787129764119"/>
        </c:manualLayout>
      </c:layout>
      <c:lineChart>
        <c:grouping val="standard"/>
        <c:varyColors val="0"/>
        <c:ser>
          <c:idx val="3"/>
          <c:order val="0"/>
          <c:tx>
            <c:strRef>
              <c:f>'1851'!$AJ$6</c:f>
              <c:strCache>
                <c:ptCount val="1"/>
                <c:pt idx="0">
                  <c:v>byt 2</c:v>
                </c:pt>
              </c:strCache>
            </c:strRef>
          </c:tx>
          <c:marker>
            <c:symbol val="none"/>
          </c:marker>
          <c:val>
            <c:numRef>
              <c:f>'1851'!$AK$6:$AV$6</c:f>
              <c:numCache>
                <c:formatCode>0.0%</c:formatCode>
                <c:ptCount val="12"/>
                <c:pt idx="0">
                  <c:v>0.34597156398104317</c:v>
                </c:pt>
                <c:pt idx="1">
                  <c:v>0.35027924960618595</c:v>
                </c:pt>
                <c:pt idx="2">
                  <c:v>0.3571253372577885</c:v>
                </c:pt>
                <c:pt idx="3">
                  <c:v>0.36683859604981661</c:v>
                </c:pt>
                <c:pt idx="4">
                  <c:v>0.36475687389949879</c:v>
                </c:pt>
                <c:pt idx="5">
                  <c:v>0.31330948562970296</c:v>
                </c:pt>
                <c:pt idx="6">
                  <c:v>0.27613636363636401</c:v>
                </c:pt>
                <c:pt idx="7">
                  <c:v>0.28292962591371629</c:v>
                </c:pt>
                <c:pt idx="8">
                  <c:v>0.31938546090432146</c:v>
                </c:pt>
                <c:pt idx="9">
                  <c:v>0.35101692504622478</c:v>
                </c:pt>
                <c:pt idx="10">
                  <c:v>0.37441705529646835</c:v>
                </c:pt>
                <c:pt idx="11">
                  <c:v>0.36800982252483588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7-4F1B-918F-5B66F3B589FF}"/>
            </c:ext>
          </c:extLst>
        </c:ser>
        <c:ser>
          <c:idx val="1"/>
          <c:order val="1"/>
          <c:tx>
            <c:strRef>
              <c:f>'1851'!$AJ$12</c:f>
              <c:strCache>
                <c:ptCount val="1"/>
                <c:pt idx="0">
                  <c:v>byt 9</c:v>
                </c:pt>
              </c:strCache>
            </c:strRef>
          </c:tx>
          <c:marker>
            <c:symbol val="none"/>
          </c:marker>
          <c:val>
            <c:numRef>
              <c:f>'1851'!$AK$12:$AV$12</c:f>
              <c:numCache>
                <c:formatCode>0.0%</c:formatCode>
                <c:ptCount val="12"/>
                <c:pt idx="0">
                  <c:v>0.28819233110164327</c:v>
                </c:pt>
                <c:pt idx="1">
                  <c:v>0.29801644895984464</c:v>
                </c:pt>
                <c:pt idx="2">
                  <c:v>0.25797783003023167</c:v>
                </c:pt>
                <c:pt idx="3">
                  <c:v>0.25023447758394407</c:v>
                </c:pt>
                <c:pt idx="4">
                  <c:v>0.21090088526297487</c:v>
                </c:pt>
                <c:pt idx="5">
                  <c:v>0.16001205363869214</c:v>
                </c:pt>
                <c:pt idx="6">
                  <c:v>0.18472671872024338</c:v>
                </c:pt>
                <c:pt idx="7">
                  <c:v>0.18516560958421452</c:v>
                </c:pt>
                <c:pt idx="8">
                  <c:v>0.19788918205804584</c:v>
                </c:pt>
                <c:pt idx="9">
                  <c:v>0.19449843025863447</c:v>
                </c:pt>
                <c:pt idx="10">
                  <c:v>0.20919689119170956</c:v>
                </c:pt>
                <c:pt idx="11">
                  <c:v>0.22766947919697395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7-4F1B-918F-5B66F3B589FF}"/>
            </c:ext>
          </c:extLst>
        </c:ser>
        <c:ser>
          <c:idx val="2"/>
          <c:order val="2"/>
          <c:tx>
            <c:strRef>
              <c:f>'1851'!$AJ$14</c:f>
              <c:strCache>
                <c:ptCount val="1"/>
                <c:pt idx="0">
                  <c:v>byt 15</c:v>
                </c:pt>
              </c:strCache>
            </c:strRef>
          </c:tx>
          <c:marker>
            <c:symbol val="none"/>
          </c:marker>
          <c:val>
            <c:numRef>
              <c:f>'1851'!$AK$14:$AV$14</c:f>
              <c:numCache>
                <c:formatCode>0.0%</c:formatCode>
                <c:ptCount val="12"/>
                <c:pt idx="0">
                  <c:v>0.47647514668437957</c:v>
                </c:pt>
                <c:pt idx="1">
                  <c:v>0.49791418355184702</c:v>
                </c:pt>
                <c:pt idx="2">
                  <c:v>0.48796589189932726</c:v>
                </c:pt>
                <c:pt idx="3">
                  <c:v>0.45986707566461998</c:v>
                </c:pt>
                <c:pt idx="4">
                  <c:v>0.44984802431611054</c:v>
                </c:pt>
                <c:pt idx="5">
                  <c:v>0.37997112481953033</c:v>
                </c:pt>
                <c:pt idx="6">
                  <c:v>0.31849529780564312</c:v>
                </c:pt>
                <c:pt idx="7">
                  <c:v>0.27430093209054612</c:v>
                </c:pt>
                <c:pt idx="8">
                  <c:v>0.3551401869158593</c:v>
                </c:pt>
                <c:pt idx="9">
                  <c:v>0.33605220228385518</c:v>
                </c:pt>
                <c:pt idx="10">
                  <c:v>0.52841280209013353</c:v>
                </c:pt>
                <c:pt idx="11">
                  <c:v>0.59314332920280655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F7-4F1B-918F-5B66F3B589FF}"/>
            </c:ext>
          </c:extLst>
        </c:ser>
        <c:ser>
          <c:idx val="4"/>
          <c:order val="3"/>
          <c:tx>
            <c:strRef>
              <c:f>'1851'!$AJ$18</c:f>
              <c:strCache>
                <c:ptCount val="1"/>
                <c:pt idx="0">
                  <c:v>byt 13</c:v>
                </c:pt>
              </c:strCache>
            </c:strRef>
          </c:tx>
          <c:marker>
            <c:symbol val="none"/>
          </c:marker>
          <c:val>
            <c:numRef>
              <c:f>'1851'!$AK$18:$AV$18</c:f>
              <c:numCache>
                <c:formatCode>0.0%</c:formatCode>
                <c:ptCount val="12"/>
                <c:pt idx="0">
                  <c:v>0.46580027359781312</c:v>
                </c:pt>
                <c:pt idx="1">
                  <c:v>0.52680486061472409</c:v>
                </c:pt>
                <c:pt idx="2">
                  <c:v>0.46650831353919275</c:v>
                </c:pt>
                <c:pt idx="3">
                  <c:v>0.44989585744040667</c:v>
                </c:pt>
                <c:pt idx="4">
                  <c:v>0.46278130409694229</c:v>
                </c:pt>
                <c:pt idx="5">
                  <c:v>0.40830280830280768</c:v>
                </c:pt>
                <c:pt idx="6">
                  <c:v>0.34276923076922922</c:v>
                </c:pt>
                <c:pt idx="7">
                  <c:v>0.39216503438216344</c:v>
                </c:pt>
                <c:pt idx="8">
                  <c:v>0.41508982035928127</c:v>
                </c:pt>
                <c:pt idx="9">
                  <c:v>0.45800618605757848</c:v>
                </c:pt>
                <c:pt idx="10">
                  <c:v>0.44457582027786191</c:v>
                </c:pt>
                <c:pt idx="11">
                  <c:v>0.40400279264603006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7-4F1B-918F-5B66F3B589FF}"/>
            </c:ext>
          </c:extLst>
        </c:ser>
        <c:ser>
          <c:idx val="5"/>
          <c:order val="4"/>
          <c:tx>
            <c:strRef>
              <c:f>'1851'!$AJ$54</c:f>
              <c:strCache>
                <c:ptCount val="1"/>
                <c:pt idx="0">
                  <c:v>byt 3</c:v>
                </c:pt>
              </c:strCache>
            </c:strRef>
          </c:tx>
          <c:marker>
            <c:symbol val="none"/>
          </c:marker>
          <c:val>
            <c:numRef>
              <c:f>'1851'!$AK$54:$AV$54</c:f>
              <c:numCache>
                <c:formatCode>0.0%</c:formatCode>
                <c:ptCount val="12"/>
                <c:pt idx="0">
                  <c:v>0.38155136268343959</c:v>
                </c:pt>
                <c:pt idx="1">
                  <c:v>0.39988719684150942</c:v>
                </c:pt>
                <c:pt idx="2">
                  <c:v>0.44572896596017986</c:v>
                </c:pt>
                <c:pt idx="3">
                  <c:v>0.45012165450118258</c:v>
                </c:pt>
                <c:pt idx="4">
                  <c:v>0.38442211055281783</c:v>
                </c:pt>
                <c:pt idx="5">
                  <c:v>2.7027027027151592E-2</c:v>
                </c:pt>
                <c:pt idx="6">
                  <c:v>0.35508428493746169</c:v>
                </c:pt>
                <c:pt idx="7">
                  <c:v>0.35218133073360958</c:v>
                </c:pt>
                <c:pt idx="8">
                  <c:v>0.33425874514158982</c:v>
                </c:pt>
                <c:pt idx="9">
                  <c:v>0.32635411925352659</c:v>
                </c:pt>
                <c:pt idx="10">
                  <c:v>0.3531042128603103</c:v>
                </c:pt>
                <c:pt idx="11">
                  <c:v>0.33437083148065672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9F7-4F1B-918F-5B66F3B589FF}"/>
            </c:ext>
          </c:extLst>
        </c:ser>
        <c:ser>
          <c:idx val="6"/>
          <c:order val="5"/>
          <c:tx>
            <c:strRef>
              <c:f>'1851'!$AJ$56</c:f>
              <c:strCache>
                <c:ptCount val="1"/>
                <c:pt idx="0">
                  <c:v>byt 6</c:v>
                </c:pt>
              </c:strCache>
            </c:strRef>
          </c:tx>
          <c:marker>
            <c:symbol val="none"/>
          </c:marker>
          <c:val>
            <c:numRef>
              <c:f>'1851'!$AK$56:$AV$56</c:f>
              <c:numCache>
                <c:formatCode>0.0%</c:formatCode>
                <c:ptCount val="12"/>
                <c:pt idx="0">
                  <c:v>0.48058252427184467</c:v>
                </c:pt>
                <c:pt idx="1">
                  <c:v>0.47063953488372118</c:v>
                </c:pt>
                <c:pt idx="2">
                  <c:v>0.53841991341991313</c:v>
                </c:pt>
                <c:pt idx="3">
                  <c:v>0.51090076809682694</c:v>
                </c:pt>
                <c:pt idx="4">
                  <c:v>0.51482614742698152</c:v>
                </c:pt>
                <c:pt idx="5">
                  <c:v>0.49868493909191647</c:v>
                </c:pt>
                <c:pt idx="6">
                  <c:v>0.53068862275448869</c:v>
                </c:pt>
                <c:pt idx="7">
                  <c:v>0.5142857142857179</c:v>
                </c:pt>
                <c:pt idx="8">
                  <c:v>0.33582089552232952</c:v>
                </c:pt>
                <c:pt idx="9">
                  <c:v>0.25763831544179072</c:v>
                </c:pt>
                <c:pt idx="10">
                  <c:v>0.29694323144104851</c:v>
                </c:pt>
                <c:pt idx="11">
                  <c:v>0.34661098618696046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9F7-4F1B-918F-5B66F3B589FF}"/>
            </c:ext>
          </c:extLst>
        </c:ser>
        <c:ser>
          <c:idx val="7"/>
          <c:order val="6"/>
          <c:tx>
            <c:strRef>
              <c:f>'1851'!$AJ$58</c:f>
              <c:strCache>
                <c:ptCount val="1"/>
                <c:pt idx="0">
                  <c:v>byt 8</c:v>
                </c:pt>
              </c:strCache>
            </c:strRef>
          </c:tx>
          <c:marker>
            <c:symbol val="none"/>
          </c:marker>
          <c:val>
            <c:numRef>
              <c:f>'1851'!$AK$58:$AV$58</c:f>
              <c:numCache>
                <c:formatCode>0.0%</c:formatCode>
                <c:ptCount val="12"/>
                <c:pt idx="0">
                  <c:v>0.35248466641632259</c:v>
                </c:pt>
                <c:pt idx="1">
                  <c:v>0.36343612334801828</c:v>
                </c:pt>
                <c:pt idx="2">
                  <c:v>0.43812709030100833</c:v>
                </c:pt>
                <c:pt idx="3">
                  <c:v>0.39809422975118952</c:v>
                </c:pt>
                <c:pt idx="4">
                  <c:v>0.40555267254800276</c:v>
                </c:pt>
                <c:pt idx="5">
                  <c:v>0.40265359100086567</c:v>
                </c:pt>
                <c:pt idx="6">
                  <c:v>0.36594663278271788</c:v>
                </c:pt>
                <c:pt idx="7">
                  <c:v>0.37728119180633379</c:v>
                </c:pt>
                <c:pt idx="8">
                  <c:v>0.36328871892924897</c:v>
                </c:pt>
                <c:pt idx="9">
                  <c:v>0.28230588884291985</c:v>
                </c:pt>
                <c:pt idx="10">
                  <c:v>0.3164196123147095</c:v>
                </c:pt>
                <c:pt idx="11">
                  <c:v>0.32504739835685631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9F7-4F1B-918F-5B66F3B589FF}"/>
            </c:ext>
          </c:extLst>
        </c:ser>
        <c:ser>
          <c:idx val="8"/>
          <c:order val="7"/>
          <c:tx>
            <c:strRef>
              <c:f>'1851'!$AJ$60</c:f>
              <c:strCache>
                <c:ptCount val="1"/>
                <c:pt idx="0">
                  <c:v>byt 11</c:v>
                </c:pt>
              </c:strCache>
            </c:strRef>
          </c:tx>
          <c:marker>
            <c:symbol val="none"/>
          </c:marker>
          <c:val>
            <c:numRef>
              <c:f>'1851'!$AK$60:$AV$60</c:f>
              <c:numCache>
                <c:formatCode>0.0%</c:formatCode>
                <c:ptCount val="12"/>
                <c:pt idx="0">
                  <c:v>0.32534678436317849</c:v>
                </c:pt>
                <c:pt idx="1">
                  <c:v>0.39652173913043609</c:v>
                </c:pt>
                <c:pt idx="2">
                  <c:v>0.36363636363636326</c:v>
                </c:pt>
                <c:pt idx="3">
                  <c:v>0.37192118226601034</c:v>
                </c:pt>
                <c:pt idx="4">
                  <c:v>0.32075471698113095</c:v>
                </c:pt>
                <c:pt idx="5">
                  <c:v>0.29796987557301918</c:v>
                </c:pt>
                <c:pt idx="6">
                  <c:v>0.30117160578911167</c:v>
                </c:pt>
                <c:pt idx="7">
                  <c:v>0.2762836185819072</c:v>
                </c:pt>
                <c:pt idx="8">
                  <c:v>0.32121212121211956</c:v>
                </c:pt>
                <c:pt idx="9">
                  <c:v>0.31095406360424016</c:v>
                </c:pt>
                <c:pt idx="10">
                  <c:v>0.33037037037037026</c:v>
                </c:pt>
                <c:pt idx="11">
                  <c:v>0.31826012058570191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9F7-4F1B-918F-5B66F3B589FF}"/>
            </c:ext>
          </c:extLst>
        </c:ser>
        <c:ser>
          <c:idx val="9"/>
          <c:order val="8"/>
          <c:tx>
            <c:strRef>
              <c:f>'1851'!$AJ$62</c:f>
              <c:strCache>
                <c:ptCount val="1"/>
                <c:pt idx="0">
                  <c:v>byt 12</c:v>
                </c:pt>
              </c:strCache>
            </c:strRef>
          </c:tx>
          <c:marker>
            <c:symbol val="none"/>
          </c:marker>
          <c:val>
            <c:numRef>
              <c:f>'1851'!$AK$62:$AV$62</c:f>
              <c:numCache>
                <c:formatCode>0.0%</c:formatCode>
                <c:ptCount val="12"/>
                <c:pt idx="0">
                  <c:v>0.37628424657534271</c:v>
                </c:pt>
                <c:pt idx="1">
                  <c:v>0.3265895953757223</c:v>
                </c:pt>
                <c:pt idx="2">
                  <c:v>0.37005253940455374</c:v>
                </c:pt>
                <c:pt idx="3">
                  <c:v>0.3023854470568047</c:v>
                </c:pt>
                <c:pt idx="4">
                  <c:v>0.23603825979635851</c:v>
                </c:pt>
                <c:pt idx="5">
                  <c:v>0.36235119047619058</c:v>
                </c:pt>
                <c:pt idx="6">
                  <c:v>0.30278145695364322</c:v>
                </c:pt>
                <c:pt idx="7">
                  <c:v>0.28273125913551866</c:v>
                </c:pt>
                <c:pt idx="8">
                  <c:v>0.31640407784986002</c:v>
                </c:pt>
                <c:pt idx="9">
                  <c:v>0.36218887262079058</c:v>
                </c:pt>
                <c:pt idx="10">
                  <c:v>0.38338547097671205</c:v>
                </c:pt>
                <c:pt idx="11">
                  <c:v>0.35571895424836686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9F7-4F1B-918F-5B66F3B589FF}"/>
            </c:ext>
          </c:extLst>
        </c:ser>
        <c:ser>
          <c:idx val="0"/>
          <c:order val="9"/>
          <c:tx>
            <c:strRef>
              <c:f>'1851'!$AJ$8</c:f>
              <c:strCache>
                <c:ptCount val="1"/>
                <c:pt idx="0">
                  <c:v>byt 5</c:v>
                </c:pt>
              </c:strCache>
            </c:strRef>
          </c:tx>
          <c:marker>
            <c:symbol val="none"/>
          </c:marker>
          <c:val>
            <c:numRef>
              <c:f>'1851'!$AK$8:$AV$8</c:f>
              <c:numCache>
                <c:formatCode>0.0%</c:formatCode>
                <c:ptCount val="12"/>
                <c:pt idx="0">
                  <c:v>0.25832223701731105</c:v>
                </c:pt>
                <c:pt idx="1">
                  <c:v>0.26897568165069924</c:v>
                </c:pt>
                <c:pt idx="2">
                  <c:v>0.25611413043478382</c:v>
                </c:pt>
                <c:pt idx="3">
                  <c:v>0.266666666666666</c:v>
                </c:pt>
                <c:pt idx="4">
                  <c:v>0.23994038748137053</c:v>
                </c:pt>
                <c:pt idx="5">
                  <c:v>0.21113243761996259</c:v>
                </c:pt>
                <c:pt idx="6">
                  <c:v>0.1869021339220002</c:v>
                </c:pt>
                <c:pt idx="7">
                  <c:v>0.2147477360931439</c:v>
                </c:pt>
                <c:pt idx="8">
                  <c:v>0.20712694877505569</c:v>
                </c:pt>
                <c:pt idx="9">
                  <c:v>0.22950819672131126</c:v>
                </c:pt>
                <c:pt idx="10">
                  <c:v>0.24035812672176324</c:v>
                </c:pt>
                <c:pt idx="11">
                  <c:v>0.25291073738680564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9F7-4F1B-918F-5B66F3B589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509120"/>
        <c:axId val="133510656"/>
      </c:lineChart>
      <c:catAx>
        <c:axId val="133509120"/>
        <c:scaling>
          <c:orientation val="minMax"/>
        </c:scaling>
        <c:delete val="0"/>
        <c:axPos val="b"/>
        <c:majorTickMark val="out"/>
        <c:minorTickMark val="none"/>
        <c:tickLblPos val="nextTo"/>
        <c:crossAx val="133510656"/>
        <c:crosses val="autoZero"/>
        <c:auto val="1"/>
        <c:lblAlgn val="ctr"/>
        <c:lblOffset val="100"/>
        <c:noMultiLvlLbl val="0"/>
      </c:catAx>
      <c:valAx>
        <c:axId val="133510656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3350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297222222222234"/>
          <c:y val="4.0706838728492303E-2"/>
          <c:w val="0.11884430176565018"/>
          <c:h val="0.78027673725250368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5019781332364819E-2"/>
          <c:y val="8.363479988730238E-2"/>
          <c:w val="0.88423248980669689"/>
          <c:h val="0.8327304002253966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'1851'!$AJ$46</c:f>
              <c:strCache>
                <c:ptCount val="1"/>
                <c:pt idx="0">
                  <c:v>CELKEM</c:v>
                </c:pt>
              </c:strCache>
            </c:strRef>
          </c:tx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'1851'!$AK$46:$AW$46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C9-4B69-B319-6912289E94D6}"/>
            </c:ext>
          </c:extLst>
        </c:ser>
        <c:ser>
          <c:idx val="1"/>
          <c:order val="1"/>
          <c:tx>
            <c:strRef>
              <c:f>'1851'!$AJ$47</c:f>
              <c:strCache>
                <c:ptCount val="1"/>
                <c:pt idx="0">
                  <c:v>TV</c:v>
                </c:pt>
              </c:strCache>
            </c:strRef>
          </c:tx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'1851'!$AK$47:$AV$47</c:f>
              <c:numCache>
                <c:formatCode>0.000</c:formatCode>
                <c:ptCount val="12"/>
                <c:pt idx="0">
                  <c:v>19.129000000000019</c:v>
                </c:pt>
                <c:pt idx="1">
                  <c:v>15.987999999999973</c:v>
                </c:pt>
                <c:pt idx="2">
                  <c:v>20.372000000000028</c:v>
                </c:pt>
                <c:pt idx="3">
                  <c:v>20.950999999999972</c:v>
                </c:pt>
                <c:pt idx="4">
                  <c:v>21.81600000000001</c:v>
                </c:pt>
                <c:pt idx="5">
                  <c:v>19.504000000000026</c:v>
                </c:pt>
                <c:pt idx="6">
                  <c:v>12.368999999999968</c:v>
                </c:pt>
                <c:pt idx="7">
                  <c:v>12.171000000000005</c:v>
                </c:pt>
                <c:pt idx="8">
                  <c:v>10.258999999999975</c:v>
                </c:pt>
                <c:pt idx="9">
                  <c:v>12.538000000000014</c:v>
                </c:pt>
                <c:pt idx="10">
                  <c:v>14.831</c:v>
                </c:pt>
                <c:pt idx="11">
                  <c:v>17.010000000000012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C9-4B69-B319-6912289E94D6}"/>
            </c:ext>
          </c:extLst>
        </c:ser>
        <c:ser>
          <c:idx val="2"/>
          <c:order val="2"/>
          <c:tx>
            <c:v>SV</c:v>
          </c:tx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'1851'!$AK$48:$AV$48</c:f>
              <c:numCache>
                <c:formatCode>0.000</c:formatCode>
                <c:ptCount val="12"/>
                <c:pt idx="0">
                  <c:v>30.525999999999982</c:v>
                </c:pt>
                <c:pt idx="1">
                  <c:v>24.353000000000009</c:v>
                </c:pt>
                <c:pt idx="2">
                  <c:v>28.504999999999988</c:v>
                </c:pt>
                <c:pt idx="3">
                  <c:v>30.789000000000037</c:v>
                </c:pt>
                <c:pt idx="4">
                  <c:v>32.919999999999973</c:v>
                </c:pt>
                <c:pt idx="5">
                  <c:v>33.371999999999993</c:v>
                </c:pt>
                <c:pt idx="6">
                  <c:v>25.853000000000023</c:v>
                </c:pt>
                <c:pt idx="7">
                  <c:v>29.166999999999966</c:v>
                </c:pt>
                <c:pt idx="8">
                  <c:v>22.806000000000072</c:v>
                </c:pt>
                <c:pt idx="9">
                  <c:v>27.404999999999909</c:v>
                </c:pt>
                <c:pt idx="10">
                  <c:v>29.033000000000008</c:v>
                </c:pt>
                <c:pt idx="11">
                  <c:v>32.634000000000029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C9-4B69-B319-6912289E9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199552"/>
        <c:axId val="134216320"/>
      </c:barChart>
      <c:catAx>
        <c:axId val="1341995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34216320"/>
        <c:crosses val="autoZero"/>
        <c:auto val="1"/>
        <c:lblAlgn val="ctr"/>
        <c:lblOffset val="100"/>
        <c:noMultiLvlLbl val="0"/>
      </c:catAx>
      <c:valAx>
        <c:axId val="1342163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19955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'1851'!$AJ$46</c:f>
              <c:strCache>
                <c:ptCount val="1"/>
                <c:pt idx="0">
                  <c:v>CELKEM</c:v>
                </c:pt>
              </c:strCache>
            </c:strRef>
          </c:tx>
          <c:invertIfNegative val="0"/>
          <c:cat>
            <c:strRef>
              <c:f>'1851'!$AK$46:$AV$46</c:f>
              <c:strCache>
                <c:ptCount val="12"/>
                <c:pt idx="0">
                  <c:v>1.</c:v>
                </c:pt>
                <c:pt idx="1">
                  <c:v>2.</c:v>
                </c:pt>
                <c:pt idx="2">
                  <c:v>3.</c:v>
                </c:pt>
                <c:pt idx="3">
                  <c:v>4.</c:v>
                </c:pt>
                <c:pt idx="4">
                  <c:v>5.</c:v>
                </c:pt>
                <c:pt idx="5">
                  <c:v>6.</c:v>
                </c:pt>
                <c:pt idx="6">
                  <c:v>7.</c:v>
                </c:pt>
                <c:pt idx="7">
                  <c:v>8.</c:v>
                </c:pt>
                <c:pt idx="8">
                  <c:v>9.</c:v>
                </c:pt>
                <c:pt idx="9">
                  <c:v>10.</c:v>
                </c:pt>
                <c:pt idx="10">
                  <c:v>11.</c:v>
                </c:pt>
                <c:pt idx="11">
                  <c:v>12.</c:v>
                </c:pt>
              </c:strCache>
            </c:strRef>
          </c:cat>
          <c:val>
            <c:numRef>
              <c:f>'1851'!$AK$46:$AW$46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5E-40E4-BD36-7FF879027D5C}"/>
            </c:ext>
          </c:extLst>
        </c:ser>
        <c:ser>
          <c:idx val="1"/>
          <c:order val="1"/>
          <c:tx>
            <c:strRef>
              <c:f>'1851'!$AJ$47</c:f>
              <c:strCache>
                <c:ptCount val="1"/>
                <c:pt idx="0">
                  <c:v>TV</c:v>
                </c:pt>
              </c:strCache>
            </c:strRef>
          </c:tx>
          <c:invertIfNegative val="0"/>
          <c:val>
            <c:numRef>
              <c:f>'1851'!$AK$47:$AV$47</c:f>
              <c:numCache>
                <c:formatCode>0.000</c:formatCode>
                <c:ptCount val="12"/>
                <c:pt idx="0">
                  <c:v>19.129000000000019</c:v>
                </c:pt>
                <c:pt idx="1">
                  <c:v>15.987999999999973</c:v>
                </c:pt>
                <c:pt idx="2">
                  <c:v>20.372000000000028</c:v>
                </c:pt>
                <c:pt idx="3">
                  <c:v>20.950999999999972</c:v>
                </c:pt>
                <c:pt idx="4">
                  <c:v>21.81600000000001</c:v>
                </c:pt>
                <c:pt idx="5">
                  <c:v>19.504000000000026</c:v>
                </c:pt>
                <c:pt idx="6">
                  <c:v>12.368999999999968</c:v>
                </c:pt>
                <c:pt idx="7">
                  <c:v>12.171000000000005</c:v>
                </c:pt>
                <c:pt idx="8">
                  <c:v>10.258999999999975</c:v>
                </c:pt>
                <c:pt idx="9">
                  <c:v>12.538000000000014</c:v>
                </c:pt>
                <c:pt idx="10">
                  <c:v>14.831</c:v>
                </c:pt>
                <c:pt idx="11">
                  <c:v>17.010000000000012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5E-40E4-BD36-7FF879027D5C}"/>
            </c:ext>
          </c:extLst>
        </c:ser>
        <c:ser>
          <c:idx val="2"/>
          <c:order val="2"/>
          <c:tx>
            <c:v>SV</c:v>
          </c:tx>
          <c:invertIfNegative val="0"/>
          <c:val>
            <c:numRef>
              <c:f>'1851'!$AK$48:$AV$48</c:f>
              <c:numCache>
                <c:formatCode>0.000</c:formatCode>
                <c:ptCount val="12"/>
                <c:pt idx="0">
                  <c:v>30.525999999999982</c:v>
                </c:pt>
                <c:pt idx="1">
                  <c:v>24.353000000000009</c:v>
                </c:pt>
                <c:pt idx="2">
                  <c:v>28.504999999999988</c:v>
                </c:pt>
                <c:pt idx="3">
                  <c:v>30.789000000000037</c:v>
                </c:pt>
                <c:pt idx="4">
                  <c:v>32.919999999999973</c:v>
                </c:pt>
                <c:pt idx="5">
                  <c:v>33.371999999999993</c:v>
                </c:pt>
                <c:pt idx="6">
                  <c:v>25.853000000000023</c:v>
                </c:pt>
                <c:pt idx="7">
                  <c:v>29.166999999999966</c:v>
                </c:pt>
                <c:pt idx="8">
                  <c:v>22.806000000000072</c:v>
                </c:pt>
                <c:pt idx="9">
                  <c:v>27.404999999999909</c:v>
                </c:pt>
                <c:pt idx="10">
                  <c:v>29.033000000000008</c:v>
                </c:pt>
                <c:pt idx="11">
                  <c:v>32.634000000000029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5E-40E4-BD36-7FF879027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623808"/>
        <c:axId val="141513472"/>
      </c:barChart>
      <c:catAx>
        <c:axId val="139623808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41513472"/>
        <c:crosses val="autoZero"/>
        <c:auto val="1"/>
        <c:lblAlgn val="ctr"/>
        <c:lblOffset val="100"/>
        <c:noMultiLvlLbl val="0"/>
      </c:catAx>
      <c:valAx>
        <c:axId val="141513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9623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3076991696393964E-2"/>
          <c:y val="0.2882357080590936"/>
          <c:w val="0.89615468764525208"/>
          <c:h val="0.60882440375748703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(Rozdíly!$D$31:$D$31,Rozdíly!$G$31:$G$31,Rozdíly!$J$31:$J$31,Rozdíly!$M$31:$M$31,Rozdíly!$P$31:$P$31,Rozdíly!$S$31:$S$31,Rozdíly!$V$31:$V$31,Rozdíly!$Y$31:$Y$31)</c:f>
              <c:numCache>
                <c:formatCode>General</c:formatCode>
                <c:ptCount val="8"/>
                <c:pt idx="0">
                  <c:v>8.3350000000000364</c:v>
                </c:pt>
                <c:pt idx="1">
                  <c:v>42.866000000000071</c:v>
                </c:pt>
                <c:pt idx="2">
                  <c:v>-1.2999999999999829</c:v>
                </c:pt>
                <c:pt idx="3">
                  <c:v>3.9800000000001066</c:v>
                </c:pt>
                <c:pt idx="4">
                  <c:v>12.735999999999967</c:v>
                </c:pt>
                <c:pt idx="5">
                  <c:v>12.127000000000073</c:v>
                </c:pt>
                <c:pt idx="6">
                  <c:v>5.8879999999999937</c:v>
                </c:pt>
                <c:pt idx="7">
                  <c:v>8.240999999999989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A3-4E83-829A-FDC5E6DAF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2147968"/>
        <c:axId val="142149504"/>
      </c:barChart>
      <c:catAx>
        <c:axId val="14214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950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214950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214796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(Rozdíly!$D$33:$D$33,Rozdíly!$G$33:$G$33,Rozdíly!$J$33:$J$33,Rozdíly!$M$33:$M$33,Rozdíly!$P$33:$P$33,Rozdíly!$S$33:$S$33,Rozdíly!$V$33:$V$33,Rozdíly!$Y$33:$Y$33)</c:f>
              <c:numCache>
                <c:formatCode>0.0%</c:formatCode>
                <c:ptCount val="8"/>
                <c:pt idx="0">
                  <c:v>4.7841809206750269E-2</c:v>
                </c:pt>
                <c:pt idx="1">
                  <c:v>0.16006123744445713</c:v>
                </c:pt>
                <c:pt idx="2">
                  <c:v>-6.7498805790358199E-3</c:v>
                </c:pt>
                <c:pt idx="3">
                  <c:v>2.4247002631836097E-2</c:v>
                </c:pt>
                <c:pt idx="4">
                  <c:v>7.0108994825498011E-2</c:v>
                </c:pt>
                <c:pt idx="5">
                  <c:v>6.3755848798696557E-2</c:v>
                </c:pt>
                <c:pt idx="6">
                  <c:v>3.4300361179074874E-2</c:v>
                </c:pt>
                <c:pt idx="7">
                  <c:v>4.544000882223196E-2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3F-43F5-9B36-CAEAE8CA4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3367552"/>
        <c:axId val="143811328"/>
      </c:barChart>
      <c:catAx>
        <c:axId val="14336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8113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38113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336755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230857713771141E-2"/>
          <c:y val="0.28908637849828461"/>
          <c:w val="0.87500082162789083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val>
            <c:numRef>
              <c:f>('Rozdíly (2)'!$D$31:$D$31,'Rozdíly (2)'!$G$31:$G$31,'Rozdíly (2)'!$J$31:$J$31,'Rozdíly (2)'!$M$31:$M$31,'Rozdíly (2)'!$P$31:$P$31,'Rozdíly (2)'!$S$31:$S$31,'Rozdíly (2)'!$V$31:$V$31,'Rozdíly (2)'!$Y$31:$Y$31)</c:f>
              <c:numCache>
                <c:formatCode>General</c:formatCode>
                <c:ptCount val="8"/>
                <c:pt idx="0">
                  <c:v>8.3350000000000364</c:v>
                </c:pt>
                <c:pt idx="1">
                  <c:v>42.866000000000071</c:v>
                </c:pt>
                <c:pt idx="2">
                  <c:v>-1.2999999999999829</c:v>
                </c:pt>
                <c:pt idx="3">
                  <c:v>3.9800000000001066</c:v>
                </c:pt>
                <c:pt idx="4">
                  <c:v>12.735999999999967</c:v>
                </c:pt>
                <c:pt idx="5">
                  <c:v>12.127000000000073</c:v>
                </c:pt>
                <c:pt idx="6">
                  <c:v>5.8879999999999937</c:v>
                </c:pt>
                <c:pt idx="7">
                  <c:v>8.240999999999989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D-489A-B6C3-D76949C70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44885632"/>
        <c:axId val="146176640"/>
      </c:barChart>
      <c:catAx>
        <c:axId val="1448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61766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461766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44885632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40331350554388"/>
          <c:y val="0.28908637849828461"/>
          <c:w val="0.85852875660270356"/>
          <c:h val="0.6076713670474036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('Rozdíly (2)'!$D$33:$D$33,'Rozdíly (2)'!$G$33:$G$33,'Rozdíly (2)'!$J$33:$J$33,'Rozdíly (2)'!$M$33:$M$33,'Rozdíly (2)'!$P$33:$P$33,'Rozdíly (2)'!$S$33:$S$33,'Rozdíly (2)'!$V$33:$V$33,'Rozdíly (2)'!$Y$33:$Y$33)</c:f>
              <c:numCache>
                <c:formatCode>0.0%</c:formatCode>
                <c:ptCount val="8"/>
                <c:pt idx="0">
                  <c:v>4.7841809206750269E-2</c:v>
                </c:pt>
                <c:pt idx="1">
                  <c:v>0.16006123744445713</c:v>
                </c:pt>
                <c:pt idx="2">
                  <c:v>-6.7498805790358199E-3</c:v>
                </c:pt>
                <c:pt idx="3">
                  <c:v>2.4247002631836097E-2</c:v>
                </c:pt>
                <c:pt idx="4">
                  <c:v>7.0108994825498011E-2</c:v>
                </c:pt>
                <c:pt idx="5">
                  <c:v>6.3755848798696557E-2</c:v>
                </c:pt>
                <c:pt idx="6">
                  <c:v>3.4300361179074874E-2</c:v>
                </c:pt>
                <c:pt idx="7">
                  <c:v>4.544000882223196E-2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D-4468-8154-D6D6038CE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680704"/>
        <c:axId val="170682240"/>
      </c:barChart>
      <c:catAx>
        <c:axId val="17068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2240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682240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680704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GJ</a:t>
            </a:r>
          </a:p>
        </c:rich>
      </c:tx>
      <c:layout>
        <c:manualLayout>
          <c:xMode val="edge"/>
          <c:yMode val="edge"/>
          <c:x val="0.19807712497476268"/>
          <c:y val="3.823529411764706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5.1923076923076933E-2"/>
          <c:y val="0.28823529411764731"/>
          <c:w val="0.92307692307692257"/>
          <c:h val="0.60882352941176454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(Rozdíly!$D$31,Rozdíly!$G$31,Rozdíly!$J$31,Rozdíly!$M$31,Rozdíly!$P$31,Rozdíly!$S$31,Rozdíly!$V$31,Rozdíly!$Y$31)</c:f>
              <c:numCache>
                <c:formatCode>General</c:formatCode>
                <c:ptCount val="8"/>
                <c:pt idx="0">
                  <c:v>8.3350000000000364</c:v>
                </c:pt>
                <c:pt idx="1">
                  <c:v>42.866000000000071</c:v>
                </c:pt>
                <c:pt idx="2">
                  <c:v>-1.2999999999999829</c:v>
                </c:pt>
                <c:pt idx="3">
                  <c:v>3.9800000000001066</c:v>
                </c:pt>
                <c:pt idx="4">
                  <c:v>12.735999999999967</c:v>
                </c:pt>
                <c:pt idx="5">
                  <c:v>12.127000000000073</c:v>
                </c:pt>
                <c:pt idx="6">
                  <c:v>5.8879999999999937</c:v>
                </c:pt>
                <c:pt idx="7">
                  <c:v>8.240999999999989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AA-466F-B286-0DF790C37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10528"/>
        <c:axId val="170712064"/>
      </c:barChart>
      <c:catAx>
        <c:axId val="1707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2064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12064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10528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cs-CZ"/>
              <a:t>ROZDÍLY CELKEM = ZTRÁTY v %</a:t>
            </a:r>
          </a:p>
        </c:rich>
      </c:tx>
      <c:layout>
        <c:manualLayout>
          <c:xMode val="edge"/>
          <c:yMode val="edge"/>
          <c:x val="0.20155079452277774"/>
          <c:y val="3.83480825958702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1085271317829467E-2"/>
          <c:y val="0.28908554572271788"/>
          <c:w val="0.89341085271318565"/>
          <c:h val="0.6076696165192071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rgbClr val="92D050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cs-CZ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(Rozdíly!$D$34,Rozdíly!$G$34,Rozdíly!$J$34,Rozdíly!$M$34,Rozdíly!$P$34,Rozdíly!$S$34,Rozdíly!$V$34,Rozdíly!$Y$34)</c:f>
              <c:numCache>
                <c:formatCode>General</c:formatCode>
                <c:ptCount val="8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</c:numCache>
            </c:numRef>
          </c:cat>
          <c:val>
            <c:numRef>
              <c:f>(Rozdíly!$D$33,Rozdíly!$G$33,Rozdíly!$J$33,Rozdíly!$M$33,Rozdíly!$P$33,Rozdíly!$S$33,Rozdíly!$V$33,Rozdíly!$Y$33)</c:f>
              <c:numCache>
                <c:formatCode>0.0%</c:formatCode>
                <c:ptCount val="8"/>
                <c:pt idx="0">
                  <c:v>4.7841809206750269E-2</c:v>
                </c:pt>
                <c:pt idx="1">
                  <c:v>0.16006123744445713</c:v>
                </c:pt>
                <c:pt idx="2">
                  <c:v>-6.7498805790358199E-3</c:v>
                </c:pt>
                <c:pt idx="3">
                  <c:v>2.4247002631836097E-2</c:v>
                </c:pt>
                <c:pt idx="4">
                  <c:v>7.0108994825498011E-2</c:v>
                </c:pt>
                <c:pt idx="5">
                  <c:v>6.3755848798696557E-2</c:v>
                </c:pt>
                <c:pt idx="6">
                  <c:v>3.4300361179074874E-2</c:v>
                </c:pt>
                <c:pt idx="7">
                  <c:v>4.544000882223196E-2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64-4997-B1B9-45572CC33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70756736"/>
        <c:axId val="170758528"/>
      </c:barChart>
      <c:catAx>
        <c:axId val="170756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8528"/>
        <c:crossesAt val="0"/>
        <c:auto val="1"/>
        <c:lblAlgn val="ctr"/>
        <c:lblOffset val="100"/>
        <c:tickLblSkip val="1"/>
        <c:tickMarkSkip val="1"/>
        <c:noMultiLvlLbl val="0"/>
      </c:catAx>
      <c:valAx>
        <c:axId val="170758528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numFmt formatCode="0.0%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0756736"/>
        <c:crossesAt val="1"/>
        <c:crossBetween val="between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 alignWithMargins="0"/>
    <c:pageMargins b="0.98425196899999956" l="0.78740157499999996" r="0.78740157499999996" t="0.98425196899999956" header="0.51180555555555562" footer="0.51180555555555562"/>
    <c:pageSetup firstPageNumber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Leden</c:v>
          </c:tx>
          <c:spPr>
            <a:solidFill>
              <a:schemeClr val="tx2"/>
            </a:solidFill>
          </c:spPr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'Teplo-Paty'!$C$6:$C$27</c:f>
              <c:numCache>
                <c:formatCode>0.000</c:formatCode>
                <c:ptCount val="7"/>
                <c:pt idx="0">
                  <c:v>134.18181818181836</c:v>
                </c:pt>
                <c:pt idx="1">
                  <c:v>80.174999999999983</c:v>
                </c:pt>
                <c:pt idx="2">
                  <c:v>162.66666666666652</c:v>
                </c:pt>
                <c:pt idx="3">
                  <c:v>157.54901960784306</c:v>
                </c:pt>
                <c:pt idx="4">
                  <c:v>151.65178571428584</c:v>
                </c:pt>
                <c:pt idx="5">
                  <c:v>159.84999999999985</c:v>
                </c:pt>
                <c:pt idx="6">
                  <c:v>158.3251231527093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5-41F7-BAEA-9226FDD923CC}"/>
            </c:ext>
          </c:extLst>
        </c:ser>
        <c:ser>
          <c:idx val="0"/>
          <c:order val="1"/>
          <c:tx>
            <c:v>Únor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'Teplo-Paty'!$D$6:$D$27</c:f>
              <c:numCache>
                <c:formatCode>0.000</c:formatCode>
                <c:ptCount val="7"/>
                <c:pt idx="0">
                  <c:v>124.55696202531628</c:v>
                </c:pt>
                <c:pt idx="1">
                  <c:v>80.776523702031582</c:v>
                </c:pt>
                <c:pt idx="2">
                  <c:v>164.88397790055234</c:v>
                </c:pt>
                <c:pt idx="3">
                  <c:v>150.68421052631575</c:v>
                </c:pt>
                <c:pt idx="4">
                  <c:v>150.64039408866958</c:v>
                </c:pt>
                <c:pt idx="5">
                  <c:v>159.01734104046236</c:v>
                </c:pt>
                <c:pt idx="6">
                  <c:v>159.02857142857167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5-41F7-BAEA-9226FDD923CC}"/>
            </c:ext>
          </c:extLst>
        </c:ser>
        <c:ser>
          <c:idx val="2"/>
          <c:order val="2"/>
          <c:tx>
            <c:v>Březen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'Teplo-Paty'!$E$6:$E$27</c:f>
              <c:numCache>
                <c:formatCode>0.000</c:formatCode>
                <c:ptCount val="7"/>
                <c:pt idx="0">
                  <c:v>131.11363636363629</c:v>
                </c:pt>
                <c:pt idx="1">
                  <c:v>91.645161290322832</c:v>
                </c:pt>
                <c:pt idx="2">
                  <c:v>155.41463414634174</c:v>
                </c:pt>
                <c:pt idx="3">
                  <c:v>154.67532467532499</c:v>
                </c:pt>
                <c:pt idx="4">
                  <c:v>153.92638036809836</c:v>
                </c:pt>
                <c:pt idx="5">
                  <c:v>161.05263157894791</c:v>
                </c:pt>
                <c:pt idx="6">
                  <c:v>149.24999999999997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5-41F7-BAEA-9226FDD923CC}"/>
            </c:ext>
          </c:extLst>
        </c:ser>
        <c:ser>
          <c:idx val="3"/>
          <c:order val="3"/>
          <c:tx>
            <c:v>Duben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'Teplo-Paty'!$F$6:$F$27</c:f>
              <c:numCache>
                <c:formatCode>0.000</c:formatCode>
                <c:ptCount val="7"/>
                <c:pt idx="0">
                  <c:v>117.14754098360652</c:v>
                </c:pt>
                <c:pt idx="1">
                  <c:v>93.796874999999432</c:v>
                </c:pt>
                <c:pt idx="2">
                  <c:v>168.89719626168164</c:v>
                </c:pt>
                <c:pt idx="3">
                  <c:v>148.42105263157859</c:v>
                </c:pt>
                <c:pt idx="4">
                  <c:v>143.68852459016369</c:v>
                </c:pt>
                <c:pt idx="5">
                  <c:v>173.0120481927699</c:v>
                </c:pt>
                <c:pt idx="6">
                  <c:v>141.70940170940204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5-41F7-BAEA-9226FDD923CC}"/>
            </c:ext>
          </c:extLst>
        </c:ser>
        <c:ser>
          <c:idx val="4"/>
          <c:order val="4"/>
          <c:tx>
            <c:v>Květen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'Teplo-Paty'!$G$6:$G$27</c:f>
              <c:numCache>
                <c:formatCode>0.000</c:formatCode>
                <c:ptCount val="7"/>
                <c:pt idx="0">
                  <c:v>88.744186046511828</c:v>
                </c:pt>
                <c:pt idx="1">
                  <c:v>50.71096345514961</c:v>
                </c:pt>
                <c:pt idx="2">
                  <c:v>131.74468085106375</c:v>
                </c:pt>
                <c:pt idx="3">
                  <c:v>97.692307692308034</c:v>
                </c:pt>
                <c:pt idx="4">
                  <c:v>150.62500000000156</c:v>
                </c:pt>
                <c:pt idx="5">
                  <c:v>149.09090909091131</c:v>
                </c:pt>
                <c:pt idx="6">
                  <c:v>115.49999999999727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35-41F7-BAEA-9226FDD923CC}"/>
            </c:ext>
          </c:extLst>
        </c:ser>
        <c:ser>
          <c:idx val="5"/>
          <c:order val="5"/>
          <c:tx>
            <c:v>Červen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'Teplo-Paty'!$H$6:$H$27</c:f>
              <c:numCache>
                <c:formatCode>0.000</c:formatCode>
                <c:ptCount val="7"/>
                <c:pt idx="0">
                  <c:v>90.620689655174672</c:v>
                </c:pt>
                <c:pt idx="1">
                  <c:v>39.692307692307665</c:v>
                </c:pt>
                <c:pt idx="2">
                  <c:v>123.27272727272987</c:v>
                </c:pt>
                <c:pt idx="3">
                  <c:v>72.931034482758932</c:v>
                </c:pt>
                <c:pt idx="4">
                  <c:v>138.74999999999696</c:v>
                </c:pt>
                <c:pt idx="5">
                  <c:v>144.16666666666345</c:v>
                </c:pt>
                <c:pt idx="6">
                  <c:v>99.259259259261611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B35-41F7-BAEA-9226FDD923CC}"/>
            </c:ext>
          </c:extLst>
        </c:ser>
        <c:ser>
          <c:idx val="6"/>
          <c:order val="6"/>
          <c:tx>
            <c:v>Červenec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'Teplo-Paty'!$I$6:$I$27</c:f>
              <c:numCache>
                <c:formatCode>0.000</c:formatCode>
                <c:ptCount val="7"/>
                <c:pt idx="0">
                  <c:v>74.400000000000546</c:v>
                </c:pt>
                <c:pt idx="1">
                  <c:v>29.097744360902716</c:v>
                </c:pt>
                <c:pt idx="2">
                  <c:v>109.80000000000246</c:v>
                </c:pt>
                <c:pt idx="3">
                  <c:v>67.804878048779827</c:v>
                </c:pt>
                <c:pt idx="4">
                  <c:v>130.00000000000304</c:v>
                </c:pt>
                <c:pt idx="5">
                  <c:v>135.33333333333911</c:v>
                </c:pt>
                <c:pt idx="6">
                  <c:v>95.624999999998295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B35-41F7-BAEA-9226FDD923CC}"/>
            </c:ext>
          </c:extLst>
        </c:ser>
        <c:ser>
          <c:idx val="7"/>
          <c:order val="7"/>
          <c:tx>
            <c:v>Srpen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'Teplo-Paty'!$J$6:$J$27</c:f>
              <c:numCache>
                <c:formatCode>0.000</c:formatCode>
                <c:ptCount val="7"/>
                <c:pt idx="0">
                  <c:v>81.999999999999986</c:v>
                </c:pt>
                <c:pt idx="1">
                  <c:v>23.797101449275363</c:v>
                </c:pt>
                <c:pt idx="2">
                  <c:v>111.36363636363637</c:v>
                </c:pt>
                <c:pt idx="3">
                  <c:v>67.692307692307338</c:v>
                </c:pt>
                <c:pt idx="4">
                  <c:v>130.00000000000145</c:v>
                </c:pt>
                <c:pt idx="5">
                  <c:v>134.44444444444218</c:v>
                </c:pt>
                <c:pt idx="6">
                  <c:v>92.000000000001592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B35-41F7-BAEA-9226FDD923CC}"/>
            </c:ext>
          </c:extLst>
        </c:ser>
        <c:ser>
          <c:idx val="8"/>
          <c:order val="8"/>
          <c:tx>
            <c:v>Září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'Teplo-Paty'!$K$6:$K$27</c:f>
              <c:numCache>
                <c:formatCode>0.000</c:formatCode>
                <c:ptCount val="7"/>
                <c:pt idx="0">
                  <c:v>92.727272727272734</c:v>
                </c:pt>
                <c:pt idx="1">
                  <c:v>24.632768361581924</c:v>
                </c:pt>
                <c:pt idx="2">
                  <c:v>119.00000000000001</c:v>
                </c:pt>
                <c:pt idx="3">
                  <c:v>76.046511627906554</c:v>
                </c:pt>
                <c:pt idx="4">
                  <c:v>135.23809523809678</c:v>
                </c:pt>
                <c:pt idx="5">
                  <c:v>148.88888888888991</c:v>
                </c:pt>
                <c:pt idx="6">
                  <c:v>106.7857142857146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B35-41F7-BAEA-9226FDD923CC}"/>
            </c:ext>
          </c:extLst>
        </c:ser>
        <c:ser>
          <c:idx val="9"/>
          <c:order val="9"/>
          <c:tx>
            <c:v>Říjen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'Teplo-Paty'!$L$6:$L$27</c:f>
              <c:numCache>
                <c:formatCode>0.000</c:formatCode>
                <c:ptCount val="7"/>
                <c:pt idx="0">
                  <c:v>98.939393939393952</c:v>
                </c:pt>
                <c:pt idx="1">
                  <c:v>30.181679824978598</c:v>
                </c:pt>
                <c:pt idx="2">
                  <c:v>133.55140186915887</c:v>
                </c:pt>
                <c:pt idx="3">
                  <c:v>112.6229508196722</c:v>
                </c:pt>
                <c:pt idx="4">
                  <c:v>117.68115942028827</c:v>
                </c:pt>
                <c:pt idx="5">
                  <c:v>156.71232876712403</c:v>
                </c:pt>
                <c:pt idx="6">
                  <c:v>127.96610169491449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B35-41F7-BAEA-9226FDD923CC}"/>
            </c:ext>
          </c:extLst>
        </c:ser>
        <c:ser>
          <c:idx val="10"/>
          <c:order val="10"/>
          <c:tx>
            <c:v>Listopad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'Teplo-Paty'!$M$6:$M$27</c:f>
              <c:numCache>
                <c:formatCode>0.000</c:formatCode>
                <c:ptCount val="7"/>
                <c:pt idx="0">
                  <c:v>126.68449197860961</c:v>
                </c:pt>
                <c:pt idx="1">
                  <c:v>43.939174511223747</c:v>
                </c:pt>
                <c:pt idx="2">
                  <c:v>151.37286112216472</c:v>
                </c:pt>
                <c:pt idx="3">
                  <c:v>145.19230769230754</c:v>
                </c:pt>
                <c:pt idx="4">
                  <c:v>136.15098351940438</c:v>
                </c:pt>
                <c:pt idx="5">
                  <c:v>158.75169606512915</c:v>
                </c:pt>
                <c:pt idx="6">
                  <c:v>142.824858757062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B35-41F7-BAEA-9226FDD923CC}"/>
            </c:ext>
          </c:extLst>
        </c:ser>
        <c:ser>
          <c:idx val="11"/>
          <c:order val="11"/>
          <c:tx>
            <c:v>Prosinec</c:v>
          </c:tx>
          <c:invertIfNegative val="0"/>
          <c:cat>
            <c:numRef>
              <c:f>'Teplo-Paty'!$A$6:$A$27</c:f>
              <c:numCache>
                <c:formatCode>General</c:formatCode>
                <c:ptCount val="7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1854</c:v>
                </c:pt>
                <c:pt idx="4">
                  <c:v>1855</c:v>
                </c:pt>
                <c:pt idx="5">
                  <c:v>1856</c:v>
                </c:pt>
                <c:pt idx="6">
                  <c:v>1857</c:v>
                </c:pt>
              </c:numCache>
            </c:numRef>
          </c:cat>
          <c:val>
            <c:numRef>
              <c:f>'Teplo-Paty'!$N$6:$N$27</c:f>
              <c:numCache>
                <c:formatCode>0.000</c:formatCode>
                <c:ptCount val="7"/>
                <c:pt idx="0">
                  <c:v>124.1635687732342</c:v>
                </c:pt>
                <c:pt idx="1">
                  <c:v>54.761904761904759</c:v>
                </c:pt>
                <c:pt idx="2">
                  <c:v>159.82142857142856</c:v>
                </c:pt>
                <c:pt idx="3">
                  <c:v>149.3333333333334</c:v>
                </c:pt>
                <c:pt idx="4">
                  <c:v>148.74945151382249</c:v>
                </c:pt>
                <c:pt idx="5">
                  <c:v>164.0295358649787</c:v>
                </c:pt>
                <c:pt idx="6">
                  <c:v>145.31645569620278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B35-41F7-BAEA-9226FDD92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73664"/>
        <c:axId val="174275200"/>
      </c:barChart>
      <c:catAx>
        <c:axId val="174273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5200"/>
        <c:crosses val="autoZero"/>
        <c:auto val="1"/>
        <c:lblAlgn val="ctr"/>
        <c:lblOffset val="100"/>
        <c:noMultiLvlLbl val="0"/>
      </c:catAx>
      <c:valAx>
        <c:axId val="174275200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27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6212283149"/>
          <c:y val="5.2192758993361184E-2"/>
          <c:w val="7.7368545379180989E-2"/>
          <c:h val="0.81545429983016826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826115239831933E-2"/>
          <c:y val="3.4477512344855202E-2"/>
          <c:w val="0.84771471885062233"/>
          <c:h val="0.8046136393967775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spPr>
            <a:solidFill>
              <a:schemeClr val="tx2"/>
            </a:solidFill>
          </c:spPr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('Voda-Paty'!$C$4:$C$11,'Voda-Paty'!$C$14)</c:f>
              <c:numCache>
                <c:formatCode>#\ ##0.0</c:formatCode>
                <c:ptCount val="9"/>
                <c:pt idx="0">
                  <c:v>60.099999999999909</c:v>
                </c:pt>
                <c:pt idx="1">
                  <c:v>92.599999999999909</c:v>
                </c:pt>
                <c:pt idx="2">
                  <c:v>95.600000000000364</c:v>
                </c:pt>
                <c:pt idx="3">
                  <c:v>70</c:v>
                </c:pt>
                <c:pt idx="4">
                  <c:v>64.200000000000273</c:v>
                </c:pt>
                <c:pt idx="5">
                  <c:v>74</c:v>
                </c:pt>
                <c:pt idx="6">
                  <c:v>87.699999999999818</c:v>
                </c:pt>
                <c:pt idx="7">
                  <c:v>74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A-4C20-B3B9-E83C105E3A3B}"/>
            </c:ext>
          </c:extLst>
        </c:ser>
        <c:ser>
          <c:idx val="0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('Voda-Paty'!$D$4:$D$11,'Voda-Paty'!$D$14)</c:f>
              <c:numCache>
                <c:formatCode>#\ ##0.0</c:formatCode>
                <c:ptCount val="9"/>
                <c:pt idx="0">
                  <c:v>58.599999999999909</c:v>
                </c:pt>
                <c:pt idx="1">
                  <c:v>76.299999999999727</c:v>
                </c:pt>
                <c:pt idx="2">
                  <c:v>86.5</c:v>
                </c:pt>
                <c:pt idx="3">
                  <c:v>62.300000000000182</c:v>
                </c:pt>
                <c:pt idx="4">
                  <c:v>56.5</c:v>
                </c:pt>
                <c:pt idx="5">
                  <c:v>65.100000000000364</c:v>
                </c:pt>
                <c:pt idx="6">
                  <c:v>71.599999999999909</c:v>
                </c:pt>
                <c:pt idx="7">
                  <c:v>60.300000000000182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A-4C20-B3B9-E83C105E3A3B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('Voda-Paty'!$E$4:$E$11,'Voda-Paty'!$E$14)</c:f>
              <c:numCache>
                <c:formatCode>#\ ##0.0</c:formatCode>
                <c:ptCount val="9"/>
                <c:pt idx="0">
                  <c:v>65.200000000000273</c:v>
                </c:pt>
                <c:pt idx="1">
                  <c:v>91.800000000000182</c:v>
                </c:pt>
                <c:pt idx="2">
                  <c:v>91.899999999999636</c:v>
                </c:pt>
                <c:pt idx="3">
                  <c:v>73.799999999999727</c:v>
                </c:pt>
                <c:pt idx="4">
                  <c:v>60.699999999999818</c:v>
                </c:pt>
                <c:pt idx="5">
                  <c:v>74.399999999999636</c:v>
                </c:pt>
                <c:pt idx="6">
                  <c:v>78.100000000000364</c:v>
                </c:pt>
                <c:pt idx="7">
                  <c:v>72.699999999999818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A-4C20-B3B9-E83C105E3A3B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('Voda-Paty'!$F$4:$F$11,'Voda-Paty'!$F$14)</c:f>
              <c:numCache>
                <c:formatCode>#\ ##0.0</c:formatCode>
                <c:ptCount val="9"/>
                <c:pt idx="0">
                  <c:v>58.299999999999727</c:v>
                </c:pt>
                <c:pt idx="1">
                  <c:v>91.600000000000364</c:v>
                </c:pt>
                <c:pt idx="2">
                  <c:v>87</c:v>
                </c:pt>
                <c:pt idx="3">
                  <c:v>74</c:v>
                </c:pt>
                <c:pt idx="4">
                  <c:v>57.800000000000182</c:v>
                </c:pt>
                <c:pt idx="5">
                  <c:v>73.900000000000091</c:v>
                </c:pt>
                <c:pt idx="6">
                  <c:v>79.099999999999909</c:v>
                </c:pt>
                <c:pt idx="7">
                  <c:v>73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4A-4C20-B3B9-E83C105E3A3B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('Voda-Paty'!$G$4:$G$11,'Voda-Paty'!$G$14)</c:f>
              <c:numCache>
                <c:formatCode>#\ ##0.0</c:formatCode>
                <c:ptCount val="9"/>
                <c:pt idx="0">
                  <c:v>58</c:v>
                </c:pt>
                <c:pt idx="1">
                  <c:v>98.099999999999454</c:v>
                </c:pt>
                <c:pt idx="2">
                  <c:v>90</c:v>
                </c:pt>
                <c:pt idx="3">
                  <c:v>81.37400000000008</c:v>
                </c:pt>
                <c:pt idx="4">
                  <c:v>59</c:v>
                </c:pt>
                <c:pt idx="5">
                  <c:v>70.599999999999909</c:v>
                </c:pt>
                <c:pt idx="6">
                  <c:v>73</c:v>
                </c:pt>
                <c:pt idx="7">
                  <c:v>70.5</c:v>
                </c:pt>
                <c:pt idx="8" formatCode="#\ ##0.000">
                  <c:v>26.125999999999976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4A-4C20-B3B9-E83C105E3A3B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('Voda-Paty'!$H$4:$H$11,'Voda-Paty'!$H$14)</c:f>
              <c:numCache>
                <c:formatCode>#\ ##0.0</c:formatCode>
                <c:ptCount val="9"/>
                <c:pt idx="0">
                  <c:v>64.700000000000273</c:v>
                </c:pt>
                <c:pt idx="1">
                  <c:v>95.699999999999818</c:v>
                </c:pt>
                <c:pt idx="2">
                  <c:v>87.400000000000091</c:v>
                </c:pt>
                <c:pt idx="3">
                  <c:v>77.715000000000146</c:v>
                </c:pt>
                <c:pt idx="4">
                  <c:v>68.199999999999818</c:v>
                </c:pt>
                <c:pt idx="5">
                  <c:v>73.200000000000273</c:v>
                </c:pt>
                <c:pt idx="6">
                  <c:v>81.5</c:v>
                </c:pt>
                <c:pt idx="7">
                  <c:v>77.700000000000273</c:v>
                </c:pt>
                <c:pt idx="8" formatCode="#\ ##0.000">
                  <c:v>30.185000000000002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4A-4C20-B3B9-E83C105E3A3B}"/>
            </c:ext>
          </c:extLst>
        </c:ser>
        <c:ser>
          <c:idx val="10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('Voda-Paty'!$I$4:$I$11,'Voda-Paty'!$I$14)</c:f>
              <c:numCache>
                <c:formatCode>#\ ##0.0</c:formatCode>
                <c:ptCount val="9"/>
                <c:pt idx="0">
                  <c:v>42.299999999999727</c:v>
                </c:pt>
                <c:pt idx="1">
                  <c:v>68.100000000000364</c:v>
                </c:pt>
                <c:pt idx="2">
                  <c:v>64.599999999999909</c:v>
                </c:pt>
                <c:pt idx="3">
                  <c:v>53.103000000000293</c:v>
                </c:pt>
                <c:pt idx="4">
                  <c:v>48.800000000000182</c:v>
                </c:pt>
                <c:pt idx="5">
                  <c:v>56.400000000000091</c:v>
                </c:pt>
                <c:pt idx="6">
                  <c:v>62.400000000000091</c:v>
                </c:pt>
                <c:pt idx="7">
                  <c:v>52.099999999999909</c:v>
                </c:pt>
                <c:pt idx="8" formatCode="#\ ##0.000">
                  <c:v>30.59699999999998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4A-4C20-B3B9-E83C105E3A3B}"/>
            </c:ext>
          </c:extLst>
        </c:ser>
        <c:ser>
          <c:idx val="12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('Voda-Paty'!$J$4:$J$11,'Voda-Paty'!$J$14)</c:f>
              <c:numCache>
                <c:formatCode>#\ ##0.0</c:formatCode>
                <c:ptCount val="9"/>
                <c:pt idx="0">
                  <c:v>58.400000000000091</c:v>
                </c:pt>
                <c:pt idx="1">
                  <c:v>75.600000000000364</c:v>
                </c:pt>
                <c:pt idx="2">
                  <c:v>76.400000000000546</c:v>
                </c:pt>
                <c:pt idx="3">
                  <c:v>66.112999999999829</c:v>
                </c:pt>
                <c:pt idx="4">
                  <c:v>52</c:v>
                </c:pt>
                <c:pt idx="5">
                  <c:v>69.299999999999727</c:v>
                </c:pt>
                <c:pt idx="6">
                  <c:v>71.899999999999636</c:v>
                </c:pt>
                <c:pt idx="7">
                  <c:v>62.599999999999909</c:v>
                </c:pt>
                <c:pt idx="8" formatCode="#\ ##0.000">
                  <c:v>23.98700000000008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C4A-4C20-B3B9-E83C105E3A3B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('Voda-Paty'!$K$4:$K$11,'Voda-Paty'!$K$14)</c:f>
              <c:numCache>
                <c:formatCode>#\ ##0.0</c:formatCode>
                <c:ptCount val="9"/>
                <c:pt idx="0">
                  <c:v>66.199999999999818</c:v>
                </c:pt>
                <c:pt idx="1">
                  <c:v>75.699999999999818</c:v>
                </c:pt>
                <c:pt idx="2">
                  <c:v>87.699999999999818</c:v>
                </c:pt>
                <c:pt idx="3">
                  <c:v>75.182000000000016</c:v>
                </c:pt>
                <c:pt idx="4">
                  <c:v>59.699999999999818</c:v>
                </c:pt>
                <c:pt idx="5">
                  <c:v>70.800000000000182</c:v>
                </c:pt>
                <c:pt idx="6">
                  <c:v>83.300000000000182</c:v>
                </c:pt>
                <c:pt idx="7">
                  <c:v>89</c:v>
                </c:pt>
                <c:pt idx="8" formatCode="#\ ##0.000">
                  <c:v>14.917999999999893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C4A-4C20-B3B9-E83C105E3A3B}"/>
            </c:ext>
          </c:extLst>
        </c:ser>
        <c:ser>
          <c:idx val="6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('Voda-Paty'!$L$4:$L$11,'Voda-Paty'!$L$14)</c:f>
              <c:numCache>
                <c:formatCode>#\ ##0.0</c:formatCode>
                <c:ptCount val="9"/>
                <c:pt idx="0">
                  <c:v>51.600000000000364</c:v>
                </c:pt>
                <c:pt idx="1">
                  <c:v>81.899999999999636</c:v>
                </c:pt>
                <c:pt idx="2">
                  <c:v>98.5</c:v>
                </c:pt>
                <c:pt idx="3">
                  <c:v>71.680000000000291</c:v>
                </c:pt>
                <c:pt idx="4">
                  <c:v>46.199999999999818</c:v>
                </c:pt>
                <c:pt idx="5">
                  <c:v>70</c:v>
                </c:pt>
                <c:pt idx="6">
                  <c:v>84.300000000000182</c:v>
                </c:pt>
                <c:pt idx="7">
                  <c:v>84.300000000000182</c:v>
                </c:pt>
                <c:pt idx="8" formatCode="#\ ##0.000">
                  <c:v>4.9200000000000728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C4A-4C20-B3B9-E83C105E3A3B}"/>
            </c:ext>
          </c:extLst>
        </c:ser>
        <c:ser>
          <c:idx val="7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('Voda-Paty'!$M$4:$M$11,'Voda-Paty'!$M$14)</c:f>
              <c:numCache>
                <c:formatCode>#\ ##0.0</c:formatCode>
                <c:ptCount val="9"/>
                <c:pt idx="0">
                  <c:v>59.199999999999818</c:v>
                </c:pt>
                <c:pt idx="1">
                  <c:v>86.600000000000364</c:v>
                </c:pt>
                <c:pt idx="2">
                  <c:v>91.599999999999454</c:v>
                </c:pt>
                <c:pt idx="3">
                  <c:v>75.104999999999677</c:v>
                </c:pt>
                <c:pt idx="4">
                  <c:v>54.400000000000091</c:v>
                </c:pt>
                <c:pt idx="5">
                  <c:v>73.900000000000091</c:v>
                </c:pt>
                <c:pt idx="6">
                  <c:v>80.5</c:v>
                </c:pt>
                <c:pt idx="7">
                  <c:v>86.699999999999818</c:v>
                </c:pt>
                <c:pt idx="8" formatCode="#\ ##0.000">
                  <c:v>0.29499999999995907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C4A-4C20-B3B9-E83C105E3A3B}"/>
            </c:ext>
          </c:extLst>
        </c:ser>
        <c:ser>
          <c:idx val="9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('Voda-Paty'!$A$4:$A$11,'Voda-Paty'!$A$14)</c:f>
              <c:strCache>
                <c:ptCount val="9"/>
                <c:pt idx="0">
                  <c:v>1850</c:v>
                </c:pt>
                <c:pt idx="1">
                  <c:v>1851</c:v>
                </c:pt>
                <c:pt idx="2">
                  <c:v>1852</c:v>
                </c:pt>
                <c:pt idx="3">
                  <c:v>1853</c:v>
                </c:pt>
                <c:pt idx="4">
                  <c:v>1854</c:v>
                </c:pt>
                <c:pt idx="5">
                  <c:v>1855</c:v>
                </c:pt>
                <c:pt idx="6">
                  <c:v>1856</c:v>
                </c:pt>
                <c:pt idx="7">
                  <c:v>1857</c:v>
                </c:pt>
                <c:pt idx="8">
                  <c:v>Zahrada</c:v>
                </c:pt>
              </c:strCache>
            </c:strRef>
          </c:cat>
          <c:val>
            <c:numRef>
              <c:f>('Voda-Paty'!$N$4:$N$11,'Voda-Paty'!$N$14)</c:f>
              <c:numCache>
                <c:formatCode>#\ ##0.0</c:formatCode>
                <c:ptCount val="9"/>
                <c:pt idx="0">
                  <c:v>61.5</c:v>
                </c:pt>
                <c:pt idx="1">
                  <c:v>96.300000000000182</c:v>
                </c:pt>
                <c:pt idx="2">
                  <c:v>91.400000000000546</c:v>
                </c:pt>
                <c:pt idx="3">
                  <c:v>82.100000000000364</c:v>
                </c:pt>
                <c:pt idx="4">
                  <c:v>53.300000000000182</c:v>
                </c:pt>
                <c:pt idx="5">
                  <c:v>76.5</c:v>
                </c:pt>
                <c:pt idx="6">
                  <c:v>90.5</c:v>
                </c:pt>
                <c:pt idx="7">
                  <c:v>95.400000000000091</c:v>
                </c:pt>
                <c:pt idx="8" formatCode="#\ ##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C4A-4C20-B3B9-E83C105E3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386176"/>
        <c:axId val="174392064"/>
      </c:barChart>
      <c:catAx>
        <c:axId val="17438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92064"/>
        <c:crosses val="autoZero"/>
        <c:auto val="1"/>
        <c:lblAlgn val="ctr"/>
        <c:lblOffset val="100"/>
        <c:noMultiLvlLbl val="0"/>
      </c:catAx>
      <c:valAx>
        <c:axId val="17439206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cs-CZ"/>
          </a:p>
        </c:txPr>
        <c:crossAx val="174386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648703299783307"/>
          <c:y val="1.8294408114239963E-2"/>
          <c:w val="7.6531432377634379E-2"/>
          <c:h val="0.94780724100663849"/>
        </c:manualLayout>
      </c:layout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cs-CZ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cs-CZ"/>
    </a:p>
  </c:txPr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64883235749835"/>
          <c:y val="4.4543622918504513E-2"/>
          <c:w val="0.54653711555285756"/>
          <c:h val="0.879437383605057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'Voda-Paty'!$C$3</c:f>
              <c:strCache>
                <c:ptCount val="1"/>
                <c:pt idx="0">
                  <c:v>leden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'Voda-Paty'!$C$12:$C$13</c:f>
              <c:numCache>
                <c:formatCode>#\ ##0.0</c:formatCode>
                <c:ptCount val="2"/>
                <c:pt idx="0">
                  <c:v>333.20000000000073</c:v>
                </c:pt>
                <c:pt idx="1">
                  <c:v>287.39999999999964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A8-4079-81C9-40D38B82ABBF}"/>
            </c:ext>
          </c:extLst>
        </c:ser>
        <c:ser>
          <c:idx val="1"/>
          <c:order val="1"/>
          <c:tx>
            <c:strRef>
              <c:f>'Voda-Paty'!$D$3</c:f>
              <c:strCache>
                <c:ptCount val="1"/>
                <c:pt idx="0">
                  <c:v>únor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'Voda-Paty'!$D$12:$D$13</c:f>
              <c:numCache>
                <c:formatCode>#\ ##0.0</c:formatCode>
                <c:ptCount val="2"/>
                <c:pt idx="0">
                  <c:v>295.79999999999927</c:v>
                </c:pt>
                <c:pt idx="1">
                  <c:v>244.39999999999964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A8-4079-81C9-40D38B82ABBF}"/>
            </c:ext>
          </c:extLst>
        </c:ser>
        <c:ser>
          <c:idx val="2"/>
          <c:order val="2"/>
          <c:tx>
            <c:strRef>
              <c:f>'Voda-Paty'!$E$3</c:f>
              <c:strCache>
                <c:ptCount val="1"/>
                <c:pt idx="0">
                  <c:v>březen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'Voda-Paty'!$E$12:$E$13</c:f>
              <c:numCache>
                <c:formatCode>#\ ##0.0</c:formatCode>
                <c:ptCount val="2"/>
                <c:pt idx="0">
                  <c:v>337.30000000000291</c:v>
                </c:pt>
                <c:pt idx="1">
                  <c:v>274.39999999999964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A8-4079-81C9-40D38B82ABBF}"/>
            </c:ext>
          </c:extLst>
        </c:ser>
        <c:ser>
          <c:idx val="3"/>
          <c:order val="3"/>
          <c:tx>
            <c:strRef>
              <c:f>'Voda-Paty'!$F$3</c:f>
              <c:strCache>
                <c:ptCount val="1"/>
                <c:pt idx="0">
                  <c:v>duben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'Voda-Paty'!$F$12:$F$13</c:f>
              <c:numCache>
                <c:formatCode>#\ ##0.0</c:formatCode>
                <c:ptCount val="2"/>
                <c:pt idx="0">
                  <c:v>324.79999999999927</c:v>
                </c:pt>
                <c:pt idx="1">
                  <c:v>270.90000000000146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7A8-4079-81C9-40D38B82ABBF}"/>
            </c:ext>
          </c:extLst>
        </c:ser>
        <c:ser>
          <c:idx val="4"/>
          <c:order val="4"/>
          <c:tx>
            <c:strRef>
              <c:f>'Voda-Paty'!$G$3</c:f>
              <c:strCache>
                <c:ptCount val="1"/>
                <c:pt idx="0">
                  <c:v>květen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'Voda-Paty'!$G$12:$G$13</c:f>
              <c:numCache>
                <c:formatCode>#\ ##0.0</c:formatCode>
                <c:ptCount val="2"/>
                <c:pt idx="0">
                  <c:v>360.5</c:v>
                </c:pt>
                <c:pt idx="1">
                  <c:v>262.09999999999854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A8-4079-81C9-40D38B82ABBF}"/>
            </c:ext>
          </c:extLst>
        </c:ser>
        <c:ser>
          <c:idx val="5"/>
          <c:order val="5"/>
          <c:tx>
            <c:strRef>
              <c:f>'Voda-Paty'!$H$3</c:f>
              <c:strCache>
                <c:ptCount val="1"/>
                <c:pt idx="0">
                  <c:v>červen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'Voda-Paty'!$H$12:$H$13</c:f>
              <c:numCache>
                <c:formatCode>#\ ##0.0</c:formatCode>
                <c:ptCount val="2"/>
                <c:pt idx="0">
                  <c:v>366.20000000000073</c:v>
                </c:pt>
                <c:pt idx="1">
                  <c:v>287.20000000000073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A8-4079-81C9-40D38B82ABBF}"/>
            </c:ext>
          </c:extLst>
        </c:ser>
        <c:ser>
          <c:idx val="6"/>
          <c:order val="6"/>
          <c:tx>
            <c:strRef>
              <c:f>'Voda-Paty'!$I$3</c:f>
              <c:strCache>
                <c:ptCount val="1"/>
                <c:pt idx="0">
                  <c:v>červenec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'Voda-Paty'!$I$12:$I$13</c:f>
              <c:numCache>
                <c:formatCode>#\ ##0.0</c:formatCode>
                <c:ptCount val="2"/>
                <c:pt idx="0">
                  <c:v>272.59999999999854</c:v>
                </c:pt>
                <c:pt idx="1">
                  <c:v>210.60000000000036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7A8-4079-81C9-40D38B82ABBF}"/>
            </c:ext>
          </c:extLst>
        </c:ser>
        <c:ser>
          <c:idx val="7"/>
          <c:order val="7"/>
          <c:tx>
            <c:strRef>
              <c:f>'Voda-Paty'!$J$3</c:f>
              <c:strCache>
                <c:ptCount val="1"/>
                <c:pt idx="0">
                  <c:v>srpen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'Voda-Paty'!$J$12:$J$13</c:f>
              <c:numCache>
                <c:formatCode>#\ ##0.0</c:formatCode>
                <c:ptCount val="2"/>
                <c:pt idx="0">
                  <c:v>316.09999999999854</c:v>
                </c:pt>
                <c:pt idx="1">
                  <c:v>244.19999999999891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7A8-4079-81C9-40D38B82ABBF}"/>
            </c:ext>
          </c:extLst>
        </c:ser>
        <c:ser>
          <c:idx val="8"/>
          <c:order val="8"/>
          <c:tx>
            <c:strRef>
              <c:f>'Voda-Paty'!$K$3</c:f>
              <c:strCache>
                <c:ptCount val="1"/>
                <c:pt idx="0">
                  <c:v>září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'Voda-Paty'!$K$12:$K$13</c:f>
              <c:numCache>
                <c:formatCode>#\ ##0.0</c:formatCode>
                <c:ptCount val="2"/>
                <c:pt idx="0">
                  <c:v>324</c:v>
                </c:pt>
                <c:pt idx="1">
                  <c:v>287.80000000000109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7A8-4079-81C9-40D38B82ABBF}"/>
            </c:ext>
          </c:extLst>
        </c:ser>
        <c:ser>
          <c:idx val="9"/>
          <c:order val="9"/>
          <c:tx>
            <c:strRef>
              <c:f>'Voda-Paty'!$L$3</c:f>
              <c:strCache>
                <c:ptCount val="1"/>
                <c:pt idx="0">
                  <c:v>říjen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'Voda-Paty'!$L$12:$L$13</c:f>
              <c:numCache>
                <c:formatCode>#\ ##0.0</c:formatCode>
                <c:ptCount val="2"/>
                <c:pt idx="0">
                  <c:v>332.40000000000146</c:v>
                </c:pt>
                <c:pt idx="1">
                  <c:v>272.89999999999964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7A8-4079-81C9-40D38B82ABBF}"/>
            </c:ext>
          </c:extLst>
        </c:ser>
        <c:ser>
          <c:idx val="10"/>
          <c:order val="10"/>
          <c:tx>
            <c:strRef>
              <c:f>'Voda-Paty'!$M$3</c:f>
              <c:strCache>
                <c:ptCount val="1"/>
                <c:pt idx="0">
                  <c:v>listopad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'Voda-Paty'!$M$12:$M$13</c:f>
              <c:numCache>
                <c:formatCode>#\ ##0.0</c:formatCode>
                <c:ptCount val="2"/>
                <c:pt idx="0">
                  <c:v>325.20000000000073</c:v>
                </c:pt>
                <c:pt idx="1">
                  <c:v>281.10000000000036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7A8-4079-81C9-40D38B82ABBF}"/>
            </c:ext>
          </c:extLst>
        </c:ser>
        <c:ser>
          <c:idx val="11"/>
          <c:order val="11"/>
          <c:tx>
            <c:strRef>
              <c:f>'Voda-Paty'!$N$3</c:f>
              <c:strCache>
                <c:ptCount val="1"/>
                <c:pt idx="0">
                  <c:v>prosinec</c:v>
                </c:pt>
              </c:strCache>
            </c:strRef>
          </c:tx>
          <c:invertIfNegative val="0"/>
          <c:cat>
            <c:strRef>
              <c:f>'Voda-Paty'!$A$12:$A$13</c:f>
              <c:strCache>
                <c:ptCount val="2"/>
                <c:pt idx="0">
                  <c:v>Faktur.1</c:v>
                </c:pt>
                <c:pt idx="1">
                  <c:v>Faktur.2</c:v>
                </c:pt>
              </c:strCache>
            </c:strRef>
          </c:cat>
          <c:val>
            <c:numRef>
              <c:f>'Voda-Paty'!$N$12:$N$13</c:f>
              <c:numCache>
                <c:formatCode>#\ ##0.0</c:formatCode>
                <c:ptCount val="2"/>
                <c:pt idx="0">
                  <c:v>342.79999999999927</c:v>
                </c:pt>
                <c:pt idx="1">
                  <c:v>299.39999999999964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7A8-4079-81C9-40D38B82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435712"/>
        <c:axId val="174453888"/>
      </c:barChart>
      <c:catAx>
        <c:axId val="174435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453888"/>
        <c:crosses val="autoZero"/>
        <c:auto val="1"/>
        <c:lblAlgn val="ctr"/>
        <c:lblOffset val="100"/>
        <c:noMultiLvlLbl val="0"/>
      </c:catAx>
      <c:valAx>
        <c:axId val="174453888"/>
        <c:scaling>
          <c:orientation val="minMax"/>
        </c:scaling>
        <c:delete val="0"/>
        <c:axPos val="l"/>
        <c:majorGridlines/>
        <c:numFmt formatCode="#\ ##0.0" sourceLinked="1"/>
        <c:majorTickMark val="out"/>
        <c:minorTickMark val="none"/>
        <c:tickLblPos val="nextTo"/>
        <c:crossAx val="174435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70000000000000062" r="0.70000000000000062" t="0.7874015749999999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238125</xdr:colOff>
      <xdr:row>26</xdr:row>
      <xdr:rowOff>114300</xdr:rowOff>
    </xdr:from>
    <xdr:to>
      <xdr:col>45</xdr:col>
      <xdr:colOff>352425</xdr:colOff>
      <xdr:row>43</xdr:row>
      <xdr:rowOff>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85725</xdr:colOff>
      <xdr:row>26</xdr:row>
      <xdr:rowOff>114300</xdr:rowOff>
    </xdr:from>
    <xdr:to>
      <xdr:col>56</xdr:col>
      <xdr:colOff>266700</xdr:colOff>
      <xdr:row>42</xdr:row>
      <xdr:rowOff>190500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49</xdr:col>
      <xdr:colOff>161925</xdr:colOff>
      <xdr:row>43</xdr:row>
      <xdr:rowOff>180975</xdr:rowOff>
    </xdr:from>
    <xdr:to>
      <xdr:col>56</xdr:col>
      <xdr:colOff>438150</xdr:colOff>
      <xdr:row>52</xdr:row>
      <xdr:rowOff>104775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49</xdr:col>
      <xdr:colOff>171450</xdr:colOff>
      <xdr:row>53</xdr:row>
      <xdr:rowOff>9525</xdr:rowOff>
    </xdr:from>
    <xdr:to>
      <xdr:col>56</xdr:col>
      <xdr:colOff>457200</xdr:colOff>
      <xdr:row>61</xdr:row>
      <xdr:rowOff>171450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352425</xdr:colOff>
      <xdr:row>27</xdr:row>
      <xdr:rowOff>104775</xdr:rowOff>
    </xdr:from>
    <xdr:to>
      <xdr:col>19</xdr:col>
      <xdr:colOff>523875</xdr:colOff>
      <xdr:row>27</xdr:row>
      <xdr:rowOff>104776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 bwMode="auto">
        <a:xfrm flipV="1">
          <a:off x="12715875" y="53530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  <xdr:twoCellAnchor>
    <xdr:from>
      <xdr:col>17</xdr:col>
      <xdr:colOff>352425</xdr:colOff>
      <xdr:row>26</xdr:row>
      <xdr:rowOff>104775</xdr:rowOff>
    </xdr:from>
    <xdr:to>
      <xdr:col>19</xdr:col>
      <xdr:colOff>523875</xdr:colOff>
      <xdr:row>26</xdr:row>
      <xdr:rowOff>104776</xdr:rowOff>
    </xdr:to>
    <xdr:cxnSp macro="">
      <xdr:nvCxnSpPr>
        <xdr:cNvPr id="8" name="Přímá spojovací šipka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 bwMode="auto">
        <a:xfrm flipV="1">
          <a:off x="12715875" y="5162550"/>
          <a:ext cx="1019175" cy="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22151" name="Chart 1">
          <a:extLst>
            <a:ext uri="{FF2B5EF4-FFF2-40B4-BE49-F238E27FC236}">
              <a16:creationId xmlns:a16="http://schemas.microsoft.com/office/drawing/2014/main" id="{00000000-0008-0000-1400-000087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22152" name="Chart 2">
          <a:extLst>
            <a:ext uri="{FF2B5EF4-FFF2-40B4-BE49-F238E27FC236}">
              <a16:creationId xmlns:a16="http://schemas.microsoft.com/office/drawing/2014/main" id="{00000000-0008-0000-1400-00008856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200025</xdr:colOff>
      <xdr:row>35</xdr:row>
      <xdr:rowOff>9525</xdr:rowOff>
    </xdr:from>
    <xdr:to>
      <xdr:col>10</xdr:col>
      <xdr:colOff>561975</xdr:colOff>
      <xdr:row>52</xdr:row>
      <xdr:rowOff>0</xdr:rowOff>
    </xdr:to>
    <xdr:graphicFrame macro="">
      <xdr:nvGraphicFramePr>
        <xdr:cNvPr id="1744909" name="Chart 1">
          <a:extLst>
            <a:ext uri="{FF2B5EF4-FFF2-40B4-BE49-F238E27FC236}">
              <a16:creationId xmlns:a16="http://schemas.microsoft.com/office/drawing/2014/main" id="{00000000-0008-0000-1500-00000D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438150</xdr:colOff>
      <xdr:row>35</xdr:row>
      <xdr:rowOff>0</xdr:rowOff>
    </xdr:from>
    <xdr:to>
      <xdr:col>22</xdr:col>
      <xdr:colOff>171450</xdr:colOff>
      <xdr:row>51</xdr:row>
      <xdr:rowOff>180975</xdr:rowOff>
    </xdr:to>
    <xdr:graphicFrame macro="">
      <xdr:nvGraphicFramePr>
        <xdr:cNvPr id="1744910" name="Chart 2">
          <a:extLst>
            <a:ext uri="{FF2B5EF4-FFF2-40B4-BE49-F238E27FC236}">
              <a16:creationId xmlns:a16="http://schemas.microsoft.com/office/drawing/2014/main" id="{00000000-0008-0000-1500-00000E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200025</xdr:colOff>
      <xdr:row>35</xdr:row>
      <xdr:rowOff>38100</xdr:rowOff>
    </xdr:from>
    <xdr:to>
      <xdr:col>10</xdr:col>
      <xdr:colOff>561975</xdr:colOff>
      <xdr:row>52</xdr:row>
      <xdr:rowOff>38100</xdr:rowOff>
    </xdr:to>
    <xdr:graphicFrame macro="">
      <xdr:nvGraphicFramePr>
        <xdr:cNvPr id="1744911" name="Chart 1">
          <a:extLst>
            <a:ext uri="{FF2B5EF4-FFF2-40B4-BE49-F238E27FC236}">
              <a16:creationId xmlns:a16="http://schemas.microsoft.com/office/drawing/2014/main" id="{00000000-0008-0000-1500-00000F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438150</xdr:colOff>
      <xdr:row>35</xdr:row>
      <xdr:rowOff>28575</xdr:rowOff>
    </xdr:from>
    <xdr:to>
      <xdr:col>22</xdr:col>
      <xdr:colOff>171450</xdr:colOff>
      <xdr:row>52</xdr:row>
      <xdr:rowOff>19050</xdr:rowOff>
    </xdr:to>
    <xdr:graphicFrame macro="">
      <xdr:nvGraphicFramePr>
        <xdr:cNvPr id="1744912" name="Chart 2">
          <a:extLst>
            <a:ext uri="{FF2B5EF4-FFF2-40B4-BE49-F238E27FC236}">
              <a16:creationId xmlns:a16="http://schemas.microsoft.com/office/drawing/2014/main" id="{00000000-0008-0000-1500-000010A01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0.07286</cdr:x>
      <cdr:y>0.89434</cdr:y>
    </cdr:from>
    <cdr:to>
      <cdr:x>0.07286</cdr:x>
      <cdr:y>0.89434</cdr:y>
    </cdr:to>
    <cdr:sp macro="" textlink="">
      <cdr:nvSpPr>
        <cdr:cNvPr id="2457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4739" y="2908002"/>
          <a:ext cx="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1">
          <a:noFill/>
          <a:miter lim="800000"/>
          <a:headEnd/>
          <a:tailEnd type="none" w="med" len="med"/>
        </a:ln>
        <a:effectLst xmlns:a="http://schemas.openxmlformats.org/drawingml/2006/main"/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endParaRPr lang="cs-CZ"/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14</xdr:row>
      <xdr:rowOff>133350</xdr:rowOff>
    </xdr:from>
    <xdr:to>
      <xdr:col>3</xdr:col>
      <xdr:colOff>828675</xdr:colOff>
      <xdr:row>14</xdr:row>
      <xdr:rowOff>134938</xdr:rowOff>
    </xdr:to>
    <xdr:cxnSp macro="">
      <xdr:nvCxnSpPr>
        <xdr:cNvPr id="3" name="Přímá spojovací šipka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CxnSpPr/>
      </xdr:nvCxnSpPr>
      <xdr:spPr bwMode="auto">
        <a:xfrm>
          <a:off x="4229100" y="3343275"/>
          <a:ext cx="771525" cy="1588"/>
        </a:xfrm>
        <a:prstGeom prst="straightConnector1">
          <a:avLst/>
        </a:prstGeom>
        <a:solidFill>
          <a:srgbClr val="FFFFFF"/>
        </a:solidFill>
        <a:ln w="25400" cap="flat" cmpd="sng" algn="ctr">
          <a:solidFill>
            <a:srgbClr val="000000"/>
          </a:solidFill>
          <a:prstDash val="solid"/>
          <a:round/>
          <a:headEnd type="none" w="med" len="med"/>
          <a:tailEnd type="arrow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27</xdr:row>
      <xdr:rowOff>114300</xdr:rowOff>
    </xdr:from>
    <xdr:to>
      <xdr:col>14</xdr:col>
      <xdr:colOff>19050</xdr:colOff>
      <xdr:row>41</xdr:row>
      <xdr:rowOff>38100</xdr:rowOff>
    </xdr:to>
    <xdr:graphicFrame macro="">
      <xdr:nvGraphicFramePr>
        <xdr:cNvPr id="1630229" name="Graf 1">
          <a:extLst>
            <a:ext uri="{FF2B5EF4-FFF2-40B4-BE49-F238E27FC236}">
              <a16:creationId xmlns:a16="http://schemas.microsoft.com/office/drawing/2014/main" id="{00000000-0008-0000-1800-000015E01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14</xdr:row>
      <xdr:rowOff>95250</xdr:rowOff>
    </xdr:from>
    <xdr:to>
      <xdr:col>15</xdr:col>
      <xdr:colOff>19050</xdr:colOff>
      <xdr:row>26</xdr:row>
      <xdr:rowOff>57150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228600</xdr:colOff>
      <xdr:row>3</xdr:row>
      <xdr:rowOff>104775</xdr:rowOff>
    </xdr:from>
    <xdr:to>
      <xdr:col>20</xdr:col>
      <xdr:colOff>152400</xdr:colOff>
      <xdr:row>25</xdr:row>
      <xdr:rowOff>9525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1"/>
  <sheetViews>
    <sheetView workbookViewId="0">
      <selection activeCell="R2" sqref="R2:R3"/>
    </sheetView>
  </sheetViews>
  <sheetFormatPr defaultRowHeight="14.5" x14ac:dyDescent="0.35"/>
  <cols>
    <col min="1" max="1" width="8.54296875" style="1" customWidth="1"/>
    <col min="2" max="2" width="26.1796875" customWidth="1"/>
    <col min="3" max="3" width="11" bestFit="1" customWidth="1"/>
    <col min="4" max="15" width="10.1796875" customWidth="1"/>
    <col min="16" max="16" width="12.26953125" bestFit="1" customWidth="1"/>
    <col min="17" max="17" width="10" bestFit="1" customWidth="1"/>
    <col min="18" max="18" width="9.453125" bestFit="1" customWidth="1"/>
    <col min="19" max="19" width="3.26953125" customWidth="1"/>
  </cols>
  <sheetData>
    <row r="1" spans="1:32" ht="15" thickBot="1" x14ac:dyDescent="0.4"/>
    <row r="2" spans="1:32" s="1" customFormat="1" ht="21" customHeight="1" thickBot="1" x14ac:dyDescent="0.55000000000000004">
      <c r="A2" s="114">
        <v>1850</v>
      </c>
      <c r="B2" s="2"/>
      <c r="C2" s="3">
        <v>44927</v>
      </c>
      <c r="D2" s="3">
        <v>44958</v>
      </c>
      <c r="E2" s="3">
        <v>44986</v>
      </c>
      <c r="F2" s="3">
        <v>45017</v>
      </c>
      <c r="G2" s="3">
        <v>45047</v>
      </c>
      <c r="H2" s="3">
        <v>45078</v>
      </c>
      <c r="I2" s="3">
        <v>45111</v>
      </c>
      <c r="J2" s="3">
        <v>45139</v>
      </c>
      <c r="K2" s="3">
        <v>45170</v>
      </c>
      <c r="L2" s="3">
        <v>45201</v>
      </c>
      <c r="M2" s="3">
        <v>45231</v>
      </c>
      <c r="N2" s="3">
        <v>45261</v>
      </c>
      <c r="O2" s="3">
        <v>45292</v>
      </c>
      <c r="P2" s="1" t="s">
        <v>0</v>
      </c>
      <c r="Q2" s="1" t="s">
        <v>1</v>
      </c>
      <c r="R2" s="1" t="s">
        <v>29</v>
      </c>
      <c r="U2" s="144"/>
      <c r="V2" s="145"/>
      <c r="W2" s="145"/>
      <c r="X2" s="145"/>
      <c r="Y2" s="145" t="s">
        <v>213</v>
      </c>
      <c r="Z2" s="145"/>
      <c r="AA2" s="145"/>
      <c r="AB2" s="145"/>
      <c r="AC2" s="145"/>
      <c r="AD2" s="145"/>
      <c r="AE2" s="145"/>
      <c r="AF2" s="149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96</v>
      </c>
      <c r="Q3" s="1" t="s">
        <v>95</v>
      </c>
      <c r="R3" s="1" t="s">
        <v>97</v>
      </c>
      <c r="T3" s="1" t="s">
        <v>212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79">
        <v>1</v>
      </c>
      <c r="B4" s="6" t="s">
        <v>121</v>
      </c>
      <c r="C4" s="7">
        <v>39.226999999999997</v>
      </c>
      <c r="D4" s="7">
        <v>40.222999999999999</v>
      </c>
      <c r="E4" s="7">
        <v>40.773000000000003</v>
      </c>
      <c r="F4" s="7">
        <v>41.701999999999998</v>
      </c>
      <c r="G4" s="7">
        <v>43.002000000000002</v>
      </c>
      <c r="H4" s="7">
        <v>44.231999999999999</v>
      </c>
      <c r="I4" s="7">
        <v>45.192</v>
      </c>
      <c r="J4" s="7">
        <v>45.843000000000004</v>
      </c>
      <c r="K4" s="7">
        <v>46.564</v>
      </c>
      <c r="L4" s="8">
        <v>47.082000000000001</v>
      </c>
      <c r="M4" s="7">
        <v>48.091000000000001</v>
      </c>
      <c r="N4" s="7">
        <v>48.753</v>
      </c>
      <c r="O4" s="7">
        <v>49.332000000000001</v>
      </c>
      <c r="P4" s="9">
        <f>O4-C4</f>
        <v>10.105000000000004</v>
      </c>
      <c r="T4" s="1">
        <v>1</v>
      </c>
      <c r="U4" s="146">
        <f t="shared" ref="U4:AF4" si="0">D4-C4</f>
        <v>0.99600000000000222</v>
      </c>
      <c r="V4" s="146">
        <f t="shared" si="0"/>
        <v>0.55000000000000426</v>
      </c>
      <c r="W4" s="146">
        <f t="shared" si="0"/>
        <v>0.92899999999999494</v>
      </c>
      <c r="X4" s="146">
        <f t="shared" si="0"/>
        <v>1.3000000000000043</v>
      </c>
      <c r="Y4" s="146">
        <f t="shared" si="0"/>
        <v>1.2299999999999969</v>
      </c>
      <c r="Z4" s="146">
        <f t="shared" si="0"/>
        <v>0.96000000000000085</v>
      </c>
      <c r="AA4" s="146">
        <f t="shared" si="0"/>
        <v>0.65100000000000335</v>
      </c>
      <c r="AB4" s="146">
        <f t="shared" si="0"/>
        <v>0.72099999999999653</v>
      </c>
      <c r="AC4" s="146">
        <f t="shared" si="0"/>
        <v>0.51800000000000068</v>
      </c>
      <c r="AD4" s="146">
        <f t="shared" si="0"/>
        <v>1.0090000000000003</v>
      </c>
      <c r="AE4" s="146">
        <f t="shared" si="0"/>
        <v>0.66199999999999903</v>
      </c>
      <c r="AF4" s="146">
        <f t="shared" si="0"/>
        <v>0.57900000000000063</v>
      </c>
    </row>
    <row r="5" spans="1:32" x14ac:dyDescent="0.35">
      <c r="A5" s="279"/>
      <c r="B5" s="10" t="s">
        <v>323</v>
      </c>
      <c r="C5" s="11">
        <v>22.65</v>
      </c>
      <c r="D5" s="11">
        <v>27.015999999999998</v>
      </c>
      <c r="E5" s="11">
        <v>30.763999999999999</v>
      </c>
      <c r="F5" s="11">
        <v>33.454000000000001</v>
      </c>
      <c r="G5" s="11">
        <v>35.817999999999998</v>
      </c>
      <c r="H5" s="11">
        <v>36.097999999999999</v>
      </c>
      <c r="I5" s="11">
        <v>36.323999999999998</v>
      </c>
      <c r="J5" s="11">
        <v>36.491999999999997</v>
      </c>
      <c r="K5" s="11">
        <v>36.67</v>
      </c>
      <c r="L5" s="12">
        <v>36.875999999999998</v>
      </c>
      <c r="M5" s="11">
        <v>37.158999999999999</v>
      </c>
      <c r="N5" s="11">
        <v>40.161000000000001</v>
      </c>
      <c r="O5" s="11">
        <v>44.448</v>
      </c>
      <c r="P5" s="9"/>
      <c r="Q5" s="9">
        <f>O5-C5</f>
        <v>21.798000000000002</v>
      </c>
      <c r="T5" s="1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</row>
    <row r="6" spans="1:32" x14ac:dyDescent="0.35">
      <c r="A6" s="280">
        <v>2</v>
      </c>
      <c r="B6" s="10" t="s">
        <v>122</v>
      </c>
      <c r="C6" s="11">
        <v>578.87300000000005</v>
      </c>
      <c r="D6" s="11">
        <v>592.36199999999997</v>
      </c>
      <c r="E6" s="11">
        <v>606.45399999999995</v>
      </c>
      <c r="F6" s="11">
        <v>622.00400000000002</v>
      </c>
      <c r="G6" s="11">
        <v>636.66</v>
      </c>
      <c r="H6" s="11">
        <v>648.85299999999995</v>
      </c>
      <c r="I6" s="11">
        <v>664.53</v>
      </c>
      <c r="J6" s="11">
        <v>671.83799999999997</v>
      </c>
      <c r="K6" s="11">
        <v>682.51800000000003</v>
      </c>
      <c r="L6" s="11">
        <v>694.91200000000003</v>
      </c>
      <c r="M6" s="11">
        <v>708.928</v>
      </c>
      <c r="N6" s="11">
        <v>722.70500000000004</v>
      </c>
      <c r="O6" s="11">
        <v>739.50400000000002</v>
      </c>
      <c r="P6" s="9">
        <f>O6-C6</f>
        <v>160.63099999999997</v>
      </c>
      <c r="T6" s="1">
        <v>2</v>
      </c>
      <c r="U6" s="148">
        <f t="shared" ref="U6:AF6" si="1">D6-C6</f>
        <v>13.488999999999919</v>
      </c>
      <c r="V6" s="148">
        <f t="shared" si="1"/>
        <v>14.091999999999985</v>
      </c>
      <c r="W6" s="148">
        <f t="shared" si="1"/>
        <v>15.550000000000068</v>
      </c>
      <c r="X6" s="148">
        <f t="shared" si="1"/>
        <v>14.655999999999949</v>
      </c>
      <c r="Y6" s="148">
        <f t="shared" si="1"/>
        <v>12.192999999999984</v>
      </c>
      <c r="Z6" s="148">
        <f t="shared" si="1"/>
        <v>15.677000000000021</v>
      </c>
      <c r="AA6" s="148">
        <f t="shared" si="1"/>
        <v>7.3079999999999927</v>
      </c>
      <c r="AB6" s="148">
        <f t="shared" si="1"/>
        <v>10.680000000000064</v>
      </c>
      <c r="AC6" s="148">
        <f t="shared" si="1"/>
        <v>12.394000000000005</v>
      </c>
      <c r="AD6" s="148">
        <f t="shared" si="1"/>
        <v>14.015999999999963</v>
      </c>
      <c r="AE6" s="148">
        <f t="shared" si="1"/>
        <v>13.777000000000044</v>
      </c>
      <c r="AF6" s="148">
        <f t="shared" si="1"/>
        <v>16.798999999999978</v>
      </c>
    </row>
    <row r="7" spans="1:32" x14ac:dyDescent="0.35">
      <c r="A7" s="280"/>
      <c r="B7" s="10" t="s">
        <v>324</v>
      </c>
      <c r="C7" s="11">
        <v>36.201999999999998</v>
      </c>
      <c r="D7" s="11">
        <v>39.783000000000001</v>
      </c>
      <c r="E7" s="11">
        <v>43.194000000000003</v>
      </c>
      <c r="F7" s="11">
        <v>46.29</v>
      </c>
      <c r="G7" s="11">
        <v>47.866</v>
      </c>
      <c r="H7" s="11">
        <v>48.645000000000003</v>
      </c>
      <c r="I7" s="11">
        <v>49.470999999999997</v>
      </c>
      <c r="J7" s="11">
        <v>49.7</v>
      </c>
      <c r="K7" s="11">
        <v>50.03</v>
      </c>
      <c r="L7" s="11">
        <v>50.502000000000002</v>
      </c>
      <c r="M7" s="11">
        <v>51.280999999999999</v>
      </c>
      <c r="N7" s="11">
        <v>53.585000000000001</v>
      </c>
      <c r="O7" s="11">
        <v>57.353999999999999</v>
      </c>
      <c r="P7" s="9"/>
      <c r="Q7" s="9">
        <f t="shared" ref="Q7" si="2">O7-C7</f>
        <v>21.152000000000001</v>
      </c>
      <c r="T7" s="1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</row>
    <row r="8" spans="1:32" x14ac:dyDescent="0.35">
      <c r="A8" s="280">
        <v>3</v>
      </c>
      <c r="B8" s="10" t="s">
        <v>123</v>
      </c>
      <c r="C8" s="11">
        <v>228.18100000000001</v>
      </c>
      <c r="D8" s="11">
        <v>232.66499999999999</v>
      </c>
      <c r="E8" s="11">
        <v>238.142</v>
      </c>
      <c r="F8" s="11">
        <v>244.60499999999999</v>
      </c>
      <c r="G8" s="11">
        <v>250.56700000000001</v>
      </c>
      <c r="H8" s="11">
        <v>255.566</v>
      </c>
      <c r="I8" s="11">
        <v>261.19099999999997</v>
      </c>
      <c r="J8" s="11">
        <v>265.89800000000002</v>
      </c>
      <c r="K8" s="11">
        <v>271.42500000000001</v>
      </c>
      <c r="L8" s="11">
        <v>275.38200000000001</v>
      </c>
      <c r="M8" s="11">
        <v>280.63799999999998</v>
      </c>
      <c r="N8" s="11">
        <v>286.21800000000002</v>
      </c>
      <c r="O8" s="11">
        <v>291.67899999999997</v>
      </c>
      <c r="P8" s="9">
        <f>O8-C8</f>
        <v>63.497999999999962</v>
      </c>
      <c r="T8" s="1">
        <v>3</v>
      </c>
      <c r="U8" s="148">
        <f t="shared" ref="U8:AF8" si="3">D8-C8</f>
        <v>4.4839999999999804</v>
      </c>
      <c r="V8" s="148">
        <f t="shared" si="3"/>
        <v>5.4770000000000039</v>
      </c>
      <c r="W8" s="148">
        <f t="shared" si="3"/>
        <v>6.4629999999999939</v>
      </c>
      <c r="X8" s="148">
        <f t="shared" si="3"/>
        <v>5.9620000000000175</v>
      </c>
      <c r="Y8" s="148">
        <f t="shared" si="3"/>
        <v>4.9989999999999952</v>
      </c>
      <c r="Z8" s="148">
        <f t="shared" si="3"/>
        <v>5.6249999999999716</v>
      </c>
      <c r="AA8" s="148">
        <f t="shared" si="3"/>
        <v>4.7070000000000505</v>
      </c>
      <c r="AB8" s="148">
        <f t="shared" si="3"/>
        <v>5.5269999999999868</v>
      </c>
      <c r="AC8" s="148">
        <f t="shared" si="3"/>
        <v>3.9569999999999936</v>
      </c>
      <c r="AD8" s="148">
        <f t="shared" si="3"/>
        <v>5.2559999999999718</v>
      </c>
      <c r="AE8" s="148">
        <f t="shared" si="3"/>
        <v>5.5800000000000409</v>
      </c>
      <c r="AF8" s="148">
        <f t="shared" si="3"/>
        <v>5.4609999999999559</v>
      </c>
    </row>
    <row r="9" spans="1:32" x14ac:dyDescent="0.35">
      <c r="A9" s="280"/>
      <c r="B9" s="10" t="s">
        <v>325</v>
      </c>
      <c r="C9" s="11">
        <v>24.945</v>
      </c>
      <c r="D9" s="11">
        <v>28.477</v>
      </c>
      <c r="E9" s="11">
        <v>31.366</v>
      </c>
      <c r="F9" s="11">
        <v>34.131999999999998</v>
      </c>
      <c r="G9" s="11">
        <v>35.142000000000003</v>
      </c>
      <c r="H9" s="11">
        <v>35.555999999999997</v>
      </c>
      <c r="I9" s="11">
        <v>35.984000000000002</v>
      </c>
      <c r="J9" s="11">
        <v>36.284999999999997</v>
      </c>
      <c r="K9" s="11">
        <v>36.603000000000002</v>
      </c>
      <c r="L9" s="11">
        <v>36.914000000000001</v>
      </c>
      <c r="M9" s="11">
        <v>37.777999999999999</v>
      </c>
      <c r="N9" s="11">
        <v>40.101999999999997</v>
      </c>
      <c r="O9" s="11">
        <v>43.116999999999997</v>
      </c>
      <c r="P9" s="9"/>
      <c r="Q9" s="9">
        <f t="shared" ref="Q9" si="4">O9-C9</f>
        <v>18.171999999999997</v>
      </c>
      <c r="T9" s="1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</row>
    <row r="10" spans="1:32" x14ac:dyDescent="0.35">
      <c r="A10" s="280">
        <v>4</v>
      </c>
      <c r="B10" s="10" t="s">
        <v>124</v>
      </c>
      <c r="C10" s="11">
        <v>346.18200000000002</v>
      </c>
      <c r="D10" s="11">
        <v>355.512</v>
      </c>
      <c r="E10" s="11">
        <v>364.62900000000002</v>
      </c>
      <c r="F10" s="11">
        <v>373.85500000000002</v>
      </c>
      <c r="G10" s="11">
        <v>381.77</v>
      </c>
      <c r="H10" s="11">
        <v>390.24599999999998</v>
      </c>
      <c r="I10" s="11">
        <v>397.67899999999997</v>
      </c>
      <c r="J10" s="11">
        <v>401.11500000000001</v>
      </c>
      <c r="K10" s="11">
        <v>408.55700000000002</v>
      </c>
      <c r="L10" s="11">
        <v>416.041</v>
      </c>
      <c r="M10" s="11">
        <v>425.51600000000002</v>
      </c>
      <c r="N10" s="11">
        <v>434.38</v>
      </c>
      <c r="O10" s="11">
        <v>443.67599999999999</v>
      </c>
      <c r="P10" s="9">
        <f>O10-C10</f>
        <v>97.493999999999971</v>
      </c>
      <c r="T10" s="1">
        <v>4</v>
      </c>
      <c r="U10" s="148">
        <f t="shared" ref="U10:AF10" si="5">D10-C10</f>
        <v>9.3299999999999841</v>
      </c>
      <c r="V10" s="148">
        <f t="shared" si="5"/>
        <v>9.1170000000000186</v>
      </c>
      <c r="W10" s="148">
        <f t="shared" si="5"/>
        <v>9.2259999999999991</v>
      </c>
      <c r="X10" s="148">
        <f t="shared" si="5"/>
        <v>7.9149999999999636</v>
      </c>
      <c r="Y10" s="148">
        <f t="shared" si="5"/>
        <v>8.4759999999999991</v>
      </c>
      <c r="Z10" s="148">
        <f t="shared" si="5"/>
        <v>7.4329999999999927</v>
      </c>
      <c r="AA10" s="148">
        <f t="shared" si="5"/>
        <v>3.4360000000000355</v>
      </c>
      <c r="AB10" s="148">
        <f t="shared" si="5"/>
        <v>7.4420000000000073</v>
      </c>
      <c r="AC10" s="148">
        <f t="shared" si="5"/>
        <v>7.4839999999999804</v>
      </c>
      <c r="AD10" s="148">
        <f t="shared" si="5"/>
        <v>9.4750000000000227</v>
      </c>
      <c r="AE10" s="148">
        <f t="shared" si="5"/>
        <v>8.8639999999999759</v>
      </c>
      <c r="AF10" s="148">
        <f t="shared" si="5"/>
        <v>9.2959999999999923</v>
      </c>
    </row>
    <row r="11" spans="1:32" x14ac:dyDescent="0.35">
      <c r="A11" s="280"/>
      <c r="B11" s="10" t="s">
        <v>326</v>
      </c>
      <c r="C11" s="11">
        <v>18.402000000000001</v>
      </c>
      <c r="D11" s="11">
        <v>20.053000000000001</v>
      </c>
      <c r="E11" s="11">
        <v>21.768999999999998</v>
      </c>
      <c r="F11" s="11">
        <v>23.178999999999998</v>
      </c>
      <c r="G11" s="11">
        <v>24.183</v>
      </c>
      <c r="H11" s="11">
        <v>25.07</v>
      </c>
      <c r="I11" s="11">
        <v>25.605</v>
      </c>
      <c r="J11" s="11">
        <v>25.856000000000002</v>
      </c>
      <c r="K11" s="11">
        <v>26.31</v>
      </c>
      <c r="L11" s="11">
        <v>26.812000000000001</v>
      </c>
      <c r="M11" s="11">
        <v>27.585000000000001</v>
      </c>
      <c r="N11" s="11">
        <v>28.571000000000002</v>
      </c>
      <c r="O11" s="11">
        <v>29.641999999999999</v>
      </c>
      <c r="P11" s="9"/>
      <c r="Q11" s="9">
        <f t="shared" ref="Q11" si="6">O11-C11</f>
        <v>11.239999999999998</v>
      </c>
      <c r="T11" s="1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</row>
    <row r="12" spans="1:32" x14ac:dyDescent="0.35">
      <c r="A12" s="280">
        <v>5</v>
      </c>
      <c r="B12" s="10" t="s">
        <v>125</v>
      </c>
      <c r="C12" s="11">
        <v>262.86099999999999</v>
      </c>
      <c r="D12" s="11">
        <v>270.83999999999997</v>
      </c>
      <c r="E12" s="11">
        <v>278.26799999999997</v>
      </c>
      <c r="F12" s="11">
        <v>286.90899999999999</v>
      </c>
      <c r="G12" s="11">
        <v>293.50200000000001</v>
      </c>
      <c r="H12" s="11">
        <v>302.7</v>
      </c>
      <c r="I12" s="11">
        <v>312.13</v>
      </c>
      <c r="J12" s="11">
        <v>315.97800000000001</v>
      </c>
      <c r="K12" s="11">
        <v>323.69</v>
      </c>
      <c r="L12" s="11">
        <v>330.52</v>
      </c>
      <c r="M12" s="11">
        <v>339.726</v>
      </c>
      <c r="N12" s="11">
        <v>349.25</v>
      </c>
      <c r="O12" s="11">
        <v>357.07600000000002</v>
      </c>
      <c r="P12" s="9">
        <f>O12-C12</f>
        <v>94.215000000000032</v>
      </c>
      <c r="T12" s="1">
        <v>5</v>
      </c>
      <c r="U12" s="148">
        <f t="shared" ref="U12:AF12" si="7">D12-C12</f>
        <v>7.978999999999985</v>
      </c>
      <c r="V12" s="148">
        <f t="shared" si="7"/>
        <v>7.4279999999999973</v>
      </c>
      <c r="W12" s="148">
        <f t="shared" si="7"/>
        <v>8.6410000000000196</v>
      </c>
      <c r="X12" s="148">
        <f t="shared" si="7"/>
        <v>6.5930000000000177</v>
      </c>
      <c r="Y12" s="148">
        <f t="shared" si="7"/>
        <v>9.1979999999999791</v>
      </c>
      <c r="Z12" s="148">
        <f t="shared" si="7"/>
        <v>9.4300000000000068</v>
      </c>
      <c r="AA12" s="148">
        <f t="shared" si="7"/>
        <v>3.8480000000000132</v>
      </c>
      <c r="AB12" s="148">
        <f t="shared" si="7"/>
        <v>7.7119999999999891</v>
      </c>
      <c r="AC12" s="148">
        <f t="shared" si="7"/>
        <v>6.8299999999999841</v>
      </c>
      <c r="AD12" s="148">
        <f t="shared" si="7"/>
        <v>9.2060000000000173</v>
      </c>
      <c r="AE12" s="148">
        <f t="shared" si="7"/>
        <v>9.5240000000000009</v>
      </c>
      <c r="AF12" s="148">
        <f t="shared" si="7"/>
        <v>7.8260000000000218</v>
      </c>
    </row>
    <row r="13" spans="1:32" x14ac:dyDescent="0.35">
      <c r="A13" s="280"/>
      <c r="B13" s="10" t="s">
        <v>327</v>
      </c>
      <c r="C13" s="11">
        <v>20.437999999999999</v>
      </c>
      <c r="D13" s="11">
        <v>23.405000000000001</v>
      </c>
      <c r="E13" s="11">
        <v>25.959</v>
      </c>
      <c r="F13" s="11">
        <v>28.094999999999999</v>
      </c>
      <c r="G13" s="11">
        <v>29.54</v>
      </c>
      <c r="H13" s="11">
        <v>30.187000000000001</v>
      </c>
      <c r="I13" s="11">
        <v>30.812999999999999</v>
      </c>
      <c r="J13" s="11">
        <v>31.077999999999999</v>
      </c>
      <c r="K13" s="11">
        <v>31.463000000000001</v>
      </c>
      <c r="L13" s="11">
        <v>31.920999999999999</v>
      </c>
      <c r="M13" s="11">
        <v>32.770000000000003</v>
      </c>
      <c r="N13" s="11">
        <v>34.996000000000002</v>
      </c>
      <c r="O13" s="11">
        <v>37.944000000000003</v>
      </c>
      <c r="P13" s="9"/>
      <c r="Q13" s="9">
        <f t="shared" ref="Q13" si="8">O13-C13</f>
        <v>17.506000000000004</v>
      </c>
      <c r="T13" s="1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</row>
    <row r="14" spans="1:32" x14ac:dyDescent="0.35">
      <c r="A14" s="280">
        <v>6</v>
      </c>
      <c r="B14" s="10" t="s">
        <v>126</v>
      </c>
      <c r="C14" s="11">
        <v>304.03199999999998</v>
      </c>
      <c r="D14" s="11">
        <v>311.11700000000002</v>
      </c>
      <c r="E14" s="11">
        <v>317.10199999999998</v>
      </c>
      <c r="F14" s="11">
        <v>324.06299999999999</v>
      </c>
      <c r="G14" s="11">
        <v>329.12599999999998</v>
      </c>
      <c r="H14" s="11">
        <v>334.66500000000002</v>
      </c>
      <c r="I14" s="11">
        <v>341.32299999999998</v>
      </c>
      <c r="J14" s="11">
        <v>347.25900000000001</v>
      </c>
      <c r="K14" s="11">
        <v>353.09199999999998</v>
      </c>
      <c r="L14" s="11">
        <v>359.68400000000003</v>
      </c>
      <c r="M14" s="11">
        <v>366.125</v>
      </c>
      <c r="N14" s="11">
        <v>370.64299999999997</v>
      </c>
      <c r="O14" s="11">
        <v>375.96600000000001</v>
      </c>
      <c r="P14" s="9">
        <f>O14-C14</f>
        <v>71.934000000000026</v>
      </c>
      <c r="T14" s="1">
        <v>6</v>
      </c>
      <c r="U14" s="148">
        <f t="shared" ref="U14:AF14" si="9">D14-C14</f>
        <v>7.0850000000000364</v>
      </c>
      <c r="V14" s="148">
        <f t="shared" si="9"/>
        <v>5.9849999999999568</v>
      </c>
      <c r="W14" s="148">
        <f t="shared" si="9"/>
        <v>6.9610000000000127</v>
      </c>
      <c r="X14" s="148">
        <f t="shared" si="9"/>
        <v>5.0629999999999882</v>
      </c>
      <c r="Y14" s="148">
        <f t="shared" si="9"/>
        <v>5.5390000000000441</v>
      </c>
      <c r="Z14" s="148">
        <f t="shared" si="9"/>
        <v>6.6579999999999586</v>
      </c>
      <c r="AA14" s="148">
        <f t="shared" si="9"/>
        <v>5.9360000000000355</v>
      </c>
      <c r="AB14" s="148">
        <f t="shared" si="9"/>
        <v>5.83299999999997</v>
      </c>
      <c r="AC14" s="148">
        <f t="shared" si="9"/>
        <v>6.5920000000000414</v>
      </c>
      <c r="AD14" s="148">
        <f t="shared" si="9"/>
        <v>6.4409999999999741</v>
      </c>
      <c r="AE14" s="148">
        <f t="shared" si="9"/>
        <v>4.5179999999999723</v>
      </c>
      <c r="AF14" s="148">
        <f t="shared" si="9"/>
        <v>5.3230000000000359</v>
      </c>
    </row>
    <row r="15" spans="1:32" x14ac:dyDescent="0.35">
      <c r="A15" s="280"/>
      <c r="B15" s="10" t="s">
        <v>328</v>
      </c>
      <c r="C15" s="11">
        <v>36.338999999999999</v>
      </c>
      <c r="D15" s="11">
        <v>41.109000000000002</v>
      </c>
      <c r="E15" s="11">
        <v>45.094999999999999</v>
      </c>
      <c r="F15" s="11">
        <v>48.459000000000003</v>
      </c>
      <c r="G15" s="11">
        <v>50.694000000000003</v>
      </c>
      <c r="H15" s="11">
        <v>51.201999999999998</v>
      </c>
      <c r="I15" s="11">
        <v>51.725000000000001</v>
      </c>
      <c r="J15" s="11">
        <v>52.116</v>
      </c>
      <c r="K15" s="11">
        <v>52.46</v>
      </c>
      <c r="L15" s="11">
        <v>52.890999999999998</v>
      </c>
      <c r="M15" s="11">
        <v>53.816000000000003</v>
      </c>
      <c r="N15" s="11">
        <v>57.838999999999999</v>
      </c>
      <c r="O15" s="11">
        <v>63.645000000000003</v>
      </c>
      <c r="P15" s="9"/>
      <c r="Q15" s="9">
        <f t="shared" ref="Q15" si="10">O15-C15</f>
        <v>27.306000000000004</v>
      </c>
      <c r="T15" s="1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</row>
    <row r="16" spans="1:32" x14ac:dyDescent="0.35">
      <c r="A16" s="280">
        <v>7</v>
      </c>
      <c r="B16" s="10" t="s">
        <v>127</v>
      </c>
      <c r="C16" s="11">
        <v>52.603999999999999</v>
      </c>
      <c r="D16" s="11">
        <v>53.712000000000003</v>
      </c>
      <c r="E16" s="11">
        <v>54.892000000000003</v>
      </c>
      <c r="F16" s="11">
        <v>56.125999999999998</v>
      </c>
      <c r="G16" s="11">
        <v>57.384999999999998</v>
      </c>
      <c r="H16" s="11">
        <v>58.69</v>
      </c>
      <c r="I16" s="11">
        <v>60.203000000000003</v>
      </c>
      <c r="J16" s="11">
        <v>61.207000000000001</v>
      </c>
      <c r="K16" s="11">
        <v>62.383000000000003</v>
      </c>
      <c r="L16" s="11">
        <v>63.643999999999998</v>
      </c>
      <c r="M16" s="11">
        <v>65.174000000000007</v>
      </c>
      <c r="N16" s="11">
        <v>66.787000000000006</v>
      </c>
      <c r="O16" s="11">
        <v>68.381</v>
      </c>
      <c r="P16" s="9">
        <f>O16-C16</f>
        <v>15.777000000000001</v>
      </c>
      <c r="T16" s="1">
        <v>7</v>
      </c>
      <c r="U16" s="148">
        <f t="shared" ref="U16:AF16" si="11">D16-C16</f>
        <v>1.1080000000000041</v>
      </c>
      <c r="V16" s="148">
        <f t="shared" si="11"/>
        <v>1.1799999999999997</v>
      </c>
      <c r="W16" s="148">
        <f t="shared" si="11"/>
        <v>1.2339999999999947</v>
      </c>
      <c r="X16" s="148">
        <f t="shared" si="11"/>
        <v>1.2590000000000003</v>
      </c>
      <c r="Y16" s="148">
        <f t="shared" si="11"/>
        <v>1.3049999999999997</v>
      </c>
      <c r="Z16" s="148">
        <f t="shared" si="11"/>
        <v>1.5130000000000052</v>
      </c>
      <c r="AA16" s="148">
        <f t="shared" si="11"/>
        <v>1.0039999999999978</v>
      </c>
      <c r="AB16" s="148">
        <f t="shared" si="11"/>
        <v>1.1760000000000019</v>
      </c>
      <c r="AC16" s="148">
        <f t="shared" si="11"/>
        <v>1.2609999999999957</v>
      </c>
      <c r="AD16" s="148">
        <f t="shared" si="11"/>
        <v>1.5300000000000082</v>
      </c>
      <c r="AE16" s="148">
        <f t="shared" si="11"/>
        <v>1.6129999999999995</v>
      </c>
      <c r="AF16" s="148">
        <f t="shared" si="11"/>
        <v>1.5939999999999941</v>
      </c>
    </row>
    <row r="17" spans="1:32" x14ac:dyDescent="0.35">
      <c r="A17" s="280"/>
      <c r="B17" s="10" t="s">
        <v>329</v>
      </c>
      <c r="C17" s="11">
        <v>9.35</v>
      </c>
      <c r="D17" s="11">
        <v>10.616</v>
      </c>
      <c r="E17" s="11">
        <v>11.962999999999999</v>
      </c>
      <c r="F17" s="11">
        <v>12.631</v>
      </c>
      <c r="G17" s="11">
        <v>12.978</v>
      </c>
      <c r="H17" s="11">
        <v>13.108000000000001</v>
      </c>
      <c r="I17" s="11">
        <v>13.257999999999999</v>
      </c>
      <c r="J17" s="11">
        <v>13.348000000000001</v>
      </c>
      <c r="K17" s="11">
        <v>13.462</v>
      </c>
      <c r="L17" s="11">
        <v>13.587</v>
      </c>
      <c r="M17" s="11">
        <v>13.765000000000001</v>
      </c>
      <c r="N17" s="11">
        <v>14.541</v>
      </c>
      <c r="O17" s="11">
        <v>16.056000000000001</v>
      </c>
      <c r="P17" s="9"/>
      <c r="Q17" s="9">
        <f t="shared" ref="Q17" si="12">O17-C17</f>
        <v>6.7060000000000013</v>
      </c>
      <c r="T17" s="1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x14ac:dyDescent="0.35">
      <c r="A18" s="280">
        <v>8</v>
      </c>
      <c r="B18" s="10" t="s">
        <v>272</v>
      </c>
      <c r="C18" s="11">
        <v>58.755000000000003</v>
      </c>
      <c r="D18" s="11">
        <v>59.55</v>
      </c>
      <c r="E18" s="11">
        <v>61.261000000000003</v>
      </c>
      <c r="F18" s="11">
        <v>62.261000000000003</v>
      </c>
      <c r="G18" s="11">
        <v>63.497</v>
      </c>
      <c r="H18" s="11">
        <v>66.010000000000005</v>
      </c>
      <c r="I18" s="11">
        <v>67.540000000000006</v>
      </c>
      <c r="J18" s="11">
        <v>68.718999999999994</v>
      </c>
      <c r="K18" s="11">
        <v>70.304000000000002</v>
      </c>
      <c r="L18" s="11">
        <v>72.519000000000005</v>
      </c>
      <c r="M18" s="11">
        <v>73.093999999999994</v>
      </c>
      <c r="N18" s="11">
        <v>74.367999999999995</v>
      </c>
      <c r="O18" s="11">
        <v>74.951999999999998</v>
      </c>
      <c r="P18" s="9">
        <f>O18-C18</f>
        <v>16.196999999999996</v>
      </c>
      <c r="T18" s="1">
        <v>8</v>
      </c>
      <c r="U18" s="148">
        <f t="shared" ref="U18:AF18" si="13">D18-C18</f>
        <v>0.7949999999999946</v>
      </c>
      <c r="V18" s="148">
        <f t="shared" si="13"/>
        <v>1.7110000000000056</v>
      </c>
      <c r="W18" s="148">
        <f t="shared" si="13"/>
        <v>1</v>
      </c>
      <c r="X18" s="148">
        <f t="shared" si="13"/>
        <v>1.2359999999999971</v>
      </c>
      <c r="Y18" s="148">
        <f t="shared" si="13"/>
        <v>2.5130000000000052</v>
      </c>
      <c r="Z18" s="148">
        <f t="shared" si="13"/>
        <v>1.5300000000000011</v>
      </c>
      <c r="AA18" s="148">
        <f t="shared" si="13"/>
        <v>1.1789999999999878</v>
      </c>
      <c r="AB18" s="148">
        <f t="shared" si="13"/>
        <v>1.585000000000008</v>
      </c>
      <c r="AC18" s="148">
        <f t="shared" si="13"/>
        <v>2.2150000000000034</v>
      </c>
      <c r="AD18" s="148">
        <f t="shared" si="13"/>
        <v>0.57499999999998863</v>
      </c>
      <c r="AE18" s="148">
        <f t="shared" si="13"/>
        <v>1.2740000000000009</v>
      </c>
      <c r="AF18" s="148">
        <f t="shared" si="13"/>
        <v>0.58400000000000318</v>
      </c>
    </row>
    <row r="19" spans="1:32" x14ac:dyDescent="0.35">
      <c r="A19" s="280"/>
      <c r="B19" s="10" t="s">
        <v>330</v>
      </c>
      <c r="C19" s="11">
        <v>29.061</v>
      </c>
      <c r="D19" s="11">
        <v>32.271999999999998</v>
      </c>
      <c r="E19" s="11">
        <v>35.642000000000003</v>
      </c>
      <c r="F19" s="11">
        <v>38.008000000000003</v>
      </c>
      <c r="G19" s="11">
        <v>39.575000000000003</v>
      </c>
      <c r="H19" s="11">
        <v>40.213999999999999</v>
      </c>
      <c r="I19" s="11">
        <v>40.414000000000001</v>
      </c>
      <c r="J19" s="11">
        <v>40.548000000000002</v>
      </c>
      <c r="K19" s="11">
        <v>40.709000000000003</v>
      </c>
      <c r="L19" s="11">
        <v>40.92</v>
      </c>
      <c r="M19" s="11">
        <v>41.572000000000003</v>
      </c>
      <c r="N19" s="11">
        <v>44.03</v>
      </c>
      <c r="O19" s="11">
        <v>47.293999999999997</v>
      </c>
      <c r="P19" s="9"/>
      <c r="Q19" s="9">
        <f t="shared" ref="Q19" si="14">O19-C19</f>
        <v>18.232999999999997</v>
      </c>
      <c r="T19" s="1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x14ac:dyDescent="0.35">
      <c r="A20" s="280">
        <v>9</v>
      </c>
      <c r="B20" s="10" t="s">
        <v>128</v>
      </c>
      <c r="C20" s="11">
        <v>2.4929999999999999</v>
      </c>
      <c r="D20" s="11">
        <v>2.5070000000000001</v>
      </c>
      <c r="E20" s="11">
        <v>2.5169999999999999</v>
      </c>
      <c r="F20" s="11">
        <v>2.532</v>
      </c>
      <c r="G20" s="11">
        <v>2.5449999999999999</v>
      </c>
      <c r="H20" s="11">
        <v>2.569</v>
      </c>
      <c r="I20" s="11">
        <v>2.593</v>
      </c>
      <c r="J20" s="11">
        <v>2.6139999999999999</v>
      </c>
      <c r="K20" s="11">
        <v>2.6379999999999999</v>
      </c>
      <c r="L20" s="11">
        <v>2.6560000000000001</v>
      </c>
      <c r="M20" s="11">
        <v>2.6760000000000002</v>
      </c>
      <c r="N20" s="11">
        <v>2.69</v>
      </c>
      <c r="O20" s="11">
        <v>2.702</v>
      </c>
      <c r="P20" s="9">
        <f>O20-C20</f>
        <v>0.20900000000000007</v>
      </c>
      <c r="T20" s="1">
        <v>9</v>
      </c>
      <c r="U20" s="148">
        <f t="shared" ref="U20:AF20" si="15">D20-C20</f>
        <v>1.4000000000000234E-2</v>
      </c>
      <c r="V20" s="148">
        <f t="shared" si="15"/>
        <v>9.9999999999997868E-3</v>
      </c>
      <c r="W20" s="148">
        <f t="shared" si="15"/>
        <v>1.5000000000000124E-2</v>
      </c>
      <c r="X20" s="148">
        <f t="shared" si="15"/>
        <v>1.2999999999999901E-2</v>
      </c>
      <c r="Y20" s="148">
        <f t="shared" si="15"/>
        <v>2.4000000000000021E-2</v>
      </c>
      <c r="Z20" s="148">
        <f t="shared" si="15"/>
        <v>2.4000000000000021E-2</v>
      </c>
      <c r="AA20" s="148">
        <f t="shared" si="15"/>
        <v>2.0999999999999908E-2</v>
      </c>
      <c r="AB20" s="148">
        <f t="shared" si="15"/>
        <v>2.4000000000000021E-2</v>
      </c>
      <c r="AC20" s="148">
        <f t="shared" si="15"/>
        <v>1.8000000000000238E-2</v>
      </c>
      <c r="AD20" s="148">
        <f t="shared" si="15"/>
        <v>2.0000000000000018E-2</v>
      </c>
      <c r="AE20" s="148">
        <f t="shared" si="15"/>
        <v>1.399999999999979E-2</v>
      </c>
      <c r="AF20" s="148">
        <f t="shared" si="15"/>
        <v>1.2000000000000011E-2</v>
      </c>
    </row>
    <row r="21" spans="1:32" x14ac:dyDescent="0.35">
      <c r="A21" s="280"/>
      <c r="B21" s="10" t="s">
        <v>331</v>
      </c>
      <c r="C21" s="11">
        <v>2.3889999999999998</v>
      </c>
      <c r="D21" s="11">
        <v>2.548</v>
      </c>
      <c r="E21" s="11">
        <v>2.6920000000000002</v>
      </c>
      <c r="F21" s="11">
        <v>2.859</v>
      </c>
      <c r="G21" s="11">
        <v>3.024</v>
      </c>
      <c r="H21" s="11">
        <v>3.1880000000000002</v>
      </c>
      <c r="I21" s="11">
        <v>3.3519999999999999</v>
      </c>
      <c r="J21" s="11">
        <v>3.476</v>
      </c>
      <c r="K21" s="11">
        <v>3.5979999999999999</v>
      </c>
      <c r="L21" s="11">
        <v>3.7429999999999999</v>
      </c>
      <c r="M21" s="11">
        <v>3.911</v>
      </c>
      <c r="N21" s="11">
        <v>4.0730000000000004</v>
      </c>
      <c r="O21" s="11">
        <v>4.2220000000000004</v>
      </c>
      <c r="P21" s="9"/>
      <c r="Q21" s="9">
        <f t="shared" ref="Q21" si="16">O21-C21</f>
        <v>1.8330000000000006</v>
      </c>
      <c r="T21" s="1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35">
      <c r="A22" s="280">
        <v>10</v>
      </c>
      <c r="B22" s="10" t="s">
        <v>129</v>
      </c>
      <c r="C22" s="11">
        <v>268.31</v>
      </c>
      <c r="D22" s="11">
        <v>275.78899999999999</v>
      </c>
      <c r="E22" s="11">
        <v>282.35199999999998</v>
      </c>
      <c r="F22" s="11">
        <v>290.31700000000001</v>
      </c>
      <c r="G22" s="11">
        <v>297.53300000000002</v>
      </c>
      <c r="H22" s="11">
        <v>303.56099999999998</v>
      </c>
      <c r="I22" s="11">
        <v>311.52100000000002</v>
      </c>
      <c r="J22" s="11">
        <v>319.58</v>
      </c>
      <c r="K22" s="11">
        <v>330.19200000000001</v>
      </c>
      <c r="L22" s="11">
        <v>337.99099999999999</v>
      </c>
      <c r="M22" s="11">
        <v>344.99799999999999</v>
      </c>
      <c r="N22" s="11">
        <v>351.36799999999999</v>
      </c>
      <c r="O22" s="11">
        <v>357.404</v>
      </c>
      <c r="P22" s="9">
        <f>O22-C22</f>
        <v>89.093999999999994</v>
      </c>
      <c r="T22" s="1">
        <v>10</v>
      </c>
      <c r="U22" s="148">
        <f t="shared" ref="U22:AF22" si="17">D22-C22</f>
        <v>7.478999999999985</v>
      </c>
      <c r="V22" s="148">
        <f t="shared" si="17"/>
        <v>6.5629999999999882</v>
      </c>
      <c r="W22" s="148">
        <f t="shared" si="17"/>
        <v>7.9650000000000318</v>
      </c>
      <c r="X22" s="148">
        <f t="shared" si="17"/>
        <v>7.2160000000000082</v>
      </c>
      <c r="Y22" s="148">
        <f t="shared" si="17"/>
        <v>6.0279999999999632</v>
      </c>
      <c r="Z22" s="148">
        <f t="shared" si="17"/>
        <v>7.9600000000000364</v>
      </c>
      <c r="AA22" s="148">
        <f t="shared" si="17"/>
        <v>8.0589999999999691</v>
      </c>
      <c r="AB22" s="148">
        <f t="shared" si="17"/>
        <v>10.612000000000023</v>
      </c>
      <c r="AC22" s="148">
        <f t="shared" si="17"/>
        <v>7.7989999999999782</v>
      </c>
      <c r="AD22" s="148">
        <f t="shared" si="17"/>
        <v>7.007000000000005</v>
      </c>
      <c r="AE22" s="148">
        <f t="shared" si="17"/>
        <v>6.3700000000000045</v>
      </c>
      <c r="AF22" s="148">
        <f t="shared" si="17"/>
        <v>6.0360000000000014</v>
      </c>
    </row>
    <row r="23" spans="1:32" x14ac:dyDescent="0.35">
      <c r="A23" s="280"/>
      <c r="B23" s="10" t="s">
        <v>332</v>
      </c>
      <c r="C23" s="11">
        <v>26.402999999999999</v>
      </c>
      <c r="D23" s="11">
        <v>30.637</v>
      </c>
      <c r="E23" s="11">
        <v>34.649000000000001</v>
      </c>
      <c r="F23" s="11">
        <v>37.613999999999997</v>
      </c>
      <c r="G23" s="11">
        <v>39.448999999999998</v>
      </c>
      <c r="H23" s="11">
        <v>39.816000000000003</v>
      </c>
      <c r="I23" s="11">
        <v>40.164000000000001</v>
      </c>
      <c r="J23" s="11">
        <v>40.404000000000003</v>
      </c>
      <c r="K23" s="11">
        <v>40.664999999999999</v>
      </c>
      <c r="L23" s="11">
        <v>40.975000000000001</v>
      </c>
      <c r="M23" s="11">
        <v>41.554000000000002</v>
      </c>
      <c r="N23" s="11">
        <v>44.441000000000003</v>
      </c>
      <c r="O23" s="11">
        <v>48.341999999999999</v>
      </c>
      <c r="P23" s="13"/>
      <c r="Q23" s="99">
        <f>O23-C23</f>
        <v>21.939</v>
      </c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x14ac:dyDescent="0.35">
      <c r="A24" s="115"/>
      <c r="B24" s="1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619.154</v>
      </c>
      <c r="Q24" s="9">
        <f>SUM(Q4:Q23)</f>
        <v>165.88499999999999</v>
      </c>
    </row>
    <row r="25" spans="1:32" x14ac:dyDescent="0.35">
      <c r="A25" s="115" t="s">
        <v>15</v>
      </c>
      <c r="B25" s="10" t="s">
        <v>430</v>
      </c>
      <c r="C25" s="15">
        <v>2438</v>
      </c>
      <c r="D25" s="15">
        <v>2643</v>
      </c>
      <c r="E25" s="15">
        <v>2829</v>
      </c>
      <c r="F25" s="15">
        <v>3063</v>
      </c>
      <c r="G25" s="15">
        <v>3275</v>
      </c>
      <c r="H25" s="15">
        <v>3488</v>
      </c>
      <c r="I25" s="15">
        <v>3711</v>
      </c>
      <c r="J25" s="15">
        <v>3921</v>
      </c>
      <c r="K25" s="15">
        <v>4187</v>
      </c>
      <c r="L25" s="15">
        <v>4365</v>
      </c>
      <c r="M25" s="15">
        <v>4547</v>
      </c>
      <c r="N25" s="15">
        <v>4715</v>
      </c>
      <c r="O25" s="15">
        <v>4886</v>
      </c>
      <c r="P25" s="9"/>
      <c r="R25" s="16">
        <f>O25-C25</f>
        <v>2448</v>
      </c>
    </row>
    <row r="26" spans="1:32" x14ac:dyDescent="0.35">
      <c r="A26" s="115"/>
      <c r="B26" s="17" t="s">
        <v>130</v>
      </c>
      <c r="C26" s="18">
        <v>2467.9</v>
      </c>
      <c r="D26" s="18">
        <v>2528</v>
      </c>
      <c r="E26" s="18">
        <v>2586.6</v>
      </c>
      <c r="F26" s="18">
        <v>2651.8</v>
      </c>
      <c r="G26" s="18">
        <v>2710.1</v>
      </c>
      <c r="H26" s="18">
        <v>2768.1</v>
      </c>
      <c r="I26" s="18">
        <v>2832.8</v>
      </c>
      <c r="J26" s="18">
        <v>2875.1</v>
      </c>
      <c r="K26" s="18">
        <v>2933.5</v>
      </c>
      <c r="L26" s="18">
        <v>2999.7</v>
      </c>
      <c r="M26" s="18">
        <v>3051.3</v>
      </c>
      <c r="N26" s="18">
        <v>3110.5</v>
      </c>
      <c r="O26" s="18">
        <v>3172</v>
      </c>
      <c r="P26" s="9">
        <f>O26-C26</f>
        <v>704.09999999999991</v>
      </c>
    </row>
    <row r="27" spans="1:32" x14ac:dyDescent="0.35">
      <c r="A27" s="115"/>
      <c r="B27" s="17" t="s">
        <v>16</v>
      </c>
      <c r="C27" s="19">
        <v>181.1</v>
      </c>
      <c r="D27" s="19">
        <v>190.12</v>
      </c>
      <c r="E27" s="19">
        <v>198.32</v>
      </c>
      <c r="F27" s="19">
        <v>204.73</v>
      </c>
      <c r="G27" s="19">
        <v>208.7</v>
      </c>
      <c r="H27" s="19">
        <v>209.76</v>
      </c>
      <c r="I27" s="19">
        <v>210.49</v>
      </c>
      <c r="J27" s="19">
        <v>210.8</v>
      </c>
      <c r="K27" s="19">
        <v>1.64</v>
      </c>
      <c r="L27" s="19">
        <v>3.68</v>
      </c>
      <c r="M27" s="19">
        <v>10.210000000000001</v>
      </c>
      <c r="N27" s="19">
        <v>33.9</v>
      </c>
      <c r="O27" s="19">
        <v>67.3</v>
      </c>
      <c r="P27" s="9"/>
      <c r="Q27" s="271">
        <f>(J27-C27)*3.6+O27</f>
        <v>174.22000000000006</v>
      </c>
      <c r="R27" t="s">
        <v>95</v>
      </c>
    </row>
    <row r="28" spans="1:32" ht="15" thickBot="1" x14ac:dyDescent="0.4">
      <c r="A28" s="4"/>
      <c r="B28" s="20" t="s">
        <v>17</v>
      </c>
      <c r="C28" s="21">
        <v>6557</v>
      </c>
      <c r="D28" s="21">
        <v>6799</v>
      </c>
      <c r="E28" s="21">
        <v>7036</v>
      </c>
      <c r="F28" s="21">
        <v>7212</v>
      </c>
      <c r="G28" s="21">
        <v>7334</v>
      </c>
      <c r="H28" s="21">
        <v>7377</v>
      </c>
      <c r="I28" s="21">
        <v>7406</v>
      </c>
      <c r="J28" s="21">
        <v>7421</v>
      </c>
      <c r="K28" s="21">
        <v>20</v>
      </c>
      <c r="L28" s="21">
        <v>42</v>
      </c>
      <c r="M28" s="21">
        <v>108</v>
      </c>
      <c r="N28" s="21">
        <v>295</v>
      </c>
      <c r="O28" s="21">
        <v>564</v>
      </c>
      <c r="P28" s="9"/>
      <c r="Q28" s="272">
        <f>J28-C28+O28</f>
        <v>1428</v>
      </c>
      <c r="R28" t="s">
        <v>96</v>
      </c>
    </row>
    <row r="29" spans="1:32" ht="15" thickBot="1" x14ac:dyDescent="0.4">
      <c r="A29" s="116" t="s">
        <v>131</v>
      </c>
      <c r="B29" s="22"/>
      <c r="C29" s="23">
        <v>20281.099999999999</v>
      </c>
      <c r="D29" s="23">
        <v>20614.3</v>
      </c>
      <c r="E29" s="23">
        <v>20910.099999999999</v>
      </c>
      <c r="F29" s="23">
        <v>21247.4</v>
      </c>
      <c r="G29" s="23">
        <v>21572.2</v>
      </c>
      <c r="H29" s="23">
        <v>21932.7</v>
      </c>
      <c r="I29" s="23">
        <v>22298.9</v>
      </c>
      <c r="J29" s="23">
        <v>22571.5</v>
      </c>
      <c r="K29" s="23">
        <v>22887.599999999999</v>
      </c>
      <c r="L29" s="23">
        <v>23211.599999999999</v>
      </c>
      <c r="M29" s="23">
        <v>23544</v>
      </c>
      <c r="N29" s="23">
        <v>23869.200000000001</v>
      </c>
      <c r="O29" s="23">
        <v>24212</v>
      </c>
      <c r="P29" s="9">
        <f>O29-C29</f>
        <v>3930.9000000000015</v>
      </c>
    </row>
    <row r="31" spans="1:32" x14ac:dyDescent="0.35">
      <c r="C31" s="1" t="s">
        <v>305</v>
      </c>
      <c r="D31" s="1"/>
      <c r="E31" s="1" t="s">
        <v>306</v>
      </c>
    </row>
    <row r="32" spans="1:32" x14ac:dyDescent="0.35">
      <c r="B32" t="s">
        <v>300</v>
      </c>
      <c r="C32">
        <v>110109308</v>
      </c>
      <c r="D32" s="1" t="s">
        <v>225</v>
      </c>
      <c r="E32">
        <v>12875</v>
      </c>
      <c r="H32" s="270" t="s">
        <v>431</v>
      </c>
      <c r="I32" s="232"/>
      <c r="J32" s="232"/>
      <c r="K32" s="231"/>
      <c r="L32" s="233" t="s">
        <v>301</v>
      </c>
      <c r="M32" s="234">
        <v>210.8</v>
      </c>
      <c r="N32" s="231" t="s">
        <v>239</v>
      </c>
      <c r="O32" s="235"/>
      <c r="P32" s="235"/>
      <c r="Q32" s="235"/>
    </row>
    <row r="33" spans="2:17" x14ac:dyDescent="0.35">
      <c r="B33" t="s">
        <v>302</v>
      </c>
      <c r="C33">
        <v>63796</v>
      </c>
      <c r="D33" s="1" t="s">
        <v>226</v>
      </c>
      <c r="E33">
        <v>4174</v>
      </c>
      <c r="H33" s="270" t="s">
        <v>432</v>
      </c>
      <c r="I33" s="232"/>
      <c r="J33" s="232"/>
      <c r="K33" s="231"/>
      <c r="L33" s="233" t="s">
        <v>301</v>
      </c>
      <c r="M33" s="234">
        <v>0</v>
      </c>
      <c r="N33" s="270" t="s">
        <v>95</v>
      </c>
      <c r="O33" s="235"/>
      <c r="P33" s="235"/>
      <c r="Q33" s="235"/>
    </row>
    <row r="34" spans="2:17" x14ac:dyDescent="0.35">
      <c r="B34" t="s">
        <v>303</v>
      </c>
      <c r="C34">
        <v>18972503</v>
      </c>
      <c r="D34" s="1" t="s">
        <v>225</v>
      </c>
      <c r="F34" s="16"/>
      <c r="J34" s="106"/>
      <c r="L34" s="235"/>
    </row>
    <row r="35" spans="2:17" x14ac:dyDescent="0.35">
      <c r="B35" t="s">
        <v>304</v>
      </c>
      <c r="C35" s="16">
        <v>1025291034</v>
      </c>
      <c r="D35" s="1" t="s">
        <v>226</v>
      </c>
    </row>
    <row r="36" spans="2:17" x14ac:dyDescent="0.35">
      <c r="B36" s="24"/>
      <c r="D36" s="25"/>
      <c r="F36" s="138"/>
      <c r="I36" s="76"/>
      <c r="J36" s="76"/>
      <c r="K36" s="76"/>
      <c r="L36" s="76"/>
      <c r="M36" s="77"/>
      <c r="N36" s="88"/>
      <c r="O36" s="76"/>
    </row>
    <row r="37" spans="2:17" x14ac:dyDescent="0.35">
      <c r="B37" t="s">
        <v>307</v>
      </c>
      <c r="C37" s="46"/>
      <c r="D37" s="239" t="s">
        <v>0</v>
      </c>
      <c r="E37" s="1" t="s">
        <v>1</v>
      </c>
      <c r="H37" s="139"/>
      <c r="I37" s="139"/>
      <c r="J37" s="139"/>
      <c r="K37" s="139"/>
      <c r="L37" s="140"/>
      <c r="M37" s="141"/>
      <c r="N37" s="230" t="s">
        <v>299</v>
      </c>
      <c r="O37" s="76">
        <v>20281</v>
      </c>
    </row>
    <row r="38" spans="2:17" x14ac:dyDescent="0.35">
      <c r="B38" t="s">
        <v>308</v>
      </c>
      <c r="C38" s="46" t="s">
        <v>306</v>
      </c>
      <c r="D38" s="240">
        <v>274.51900000000001</v>
      </c>
      <c r="E38" s="238">
        <v>10.65</v>
      </c>
      <c r="H38" s="142"/>
      <c r="I38" s="139"/>
      <c r="J38" s="139"/>
      <c r="K38" s="139"/>
      <c r="L38" s="140"/>
      <c r="M38" s="141"/>
      <c r="N38" s="212"/>
      <c r="O38" s="76"/>
    </row>
    <row r="39" spans="2:17" x14ac:dyDescent="0.35">
      <c r="B39" t="s">
        <v>309</v>
      </c>
      <c r="C39" t="s">
        <v>310</v>
      </c>
      <c r="D39" s="238">
        <f>D38-C10</f>
        <v>-71.663000000000011</v>
      </c>
      <c r="E39" s="238">
        <f>E38-C11</f>
        <v>-7.7520000000000007</v>
      </c>
      <c r="H39" s="143"/>
      <c r="I39" s="76"/>
      <c r="J39" s="77"/>
      <c r="K39" s="76"/>
      <c r="L39" s="76"/>
      <c r="M39" s="77"/>
      <c r="N39" s="317" t="s">
        <v>436</v>
      </c>
      <c r="O39" s="76">
        <v>24212</v>
      </c>
    </row>
    <row r="40" spans="2:17" x14ac:dyDescent="0.35">
      <c r="B40" t="s">
        <v>311</v>
      </c>
      <c r="C40" t="s">
        <v>310</v>
      </c>
      <c r="D40" s="238">
        <f>O10-D38</f>
        <v>169.15699999999998</v>
      </c>
      <c r="E40" s="238">
        <f>O11-E39</f>
        <v>37.393999999999998</v>
      </c>
      <c r="J40" s="106"/>
      <c r="L40" s="76"/>
      <c r="N40" s="212"/>
    </row>
    <row r="41" spans="2:17" x14ac:dyDescent="0.35">
      <c r="N41" s="252" t="s">
        <v>310</v>
      </c>
      <c r="O41">
        <f>O39-O37-O38</f>
        <v>3931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4">
    <cfRule type="cellIs" dxfId="4881" priority="15" stopIfTrue="1" operator="equal">
      <formula>$C$4</formula>
    </cfRule>
    <cfRule type="cellIs" dxfId="4880" priority="14" stopIfTrue="1" operator="lessThan">
      <formula>$C$4</formula>
    </cfRule>
  </conditionalFormatting>
  <conditionalFormatting sqref="D5">
    <cfRule type="cellIs" dxfId="4879" priority="18" stopIfTrue="1" operator="equal">
      <formula>$C$5</formula>
    </cfRule>
    <cfRule type="cellIs" dxfId="4878" priority="19" stopIfTrue="1" operator="lessThan">
      <formula>$C$5</formula>
    </cfRule>
  </conditionalFormatting>
  <conditionalFormatting sqref="D6">
    <cfRule type="cellIs" dxfId="4877" priority="26" stopIfTrue="1" operator="lessThan">
      <formula>$C$6</formula>
    </cfRule>
    <cfRule type="cellIs" dxfId="4876" priority="25" stopIfTrue="1" operator="equal">
      <formula>$C$6</formula>
    </cfRule>
  </conditionalFormatting>
  <conditionalFormatting sqref="D7">
    <cfRule type="cellIs" dxfId="4875" priority="40" stopIfTrue="1" operator="lessThan">
      <formula>$C$7</formula>
    </cfRule>
    <cfRule type="cellIs" dxfId="4874" priority="39" stopIfTrue="1" operator="equal">
      <formula>$C$7</formula>
    </cfRule>
  </conditionalFormatting>
  <conditionalFormatting sqref="D8">
    <cfRule type="cellIs" dxfId="4873" priority="52" stopIfTrue="1" operator="lessThan">
      <formula>$C$8</formula>
    </cfRule>
    <cfRule type="cellIs" dxfId="4872" priority="51" stopIfTrue="1" operator="equal">
      <formula>$C$8</formula>
    </cfRule>
  </conditionalFormatting>
  <conditionalFormatting sqref="D9">
    <cfRule type="cellIs" dxfId="4871" priority="66" stopIfTrue="1" operator="lessThan">
      <formula>$C$9</formula>
    </cfRule>
    <cfRule type="cellIs" dxfId="4870" priority="65" stopIfTrue="1" operator="equal">
      <formula>$C$9</formula>
    </cfRule>
  </conditionalFormatting>
  <conditionalFormatting sqref="D10">
    <cfRule type="cellIs" dxfId="4869" priority="79" stopIfTrue="1" operator="equal">
      <formula>$C$10</formula>
    </cfRule>
    <cfRule type="cellIs" dxfId="4868" priority="80" stopIfTrue="1" operator="lessThan">
      <formula>$C$10</formula>
    </cfRule>
  </conditionalFormatting>
  <conditionalFormatting sqref="D11">
    <cfRule type="cellIs" dxfId="4867" priority="93" stopIfTrue="1" operator="equal">
      <formula>$C$11</formula>
    </cfRule>
    <cfRule type="cellIs" dxfId="4866" priority="94" stopIfTrue="1" operator="lessThan">
      <formula>$C$11</formula>
    </cfRule>
  </conditionalFormatting>
  <conditionalFormatting sqref="D12">
    <cfRule type="cellIs" dxfId="4865" priority="107" stopIfTrue="1" operator="equal">
      <formula>$C$12</formula>
    </cfRule>
    <cfRule type="cellIs" dxfId="4864" priority="108" stopIfTrue="1" operator="lessThan">
      <formula>$C$12</formula>
    </cfRule>
  </conditionalFormatting>
  <conditionalFormatting sqref="D13">
    <cfRule type="cellIs" dxfId="4863" priority="240" stopIfTrue="1" operator="lessThan">
      <formula>$C$13</formula>
    </cfRule>
    <cfRule type="cellIs" dxfId="4862" priority="239" stopIfTrue="1" operator="equal">
      <formula>$C$13</formula>
    </cfRule>
  </conditionalFormatting>
  <conditionalFormatting sqref="D14">
    <cfRule type="cellIs" dxfId="4861" priority="122" stopIfTrue="1" operator="lessThan">
      <formula>$C$14</formula>
    </cfRule>
    <cfRule type="cellIs" dxfId="4860" priority="121" stopIfTrue="1" operator="equal">
      <formula>$C$14</formula>
    </cfRule>
  </conditionalFormatting>
  <conditionalFormatting sqref="D15">
    <cfRule type="cellIs" dxfId="4859" priority="124" stopIfTrue="1" operator="lessThan">
      <formula>$C$15</formula>
    </cfRule>
    <cfRule type="cellIs" dxfId="4858" priority="123" stopIfTrue="1" operator="equal">
      <formula>$C$15</formula>
    </cfRule>
  </conditionalFormatting>
  <conditionalFormatting sqref="D16">
    <cfRule type="cellIs" dxfId="4857" priority="126" stopIfTrue="1" operator="lessThan">
      <formula>$C$16</formula>
    </cfRule>
    <cfRule type="cellIs" dxfId="4856" priority="125" stopIfTrue="1" operator="equal">
      <formula>$C$16</formula>
    </cfRule>
  </conditionalFormatting>
  <conditionalFormatting sqref="D17">
    <cfRule type="cellIs" dxfId="4855" priority="127" stopIfTrue="1" operator="equal">
      <formula>$C$17</formula>
    </cfRule>
    <cfRule type="cellIs" dxfId="4854" priority="128" stopIfTrue="1" operator="lessThan">
      <formula>$C$17</formula>
    </cfRule>
  </conditionalFormatting>
  <conditionalFormatting sqref="D18">
    <cfRule type="cellIs" dxfId="4853" priority="130" stopIfTrue="1" operator="lessThan">
      <formula>$C$18</formula>
    </cfRule>
    <cfRule type="cellIs" dxfId="4852" priority="129" stopIfTrue="1" operator="equal">
      <formula>$C$18</formula>
    </cfRule>
  </conditionalFormatting>
  <conditionalFormatting sqref="D19">
    <cfRule type="cellIs" dxfId="4851" priority="131" stopIfTrue="1" operator="equal">
      <formula>$C$19</formula>
    </cfRule>
    <cfRule type="cellIs" dxfId="4850" priority="132" stopIfTrue="1" operator="lessThan">
      <formula>$C$19</formula>
    </cfRule>
  </conditionalFormatting>
  <conditionalFormatting sqref="D20">
    <cfRule type="cellIs" dxfId="4849" priority="134" stopIfTrue="1" operator="lessThan">
      <formula>$C$20</formula>
    </cfRule>
    <cfRule type="cellIs" dxfId="4848" priority="133" stopIfTrue="1" operator="equal">
      <formula>$C$20</formula>
    </cfRule>
  </conditionalFormatting>
  <conditionalFormatting sqref="D21">
    <cfRule type="cellIs" dxfId="4847" priority="135" stopIfTrue="1" operator="equal">
      <formula>$C$21</formula>
    </cfRule>
    <cfRule type="cellIs" dxfId="4846" priority="136" stopIfTrue="1" operator="lessThan">
      <formula>$C$21</formula>
    </cfRule>
  </conditionalFormatting>
  <conditionalFormatting sqref="D22">
    <cfRule type="cellIs" dxfId="4845" priority="137" stopIfTrue="1" operator="equal">
      <formula>$C$22</formula>
    </cfRule>
    <cfRule type="cellIs" dxfId="4844" priority="138" stopIfTrue="1" operator="lessThan">
      <formula>$C$22</formula>
    </cfRule>
  </conditionalFormatting>
  <conditionalFormatting sqref="D23">
    <cfRule type="cellIs" dxfId="4843" priority="139" stopIfTrue="1" operator="equal">
      <formula>$C$23</formula>
    </cfRule>
    <cfRule type="cellIs" dxfId="4842" priority="140" stopIfTrue="1" operator="lessThan">
      <formula>$C$23</formula>
    </cfRule>
  </conditionalFormatting>
  <conditionalFormatting sqref="D24">
    <cfRule type="cellIs" dxfId="4841" priority="272" stopIfTrue="1" operator="lessThan">
      <formula>$C$24</formula>
    </cfRule>
    <cfRule type="cellIs" dxfId="4840" priority="271" stopIfTrue="1" operator="equal">
      <formula>$C$24</formula>
    </cfRule>
  </conditionalFormatting>
  <conditionalFormatting sqref="D25">
    <cfRule type="cellIs" dxfId="4839" priority="141" stopIfTrue="1" operator="equal">
      <formula>$C$25</formula>
    </cfRule>
    <cfRule type="cellIs" dxfId="4838" priority="142" stopIfTrue="1" operator="lessThan">
      <formula>$C$25</formula>
    </cfRule>
  </conditionalFormatting>
  <conditionalFormatting sqref="D26">
    <cfRule type="cellIs" dxfId="4837" priority="144" stopIfTrue="1" operator="lessThan">
      <formula>$C$26</formula>
    </cfRule>
    <cfRule type="cellIs" dxfId="4836" priority="143" stopIfTrue="1" operator="equal">
      <formula>$C$26</formula>
    </cfRule>
  </conditionalFormatting>
  <conditionalFormatting sqref="D27">
    <cfRule type="cellIs" dxfId="4835" priority="146" stopIfTrue="1" operator="lessThan">
      <formula>$C$27</formula>
    </cfRule>
    <cfRule type="cellIs" dxfId="4834" priority="145" stopIfTrue="1" operator="equal">
      <formula>$C$27</formula>
    </cfRule>
  </conditionalFormatting>
  <conditionalFormatting sqref="D28">
    <cfRule type="cellIs" dxfId="4833" priority="148" stopIfTrue="1" operator="lessThan">
      <formula>$C$28</formula>
    </cfRule>
    <cfRule type="cellIs" dxfId="4832" priority="147" stopIfTrue="1" operator="equal">
      <formula>$C$28</formula>
    </cfRule>
  </conditionalFormatting>
  <conditionalFormatting sqref="D29:H29 J29">
    <cfRule type="cellIs" dxfId="4831" priority="286" stopIfTrue="1" operator="equal">
      <formula>0</formula>
    </cfRule>
  </conditionalFormatting>
  <conditionalFormatting sqref="E4">
    <cfRule type="cellIs" dxfId="4830" priority="17" stopIfTrue="1" operator="lessThan">
      <formula>$D$4</formula>
    </cfRule>
    <cfRule type="cellIs" dxfId="4829" priority="16" stopIfTrue="1" operator="equal">
      <formula>$D$4</formula>
    </cfRule>
  </conditionalFormatting>
  <conditionalFormatting sqref="E5">
    <cfRule type="cellIs" dxfId="4828" priority="282" stopIfTrue="1" operator="lessThan">
      <formula>$D$5</formula>
    </cfRule>
    <cfRule type="cellIs" dxfId="4827" priority="281" stopIfTrue="1" operator="equal">
      <formula>$D$5</formula>
    </cfRule>
  </conditionalFormatting>
  <conditionalFormatting sqref="E6">
    <cfRule type="cellIs" dxfId="4826" priority="28" stopIfTrue="1" operator="lessThan">
      <formula>$D$6</formula>
    </cfRule>
    <cfRule type="cellIs" dxfId="4825" priority="27" stopIfTrue="1" operator="equal">
      <formula>$D$6</formula>
    </cfRule>
  </conditionalFormatting>
  <conditionalFormatting sqref="E7">
    <cfRule type="cellIs" dxfId="4824" priority="41" stopIfTrue="1" operator="equal">
      <formula>$D$7</formula>
    </cfRule>
    <cfRule type="cellIs" dxfId="4823" priority="42" stopIfTrue="1" operator="lessThan">
      <formula>$D$7</formula>
    </cfRule>
  </conditionalFormatting>
  <conditionalFormatting sqref="E8">
    <cfRule type="cellIs" dxfId="4822" priority="53" stopIfTrue="1" operator="equal">
      <formula>$D$8</formula>
    </cfRule>
    <cfRule type="cellIs" dxfId="4821" priority="54" stopIfTrue="1" operator="lessThan">
      <formula>$D$8</formula>
    </cfRule>
  </conditionalFormatting>
  <conditionalFormatting sqref="E9">
    <cfRule type="cellIs" dxfId="4820" priority="68" stopIfTrue="1" operator="lessThan">
      <formula>$D$9</formula>
    </cfRule>
    <cfRule type="cellIs" dxfId="4819" priority="67" stopIfTrue="1" operator="equal">
      <formula>$D$9</formula>
    </cfRule>
  </conditionalFormatting>
  <conditionalFormatting sqref="E10">
    <cfRule type="cellIs" dxfId="4818" priority="81" stopIfTrue="1" operator="equal">
      <formula>$D$10</formula>
    </cfRule>
    <cfRule type="cellIs" dxfId="4817" priority="82" stopIfTrue="1" operator="lessThan">
      <formula>$D$10</formula>
    </cfRule>
  </conditionalFormatting>
  <conditionalFormatting sqref="E11">
    <cfRule type="cellIs" dxfId="4816" priority="96" stopIfTrue="1" operator="lessThan">
      <formula>$D$11</formula>
    </cfRule>
    <cfRule type="cellIs" dxfId="4815" priority="95" stopIfTrue="1" operator="equal">
      <formula>$D$11</formula>
    </cfRule>
  </conditionalFormatting>
  <conditionalFormatting sqref="E12">
    <cfRule type="cellIs" dxfId="4814" priority="110" stopIfTrue="1" operator="lessThan">
      <formula>$D$12</formula>
    </cfRule>
    <cfRule type="cellIs" dxfId="4813" priority="109" stopIfTrue="1" operator="equal">
      <formula>$D$12</formula>
    </cfRule>
  </conditionalFormatting>
  <conditionalFormatting sqref="E13">
    <cfRule type="cellIs" dxfId="4812" priority="149" stopIfTrue="1" operator="equal">
      <formula>$D$13</formula>
    </cfRule>
    <cfRule type="cellIs" dxfId="4811" priority="150" stopIfTrue="1" operator="lessThan">
      <formula>$D$13</formula>
    </cfRule>
  </conditionalFormatting>
  <conditionalFormatting sqref="E14">
    <cfRule type="cellIs" dxfId="4810" priority="151" stopIfTrue="1" operator="equal">
      <formula>$D$14</formula>
    </cfRule>
    <cfRule type="cellIs" dxfId="4809" priority="152" stopIfTrue="1" operator="lessThan">
      <formula>$D$14</formula>
    </cfRule>
  </conditionalFormatting>
  <conditionalFormatting sqref="E15">
    <cfRule type="cellIs" dxfId="4808" priority="154" stopIfTrue="1" operator="lessThan">
      <formula>$D$15</formula>
    </cfRule>
    <cfRule type="cellIs" dxfId="4807" priority="153" stopIfTrue="1" operator="equal">
      <formula>$D$15</formula>
    </cfRule>
  </conditionalFormatting>
  <conditionalFormatting sqref="E16">
    <cfRule type="cellIs" dxfId="4806" priority="155" stopIfTrue="1" operator="equal">
      <formula>$D$16</formula>
    </cfRule>
    <cfRule type="cellIs" dxfId="4805" priority="156" stopIfTrue="1" operator="lessThan">
      <formula>$D$16</formula>
    </cfRule>
  </conditionalFormatting>
  <conditionalFormatting sqref="E17">
    <cfRule type="cellIs" dxfId="4804" priority="157" stopIfTrue="1" operator="equal">
      <formula>$D$17</formula>
    </cfRule>
    <cfRule type="cellIs" dxfId="4803" priority="158" stopIfTrue="1" operator="lessThan">
      <formula>$D$17</formula>
    </cfRule>
  </conditionalFormatting>
  <conditionalFormatting sqref="E18">
    <cfRule type="cellIs" dxfId="4802" priority="160" stopIfTrue="1" operator="lessThan">
      <formula>$D$18</formula>
    </cfRule>
    <cfRule type="cellIs" dxfId="4801" priority="159" stopIfTrue="1" operator="equal">
      <formula>$D$18</formula>
    </cfRule>
  </conditionalFormatting>
  <conditionalFormatting sqref="E19">
    <cfRule type="cellIs" dxfId="4800" priority="161" stopIfTrue="1" operator="equal">
      <formula>$D$19</formula>
    </cfRule>
    <cfRule type="cellIs" dxfId="4799" priority="162" stopIfTrue="1" operator="lessThan">
      <formula>$D$19</formula>
    </cfRule>
  </conditionalFormatting>
  <conditionalFormatting sqref="E20">
    <cfRule type="cellIs" dxfId="4798" priority="163" stopIfTrue="1" operator="equal">
      <formula>$D$20</formula>
    </cfRule>
    <cfRule type="cellIs" dxfId="4797" priority="164" stopIfTrue="1" operator="lessThan">
      <formula>$D$20</formula>
    </cfRule>
  </conditionalFormatting>
  <conditionalFormatting sqref="E21">
    <cfRule type="cellIs" dxfId="4796" priority="165" stopIfTrue="1" operator="equal">
      <formula>$D$21</formula>
    </cfRule>
    <cfRule type="cellIs" dxfId="4795" priority="166" stopIfTrue="1" operator="lessThan">
      <formula>$D$21</formula>
    </cfRule>
  </conditionalFormatting>
  <conditionalFormatting sqref="E22">
    <cfRule type="cellIs" dxfId="4794" priority="167" stopIfTrue="1" operator="equal">
      <formula>$D$22</formula>
    </cfRule>
    <cfRule type="cellIs" dxfId="4793" priority="168" stopIfTrue="1" operator="lessThan">
      <formula>$D$22</formula>
    </cfRule>
  </conditionalFormatting>
  <conditionalFormatting sqref="E23">
    <cfRule type="cellIs" dxfId="4792" priority="170" stopIfTrue="1" operator="lessThan">
      <formula>$D$23</formula>
    </cfRule>
    <cfRule type="cellIs" dxfId="4791" priority="169" stopIfTrue="1" operator="equal">
      <formula>$D$23</formula>
    </cfRule>
  </conditionalFormatting>
  <conditionalFormatting sqref="E24">
    <cfRule type="cellIs" dxfId="4790" priority="273" stopIfTrue="1" operator="equal">
      <formula>$D$24</formula>
    </cfRule>
    <cfRule type="cellIs" dxfId="4789" priority="274" stopIfTrue="1" operator="lessThan">
      <formula>$D$24</formula>
    </cfRule>
  </conditionalFormatting>
  <conditionalFormatting sqref="E25">
    <cfRule type="cellIs" dxfId="4788" priority="172" stopIfTrue="1" operator="lessThan">
      <formula>$D$25</formula>
    </cfRule>
    <cfRule type="cellIs" dxfId="4787" priority="171" stopIfTrue="1" operator="equal">
      <formula>$D$25</formula>
    </cfRule>
  </conditionalFormatting>
  <conditionalFormatting sqref="E26">
    <cfRule type="cellIs" dxfId="4786" priority="173" stopIfTrue="1" operator="equal">
      <formula>$D$26</formula>
    </cfRule>
    <cfRule type="cellIs" dxfId="4785" priority="174" stopIfTrue="1" operator="lessThan">
      <formula>$D$26</formula>
    </cfRule>
  </conditionalFormatting>
  <conditionalFormatting sqref="E27">
    <cfRule type="cellIs" dxfId="4784" priority="175" stopIfTrue="1" operator="equal">
      <formula>$D$27</formula>
    </cfRule>
    <cfRule type="cellIs" dxfId="4783" priority="176" stopIfTrue="1" operator="lessThan">
      <formula>$D$27</formula>
    </cfRule>
  </conditionalFormatting>
  <conditionalFormatting sqref="E28">
    <cfRule type="cellIs" dxfId="4782" priority="177" stopIfTrue="1" operator="equal">
      <formula>$D$28</formula>
    </cfRule>
    <cfRule type="cellIs" dxfId="4781" priority="178" stopIfTrue="1" operator="lessThan">
      <formula>$D$28</formula>
    </cfRule>
  </conditionalFormatting>
  <conditionalFormatting sqref="F4">
    <cfRule type="cellIs" dxfId="4780" priority="12" stopIfTrue="1" operator="equal">
      <formula>$E$4</formula>
    </cfRule>
    <cfRule type="cellIs" dxfId="4779" priority="13" stopIfTrue="1" operator="lessThan">
      <formula>$E$4</formula>
    </cfRule>
  </conditionalFormatting>
  <conditionalFormatting sqref="F5">
    <cfRule type="cellIs" dxfId="4778" priority="20" stopIfTrue="1" operator="equal">
      <formula>$E$5</formula>
    </cfRule>
    <cfRule type="cellIs" dxfId="4777" priority="21" stopIfTrue="1" operator="lessThan">
      <formula>$E$5</formula>
    </cfRule>
  </conditionalFormatting>
  <conditionalFormatting sqref="F6">
    <cfRule type="cellIs" dxfId="4776" priority="29" stopIfTrue="1" operator="equal">
      <formula>$E$6</formula>
    </cfRule>
    <cfRule type="cellIs" dxfId="4775" priority="30" stopIfTrue="1" operator="lessThan">
      <formula>$E$6</formula>
    </cfRule>
  </conditionalFormatting>
  <conditionalFormatting sqref="F7">
    <cfRule type="cellIs" dxfId="4774" priority="44" stopIfTrue="1" operator="lessThan">
      <formula>$E$7</formula>
    </cfRule>
    <cfRule type="cellIs" dxfId="4773" priority="43" stopIfTrue="1" operator="equal">
      <formula>$E$7</formula>
    </cfRule>
  </conditionalFormatting>
  <conditionalFormatting sqref="F8">
    <cfRule type="cellIs" dxfId="4772" priority="56" stopIfTrue="1" operator="lessThan">
      <formula>$E$8</formula>
    </cfRule>
    <cfRule type="cellIs" dxfId="4771" priority="55" stopIfTrue="1" operator="equal">
      <formula>$E$8</formula>
    </cfRule>
  </conditionalFormatting>
  <conditionalFormatting sqref="F9">
    <cfRule type="cellIs" dxfId="4770" priority="70" stopIfTrue="1" operator="lessThan">
      <formula>$E$9</formula>
    </cfRule>
    <cfRule type="cellIs" dxfId="4769" priority="69" stopIfTrue="1" operator="equal">
      <formula>$E$9</formula>
    </cfRule>
  </conditionalFormatting>
  <conditionalFormatting sqref="F10">
    <cfRule type="cellIs" dxfId="4768" priority="84" stopIfTrue="1" operator="lessThan">
      <formula>$E$10</formula>
    </cfRule>
    <cfRule type="cellIs" dxfId="4767" priority="83" stopIfTrue="1" operator="equal">
      <formula>$E$10</formula>
    </cfRule>
  </conditionalFormatting>
  <conditionalFormatting sqref="F11">
    <cfRule type="cellIs" dxfId="4766" priority="98" stopIfTrue="1" operator="lessThan">
      <formula>$E$11</formula>
    </cfRule>
    <cfRule type="cellIs" dxfId="4765" priority="97" stopIfTrue="1" operator="equal">
      <formula>$E$11</formula>
    </cfRule>
  </conditionalFormatting>
  <conditionalFormatting sqref="F12">
    <cfRule type="cellIs" dxfId="4764" priority="111" stopIfTrue="1" operator="equal">
      <formula>$E$12</formula>
    </cfRule>
    <cfRule type="cellIs" dxfId="4763" priority="112" stopIfTrue="1" operator="lessThan">
      <formula>$E$12</formula>
    </cfRule>
  </conditionalFormatting>
  <conditionalFormatting sqref="F13">
    <cfRule type="cellIs" dxfId="4762" priority="179" stopIfTrue="1" operator="equal">
      <formula>$E$13</formula>
    </cfRule>
    <cfRule type="cellIs" dxfId="4761" priority="180" stopIfTrue="1" operator="lessThan">
      <formula>$E$13</formula>
    </cfRule>
  </conditionalFormatting>
  <conditionalFormatting sqref="F14">
    <cfRule type="cellIs" dxfId="4760" priority="181" stopIfTrue="1" operator="equal">
      <formula>$E$14</formula>
    </cfRule>
    <cfRule type="cellIs" dxfId="4759" priority="182" stopIfTrue="1" operator="lessThan">
      <formula>$E$14</formula>
    </cfRule>
  </conditionalFormatting>
  <conditionalFormatting sqref="F15">
    <cfRule type="cellIs" dxfId="4758" priority="183" stopIfTrue="1" operator="equal">
      <formula>$E$15</formula>
    </cfRule>
    <cfRule type="cellIs" dxfId="4757" priority="184" stopIfTrue="1" operator="lessThan">
      <formula>$E$15</formula>
    </cfRule>
  </conditionalFormatting>
  <conditionalFormatting sqref="F16">
    <cfRule type="cellIs" dxfId="4756" priority="185" stopIfTrue="1" operator="equal">
      <formula>$E$16</formula>
    </cfRule>
    <cfRule type="cellIs" dxfId="4755" priority="186" stopIfTrue="1" operator="lessThan">
      <formula>$E$16</formula>
    </cfRule>
  </conditionalFormatting>
  <conditionalFormatting sqref="F17">
    <cfRule type="cellIs" dxfId="4754" priority="187" stopIfTrue="1" operator="equal">
      <formula>$E$17</formula>
    </cfRule>
    <cfRule type="cellIs" dxfId="4753" priority="188" stopIfTrue="1" operator="lessThan">
      <formula>$E$17</formula>
    </cfRule>
  </conditionalFormatting>
  <conditionalFormatting sqref="F18">
    <cfRule type="cellIs" dxfId="4752" priority="189" stopIfTrue="1" operator="equal">
      <formula>$E$18</formula>
    </cfRule>
    <cfRule type="cellIs" dxfId="4751" priority="190" stopIfTrue="1" operator="lessThan">
      <formula>$E$18</formula>
    </cfRule>
  </conditionalFormatting>
  <conditionalFormatting sqref="F19">
    <cfRule type="cellIs" dxfId="4750" priority="192" stopIfTrue="1" operator="lessThan">
      <formula>$E$19</formula>
    </cfRule>
    <cfRule type="cellIs" dxfId="4749" priority="191" stopIfTrue="1" operator="equal">
      <formula>$E$19</formula>
    </cfRule>
  </conditionalFormatting>
  <conditionalFormatting sqref="F20">
    <cfRule type="cellIs" dxfId="4748" priority="194" stopIfTrue="1" operator="lessThan">
      <formula>$E$20</formula>
    </cfRule>
    <cfRule type="cellIs" dxfId="4747" priority="193" stopIfTrue="1" operator="equal">
      <formula>$E$20</formula>
    </cfRule>
  </conditionalFormatting>
  <conditionalFormatting sqref="F21">
    <cfRule type="cellIs" dxfId="4746" priority="196" stopIfTrue="1" operator="lessThan">
      <formula>$E$21</formula>
    </cfRule>
    <cfRule type="cellIs" dxfId="4745" priority="195" stopIfTrue="1" operator="equal">
      <formula>$E$21</formula>
    </cfRule>
  </conditionalFormatting>
  <conditionalFormatting sqref="F22">
    <cfRule type="cellIs" dxfId="4744" priority="197" stopIfTrue="1" operator="equal">
      <formula>$E$22</formula>
    </cfRule>
    <cfRule type="cellIs" dxfId="4743" priority="198" stopIfTrue="1" operator="lessThan">
      <formula>$E$22</formula>
    </cfRule>
  </conditionalFormatting>
  <conditionalFormatting sqref="F23">
    <cfRule type="cellIs" dxfId="4742" priority="200" stopIfTrue="1" operator="lessThan">
      <formula>$E$23</formula>
    </cfRule>
    <cfRule type="cellIs" dxfId="4741" priority="199" stopIfTrue="1" operator="equal">
      <formula>$E$23</formula>
    </cfRule>
  </conditionalFormatting>
  <conditionalFormatting sqref="F24">
    <cfRule type="cellIs" dxfId="4740" priority="275" stopIfTrue="1" operator="equal">
      <formula>$E$24</formula>
    </cfRule>
    <cfRule type="cellIs" dxfId="4739" priority="276" stopIfTrue="1" operator="lessThan">
      <formula>$E$24</formula>
    </cfRule>
  </conditionalFormatting>
  <conditionalFormatting sqref="F25">
    <cfRule type="cellIs" dxfId="4738" priority="201" stopIfTrue="1" operator="equal">
      <formula>$E$25</formula>
    </cfRule>
    <cfRule type="cellIs" dxfId="4737" priority="202" stopIfTrue="1" operator="lessThan">
      <formula>$E$25</formula>
    </cfRule>
  </conditionalFormatting>
  <conditionalFormatting sqref="F26">
    <cfRule type="cellIs" dxfId="4736" priority="203" stopIfTrue="1" operator="equal">
      <formula>$E$26</formula>
    </cfRule>
    <cfRule type="cellIs" dxfId="4735" priority="204" stopIfTrue="1" operator="lessThan">
      <formula>$E$26</formula>
    </cfRule>
  </conditionalFormatting>
  <conditionalFormatting sqref="F27">
    <cfRule type="cellIs" dxfId="4734" priority="206" stopIfTrue="1" operator="lessThan">
      <formula>$E$27</formula>
    </cfRule>
    <cfRule type="cellIs" dxfId="4733" priority="205" stopIfTrue="1" operator="equal">
      <formula>$E$27</formula>
    </cfRule>
  </conditionalFormatting>
  <conditionalFormatting sqref="F28">
    <cfRule type="cellIs" dxfId="4732" priority="207" stopIfTrue="1" operator="equal">
      <formula>$E$28</formula>
    </cfRule>
    <cfRule type="cellIs" dxfId="4731" priority="208" stopIfTrue="1" operator="lessThan">
      <formula>$E$28</formula>
    </cfRule>
  </conditionalFormatting>
  <conditionalFormatting sqref="G4">
    <cfRule type="cellIs" dxfId="4730" priority="285" stopIfTrue="1" operator="equal">
      <formula>$F$4</formula>
    </cfRule>
  </conditionalFormatting>
  <conditionalFormatting sqref="G5">
    <cfRule type="cellIs" dxfId="4729" priority="283" stopIfTrue="1" operator="equal">
      <formula>$F$5</formula>
    </cfRule>
    <cfRule type="cellIs" dxfId="4728" priority="284" stopIfTrue="1" operator="lessThan">
      <formula>$F$5</formula>
    </cfRule>
  </conditionalFormatting>
  <conditionalFormatting sqref="G6">
    <cfRule type="cellIs" dxfId="4727" priority="31" stopIfTrue="1" operator="equal">
      <formula>$F$6</formula>
    </cfRule>
    <cfRule type="cellIs" dxfId="4726" priority="32" stopIfTrue="1" operator="lessThan">
      <formula>$F$6</formula>
    </cfRule>
  </conditionalFormatting>
  <conditionalFormatting sqref="G7">
    <cfRule type="cellIs" dxfId="4725" priority="4" stopIfTrue="1" operator="equal">
      <formula>$F$7</formula>
    </cfRule>
    <cfRule type="cellIs" dxfId="4724" priority="5" stopIfTrue="1" operator="lessThan">
      <formula>$F$7</formula>
    </cfRule>
  </conditionalFormatting>
  <conditionalFormatting sqref="G8">
    <cfRule type="cellIs" dxfId="4723" priority="57" stopIfTrue="1" operator="equal">
      <formula>$F$8</formula>
    </cfRule>
    <cfRule type="cellIs" dxfId="4722" priority="58" stopIfTrue="1" operator="lessThan">
      <formula>$F$8</formula>
    </cfRule>
  </conditionalFormatting>
  <conditionalFormatting sqref="G9">
    <cfRule type="cellIs" dxfId="4721" priority="72" stopIfTrue="1" operator="lessThan">
      <formula>$F$9</formula>
    </cfRule>
    <cfRule type="cellIs" dxfId="4720" priority="71" stopIfTrue="1" operator="equal">
      <formula>$F$9</formula>
    </cfRule>
  </conditionalFormatting>
  <conditionalFormatting sqref="G10">
    <cfRule type="cellIs" dxfId="4719" priority="86" stopIfTrue="1" operator="lessThan">
      <formula>$F$10</formula>
    </cfRule>
    <cfRule type="cellIs" dxfId="4718" priority="85" stopIfTrue="1" operator="equal">
      <formula>$F$10</formula>
    </cfRule>
  </conditionalFormatting>
  <conditionalFormatting sqref="G11">
    <cfRule type="cellIs" dxfId="4717" priority="100" stopIfTrue="1" operator="lessThan">
      <formula>$F$11</formula>
    </cfRule>
    <cfRule type="cellIs" dxfId="4716" priority="99" stopIfTrue="1" operator="equal">
      <formula>$F$11</formula>
    </cfRule>
  </conditionalFormatting>
  <conditionalFormatting sqref="G12">
    <cfRule type="cellIs" dxfId="4715" priority="114" stopIfTrue="1" operator="lessThan">
      <formula>$F$12</formula>
    </cfRule>
    <cfRule type="cellIs" dxfId="4714" priority="113" stopIfTrue="1" operator="equal">
      <formula>$F$12</formula>
    </cfRule>
  </conditionalFormatting>
  <conditionalFormatting sqref="G13">
    <cfRule type="cellIs" dxfId="4713" priority="210" stopIfTrue="1" operator="lessThan">
      <formula>$F$13</formula>
    </cfRule>
    <cfRule type="cellIs" dxfId="4712" priority="209" stopIfTrue="1" operator="equal">
      <formula>$F$13</formula>
    </cfRule>
  </conditionalFormatting>
  <conditionalFormatting sqref="G14">
    <cfRule type="cellIs" dxfId="4711" priority="211" stopIfTrue="1" operator="equal">
      <formula>$F$14</formula>
    </cfRule>
    <cfRule type="cellIs" dxfId="4710" priority="212" stopIfTrue="1" operator="lessThan">
      <formula>$F$14</formula>
    </cfRule>
  </conditionalFormatting>
  <conditionalFormatting sqref="G15">
    <cfRule type="cellIs" dxfId="4709" priority="214" stopIfTrue="1" operator="lessThan">
      <formula>$F$15</formula>
    </cfRule>
    <cfRule type="cellIs" dxfId="4708" priority="213" stopIfTrue="1" operator="equal">
      <formula>$F$15</formula>
    </cfRule>
  </conditionalFormatting>
  <conditionalFormatting sqref="G16">
    <cfRule type="cellIs" dxfId="4707" priority="216" stopIfTrue="1" operator="lessThan">
      <formula>$F$16</formula>
    </cfRule>
    <cfRule type="cellIs" dxfId="4706" priority="215" stopIfTrue="1" operator="equal">
      <formula>$F$16</formula>
    </cfRule>
  </conditionalFormatting>
  <conditionalFormatting sqref="G17">
    <cfRule type="cellIs" dxfId="4705" priority="217" stopIfTrue="1" operator="equal">
      <formula>$F$17</formula>
    </cfRule>
    <cfRule type="cellIs" dxfId="4704" priority="218" stopIfTrue="1" operator="lessThan">
      <formula>$F$17</formula>
    </cfRule>
  </conditionalFormatting>
  <conditionalFormatting sqref="G18">
    <cfRule type="cellIs" dxfId="4703" priority="220" stopIfTrue="1" operator="lessThan">
      <formula>$F$18</formula>
    </cfRule>
    <cfRule type="cellIs" dxfId="4702" priority="219" stopIfTrue="1" operator="equal">
      <formula>$F$18</formula>
    </cfRule>
  </conditionalFormatting>
  <conditionalFormatting sqref="G19">
    <cfRule type="cellIs" dxfId="4701" priority="222" stopIfTrue="1" operator="lessThan">
      <formula>$F$19</formula>
    </cfRule>
    <cfRule type="cellIs" dxfId="4700" priority="221" stopIfTrue="1" operator="equal">
      <formula>$F$19</formula>
    </cfRule>
  </conditionalFormatting>
  <conditionalFormatting sqref="G20">
    <cfRule type="cellIs" dxfId="4699" priority="224" stopIfTrue="1" operator="lessThan">
      <formula>$F$20</formula>
    </cfRule>
    <cfRule type="cellIs" dxfId="4698" priority="223" stopIfTrue="1" operator="equal">
      <formula>$F$20</formula>
    </cfRule>
  </conditionalFormatting>
  <conditionalFormatting sqref="G21">
    <cfRule type="cellIs" dxfId="4697" priority="226" stopIfTrue="1" operator="lessThan">
      <formula>$F$21</formula>
    </cfRule>
    <cfRule type="cellIs" dxfId="4696" priority="225" stopIfTrue="1" operator="equal">
      <formula>$F$21</formula>
    </cfRule>
  </conditionalFormatting>
  <conditionalFormatting sqref="G22">
    <cfRule type="cellIs" dxfId="4695" priority="228" stopIfTrue="1" operator="lessThan">
      <formula>$F$22</formula>
    </cfRule>
    <cfRule type="cellIs" dxfId="4694" priority="227" stopIfTrue="1" operator="equal">
      <formula>$F$22</formula>
    </cfRule>
  </conditionalFormatting>
  <conditionalFormatting sqref="G23">
    <cfRule type="cellIs" dxfId="4693" priority="230" stopIfTrue="1" operator="lessThan">
      <formula>$F$23</formula>
    </cfRule>
    <cfRule type="cellIs" dxfId="4692" priority="229" stopIfTrue="1" operator="equal">
      <formula>$F$23</formula>
    </cfRule>
  </conditionalFormatting>
  <conditionalFormatting sqref="G24">
    <cfRule type="cellIs" dxfId="4691" priority="277" stopIfTrue="1" operator="equal">
      <formula>$F$24</formula>
    </cfRule>
    <cfRule type="cellIs" dxfId="4690" priority="278" stopIfTrue="1" operator="lessThan">
      <formula>$F$24</formula>
    </cfRule>
  </conditionalFormatting>
  <conditionalFormatting sqref="G25">
    <cfRule type="cellIs" dxfId="4689" priority="232" stopIfTrue="1" operator="lessThan">
      <formula>$F$25</formula>
    </cfRule>
    <cfRule type="cellIs" dxfId="4688" priority="231" stopIfTrue="1" operator="equal">
      <formula>$F$25</formula>
    </cfRule>
  </conditionalFormatting>
  <conditionalFormatting sqref="G26">
    <cfRule type="cellIs" dxfId="4687" priority="234" stopIfTrue="1" operator="lessThan">
      <formula>$F$26</formula>
    </cfRule>
    <cfRule type="cellIs" dxfId="4686" priority="233" stopIfTrue="1" operator="equal">
      <formula>$F$26</formula>
    </cfRule>
  </conditionalFormatting>
  <conditionalFormatting sqref="G27">
    <cfRule type="cellIs" dxfId="4685" priority="236" stopIfTrue="1" operator="lessThan">
      <formula>$F$27</formula>
    </cfRule>
    <cfRule type="cellIs" dxfId="4684" priority="235" stopIfTrue="1" operator="equal">
      <formula>$F$27</formula>
    </cfRule>
  </conditionalFormatting>
  <conditionalFormatting sqref="G28">
    <cfRule type="cellIs" dxfId="4683" priority="237" stopIfTrue="1" operator="equal">
      <formula>$F$28</formula>
    </cfRule>
    <cfRule type="cellIs" dxfId="4682" priority="238" stopIfTrue="1" operator="lessThan">
      <formula>$F$28</formula>
    </cfRule>
  </conditionalFormatting>
  <conditionalFormatting sqref="H4">
    <cfRule type="cellIs" dxfId="4681" priority="3" stopIfTrue="1" operator="equal">
      <formula>$G$4</formula>
    </cfRule>
    <cfRule type="cellIs" dxfId="4680" priority="2" stopIfTrue="1" operator="lessThan">
      <formula>$G$4</formula>
    </cfRule>
  </conditionalFormatting>
  <conditionalFormatting sqref="H5">
    <cfRule type="cellIs" dxfId="4679" priority="6" stopIfTrue="1" operator="equal">
      <formula>$G$5</formula>
    </cfRule>
    <cfRule type="cellIs" dxfId="4678" priority="7" stopIfTrue="1" operator="lessThan">
      <formula>$G$5</formula>
    </cfRule>
  </conditionalFormatting>
  <conditionalFormatting sqref="H6">
    <cfRule type="cellIs" dxfId="4677" priority="34" stopIfTrue="1" operator="lessThan">
      <formula>$G$6</formula>
    </cfRule>
    <cfRule type="cellIs" dxfId="4676" priority="33" stopIfTrue="1" operator="equal">
      <formula>$G$6</formula>
    </cfRule>
  </conditionalFormatting>
  <conditionalFormatting sqref="H7">
    <cfRule type="cellIs" dxfId="4675" priority="46" stopIfTrue="1" operator="lessThan">
      <formula>$G$7</formula>
    </cfRule>
    <cfRule type="cellIs" dxfId="4674" priority="45" stopIfTrue="1" operator="equal">
      <formula>$G$7</formula>
    </cfRule>
  </conditionalFormatting>
  <conditionalFormatting sqref="H8">
    <cfRule type="cellIs" dxfId="4673" priority="60" stopIfTrue="1" operator="lessThan">
      <formula>$G$8</formula>
    </cfRule>
    <cfRule type="cellIs" dxfId="4672" priority="59" stopIfTrue="1" operator="equal">
      <formula>$G$8</formula>
    </cfRule>
  </conditionalFormatting>
  <conditionalFormatting sqref="H9">
    <cfRule type="cellIs" dxfId="4671" priority="73" stopIfTrue="1" operator="equal">
      <formula>$G$9</formula>
    </cfRule>
    <cfRule type="cellIs" dxfId="4670" priority="74" stopIfTrue="1" operator="lessThan">
      <formula>$G$9</formula>
    </cfRule>
  </conditionalFormatting>
  <conditionalFormatting sqref="H10">
    <cfRule type="cellIs" dxfId="4669" priority="88" stopIfTrue="1" operator="lessThan">
      <formula>$G$10</formula>
    </cfRule>
    <cfRule type="cellIs" dxfId="4668" priority="87" stopIfTrue="1" operator="equal">
      <formula>$G$10</formula>
    </cfRule>
  </conditionalFormatting>
  <conditionalFormatting sqref="H11">
    <cfRule type="cellIs" dxfId="4667" priority="101" stopIfTrue="1" operator="equal">
      <formula>$G$11</formula>
    </cfRule>
    <cfRule type="cellIs" dxfId="4666" priority="102" stopIfTrue="1" operator="lessThan">
      <formula>$G$11</formula>
    </cfRule>
  </conditionalFormatting>
  <conditionalFormatting sqref="H12">
    <cfRule type="cellIs" dxfId="4665" priority="116" stopIfTrue="1" operator="lessThan">
      <formula>$G$12</formula>
    </cfRule>
    <cfRule type="cellIs" dxfId="4664" priority="115" stopIfTrue="1" operator="equal">
      <formula>$G$12</formula>
    </cfRule>
  </conditionalFormatting>
  <conditionalFormatting sqref="H13">
    <cfRule type="cellIs" dxfId="4663" priority="242" stopIfTrue="1" operator="lessThan">
      <formula>$G$13</formula>
    </cfRule>
    <cfRule type="cellIs" dxfId="4662" priority="241" stopIfTrue="1" operator="equal">
      <formula>$G$13</formula>
    </cfRule>
  </conditionalFormatting>
  <conditionalFormatting sqref="H14">
    <cfRule type="cellIs" dxfId="4661" priority="244" stopIfTrue="1" operator="lessThan">
      <formula>$G$14</formula>
    </cfRule>
    <cfRule type="cellIs" dxfId="4660" priority="243" stopIfTrue="1" operator="equal">
      <formula>$G$14</formula>
    </cfRule>
  </conditionalFormatting>
  <conditionalFormatting sqref="H15">
    <cfRule type="cellIs" dxfId="4659" priority="245" stopIfTrue="1" operator="equal">
      <formula>$G$15</formula>
    </cfRule>
    <cfRule type="cellIs" dxfId="4658" priority="246" stopIfTrue="1" operator="lessThan">
      <formula>$G$15</formula>
    </cfRule>
  </conditionalFormatting>
  <conditionalFormatting sqref="H16">
    <cfRule type="cellIs" dxfId="4657" priority="247" stopIfTrue="1" operator="equal">
      <formula>$G$16</formula>
    </cfRule>
    <cfRule type="cellIs" dxfId="4656" priority="248" stopIfTrue="1" operator="lessThan">
      <formula>$G$16</formula>
    </cfRule>
  </conditionalFormatting>
  <conditionalFormatting sqref="H17">
    <cfRule type="cellIs" dxfId="4655" priority="250" stopIfTrue="1" operator="lessThan">
      <formula>$G$17</formula>
    </cfRule>
    <cfRule type="cellIs" dxfId="4654" priority="249" stopIfTrue="1" operator="equal">
      <formula>$G$17</formula>
    </cfRule>
  </conditionalFormatting>
  <conditionalFormatting sqref="H18">
    <cfRule type="cellIs" dxfId="4653" priority="252" stopIfTrue="1" operator="lessThan">
      <formula>$G$18</formula>
    </cfRule>
    <cfRule type="cellIs" dxfId="4652" priority="251" stopIfTrue="1" operator="equal">
      <formula>$G$18</formula>
    </cfRule>
  </conditionalFormatting>
  <conditionalFormatting sqref="H19">
    <cfRule type="cellIs" dxfId="4651" priority="254" stopIfTrue="1" operator="lessThan">
      <formula>$G$19</formula>
    </cfRule>
    <cfRule type="cellIs" dxfId="4650" priority="253" stopIfTrue="1" operator="equal">
      <formula>$G$19</formula>
    </cfRule>
  </conditionalFormatting>
  <conditionalFormatting sqref="H20">
    <cfRule type="cellIs" dxfId="4649" priority="255" stopIfTrue="1" operator="equal">
      <formula>$G$20</formula>
    </cfRule>
    <cfRule type="cellIs" dxfId="4648" priority="256" stopIfTrue="1" operator="lessThan">
      <formula>$G$20</formula>
    </cfRule>
  </conditionalFormatting>
  <conditionalFormatting sqref="H21">
    <cfRule type="cellIs" dxfId="4647" priority="258" stopIfTrue="1" operator="lessThan">
      <formula>$G$21</formula>
    </cfRule>
    <cfRule type="cellIs" dxfId="4646" priority="257" stopIfTrue="1" operator="equal">
      <formula>$G$21</formula>
    </cfRule>
  </conditionalFormatting>
  <conditionalFormatting sqref="H22">
    <cfRule type="cellIs" dxfId="4645" priority="260" stopIfTrue="1" operator="lessThan">
      <formula>$G$22</formula>
    </cfRule>
    <cfRule type="cellIs" dxfId="4644" priority="259" stopIfTrue="1" operator="equal">
      <formula>$G$22</formula>
    </cfRule>
  </conditionalFormatting>
  <conditionalFormatting sqref="H23">
    <cfRule type="cellIs" dxfId="4643" priority="262" stopIfTrue="1" operator="lessThan">
      <formula>$G$23</formula>
    </cfRule>
    <cfRule type="cellIs" dxfId="4642" priority="261" stopIfTrue="1" operator="equal">
      <formula>$G$23</formula>
    </cfRule>
  </conditionalFormatting>
  <conditionalFormatting sqref="H24">
    <cfRule type="cellIs" dxfId="4641" priority="279" stopIfTrue="1" operator="equal">
      <formula>$G$24</formula>
    </cfRule>
    <cfRule type="cellIs" dxfId="4640" priority="280" stopIfTrue="1" operator="lessThan">
      <formula>$G$24</formula>
    </cfRule>
  </conditionalFormatting>
  <conditionalFormatting sqref="H25">
    <cfRule type="cellIs" dxfId="4639" priority="264" stopIfTrue="1" operator="lessThan">
      <formula>$G$25</formula>
    </cfRule>
    <cfRule type="cellIs" dxfId="4638" priority="263" stopIfTrue="1" operator="equal">
      <formula>$G$25</formula>
    </cfRule>
  </conditionalFormatting>
  <conditionalFormatting sqref="H26">
    <cfRule type="cellIs" dxfId="4637" priority="266" stopIfTrue="1" operator="lessThan">
      <formula>$G$26</formula>
    </cfRule>
    <cfRule type="cellIs" dxfId="4636" priority="265" stopIfTrue="1" operator="equal">
      <formula>$G$26</formula>
    </cfRule>
  </conditionalFormatting>
  <conditionalFormatting sqref="H27">
    <cfRule type="cellIs" dxfId="4635" priority="267" stopIfTrue="1" operator="equal">
      <formula>$G$27</formula>
    </cfRule>
    <cfRule type="cellIs" dxfId="4634" priority="268" stopIfTrue="1" operator="lessThan">
      <formula>$G$27</formula>
    </cfRule>
  </conditionalFormatting>
  <conditionalFormatting sqref="H28">
    <cfRule type="cellIs" dxfId="4633" priority="269" stopIfTrue="1" operator="equal">
      <formula>$G$28</formula>
    </cfRule>
    <cfRule type="cellIs" dxfId="4632" priority="270" stopIfTrue="1" operator="lessThan">
      <formula>$G$28</formula>
    </cfRule>
  </conditionalFormatting>
  <conditionalFormatting sqref="I4">
    <cfRule type="cellIs" dxfId="4631" priority="22" stopIfTrue="1" operator="equal">
      <formula>$H$4</formula>
    </cfRule>
  </conditionalFormatting>
  <conditionalFormatting sqref="I5">
    <cfRule type="cellIs" dxfId="4630" priority="8" stopIfTrue="1" operator="equal">
      <formula>$H$5</formula>
    </cfRule>
    <cfRule type="cellIs" dxfId="4629" priority="9" stopIfTrue="1" operator="lessThan">
      <formula>$H$5</formula>
    </cfRule>
  </conditionalFormatting>
  <conditionalFormatting sqref="I6">
    <cfRule type="cellIs" dxfId="4628" priority="35" stopIfTrue="1" operator="equal">
      <formula>$H$6</formula>
    </cfRule>
    <cfRule type="cellIs" dxfId="4627" priority="36" stopIfTrue="1" operator="lessThan">
      <formula>$H$6</formula>
    </cfRule>
  </conditionalFormatting>
  <conditionalFormatting sqref="I7">
    <cfRule type="cellIs" dxfId="4626" priority="48" stopIfTrue="1" operator="lessThan">
      <formula>$H$7</formula>
    </cfRule>
    <cfRule type="cellIs" dxfId="4625" priority="47" stopIfTrue="1" operator="equal">
      <formula>$H$7</formula>
    </cfRule>
  </conditionalFormatting>
  <conditionalFormatting sqref="I8">
    <cfRule type="cellIs" dxfId="4624" priority="62" stopIfTrue="1" operator="lessThan">
      <formula>$H$8</formula>
    </cfRule>
    <cfRule type="cellIs" dxfId="4623" priority="61" stopIfTrue="1" operator="equal">
      <formula>$H$8</formula>
    </cfRule>
  </conditionalFormatting>
  <conditionalFormatting sqref="I9">
    <cfRule type="cellIs" dxfId="4622" priority="76" stopIfTrue="1" operator="lessThan">
      <formula>$H$9</formula>
    </cfRule>
    <cfRule type="cellIs" dxfId="4621" priority="75" stopIfTrue="1" operator="equal">
      <formula>$H$9</formula>
    </cfRule>
  </conditionalFormatting>
  <conditionalFormatting sqref="I10">
    <cfRule type="cellIs" dxfId="4620" priority="89" stopIfTrue="1" operator="equal">
      <formula>$H$10</formula>
    </cfRule>
    <cfRule type="cellIs" dxfId="4619" priority="90" stopIfTrue="1" operator="lessThan">
      <formula>$H$10</formula>
    </cfRule>
  </conditionalFormatting>
  <conditionalFormatting sqref="I11">
    <cfRule type="cellIs" dxfId="4618" priority="103" stopIfTrue="1" operator="equal">
      <formula>$H$11</formula>
    </cfRule>
    <cfRule type="cellIs" dxfId="4617" priority="104" stopIfTrue="1" operator="lessThan">
      <formula>$H$11</formula>
    </cfRule>
  </conditionalFormatting>
  <conditionalFormatting sqref="I12">
    <cfRule type="cellIs" dxfId="4616" priority="118" stopIfTrue="1" operator="lessThan">
      <formula>$H$12</formula>
    </cfRule>
    <cfRule type="cellIs" dxfId="4615" priority="117" stopIfTrue="1" operator="equal">
      <formula>$H$12</formula>
    </cfRule>
  </conditionalFormatting>
  <conditionalFormatting sqref="I13">
    <cfRule type="cellIs" dxfId="4614" priority="287" stopIfTrue="1" operator="equal">
      <formula>$H$13</formula>
    </cfRule>
    <cfRule type="cellIs" dxfId="4613" priority="288" stopIfTrue="1" operator="lessThan">
      <formula>$H$13</formula>
    </cfRule>
  </conditionalFormatting>
  <conditionalFormatting sqref="I14">
    <cfRule type="cellIs" dxfId="4612" priority="289" stopIfTrue="1" operator="equal">
      <formula>$H$14</formula>
    </cfRule>
    <cfRule type="cellIs" dxfId="4611" priority="290" stopIfTrue="1" operator="lessThan">
      <formula>$H$14</formula>
    </cfRule>
  </conditionalFormatting>
  <conditionalFormatting sqref="I15">
    <cfRule type="cellIs" dxfId="4610" priority="291" stopIfTrue="1" operator="equal">
      <formula>$H$15</formula>
    </cfRule>
    <cfRule type="cellIs" dxfId="4609" priority="292" stopIfTrue="1" operator="lessThan">
      <formula>$H$15</formula>
    </cfRule>
  </conditionalFormatting>
  <conditionalFormatting sqref="I16">
    <cfRule type="cellIs" dxfId="4608" priority="293" stopIfTrue="1" operator="equal">
      <formula>$H$16</formula>
    </cfRule>
    <cfRule type="cellIs" dxfId="4607" priority="294" stopIfTrue="1" operator="lessThan">
      <formula>$H$16</formula>
    </cfRule>
  </conditionalFormatting>
  <conditionalFormatting sqref="I17">
    <cfRule type="cellIs" dxfId="4606" priority="295" stopIfTrue="1" operator="equal">
      <formula>$H$17</formula>
    </cfRule>
    <cfRule type="cellIs" dxfId="4605" priority="296" stopIfTrue="1" operator="lessThan">
      <formula>$H$17</formula>
    </cfRule>
  </conditionalFormatting>
  <conditionalFormatting sqref="I18">
    <cfRule type="cellIs" dxfId="4604" priority="298" stopIfTrue="1" operator="lessThan">
      <formula>$H$18</formula>
    </cfRule>
    <cfRule type="cellIs" dxfId="4603" priority="297" stopIfTrue="1" operator="equal">
      <formula>$H$18</formula>
    </cfRule>
  </conditionalFormatting>
  <conditionalFormatting sqref="I19">
    <cfRule type="cellIs" dxfId="4602" priority="299" stopIfTrue="1" operator="equal">
      <formula>$H$19</formula>
    </cfRule>
    <cfRule type="cellIs" dxfId="4601" priority="300" stopIfTrue="1" operator="lessThan">
      <formula>$H$19</formula>
    </cfRule>
  </conditionalFormatting>
  <conditionalFormatting sqref="I20">
    <cfRule type="cellIs" dxfId="4600" priority="301" stopIfTrue="1" operator="equal">
      <formula>$H$20</formula>
    </cfRule>
    <cfRule type="cellIs" dxfId="4599" priority="302" stopIfTrue="1" operator="lessThan">
      <formula>$H$20</formula>
    </cfRule>
  </conditionalFormatting>
  <conditionalFormatting sqref="I21">
    <cfRule type="cellIs" dxfId="4598" priority="303" stopIfTrue="1" operator="equal">
      <formula>$H$21</formula>
    </cfRule>
    <cfRule type="cellIs" dxfId="4597" priority="304" stopIfTrue="1" operator="lessThan">
      <formula>$H$21</formula>
    </cfRule>
  </conditionalFormatting>
  <conditionalFormatting sqref="I22">
    <cfRule type="cellIs" dxfId="4596" priority="306" stopIfTrue="1" operator="lessThan">
      <formula>$H$22</formula>
    </cfRule>
    <cfRule type="cellIs" dxfId="4595" priority="305" stopIfTrue="1" operator="equal">
      <formula>$H$22</formula>
    </cfRule>
  </conditionalFormatting>
  <conditionalFormatting sqref="I23">
    <cfRule type="cellIs" dxfId="4594" priority="308" stopIfTrue="1" operator="lessThan">
      <formula>$H$23</formula>
    </cfRule>
    <cfRule type="cellIs" dxfId="4593" priority="307" stopIfTrue="1" operator="equal">
      <formula>$H$23</formula>
    </cfRule>
  </conditionalFormatting>
  <conditionalFormatting sqref="I24">
    <cfRule type="cellIs" dxfId="4592" priority="310" stopIfTrue="1" operator="lessThan">
      <formula>$H$24</formula>
    </cfRule>
    <cfRule type="cellIs" dxfId="4591" priority="309" stopIfTrue="1" operator="equal">
      <formula>$H$24</formula>
    </cfRule>
  </conditionalFormatting>
  <conditionalFormatting sqref="I25">
    <cfRule type="cellIs" dxfId="4590" priority="312" stopIfTrue="1" operator="lessThan">
      <formula>$H$25</formula>
    </cfRule>
    <cfRule type="cellIs" dxfId="4589" priority="311" stopIfTrue="1" operator="equal">
      <formula>$H$25</formula>
    </cfRule>
  </conditionalFormatting>
  <conditionalFormatting sqref="I26">
    <cfRule type="cellIs" dxfId="4588" priority="314" stopIfTrue="1" operator="lessThan">
      <formula>$H$26</formula>
    </cfRule>
    <cfRule type="cellIs" dxfId="4587" priority="313" stopIfTrue="1" operator="equal">
      <formula>$H$26</formula>
    </cfRule>
  </conditionalFormatting>
  <conditionalFormatting sqref="I27">
    <cfRule type="cellIs" dxfId="4586" priority="315" stopIfTrue="1" operator="equal">
      <formula>$H$27</formula>
    </cfRule>
    <cfRule type="cellIs" dxfId="4585" priority="316" stopIfTrue="1" operator="lessThan">
      <formula>$H$27</formula>
    </cfRule>
  </conditionalFormatting>
  <conditionalFormatting sqref="I28">
    <cfRule type="cellIs" dxfId="4584" priority="318" stopIfTrue="1" operator="equal">
      <formula>$H$28</formula>
    </cfRule>
    <cfRule type="cellIs" dxfId="4583" priority="319" stopIfTrue="1" operator="lessThan">
      <formula>$H$28</formula>
    </cfRule>
  </conditionalFormatting>
  <conditionalFormatting sqref="I29">
    <cfRule type="cellIs" dxfId="4582" priority="320" stopIfTrue="1" operator="equal">
      <formula>$H$29</formula>
    </cfRule>
    <cfRule type="cellIs" dxfId="4581" priority="321" stopIfTrue="1" operator="lessThan">
      <formula>$H$29</formula>
    </cfRule>
  </conditionalFormatting>
  <conditionalFormatting sqref="J4">
    <cfRule type="cellIs" dxfId="4580" priority="24" stopIfTrue="1" operator="equal">
      <formula>$I$4</formula>
    </cfRule>
    <cfRule type="cellIs" dxfId="4579" priority="23" stopIfTrue="1" operator="lessThan">
      <formula>$I$4</formula>
    </cfRule>
  </conditionalFormatting>
  <conditionalFormatting sqref="J5">
    <cfRule type="cellIs" dxfId="4578" priority="11" stopIfTrue="1" operator="lessThan">
      <formula>$I$5</formula>
    </cfRule>
    <cfRule type="cellIs" dxfId="4577" priority="10" stopIfTrue="1" operator="equal">
      <formula>$I$5</formula>
    </cfRule>
  </conditionalFormatting>
  <conditionalFormatting sqref="J6">
    <cfRule type="cellIs" dxfId="4576" priority="38" stopIfTrue="1" operator="lessThan">
      <formula>$I$6</formula>
    </cfRule>
    <cfRule type="cellIs" dxfId="4575" priority="37" stopIfTrue="1" operator="equal">
      <formula>$I$6</formula>
    </cfRule>
  </conditionalFormatting>
  <conditionalFormatting sqref="J7">
    <cfRule type="cellIs" dxfId="4574" priority="50" stopIfTrue="1" operator="lessThan">
      <formula>$I$7</formula>
    </cfRule>
    <cfRule type="cellIs" dxfId="4573" priority="49" stopIfTrue="1" operator="equal">
      <formula>$I$7</formula>
    </cfRule>
  </conditionalFormatting>
  <conditionalFormatting sqref="J8">
    <cfRule type="cellIs" dxfId="4572" priority="63" stopIfTrue="1" operator="equal">
      <formula>$I$8</formula>
    </cfRule>
    <cfRule type="cellIs" dxfId="4571" priority="64" stopIfTrue="1" operator="lessThan">
      <formula>$I$8</formula>
    </cfRule>
  </conditionalFormatting>
  <conditionalFormatting sqref="J9">
    <cfRule type="cellIs" dxfId="4570" priority="78" stopIfTrue="1" operator="lessThan">
      <formula>$I$9</formula>
    </cfRule>
    <cfRule type="cellIs" dxfId="4569" priority="77" stopIfTrue="1" operator="equal">
      <formula>$I$9</formula>
    </cfRule>
  </conditionalFormatting>
  <conditionalFormatting sqref="J10">
    <cfRule type="cellIs" dxfId="4568" priority="91" stopIfTrue="1" operator="equal">
      <formula>$I$10</formula>
    </cfRule>
    <cfRule type="cellIs" dxfId="4567" priority="92" stopIfTrue="1" operator="lessThan">
      <formula>$I$10</formula>
    </cfRule>
  </conditionalFormatting>
  <conditionalFormatting sqref="J11">
    <cfRule type="cellIs" dxfId="4566" priority="106" stopIfTrue="1" operator="lessThan">
      <formula>$I$11</formula>
    </cfRule>
    <cfRule type="cellIs" dxfId="4565" priority="105" stopIfTrue="1" operator="equal">
      <formula>$I$11</formula>
    </cfRule>
  </conditionalFormatting>
  <conditionalFormatting sqref="J12">
    <cfRule type="cellIs" dxfId="4564" priority="120" stopIfTrue="1" operator="lessThan">
      <formula>$I$12</formula>
    </cfRule>
    <cfRule type="cellIs" dxfId="4563" priority="119" stopIfTrue="1" operator="equal">
      <formula>$I$12</formula>
    </cfRule>
  </conditionalFormatting>
  <conditionalFormatting sqref="J13">
    <cfRule type="cellIs" dxfId="4562" priority="322" stopIfTrue="1" operator="equal">
      <formula>$I$13</formula>
    </cfRule>
    <cfRule type="cellIs" dxfId="4561" priority="323" stopIfTrue="1" operator="lessThan">
      <formula>$I$13</formula>
    </cfRule>
  </conditionalFormatting>
  <conditionalFormatting sqref="J14">
    <cfRule type="cellIs" dxfId="4560" priority="324" stopIfTrue="1" operator="equal">
      <formula>$I$14</formula>
    </cfRule>
    <cfRule type="cellIs" dxfId="4559" priority="325" stopIfTrue="1" operator="lessThan">
      <formula>$I$14</formula>
    </cfRule>
  </conditionalFormatting>
  <conditionalFormatting sqref="J15">
    <cfRule type="cellIs" dxfId="4558" priority="326" stopIfTrue="1" operator="equal">
      <formula>$I$15</formula>
    </cfRule>
    <cfRule type="cellIs" dxfId="4557" priority="327" stopIfTrue="1" operator="lessThan">
      <formula>$I$15</formula>
    </cfRule>
  </conditionalFormatting>
  <conditionalFormatting sqref="J16">
    <cfRule type="cellIs" dxfId="4556" priority="328" stopIfTrue="1" operator="equal">
      <formula>$I$16</formula>
    </cfRule>
    <cfRule type="cellIs" dxfId="4555" priority="329" stopIfTrue="1" operator="lessThan">
      <formula>$I$16</formula>
    </cfRule>
  </conditionalFormatting>
  <conditionalFormatting sqref="J17">
    <cfRule type="cellIs" dxfId="4554" priority="331" stopIfTrue="1" operator="lessThan">
      <formula>$I$17</formula>
    </cfRule>
    <cfRule type="cellIs" dxfId="4553" priority="330" stopIfTrue="1" operator="equal">
      <formula>$I$17</formula>
    </cfRule>
  </conditionalFormatting>
  <conditionalFormatting sqref="J18">
    <cfRule type="cellIs" dxfId="4552" priority="333" stopIfTrue="1" operator="lessThan">
      <formula>$I$18</formula>
    </cfRule>
    <cfRule type="cellIs" dxfId="4551" priority="332" stopIfTrue="1" operator="equal">
      <formula>$I$18</formula>
    </cfRule>
  </conditionalFormatting>
  <conditionalFormatting sqref="J19">
    <cfRule type="cellIs" dxfId="4550" priority="334" stopIfTrue="1" operator="equal">
      <formula>$I$19</formula>
    </cfRule>
    <cfRule type="cellIs" dxfId="4549" priority="335" stopIfTrue="1" operator="lessThan">
      <formula>$I$19</formula>
    </cfRule>
  </conditionalFormatting>
  <conditionalFormatting sqref="J20">
    <cfRule type="cellIs" dxfId="4548" priority="336" stopIfTrue="1" operator="equal">
      <formula>$I$20</formula>
    </cfRule>
    <cfRule type="cellIs" dxfId="4547" priority="337" stopIfTrue="1" operator="lessThan">
      <formula>$I$20</formula>
    </cfRule>
  </conditionalFormatting>
  <conditionalFormatting sqref="J21">
    <cfRule type="cellIs" dxfId="4546" priority="338" stopIfTrue="1" operator="equal">
      <formula>$I$21</formula>
    </cfRule>
    <cfRule type="cellIs" dxfId="4545" priority="339" stopIfTrue="1" operator="lessThan">
      <formula>$I$21</formula>
    </cfRule>
  </conditionalFormatting>
  <conditionalFormatting sqref="J22">
    <cfRule type="cellIs" dxfId="4544" priority="340" stopIfTrue="1" operator="equal">
      <formula>$I$22</formula>
    </cfRule>
    <cfRule type="cellIs" dxfId="4543" priority="341" stopIfTrue="1" operator="lessThan">
      <formula>$I$22</formula>
    </cfRule>
  </conditionalFormatting>
  <conditionalFormatting sqref="J23">
    <cfRule type="cellIs" dxfId="4542" priority="342" stopIfTrue="1" operator="equal">
      <formula>$I$23</formula>
    </cfRule>
    <cfRule type="cellIs" dxfId="4541" priority="343" stopIfTrue="1" operator="lessThan">
      <formula>$I$23</formula>
    </cfRule>
  </conditionalFormatting>
  <conditionalFormatting sqref="J24">
    <cfRule type="cellIs" dxfId="4540" priority="344" stopIfTrue="1" operator="equal">
      <formula>$I$24</formula>
    </cfRule>
    <cfRule type="cellIs" dxfId="4539" priority="345" stopIfTrue="1" operator="lessThan">
      <formula>$I$24</formula>
    </cfRule>
  </conditionalFormatting>
  <conditionalFormatting sqref="J25">
    <cfRule type="cellIs" dxfId="4538" priority="346" stopIfTrue="1" operator="equal">
      <formula>$I$25</formula>
    </cfRule>
    <cfRule type="cellIs" dxfId="4537" priority="347" stopIfTrue="1" operator="lessThan">
      <formula>$I$25</formula>
    </cfRule>
  </conditionalFormatting>
  <conditionalFormatting sqref="J26">
    <cfRule type="cellIs" dxfId="4536" priority="349" stopIfTrue="1" operator="lessThan">
      <formula>$I$26</formula>
    </cfRule>
    <cfRule type="cellIs" dxfId="4535" priority="348" stopIfTrue="1" operator="equal">
      <formula>$I$26</formula>
    </cfRule>
  </conditionalFormatting>
  <conditionalFormatting sqref="J27">
    <cfRule type="cellIs" dxfId="4534" priority="351" stopIfTrue="1" operator="lessThan">
      <formula>$I$27</formula>
    </cfRule>
    <cfRule type="cellIs" dxfId="4533" priority="350" stopIfTrue="1" operator="equal">
      <formula>$I$27</formula>
    </cfRule>
  </conditionalFormatting>
  <conditionalFormatting sqref="J28">
    <cfRule type="cellIs" dxfId="4532" priority="352" stopIfTrue="1" operator="equal">
      <formula>$I$28</formula>
    </cfRule>
    <cfRule type="cellIs" dxfId="4531" priority="353" stopIfTrue="1" operator="lessThan">
      <formula>$I$28</formula>
    </cfRule>
  </conditionalFormatting>
  <conditionalFormatting sqref="K4">
    <cfRule type="cellIs" dxfId="4530" priority="354" stopIfTrue="1" operator="equal">
      <formula>$J$4</formula>
    </cfRule>
    <cfRule type="cellIs" dxfId="4529" priority="355" stopIfTrue="1" operator="lessThan">
      <formula>$J$4</formula>
    </cfRule>
  </conditionalFormatting>
  <conditionalFormatting sqref="K5">
    <cfRule type="cellIs" dxfId="4528" priority="356" stopIfTrue="1" operator="equal">
      <formula>$J$5</formula>
    </cfRule>
    <cfRule type="cellIs" dxfId="4527" priority="357" stopIfTrue="1" operator="lessThan">
      <formula>$J$5</formula>
    </cfRule>
  </conditionalFormatting>
  <conditionalFormatting sqref="K6">
    <cfRule type="cellIs" dxfId="4526" priority="358" stopIfTrue="1" operator="equal">
      <formula>$J$6</formula>
    </cfRule>
    <cfRule type="cellIs" dxfId="4525" priority="359" stopIfTrue="1" operator="lessThan">
      <formula>$J$6</formula>
    </cfRule>
  </conditionalFormatting>
  <conditionalFormatting sqref="K7">
    <cfRule type="cellIs" dxfId="4524" priority="360" stopIfTrue="1" operator="equal">
      <formula>$J$7</formula>
    </cfRule>
    <cfRule type="cellIs" dxfId="4523" priority="361" stopIfTrue="1" operator="lessThan">
      <formula>$J$7</formula>
    </cfRule>
  </conditionalFormatting>
  <conditionalFormatting sqref="K8">
    <cfRule type="cellIs" dxfId="4522" priority="362" stopIfTrue="1" operator="equal">
      <formula>$J$8</formula>
    </cfRule>
    <cfRule type="cellIs" dxfId="4521" priority="363" stopIfTrue="1" operator="lessThan">
      <formula>$J$8</formula>
    </cfRule>
  </conditionalFormatting>
  <conditionalFormatting sqref="K9">
    <cfRule type="cellIs" dxfId="4520" priority="364" stopIfTrue="1" operator="equal">
      <formula>$J$9</formula>
    </cfRule>
    <cfRule type="cellIs" dxfId="4519" priority="365" stopIfTrue="1" operator="lessThan">
      <formula>$J$9</formula>
    </cfRule>
  </conditionalFormatting>
  <conditionalFormatting sqref="K10">
    <cfRule type="cellIs" dxfId="4518" priority="367" stopIfTrue="1" operator="lessThan">
      <formula>$J$10</formula>
    </cfRule>
    <cfRule type="cellIs" dxfId="4517" priority="366" stopIfTrue="1" operator="equal">
      <formula>$J$10</formula>
    </cfRule>
  </conditionalFormatting>
  <conditionalFormatting sqref="K11">
    <cfRule type="cellIs" dxfId="4516" priority="369" stopIfTrue="1" operator="lessThan">
      <formula>$J$11</formula>
    </cfRule>
    <cfRule type="cellIs" dxfId="4515" priority="368" stopIfTrue="1" operator="equal">
      <formula>$J$11</formula>
    </cfRule>
  </conditionalFormatting>
  <conditionalFormatting sqref="K12">
    <cfRule type="cellIs" dxfId="4514" priority="370" stopIfTrue="1" operator="equal">
      <formula>$J$12</formula>
    </cfRule>
    <cfRule type="cellIs" dxfId="4513" priority="371" stopIfTrue="1" operator="lessThan">
      <formula>$J$12</formula>
    </cfRule>
  </conditionalFormatting>
  <conditionalFormatting sqref="K13">
    <cfRule type="cellIs" dxfId="4512" priority="372" stopIfTrue="1" operator="equal">
      <formula>$J$13</formula>
    </cfRule>
    <cfRule type="cellIs" dxfId="4511" priority="373" stopIfTrue="1" operator="lessThan">
      <formula>$J$13</formula>
    </cfRule>
  </conditionalFormatting>
  <conditionalFormatting sqref="K14">
    <cfRule type="cellIs" dxfId="4510" priority="374" stopIfTrue="1" operator="equal">
      <formula>$J$14</formula>
    </cfRule>
    <cfRule type="cellIs" dxfId="4509" priority="375" stopIfTrue="1" operator="lessThan">
      <formula>$J$14</formula>
    </cfRule>
  </conditionalFormatting>
  <conditionalFormatting sqref="K15">
    <cfRule type="cellIs" dxfId="4508" priority="376" stopIfTrue="1" operator="equal">
      <formula>$J$15</formula>
    </cfRule>
    <cfRule type="cellIs" dxfId="4507" priority="377" stopIfTrue="1" operator="lessThan">
      <formula>$J$15</formula>
    </cfRule>
  </conditionalFormatting>
  <conditionalFormatting sqref="K16">
    <cfRule type="cellIs" dxfId="4506" priority="378" stopIfTrue="1" operator="equal">
      <formula>$J$16</formula>
    </cfRule>
    <cfRule type="cellIs" dxfId="4505" priority="379" stopIfTrue="1" operator="lessThan">
      <formula>$J$16</formula>
    </cfRule>
  </conditionalFormatting>
  <conditionalFormatting sqref="K17">
    <cfRule type="cellIs" dxfId="4504" priority="380" stopIfTrue="1" operator="equal">
      <formula>$J$17</formula>
    </cfRule>
    <cfRule type="cellIs" dxfId="4503" priority="381" stopIfTrue="1" operator="lessThan">
      <formula>$J$17</formula>
    </cfRule>
  </conditionalFormatting>
  <conditionalFormatting sqref="K18">
    <cfRule type="cellIs" dxfId="4502" priority="382" stopIfTrue="1" operator="equal">
      <formula>$J$18</formula>
    </cfRule>
    <cfRule type="cellIs" dxfId="4501" priority="383" stopIfTrue="1" operator="lessThan">
      <formula>$J$18</formula>
    </cfRule>
  </conditionalFormatting>
  <conditionalFormatting sqref="K19">
    <cfRule type="cellIs" dxfId="4500" priority="384" stopIfTrue="1" operator="equal">
      <formula>$J$19</formula>
    </cfRule>
    <cfRule type="cellIs" dxfId="4499" priority="385" stopIfTrue="1" operator="lessThan">
      <formula>$J$19</formula>
    </cfRule>
  </conditionalFormatting>
  <conditionalFormatting sqref="K20">
    <cfRule type="cellIs" dxfId="4498" priority="387" stopIfTrue="1" operator="lessThan">
      <formula>$J$20</formula>
    </cfRule>
    <cfRule type="cellIs" dxfId="4497" priority="386" stopIfTrue="1" operator="equal">
      <formula>$J$20</formula>
    </cfRule>
  </conditionalFormatting>
  <conditionalFormatting sqref="K21">
    <cfRule type="cellIs" dxfId="4496" priority="389" stopIfTrue="1" operator="lessThan">
      <formula>$J$21</formula>
    </cfRule>
    <cfRule type="cellIs" dxfId="4495" priority="388" stopIfTrue="1" operator="equal">
      <formula>$J$21</formula>
    </cfRule>
  </conditionalFormatting>
  <conditionalFormatting sqref="K22">
    <cfRule type="cellIs" dxfId="4494" priority="390" stopIfTrue="1" operator="equal">
      <formula>$J$22</formula>
    </cfRule>
    <cfRule type="cellIs" dxfId="4493" priority="391" stopIfTrue="1" operator="lessThan">
      <formula>$J$22</formula>
    </cfRule>
  </conditionalFormatting>
  <conditionalFormatting sqref="K23">
    <cfRule type="cellIs" dxfId="4492" priority="392" stopIfTrue="1" operator="equal">
      <formula>$J$23</formula>
    </cfRule>
    <cfRule type="cellIs" dxfId="4491" priority="393" stopIfTrue="1" operator="lessThan">
      <formula>$J$23</formula>
    </cfRule>
  </conditionalFormatting>
  <conditionalFormatting sqref="K24">
    <cfRule type="cellIs" dxfId="4490" priority="394" stopIfTrue="1" operator="equal">
      <formula>$J$24</formula>
    </cfRule>
    <cfRule type="cellIs" dxfId="4489" priority="395" stopIfTrue="1" operator="lessThan">
      <formula>$J$24</formula>
    </cfRule>
  </conditionalFormatting>
  <conditionalFormatting sqref="K25">
    <cfRule type="cellIs" dxfId="4488" priority="396" stopIfTrue="1" operator="equal">
      <formula>$J$25</formula>
    </cfRule>
    <cfRule type="cellIs" dxfId="4487" priority="397" stopIfTrue="1" operator="lessThan">
      <formula>$J$25</formula>
    </cfRule>
  </conditionalFormatting>
  <conditionalFormatting sqref="K26">
    <cfRule type="cellIs" dxfId="4486" priority="398" stopIfTrue="1" operator="equal">
      <formula>$J$26</formula>
    </cfRule>
    <cfRule type="cellIs" dxfId="4485" priority="399" stopIfTrue="1" operator="lessThan">
      <formula>$J$26</formula>
    </cfRule>
  </conditionalFormatting>
  <conditionalFormatting sqref="K27">
    <cfRule type="cellIs" dxfId="4484" priority="400" stopIfTrue="1" operator="equal">
      <formula>$J$27</formula>
    </cfRule>
    <cfRule type="cellIs" dxfId="4483" priority="401" stopIfTrue="1" operator="lessThan">
      <formula>$J$27</formula>
    </cfRule>
  </conditionalFormatting>
  <conditionalFormatting sqref="K28">
    <cfRule type="cellIs" dxfId="4482" priority="402" stopIfTrue="1" operator="lessThan">
      <formula>$J$28</formula>
    </cfRule>
    <cfRule type="cellIs" dxfId="4481" priority="403" stopIfTrue="1" operator="equal">
      <formula>$J$28</formula>
    </cfRule>
  </conditionalFormatting>
  <conditionalFormatting sqref="K29">
    <cfRule type="cellIs" dxfId="4480" priority="404" stopIfTrue="1" operator="equal">
      <formula>$J$29</formula>
    </cfRule>
    <cfRule type="cellIs" dxfId="4479" priority="405" stopIfTrue="1" operator="lessThan">
      <formula>$J$29</formula>
    </cfRule>
  </conditionalFormatting>
  <conditionalFormatting sqref="L4">
    <cfRule type="cellIs" dxfId="4478" priority="407" stopIfTrue="1" operator="lessThan">
      <formula>$K$4</formula>
    </cfRule>
    <cfRule type="cellIs" dxfId="4477" priority="406" stopIfTrue="1" operator="equal">
      <formula>$K$4</formula>
    </cfRule>
  </conditionalFormatting>
  <conditionalFormatting sqref="L5">
    <cfRule type="cellIs" dxfId="4476" priority="409" stopIfTrue="1" operator="lessThan">
      <formula>$K$5</formula>
    </cfRule>
    <cfRule type="cellIs" dxfId="4475" priority="408" stopIfTrue="1" operator="equal">
      <formula>$K$5</formula>
    </cfRule>
  </conditionalFormatting>
  <conditionalFormatting sqref="L6">
    <cfRule type="cellIs" dxfId="4474" priority="410" stopIfTrue="1" operator="equal">
      <formula>$K$6</formula>
    </cfRule>
    <cfRule type="cellIs" dxfId="4473" priority="411" stopIfTrue="1" operator="lessThan">
      <formula>$K$6</formula>
    </cfRule>
  </conditionalFormatting>
  <conditionalFormatting sqref="L7">
    <cfRule type="cellIs" dxfId="4472" priority="412" stopIfTrue="1" operator="equal">
      <formula>$K$7</formula>
    </cfRule>
    <cfRule type="cellIs" dxfId="4471" priority="413" stopIfTrue="1" operator="lessThan">
      <formula>$K$7</formula>
    </cfRule>
  </conditionalFormatting>
  <conditionalFormatting sqref="L8">
    <cfRule type="cellIs" dxfId="4470" priority="414" stopIfTrue="1" operator="equal">
      <formula>$K$8</formula>
    </cfRule>
    <cfRule type="cellIs" dxfId="4469" priority="415" stopIfTrue="1" operator="lessThan">
      <formula>$K$8</formula>
    </cfRule>
  </conditionalFormatting>
  <conditionalFormatting sqref="L9">
    <cfRule type="cellIs" dxfId="4468" priority="416" stopIfTrue="1" operator="equal">
      <formula>$K$9</formula>
    </cfRule>
    <cfRule type="cellIs" dxfId="4467" priority="417" stopIfTrue="1" operator="lessThan">
      <formula>$K$9</formula>
    </cfRule>
  </conditionalFormatting>
  <conditionalFormatting sqref="L10">
    <cfRule type="cellIs" dxfId="4466" priority="418" stopIfTrue="1" operator="equal">
      <formula>$K$10</formula>
    </cfRule>
    <cfRule type="cellIs" dxfId="4465" priority="419" stopIfTrue="1" operator="lessThan">
      <formula>$K$10</formula>
    </cfRule>
  </conditionalFormatting>
  <conditionalFormatting sqref="L11">
    <cfRule type="cellIs" dxfId="4464" priority="440" stopIfTrue="1" operator="equal">
      <formula>$K$11</formula>
    </cfRule>
    <cfRule type="cellIs" dxfId="4463" priority="441" stopIfTrue="1" operator="lessThan">
      <formula>$K$11</formula>
    </cfRule>
  </conditionalFormatting>
  <conditionalFormatting sqref="L12">
    <cfRule type="cellIs" dxfId="4462" priority="420" stopIfTrue="1" operator="equal">
      <formula>$K$12</formula>
    </cfRule>
    <cfRule type="cellIs" dxfId="4461" priority="421" stopIfTrue="1" operator="lessThan">
      <formula>$K$12</formula>
    </cfRule>
  </conditionalFormatting>
  <conditionalFormatting sqref="L13">
    <cfRule type="cellIs" dxfId="4460" priority="422" stopIfTrue="1" operator="equal">
      <formula>$K$13</formula>
    </cfRule>
    <cfRule type="cellIs" dxfId="4459" priority="423" stopIfTrue="1" operator="lessThan">
      <formula>$K$13</formula>
    </cfRule>
  </conditionalFormatting>
  <conditionalFormatting sqref="L14">
    <cfRule type="cellIs" dxfId="4458" priority="424" stopIfTrue="1" operator="equal">
      <formula>$K$14</formula>
    </cfRule>
    <cfRule type="cellIs" dxfId="4457" priority="425" stopIfTrue="1" operator="lessThan">
      <formula>$K$14</formula>
    </cfRule>
  </conditionalFormatting>
  <conditionalFormatting sqref="L15">
    <cfRule type="cellIs" dxfId="4456" priority="427" stopIfTrue="1" operator="lessThan">
      <formula>$K$15</formula>
    </cfRule>
    <cfRule type="cellIs" dxfId="4455" priority="426" stopIfTrue="1" operator="equal">
      <formula>$K$15</formula>
    </cfRule>
  </conditionalFormatting>
  <conditionalFormatting sqref="L16">
    <cfRule type="cellIs" dxfId="4454" priority="429" stopIfTrue="1" operator="lessThan">
      <formula>$K$16</formula>
    </cfRule>
    <cfRule type="cellIs" dxfId="4453" priority="428" stopIfTrue="1" operator="equal">
      <formula>$K$16</formula>
    </cfRule>
  </conditionalFormatting>
  <conditionalFormatting sqref="L17">
    <cfRule type="cellIs" dxfId="4452" priority="430" stopIfTrue="1" operator="equal">
      <formula>$K$17</formula>
    </cfRule>
    <cfRule type="cellIs" dxfId="4451" priority="431" stopIfTrue="1" operator="lessThan">
      <formula>$K$17</formula>
    </cfRule>
  </conditionalFormatting>
  <conditionalFormatting sqref="L18">
    <cfRule type="cellIs" dxfId="4450" priority="432" stopIfTrue="1" operator="equal">
      <formula>$K$18</formula>
    </cfRule>
    <cfRule type="cellIs" dxfId="4449" priority="433" stopIfTrue="1" operator="lessThan">
      <formula>$K$18</formula>
    </cfRule>
  </conditionalFormatting>
  <conditionalFormatting sqref="L19">
    <cfRule type="cellIs" dxfId="4448" priority="434" stopIfTrue="1" operator="equal">
      <formula>$K$19</formula>
    </cfRule>
    <cfRule type="cellIs" dxfId="4447" priority="435" stopIfTrue="1" operator="lessThan">
      <formula>$K$19</formula>
    </cfRule>
  </conditionalFormatting>
  <conditionalFormatting sqref="L20">
    <cfRule type="cellIs" dxfId="4446" priority="436" stopIfTrue="1" operator="equal">
      <formula>$K$20</formula>
    </cfRule>
    <cfRule type="cellIs" dxfId="4445" priority="437" stopIfTrue="1" operator="lessThan">
      <formula>$K$20</formula>
    </cfRule>
  </conditionalFormatting>
  <conditionalFormatting sqref="L21">
    <cfRule type="cellIs" dxfId="4444" priority="438" stopIfTrue="1" operator="equal">
      <formula>$K$21</formula>
    </cfRule>
    <cfRule type="cellIs" dxfId="4443" priority="439" stopIfTrue="1" operator="lessThan">
      <formula>$K$21</formula>
    </cfRule>
  </conditionalFormatting>
  <conditionalFormatting sqref="L22">
    <cfRule type="cellIs" dxfId="4442" priority="442" stopIfTrue="1" operator="equal">
      <formula>$K$22</formula>
    </cfRule>
    <cfRule type="cellIs" dxfId="4441" priority="443" stopIfTrue="1" operator="lessThan">
      <formula>$K$22</formula>
    </cfRule>
  </conditionalFormatting>
  <conditionalFormatting sqref="L23">
    <cfRule type="cellIs" dxfId="4440" priority="445" stopIfTrue="1" operator="lessThan">
      <formula>$K$23</formula>
    </cfRule>
    <cfRule type="cellIs" dxfId="4439" priority="444" stopIfTrue="1" operator="equal">
      <formula>$K$23</formula>
    </cfRule>
  </conditionalFormatting>
  <conditionalFormatting sqref="L24">
    <cfRule type="cellIs" dxfId="4438" priority="447" stopIfTrue="1" operator="lessThan">
      <formula>$K$24</formula>
    </cfRule>
    <cfRule type="cellIs" dxfId="4437" priority="446" stopIfTrue="1" operator="equal">
      <formula>$K$24</formula>
    </cfRule>
  </conditionalFormatting>
  <conditionalFormatting sqref="L25">
    <cfRule type="cellIs" dxfId="4436" priority="448" stopIfTrue="1" operator="equal">
      <formula>$K$25</formula>
    </cfRule>
    <cfRule type="cellIs" dxfId="4435" priority="449" stopIfTrue="1" operator="lessThan">
      <formula>$K$25</formula>
    </cfRule>
  </conditionalFormatting>
  <conditionalFormatting sqref="L26">
    <cfRule type="cellIs" dxfId="4434" priority="450" stopIfTrue="1" operator="equal">
      <formula>$K$26</formula>
    </cfRule>
    <cfRule type="cellIs" dxfId="4433" priority="451" stopIfTrue="1" operator="lessThan">
      <formula>$K$26</formula>
    </cfRule>
  </conditionalFormatting>
  <conditionalFormatting sqref="L27">
    <cfRule type="cellIs" dxfId="4432" priority="452" stopIfTrue="1" operator="equal">
      <formula>$K$27</formula>
    </cfRule>
    <cfRule type="cellIs" dxfId="4431" priority="453" stopIfTrue="1" operator="lessThan">
      <formula>$K$27</formula>
    </cfRule>
  </conditionalFormatting>
  <conditionalFormatting sqref="L28">
    <cfRule type="cellIs" dxfId="4430" priority="454" stopIfTrue="1" operator="equal">
      <formula>$K$28</formula>
    </cfRule>
    <cfRule type="cellIs" dxfId="4429" priority="455" stopIfTrue="1" operator="lessThan">
      <formula>$K$28</formula>
    </cfRule>
  </conditionalFormatting>
  <conditionalFormatting sqref="L29">
    <cfRule type="cellIs" dxfId="4428" priority="456" stopIfTrue="1" operator="equal">
      <formula>$K$29</formula>
    </cfRule>
    <cfRule type="cellIs" dxfId="4427" priority="457" stopIfTrue="1" operator="lessThan">
      <formula>$K$29</formula>
    </cfRule>
  </conditionalFormatting>
  <conditionalFormatting sqref="M4">
    <cfRule type="cellIs" dxfId="4426" priority="458" stopIfTrue="1" operator="lessThan">
      <formula>$L$4</formula>
    </cfRule>
    <cfRule type="cellIs" dxfId="4425" priority="459" stopIfTrue="1" operator="equal">
      <formula>$L$4</formula>
    </cfRule>
  </conditionalFormatting>
  <conditionalFormatting sqref="M5">
    <cfRule type="cellIs" dxfId="4424" priority="460" stopIfTrue="1" operator="equal">
      <formula>$L$5</formula>
    </cfRule>
    <cfRule type="cellIs" dxfId="4423" priority="461" stopIfTrue="1" operator="lessThan">
      <formula>$L$5</formula>
    </cfRule>
  </conditionalFormatting>
  <conditionalFormatting sqref="M6">
    <cfRule type="cellIs" dxfId="4422" priority="463" stopIfTrue="1" operator="lessThan">
      <formula>$L$6</formula>
    </cfRule>
    <cfRule type="cellIs" dxfId="4421" priority="462" stopIfTrue="1" operator="equal">
      <formula>$L$6</formula>
    </cfRule>
  </conditionalFormatting>
  <conditionalFormatting sqref="M7">
    <cfRule type="cellIs" dxfId="4420" priority="465" stopIfTrue="1" operator="lessThan">
      <formula>$L$7</formula>
    </cfRule>
    <cfRule type="cellIs" dxfId="4419" priority="464" stopIfTrue="1" operator="equal">
      <formula>$L$7</formula>
    </cfRule>
  </conditionalFormatting>
  <conditionalFormatting sqref="M8">
    <cfRule type="cellIs" dxfId="4418" priority="466" stopIfTrue="1" operator="equal">
      <formula>$L$8</formula>
    </cfRule>
    <cfRule type="cellIs" dxfId="4417" priority="467" stopIfTrue="1" operator="lessThan">
      <formula>$L$8</formula>
    </cfRule>
  </conditionalFormatting>
  <conditionalFormatting sqref="M9">
    <cfRule type="cellIs" dxfId="4416" priority="468" stopIfTrue="1" operator="equal">
      <formula>$L$9</formula>
    </cfRule>
    <cfRule type="cellIs" dxfId="4415" priority="469" stopIfTrue="1" operator="lessThan">
      <formula>$L$9</formula>
    </cfRule>
  </conditionalFormatting>
  <conditionalFormatting sqref="M10">
    <cfRule type="cellIs" dxfId="4414" priority="470" stopIfTrue="1" operator="equal">
      <formula>$L$10</formula>
    </cfRule>
    <cfRule type="cellIs" dxfId="4413" priority="471" stopIfTrue="1" operator="lessThan">
      <formula>$L$10</formula>
    </cfRule>
  </conditionalFormatting>
  <conditionalFormatting sqref="M11">
    <cfRule type="cellIs" dxfId="4412" priority="472" stopIfTrue="1" operator="equal">
      <formula>$L$11</formula>
    </cfRule>
    <cfRule type="cellIs" dxfId="4411" priority="473" stopIfTrue="1" operator="lessThan">
      <formula>$L$11</formula>
    </cfRule>
  </conditionalFormatting>
  <conditionalFormatting sqref="M12">
    <cfRule type="cellIs" dxfId="4410" priority="474" stopIfTrue="1" operator="equal">
      <formula>$L$12</formula>
    </cfRule>
    <cfRule type="cellIs" dxfId="4409" priority="475" stopIfTrue="1" operator="lessThan">
      <formula>$L$12</formula>
    </cfRule>
  </conditionalFormatting>
  <conditionalFormatting sqref="M13">
    <cfRule type="cellIs" dxfId="4408" priority="476" stopIfTrue="1" operator="equal">
      <formula>$L$13</formula>
    </cfRule>
    <cfRule type="cellIs" dxfId="4407" priority="477" stopIfTrue="1" operator="lessThan">
      <formula>$L$13</formula>
    </cfRule>
  </conditionalFormatting>
  <conditionalFormatting sqref="M14">
    <cfRule type="cellIs" dxfId="4406" priority="478" stopIfTrue="1" operator="equal">
      <formula>$L$14</formula>
    </cfRule>
    <cfRule type="cellIs" dxfId="4405" priority="479" stopIfTrue="1" operator="lessThan">
      <formula>$L$14</formula>
    </cfRule>
  </conditionalFormatting>
  <conditionalFormatting sqref="M15">
    <cfRule type="cellIs" dxfId="4404" priority="480" stopIfTrue="1" operator="equal">
      <formula>$L$15</formula>
    </cfRule>
    <cfRule type="cellIs" dxfId="4403" priority="481" stopIfTrue="1" operator="lessThan">
      <formula>$L$15</formula>
    </cfRule>
  </conditionalFormatting>
  <conditionalFormatting sqref="M16">
    <cfRule type="cellIs" dxfId="4402" priority="483" stopIfTrue="1" operator="lessThan">
      <formula>$L$16</formula>
    </cfRule>
    <cfRule type="cellIs" dxfId="4401" priority="482" stopIfTrue="1" operator="equal">
      <formula>$L$16</formula>
    </cfRule>
  </conditionalFormatting>
  <conditionalFormatting sqref="M17">
    <cfRule type="cellIs" dxfId="4400" priority="485" stopIfTrue="1" operator="lessThan">
      <formula>$L$17</formula>
    </cfRule>
    <cfRule type="cellIs" dxfId="4399" priority="484" stopIfTrue="1" operator="equal">
      <formula>$L$17</formula>
    </cfRule>
  </conditionalFormatting>
  <conditionalFormatting sqref="M18">
    <cfRule type="cellIs" dxfId="4398" priority="487" stopIfTrue="1" operator="lessThan">
      <formula>$L$18</formula>
    </cfRule>
    <cfRule type="cellIs" dxfId="4397" priority="486" stopIfTrue="1" operator="equal">
      <formula>$L$18</formula>
    </cfRule>
  </conditionalFormatting>
  <conditionalFormatting sqref="M19">
    <cfRule type="cellIs" dxfId="4396" priority="488" stopIfTrue="1" operator="equal">
      <formula>$L$19</formula>
    </cfRule>
    <cfRule type="cellIs" dxfId="4395" priority="489" stopIfTrue="1" operator="lessThan">
      <formula>$L$19</formula>
    </cfRule>
  </conditionalFormatting>
  <conditionalFormatting sqref="M20">
    <cfRule type="cellIs" dxfId="4394" priority="490" stopIfTrue="1" operator="equal">
      <formula>$L$20</formula>
    </cfRule>
    <cfRule type="cellIs" dxfId="4393" priority="491" stopIfTrue="1" operator="lessThan">
      <formula>$L$20</formula>
    </cfRule>
  </conditionalFormatting>
  <conditionalFormatting sqref="M21">
    <cfRule type="cellIs" dxfId="4392" priority="492" stopIfTrue="1" operator="equal">
      <formula>$L$21</formula>
    </cfRule>
    <cfRule type="cellIs" dxfId="4391" priority="493" stopIfTrue="1" operator="lessThan">
      <formula>$L$21</formula>
    </cfRule>
  </conditionalFormatting>
  <conditionalFormatting sqref="M22">
    <cfRule type="cellIs" dxfId="4390" priority="494" stopIfTrue="1" operator="equal">
      <formula>$L$22</formula>
    </cfRule>
    <cfRule type="cellIs" dxfId="4389" priority="495" stopIfTrue="1" operator="lessThan">
      <formula>$L$22</formula>
    </cfRule>
  </conditionalFormatting>
  <conditionalFormatting sqref="M23">
    <cfRule type="cellIs" dxfId="4388" priority="496" stopIfTrue="1" operator="equal">
      <formula>$L$23</formula>
    </cfRule>
    <cfRule type="cellIs" dxfId="4387" priority="497" stopIfTrue="1" operator="lessThan">
      <formula>$L$23</formula>
    </cfRule>
  </conditionalFormatting>
  <conditionalFormatting sqref="M24">
    <cfRule type="cellIs" dxfId="4386" priority="498" stopIfTrue="1" operator="equal">
      <formula>$L$24</formula>
    </cfRule>
    <cfRule type="cellIs" dxfId="4385" priority="499" stopIfTrue="1" operator="lessThan">
      <formula>$L$24</formula>
    </cfRule>
  </conditionalFormatting>
  <conditionalFormatting sqref="M25">
    <cfRule type="cellIs" dxfId="4384" priority="501" stopIfTrue="1" operator="lessThan">
      <formula>$L$25</formula>
    </cfRule>
    <cfRule type="cellIs" dxfId="4383" priority="500" stopIfTrue="1" operator="equal">
      <formula>$L$25</formula>
    </cfRule>
  </conditionalFormatting>
  <conditionalFormatting sqref="M26">
    <cfRule type="cellIs" dxfId="4382" priority="502" stopIfTrue="1" operator="equal">
      <formula>$L$26</formula>
    </cfRule>
    <cfRule type="cellIs" dxfId="4381" priority="503" stopIfTrue="1" operator="lessThan">
      <formula>$L$26</formula>
    </cfRule>
  </conditionalFormatting>
  <conditionalFormatting sqref="M27">
    <cfRule type="cellIs" dxfId="4380" priority="504" stopIfTrue="1" operator="equal">
      <formula>$L$27</formula>
    </cfRule>
    <cfRule type="cellIs" dxfId="4379" priority="505" stopIfTrue="1" operator="lessThan">
      <formula>$L$27</formula>
    </cfRule>
  </conditionalFormatting>
  <conditionalFormatting sqref="M28">
    <cfRule type="cellIs" dxfId="4378" priority="506" stopIfTrue="1" operator="equal">
      <formula>$L$28</formula>
    </cfRule>
    <cfRule type="cellIs" dxfId="4377" priority="507" stopIfTrue="1" operator="lessThan">
      <formula>$L$28</formula>
    </cfRule>
  </conditionalFormatting>
  <conditionalFormatting sqref="M29">
    <cfRule type="cellIs" dxfId="4376" priority="508" stopIfTrue="1" operator="equal">
      <formula>$L$29</formula>
    </cfRule>
    <cfRule type="cellIs" dxfId="4375" priority="509" stopIfTrue="1" operator="lessThan">
      <formula>$L$29</formula>
    </cfRule>
  </conditionalFormatting>
  <conditionalFormatting sqref="N4">
    <cfRule type="cellIs" dxfId="4374" priority="510" stopIfTrue="1" operator="equal">
      <formula>$M$4</formula>
    </cfRule>
    <cfRule type="cellIs" dxfId="4373" priority="511" stopIfTrue="1" operator="lessThan">
      <formula>$M$4</formula>
    </cfRule>
  </conditionalFormatting>
  <conditionalFormatting sqref="N5">
    <cfRule type="cellIs" dxfId="4372" priority="512" stopIfTrue="1" operator="equal">
      <formula>$M$5</formula>
    </cfRule>
    <cfRule type="cellIs" dxfId="4371" priority="513" stopIfTrue="1" operator="lessThan">
      <formula>$M$5</formula>
    </cfRule>
  </conditionalFormatting>
  <conditionalFormatting sqref="N6">
    <cfRule type="cellIs" dxfId="4370" priority="514" stopIfTrue="1" operator="equal">
      <formula>$M$6</formula>
    </cfRule>
    <cfRule type="cellIs" dxfId="4369" priority="515" stopIfTrue="1" operator="lessThan">
      <formula>$M$6</formula>
    </cfRule>
  </conditionalFormatting>
  <conditionalFormatting sqref="N7">
    <cfRule type="cellIs" dxfId="4368" priority="516" stopIfTrue="1" operator="equal">
      <formula>$M$7</formula>
    </cfRule>
    <cfRule type="cellIs" dxfId="4367" priority="517" stopIfTrue="1" operator="lessThan">
      <formula>$M$7</formula>
    </cfRule>
  </conditionalFormatting>
  <conditionalFormatting sqref="N8">
    <cfRule type="cellIs" dxfId="4366" priority="518" stopIfTrue="1" operator="equal">
      <formula>$M$8</formula>
    </cfRule>
    <cfRule type="cellIs" dxfId="4365" priority="519" stopIfTrue="1" operator="lessThan">
      <formula>$M$8</formula>
    </cfRule>
  </conditionalFormatting>
  <conditionalFormatting sqref="N9">
    <cfRule type="cellIs" dxfId="4364" priority="520" stopIfTrue="1" operator="equal">
      <formula>$M$9</formula>
    </cfRule>
    <cfRule type="cellIs" dxfId="4363" priority="521" stopIfTrue="1" operator="lessThan">
      <formula>$M$9</formula>
    </cfRule>
  </conditionalFormatting>
  <conditionalFormatting sqref="N10">
    <cfRule type="cellIs" dxfId="4362" priority="522" stopIfTrue="1" operator="equal">
      <formula>$M$10</formula>
    </cfRule>
    <cfRule type="cellIs" dxfId="4361" priority="523" stopIfTrue="1" operator="lessThan">
      <formula>$M$10</formula>
    </cfRule>
  </conditionalFormatting>
  <conditionalFormatting sqref="N11">
    <cfRule type="cellIs" dxfId="4360" priority="524" stopIfTrue="1" operator="equal">
      <formula>$M$11</formula>
    </cfRule>
    <cfRule type="cellIs" dxfId="4359" priority="525" stopIfTrue="1" operator="lessThan">
      <formula>$M$11</formula>
    </cfRule>
  </conditionalFormatting>
  <conditionalFormatting sqref="N12">
    <cfRule type="cellIs" dxfId="4358" priority="526" stopIfTrue="1" operator="equal">
      <formula>$M$12</formula>
    </cfRule>
    <cfRule type="cellIs" dxfId="4357" priority="527" stopIfTrue="1" operator="lessThan">
      <formula>$M$12</formula>
    </cfRule>
  </conditionalFormatting>
  <conditionalFormatting sqref="N13">
    <cfRule type="cellIs" dxfId="4356" priority="528" stopIfTrue="1" operator="equal">
      <formula>$M$13</formula>
    </cfRule>
    <cfRule type="cellIs" dxfId="4355" priority="529" stopIfTrue="1" operator="lessThan">
      <formula>$M$13</formula>
    </cfRule>
  </conditionalFormatting>
  <conditionalFormatting sqref="N14">
    <cfRule type="cellIs" dxfId="4354" priority="530" stopIfTrue="1" operator="equal">
      <formula>$M$14</formula>
    </cfRule>
    <cfRule type="cellIs" dxfId="4353" priority="531" stopIfTrue="1" operator="lessThan">
      <formula>$M$14</formula>
    </cfRule>
  </conditionalFormatting>
  <conditionalFormatting sqref="N15">
    <cfRule type="cellIs" dxfId="4352" priority="532" stopIfTrue="1" operator="equal">
      <formula>$M$15</formula>
    </cfRule>
    <cfRule type="cellIs" dxfId="4351" priority="533" stopIfTrue="1" operator="lessThan">
      <formula>$M$15</formula>
    </cfRule>
  </conditionalFormatting>
  <conditionalFormatting sqref="N16">
    <cfRule type="cellIs" dxfId="4350" priority="534" stopIfTrue="1" operator="equal">
      <formula>$M$16</formula>
    </cfRule>
    <cfRule type="cellIs" dxfId="4349" priority="535" stopIfTrue="1" operator="lessThan">
      <formula>$M$16</formula>
    </cfRule>
  </conditionalFormatting>
  <conditionalFormatting sqref="N17">
    <cfRule type="cellIs" dxfId="4348" priority="537" stopIfTrue="1" operator="lessThan">
      <formula>$M$17</formula>
    </cfRule>
    <cfRule type="cellIs" dxfId="4347" priority="536" stopIfTrue="1" operator="equal">
      <formula>$M$17</formula>
    </cfRule>
  </conditionalFormatting>
  <conditionalFormatting sqref="N18">
    <cfRule type="cellIs" dxfId="4346" priority="539" stopIfTrue="1" operator="lessThan">
      <formula>$M$18</formula>
    </cfRule>
    <cfRule type="cellIs" dxfId="4345" priority="538" stopIfTrue="1" operator="equal">
      <formula>$M$18</formula>
    </cfRule>
  </conditionalFormatting>
  <conditionalFormatting sqref="N19">
    <cfRule type="cellIs" dxfId="4344" priority="540" stopIfTrue="1" operator="equal">
      <formula>$M$19</formula>
    </cfRule>
    <cfRule type="cellIs" dxfId="4343" priority="541" stopIfTrue="1" operator="lessThan">
      <formula>$M$19</formula>
    </cfRule>
  </conditionalFormatting>
  <conditionalFormatting sqref="N20">
    <cfRule type="cellIs" dxfId="4342" priority="542" stopIfTrue="1" operator="equal">
      <formula>$M$20</formula>
    </cfRule>
    <cfRule type="cellIs" dxfId="4341" priority="543" stopIfTrue="1" operator="lessThan">
      <formula>$M$20</formula>
    </cfRule>
  </conditionalFormatting>
  <conditionalFormatting sqref="N21">
    <cfRule type="cellIs" dxfId="4340" priority="544" stopIfTrue="1" operator="equal">
      <formula>$M$21</formula>
    </cfRule>
    <cfRule type="cellIs" dxfId="4339" priority="545" stopIfTrue="1" operator="lessThan">
      <formula>$M$21</formula>
    </cfRule>
  </conditionalFormatting>
  <conditionalFormatting sqref="N22">
    <cfRule type="cellIs" dxfId="4338" priority="546" stopIfTrue="1" operator="equal">
      <formula>$M$22</formula>
    </cfRule>
    <cfRule type="cellIs" dxfId="4337" priority="547" stopIfTrue="1" operator="lessThan">
      <formula>$M$22</formula>
    </cfRule>
  </conditionalFormatting>
  <conditionalFormatting sqref="N23">
    <cfRule type="cellIs" dxfId="4336" priority="548" stopIfTrue="1" operator="equal">
      <formula>$M$23</formula>
    </cfRule>
    <cfRule type="cellIs" dxfId="4335" priority="549" stopIfTrue="1" operator="lessThan">
      <formula>$M$23</formula>
    </cfRule>
  </conditionalFormatting>
  <conditionalFormatting sqref="N24">
    <cfRule type="cellIs" dxfId="4334" priority="550" stopIfTrue="1" operator="equal">
      <formula>$M$24</formula>
    </cfRule>
    <cfRule type="cellIs" dxfId="4333" priority="551" stopIfTrue="1" operator="lessThan">
      <formula>$M$24</formula>
    </cfRule>
  </conditionalFormatting>
  <conditionalFormatting sqref="N25">
    <cfRule type="cellIs" dxfId="4332" priority="552" stopIfTrue="1" operator="equal">
      <formula>$M$25</formula>
    </cfRule>
    <cfRule type="cellIs" dxfId="4331" priority="553" stopIfTrue="1" operator="lessThan">
      <formula>$M$25</formula>
    </cfRule>
  </conditionalFormatting>
  <conditionalFormatting sqref="N26">
    <cfRule type="cellIs" dxfId="4330" priority="555" stopIfTrue="1" operator="lessThan">
      <formula>$M$26</formula>
    </cfRule>
    <cfRule type="cellIs" dxfId="4329" priority="554" stopIfTrue="1" operator="equal">
      <formula>$M$26</formula>
    </cfRule>
  </conditionalFormatting>
  <conditionalFormatting sqref="N27">
    <cfRule type="cellIs" dxfId="4328" priority="557" stopIfTrue="1" operator="lessThan">
      <formula>$M$27</formula>
    </cfRule>
    <cfRule type="cellIs" dxfId="4327" priority="556" stopIfTrue="1" operator="equal">
      <formula>$M$27</formula>
    </cfRule>
  </conditionalFormatting>
  <conditionalFormatting sqref="N28">
    <cfRule type="cellIs" dxfId="4326" priority="558" stopIfTrue="1" operator="equal">
      <formula>$M$28</formula>
    </cfRule>
    <cfRule type="cellIs" dxfId="4325" priority="559" stopIfTrue="1" operator="lessThan">
      <formula>$M$28</formula>
    </cfRule>
  </conditionalFormatting>
  <conditionalFormatting sqref="N29">
    <cfRule type="cellIs" dxfId="4324" priority="560" stopIfTrue="1" operator="equal">
      <formula>$M$29</formula>
    </cfRule>
    <cfRule type="cellIs" dxfId="4323" priority="561" stopIfTrue="1" operator="lessThan">
      <formula>$M$29</formula>
    </cfRule>
  </conditionalFormatting>
  <conditionalFormatting sqref="O4">
    <cfRule type="cellIs" dxfId="4322" priority="562" stopIfTrue="1" operator="equal">
      <formula>$N$4</formula>
    </cfRule>
    <cfRule type="cellIs" dxfId="4321" priority="563" stopIfTrue="1" operator="lessThan">
      <formula>$N$4</formula>
    </cfRule>
  </conditionalFormatting>
  <conditionalFormatting sqref="O5">
    <cfRule type="cellIs" dxfId="4320" priority="564" stopIfTrue="1" operator="equal">
      <formula>$N$5</formula>
    </cfRule>
    <cfRule type="cellIs" dxfId="4319" priority="565" stopIfTrue="1" operator="lessThan">
      <formula>$N$5</formula>
    </cfRule>
  </conditionalFormatting>
  <conditionalFormatting sqref="O6">
    <cfRule type="cellIs" dxfId="4318" priority="566" stopIfTrue="1" operator="equal">
      <formula>$N$6</formula>
    </cfRule>
    <cfRule type="cellIs" dxfId="4317" priority="567" stopIfTrue="1" operator="lessThan">
      <formula>$N$6</formula>
    </cfRule>
  </conditionalFormatting>
  <conditionalFormatting sqref="O7">
    <cfRule type="cellIs" dxfId="4316" priority="568" stopIfTrue="1" operator="equal">
      <formula>$N$7</formula>
    </cfRule>
    <cfRule type="cellIs" dxfId="4315" priority="569" stopIfTrue="1" operator="lessThan">
      <formula>$N$7</formula>
    </cfRule>
  </conditionalFormatting>
  <conditionalFormatting sqref="O8">
    <cfRule type="cellIs" dxfId="4314" priority="570" stopIfTrue="1" operator="equal">
      <formula>$N$8</formula>
    </cfRule>
    <cfRule type="cellIs" dxfId="4313" priority="571" stopIfTrue="1" operator="lessThan">
      <formula>$N$8</formula>
    </cfRule>
  </conditionalFormatting>
  <conditionalFormatting sqref="O9">
    <cfRule type="cellIs" dxfId="4312" priority="572" stopIfTrue="1" operator="equal">
      <formula>$N$9</formula>
    </cfRule>
    <cfRule type="cellIs" dxfId="4311" priority="573" stopIfTrue="1" operator="lessThan">
      <formula>$N$9</formula>
    </cfRule>
  </conditionalFormatting>
  <conditionalFormatting sqref="O10">
    <cfRule type="cellIs" dxfId="4310" priority="575" stopIfTrue="1" operator="lessThan">
      <formula>$N$10</formula>
    </cfRule>
    <cfRule type="cellIs" dxfId="4309" priority="574" stopIfTrue="1" operator="equal">
      <formula>$N$10</formula>
    </cfRule>
  </conditionalFormatting>
  <conditionalFormatting sqref="O11">
    <cfRule type="cellIs" dxfId="4308" priority="577" stopIfTrue="1" operator="lessThan">
      <formula>$N$11</formula>
    </cfRule>
    <cfRule type="cellIs" dxfId="4307" priority="576" stopIfTrue="1" operator="equal">
      <formula>$N$11</formula>
    </cfRule>
  </conditionalFormatting>
  <conditionalFormatting sqref="O12">
    <cfRule type="cellIs" dxfId="4306" priority="578" stopIfTrue="1" operator="equal">
      <formula>$N$12</formula>
    </cfRule>
    <cfRule type="cellIs" dxfId="4305" priority="579" stopIfTrue="1" operator="lessThan">
      <formula>$N$12</formula>
    </cfRule>
  </conditionalFormatting>
  <conditionalFormatting sqref="O13">
    <cfRule type="cellIs" dxfId="4304" priority="580" stopIfTrue="1" operator="equal">
      <formula>$N$13</formula>
    </cfRule>
    <cfRule type="cellIs" dxfId="4303" priority="581" stopIfTrue="1" operator="lessThan">
      <formula>$N$13</formula>
    </cfRule>
  </conditionalFormatting>
  <conditionalFormatting sqref="O14">
    <cfRule type="cellIs" dxfId="4302" priority="582" stopIfTrue="1" operator="equal">
      <formula>$N$14</formula>
    </cfRule>
    <cfRule type="cellIs" dxfId="4301" priority="583" stopIfTrue="1" operator="lessThan">
      <formula>$N$14</formula>
    </cfRule>
  </conditionalFormatting>
  <conditionalFormatting sqref="O15">
    <cfRule type="cellIs" dxfId="4300" priority="584" stopIfTrue="1" operator="equal">
      <formula>$N$15</formula>
    </cfRule>
    <cfRule type="cellIs" dxfId="4299" priority="585" stopIfTrue="1" operator="lessThan">
      <formula>$N$15</formula>
    </cfRule>
  </conditionalFormatting>
  <conditionalFormatting sqref="O16">
    <cfRule type="cellIs" dxfId="4298" priority="586" stopIfTrue="1" operator="equal">
      <formula>$N$16</formula>
    </cfRule>
    <cfRule type="cellIs" dxfId="4297" priority="587" stopIfTrue="1" operator="lessThan">
      <formula>$N$16</formula>
    </cfRule>
  </conditionalFormatting>
  <conditionalFormatting sqref="O17">
    <cfRule type="cellIs" dxfId="4296" priority="588" stopIfTrue="1" operator="equal">
      <formula>$N$17</formula>
    </cfRule>
    <cfRule type="cellIs" dxfId="4295" priority="589" stopIfTrue="1" operator="lessThan">
      <formula>$N$17</formula>
    </cfRule>
  </conditionalFormatting>
  <conditionalFormatting sqref="O18">
    <cfRule type="cellIs" dxfId="4294" priority="590" stopIfTrue="1" operator="equal">
      <formula>$N$18</formula>
    </cfRule>
    <cfRule type="cellIs" dxfId="4293" priority="591" stopIfTrue="1" operator="lessThan">
      <formula>$N$18</formula>
    </cfRule>
  </conditionalFormatting>
  <conditionalFormatting sqref="O19">
    <cfRule type="cellIs" dxfId="4292" priority="593" stopIfTrue="1" operator="lessThan">
      <formula>$N$19</formula>
    </cfRule>
    <cfRule type="cellIs" dxfId="4291" priority="592" stopIfTrue="1" operator="equal">
      <formula>$N$19</formula>
    </cfRule>
  </conditionalFormatting>
  <conditionalFormatting sqref="O20">
    <cfRule type="cellIs" dxfId="4290" priority="595" stopIfTrue="1" operator="lessThan">
      <formula>$N$20</formula>
    </cfRule>
    <cfRule type="cellIs" dxfId="4289" priority="594" stopIfTrue="1" operator="equal">
      <formula>$N$20</formula>
    </cfRule>
  </conditionalFormatting>
  <conditionalFormatting sqref="O21">
    <cfRule type="cellIs" dxfId="4288" priority="596" stopIfTrue="1" operator="equal">
      <formula>$N$21</formula>
    </cfRule>
    <cfRule type="cellIs" dxfId="4287" priority="597" stopIfTrue="1" operator="lessThan">
      <formula>$N$21</formula>
    </cfRule>
  </conditionalFormatting>
  <conditionalFormatting sqref="O22">
    <cfRule type="cellIs" dxfId="4286" priority="598" stopIfTrue="1" operator="equal">
      <formula>$N$22</formula>
    </cfRule>
    <cfRule type="cellIs" dxfId="4285" priority="599" stopIfTrue="1" operator="lessThan">
      <formula>$N$22</formula>
    </cfRule>
  </conditionalFormatting>
  <conditionalFormatting sqref="O23">
    <cfRule type="cellIs" dxfId="4284" priority="600" stopIfTrue="1" operator="equal">
      <formula>$N$23</formula>
    </cfRule>
    <cfRule type="cellIs" dxfId="4283" priority="601" stopIfTrue="1" operator="lessThan">
      <formula>$N$23</formula>
    </cfRule>
  </conditionalFormatting>
  <conditionalFormatting sqref="O24">
    <cfRule type="cellIs" dxfId="4282" priority="602" stopIfTrue="1" operator="equal">
      <formula>$N$24</formula>
    </cfRule>
    <cfRule type="cellIs" dxfId="4281" priority="603" stopIfTrue="1" operator="lessThan">
      <formula>$N$24</formula>
    </cfRule>
  </conditionalFormatting>
  <conditionalFormatting sqref="O25">
    <cfRule type="cellIs" dxfId="4280" priority="604" stopIfTrue="1" operator="equal">
      <formula>$N$25</formula>
    </cfRule>
    <cfRule type="cellIs" dxfId="4279" priority="605" stopIfTrue="1" operator="lessThan">
      <formula>$N$25</formula>
    </cfRule>
  </conditionalFormatting>
  <conditionalFormatting sqref="O26">
    <cfRule type="cellIs" dxfId="4278" priority="606" stopIfTrue="1" operator="equal">
      <formula>$N$26</formula>
    </cfRule>
    <cfRule type="cellIs" dxfId="4277" priority="607" stopIfTrue="1" operator="lessThan">
      <formula>$N$26</formula>
    </cfRule>
  </conditionalFormatting>
  <conditionalFormatting sqref="O27">
    <cfRule type="cellIs" dxfId="4276" priority="608" stopIfTrue="1" operator="equal">
      <formula>$N$27</formula>
    </cfRule>
    <cfRule type="cellIs" dxfId="4275" priority="609" stopIfTrue="1" operator="lessThan">
      <formula>$N$27</formula>
    </cfRule>
  </conditionalFormatting>
  <conditionalFormatting sqref="O28">
    <cfRule type="cellIs" dxfId="4274" priority="610" stopIfTrue="1" operator="equal">
      <formula>$N$28</formula>
    </cfRule>
    <cfRule type="cellIs" dxfId="4273" priority="611" stopIfTrue="1" operator="lessThan">
      <formula>$N$28</formula>
    </cfRule>
  </conditionalFormatting>
  <conditionalFormatting sqref="O29">
    <cfRule type="cellIs" dxfId="4272" priority="613" stopIfTrue="1" operator="lessThan">
      <formula>$N$29</formula>
    </cfRule>
    <cfRule type="cellIs" dxfId="4271" priority="612" stopIfTrue="1" operator="equal">
      <formula>$N$29</formula>
    </cfRule>
  </conditionalFormatting>
  <conditionalFormatting sqref="U4:AF23">
    <cfRule type="cellIs" dxfId="4270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63"/>
  <sheetViews>
    <sheetView zoomScaleSheetLayoutView="100" workbookViewId="0">
      <selection activeCell="S2" sqref="S2:S3"/>
    </sheetView>
  </sheetViews>
  <sheetFormatPr defaultRowHeight="14.5" x14ac:dyDescent="0.35"/>
  <cols>
    <col min="1" max="1" width="8.26953125" style="122" customWidth="1"/>
    <col min="2" max="2" width="8.54296875" style="1" customWidth="1"/>
    <col min="3" max="3" width="26.1796875" customWidth="1"/>
    <col min="4" max="16" width="10.1796875" customWidth="1"/>
    <col min="17" max="17" width="11.81640625" bestFit="1" customWidth="1"/>
    <col min="20" max="20" width="5.54296875" customWidth="1"/>
    <col min="36" max="36" width="11.81640625" customWidth="1"/>
    <col min="37" max="49" width="7.453125" style="256" customWidth="1"/>
  </cols>
  <sheetData>
    <row r="1" spans="1:49" ht="15" thickBot="1" x14ac:dyDescent="0.4">
      <c r="A1"/>
      <c r="B1"/>
      <c r="AE1" s="150" t="s">
        <v>214</v>
      </c>
      <c r="AF1" s="150"/>
      <c r="AG1" s="150"/>
    </row>
    <row r="2" spans="1:49" s="1" customFormat="1" ht="21" customHeight="1" thickBot="1" x14ac:dyDescent="0.55000000000000004">
      <c r="A2" s="117" t="s">
        <v>18</v>
      </c>
      <c r="B2" s="114">
        <v>1851</v>
      </c>
      <c r="C2" s="2"/>
      <c r="D2" s="3">
        <f>'1850'!C2</f>
        <v>44927</v>
      </c>
      <c r="E2" s="3">
        <f>'1850'!D2</f>
        <v>44958</v>
      </c>
      <c r="F2" s="3">
        <f>'1850'!E2</f>
        <v>44986</v>
      </c>
      <c r="G2" s="3">
        <f>'1850'!F2</f>
        <v>45017</v>
      </c>
      <c r="H2" s="3">
        <f>'1850'!G2</f>
        <v>45047</v>
      </c>
      <c r="I2" s="3">
        <f>'1850'!H2</f>
        <v>45078</v>
      </c>
      <c r="J2" s="3">
        <f>'1850'!I2</f>
        <v>45111</v>
      </c>
      <c r="K2" s="3">
        <f>'1850'!J2</f>
        <v>45139</v>
      </c>
      <c r="L2" s="3">
        <f>'1850'!K2</f>
        <v>45170</v>
      </c>
      <c r="M2" s="3">
        <f>'1850'!L2</f>
        <v>45201</v>
      </c>
      <c r="N2" s="3">
        <f>'1850'!M2</f>
        <v>45231</v>
      </c>
      <c r="O2" s="3">
        <f>'1850'!N2</f>
        <v>45261</v>
      </c>
      <c r="P2" s="3">
        <f>'1850'!O2</f>
        <v>45292</v>
      </c>
      <c r="Q2" s="1" t="s">
        <v>0</v>
      </c>
      <c r="R2" s="1" t="s">
        <v>1</v>
      </c>
      <c r="S2" s="1" t="s">
        <v>29</v>
      </c>
      <c r="V2" s="144"/>
      <c r="W2" s="145"/>
      <c r="X2" s="145"/>
      <c r="Y2" s="145"/>
      <c r="Z2" s="145" t="s">
        <v>213</v>
      </c>
      <c r="AA2" s="145"/>
      <c r="AB2" s="145"/>
      <c r="AC2" s="145"/>
      <c r="AD2" s="145"/>
      <c r="AE2" s="145"/>
      <c r="AF2" s="145"/>
      <c r="AG2" s="149"/>
      <c r="AH2" s="151" t="s">
        <v>322</v>
      </c>
      <c r="AK2" s="257" t="s">
        <v>421</v>
      </c>
      <c r="AL2" s="258"/>
      <c r="AM2" s="258"/>
      <c r="AN2" s="258"/>
      <c r="AO2" s="258"/>
      <c r="AP2" s="258"/>
      <c r="AQ2" s="258"/>
      <c r="AR2" s="258"/>
      <c r="AS2" s="258"/>
      <c r="AT2" s="258"/>
      <c r="AU2" s="258"/>
      <c r="AV2" s="261" t="s">
        <v>408</v>
      </c>
      <c r="AW2" s="259">
        <f>(AW6+AW12+AW14+AW18+AW54+AW56+AW58+AW60+AW62)/9</f>
        <v>0.3599169479675966</v>
      </c>
    </row>
    <row r="3" spans="1:49" s="1" customFormat="1" ht="15" thickBot="1" x14ac:dyDescent="0.4">
      <c r="A3" s="118" t="s">
        <v>19</v>
      </c>
      <c r="B3" s="4" t="s">
        <v>2</v>
      </c>
      <c r="C3" s="5"/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3</v>
      </c>
      <c r="Q3" s="1" t="s">
        <v>96</v>
      </c>
      <c r="R3" s="1" t="s">
        <v>95</v>
      </c>
      <c r="S3" s="1" t="s">
        <v>97</v>
      </c>
      <c r="U3" s="1" t="s">
        <v>212</v>
      </c>
      <c r="V3" s="4" t="s">
        <v>4</v>
      </c>
      <c r="W3" s="4" t="s">
        <v>5</v>
      </c>
      <c r="X3" s="4" t="s">
        <v>6</v>
      </c>
      <c r="Y3" s="4" t="s">
        <v>7</v>
      </c>
      <c r="Z3" s="4" t="s">
        <v>8</v>
      </c>
      <c r="AA3" s="4" t="s">
        <v>9</v>
      </c>
      <c r="AB3" s="4" t="s">
        <v>10</v>
      </c>
      <c r="AC3" s="4" t="s">
        <v>11</v>
      </c>
      <c r="AD3" s="4" t="s">
        <v>12</v>
      </c>
      <c r="AE3" s="4" t="s">
        <v>13</v>
      </c>
      <c r="AF3" s="4" t="s">
        <v>14</v>
      </c>
      <c r="AG3" s="4" t="s">
        <v>3</v>
      </c>
      <c r="AH3" s="151" t="s">
        <v>215</v>
      </c>
      <c r="AK3" s="262" t="s">
        <v>395</v>
      </c>
      <c r="AL3" s="262" t="s">
        <v>396</v>
      </c>
      <c r="AM3" s="262" t="s">
        <v>397</v>
      </c>
      <c r="AN3" s="262" t="s">
        <v>398</v>
      </c>
      <c r="AO3" s="262" t="s">
        <v>399</v>
      </c>
      <c r="AP3" s="262" t="s">
        <v>400</v>
      </c>
      <c r="AQ3" s="262" t="s">
        <v>401</v>
      </c>
      <c r="AR3" s="262" t="s">
        <v>402</v>
      </c>
      <c r="AS3" s="262" t="s">
        <v>403</v>
      </c>
      <c r="AT3" s="262" t="s">
        <v>404</v>
      </c>
      <c r="AU3" s="262" t="s">
        <v>405</v>
      </c>
      <c r="AV3" s="262" t="s">
        <v>406</v>
      </c>
      <c r="AW3" s="262" t="s">
        <v>407</v>
      </c>
    </row>
    <row r="4" spans="1:49" ht="15" thickBot="1" x14ac:dyDescent="0.4">
      <c r="A4" s="285">
        <v>1</v>
      </c>
      <c r="B4" s="279">
        <v>1</v>
      </c>
      <c r="C4" s="6" t="s">
        <v>132</v>
      </c>
      <c r="D4" s="7">
        <v>536.77</v>
      </c>
      <c r="E4" s="7">
        <v>551.64700000000005</v>
      </c>
      <c r="F4" s="7">
        <v>562.36800000000005</v>
      </c>
      <c r="G4" s="7">
        <v>574.76800000000003</v>
      </c>
      <c r="H4" s="7">
        <v>585.11599999999999</v>
      </c>
      <c r="I4" s="7">
        <v>597.07799999999997</v>
      </c>
      <c r="J4" s="7">
        <v>607.97199999999998</v>
      </c>
      <c r="K4" s="7">
        <v>616.91099999999994</v>
      </c>
      <c r="L4" s="7">
        <v>628.67100000000005</v>
      </c>
      <c r="M4" s="8">
        <v>641.31500000000005</v>
      </c>
      <c r="N4" s="7">
        <v>653.94399999999996</v>
      </c>
      <c r="O4" s="7">
        <v>666.82100000000003</v>
      </c>
      <c r="P4" s="7">
        <v>682.22500000000002</v>
      </c>
      <c r="Q4" s="9">
        <f>P4-D4</f>
        <v>145.45500000000004</v>
      </c>
      <c r="U4" s="1">
        <v>1</v>
      </c>
      <c r="V4" s="146">
        <f t="shared" ref="V4:AG4" si="0">E4-D4</f>
        <v>14.877000000000066</v>
      </c>
      <c r="W4" s="146">
        <f t="shared" si="0"/>
        <v>10.721000000000004</v>
      </c>
      <c r="X4" s="146">
        <f t="shared" si="0"/>
        <v>12.399999999999977</v>
      </c>
      <c r="Y4" s="146">
        <f t="shared" si="0"/>
        <v>10.347999999999956</v>
      </c>
      <c r="Z4" s="146">
        <f t="shared" si="0"/>
        <v>11.961999999999989</v>
      </c>
      <c r="AA4" s="146">
        <f t="shared" si="0"/>
        <v>10.894000000000005</v>
      </c>
      <c r="AB4" s="146">
        <f t="shared" si="0"/>
        <v>8.9389999999999645</v>
      </c>
      <c r="AC4" s="146">
        <f t="shared" si="0"/>
        <v>11.760000000000105</v>
      </c>
      <c r="AD4" s="146">
        <f t="shared" si="0"/>
        <v>12.644000000000005</v>
      </c>
      <c r="AE4" s="146">
        <f t="shared" si="0"/>
        <v>12.628999999999905</v>
      </c>
      <c r="AF4" s="146">
        <f t="shared" si="0"/>
        <v>12.877000000000066</v>
      </c>
      <c r="AG4" s="146">
        <f t="shared" si="0"/>
        <v>15.403999999999996</v>
      </c>
      <c r="AH4" s="152">
        <v>11.905222222222218</v>
      </c>
    </row>
    <row r="5" spans="1:49" x14ac:dyDescent="0.35">
      <c r="A5" s="286"/>
      <c r="B5" s="279"/>
      <c r="C5" s="10" t="s">
        <v>333</v>
      </c>
      <c r="D5" s="11">
        <v>39.363999999999997</v>
      </c>
      <c r="E5" s="11">
        <v>43.734000000000002</v>
      </c>
      <c r="F5" s="11">
        <v>47.276000000000003</v>
      </c>
      <c r="G5" s="11">
        <v>50.347000000000001</v>
      </c>
      <c r="H5" s="11">
        <v>52.093000000000004</v>
      </c>
      <c r="I5" s="11">
        <v>53.195</v>
      </c>
      <c r="J5" s="11">
        <v>53.962000000000003</v>
      </c>
      <c r="K5" s="11">
        <v>54.496000000000002</v>
      </c>
      <c r="L5" s="11">
        <v>55.122999999999998</v>
      </c>
      <c r="M5" s="12">
        <v>55.887999999999998</v>
      </c>
      <c r="N5" s="11">
        <v>57.156999999999996</v>
      </c>
      <c r="O5" s="11">
        <v>60.356999999999999</v>
      </c>
      <c r="P5" s="11">
        <v>64.751000000000005</v>
      </c>
      <c r="Q5" s="9"/>
      <c r="R5" s="9">
        <f>P5-D5</f>
        <v>25.387000000000008</v>
      </c>
      <c r="U5" s="153" t="s">
        <v>216</v>
      </c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52"/>
    </row>
    <row r="6" spans="1:49" x14ac:dyDescent="0.35">
      <c r="A6" s="119">
        <v>2</v>
      </c>
      <c r="B6" s="280">
        <v>2</v>
      </c>
      <c r="C6" s="10" t="s">
        <v>133</v>
      </c>
      <c r="D6" s="11">
        <v>201.14400000000001</v>
      </c>
      <c r="E6" s="11">
        <v>206.11199999999999</v>
      </c>
      <c r="F6" s="11">
        <v>210.649</v>
      </c>
      <c r="G6" s="11">
        <v>215.89099999999999</v>
      </c>
      <c r="H6" s="11">
        <v>220.92400000000001</v>
      </c>
      <c r="I6" s="11">
        <v>225.614</v>
      </c>
      <c r="J6" s="11">
        <v>231.18100000000001</v>
      </c>
      <c r="K6" s="11">
        <v>235.64</v>
      </c>
      <c r="L6" s="11">
        <v>240.643</v>
      </c>
      <c r="M6" s="11">
        <v>246.09200000000001</v>
      </c>
      <c r="N6" s="11">
        <v>250.655</v>
      </c>
      <c r="O6" s="11">
        <v>255.35</v>
      </c>
      <c r="P6" s="11">
        <v>261.012</v>
      </c>
      <c r="Q6" s="9">
        <f t="shared" ref="Q6" si="1">P6-D6</f>
        <v>59.867999999999995</v>
      </c>
      <c r="U6" s="1">
        <v>2</v>
      </c>
      <c r="V6" s="148">
        <f t="shared" ref="V6:AG6" si="2">E6-D6</f>
        <v>4.9679999999999893</v>
      </c>
      <c r="W6" s="148">
        <f t="shared" si="2"/>
        <v>4.5370000000000061</v>
      </c>
      <c r="X6" s="148">
        <f t="shared" si="2"/>
        <v>5.2419999999999902</v>
      </c>
      <c r="Y6" s="148">
        <f t="shared" si="2"/>
        <v>5.0330000000000155</v>
      </c>
      <c r="Z6" s="148">
        <f t="shared" si="2"/>
        <v>4.6899999999999977</v>
      </c>
      <c r="AA6" s="148">
        <f t="shared" si="2"/>
        <v>5.5670000000000073</v>
      </c>
      <c r="AB6" s="148">
        <f t="shared" si="2"/>
        <v>4.4589999999999748</v>
      </c>
      <c r="AC6" s="148">
        <f t="shared" si="2"/>
        <v>5.0030000000000143</v>
      </c>
      <c r="AD6" s="148">
        <f t="shared" si="2"/>
        <v>5.4490000000000123</v>
      </c>
      <c r="AE6" s="148">
        <f t="shared" si="2"/>
        <v>4.5629999999999882</v>
      </c>
      <c r="AF6" s="148">
        <f t="shared" si="2"/>
        <v>4.6949999999999932</v>
      </c>
      <c r="AG6" s="148">
        <f t="shared" si="2"/>
        <v>5.6620000000000061</v>
      </c>
      <c r="AH6" s="152">
        <v>4.9828888888888896</v>
      </c>
      <c r="AJ6" s="263" t="s">
        <v>410</v>
      </c>
      <c r="AK6" s="260">
        <f>V7/(V6+V7)</f>
        <v>0.34597156398104317</v>
      </c>
      <c r="AL6" s="260">
        <f t="shared" ref="AL6:AV6" si="3">W7/(W6+W7)</f>
        <v>0.35027924960618595</v>
      </c>
      <c r="AM6" s="260">
        <f t="shared" si="3"/>
        <v>0.3571253372577885</v>
      </c>
      <c r="AN6" s="260">
        <f t="shared" si="3"/>
        <v>0.36683859604981661</v>
      </c>
      <c r="AO6" s="260">
        <f t="shared" si="3"/>
        <v>0.36475687389949879</v>
      </c>
      <c r="AP6" s="260">
        <f t="shared" si="3"/>
        <v>0.31330948562970296</v>
      </c>
      <c r="AQ6" s="260">
        <f t="shared" si="3"/>
        <v>0.27613636363636401</v>
      </c>
      <c r="AR6" s="260">
        <f t="shared" si="3"/>
        <v>0.28292962591371629</v>
      </c>
      <c r="AS6" s="260">
        <f t="shared" si="3"/>
        <v>0.31938546090432146</v>
      </c>
      <c r="AT6" s="260">
        <f t="shared" si="3"/>
        <v>0.35101692504622478</v>
      </c>
      <c r="AU6" s="260">
        <f t="shared" si="3"/>
        <v>0.37441705529646835</v>
      </c>
      <c r="AV6" s="260">
        <f t="shared" si="3"/>
        <v>0.36800982252483588</v>
      </c>
      <c r="AW6" s="260">
        <f>SUM(AK6:AV6)/12</f>
        <v>0.33918136331216386</v>
      </c>
    </row>
    <row r="7" spans="1:49" x14ac:dyDescent="0.35">
      <c r="A7" s="119" t="s">
        <v>20</v>
      </c>
      <c r="B7" s="280"/>
      <c r="C7" s="10" t="s">
        <v>334</v>
      </c>
      <c r="D7" s="11">
        <v>46.893000000000001</v>
      </c>
      <c r="E7" s="11">
        <v>51.423000000000002</v>
      </c>
      <c r="F7" s="11">
        <v>56.612000000000002</v>
      </c>
      <c r="G7" s="11">
        <v>61.177</v>
      </c>
      <c r="H7" s="11">
        <v>63.3</v>
      </c>
      <c r="I7" s="11">
        <v>64.215999999999994</v>
      </c>
      <c r="J7" s="11">
        <v>64.974000000000004</v>
      </c>
      <c r="K7" s="11">
        <v>65.653000000000006</v>
      </c>
      <c r="L7" s="11">
        <v>66.286000000000001</v>
      </c>
      <c r="M7" s="11">
        <v>67.013999999999996</v>
      </c>
      <c r="N7" s="11">
        <v>68.822000000000003</v>
      </c>
      <c r="O7" s="11">
        <v>72.826999999999998</v>
      </c>
      <c r="P7" s="11">
        <v>78.034000000000006</v>
      </c>
      <c r="Q7" s="9"/>
      <c r="R7" s="9">
        <f t="shared" ref="R7" si="4">P7-D7</f>
        <v>31.141000000000005</v>
      </c>
      <c r="U7" s="153" t="s">
        <v>217</v>
      </c>
      <c r="V7" s="158">
        <f t="shared" ref="V7:W7" si="5">V40</f>
        <v>2.6280000000000001</v>
      </c>
      <c r="W7" s="158">
        <f t="shared" si="5"/>
        <v>2.445999999999998</v>
      </c>
      <c r="X7" s="158">
        <f t="shared" ref="X7:Y7" si="6">X40</f>
        <v>2.9120000000000061</v>
      </c>
      <c r="Y7" s="158">
        <f t="shared" si="6"/>
        <v>2.9159999999999968</v>
      </c>
      <c r="Z7" s="158">
        <f t="shared" ref="Z7:AA7" si="7">Z40</f>
        <v>2.6929999999999978</v>
      </c>
      <c r="AA7" s="158">
        <f t="shared" si="7"/>
        <v>2.5400000000000063</v>
      </c>
      <c r="AB7" s="158">
        <f t="shared" ref="AB7:AC7" si="8">AB40</f>
        <v>1.7009999999999934</v>
      </c>
      <c r="AC7" s="158">
        <f t="shared" si="8"/>
        <v>1.9740000000000038</v>
      </c>
      <c r="AD7" s="158">
        <f t="shared" ref="AD7:AE7" si="9">AD40</f>
        <v>2.5570000000000022</v>
      </c>
      <c r="AE7" s="158">
        <f t="shared" si="9"/>
        <v>2.4680000000000035</v>
      </c>
      <c r="AF7" s="158">
        <f t="shared" ref="AF7:AG7" si="10">AF40</f>
        <v>2.8099999999999881</v>
      </c>
      <c r="AG7" s="158">
        <f t="shared" si="10"/>
        <v>3.2970000000000113</v>
      </c>
      <c r="AH7" s="154">
        <v>4.4300000000000006</v>
      </c>
      <c r="AJ7" s="263"/>
    </row>
    <row r="8" spans="1:49" x14ac:dyDescent="0.35">
      <c r="A8" s="119">
        <v>5</v>
      </c>
      <c r="B8" s="287">
        <v>3</v>
      </c>
      <c r="C8" s="10" t="s">
        <v>424</v>
      </c>
      <c r="D8" s="11">
        <v>1.0580000000000001</v>
      </c>
      <c r="E8" s="11">
        <v>2.1720000000000002</v>
      </c>
      <c r="F8" s="11">
        <v>3.1640000000000001</v>
      </c>
      <c r="G8" s="11">
        <v>4.2590000000000003</v>
      </c>
      <c r="H8" s="11">
        <v>5.2709999999999999</v>
      </c>
      <c r="I8" s="11">
        <v>6.2910000000000004</v>
      </c>
      <c r="J8" s="11">
        <v>7.524</v>
      </c>
      <c r="K8" s="11">
        <v>8.6289999999999996</v>
      </c>
      <c r="L8" s="11">
        <v>9.843</v>
      </c>
      <c r="M8" s="11">
        <v>10.911</v>
      </c>
      <c r="N8" s="11">
        <v>11.945</v>
      </c>
      <c r="O8" s="11">
        <v>13.048</v>
      </c>
      <c r="P8" s="11">
        <v>14.202999999999999</v>
      </c>
      <c r="Q8" s="9">
        <f>P8-I54+I53-D8</f>
        <v>36.354999999999997</v>
      </c>
      <c r="U8" s="1">
        <v>5</v>
      </c>
      <c r="V8" s="148">
        <f t="shared" ref="V8:AG8" si="11">E8-D8</f>
        <v>1.1140000000000001</v>
      </c>
      <c r="W8" s="148">
        <f t="shared" si="11"/>
        <v>0.99199999999999999</v>
      </c>
      <c r="X8" s="148">
        <f t="shared" si="11"/>
        <v>1.0950000000000002</v>
      </c>
      <c r="Y8" s="148">
        <f t="shared" si="11"/>
        <v>1.0119999999999996</v>
      </c>
      <c r="Z8" s="148">
        <f t="shared" si="11"/>
        <v>1.0200000000000005</v>
      </c>
      <c r="AA8" s="148">
        <f t="shared" si="11"/>
        <v>1.2329999999999997</v>
      </c>
      <c r="AB8" s="148">
        <f t="shared" si="11"/>
        <v>1.1049999999999995</v>
      </c>
      <c r="AC8" s="148">
        <f t="shared" si="11"/>
        <v>1.2140000000000004</v>
      </c>
      <c r="AD8" s="148">
        <f t="shared" si="11"/>
        <v>1.0679999999999996</v>
      </c>
      <c r="AE8" s="148">
        <f t="shared" si="11"/>
        <v>1.0340000000000007</v>
      </c>
      <c r="AF8" s="148">
        <f t="shared" si="11"/>
        <v>1.1029999999999998</v>
      </c>
      <c r="AG8" s="148">
        <f t="shared" si="11"/>
        <v>1.1549999999999994</v>
      </c>
      <c r="AH8" s="152">
        <v>0.94022222222222218</v>
      </c>
      <c r="AJ8" s="263" t="s">
        <v>411</v>
      </c>
      <c r="AK8" s="260">
        <f>V9/(V8+V9)</f>
        <v>0.25832223701731105</v>
      </c>
      <c r="AL8" s="260">
        <f t="shared" ref="AL8" si="12">W9/(W8+W9)</f>
        <v>0.26897568165069924</v>
      </c>
      <c r="AM8" s="260">
        <f t="shared" ref="AM8" si="13">X9/(X8+X9)</f>
        <v>0.25611413043478382</v>
      </c>
      <c r="AN8" s="260">
        <f t="shared" ref="AN8" si="14">Y9/(Y8+Y9)</f>
        <v>0.266666666666666</v>
      </c>
      <c r="AO8" s="260">
        <f t="shared" ref="AO8" si="15">Z9/(Z8+Z9)</f>
        <v>0.23994038748137053</v>
      </c>
      <c r="AP8" s="260">
        <f t="shared" ref="AP8" si="16">AA9/(AA8+AA9)</f>
        <v>0.21113243761996259</v>
      </c>
      <c r="AQ8" s="260">
        <f t="shared" ref="AQ8" si="17">AB9/(AB8+AB9)</f>
        <v>0.1869021339220002</v>
      </c>
      <c r="AR8" s="260">
        <f t="shared" ref="AR8" si="18">AC9/(AC8+AC9)</f>
        <v>0.2147477360931439</v>
      </c>
      <c r="AS8" s="260">
        <f t="shared" ref="AS8" si="19">AD9/(AD8+AD9)</f>
        <v>0.20712694877505569</v>
      </c>
      <c r="AT8" s="260">
        <f t="shared" ref="AT8" si="20">AE9/(AE8+AE9)</f>
        <v>0.22950819672131126</v>
      </c>
      <c r="AU8" s="260">
        <f t="shared" ref="AU8" si="21">AF9/(AF8+AF9)</f>
        <v>0.24035812672176324</v>
      </c>
      <c r="AV8" s="260">
        <f t="shared" ref="AV8" si="22">AG9/(AG8+AG9)</f>
        <v>0.25291073738680564</v>
      </c>
      <c r="AW8" s="260">
        <f>SUM(AK8:AV8)/12</f>
        <v>0.23605878504090613</v>
      </c>
    </row>
    <row r="9" spans="1:49" x14ac:dyDescent="0.35">
      <c r="A9" s="119" t="s">
        <v>21</v>
      </c>
      <c r="B9" s="287"/>
      <c r="C9" s="10" t="s">
        <v>335</v>
      </c>
      <c r="D9" s="11">
        <v>51.338000000000001</v>
      </c>
      <c r="E9" s="11">
        <v>56.037999999999997</v>
      </c>
      <c r="F9" s="11">
        <v>60.893000000000001</v>
      </c>
      <c r="G9" s="11">
        <v>70.006</v>
      </c>
      <c r="H9" s="11">
        <v>77.694999999999993</v>
      </c>
      <c r="I9" s="11">
        <v>83.397000000000006</v>
      </c>
      <c r="J9" s="11">
        <v>87.177999999999997</v>
      </c>
      <c r="K9" s="11">
        <v>88.516999999999996</v>
      </c>
      <c r="L9" s="11">
        <v>89.677999999999997</v>
      </c>
      <c r="M9" s="11">
        <v>90.756</v>
      </c>
      <c r="N9" s="11">
        <v>92.24</v>
      </c>
      <c r="O9" s="11">
        <v>95.572999999999993</v>
      </c>
      <c r="P9" s="11">
        <v>100</v>
      </c>
      <c r="Q9" s="9"/>
      <c r="R9" s="9">
        <f t="shared" ref="R9" si="23">P9-D9</f>
        <v>48.661999999999999</v>
      </c>
      <c r="U9" s="153" t="s">
        <v>217</v>
      </c>
      <c r="V9" s="158">
        <f t="shared" ref="V9:W9" si="24">V42</f>
        <v>0.38800000000000168</v>
      </c>
      <c r="W9" s="158">
        <f t="shared" si="24"/>
        <v>0.36499999999999844</v>
      </c>
      <c r="X9" s="158">
        <f t="shared" ref="X9:Y9" si="25">X42</f>
        <v>0.37700000000000244</v>
      </c>
      <c r="Y9" s="158">
        <f t="shared" si="25"/>
        <v>0.36799999999999855</v>
      </c>
      <c r="Z9" s="158">
        <f t="shared" ref="Z9:AA9" si="26">Z42</f>
        <v>0.32199999999999918</v>
      </c>
      <c r="AA9" s="158">
        <f t="shared" si="26"/>
        <v>0.33000000000000185</v>
      </c>
      <c r="AB9" s="158">
        <f t="shared" ref="AB9:AC9" si="27">AB42</f>
        <v>0.25399999999999778</v>
      </c>
      <c r="AC9" s="158">
        <f t="shared" si="27"/>
        <v>0.33200000000000074</v>
      </c>
      <c r="AD9" s="158">
        <f t="shared" ref="AD9:AE9" si="28">AD42</f>
        <v>0.27899999999999991</v>
      </c>
      <c r="AE9" s="158">
        <f t="shared" si="28"/>
        <v>0.30799999999999983</v>
      </c>
      <c r="AF9" s="158">
        <f t="shared" ref="AF9:AG9" si="29">AF42</f>
        <v>0.3490000000000002</v>
      </c>
      <c r="AG9" s="158">
        <f t="shared" si="29"/>
        <v>0.39100000000000179</v>
      </c>
      <c r="AH9" s="154">
        <v>0.37122222222222223</v>
      </c>
      <c r="AJ9" s="263"/>
    </row>
    <row r="10" spans="1:49" x14ac:dyDescent="0.35">
      <c r="A10" s="288">
        <v>4</v>
      </c>
      <c r="B10" s="280">
        <v>4</v>
      </c>
      <c r="C10" s="10" t="s">
        <v>134</v>
      </c>
      <c r="D10" s="11">
        <v>116.497</v>
      </c>
      <c r="E10" s="11">
        <v>124.646</v>
      </c>
      <c r="F10" s="11">
        <v>132.55000000000001</v>
      </c>
      <c r="G10" s="11">
        <v>138.602</v>
      </c>
      <c r="H10" s="11">
        <v>145.833</v>
      </c>
      <c r="I10" s="11">
        <v>154.376</v>
      </c>
      <c r="J10" s="11">
        <v>161.81200000000001</v>
      </c>
      <c r="K10" s="11">
        <v>166.16800000000001</v>
      </c>
      <c r="L10" s="11">
        <v>171.10499999999999</v>
      </c>
      <c r="M10" s="11">
        <v>179.00899999999999</v>
      </c>
      <c r="N10" s="11">
        <v>186.82499999999999</v>
      </c>
      <c r="O10" s="11">
        <v>194.76</v>
      </c>
      <c r="P10" s="11">
        <v>201.49100000000001</v>
      </c>
      <c r="Q10" s="9">
        <f t="shared" ref="Q10" si="30">P10-D10</f>
        <v>84.994000000000014</v>
      </c>
      <c r="U10" s="1">
        <v>4</v>
      </c>
      <c r="V10" s="148">
        <f t="shared" ref="V10:AG10" si="31">E10-D10</f>
        <v>8.1490000000000009</v>
      </c>
      <c r="W10" s="148">
        <f t="shared" si="31"/>
        <v>7.9040000000000106</v>
      </c>
      <c r="X10" s="148">
        <f t="shared" si="31"/>
        <v>6.0519999999999925</v>
      </c>
      <c r="Y10" s="148">
        <f t="shared" si="31"/>
        <v>7.2309999999999945</v>
      </c>
      <c r="Z10" s="148">
        <f t="shared" si="31"/>
        <v>8.5430000000000064</v>
      </c>
      <c r="AA10" s="148">
        <f t="shared" si="31"/>
        <v>7.436000000000007</v>
      </c>
      <c r="AB10" s="148">
        <f t="shared" si="31"/>
        <v>4.3559999999999945</v>
      </c>
      <c r="AC10" s="148">
        <f t="shared" si="31"/>
        <v>4.9369999999999834</v>
      </c>
      <c r="AD10" s="148">
        <f t="shared" si="31"/>
        <v>7.9039999999999964</v>
      </c>
      <c r="AE10" s="148">
        <f t="shared" si="31"/>
        <v>7.8160000000000025</v>
      </c>
      <c r="AF10" s="148">
        <f t="shared" si="31"/>
        <v>7.9350000000000023</v>
      </c>
      <c r="AG10" s="148">
        <f t="shared" si="31"/>
        <v>6.731000000000023</v>
      </c>
      <c r="AH10" s="152">
        <v>5.9373333333333314</v>
      </c>
      <c r="AJ10" s="263"/>
    </row>
    <row r="11" spans="1:49" x14ac:dyDescent="0.35">
      <c r="A11" s="288"/>
      <c r="B11" s="280"/>
      <c r="C11" s="10" t="s">
        <v>336</v>
      </c>
      <c r="D11" s="11">
        <v>1.298</v>
      </c>
      <c r="E11" s="11">
        <v>2.899</v>
      </c>
      <c r="F11" s="11">
        <v>4.4550000000000001</v>
      </c>
      <c r="G11" s="11">
        <v>5.28</v>
      </c>
      <c r="H11" s="11">
        <v>5.9960000000000004</v>
      </c>
      <c r="I11" s="11">
        <v>6.4640000000000004</v>
      </c>
      <c r="J11" s="11">
        <v>6.8070000000000004</v>
      </c>
      <c r="K11" s="11">
        <v>6.952</v>
      </c>
      <c r="L11" s="11">
        <v>7.1239999999999997</v>
      </c>
      <c r="M11" s="11">
        <v>7.4630000000000001</v>
      </c>
      <c r="N11" s="11">
        <v>7.8529999999999998</v>
      </c>
      <c r="O11" s="11">
        <v>8.8729999999999993</v>
      </c>
      <c r="P11" s="11">
        <v>10.27</v>
      </c>
      <c r="Q11" s="9"/>
      <c r="R11" s="9">
        <f t="shared" ref="R11" si="32">P11-D11</f>
        <v>8.9719999999999995</v>
      </c>
      <c r="U11" s="153" t="s">
        <v>216</v>
      </c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52"/>
      <c r="AJ11" s="263"/>
    </row>
    <row r="12" spans="1:49" x14ac:dyDescent="0.35">
      <c r="A12" s="119">
        <v>9</v>
      </c>
      <c r="B12" s="280">
        <v>5</v>
      </c>
      <c r="C12" s="10" t="s">
        <v>135</v>
      </c>
      <c r="D12" s="11">
        <v>172.08799999999999</v>
      </c>
      <c r="E12" s="11">
        <v>176.76599999999999</v>
      </c>
      <c r="F12" s="11">
        <v>181.119</v>
      </c>
      <c r="G12" s="11">
        <v>185.53700000000001</v>
      </c>
      <c r="H12" s="11">
        <v>189.53399999999999</v>
      </c>
      <c r="I12" s="11">
        <v>194.08</v>
      </c>
      <c r="J12" s="11">
        <v>199.655</v>
      </c>
      <c r="K12" s="11">
        <v>203.93600000000001</v>
      </c>
      <c r="L12" s="11">
        <v>208.56100000000001</v>
      </c>
      <c r="M12" s="11">
        <v>213.42500000000001</v>
      </c>
      <c r="N12" s="11">
        <v>218.81299999999999</v>
      </c>
      <c r="O12" s="11">
        <v>223.697</v>
      </c>
      <c r="P12" s="11">
        <v>229.006</v>
      </c>
      <c r="Q12" s="9">
        <f t="shared" ref="Q12" si="33">P12-D12</f>
        <v>56.918000000000006</v>
      </c>
      <c r="U12" s="1">
        <v>9</v>
      </c>
      <c r="V12" s="148">
        <f t="shared" ref="V12:AG12" si="34">E12-D12</f>
        <v>4.6779999999999973</v>
      </c>
      <c r="W12" s="148">
        <f t="shared" si="34"/>
        <v>4.3530000000000086</v>
      </c>
      <c r="X12" s="148">
        <f t="shared" si="34"/>
        <v>4.4180000000000064</v>
      </c>
      <c r="Y12" s="148">
        <f t="shared" si="34"/>
        <v>3.9969999999999857</v>
      </c>
      <c r="Z12" s="148">
        <f t="shared" si="34"/>
        <v>4.5460000000000207</v>
      </c>
      <c r="AA12" s="148">
        <f t="shared" si="34"/>
        <v>5.5749999999999886</v>
      </c>
      <c r="AB12" s="148">
        <f t="shared" si="34"/>
        <v>4.2810000000000059</v>
      </c>
      <c r="AC12" s="148">
        <f t="shared" si="34"/>
        <v>4.625</v>
      </c>
      <c r="AD12" s="148">
        <f t="shared" si="34"/>
        <v>4.8640000000000043</v>
      </c>
      <c r="AE12" s="148">
        <f t="shared" si="34"/>
        <v>5.3879999999999768</v>
      </c>
      <c r="AF12" s="148">
        <f t="shared" si="34"/>
        <v>4.8840000000000146</v>
      </c>
      <c r="AG12" s="148">
        <f t="shared" si="34"/>
        <v>5.3089999999999975</v>
      </c>
      <c r="AH12" s="152">
        <v>4.7323333333333339</v>
      </c>
      <c r="AJ12" s="263" t="s">
        <v>412</v>
      </c>
      <c r="AK12" s="260">
        <f>V13/(V12+V13)</f>
        <v>0.28819233110164327</v>
      </c>
      <c r="AL12" s="260">
        <f t="shared" ref="AL12" si="35">W13/(W12+W13)</f>
        <v>0.29801644895984464</v>
      </c>
      <c r="AM12" s="260">
        <f t="shared" ref="AM12" si="36">X13/(X12+X13)</f>
        <v>0.25797783003023167</v>
      </c>
      <c r="AN12" s="260">
        <f t="shared" ref="AN12" si="37">Y13/(Y12+Y13)</f>
        <v>0.25023447758394407</v>
      </c>
      <c r="AO12" s="260">
        <f t="shared" ref="AO12" si="38">Z13/(Z12+Z13)</f>
        <v>0.21090088526297487</v>
      </c>
      <c r="AP12" s="260">
        <f t="shared" ref="AP12" si="39">AA13/(AA12+AA13)</f>
        <v>0.16001205363869214</v>
      </c>
      <c r="AQ12" s="260">
        <f t="shared" ref="AQ12" si="40">AB13/(AB12+AB13)</f>
        <v>0.18472671872024338</v>
      </c>
      <c r="AR12" s="260">
        <f t="shared" ref="AR12" si="41">AC13/(AC12+AC13)</f>
        <v>0.18516560958421452</v>
      </c>
      <c r="AS12" s="260">
        <f t="shared" ref="AS12" si="42">AD13/(AD12+AD13)</f>
        <v>0.19788918205804584</v>
      </c>
      <c r="AT12" s="260">
        <f t="shared" ref="AT12" si="43">AE13/(AE12+AE13)</f>
        <v>0.19449843025863447</v>
      </c>
      <c r="AU12" s="260">
        <f t="shared" ref="AU12" si="44">AF13/(AF12+AF13)</f>
        <v>0.20919689119170956</v>
      </c>
      <c r="AV12" s="260">
        <f t="shared" ref="AV12" si="45">AG13/(AG12+AG13)</f>
        <v>0.22766947919697395</v>
      </c>
      <c r="AW12" s="260">
        <f>SUM(AK12:AV12)/12</f>
        <v>0.22204002813226267</v>
      </c>
    </row>
    <row r="13" spans="1:49" x14ac:dyDescent="0.35">
      <c r="A13" s="119" t="s">
        <v>22</v>
      </c>
      <c r="B13" s="280"/>
      <c r="C13" s="10" t="s">
        <v>337</v>
      </c>
      <c r="D13" s="11">
        <v>38.609000000000002</v>
      </c>
      <c r="E13" s="11">
        <v>43.002000000000002</v>
      </c>
      <c r="F13" s="11">
        <v>45.707999999999998</v>
      </c>
      <c r="G13" s="11">
        <v>47.662999999999997</v>
      </c>
      <c r="H13" s="11">
        <v>49.801000000000002</v>
      </c>
      <c r="I13" s="11">
        <v>50.893999999999998</v>
      </c>
      <c r="J13" s="11">
        <v>51.548999999999999</v>
      </c>
      <c r="K13" s="11">
        <v>51.981999999999999</v>
      </c>
      <c r="L13" s="11">
        <v>52.502000000000002</v>
      </c>
      <c r="M13" s="11">
        <v>53.192999999999998</v>
      </c>
      <c r="N13" s="11">
        <v>55.465000000000003</v>
      </c>
      <c r="O13" s="11">
        <v>59.372</v>
      </c>
      <c r="P13" s="11">
        <v>64.284000000000006</v>
      </c>
      <c r="Q13" s="9"/>
      <c r="R13" s="9">
        <f t="shared" ref="R13" si="46">P13-D13</f>
        <v>25.675000000000004</v>
      </c>
      <c r="U13" s="153" t="s">
        <v>217</v>
      </c>
      <c r="V13" s="158">
        <f t="shared" ref="V13:W13" si="47">V44</f>
        <v>1.8939999999999984</v>
      </c>
      <c r="W13" s="158">
        <f t="shared" si="47"/>
        <v>1.847999999999999</v>
      </c>
      <c r="X13" s="158">
        <f t="shared" ref="X13:Y13" si="48">X44</f>
        <v>1.5360000000000014</v>
      </c>
      <c r="Y13" s="158">
        <f t="shared" si="48"/>
        <v>1.3340000000000032</v>
      </c>
      <c r="Z13" s="158">
        <f t="shared" ref="Z13:AA13" si="49">Z44</f>
        <v>1.2150000000000034</v>
      </c>
      <c r="AA13" s="158">
        <f t="shared" si="49"/>
        <v>1.0619999999999976</v>
      </c>
      <c r="AB13" s="158">
        <f t="shared" ref="AB13:AC13" si="50">AB44</f>
        <v>0.96999999999999886</v>
      </c>
      <c r="AC13" s="158">
        <f t="shared" si="50"/>
        <v>1.0510000000000019</v>
      </c>
      <c r="AD13" s="158">
        <f t="shared" ref="AD13:AE13" si="51">AD44</f>
        <v>1.1999999999999886</v>
      </c>
      <c r="AE13" s="158">
        <f t="shared" si="51"/>
        <v>1.3010000000000019</v>
      </c>
      <c r="AF13" s="158">
        <f t="shared" ref="AF13:AG13" si="52">AF44</f>
        <v>1.2920000000000016</v>
      </c>
      <c r="AG13" s="158">
        <f t="shared" si="52"/>
        <v>1.5649999999999977</v>
      </c>
      <c r="AH13" s="154">
        <v>4.7182222222222219</v>
      </c>
      <c r="AJ13" s="263"/>
    </row>
    <row r="14" spans="1:49" x14ac:dyDescent="0.35">
      <c r="A14" s="119">
        <v>15</v>
      </c>
      <c r="B14" s="280">
        <v>6</v>
      </c>
      <c r="C14" s="10" t="s">
        <v>273</v>
      </c>
      <c r="D14" s="11">
        <v>153.43100000000001</v>
      </c>
      <c r="E14" s="11">
        <v>158.16</v>
      </c>
      <c r="F14" s="11">
        <v>161.53</v>
      </c>
      <c r="G14" s="11">
        <v>165.25299999999999</v>
      </c>
      <c r="H14" s="11">
        <v>169.47900000000001</v>
      </c>
      <c r="I14" s="11">
        <v>173.28</v>
      </c>
      <c r="J14" s="11">
        <v>178.00399999999999</v>
      </c>
      <c r="K14" s="11">
        <v>182.352</v>
      </c>
      <c r="L14" s="11">
        <v>186.71199999999999</v>
      </c>
      <c r="M14" s="11">
        <v>186.85</v>
      </c>
      <c r="N14" s="11">
        <v>187.66399999999999</v>
      </c>
      <c r="O14" s="11">
        <v>188.386</v>
      </c>
      <c r="P14" s="11">
        <v>189.37100000000001</v>
      </c>
      <c r="Q14" s="9">
        <f t="shared" ref="Q14" si="53">P14-D14</f>
        <v>35.94</v>
      </c>
      <c r="U14" s="1">
        <v>15</v>
      </c>
      <c r="V14" s="148">
        <f t="shared" ref="V14:AG14" si="54">E14-D14</f>
        <v>4.728999999999985</v>
      </c>
      <c r="W14" s="148">
        <f t="shared" si="54"/>
        <v>3.3700000000000045</v>
      </c>
      <c r="X14" s="148">
        <f t="shared" si="54"/>
        <v>3.7229999999999848</v>
      </c>
      <c r="Y14" s="148">
        <f t="shared" si="54"/>
        <v>4.2260000000000275</v>
      </c>
      <c r="Z14" s="148">
        <f t="shared" si="54"/>
        <v>3.8009999999999877</v>
      </c>
      <c r="AA14" s="148">
        <f t="shared" si="54"/>
        <v>4.7239999999999895</v>
      </c>
      <c r="AB14" s="148">
        <f t="shared" si="54"/>
        <v>4.3480000000000132</v>
      </c>
      <c r="AC14" s="148">
        <f t="shared" si="54"/>
        <v>4.3599999999999852</v>
      </c>
      <c r="AD14" s="148">
        <f t="shared" si="54"/>
        <v>0.13800000000000523</v>
      </c>
      <c r="AE14" s="148">
        <f t="shared" si="54"/>
        <v>0.81399999999999295</v>
      </c>
      <c r="AF14" s="148">
        <f t="shared" si="54"/>
        <v>0.72200000000000841</v>
      </c>
      <c r="AG14" s="148">
        <f t="shared" si="54"/>
        <v>0.98500000000001364</v>
      </c>
      <c r="AH14" s="152">
        <v>1.6821111111111091</v>
      </c>
      <c r="AJ14" s="263" t="s">
        <v>413</v>
      </c>
      <c r="AK14" s="260">
        <f>V15/(V14+V15)</f>
        <v>0.47647514668437957</v>
      </c>
      <c r="AL14" s="260">
        <f t="shared" ref="AL14" si="55">W15/(W14+W15)</f>
        <v>0.49791418355184702</v>
      </c>
      <c r="AM14" s="260">
        <f t="shared" ref="AM14" si="56">X15/(X14+X15)</f>
        <v>0.48796589189932726</v>
      </c>
      <c r="AN14" s="260">
        <f t="shared" ref="AN14" si="57">Y15/(Y14+Y15)</f>
        <v>0.45986707566461998</v>
      </c>
      <c r="AO14" s="260">
        <f t="shared" ref="AO14" si="58">Z15/(Z14+Z15)</f>
        <v>0.44984802431611054</v>
      </c>
      <c r="AP14" s="260">
        <f t="shared" ref="AP14" si="59">AA15/(AA14+AA15)</f>
        <v>0.37997112481953033</v>
      </c>
      <c r="AQ14" s="260">
        <f t="shared" ref="AQ14" si="60">AB15/(AB14+AB15)</f>
        <v>0.31849529780564312</v>
      </c>
      <c r="AR14" s="260">
        <f t="shared" ref="AR14" si="61">AC15/(AC14+AC15)</f>
        <v>0.27430093209054612</v>
      </c>
      <c r="AS14" s="260">
        <f t="shared" ref="AS14" si="62">AD15/(AD14+AD15)</f>
        <v>0.3551401869158593</v>
      </c>
      <c r="AT14" s="260">
        <f t="shared" ref="AT14" si="63">AE15/(AE14+AE15)</f>
        <v>0.33605220228385518</v>
      </c>
      <c r="AU14" s="260">
        <f t="shared" ref="AU14" si="64">AF15/(AF14+AF15)</f>
        <v>0.52841280209013353</v>
      </c>
      <c r="AV14" s="260">
        <f t="shared" ref="AV14" si="65">AG15/(AG14+AG15)</f>
        <v>0.59314332920280655</v>
      </c>
      <c r="AW14" s="260">
        <f>SUM(AK14:AV14)/12</f>
        <v>0.4297988497770549</v>
      </c>
    </row>
    <row r="15" spans="1:49" x14ac:dyDescent="0.35">
      <c r="A15" s="119" t="s">
        <v>23</v>
      </c>
      <c r="B15" s="280"/>
      <c r="C15" s="10" t="s">
        <v>338</v>
      </c>
      <c r="D15" s="11">
        <v>22.332000000000001</v>
      </c>
      <c r="E15" s="11">
        <v>25.120999999999999</v>
      </c>
      <c r="F15" s="11">
        <v>27.818000000000001</v>
      </c>
      <c r="G15" s="11">
        <v>30.329000000000001</v>
      </c>
      <c r="H15" s="11">
        <v>32.195</v>
      </c>
      <c r="I15" s="11">
        <v>32.972999999999999</v>
      </c>
      <c r="J15" s="11">
        <v>33.631999999999998</v>
      </c>
      <c r="K15" s="11">
        <v>34.081000000000003</v>
      </c>
      <c r="L15" s="11">
        <v>34.548999999999999</v>
      </c>
      <c r="M15" s="11">
        <v>34.735999999999997</v>
      </c>
      <c r="N15" s="11">
        <v>35.414999999999999</v>
      </c>
      <c r="O15" s="11">
        <v>36.552999999999997</v>
      </c>
      <c r="P15" s="11">
        <v>39.081000000000003</v>
      </c>
      <c r="Q15" s="9"/>
      <c r="R15" s="9">
        <f t="shared" ref="R15" si="66">P15-D15</f>
        <v>16.749000000000002</v>
      </c>
      <c r="U15" s="153" t="s">
        <v>217</v>
      </c>
      <c r="V15" s="158">
        <f t="shared" ref="V15:W15" si="67">V46</f>
        <v>4.3039999999999878</v>
      </c>
      <c r="W15" s="158">
        <f t="shared" si="67"/>
        <v>3.3419999999999987</v>
      </c>
      <c r="X15" s="158">
        <f t="shared" ref="X15:Y15" si="68">X46</f>
        <v>3.5480000000000018</v>
      </c>
      <c r="Y15" s="158">
        <f t="shared" si="68"/>
        <v>3.597999999999999</v>
      </c>
      <c r="Z15" s="158">
        <f t="shared" ref="Z15:AA15" si="69">Z46</f>
        <v>3.1080000000000041</v>
      </c>
      <c r="AA15" s="158">
        <f t="shared" si="69"/>
        <v>2.894999999999996</v>
      </c>
      <c r="AB15" s="158">
        <f t="shared" ref="AB15:AC15" si="70">AB46</f>
        <v>2.0320000000000107</v>
      </c>
      <c r="AC15" s="158">
        <f t="shared" si="70"/>
        <v>1.6479999999999961</v>
      </c>
      <c r="AD15" s="158">
        <f t="shared" ref="AD15:AE15" si="71">AD46</f>
        <v>7.5999999999993406E-2</v>
      </c>
      <c r="AE15" s="158">
        <f t="shared" si="71"/>
        <v>0.41200000000000614</v>
      </c>
      <c r="AF15" s="158">
        <f t="shared" ref="AF15:AG15" si="72">AF46</f>
        <v>0.8089999999999975</v>
      </c>
      <c r="AG15" s="158">
        <f t="shared" si="72"/>
        <v>1.436000000000007</v>
      </c>
      <c r="AH15" s="154">
        <v>0.73344444444444434</v>
      </c>
      <c r="AJ15" s="263"/>
    </row>
    <row r="16" spans="1:49" x14ac:dyDescent="0.35">
      <c r="A16" s="288">
        <v>7</v>
      </c>
      <c r="B16" s="280">
        <v>7</v>
      </c>
      <c r="C16" s="10" t="s">
        <v>136</v>
      </c>
      <c r="D16" s="11">
        <v>230.53700000000001</v>
      </c>
      <c r="E16" s="11">
        <v>235.137</v>
      </c>
      <c r="F16" s="11">
        <v>239.791</v>
      </c>
      <c r="G16" s="11">
        <v>245.797</v>
      </c>
      <c r="H16" s="11">
        <v>251.13499999999999</v>
      </c>
      <c r="I16" s="11">
        <v>255.92</v>
      </c>
      <c r="J16" s="11">
        <v>260.93</v>
      </c>
      <c r="K16" s="11">
        <v>264.786</v>
      </c>
      <c r="L16" s="11">
        <v>267.63400000000001</v>
      </c>
      <c r="M16" s="11">
        <v>272.10000000000002</v>
      </c>
      <c r="N16" s="11">
        <v>276.66500000000002</v>
      </c>
      <c r="O16" s="11">
        <v>281.702</v>
      </c>
      <c r="P16" s="11">
        <v>288.41899999999998</v>
      </c>
      <c r="Q16" s="9">
        <f t="shared" ref="Q16" si="73">P16-D16</f>
        <v>57.881999999999977</v>
      </c>
      <c r="U16" s="1">
        <v>7</v>
      </c>
      <c r="V16" s="148">
        <f t="shared" ref="V16:AG16" si="74">E16-D16</f>
        <v>4.5999999999999943</v>
      </c>
      <c r="W16" s="148">
        <f t="shared" si="74"/>
        <v>4.6539999999999964</v>
      </c>
      <c r="X16" s="148">
        <f t="shared" si="74"/>
        <v>6.0060000000000002</v>
      </c>
      <c r="Y16" s="148">
        <f t="shared" si="74"/>
        <v>5.3379999999999939</v>
      </c>
      <c r="Z16" s="148">
        <f t="shared" si="74"/>
        <v>4.7849999999999966</v>
      </c>
      <c r="AA16" s="148">
        <f t="shared" si="74"/>
        <v>5.0100000000000193</v>
      </c>
      <c r="AB16" s="148">
        <f t="shared" si="74"/>
        <v>3.8559999999999945</v>
      </c>
      <c r="AC16" s="148">
        <f t="shared" si="74"/>
        <v>2.8480000000000132</v>
      </c>
      <c r="AD16" s="148">
        <f t="shared" si="74"/>
        <v>4.4660000000000082</v>
      </c>
      <c r="AE16" s="148">
        <f t="shared" si="74"/>
        <v>4.5649999999999977</v>
      </c>
      <c r="AF16" s="148">
        <f t="shared" si="74"/>
        <v>5.0369999999999777</v>
      </c>
      <c r="AG16" s="148">
        <f t="shared" si="74"/>
        <v>6.7169999999999845</v>
      </c>
      <c r="AH16" s="152">
        <v>6.2735555555555544</v>
      </c>
      <c r="AJ16" s="263"/>
    </row>
    <row r="17" spans="1:52" x14ac:dyDescent="0.35">
      <c r="A17" s="288"/>
      <c r="B17" s="280"/>
      <c r="C17" s="10" t="s">
        <v>339</v>
      </c>
      <c r="D17" s="11">
        <v>5.7759999999999998</v>
      </c>
      <c r="E17" s="11">
        <v>6.1379999999999999</v>
      </c>
      <c r="F17" s="11">
        <v>6.5229999999999997</v>
      </c>
      <c r="G17" s="11">
        <v>7.0339999999999998</v>
      </c>
      <c r="H17" s="11">
        <v>7.47</v>
      </c>
      <c r="I17" s="11">
        <v>7.7969999999999997</v>
      </c>
      <c r="J17" s="11">
        <v>8.1039999999999992</v>
      </c>
      <c r="K17" s="11">
        <v>8.2959999999999994</v>
      </c>
      <c r="L17" s="11">
        <v>8.4410000000000007</v>
      </c>
      <c r="M17" s="11">
        <v>8.6750000000000007</v>
      </c>
      <c r="N17" s="11">
        <v>8.9659999999999993</v>
      </c>
      <c r="O17" s="11">
        <v>9.3320000000000007</v>
      </c>
      <c r="P17" s="11">
        <v>9.8949999999999996</v>
      </c>
      <c r="Q17" s="9"/>
      <c r="R17" s="9">
        <f t="shared" ref="R17" si="75">P17-D17</f>
        <v>4.1189999999999998</v>
      </c>
      <c r="U17" s="153" t="s">
        <v>216</v>
      </c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52"/>
      <c r="AJ17" s="263"/>
    </row>
    <row r="18" spans="1:52" x14ac:dyDescent="0.35">
      <c r="A18" s="119">
        <v>13</v>
      </c>
      <c r="B18" s="280">
        <v>8</v>
      </c>
      <c r="C18" s="10" t="s">
        <v>137</v>
      </c>
      <c r="D18" s="11">
        <v>108.81100000000001</v>
      </c>
      <c r="E18" s="11">
        <v>111.154</v>
      </c>
      <c r="F18" s="11">
        <v>113.14</v>
      </c>
      <c r="G18" s="11">
        <v>115.386</v>
      </c>
      <c r="H18" s="11">
        <v>117.76300000000001</v>
      </c>
      <c r="I18" s="11">
        <v>119.625</v>
      </c>
      <c r="J18" s="11">
        <v>122.048</v>
      </c>
      <c r="K18" s="11">
        <v>124.184</v>
      </c>
      <c r="L18" s="11">
        <v>127.101</v>
      </c>
      <c r="M18" s="11">
        <v>129.54300000000001</v>
      </c>
      <c r="N18" s="11">
        <v>131.821</v>
      </c>
      <c r="O18" s="11">
        <v>133.69999999999999</v>
      </c>
      <c r="P18" s="11">
        <v>136.261</v>
      </c>
      <c r="Q18" s="9">
        <f t="shared" ref="Q18" si="76">P18-D18</f>
        <v>27.449999999999989</v>
      </c>
      <c r="U18" s="1">
        <v>13</v>
      </c>
      <c r="V18" s="148">
        <f t="shared" ref="V18:AG18" si="77">E18-D18</f>
        <v>2.3429999999999893</v>
      </c>
      <c r="W18" s="148">
        <f t="shared" si="77"/>
        <v>1.9860000000000042</v>
      </c>
      <c r="X18" s="148">
        <f t="shared" si="77"/>
        <v>2.2459999999999951</v>
      </c>
      <c r="Y18" s="148">
        <f t="shared" si="77"/>
        <v>2.3770000000000095</v>
      </c>
      <c r="Z18" s="148">
        <f t="shared" si="77"/>
        <v>1.8619999999999948</v>
      </c>
      <c r="AA18" s="148">
        <f t="shared" si="77"/>
        <v>2.4230000000000018</v>
      </c>
      <c r="AB18" s="148">
        <f t="shared" si="77"/>
        <v>2.1359999999999957</v>
      </c>
      <c r="AC18" s="148">
        <f t="shared" si="77"/>
        <v>2.9170000000000016</v>
      </c>
      <c r="AD18" s="148">
        <f t="shared" si="77"/>
        <v>2.4420000000000073</v>
      </c>
      <c r="AE18" s="148">
        <f t="shared" si="77"/>
        <v>2.2779999999999916</v>
      </c>
      <c r="AF18" s="148">
        <f t="shared" si="77"/>
        <v>1.8789999999999907</v>
      </c>
      <c r="AG18" s="148">
        <f t="shared" si="77"/>
        <v>2.561000000000007</v>
      </c>
      <c r="AH18" s="152">
        <v>2.5207777777777785</v>
      </c>
      <c r="AJ18" s="263" t="s">
        <v>414</v>
      </c>
      <c r="AK18" s="260">
        <f>V19/(V18+V19)</f>
        <v>0.46580027359781312</v>
      </c>
      <c r="AL18" s="260">
        <f t="shared" ref="AL18" si="78">W19/(W18+W19)</f>
        <v>0.52680486061472409</v>
      </c>
      <c r="AM18" s="260">
        <f t="shared" ref="AM18" si="79">X19/(X18+X19)</f>
        <v>0.46650831353919275</v>
      </c>
      <c r="AN18" s="260">
        <f t="shared" ref="AN18" si="80">Y19/(Y18+Y19)</f>
        <v>0.44989585744040667</v>
      </c>
      <c r="AO18" s="260">
        <f t="shared" ref="AO18" si="81">Z19/(Z18+Z19)</f>
        <v>0.46278130409694229</v>
      </c>
      <c r="AP18" s="260">
        <f t="shared" ref="AP18" si="82">AA19/(AA18+AA19)</f>
        <v>0.40830280830280768</v>
      </c>
      <c r="AQ18" s="260">
        <f t="shared" ref="AQ18" si="83">AB19/(AB18+AB19)</f>
        <v>0.34276923076922922</v>
      </c>
      <c r="AR18" s="260">
        <f t="shared" ref="AR18" si="84">AC19/(AC18+AC19)</f>
        <v>0.39216503438216344</v>
      </c>
      <c r="AS18" s="260">
        <f t="shared" ref="AS18" si="85">AD19/(AD18+AD19)</f>
        <v>0.41508982035928127</v>
      </c>
      <c r="AT18" s="260">
        <f t="shared" ref="AT18" si="86">AE19/(AE18+AE19)</f>
        <v>0.45800618605757848</v>
      </c>
      <c r="AU18" s="260">
        <f t="shared" ref="AU18" si="87">AF19/(AF18+AF19)</f>
        <v>0.44457582027786191</v>
      </c>
      <c r="AV18" s="260">
        <f t="shared" ref="AV18" si="88">AG19/(AG18+AG19)</f>
        <v>0.40400279264603006</v>
      </c>
      <c r="AW18" s="260">
        <f>SUM(AK18:AV18)/12</f>
        <v>0.43639185850700263</v>
      </c>
    </row>
    <row r="19" spans="1:52" x14ac:dyDescent="0.35">
      <c r="A19" s="119" t="s">
        <v>24</v>
      </c>
      <c r="B19" s="280"/>
      <c r="C19" s="10" t="s">
        <v>340</v>
      </c>
      <c r="D19" s="11">
        <v>36.685000000000002</v>
      </c>
      <c r="E19" s="11">
        <v>41.326000000000001</v>
      </c>
      <c r="F19" s="11">
        <v>46.027999999999999</v>
      </c>
      <c r="G19" s="11">
        <v>49.05</v>
      </c>
      <c r="H19" s="11">
        <v>50.771000000000001</v>
      </c>
      <c r="I19" s="11">
        <v>51.274000000000001</v>
      </c>
      <c r="J19" s="11">
        <v>51.808999999999997</v>
      </c>
      <c r="K19" s="11">
        <v>52.11</v>
      </c>
      <c r="L19" s="11">
        <v>52.527999999999999</v>
      </c>
      <c r="M19" s="11">
        <v>53.005000000000003</v>
      </c>
      <c r="N19" s="11">
        <v>53.726999999999997</v>
      </c>
      <c r="O19" s="11">
        <v>56.421999999999997</v>
      </c>
      <c r="P19" s="11">
        <v>60.985999999999997</v>
      </c>
      <c r="Q19" s="9"/>
      <c r="R19" s="9">
        <f t="shared" ref="R19" si="89">P19-D19</f>
        <v>24.300999999999995</v>
      </c>
      <c r="U19" s="153" t="s">
        <v>217</v>
      </c>
      <c r="V19" s="158">
        <f t="shared" ref="V19:W19" si="90">V48</f>
        <v>2.0430000000000064</v>
      </c>
      <c r="W19" s="158">
        <f t="shared" si="90"/>
        <v>2.2109999999999985</v>
      </c>
      <c r="X19" s="158">
        <f t="shared" ref="X19:Y19" si="91">X48</f>
        <v>1.9639999999999986</v>
      </c>
      <c r="Y19" s="158">
        <f t="shared" si="91"/>
        <v>1.9440000000000026</v>
      </c>
      <c r="Z19" s="158">
        <f t="shared" ref="Z19:AA19" si="92">Z48</f>
        <v>1.6039999999999992</v>
      </c>
      <c r="AA19" s="158">
        <f t="shared" si="92"/>
        <v>1.671999999999997</v>
      </c>
      <c r="AB19" s="158">
        <f t="shared" ref="AB19:AC19" si="93">AB48</f>
        <v>1.1139999999999901</v>
      </c>
      <c r="AC19" s="158">
        <f t="shared" si="93"/>
        <v>1.882000000000005</v>
      </c>
      <c r="AD19" s="158">
        <f t="shared" ref="AD19:AE19" si="94">AD48</f>
        <v>1.7330000000000041</v>
      </c>
      <c r="AE19" s="158">
        <f t="shared" si="94"/>
        <v>1.9249999999999972</v>
      </c>
      <c r="AF19" s="158">
        <f t="shared" ref="AF19:AG19" si="95">AF48</f>
        <v>1.5040000000000049</v>
      </c>
      <c r="AG19" s="158">
        <f t="shared" si="95"/>
        <v>1.73599999999999</v>
      </c>
      <c r="AH19" s="154">
        <v>1.2623333333333333</v>
      </c>
    </row>
    <row r="20" spans="1:52" x14ac:dyDescent="0.35">
      <c r="A20" s="288">
        <v>14</v>
      </c>
      <c r="B20" s="280">
        <v>9</v>
      </c>
      <c r="C20" s="10" t="s">
        <v>138</v>
      </c>
      <c r="D20" s="11">
        <v>366.11700000000002</v>
      </c>
      <c r="E20" s="11">
        <v>374.279</v>
      </c>
      <c r="F20" s="11">
        <v>380.839</v>
      </c>
      <c r="G20" s="11">
        <v>390.23700000000002</v>
      </c>
      <c r="H20" s="11">
        <v>399.69200000000001</v>
      </c>
      <c r="I20" s="11">
        <v>409.37799999999999</v>
      </c>
      <c r="J20" s="11">
        <v>420.21199999999999</v>
      </c>
      <c r="K20" s="11">
        <v>426.58100000000002</v>
      </c>
      <c r="L20" s="11">
        <v>433.529</v>
      </c>
      <c r="M20" s="11">
        <v>443.93400000000003</v>
      </c>
      <c r="N20" s="11">
        <v>453.48200000000003</v>
      </c>
      <c r="O20" s="11">
        <v>462.4</v>
      </c>
      <c r="P20" s="11">
        <v>470.87700000000001</v>
      </c>
      <c r="Q20" s="9">
        <f t="shared" ref="Q20" si="96">P20-D20</f>
        <v>104.75999999999999</v>
      </c>
      <c r="U20" s="1">
        <v>14</v>
      </c>
      <c r="V20" s="148">
        <f t="shared" ref="V20:AG20" si="97">E20-D20</f>
        <v>8.1619999999999777</v>
      </c>
      <c r="W20" s="148">
        <f t="shared" si="97"/>
        <v>6.5600000000000023</v>
      </c>
      <c r="X20" s="148">
        <f t="shared" si="97"/>
        <v>9.3980000000000246</v>
      </c>
      <c r="Y20" s="148">
        <f t="shared" si="97"/>
        <v>9.4549999999999841</v>
      </c>
      <c r="Z20" s="148">
        <f t="shared" si="97"/>
        <v>9.6859999999999786</v>
      </c>
      <c r="AA20" s="148">
        <f t="shared" si="97"/>
        <v>10.834000000000003</v>
      </c>
      <c r="AB20" s="148">
        <f t="shared" si="97"/>
        <v>6.3690000000000282</v>
      </c>
      <c r="AC20" s="148">
        <f t="shared" si="97"/>
        <v>6.9479999999999791</v>
      </c>
      <c r="AD20" s="148">
        <f t="shared" si="97"/>
        <v>10.40500000000003</v>
      </c>
      <c r="AE20" s="148">
        <f t="shared" si="97"/>
        <v>9.5480000000000018</v>
      </c>
      <c r="AF20" s="148">
        <f t="shared" si="97"/>
        <v>8.9179999999999495</v>
      </c>
      <c r="AG20" s="148">
        <f t="shared" si="97"/>
        <v>8.4770000000000323</v>
      </c>
      <c r="AH20" s="152">
        <v>6.9983333333333348</v>
      </c>
    </row>
    <row r="21" spans="1:52" x14ac:dyDescent="0.35">
      <c r="A21" s="288"/>
      <c r="B21" s="280"/>
      <c r="C21" s="10" t="s">
        <v>422</v>
      </c>
      <c r="D21" s="11">
        <v>35.137</v>
      </c>
      <c r="E21" s="11">
        <v>39.438000000000002</v>
      </c>
      <c r="F21" s="11">
        <v>43.612000000000002</v>
      </c>
      <c r="G21" s="11">
        <v>46.7</v>
      </c>
      <c r="H21" s="11">
        <v>48.552</v>
      </c>
      <c r="I21" s="11">
        <v>49.220999999999997</v>
      </c>
      <c r="J21" s="11">
        <v>49.756999999999998</v>
      </c>
      <c r="K21" s="11">
        <v>50.04</v>
      </c>
      <c r="L21" s="11">
        <v>50.323</v>
      </c>
      <c r="M21" s="11">
        <v>50.761000000000003</v>
      </c>
      <c r="N21" s="11">
        <v>52.085999999999999</v>
      </c>
      <c r="O21" s="11">
        <v>55.832000000000001</v>
      </c>
      <c r="P21" s="11">
        <v>60.792999999999999</v>
      </c>
      <c r="Q21" s="9"/>
      <c r="R21" s="9">
        <f t="shared" ref="R21" si="98">P21-D21</f>
        <v>25.655999999999999</v>
      </c>
      <c r="U21" s="153" t="s">
        <v>216</v>
      </c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52"/>
    </row>
    <row r="22" spans="1:52" x14ac:dyDescent="0.35">
      <c r="A22" s="288">
        <v>10</v>
      </c>
      <c r="B22" s="280">
        <v>10</v>
      </c>
      <c r="C22" s="10" t="s">
        <v>139</v>
      </c>
      <c r="D22" s="11">
        <v>72.126999999999995</v>
      </c>
      <c r="E22" s="11">
        <v>73.66</v>
      </c>
      <c r="F22" s="11">
        <v>74.201999999999998</v>
      </c>
      <c r="G22" s="11">
        <v>76.55</v>
      </c>
      <c r="H22" s="11">
        <v>78.251000000000005</v>
      </c>
      <c r="I22" s="11">
        <v>79.91</v>
      </c>
      <c r="J22" s="11">
        <v>81.552999999999997</v>
      </c>
      <c r="K22" s="11">
        <v>83.552999999999997</v>
      </c>
      <c r="L22" s="11">
        <v>85.709000000000003</v>
      </c>
      <c r="M22" s="11">
        <v>87.397999999999996</v>
      </c>
      <c r="N22" s="11">
        <v>89.334000000000003</v>
      </c>
      <c r="O22" s="11">
        <v>91.105999999999995</v>
      </c>
      <c r="P22" s="11">
        <v>92.85</v>
      </c>
      <c r="Q22" s="9">
        <f t="shared" ref="Q22" si="99">P22-D22</f>
        <v>20.722999999999999</v>
      </c>
      <c r="U22" s="1">
        <v>10</v>
      </c>
      <c r="V22" s="148">
        <f t="shared" ref="V22:AG22" si="100">E22-D22</f>
        <v>1.5330000000000013</v>
      </c>
      <c r="W22" s="148">
        <f t="shared" si="100"/>
        <v>0.54200000000000159</v>
      </c>
      <c r="X22" s="148">
        <f t="shared" si="100"/>
        <v>2.347999999999999</v>
      </c>
      <c r="Y22" s="148">
        <f t="shared" si="100"/>
        <v>1.7010000000000076</v>
      </c>
      <c r="Z22" s="148">
        <f t="shared" si="100"/>
        <v>1.6589999999999918</v>
      </c>
      <c r="AA22" s="148">
        <f t="shared" si="100"/>
        <v>1.6430000000000007</v>
      </c>
      <c r="AB22" s="148">
        <f t="shared" si="100"/>
        <v>2</v>
      </c>
      <c r="AC22" s="148">
        <f t="shared" si="100"/>
        <v>2.1560000000000059</v>
      </c>
      <c r="AD22" s="148">
        <f t="shared" si="100"/>
        <v>1.688999999999993</v>
      </c>
      <c r="AE22" s="148">
        <f t="shared" si="100"/>
        <v>1.936000000000007</v>
      </c>
      <c r="AF22" s="148">
        <f t="shared" si="100"/>
        <v>1.7719999999999914</v>
      </c>
      <c r="AG22" s="148">
        <f t="shared" si="100"/>
        <v>1.7439999999999998</v>
      </c>
      <c r="AH22" s="152">
        <v>2.9007777777777779</v>
      </c>
    </row>
    <row r="23" spans="1:52" x14ac:dyDescent="0.35">
      <c r="A23" s="288"/>
      <c r="B23" s="280"/>
      <c r="C23" s="10" t="s">
        <v>341</v>
      </c>
      <c r="D23" s="11">
        <v>21.181999999999999</v>
      </c>
      <c r="E23" s="11">
        <v>23.760999999999999</v>
      </c>
      <c r="F23" s="11">
        <v>25.808</v>
      </c>
      <c r="G23" s="11">
        <v>27.745999999999999</v>
      </c>
      <c r="H23" s="11">
        <v>28.545999999999999</v>
      </c>
      <c r="I23" s="11">
        <v>28.786000000000001</v>
      </c>
      <c r="J23" s="11">
        <v>29.024000000000001</v>
      </c>
      <c r="K23" s="11">
        <v>29.222999999999999</v>
      </c>
      <c r="L23" s="11">
        <v>29.413</v>
      </c>
      <c r="M23" s="11">
        <v>29.635000000000002</v>
      </c>
      <c r="N23" s="11">
        <v>30.030999999999999</v>
      </c>
      <c r="O23" s="11">
        <v>32.618000000000002</v>
      </c>
      <c r="P23" s="11">
        <v>35.463999999999999</v>
      </c>
      <c r="Q23" s="87"/>
      <c r="R23" s="99">
        <f>P23-D23</f>
        <v>14.282</v>
      </c>
      <c r="U23" s="153" t="s">
        <v>216</v>
      </c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52"/>
    </row>
    <row r="24" spans="1:52" x14ac:dyDescent="0.35">
      <c r="A24"/>
      <c r="B24" s="120" t="s">
        <v>15</v>
      </c>
      <c r="C24" s="10" t="s">
        <v>280</v>
      </c>
      <c r="D24" s="15">
        <v>9091</v>
      </c>
      <c r="E24" s="15">
        <v>9291</v>
      </c>
      <c r="F24" s="15">
        <v>9532</v>
      </c>
      <c r="G24" s="15">
        <v>9781</v>
      </c>
      <c r="H24" s="15">
        <v>10063</v>
      </c>
      <c r="I24" s="15">
        <v>10304</v>
      </c>
      <c r="J24" s="15">
        <v>10587</v>
      </c>
      <c r="K24" s="15">
        <v>10797</v>
      </c>
      <c r="L24" s="15">
        <v>11042</v>
      </c>
      <c r="M24" s="15">
        <v>11281</v>
      </c>
      <c r="N24" s="15">
        <v>11552</v>
      </c>
      <c r="O24" s="15">
        <v>11784</v>
      </c>
      <c r="P24" s="15">
        <v>12070</v>
      </c>
      <c r="Q24" s="9">
        <f>SUM(Q4:Q23)+SUM(Q33:Q49)</f>
        <v>981.32500000000005</v>
      </c>
      <c r="R24" s="9">
        <f>SUM(R4:R23)</f>
        <v>224.94400000000002</v>
      </c>
      <c r="S24" s="16">
        <f>P24-D24</f>
        <v>2979</v>
      </c>
      <c r="U24" t="s">
        <v>218</v>
      </c>
      <c r="AK24" s="257" t="s">
        <v>426</v>
      </c>
    </row>
    <row r="25" spans="1:52" x14ac:dyDescent="0.35">
      <c r="A25"/>
      <c r="B25" s="120"/>
      <c r="C25" s="10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9"/>
      <c r="S25" s="16"/>
      <c r="AJ25" s="1" t="s">
        <v>409</v>
      </c>
      <c r="AK25" s="244" t="s">
        <v>395</v>
      </c>
      <c r="AL25" s="244" t="s">
        <v>396</v>
      </c>
      <c r="AM25" s="244" t="s">
        <v>397</v>
      </c>
      <c r="AN25" s="244" t="s">
        <v>398</v>
      </c>
      <c r="AO25" s="244" t="s">
        <v>399</v>
      </c>
      <c r="AP25" s="244" t="s">
        <v>400</v>
      </c>
      <c r="AQ25" s="244" t="s">
        <v>401</v>
      </c>
      <c r="AR25" s="244" t="s">
        <v>402</v>
      </c>
      <c r="AS25" s="244" t="s">
        <v>403</v>
      </c>
      <c r="AT25" s="244" t="s">
        <v>404</v>
      </c>
      <c r="AU25" s="244" t="s">
        <v>405</v>
      </c>
      <c r="AV25" s="244" t="s">
        <v>406</v>
      </c>
      <c r="AW25" s="1" t="s">
        <v>407</v>
      </c>
    </row>
    <row r="26" spans="1:52" x14ac:dyDescent="0.35">
      <c r="A26"/>
      <c r="B26" s="115"/>
      <c r="C26" s="10" t="s">
        <v>140</v>
      </c>
      <c r="D26" s="18">
        <v>3852.3</v>
      </c>
      <c r="E26" s="18">
        <v>3944.9</v>
      </c>
      <c r="F26" s="18">
        <v>4021.2</v>
      </c>
      <c r="G26" s="18">
        <v>4113</v>
      </c>
      <c r="H26" s="18">
        <v>4204.6000000000004</v>
      </c>
      <c r="I26" s="18">
        <v>4302.7</v>
      </c>
      <c r="J26" s="18">
        <v>4398.3999999999996</v>
      </c>
      <c r="K26" s="18">
        <v>4466.5</v>
      </c>
      <c r="L26" s="18">
        <v>4542.1000000000004</v>
      </c>
      <c r="M26" s="18">
        <v>4617.8</v>
      </c>
      <c r="N26" s="18">
        <v>4699.7</v>
      </c>
      <c r="O26" s="18">
        <v>4786.3</v>
      </c>
      <c r="P26" s="18">
        <v>4882.6000000000004</v>
      </c>
      <c r="Q26" s="9">
        <f>P26-D26</f>
        <v>1030.3000000000002</v>
      </c>
      <c r="AJ26" s="281" t="s">
        <v>427</v>
      </c>
      <c r="AK26" s="260">
        <f>(AK6+AK8+AK12+AK14+AK18+AK54+AK56+AK58+AK60+AK62)/10</f>
        <v>0.37510111366923182</v>
      </c>
      <c r="AL26" s="260">
        <f t="shared" ref="AL26:AW26" si="101">(AL6+AL8+AL12+AL14+AL18+AL54+AL56+AL58+AL60+AL62)/10</f>
        <v>0.38990646139627083</v>
      </c>
      <c r="AM26" s="260">
        <f t="shared" si="101"/>
        <v>0.39816563758833423</v>
      </c>
      <c r="AN26" s="260">
        <f t="shared" si="101"/>
        <v>0.3826925955077467</v>
      </c>
      <c r="AO26" s="260">
        <f t="shared" si="101"/>
        <v>0.35898213823621883</v>
      </c>
      <c r="AP26" s="260">
        <f t="shared" si="101"/>
        <v>0.30614145331798392</v>
      </c>
      <c r="AQ26" s="260">
        <f t="shared" si="101"/>
        <v>0.31647023480709036</v>
      </c>
      <c r="AR26" s="260">
        <f t="shared" si="101"/>
        <v>0.31520720526068713</v>
      </c>
      <c r="AS26" s="260">
        <f t="shared" si="101"/>
        <v>0.31656161576677116</v>
      </c>
      <c r="AT26" s="260">
        <f t="shared" si="101"/>
        <v>0.31085232001308716</v>
      </c>
      <c r="AU26" s="260">
        <f t="shared" si="101"/>
        <v>0.34771835935410866</v>
      </c>
      <c r="AV26" s="260">
        <f t="shared" si="101"/>
        <v>0.35257444518159947</v>
      </c>
      <c r="AW26" s="260">
        <f t="shared" si="101"/>
        <v>0.34753113167492755</v>
      </c>
      <c r="AZ26" s="264" t="s">
        <v>420</v>
      </c>
    </row>
    <row r="27" spans="1:52" x14ac:dyDescent="0.35">
      <c r="A27"/>
      <c r="B27" s="121"/>
      <c r="C27" s="10" t="s">
        <v>25</v>
      </c>
      <c r="D27" s="19">
        <v>292.51</v>
      </c>
      <c r="E27" s="19">
        <v>303.2</v>
      </c>
      <c r="F27" s="19">
        <v>313.14</v>
      </c>
      <c r="G27" s="19">
        <v>322.61</v>
      </c>
      <c r="H27" s="19">
        <v>329.28</v>
      </c>
      <c r="I27" s="19">
        <v>333.52</v>
      </c>
      <c r="J27" s="19">
        <v>336.96</v>
      </c>
      <c r="K27" s="19">
        <v>339.11</v>
      </c>
      <c r="L27" s="19">
        <v>8.2100000000000009</v>
      </c>
      <c r="M27" s="19">
        <v>17.440000000000001</v>
      </c>
      <c r="N27" s="19">
        <v>31.73</v>
      </c>
      <c r="O27" s="19">
        <v>60.68</v>
      </c>
      <c r="P27" s="19">
        <v>100.05</v>
      </c>
      <c r="Q27" s="9"/>
      <c r="R27" s="271">
        <f>(K27-D27)*3.6+P27</f>
        <v>267.81000000000006</v>
      </c>
      <c r="S27" t="s">
        <v>95</v>
      </c>
      <c r="AJ27" s="282"/>
    </row>
    <row r="28" spans="1:52" ht="15" thickBot="1" x14ac:dyDescent="0.4">
      <c r="A28"/>
      <c r="B28" s="4"/>
      <c r="C28" s="26" t="s">
        <v>17</v>
      </c>
      <c r="D28" s="21">
        <v>28066</v>
      </c>
      <c r="E28" s="21">
        <v>28546</v>
      </c>
      <c r="F28" s="21">
        <v>28989</v>
      </c>
      <c r="G28" s="21">
        <v>29361</v>
      </c>
      <c r="H28" s="21">
        <v>29617</v>
      </c>
      <c r="I28" s="21">
        <v>29918</v>
      </c>
      <c r="J28" s="21">
        <v>30230</v>
      </c>
      <c r="K28" s="21">
        <v>30496</v>
      </c>
      <c r="L28" s="21">
        <v>345</v>
      </c>
      <c r="M28" s="21">
        <v>708</v>
      </c>
      <c r="N28" s="21">
        <v>1051.3</v>
      </c>
      <c r="O28" s="21">
        <v>1381</v>
      </c>
      <c r="P28" s="21">
        <v>1827</v>
      </c>
      <c r="Q28" s="9"/>
      <c r="R28" s="272">
        <f>K28-D28+P28</f>
        <v>4257</v>
      </c>
      <c r="S28" t="s">
        <v>96</v>
      </c>
      <c r="AJ28" s="282"/>
    </row>
    <row r="29" spans="1:52" ht="15" thickBot="1" x14ac:dyDescent="0.4">
      <c r="A29"/>
      <c r="B29" s="116" t="str">
        <f>'1850'!A29</f>
        <v>fakturační vodoměr č.         63796</v>
      </c>
      <c r="C29" s="22"/>
      <c r="D29" s="84">
        <f>'1850'!C29</f>
        <v>20281.099999999999</v>
      </c>
      <c r="E29" s="84">
        <f>'1850'!D29</f>
        <v>20614.3</v>
      </c>
      <c r="F29" s="84">
        <f>'1850'!E29</f>
        <v>20910.099999999999</v>
      </c>
      <c r="G29" s="84">
        <f>'1850'!F29</f>
        <v>21247.4</v>
      </c>
      <c r="H29" s="84">
        <f>'1850'!G29</f>
        <v>21572.2</v>
      </c>
      <c r="I29" s="84">
        <f>'1850'!H29</f>
        <v>21932.7</v>
      </c>
      <c r="J29" s="84">
        <f>'1850'!I29</f>
        <v>22298.9</v>
      </c>
      <c r="K29" s="84">
        <f>'1850'!J29</f>
        <v>22571.5</v>
      </c>
      <c r="L29" s="84">
        <f>'1850'!K29</f>
        <v>22887.599999999999</v>
      </c>
      <c r="M29" s="84">
        <f>'1850'!L29</f>
        <v>23211.599999999999</v>
      </c>
      <c r="N29" s="84">
        <f>'1850'!M29</f>
        <v>23544</v>
      </c>
      <c r="O29" s="84">
        <f>'1850'!N29</f>
        <v>23869.200000000001</v>
      </c>
      <c r="P29" s="84">
        <f>'1850'!O29</f>
        <v>24212</v>
      </c>
      <c r="Q29" s="9">
        <f>P29-D29</f>
        <v>3930.9000000000015</v>
      </c>
      <c r="V29" t="s">
        <v>219</v>
      </c>
    </row>
    <row r="30" spans="1:52" ht="3.75" customHeight="1" x14ac:dyDescent="0.35">
      <c r="A30"/>
      <c r="B30"/>
    </row>
    <row r="31" spans="1:52" ht="15" thickBot="1" x14ac:dyDescent="0.4">
      <c r="A31"/>
      <c r="E31" s="25"/>
      <c r="U31" s="1" t="s">
        <v>212</v>
      </c>
      <c r="V31" s="4" t="s">
        <v>4</v>
      </c>
      <c r="W31" s="4" t="s">
        <v>5</v>
      </c>
      <c r="X31" s="4" t="s">
        <v>6</v>
      </c>
      <c r="Y31" s="4" t="s">
        <v>7</v>
      </c>
      <c r="Z31" s="4" t="s">
        <v>8</v>
      </c>
      <c r="AA31" s="4" t="s">
        <v>9</v>
      </c>
      <c r="AB31" s="4" t="s">
        <v>10</v>
      </c>
      <c r="AC31" s="4" t="s">
        <v>11</v>
      </c>
      <c r="AD31" s="4" t="s">
        <v>12</v>
      </c>
      <c r="AE31" s="4" t="s">
        <v>13</v>
      </c>
      <c r="AF31" s="4" t="s">
        <v>14</v>
      </c>
      <c r="AG31" s="4" t="s">
        <v>3</v>
      </c>
    </row>
    <row r="32" spans="1:52" ht="3.75" customHeight="1" thickBot="1" x14ac:dyDescent="0.4">
      <c r="A32"/>
      <c r="B32"/>
    </row>
    <row r="33" spans="1:49" ht="15" thickBot="1" x14ac:dyDescent="0.4">
      <c r="A33" s="109">
        <v>3</v>
      </c>
      <c r="B33" s="86" t="s">
        <v>90</v>
      </c>
      <c r="C33" s="6" t="s">
        <v>275</v>
      </c>
      <c r="D33" s="7">
        <v>218.77699999999999</v>
      </c>
      <c r="E33" s="7">
        <v>221.137</v>
      </c>
      <c r="F33" s="7">
        <v>223.26499999999999</v>
      </c>
      <c r="G33" s="7">
        <v>225.85400000000001</v>
      </c>
      <c r="H33" s="7">
        <v>226.08</v>
      </c>
      <c r="I33" s="7">
        <v>226.32499999999999</v>
      </c>
      <c r="J33" s="7">
        <v>226.36099999999999</v>
      </c>
      <c r="K33" s="7">
        <v>228.733</v>
      </c>
      <c r="L33" s="7">
        <v>231.39099999999999</v>
      </c>
      <c r="M33" s="8">
        <v>233.78899999999999</v>
      </c>
      <c r="N33" s="7">
        <v>236.749</v>
      </c>
      <c r="O33" s="7">
        <v>240.25</v>
      </c>
      <c r="P33" s="7">
        <v>243.244</v>
      </c>
      <c r="Q33" s="9">
        <f>P33-D33</f>
        <v>24.467000000000013</v>
      </c>
      <c r="U33" s="122">
        <v>3</v>
      </c>
      <c r="V33" s="111">
        <f t="shared" ref="V33:AG37" si="102">E33-D33</f>
        <v>2.3600000000000136</v>
      </c>
      <c r="W33" s="111">
        <f t="shared" si="102"/>
        <v>2.1279999999999859</v>
      </c>
      <c r="X33" s="111">
        <f t="shared" si="102"/>
        <v>2.5890000000000271</v>
      </c>
      <c r="Y33" s="111">
        <f t="shared" si="102"/>
        <v>0.22599999999999909</v>
      </c>
      <c r="Z33" s="111">
        <f t="shared" si="102"/>
        <v>0.24499999999997613</v>
      </c>
      <c r="AA33" s="111">
        <f t="shared" si="102"/>
        <v>3.6000000000001364E-2</v>
      </c>
      <c r="AB33" s="111">
        <f t="shared" si="102"/>
        <v>2.3720000000000141</v>
      </c>
      <c r="AC33" s="111">
        <f t="shared" si="102"/>
        <v>2.657999999999987</v>
      </c>
      <c r="AD33" s="111">
        <f t="shared" si="102"/>
        <v>2.3979999999999961</v>
      </c>
      <c r="AE33" s="111">
        <f t="shared" si="102"/>
        <v>2.960000000000008</v>
      </c>
      <c r="AF33" s="111">
        <f t="shared" si="102"/>
        <v>3.5010000000000048</v>
      </c>
      <c r="AG33" s="111">
        <f t="shared" si="102"/>
        <v>2.9939999999999998</v>
      </c>
      <c r="AH33" s="152">
        <v>7.9722999999999971</v>
      </c>
    </row>
    <row r="34" spans="1:49" ht="15" thickBot="1" x14ac:dyDescent="0.4">
      <c r="A34" s="109">
        <v>6</v>
      </c>
      <c r="B34" s="86" t="s">
        <v>91</v>
      </c>
      <c r="C34" s="6" t="s">
        <v>141</v>
      </c>
      <c r="D34" s="11">
        <v>122.33799999999999</v>
      </c>
      <c r="E34" s="11">
        <v>124.05</v>
      </c>
      <c r="F34" s="11">
        <v>125.871</v>
      </c>
      <c r="G34" s="11">
        <v>130.136</v>
      </c>
      <c r="H34" s="11">
        <v>136.44</v>
      </c>
      <c r="I34" s="11">
        <v>145.161</v>
      </c>
      <c r="J34" s="11">
        <v>152.404</v>
      </c>
      <c r="K34" s="11">
        <v>154.91200000000001</v>
      </c>
      <c r="L34" s="11">
        <v>155.23500000000001</v>
      </c>
      <c r="M34" s="11">
        <v>155.32400000000001</v>
      </c>
      <c r="N34" s="11">
        <v>156.22300000000001</v>
      </c>
      <c r="O34" s="11">
        <v>158.477</v>
      </c>
      <c r="P34" s="11">
        <v>160.511</v>
      </c>
      <c r="Q34" s="9">
        <f>P34-D34</f>
        <v>38.173000000000002</v>
      </c>
      <c r="U34" s="122">
        <v>6</v>
      </c>
      <c r="V34" s="111">
        <f t="shared" si="102"/>
        <v>1.7120000000000033</v>
      </c>
      <c r="W34" s="111">
        <f t="shared" si="102"/>
        <v>1.820999999999998</v>
      </c>
      <c r="X34" s="111">
        <f t="shared" si="102"/>
        <v>4.2650000000000006</v>
      </c>
      <c r="Y34" s="111">
        <f t="shared" si="102"/>
        <v>6.304000000000002</v>
      </c>
      <c r="Z34" s="111">
        <f t="shared" si="102"/>
        <v>8.7210000000000036</v>
      </c>
      <c r="AA34" s="111">
        <f t="shared" si="102"/>
        <v>7.242999999999995</v>
      </c>
      <c r="AB34" s="111">
        <f t="shared" si="102"/>
        <v>2.5080000000000098</v>
      </c>
      <c r="AC34" s="111">
        <f t="shared" si="102"/>
        <v>0.3230000000000075</v>
      </c>
      <c r="AD34" s="111">
        <f t="shared" si="102"/>
        <v>8.8999999999998636E-2</v>
      </c>
      <c r="AE34" s="111">
        <f t="shared" si="102"/>
        <v>0.89900000000000091</v>
      </c>
      <c r="AF34" s="111">
        <f t="shared" si="102"/>
        <v>2.2539999999999907</v>
      </c>
      <c r="AG34" s="111">
        <f t="shared" si="102"/>
        <v>2.0339999999999918</v>
      </c>
      <c r="AH34" s="152">
        <v>2.9772999999999987</v>
      </c>
    </row>
    <row r="35" spans="1:49" ht="15" thickBot="1" x14ac:dyDescent="0.4">
      <c r="A35" s="109">
        <v>8</v>
      </c>
      <c r="B35" s="86" t="s">
        <v>92</v>
      </c>
      <c r="C35" s="6" t="s">
        <v>142</v>
      </c>
      <c r="D35" s="11">
        <v>241.59100000000001</v>
      </c>
      <c r="E35" s="11">
        <v>246.76400000000001</v>
      </c>
      <c r="F35" s="11">
        <v>248.78700000000001</v>
      </c>
      <c r="G35" s="11">
        <v>249.291</v>
      </c>
      <c r="H35" s="11">
        <v>251.565</v>
      </c>
      <c r="I35" s="11">
        <v>253.85599999999999</v>
      </c>
      <c r="J35" s="11">
        <v>255.92699999999999</v>
      </c>
      <c r="K35" s="11">
        <v>256.92500000000001</v>
      </c>
      <c r="L35" s="11">
        <v>258.59699999999998</v>
      </c>
      <c r="M35" s="11">
        <v>260.59500000000003</v>
      </c>
      <c r="N35" s="11">
        <v>265.79899999999998</v>
      </c>
      <c r="O35" s="11">
        <v>271.79399999999998</v>
      </c>
      <c r="P35" s="11">
        <v>278.202</v>
      </c>
      <c r="Q35" s="9">
        <f t="shared" ref="Q35:Q37" si="103">P35-D35</f>
        <v>36.61099999999999</v>
      </c>
      <c r="U35" s="122">
        <v>8</v>
      </c>
      <c r="V35" s="111">
        <f t="shared" si="102"/>
        <v>5.1730000000000018</v>
      </c>
      <c r="W35" s="111">
        <f t="shared" si="102"/>
        <v>2.0229999999999961</v>
      </c>
      <c r="X35" s="111">
        <f t="shared" si="102"/>
        <v>0.50399999999999068</v>
      </c>
      <c r="Y35" s="111">
        <f t="shared" si="102"/>
        <v>2.2740000000000009</v>
      </c>
      <c r="Z35" s="111">
        <f t="shared" si="102"/>
        <v>2.2909999999999968</v>
      </c>
      <c r="AA35" s="111">
        <f t="shared" si="102"/>
        <v>2.070999999999998</v>
      </c>
      <c r="AB35" s="111">
        <f t="shared" si="102"/>
        <v>0.99800000000001887</v>
      </c>
      <c r="AC35" s="111">
        <f t="shared" si="102"/>
        <v>1.6719999999999686</v>
      </c>
      <c r="AD35" s="111">
        <f t="shared" si="102"/>
        <v>1.9980000000000473</v>
      </c>
      <c r="AE35" s="111">
        <f t="shared" si="102"/>
        <v>5.2039999999999509</v>
      </c>
      <c r="AF35" s="111">
        <f t="shared" si="102"/>
        <v>5.9950000000000045</v>
      </c>
      <c r="AG35" s="111">
        <f t="shared" si="102"/>
        <v>6.4080000000000155</v>
      </c>
      <c r="AH35" s="152">
        <v>5.4083999999999985</v>
      </c>
    </row>
    <row r="36" spans="1:49" ht="15" thickBot="1" x14ac:dyDescent="0.4">
      <c r="A36" s="109">
        <v>11</v>
      </c>
      <c r="B36" s="86" t="s">
        <v>93</v>
      </c>
      <c r="C36" s="6" t="s">
        <v>279</v>
      </c>
      <c r="D36" s="11">
        <v>19.042000000000002</v>
      </c>
      <c r="E36" s="11">
        <v>19.577000000000002</v>
      </c>
      <c r="F36" s="11">
        <v>19.923999999999999</v>
      </c>
      <c r="G36" s="11">
        <v>20.75</v>
      </c>
      <c r="H36" s="11">
        <v>22.024999999999999</v>
      </c>
      <c r="I36" s="11">
        <v>22.817</v>
      </c>
      <c r="J36" s="11">
        <v>23.888999999999999</v>
      </c>
      <c r="K36" s="11">
        <v>24.902999999999999</v>
      </c>
      <c r="L36" s="11">
        <v>27.863</v>
      </c>
      <c r="M36" s="11">
        <v>28.535</v>
      </c>
      <c r="N36" s="11">
        <v>29.315000000000001</v>
      </c>
      <c r="O36" s="11">
        <v>29.766999999999999</v>
      </c>
      <c r="P36" s="11">
        <v>31.35</v>
      </c>
      <c r="Q36" s="9">
        <f t="shared" si="103"/>
        <v>12.308</v>
      </c>
      <c r="U36" s="122">
        <v>11</v>
      </c>
      <c r="V36" s="111">
        <f t="shared" si="102"/>
        <v>0.53500000000000014</v>
      </c>
      <c r="W36" s="111">
        <f t="shared" si="102"/>
        <v>0.34699999999999775</v>
      </c>
      <c r="X36" s="111">
        <f t="shared" si="102"/>
        <v>0.82600000000000051</v>
      </c>
      <c r="Y36" s="111">
        <f t="shared" si="102"/>
        <v>1.2749999999999986</v>
      </c>
      <c r="Z36" s="111">
        <f t="shared" si="102"/>
        <v>0.79200000000000159</v>
      </c>
      <c r="AA36" s="111">
        <f t="shared" si="102"/>
        <v>1.0719999999999992</v>
      </c>
      <c r="AB36" s="111">
        <f t="shared" si="102"/>
        <v>1.0139999999999993</v>
      </c>
      <c r="AC36" s="111">
        <f t="shared" si="102"/>
        <v>2.9600000000000009</v>
      </c>
      <c r="AD36" s="111">
        <f t="shared" si="102"/>
        <v>0.6720000000000006</v>
      </c>
      <c r="AE36" s="111">
        <f t="shared" si="102"/>
        <v>0.78000000000000114</v>
      </c>
      <c r="AF36" s="111">
        <f t="shared" si="102"/>
        <v>0.45199999999999818</v>
      </c>
      <c r="AG36" s="111">
        <f t="shared" si="102"/>
        <v>1.583000000000002</v>
      </c>
      <c r="AH36" s="152">
        <v>0.4723</v>
      </c>
    </row>
    <row r="37" spans="1:49" x14ac:dyDescent="0.35">
      <c r="A37" s="109">
        <v>12</v>
      </c>
      <c r="B37" s="86" t="s">
        <v>94</v>
      </c>
      <c r="C37" s="6" t="s">
        <v>143</v>
      </c>
      <c r="D37" s="11">
        <v>84.882999999999996</v>
      </c>
      <c r="E37" s="11">
        <v>87.796999999999997</v>
      </c>
      <c r="F37" s="11">
        <v>90.593000000000004</v>
      </c>
      <c r="G37" s="11">
        <v>94.19</v>
      </c>
      <c r="H37" s="11">
        <v>98.254999999999995</v>
      </c>
      <c r="I37" s="11">
        <v>103.20699999999999</v>
      </c>
      <c r="J37" s="11">
        <v>106.63500000000001</v>
      </c>
      <c r="K37" s="11">
        <v>109.267</v>
      </c>
      <c r="L37" s="11">
        <v>112.702</v>
      </c>
      <c r="M37" s="11">
        <v>116.39</v>
      </c>
      <c r="N37" s="11">
        <v>119.875</v>
      </c>
      <c r="O37" s="11">
        <v>123.423</v>
      </c>
      <c r="P37" s="11">
        <v>127.366</v>
      </c>
      <c r="Q37" s="9">
        <f t="shared" si="103"/>
        <v>42.483000000000004</v>
      </c>
      <c r="U37" s="122">
        <v>12</v>
      </c>
      <c r="V37" s="111">
        <f t="shared" si="102"/>
        <v>2.9140000000000015</v>
      </c>
      <c r="W37" s="111">
        <f t="shared" si="102"/>
        <v>2.7960000000000065</v>
      </c>
      <c r="X37" s="111">
        <f t="shared" si="102"/>
        <v>3.5969999999999942</v>
      </c>
      <c r="Y37" s="111">
        <f t="shared" si="102"/>
        <v>4.0649999999999977</v>
      </c>
      <c r="Z37" s="111">
        <f t="shared" si="102"/>
        <v>4.9519999999999982</v>
      </c>
      <c r="AA37" s="111">
        <f t="shared" si="102"/>
        <v>3.4280000000000115</v>
      </c>
      <c r="AB37" s="111">
        <f t="shared" si="102"/>
        <v>2.6319999999999908</v>
      </c>
      <c r="AC37" s="111">
        <f t="shared" si="102"/>
        <v>3.4350000000000023</v>
      </c>
      <c r="AD37" s="111">
        <f t="shared" si="102"/>
        <v>3.6880000000000024</v>
      </c>
      <c r="AE37" s="111">
        <f t="shared" si="102"/>
        <v>3.4849999999999994</v>
      </c>
      <c r="AF37" s="111">
        <f t="shared" si="102"/>
        <v>3.5480000000000018</v>
      </c>
      <c r="AG37" s="111">
        <f t="shared" si="102"/>
        <v>3.9429999999999978</v>
      </c>
      <c r="AH37" s="152">
        <v>2.143399999999998</v>
      </c>
    </row>
    <row r="38" spans="1:49" x14ac:dyDescent="0.35">
      <c r="A38"/>
      <c r="B38"/>
    </row>
    <row r="39" spans="1:49" ht="15" thickBot="1" x14ac:dyDescent="0.4">
      <c r="A39"/>
      <c r="B39"/>
      <c r="C39" t="s">
        <v>26</v>
      </c>
      <c r="V39" t="s">
        <v>220</v>
      </c>
    </row>
    <row r="40" spans="1:49" ht="15" thickBot="1" x14ac:dyDescent="0.4">
      <c r="A40" s="119">
        <v>2</v>
      </c>
      <c r="B40" s="85">
        <v>2</v>
      </c>
      <c r="C40" s="27" t="s">
        <v>274</v>
      </c>
      <c r="D40" s="8">
        <v>85.201999999999998</v>
      </c>
      <c r="E40" s="8">
        <v>87.83</v>
      </c>
      <c r="F40" s="8">
        <v>90.275999999999996</v>
      </c>
      <c r="G40" s="8">
        <v>93.188000000000002</v>
      </c>
      <c r="H40" s="8">
        <v>96.103999999999999</v>
      </c>
      <c r="I40" s="8">
        <v>98.796999999999997</v>
      </c>
      <c r="J40" s="8">
        <v>101.337</v>
      </c>
      <c r="K40" s="8">
        <v>103.038</v>
      </c>
      <c r="L40" s="8">
        <v>105.012</v>
      </c>
      <c r="M40" s="8">
        <v>107.569</v>
      </c>
      <c r="N40" s="8">
        <v>110.03700000000001</v>
      </c>
      <c r="O40" s="8">
        <v>112.84699999999999</v>
      </c>
      <c r="P40" s="8">
        <v>116.14400000000001</v>
      </c>
      <c r="Q40" s="9">
        <f t="shared" ref="Q40:Q49" si="104">P40-D40</f>
        <v>30.942000000000007</v>
      </c>
      <c r="U40" s="122">
        <v>2</v>
      </c>
      <c r="V40" s="111">
        <f t="shared" ref="V40:AG49" si="105">E40-D40</f>
        <v>2.6280000000000001</v>
      </c>
      <c r="W40" s="111">
        <f t="shared" si="105"/>
        <v>2.445999999999998</v>
      </c>
      <c r="X40" s="111">
        <f t="shared" si="105"/>
        <v>2.9120000000000061</v>
      </c>
      <c r="Y40" s="111">
        <f t="shared" si="105"/>
        <v>2.9159999999999968</v>
      </c>
      <c r="Z40" s="111">
        <f t="shared" si="105"/>
        <v>2.6929999999999978</v>
      </c>
      <c r="AA40" s="111">
        <f t="shared" si="105"/>
        <v>2.5400000000000063</v>
      </c>
      <c r="AB40" s="111">
        <f t="shared" si="105"/>
        <v>1.7009999999999934</v>
      </c>
      <c r="AC40" s="111">
        <f t="shared" si="105"/>
        <v>1.9740000000000038</v>
      </c>
      <c r="AD40" s="111">
        <f t="shared" si="105"/>
        <v>2.5570000000000022</v>
      </c>
      <c r="AE40" s="111">
        <f t="shared" si="105"/>
        <v>2.4680000000000035</v>
      </c>
      <c r="AF40" s="111">
        <f t="shared" si="105"/>
        <v>2.8099999999999881</v>
      </c>
      <c r="AG40" s="111">
        <f t="shared" si="105"/>
        <v>3.2970000000000113</v>
      </c>
      <c r="AH40" s="152">
        <v>4.0477000000000007</v>
      </c>
    </row>
    <row r="41" spans="1:49" ht="15" thickBot="1" x14ac:dyDescent="0.4">
      <c r="A41" s="119">
        <v>3</v>
      </c>
      <c r="B41" s="85" t="s">
        <v>90</v>
      </c>
      <c r="C41" s="27" t="s">
        <v>276</v>
      </c>
      <c r="D41" s="11">
        <v>139.535</v>
      </c>
      <c r="E41" s="11">
        <v>140.99100000000001</v>
      </c>
      <c r="F41" s="11">
        <v>142.40899999999999</v>
      </c>
      <c r="G41" s="11">
        <v>144.49100000000001</v>
      </c>
      <c r="H41" s="11">
        <v>144.67599999999999</v>
      </c>
      <c r="I41" s="11">
        <v>144.82900000000001</v>
      </c>
      <c r="J41" s="11">
        <v>144.83000000000001</v>
      </c>
      <c r="K41" s="11">
        <v>146.136</v>
      </c>
      <c r="L41" s="11">
        <v>147.58099999999999</v>
      </c>
      <c r="M41" s="11">
        <v>148.785</v>
      </c>
      <c r="N41" s="11">
        <v>150.21899999999999</v>
      </c>
      <c r="O41" s="11">
        <v>152.13</v>
      </c>
      <c r="P41" s="11">
        <v>153.63399999999999</v>
      </c>
      <c r="Q41" s="9">
        <f t="shared" si="104"/>
        <v>14.09899999999999</v>
      </c>
      <c r="U41" s="122">
        <v>3</v>
      </c>
      <c r="V41" s="111">
        <f t="shared" si="105"/>
        <v>1.4560000000000173</v>
      </c>
      <c r="W41" s="111">
        <f t="shared" si="105"/>
        <v>1.4179999999999779</v>
      </c>
      <c r="X41" s="111">
        <f t="shared" si="105"/>
        <v>2.0820000000000221</v>
      </c>
      <c r="Y41" s="111">
        <f t="shared" si="105"/>
        <v>0.18499999999997385</v>
      </c>
      <c r="Z41" s="111">
        <f t="shared" si="105"/>
        <v>0.15300000000002001</v>
      </c>
      <c r="AA41" s="111">
        <f t="shared" si="105"/>
        <v>1.0000000000047748E-3</v>
      </c>
      <c r="AB41" s="111">
        <f t="shared" si="105"/>
        <v>1.3059999999999832</v>
      </c>
      <c r="AC41" s="111">
        <f t="shared" si="105"/>
        <v>1.4449999999999932</v>
      </c>
      <c r="AD41" s="111">
        <f t="shared" si="105"/>
        <v>1.2040000000000077</v>
      </c>
      <c r="AE41" s="111">
        <f t="shared" si="105"/>
        <v>1.4339999999999975</v>
      </c>
      <c r="AF41" s="111">
        <f t="shared" si="105"/>
        <v>1.9110000000000014</v>
      </c>
      <c r="AG41" s="111">
        <f t="shared" si="105"/>
        <v>1.5039999999999907</v>
      </c>
      <c r="AH41" s="152">
        <v>4.1811000000000025</v>
      </c>
    </row>
    <row r="42" spans="1:49" ht="15" thickBot="1" x14ac:dyDescent="0.4">
      <c r="A42" s="119">
        <v>5</v>
      </c>
      <c r="B42" s="85">
        <v>3</v>
      </c>
      <c r="C42" s="27" t="s">
        <v>144</v>
      </c>
      <c r="D42" s="11">
        <v>17.239999999999998</v>
      </c>
      <c r="E42" s="11">
        <v>17.628</v>
      </c>
      <c r="F42" s="11">
        <v>17.992999999999999</v>
      </c>
      <c r="G42" s="11">
        <v>18.37</v>
      </c>
      <c r="H42" s="11">
        <v>18.738</v>
      </c>
      <c r="I42" s="11">
        <v>19.059999999999999</v>
      </c>
      <c r="J42" s="11">
        <v>19.39</v>
      </c>
      <c r="K42" s="11">
        <v>19.643999999999998</v>
      </c>
      <c r="L42" s="11">
        <v>19.975999999999999</v>
      </c>
      <c r="M42" s="11">
        <v>20.254999999999999</v>
      </c>
      <c r="N42" s="11">
        <v>20.562999999999999</v>
      </c>
      <c r="O42" s="11">
        <v>20.911999999999999</v>
      </c>
      <c r="P42" s="11">
        <v>21.303000000000001</v>
      </c>
      <c r="Q42" s="9">
        <f t="shared" si="104"/>
        <v>4.0630000000000024</v>
      </c>
      <c r="U42" s="122">
        <v>5</v>
      </c>
      <c r="V42" s="111">
        <f t="shared" si="105"/>
        <v>0.38800000000000168</v>
      </c>
      <c r="W42" s="111">
        <f t="shared" si="105"/>
        <v>0.36499999999999844</v>
      </c>
      <c r="X42" s="111">
        <f t="shared" si="105"/>
        <v>0.37700000000000244</v>
      </c>
      <c r="Y42" s="111">
        <f t="shared" si="105"/>
        <v>0.36799999999999855</v>
      </c>
      <c r="Z42" s="111">
        <f t="shared" si="105"/>
        <v>0.32199999999999918</v>
      </c>
      <c r="AA42" s="111">
        <f t="shared" si="105"/>
        <v>0.33000000000000185</v>
      </c>
      <c r="AB42" s="111">
        <f t="shared" si="105"/>
        <v>0.25399999999999778</v>
      </c>
      <c r="AC42" s="111">
        <f t="shared" si="105"/>
        <v>0.33200000000000074</v>
      </c>
      <c r="AD42" s="111">
        <f t="shared" si="105"/>
        <v>0.27899999999999991</v>
      </c>
      <c r="AE42" s="111">
        <f t="shared" si="105"/>
        <v>0.30799999999999983</v>
      </c>
      <c r="AF42" s="111">
        <f t="shared" si="105"/>
        <v>0.3490000000000002</v>
      </c>
      <c r="AG42" s="111">
        <f t="shared" si="105"/>
        <v>0.39100000000000179</v>
      </c>
      <c r="AH42" s="152">
        <v>0.37709999999999999</v>
      </c>
    </row>
    <row r="43" spans="1:49" ht="15" thickBot="1" x14ac:dyDescent="0.4">
      <c r="A43" s="119">
        <v>6</v>
      </c>
      <c r="B43" s="85" t="s">
        <v>91</v>
      </c>
      <c r="C43" s="27" t="s">
        <v>145</v>
      </c>
      <c r="D43" s="11">
        <v>96.177999999999997</v>
      </c>
      <c r="E43" s="11">
        <v>97.762</v>
      </c>
      <c r="F43" s="11">
        <v>99.381</v>
      </c>
      <c r="G43" s="11">
        <v>104.35599999999999</v>
      </c>
      <c r="H43" s="11">
        <v>110.941</v>
      </c>
      <c r="I43" s="11">
        <v>120.19499999999999</v>
      </c>
      <c r="J43" s="11">
        <v>127.4</v>
      </c>
      <c r="K43" s="11">
        <v>130.23599999999999</v>
      </c>
      <c r="L43" s="11">
        <v>130.578</v>
      </c>
      <c r="M43" s="11">
        <v>130.62299999999999</v>
      </c>
      <c r="N43" s="11">
        <v>130.935</v>
      </c>
      <c r="O43" s="11">
        <v>131.887</v>
      </c>
      <c r="P43" s="11">
        <v>132.96600000000001</v>
      </c>
      <c r="Q43" s="9">
        <f t="shared" si="104"/>
        <v>36.788000000000011</v>
      </c>
      <c r="U43" s="122">
        <v>6</v>
      </c>
      <c r="V43" s="111">
        <f t="shared" si="105"/>
        <v>1.5840000000000032</v>
      </c>
      <c r="W43" s="111">
        <f t="shared" si="105"/>
        <v>1.6189999999999998</v>
      </c>
      <c r="X43" s="111">
        <f t="shared" si="105"/>
        <v>4.9749999999999943</v>
      </c>
      <c r="Y43" s="111">
        <f t="shared" si="105"/>
        <v>6.585000000000008</v>
      </c>
      <c r="Z43" s="111">
        <f t="shared" si="105"/>
        <v>9.2539999999999907</v>
      </c>
      <c r="AA43" s="111">
        <f t="shared" si="105"/>
        <v>7.2050000000000125</v>
      </c>
      <c r="AB43" s="111">
        <f t="shared" si="105"/>
        <v>2.8359999999999843</v>
      </c>
      <c r="AC43" s="111">
        <f t="shared" si="105"/>
        <v>0.34200000000001296</v>
      </c>
      <c r="AD43" s="111">
        <f t="shared" si="105"/>
        <v>4.4999999999987494E-2</v>
      </c>
      <c r="AE43" s="111">
        <f t="shared" si="105"/>
        <v>0.31200000000001182</v>
      </c>
      <c r="AF43" s="111">
        <f t="shared" si="105"/>
        <v>0.95199999999999818</v>
      </c>
      <c r="AG43" s="111">
        <f t="shared" si="105"/>
        <v>1.0790000000000077</v>
      </c>
      <c r="AH43" s="152">
        <v>1.5876000000000001</v>
      </c>
    </row>
    <row r="44" spans="1:49" ht="15" thickBot="1" x14ac:dyDescent="0.4">
      <c r="A44" s="119">
        <v>9</v>
      </c>
      <c r="B44" s="85">
        <v>5</v>
      </c>
      <c r="C44" s="27" t="s">
        <v>277</v>
      </c>
      <c r="D44" s="11">
        <v>58.106000000000002</v>
      </c>
      <c r="E44" s="11">
        <v>60</v>
      </c>
      <c r="F44" s="11">
        <v>61.847999999999999</v>
      </c>
      <c r="G44" s="11">
        <v>63.384</v>
      </c>
      <c r="H44" s="11">
        <v>64.718000000000004</v>
      </c>
      <c r="I44" s="11">
        <v>65.933000000000007</v>
      </c>
      <c r="J44" s="11">
        <v>66.995000000000005</v>
      </c>
      <c r="K44" s="11">
        <v>67.965000000000003</v>
      </c>
      <c r="L44" s="11">
        <v>69.016000000000005</v>
      </c>
      <c r="M44" s="11">
        <v>70.215999999999994</v>
      </c>
      <c r="N44" s="11">
        <v>71.516999999999996</v>
      </c>
      <c r="O44" s="11">
        <v>72.808999999999997</v>
      </c>
      <c r="P44" s="11">
        <v>74.373999999999995</v>
      </c>
      <c r="Q44" s="9">
        <f t="shared" si="104"/>
        <v>16.267999999999994</v>
      </c>
      <c r="U44" s="122">
        <v>9</v>
      </c>
      <c r="V44" s="111">
        <f t="shared" si="105"/>
        <v>1.8939999999999984</v>
      </c>
      <c r="W44" s="111">
        <f t="shared" si="105"/>
        <v>1.847999999999999</v>
      </c>
      <c r="X44" s="111">
        <f t="shared" si="105"/>
        <v>1.5360000000000014</v>
      </c>
      <c r="Y44" s="111">
        <f t="shared" si="105"/>
        <v>1.3340000000000032</v>
      </c>
      <c r="Z44" s="111">
        <f t="shared" si="105"/>
        <v>1.2150000000000034</v>
      </c>
      <c r="AA44" s="111">
        <f t="shared" si="105"/>
        <v>1.0619999999999976</v>
      </c>
      <c r="AB44" s="111">
        <f t="shared" si="105"/>
        <v>0.96999999999999886</v>
      </c>
      <c r="AC44" s="111">
        <f t="shared" si="105"/>
        <v>1.0510000000000019</v>
      </c>
      <c r="AD44" s="111">
        <f t="shared" si="105"/>
        <v>1.1999999999999886</v>
      </c>
      <c r="AE44" s="111">
        <f t="shared" si="105"/>
        <v>1.3010000000000019</v>
      </c>
      <c r="AF44" s="111">
        <f t="shared" si="105"/>
        <v>1.2920000000000016</v>
      </c>
      <c r="AG44" s="111">
        <f t="shared" si="105"/>
        <v>1.5649999999999977</v>
      </c>
      <c r="AH44" s="152">
        <v>4.4402999999999997</v>
      </c>
    </row>
    <row r="45" spans="1:49" ht="15" thickBot="1" x14ac:dyDescent="0.4">
      <c r="A45" s="119">
        <v>8</v>
      </c>
      <c r="B45" s="85" t="s">
        <v>92</v>
      </c>
      <c r="C45" s="27" t="s">
        <v>278</v>
      </c>
      <c r="D45" s="11">
        <v>96.475999999999999</v>
      </c>
      <c r="E45" s="11">
        <v>99.292000000000002</v>
      </c>
      <c r="F45" s="11">
        <v>100.447</v>
      </c>
      <c r="G45" s="11">
        <v>100.84</v>
      </c>
      <c r="H45" s="11">
        <v>102.34399999999999</v>
      </c>
      <c r="I45" s="11">
        <v>103.907</v>
      </c>
      <c r="J45" s="11">
        <v>105.303</v>
      </c>
      <c r="K45" s="11">
        <v>105.879</v>
      </c>
      <c r="L45" s="11">
        <v>106.892</v>
      </c>
      <c r="M45" s="11">
        <v>108.032</v>
      </c>
      <c r="N45" s="11">
        <v>110.07899999999999</v>
      </c>
      <c r="O45" s="11">
        <v>112.854</v>
      </c>
      <c r="P45" s="11">
        <v>115.94</v>
      </c>
      <c r="Q45" s="9">
        <f t="shared" si="104"/>
        <v>19.463999999999999</v>
      </c>
      <c r="U45" s="122">
        <v>8</v>
      </c>
      <c r="V45" s="111">
        <f t="shared" si="105"/>
        <v>2.8160000000000025</v>
      </c>
      <c r="W45" s="111">
        <f t="shared" si="105"/>
        <v>1.1550000000000011</v>
      </c>
      <c r="X45" s="111">
        <f t="shared" si="105"/>
        <v>0.39300000000000068</v>
      </c>
      <c r="Y45" s="111">
        <f t="shared" si="105"/>
        <v>1.5039999999999907</v>
      </c>
      <c r="Z45" s="111">
        <f t="shared" si="105"/>
        <v>1.5630000000000024</v>
      </c>
      <c r="AA45" s="111">
        <f t="shared" si="105"/>
        <v>1.3960000000000008</v>
      </c>
      <c r="AB45" s="111">
        <f t="shared" si="105"/>
        <v>0.57600000000000762</v>
      </c>
      <c r="AC45" s="111">
        <f t="shared" si="105"/>
        <v>1.012999999999991</v>
      </c>
      <c r="AD45" s="111">
        <f t="shared" si="105"/>
        <v>1.1400000000000006</v>
      </c>
      <c r="AE45" s="111">
        <f t="shared" si="105"/>
        <v>2.046999999999997</v>
      </c>
      <c r="AF45" s="111">
        <f t="shared" si="105"/>
        <v>2.7750000000000057</v>
      </c>
      <c r="AG45" s="111">
        <f t="shared" si="105"/>
        <v>3.0859999999999985</v>
      </c>
      <c r="AH45" s="152">
        <v>2.5712999999999999</v>
      </c>
      <c r="AK45" s="256" t="s">
        <v>428</v>
      </c>
    </row>
    <row r="46" spans="1:49" ht="15" thickBot="1" x14ac:dyDescent="0.4">
      <c r="A46" s="119">
        <v>15</v>
      </c>
      <c r="B46" s="85">
        <v>6</v>
      </c>
      <c r="C46" s="27" t="s">
        <v>146</v>
      </c>
      <c r="D46" s="11">
        <v>100.54300000000001</v>
      </c>
      <c r="E46" s="11">
        <v>104.84699999999999</v>
      </c>
      <c r="F46" s="11">
        <v>108.18899999999999</v>
      </c>
      <c r="G46" s="11">
        <v>111.73699999999999</v>
      </c>
      <c r="H46" s="11">
        <v>115.33499999999999</v>
      </c>
      <c r="I46" s="11">
        <v>118.443</v>
      </c>
      <c r="J46" s="11">
        <v>121.33799999999999</v>
      </c>
      <c r="K46" s="11">
        <v>123.37</v>
      </c>
      <c r="L46" s="11">
        <v>125.018</v>
      </c>
      <c r="M46" s="11">
        <v>125.09399999999999</v>
      </c>
      <c r="N46" s="11">
        <v>125.506</v>
      </c>
      <c r="O46" s="11">
        <v>126.315</v>
      </c>
      <c r="P46" s="11">
        <v>127.751</v>
      </c>
      <c r="Q46" s="9">
        <f t="shared" si="104"/>
        <v>27.207999999999998</v>
      </c>
      <c r="U46" s="122">
        <v>15</v>
      </c>
      <c r="V46" s="111">
        <f t="shared" si="105"/>
        <v>4.3039999999999878</v>
      </c>
      <c r="W46" s="111">
        <f t="shared" si="105"/>
        <v>3.3419999999999987</v>
      </c>
      <c r="X46" s="111">
        <f t="shared" si="105"/>
        <v>3.5480000000000018</v>
      </c>
      <c r="Y46" s="111">
        <f t="shared" si="105"/>
        <v>3.597999999999999</v>
      </c>
      <c r="Z46" s="111">
        <f t="shared" si="105"/>
        <v>3.1080000000000041</v>
      </c>
      <c r="AA46" s="111">
        <f t="shared" si="105"/>
        <v>2.894999999999996</v>
      </c>
      <c r="AB46" s="111">
        <f t="shared" si="105"/>
        <v>2.0320000000000107</v>
      </c>
      <c r="AC46" s="111">
        <f t="shared" si="105"/>
        <v>1.6479999999999961</v>
      </c>
      <c r="AD46" s="111">
        <f t="shared" si="105"/>
        <v>7.5999999999993406E-2</v>
      </c>
      <c r="AE46" s="111">
        <f t="shared" si="105"/>
        <v>0.41200000000000614</v>
      </c>
      <c r="AF46" s="111">
        <f t="shared" si="105"/>
        <v>0.8089999999999975</v>
      </c>
      <c r="AG46" s="111">
        <f t="shared" si="105"/>
        <v>1.436000000000007</v>
      </c>
      <c r="AH46" s="152">
        <v>0.96609999999999996</v>
      </c>
      <c r="AJ46" s="263" t="s">
        <v>409</v>
      </c>
      <c r="AK46" s="244" t="s">
        <v>395</v>
      </c>
      <c r="AL46" s="244" t="s">
        <v>396</v>
      </c>
      <c r="AM46" s="244" t="s">
        <v>397</v>
      </c>
      <c r="AN46" s="244" t="s">
        <v>398</v>
      </c>
      <c r="AO46" s="244" t="s">
        <v>399</v>
      </c>
      <c r="AP46" s="244" t="s">
        <v>400</v>
      </c>
      <c r="AQ46" s="244" t="s">
        <v>401</v>
      </c>
      <c r="AR46" s="244" t="s">
        <v>402</v>
      </c>
      <c r="AS46" s="244" t="s">
        <v>403</v>
      </c>
      <c r="AT46" s="244" t="s">
        <v>404</v>
      </c>
      <c r="AU46" s="244" t="s">
        <v>405</v>
      </c>
      <c r="AV46" s="244" t="s">
        <v>406</v>
      </c>
      <c r="AW46" s="1" t="s">
        <v>407</v>
      </c>
    </row>
    <row r="47" spans="1:49" ht="15" thickBot="1" x14ac:dyDescent="0.4">
      <c r="A47" s="119">
        <v>11</v>
      </c>
      <c r="B47" s="85" t="s">
        <v>93</v>
      </c>
      <c r="C47" s="27" t="s">
        <v>147</v>
      </c>
      <c r="D47" s="11">
        <v>12.952999999999999</v>
      </c>
      <c r="E47" s="11">
        <v>13.211</v>
      </c>
      <c r="F47" s="11">
        <v>13.439</v>
      </c>
      <c r="G47" s="11">
        <v>13.911</v>
      </c>
      <c r="H47" s="11">
        <v>14.666</v>
      </c>
      <c r="I47" s="11">
        <v>15.04</v>
      </c>
      <c r="J47" s="11">
        <v>15.494999999999999</v>
      </c>
      <c r="K47" s="11">
        <v>15.932</v>
      </c>
      <c r="L47" s="11">
        <v>17.062000000000001</v>
      </c>
      <c r="M47" s="11">
        <v>17.38</v>
      </c>
      <c r="N47" s="11">
        <v>17.731999999999999</v>
      </c>
      <c r="O47" s="11">
        <v>17.954999999999998</v>
      </c>
      <c r="P47" s="11">
        <v>18.693999999999999</v>
      </c>
      <c r="Q47" s="9">
        <f t="shared" si="104"/>
        <v>5.7409999999999997</v>
      </c>
      <c r="U47" s="122">
        <v>11</v>
      </c>
      <c r="V47" s="111">
        <f t="shared" si="105"/>
        <v>0.2580000000000009</v>
      </c>
      <c r="W47" s="111">
        <f t="shared" si="105"/>
        <v>0.22799999999999976</v>
      </c>
      <c r="X47" s="111">
        <f t="shared" si="105"/>
        <v>0.47199999999999953</v>
      </c>
      <c r="Y47" s="111">
        <f t="shared" si="105"/>
        <v>0.75500000000000078</v>
      </c>
      <c r="Z47" s="111">
        <f t="shared" si="105"/>
        <v>0.37399999999999878</v>
      </c>
      <c r="AA47" s="111">
        <f t="shared" si="105"/>
        <v>0.45500000000000007</v>
      </c>
      <c r="AB47" s="111">
        <f t="shared" si="105"/>
        <v>0.43700000000000117</v>
      </c>
      <c r="AC47" s="111">
        <f t="shared" si="105"/>
        <v>1.1300000000000008</v>
      </c>
      <c r="AD47" s="111">
        <f t="shared" si="105"/>
        <v>0.31799999999999784</v>
      </c>
      <c r="AE47" s="111">
        <f t="shared" si="105"/>
        <v>0.35200000000000031</v>
      </c>
      <c r="AF47" s="111">
        <f t="shared" si="105"/>
        <v>0.22299999999999898</v>
      </c>
      <c r="AG47" s="111">
        <f t="shared" si="105"/>
        <v>0.73900000000000077</v>
      </c>
      <c r="AH47" s="152">
        <v>0.27939999999999998</v>
      </c>
      <c r="AJ47" s="263" t="s">
        <v>217</v>
      </c>
      <c r="AK47" s="265">
        <f>SUM(V40:V49)</f>
        <v>19.129000000000019</v>
      </c>
      <c r="AL47" s="265">
        <f t="shared" ref="AL47:AR47" si="106">SUM(W40:W49)</f>
        <v>15.987999999999973</v>
      </c>
      <c r="AM47" s="265">
        <f t="shared" si="106"/>
        <v>20.372000000000028</v>
      </c>
      <c r="AN47" s="265">
        <f t="shared" si="106"/>
        <v>20.950999999999972</v>
      </c>
      <c r="AO47" s="265">
        <f t="shared" si="106"/>
        <v>21.81600000000001</v>
      </c>
      <c r="AP47" s="265">
        <f t="shared" si="106"/>
        <v>19.504000000000026</v>
      </c>
      <c r="AQ47" s="265">
        <f t="shared" si="106"/>
        <v>12.368999999999968</v>
      </c>
      <c r="AR47" s="265">
        <f t="shared" si="106"/>
        <v>12.171000000000005</v>
      </c>
      <c r="AS47" s="265">
        <f t="shared" ref="AS47" si="107">SUM(AD40:AD49)</f>
        <v>10.258999999999975</v>
      </c>
      <c r="AT47" s="265">
        <f t="shared" ref="AT47" si="108">SUM(AE40:AE49)</f>
        <v>12.538000000000014</v>
      </c>
      <c r="AU47" s="265">
        <f t="shared" ref="AU47:AV47" si="109">SUM(AF40:AF49)</f>
        <v>14.831</v>
      </c>
      <c r="AV47" s="265">
        <f t="shared" si="109"/>
        <v>17.010000000000012</v>
      </c>
      <c r="AW47" s="256">
        <f>(AK47+AL47+AM47+AN47+AO47+AP47+AQ47+AR47+AS47+AT47+AU47+AV47)/12</f>
        <v>16.4115</v>
      </c>
    </row>
    <row r="48" spans="1:49" ht="15" thickBot="1" x14ac:dyDescent="0.4">
      <c r="A48" s="119">
        <v>13</v>
      </c>
      <c r="B48" s="85">
        <v>8</v>
      </c>
      <c r="C48" s="27" t="s">
        <v>148</v>
      </c>
      <c r="D48" s="11">
        <v>67.018000000000001</v>
      </c>
      <c r="E48" s="11">
        <v>69.061000000000007</v>
      </c>
      <c r="F48" s="11">
        <v>71.272000000000006</v>
      </c>
      <c r="G48" s="11">
        <v>73.236000000000004</v>
      </c>
      <c r="H48" s="11">
        <v>75.180000000000007</v>
      </c>
      <c r="I48" s="11">
        <v>76.784000000000006</v>
      </c>
      <c r="J48" s="11">
        <v>78.456000000000003</v>
      </c>
      <c r="K48" s="11">
        <v>79.569999999999993</v>
      </c>
      <c r="L48" s="11">
        <v>81.451999999999998</v>
      </c>
      <c r="M48" s="11">
        <v>83.185000000000002</v>
      </c>
      <c r="N48" s="11">
        <v>85.11</v>
      </c>
      <c r="O48" s="11">
        <v>86.614000000000004</v>
      </c>
      <c r="P48" s="11">
        <v>88.35</v>
      </c>
      <c r="Q48" s="9">
        <f t="shared" si="104"/>
        <v>21.331999999999994</v>
      </c>
      <c r="U48" s="122">
        <v>13</v>
      </c>
      <c r="V48" s="111">
        <f t="shared" si="105"/>
        <v>2.0430000000000064</v>
      </c>
      <c r="W48" s="111">
        <f t="shared" si="105"/>
        <v>2.2109999999999985</v>
      </c>
      <c r="X48" s="111">
        <f t="shared" si="105"/>
        <v>1.9639999999999986</v>
      </c>
      <c r="Y48" s="111">
        <f t="shared" si="105"/>
        <v>1.9440000000000026</v>
      </c>
      <c r="Z48" s="111">
        <f t="shared" si="105"/>
        <v>1.6039999999999992</v>
      </c>
      <c r="AA48" s="111">
        <f t="shared" si="105"/>
        <v>1.671999999999997</v>
      </c>
      <c r="AB48" s="111">
        <f t="shared" si="105"/>
        <v>1.1139999999999901</v>
      </c>
      <c r="AC48" s="111">
        <f t="shared" si="105"/>
        <v>1.882000000000005</v>
      </c>
      <c r="AD48" s="111">
        <f t="shared" si="105"/>
        <v>1.7330000000000041</v>
      </c>
      <c r="AE48" s="111">
        <f t="shared" si="105"/>
        <v>1.9249999999999972</v>
      </c>
      <c r="AF48" s="111">
        <f t="shared" si="105"/>
        <v>1.5040000000000049</v>
      </c>
      <c r="AG48" s="111">
        <f t="shared" si="105"/>
        <v>1.73599999999999</v>
      </c>
      <c r="AH48" s="152">
        <v>1.3252999999999999</v>
      </c>
      <c r="AJ48" s="263" t="s">
        <v>223</v>
      </c>
      <c r="AK48" s="226">
        <f>V6+V8+V12+V14+V18+V54+V56+V58+V60+V62</f>
        <v>30.525999999999982</v>
      </c>
      <c r="AL48" s="226">
        <f t="shared" ref="AL48:AR48" si="110">W6+W8+W12+W14+W18+W54+W56+W58+W60+W62</f>
        <v>24.353000000000009</v>
      </c>
      <c r="AM48" s="226">
        <f t="shared" si="110"/>
        <v>28.504999999999988</v>
      </c>
      <c r="AN48" s="226">
        <f t="shared" si="110"/>
        <v>30.789000000000037</v>
      </c>
      <c r="AO48" s="226">
        <f t="shared" si="110"/>
        <v>32.919999999999973</v>
      </c>
      <c r="AP48" s="226">
        <f t="shared" si="110"/>
        <v>33.371999999999993</v>
      </c>
      <c r="AQ48" s="226">
        <f t="shared" si="110"/>
        <v>25.853000000000023</v>
      </c>
      <c r="AR48" s="226">
        <f t="shared" si="110"/>
        <v>29.166999999999966</v>
      </c>
      <c r="AS48" s="226">
        <f t="shared" ref="AS48" si="111">AD6+AD8+AD12+AD14+AD18+AD54+AD56+AD58+AD60+AD62</f>
        <v>22.806000000000072</v>
      </c>
      <c r="AT48" s="226">
        <f t="shared" ref="AT48" si="112">AE6+AE8+AE12+AE14+AE18+AE54+AE56+AE58+AE60+AE62</f>
        <v>27.404999999999909</v>
      </c>
      <c r="AU48" s="226">
        <f t="shared" ref="AU48:AV48" si="113">AF6+AF8+AF12+AF14+AF18+AF54+AF56+AF58+AF60+AF62</f>
        <v>29.033000000000008</v>
      </c>
      <c r="AV48" s="226">
        <f t="shared" si="113"/>
        <v>32.634000000000029</v>
      </c>
      <c r="AW48" s="256">
        <f>(AK48+AL48+AM48+AN48+AO48+AP48+AQ48+AR48+AS48+AT48+AU48+AV48)/12</f>
        <v>28.94691666666667</v>
      </c>
    </row>
    <row r="49" spans="1:49" x14ac:dyDescent="0.35">
      <c r="A49" s="119">
        <v>12</v>
      </c>
      <c r="B49" s="85" t="s">
        <v>94</v>
      </c>
      <c r="C49" s="27" t="s">
        <v>149</v>
      </c>
      <c r="D49" s="11">
        <v>56.643999999999998</v>
      </c>
      <c r="E49" s="11">
        <v>58.402000000000001</v>
      </c>
      <c r="F49" s="11">
        <v>59.758000000000003</v>
      </c>
      <c r="G49" s="11">
        <v>61.871000000000002</v>
      </c>
      <c r="H49" s="11">
        <v>63.633000000000003</v>
      </c>
      <c r="I49" s="11">
        <v>65.162999999999997</v>
      </c>
      <c r="J49" s="11">
        <v>67.111000000000004</v>
      </c>
      <c r="K49" s="11">
        <v>68.254000000000005</v>
      </c>
      <c r="L49" s="11">
        <v>69.608000000000004</v>
      </c>
      <c r="M49" s="11">
        <v>71.314999999999998</v>
      </c>
      <c r="N49" s="11">
        <v>73.293999999999997</v>
      </c>
      <c r="O49" s="11">
        <v>75.5</v>
      </c>
      <c r="P49" s="11">
        <v>77.677000000000007</v>
      </c>
      <c r="Q49" s="9">
        <f t="shared" si="104"/>
        <v>21.033000000000008</v>
      </c>
      <c r="U49" s="122">
        <v>12</v>
      </c>
      <c r="V49" s="111">
        <f t="shared" si="105"/>
        <v>1.7580000000000027</v>
      </c>
      <c r="W49" s="111">
        <f t="shared" si="105"/>
        <v>1.3560000000000016</v>
      </c>
      <c r="X49" s="111">
        <f t="shared" si="105"/>
        <v>2.1129999999999995</v>
      </c>
      <c r="Y49" s="111">
        <f t="shared" si="105"/>
        <v>1.7620000000000005</v>
      </c>
      <c r="Z49" s="111">
        <f t="shared" si="105"/>
        <v>1.529999999999994</v>
      </c>
      <c r="AA49" s="111">
        <f t="shared" si="105"/>
        <v>1.9480000000000075</v>
      </c>
      <c r="AB49" s="111">
        <f t="shared" si="105"/>
        <v>1.1430000000000007</v>
      </c>
      <c r="AC49" s="111">
        <f t="shared" si="105"/>
        <v>1.3539999999999992</v>
      </c>
      <c r="AD49" s="111">
        <f t="shared" si="105"/>
        <v>1.7069999999999936</v>
      </c>
      <c r="AE49" s="111">
        <f t="shared" si="105"/>
        <v>1.9789999999999992</v>
      </c>
      <c r="AF49" s="111">
        <f t="shared" si="105"/>
        <v>2.2060000000000031</v>
      </c>
      <c r="AG49" s="111">
        <f t="shared" si="105"/>
        <v>2.1770000000000067</v>
      </c>
      <c r="AH49" s="152">
        <v>1.6964999999999999</v>
      </c>
    </row>
    <row r="50" spans="1:49" x14ac:dyDescent="0.35">
      <c r="A50"/>
      <c r="B50"/>
      <c r="L50" s="9"/>
      <c r="M50" s="9"/>
      <c r="N50" s="9"/>
    </row>
    <row r="52" spans="1:49" x14ac:dyDescent="0.35">
      <c r="E52" s="25" t="s">
        <v>312</v>
      </c>
      <c r="G52" s="138"/>
      <c r="H52" s="1" t="s">
        <v>305</v>
      </c>
      <c r="I52" s="1" t="s">
        <v>306</v>
      </c>
      <c r="K52" s="270" t="s">
        <v>431</v>
      </c>
      <c r="L52" s="232"/>
      <c r="M52" s="232"/>
      <c r="N52" s="231"/>
      <c r="O52" s="233" t="s">
        <v>301</v>
      </c>
      <c r="P52" s="234">
        <v>339.11</v>
      </c>
      <c r="Q52" s="231" t="s">
        <v>239</v>
      </c>
      <c r="V52" t="s">
        <v>221</v>
      </c>
      <c r="AK52" s="257" t="s">
        <v>421</v>
      </c>
      <c r="AL52" s="258"/>
      <c r="AM52" s="258"/>
      <c r="AN52" s="258"/>
      <c r="AO52" s="258"/>
      <c r="AP52" s="258"/>
      <c r="AQ52" s="258"/>
    </row>
    <row r="53" spans="1:49" ht="15" thickBot="1" x14ac:dyDescent="0.4">
      <c r="C53" s="291">
        <v>5</v>
      </c>
      <c r="D53" s="289" t="s">
        <v>313</v>
      </c>
      <c r="E53" s="290">
        <v>44895</v>
      </c>
      <c r="F53" s="86" t="s">
        <v>225</v>
      </c>
      <c r="G53" s="292">
        <v>190834093</v>
      </c>
      <c r="H53" s="292"/>
      <c r="I53" s="111">
        <v>23.23</v>
      </c>
      <c r="K53" s="270" t="s">
        <v>432</v>
      </c>
      <c r="L53" s="232"/>
      <c r="M53" s="232"/>
      <c r="N53" s="231"/>
      <c r="O53" s="233" t="s">
        <v>301</v>
      </c>
      <c r="P53" s="234">
        <v>0</v>
      </c>
      <c r="Q53" s="270" t="s">
        <v>95</v>
      </c>
      <c r="T53" s="1" t="s">
        <v>212</v>
      </c>
      <c r="U53" s="1" t="s">
        <v>222</v>
      </c>
      <c r="V53" s="4" t="s">
        <v>4</v>
      </c>
      <c r="W53" s="4" t="s">
        <v>5</v>
      </c>
      <c r="X53" s="4" t="s">
        <v>6</v>
      </c>
      <c r="Y53" s="4" t="s">
        <v>7</v>
      </c>
      <c r="Z53" s="4" t="s">
        <v>8</v>
      </c>
      <c r="AA53" s="4" t="s">
        <v>9</v>
      </c>
      <c r="AB53" s="4" t="s">
        <v>10</v>
      </c>
      <c r="AC53" s="4" t="s">
        <v>11</v>
      </c>
      <c r="AD53" s="4" t="s">
        <v>12</v>
      </c>
      <c r="AE53" s="4" t="s">
        <v>13</v>
      </c>
      <c r="AF53" s="4" t="s">
        <v>14</v>
      </c>
      <c r="AG53" s="4" t="s">
        <v>3</v>
      </c>
      <c r="AK53" s="244" t="s">
        <v>395</v>
      </c>
      <c r="AL53" s="244" t="s">
        <v>396</v>
      </c>
      <c r="AM53" s="244" t="s">
        <v>397</v>
      </c>
      <c r="AN53" s="244" t="s">
        <v>398</v>
      </c>
      <c r="AO53" s="244" t="s">
        <v>399</v>
      </c>
      <c r="AP53" s="244" t="s">
        <v>400</v>
      </c>
      <c r="AQ53" s="244" t="s">
        <v>401</v>
      </c>
      <c r="AR53" s="244" t="s">
        <v>402</v>
      </c>
      <c r="AS53" s="244" t="s">
        <v>403</v>
      </c>
      <c r="AT53" s="244" t="s">
        <v>404</v>
      </c>
      <c r="AU53" s="244" t="s">
        <v>405</v>
      </c>
      <c r="AV53" s="244" t="s">
        <v>406</v>
      </c>
      <c r="AW53" s="1" t="s">
        <v>407</v>
      </c>
    </row>
    <row r="54" spans="1:49" x14ac:dyDescent="0.35">
      <c r="C54" s="291"/>
      <c r="D54" s="289"/>
      <c r="E54" s="290"/>
      <c r="F54" s="86" t="s">
        <v>226</v>
      </c>
      <c r="G54" s="292">
        <v>221525378</v>
      </c>
      <c r="H54" s="292"/>
      <c r="I54" s="111">
        <v>0.02</v>
      </c>
      <c r="T54" s="283">
        <v>3</v>
      </c>
      <c r="U54" s="155" t="s">
        <v>223</v>
      </c>
      <c r="V54" s="111">
        <f t="shared" ref="V54:W54" si="114">V33</f>
        <v>2.3600000000000136</v>
      </c>
      <c r="W54" s="111">
        <f t="shared" si="114"/>
        <v>2.1279999999999859</v>
      </c>
      <c r="X54" s="111">
        <f t="shared" ref="X54:Y54" si="115">X33</f>
        <v>2.5890000000000271</v>
      </c>
      <c r="Y54" s="111">
        <f t="shared" si="115"/>
        <v>0.22599999999999909</v>
      </c>
      <c r="Z54" s="111">
        <f t="shared" ref="Z54:AA54" si="116">Z33</f>
        <v>0.24499999999997613</v>
      </c>
      <c r="AA54" s="111">
        <f t="shared" si="116"/>
        <v>3.6000000000001364E-2</v>
      </c>
      <c r="AB54" s="111">
        <f t="shared" ref="AB54:AC54" si="117">AB33</f>
        <v>2.3720000000000141</v>
      </c>
      <c r="AC54" s="111">
        <f t="shared" si="117"/>
        <v>2.657999999999987</v>
      </c>
      <c r="AD54" s="111">
        <f t="shared" ref="AD54:AE54" si="118">AD33</f>
        <v>2.3979999999999961</v>
      </c>
      <c r="AE54" s="111">
        <f t="shared" si="118"/>
        <v>2.960000000000008</v>
      </c>
      <c r="AF54" s="111">
        <f t="shared" ref="AF54:AG54" si="119">AF33</f>
        <v>3.5010000000000048</v>
      </c>
      <c r="AG54" s="111">
        <f t="shared" si="119"/>
        <v>2.9939999999999998</v>
      </c>
      <c r="AH54" s="152">
        <v>7.9722999999999971</v>
      </c>
      <c r="AJ54" s="263" t="s">
        <v>415</v>
      </c>
      <c r="AK54" s="260">
        <f>V55/(V54+V55)</f>
        <v>0.38155136268343959</v>
      </c>
      <c r="AL54" s="260">
        <f t="shared" ref="AL54" si="120">W55/(W54+W55)</f>
        <v>0.39988719684150942</v>
      </c>
      <c r="AM54" s="260">
        <f t="shared" ref="AM54" si="121">X55/(X54+X55)</f>
        <v>0.44572896596017986</v>
      </c>
      <c r="AN54" s="260">
        <f t="shared" ref="AN54" si="122">Y55/(Y54+Y55)</f>
        <v>0.45012165450118258</v>
      </c>
      <c r="AO54" s="260">
        <f t="shared" ref="AO54" si="123">Z55/(Z54+Z55)</f>
        <v>0.38442211055281783</v>
      </c>
      <c r="AP54" s="260">
        <f t="shared" ref="AP54" si="124">AA55/(AA54+AA55)</f>
        <v>2.7027027027151592E-2</v>
      </c>
      <c r="AQ54" s="260">
        <f t="shared" ref="AQ54" si="125">AB55/(AB54+AB55)</f>
        <v>0.35508428493746169</v>
      </c>
      <c r="AR54" s="260">
        <f t="shared" ref="AR54" si="126">AC55/(AC54+AC55)</f>
        <v>0.35218133073360958</v>
      </c>
      <c r="AS54" s="260">
        <f t="shared" ref="AS54" si="127">AD55/(AD54+AD55)</f>
        <v>0.33425874514158982</v>
      </c>
      <c r="AT54" s="260">
        <f t="shared" ref="AT54" si="128">AE55/(AE54+AE55)</f>
        <v>0.32635411925352659</v>
      </c>
      <c r="AU54" s="260">
        <f t="shared" ref="AU54" si="129">AF55/(AF54+AF55)</f>
        <v>0.3531042128603103</v>
      </c>
      <c r="AV54" s="260">
        <f t="shared" ref="AV54" si="130">AG55/(AG54+AG55)</f>
        <v>0.33437083148065672</v>
      </c>
      <c r="AW54" s="260">
        <f>SUM(AK54:AV54)/12</f>
        <v>0.34534098683111969</v>
      </c>
    </row>
    <row r="55" spans="1:49" x14ac:dyDescent="0.35">
      <c r="T55" s="284"/>
      <c r="U55" s="156" t="s">
        <v>217</v>
      </c>
      <c r="V55" s="157">
        <f t="shared" ref="V55:W55" si="131">V41</f>
        <v>1.4560000000000173</v>
      </c>
      <c r="W55" s="157">
        <f t="shared" si="131"/>
        <v>1.4179999999999779</v>
      </c>
      <c r="X55" s="157">
        <f t="shared" ref="X55:Y55" si="132">X41</f>
        <v>2.0820000000000221</v>
      </c>
      <c r="Y55" s="157">
        <f t="shared" si="132"/>
        <v>0.18499999999997385</v>
      </c>
      <c r="Z55" s="157">
        <f t="shared" ref="Z55:AA55" si="133">Z41</f>
        <v>0.15300000000002001</v>
      </c>
      <c r="AA55" s="157">
        <f t="shared" si="133"/>
        <v>1.0000000000047748E-3</v>
      </c>
      <c r="AB55" s="157">
        <f t="shared" ref="AB55:AC55" si="134">AB41</f>
        <v>1.3059999999999832</v>
      </c>
      <c r="AC55" s="157">
        <f t="shared" si="134"/>
        <v>1.4449999999999932</v>
      </c>
      <c r="AD55" s="157">
        <f t="shared" ref="AD55:AE55" si="135">AD41</f>
        <v>1.2040000000000077</v>
      </c>
      <c r="AE55" s="157">
        <f t="shared" si="135"/>
        <v>1.4339999999999975</v>
      </c>
      <c r="AF55" s="157">
        <f t="shared" ref="AF55:AG55" si="136">AF41</f>
        <v>1.9110000000000014</v>
      </c>
      <c r="AG55" s="157">
        <f t="shared" si="136"/>
        <v>1.5039999999999907</v>
      </c>
      <c r="AH55" s="152">
        <v>4.1811000000000025</v>
      </c>
      <c r="AJ55" s="263"/>
      <c r="AK55" s="260"/>
      <c r="AL55" s="260"/>
      <c r="AM55" s="260"/>
      <c r="AN55" s="260"/>
      <c r="AO55" s="260"/>
      <c r="AP55" s="260"/>
      <c r="AQ55" s="260"/>
      <c r="AR55" s="260"/>
      <c r="AS55" s="260"/>
      <c r="AT55" s="260"/>
      <c r="AU55" s="260"/>
      <c r="AV55" s="260"/>
      <c r="AW55" s="260"/>
    </row>
    <row r="56" spans="1:49" x14ac:dyDescent="0.35">
      <c r="E56" t="s">
        <v>235</v>
      </c>
      <c r="T56" s="283">
        <v>6</v>
      </c>
      <c r="U56" s="155" t="s">
        <v>223</v>
      </c>
      <c r="V56" s="111">
        <f t="shared" ref="V56:W56" si="137">V34</f>
        <v>1.7120000000000033</v>
      </c>
      <c r="W56" s="111">
        <f t="shared" si="137"/>
        <v>1.820999999999998</v>
      </c>
      <c r="X56" s="111">
        <f t="shared" ref="X56:Y56" si="138">X34</f>
        <v>4.2650000000000006</v>
      </c>
      <c r="Y56" s="111">
        <f t="shared" si="138"/>
        <v>6.304000000000002</v>
      </c>
      <c r="Z56" s="111">
        <f t="shared" ref="Z56:AA56" si="139">Z34</f>
        <v>8.7210000000000036</v>
      </c>
      <c r="AA56" s="111">
        <f t="shared" si="139"/>
        <v>7.242999999999995</v>
      </c>
      <c r="AB56" s="111">
        <f t="shared" ref="AB56:AC56" si="140">AB34</f>
        <v>2.5080000000000098</v>
      </c>
      <c r="AC56" s="111">
        <f t="shared" si="140"/>
        <v>0.3230000000000075</v>
      </c>
      <c r="AD56" s="111">
        <f t="shared" ref="AD56:AE56" si="141">AD34</f>
        <v>8.8999999999998636E-2</v>
      </c>
      <c r="AE56" s="111">
        <f t="shared" si="141"/>
        <v>0.89900000000000091</v>
      </c>
      <c r="AF56" s="111">
        <f t="shared" ref="AF56:AG56" si="142">AF34</f>
        <v>2.2539999999999907</v>
      </c>
      <c r="AG56" s="111">
        <f t="shared" si="142"/>
        <v>2.0339999999999918</v>
      </c>
      <c r="AH56" s="152">
        <v>2.9772999999999987</v>
      </c>
      <c r="AJ56" s="263" t="s">
        <v>416</v>
      </c>
      <c r="AK56" s="260">
        <f>V57/(V56+V57)</f>
        <v>0.48058252427184467</v>
      </c>
      <c r="AL56" s="260">
        <f t="shared" ref="AL56" si="143">W57/(W56+W57)</f>
        <v>0.47063953488372118</v>
      </c>
      <c r="AM56" s="260">
        <f t="shared" ref="AM56" si="144">X57/(X56+X57)</f>
        <v>0.53841991341991313</v>
      </c>
      <c r="AN56" s="260">
        <f t="shared" ref="AN56" si="145">Y57/(Y56+Y57)</f>
        <v>0.51090076809682694</v>
      </c>
      <c r="AO56" s="260">
        <f t="shared" ref="AO56" si="146">Z57/(Z56+Z57)</f>
        <v>0.51482614742698152</v>
      </c>
      <c r="AP56" s="260">
        <f t="shared" ref="AP56" si="147">AA57/(AA56+AA57)</f>
        <v>0.49868493909191647</v>
      </c>
      <c r="AQ56" s="260">
        <f t="shared" ref="AQ56" si="148">AB57/(AB56+AB57)</f>
        <v>0.53068862275448869</v>
      </c>
      <c r="AR56" s="260">
        <f t="shared" ref="AR56" si="149">AC57/(AC56+AC57)</f>
        <v>0.5142857142857179</v>
      </c>
      <c r="AS56" s="260">
        <f t="shared" ref="AS56" si="150">AD57/(AD56+AD57)</f>
        <v>0.33582089552232952</v>
      </c>
      <c r="AT56" s="260">
        <f t="shared" ref="AT56" si="151">AE57/(AE56+AE57)</f>
        <v>0.25763831544179072</v>
      </c>
      <c r="AU56" s="260">
        <f t="shared" ref="AU56" si="152">AF57/(AF56+AF57)</f>
        <v>0.29694323144104851</v>
      </c>
      <c r="AV56" s="260">
        <f t="shared" ref="AV56" si="153">AG57/(AG56+AG57)</f>
        <v>0.34661098618696046</v>
      </c>
      <c r="AW56" s="260">
        <f t="shared" ref="AW56" si="154">SUM(AK56:AV56)/12</f>
        <v>0.44133679940196163</v>
      </c>
    </row>
    <row r="57" spans="1:49" x14ac:dyDescent="0.35">
      <c r="E57" s="290">
        <v>43956</v>
      </c>
      <c r="F57" s="86" t="s">
        <v>225</v>
      </c>
      <c r="G57" s="292"/>
      <c r="H57" s="292"/>
      <c r="I57" s="108"/>
      <c r="T57" s="284"/>
      <c r="U57" s="156" t="s">
        <v>217</v>
      </c>
      <c r="V57" s="157">
        <f t="shared" ref="V57:W57" si="155">V43</f>
        <v>1.5840000000000032</v>
      </c>
      <c r="W57" s="157">
        <f t="shared" si="155"/>
        <v>1.6189999999999998</v>
      </c>
      <c r="X57" s="157">
        <f t="shared" ref="X57:Y57" si="156">X43</f>
        <v>4.9749999999999943</v>
      </c>
      <c r="Y57" s="157">
        <f t="shared" si="156"/>
        <v>6.585000000000008</v>
      </c>
      <c r="Z57" s="157">
        <f t="shared" ref="Z57:AA57" si="157">Z43</f>
        <v>9.2539999999999907</v>
      </c>
      <c r="AA57" s="157">
        <f t="shared" si="157"/>
        <v>7.2050000000000125</v>
      </c>
      <c r="AB57" s="157">
        <f t="shared" ref="AB57:AC57" si="158">AB43</f>
        <v>2.8359999999999843</v>
      </c>
      <c r="AC57" s="157">
        <f t="shared" si="158"/>
        <v>0.34200000000001296</v>
      </c>
      <c r="AD57" s="157">
        <f t="shared" ref="AD57:AE57" si="159">AD43</f>
        <v>4.4999999999987494E-2</v>
      </c>
      <c r="AE57" s="157">
        <f t="shared" si="159"/>
        <v>0.31200000000001182</v>
      </c>
      <c r="AF57" s="157">
        <f t="shared" ref="AF57:AG57" si="160">AF43</f>
        <v>0.95199999999999818</v>
      </c>
      <c r="AG57" s="157">
        <f t="shared" si="160"/>
        <v>1.0790000000000077</v>
      </c>
      <c r="AH57" s="152">
        <v>1.5876000000000001</v>
      </c>
      <c r="AJ57" s="263"/>
      <c r="AK57" s="260"/>
      <c r="AL57" s="260"/>
      <c r="AM57" s="260"/>
      <c r="AN57" s="260"/>
      <c r="AO57" s="260"/>
      <c r="AP57" s="260"/>
      <c r="AQ57" s="260"/>
      <c r="AR57" s="260"/>
      <c r="AS57" s="260"/>
      <c r="AT57" s="260"/>
      <c r="AU57" s="260"/>
      <c r="AV57" s="260"/>
      <c r="AW57" s="260"/>
    </row>
    <row r="58" spans="1:49" x14ac:dyDescent="0.35">
      <c r="E58" s="290"/>
      <c r="F58" s="86" t="s">
        <v>226</v>
      </c>
      <c r="G58" s="292"/>
      <c r="H58" s="292"/>
      <c r="I58" s="108"/>
      <c r="T58" s="283">
        <v>8</v>
      </c>
      <c r="U58" s="155" t="s">
        <v>223</v>
      </c>
      <c r="V58" s="111">
        <f t="shared" ref="V58:W58" si="161">V35</f>
        <v>5.1730000000000018</v>
      </c>
      <c r="W58" s="111">
        <f t="shared" si="161"/>
        <v>2.0229999999999961</v>
      </c>
      <c r="X58" s="111">
        <f t="shared" ref="X58:Y58" si="162">X35</f>
        <v>0.50399999999999068</v>
      </c>
      <c r="Y58" s="111">
        <f t="shared" si="162"/>
        <v>2.2740000000000009</v>
      </c>
      <c r="Z58" s="111">
        <f t="shared" ref="Z58:AA58" si="163">Z35</f>
        <v>2.2909999999999968</v>
      </c>
      <c r="AA58" s="111">
        <f t="shared" si="163"/>
        <v>2.070999999999998</v>
      </c>
      <c r="AB58" s="111">
        <f t="shared" ref="AB58:AC58" si="164">AB35</f>
        <v>0.99800000000001887</v>
      </c>
      <c r="AC58" s="111">
        <f t="shared" si="164"/>
        <v>1.6719999999999686</v>
      </c>
      <c r="AD58" s="111">
        <f t="shared" ref="AD58:AE58" si="165">AD35</f>
        <v>1.9980000000000473</v>
      </c>
      <c r="AE58" s="111">
        <f t="shared" si="165"/>
        <v>5.2039999999999509</v>
      </c>
      <c r="AF58" s="111">
        <f t="shared" ref="AF58:AG58" si="166">AF35</f>
        <v>5.9950000000000045</v>
      </c>
      <c r="AG58" s="111">
        <f t="shared" si="166"/>
        <v>6.4080000000000155</v>
      </c>
      <c r="AH58" s="152">
        <v>5.4083999999999985</v>
      </c>
      <c r="AJ58" s="263" t="s">
        <v>417</v>
      </c>
      <c r="AK58" s="260">
        <f>V59/(V58+V59)</f>
        <v>0.35248466641632259</v>
      </c>
      <c r="AL58" s="260">
        <f t="shared" ref="AL58" si="167">W59/(W58+W59)</f>
        <v>0.36343612334801828</v>
      </c>
      <c r="AM58" s="260">
        <f t="shared" ref="AM58" si="168">X59/(X58+X59)</f>
        <v>0.43812709030100833</v>
      </c>
      <c r="AN58" s="260">
        <f t="shared" ref="AN58" si="169">Y59/(Y58+Y59)</f>
        <v>0.39809422975118952</v>
      </c>
      <c r="AO58" s="260">
        <f t="shared" ref="AO58" si="170">Z59/(Z58+Z59)</f>
        <v>0.40555267254800276</v>
      </c>
      <c r="AP58" s="260">
        <f t="shared" ref="AP58" si="171">AA59/(AA58+AA59)</f>
        <v>0.40265359100086567</v>
      </c>
      <c r="AQ58" s="260">
        <f t="shared" ref="AQ58" si="172">AB59/(AB58+AB59)</f>
        <v>0.36594663278271788</v>
      </c>
      <c r="AR58" s="260">
        <f t="shared" ref="AR58" si="173">AC59/(AC58+AC59)</f>
        <v>0.37728119180633379</v>
      </c>
      <c r="AS58" s="260">
        <f t="shared" ref="AS58" si="174">AD59/(AD58+AD59)</f>
        <v>0.36328871892924897</v>
      </c>
      <c r="AT58" s="260">
        <f t="shared" ref="AT58" si="175">AE59/(AE58+AE59)</f>
        <v>0.28230588884291985</v>
      </c>
      <c r="AU58" s="260">
        <f t="shared" ref="AU58" si="176">AF59/(AF58+AF59)</f>
        <v>0.3164196123147095</v>
      </c>
      <c r="AV58" s="260">
        <f t="shared" ref="AV58" si="177">AG59/(AG58+AG59)</f>
        <v>0.32504739835685631</v>
      </c>
      <c r="AW58" s="260">
        <f t="shared" ref="AW58" si="178">SUM(AK58:AV58)/12</f>
        <v>0.36588648469984947</v>
      </c>
    </row>
    <row r="59" spans="1:49" x14ac:dyDescent="0.35">
      <c r="T59" s="284"/>
      <c r="U59" s="156" t="s">
        <v>217</v>
      </c>
      <c r="V59" s="157">
        <f t="shared" ref="V59:W59" si="179">V45</f>
        <v>2.8160000000000025</v>
      </c>
      <c r="W59" s="157">
        <f t="shared" si="179"/>
        <v>1.1550000000000011</v>
      </c>
      <c r="X59" s="157">
        <f t="shared" ref="X59:Y59" si="180">X45</f>
        <v>0.39300000000000068</v>
      </c>
      <c r="Y59" s="157">
        <f t="shared" si="180"/>
        <v>1.5039999999999907</v>
      </c>
      <c r="Z59" s="157">
        <f t="shared" ref="Z59:AA59" si="181">Z45</f>
        <v>1.5630000000000024</v>
      </c>
      <c r="AA59" s="157">
        <f t="shared" si="181"/>
        <v>1.3960000000000008</v>
      </c>
      <c r="AB59" s="157">
        <f t="shared" ref="AB59:AC59" si="182">AB45</f>
        <v>0.57600000000000762</v>
      </c>
      <c r="AC59" s="157">
        <f t="shared" si="182"/>
        <v>1.012999999999991</v>
      </c>
      <c r="AD59" s="157">
        <f t="shared" ref="AD59:AE59" si="183">AD45</f>
        <v>1.1400000000000006</v>
      </c>
      <c r="AE59" s="157">
        <f t="shared" si="183"/>
        <v>2.046999999999997</v>
      </c>
      <c r="AF59" s="157">
        <f t="shared" ref="AF59:AG59" si="184">AF45</f>
        <v>2.7750000000000057</v>
      </c>
      <c r="AG59" s="157">
        <f t="shared" si="184"/>
        <v>3.0859999999999985</v>
      </c>
      <c r="AH59" s="152">
        <v>2.5712999999999999</v>
      </c>
      <c r="AJ59" s="263"/>
      <c r="AK59" s="260"/>
      <c r="AL59" s="260"/>
      <c r="AM59" s="260"/>
      <c r="AN59" s="260"/>
      <c r="AO59" s="260"/>
      <c r="AP59" s="260"/>
      <c r="AQ59" s="260"/>
      <c r="AR59" s="260"/>
      <c r="AS59" s="260"/>
      <c r="AT59" s="260"/>
      <c r="AU59" s="260"/>
      <c r="AV59" s="260"/>
      <c r="AW59" s="260"/>
    </row>
    <row r="60" spans="1:49" x14ac:dyDescent="0.35">
      <c r="T60" s="283">
        <v>11</v>
      </c>
      <c r="U60" s="155" t="s">
        <v>223</v>
      </c>
      <c r="V60" s="111">
        <f t="shared" ref="V60:W60" si="185">V36</f>
        <v>0.53500000000000014</v>
      </c>
      <c r="W60" s="111">
        <f t="shared" si="185"/>
        <v>0.34699999999999775</v>
      </c>
      <c r="X60" s="111">
        <f t="shared" ref="X60:Y60" si="186">X36</f>
        <v>0.82600000000000051</v>
      </c>
      <c r="Y60" s="111">
        <f t="shared" si="186"/>
        <v>1.2749999999999986</v>
      </c>
      <c r="Z60" s="111">
        <f t="shared" ref="Z60:AA60" si="187">Z36</f>
        <v>0.79200000000000159</v>
      </c>
      <c r="AA60" s="111">
        <f t="shared" si="187"/>
        <v>1.0719999999999992</v>
      </c>
      <c r="AB60" s="111">
        <f t="shared" ref="AB60:AC60" si="188">AB36</f>
        <v>1.0139999999999993</v>
      </c>
      <c r="AC60" s="111">
        <f t="shared" si="188"/>
        <v>2.9600000000000009</v>
      </c>
      <c r="AD60" s="111">
        <f t="shared" ref="AD60:AE60" si="189">AD36</f>
        <v>0.6720000000000006</v>
      </c>
      <c r="AE60" s="111">
        <f t="shared" si="189"/>
        <v>0.78000000000000114</v>
      </c>
      <c r="AF60" s="111">
        <f t="shared" ref="AF60:AG60" si="190">AF36</f>
        <v>0.45199999999999818</v>
      </c>
      <c r="AG60" s="111">
        <f t="shared" si="190"/>
        <v>1.583000000000002</v>
      </c>
      <c r="AH60" s="152">
        <v>0.4723</v>
      </c>
      <c r="AJ60" s="263" t="s">
        <v>418</v>
      </c>
      <c r="AK60" s="260">
        <f>V61/(V60+V61)</f>
        <v>0.32534678436317849</v>
      </c>
      <c r="AL60" s="260">
        <f t="shared" ref="AL60" si="191">W61/(W60+W61)</f>
        <v>0.39652173913043609</v>
      </c>
      <c r="AM60" s="260">
        <f t="shared" ref="AM60" si="192">X61/(X60+X61)</f>
        <v>0.36363636363636326</v>
      </c>
      <c r="AN60" s="260">
        <f t="shared" ref="AN60" si="193">Y61/(Y60+Y61)</f>
        <v>0.37192118226601034</v>
      </c>
      <c r="AO60" s="260">
        <f t="shared" ref="AO60" si="194">Z61/(Z60+Z61)</f>
        <v>0.32075471698113095</v>
      </c>
      <c r="AP60" s="260">
        <f t="shared" ref="AP60" si="195">AA61/(AA60+AA61)</f>
        <v>0.29796987557301918</v>
      </c>
      <c r="AQ60" s="260">
        <f t="shared" ref="AQ60" si="196">AB61/(AB60+AB61)</f>
        <v>0.30117160578911167</v>
      </c>
      <c r="AR60" s="260">
        <f t="shared" ref="AR60" si="197">AC61/(AC60+AC61)</f>
        <v>0.2762836185819072</v>
      </c>
      <c r="AS60" s="260">
        <f t="shared" ref="AS60" si="198">AD61/(AD60+AD61)</f>
        <v>0.32121212121211956</v>
      </c>
      <c r="AT60" s="260">
        <f t="shared" ref="AT60" si="199">AE61/(AE60+AE61)</f>
        <v>0.31095406360424016</v>
      </c>
      <c r="AU60" s="260">
        <f t="shared" ref="AU60" si="200">AF61/(AF60+AF61)</f>
        <v>0.33037037037037026</v>
      </c>
      <c r="AV60" s="260">
        <f t="shared" ref="AV60" si="201">AG61/(AG60+AG61)</f>
        <v>0.31826012058570191</v>
      </c>
      <c r="AW60" s="260">
        <f t="shared" ref="AW60" si="202">SUM(AK60:AV60)/12</f>
        <v>0.3278668801744658</v>
      </c>
    </row>
    <row r="61" spans="1:49" x14ac:dyDescent="0.35">
      <c r="T61" s="284"/>
      <c r="U61" s="156" t="s">
        <v>217</v>
      </c>
      <c r="V61" s="157">
        <f t="shared" ref="V61:W61" si="203">V47</f>
        <v>0.2580000000000009</v>
      </c>
      <c r="W61" s="157">
        <f t="shared" si="203"/>
        <v>0.22799999999999976</v>
      </c>
      <c r="X61" s="157">
        <f t="shared" ref="X61:Y61" si="204">X47</f>
        <v>0.47199999999999953</v>
      </c>
      <c r="Y61" s="157">
        <f t="shared" si="204"/>
        <v>0.75500000000000078</v>
      </c>
      <c r="Z61" s="157">
        <f t="shared" ref="Z61:AA61" si="205">Z47</f>
        <v>0.37399999999999878</v>
      </c>
      <c r="AA61" s="157">
        <f t="shared" si="205"/>
        <v>0.45500000000000007</v>
      </c>
      <c r="AB61" s="157">
        <f t="shared" ref="AB61:AC61" si="206">AB47</f>
        <v>0.43700000000000117</v>
      </c>
      <c r="AC61" s="157">
        <f t="shared" si="206"/>
        <v>1.1300000000000008</v>
      </c>
      <c r="AD61" s="157">
        <f t="shared" ref="AD61:AE61" si="207">AD47</f>
        <v>0.31799999999999784</v>
      </c>
      <c r="AE61" s="157">
        <f t="shared" si="207"/>
        <v>0.35200000000000031</v>
      </c>
      <c r="AF61" s="157">
        <f t="shared" ref="AF61:AG61" si="208">AF47</f>
        <v>0.22299999999999898</v>
      </c>
      <c r="AG61" s="157">
        <f t="shared" si="208"/>
        <v>0.73900000000000077</v>
      </c>
      <c r="AH61" s="152">
        <v>0.27939999999999998</v>
      </c>
      <c r="AJ61" s="263"/>
      <c r="AK61" s="260"/>
      <c r="AL61" s="260"/>
      <c r="AM61" s="260"/>
      <c r="AN61" s="260"/>
      <c r="AO61" s="260"/>
      <c r="AP61" s="260"/>
      <c r="AQ61" s="260"/>
      <c r="AR61" s="260"/>
      <c r="AS61" s="260"/>
      <c r="AT61" s="260"/>
      <c r="AU61" s="260"/>
      <c r="AV61" s="260"/>
      <c r="AW61" s="260"/>
    </row>
    <row r="62" spans="1:49" x14ac:dyDescent="0.35">
      <c r="T62" s="283">
        <v>12</v>
      </c>
      <c r="U62" s="155" t="s">
        <v>223</v>
      </c>
      <c r="V62" s="111">
        <f t="shared" ref="V62:W62" si="209">V37</f>
        <v>2.9140000000000015</v>
      </c>
      <c r="W62" s="111">
        <f t="shared" si="209"/>
        <v>2.7960000000000065</v>
      </c>
      <c r="X62" s="111">
        <f t="shared" ref="X62:Y62" si="210">X37</f>
        <v>3.5969999999999942</v>
      </c>
      <c r="Y62" s="111">
        <f t="shared" si="210"/>
        <v>4.0649999999999977</v>
      </c>
      <c r="Z62" s="111">
        <f t="shared" ref="Z62:AA62" si="211">Z37</f>
        <v>4.9519999999999982</v>
      </c>
      <c r="AA62" s="111">
        <f t="shared" si="211"/>
        <v>3.4280000000000115</v>
      </c>
      <c r="AB62" s="111">
        <f t="shared" ref="AB62:AC62" si="212">AB37</f>
        <v>2.6319999999999908</v>
      </c>
      <c r="AC62" s="111">
        <f t="shared" si="212"/>
        <v>3.4350000000000023</v>
      </c>
      <c r="AD62" s="111">
        <f t="shared" ref="AD62:AE62" si="213">AD37</f>
        <v>3.6880000000000024</v>
      </c>
      <c r="AE62" s="111">
        <f t="shared" si="213"/>
        <v>3.4849999999999994</v>
      </c>
      <c r="AF62" s="111">
        <f t="shared" ref="AF62:AG62" si="214">AF37</f>
        <v>3.5480000000000018</v>
      </c>
      <c r="AG62" s="111">
        <f t="shared" si="214"/>
        <v>3.9429999999999978</v>
      </c>
      <c r="AH62" s="152">
        <v>2.143399999999998</v>
      </c>
      <c r="AJ62" s="263" t="s">
        <v>419</v>
      </c>
      <c r="AK62" s="260">
        <f>V63/(V62+V63)</f>
        <v>0.37628424657534271</v>
      </c>
      <c r="AL62" s="260">
        <f t="shared" ref="AL62" si="215">W63/(W62+W63)</f>
        <v>0.3265895953757223</v>
      </c>
      <c r="AM62" s="260">
        <f t="shared" ref="AM62" si="216">X63/(X62+X63)</f>
        <v>0.37005253940455374</v>
      </c>
      <c r="AN62" s="260">
        <f t="shared" ref="AN62" si="217">Y63/(Y62+Y63)</f>
        <v>0.3023854470568047</v>
      </c>
      <c r="AO62" s="260">
        <f t="shared" ref="AO62" si="218">Z63/(Z62+Z63)</f>
        <v>0.23603825979635851</v>
      </c>
      <c r="AP62" s="260">
        <f t="shared" ref="AP62" si="219">AA63/(AA62+AA63)</f>
        <v>0.36235119047619058</v>
      </c>
      <c r="AQ62" s="260">
        <f t="shared" ref="AQ62" si="220">AB63/(AB62+AB63)</f>
        <v>0.30278145695364322</v>
      </c>
      <c r="AR62" s="260">
        <f t="shared" ref="AR62" si="221">AC63/(AC62+AC63)</f>
        <v>0.28273125913551866</v>
      </c>
      <c r="AS62" s="260">
        <f t="shared" ref="AS62" si="222">AD63/(AD62+AD63)</f>
        <v>0.31640407784986002</v>
      </c>
      <c r="AT62" s="260">
        <f t="shared" ref="AT62" si="223">AE63/(AE62+AE63)</f>
        <v>0.36218887262079058</v>
      </c>
      <c r="AU62" s="260">
        <f t="shared" ref="AU62" si="224">AF63/(AF62+AF63)</f>
        <v>0.38338547097671205</v>
      </c>
      <c r="AV62" s="260">
        <f t="shared" ref="AV62" si="225">AG63/(AG62+AG63)</f>
        <v>0.35571895424836686</v>
      </c>
      <c r="AW62" s="260">
        <f t="shared" ref="AW62" si="226">SUM(AK62:AV62)/12</f>
        <v>0.33140928087248872</v>
      </c>
    </row>
    <row r="63" spans="1:49" x14ac:dyDescent="0.35">
      <c r="T63" s="284"/>
      <c r="U63" s="156" t="s">
        <v>217</v>
      </c>
      <c r="V63" s="157">
        <f t="shared" ref="V63:W63" si="227">V49</f>
        <v>1.7580000000000027</v>
      </c>
      <c r="W63" s="157">
        <f t="shared" si="227"/>
        <v>1.3560000000000016</v>
      </c>
      <c r="X63" s="157">
        <f t="shared" ref="X63:Y63" si="228">X49</f>
        <v>2.1129999999999995</v>
      </c>
      <c r="Y63" s="157">
        <f t="shared" si="228"/>
        <v>1.7620000000000005</v>
      </c>
      <c r="Z63" s="157">
        <f t="shared" ref="Z63:AA63" si="229">Z49</f>
        <v>1.529999999999994</v>
      </c>
      <c r="AA63" s="157">
        <f t="shared" si="229"/>
        <v>1.9480000000000075</v>
      </c>
      <c r="AB63" s="157">
        <f t="shared" ref="AB63:AC63" si="230">AB49</f>
        <v>1.1430000000000007</v>
      </c>
      <c r="AC63" s="157">
        <f t="shared" si="230"/>
        <v>1.3539999999999992</v>
      </c>
      <c r="AD63" s="157">
        <f t="shared" ref="AD63:AE63" si="231">AD49</f>
        <v>1.7069999999999936</v>
      </c>
      <c r="AE63" s="157">
        <f t="shared" si="231"/>
        <v>1.9789999999999992</v>
      </c>
      <c r="AF63" s="157">
        <f t="shared" ref="AF63:AG63" si="232">AF49</f>
        <v>2.2060000000000031</v>
      </c>
      <c r="AG63" s="157">
        <f t="shared" si="232"/>
        <v>2.1770000000000067</v>
      </c>
      <c r="AH63" s="152">
        <v>1.6964999999999999</v>
      </c>
      <c r="AJ63" s="263"/>
    </row>
  </sheetData>
  <sheetProtection selectLockedCells="1" selectUnlockedCells="1"/>
  <mergeCells count="29">
    <mergeCell ref="E57:E58"/>
    <mergeCell ref="T56:T57"/>
    <mergeCell ref="T58:T59"/>
    <mergeCell ref="G53:H53"/>
    <mergeCell ref="G54:H54"/>
    <mergeCell ref="G57:H57"/>
    <mergeCell ref="G58:H58"/>
    <mergeCell ref="A20:A21"/>
    <mergeCell ref="D53:D54"/>
    <mergeCell ref="E53:E54"/>
    <mergeCell ref="T54:T55"/>
    <mergeCell ref="B20:B21"/>
    <mergeCell ref="C53:C54"/>
    <mergeCell ref="AJ26:AJ28"/>
    <mergeCell ref="T60:T61"/>
    <mergeCell ref="T62:T63"/>
    <mergeCell ref="A4:A5"/>
    <mergeCell ref="B4:B5"/>
    <mergeCell ref="B6:B7"/>
    <mergeCell ref="B8:B9"/>
    <mergeCell ref="A10:A11"/>
    <mergeCell ref="B10:B11"/>
    <mergeCell ref="A22:A23"/>
    <mergeCell ref="B22:B23"/>
    <mergeCell ref="B12:B13"/>
    <mergeCell ref="B14:B15"/>
    <mergeCell ref="A16:A17"/>
    <mergeCell ref="B16:B17"/>
    <mergeCell ref="B18:B19"/>
  </mergeCells>
  <conditionalFormatting sqref="E4">
    <cfRule type="cellIs" dxfId="4269" priority="123" stopIfTrue="1" operator="lessThan">
      <formula>$D$4</formula>
    </cfRule>
    <cfRule type="cellIs" dxfId="4268" priority="124" stopIfTrue="1" operator="equal">
      <formula>$D$4</formula>
    </cfRule>
  </conditionalFormatting>
  <conditionalFormatting sqref="E5">
    <cfRule type="cellIs" dxfId="4267" priority="127" stopIfTrue="1" operator="equal">
      <formula>$D$5</formula>
    </cfRule>
    <cfRule type="cellIs" dxfId="4266" priority="128" stopIfTrue="1" operator="lessThan">
      <formula>$D$5</formula>
    </cfRule>
  </conditionalFormatting>
  <conditionalFormatting sqref="E6">
    <cfRule type="cellIs" dxfId="4265" priority="135" stopIfTrue="1" operator="lessThan">
      <formula>$D$6</formula>
    </cfRule>
    <cfRule type="cellIs" dxfId="4264" priority="134" stopIfTrue="1" operator="equal">
      <formula>$D$6</formula>
    </cfRule>
  </conditionalFormatting>
  <conditionalFormatting sqref="E7">
    <cfRule type="cellIs" dxfId="4263" priority="148" stopIfTrue="1" operator="equal">
      <formula>$D$7</formula>
    </cfRule>
    <cfRule type="cellIs" dxfId="4262" priority="149" stopIfTrue="1" operator="lessThan">
      <formula>$D$7</formula>
    </cfRule>
  </conditionalFormatting>
  <conditionalFormatting sqref="E8">
    <cfRule type="cellIs" dxfId="4261" priority="160" stopIfTrue="1" operator="equal">
      <formula>$D$8</formula>
    </cfRule>
    <cfRule type="cellIs" dxfId="4260" priority="161" stopIfTrue="1" operator="lessThan">
      <formula>$D$8</formula>
    </cfRule>
  </conditionalFormatting>
  <conditionalFormatting sqref="E9">
    <cfRule type="cellIs" dxfId="4259" priority="175" stopIfTrue="1" operator="lessThan">
      <formula>$D$9</formula>
    </cfRule>
    <cfRule type="cellIs" dxfId="4258" priority="174" stopIfTrue="1" operator="equal">
      <formula>$D$9</formula>
    </cfRule>
  </conditionalFormatting>
  <conditionalFormatting sqref="E10">
    <cfRule type="cellIs" dxfId="4257" priority="189" stopIfTrue="1" operator="lessThan">
      <formula>$D$10</formula>
    </cfRule>
    <cfRule type="cellIs" dxfId="4256" priority="188" stopIfTrue="1" operator="equal">
      <formula>$D$10</formula>
    </cfRule>
  </conditionalFormatting>
  <conditionalFormatting sqref="E11">
    <cfRule type="cellIs" dxfId="4255" priority="202" stopIfTrue="1" operator="equal">
      <formula>$D$11</formula>
    </cfRule>
    <cfRule type="cellIs" dxfId="4254" priority="203" stopIfTrue="1" operator="lessThan">
      <formula>$D$11</formula>
    </cfRule>
  </conditionalFormatting>
  <conditionalFormatting sqref="E12">
    <cfRule type="cellIs" dxfId="4253" priority="217" stopIfTrue="1" operator="lessThan">
      <formula>$D$12</formula>
    </cfRule>
    <cfRule type="cellIs" dxfId="4252" priority="216" stopIfTrue="1" operator="equal">
      <formula>$D$12</formula>
    </cfRule>
  </conditionalFormatting>
  <conditionalFormatting sqref="E13">
    <cfRule type="cellIs" dxfId="4251" priority="348" stopIfTrue="1" operator="equal">
      <formula>$D$13</formula>
    </cfRule>
    <cfRule type="cellIs" dxfId="4250" priority="349" stopIfTrue="1" operator="lessThan">
      <formula>$D$13</formula>
    </cfRule>
  </conditionalFormatting>
  <conditionalFormatting sqref="E14">
    <cfRule type="cellIs" dxfId="4249" priority="231" stopIfTrue="1" operator="lessThan">
      <formula>$D$14</formula>
    </cfRule>
    <cfRule type="cellIs" dxfId="4248" priority="230" stopIfTrue="1" operator="equal">
      <formula>$D$14</formula>
    </cfRule>
  </conditionalFormatting>
  <conditionalFormatting sqref="E15">
    <cfRule type="cellIs" dxfId="4247" priority="233" stopIfTrue="1" operator="lessThan">
      <formula>$D$15</formula>
    </cfRule>
    <cfRule type="cellIs" dxfId="4246" priority="232" stopIfTrue="1" operator="equal">
      <formula>$D$15</formula>
    </cfRule>
  </conditionalFormatting>
  <conditionalFormatting sqref="E16">
    <cfRule type="cellIs" dxfId="4245" priority="234" stopIfTrue="1" operator="equal">
      <formula>$D$16</formula>
    </cfRule>
    <cfRule type="cellIs" dxfId="4244" priority="235" stopIfTrue="1" operator="lessThan">
      <formula>$D$16</formula>
    </cfRule>
  </conditionalFormatting>
  <conditionalFormatting sqref="E17">
    <cfRule type="cellIs" dxfId="4243" priority="236" stopIfTrue="1" operator="equal">
      <formula>$D$17</formula>
    </cfRule>
    <cfRule type="cellIs" dxfId="4242" priority="237" stopIfTrue="1" operator="lessThan">
      <formula>$D$17</formula>
    </cfRule>
  </conditionalFormatting>
  <conditionalFormatting sqref="E18">
    <cfRule type="cellIs" dxfId="4241" priority="239" stopIfTrue="1" operator="lessThan">
      <formula>$D$18</formula>
    </cfRule>
    <cfRule type="cellIs" dxfId="4240" priority="238" stopIfTrue="1" operator="equal">
      <formula>$D$18</formula>
    </cfRule>
  </conditionalFormatting>
  <conditionalFormatting sqref="E19">
    <cfRule type="cellIs" dxfId="4239" priority="240" stopIfTrue="1" operator="equal">
      <formula>$D$19</formula>
    </cfRule>
    <cfRule type="cellIs" dxfId="4238" priority="241" stopIfTrue="1" operator="lessThan">
      <formula>$D$19</formula>
    </cfRule>
  </conditionalFormatting>
  <conditionalFormatting sqref="E20">
    <cfRule type="cellIs" dxfId="4237" priority="242" stopIfTrue="1" operator="equal">
      <formula>$D$20</formula>
    </cfRule>
    <cfRule type="cellIs" dxfId="4236" priority="243" stopIfTrue="1" operator="lessThan">
      <formula>$D$20</formula>
    </cfRule>
  </conditionalFormatting>
  <conditionalFormatting sqref="E21">
    <cfRule type="cellIs" dxfId="4235" priority="244" stopIfTrue="1" operator="equal">
      <formula>$D$21</formula>
    </cfRule>
    <cfRule type="cellIs" dxfId="4234" priority="245" stopIfTrue="1" operator="lessThan">
      <formula>$D$21</formula>
    </cfRule>
  </conditionalFormatting>
  <conditionalFormatting sqref="E22">
    <cfRule type="cellIs" dxfId="4233" priority="247" stopIfTrue="1" operator="lessThan">
      <formula>$D$22</formula>
    </cfRule>
    <cfRule type="cellIs" dxfId="4232" priority="246" stopIfTrue="1" operator="equal">
      <formula>$D$22</formula>
    </cfRule>
  </conditionalFormatting>
  <conditionalFormatting sqref="E23">
    <cfRule type="cellIs" dxfId="4231" priority="248" stopIfTrue="1" operator="equal">
      <formula>$D$23</formula>
    </cfRule>
    <cfRule type="cellIs" dxfId="4230" priority="249" stopIfTrue="1" operator="lessThan">
      <formula>$D$23</formula>
    </cfRule>
  </conditionalFormatting>
  <conditionalFormatting sqref="E24">
    <cfRule type="cellIs" dxfId="4229" priority="380" stopIfTrue="1" operator="equal">
      <formula>$D$24</formula>
    </cfRule>
    <cfRule type="cellIs" dxfId="4228" priority="381" stopIfTrue="1" operator="lessThan">
      <formula>$D$24</formula>
    </cfRule>
  </conditionalFormatting>
  <conditionalFormatting sqref="E25">
    <cfRule type="cellIs" dxfId="4227" priority="251" stopIfTrue="1" operator="lessThan">
      <formula>$D$25</formula>
    </cfRule>
    <cfRule type="cellIs" dxfId="4226" priority="250" stopIfTrue="1" operator="equal">
      <formula>$D$25</formula>
    </cfRule>
  </conditionalFormatting>
  <conditionalFormatting sqref="E26">
    <cfRule type="cellIs" dxfId="4225" priority="253" stopIfTrue="1" operator="lessThan">
      <formula>$D$26</formula>
    </cfRule>
    <cfRule type="cellIs" dxfId="4224" priority="252" stopIfTrue="1" operator="equal">
      <formula>$D$26</formula>
    </cfRule>
  </conditionalFormatting>
  <conditionalFormatting sqref="E27">
    <cfRule type="cellIs" dxfId="4223" priority="255" stopIfTrue="1" operator="lessThan">
      <formula>$D$27</formula>
    </cfRule>
    <cfRule type="cellIs" dxfId="4222" priority="254" stopIfTrue="1" operator="equal">
      <formula>$D$27</formula>
    </cfRule>
  </conditionalFormatting>
  <conditionalFormatting sqref="E28">
    <cfRule type="cellIs" dxfId="4221" priority="257" stopIfTrue="1" operator="lessThan">
      <formula>$D$28</formula>
    </cfRule>
    <cfRule type="cellIs" dxfId="4220" priority="256" stopIfTrue="1" operator="equal">
      <formula>$D$28</formula>
    </cfRule>
  </conditionalFormatting>
  <conditionalFormatting sqref="E33:P37">
    <cfRule type="expression" dxfId="4219" priority="7">
      <formula>E33&lt;D33</formula>
    </cfRule>
    <cfRule type="expression" dxfId="4218" priority="6">
      <formula>E33=D33</formula>
    </cfRule>
  </conditionalFormatting>
  <conditionalFormatting sqref="E40:P49">
    <cfRule type="expression" dxfId="4217" priority="9">
      <formula>E40&lt;D40</formula>
    </cfRule>
    <cfRule type="expression" dxfId="4216" priority="8">
      <formula>E40=D40</formula>
    </cfRule>
  </conditionalFormatting>
  <conditionalFormatting sqref="F4">
    <cfRule type="cellIs" dxfId="4215" priority="126" stopIfTrue="1" operator="lessThan">
      <formula>$E$4</formula>
    </cfRule>
    <cfRule type="cellIs" dxfId="4214" priority="125" stopIfTrue="1" operator="equal">
      <formula>$E$4</formula>
    </cfRule>
  </conditionalFormatting>
  <conditionalFormatting sqref="F5">
    <cfRule type="cellIs" dxfId="4213" priority="391" stopIfTrue="1" operator="lessThan">
      <formula>$E$5</formula>
    </cfRule>
    <cfRule type="cellIs" dxfId="4212" priority="390" stopIfTrue="1" operator="equal">
      <formula>$E$5</formula>
    </cfRule>
  </conditionalFormatting>
  <conditionalFormatting sqref="F6">
    <cfRule type="cellIs" dxfId="4211" priority="137" stopIfTrue="1" operator="lessThan">
      <formula>$E$6</formula>
    </cfRule>
    <cfRule type="cellIs" dxfId="4210" priority="136" stopIfTrue="1" operator="equal">
      <formula>$E$6</formula>
    </cfRule>
  </conditionalFormatting>
  <conditionalFormatting sqref="F7">
    <cfRule type="cellIs" dxfId="4209" priority="151" stopIfTrue="1" operator="lessThan">
      <formula>$E$7</formula>
    </cfRule>
    <cfRule type="cellIs" dxfId="4208" priority="150" stopIfTrue="1" operator="equal">
      <formula>$E$7</formula>
    </cfRule>
  </conditionalFormatting>
  <conditionalFormatting sqref="F8">
    <cfRule type="cellIs" dxfId="4207" priority="162" stopIfTrue="1" operator="equal">
      <formula>$E$8</formula>
    </cfRule>
    <cfRule type="cellIs" dxfId="4206" priority="163" stopIfTrue="1" operator="lessThan">
      <formula>$E$8</formula>
    </cfRule>
  </conditionalFormatting>
  <conditionalFormatting sqref="F9">
    <cfRule type="cellIs" dxfId="4205" priority="176" stopIfTrue="1" operator="equal">
      <formula>$E$9</formula>
    </cfRule>
    <cfRule type="cellIs" dxfId="4204" priority="177" stopIfTrue="1" operator="lessThan">
      <formula>$E$9</formula>
    </cfRule>
  </conditionalFormatting>
  <conditionalFormatting sqref="F10">
    <cfRule type="cellIs" dxfId="4203" priority="190" stopIfTrue="1" operator="equal">
      <formula>$E$10</formula>
    </cfRule>
    <cfRule type="cellIs" dxfId="4202" priority="191" stopIfTrue="1" operator="lessThan">
      <formula>$E$10</formula>
    </cfRule>
  </conditionalFormatting>
  <conditionalFormatting sqref="F11">
    <cfRule type="cellIs" dxfId="4201" priority="205" stopIfTrue="1" operator="lessThan">
      <formula>$E$11</formula>
    </cfRule>
    <cfRule type="cellIs" dxfId="4200" priority="204" stopIfTrue="1" operator="equal">
      <formula>$E$11</formula>
    </cfRule>
  </conditionalFormatting>
  <conditionalFormatting sqref="F12">
    <cfRule type="cellIs" dxfId="4199" priority="219" stopIfTrue="1" operator="lessThan">
      <formula>$E$12</formula>
    </cfRule>
    <cfRule type="cellIs" dxfId="4198" priority="218" stopIfTrue="1" operator="equal">
      <formula>$E$12</formula>
    </cfRule>
  </conditionalFormatting>
  <conditionalFormatting sqref="F13">
    <cfRule type="cellIs" dxfId="4197" priority="258" stopIfTrue="1" operator="equal">
      <formula>$E$13</formula>
    </cfRule>
    <cfRule type="cellIs" dxfId="4196" priority="259" stopIfTrue="1" operator="lessThan">
      <formula>$E$13</formula>
    </cfRule>
  </conditionalFormatting>
  <conditionalFormatting sqref="F14">
    <cfRule type="cellIs" dxfId="4195" priority="260" stopIfTrue="1" operator="equal">
      <formula>$E$14</formula>
    </cfRule>
    <cfRule type="cellIs" dxfId="4194" priority="261" stopIfTrue="1" operator="lessThan">
      <formula>$E$14</formula>
    </cfRule>
  </conditionalFormatting>
  <conditionalFormatting sqref="F15">
    <cfRule type="cellIs" dxfId="4193" priority="262" stopIfTrue="1" operator="equal">
      <formula>$E$15</formula>
    </cfRule>
    <cfRule type="cellIs" dxfId="4192" priority="263" stopIfTrue="1" operator="lessThan">
      <formula>$E$15</formula>
    </cfRule>
  </conditionalFormatting>
  <conditionalFormatting sqref="F16">
    <cfRule type="cellIs" dxfId="4191" priority="264" stopIfTrue="1" operator="equal">
      <formula>$E$16</formula>
    </cfRule>
    <cfRule type="cellIs" dxfId="4190" priority="265" stopIfTrue="1" operator="lessThan">
      <formula>$E$16</formula>
    </cfRule>
  </conditionalFormatting>
  <conditionalFormatting sqref="F17">
    <cfRule type="cellIs" dxfId="4189" priority="267" stopIfTrue="1" operator="lessThan">
      <formula>$E$17</formula>
    </cfRule>
    <cfRule type="cellIs" dxfId="4188" priority="266" stopIfTrue="1" operator="equal">
      <formula>$E$17</formula>
    </cfRule>
  </conditionalFormatting>
  <conditionalFormatting sqref="F18">
    <cfRule type="cellIs" dxfId="4187" priority="269" stopIfTrue="1" operator="lessThan">
      <formula>$E$18</formula>
    </cfRule>
    <cfRule type="cellIs" dxfId="4186" priority="268" stopIfTrue="1" operator="equal">
      <formula>$E$18</formula>
    </cfRule>
  </conditionalFormatting>
  <conditionalFormatting sqref="F19">
    <cfRule type="cellIs" dxfId="4185" priority="271" stopIfTrue="1" operator="lessThan">
      <formula>$E$19</formula>
    </cfRule>
    <cfRule type="cellIs" dxfId="4184" priority="270" stopIfTrue="1" operator="equal">
      <formula>$E$19</formula>
    </cfRule>
  </conditionalFormatting>
  <conditionalFormatting sqref="F20">
    <cfRule type="cellIs" dxfId="4183" priority="273" stopIfTrue="1" operator="lessThan">
      <formula>$E$20</formula>
    </cfRule>
    <cfRule type="cellIs" dxfId="4182" priority="272" stopIfTrue="1" operator="equal">
      <formula>$E$20</formula>
    </cfRule>
  </conditionalFormatting>
  <conditionalFormatting sqref="F21">
    <cfRule type="cellIs" dxfId="4181" priority="275" stopIfTrue="1" operator="lessThan">
      <formula>$E$21</formula>
    </cfRule>
    <cfRule type="cellIs" dxfId="4180" priority="274" stopIfTrue="1" operator="equal">
      <formula>$E$21</formula>
    </cfRule>
  </conditionalFormatting>
  <conditionalFormatting sqref="F22">
    <cfRule type="cellIs" dxfId="4179" priority="277" stopIfTrue="1" operator="lessThan">
      <formula>$E$22</formula>
    </cfRule>
    <cfRule type="cellIs" dxfId="4178" priority="276" stopIfTrue="1" operator="equal">
      <formula>$E$22</formula>
    </cfRule>
  </conditionalFormatting>
  <conditionalFormatting sqref="F23">
    <cfRule type="cellIs" dxfId="4177" priority="279" stopIfTrue="1" operator="lessThan">
      <formula>$E$23</formula>
    </cfRule>
    <cfRule type="cellIs" dxfId="4176" priority="278" stopIfTrue="1" operator="equal">
      <formula>$E$23</formula>
    </cfRule>
  </conditionalFormatting>
  <conditionalFormatting sqref="F24">
    <cfRule type="cellIs" dxfId="4175" priority="383" stopIfTrue="1" operator="lessThan">
      <formula>$E$24</formula>
    </cfRule>
    <cfRule type="cellIs" dxfId="4174" priority="382" stopIfTrue="1" operator="equal">
      <formula>$E$24</formula>
    </cfRule>
  </conditionalFormatting>
  <conditionalFormatting sqref="F25">
    <cfRule type="cellIs" dxfId="4173" priority="281" stopIfTrue="1" operator="lessThan">
      <formula>$E$25</formula>
    </cfRule>
    <cfRule type="cellIs" dxfId="4172" priority="280" stopIfTrue="1" operator="equal">
      <formula>$E$25</formula>
    </cfRule>
  </conditionalFormatting>
  <conditionalFormatting sqref="F26">
    <cfRule type="cellIs" dxfId="4171" priority="283" stopIfTrue="1" operator="lessThan">
      <formula>$E$26</formula>
    </cfRule>
    <cfRule type="cellIs" dxfId="4170" priority="282" stopIfTrue="1" operator="equal">
      <formula>$E$26</formula>
    </cfRule>
  </conditionalFormatting>
  <conditionalFormatting sqref="F27">
    <cfRule type="cellIs" dxfId="4169" priority="284" stopIfTrue="1" operator="equal">
      <formula>$E$27</formula>
    </cfRule>
    <cfRule type="cellIs" dxfId="4168" priority="285" stopIfTrue="1" operator="lessThan">
      <formula>$E$27</formula>
    </cfRule>
  </conditionalFormatting>
  <conditionalFormatting sqref="F28">
    <cfRule type="cellIs" dxfId="4167" priority="287" stopIfTrue="1" operator="lessThan">
      <formula>$E$28</formula>
    </cfRule>
    <cfRule type="cellIs" dxfId="4166" priority="286" stopIfTrue="1" operator="equal">
      <formula>$E$28</formula>
    </cfRule>
  </conditionalFormatting>
  <conditionalFormatting sqref="G4">
    <cfRule type="cellIs" dxfId="4165" priority="121" stopIfTrue="1" operator="equal">
      <formula>$F$4</formula>
    </cfRule>
    <cfRule type="cellIs" dxfId="4164" priority="122" stopIfTrue="1" operator="lessThan">
      <formula>$F$4</formula>
    </cfRule>
  </conditionalFormatting>
  <conditionalFormatting sqref="G5">
    <cfRule type="cellIs" dxfId="4163" priority="129" stopIfTrue="1" operator="equal">
      <formula>$F$5</formula>
    </cfRule>
    <cfRule type="cellIs" dxfId="4162" priority="130" stopIfTrue="1" operator="lessThan">
      <formula>$F$5</formula>
    </cfRule>
  </conditionalFormatting>
  <conditionalFormatting sqref="G6">
    <cfRule type="cellIs" dxfId="4161" priority="139" stopIfTrue="1" operator="lessThan">
      <formula>$F$6</formula>
    </cfRule>
    <cfRule type="cellIs" dxfId="4160" priority="138" stopIfTrue="1" operator="equal">
      <formula>$F$6</formula>
    </cfRule>
  </conditionalFormatting>
  <conditionalFormatting sqref="G7">
    <cfRule type="cellIs" dxfId="4159" priority="153" stopIfTrue="1" operator="lessThan">
      <formula>$F$7</formula>
    </cfRule>
    <cfRule type="cellIs" dxfId="4158" priority="152" stopIfTrue="1" operator="equal">
      <formula>$F$7</formula>
    </cfRule>
  </conditionalFormatting>
  <conditionalFormatting sqref="G8">
    <cfRule type="cellIs" dxfId="4157" priority="165" stopIfTrue="1" operator="lessThan">
      <formula>$F$8</formula>
    </cfRule>
    <cfRule type="cellIs" dxfId="4156" priority="164" stopIfTrue="1" operator="equal">
      <formula>$F$8</formula>
    </cfRule>
  </conditionalFormatting>
  <conditionalFormatting sqref="G9">
    <cfRule type="cellIs" dxfId="4155" priority="178" stopIfTrue="1" operator="equal">
      <formula>$F$9</formula>
    </cfRule>
    <cfRule type="cellIs" dxfId="4154" priority="179" stopIfTrue="1" operator="lessThan">
      <formula>$F$9</formula>
    </cfRule>
  </conditionalFormatting>
  <conditionalFormatting sqref="G10">
    <cfRule type="cellIs" dxfId="4153" priority="192" stopIfTrue="1" operator="equal">
      <formula>$F$10</formula>
    </cfRule>
    <cfRule type="cellIs" dxfId="4152" priority="193" stopIfTrue="1" operator="lessThan">
      <formula>$F$10</formula>
    </cfRule>
  </conditionalFormatting>
  <conditionalFormatting sqref="G11">
    <cfRule type="cellIs" dxfId="4151" priority="207" stopIfTrue="1" operator="lessThan">
      <formula>$F$11</formula>
    </cfRule>
    <cfRule type="cellIs" dxfId="4150" priority="206" stopIfTrue="1" operator="equal">
      <formula>$F$11</formula>
    </cfRule>
  </conditionalFormatting>
  <conditionalFormatting sqref="G12">
    <cfRule type="cellIs" dxfId="4149" priority="220" stopIfTrue="1" operator="equal">
      <formula>$F$12</formula>
    </cfRule>
    <cfRule type="cellIs" dxfId="4148" priority="221" stopIfTrue="1" operator="lessThan">
      <formula>$F$12</formula>
    </cfRule>
  </conditionalFormatting>
  <conditionalFormatting sqref="G13">
    <cfRule type="cellIs" dxfId="4147" priority="288" stopIfTrue="1" operator="equal">
      <formula>$F$13</formula>
    </cfRule>
    <cfRule type="cellIs" dxfId="4146" priority="289" stopIfTrue="1" operator="lessThan">
      <formula>$F$13</formula>
    </cfRule>
  </conditionalFormatting>
  <conditionalFormatting sqref="G14">
    <cfRule type="cellIs" dxfId="4145" priority="291" stopIfTrue="1" operator="lessThan">
      <formula>$F$14</formula>
    </cfRule>
    <cfRule type="cellIs" dxfId="4144" priority="290" stopIfTrue="1" operator="equal">
      <formula>$F$14</formula>
    </cfRule>
  </conditionalFormatting>
  <conditionalFormatting sqref="G15">
    <cfRule type="cellIs" dxfId="4143" priority="292" stopIfTrue="1" operator="equal">
      <formula>$F$15</formula>
    </cfRule>
    <cfRule type="cellIs" dxfId="4142" priority="293" stopIfTrue="1" operator="lessThan">
      <formula>$F$15</formula>
    </cfRule>
  </conditionalFormatting>
  <conditionalFormatting sqref="G16">
    <cfRule type="cellIs" dxfId="4141" priority="294" stopIfTrue="1" operator="equal">
      <formula>$F$16</formula>
    </cfRule>
    <cfRule type="cellIs" dxfId="4140" priority="295" stopIfTrue="1" operator="lessThan">
      <formula>$F$16</formula>
    </cfRule>
  </conditionalFormatting>
  <conditionalFormatting sqref="G17">
    <cfRule type="cellIs" dxfId="4139" priority="296" stopIfTrue="1" operator="equal">
      <formula>$F$17</formula>
    </cfRule>
    <cfRule type="cellIs" dxfId="4138" priority="297" stopIfTrue="1" operator="lessThan">
      <formula>$F$17</formula>
    </cfRule>
  </conditionalFormatting>
  <conditionalFormatting sqref="G18">
    <cfRule type="cellIs" dxfId="4137" priority="298" stopIfTrue="1" operator="equal">
      <formula>$F$18</formula>
    </cfRule>
    <cfRule type="cellIs" dxfId="4136" priority="299" stopIfTrue="1" operator="lessThan">
      <formula>$F$18</formula>
    </cfRule>
  </conditionalFormatting>
  <conditionalFormatting sqref="G19">
    <cfRule type="cellIs" dxfId="4135" priority="301" stopIfTrue="1" operator="lessThan">
      <formula>$F$19</formula>
    </cfRule>
    <cfRule type="cellIs" dxfId="4134" priority="300" stopIfTrue="1" operator="equal">
      <formula>$F$19</formula>
    </cfRule>
  </conditionalFormatting>
  <conditionalFormatting sqref="G20">
    <cfRule type="cellIs" dxfId="4133" priority="302" stopIfTrue="1" operator="equal">
      <formula>$F$20</formula>
    </cfRule>
    <cfRule type="cellIs" dxfId="4132" priority="303" stopIfTrue="1" operator="lessThan">
      <formula>$F$20</formula>
    </cfRule>
  </conditionalFormatting>
  <conditionalFormatting sqref="G21">
    <cfRule type="cellIs" dxfId="4131" priority="304" stopIfTrue="1" operator="equal">
      <formula>$F$21</formula>
    </cfRule>
    <cfRule type="cellIs" dxfId="4130" priority="305" stopIfTrue="1" operator="lessThan">
      <formula>$F$21</formula>
    </cfRule>
  </conditionalFormatting>
  <conditionalFormatting sqref="G22">
    <cfRule type="cellIs" dxfId="4129" priority="306" stopIfTrue="1" operator="equal">
      <formula>$F$22</formula>
    </cfRule>
    <cfRule type="cellIs" dxfId="4128" priority="307" stopIfTrue="1" operator="lessThan">
      <formula>$F$22</formula>
    </cfRule>
  </conditionalFormatting>
  <conditionalFormatting sqref="G23">
    <cfRule type="cellIs" dxfId="4127" priority="309" stopIfTrue="1" operator="lessThan">
      <formula>$F$23</formula>
    </cfRule>
    <cfRule type="cellIs" dxfId="4126" priority="308" stopIfTrue="1" operator="equal">
      <formula>$F$23</formula>
    </cfRule>
  </conditionalFormatting>
  <conditionalFormatting sqref="G24">
    <cfRule type="cellIs" dxfId="4125" priority="385" stopIfTrue="1" operator="lessThan">
      <formula>$F$24</formula>
    </cfRule>
    <cfRule type="cellIs" dxfId="4124" priority="384" stopIfTrue="1" operator="equal">
      <formula>$F$24</formula>
    </cfRule>
  </conditionalFormatting>
  <conditionalFormatting sqref="G25">
    <cfRule type="cellIs" dxfId="4123" priority="311" stopIfTrue="1" operator="lessThan">
      <formula>$F$25</formula>
    </cfRule>
    <cfRule type="cellIs" dxfId="4122" priority="310" stopIfTrue="1" operator="equal">
      <formula>$F$25</formula>
    </cfRule>
  </conditionalFormatting>
  <conditionalFormatting sqref="G26">
    <cfRule type="cellIs" dxfId="4121" priority="313" stopIfTrue="1" operator="lessThan">
      <formula>$F$26</formula>
    </cfRule>
    <cfRule type="cellIs" dxfId="4120" priority="312" stopIfTrue="1" operator="equal">
      <formula>$F$26</formula>
    </cfRule>
  </conditionalFormatting>
  <conditionalFormatting sqref="G27">
    <cfRule type="cellIs" dxfId="4119" priority="315" stopIfTrue="1" operator="lessThan">
      <formula>$F$27</formula>
    </cfRule>
    <cfRule type="cellIs" dxfId="4118" priority="314" stopIfTrue="1" operator="equal">
      <formula>$F$27</formula>
    </cfRule>
  </conditionalFormatting>
  <conditionalFormatting sqref="G28">
    <cfRule type="cellIs" dxfId="4117" priority="317" stopIfTrue="1" operator="lessThan">
      <formula>$F$28</formula>
    </cfRule>
    <cfRule type="cellIs" dxfId="4116" priority="316" stopIfTrue="1" operator="equal">
      <formula>$F$28</formula>
    </cfRule>
  </conditionalFormatting>
  <conditionalFormatting sqref="H4">
    <cfRule type="cellIs" dxfId="4115" priority="394" stopIfTrue="1" operator="equal">
      <formula>$G$4</formula>
    </cfRule>
  </conditionalFormatting>
  <conditionalFormatting sqref="H5">
    <cfRule type="cellIs" dxfId="4114" priority="393" stopIfTrue="1" operator="lessThan">
      <formula>$G$5</formula>
    </cfRule>
    <cfRule type="cellIs" dxfId="4113" priority="392" stopIfTrue="1" operator="equal">
      <formula>$G$5</formula>
    </cfRule>
  </conditionalFormatting>
  <conditionalFormatting sqref="H6">
    <cfRule type="cellIs" dxfId="4112" priority="140" stopIfTrue="1" operator="equal">
      <formula>$G$6</formula>
    </cfRule>
    <cfRule type="cellIs" dxfId="4111" priority="141" stopIfTrue="1" operator="lessThan">
      <formula>$G$6</formula>
    </cfRule>
  </conditionalFormatting>
  <conditionalFormatting sqref="H7">
    <cfRule type="cellIs" dxfId="4110" priority="114" stopIfTrue="1" operator="lessThan">
      <formula>$G$7</formula>
    </cfRule>
    <cfRule type="cellIs" dxfId="4109" priority="113" stopIfTrue="1" operator="equal">
      <formula>$G$7</formula>
    </cfRule>
  </conditionalFormatting>
  <conditionalFormatting sqref="H8">
    <cfRule type="cellIs" dxfId="4108" priority="167" stopIfTrue="1" operator="lessThan">
      <formula>$G$8</formula>
    </cfRule>
    <cfRule type="cellIs" dxfId="4107" priority="166" stopIfTrue="1" operator="equal">
      <formula>$G$8</formula>
    </cfRule>
  </conditionalFormatting>
  <conditionalFormatting sqref="H9">
    <cfRule type="cellIs" dxfId="4106" priority="180" stopIfTrue="1" operator="equal">
      <formula>$G$9</formula>
    </cfRule>
    <cfRule type="cellIs" dxfId="4105" priority="181" stopIfTrue="1" operator="lessThan">
      <formula>$G$9</formula>
    </cfRule>
  </conditionalFormatting>
  <conditionalFormatting sqref="H10">
    <cfRule type="cellIs" dxfId="4104" priority="195" stopIfTrue="1" operator="lessThan">
      <formula>$G$10</formula>
    </cfRule>
    <cfRule type="cellIs" dxfId="4103" priority="194" stopIfTrue="1" operator="equal">
      <formula>$G$10</formula>
    </cfRule>
  </conditionalFormatting>
  <conditionalFormatting sqref="H11">
    <cfRule type="cellIs" dxfId="4102" priority="208" stopIfTrue="1" operator="equal">
      <formula>$G$11</formula>
    </cfRule>
    <cfRule type="cellIs" dxfId="4101" priority="209" stopIfTrue="1" operator="lessThan">
      <formula>$G$11</formula>
    </cfRule>
  </conditionalFormatting>
  <conditionalFormatting sqref="H12">
    <cfRule type="cellIs" dxfId="4100" priority="223" stopIfTrue="1" operator="lessThan">
      <formula>$G$12</formula>
    </cfRule>
    <cfRule type="cellIs" dxfId="4099" priority="222" stopIfTrue="1" operator="equal">
      <formula>$G$12</formula>
    </cfRule>
  </conditionalFormatting>
  <conditionalFormatting sqref="H13">
    <cfRule type="cellIs" dxfId="4098" priority="318" stopIfTrue="1" operator="equal">
      <formula>$G$13</formula>
    </cfRule>
    <cfRule type="cellIs" dxfId="4097" priority="319" stopIfTrue="1" operator="lessThan">
      <formula>$G$13</formula>
    </cfRule>
  </conditionalFormatting>
  <conditionalFormatting sqref="H14">
    <cfRule type="cellIs" dxfId="4096" priority="320" stopIfTrue="1" operator="equal">
      <formula>$G$14</formula>
    </cfRule>
    <cfRule type="cellIs" dxfId="4095" priority="321" stopIfTrue="1" operator="lessThan">
      <formula>$G$14</formula>
    </cfRule>
  </conditionalFormatting>
  <conditionalFormatting sqref="H15">
    <cfRule type="cellIs" dxfId="4094" priority="323" stopIfTrue="1" operator="lessThan">
      <formula>$G$15</formula>
    </cfRule>
    <cfRule type="cellIs" dxfId="4093" priority="322" stopIfTrue="1" operator="equal">
      <formula>$G$15</formula>
    </cfRule>
  </conditionalFormatting>
  <conditionalFormatting sqref="H16">
    <cfRule type="cellIs" dxfId="4092" priority="324" stopIfTrue="1" operator="equal">
      <formula>$G$16</formula>
    </cfRule>
    <cfRule type="cellIs" dxfId="4091" priority="325" stopIfTrue="1" operator="lessThan">
      <formula>$G$16</formula>
    </cfRule>
  </conditionalFormatting>
  <conditionalFormatting sqref="H17">
    <cfRule type="cellIs" dxfId="4090" priority="326" stopIfTrue="1" operator="equal">
      <formula>$G$17</formula>
    </cfRule>
    <cfRule type="cellIs" dxfId="4089" priority="327" stopIfTrue="1" operator="lessThan">
      <formula>$G$17</formula>
    </cfRule>
  </conditionalFormatting>
  <conditionalFormatting sqref="H18">
    <cfRule type="cellIs" dxfId="4088" priority="328" stopIfTrue="1" operator="equal">
      <formula>$G$18</formula>
    </cfRule>
    <cfRule type="cellIs" dxfId="4087" priority="329" stopIfTrue="1" operator="lessThan">
      <formula>$G$18</formula>
    </cfRule>
  </conditionalFormatting>
  <conditionalFormatting sqref="H19">
    <cfRule type="cellIs" dxfId="4086" priority="330" stopIfTrue="1" operator="equal">
      <formula>$G$19</formula>
    </cfRule>
    <cfRule type="cellIs" dxfId="4085" priority="331" stopIfTrue="1" operator="lessThan">
      <formula>$G$19</formula>
    </cfRule>
  </conditionalFormatting>
  <conditionalFormatting sqref="H20">
    <cfRule type="cellIs" dxfId="4084" priority="332" stopIfTrue="1" operator="equal">
      <formula>$G$20</formula>
    </cfRule>
    <cfRule type="cellIs" dxfId="4083" priority="333" stopIfTrue="1" operator="lessThan">
      <formula>$G$20</formula>
    </cfRule>
  </conditionalFormatting>
  <conditionalFormatting sqref="H21">
    <cfRule type="cellIs" dxfId="4082" priority="334" stopIfTrue="1" operator="equal">
      <formula>$G$21</formula>
    </cfRule>
    <cfRule type="cellIs" dxfId="4081" priority="335" stopIfTrue="1" operator="lessThan">
      <formula>$G$21</formula>
    </cfRule>
  </conditionalFormatting>
  <conditionalFormatting sqref="H22">
    <cfRule type="cellIs" dxfId="4080" priority="337" stopIfTrue="1" operator="lessThan">
      <formula>$G$22</formula>
    </cfRule>
    <cfRule type="cellIs" dxfId="4079" priority="336" stopIfTrue="1" operator="equal">
      <formula>$G$22</formula>
    </cfRule>
  </conditionalFormatting>
  <conditionalFormatting sqref="H23">
    <cfRule type="cellIs" dxfId="4078" priority="338" stopIfTrue="1" operator="equal">
      <formula>$G$23</formula>
    </cfRule>
    <cfRule type="cellIs" dxfId="4077" priority="339" stopIfTrue="1" operator="lessThan">
      <formula>$G$23</formula>
    </cfRule>
  </conditionalFormatting>
  <conditionalFormatting sqref="H24">
    <cfRule type="cellIs" dxfId="4076" priority="386" stopIfTrue="1" operator="equal">
      <formula>$G$24</formula>
    </cfRule>
    <cfRule type="cellIs" dxfId="4075" priority="387" stopIfTrue="1" operator="lessThan">
      <formula>$G$24</formula>
    </cfRule>
  </conditionalFormatting>
  <conditionalFormatting sqref="H25">
    <cfRule type="cellIs" dxfId="4074" priority="340" stopIfTrue="1" operator="equal">
      <formula>$G$25</formula>
    </cfRule>
    <cfRule type="cellIs" dxfId="4073" priority="341" stopIfTrue="1" operator="lessThan">
      <formula>$G$25</formula>
    </cfRule>
  </conditionalFormatting>
  <conditionalFormatting sqref="H26">
    <cfRule type="cellIs" dxfId="4072" priority="342" stopIfTrue="1" operator="equal">
      <formula>$G$26</formula>
    </cfRule>
    <cfRule type="cellIs" dxfId="4071" priority="343" stopIfTrue="1" operator="lessThan">
      <formula>$G$26</formula>
    </cfRule>
  </conditionalFormatting>
  <conditionalFormatting sqref="H27">
    <cfRule type="cellIs" dxfId="4070" priority="344" stopIfTrue="1" operator="equal">
      <formula>$G$27</formula>
    </cfRule>
    <cfRule type="cellIs" dxfId="4069" priority="345" stopIfTrue="1" operator="lessThan">
      <formula>$G$27</formula>
    </cfRule>
  </conditionalFormatting>
  <conditionalFormatting sqref="H28">
    <cfRule type="cellIs" dxfId="4068" priority="346" stopIfTrue="1" operator="equal">
      <formula>$G$28</formula>
    </cfRule>
    <cfRule type="cellIs" dxfId="4067" priority="347" stopIfTrue="1" operator="lessThan">
      <formula>$G$28</formula>
    </cfRule>
  </conditionalFormatting>
  <conditionalFormatting sqref="I4">
    <cfRule type="cellIs" dxfId="4066" priority="111" stopIfTrue="1" operator="lessThan">
      <formula>$H$4</formula>
    </cfRule>
    <cfRule type="cellIs" dxfId="4065" priority="112" stopIfTrue="1" operator="equal">
      <formula>$H$4</formula>
    </cfRule>
  </conditionalFormatting>
  <conditionalFormatting sqref="I5">
    <cfRule type="cellIs" dxfId="4064" priority="116" stopIfTrue="1" operator="lessThan">
      <formula>$H$5</formula>
    </cfRule>
    <cfRule type="cellIs" dxfId="4063" priority="115" stopIfTrue="1" operator="equal">
      <formula>$H$5</formula>
    </cfRule>
  </conditionalFormatting>
  <conditionalFormatting sqref="I6">
    <cfRule type="cellIs" dxfId="4062" priority="142" stopIfTrue="1" operator="equal">
      <formula>$H$6</formula>
    </cfRule>
    <cfRule type="cellIs" dxfId="4061" priority="143" stopIfTrue="1" operator="lessThan">
      <formula>$H$6</formula>
    </cfRule>
  </conditionalFormatting>
  <conditionalFormatting sqref="I7">
    <cfRule type="cellIs" dxfId="4060" priority="154" stopIfTrue="1" operator="equal">
      <formula>$H$7</formula>
    </cfRule>
    <cfRule type="cellIs" dxfId="4059" priority="155" stopIfTrue="1" operator="lessThan">
      <formula>$H$7</formula>
    </cfRule>
  </conditionalFormatting>
  <conditionalFormatting sqref="I8">
    <cfRule type="cellIs" dxfId="4058" priority="169" stopIfTrue="1" operator="lessThan">
      <formula>$H$8</formula>
    </cfRule>
    <cfRule type="cellIs" dxfId="4057" priority="168" stopIfTrue="1" operator="equal">
      <formula>$H$8</formula>
    </cfRule>
  </conditionalFormatting>
  <conditionalFormatting sqref="I9">
    <cfRule type="cellIs" dxfId="4056" priority="183" stopIfTrue="1" operator="lessThan">
      <formula>$H$9</formula>
    </cfRule>
    <cfRule type="cellIs" dxfId="4055" priority="182" stopIfTrue="1" operator="equal">
      <formula>$H$9</formula>
    </cfRule>
  </conditionalFormatting>
  <conditionalFormatting sqref="I10">
    <cfRule type="cellIs" dxfId="4054" priority="197" stopIfTrue="1" operator="lessThan">
      <formula>$H$10</formula>
    </cfRule>
    <cfRule type="cellIs" dxfId="4053" priority="196" stopIfTrue="1" operator="equal">
      <formula>$H$10</formula>
    </cfRule>
  </conditionalFormatting>
  <conditionalFormatting sqref="I11">
    <cfRule type="cellIs" dxfId="4052" priority="211" stopIfTrue="1" operator="lessThan">
      <formula>$H$11</formula>
    </cfRule>
    <cfRule type="cellIs" dxfId="4051" priority="210" stopIfTrue="1" operator="equal">
      <formula>$H$11</formula>
    </cfRule>
  </conditionalFormatting>
  <conditionalFormatting sqref="I12">
    <cfRule type="cellIs" dxfId="4050" priority="224" stopIfTrue="1" operator="equal">
      <formula>$H$12</formula>
    </cfRule>
    <cfRule type="cellIs" dxfId="4049" priority="225" stopIfTrue="1" operator="lessThan">
      <formula>$H$12</formula>
    </cfRule>
  </conditionalFormatting>
  <conditionalFormatting sqref="I13">
    <cfRule type="cellIs" dxfId="4048" priority="351" stopIfTrue="1" operator="lessThan">
      <formula>$H$13</formula>
    </cfRule>
    <cfRule type="cellIs" dxfId="4047" priority="350" stopIfTrue="1" operator="equal">
      <formula>$H$13</formula>
    </cfRule>
  </conditionalFormatting>
  <conditionalFormatting sqref="I14">
    <cfRule type="cellIs" dxfId="4046" priority="353" stopIfTrue="1" operator="lessThan">
      <formula>$H$14</formula>
    </cfRule>
    <cfRule type="cellIs" dxfId="4045" priority="352" stopIfTrue="1" operator="equal">
      <formula>$H$14</formula>
    </cfRule>
  </conditionalFormatting>
  <conditionalFormatting sqref="I15">
    <cfRule type="cellIs" dxfId="4044" priority="354" stopIfTrue="1" operator="equal">
      <formula>$H$15</formula>
    </cfRule>
    <cfRule type="cellIs" dxfId="4043" priority="355" stopIfTrue="1" operator="lessThan">
      <formula>$H$15</formula>
    </cfRule>
  </conditionalFormatting>
  <conditionalFormatting sqref="I16">
    <cfRule type="cellIs" dxfId="4042" priority="357" stopIfTrue="1" operator="lessThan">
      <formula>$H$16</formula>
    </cfRule>
    <cfRule type="cellIs" dxfId="4041" priority="356" stopIfTrue="1" operator="equal">
      <formula>$H$16</formula>
    </cfRule>
  </conditionalFormatting>
  <conditionalFormatting sqref="I17">
    <cfRule type="cellIs" dxfId="4040" priority="358" stopIfTrue="1" operator="equal">
      <formula>$H$17</formula>
    </cfRule>
    <cfRule type="cellIs" dxfId="4039" priority="359" stopIfTrue="1" operator="lessThan">
      <formula>$H$17</formula>
    </cfRule>
  </conditionalFormatting>
  <conditionalFormatting sqref="I18">
    <cfRule type="cellIs" dxfId="4038" priority="361" stopIfTrue="1" operator="lessThan">
      <formula>$H$18</formula>
    </cfRule>
    <cfRule type="cellIs" dxfId="4037" priority="360" stopIfTrue="1" operator="equal">
      <formula>$H$18</formula>
    </cfRule>
  </conditionalFormatting>
  <conditionalFormatting sqref="I19">
    <cfRule type="cellIs" dxfId="4036" priority="363" stopIfTrue="1" operator="lessThan">
      <formula>$H$19</formula>
    </cfRule>
    <cfRule type="cellIs" dxfId="4035" priority="362" stopIfTrue="1" operator="equal">
      <formula>$H$19</formula>
    </cfRule>
  </conditionalFormatting>
  <conditionalFormatting sqref="I20">
    <cfRule type="cellIs" dxfId="4034" priority="365" stopIfTrue="1" operator="lessThan">
      <formula>$H$20</formula>
    </cfRule>
    <cfRule type="cellIs" dxfId="4033" priority="364" stopIfTrue="1" operator="equal">
      <formula>$H$20</formula>
    </cfRule>
  </conditionalFormatting>
  <conditionalFormatting sqref="I21">
    <cfRule type="cellIs" dxfId="4032" priority="366" stopIfTrue="1" operator="equal">
      <formula>$H$21</formula>
    </cfRule>
    <cfRule type="cellIs" dxfId="4031" priority="367" stopIfTrue="1" operator="lessThan">
      <formula>$H$21</formula>
    </cfRule>
  </conditionalFormatting>
  <conditionalFormatting sqref="I22">
    <cfRule type="cellIs" dxfId="4030" priority="369" stopIfTrue="1" operator="lessThan">
      <formula>$H$22</formula>
    </cfRule>
    <cfRule type="cellIs" dxfId="4029" priority="368" stopIfTrue="1" operator="equal">
      <formula>$H$22</formula>
    </cfRule>
  </conditionalFormatting>
  <conditionalFormatting sqref="I23">
    <cfRule type="cellIs" dxfId="4028" priority="371" stopIfTrue="1" operator="lessThan">
      <formula>$H$23</formula>
    </cfRule>
    <cfRule type="cellIs" dxfId="4027" priority="370" stopIfTrue="1" operator="equal">
      <formula>$H$23</formula>
    </cfRule>
  </conditionalFormatting>
  <conditionalFormatting sqref="I24">
    <cfRule type="cellIs" dxfId="4026" priority="388" stopIfTrue="1" operator="equal">
      <formula>$H$24</formula>
    </cfRule>
    <cfRule type="cellIs" dxfId="4025" priority="389" stopIfTrue="1" operator="lessThan">
      <formula>$H$24</formula>
    </cfRule>
  </conditionalFormatting>
  <conditionalFormatting sqref="I25">
    <cfRule type="cellIs" dxfId="4024" priority="373" stopIfTrue="1" operator="lessThan">
      <formula>$H$25</formula>
    </cfRule>
    <cfRule type="cellIs" dxfId="4023" priority="372" stopIfTrue="1" operator="equal">
      <formula>$H$25</formula>
    </cfRule>
  </conditionalFormatting>
  <conditionalFormatting sqref="I26">
    <cfRule type="cellIs" dxfId="4022" priority="375" stopIfTrue="1" operator="lessThan">
      <formula>$H$26</formula>
    </cfRule>
    <cfRule type="cellIs" dxfId="4021" priority="374" stopIfTrue="1" operator="equal">
      <formula>$H$26</formula>
    </cfRule>
  </conditionalFormatting>
  <conditionalFormatting sqref="I27">
    <cfRule type="cellIs" dxfId="4020" priority="377" stopIfTrue="1" operator="lessThan">
      <formula>$H$27</formula>
    </cfRule>
    <cfRule type="cellIs" dxfId="4019" priority="376" stopIfTrue="1" operator="equal">
      <formula>$H$27</formula>
    </cfRule>
  </conditionalFormatting>
  <conditionalFormatting sqref="I28">
    <cfRule type="cellIs" dxfId="4018" priority="378" stopIfTrue="1" operator="equal">
      <formula>$H$28</formula>
    </cfRule>
    <cfRule type="cellIs" dxfId="4017" priority="379" stopIfTrue="1" operator="lessThan">
      <formula>$H$28</formula>
    </cfRule>
  </conditionalFormatting>
  <conditionalFormatting sqref="J4">
    <cfRule type="cellIs" dxfId="4016" priority="131" stopIfTrue="1" operator="equal">
      <formula>$I$4</formula>
    </cfRule>
  </conditionalFormatting>
  <conditionalFormatting sqref="J5">
    <cfRule type="cellIs" dxfId="4015" priority="118" stopIfTrue="1" operator="lessThan">
      <formula>$I$5</formula>
    </cfRule>
    <cfRule type="cellIs" dxfId="4014" priority="117" stopIfTrue="1" operator="equal">
      <formula>$I$5</formula>
    </cfRule>
  </conditionalFormatting>
  <conditionalFormatting sqref="J6">
    <cfRule type="cellIs" dxfId="4013" priority="144" stopIfTrue="1" operator="equal">
      <formula>$I$6</formula>
    </cfRule>
    <cfRule type="cellIs" dxfId="4012" priority="145" stopIfTrue="1" operator="lessThan">
      <formula>$I$6</formula>
    </cfRule>
  </conditionalFormatting>
  <conditionalFormatting sqref="J7">
    <cfRule type="cellIs" dxfId="4011" priority="156" stopIfTrue="1" operator="equal">
      <formula>$I$7</formula>
    </cfRule>
    <cfRule type="cellIs" dxfId="4010" priority="157" stopIfTrue="1" operator="lessThan">
      <formula>$I$7</formula>
    </cfRule>
  </conditionalFormatting>
  <conditionalFormatting sqref="J8">
    <cfRule type="cellIs" dxfId="4009" priority="170" stopIfTrue="1" operator="equal">
      <formula>$I$8</formula>
    </cfRule>
    <cfRule type="cellIs" dxfId="4008" priority="171" stopIfTrue="1" operator="lessThan">
      <formula>$I$8</formula>
    </cfRule>
  </conditionalFormatting>
  <conditionalFormatting sqref="J9">
    <cfRule type="cellIs" dxfId="4007" priority="184" stopIfTrue="1" operator="equal">
      <formula>$I$9</formula>
    </cfRule>
    <cfRule type="cellIs" dxfId="4006" priority="185" stopIfTrue="1" operator="lessThan">
      <formula>$I$9</formula>
    </cfRule>
  </conditionalFormatting>
  <conditionalFormatting sqref="J10">
    <cfRule type="cellIs" dxfId="4005" priority="198" stopIfTrue="1" operator="equal">
      <formula>$I$10</formula>
    </cfRule>
    <cfRule type="cellIs" dxfId="4004" priority="199" stopIfTrue="1" operator="lessThan">
      <formula>$I$10</formula>
    </cfRule>
  </conditionalFormatting>
  <conditionalFormatting sqref="J11">
    <cfRule type="cellIs" dxfId="4003" priority="212" stopIfTrue="1" operator="equal">
      <formula>$I$11</formula>
    </cfRule>
    <cfRule type="cellIs" dxfId="4002" priority="213" stopIfTrue="1" operator="lessThan">
      <formula>$I$11</formula>
    </cfRule>
  </conditionalFormatting>
  <conditionalFormatting sqref="J12">
    <cfRule type="cellIs" dxfId="4001" priority="227" stopIfTrue="1" operator="lessThan">
      <formula>$I$12</formula>
    </cfRule>
    <cfRule type="cellIs" dxfId="4000" priority="226" stopIfTrue="1" operator="equal">
      <formula>$I$12</formula>
    </cfRule>
  </conditionalFormatting>
  <conditionalFormatting sqref="J13">
    <cfRule type="cellIs" dxfId="3999" priority="397" stopIfTrue="1" operator="lessThan">
      <formula>$I$13</formula>
    </cfRule>
    <cfRule type="cellIs" dxfId="3998" priority="396" stopIfTrue="1" operator="equal">
      <formula>$I$13</formula>
    </cfRule>
  </conditionalFormatting>
  <conditionalFormatting sqref="J14">
    <cfRule type="cellIs" dxfId="3997" priority="399" stopIfTrue="1" operator="lessThan">
      <formula>$I$14</formula>
    </cfRule>
    <cfRule type="cellIs" dxfId="3996" priority="398" stopIfTrue="1" operator="equal">
      <formula>$I$14</formula>
    </cfRule>
  </conditionalFormatting>
  <conditionalFormatting sqref="J15">
    <cfRule type="cellIs" dxfId="3995" priority="400" stopIfTrue="1" operator="equal">
      <formula>$I$15</formula>
    </cfRule>
    <cfRule type="cellIs" dxfId="3994" priority="401" stopIfTrue="1" operator="lessThan">
      <formula>$I$15</formula>
    </cfRule>
  </conditionalFormatting>
  <conditionalFormatting sqref="J16">
    <cfRule type="cellIs" dxfId="3993" priority="403" stopIfTrue="1" operator="lessThan">
      <formula>$I$16</formula>
    </cfRule>
    <cfRule type="cellIs" dxfId="3992" priority="402" stopIfTrue="1" operator="equal">
      <formula>$I$16</formula>
    </cfRule>
  </conditionalFormatting>
  <conditionalFormatting sqref="J17">
    <cfRule type="cellIs" dxfId="3991" priority="405" stopIfTrue="1" operator="lessThan">
      <formula>$I$17</formula>
    </cfRule>
    <cfRule type="cellIs" dxfId="3990" priority="404" stopIfTrue="1" operator="equal">
      <formula>$I$17</formula>
    </cfRule>
  </conditionalFormatting>
  <conditionalFormatting sqref="J18">
    <cfRule type="cellIs" dxfId="3989" priority="406" stopIfTrue="1" operator="equal">
      <formula>$I$18</formula>
    </cfRule>
    <cfRule type="cellIs" dxfId="3988" priority="407" stopIfTrue="1" operator="lessThan">
      <formula>$I$18</formula>
    </cfRule>
  </conditionalFormatting>
  <conditionalFormatting sqref="J19">
    <cfRule type="cellIs" dxfId="3987" priority="409" stopIfTrue="1" operator="lessThan">
      <formula>$I$19</formula>
    </cfRule>
    <cfRule type="cellIs" dxfId="3986" priority="408" stopIfTrue="1" operator="equal">
      <formula>$I$19</formula>
    </cfRule>
  </conditionalFormatting>
  <conditionalFormatting sqref="J20">
    <cfRule type="cellIs" dxfId="3985" priority="410" stopIfTrue="1" operator="equal">
      <formula>$I$20</formula>
    </cfRule>
    <cfRule type="cellIs" dxfId="3984" priority="411" stopIfTrue="1" operator="lessThan">
      <formula>$I$20</formula>
    </cfRule>
  </conditionalFormatting>
  <conditionalFormatting sqref="J21">
    <cfRule type="cellIs" dxfId="3983" priority="413" stopIfTrue="1" operator="lessThan">
      <formula>$I$21</formula>
    </cfRule>
    <cfRule type="cellIs" dxfId="3982" priority="412" stopIfTrue="1" operator="equal">
      <formula>$I$21</formula>
    </cfRule>
  </conditionalFormatting>
  <conditionalFormatting sqref="J22">
    <cfRule type="cellIs" dxfId="3981" priority="415" stopIfTrue="1" operator="lessThan">
      <formula>$I$22</formula>
    </cfRule>
    <cfRule type="cellIs" dxfId="3980" priority="414" stopIfTrue="1" operator="equal">
      <formula>$I$22</formula>
    </cfRule>
  </conditionalFormatting>
  <conditionalFormatting sqref="J23">
    <cfRule type="cellIs" dxfId="3979" priority="417" stopIfTrue="1" operator="lessThan">
      <formula>$I$23</formula>
    </cfRule>
    <cfRule type="cellIs" dxfId="3978" priority="416" stopIfTrue="1" operator="equal">
      <formula>$I$23</formula>
    </cfRule>
  </conditionalFormatting>
  <conditionalFormatting sqref="J24">
    <cfRule type="cellIs" dxfId="3977" priority="419" stopIfTrue="1" operator="lessThan">
      <formula>$I$24</formula>
    </cfRule>
    <cfRule type="cellIs" dxfId="3976" priority="418" stopIfTrue="1" operator="equal">
      <formula>$I$24</formula>
    </cfRule>
  </conditionalFormatting>
  <conditionalFormatting sqref="J25">
    <cfRule type="cellIs" dxfId="3975" priority="421" stopIfTrue="1" operator="lessThan">
      <formula>$I$25</formula>
    </cfRule>
    <cfRule type="cellIs" dxfId="3974" priority="420" stopIfTrue="1" operator="equal">
      <formula>$I$25</formula>
    </cfRule>
  </conditionalFormatting>
  <conditionalFormatting sqref="J26">
    <cfRule type="cellIs" dxfId="3973" priority="423" stopIfTrue="1" operator="lessThan">
      <formula>$I$26</formula>
    </cfRule>
    <cfRule type="cellIs" dxfId="3972" priority="422" stopIfTrue="1" operator="equal">
      <formula>$I$26</formula>
    </cfRule>
  </conditionalFormatting>
  <conditionalFormatting sqref="J27">
    <cfRule type="cellIs" dxfId="3971" priority="425" stopIfTrue="1" operator="lessThan">
      <formula>$I$27</formula>
    </cfRule>
    <cfRule type="cellIs" dxfId="3970" priority="424" stopIfTrue="1" operator="equal">
      <formula>$I$27</formula>
    </cfRule>
  </conditionalFormatting>
  <conditionalFormatting sqref="J28">
    <cfRule type="cellIs" dxfId="3969" priority="427" stopIfTrue="1" operator="equal">
      <formula>$I$28</formula>
    </cfRule>
    <cfRule type="cellIs" dxfId="3968" priority="428" stopIfTrue="1" operator="lessThan">
      <formula>$I$28</formula>
    </cfRule>
  </conditionalFormatting>
  <conditionalFormatting sqref="K4">
    <cfRule type="cellIs" dxfId="3967" priority="132" stopIfTrue="1" operator="lessThan">
      <formula>$J$4</formula>
    </cfRule>
    <cfRule type="cellIs" dxfId="3966" priority="133" stopIfTrue="1" operator="equal">
      <formula>$J$4</formula>
    </cfRule>
  </conditionalFormatting>
  <conditionalFormatting sqref="K5">
    <cfRule type="cellIs" dxfId="3965" priority="120" stopIfTrue="1" operator="lessThan">
      <formula>$J$5</formula>
    </cfRule>
    <cfRule type="cellIs" dxfId="3964" priority="119" stopIfTrue="1" operator="equal">
      <formula>$J$5</formula>
    </cfRule>
  </conditionalFormatting>
  <conditionalFormatting sqref="K6">
    <cfRule type="cellIs" dxfId="3963" priority="147" stopIfTrue="1" operator="lessThan">
      <formula>$J$6</formula>
    </cfRule>
    <cfRule type="cellIs" dxfId="3962" priority="146" stopIfTrue="1" operator="equal">
      <formula>$J$6</formula>
    </cfRule>
  </conditionalFormatting>
  <conditionalFormatting sqref="K7">
    <cfRule type="cellIs" dxfId="3961" priority="159" stopIfTrue="1" operator="lessThan">
      <formula>$J$7</formula>
    </cfRule>
    <cfRule type="cellIs" dxfId="3960" priority="158" stopIfTrue="1" operator="equal">
      <formula>$J$7</formula>
    </cfRule>
  </conditionalFormatting>
  <conditionalFormatting sqref="K8">
    <cfRule type="cellIs" dxfId="3959" priority="173" stopIfTrue="1" operator="lessThan">
      <formula>$J$8</formula>
    </cfRule>
    <cfRule type="cellIs" dxfId="3958" priority="172" stopIfTrue="1" operator="equal">
      <formula>$J$8</formula>
    </cfRule>
  </conditionalFormatting>
  <conditionalFormatting sqref="K9">
    <cfRule type="cellIs" dxfId="3957" priority="187" stopIfTrue="1" operator="lessThan">
      <formula>$J$9</formula>
    </cfRule>
    <cfRule type="cellIs" dxfId="3956" priority="186" stopIfTrue="1" operator="equal">
      <formula>$J$9</formula>
    </cfRule>
  </conditionalFormatting>
  <conditionalFormatting sqref="K10">
    <cfRule type="cellIs" dxfId="3955" priority="201" stopIfTrue="1" operator="lessThan">
      <formula>$J$10</formula>
    </cfRule>
    <cfRule type="cellIs" dxfId="3954" priority="200" stopIfTrue="1" operator="equal">
      <formula>$J$10</formula>
    </cfRule>
  </conditionalFormatting>
  <conditionalFormatting sqref="K11">
    <cfRule type="cellIs" dxfId="3953" priority="215" stopIfTrue="1" operator="lessThan">
      <formula>$J$11</formula>
    </cfRule>
    <cfRule type="cellIs" dxfId="3952" priority="214" stopIfTrue="1" operator="equal">
      <formula>$J$11</formula>
    </cfRule>
  </conditionalFormatting>
  <conditionalFormatting sqref="K12">
    <cfRule type="cellIs" dxfId="3951" priority="228" stopIfTrue="1" operator="equal">
      <formula>$J$12</formula>
    </cfRule>
    <cfRule type="cellIs" dxfId="3950" priority="229" stopIfTrue="1" operator="lessThan">
      <formula>$J$12</formula>
    </cfRule>
  </conditionalFormatting>
  <conditionalFormatting sqref="K13">
    <cfRule type="cellIs" dxfId="3949" priority="432" stopIfTrue="1" operator="lessThan">
      <formula>$J$13</formula>
    </cfRule>
    <cfRule type="cellIs" dxfId="3948" priority="431" stopIfTrue="1" operator="equal">
      <formula>$J$13</formula>
    </cfRule>
  </conditionalFormatting>
  <conditionalFormatting sqref="K14">
    <cfRule type="cellIs" dxfId="3947" priority="434" stopIfTrue="1" operator="lessThan">
      <formula>$J$14</formula>
    </cfRule>
    <cfRule type="cellIs" dxfId="3946" priority="433" stopIfTrue="1" operator="equal">
      <formula>$J$14</formula>
    </cfRule>
  </conditionalFormatting>
  <conditionalFormatting sqref="K15">
    <cfRule type="cellIs" dxfId="3945" priority="435" stopIfTrue="1" operator="equal">
      <formula>$J$15</formula>
    </cfRule>
    <cfRule type="cellIs" dxfId="3944" priority="436" stopIfTrue="1" operator="lessThan">
      <formula>$J$15</formula>
    </cfRule>
  </conditionalFormatting>
  <conditionalFormatting sqref="K16">
    <cfRule type="cellIs" dxfId="3943" priority="437" stopIfTrue="1" operator="equal">
      <formula>$J$16</formula>
    </cfRule>
    <cfRule type="cellIs" dxfId="3942" priority="438" stopIfTrue="1" operator="lessThan">
      <formula>$J$16</formula>
    </cfRule>
  </conditionalFormatting>
  <conditionalFormatting sqref="K17">
    <cfRule type="cellIs" dxfId="3941" priority="439" stopIfTrue="1" operator="equal">
      <formula>$J$17</formula>
    </cfRule>
    <cfRule type="cellIs" dxfId="3940" priority="440" stopIfTrue="1" operator="lessThan">
      <formula>$J$17</formula>
    </cfRule>
  </conditionalFormatting>
  <conditionalFormatting sqref="K18">
    <cfRule type="cellIs" dxfId="3939" priority="441" stopIfTrue="1" operator="equal">
      <formula>$J$18</formula>
    </cfRule>
    <cfRule type="cellIs" dxfId="3938" priority="442" stopIfTrue="1" operator="lessThan">
      <formula>$J$18</formula>
    </cfRule>
  </conditionalFormatting>
  <conditionalFormatting sqref="K19">
    <cfRule type="cellIs" dxfId="3937" priority="443" stopIfTrue="1" operator="equal">
      <formula>$J$19</formula>
    </cfRule>
    <cfRule type="cellIs" dxfId="3936" priority="444" stopIfTrue="1" operator="lessThan">
      <formula>$J$19</formula>
    </cfRule>
  </conditionalFormatting>
  <conditionalFormatting sqref="K20">
    <cfRule type="cellIs" dxfId="3935" priority="445" stopIfTrue="1" operator="equal">
      <formula>$J$20</formula>
    </cfRule>
    <cfRule type="cellIs" dxfId="3934" priority="446" stopIfTrue="1" operator="lessThan">
      <formula>$J$20</formula>
    </cfRule>
  </conditionalFormatting>
  <conditionalFormatting sqref="K21">
    <cfRule type="cellIs" dxfId="3933" priority="447" stopIfTrue="1" operator="equal">
      <formula>$J$21</formula>
    </cfRule>
    <cfRule type="cellIs" dxfId="3932" priority="448" stopIfTrue="1" operator="lessThan">
      <formula>$J$21</formula>
    </cfRule>
  </conditionalFormatting>
  <conditionalFormatting sqref="K22">
    <cfRule type="cellIs" dxfId="3931" priority="449" stopIfTrue="1" operator="equal">
      <formula>$J$22</formula>
    </cfRule>
    <cfRule type="cellIs" dxfId="3930" priority="450" stopIfTrue="1" operator="lessThan">
      <formula>$J$22</formula>
    </cfRule>
  </conditionalFormatting>
  <conditionalFormatting sqref="K23">
    <cfRule type="cellIs" dxfId="3929" priority="452" stopIfTrue="1" operator="lessThan">
      <formula>$J$23</formula>
    </cfRule>
    <cfRule type="cellIs" dxfId="3928" priority="451" stopIfTrue="1" operator="equal">
      <formula>$J$23</formula>
    </cfRule>
  </conditionalFormatting>
  <conditionalFormatting sqref="K24">
    <cfRule type="cellIs" dxfId="3927" priority="453" stopIfTrue="1" operator="equal">
      <formula>$J$24</formula>
    </cfRule>
    <cfRule type="cellIs" dxfId="3926" priority="454" stopIfTrue="1" operator="lessThan">
      <formula>$J$24</formula>
    </cfRule>
  </conditionalFormatting>
  <conditionalFormatting sqref="K25">
    <cfRule type="cellIs" dxfId="3925" priority="455" stopIfTrue="1" operator="equal">
      <formula>$J$25</formula>
    </cfRule>
    <cfRule type="cellIs" dxfId="3924" priority="456" stopIfTrue="1" operator="lessThan">
      <formula>$J$25</formula>
    </cfRule>
  </conditionalFormatting>
  <conditionalFormatting sqref="K26">
    <cfRule type="cellIs" dxfId="3923" priority="457" stopIfTrue="1" operator="equal">
      <formula>$J$26</formula>
    </cfRule>
    <cfRule type="cellIs" dxfId="3922" priority="458" stopIfTrue="1" operator="lessThan">
      <formula>$J$26</formula>
    </cfRule>
  </conditionalFormatting>
  <conditionalFormatting sqref="K27">
    <cfRule type="cellIs" dxfId="3921" priority="459" stopIfTrue="1" operator="equal">
      <formula>$J$27</formula>
    </cfRule>
    <cfRule type="cellIs" dxfId="3920" priority="460" stopIfTrue="1" operator="lessThan">
      <formula>$J$27</formula>
    </cfRule>
  </conditionalFormatting>
  <conditionalFormatting sqref="K28">
    <cfRule type="cellIs" dxfId="3919" priority="461" stopIfTrue="1" operator="equal">
      <formula>$J$28</formula>
    </cfRule>
    <cfRule type="cellIs" dxfId="3918" priority="462" stopIfTrue="1" operator="lessThan">
      <formula>$J$28</formula>
    </cfRule>
  </conditionalFormatting>
  <conditionalFormatting sqref="L4">
    <cfRule type="cellIs" dxfId="3917" priority="463" stopIfTrue="1" operator="equal">
      <formula>$K$4</formula>
    </cfRule>
    <cfRule type="cellIs" dxfId="3916" priority="464" stopIfTrue="1" operator="lessThan">
      <formula>$K$4</formula>
    </cfRule>
  </conditionalFormatting>
  <conditionalFormatting sqref="L5">
    <cfRule type="cellIs" dxfId="3915" priority="465" stopIfTrue="1" operator="equal">
      <formula>$K$5</formula>
    </cfRule>
    <cfRule type="cellIs" dxfId="3914" priority="466" stopIfTrue="1" operator="lessThan">
      <formula>$K$5</formula>
    </cfRule>
  </conditionalFormatting>
  <conditionalFormatting sqref="L6">
    <cfRule type="cellIs" dxfId="3913" priority="467" stopIfTrue="1" operator="equal">
      <formula>$K$6</formula>
    </cfRule>
    <cfRule type="cellIs" dxfId="3912" priority="468" stopIfTrue="1" operator="lessThan">
      <formula>$K$6</formula>
    </cfRule>
  </conditionalFormatting>
  <conditionalFormatting sqref="L7">
    <cfRule type="cellIs" dxfId="3911" priority="469" stopIfTrue="1" operator="equal">
      <formula>$K$7</formula>
    </cfRule>
    <cfRule type="cellIs" dxfId="3910" priority="470" stopIfTrue="1" operator="lessThan">
      <formula>$K$7</formula>
    </cfRule>
  </conditionalFormatting>
  <conditionalFormatting sqref="L8">
    <cfRule type="cellIs" dxfId="3909" priority="472" stopIfTrue="1" operator="lessThan">
      <formula>$K$8</formula>
    </cfRule>
    <cfRule type="cellIs" dxfId="3908" priority="471" stopIfTrue="1" operator="equal">
      <formula>$K$8</formula>
    </cfRule>
  </conditionalFormatting>
  <conditionalFormatting sqref="L9">
    <cfRule type="cellIs" dxfId="3907" priority="474" stopIfTrue="1" operator="lessThan">
      <formula>$K$9</formula>
    </cfRule>
    <cfRule type="cellIs" dxfId="3906" priority="473" stopIfTrue="1" operator="equal">
      <formula>$K$9</formula>
    </cfRule>
  </conditionalFormatting>
  <conditionalFormatting sqref="L10">
    <cfRule type="cellIs" dxfId="3905" priority="475" stopIfTrue="1" operator="equal">
      <formula>$K$10</formula>
    </cfRule>
    <cfRule type="cellIs" dxfId="3904" priority="476" stopIfTrue="1" operator="lessThan">
      <formula>$K$10</formula>
    </cfRule>
  </conditionalFormatting>
  <conditionalFormatting sqref="L11">
    <cfRule type="cellIs" dxfId="3903" priority="477" stopIfTrue="1" operator="equal">
      <formula>$K$11</formula>
    </cfRule>
    <cfRule type="cellIs" dxfId="3902" priority="478" stopIfTrue="1" operator="lessThan">
      <formula>$K$11</formula>
    </cfRule>
  </conditionalFormatting>
  <conditionalFormatting sqref="L12">
    <cfRule type="cellIs" dxfId="3901" priority="479" stopIfTrue="1" operator="equal">
      <formula>$K$12</formula>
    </cfRule>
    <cfRule type="cellIs" dxfId="3900" priority="480" stopIfTrue="1" operator="lessThan">
      <formula>$K$12</formula>
    </cfRule>
  </conditionalFormatting>
  <conditionalFormatting sqref="L13">
    <cfRule type="cellIs" dxfId="3899" priority="481" stopIfTrue="1" operator="equal">
      <formula>$K$13</formula>
    </cfRule>
    <cfRule type="cellIs" dxfId="3898" priority="482" stopIfTrue="1" operator="lessThan">
      <formula>$K$13</formula>
    </cfRule>
  </conditionalFormatting>
  <conditionalFormatting sqref="L14">
    <cfRule type="cellIs" dxfId="3897" priority="483" stopIfTrue="1" operator="equal">
      <formula>$K$14</formula>
    </cfRule>
    <cfRule type="cellIs" dxfId="3896" priority="484" stopIfTrue="1" operator="lessThan">
      <formula>$K$14</formula>
    </cfRule>
  </conditionalFormatting>
  <conditionalFormatting sqref="L15">
    <cfRule type="cellIs" dxfId="3895" priority="485" stopIfTrue="1" operator="equal">
      <formula>$K$15</formula>
    </cfRule>
    <cfRule type="cellIs" dxfId="3894" priority="486" stopIfTrue="1" operator="lessThan">
      <formula>$K$15</formula>
    </cfRule>
  </conditionalFormatting>
  <conditionalFormatting sqref="L16">
    <cfRule type="cellIs" dxfId="3893" priority="487" stopIfTrue="1" operator="equal">
      <formula>$K$16</formula>
    </cfRule>
    <cfRule type="cellIs" dxfId="3892" priority="488" stopIfTrue="1" operator="lessThan">
      <formula>$K$16</formula>
    </cfRule>
  </conditionalFormatting>
  <conditionalFormatting sqref="L17">
    <cfRule type="cellIs" dxfId="3891" priority="489" stopIfTrue="1" operator="equal">
      <formula>$K$17</formula>
    </cfRule>
    <cfRule type="cellIs" dxfId="3890" priority="490" stopIfTrue="1" operator="lessThan">
      <formula>$K$17</formula>
    </cfRule>
  </conditionalFormatting>
  <conditionalFormatting sqref="L18">
    <cfRule type="cellIs" dxfId="3889" priority="492" stopIfTrue="1" operator="lessThan">
      <formula>$K$18</formula>
    </cfRule>
    <cfRule type="cellIs" dxfId="3888" priority="491" stopIfTrue="1" operator="equal">
      <formula>$K$18</formula>
    </cfRule>
  </conditionalFormatting>
  <conditionalFormatting sqref="L19">
    <cfRule type="cellIs" dxfId="3887" priority="494" stopIfTrue="1" operator="lessThan">
      <formula>$K$19</formula>
    </cfRule>
    <cfRule type="cellIs" dxfId="3886" priority="493" stopIfTrue="1" operator="equal">
      <formula>$K$19</formula>
    </cfRule>
  </conditionalFormatting>
  <conditionalFormatting sqref="L20">
    <cfRule type="cellIs" dxfId="3885" priority="495" stopIfTrue="1" operator="equal">
      <formula>$K$20</formula>
    </cfRule>
    <cfRule type="cellIs" dxfId="3884" priority="496" stopIfTrue="1" operator="lessThan">
      <formula>$K$20</formula>
    </cfRule>
  </conditionalFormatting>
  <conditionalFormatting sqref="L21">
    <cfRule type="cellIs" dxfId="3883" priority="497" stopIfTrue="1" operator="equal">
      <formula>$K$21</formula>
    </cfRule>
    <cfRule type="cellIs" dxfId="3882" priority="498" stopIfTrue="1" operator="lessThan">
      <formula>$K$21</formula>
    </cfRule>
  </conditionalFormatting>
  <conditionalFormatting sqref="L22">
    <cfRule type="cellIs" dxfId="3881" priority="499" stopIfTrue="1" operator="equal">
      <formula>$K$22</formula>
    </cfRule>
    <cfRule type="cellIs" dxfId="3880" priority="500" stopIfTrue="1" operator="lessThan">
      <formula>$K$22</formula>
    </cfRule>
  </conditionalFormatting>
  <conditionalFormatting sqref="L23">
    <cfRule type="cellIs" dxfId="3879" priority="501" stopIfTrue="1" operator="equal">
      <formula>$K$23</formula>
    </cfRule>
    <cfRule type="cellIs" dxfId="3878" priority="502" stopIfTrue="1" operator="lessThan">
      <formula>$K$23</formula>
    </cfRule>
  </conditionalFormatting>
  <conditionalFormatting sqref="L24">
    <cfRule type="cellIs" dxfId="3877" priority="503" stopIfTrue="1" operator="equal">
      <formula>$K$24</formula>
    </cfRule>
    <cfRule type="cellIs" dxfId="3876" priority="504" stopIfTrue="1" operator="lessThan">
      <formula>$K$24</formula>
    </cfRule>
  </conditionalFormatting>
  <conditionalFormatting sqref="L25">
    <cfRule type="cellIs" dxfId="3875" priority="505" stopIfTrue="1" operator="equal">
      <formula>$K$25</formula>
    </cfRule>
    <cfRule type="cellIs" dxfId="3874" priority="506" stopIfTrue="1" operator="lessThan">
      <formula>$K$25</formula>
    </cfRule>
  </conditionalFormatting>
  <conditionalFormatting sqref="L26">
    <cfRule type="cellIs" dxfId="3873" priority="507" stopIfTrue="1" operator="equal">
      <formula>$K$26</formula>
    </cfRule>
    <cfRule type="cellIs" dxfId="3872" priority="508" stopIfTrue="1" operator="lessThan">
      <formula>$K$26</formula>
    </cfRule>
  </conditionalFormatting>
  <conditionalFormatting sqref="L27">
    <cfRule type="cellIs" dxfId="3871" priority="509" stopIfTrue="1" operator="equal">
      <formula>$K$27</formula>
    </cfRule>
    <cfRule type="cellIs" dxfId="3870" priority="510" stopIfTrue="1" operator="lessThan">
      <formula>$K$27</formula>
    </cfRule>
  </conditionalFormatting>
  <conditionalFormatting sqref="L28">
    <cfRule type="cellIs" dxfId="3869" priority="512" stopIfTrue="1" operator="equal">
      <formula>$K$28</formula>
    </cfRule>
    <cfRule type="cellIs" dxfId="3868" priority="511" stopIfTrue="1" operator="lessThan">
      <formula>$K$28</formula>
    </cfRule>
  </conditionalFormatting>
  <conditionalFormatting sqref="M4">
    <cfRule type="cellIs" dxfId="3867" priority="514" stopIfTrue="1" operator="lessThan">
      <formula>$L$4</formula>
    </cfRule>
    <cfRule type="cellIs" dxfId="3866" priority="513" stopIfTrue="1" operator="equal">
      <formula>$L$4</formula>
    </cfRule>
  </conditionalFormatting>
  <conditionalFormatting sqref="M5">
    <cfRule type="cellIs" dxfId="3865" priority="515" stopIfTrue="1" operator="equal">
      <formula>$L$5</formula>
    </cfRule>
    <cfRule type="cellIs" dxfId="3864" priority="516" stopIfTrue="1" operator="lessThan">
      <formula>$L$5</formula>
    </cfRule>
  </conditionalFormatting>
  <conditionalFormatting sqref="M6">
    <cfRule type="cellIs" dxfId="3863" priority="517" stopIfTrue="1" operator="equal">
      <formula>$L$6</formula>
    </cfRule>
    <cfRule type="cellIs" dxfId="3862" priority="518" stopIfTrue="1" operator="lessThan">
      <formula>$L$6</formula>
    </cfRule>
  </conditionalFormatting>
  <conditionalFormatting sqref="M7">
    <cfRule type="cellIs" dxfId="3861" priority="519" stopIfTrue="1" operator="equal">
      <formula>$L$7</formula>
    </cfRule>
    <cfRule type="cellIs" dxfId="3860" priority="520" stopIfTrue="1" operator="lessThan">
      <formula>$L$7</formula>
    </cfRule>
  </conditionalFormatting>
  <conditionalFormatting sqref="M8">
    <cfRule type="cellIs" dxfId="3859" priority="521" stopIfTrue="1" operator="equal">
      <formula>$L$8</formula>
    </cfRule>
    <cfRule type="cellIs" dxfId="3858" priority="522" stopIfTrue="1" operator="lessThan">
      <formula>$L$8</formula>
    </cfRule>
  </conditionalFormatting>
  <conditionalFormatting sqref="M9">
    <cfRule type="cellIs" dxfId="3857" priority="523" stopIfTrue="1" operator="equal">
      <formula>$L$9</formula>
    </cfRule>
    <cfRule type="cellIs" dxfId="3856" priority="524" stopIfTrue="1" operator="lessThan">
      <formula>$L$9</formula>
    </cfRule>
  </conditionalFormatting>
  <conditionalFormatting sqref="M10">
    <cfRule type="cellIs" dxfId="3855" priority="525" stopIfTrue="1" operator="equal">
      <formula>$L$10</formula>
    </cfRule>
    <cfRule type="cellIs" dxfId="3854" priority="526" stopIfTrue="1" operator="lessThan">
      <formula>$L$10</formula>
    </cfRule>
  </conditionalFormatting>
  <conditionalFormatting sqref="M11">
    <cfRule type="cellIs" dxfId="3853" priority="547" stopIfTrue="1" operator="equal">
      <formula>$L$11</formula>
    </cfRule>
    <cfRule type="cellIs" dxfId="3852" priority="548" stopIfTrue="1" operator="lessThan">
      <formula>$L$11</formula>
    </cfRule>
  </conditionalFormatting>
  <conditionalFormatting sqref="M12">
    <cfRule type="cellIs" dxfId="3851" priority="527" stopIfTrue="1" operator="equal">
      <formula>$L$12</formula>
    </cfRule>
    <cfRule type="cellIs" dxfId="3850" priority="528" stopIfTrue="1" operator="lessThan">
      <formula>$L$12</formula>
    </cfRule>
  </conditionalFormatting>
  <conditionalFormatting sqref="M13">
    <cfRule type="cellIs" dxfId="3849" priority="529" stopIfTrue="1" operator="equal">
      <formula>$L$13</formula>
    </cfRule>
    <cfRule type="cellIs" dxfId="3848" priority="530" stopIfTrue="1" operator="lessThan">
      <formula>$L$13</formula>
    </cfRule>
  </conditionalFormatting>
  <conditionalFormatting sqref="M14">
    <cfRule type="cellIs" dxfId="3847" priority="532" stopIfTrue="1" operator="lessThan">
      <formula>$L$14</formula>
    </cfRule>
    <cfRule type="cellIs" dxfId="3846" priority="531" stopIfTrue="1" operator="equal">
      <formula>$L$14</formula>
    </cfRule>
  </conditionalFormatting>
  <conditionalFormatting sqref="M15">
    <cfRule type="cellIs" dxfId="3845" priority="533" stopIfTrue="1" operator="equal">
      <formula>$L$15</formula>
    </cfRule>
    <cfRule type="cellIs" dxfId="3844" priority="534" stopIfTrue="1" operator="lessThan">
      <formula>$L$15</formula>
    </cfRule>
  </conditionalFormatting>
  <conditionalFormatting sqref="M16">
    <cfRule type="cellIs" dxfId="3843" priority="535" stopIfTrue="1" operator="equal">
      <formula>$L$16</formula>
    </cfRule>
    <cfRule type="cellIs" dxfId="3842" priority="536" stopIfTrue="1" operator="lessThan">
      <formula>$L$16</formula>
    </cfRule>
  </conditionalFormatting>
  <conditionalFormatting sqref="M17">
    <cfRule type="cellIs" dxfId="3841" priority="537" stopIfTrue="1" operator="equal">
      <formula>$L$17</formula>
    </cfRule>
    <cfRule type="cellIs" dxfId="3840" priority="538" stopIfTrue="1" operator="lessThan">
      <formula>$L$17</formula>
    </cfRule>
  </conditionalFormatting>
  <conditionalFormatting sqref="M18">
    <cfRule type="cellIs" dxfId="3839" priority="539" stopIfTrue="1" operator="equal">
      <formula>$L$18</formula>
    </cfRule>
    <cfRule type="cellIs" dxfId="3838" priority="540" stopIfTrue="1" operator="lessThan">
      <formula>$L$18</formula>
    </cfRule>
  </conditionalFormatting>
  <conditionalFormatting sqref="M19">
    <cfRule type="cellIs" dxfId="3837" priority="541" stopIfTrue="1" operator="equal">
      <formula>$L$19</formula>
    </cfRule>
    <cfRule type="cellIs" dxfId="3836" priority="542" stopIfTrue="1" operator="lessThan">
      <formula>$L$19</formula>
    </cfRule>
  </conditionalFormatting>
  <conditionalFormatting sqref="M20">
    <cfRule type="cellIs" dxfId="3835" priority="543" stopIfTrue="1" operator="equal">
      <formula>$L$20</formula>
    </cfRule>
    <cfRule type="cellIs" dxfId="3834" priority="544" stopIfTrue="1" operator="lessThan">
      <formula>$L$20</formula>
    </cfRule>
  </conditionalFormatting>
  <conditionalFormatting sqref="M21">
    <cfRule type="cellIs" dxfId="3833" priority="545" stopIfTrue="1" operator="equal">
      <formula>$L$21</formula>
    </cfRule>
    <cfRule type="cellIs" dxfId="3832" priority="546" stopIfTrue="1" operator="lessThan">
      <formula>$L$21</formula>
    </cfRule>
  </conditionalFormatting>
  <conditionalFormatting sqref="M22">
    <cfRule type="cellIs" dxfId="3831" priority="549" stopIfTrue="1" operator="equal">
      <formula>$L$22</formula>
    </cfRule>
    <cfRule type="cellIs" dxfId="3830" priority="550" stopIfTrue="1" operator="lessThan">
      <formula>$L$22</formula>
    </cfRule>
  </conditionalFormatting>
  <conditionalFormatting sqref="M23">
    <cfRule type="cellIs" dxfId="3829" priority="552" stopIfTrue="1" operator="lessThan">
      <formula>$L$23</formula>
    </cfRule>
    <cfRule type="cellIs" dxfId="3828" priority="551" stopIfTrue="1" operator="equal">
      <formula>$L$23</formula>
    </cfRule>
  </conditionalFormatting>
  <conditionalFormatting sqref="M24">
    <cfRule type="cellIs" dxfId="3827" priority="554" stopIfTrue="1" operator="lessThan">
      <formula>$L$24</formula>
    </cfRule>
    <cfRule type="cellIs" dxfId="3826" priority="553" stopIfTrue="1" operator="equal">
      <formula>$L$24</formula>
    </cfRule>
  </conditionalFormatting>
  <conditionalFormatting sqref="M25">
    <cfRule type="cellIs" dxfId="3825" priority="555" stopIfTrue="1" operator="equal">
      <formula>$L$25</formula>
    </cfRule>
    <cfRule type="cellIs" dxfId="3824" priority="556" stopIfTrue="1" operator="lessThan">
      <formula>$L$25</formula>
    </cfRule>
  </conditionalFormatting>
  <conditionalFormatting sqref="M26">
    <cfRule type="cellIs" dxfId="3823" priority="557" stopIfTrue="1" operator="equal">
      <formula>$L$26</formula>
    </cfRule>
    <cfRule type="cellIs" dxfId="3822" priority="558" stopIfTrue="1" operator="lessThan">
      <formula>$L$26</formula>
    </cfRule>
  </conditionalFormatting>
  <conditionalFormatting sqref="M27">
    <cfRule type="cellIs" dxfId="3821" priority="559" stopIfTrue="1" operator="equal">
      <formula>$L$27</formula>
    </cfRule>
    <cfRule type="cellIs" dxfId="3820" priority="560" stopIfTrue="1" operator="lessThan">
      <formula>$L$27</formula>
    </cfRule>
  </conditionalFormatting>
  <conditionalFormatting sqref="M28">
    <cfRule type="cellIs" dxfId="3819" priority="561" stopIfTrue="1" operator="equal">
      <formula>$L$28</formula>
    </cfRule>
    <cfRule type="cellIs" dxfId="3818" priority="562" stopIfTrue="1" operator="lessThan">
      <formula>$L$28</formula>
    </cfRule>
  </conditionalFormatting>
  <conditionalFormatting sqref="N4">
    <cfRule type="cellIs" dxfId="3817" priority="563" stopIfTrue="1" operator="lessThan">
      <formula>$M$4</formula>
    </cfRule>
    <cfRule type="cellIs" dxfId="3816" priority="564" stopIfTrue="1" operator="equal">
      <formula>$M$4</formula>
    </cfRule>
  </conditionalFormatting>
  <conditionalFormatting sqref="N5">
    <cfRule type="cellIs" dxfId="3815" priority="565" stopIfTrue="1" operator="equal">
      <formula>$M$5</formula>
    </cfRule>
    <cfRule type="cellIs" dxfId="3814" priority="566" stopIfTrue="1" operator="lessThan">
      <formula>$M$5</formula>
    </cfRule>
  </conditionalFormatting>
  <conditionalFormatting sqref="N6">
    <cfRule type="cellIs" dxfId="3813" priority="567" stopIfTrue="1" operator="equal">
      <formula>$M$6</formula>
    </cfRule>
    <cfRule type="cellIs" dxfId="3812" priority="568" stopIfTrue="1" operator="lessThan">
      <formula>$M$6</formula>
    </cfRule>
  </conditionalFormatting>
  <conditionalFormatting sqref="N7">
    <cfRule type="cellIs" dxfId="3811" priority="569" stopIfTrue="1" operator="equal">
      <formula>$M$7</formula>
    </cfRule>
    <cfRule type="cellIs" dxfId="3810" priority="570" stopIfTrue="1" operator="lessThan">
      <formula>$M$7</formula>
    </cfRule>
  </conditionalFormatting>
  <conditionalFormatting sqref="N8">
    <cfRule type="cellIs" dxfId="3809" priority="572" stopIfTrue="1" operator="lessThan">
      <formula>$M$8</formula>
    </cfRule>
    <cfRule type="cellIs" dxfId="3808" priority="571" stopIfTrue="1" operator="equal">
      <formula>$M$8</formula>
    </cfRule>
  </conditionalFormatting>
  <conditionalFormatting sqref="N9">
    <cfRule type="cellIs" dxfId="3807" priority="573" stopIfTrue="1" operator="equal">
      <formula>$M$9</formula>
    </cfRule>
    <cfRule type="cellIs" dxfId="3806" priority="574" stopIfTrue="1" operator="lessThan">
      <formula>$M$9</formula>
    </cfRule>
  </conditionalFormatting>
  <conditionalFormatting sqref="N10">
    <cfRule type="cellIs" dxfId="3805" priority="575" stopIfTrue="1" operator="equal">
      <formula>$M$10</formula>
    </cfRule>
    <cfRule type="cellIs" dxfId="3804" priority="576" stopIfTrue="1" operator="lessThan">
      <formula>$M$10</formula>
    </cfRule>
  </conditionalFormatting>
  <conditionalFormatting sqref="N11">
    <cfRule type="cellIs" dxfId="3803" priority="577" stopIfTrue="1" operator="equal">
      <formula>$M$11</formula>
    </cfRule>
    <cfRule type="cellIs" dxfId="3802" priority="578" stopIfTrue="1" operator="lessThan">
      <formula>$M$11</formula>
    </cfRule>
  </conditionalFormatting>
  <conditionalFormatting sqref="N12">
    <cfRule type="cellIs" dxfId="3801" priority="579" stopIfTrue="1" operator="equal">
      <formula>$M$12</formula>
    </cfRule>
    <cfRule type="cellIs" dxfId="3800" priority="580" stopIfTrue="1" operator="lessThan">
      <formula>$M$12</formula>
    </cfRule>
  </conditionalFormatting>
  <conditionalFormatting sqref="N13">
    <cfRule type="cellIs" dxfId="3799" priority="581" stopIfTrue="1" operator="equal">
      <formula>$M$13</formula>
    </cfRule>
    <cfRule type="cellIs" dxfId="3798" priority="582" stopIfTrue="1" operator="lessThan">
      <formula>$M$13</formula>
    </cfRule>
  </conditionalFormatting>
  <conditionalFormatting sqref="N14">
    <cfRule type="cellIs" dxfId="3797" priority="583" stopIfTrue="1" operator="equal">
      <formula>$M$14</formula>
    </cfRule>
    <cfRule type="cellIs" dxfId="3796" priority="584" stopIfTrue="1" operator="lessThan">
      <formula>$M$14</formula>
    </cfRule>
  </conditionalFormatting>
  <conditionalFormatting sqref="N15">
    <cfRule type="cellIs" dxfId="3795" priority="585" stopIfTrue="1" operator="equal">
      <formula>$M$15</formula>
    </cfRule>
    <cfRule type="cellIs" dxfId="3794" priority="586" stopIfTrue="1" operator="lessThan">
      <formula>$M$15</formula>
    </cfRule>
  </conditionalFormatting>
  <conditionalFormatting sqref="N16">
    <cfRule type="cellIs" dxfId="3793" priority="587" stopIfTrue="1" operator="equal">
      <formula>$M$16</formula>
    </cfRule>
    <cfRule type="cellIs" dxfId="3792" priority="588" stopIfTrue="1" operator="lessThan">
      <formula>$M$16</formula>
    </cfRule>
  </conditionalFormatting>
  <conditionalFormatting sqref="N17">
    <cfRule type="cellIs" dxfId="3791" priority="589" stopIfTrue="1" operator="equal">
      <formula>$M$17</formula>
    </cfRule>
    <cfRule type="cellIs" dxfId="3790" priority="590" stopIfTrue="1" operator="lessThan">
      <formula>$M$17</formula>
    </cfRule>
  </conditionalFormatting>
  <conditionalFormatting sqref="N18">
    <cfRule type="cellIs" dxfId="3789" priority="592" stopIfTrue="1" operator="lessThan">
      <formula>$M$18</formula>
    </cfRule>
    <cfRule type="cellIs" dxfId="3788" priority="591" stopIfTrue="1" operator="equal">
      <formula>$M$18</formula>
    </cfRule>
  </conditionalFormatting>
  <conditionalFormatting sqref="N19">
    <cfRule type="cellIs" dxfId="3787" priority="594" stopIfTrue="1" operator="lessThan">
      <formula>$M$19</formula>
    </cfRule>
    <cfRule type="cellIs" dxfId="3786" priority="593" stopIfTrue="1" operator="equal">
      <formula>$M$19</formula>
    </cfRule>
  </conditionalFormatting>
  <conditionalFormatting sqref="N20">
    <cfRule type="cellIs" dxfId="3785" priority="595" stopIfTrue="1" operator="equal">
      <formula>$M$20</formula>
    </cfRule>
    <cfRule type="cellIs" dxfId="3784" priority="596" stopIfTrue="1" operator="lessThan">
      <formula>$M$20</formula>
    </cfRule>
  </conditionalFormatting>
  <conditionalFormatting sqref="N21">
    <cfRule type="cellIs" dxfId="3783" priority="597" stopIfTrue="1" operator="equal">
      <formula>$M$21</formula>
    </cfRule>
    <cfRule type="cellIs" dxfId="3782" priority="598" stopIfTrue="1" operator="lessThan">
      <formula>$M$21</formula>
    </cfRule>
  </conditionalFormatting>
  <conditionalFormatting sqref="N22">
    <cfRule type="cellIs" dxfId="3781" priority="599" stopIfTrue="1" operator="equal">
      <formula>$M$22</formula>
    </cfRule>
    <cfRule type="cellIs" dxfId="3780" priority="600" stopIfTrue="1" operator="lessThan">
      <formula>$M$22</formula>
    </cfRule>
  </conditionalFormatting>
  <conditionalFormatting sqref="N23">
    <cfRule type="cellIs" dxfId="3779" priority="601" stopIfTrue="1" operator="equal">
      <formula>$M$23</formula>
    </cfRule>
    <cfRule type="cellIs" dxfId="3778" priority="602" stopIfTrue="1" operator="lessThan">
      <formula>$M$23</formula>
    </cfRule>
  </conditionalFormatting>
  <conditionalFormatting sqref="N24">
    <cfRule type="cellIs" dxfId="3777" priority="603" stopIfTrue="1" operator="equal">
      <formula>$M$24</formula>
    </cfRule>
    <cfRule type="cellIs" dxfId="3776" priority="604" stopIfTrue="1" operator="lessThan">
      <formula>$M$24</formula>
    </cfRule>
  </conditionalFormatting>
  <conditionalFormatting sqref="N25">
    <cfRule type="cellIs" dxfId="3775" priority="605" stopIfTrue="1" operator="equal">
      <formula>$M$25</formula>
    </cfRule>
    <cfRule type="cellIs" dxfId="3774" priority="606" stopIfTrue="1" operator="lessThan">
      <formula>$M$25</formula>
    </cfRule>
  </conditionalFormatting>
  <conditionalFormatting sqref="N26">
    <cfRule type="cellIs" dxfId="3773" priority="607" stopIfTrue="1" operator="equal">
      <formula>$M$26</formula>
    </cfRule>
    <cfRule type="cellIs" dxfId="3772" priority="608" stopIfTrue="1" operator="lessThan">
      <formula>$M$26</formula>
    </cfRule>
  </conditionalFormatting>
  <conditionalFormatting sqref="N27">
    <cfRule type="cellIs" dxfId="3771" priority="609" stopIfTrue="1" operator="equal">
      <formula>$M$27</formula>
    </cfRule>
    <cfRule type="cellIs" dxfId="3770" priority="610" stopIfTrue="1" operator="lessThan">
      <formula>$M$27</formula>
    </cfRule>
  </conditionalFormatting>
  <conditionalFormatting sqref="N28">
    <cfRule type="cellIs" dxfId="3769" priority="612" stopIfTrue="1" operator="lessThan">
      <formula>$M$28</formula>
    </cfRule>
    <cfRule type="cellIs" dxfId="3768" priority="611" stopIfTrue="1" operator="equal">
      <formula>$M$28</formula>
    </cfRule>
  </conditionalFormatting>
  <conditionalFormatting sqref="O4">
    <cfRule type="cellIs" dxfId="3767" priority="613" stopIfTrue="1" operator="equal">
      <formula>$N$4</formula>
    </cfRule>
    <cfRule type="cellIs" dxfId="3766" priority="614" stopIfTrue="1" operator="lessThan">
      <formula>$N$4</formula>
    </cfRule>
  </conditionalFormatting>
  <conditionalFormatting sqref="O5">
    <cfRule type="cellIs" dxfId="3765" priority="615" stopIfTrue="1" operator="equal">
      <formula>$N$5</formula>
    </cfRule>
    <cfRule type="cellIs" dxfId="3764" priority="616" stopIfTrue="1" operator="lessThan">
      <formula>$N$5</formula>
    </cfRule>
  </conditionalFormatting>
  <conditionalFormatting sqref="O6">
    <cfRule type="cellIs" dxfId="3763" priority="617" stopIfTrue="1" operator="equal">
      <formula>$N$6</formula>
    </cfRule>
    <cfRule type="cellIs" dxfId="3762" priority="618" stopIfTrue="1" operator="lessThan">
      <formula>$N$6</formula>
    </cfRule>
  </conditionalFormatting>
  <conditionalFormatting sqref="O7">
    <cfRule type="cellIs" dxfId="3761" priority="619" stopIfTrue="1" operator="equal">
      <formula>$N$7</formula>
    </cfRule>
    <cfRule type="cellIs" dxfId="3760" priority="620" stopIfTrue="1" operator="lessThan">
      <formula>$N$7</formula>
    </cfRule>
  </conditionalFormatting>
  <conditionalFormatting sqref="O8">
    <cfRule type="cellIs" dxfId="3759" priority="621" stopIfTrue="1" operator="equal">
      <formula>$N$8</formula>
    </cfRule>
    <cfRule type="cellIs" dxfId="3758" priority="622" stopIfTrue="1" operator="lessThan">
      <formula>$N$8</formula>
    </cfRule>
  </conditionalFormatting>
  <conditionalFormatting sqref="O9">
    <cfRule type="cellIs" dxfId="3757" priority="623" stopIfTrue="1" operator="equal">
      <formula>$N$9</formula>
    </cfRule>
    <cfRule type="cellIs" dxfId="3756" priority="624" stopIfTrue="1" operator="lessThan">
      <formula>$N$9</formula>
    </cfRule>
  </conditionalFormatting>
  <conditionalFormatting sqref="O10">
    <cfRule type="cellIs" dxfId="3755" priority="625" stopIfTrue="1" operator="equal">
      <formula>$N$10</formula>
    </cfRule>
    <cfRule type="cellIs" dxfId="3754" priority="626" stopIfTrue="1" operator="lessThan">
      <formula>$N$10</formula>
    </cfRule>
  </conditionalFormatting>
  <conditionalFormatting sqref="O11">
    <cfRule type="cellIs" dxfId="3753" priority="627" stopIfTrue="1" operator="equal">
      <formula>$N$11</formula>
    </cfRule>
    <cfRule type="cellIs" dxfId="3752" priority="628" stopIfTrue="1" operator="lessThan">
      <formula>$N$11</formula>
    </cfRule>
  </conditionalFormatting>
  <conditionalFormatting sqref="O12">
    <cfRule type="cellIs" dxfId="3751" priority="629" stopIfTrue="1" operator="equal">
      <formula>$N$12</formula>
    </cfRule>
    <cfRule type="cellIs" dxfId="3750" priority="630" stopIfTrue="1" operator="lessThan">
      <formula>$N$12</formula>
    </cfRule>
  </conditionalFormatting>
  <conditionalFormatting sqref="O13">
    <cfRule type="cellIs" dxfId="3749" priority="632" stopIfTrue="1" operator="lessThan">
      <formula>$N$13</formula>
    </cfRule>
    <cfRule type="cellIs" dxfId="3748" priority="631" stopIfTrue="1" operator="equal">
      <formula>$N$13</formula>
    </cfRule>
  </conditionalFormatting>
  <conditionalFormatting sqref="O14">
    <cfRule type="cellIs" dxfId="3747" priority="634" stopIfTrue="1" operator="lessThan">
      <formula>$N$14</formula>
    </cfRule>
    <cfRule type="cellIs" dxfId="3746" priority="633" stopIfTrue="1" operator="equal">
      <formula>$N$14</formula>
    </cfRule>
  </conditionalFormatting>
  <conditionalFormatting sqref="O15">
    <cfRule type="cellIs" dxfId="3745" priority="635" stopIfTrue="1" operator="equal">
      <formula>$N$15</formula>
    </cfRule>
    <cfRule type="cellIs" dxfId="3744" priority="636" stopIfTrue="1" operator="lessThan">
      <formula>$N$15</formula>
    </cfRule>
  </conditionalFormatting>
  <conditionalFormatting sqref="O16">
    <cfRule type="cellIs" dxfId="3743" priority="637" stopIfTrue="1" operator="equal">
      <formula>$N$16</formula>
    </cfRule>
    <cfRule type="cellIs" dxfId="3742" priority="638" stopIfTrue="1" operator="lessThan">
      <formula>$N$16</formula>
    </cfRule>
  </conditionalFormatting>
  <conditionalFormatting sqref="O17">
    <cfRule type="cellIs" dxfId="3741" priority="639" stopIfTrue="1" operator="equal">
      <formula>$N$17</formula>
    </cfRule>
    <cfRule type="cellIs" dxfId="3740" priority="640" stopIfTrue="1" operator="lessThan">
      <formula>$N$17</formula>
    </cfRule>
  </conditionalFormatting>
  <conditionalFormatting sqref="O18">
    <cfRule type="cellIs" dxfId="3739" priority="641" stopIfTrue="1" operator="equal">
      <formula>$N$18</formula>
    </cfRule>
    <cfRule type="cellIs" dxfId="3738" priority="642" stopIfTrue="1" operator="lessThan">
      <formula>$N$18</formula>
    </cfRule>
  </conditionalFormatting>
  <conditionalFormatting sqref="O19">
    <cfRule type="cellIs" dxfId="3737" priority="643" stopIfTrue="1" operator="equal">
      <formula>$N$19</formula>
    </cfRule>
    <cfRule type="cellIs" dxfId="3736" priority="644" stopIfTrue="1" operator="lessThan">
      <formula>$N$19</formula>
    </cfRule>
  </conditionalFormatting>
  <conditionalFormatting sqref="O20">
    <cfRule type="cellIs" dxfId="3735" priority="645" stopIfTrue="1" operator="equal">
      <formula>$N$20</formula>
    </cfRule>
    <cfRule type="cellIs" dxfId="3734" priority="646" stopIfTrue="1" operator="lessThan">
      <formula>$N$20</formula>
    </cfRule>
  </conditionalFormatting>
  <conditionalFormatting sqref="O21">
    <cfRule type="cellIs" dxfId="3733" priority="647" stopIfTrue="1" operator="equal">
      <formula>$N$21</formula>
    </cfRule>
    <cfRule type="cellIs" dxfId="3732" priority="648" stopIfTrue="1" operator="lessThan">
      <formula>$N$21</formula>
    </cfRule>
  </conditionalFormatting>
  <conditionalFormatting sqref="O22">
    <cfRule type="cellIs" dxfId="3731" priority="649" stopIfTrue="1" operator="equal">
      <formula>$N$22</formula>
    </cfRule>
    <cfRule type="cellIs" dxfId="3730" priority="650" stopIfTrue="1" operator="lessThan">
      <formula>$N$22</formula>
    </cfRule>
  </conditionalFormatting>
  <conditionalFormatting sqref="O23">
    <cfRule type="cellIs" dxfId="3729" priority="652" stopIfTrue="1" operator="lessThan">
      <formula>$N$23</formula>
    </cfRule>
    <cfRule type="cellIs" dxfId="3728" priority="651" stopIfTrue="1" operator="equal">
      <formula>$N$23</formula>
    </cfRule>
  </conditionalFormatting>
  <conditionalFormatting sqref="O24">
    <cfRule type="cellIs" dxfId="3727" priority="654" stopIfTrue="1" operator="lessThan">
      <formula>$N$24</formula>
    </cfRule>
    <cfRule type="cellIs" dxfId="3726" priority="653" stopIfTrue="1" operator="equal">
      <formula>$N$24</formula>
    </cfRule>
  </conditionalFormatting>
  <conditionalFormatting sqref="O25">
    <cfRule type="cellIs" dxfId="3725" priority="655" stopIfTrue="1" operator="equal">
      <formula>$N$25</formula>
    </cfRule>
    <cfRule type="cellIs" dxfId="3724" priority="656" stopIfTrue="1" operator="lessThan">
      <formula>$N$25</formula>
    </cfRule>
  </conditionalFormatting>
  <conditionalFormatting sqref="O26">
    <cfRule type="cellIs" dxfId="3723" priority="657" stopIfTrue="1" operator="equal">
      <formula>$N$26</formula>
    </cfRule>
    <cfRule type="cellIs" dxfId="3722" priority="658" stopIfTrue="1" operator="lessThan">
      <formula>$N$26</formula>
    </cfRule>
  </conditionalFormatting>
  <conditionalFormatting sqref="O27">
    <cfRule type="cellIs" dxfId="3721" priority="659" stopIfTrue="1" operator="equal">
      <formula>$N$27</formula>
    </cfRule>
    <cfRule type="cellIs" dxfId="3720" priority="660" stopIfTrue="1" operator="lessThan">
      <formula>$N$27</formula>
    </cfRule>
  </conditionalFormatting>
  <conditionalFormatting sqref="O28">
    <cfRule type="cellIs" dxfId="3719" priority="661" stopIfTrue="1" operator="equal">
      <formula>$N$28</formula>
    </cfRule>
    <cfRule type="cellIs" dxfId="3718" priority="662" stopIfTrue="1" operator="lessThan">
      <formula>$N$28</formula>
    </cfRule>
  </conditionalFormatting>
  <conditionalFormatting sqref="P4">
    <cfRule type="cellIs" dxfId="3717" priority="663" stopIfTrue="1" operator="equal">
      <formula>$O$4</formula>
    </cfRule>
    <cfRule type="cellIs" dxfId="3716" priority="664" stopIfTrue="1" operator="lessThan">
      <formula>$O$4</formula>
    </cfRule>
  </conditionalFormatting>
  <conditionalFormatting sqref="P5">
    <cfRule type="cellIs" dxfId="3715" priority="665" stopIfTrue="1" operator="equal">
      <formula>$O$5</formula>
    </cfRule>
    <cfRule type="cellIs" dxfId="3714" priority="666" stopIfTrue="1" operator="lessThan">
      <formula>$O$5</formula>
    </cfRule>
  </conditionalFormatting>
  <conditionalFormatting sqref="P6">
    <cfRule type="cellIs" dxfId="3713" priority="667" stopIfTrue="1" operator="equal">
      <formula>$O$6</formula>
    </cfRule>
    <cfRule type="cellIs" dxfId="3712" priority="668" stopIfTrue="1" operator="lessThan">
      <formula>$O$6</formula>
    </cfRule>
  </conditionalFormatting>
  <conditionalFormatting sqref="P7">
    <cfRule type="cellIs" dxfId="3711" priority="669" stopIfTrue="1" operator="equal">
      <formula>$O$7</formula>
    </cfRule>
    <cfRule type="cellIs" dxfId="3710" priority="670" stopIfTrue="1" operator="lessThan">
      <formula>$O$7</formula>
    </cfRule>
  </conditionalFormatting>
  <conditionalFormatting sqref="P8">
    <cfRule type="cellIs" dxfId="3709" priority="672" stopIfTrue="1" operator="lessThan">
      <formula>$O$8</formula>
    </cfRule>
    <cfRule type="cellIs" dxfId="3708" priority="671" stopIfTrue="1" operator="equal">
      <formula>$O$8</formula>
    </cfRule>
  </conditionalFormatting>
  <conditionalFormatting sqref="P9">
    <cfRule type="cellIs" dxfId="3707" priority="674" stopIfTrue="1" operator="lessThan">
      <formula>$O$9</formula>
    </cfRule>
    <cfRule type="cellIs" dxfId="3706" priority="673" stopIfTrue="1" operator="equal">
      <formula>$O$9</formula>
    </cfRule>
  </conditionalFormatting>
  <conditionalFormatting sqref="P10">
    <cfRule type="cellIs" dxfId="3705" priority="675" stopIfTrue="1" operator="equal">
      <formula>$O$10</formula>
    </cfRule>
    <cfRule type="cellIs" dxfId="3704" priority="676" stopIfTrue="1" operator="lessThan">
      <formula>$O$10</formula>
    </cfRule>
  </conditionalFormatting>
  <conditionalFormatting sqref="P11">
    <cfRule type="cellIs" dxfId="3703" priority="677" stopIfTrue="1" operator="equal">
      <formula>$O$11</formula>
    </cfRule>
    <cfRule type="cellIs" dxfId="3702" priority="678" stopIfTrue="1" operator="lessThan">
      <formula>$O$11</formula>
    </cfRule>
  </conditionalFormatting>
  <conditionalFormatting sqref="P12">
    <cfRule type="cellIs" dxfId="3701" priority="679" stopIfTrue="1" operator="equal">
      <formula>$O$12</formula>
    </cfRule>
    <cfRule type="cellIs" dxfId="3700" priority="680" stopIfTrue="1" operator="lessThan">
      <formula>$O$12</formula>
    </cfRule>
  </conditionalFormatting>
  <conditionalFormatting sqref="P13">
    <cfRule type="cellIs" dxfId="3699" priority="681" stopIfTrue="1" operator="equal">
      <formula>$O$13</formula>
    </cfRule>
    <cfRule type="cellIs" dxfId="3698" priority="682" stopIfTrue="1" operator="lessThan">
      <formula>$O$13</formula>
    </cfRule>
  </conditionalFormatting>
  <conditionalFormatting sqref="P14">
    <cfRule type="cellIs" dxfId="3697" priority="683" stopIfTrue="1" operator="equal">
      <formula>$O$14</formula>
    </cfRule>
    <cfRule type="cellIs" dxfId="3696" priority="684" stopIfTrue="1" operator="lessThan">
      <formula>$O$14</formula>
    </cfRule>
  </conditionalFormatting>
  <conditionalFormatting sqref="P15">
    <cfRule type="cellIs" dxfId="3695" priority="685" stopIfTrue="1" operator="equal">
      <formula>$O$15</formula>
    </cfRule>
    <cfRule type="cellIs" dxfId="3694" priority="686" stopIfTrue="1" operator="lessThan">
      <formula>$O$15</formula>
    </cfRule>
  </conditionalFormatting>
  <conditionalFormatting sqref="P16">
    <cfRule type="cellIs" dxfId="3693" priority="687" stopIfTrue="1" operator="equal">
      <formula>$O$16</formula>
    </cfRule>
    <cfRule type="cellIs" dxfId="3692" priority="688" stopIfTrue="1" operator="lessThan">
      <formula>$O$16</formula>
    </cfRule>
  </conditionalFormatting>
  <conditionalFormatting sqref="P17">
    <cfRule type="cellIs" dxfId="3691" priority="689" stopIfTrue="1" operator="equal">
      <formula>$O$17</formula>
    </cfRule>
    <cfRule type="cellIs" dxfId="3690" priority="690" stopIfTrue="1" operator="lessThan">
      <formula>$O$17</formula>
    </cfRule>
  </conditionalFormatting>
  <conditionalFormatting sqref="P18">
    <cfRule type="cellIs" dxfId="3689" priority="692" stopIfTrue="1" operator="lessThan">
      <formula>$O$18</formula>
    </cfRule>
    <cfRule type="cellIs" dxfId="3688" priority="691" stopIfTrue="1" operator="equal">
      <formula>$O$18</formula>
    </cfRule>
  </conditionalFormatting>
  <conditionalFormatting sqref="P19">
    <cfRule type="cellIs" dxfId="3687" priority="693" stopIfTrue="1" operator="equal">
      <formula>$O$19</formula>
    </cfRule>
    <cfRule type="cellIs" dxfId="3686" priority="694" stopIfTrue="1" operator="lessThan">
      <formula>$O$19</formula>
    </cfRule>
  </conditionalFormatting>
  <conditionalFormatting sqref="P20">
    <cfRule type="cellIs" dxfId="3685" priority="695" stopIfTrue="1" operator="equal">
      <formula>$O$20</formula>
    </cfRule>
    <cfRule type="cellIs" dxfId="3684" priority="696" stopIfTrue="1" operator="lessThan">
      <formula>$O$20</formula>
    </cfRule>
  </conditionalFormatting>
  <conditionalFormatting sqref="P21">
    <cfRule type="cellIs" dxfId="3683" priority="697" stopIfTrue="1" operator="equal">
      <formula>$O$21</formula>
    </cfRule>
    <cfRule type="cellIs" dxfId="3682" priority="698" stopIfTrue="1" operator="lessThan">
      <formula>$O$21</formula>
    </cfRule>
  </conditionalFormatting>
  <conditionalFormatting sqref="P22">
    <cfRule type="cellIs" dxfId="3681" priority="699" stopIfTrue="1" operator="equal">
      <formula>$O$22</formula>
    </cfRule>
    <cfRule type="cellIs" dxfId="3680" priority="700" stopIfTrue="1" operator="lessThan">
      <formula>$O$22</formula>
    </cfRule>
  </conditionalFormatting>
  <conditionalFormatting sqref="P23">
    <cfRule type="cellIs" dxfId="3679" priority="701" stopIfTrue="1" operator="equal">
      <formula>$O$23</formula>
    </cfRule>
    <cfRule type="cellIs" dxfId="3678" priority="702" stopIfTrue="1" operator="lessThan">
      <formula>$O$23</formula>
    </cfRule>
  </conditionalFormatting>
  <conditionalFormatting sqref="P24">
    <cfRule type="cellIs" dxfId="3677" priority="703" stopIfTrue="1" operator="equal">
      <formula>$O$24</formula>
    </cfRule>
    <cfRule type="cellIs" dxfId="3676" priority="704" stopIfTrue="1" operator="lessThan">
      <formula>$O$24</formula>
    </cfRule>
  </conditionalFormatting>
  <conditionalFormatting sqref="P25">
    <cfRule type="cellIs" dxfId="3675" priority="705" stopIfTrue="1" operator="equal">
      <formula>$O$25</formula>
    </cfRule>
    <cfRule type="cellIs" dxfId="3674" priority="706" stopIfTrue="1" operator="lessThan">
      <formula>$O$25</formula>
    </cfRule>
  </conditionalFormatting>
  <conditionalFormatting sqref="P26">
    <cfRule type="cellIs" dxfId="3673" priority="707" stopIfTrue="1" operator="equal">
      <formula>$O$26</formula>
    </cfRule>
    <cfRule type="cellIs" dxfId="3672" priority="708" stopIfTrue="1" operator="lessThan">
      <formula>$O$26</formula>
    </cfRule>
  </conditionalFormatting>
  <conditionalFormatting sqref="P27">
    <cfRule type="cellIs" dxfId="3671" priority="709" stopIfTrue="1" operator="equal">
      <formula>$O$27</formula>
    </cfRule>
    <cfRule type="cellIs" dxfId="3670" priority="710" stopIfTrue="1" operator="lessThan">
      <formula>$O$27</formula>
    </cfRule>
  </conditionalFormatting>
  <conditionalFormatting sqref="P28">
    <cfRule type="cellIs" dxfId="3669" priority="712" stopIfTrue="1" operator="lessThan">
      <formula>$O$28</formula>
    </cfRule>
    <cfRule type="cellIs" dxfId="3668" priority="711" stopIfTrue="1" operator="equal">
      <formula>$O$28</formula>
    </cfRule>
  </conditionalFormatting>
  <conditionalFormatting sqref="V4:AG23 V33:AG37 V40:AG49 V54:AG63">
    <cfRule type="cellIs" dxfId="3667" priority="1" operator="lessThan">
      <formula>0</formula>
    </cfRule>
  </conditionalFormatting>
  <pageMargins left="0.43307086614173229" right="0.27559055118110237" top="0.27559055118110237" bottom="0.39370078740157483" header="0.51181102362204722" footer="0.51181102362204722"/>
  <pageSetup paperSize="9" firstPageNumber="0" orientation="landscape" r:id="rId1"/>
  <headerFooter alignWithMargins="0"/>
  <colBreaks count="1" manualBreakCount="1">
    <brk id="12" max="48" man="1"/>
  </col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7"/>
  <sheetViews>
    <sheetView zoomScaleSheetLayoutView="100" workbookViewId="0">
      <selection activeCell="Q9" sqref="Q9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6" width="9.26953125" bestFit="1" customWidth="1"/>
    <col min="19" max="19" width="3" customWidth="1"/>
  </cols>
  <sheetData>
    <row r="1" spans="1:32" ht="15" thickBot="1" x14ac:dyDescent="0.4"/>
    <row r="2" spans="1:32" s="1" customFormat="1" ht="21" customHeight="1" thickBot="1" x14ac:dyDescent="0.55000000000000004">
      <c r="A2" s="114">
        <v>1852</v>
      </c>
      <c r="B2" s="2"/>
      <c r="C2" s="3">
        <f>'1850'!C2</f>
        <v>44927</v>
      </c>
      <c r="D2" s="3">
        <f>'1850'!D2</f>
        <v>44958</v>
      </c>
      <c r="E2" s="3">
        <f>'1850'!E2</f>
        <v>44986</v>
      </c>
      <c r="F2" s="3">
        <f>'1850'!F2</f>
        <v>45017</v>
      </c>
      <c r="G2" s="3">
        <f>'1850'!G2</f>
        <v>45047</v>
      </c>
      <c r="H2" s="3">
        <f>'1850'!H2</f>
        <v>45078</v>
      </c>
      <c r="I2" s="3">
        <f>'1850'!I2</f>
        <v>45111</v>
      </c>
      <c r="J2" s="3">
        <f>'1850'!J2</f>
        <v>45139</v>
      </c>
      <c r="K2" s="3">
        <f>'1850'!K2</f>
        <v>45170</v>
      </c>
      <c r="L2" s="3">
        <f>'1850'!L2</f>
        <v>45201</v>
      </c>
      <c r="M2" s="3">
        <f>'1850'!M2</f>
        <v>45231</v>
      </c>
      <c r="N2" s="3">
        <f>'1850'!N2</f>
        <v>45261</v>
      </c>
      <c r="O2" s="3">
        <f>'1850'!O2</f>
        <v>45292</v>
      </c>
      <c r="P2" s="1" t="s">
        <v>0</v>
      </c>
      <c r="Q2" s="1" t="s">
        <v>1</v>
      </c>
      <c r="R2" s="1" t="s">
        <v>29</v>
      </c>
      <c r="U2" s="144"/>
      <c r="V2" s="145"/>
      <c r="W2" s="145"/>
      <c r="X2" s="145"/>
      <c r="Y2" s="145" t="s">
        <v>213</v>
      </c>
      <c r="Z2" s="145"/>
      <c r="AA2" s="145"/>
      <c r="AB2" s="145"/>
      <c r="AC2" s="145"/>
      <c r="AD2" s="145"/>
      <c r="AE2" s="145"/>
      <c r="AF2" s="149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96</v>
      </c>
      <c r="Q3" s="1" t="s">
        <v>95</v>
      </c>
      <c r="R3" s="1" t="s">
        <v>97</v>
      </c>
      <c r="T3" s="1" t="s">
        <v>212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79">
        <v>1</v>
      </c>
      <c r="B4" s="6" t="s">
        <v>150</v>
      </c>
      <c r="C4" s="78">
        <v>445.71899999999999</v>
      </c>
      <c r="D4" s="7">
        <v>455.59</v>
      </c>
      <c r="E4" s="7">
        <v>466.56400000000002</v>
      </c>
      <c r="F4" s="7">
        <v>476.99900000000002</v>
      </c>
      <c r="G4" s="7">
        <v>487.18099999999998</v>
      </c>
      <c r="H4" s="7">
        <v>498.18099999999998</v>
      </c>
      <c r="I4" s="7">
        <v>509.75700000000001</v>
      </c>
      <c r="J4" s="7">
        <v>518.96100000000001</v>
      </c>
      <c r="K4" s="7">
        <v>530.65499999999997</v>
      </c>
      <c r="L4" s="8">
        <v>543.346</v>
      </c>
      <c r="M4" s="7">
        <v>554.40599999999995</v>
      </c>
      <c r="N4" s="7">
        <v>565.053</v>
      </c>
      <c r="O4" s="7">
        <v>576.31200000000001</v>
      </c>
      <c r="P4" s="9">
        <f>O4-C4</f>
        <v>130.59300000000002</v>
      </c>
      <c r="T4" s="1">
        <v>1</v>
      </c>
      <c r="U4" s="146">
        <f t="shared" ref="U4:AF4" si="0">D4-C4</f>
        <v>9.8709999999999809</v>
      </c>
      <c r="V4" s="146">
        <f t="shared" si="0"/>
        <v>10.974000000000046</v>
      </c>
      <c r="W4" s="146">
        <f t="shared" si="0"/>
        <v>10.435000000000002</v>
      </c>
      <c r="X4" s="146">
        <f t="shared" si="0"/>
        <v>10.18199999999996</v>
      </c>
      <c r="Y4" s="146">
        <f t="shared" si="0"/>
        <v>11</v>
      </c>
      <c r="Z4" s="146">
        <f t="shared" si="0"/>
        <v>11.576000000000022</v>
      </c>
      <c r="AA4" s="146">
        <f t="shared" si="0"/>
        <v>9.2040000000000077</v>
      </c>
      <c r="AB4" s="146">
        <f t="shared" si="0"/>
        <v>11.69399999999996</v>
      </c>
      <c r="AC4" s="146">
        <f t="shared" si="0"/>
        <v>12.691000000000031</v>
      </c>
      <c r="AD4" s="146">
        <f t="shared" si="0"/>
        <v>11.059999999999945</v>
      </c>
      <c r="AE4" s="146">
        <f t="shared" si="0"/>
        <v>10.647000000000048</v>
      </c>
      <c r="AF4" s="146">
        <f t="shared" si="0"/>
        <v>11.259000000000015</v>
      </c>
    </row>
    <row r="5" spans="1:32" x14ac:dyDescent="0.35">
      <c r="A5" s="279"/>
      <c r="B5" s="10" t="s">
        <v>342</v>
      </c>
      <c r="C5" s="79">
        <v>30.733000000000001</v>
      </c>
      <c r="D5" s="11">
        <v>34.231999999999999</v>
      </c>
      <c r="E5" s="11">
        <v>37.698</v>
      </c>
      <c r="F5" s="11">
        <v>40.610999999999997</v>
      </c>
      <c r="G5" s="11">
        <v>42.743000000000002</v>
      </c>
      <c r="H5" s="11">
        <v>43.469000000000001</v>
      </c>
      <c r="I5" s="11">
        <v>44.106000000000002</v>
      </c>
      <c r="J5" s="11">
        <v>44.558999999999997</v>
      </c>
      <c r="K5" s="11">
        <v>45.081000000000003</v>
      </c>
      <c r="L5" s="12">
        <v>45.694000000000003</v>
      </c>
      <c r="M5" s="11">
        <v>47.12</v>
      </c>
      <c r="N5" s="11">
        <v>49.831000000000003</v>
      </c>
      <c r="O5" s="11">
        <v>53.408999999999999</v>
      </c>
      <c r="P5" s="9"/>
      <c r="Q5" s="9">
        <f>O5-C5</f>
        <v>22.675999999999998</v>
      </c>
      <c r="T5" s="1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</row>
    <row r="6" spans="1:32" x14ac:dyDescent="0.35">
      <c r="A6" s="280">
        <v>2</v>
      </c>
      <c r="B6" s="10" t="s">
        <v>151</v>
      </c>
      <c r="C6" s="79">
        <v>235.60499999999999</v>
      </c>
      <c r="D6" s="11">
        <v>243.13800000000001</v>
      </c>
      <c r="E6" s="11">
        <v>249.98</v>
      </c>
      <c r="F6" s="11">
        <v>258.33999999999997</v>
      </c>
      <c r="G6" s="11">
        <v>266.46800000000002</v>
      </c>
      <c r="H6" s="11">
        <v>273.33800000000002</v>
      </c>
      <c r="I6" s="11">
        <v>279.834</v>
      </c>
      <c r="J6" s="11">
        <v>285.22699999999998</v>
      </c>
      <c r="K6" s="11">
        <v>291.49</v>
      </c>
      <c r="L6" s="11">
        <v>298.30599999999998</v>
      </c>
      <c r="M6" s="11">
        <v>304.64100000000002</v>
      </c>
      <c r="N6" s="11">
        <v>310.01600000000002</v>
      </c>
      <c r="O6" s="11">
        <v>314.55200000000002</v>
      </c>
      <c r="P6" s="9">
        <f>O6-C6</f>
        <v>78.947000000000031</v>
      </c>
      <c r="T6" s="1">
        <v>2</v>
      </c>
      <c r="U6" s="148">
        <f t="shared" ref="U6:AF6" si="1">D6-C6</f>
        <v>7.5330000000000155</v>
      </c>
      <c r="V6" s="148">
        <f t="shared" si="1"/>
        <v>6.8419999999999845</v>
      </c>
      <c r="W6" s="148">
        <f t="shared" si="1"/>
        <v>8.3599999999999852</v>
      </c>
      <c r="X6" s="148">
        <f t="shared" si="1"/>
        <v>8.1280000000000427</v>
      </c>
      <c r="Y6" s="148">
        <f t="shared" si="1"/>
        <v>6.8700000000000045</v>
      </c>
      <c r="Z6" s="148">
        <f t="shared" si="1"/>
        <v>6.4959999999999809</v>
      </c>
      <c r="AA6" s="148">
        <f t="shared" si="1"/>
        <v>5.3929999999999723</v>
      </c>
      <c r="AB6" s="148">
        <f t="shared" si="1"/>
        <v>6.2630000000000337</v>
      </c>
      <c r="AC6" s="148">
        <f t="shared" si="1"/>
        <v>6.8159999999999741</v>
      </c>
      <c r="AD6" s="148">
        <f t="shared" si="1"/>
        <v>6.3350000000000364</v>
      </c>
      <c r="AE6" s="148">
        <f t="shared" si="1"/>
        <v>5.375</v>
      </c>
      <c r="AF6" s="148">
        <f t="shared" si="1"/>
        <v>4.5360000000000014</v>
      </c>
    </row>
    <row r="7" spans="1:32" x14ac:dyDescent="0.35">
      <c r="A7" s="280"/>
      <c r="B7" s="10" t="s">
        <v>343</v>
      </c>
      <c r="C7" s="79">
        <v>16.116</v>
      </c>
      <c r="D7" s="11">
        <v>17.338999999999999</v>
      </c>
      <c r="E7" s="11">
        <v>18.843</v>
      </c>
      <c r="F7" s="11">
        <v>19.975999999999999</v>
      </c>
      <c r="G7" s="11">
        <v>20.814</v>
      </c>
      <c r="H7" s="11">
        <v>21.47</v>
      </c>
      <c r="I7" s="11">
        <v>22.06</v>
      </c>
      <c r="J7" s="11">
        <v>22.497</v>
      </c>
      <c r="K7" s="11">
        <v>22.917999999999999</v>
      </c>
      <c r="L7" s="11">
        <v>23.507000000000001</v>
      </c>
      <c r="M7" s="11">
        <v>24.026</v>
      </c>
      <c r="N7" s="11">
        <v>24.702000000000002</v>
      </c>
      <c r="O7" s="11">
        <v>25.734999999999999</v>
      </c>
      <c r="P7" s="9"/>
      <c r="Q7" s="9">
        <f t="shared" ref="Q7" si="2">O7-C7</f>
        <v>9.6189999999999998</v>
      </c>
      <c r="T7" s="1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</row>
    <row r="8" spans="1:32" x14ac:dyDescent="0.35">
      <c r="A8" s="287">
        <v>3</v>
      </c>
      <c r="B8" s="10" t="s">
        <v>281</v>
      </c>
      <c r="C8" s="79">
        <v>338.053</v>
      </c>
      <c r="D8" s="11">
        <v>348.61500000000001</v>
      </c>
      <c r="E8" s="11">
        <v>360.68700000000001</v>
      </c>
      <c r="F8" s="11">
        <v>370.43</v>
      </c>
      <c r="G8" s="11">
        <v>380.40499999999997</v>
      </c>
      <c r="H8" s="11">
        <v>393.399</v>
      </c>
      <c r="I8" s="11">
        <v>403.93099999999998</v>
      </c>
      <c r="J8" s="11">
        <v>412.15300000000002</v>
      </c>
      <c r="K8" s="11">
        <v>418.6</v>
      </c>
      <c r="L8" s="11">
        <v>429.84699999999998</v>
      </c>
      <c r="M8" s="11">
        <v>438.91899999999998</v>
      </c>
      <c r="N8" s="11">
        <v>448.91899999999998</v>
      </c>
      <c r="O8" s="11">
        <v>459.76600000000002</v>
      </c>
      <c r="P8" s="9">
        <f>O8-C8</f>
        <v>121.71300000000002</v>
      </c>
      <c r="T8" s="1">
        <v>3</v>
      </c>
      <c r="U8" s="148">
        <f t="shared" ref="U8:AF8" si="3">D8-C8</f>
        <v>10.562000000000012</v>
      </c>
      <c r="V8" s="148">
        <f t="shared" si="3"/>
        <v>12.072000000000003</v>
      </c>
      <c r="W8" s="148">
        <f t="shared" si="3"/>
        <v>9.742999999999995</v>
      </c>
      <c r="X8" s="148">
        <f t="shared" si="3"/>
        <v>9.9749999999999659</v>
      </c>
      <c r="Y8" s="148">
        <f t="shared" si="3"/>
        <v>12.994000000000028</v>
      </c>
      <c r="Z8" s="148">
        <f t="shared" si="3"/>
        <v>10.531999999999982</v>
      </c>
      <c r="AA8" s="148">
        <f t="shared" si="3"/>
        <v>8.2220000000000368</v>
      </c>
      <c r="AB8" s="148">
        <f t="shared" si="3"/>
        <v>6.4470000000000027</v>
      </c>
      <c r="AC8" s="148">
        <f t="shared" si="3"/>
        <v>11.246999999999957</v>
      </c>
      <c r="AD8" s="148">
        <f t="shared" si="3"/>
        <v>9.0720000000000027</v>
      </c>
      <c r="AE8" s="148">
        <f t="shared" si="3"/>
        <v>10</v>
      </c>
      <c r="AF8" s="148">
        <f t="shared" si="3"/>
        <v>10.847000000000037</v>
      </c>
    </row>
    <row r="9" spans="1:32" x14ac:dyDescent="0.35">
      <c r="A9" s="287"/>
      <c r="B9" s="10" t="s">
        <v>344</v>
      </c>
      <c r="C9" s="79">
        <v>43.311</v>
      </c>
      <c r="D9" s="11">
        <v>48.234000000000002</v>
      </c>
      <c r="E9" s="11">
        <v>52.65</v>
      </c>
      <c r="F9" s="11">
        <v>56.296999999999997</v>
      </c>
      <c r="G9" s="11">
        <v>59.371000000000002</v>
      </c>
      <c r="H9" s="11">
        <v>60.511000000000003</v>
      </c>
      <c r="I9" s="11">
        <v>61.16</v>
      </c>
      <c r="J9" s="11">
        <v>61.481000000000002</v>
      </c>
      <c r="K9" s="11">
        <v>61.771999999999998</v>
      </c>
      <c r="L9" s="11">
        <v>62.404000000000003</v>
      </c>
      <c r="M9" s="11">
        <v>63.808</v>
      </c>
      <c r="N9" s="11">
        <v>67.441999999999993</v>
      </c>
      <c r="O9" s="11">
        <v>72.049000000000007</v>
      </c>
      <c r="P9" s="9"/>
      <c r="Q9" s="9">
        <f t="shared" ref="Q9" si="4">O9-C9</f>
        <v>28.738000000000007</v>
      </c>
      <c r="T9" s="1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</row>
    <row r="10" spans="1:32" x14ac:dyDescent="0.35">
      <c r="A10" s="287">
        <v>4</v>
      </c>
      <c r="B10" s="10" t="s">
        <v>152</v>
      </c>
      <c r="C10" s="79">
        <v>407.947</v>
      </c>
      <c r="D10" s="11">
        <v>416.92399999999998</v>
      </c>
      <c r="E10" s="11">
        <v>424.13499999999999</v>
      </c>
      <c r="F10" s="11">
        <v>433.11</v>
      </c>
      <c r="G10" s="11">
        <v>442.024</v>
      </c>
      <c r="H10" s="11">
        <v>450.11799999999999</v>
      </c>
      <c r="I10" s="11">
        <v>459.61700000000002</v>
      </c>
      <c r="J10" s="11">
        <v>466.05200000000002</v>
      </c>
      <c r="K10" s="11">
        <v>473.01400000000001</v>
      </c>
      <c r="L10" s="11">
        <v>481.99099999999999</v>
      </c>
      <c r="M10" s="11">
        <v>489.04599999999999</v>
      </c>
      <c r="N10" s="11">
        <v>497.47199999999998</v>
      </c>
      <c r="O10" s="11">
        <v>506.21300000000002</v>
      </c>
      <c r="P10" s="9">
        <f>O10-C10</f>
        <v>98.26600000000002</v>
      </c>
      <c r="T10" s="1">
        <v>4</v>
      </c>
      <c r="U10" s="148">
        <f t="shared" ref="U10:AF10" si="5">D10-C10</f>
        <v>8.9769999999999754</v>
      </c>
      <c r="V10" s="148">
        <f t="shared" si="5"/>
        <v>7.2110000000000127</v>
      </c>
      <c r="W10" s="148">
        <f t="shared" si="5"/>
        <v>8.9750000000000227</v>
      </c>
      <c r="X10" s="148">
        <f t="shared" si="5"/>
        <v>8.9139999999999873</v>
      </c>
      <c r="Y10" s="148">
        <f t="shared" si="5"/>
        <v>8.0939999999999941</v>
      </c>
      <c r="Z10" s="148">
        <f t="shared" si="5"/>
        <v>9.4990000000000236</v>
      </c>
      <c r="AA10" s="148">
        <f t="shared" si="5"/>
        <v>6.4350000000000023</v>
      </c>
      <c r="AB10" s="148">
        <f t="shared" si="5"/>
        <v>6.9619999999999891</v>
      </c>
      <c r="AC10" s="148">
        <f t="shared" si="5"/>
        <v>8.9769999999999754</v>
      </c>
      <c r="AD10" s="148">
        <f t="shared" si="5"/>
        <v>7.0550000000000068</v>
      </c>
      <c r="AE10" s="148">
        <f t="shared" si="5"/>
        <v>8.4259999999999877</v>
      </c>
      <c r="AF10" s="148">
        <f t="shared" si="5"/>
        <v>8.7410000000000423</v>
      </c>
    </row>
    <row r="11" spans="1:32" x14ac:dyDescent="0.35">
      <c r="A11" s="287"/>
      <c r="B11" s="10" t="s">
        <v>345</v>
      </c>
      <c r="C11" s="79">
        <v>37.265000000000001</v>
      </c>
      <c r="D11" s="11">
        <v>41.493000000000002</v>
      </c>
      <c r="E11" s="11">
        <v>44.997999999999998</v>
      </c>
      <c r="F11" s="11">
        <v>48.1</v>
      </c>
      <c r="G11" s="11">
        <v>50.49</v>
      </c>
      <c r="H11" s="11">
        <v>51.37</v>
      </c>
      <c r="I11" s="11">
        <v>52.12</v>
      </c>
      <c r="J11" s="11">
        <v>52.557000000000002</v>
      </c>
      <c r="K11" s="11">
        <v>53.026000000000003</v>
      </c>
      <c r="L11" s="11">
        <v>53.695</v>
      </c>
      <c r="M11" s="11">
        <v>54.49</v>
      </c>
      <c r="N11" s="11">
        <v>57.212000000000003</v>
      </c>
      <c r="O11" s="11">
        <v>61.01</v>
      </c>
      <c r="P11" s="9"/>
      <c r="Q11" s="9">
        <f t="shared" ref="Q11" si="6">O11-C11</f>
        <v>23.744999999999997</v>
      </c>
      <c r="T11" s="1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</row>
    <row r="12" spans="1:32" x14ac:dyDescent="0.35">
      <c r="A12" s="280">
        <v>5</v>
      </c>
      <c r="B12" s="10" t="s">
        <v>153</v>
      </c>
      <c r="C12" s="79">
        <v>236.27199999999999</v>
      </c>
      <c r="D12" s="11">
        <v>243.38399999999999</v>
      </c>
      <c r="E12" s="11">
        <v>249.35</v>
      </c>
      <c r="F12" s="11">
        <v>256.47800000000001</v>
      </c>
      <c r="G12" s="11">
        <v>262.30700000000002</v>
      </c>
      <c r="H12" s="11">
        <v>269.24700000000001</v>
      </c>
      <c r="I12" s="11">
        <v>274.298</v>
      </c>
      <c r="J12" s="11">
        <v>278.35000000000002</v>
      </c>
      <c r="K12" s="11">
        <v>285.60599999999999</v>
      </c>
      <c r="L12" s="11">
        <v>293.06400000000002</v>
      </c>
      <c r="M12" s="11">
        <v>300.12599999999998</v>
      </c>
      <c r="N12" s="11">
        <v>307.755</v>
      </c>
      <c r="O12" s="11">
        <v>314.98500000000001</v>
      </c>
      <c r="P12" s="9">
        <f>O12-C12</f>
        <v>78.713000000000022</v>
      </c>
      <c r="T12" s="1">
        <v>5</v>
      </c>
      <c r="U12" s="148">
        <f t="shared" ref="U12:AF12" si="7">D12-C12</f>
        <v>7.1119999999999948</v>
      </c>
      <c r="V12" s="148">
        <f t="shared" si="7"/>
        <v>5.9660000000000082</v>
      </c>
      <c r="W12" s="148">
        <f t="shared" si="7"/>
        <v>7.1280000000000143</v>
      </c>
      <c r="X12" s="148">
        <f t="shared" si="7"/>
        <v>5.8290000000000077</v>
      </c>
      <c r="Y12" s="148">
        <f t="shared" si="7"/>
        <v>6.9399999999999977</v>
      </c>
      <c r="Z12" s="148">
        <f t="shared" si="7"/>
        <v>5.0509999999999877</v>
      </c>
      <c r="AA12" s="148">
        <f t="shared" si="7"/>
        <v>4.0520000000000209</v>
      </c>
      <c r="AB12" s="148">
        <f t="shared" si="7"/>
        <v>7.2559999999999718</v>
      </c>
      <c r="AC12" s="148">
        <f t="shared" si="7"/>
        <v>7.4580000000000268</v>
      </c>
      <c r="AD12" s="148">
        <f t="shared" si="7"/>
        <v>7.061999999999955</v>
      </c>
      <c r="AE12" s="148">
        <f t="shared" si="7"/>
        <v>7.6290000000000191</v>
      </c>
      <c r="AF12" s="148">
        <f t="shared" si="7"/>
        <v>7.2300000000000182</v>
      </c>
    </row>
    <row r="13" spans="1:32" x14ac:dyDescent="0.35">
      <c r="A13" s="280"/>
      <c r="B13" s="10" t="s">
        <v>346</v>
      </c>
      <c r="C13" s="79">
        <v>20.024000000000001</v>
      </c>
      <c r="D13" s="11">
        <v>21.963999999999999</v>
      </c>
      <c r="E13" s="11">
        <v>23.382000000000001</v>
      </c>
      <c r="F13" s="11">
        <v>24.623999999999999</v>
      </c>
      <c r="G13" s="11">
        <v>25.605</v>
      </c>
      <c r="H13" s="11">
        <v>26.224</v>
      </c>
      <c r="I13" s="11">
        <v>26.677</v>
      </c>
      <c r="J13" s="11">
        <v>26.992000000000001</v>
      </c>
      <c r="K13" s="11">
        <v>27.443999999999999</v>
      </c>
      <c r="L13" s="11">
        <v>27.974</v>
      </c>
      <c r="M13" s="11">
        <v>28.588000000000001</v>
      </c>
      <c r="N13" s="11">
        <v>29.7</v>
      </c>
      <c r="O13" s="11">
        <v>30.951000000000001</v>
      </c>
      <c r="P13" s="9"/>
      <c r="Q13" s="9">
        <f t="shared" ref="Q13" si="8">O13-C13</f>
        <v>10.927</v>
      </c>
      <c r="T13" s="1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</row>
    <row r="14" spans="1:32" x14ac:dyDescent="0.35">
      <c r="A14" s="280">
        <v>6</v>
      </c>
      <c r="B14" s="10" t="s">
        <v>154</v>
      </c>
      <c r="C14" s="79">
        <v>317.58300000000003</v>
      </c>
      <c r="D14" s="11">
        <v>329.21100000000001</v>
      </c>
      <c r="E14" s="11">
        <v>340.51499999999999</v>
      </c>
      <c r="F14" s="11">
        <v>352.14400000000001</v>
      </c>
      <c r="G14" s="11">
        <v>363.505</v>
      </c>
      <c r="H14" s="11">
        <v>372.548</v>
      </c>
      <c r="I14" s="11">
        <v>382.57799999999997</v>
      </c>
      <c r="J14" s="11">
        <v>386.78100000000001</v>
      </c>
      <c r="K14" s="11">
        <v>394.11799999999999</v>
      </c>
      <c r="L14" s="11">
        <v>402.87200000000001</v>
      </c>
      <c r="M14" s="11">
        <v>414.31099999999998</v>
      </c>
      <c r="N14" s="11">
        <v>425.78100000000001</v>
      </c>
      <c r="O14" s="11">
        <v>435.55900000000003</v>
      </c>
      <c r="P14" s="9">
        <f>O14-C14</f>
        <v>117.976</v>
      </c>
      <c r="T14" s="1">
        <v>6</v>
      </c>
      <c r="U14" s="148">
        <f t="shared" ref="U14:AF14" si="9">D14-C14</f>
        <v>11.627999999999986</v>
      </c>
      <c r="V14" s="148">
        <f t="shared" si="9"/>
        <v>11.303999999999974</v>
      </c>
      <c r="W14" s="148">
        <f t="shared" si="9"/>
        <v>11.629000000000019</v>
      </c>
      <c r="X14" s="148">
        <f t="shared" si="9"/>
        <v>11.36099999999999</v>
      </c>
      <c r="Y14" s="148">
        <f t="shared" si="9"/>
        <v>9.0430000000000064</v>
      </c>
      <c r="Z14" s="148">
        <f t="shared" si="9"/>
        <v>10.029999999999973</v>
      </c>
      <c r="AA14" s="148">
        <f t="shared" si="9"/>
        <v>4.2030000000000314</v>
      </c>
      <c r="AB14" s="148">
        <f t="shared" si="9"/>
        <v>7.3369999999999891</v>
      </c>
      <c r="AC14" s="148">
        <f t="shared" si="9"/>
        <v>8.7540000000000191</v>
      </c>
      <c r="AD14" s="148">
        <f t="shared" si="9"/>
        <v>11.438999999999965</v>
      </c>
      <c r="AE14" s="148">
        <f t="shared" si="9"/>
        <v>11.470000000000027</v>
      </c>
      <c r="AF14" s="148">
        <f t="shared" si="9"/>
        <v>9.77800000000002</v>
      </c>
    </row>
    <row r="15" spans="1:32" x14ac:dyDescent="0.35">
      <c r="A15" s="280"/>
      <c r="B15" s="10" t="s">
        <v>347</v>
      </c>
      <c r="C15" s="79">
        <v>30.803999999999998</v>
      </c>
      <c r="D15" s="11">
        <v>34.860999999999997</v>
      </c>
      <c r="E15" s="11">
        <v>38.664999999999999</v>
      </c>
      <c r="F15" s="11">
        <v>41.591999999999999</v>
      </c>
      <c r="G15" s="11">
        <v>43.71</v>
      </c>
      <c r="H15" s="11">
        <v>44.591999999999999</v>
      </c>
      <c r="I15" s="11">
        <v>45.341000000000001</v>
      </c>
      <c r="J15" s="11">
        <v>45.616999999999997</v>
      </c>
      <c r="K15" s="11">
        <v>46.066000000000003</v>
      </c>
      <c r="L15" s="11">
        <v>46.646000000000001</v>
      </c>
      <c r="M15" s="11">
        <v>47.726999999999997</v>
      </c>
      <c r="N15" s="11">
        <v>50.293999999999997</v>
      </c>
      <c r="O15" s="11">
        <v>53.597999999999999</v>
      </c>
      <c r="P15" s="9"/>
      <c r="Q15" s="9">
        <f t="shared" ref="Q15" si="10">O15-C15</f>
        <v>22.794</v>
      </c>
      <c r="T15" s="1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</row>
    <row r="16" spans="1:32" x14ac:dyDescent="0.35">
      <c r="A16" s="280">
        <v>7</v>
      </c>
      <c r="B16" s="10" t="s">
        <v>155</v>
      </c>
      <c r="C16" s="79">
        <v>38.226999999999997</v>
      </c>
      <c r="D16" s="11">
        <v>40.070999999999998</v>
      </c>
      <c r="E16" s="11">
        <v>41.381999999999998</v>
      </c>
      <c r="F16" s="11">
        <v>42.241</v>
      </c>
      <c r="G16" s="11">
        <v>43.442</v>
      </c>
      <c r="H16" s="11">
        <v>44.210999999999999</v>
      </c>
      <c r="I16" s="11">
        <v>45.322000000000003</v>
      </c>
      <c r="J16" s="11">
        <v>45.686999999999998</v>
      </c>
      <c r="K16" s="11">
        <v>47.944000000000003</v>
      </c>
      <c r="L16" s="11">
        <v>51.250999999999998</v>
      </c>
      <c r="M16" s="11">
        <v>56.456000000000003</v>
      </c>
      <c r="N16" s="11">
        <v>59.877000000000002</v>
      </c>
      <c r="O16" s="11">
        <v>60.945</v>
      </c>
      <c r="P16" s="9">
        <f>O16-C16</f>
        <v>22.718000000000004</v>
      </c>
      <c r="T16" s="1">
        <v>7</v>
      </c>
      <c r="U16" s="148">
        <f t="shared" ref="U16:AF16" si="11">D16-C16</f>
        <v>1.8440000000000012</v>
      </c>
      <c r="V16" s="148">
        <f t="shared" si="11"/>
        <v>1.3109999999999999</v>
      </c>
      <c r="W16" s="148">
        <f t="shared" si="11"/>
        <v>0.85900000000000176</v>
      </c>
      <c r="X16" s="148">
        <f t="shared" si="11"/>
        <v>1.2010000000000005</v>
      </c>
      <c r="Y16" s="148">
        <f t="shared" si="11"/>
        <v>0.76899999999999835</v>
      </c>
      <c r="Z16" s="148">
        <f t="shared" si="11"/>
        <v>1.1110000000000042</v>
      </c>
      <c r="AA16" s="148">
        <f t="shared" si="11"/>
        <v>0.36499999999999488</v>
      </c>
      <c r="AB16" s="148">
        <f t="shared" si="11"/>
        <v>2.257000000000005</v>
      </c>
      <c r="AC16" s="148">
        <f t="shared" si="11"/>
        <v>3.3069999999999951</v>
      </c>
      <c r="AD16" s="148">
        <f t="shared" si="11"/>
        <v>5.2050000000000054</v>
      </c>
      <c r="AE16" s="148">
        <f t="shared" si="11"/>
        <v>3.4209999999999994</v>
      </c>
      <c r="AF16" s="148">
        <f t="shared" si="11"/>
        <v>1.0679999999999978</v>
      </c>
    </row>
    <row r="17" spans="1:32" x14ac:dyDescent="0.35">
      <c r="A17" s="280"/>
      <c r="B17" s="10" t="s">
        <v>348</v>
      </c>
      <c r="C17" s="79">
        <v>12.76</v>
      </c>
      <c r="D17" s="11">
        <v>15.17</v>
      </c>
      <c r="E17" s="11">
        <v>16.905999999999999</v>
      </c>
      <c r="F17" s="11">
        <v>17.754000000000001</v>
      </c>
      <c r="G17" s="11">
        <v>18.391999999999999</v>
      </c>
      <c r="H17" s="11">
        <v>18.402999999999999</v>
      </c>
      <c r="I17" s="11">
        <v>18.43</v>
      </c>
      <c r="J17" s="11">
        <v>18.434000000000001</v>
      </c>
      <c r="K17" s="11">
        <v>18.475999999999999</v>
      </c>
      <c r="L17" s="11">
        <v>18.558</v>
      </c>
      <c r="M17" s="11">
        <v>19.312000000000001</v>
      </c>
      <c r="N17" s="11">
        <v>21.597000000000001</v>
      </c>
      <c r="O17" s="11">
        <v>24.091999999999999</v>
      </c>
      <c r="P17" s="9"/>
      <c r="Q17" s="9">
        <f t="shared" ref="Q17" si="12">O17-C17</f>
        <v>11.331999999999999</v>
      </c>
      <c r="T17" s="1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x14ac:dyDescent="0.35">
      <c r="A18" s="280">
        <v>8</v>
      </c>
      <c r="B18" s="10" t="s">
        <v>156</v>
      </c>
      <c r="C18" s="79">
        <v>355.34199999999998</v>
      </c>
      <c r="D18" s="11">
        <v>365.01</v>
      </c>
      <c r="E18" s="11">
        <v>372.35700000000003</v>
      </c>
      <c r="F18" s="11">
        <v>382.33300000000003</v>
      </c>
      <c r="G18" s="11">
        <v>391.291</v>
      </c>
      <c r="H18" s="11">
        <v>401.23</v>
      </c>
      <c r="I18" s="11">
        <v>408.69499999999999</v>
      </c>
      <c r="J18" s="11">
        <v>416.755</v>
      </c>
      <c r="K18" s="11">
        <v>424.10500000000002</v>
      </c>
      <c r="L18" s="11">
        <v>433.62599999999998</v>
      </c>
      <c r="M18" s="11">
        <v>444.86599999999999</v>
      </c>
      <c r="N18" s="11">
        <v>453.2</v>
      </c>
      <c r="O18" s="11">
        <v>464.17700000000002</v>
      </c>
      <c r="P18" s="9">
        <f>O18-C18</f>
        <v>108.83500000000004</v>
      </c>
      <c r="T18" s="1">
        <v>8</v>
      </c>
      <c r="U18" s="148">
        <f t="shared" ref="U18:AF18" si="13">D18-C18</f>
        <v>9.6680000000000064</v>
      </c>
      <c r="V18" s="148">
        <f t="shared" si="13"/>
        <v>7.3470000000000368</v>
      </c>
      <c r="W18" s="148">
        <f t="shared" si="13"/>
        <v>9.9759999999999991</v>
      </c>
      <c r="X18" s="148">
        <f t="shared" si="13"/>
        <v>8.95799999999997</v>
      </c>
      <c r="Y18" s="148">
        <f t="shared" si="13"/>
        <v>9.9390000000000214</v>
      </c>
      <c r="Z18" s="148">
        <f t="shared" si="13"/>
        <v>7.464999999999975</v>
      </c>
      <c r="AA18" s="148">
        <f t="shared" si="13"/>
        <v>8.0600000000000023</v>
      </c>
      <c r="AB18" s="148">
        <f t="shared" si="13"/>
        <v>7.3500000000000227</v>
      </c>
      <c r="AC18" s="148">
        <f t="shared" si="13"/>
        <v>9.5209999999999582</v>
      </c>
      <c r="AD18" s="148">
        <f t="shared" si="13"/>
        <v>11.240000000000009</v>
      </c>
      <c r="AE18" s="148">
        <f t="shared" si="13"/>
        <v>8.3340000000000032</v>
      </c>
      <c r="AF18" s="148">
        <f t="shared" si="13"/>
        <v>10.977000000000032</v>
      </c>
    </row>
    <row r="19" spans="1:32" x14ac:dyDescent="0.35">
      <c r="A19" s="280"/>
      <c r="B19" s="10" t="s">
        <v>349</v>
      </c>
      <c r="C19" s="79">
        <v>19.527999999999999</v>
      </c>
      <c r="D19" s="11">
        <v>21.52</v>
      </c>
      <c r="E19" s="11">
        <v>22.847999999999999</v>
      </c>
      <c r="F19" s="11">
        <v>24.062000000000001</v>
      </c>
      <c r="G19" s="11">
        <v>24.77</v>
      </c>
      <c r="H19" s="11">
        <v>25.448</v>
      </c>
      <c r="I19" s="11">
        <v>25.940999999999999</v>
      </c>
      <c r="J19" s="11">
        <v>26.353000000000002</v>
      </c>
      <c r="K19" s="11">
        <v>26.738</v>
      </c>
      <c r="L19" s="11">
        <v>27.26</v>
      </c>
      <c r="M19" s="11">
        <v>27.869</v>
      </c>
      <c r="N19" s="11">
        <v>29.331</v>
      </c>
      <c r="O19" s="11">
        <v>31.794</v>
      </c>
      <c r="P19" s="9"/>
      <c r="Q19" s="9">
        <f t="shared" ref="Q19" si="14">O19-C19</f>
        <v>12.266000000000002</v>
      </c>
      <c r="T19" s="1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x14ac:dyDescent="0.35">
      <c r="A20" s="280">
        <v>9</v>
      </c>
      <c r="B20" s="10" t="s">
        <v>425</v>
      </c>
      <c r="C20" s="79">
        <v>11.177</v>
      </c>
      <c r="D20" s="11">
        <v>22.076000000000001</v>
      </c>
      <c r="E20" s="11">
        <v>30.463000000000001</v>
      </c>
      <c r="F20" s="11">
        <v>39.345999999999997</v>
      </c>
      <c r="G20" s="11">
        <v>47.101999999999997</v>
      </c>
      <c r="H20" s="11">
        <v>57.145000000000003</v>
      </c>
      <c r="I20" s="11">
        <v>66.822000000000003</v>
      </c>
      <c r="J20" s="11">
        <v>72.727000000000004</v>
      </c>
      <c r="K20" s="11">
        <v>81.36</v>
      </c>
      <c r="L20" s="11">
        <v>84.902000000000001</v>
      </c>
      <c r="M20" s="11">
        <v>97.893000000000001</v>
      </c>
      <c r="N20" s="11">
        <v>109.389</v>
      </c>
      <c r="O20" s="11">
        <v>120.553</v>
      </c>
      <c r="P20" s="9">
        <f>O20-G33+G32-C20</f>
        <v>214.96900000000002</v>
      </c>
      <c r="T20" s="1">
        <v>9</v>
      </c>
      <c r="U20" s="148">
        <f t="shared" ref="U20:AF20" si="15">D20-C20</f>
        <v>10.899000000000001</v>
      </c>
      <c r="V20" s="148">
        <f t="shared" si="15"/>
        <v>8.3870000000000005</v>
      </c>
      <c r="W20" s="148">
        <f t="shared" si="15"/>
        <v>8.8829999999999956</v>
      </c>
      <c r="X20" s="148">
        <f t="shared" si="15"/>
        <v>7.7560000000000002</v>
      </c>
      <c r="Y20" s="148">
        <f t="shared" si="15"/>
        <v>10.043000000000006</v>
      </c>
      <c r="Z20" s="148">
        <f t="shared" si="15"/>
        <v>9.6769999999999996</v>
      </c>
      <c r="AA20" s="148">
        <f t="shared" si="15"/>
        <v>5.9050000000000011</v>
      </c>
      <c r="AB20" s="148">
        <f t="shared" si="15"/>
        <v>8.6329999999999956</v>
      </c>
      <c r="AC20" s="148">
        <f t="shared" si="15"/>
        <v>3.5420000000000016</v>
      </c>
      <c r="AD20" s="148">
        <f t="shared" si="15"/>
        <v>12.991</v>
      </c>
      <c r="AE20" s="148">
        <f t="shared" si="15"/>
        <v>11.495999999999995</v>
      </c>
      <c r="AF20" s="148">
        <f t="shared" si="15"/>
        <v>11.164000000000001</v>
      </c>
    </row>
    <row r="21" spans="1:32" x14ac:dyDescent="0.35">
      <c r="A21" s="280"/>
      <c r="B21" s="10" t="s">
        <v>350</v>
      </c>
      <c r="C21" s="79">
        <v>43.024999999999999</v>
      </c>
      <c r="D21" s="11">
        <v>47.911999999999999</v>
      </c>
      <c r="E21" s="11">
        <v>52.65</v>
      </c>
      <c r="F21" s="11">
        <v>57.88</v>
      </c>
      <c r="G21" s="11">
        <v>61.39</v>
      </c>
      <c r="H21" s="11">
        <v>62.829000000000001</v>
      </c>
      <c r="I21" s="11">
        <v>63.68</v>
      </c>
      <c r="J21" s="11">
        <v>64.126999999999995</v>
      </c>
      <c r="K21" s="11">
        <v>64.658000000000001</v>
      </c>
      <c r="L21" s="11">
        <v>65.007999999999996</v>
      </c>
      <c r="M21" s="11">
        <v>66.144000000000005</v>
      </c>
      <c r="N21" s="11">
        <v>69.594999999999999</v>
      </c>
      <c r="O21" s="11">
        <v>75.11</v>
      </c>
      <c r="P21" s="9"/>
      <c r="Q21" s="9">
        <f t="shared" ref="Q21" si="16">O21-C21</f>
        <v>32.085000000000001</v>
      </c>
      <c r="T21" s="1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35">
      <c r="A22" s="280">
        <v>10</v>
      </c>
      <c r="B22" s="10" t="s">
        <v>157</v>
      </c>
      <c r="C22" s="79">
        <v>283.97399999999999</v>
      </c>
      <c r="D22" s="11">
        <v>291.96300000000002</v>
      </c>
      <c r="E22" s="11">
        <v>298.702</v>
      </c>
      <c r="F22" s="11">
        <v>305.03399999999999</v>
      </c>
      <c r="G22" s="11">
        <v>312.13900000000001</v>
      </c>
      <c r="H22" s="11">
        <v>317.95</v>
      </c>
      <c r="I22" s="11">
        <v>325.39699999999999</v>
      </c>
      <c r="J22" s="11">
        <v>330.702</v>
      </c>
      <c r="K22" s="11">
        <v>334.84899999999999</v>
      </c>
      <c r="L22" s="11">
        <v>341.33</v>
      </c>
      <c r="M22" s="11">
        <v>348.84300000000002</v>
      </c>
      <c r="N22" s="11">
        <v>354.589</v>
      </c>
      <c r="O22" s="11">
        <v>362.08100000000002</v>
      </c>
      <c r="P22" s="9">
        <f>O22-C22</f>
        <v>78.107000000000028</v>
      </c>
      <c r="T22" s="1">
        <v>10</v>
      </c>
      <c r="U22" s="148">
        <f t="shared" ref="U22:AF22" si="17">D22-C22</f>
        <v>7.9890000000000327</v>
      </c>
      <c r="V22" s="148">
        <f t="shared" si="17"/>
        <v>6.7389999999999759</v>
      </c>
      <c r="W22" s="148">
        <f t="shared" si="17"/>
        <v>6.3319999999999936</v>
      </c>
      <c r="X22" s="148">
        <f t="shared" si="17"/>
        <v>7.1050000000000182</v>
      </c>
      <c r="Y22" s="148">
        <f t="shared" si="17"/>
        <v>5.8109999999999786</v>
      </c>
      <c r="Z22" s="148">
        <f t="shared" si="17"/>
        <v>7.4470000000000027</v>
      </c>
      <c r="AA22" s="148">
        <f t="shared" si="17"/>
        <v>5.3050000000000068</v>
      </c>
      <c r="AB22" s="148">
        <f t="shared" si="17"/>
        <v>4.1469999999999914</v>
      </c>
      <c r="AC22" s="148">
        <f t="shared" si="17"/>
        <v>6.4809999999999945</v>
      </c>
      <c r="AD22" s="148">
        <f t="shared" si="17"/>
        <v>7.5130000000000337</v>
      </c>
      <c r="AE22" s="148">
        <f t="shared" si="17"/>
        <v>5.7459999999999809</v>
      </c>
      <c r="AF22" s="148">
        <f t="shared" si="17"/>
        <v>7.4920000000000186</v>
      </c>
    </row>
    <row r="23" spans="1:32" x14ac:dyDescent="0.35">
      <c r="A23" s="280"/>
      <c r="B23" s="10" t="s">
        <v>351</v>
      </c>
      <c r="C23" s="79">
        <v>28.408999999999999</v>
      </c>
      <c r="D23" s="11">
        <v>32.183999999999997</v>
      </c>
      <c r="E23" s="11">
        <v>35.319000000000003</v>
      </c>
      <c r="F23" s="11">
        <v>37.557000000000002</v>
      </c>
      <c r="G23" s="11">
        <v>38.880000000000003</v>
      </c>
      <c r="H23" s="11">
        <v>39.450000000000003</v>
      </c>
      <c r="I23" s="11">
        <v>40.040999999999997</v>
      </c>
      <c r="J23" s="11">
        <v>40.417999999999999</v>
      </c>
      <c r="K23" s="11">
        <v>40.755000000000003</v>
      </c>
      <c r="L23" s="11">
        <v>41.29</v>
      </c>
      <c r="M23" s="11">
        <v>42.302999999999997</v>
      </c>
      <c r="N23" s="11">
        <v>44.606000000000002</v>
      </c>
      <c r="O23" s="11">
        <v>48.122999999999998</v>
      </c>
      <c r="P23" s="13"/>
      <c r="Q23" s="99">
        <f>O23-C23</f>
        <v>19.713999999999999</v>
      </c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x14ac:dyDescent="0.35">
      <c r="A24" s="115"/>
      <c r="B24" s="10"/>
      <c r="C24" s="80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1050.8370000000002</v>
      </c>
      <c r="Q24" s="9">
        <f>SUM(Q4:Q23)</f>
        <v>193.89600000000002</v>
      </c>
    </row>
    <row r="25" spans="1:32" x14ac:dyDescent="0.35">
      <c r="A25" s="115" t="s">
        <v>15</v>
      </c>
      <c r="B25" s="10" t="s">
        <v>282</v>
      </c>
      <c r="C25" s="80">
        <v>7868</v>
      </c>
      <c r="D25" s="15">
        <v>8048</v>
      </c>
      <c r="E25" s="15">
        <v>8224</v>
      </c>
      <c r="F25" s="15">
        <v>8419</v>
      </c>
      <c r="G25" s="15">
        <v>8612</v>
      </c>
      <c r="H25" s="15">
        <v>8787</v>
      </c>
      <c r="I25" s="15">
        <v>8912</v>
      </c>
      <c r="J25" s="15">
        <v>9065</v>
      </c>
      <c r="K25" s="15">
        <v>9241</v>
      </c>
      <c r="L25" s="15">
        <v>9442</v>
      </c>
      <c r="M25" s="15">
        <v>9631</v>
      </c>
      <c r="N25" s="15">
        <v>9880</v>
      </c>
      <c r="O25" s="15">
        <v>10067</v>
      </c>
      <c r="P25" s="9"/>
      <c r="R25" s="16">
        <f>O25-C25</f>
        <v>2199</v>
      </c>
    </row>
    <row r="26" spans="1:32" x14ac:dyDescent="0.35">
      <c r="A26" s="115"/>
      <c r="B26" s="10" t="s">
        <v>158</v>
      </c>
      <c r="C26" s="81">
        <v>3438.2</v>
      </c>
      <c r="D26" s="18">
        <v>3533.8</v>
      </c>
      <c r="E26" s="18">
        <v>3620.3</v>
      </c>
      <c r="F26" s="18">
        <v>3712.2</v>
      </c>
      <c r="G26" s="18">
        <v>3799.2</v>
      </c>
      <c r="H26" s="18">
        <v>3889.2</v>
      </c>
      <c r="I26" s="18">
        <v>3976.6</v>
      </c>
      <c r="J26" s="18">
        <v>4041.2</v>
      </c>
      <c r="K26" s="18">
        <v>4117.6000000000004</v>
      </c>
      <c r="L26" s="18">
        <v>4205.3</v>
      </c>
      <c r="M26" s="18">
        <v>4303.8</v>
      </c>
      <c r="N26" s="18">
        <v>4395.3999999999996</v>
      </c>
      <c r="O26" s="18">
        <v>4486.8</v>
      </c>
      <c r="P26" s="9">
        <f>O26-C26</f>
        <v>1048.6000000000004</v>
      </c>
    </row>
    <row r="27" spans="1:32" x14ac:dyDescent="0.35">
      <c r="A27" s="115"/>
      <c r="B27" s="10" t="s">
        <v>16</v>
      </c>
      <c r="C27" s="82">
        <v>223.61</v>
      </c>
      <c r="D27" s="19">
        <v>233.37</v>
      </c>
      <c r="E27" s="19">
        <v>241.66</v>
      </c>
      <c r="F27" s="19">
        <v>248.74</v>
      </c>
      <c r="G27" s="19">
        <v>253.76</v>
      </c>
      <c r="H27" s="19">
        <v>255.48</v>
      </c>
      <c r="I27" s="19">
        <v>256.61</v>
      </c>
      <c r="J27" s="19">
        <v>257.22000000000003</v>
      </c>
      <c r="K27" s="19">
        <v>2.4500000000000002</v>
      </c>
      <c r="L27" s="19">
        <v>5.95</v>
      </c>
      <c r="M27" s="19">
        <v>14.29</v>
      </c>
      <c r="N27" s="19">
        <v>38.04</v>
      </c>
      <c r="O27" s="19">
        <v>71.599999999999994</v>
      </c>
      <c r="P27" s="9"/>
      <c r="Q27" s="271">
        <f>(J27-C27)*3.6+O27</f>
        <v>192.59600000000006</v>
      </c>
      <c r="R27" t="s">
        <v>95</v>
      </c>
    </row>
    <row r="28" spans="1:32" ht="15" thickBot="1" x14ac:dyDescent="0.4">
      <c r="A28" s="4"/>
      <c r="B28" s="26" t="s">
        <v>17</v>
      </c>
      <c r="C28" s="83">
        <v>8842</v>
      </c>
      <c r="D28" s="21">
        <v>9058</v>
      </c>
      <c r="E28" s="21">
        <v>9239</v>
      </c>
      <c r="F28" s="21">
        <v>9403</v>
      </c>
      <c r="G28" s="21">
        <v>9510</v>
      </c>
      <c r="H28" s="21">
        <v>9557</v>
      </c>
      <c r="I28" s="21">
        <v>9590</v>
      </c>
      <c r="J28" s="21">
        <v>9610</v>
      </c>
      <c r="K28" s="21">
        <v>22</v>
      </c>
      <c r="L28" s="21">
        <v>50</v>
      </c>
      <c r="M28" s="21">
        <v>107</v>
      </c>
      <c r="N28" s="21">
        <v>251.3</v>
      </c>
      <c r="O28" s="21">
        <v>448</v>
      </c>
      <c r="P28" s="9"/>
      <c r="Q28" s="272">
        <f>J28-C28+O28</f>
        <v>1216</v>
      </c>
      <c r="R28" t="s">
        <v>96</v>
      </c>
    </row>
    <row r="29" spans="1:32" ht="15" thickBot="1" x14ac:dyDescent="0.4">
      <c r="A29" s="116" t="str">
        <f>'1850'!A29</f>
        <v>fakturační vodoměr č.         63796</v>
      </c>
      <c r="B29" s="22"/>
      <c r="C29" s="84">
        <f>'1850'!C29</f>
        <v>20281.099999999999</v>
      </c>
      <c r="D29" s="84">
        <f>'1850'!D29</f>
        <v>20614.3</v>
      </c>
      <c r="E29" s="84">
        <f>'1850'!E29</f>
        <v>20910.099999999999</v>
      </c>
      <c r="F29" s="84">
        <f>'1850'!F29</f>
        <v>21247.4</v>
      </c>
      <c r="G29" s="84">
        <f>'1850'!G29</f>
        <v>21572.2</v>
      </c>
      <c r="H29" s="84">
        <f>'1850'!H29</f>
        <v>21932.7</v>
      </c>
      <c r="I29" s="84">
        <f>'1850'!I29</f>
        <v>22298.9</v>
      </c>
      <c r="J29" s="84">
        <f>'1850'!J29</f>
        <v>22571.5</v>
      </c>
      <c r="K29" s="84">
        <f>'1850'!K29</f>
        <v>22887.599999999999</v>
      </c>
      <c r="L29" s="84">
        <f>'1850'!L29</f>
        <v>23211.599999999999</v>
      </c>
      <c r="M29" s="84">
        <f>'1850'!M29</f>
        <v>23544</v>
      </c>
      <c r="N29" s="84">
        <f>'1850'!N29</f>
        <v>23869.200000000001</v>
      </c>
      <c r="O29" s="84">
        <f>'1850'!O29</f>
        <v>24212</v>
      </c>
      <c r="P29" s="9">
        <f>O29-C29</f>
        <v>3930.9000000000015</v>
      </c>
    </row>
    <row r="31" spans="1:32" x14ac:dyDescent="0.35">
      <c r="C31" s="244" t="s">
        <v>212</v>
      </c>
      <c r="D31" s="25" t="s">
        <v>227</v>
      </c>
      <c r="F31" s="244" t="s">
        <v>305</v>
      </c>
      <c r="G31" s="244" t="s">
        <v>306</v>
      </c>
      <c r="I31" s="270" t="s">
        <v>431</v>
      </c>
      <c r="J31" s="232"/>
      <c r="K31" s="232"/>
      <c r="L31" s="231"/>
      <c r="M31" s="233" t="s">
        <v>301</v>
      </c>
      <c r="N31" s="234">
        <v>257.22000000000003</v>
      </c>
      <c r="O31" s="231" t="s">
        <v>239</v>
      </c>
    </row>
    <row r="32" spans="1:32" x14ac:dyDescent="0.35">
      <c r="C32" s="289">
        <v>9</v>
      </c>
      <c r="D32" s="290">
        <v>43950</v>
      </c>
      <c r="E32" s="86" t="s">
        <v>225</v>
      </c>
      <c r="F32" s="108">
        <v>190834113</v>
      </c>
      <c r="G32" s="111">
        <f>M20+7.7</f>
        <v>105.593</v>
      </c>
      <c r="I32" s="270" t="s">
        <v>432</v>
      </c>
      <c r="J32" s="232"/>
      <c r="K32" s="232"/>
      <c r="L32" s="231"/>
      <c r="M32" s="233" t="s">
        <v>301</v>
      </c>
      <c r="N32" s="234">
        <v>0</v>
      </c>
      <c r="O32" s="270" t="s">
        <v>95</v>
      </c>
    </row>
    <row r="33" spans="3:8" x14ac:dyDescent="0.35">
      <c r="C33" s="289"/>
      <c r="D33" s="290"/>
      <c r="E33" s="86" t="s">
        <v>226</v>
      </c>
      <c r="F33" s="108">
        <v>221525380</v>
      </c>
      <c r="G33" s="111">
        <v>0</v>
      </c>
    </row>
    <row r="35" spans="3:8" x14ac:dyDescent="0.35">
      <c r="D35" t="s">
        <v>235</v>
      </c>
    </row>
    <row r="36" spans="3:8" x14ac:dyDescent="0.35">
      <c r="D36" s="290">
        <v>43956</v>
      </c>
      <c r="E36" s="86" t="s">
        <v>225</v>
      </c>
      <c r="F36" s="293"/>
      <c r="G36" s="292"/>
      <c r="H36" s="108"/>
    </row>
    <row r="37" spans="3:8" x14ac:dyDescent="0.35">
      <c r="D37" s="290"/>
      <c r="E37" s="86" t="s">
        <v>226</v>
      </c>
      <c r="F37" s="292"/>
      <c r="G37" s="292"/>
      <c r="H37" s="108"/>
    </row>
  </sheetData>
  <sheetProtection selectLockedCells="1" selectUnlockedCells="1"/>
  <mergeCells count="15">
    <mergeCell ref="D36:D37"/>
    <mergeCell ref="F36:G36"/>
    <mergeCell ref="F37:G37"/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C29:O29">
    <cfRule type="cellIs" dxfId="3666" priority="310" stopIfTrue="1" operator="equal">
      <formula>0</formula>
    </cfRule>
  </conditionalFormatting>
  <conditionalFormatting sqref="D4">
    <cfRule type="cellIs" dxfId="3665" priority="38" stopIfTrue="1" operator="lessThan">
      <formula>$C$4</formula>
    </cfRule>
    <cfRule type="cellIs" dxfId="3664" priority="39" stopIfTrue="1" operator="equal">
      <formula>$C$4</formula>
    </cfRule>
  </conditionalFormatting>
  <conditionalFormatting sqref="D5">
    <cfRule type="cellIs" dxfId="3663" priority="43" stopIfTrue="1" operator="lessThan">
      <formula>$C$5</formula>
    </cfRule>
    <cfRule type="cellIs" dxfId="3662" priority="42" stopIfTrue="1" operator="equal">
      <formula>$C$5</formula>
    </cfRule>
  </conditionalFormatting>
  <conditionalFormatting sqref="D6">
    <cfRule type="cellIs" dxfId="3661" priority="50" stopIfTrue="1" operator="lessThan">
      <formula>$C$6</formula>
    </cfRule>
    <cfRule type="cellIs" dxfId="3660" priority="49" stopIfTrue="1" operator="equal">
      <formula>$C$6</formula>
    </cfRule>
  </conditionalFormatting>
  <conditionalFormatting sqref="D7">
    <cfRule type="cellIs" dxfId="3659" priority="63" stopIfTrue="1" operator="equal">
      <formula>$C$7</formula>
    </cfRule>
    <cfRule type="cellIs" dxfId="3658" priority="64" stopIfTrue="1" operator="lessThan">
      <formula>$C$7</formula>
    </cfRule>
  </conditionalFormatting>
  <conditionalFormatting sqref="D8">
    <cfRule type="cellIs" dxfId="3657" priority="76" stopIfTrue="1" operator="lessThan">
      <formula>$C$8</formula>
    </cfRule>
    <cfRule type="cellIs" dxfId="3656" priority="75" stopIfTrue="1" operator="equal">
      <formula>$C$8</formula>
    </cfRule>
  </conditionalFormatting>
  <conditionalFormatting sqref="D9">
    <cfRule type="cellIs" dxfId="3655" priority="89" stopIfTrue="1" operator="equal">
      <formula>$C$9</formula>
    </cfRule>
    <cfRule type="cellIs" dxfId="3654" priority="90" stopIfTrue="1" operator="lessThan">
      <formula>$C$9</formula>
    </cfRule>
  </conditionalFormatting>
  <conditionalFormatting sqref="D10">
    <cfRule type="cellIs" dxfId="3653" priority="103" stopIfTrue="1" operator="equal">
      <formula>$C$10</formula>
    </cfRule>
    <cfRule type="cellIs" dxfId="3652" priority="104" stopIfTrue="1" operator="lessThan">
      <formula>$C$10</formula>
    </cfRule>
  </conditionalFormatting>
  <conditionalFormatting sqref="D11">
    <cfRule type="cellIs" dxfId="3651" priority="118" stopIfTrue="1" operator="lessThan">
      <formula>$C$11</formula>
    </cfRule>
    <cfRule type="cellIs" dxfId="3650" priority="117" stopIfTrue="1" operator="equal">
      <formula>$C$11</formula>
    </cfRule>
  </conditionalFormatting>
  <conditionalFormatting sqref="D12">
    <cfRule type="cellIs" dxfId="3649" priority="132" stopIfTrue="1" operator="lessThan">
      <formula>$C$12</formula>
    </cfRule>
    <cfRule type="cellIs" dxfId="3648" priority="131" stopIfTrue="1" operator="equal">
      <formula>$C$12</formula>
    </cfRule>
  </conditionalFormatting>
  <conditionalFormatting sqref="D13">
    <cfRule type="cellIs" dxfId="3647" priority="264" stopIfTrue="1" operator="lessThan">
      <formula>$C$13</formula>
    </cfRule>
    <cfRule type="cellIs" dxfId="3646" priority="263" stopIfTrue="1" operator="equal">
      <formula>$C$13</formula>
    </cfRule>
  </conditionalFormatting>
  <conditionalFormatting sqref="D14">
    <cfRule type="cellIs" dxfId="3645" priority="146" stopIfTrue="1" operator="lessThan">
      <formula>$C$14</formula>
    </cfRule>
    <cfRule type="cellIs" dxfId="3644" priority="145" stopIfTrue="1" operator="equal">
      <formula>$C$14</formula>
    </cfRule>
  </conditionalFormatting>
  <conditionalFormatting sqref="D15">
    <cfRule type="cellIs" dxfId="3643" priority="148" stopIfTrue="1" operator="lessThan">
      <formula>$C$15</formula>
    </cfRule>
    <cfRule type="cellIs" dxfId="3642" priority="147" stopIfTrue="1" operator="equal">
      <formula>$C$15</formula>
    </cfRule>
  </conditionalFormatting>
  <conditionalFormatting sqref="D16">
    <cfRule type="cellIs" dxfId="3641" priority="150" stopIfTrue="1" operator="lessThan">
      <formula>$C$16</formula>
    </cfRule>
    <cfRule type="cellIs" dxfId="3640" priority="149" stopIfTrue="1" operator="equal">
      <formula>$C$16</formula>
    </cfRule>
  </conditionalFormatting>
  <conditionalFormatting sqref="D17">
    <cfRule type="cellIs" dxfId="3639" priority="152" stopIfTrue="1" operator="lessThan">
      <formula>$C$17</formula>
    </cfRule>
    <cfRule type="cellIs" dxfId="3638" priority="151" stopIfTrue="1" operator="equal">
      <formula>$C$17</formula>
    </cfRule>
  </conditionalFormatting>
  <conditionalFormatting sqref="D18">
    <cfRule type="cellIs" dxfId="3637" priority="154" stopIfTrue="1" operator="lessThan">
      <formula>$C$18</formula>
    </cfRule>
    <cfRule type="cellIs" dxfId="3636" priority="153" stopIfTrue="1" operator="equal">
      <formula>$C$18</formula>
    </cfRule>
  </conditionalFormatting>
  <conditionalFormatting sqref="D19">
    <cfRule type="cellIs" dxfId="3635" priority="156" stopIfTrue="1" operator="lessThan">
      <formula>$C$19</formula>
    </cfRule>
    <cfRule type="cellIs" dxfId="3634" priority="155" stopIfTrue="1" operator="equal">
      <formula>$C$19</formula>
    </cfRule>
  </conditionalFormatting>
  <conditionalFormatting sqref="D20">
    <cfRule type="cellIs" dxfId="3633" priority="158" stopIfTrue="1" operator="lessThan">
      <formula>$C$20</formula>
    </cfRule>
    <cfRule type="cellIs" dxfId="3632" priority="157" stopIfTrue="1" operator="equal">
      <formula>$C$20</formula>
    </cfRule>
  </conditionalFormatting>
  <conditionalFormatting sqref="D21">
    <cfRule type="cellIs" dxfId="3631" priority="160" stopIfTrue="1" operator="lessThan">
      <formula>$C$21</formula>
    </cfRule>
    <cfRule type="cellIs" dxfId="3630" priority="159" stopIfTrue="1" operator="equal">
      <formula>$C$21</formula>
    </cfRule>
  </conditionalFormatting>
  <conditionalFormatting sqref="D22">
    <cfRule type="cellIs" dxfId="3629" priority="161" stopIfTrue="1" operator="equal">
      <formula>$C$22</formula>
    </cfRule>
    <cfRule type="cellIs" dxfId="3628" priority="162" stopIfTrue="1" operator="lessThan">
      <formula>$C$22</formula>
    </cfRule>
  </conditionalFormatting>
  <conditionalFormatting sqref="D23">
    <cfRule type="cellIs" dxfId="3627" priority="163" stopIfTrue="1" operator="equal">
      <formula>$C$23</formula>
    </cfRule>
    <cfRule type="cellIs" dxfId="3626" priority="164" stopIfTrue="1" operator="lessThan">
      <formula>$C$23</formula>
    </cfRule>
  </conditionalFormatting>
  <conditionalFormatting sqref="D24">
    <cfRule type="cellIs" dxfId="3625" priority="295" stopIfTrue="1" operator="equal">
      <formula>$C$24</formula>
    </cfRule>
    <cfRule type="cellIs" dxfId="3624" priority="296" stopIfTrue="1" operator="lessThan">
      <formula>$C$24</formula>
    </cfRule>
  </conditionalFormatting>
  <conditionalFormatting sqref="D25">
    <cfRule type="cellIs" dxfId="3623" priority="166" stopIfTrue="1" operator="lessThan">
      <formula>$C$25</formula>
    </cfRule>
    <cfRule type="cellIs" dxfId="3622" priority="165" stopIfTrue="1" operator="equal">
      <formula>$C$25</formula>
    </cfRule>
  </conditionalFormatting>
  <conditionalFormatting sqref="D26">
    <cfRule type="cellIs" dxfId="3621" priority="167" stopIfTrue="1" operator="equal">
      <formula>$C$26</formula>
    </cfRule>
    <cfRule type="cellIs" dxfId="3620" priority="168" stopIfTrue="1" operator="lessThan">
      <formula>$C$26</formula>
    </cfRule>
  </conditionalFormatting>
  <conditionalFormatting sqref="D27">
    <cfRule type="cellIs" dxfId="3619" priority="169" stopIfTrue="1" operator="equal">
      <formula>$C$27</formula>
    </cfRule>
    <cfRule type="cellIs" dxfId="3618" priority="170" stopIfTrue="1" operator="lessThan">
      <formula>$C$27</formula>
    </cfRule>
  </conditionalFormatting>
  <conditionalFormatting sqref="D28">
    <cfRule type="cellIs" dxfId="3617" priority="172" stopIfTrue="1" operator="lessThan">
      <formula>$C$28</formula>
    </cfRule>
    <cfRule type="cellIs" dxfId="3616" priority="171" stopIfTrue="1" operator="equal">
      <formula>$C$28</formula>
    </cfRule>
  </conditionalFormatting>
  <conditionalFormatting sqref="E4">
    <cfRule type="cellIs" dxfId="3615" priority="41" stopIfTrue="1" operator="lessThan">
      <formula>$D$4</formula>
    </cfRule>
    <cfRule type="cellIs" dxfId="3614" priority="40" stopIfTrue="1" operator="equal">
      <formula>$D$4</formula>
    </cfRule>
  </conditionalFormatting>
  <conditionalFormatting sqref="E5">
    <cfRule type="cellIs" dxfId="3613" priority="305" stopIfTrue="1" operator="equal">
      <formula>$D$5</formula>
    </cfRule>
    <cfRule type="cellIs" dxfId="3612" priority="306" stopIfTrue="1" operator="lessThan">
      <formula>$D$5</formula>
    </cfRule>
  </conditionalFormatting>
  <conditionalFormatting sqref="E6">
    <cfRule type="cellIs" dxfId="3611" priority="52" stopIfTrue="1" operator="lessThan">
      <formula>$D$6</formula>
    </cfRule>
    <cfRule type="cellIs" dxfId="3610" priority="51" stopIfTrue="1" operator="equal">
      <formula>$D$6</formula>
    </cfRule>
  </conditionalFormatting>
  <conditionalFormatting sqref="E7">
    <cfRule type="cellIs" dxfId="3609" priority="65" stopIfTrue="1" operator="equal">
      <formula>$D$7</formula>
    </cfRule>
    <cfRule type="cellIs" dxfId="3608" priority="66" stopIfTrue="1" operator="lessThan">
      <formula>$D$7</formula>
    </cfRule>
  </conditionalFormatting>
  <conditionalFormatting sqref="E8">
    <cfRule type="cellIs" dxfId="3607" priority="77" stopIfTrue="1" operator="equal">
      <formula>$D$8</formula>
    </cfRule>
    <cfRule type="cellIs" dxfId="3606" priority="78" stopIfTrue="1" operator="lessThan">
      <formula>$D$8</formula>
    </cfRule>
  </conditionalFormatting>
  <conditionalFormatting sqref="E9">
    <cfRule type="cellIs" dxfId="3605" priority="91" stopIfTrue="1" operator="equal">
      <formula>$D$9</formula>
    </cfRule>
    <cfRule type="cellIs" dxfId="3604" priority="92" stopIfTrue="1" operator="lessThan">
      <formula>$D$9</formula>
    </cfRule>
  </conditionalFormatting>
  <conditionalFormatting sqref="E10">
    <cfRule type="cellIs" dxfId="3603" priority="105" stopIfTrue="1" operator="equal">
      <formula>$D$10</formula>
    </cfRule>
    <cfRule type="cellIs" dxfId="3602" priority="106" stopIfTrue="1" operator="lessThan">
      <formula>$D$10</formula>
    </cfRule>
  </conditionalFormatting>
  <conditionalFormatting sqref="E11">
    <cfRule type="cellIs" dxfId="3601" priority="120" stopIfTrue="1" operator="lessThan">
      <formula>$D$11</formula>
    </cfRule>
    <cfRule type="cellIs" dxfId="3600" priority="119" stopIfTrue="1" operator="equal">
      <formula>$D$11</formula>
    </cfRule>
  </conditionalFormatting>
  <conditionalFormatting sqref="E12">
    <cfRule type="cellIs" dxfId="3599" priority="134" stopIfTrue="1" operator="lessThan">
      <formula>$D$12</formula>
    </cfRule>
    <cfRule type="cellIs" dxfId="3598" priority="133" stopIfTrue="1" operator="equal">
      <formula>$D$12</formula>
    </cfRule>
  </conditionalFormatting>
  <conditionalFormatting sqref="E13">
    <cfRule type="cellIs" dxfId="3597" priority="173" stopIfTrue="1" operator="equal">
      <formula>$D$13</formula>
    </cfRule>
    <cfRule type="cellIs" dxfId="3596" priority="174" stopIfTrue="1" operator="lessThan">
      <formula>$D$13</formula>
    </cfRule>
  </conditionalFormatting>
  <conditionalFormatting sqref="E14">
    <cfRule type="cellIs" dxfId="3595" priority="175" stopIfTrue="1" operator="equal">
      <formula>$D$14</formula>
    </cfRule>
    <cfRule type="cellIs" dxfId="3594" priority="176" stopIfTrue="1" operator="lessThan">
      <formula>$D$14</formula>
    </cfRule>
  </conditionalFormatting>
  <conditionalFormatting sqref="E15">
    <cfRule type="cellIs" dxfId="3593" priority="177" stopIfTrue="1" operator="equal">
      <formula>$D$15</formula>
    </cfRule>
    <cfRule type="cellIs" dxfId="3592" priority="178" stopIfTrue="1" operator="lessThan">
      <formula>$D$15</formula>
    </cfRule>
  </conditionalFormatting>
  <conditionalFormatting sqref="E16">
    <cfRule type="cellIs" dxfId="3591" priority="180" stopIfTrue="1" operator="lessThan">
      <formula>$D$16</formula>
    </cfRule>
    <cfRule type="cellIs" dxfId="3590" priority="179" stopIfTrue="1" operator="equal">
      <formula>$D$16</formula>
    </cfRule>
  </conditionalFormatting>
  <conditionalFormatting sqref="E17">
    <cfRule type="cellIs" dxfId="3589" priority="182" stopIfTrue="1" operator="lessThan">
      <formula>$D$17</formula>
    </cfRule>
    <cfRule type="cellIs" dxfId="3588" priority="181" stopIfTrue="1" operator="equal">
      <formula>$D$17</formula>
    </cfRule>
  </conditionalFormatting>
  <conditionalFormatting sqref="E18">
    <cfRule type="cellIs" dxfId="3587" priority="184" stopIfTrue="1" operator="lessThan">
      <formula>$D$18</formula>
    </cfRule>
    <cfRule type="cellIs" dxfId="3586" priority="183" stopIfTrue="1" operator="equal">
      <formula>$D$18</formula>
    </cfRule>
  </conditionalFormatting>
  <conditionalFormatting sqref="E19">
    <cfRule type="cellIs" dxfId="3585" priority="186" stopIfTrue="1" operator="lessThan">
      <formula>$D$19</formula>
    </cfRule>
    <cfRule type="cellIs" dxfId="3584" priority="185" stopIfTrue="1" operator="equal">
      <formula>$D$19</formula>
    </cfRule>
  </conditionalFormatting>
  <conditionalFormatting sqref="E20">
    <cfRule type="cellIs" dxfId="3583" priority="188" stopIfTrue="1" operator="lessThan">
      <formula>$D$20</formula>
    </cfRule>
    <cfRule type="cellIs" dxfId="3582" priority="187" stopIfTrue="1" operator="equal">
      <formula>$D$20</formula>
    </cfRule>
  </conditionalFormatting>
  <conditionalFormatting sqref="E21">
    <cfRule type="cellIs" dxfId="3581" priority="189" stopIfTrue="1" operator="equal">
      <formula>$D$21</formula>
    </cfRule>
    <cfRule type="cellIs" dxfId="3580" priority="190" stopIfTrue="1" operator="lessThan">
      <formula>$D$21</formula>
    </cfRule>
  </conditionalFormatting>
  <conditionalFormatting sqref="E22">
    <cfRule type="cellIs" dxfId="3579" priority="191" stopIfTrue="1" operator="equal">
      <formula>$D$22</formula>
    </cfRule>
    <cfRule type="cellIs" dxfId="3578" priority="192" stopIfTrue="1" operator="lessThan">
      <formula>$D$22</formula>
    </cfRule>
  </conditionalFormatting>
  <conditionalFormatting sqref="E23">
    <cfRule type="cellIs" dxfId="3577" priority="193" stopIfTrue="1" operator="equal">
      <formula>$D$23</formula>
    </cfRule>
    <cfRule type="cellIs" dxfId="3576" priority="194" stopIfTrue="1" operator="lessThan">
      <formula>$D$23</formula>
    </cfRule>
  </conditionalFormatting>
  <conditionalFormatting sqref="E24">
    <cfRule type="cellIs" dxfId="3575" priority="298" stopIfTrue="1" operator="lessThan">
      <formula>$D$24</formula>
    </cfRule>
    <cfRule type="cellIs" dxfId="3574" priority="297" stopIfTrue="1" operator="equal">
      <formula>$D$24</formula>
    </cfRule>
  </conditionalFormatting>
  <conditionalFormatting sqref="E25">
    <cfRule type="cellIs" dxfId="3573" priority="196" stopIfTrue="1" operator="lessThan">
      <formula>$D$25</formula>
    </cfRule>
    <cfRule type="cellIs" dxfId="3572" priority="195" stopIfTrue="1" operator="equal">
      <formula>$D$25</formula>
    </cfRule>
  </conditionalFormatting>
  <conditionalFormatting sqref="E26">
    <cfRule type="cellIs" dxfId="3571" priority="197" stopIfTrue="1" operator="equal">
      <formula>$D$26</formula>
    </cfRule>
    <cfRule type="cellIs" dxfId="3570" priority="198" stopIfTrue="1" operator="lessThan">
      <formula>$D$26</formula>
    </cfRule>
  </conditionalFormatting>
  <conditionalFormatting sqref="E27">
    <cfRule type="cellIs" dxfId="3569" priority="200" stopIfTrue="1" operator="lessThan">
      <formula>$D$27</formula>
    </cfRule>
    <cfRule type="cellIs" dxfId="3568" priority="199" stopIfTrue="1" operator="equal">
      <formula>$D$27</formula>
    </cfRule>
  </conditionalFormatting>
  <conditionalFormatting sqref="E28">
    <cfRule type="cellIs" dxfId="3567" priority="201" stopIfTrue="1" operator="equal">
      <formula>$D$28</formula>
    </cfRule>
    <cfRule type="cellIs" dxfId="3566" priority="202" stopIfTrue="1" operator="lessThan">
      <formula>$D$28</formula>
    </cfRule>
  </conditionalFormatting>
  <conditionalFormatting sqref="F4">
    <cfRule type="cellIs" dxfId="3565" priority="37" stopIfTrue="1" operator="lessThan">
      <formula>$E$4</formula>
    </cfRule>
    <cfRule type="cellIs" dxfId="3564" priority="36" stopIfTrue="1" operator="equal">
      <formula>$E$4</formula>
    </cfRule>
  </conditionalFormatting>
  <conditionalFormatting sqref="F5">
    <cfRule type="cellIs" dxfId="3563" priority="44" stopIfTrue="1" operator="equal">
      <formula>$E$5</formula>
    </cfRule>
    <cfRule type="cellIs" dxfId="3562" priority="45" stopIfTrue="1" operator="lessThan">
      <formula>$E$5</formula>
    </cfRule>
  </conditionalFormatting>
  <conditionalFormatting sqref="F6">
    <cfRule type="cellIs" dxfId="3561" priority="53" stopIfTrue="1" operator="equal">
      <formula>$E$6</formula>
    </cfRule>
    <cfRule type="cellIs" dxfId="3560" priority="54" stopIfTrue="1" operator="lessThan">
      <formula>$E$6</formula>
    </cfRule>
  </conditionalFormatting>
  <conditionalFormatting sqref="F7">
    <cfRule type="cellIs" dxfId="3559" priority="67" stopIfTrue="1" operator="equal">
      <formula>$E$7</formula>
    </cfRule>
    <cfRule type="cellIs" dxfId="3558" priority="68" stopIfTrue="1" operator="lessThan">
      <formula>$E$7</formula>
    </cfRule>
  </conditionalFormatting>
  <conditionalFormatting sqref="F8">
    <cfRule type="cellIs" dxfId="3557" priority="80" stopIfTrue="1" operator="lessThan">
      <formula>$E$8</formula>
    </cfRule>
    <cfRule type="cellIs" dxfId="3556" priority="79" stopIfTrue="1" operator="equal">
      <formula>$E$8</formula>
    </cfRule>
  </conditionalFormatting>
  <conditionalFormatting sqref="F9">
    <cfRule type="cellIs" dxfId="3555" priority="94" stopIfTrue="1" operator="lessThan">
      <formula>$E$9</formula>
    </cfRule>
    <cfRule type="cellIs" dxfId="3554" priority="93" stopIfTrue="1" operator="equal">
      <formula>$E$9</formula>
    </cfRule>
  </conditionalFormatting>
  <conditionalFormatting sqref="F10">
    <cfRule type="cellIs" dxfId="3553" priority="108" stopIfTrue="1" operator="lessThan">
      <formula>$E$10</formula>
    </cfRule>
    <cfRule type="cellIs" dxfId="3552" priority="107" stopIfTrue="1" operator="equal">
      <formula>$E$10</formula>
    </cfRule>
  </conditionalFormatting>
  <conditionalFormatting sqref="F11">
    <cfRule type="cellIs" dxfId="3551" priority="121" stopIfTrue="1" operator="equal">
      <formula>$E$11</formula>
    </cfRule>
    <cfRule type="cellIs" dxfId="3550" priority="122" stopIfTrue="1" operator="lessThan">
      <formula>$E$11</formula>
    </cfRule>
  </conditionalFormatting>
  <conditionalFormatting sqref="F12">
    <cfRule type="cellIs" dxfId="3549" priority="136" stopIfTrue="1" operator="lessThan">
      <formula>$E$12</formula>
    </cfRule>
    <cfRule type="cellIs" dxfId="3548" priority="135" stopIfTrue="1" operator="equal">
      <formula>$E$12</formula>
    </cfRule>
  </conditionalFormatting>
  <conditionalFormatting sqref="F13">
    <cfRule type="cellIs" dxfId="3547" priority="204" stopIfTrue="1" operator="lessThan">
      <formula>$E$13</formula>
    </cfRule>
    <cfRule type="cellIs" dxfId="3546" priority="203" stopIfTrue="1" operator="equal">
      <formula>$E$13</formula>
    </cfRule>
  </conditionalFormatting>
  <conditionalFormatting sqref="F14">
    <cfRule type="cellIs" dxfId="3545" priority="205" stopIfTrue="1" operator="equal">
      <formula>$E$14</formula>
    </cfRule>
    <cfRule type="cellIs" dxfId="3544" priority="206" stopIfTrue="1" operator="lessThan">
      <formula>$E$14</formula>
    </cfRule>
  </conditionalFormatting>
  <conditionalFormatting sqref="F15">
    <cfRule type="cellIs" dxfId="3543" priority="207" stopIfTrue="1" operator="equal">
      <formula>$E$15</formula>
    </cfRule>
    <cfRule type="cellIs" dxfId="3542" priority="208" stopIfTrue="1" operator="lessThan">
      <formula>$E$15</formula>
    </cfRule>
  </conditionalFormatting>
  <conditionalFormatting sqref="F16">
    <cfRule type="cellIs" dxfId="3541" priority="210" stopIfTrue="1" operator="lessThan">
      <formula>$E$16</formula>
    </cfRule>
    <cfRule type="cellIs" dxfId="3540" priority="209" stopIfTrue="1" operator="equal">
      <formula>$E$16</formula>
    </cfRule>
  </conditionalFormatting>
  <conditionalFormatting sqref="F17">
    <cfRule type="cellIs" dxfId="3539" priority="211" stopIfTrue="1" operator="equal">
      <formula>$E$17</formula>
    </cfRule>
    <cfRule type="cellIs" dxfId="3538" priority="212" stopIfTrue="1" operator="lessThan">
      <formula>$E$17</formula>
    </cfRule>
  </conditionalFormatting>
  <conditionalFormatting sqref="F18">
    <cfRule type="cellIs" dxfId="3537" priority="213" stopIfTrue="1" operator="equal">
      <formula>$E$18</formula>
    </cfRule>
    <cfRule type="cellIs" dxfId="3536" priority="214" stopIfTrue="1" operator="lessThan">
      <formula>$E$18</formula>
    </cfRule>
  </conditionalFormatting>
  <conditionalFormatting sqref="F19">
    <cfRule type="cellIs" dxfId="3535" priority="215" stopIfTrue="1" operator="equal">
      <formula>$E$19</formula>
    </cfRule>
    <cfRule type="cellIs" dxfId="3534" priority="216" stopIfTrue="1" operator="lessThan">
      <formula>$E$19</formula>
    </cfRule>
  </conditionalFormatting>
  <conditionalFormatting sqref="F20">
    <cfRule type="cellIs" dxfId="3533" priority="218" stopIfTrue="1" operator="lessThan">
      <formula>$E$20</formula>
    </cfRule>
    <cfRule type="cellIs" dxfId="3532" priority="217" stopIfTrue="1" operator="equal">
      <formula>$E$20</formula>
    </cfRule>
  </conditionalFormatting>
  <conditionalFormatting sqref="F21">
    <cfRule type="cellIs" dxfId="3531" priority="220" stopIfTrue="1" operator="lessThan">
      <formula>$E$21</formula>
    </cfRule>
    <cfRule type="cellIs" dxfId="3530" priority="219" stopIfTrue="1" operator="equal">
      <formula>$E$21</formula>
    </cfRule>
  </conditionalFormatting>
  <conditionalFormatting sqref="F22">
    <cfRule type="cellIs" dxfId="3529" priority="221" stopIfTrue="1" operator="equal">
      <formula>$E$22</formula>
    </cfRule>
    <cfRule type="cellIs" dxfId="3528" priority="222" stopIfTrue="1" operator="lessThan">
      <formula>$E$22</formula>
    </cfRule>
  </conditionalFormatting>
  <conditionalFormatting sqref="F23">
    <cfRule type="cellIs" dxfId="3527" priority="223" stopIfTrue="1" operator="equal">
      <formula>$E$23</formula>
    </cfRule>
    <cfRule type="cellIs" dxfId="3526" priority="224" stopIfTrue="1" operator="lessThan">
      <formula>$E$23</formula>
    </cfRule>
  </conditionalFormatting>
  <conditionalFormatting sqref="F24">
    <cfRule type="cellIs" dxfId="3525" priority="300" stopIfTrue="1" operator="lessThan">
      <formula>$E$24</formula>
    </cfRule>
    <cfRule type="cellIs" dxfId="3524" priority="299" stopIfTrue="1" operator="equal">
      <formula>$E$24</formula>
    </cfRule>
  </conditionalFormatting>
  <conditionalFormatting sqref="F25">
    <cfRule type="cellIs" dxfId="3523" priority="226" stopIfTrue="1" operator="lessThan">
      <formula>$E$25</formula>
    </cfRule>
    <cfRule type="cellIs" dxfId="3522" priority="225" stopIfTrue="1" operator="equal">
      <formula>$E$25</formula>
    </cfRule>
  </conditionalFormatting>
  <conditionalFormatting sqref="F26">
    <cfRule type="cellIs" dxfId="3521" priority="228" stopIfTrue="1" operator="lessThan">
      <formula>$E$26</formula>
    </cfRule>
    <cfRule type="cellIs" dxfId="3520" priority="227" stopIfTrue="1" operator="equal">
      <formula>$E$26</formula>
    </cfRule>
  </conditionalFormatting>
  <conditionalFormatting sqref="F27">
    <cfRule type="cellIs" dxfId="3519" priority="229" stopIfTrue="1" operator="equal">
      <formula>$E$27</formula>
    </cfRule>
    <cfRule type="cellIs" dxfId="3518" priority="230" stopIfTrue="1" operator="lessThan">
      <formula>$E$27</formula>
    </cfRule>
  </conditionalFormatting>
  <conditionalFormatting sqref="F28">
    <cfRule type="cellIs" dxfId="3517" priority="231" stopIfTrue="1" operator="equal">
      <formula>$E$28</formula>
    </cfRule>
    <cfRule type="cellIs" dxfId="3516" priority="232" stopIfTrue="1" operator="lessThan">
      <formula>$E$28</formula>
    </cfRule>
  </conditionalFormatting>
  <conditionalFormatting sqref="G4">
    <cfRule type="cellIs" dxfId="3515" priority="309" stopIfTrue="1" operator="equal">
      <formula>$F$4</formula>
    </cfRule>
  </conditionalFormatting>
  <conditionalFormatting sqref="G5">
    <cfRule type="cellIs" dxfId="3514" priority="307" stopIfTrue="1" operator="equal">
      <formula>$F$5</formula>
    </cfRule>
    <cfRule type="cellIs" dxfId="3513" priority="308" stopIfTrue="1" operator="lessThan">
      <formula>$F$5</formula>
    </cfRule>
  </conditionalFormatting>
  <conditionalFormatting sqref="G6">
    <cfRule type="cellIs" dxfId="3512" priority="55" stopIfTrue="1" operator="equal">
      <formula>$F$6</formula>
    </cfRule>
    <cfRule type="cellIs" dxfId="3511" priority="56" stopIfTrue="1" operator="lessThan">
      <formula>$F$6</formula>
    </cfRule>
  </conditionalFormatting>
  <conditionalFormatting sqref="G7">
    <cfRule type="cellIs" dxfId="3510" priority="29" stopIfTrue="1" operator="lessThan">
      <formula>$F$7</formula>
    </cfRule>
    <cfRule type="cellIs" dxfId="3509" priority="28" stopIfTrue="1" operator="equal">
      <formula>$F$7</formula>
    </cfRule>
  </conditionalFormatting>
  <conditionalFormatting sqref="G8">
    <cfRule type="cellIs" dxfId="3508" priority="81" stopIfTrue="1" operator="equal">
      <formula>$F$8</formula>
    </cfRule>
    <cfRule type="cellIs" dxfId="3507" priority="82" stopIfTrue="1" operator="lessThan">
      <formula>$F$8</formula>
    </cfRule>
  </conditionalFormatting>
  <conditionalFormatting sqref="G9">
    <cfRule type="cellIs" dxfId="3506" priority="95" stopIfTrue="1" operator="equal">
      <formula>$F$9</formula>
    </cfRule>
    <cfRule type="cellIs" dxfId="3505" priority="96" stopIfTrue="1" operator="lessThan">
      <formula>$F$9</formula>
    </cfRule>
  </conditionalFormatting>
  <conditionalFormatting sqref="G10">
    <cfRule type="cellIs" dxfId="3504" priority="110" stopIfTrue="1" operator="lessThan">
      <formula>$F$10</formula>
    </cfRule>
    <cfRule type="cellIs" dxfId="3503" priority="109" stopIfTrue="1" operator="equal">
      <formula>$F$10</formula>
    </cfRule>
  </conditionalFormatting>
  <conditionalFormatting sqref="G11">
    <cfRule type="cellIs" dxfId="3502" priority="123" stopIfTrue="1" operator="equal">
      <formula>$F$11</formula>
    </cfRule>
    <cfRule type="cellIs" dxfId="3501" priority="124" stopIfTrue="1" operator="lessThan">
      <formula>$F$11</formula>
    </cfRule>
  </conditionalFormatting>
  <conditionalFormatting sqref="G12">
    <cfRule type="cellIs" dxfId="3500" priority="137" stopIfTrue="1" operator="equal">
      <formula>$F$12</formula>
    </cfRule>
    <cfRule type="cellIs" dxfId="3499" priority="138" stopIfTrue="1" operator="lessThan">
      <formula>$F$12</formula>
    </cfRule>
  </conditionalFormatting>
  <conditionalFormatting sqref="G13">
    <cfRule type="cellIs" dxfId="3498" priority="234" stopIfTrue="1" operator="lessThan">
      <formula>$F$13</formula>
    </cfRule>
    <cfRule type="cellIs" dxfId="3497" priority="233" stopIfTrue="1" operator="equal">
      <formula>$F$13</formula>
    </cfRule>
  </conditionalFormatting>
  <conditionalFormatting sqref="G14">
    <cfRule type="cellIs" dxfId="3496" priority="235" stopIfTrue="1" operator="equal">
      <formula>$F$14</formula>
    </cfRule>
    <cfRule type="cellIs" dxfId="3495" priority="236" stopIfTrue="1" operator="lessThan">
      <formula>$F$14</formula>
    </cfRule>
  </conditionalFormatting>
  <conditionalFormatting sqref="G15">
    <cfRule type="cellIs" dxfId="3494" priority="238" stopIfTrue="1" operator="lessThan">
      <formula>$F$15</formula>
    </cfRule>
    <cfRule type="cellIs" dxfId="3493" priority="237" stopIfTrue="1" operator="equal">
      <formula>$F$15</formula>
    </cfRule>
  </conditionalFormatting>
  <conditionalFormatting sqref="G16">
    <cfRule type="cellIs" dxfId="3492" priority="240" stopIfTrue="1" operator="lessThan">
      <formula>$F$16</formula>
    </cfRule>
    <cfRule type="cellIs" dxfId="3491" priority="239" stopIfTrue="1" operator="equal">
      <formula>$F$16</formula>
    </cfRule>
  </conditionalFormatting>
  <conditionalFormatting sqref="G17">
    <cfRule type="cellIs" dxfId="3490" priority="242" stopIfTrue="1" operator="lessThan">
      <formula>$F$17</formula>
    </cfRule>
    <cfRule type="cellIs" dxfId="3489" priority="241" stopIfTrue="1" operator="equal">
      <formula>$F$17</formula>
    </cfRule>
  </conditionalFormatting>
  <conditionalFormatting sqref="G18">
    <cfRule type="cellIs" dxfId="3488" priority="244" stopIfTrue="1" operator="lessThan">
      <formula>$F$18</formula>
    </cfRule>
    <cfRule type="cellIs" dxfId="3487" priority="243" stopIfTrue="1" operator="equal">
      <formula>$F$18</formula>
    </cfRule>
  </conditionalFormatting>
  <conditionalFormatting sqref="G19">
    <cfRule type="cellIs" dxfId="3486" priority="245" stopIfTrue="1" operator="equal">
      <formula>$F$19</formula>
    </cfRule>
    <cfRule type="cellIs" dxfId="3485" priority="246" stopIfTrue="1" operator="lessThan">
      <formula>$F$19</formula>
    </cfRule>
  </conditionalFormatting>
  <conditionalFormatting sqref="G20">
    <cfRule type="cellIs" dxfId="3484" priority="247" stopIfTrue="1" operator="equal">
      <formula>$F$20</formula>
    </cfRule>
    <cfRule type="cellIs" dxfId="3483" priority="248" stopIfTrue="1" operator="lessThan">
      <formula>$F$20</formula>
    </cfRule>
  </conditionalFormatting>
  <conditionalFormatting sqref="G21">
    <cfRule type="cellIs" dxfId="3482" priority="250" stopIfTrue="1" operator="lessThan">
      <formula>$F$21</formula>
    </cfRule>
    <cfRule type="cellIs" dxfId="3481" priority="249" stopIfTrue="1" operator="equal">
      <formula>$F$21</formula>
    </cfRule>
  </conditionalFormatting>
  <conditionalFormatting sqref="G22">
    <cfRule type="cellIs" dxfId="3480" priority="251" stopIfTrue="1" operator="equal">
      <formula>$F$22</formula>
    </cfRule>
    <cfRule type="cellIs" dxfId="3479" priority="252" stopIfTrue="1" operator="lessThan">
      <formula>$F$22</formula>
    </cfRule>
  </conditionalFormatting>
  <conditionalFormatting sqref="G23">
    <cfRule type="cellIs" dxfId="3478" priority="254" stopIfTrue="1" operator="lessThan">
      <formula>$F$23</formula>
    </cfRule>
    <cfRule type="cellIs" dxfId="3477" priority="253" stopIfTrue="1" operator="equal">
      <formula>$F$23</formula>
    </cfRule>
  </conditionalFormatting>
  <conditionalFormatting sqref="G24">
    <cfRule type="cellIs" dxfId="3476" priority="302" stopIfTrue="1" operator="lessThan">
      <formula>$F$24</formula>
    </cfRule>
    <cfRule type="cellIs" dxfId="3475" priority="301" stopIfTrue="1" operator="equal">
      <formula>$F$24</formula>
    </cfRule>
  </conditionalFormatting>
  <conditionalFormatting sqref="G25">
    <cfRule type="cellIs" dxfId="3474" priority="255" stopIfTrue="1" operator="equal">
      <formula>$F$25</formula>
    </cfRule>
    <cfRule type="cellIs" dxfId="3473" priority="256" stopIfTrue="1" operator="lessThan">
      <formula>$F$25</formula>
    </cfRule>
  </conditionalFormatting>
  <conditionalFormatting sqref="G26">
    <cfRule type="cellIs" dxfId="3472" priority="258" stopIfTrue="1" operator="lessThan">
      <formula>$F$26</formula>
    </cfRule>
    <cfRule type="cellIs" dxfId="3471" priority="257" stopIfTrue="1" operator="equal">
      <formula>$F$26</formula>
    </cfRule>
  </conditionalFormatting>
  <conditionalFormatting sqref="G27">
    <cfRule type="cellIs" dxfId="3470" priority="259" stopIfTrue="1" operator="equal">
      <formula>$F$27</formula>
    </cfRule>
    <cfRule type="cellIs" dxfId="3469" priority="260" stopIfTrue="1" operator="lessThan">
      <formula>$F$27</formula>
    </cfRule>
  </conditionalFormatting>
  <conditionalFormatting sqref="G28">
    <cfRule type="cellIs" dxfId="3468" priority="262" stopIfTrue="1" operator="lessThan">
      <formula>$F$28</formula>
    </cfRule>
    <cfRule type="cellIs" dxfId="3467" priority="261" stopIfTrue="1" operator="equal">
      <formula>$F$28</formula>
    </cfRule>
  </conditionalFormatting>
  <conditionalFormatting sqref="H4">
    <cfRule type="cellIs" dxfId="3466" priority="26" stopIfTrue="1" operator="lessThan">
      <formula>$G$4</formula>
    </cfRule>
    <cfRule type="cellIs" dxfId="3465" priority="27" stopIfTrue="1" operator="equal">
      <formula>$G$4</formula>
    </cfRule>
  </conditionalFormatting>
  <conditionalFormatting sqref="H5">
    <cfRule type="cellIs" dxfId="3464" priority="30" stopIfTrue="1" operator="equal">
      <formula>$G$5</formula>
    </cfRule>
    <cfRule type="cellIs" dxfId="3463" priority="31" stopIfTrue="1" operator="lessThan">
      <formula>$G$5</formula>
    </cfRule>
  </conditionalFormatting>
  <conditionalFormatting sqref="H6">
    <cfRule type="cellIs" dxfId="3462" priority="57" stopIfTrue="1" operator="equal">
      <formula>$G$6</formula>
    </cfRule>
    <cfRule type="cellIs" dxfId="3461" priority="58" stopIfTrue="1" operator="lessThan">
      <formula>$G$6</formula>
    </cfRule>
  </conditionalFormatting>
  <conditionalFormatting sqref="H7">
    <cfRule type="cellIs" dxfId="3460" priority="70" stopIfTrue="1" operator="lessThan">
      <formula>$G$7</formula>
    </cfRule>
    <cfRule type="cellIs" dxfId="3459" priority="69" stopIfTrue="1" operator="equal">
      <formula>$G$7</formula>
    </cfRule>
  </conditionalFormatting>
  <conditionalFormatting sqref="H8">
    <cfRule type="cellIs" dxfId="3458" priority="84" stopIfTrue="1" operator="lessThan">
      <formula>$G$8</formula>
    </cfRule>
    <cfRule type="cellIs" dxfId="3457" priority="83" stopIfTrue="1" operator="equal">
      <formula>$G$8</formula>
    </cfRule>
  </conditionalFormatting>
  <conditionalFormatting sqref="H9">
    <cfRule type="cellIs" dxfId="3456" priority="97" stopIfTrue="1" operator="equal">
      <formula>$G$9</formula>
    </cfRule>
    <cfRule type="cellIs" dxfId="3455" priority="98" stopIfTrue="1" operator="lessThan">
      <formula>$G$9</formula>
    </cfRule>
  </conditionalFormatting>
  <conditionalFormatting sqref="H10">
    <cfRule type="cellIs" dxfId="3454" priority="111" stopIfTrue="1" operator="equal">
      <formula>$G$10</formula>
    </cfRule>
    <cfRule type="cellIs" dxfId="3453" priority="112" stopIfTrue="1" operator="lessThan">
      <formula>$G$10</formula>
    </cfRule>
  </conditionalFormatting>
  <conditionalFormatting sqref="H11">
    <cfRule type="cellIs" dxfId="3452" priority="125" stopIfTrue="1" operator="equal">
      <formula>$G$11</formula>
    </cfRule>
    <cfRule type="cellIs" dxfId="3451" priority="126" stopIfTrue="1" operator="lessThan">
      <formula>$G$11</formula>
    </cfRule>
  </conditionalFormatting>
  <conditionalFormatting sqref="H12">
    <cfRule type="cellIs" dxfId="3450" priority="139" stopIfTrue="1" operator="equal">
      <formula>$G$12</formula>
    </cfRule>
    <cfRule type="cellIs" dxfId="3449" priority="140" stopIfTrue="1" operator="lessThan">
      <formula>$G$12</formula>
    </cfRule>
  </conditionalFormatting>
  <conditionalFormatting sqref="H13">
    <cfRule type="cellIs" dxfId="3448" priority="265" stopIfTrue="1" operator="equal">
      <formula>$G$13</formula>
    </cfRule>
    <cfRule type="cellIs" dxfId="3447" priority="266" stopIfTrue="1" operator="lessThan">
      <formula>$G$13</formula>
    </cfRule>
  </conditionalFormatting>
  <conditionalFormatting sqref="H14">
    <cfRule type="cellIs" dxfId="3446" priority="268" stopIfTrue="1" operator="lessThan">
      <formula>$G$14</formula>
    </cfRule>
    <cfRule type="cellIs" dxfId="3445" priority="267" stopIfTrue="1" operator="equal">
      <formula>$G$14</formula>
    </cfRule>
  </conditionalFormatting>
  <conditionalFormatting sqref="H15">
    <cfRule type="cellIs" dxfId="3444" priority="269" stopIfTrue="1" operator="equal">
      <formula>$G$15</formula>
    </cfRule>
    <cfRule type="cellIs" dxfId="3443" priority="270" stopIfTrue="1" operator="lessThan">
      <formula>$G$15</formula>
    </cfRule>
  </conditionalFormatting>
  <conditionalFormatting sqref="H16">
    <cfRule type="cellIs" dxfId="3442" priority="272" stopIfTrue="1" operator="lessThan">
      <formula>$G$16</formula>
    </cfRule>
    <cfRule type="cellIs" dxfId="3441" priority="271" stopIfTrue="1" operator="equal">
      <formula>$G$16</formula>
    </cfRule>
  </conditionalFormatting>
  <conditionalFormatting sqref="H17">
    <cfRule type="cellIs" dxfId="3440" priority="274" stopIfTrue="1" operator="lessThan">
      <formula>$G$17</formula>
    </cfRule>
    <cfRule type="cellIs" dxfId="3439" priority="273" stopIfTrue="1" operator="equal">
      <formula>$G$17</formula>
    </cfRule>
  </conditionalFormatting>
  <conditionalFormatting sqref="H18">
    <cfRule type="cellIs" dxfId="3438" priority="275" stopIfTrue="1" operator="equal">
      <formula>$G$18</formula>
    </cfRule>
    <cfRule type="cellIs" dxfId="3437" priority="276" stopIfTrue="1" operator="lessThan">
      <formula>$G$18</formula>
    </cfRule>
  </conditionalFormatting>
  <conditionalFormatting sqref="H19">
    <cfRule type="cellIs" dxfId="3436" priority="277" stopIfTrue="1" operator="equal">
      <formula>$G$19</formula>
    </cfRule>
    <cfRule type="cellIs" dxfId="3435" priority="278" stopIfTrue="1" operator="lessThan">
      <formula>$G$19</formula>
    </cfRule>
  </conditionalFormatting>
  <conditionalFormatting sqref="H20">
    <cfRule type="cellIs" dxfId="3434" priority="279" stopIfTrue="1" operator="equal">
      <formula>$G$20</formula>
    </cfRule>
    <cfRule type="cellIs" dxfId="3433" priority="280" stopIfTrue="1" operator="lessThan">
      <formula>$G$20</formula>
    </cfRule>
  </conditionalFormatting>
  <conditionalFormatting sqref="H21">
    <cfRule type="cellIs" dxfId="3432" priority="281" stopIfTrue="1" operator="equal">
      <formula>$G$21</formula>
    </cfRule>
    <cfRule type="cellIs" dxfId="3431" priority="282" stopIfTrue="1" operator="lessThan">
      <formula>$G$21</formula>
    </cfRule>
  </conditionalFormatting>
  <conditionalFormatting sqref="H22">
    <cfRule type="cellIs" dxfId="3430" priority="284" stopIfTrue="1" operator="lessThan">
      <formula>$G$22</formula>
    </cfRule>
    <cfRule type="cellIs" dxfId="3429" priority="283" stopIfTrue="1" operator="equal">
      <formula>$G$22</formula>
    </cfRule>
  </conditionalFormatting>
  <conditionalFormatting sqref="H23">
    <cfRule type="cellIs" dxfId="3428" priority="286" stopIfTrue="1" operator="lessThan">
      <formula>$G$23</formula>
    </cfRule>
    <cfRule type="cellIs" dxfId="3427" priority="285" stopIfTrue="1" operator="equal">
      <formula>$G$23</formula>
    </cfRule>
  </conditionalFormatting>
  <conditionalFormatting sqref="H24">
    <cfRule type="cellIs" dxfId="3426" priority="304" stopIfTrue="1" operator="lessThan">
      <formula>$G$24</formula>
    </cfRule>
    <cfRule type="cellIs" dxfId="3425" priority="303" stopIfTrue="1" operator="equal">
      <formula>$G$24</formula>
    </cfRule>
  </conditionalFormatting>
  <conditionalFormatting sqref="H25">
    <cfRule type="cellIs" dxfId="3424" priority="287" stopIfTrue="1" operator="equal">
      <formula>$G$25</formula>
    </cfRule>
    <cfRule type="cellIs" dxfId="3423" priority="288" stopIfTrue="1" operator="lessThan">
      <formula>$G$25</formula>
    </cfRule>
  </conditionalFormatting>
  <conditionalFormatting sqref="H26">
    <cfRule type="cellIs" dxfId="3422" priority="290" stopIfTrue="1" operator="lessThan">
      <formula>$G$26</formula>
    </cfRule>
    <cfRule type="cellIs" dxfId="3421" priority="289" stopIfTrue="1" operator="equal">
      <formula>$G$26</formula>
    </cfRule>
  </conditionalFormatting>
  <conditionalFormatting sqref="H27">
    <cfRule type="cellIs" dxfId="3420" priority="291" stopIfTrue="1" operator="equal">
      <formula>$G$27</formula>
    </cfRule>
    <cfRule type="cellIs" dxfId="3419" priority="292" stopIfTrue="1" operator="lessThan">
      <formula>$G$27</formula>
    </cfRule>
  </conditionalFormatting>
  <conditionalFormatting sqref="H28">
    <cfRule type="cellIs" dxfId="3418" priority="293" stopIfTrue="1" operator="equal">
      <formula>$G$28</formula>
    </cfRule>
    <cfRule type="cellIs" dxfId="3417" priority="294" stopIfTrue="1" operator="lessThan">
      <formula>$G$28</formula>
    </cfRule>
  </conditionalFormatting>
  <conditionalFormatting sqref="I4">
    <cfRule type="cellIs" dxfId="3416" priority="46" stopIfTrue="1" operator="equal">
      <formula>$H$4</formula>
    </cfRule>
  </conditionalFormatting>
  <conditionalFormatting sqref="I5">
    <cfRule type="cellIs" dxfId="3415" priority="33" stopIfTrue="1" operator="lessThan">
      <formula>$H$5</formula>
    </cfRule>
    <cfRule type="cellIs" dxfId="3414" priority="32" stopIfTrue="1" operator="equal">
      <formula>$H$5</formula>
    </cfRule>
  </conditionalFormatting>
  <conditionalFormatting sqref="I6">
    <cfRule type="cellIs" dxfId="3413" priority="59" stopIfTrue="1" operator="equal">
      <formula>$H$6</formula>
    </cfRule>
    <cfRule type="cellIs" dxfId="3412" priority="60" stopIfTrue="1" operator="lessThan">
      <formula>$H$6</formula>
    </cfRule>
  </conditionalFormatting>
  <conditionalFormatting sqref="I7">
    <cfRule type="cellIs" dxfId="3411" priority="71" stopIfTrue="1" operator="equal">
      <formula>$H$7</formula>
    </cfRule>
    <cfRule type="cellIs" dxfId="3410" priority="72" stopIfTrue="1" operator="lessThan">
      <formula>$H$7</formula>
    </cfRule>
  </conditionalFormatting>
  <conditionalFormatting sqref="I8">
    <cfRule type="cellIs" dxfId="3409" priority="86" stopIfTrue="1" operator="lessThan">
      <formula>$H$8</formula>
    </cfRule>
    <cfRule type="cellIs" dxfId="3408" priority="85" stopIfTrue="1" operator="equal">
      <formula>$H$8</formula>
    </cfRule>
  </conditionalFormatting>
  <conditionalFormatting sqref="I9">
    <cfRule type="cellIs" dxfId="3407" priority="100" stopIfTrue="1" operator="lessThan">
      <formula>$H$9</formula>
    </cfRule>
    <cfRule type="cellIs" dxfId="3406" priority="99" stopIfTrue="1" operator="equal">
      <formula>$H$9</formula>
    </cfRule>
  </conditionalFormatting>
  <conditionalFormatting sqref="I10">
    <cfRule type="cellIs" dxfId="3405" priority="114" stopIfTrue="1" operator="lessThan">
      <formula>$H$10</formula>
    </cfRule>
    <cfRule type="cellIs" dxfId="3404" priority="113" stopIfTrue="1" operator="equal">
      <formula>$H$10</formula>
    </cfRule>
  </conditionalFormatting>
  <conditionalFormatting sqref="I11">
    <cfRule type="cellIs" dxfId="3403" priority="127" stopIfTrue="1" operator="equal">
      <formula>$H$11</formula>
    </cfRule>
    <cfRule type="cellIs" dxfId="3402" priority="128" stopIfTrue="1" operator="lessThan">
      <formula>$H$11</formula>
    </cfRule>
  </conditionalFormatting>
  <conditionalFormatting sqref="I12">
    <cfRule type="cellIs" dxfId="3401" priority="142" stopIfTrue="1" operator="lessThan">
      <formula>$H$12</formula>
    </cfRule>
    <cfRule type="cellIs" dxfId="3400" priority="141" stopIfTrue="1" operator="equal">
      <formula>$H$12</formula>
    </cfRule>
  </conditionalFormatting>
  <conditionalFormatting sqref="I13">
    <cfRule type="cellIs" dxfId="3399" priority="311" stopIfTrue="1" operator="equal">
      <formula>$H$13</formula>
    </cfRule>
    <cfRule type="cellIs" dxfId="3398" priority="312" stopIfTrue="1" operator="lessThan">
      <formula>$H$13</formula>
    </cfRule>
  </conditionalFormatting>
  <conditionalFormatting sqref="I14">
    <cfRule type="cellIs" dxfId="3397" priority="313" stopIfTrue="1" operator="equal">
      <formula>$H$14</formula>
    </cfRule>
    <cfRule type="cellIs" dxfId="3396" priority="314" stopIfTrue="1" operator="lessThan">
      <formula>$H$14</formula>
    </cfRule>
  </conditionalFormatting>
  <conditionalFormatting sqref="I15">
    <cfRule type="cellIs" dxfId="3395" priority="316" stopIfTrue="1" operator="lessThan">
      <formula>$H$15</formula>
    </cfRule>
    <cfRule type="cellIs" dxfId="3394" priority="315" stopIfTrue="1" operator="equal">
      <formula>$H$15</formula>
    </cfRule>
  </conditionalFormatting>
  <conditionalFormatting sqref="I16">
    <cfRule type="cellIs" dxfId="3393" priority="317" stopIfTrue="1" operator="equal">
      <formula>$H$16</formula>
    </cfRule>
    <cfRule type="cellIs" dxfId="3392" priority="318" stopIfTrue="1" operator="lessThan">
      <formula>$H$16</formula>
    </cfRule>
  </conditionalFormatting>
  <conditionalFormatting sqref="I17">
    <cfRule type="cellIs" dxfId="3391" priority="320" stopIfTrue="1" operator="lessThan">
      <formula>$H$17</formula>
    </cfRule>
    <cfRule type="cellIs" dxfId="3390" priority="319" stopIfTrue="1" operator="equal">
      <formula>$H$17</formula>
    </cfRule>
  </conditionalFormatting>
  <conditionalFormatting sqref="I18">
    <cfRule type="cellIs" dxfId="3389" priority="321" stopIfTrue="1" operator="equal">
      <formula>$H$18</formula>
    </cfRule>
    <cfRule type="cellIs" dxfId="3388" priority="322" stopIfTrue="1" operator="lessThan">
      <formula>$H$18</formula>
    </cfRule>
  </conditionalFormatting>
  <conditionalFormatting sqref="I19">
    <cfRule type="cellIs" dxfId="3387" priority="324" stopIfTrue="1" operator="lessThan">
      <formula>$H$19</formula>
    </cfRule>
    <cfRule type="cellIs" dxfId="3386" priority="323" stopIfTrue="1" operator="equal">
      <formula>$H$19</formula>
    </cfRule>
  </conditionalFormatting>
  <conditionalFormatting sqref="I20">
    <cfRule type="cellIs" dxfId="3385" priority="326" stopIfTrue="1" operator="lessThan">
      <formula>$H$20</formula>
    </cfRule>
    <cfRule type="cellIs" dxfId="3384" priority="325" stopIfTrue="1" operator="equal">
      <formula>$H$20</formula>
    </cfRule>
  </conditionalFormatting>
  <conditionalFormatting sqref="I21">
    <cfRule type="cellIs" dxfId="3383" priority="327" stopIfTrue="1" operator="equal">
      <formula>$H$21</formula>
    </cfRule>
    <cfRule type="cellIs" dxfId="3382" priority="328" stopIfTrue="1" operator="lessThan">
      <formula>$H$21</formula>
    </cfRule>
  </conditionalFormatting>
  <conditionalFormatting sqref="I22">
    <cfRule type="cellIs" dxfId="3381" priority="330" stopIfTrue="1" operator="lessThan">
      <formula>$H$22</formula>
    </cfRule>
    <cfRule type="cellIs" dxfId="3380" priority="329" stopIfTrue="1" operator="equal">
      <formula>$H$22</formula>
    </cfRule>
  </conditionalFormatting>
  <conditionalFormatting sqref="I23">
    <cfRule type="cellIs" dxfId="3379" priority="332" stopIfTrue="1" operator="lessThan">
      <formula>$H$23</formula>
    </cfRule>
    <cfRule type="cellIs" dxfId="3378" priority="331" stopIfTrue="1" operator="equal">
      <formula>$H$23</formula>
    </cfRule>
  </conditionalFormatting>
  <conditionalFormatting sqref="I24">
    <cfRule type="cellIs" dxfId="3377" priority="334" stopIfTrue="1" operator="lessThan">
      <formula>$H$24</formula>
    </cfRule>
    <cfRule type="cellIs" dxfId="3376" priority="333" stopIfTrue="1" operator="equal">
      <formula>$H$24</formula>
    </cfRule>
  </conditionalFormatting>
  <conditionalFormatting sqref="I25">
    <cfRule type="cellIs" dxfId="3375" priority="336" stopIfTrue="1" operator="lessThan">
      <formula>$H$25</formula>
    </cfRule>
    <cfRule type="cellIs" dxfId="3374" priority="335" stopIfTrue="1" operator="equal">
      <formula>$H$25</formula>
    </cfRule>
  </conditionalFormatting>
  <conditionalFormatting sqref="I26">
    <cfRule type="cellIs" dxfId="3373" priority="338" stopIfTrue="1" operator="lessThan">
      <formula>$H$26</formula>
    </cfRule>
    <cfRule type="cellIs" dxfId="3372" priority="337" stopIfTrue="1" operator="equal">
      <formula>$H$26</formula>
    </cfRule>
  </conditionalFormatting>
  <conditionalFormatting sqref="I27">
    <cfRule type="cellIs" dxfId="3371" priority="340" stopIfTrue="1" operator="lessThan">
      <formula>$H$27</formula>
    </cfRule>
    <cfRule type="cellIs" dxfId="3370" priority="339" stopIfTrue="1" operator="equal">
      <formula>$H$27</formula>
    </cfRule>
  </conditionalFormatting>
  <conditionalFormatting sqref="I28">
    <cfRule type="cellIs" dxfId="3369" priority="343" stopIfTrue="1" operator="lessThan">
      <formula>$H$28</formula>
    </cfRule>
    <cfRule type="cellIs" dxfId="3368" priority="342" stopIfTrue="1" operator="equal">
      <formula>$H$28</formula>
    </cfRule>
  </conditionalFormatting>
  <conditionalFormatting sqref="I29">
    <cfRule type="cellIs" dxfId="3367" priority="344" stopIfTrue="1" operator="equal">
      <formula>$H$29</formula>
    </cfRule>
    <cfRule type="cellIs" dxfId="3366" priority="345" stopIfTrue="1" operator="lessThan">
      <formula>$H$29</formula>
    </cfRule>
  </conditionalFormatting>
  <conditionalFormatting sqref="J4">
    <cfRule type="cellIs" dxfId="3365" priority="47" stopIfTrue="1" operator="lessThan">
      <formula>$I$4</formula>
    </cfRule>
    <cfRule type="cellIs" dxfId="3364" priority="48" stopIfTrue="1" operator="equal">
      <formula>$I$4</formula>
    </cfRule>
  </conditionalFormatting>
  <conditionalFormatting sqref="J5">
    <cfRule type="cellIs" dxfId="3363" priority="35" stopIfTrue="1" operator="lessThan">
      <formula>$I$5</formula>
    </cfRule>
    <cfRule type="cellIs" dxfId="3362" priority="34" stopIfTrue="1" operator="equal">
      <formula>$I$5</formula>
    </cfRule>
  </conditionalFormatting>
  <conditionalFormatting sqref="J6">
    <cfRule type="cellIs" dxfId="3361" priority="62" stopIfTrue="1" operator="lessThan">
      <formula>$I$6</formula>
    </cfRule>
    <cfRule type="cellIs" dxfId="3360" priority="61" stopIfTrue="1" operator="equal">
      <formula>$I$6</formula>
    </cfRule>
  </conditionalFormatting>
  <conditionalFormatting sqref="J7">
    <cfRule type="cellIs" dxfId="3359" priority="74" stopIfTrue="1" operator="lessThan">
      <formula>$I$7</formula>
    </cfRule>
    <cfRule type="cellIs" dxfId="3358" priority="73" stopIfTrue="1" operator="equal">
      <formula>$I$7</formula>
    </cfRule>
  </conditionalFormatting>
  <conditionalFormatting sqref="J8">
    <cfRule type="cellIs" dxfId="3357" priority="88" stopIfTrue="1" operator="lessThan">
      <formula>$I$8</formula>
    </cfRule>
    <cfRule type="cellIs" dxfId="3356" priority="87" stopIfTrue="1" operator="equal">
      <formula>$I$8</formula>
    </cfRule>
  </conditionalFormatting>
  <conditionalFormatting sqref="J9">
    <cfRule type="cellIs" dxfId="3355" priority="102" stopIfTrue="1" operator="lessThan">
      <formula>$I$9</formula>
    </cfRule>
    <cfRule type="cellIs" dxfId="3354" priority="101" stopIfTrue="1" operator="equal">
      <formula>$I$9</formula>
    </cfRule>
  </conditionalFormatting>
  <conditionalFormatting sqref="J10">
    <cfRule type="cellIs" dxfId="3353" priority="116" stopIfTrue="1" operator="lessThan">
      <formula>$I$10</formula>
    </cfRule>
    <cfRule type="cellIs" dxfId="3352" priority="115" stopIfTrue="1" operator="equal">
      <formula>$I$10</formula>
    </cfRule>
  </conditionalFormatting>
  <conditionalFormatting sqref="J11">
    <cfRule type="cellIs" dxfId="3351" priority="130" stopIfTrue="1" operator="lessThan">
      <formula>$I$11</formula>
    </cfRule>
    <cfRule type="cellIs" dxfId="3350" priority="129" stopIfTrue="1" operator="equal">
      <formula>$I$11</formula>
    </cfRule>
  </conditionalFormatting>
  <conditionalFormatting sqref="J12">
    <cfRule type="cellIs" dxfId="3349" priority="143" stopIfTrue="1" operator="equal">
      <formula>$I$12</formula>
    </cfRule>
    <cfRule type="cellIs" dxfId="3348" priority="144" stopIfTrue="1" operator="lessThan">
      <formula>$I$12</formula>
    </cfRule>
  </conditionalFormatting>
  <conditionalFormatting sqref="J13">
    <cfRule type="cellIs" dxfId="3347" priority="347" stopIfTrue="1" operator="lessThan">
      <formula>$I$13</formula>
    </cfRule>
    <cfRule type="cellIs" dxfId="3346" priority="346" stopIfTrue="1" operator="equal">
      <formula>$I$13</formula>
    </cfRule>
  </conditionalFormatting>
  <conditionalFormatting sqref="J14">
    <cfRule type="cellIs" dxfId="3345" priority="349" stopIfTrue="1" operator="lessThan">
      <formula>$I$14</formula>
    </cfRule>
    <cfRule type="cellIs" dxfId="3344" priority="348" stopIfTrue="1" operator="equal">
      <formula>$I$14</formula>
    </cfRule>
  </conditionalFormatting>
  <conditionalFormatting sqref="J15">
    <cfRule type="cellIs" dxfId="3343" priority="350" stopIfTrue="1" operator="equal">
      <formula>$I$15</formula>
    </cfRule>
    <cfRule type="cellIs" dxfId="3342" priority="351" stopIfTrue="1" operator="lessThan">
      <formula>$I$15</formula>
    </cfRule>
  </conditionalFormatting>
  <conditionalFormatting sqref="J16">
    <cfRule type="cellIs" dxfId="3341" priority="352" stopIfTrue="1" operator="equal">
      <formula>$I$16</formula>
    </cfRule>
    <cfRule type="cellIs" dxfId="3340" priority="353" stopIfTrue="1" operator="lessThan">
      <formula>$I$16</formula>
    </cfRule>
  </conditionalFormatting>
  <conditionalFormatting sqref="J17">
    <cfRule type="cellIs" dxfId="3339" priority="354" stopIfTrue="1" operator="equal">
      <formula>$I$17</formula>
    </cfRule>
    <cfRule type="cellIs" dxfId="3338" priority="355" stopIfTrue="1" operator="lessThan">
      <formula>$I$17</formula>
    </cfRule>
  </conditionalFormatting>
  <conditionalFormatting sqref="J18">
    <cfRule type="cellIs" dxfId="3337" priority="356" stopIfTrue="1" operator="equal">
      <formula>$I$18</formula>
    </cfRule>
    <cfRule type="cellIs" dxfId="3336" priority="357" stopIfTrue="1" operator="lessThan">
      <formula>$I$18</formula>
    </cfRule>
  </conditionalFormatting>
  <conditionalFormatting sqref="J19">
    <cfRule type="cellIs" dxfId="3335" priority="358" stopIfTrue="1" operator="equal">
      <formula>$I$19</formula>
    </cfRule>
    <cfRule type="cellIs" dxfId="3334" priority="359" stopIfTrue="1" operator="lessThan">
      <formula>$I$19</formula>
    </cfRule>
  </conditionalFormatting>
  <conditionalFormatting sqref="J20">
    <cfRule type="cellIs" dxfId="3333" priority="360" stopIfTrue="1" operator="equal">
      <formula>$I$20</formula>
    </cfRule>
    <cfRule type="cellIs" dxfId="3332" priority="361" stopIfTrue="1" operator="lessThan">
      <formula>$I$20</formula>
    </cfRule>
  </conditionalFormatting>
  <conditionalFormatting sqref="J21">
    <cfRule type="cellIs" dxfId="3331" priority="362" stopIfTrue="1" operator="equal">
      <formula>$I$21</formula>
    </cfRule>
    <cfRule type="cellIs" dxfId="3330" priority="363" stopIfTrue="1" operator="lessThan">
      <formula>$I$21</formula>
    </cfRule>
  </conditionalFormatting>
  <conditionalFormatting sqref="J22">
    <cfRule type="cellIs" dxfId="3329" priority="364" stopIfTrue="1" operator="equal">
      <formula>$I$22</formula>
    </cfRule>
    <cfRule type="cellIs" dxfId="3328" priority="365" stopIfTrue="1" operator="lessThan">
      <formula>$I$22</formula>
    </cfRule>
  </conditionalFormatting>
  <conditionalFormatting sqref="J23">
    <cfRule type="cellIs" dxfId="3327" priority="367" stopIfTrue="1" operator="lessThan">
      <formula>$I$23</formula>
    </cfRule>
    <cfRule type="cellIs" dxfId="3326" priority="366" stopIfTrue="1" operator="equal">
      <formula>$I$23</formula>
    </cfRule>
  </conditionalFormatting>
  <conditionalFormatting sqref="J24">
    <cfRule type="cellIs" dxfId="3325" priority="368" stopIfTrue="1" operator="equal">
      <formula>$I$24</formula>
    </cfRule>
    <cfRule type="cellIs" dxfId="3324" priority="369" stopIfTrue="1" operator="lessThan">
      <formula>$I$24</formula>
    </cfRule>
  </conditionalFormatting>
  <conditionalFormatting sqref="J25">
    <cfRule type="cellIs" dxfId="3323" priority="370" stopIfTrue="1" operator="equal">
      <formula>$I$25</formula>
    </cfRule>
    <cfRule type="cellIs" dxfId="3322" priority="371" stopIfTrue="1" operator="lessThan">
      <formula>$I$25</formula>
    </cfRule>
  </conditionalFormatting>
  <conditionalFormatting sqref="J26">
    <cfRule type="cellIs" dxfId="3321" priority="372" stopIfTrue="1" operator="equal">
      <formula>$I$26</formula>
    </cfRule>
    <cfRule type="cellIs" dxfId="3320" priority="373" stopIfTrue="1" operator="lessThan">
      <formula>$I$26</formula>
    </cfRule>
  </conditionalFormatting>
  <conditionalFormatting sqref="J27">
    <cfRule type="cellIs" dxfId="3319" priority="374" stopIfTrue="1" operator="equal">
      <formula>$I$27</formula>
    </cfRule>
    <cfRule type="cellIs" dxfId="3318" priority="375" stopIfTrue="1" operator="lessThan">
      <formula>$I$27</formula>
    </cfRule>
  </conditionalFormatting>
  <conditionalFormatting sqref="J28">
    <cfRule type="cellIs" dxfId="3317" priority="376" stopIfTrue="1" operator="equal">
      <formula>$I$28</formula>
    </cfRule>
    <cfRule type="cellIs" dxfId="3316" priority="377" stopIfTrue="1" operator="lessThan">
      <formula>$I$28</formula>
    </cfRule>
  </conditionalFormatting>
  <conditionalFormatting sqref="K4">
    <cfRule type="cellIs" dxfId="3315" priority="378" stopIfTrue="1" operator="equal">
      <formula>$J$4</formula>
    </cfRule>
    <cfRule type="cellIs" dxfId="3314" priority="379" stopIfTrue="1" operator="lessThan">
      <formula>$J$4</formula>
    </cfRule>
  </conditionalFormatting>
  <conditionalFormatting sqref="K5">
    <cfRule type="cellIs" dxfId="3313" priority="380" stopIfTrue="1" operator="equal">
      <formula>$J$5</formula>
    </cfRule>
    <cfRule type="cellIs" dxfId="3312" priority="381" stopIfTrue="1" operator="lessThan">
      <formula>$J$5</formula>
    </cfRule>
  </conditionalFormatting>
  <conditionalFormatting sqref="K6">
    <cfRule type="cellIs" dxfId="3311" priority="382" stopIfTrue="1" operator="equal">
      <formula>$J$6</formula>
    </cfRule>
    <cfRule type="cellIs" dxfId="3310" priority="383" stopIfTrue="1" operator="lessThan">
      <formula>$J$6</formula>
    </cfRule>
  </conditionalFormatting>
  <conditionalFormatting sqref="K7">
    <cfRule type="cellIs" dxfId="3309" priority="384" stopIfTrue="1" operator="equal">
      <formula>$J$7</formula>
    </cfRule>
    <cfRule type="cellIs" dxfId="3308" priority="385" stopIfTrue="1" operator="lessThan">
      <formula>$J$7</formula>
    </cfRule>
  </conditionalFormatting>
  <conditionalFormatting sqref="K8">
    <cfRule type="cellIs" dxfId="3307" priority="387" stopIfTrue="1" operator="lessThan">
      <formula>$J$8</formula>
    </cfRule>
    <cfRule type="cellIs" dxfId="3306" priority="386" stopIfTrue="1" operator="equal">
      <formula>$J$8</formula>
    </cfRule>
  </conditionalFormatting>
  <conditionalFormatting sqref="K9">
    <cfRule type="cellIs" dxfId="3305" priority="389" stopIfTrue="1" operator="lessThan">
      <formula>$J$9</formula>
    </cfRule>
    <cfRule type="cellIs" dxfId="3304" priority="388" stopIfTrue="1" operator="equal">
      <formula>$J$9</formula>
    </cfRule>
  </conditionalFormatting>
  <conditionalFormatting sqref="K10">
    <cfRule type="cellIs" dxfId="3303" priority="390" stopIfTrue="1" operator="equal">
      <formula>$J$10</formula>
    </cfRule>
    <cfRule type="cellIs" dxfId="3302" priority="391" stopIfTrue="1" operator="lessThan">
      <formula>$J$10</formula>
    </cfRule>
  </conditionalFormatting>
  <conditionalFormatting sqref="K11">
    <cfRule type="cellIs" dxfId="3301" priority="392" stopIfTrue="1" operator="equal">
      <formula>$J$11</formula>
    </cfRule>
    <cfRule type="cellIs" dxfId="3300" priority="393" stopIfTrue="1" operator="lessThan">
      <formula>$J$11</formula>
    </cfRule>
  </conditionalFormatting>
  <conditionalFormatting sqref="K12">
    <cfRule type="cellIs" dxfId="3299" priority="394" stopIfTrue="1" operator="equal">
      <formula>$J$12</formula>
    </cfRule>
    <cfRule type="cellIs" dxfId="3298" priority="395" stopIfTrue="1" operator="lessThan">
      <formula>$J$12</formula>
    </cfRule>
  </conditionalFormatting>
  <conditionalFormatting sqref="K13">
    <cfRule type="cellIs" dxfId="3297" priority="396" stopIfTrue="1" operator="equal">
      <formula>$J$13</formula>
    </cfRule>
    <cfRule type="cellIs" dxfId="3296" priority="397" stopIfTrue="1" operator="lessThan">
      <formula>$J$13</formula>
    </cfRule>
  </conditionalFormatting>
  <conditionalFormatting sqref="K14">
    <cfRule type="cellIs" dxfId="3295" priority="398" stopIfTrue="1" operator="equal">
      <formula>$J$14</formula>
    </cfRule>
    <cfRule type="cellIs" dxfId="3294" priority="399" stopIfTrue="1" operator="lessThan">
      <formula>$J$14</formula>
    </cfRule>
  </conditionalFormatting>
  <conditionalFormatting sqref="K15">
    <cfRule type="cellIs" dxfId="3293" priority="400" stopIfTrue="1" operator="equal">
      <formula>$J$15</formula>
    </cfRule>
    <cfRule type="cellIs" dxfId="3292" priority="401" stopIfTrue="1" operator="lessThan">
      <formula>$J$15</formula>
    </cfRule>
  </conditionalFormatting>
  <conditionalFormatting sqref="K16">
    <cfRule type="cellIs" dxfId="3291" priority="402" stopIfTrue="1" operator="equal">
      <formula>$J$16</formula>
    </cfRule>
    <cfRule type="cellIs" dxfId="3290" priority="403" stopIfTrue="1" operator="lessThan">
      <formula>$J$16</formula>
    </cfRule>
  </conditionalFormatting>
  <conditionalFormatting sqref="K17">
    <cfRule type="cellIs" dxfId="3289" priority="404" stopIfTrue="1" operator="equal">
      <formula>$J$17</formula>
    </cfRule>
    <cfRule type="cellIs" dxfId="3288" priority="405" stopIfTrue="1" operator="lessThan">
      <formula>$J$17</formula>
    </cfRule>
  </conditionalFormatting>
  <conditionalFormatting sqref="K18">
    <cfRule type="cellIs" dxfId="3287" priority="407" stopIfTrue="1" operator="lessThan">
      <formula>$J$18</formula>
    </cfRule>
    <cfRule type="cellIs" dxfId="3286" priority="406" stopIfTrue="1" operator="equal">
      <formula>$J$18</formula>
    </cfRule>
  </conditionalFormatting>
  <conditionalFormatting sqref="K19">
    <cfRule type="cellIs" dxfId="3285" priority="409" stopIfTrue="1" operator="lessThan">
      <formula>$J$19</formula>
    </cfRule>
    <cfRule type="cellIs" dxfId="3284" priority="408" stopIfTrue="1" operator="equal">
      <formula>$J$19</formula>
    </cfRule>
  </conditionalFormatting>
  <conditionalFormatting sqref="K20">
    <cfRule type="cellIs" dxfId="3283" priority="410" stopIfTrue="1" operator="equal">
      <formula>$J$20</formula>
    </cfRule>
    <cfRule type="cellIs" dxfId="3282" priority="411" stopIfTrue="1" operator="lessThan">
      <formula>$J$20</formula>
    </cfRule>
  </conditionalFormatting>
  <conditionalFormatting sqref="K21">
    <cfRule type="cellIs" dxfId="3281" priority="412" stopIfTrue="1" operator="equal">
      <formula>$J$21</formula>
    </cfRule>
    <cfRule type="cellIs" dxfId="3280" priority="413" stopIfTrue="1" operator="lessThan">
      <formula>$J$21</formula>
    </cfRule>
  </conditionalFormatting>
  <conditionalFormatting sqref="K22">
    <cfRule type="cellIs" dxfId="3279" priority="414" stopIfTrue="1" operator="equal">
      <formula>$J$22</formula>
    </cfRule>
    <cfRule type="cellIs" dxfId="3278" priority="415" stopIfTrue="1" operator="lessThan">
      <formula>$J$22</formula>
    </cfRule>
  </conditionalFormatting>
  <conditionalFormatting sqref="K23">
    <cfRule type="cellIs" dxfId="3277" priority="416" stopIfTrue="1" operator="equal">
      <formula>$J$23</formula>
    </cfRule>
    <cfRule type="cellIs" dxfId="3276" priority="417" stopIfTrue="1" operator="lessThan">
      <formula>$J$23</formula>
    </cfRule>
  </conditionalFormatting>
  <conditionalFormatting sqref="K24">
    <cfRule type="cellIs" dxfId="3275" priority="418" stopIfTrue="1" operator="equal">
      <formula>$J$24</formula>
    </cfRule>
    <cfRule type="cellIs" dxfId="3274" priority="419" stopIfTrue="1" operator="lessThan">
      <formula>$J$24</formula>
    </cfRule>
  </conditionalFormatting>
  <conditionalFormatting sqref="K25">
    <cfRule type="cellIs" dxfId="3273" priority="420" stopIfTrue="1" operator="equal">
      <formula>$J$25</formula>
    </cfRule>
    <cfRule type="cellIs" dxfId="3272" priority="421" stopIfTrue="1" operator="lessThan">
      <formula>$J$25</formula>
    </cfRule>
  </conditionalFormatting>
  <conditionalFormatting sqref="K26">
    <cfRule type="cellIs" dxfId="3271" priority="422" stopIfTrue="1" operator="equal">
      <formula>$J$26</formula>
    </cfRule>
    <cfRule type="cellIs" dxfId="3270" priority="423" stopIfTrue="1" operator="lessThan">
      <formula>$J$26</formula>
    </cfRule>
  </conditionalFormatting>
  <conditionalFormatting sqref="K27">
    <cfRule type="cellIs" dxfId="3269" priority="424" stopIfTrue="1" operator="equal">
      <formula>$J$27</formula>
    </cfRule>
    <cfRule type="cellIs" dxfId="3268" priority="425" stopIfTrue="1" operator="lessThan">
      <formula>$J$27</formula>
    </cfRule>
  </conditionalFormatting>
  <conditionalFormatting sqref="K28">
    <cfRule type="cellIs" dxfId="3267" priority="427" stopIfTrue="1" operator="equal">
      <formula>$J$28</formula>
    </cfRule>
    <cfRule type="cellIs" dxfId="3266" priority="426" stopIfTrue="1" operator="lessThan">
      <formula>$J$28</formula>
    </cfRule>
  </conditionalFormatting>
  <conditionalFormatting sqref="L4">
    <cfRule type="cellIs" dxfId="3265" priority="429" stopIfTrue="1" operator="lessThan">
      <formula>$K$4</formula>
    </cfRule>
    <cfRule type="cellIs" dxfId="3264" priority="428" stopIfTrue="1" operator="equal">
      <formula>$K$4</formula>
    </cfRule>
  </conditionalFormatting>
  <conditionalFormatting sqref="L5">
    <cfRule type="cellIs" dxfId="3263" priority="430" stopIfTrue="1" operator="equal">
      <formula>$K$5</formula>
    </cfRule>
    <cfRule type="cellIs" dxfId="3262" priority="431" stopIfTrue="1" operator="lessThan">
      <formula>$K$5</formula>
    </cfRule>
  </conditionalFormatting>
  <conditionalFormatting sqref="L6">
    <cfRule type="cellIs" dxfId="3261" priority="432" stopIfTrue="1" operator="equal">
      <formula>$K$6</formula>
    </cfRule>
    <cfRule type="cellIs" dxfId="3260" priority="433" stopIfTrue="1" operator="lessThan">
      <formula>$K$6</formula>
    </cfRule>
  </conditionalFormatting>
  <conditionalFormatting sqref="L7">
    <cfRule type="cellIs" dxfId="3259" priority="434" stopIfTrue="1" operator="equal">
      <formula>$K$7</formula>
    </cfRule>
    <cfRule type="cellIs" dxfId="3258" priority="435" stopIfTrue="1" operator="lessThan">
      <formula>$K$7</formula>
    </cfRule>
  </conditionalFormatting>
  <conditionalFormatting sqref="L8">
    <cfRule type="cellIs" dxfId="3257" priority="436" stopIfTrue="1" operator="equal">
      <formula>$K$8</formula>
    </cfRule>
    <cfRule type="cellIs" dxfId="3256" priority="437" stopIfTrue="1" operator="lessThan">
      <formula>$K$8</formula>
    </cfRule>
  </conditionalFormatting>
  <conditionalFormatting sqref="L9">
    <cfRule type="cellIs" dxfId="3255" priority="438" stopIfTrue="1" operator="equal">
      <formula>$K$9</formula>
    </cfRule>
    <cfRule type="cellIs" dxfId="3254" priority="439" stopIfTrue="1" operator="lessThan">
      <formula>$K$9</formula>
    </cfRule>
  </conditionalFormatting>
  <conditionalFormatting sqref="L10">
    <cfRule type="cellIs" dxfId="3253" priority="440" stopIfTrue="1" operator="equal">
      <formula>$K$10</formula>
    </cfRule>
    <cfRule type="cellIs" dxfId="3252" priority="441" stopIfTrue="1" operator="lessThan">
      <formula>$K$10</formula>
    </cfRule>
  </conditionalFormatting>
  <conditionalFormatting sqref="L11">
    <cfRule type="cellIs" dxfId="3251" priority="462" stopIfTrue="1" operator="equal">
      <formula>$K$11</formula>
    </cfRule>
    <cfRule type="cellIs" dxfId="3250" priority="463" stopIfTrue="1" operator="lessThan">
      <formula>$K$11</formula>
    </cfRule>
  </conditionalFormatting>
  <conditionalFormatting sqref="L12">
    <cfRule type="cellIs" dxfId="3249" priority="442" stopIfTrue="1" operator="equal">
      <formula>$K$12</formula>
    </cfRule>
    <cfRule type="cellIs" dxfId="3248" priority="443" stopIfTrue="1" operator="lessThan">
      <formula>$K$12</formula>
    </cfRule>
  </conditionalFormatting>
  <conditionalFormatting sqref="L13">
    <cfRule type="cellIs" dxfId="3247" priority="444" stopIfTrue="1" operator="equal">
      <formula>$K$13</formula>
    </cfRule>
    <cfRule type="cellIs" dxfId="3246" priority="445" stopIfTrue="1" operator="lessThan">
      <formula>$K$13</formula>
    </cfRule>
  </conditionalFormatting>
  <conditionalFormatting sqref="L14">
    <cfRule type="cellIs" dxfId="3245" priority="447" stopIfTrue="1" operator="lessThan">
      <formula>$K$14</formula>
    </cfRule>
    <cfRule type="cellIs" dxfId="3244" priority="446" stopIfTrue="1" operator="equal">
      <formula>$K$14</formula>
    </cfRule>
  </conditionalFormatting>
  <conditionalFormatting sqref="L15">
    <cfRule type="cellIs" dxfId="3243" priority="448" stopIfTrue="1" operator="equal">
      <formula>$K$15</formula>
    </cfRule>
    <cfRule type="cellIs" dxfId="3242" priority="449" stopIfTrue="1" operator="lessThan">
      <formula>$K$15</formula>
    </cfRule>
  </conditionalFormatting>
  <conditionalFormatting sqref="L16">
    <cfRule type="cellIs" dxfId="3241" priority="450" stopIfTrue="1" operator="equal">
      <formula>$K$16</formula>
    </cfRule>
    <cfRule type="cellIs" dxfId="3240" priority="451" stopIfTrue="1" operator="lessThan">
      <formula>$K$16</formula>
    </cfRule>
  </conditionalFormatting>
  <conditionalFormatting sqref="L17">
    <cfRule type="cellIs" dxfId="3239" priority="452" stopIfTrue="1" operator="equal">
      <formula>$K$17</formula>
    </cfRule>
    <cfRule type="cellIs" dxfId="3238" priority="453" stopIfTrue="1" operator="lessThan">
      <formula>$K$17</formula>
    </cfRule>
  </conditionalFormatting>
  <conditionalFormatting sqref="L18">
    <cfRule type="cellIs" dxfId="3237" priority="454" stopIfTrue="1" operator="equal">
      <formula>$K$18</formula>
    </cfRule>
    <cfRule type="cellIs" dxfId="3236" priority="455" stopIfTrue="1" operator="lessThan">
      <formula>$K$18</formula>
    </cfRule>
  </conditionalFormatting>
  <conditionalFormatting sqref="L19">
    <cfRule type="cellIs" dxfId="3235" priority="456" stopIfTrue="1" operator="equal">
      <formula>$K$19</formula>
    </cfRule>
    <cfRule type="cellIs" dxfId="3234" priority="457" stopIfTrue="1" operator="lessThan">
      <formula>$K$19</formula>
    </cfRule>
  </conditionalFormatting>
  <conditionalFormatting sqref="L20">
    <cfRule type="cellIs" dxfId="3233" priority="458" stopIfTrue="1" operator="equal">
      <formula>$K$20</formula>
    </cfRule>
    <cfRule type="cellIs" dxfId="3232" priority="459" stopIfTrue="1" operator="lessThan">
      <formula>$K$20</formula>
    </cfRule>
  </conditionalFormatting>
  <conditionalFormatting sqref="L21">
    <cfRule type="cellIs" dxfId="3231" priority="460" stopIfTrue="1" operator="equal">
      <formula>$K$21</formula>
    </cfRule>
    <cfRule type="cellIs" dxfId="3230" priority="461" stopIfTrue="1" operator="lessThan">
      <formula>$K$21</formula>
    </cfRule>
  </conditionalFormatting>
  <conditionalFormatting sqref="L22">
    <cfRule type="cellIs" dxfId="3229" priority="464" stopIfTrue="1" operator="equal">
      <formula>$K$22</formula>
    </cfRule>
    <cfRule type="cellIs" dxfId="3228" priority="465" stopIfTrue="1" operator="lessThan">
      <formula>$K$22</formula>
    </cfRule>
  </conditionalFormatting>
  <conditionalFormatting sqref="L23">
    <cfRule type="cellIs" dxfId="3227" priority="467" stopIfTrue="1" operator="lessThan">
      <formula>$K$23</formula>
    </cfRule>
    <cfRule type="cellIs" dxfId="3226" priority="466" stopIfTrue="1" operator="equal">
      <formula>$K$23</formula>
    </cfRule>
  </conditionalFormatting>
  <conditionalFormatting sqref="L24">
    <cfRule type="cellIs" dxfId="3225" priority="469" stopIfTrue="1" operator="lessThan">
      <formula>$K$24</formula>
    </cfRule>
    <cfRule type="cellIs" dxfId="3224" priority="468" stopIfTrue="1" operator="equal">
      <formula>$K$24</formula>
    </cfRule>
  </conditionalFormatting>
  <conditionalFormatting sqref="L25">
    <cfRule type="cellIs" dxfId="3223" priority="470" stopIfTrue="1" operator="equal">
      <formula>$K$25</formula>
    </cfRule>
    <cfRule type="cellIs" dxfId="3222" priority="471" stopIfTrue="1" operator="lessThan">
      <formula>$K$25</formula>
    </cfRule>
  </conditionalFormatting>
  <conditionalFormatting sqref="L26">
    <cfRule type="cellIs" dxfId="3221" priority="472" stopIfTrue="1" operator="equal">
      <formula>$K$26</formula>
    </cfRule>
    <cfRule type="cellIs" dxfId="3220" priority="473" stopIfTrue="1" operator="lessThan">
      <formula>$K$26</formula>
    </cfRule>
  </conditionalFormatting>
  <conditionalFormatting sqref="L27">
    <cfRule type="cellIs" dxfId="3219" priority="474" stopIfTrue="1" operator="equal">
      <formula>$K$27</formula>
    </cfRule>
    <cfRule type="cellIs" dxfId="3218" priority="475" stopIfTrue="1" operator="lessThan">
      <formula>$K$27</formula>
    </cfRule>
  </conditionalFormatting>
  <conditionalFormatting sqref="L28">
    <cfRule type="cellIs" dxfId="3217" priority="476" stopIfTrue="1" operator="equal">
      <formula>$K$28</formula>
    </cfRule>
    <cfRule type="cellIs" dxfId="3216" priority="477" stopIfTrue="1" operator="lessThan">
      <formula>$K$28</formula>
    </cfRule>
  </conditionalFormatting>
  <conditionalFormatting sqref="M4">
    <cfRule type="cellIs" dxfId="3215" priority="478" stopIfTrue="1" operator="lessThan">
      <formula>$L$4</formula>
    </cfRule>
    <cfRule type="cellIs" dxfId="3214" priority="479" stopIfTrue="1" operator="equal">
      <formula>$L$4</formula>
    </cfRule>
  </conditionalFormatting>
  <conditionalFormatting sqref="M5">
    <cfRule type="cellIs" dxfId="3213" priority="480" stopIfTrue="1" operator="equal">
      <formula>$L$5</formula>
    </cfRule>
    <cfRule type="cellIs" dxfId="3212" priority="481" stopIfTrue="1" operator="lessThan">
      <formula>$L$5</formula>
    </cfRule>
  </conditionalFormatting>
  <conditionalFormatting sqref="M6">
    <cfRule type="cellIs" dxfId="3211" priority="482" stopIfTrue="1" operator="equal">
      <formula>$L$6</formula>
    </cfRule>
    <cfRule type="cellIs" dxfId="3210" priority="483" stopIfTrue="1" operator="lessThan">
      <formula>$L$6</formula>
    </cfRule>
  </conditionalFormatting>
  <conditionalFormatting sqref="M7">
    <cfRule type="cellIs" dxfId="3209" priority="484" stopIfTrue="1" operator="equal">
      <formula>$L$7</formula>
    </cfRule>
    <cfRule type="cellIs" dxfId="3208" priority="485" stopIfTrue="1" operator="lessThan">
      <formula>$L$7</formula>
    </cfRule>
  </conditionalFormatting>
  <conditionalFormatting sqref="M8">
    <cfRule type="cellIs" dxfId="3207" priority="487" stopIfTrue="1" operator="lessThan">
      <formula>$L$8</formula>
    </cfRule>
    <cfRule type="cellIs" dxfId="3206" priority="486" stopIfTrue="1" operator="equal">
      <formula>$L$8</formula>
    </cfRule>
  </conditionalFormatting>
  <conditionalFormatting sqref="M9">
    <cfRule type="cellIs" dxfId="3205" priority="488" stopIfTrue="1" operator="equal">
      <formula>$L$9</formula>
    </cfRule>
    <cfRule type="cellIs" dxfId="3204" priority="489" stopIfTrue="1" operator="lessThan">
      <formula>$L$9</formula>
    </cfRule>
  </conditionalFormatting>
  <conditionalFormatting sqref="M10">
    <cfRule type="cellIs" dxfId="3203" priority="490" stopIfTrue="1" operator="equal">
      <formula>$L$10</formula>
    </cfRule>
    <cfRule type="cellIs" dxfId="3202" priority="491" stopIfTrue="1" operator="lessThan">
      <formula>$L$10</formula>
    </cfRule>
  </conditionalFormatting>
  <conditionalFormatting sqref="M11">
    <cfRule type="cellIs" dxfId="3201" priority="492" stopIfTrue="1" operator="equal">
      <formula>$L$11</formula>
    </cfRule>
    <cfRule type="cellIs" dxfId="3200" priority="493" stopIfTrue="1" operator="lessThan">
      <formula>$L$11</formula>
    </cfRule>
  </conditionalFormatting>
  <conditionalFormatting sqref="M12">
    <cfRule type="cellIs" dxfId="3199" priority="494" stopIfTrue="1" operator="equal">
      <formula>$L$12</formula>
    </cfRule>
    <cfRule type="cellIs" dxfId="3198" priority="495" stopIfTrue="1" operator="lessThan">
      <formula>$L$12</formula>
    </cfRule>
  </conditionalFormatting>
  <conditionalFormatting sqref="M13">
    <cfRule type="cellIs" dxfId="3197" priority="496" stopIfTrue="1" operator="equal">
      <formula>$L$13</formula>
    </cfRule>
    <cfRule type="cellIs" dxfId="3196" priority="497" stopIfTrue="1" operator="lessThan">
      <formula>$L$13</formula>
    </cfRule>
  </conditionalFormatting>
  <conditionalFormatting sqref="M14">
    <cfRule type="cellIs" dxfId="3195" priority="498" stopIfTrue="1" operator="equal">
      <formula>$L$14</formula>
    </cfRule>
    <cfRule type="cellIs" dxfId="3194" priority="499" stopIfTrue="1" operator="lessThan">
      <formula>$L$14</formula>
    </cfRule>
  </conditionalFormatting>
  <conditionalFormatting sqref="M15">
    <cfRule type="cellIs" dxfId="3193" priority="500" stopIfTrue="1" operator="equal">
      <formula>$L$15</formula>
    </cfRule>
    <cfRule type="cellIs" dxfId="3192" priority="501" stopIfTrue="1" operator="lessThan">
      <formula>$L$15</formula>
    </cfRule>
  </conditionalFormatting>
  <conditionalFormatting sqref="M16">
    <cfRule type="cellIs" dxfId="3191" priority="502" stopIfTrue="1" operator="equal">
      <formula>$L$16</formula>
    </cfRule>
    <cfRule type="cellIs" dxfId="3190" priority="503" stopIfTrue="1" operator="lessThan">
      <formula>$L$16</formula>
    </cfRule>
  </conditionalFormatting>
  <conditionalFormatting sqref="M17">
    <cfRule type="cellIs" dxfId="3189" priority="504" stopIfTrue="1" operator="equal">
      <formula>$L$17</formula>
    </cfRule>
    <cfRule type="cellIs" dxfId="3188" priority="505" stopIfTrue="1" operator="lessThan">
      <formula>$L$17</formula>
    </cfRule>
  </conditionalFormatting>
  <conditionalFormatting sqref="M18">
    <cfRule type="cellIs" dxfId="3187" priority="507" stopIfTrue="1" operator="lessThan">
      <formula>$L$18</formula>
    </cfRule>
    <cfRule type="cellIs" dxfId="3186" priority="506" stopIfTrue="1" operator="equal">
      <formula>$L$18</formula>
    </cfRule>
  </conditionalFormatting>
  <conditionalFormatting sqref="M19">
    <cfRule type="cellIs" dxfId="3185" priority="509" stopIfTrue="1" operator="lessThan">
      <formula>$L$19</formula>
    </cfRule>
    <cfRule type="cellIs" dxfId="3184" priority="508" stopIfTrue="1" operator="equal">
      <formula>$L$19</formula>
    </cfRule>
  </conditionalFormatting>
  <conditionalFormatting sqref="M20">
    <cfRule type="cellIs" dxfId="3183" priority="510" stopIfTrue="1" operator="equal">
      <formula>$L$20</formula>
    </cfRule>
    <cfRule type="cellIs" dxfId="3182" priority="511" stopIfTrue="1" operator="lessThan">
      <formula>$L$20</formula>
    </cfRule>
  </conditionalFormatting>
  <conditionalFormatting sqref="M21">
    <cfRule type="cellIs" dxfId="3181" priority="512" stopIfTrue="1" operator="equal">
      <formula>$L$21</formula>
    </cfRule>
    <cfRule type="cellIs" dxfId="3180" priority="513" stopIfTrue="1" operator="lessThan">
      <formula>$L$21</formula>
    </cfRule>
  </conditionalFormatting>
  <conditionalFormatting sqref="M22">
    <cfRule type="cellIs" dxfId="3179" priority="514" stopIfTrue="1" operator="equal">
      <formula>$L$22</formula>
    </cfRule>
    <cfRule type="cellIs" dxfId="3178" priority="515" stopIfTrue="1" operator="lessThan">
      <formula>$L$22</formula>
    </cfRule>
  </conditionalFormatting>
  <conditionalFormatting sqref="M23">
    <cfRule type="cellIs" dxfId="3177" priority="516" stopIfTrue="1" operator="equal">
      <formula>$L$23</formula>
    </cfRule>
    <cfRule type="cellIs" dxfId="3176" priority="517" stopIfTrue="1" operator="lessThan">
      <formula>$L$23</formula>
    </cfRule>
  </conditionalFormatting>
  <conditionalFormatting sqref="M24">
    <cfRule type="cellIs" dxfId="3175" priority="518" stopIfTrue="1" operator="equal">
      <formula>$L$24</formula>
    </cfRule>
    <cfRule type="cellIs" dxfId="3174" priority="519" stopIfTrue="1" operator="lessThan">
      <formula>$L$24</formula>
    </cfRule>
  </conditionalFormatting>
  <conditionalFormatting sqref="M25">
    <cfRule type="cellIs" dxfId="3173" priority="520" stopIfTrue="1" operator="equal">
      <formula>$L$25</formula>
    </cfRule>
    <cfRule type="cellIs" dxfId="3172" priority="521" stopIfTrue="1" operator="lessThan">
      <formula>$L$25</formula>
    </cfRule>
  </conditionalFormatting>
  <conditionalFormatting sqref="M26">
    <cfRule type="cellIs" dxfId="3171" priority="522" stopIfTrue="1" operator="equal">
      <formula>$L$26</formula>
    </cfRule>
    <cfRule type="cellIs" dxfId="3170" priority="523" stopIfTrue="1" operator="lessThan">
      <formula>$L$26</formula>
    </cfRule>
  </conditionalFormatting>
  <conditionalFormatting sqref="M27">
    <cfRule type="cellIs" dxfId="3169" priority="524" stopIfTrue="1" operator="equal">
      <formula>$L$27</formula>
    </cfRule>
    <cfRule type="cellIs" dxfId="3168" priority="525" stopIfTrue="1" operator="lessThan">
      <formula>$L$27</formula>
    </cfRule>
  </conditionalFormatting>
  <conditionalFormatting sqref="M28">
    <cfRule type="cellIs" dxfId="3167" priority="527" stopIfTrue="1" operator="lessThan">
      <formula>$L$28</formula>
    </cfRule>
    <cfRule type="cellIs" dxfId="3166" priority="526" stopIfTrue="1" operator="equal">
      <formula>$L$28</formula>
    </cfRule>
  </conditionalFormatting>
  <conditionalFormatting sqref="N4">
    <cfRule type="cellIs" dxfId="3165" priority="528" stopIfTrue="1" operator="equal">
      <formula>$M$4</formula>
    </cfRule>
    <cfRule type="cellIs" dxfId="3164" priority="529" stopIfTrue="1" operator="lessThan">
      <formula>$M$4</formula>
    </cfRule>
  </conditionalFormatting>
  <conditionalFormatting sqref="N5">
    <cfRule type="cellIs" dxfId="3163" priority="530" stopIfTrue="1" operator="equal">
      <formula>$M$5</formula>
    </cfRule>
    <cfRule type="cellIs" dxfId="3162" priority="531" stopIfTrue="1" operator="lessThan">
      <formula>$M$5</formula>
    </cfRule>
  </conditionalFormatting>
  <conditionalFormatting sqref="N6">
    <cfRule type="cellIs" dxfId="3161" priority="532" stopIfTrue="1" operator="equal">
      <formula>$M$6</formula>
    </cfRule>
    <cfRule type="cellIs" dxfId="3160" priority="533" stopIfTrue="1" operator="lessThan">
      <formula>$M$6</formula>
    </cfRule>
  </conditionalFormatting>
  <conditionalFormatting sqref="N7">
    <cfRule type="cellIs" dxfId="3159" priority="534" stopIfTrue="1" operator="equal">
      <formula>$M$7</formula>
    </cfRule>
    <cfRule type="cellIs" dxfId="3158" priority="535" stopIfTrue="1" operator="lessThan">
      <formula>$M$7</formula>
    </cfRule>
  </conditionalFormatting>
  <conditionalFormatting sqref="N8">
    <cfRule type="cellIs" dxfId="3157" priority="536" stopIfTrue="1" operator="equal">
      <formula>$M$8</formula>
    </cfRule>
    <cfRule type="cellIs" dxfId="3156" priority="537" stopIfTrue="1" operator="lessThan">
      <formula>$M$8</formula>
    </cfRule>
  </conditionalFormatting>
  <conditionalFormatting sqref="N9">
    <cfRule type="cellIs" dxfId="3155" priority="538" stopIfTrue="1" operator="equal">
      <formula>$M$9</formula>
    </cfRule>
    <cfRule type="cellIs" dxfId="3154" priority="539" stopIfTrue="1" operator="lessThan">
      <formula>$M$9</formula>
    </cfRule>
  </conditionalFormatting>
  <conditionalFormatting sqref="N10">
    <cfRule type="cellIs" dxfId="3153" priority="540" stopIfTrue="1" operator="equal">
      <formula>$M$10</formula>
    </cfRule>
    <cfRule type="cellIs" dxfId="3152" priority="541" stopIfTrue="1" operator="lessThan">
      <formula>$M$10</formula>
    </cfRule>
  </conditionalFormatting>
  <conditionalFormatting sqref="N11">
    <cfRule type="cellIs" dxfId="3151" priority="542" stopIfTrue="1" operator="equal">
      <formula>$M$11</formula>
    </cfRule>
    <cfRule type="cellIs" dxfId="3150" priority="543" stopIfTrue="1" operator="lessThan">
      <formula>$M$11</formula>
    </cfRule>
  </conditionalFormatting>
  <conditionalFormatting sqref="N12">
    <cfRule type="cellIs" dxfId="3149" priority="544" stopIfTrue="1" operator="equal">
      <formula>$M$12</formula>
    </cfRule>
    <cfRule type="cellIs" dxfId="3148" priority="545" stopIfTrue="1" operator="lessThan">
      <formula>$M$12</formula>
    </cfRule>
  </conditionalFormatting>
  <conditionalFormatting sqref="N13">
    <cfRule type="cellIs" dxfId="3147" priority="547" stopIfTrue="1" operator="lessThan">
      <formula>$M$13</formula>
    </cfRule>
    <cfRule type="cellIs" dxfId="3146" priority="546" stopIfTrue="1" operator="equal">
      <formula>$M$13</formula>
    </cfRule>
  </conditionalFormatting>
  <conditionalFormatting sqref="N14">
    <cfRule type="cellIs" dxfId="3145" priority="549" stopIfTrue="1" operator="lessThan">
      <formula>$M$14</formula>
    </cfRule>
    <cfRule type="cellIs" dxfId="3144" priority="548" stopIfTrue="1" operator="equal">
      <formula>$M$14</formula>
    </cfRule>
  </conditionalFormatting>
  <conditionalFormatting sqref="N15">
    <cfRule type="cellIs" dxfId="3143" priority="550" stopIfTrue="1" operator="equal">
      <formula>$M$15</formula>
    </cfRule>
    <cfRule type="cellIs" dxfId="3142" priority="551" stopIfTrue="1" operator="lessThan">
      <formula>$M$15</formula>
    </cfRule>
  </conditionalFormatting>
  <conditionalFormatting sqref="N16">
    <cfRule type="cellIs" dxfId="3141" priority="552" stopIfTrue="1" operator="equal">
      <formula>$M$16</formula>
    </cfRule>
    <cfRule type="cellIs" dxfId="3140" priority="553" stopIfTrue="1" operator="lessThan">
      <formula>$M$16</formula>
    </cfRule>
  </conditionalFormatting>
  <conditionalFormatting sqref="N17">
    <cfRule type="cellIs" dxfId="3139" priority="554" stopIfTrue="1" operator="equal">
      <formula>$M$17</formula>
    </cfRule>
    <cfRule type="cellIs" dxfId="3138" priority="555" stopIfTrue="1" operator="lessThan">
      <formula>$M$17</formula>
    </cfRule>
  </conditionalFormatting>
  <conditionalFormatting sqref="N18">
    <cfRule type="cellIs" dxfId="3137" priority="556" stopIfTrue="1" operator="equal">
      <formula>$M$18</formula>
    </cfRule>
    <cfRule type="cellIs" dxfId="3136" priority="557" stopIfTrue="1" operator="lessThan">
      <formula>$M$18</formula>
    </cfRule>
  </conditionalFormatting>
  <conditionalFormatting sqref="N19">
    <cfRule type="cellIs" dxfId="3135" priority="558" stopIfTrue="1" operator="equal">
      <formula>$M$19</formula>
    </cfRule>
    <cfRule type="cellIs" dxfId="3134" priority="559" stopIfTrue="1" operator="lessThan">
      <formula>$M$19</formula>
    </cfRule>
  </conditionalFormatting>
  <conditionalFormatting sqref="N20">
    <cfRule type="cellIs" dxfId="3133" priority="560" stopIfTrue="1" operator="equal">
      <formula>$M$20</formula>
    </cfRule>
    <cfRule type="cellIs" dxfId="3132" priority="561" stopIfTrue="1" operator="lessThan">
      <formula>$M$20</formula>
    </cfRule>
  </conditionalFormatting>
  <conditionalFormatting sqref="N21">
    <cfRule type="cellIs" dxfId="3131" priority="562" stopIfTrue="1" operator="equal">
      <formula>$M$21</formula>
    </cfRule>
    <cfRule type="cellIs" dxfId="3130" priority="563" stopIfTrue="1" operator="lessThan">
      <formula>$M$21</formula>
    </cfRule>
  </conditionalFormatting>
  <conditionalFormatting sqref="N22">
    <cfRule type="cellIs" dxfId="3129" priority="564" stopIfTrue="1" operator="equal">
      <formula>$M$22</formula>
    </cfRule>
    <cfRule type="cellIs" dxfId="3128" priority="565" stopIfTrue="1" operator="lessThan">
      <formula>$M$22</formula>
    </cfRule>
  </conditionalFormatting>
  <conditionalFormatting sqref="N23">
    <cfRule type="cellIs" dxfId="3127" priority="567" stopIfTrue="1" operator="lessThan">
      <formula>$M$23</formula>
    </cfRule>
    <cfRule type="cellIs" dxfId="3126" priority="566" stopIfTrue="1" operator="equal">
      <formula>$M$23</formula>
    </cfRule>
  </conditionalFormatting>
  <conditionalFormatting sqref="N24">
    <cfRule type="cellIs" dxfId="3125" priority="569" stopIfTrue="1" operator="lessThan">
      <formula>$M$24</formula>
    </cfRule>
    <cfRule type="cellIs" dxfId="3124" priority="568" stopIfTrue="1" operator="equal">
      <formula>$M$24</formula>
    </cfRule>
  </conditionalFormatting>
  <conditionalFormatting sqref="N25">
    <cfRule type="cellIs" dxfId="3123" priority="570" stopIfTrue="1" operator="equal">
      <formula>$M$25</formula>
    </cfRule>
    <cfRule type="cellIs" dxfId="3122" priority="571" stopIfTrue="1" operator="lessThan">
      <formula>$M$25</formula>
    </cfRule>
  </conditionalFormatting>
  <conditionalFormatting sqref="N26">
    <cfRule type="cellIs" dxfId="3121" priority="572" stopIfTrue="1" operator="equal">
      <formula>$M$26</formula>
    </cfRule>
    <cfRule type="cellIs" dxfId="3120" priority="573" stopIfTrue="1" operator="lessThan">
      <formula>$M$26</formula>
    </cfRule>
  </conditionalFormatting>
  <conditionalFormatting sqref="N27">
    <cfRule type="cellIs" dxfId="3119" priority="574" stopIfTrue="1" operator="equal">
      <formula>$M$27</formula>
    </cfRule>
    <cfRule type="cellIs" dxfId="3118" priority="575" stopIfTrue="1" operator="lessThan">
      <formula>$M$27</formula>
    </cfRule>
  </conditionalFormatting>
  <conditionalFormatting sqref="N28">
    <cfRule type="cellIs" dxfId="3117" priority="576" stopIfTrue="1" operator="equal">
      <formula>$M$28</formula>
    </cfRule>
    <cfRule type="cellIs" dxfId="3116" priority="577" stopIfTrue="1" operator="lessThan">
      <formula>$M$28</formula>
    </cfRule>
  </conditionalFormatting>
  <conditionalFormatting sqref="O4">
    <cfRule type="cellIs" dxfId="3115" priority="578" stopIfTrue="1" operator="equal">
      <formula>$N$4</formula>
    </cfRule>
    <cfRule type="cellIs" dxfId="3114" priority="579" stopIfTrue="1" operator="lessThan">
      <formula>$N$4</formula>
    </cfRule>
  </conditionalFormatting>
  <conditionalFormatting sqref="O5">
    <cfRule type="cellIs" dxfId="3113" priority="580" stopIfTrue="1" operator="equal">
      <formula>$N$5</formula>
    </cfRule>
    <cfRule type="cellIs" dxfId="3112" priority="581" stopIfTrue="1" operator="lessThan">
      <formula>$N$5</formula>
    </cfRule>
  </conditionalFormatting>
  <conditionalFormatting sqref="O6">
    <cfRule type="cellIs" dxfId="3111" priority="582" stopIfTrue="1" operator="equal">
      <formula>$N$6</formula>
    </cfRule>
    <cfRule type="cellIs" dxfId="3110" priority="583" stopIfTrue="1" operator="lessThan">
      <formula>$N$6</formula>
    </cfRule>
  </conditionalFormatting>
  <conditionalFormatting sqref="O7">
    <cfRule type="cellIs" dxfId="3109" priority="584" stopIfTrue="1" operator="equal">
      <formula>$N$7</formula>
    </cfRule>
    <cfRule type="cellIs" dxfId="3108" priority="585" stopIfTrue="1" operator="lessThan">
      <formula>$N$7</formula>
    </cfRule>
  </conditionalFormatting>
  <conditionalFormatting sqref="O8">
    <cfRule type="cellIs" dxfId="3107" priority="587" stopIfTrue="1" operator="lessThan">
      <formula>$N$8</formula>
    </cfRule>
    <cfRule type="cellIs" dxfId="3106" priority="586" stopIfTrue="1" operator="equal">
      <formula>$N$8</formula>
    </cfRule>
  </conditionalFormatting>
  <conditionalFormatting sqref="O9">
    <cfRule type="cellIs" dxfId="3105" priority="589" stopIfTrue="1" operator="lessThan">
      <formula>$N$9</formula>
    </cfRule>
    <cfRule type="cellIs" dxfId="3104" priority="588" stopIfTrue="1" operator="equal">
      <formula>$N$9</formula>
    </cfRule>
  </conditionalFormatting>
  <conditionalFormatting sqref="O10">
    <cfRule type="cellIs" dxfId="3103" priority="590" stopIfTrue="1" operator="equal">
      <formula>$N$10</formula>
    </cfRule>
    <cfRule type="cellIs" dxfId="3102" priority="591" stopIfTrue="1" operator="lessThan">
      <formula>$N$10</formula>
    </cfRule>
  </conditionalFormatting>
  <conditionalFormatting sqref="O11">
    <cfRule type="cellIs" dxfId="3101" priority="592" stopIfTrue="1" operator="equal">
      <formula>$N$11</formula>
    </cfRule>
    <cfRule type="cellIs" dxfId="3100" priority="593" stopIfTrue="1" operator="lessThan">
      <formula>$N$11</formula>
    </cfRule>
  </conditionalFormatting>
  <conditionalFormatting sqref="O12">
    <cfRule type="cellIs" dxfId="3099" priority="594" stopIfTrue="1" operator="equal">
      <formula>$N$12</formula>
    </cfRule>
    <cfRule type="cellIs" dxfId="3098" priority="595" stopIfTrue="1" operator="lessThan">
      <formula>$N$12</formula>
    </cfRule>
  </conditionalFormatting>
  <conditionalFormatting sqref="O13">
    <cfRule type="cellIs" dxfId="3097" priority="596" stopIfTrue="1" operator="equal">
      <formula>$N$13</formula>
    </cfRule>
    <cfRule type="cellIs" dxfId="3096" priority="597" stopIfTrue="1" operator="lessThan">
      <formula>$N$13</formula>
    </cfRule>
  </conditionalFormatting>
  <conditionalFormatting sqref="O14">
    <cfRule type="cellIs" dxfId="3095" priority="598" stopIfTrue="1" operator="equal">
      <formula>$N$14</formula>
    </cfRule>
    <cfRule type="cellIs" dxfId="3094" priority="599" stopIfTrue="1" operator="lessThan">
      <formula>$N$14</formula>
    </cfRule>
  </conditionalFormatting>
  <conditionalFormatting sqref="O15">
    <cfRule type="cellIs" dxfId="3093" priority="600" stopIfTrue="1" operator="equal">
      <formula>$N$15</formula>
    </cfRule>
    <cfRule type="cellIs" dxfId="3092" priority="601" stopIfTrue="1" operator="lessThan">
      <formula>$N$15</formula>
    </cfRule>
  </conditionalFormatting>
  <conditionalFormatting sqref="O16">
    <cfRule type="cellIs" dxfId="3091" priority="602" stopIfTrue="1" operator="equal">
      <formula>$N$16</formula>
    </cfRule>
    <cfRule type="cellIs" dxfId="3090" priority="603" stopIfTrue="1" operator="lessThan">
      <formula>$N$16</formula>
    </cfRule>
  </conditionalFormatting>
  <conditionalFormatting sqref="O17">
    <cfRule type="cellIs" dxfId="3089" priority="604" stopIfTrue="1" operator="equal">
      <formula>$N$17</formula>
    </cfRule>
    <cfRule type="cellIs" dxfId="3088" priority="605" stopIfTrue="1" operator="lessThan">
      <formula>$N$17</formula>
    </cfRule>
  </conditionalFormatting>
  <conditionalFormatting sqref="O18">
    <cfRule type="cellIs" dxfId="3087" priority="607" stopIfTrue="1" operator="lessThan">
      <formula>$N$18</formula>
    </cfRule>
    <cfRule type="cellIs" dxfId="3086" priority="606" stopIfTrue="1" operator="equal">
      <formula>$N$18</formula>
    </cfRule>
  </conditionalFormatting>
  <conditionalFormatting sqref="O19">
    <cfRule type="cellIs" dxfId="3085" priority="608" stopIfTrue="1" operator="equal">
      <formula>$N$19</formula>
    </cfRule>
    <cfRule type="cellIs" dxfId="3084" priority="609" stopIfTrue="1" operator="lessThan">
      <formula>$N$19</formula>
    </cfRule>
  </conditionalFormatting>
  <conditionalFormatting sqref="O20">
    <cfRule type="cellIs" dxfId="3083" priority="610" stopIfTrue="1" operator="equal">
      <formula>$N$20</formula>
    </cfRule>
    <cfRule type="cellIs" dxfId="3082" priority="611" stopIfTrue="1" operator="lessThan">
      <formula>$N$20</formula>
    </cfRule>
  </conditionalFormatting>
  <conditionalFormatting sqref="O21">
    <cfRule type="cellIs" dxfId="3081" priority="612" stopIfTrue="1" operator="equal">
      <formula>$N$21</formula>
    </cfRule>
    <cfRule type="cellIs" dxfId="3080" priority="613" stopIfTrue="1" operator="lessThan">
      <formula>$N$21</formula>
    </cfRule>
  </conditionalFormatting>
  <conditionalFormatting sqref="O22">
    <cfRule type="cellIs" dxfId="3079" priority="614" stopIfTrue="1" operator="equal">
      <formula>$N$22</formula>
    </cfRule>
    <cfRule type="cellIs" dxfId="3078" priority="615" stopIfTrue="1" operator="lessThan">
      <formula>$N$22</formula>
    </cfRule>
  </conditionalFormatting>
  <conditionalFormatting sqref="O23">
    <cfRule type="cellIs" dxfId="3077" priority="616" stopIfTrue="1" operator="equal">
      <formula>$N$23</formula>
    </cfRule>
    <cfRule type="cellIs" dxfId="3076" priority="617" stopIfTrue="1" operator="lessThan">
      <formula>$N$23</formula>
    </cfRule>
  </conditionalFormatting>
  <conditionalFormatting sqref="O24">
    <cfRule type="cellIs" dxfId="3075" priority="618" stopIfTrue="1" operator="equal">
      <formula>$N$24</formula>
    </cfRule>
    <cfRule type="cellIs" dxfId="3074" priority="619" stopIfTrue="1" operator="lessThan">
      <formula>$N$24</formula>
    </cfRule>
  </conditionalFormatting>
  <conditionalFormatting sqref="O25">
    <cfRule type="cellIs" dxfId="3073" priority="620" stopIfTrue="1" operator="equal">
      <formula>$N$25</formula>
    </cfRule>
    <cfRule type="cellIs" dxfId="3072" priority="621" stopIfTrue="1" operator="lessThan">
      <formula>$N$25</formula>
    </cfRule>
  </conditionalFormatting>
  <conditionalFormatting sqref="O26">
    <cfRule type="cellIs" dxfId="3071" priority="622" stopIfTrue="1" operator="equal">
      <formula>$N$26</formula>
    </cfRule>
    <cfRule type="cellIs" dxfId="3070" priority="623" stopIfTrue="1" operator="lessThan">
      <formula>$N$26</formula>
    </cfRule>
  </conditionalFormatting>
  <conditionalFormatting sqref="O27">
    <cfRule type="cellIs" dxfId="3069" priority="624" stopIfTrue="1" operator="equal">
      <formula>$N$27</formula>
    </cfRule>
    <cfRule type="cellIs" dxfId="3068" priority="625" stopIfTrue="1" operator="lessThan">
      <formula>$N$27</formula>
    </cfRule>
  </conditionalFormatting>
  <conditionalFormatting sqref="O28">
    <cfRule type="cellIs" dxfId="3067" priority="627" stopIfTrue="1" operator="lessThan">
      <formula>$N$28</formula>
    </cfRule>
    <cfRule type="cellIs" dxfId="3066" priority="626" stopIfTrue="1" operator="equal">
      <formula>$N$28</formula>
    </cfRule>
  </conditionalFormatting>
  <conditionalFormatting sqref="U4:AF23">
    <cfRule type="cellIs" dxfId="3065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1"/>
  <sheetViews>
    <sheetView topLeftCell="A2" zoomScaleSheetLayoutView="100" workbookViewId="0">
      <selection activeCell="R2" sqref="R2:R3"/>
    </sheetView>
  </sheetViews>
  <sheetFormatPr defaultRowHeight="14.5" x14ac:dyDescent="0.35"/>
  <cols>
    <col min="1" max="1" width="8.54296875" customWidth="1"/>
    <col min="2" max="2" width="26.54296875" customWidth="1"/>
    <col min="3" max="15" width="10.1796875" customWidth="1"/>
    <col min="16" max="16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4">
        <v>1853</v>
      </c>
      <c r="B2" s="2"/>
      <c r="C2" s="3">
        <f>'1850'!C2</f>
        <v>44927</v>
      </c>
      <c r="D2" s="3">
        <f>'1850'!D2</f>
        <v>44958</v>
      </c>
      <c r="E2" s="3">
        <f>'1850'!E2</f>
        <v>44986</v>
      </c>
      <c r="F2" s="3">
        <f>'1850'!F2</f>
        <v>45017</v>
      </c>
      <c r="G2" s="3">
        <f>'1850'!G2</f>
        <v>45047</v>
      </c>
      <c r="H2" s="3">
        <f>'1850'!H2</f>
        <v>45078</v>
      </c>
      <c r="I2" s="3">
        <f>'1850'!I2</f>
        <v>45111</v>
      </c>
      <c r="J2" s="3">
        <f>'1850'!J2</f>
        <v>45139</v>
      </c>
      <c r="K2" s="3">
        <f>'1850'!K2</f>
        <v>45170</v>
      </c>
      <c r="L2" s="3">
        <f>'1850'!L2</f>
        <v>45201</v>
      </c>
      <c r="M2" s="3">
        <f>'1850'!M2</f>
        <v>45231</v>
      </c>
      <c r="N2" s="3">
        <f>'1850'!N2</f>
        <v>45261</v>
      </c>
      <c r="O2" s="3">
        <f>'1850'!O2</f>
        <v>45292</v>
      </c>
      <c r="P2" s="1" t="s">
        <v>27</v>
      </c>
      <c r="Q2" s="1" t="s">
        <v>28</v>
      </c>
      <c r="R2" s="1" t="s">
        <v>29</v>
      </c>
      <c r="U2" s="144"/>
      <c r="V2" s="145"/>
      <c r="W2" s="145"/>
      <c r="X2" s="145"/>
      <c r="Y2" s="145" t="s">
        <v>213</v>
      </c>
      <c r="Z2" s="145"/>
      <c r="AA2" s="145"/>
      <c r="AB2" s="145"/>
      <c r="AC2" s="145"/>
      <c r="AD2" s="145"/>
      <c r="AE2" s="145"/>
      <c r="AF2" s="149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96</v>
      </c>
      <c r="Q3" s="1" t="s">
        <v>95</v>
      </c>
      <c r="R3" s="1" t="s">
        <v>97</v>
      </c>
      <c r="T3" s="1" t="s">
        <v>212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79">
        <v>1</v>
      </c>
      <c r="B4" s="6" t="s">
        <v>159</v>
      </c>
      <c r="C4" s="7">
        <v>530.58100000000002</v>
      </c>
      <c r="D4" s="7">
        <v>543.36099999999999</v>
      </c>
      <c r="E4" s="7">
        <v>554.94799999999998</v>
      </c>
      <c r="F4" s="7">
        <v>568.02700000000004</v>
      </c>
      <c r="G4" s="7">
        <v>580.74300000000005</v>
      </c>
      <c r="H4" s="7">
        <v>594.59</v>
      </c>
      <c r="I4" s="7">
        <v>606.01199999999994</v>
      </c>
      <c r="J4" s="7">
        <v>615.99</v>
      </c>
      <c r="K4" s="7">
        <v>628.45600000000002</v>
      </c>
      <c r="L4" s="8">
        <v>640.95000000000005</v>
      </c>
      <c r="M4" s="7">
        <v>654.029</v>
      </c>
      <c r="N4" s="7">
        <v>667.54</v>
      </c>
      <c r="O4" s="7">
        <v>681.20799999999997</v>
      </c>
      <c r="P4" s="9">
        <f>O4-C4</f>
        <v>150.62699999999995</v>
      </c>
      <c r="T4" s="1">
        <v>1</v>
      </c>
      <c r="U4" s="146">
        <f t="shared" ref="U4:AF4" si="0">D4-C4</f>
        <v>12.779999999999973</v>
      </c>
      <c r="V4" s="146">
        <f t="shared" si="0"/>
        <v>11.586999999999989</v>
      </c>
      <c r="W4" s="146">
        <f t="shared" si="0"/>
        <v>13.079000000000065</v>
      </c>
      <c r="X4" s="146">
        <f t="shared" si="0"/>
        <v>12.716000000000008</v>
      </c>
      <c r="Y4" s="146">
        <f t="shared" si="0"/>
        <v>13.84699999999998</v>
      </c>
      <c r="Z4" s="146">
        <f t="shared" si="0"/>
        <v>11.421999999999912</v>
      </c>
      <c r="AA4" s="146">
        <f t="shared" si="0"/>
        <v>9.9780000000000655</v>
      </c>
      <c r="AB4" s="146">
        <f t="shared" si="0"/>
        <v>12.466000000000008</v>
      </c>
      <c r="AC4" s="146">
        <f t="shared" si="0"/>
        <v>12.494000000000028</v>
      </c>
      <c r="AD4" s="146">
        <f t="shared" si="0"/>
        <v>13.078999999999951</v>
      </c>
      <c r="AE4" s="146">
        <f t="shared" si="0"/>
        <v>13.510999999999967</v>
      </c>
      <c r="AF4" s="146">
        <f t="shared" si="0"/>
        <v>13.668000000000006</v>
      </c>
    </row>
    <row r="5" spans="1:32" x14ac:dyDescent="0.35">
      <c r="A5" s="279"/>
      <c r="B5" s="10" t="s">
        <v>352</v>
      </c>
      <c r="C5" s="11">
        <v>37.231999999999999</v>
      </c>
      <c r="D5" s="11">
        <v>40.923000000000002</v>
      </c>
      <c r="E5" s="11">
        <v>44.521000000000001</v>
      </c>
      <c r="F5" s="11">
        <v>47.752000000000002</v>
      </c>
      <c r="G5" s="11">
        <v>49.768000000000001</v>
      </c>
      <c r="H5" s="11">
        <v>50.823999999999998</v>
      </c>
      <c r="I5" s="11">
        <v>51.494</v>
      </c>
      <c r="J5" s="11">
        <v>51.993000000000002</v>
      </c>
      <c r="K5" s="11">
        <v>52.526000000000003</v>
      </c>
      <c r="L5" s="12">
        <v>53.201000000000001</v>
      </c>
      <c r="M5" s="11">
        <v>54.247999999999998</v>
      </c>
      <c r="N5" s="11">
        <v>57.905000000000001</v>
      </c>
      <c r="O5" s="11">
        <v>63.384999999999998</v>
      </c>
      <c r="P5" s="9"/>
      <c r="Q5" s="9">
        <f>O5-C5</f>
        <v>26.152999999999999</v>
      </c>
      <c r="T5" s="1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</row>
    <row r="6" spans="1:32" x14ac:dyDescent="0.35">
      <c r="A6" s="280">
        <v>2</v>
      </c>
      <c r="B6" s="10" t="s">
        <v>160</v>
      </c>
      <c r="C6" s="11">
        <v>294.93700000000001</v>
      </c>
      <c r="D6" s="11">
        <v>301.97399999999999</v>
      </c>
      <c r="E6" s="11">
        <v>308.41199999999998</v>
      </c>
      <c r="F6" s="11">
        <v>315.471</v>
      </c>
      <c r="G6" s="11">
        <v>322.875</v>
      </c>
      <c r="H6" s="11">
        <v>329.35199999999998</v>
      </c>
      <c r="I6" s="11">
        <v>336.17099999999999</v>
      </c>
      <c r="J6" s="11">
        <v>341.916</v>
      </c>
      <c r="K6" s="11">
        <v>348.12</v>
      </c>
      <c r="L6" s="11">
        <v>354.90800000000002</v>
      </c>
      <c r="M6" s="11">
        <v>360.01400000000001</v>
      </c>
      <c r="N6" s="11">
        <v>367.351</v>
      </c>
      <c r="O6" s="11">
        <v>374.77600000000001</v>
      </c>
      <c r="P6" s="9">
        <f>O6-C6</f>
        <v>79.838999999999999</v>
      </c>
      <c r="T6" s="1">
        <v>2</v>
      </c>
      <c r="U6" s="148">
        <f t="shared" ref="U6:AF6" si="1">D6-C6</f>
        <v>7.0369999999999777</v>
      </c>
      <c r="V6" s="148">
        <f t="shared" si="1"/>
        <v>6.4379999999999882</v>
      </c>
      <c r="W6" s="148">
        <f t="shared" si="1"/>
        <v>7.0590000000000259</v>
      </c>
      <c r="X6" s="148">
        <f t="shared" si="1"/>
        <v>7.4039999999999964</v>
      </c>
      <c r="Y6" s="148">
        <f t="shared" si="1"/>
        <v>6.4769999999999754</v>
      </c>
      <c r="Z6" s="148">
        <f t="shared" si="1"/>
        <v>6.8190000000000168</v>
      </c>
      <c r="AA6" s="148">
        <f t="shared" si="1"/>
        <v>5.7450000000000045</v>
      </c>
      <c r="AB6" s="148">
        <f t="shared" si="1"/>
        <v>6.2040000000000077</v>
      </c>
      <c r="AC6" s="148">
        <f t="shared" si="1"/>
        <v>6.7880000000000109</v>
      </c>
      <c r="AD6" s="148">
        <f t="shared" si="1"/>
        <v>5.1059999999999945</v>
      </c>
      <c r="AE6" s="148">
        <f t="shared" si="1"/>
        <v>7.3369999999999891</v>
      </c>
      <c r="AF6" s="148">
        <f t="shared" si="1"/>
        <v>7.4250000000000114</v>
      </c>
    </row>
    <row r="7" spans="1:32" x14ac:dyDescent="0.35">
      <c r="A7" s="280"/>
      <c r="B7" s="10" t="s">
        <v>353</v>
      </c>
      <c r="C7" s="11">
        <v>10.275</v>
      </c>
      <c r="D7" s="11">
        <v>11.759</v>
      </c>
      <c r="E7" s="11">
        <v>13.082000000000001</v>
      </c>
      <c r="F7" s="11">
        <v>14.364000000000001</v>
      </c>
      <c r="G7" s="11">
        <v>15.054</v>
      </c>
      <c r="H7" s="11">
        <v>15.44</v>
      </c>
      <c r="I7" s="11">
        <v>15.712999999999999</v>
      </c>
      <c r="J7" s="11">
        <v>15.794</v>
      </c>
      <c r="K7" s="11">
        <v>15.929</v>
      </c>
      <c r="L7" s="11">
        <v>16.244</v>
      </c>
      <c r="M7" s="11">
        <v>16.481999999999999</v>
      </c>
      <c r="N7" s="11">
        <v>17.376000000000001</v>
      </c>
      <c r="O7" s="11">
        <v>18.928000000000001</v>
      </c>
      <c r="P7" s="9"/>
      <c r="Q7" s="9">
        <f t="shared" ref="Q7" si="2">O7-C7</f>
        <v>8.6530000000000005</v>
      </c>
      <c r="T7" s="1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</row>
    <row r="8" spans="1:32" x14ac:dyDescent="0.35">
      <c r="A8" s="287">
        <v>3</v>
      </c>
      <c r="B8" s="10" t="s">
        <v>161</v>
      </c>
      <c r="C8" s="11">
        <v>173.73500000000001</v>
      </c>
      <c r="D8" s="11">
        <v>179.21899999999999</v>
      </c>
      <c r="E8" s="11">
        <v>184.56299999999999</v>
      </c>
      <c r="F8" s="11">
        <v>192.12</v>
      </c>
      <c r="G8" s="11">
        <v>199.422</v>
      </c>
      <c r="H8" s="11">
        <v>206.15799999999999</v>
      </c>
      <c r="I8" s="11">
        <v>212.291</v>
      </c>
      <c r="J8" s="11">
        <v>216.667</v>
      </c>
      <c r="K8" s="11">
        <v>223.934</v>
      </c>
      <c r="L8" s="11">
        <v>233.27799999999999</v>
      </c>
      <c r="M8" s="11">
        <v>239.74700000000001</v>
      </c>
      <c r="N8" s="11">
        <v>246.5</v>
      </c>
      <c r="O8" s="11">
        <v>253.55500000000001</v>
      </c>
      <c r="P8" s="9">
        <f>O8-C8</f>
        <v>79.819999999999993</v>
      </c>
      <c r="T8" s="1">
        <v>3</v>
      </c>
      <c r="U8" s="148">
        <f t="shared" ref="U8:AF8" si="3">D8-C8</f>
        <v>5.4839999999999804</v>
      </c>
      <c r="V8" s="148">
        <f t="shared" si="3"/>
        <v>5.3439999999999941</v>
      </c>
      <c r="W8" s="148">
        <f t="shared" si="3"/>
        <v>7.5570000000000164</v>
      </c>
      <c r="X8" s="148">
        <f t="shared" si="3"/>
        <v>7.3019999999999925</v>
      </c>
      <c r="Y8" s="148">
        <f t="shared" si="3"/>
        <v>6.73599999999999</v>
      </c>
      <c r="Z8" s="148">
        <f t="shared" si="3"/>
        <v>6.1330000000000098</v>
      </c>
      <c r="AA8" s="148">
        <f t="shared" si="3"/>
        <v>4.3760000000000048</v>
      </c>
      <c r="AB8" s="148">
        <f t="shared" si="3"/>
        <v>7.2669999999999959</v>
      </c>
      <c r="AC8" s="148">
        <f t="shared" si="3"/>
        <v>9.3439999999999941</v>
      </c>
      <c r="AD8" s="148">
        <f t="shared" si="3"/>
        <v>6.4690000000000225</v>
      </c>
      <c r="AE8" s="148">
        <f t="shared" si="3"/>
        <v>6.7529999999999859</v>
      </c>
      <c r="AF8" s="148">
        <f t="shared" si="3"/>
        <v>7.0550000000000068</v>
      </c>
    </row>
    <row r="9" spans="1:32" x14ac:dyDescent="0.35">
      <c r="A9" s="287"/>
      <c r="B9" s="10" t="s">
        <v>354</v>
      </c>
      <c r="C9" s="11">
        <v>29.606999999999999</v>
      </c>
      <c r="D9" s="11">
        <v>33.265000000000001</v>
      </c>
      <c r="E9" s="11">
        <v>36.442999999999998</v>
      </c>
      <c r="F9" s="11">
        <v>39.076999999999998</v>
      </c>
      <c r="G9" s="11">
        <v>40.847000000000001</v>
      </c>
      <c r="H9" s="11">
        <v>41.252000000000002</v>
      </c>
      <c r="I9" s="11">
        <v>41.536000000000001</v>
      </c>
      <c r="J9" s="11">
        <v>41.72</v>
      </c>
      <c r="K9" s="11">
        <v>42.002000000000002</v>
      </c>
      <c r="L9" s="11">
        <v>42.496000000000002</v>
      </c>
      <c r="M9" s="11">
        <v>42.965000000000003</v>
      </c>
      <c r="N9" s="11">
        <v>44.460999999999999</v>
      </c>
      <c r="O9" s="11">
        <v>46.912999999999997</v>
      </c>
      <c r="P9" s="9"/>
      <c r="Q9" s="9">
        <f t="shared" ref="Q9" si="4">O9-C9</f>
        <v>17.305999999999997</v>
      </c>
      <c r="T9" s="1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</row>
    <row r="10" spans="1:32" x14ac:dyDescent="0.35">
      <c r="A10" s="280">
        <v>4</v>
      </c>
      <c r="B10" s="10" t="s">
        <v>162</v>
      </c>
      <c r="C10" s="11">
        <v>194.52500000000001</v>
      </c>
      <c r="D10" s="11">
        <v>198.874</v>
      </c>
      <c r="E10" s="11">
        <v>202.90199999999999</v>
      </c>
      <c r="F10" s="11">
        <v>208.01400000000001</v>
      </c>
      <c r="G10" s="11">
        <v>212.94300000000001</v>
      </c>
      <c r="H10" s="11">
        <v>216.953</v>
      </c>
      <c r="I10" s="11">
        <v>220.613</v>
      </c>
      <c r="J10" s="11">
        <v>224.77500000000001</v>
      </c>
      <c r="K10" s="11">
        <v>229.22399999999999</v>
      </c>
      <c r="L10" s="11">
        <v>234.95</v>
      </c>
      <c r="M10" s="11">
        <v>239.28800000000001</v>
      </c>
      <c r="N10" s="11">
        <v>243.19399999999999</v>
      </c>
      <c r="O10" s="11">
        <v>248.363</v>
      </c>
      <c r="P10" s="9">
        <f>O10-C10</f>
        <v>53.837999999999994</v>
      </c>
      <c r="T10" s="1">
        <v>4</v>
      </c>
      <c r="U10" s="148">
        <f t="shared" ref="U10:AF10" si="5">D10-C10</f>
        <v>4.3489999999999895</v>
      </c>
      <c r="V10" s="148">
        <f t="shared" si="5"/>
        <v>4.0279999999999916</v>
      </c>
      <c r="W10" s="148">
        <f t="shared" si="5"/>
        <v>5.1120000000000232</v>
      </c>
      <c r="X10" s="148">
        <f t="shared" si="5"/>
        <v>4.929000000000002</v>
      </c>
      <c r="Y10" s="148">
        <f t="shared" si="5"/>
        <v>4.0099999999999909</v>
      </c>
      <c r="Z10" s="148">
        <f t="shared" si="5"/>
        <v>3.6599999999999966</v>
      </c>
      <c r="AA10" s="148">
        <f t="shared" si="5"/>
        <v>4.1620000000000061</v>
      </c>
      <c r="AB10" s="148">
        <f t="shared" si="5"/>
        <v>4.4489999999999839</v>
      </c>
      <c r="AC10" s="148">
        <f t="shared" si="5"/>
        <v>5.7259999999999991</v>
      </c>
      <c r="AD10" s="148">
        <f t="shared" si="5"/>
        <v>4.3380000000000223</v>
      </c>
      <c r="AE10" s="148">
        <f t="shared" si="5"/>
        <v>3.9059999999999775</v>
      </c>
      <c r="AF10" s="148">
        <f t="shared" si="5"/>
        <v>5.1690000000000111</v>
      </c>
    </row>
    <row r="11" spans="1:32" x14ac:dyDescent="0.35">
      <c r="A11" s="280"/>
      <c r="B11" s="10" t="s">
        <v>355</v>
      </c>
      <c r="C11" s="11">
        <v>12.095000000000001</v>
      </c>
      <c r="D11" s="11">
        <v>13.722</v>
      </c>
      <c r="E11" s="11">
        <v>15.089</v>
      </c>
      <c r="F11" s="11">
        <v>15.742000000000001</v>
      </c>
      <c r="G11" s="11">
        <v>16.059000000000001</v>
      </c>
      <c r="H11" s="11">
        <v>16.431000000000001</v>
      </c>
      <c r="I11" s="11">
        <v>16.739000000000001</v>
      </c>
      <c r="J11" s="11">
        <v>16.974</v>
      </c>
      <c r="K11" s="11">
        <v>17.234000000000002</v>
      </c>
      <c r="L11" s="11">
        <v>17.533000000000001</v>
      </c>
      <c r="M11" s="11">
        <v>17.826000000000001</v>
      </c>
      <c r="N11" s="11">
        <v>19.302</v>
      </c>
      <c r="O11" s="11">
        <v>20.852</v>
      </c>
      <c r="P11" s="9"/>
      <c r="Q11" s="9">
        <f t="shared" ref="Q11" si="6">O11-C11</f>
        <v>8.7569999999999997</v>
      </c>
      <c r="T11" s="1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</row>
    <row r="12" spans="1:32" x14ac:dyDescent="0.35">
      <c r="A12" s="280">
        <v>5</v>
      </c>
      <c r="B12" s="10" t="s">
        <v>163</v>
      </c>
      <c r="C12" s="11">
        <v>312.23</v>
      </c>
      <c r="D12" s="11">
        <v>319.55099999999999</v>
      </c>
      <c r="E12" s="11">
        <v>325.971</v>
      </c>
      <c r="F12" s="11">
        <v>332.88</v>
      </c>
      <c r="G12" s="11">
        <v>339.53100000000001</v>
      </c>
      <c r="H12" s="11">
        <v>345.65</v>
      </c>
      <c r="I12" s="11">
        <v>352.05399999999997</v>
      </c>
      <c r="J12" s="11">
        <v>357.017</v>
      </c>
      <c r="K12" s="11">
        <v>363.96499999999997</v>
      </c>
      <c r="L12" s="11">
        <v>370.76400000000001</v>
      </c>
      <c r="M12" s="11">
        <v>377.375</v>
      </c>
      <c r="N12" s="11">
        <v>384.68299999999999</v>
      </c>
      <c r="O12" s="11">
        <v>393.04300000000001</v>
      </c>
      <c r="P12" s="9">
        <f>O12-C12</f>
        <v>80.812999999999988</v>
      </c>
      <c r="T12" s="1">
        <v>5</v>
      </c>
      <c r="U12" s="148">
        <f t="shared" ref="U12:AF12" si="7">D12-C12</f>
        <v>7.3209999999999695</v>
      </c>
      <c r="V12" s="148">
        <f t="shared" si="7"/>
        <v>6.4200000000000159</v>
      </c>
      <c r="W12" s="148">
        <f t="shared" si="7"/>
        <v>6.9089999999999918</v>
      </c>
      <c r="X12" s="148">
        <f t="shared" si="7"/>
        <v>6.6510000000000105</v>
      </c>
      <c r="Y12" s="148">
        <f t="shared" si="7"/>
        <v>6.1189999999999714</v>
      </c>
      <c r="Z12" s="148">
        <f t="shared" si="7"/>
        <v>6.4039999999999964</v>
      </c>
      <c r="AA12" s="148">
        <f t="shared" si="7"/>
        <v>4.9630000000000223</v>
      </c>
      <c r="AB12" s="148">
        <f t="shared" si="7"/>
        <v>6.9479999999999791</v>
      </c>
      <c r="AC12" s="148">
        <f t="shared" si="7"/>
        <v>6.799000000000035</v>
      </c>
      <c r="AD12" s="148">
        <f t="shared" si="7"/>
        <v>6.61099999999999</v>
      </c>
      <c r="AE12" s="148">
        <f t="shared" si="7"/>
        <v>7.3079999999999927</v>
      </c>
      <c r="AF12" s="148">
        <f t="shared" si="7"/>
        <v>8.3600000000000136</v>
      </c>
    </row>
    <row r="13" spans="1:32" x14ac:dyDescent="0.35">
      <c r="A13" s="280"/>
      <c r="B13" s="10" t="s">
        <v>356</v>
      </c>
      <c r="C13" s="11">
        <v>11.632</v>
      </c>
      <c r="D13" s="11">
        <v>12.875</v>
      </c>
      <c r="E13" s="11">
        <v>14.103</v>
      </c>
      <c r="F13" s="11">
        <v>15.074999999999999</v>
      </c>
      <c r="G13" s="11">
        <v>15.808999999999999</v>
      </c>
      <c r="H13" s="11">
        <v>16.138000000000002</v>
      </c>
      <c r="I13" s="11">
        <v>16.408000000000001</v>
      </c>
      <c r="J13" s="11">
        <v>16.579999999999998</v>
      </c>
      <c r="K13" s="11">
        <v>16.806000000000001</v>
      </c>
      <c r="L13" s="11">
        <v>17.096</v>
      </c>
      <c r="M13" s="11">
        <v>17.486000000000001</v>
      </c>
      <c r="N13" s="11">
        <v>18.440999999999999</v>
      </c>
      <c r="O13" s="11">
        <v>20.087</v>
      </c>
      <c r="P13" s="9"/>
      <c r="Q13" s="9">
        <f t="shared" ref="Q13" si="8">O13-C13</f>
        <v>8.4550000000000001</v>
      </c>
      <c r="T13" s="1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</row>
    <row r="14" spans="1:32" x14ac:dyDescent="0.35">
      <c r="A14" s="280">
        <v>6</v>
      </c>
      <c r="B14" s="10" t="s">
        <v>164</v>
      </c>
      <c r="C14" s="11">
        <v>173.96799999999999</v>
      </c>
      <c r="D14" s="11">
        <v>177.84</v>
      </c>
      <c r="E14" s="11">
        <v>181.19300000000001</v>
      </c>
      <c r="F14" s="11">
        <v>184.947</v>
      </c>
      <c r="G14" s="11">
        <v>188.91</v>
      </c>
      <c r="H14" s="11">
        <v>192.232</v>
      </c>
      <c r="I14" s="11">
        <v>196.20699999999999</v>
      </c>
      <c r="J14" s="11">
        <v>199.334</v>
      </c>
      <c r="K14" s="11">
        <v>202.346</v>
      </c>
      <c r="L14" s="11">
        <v>205.48</v>
      </c>
      <c r="M14" s="11">
        <v>208.45599999999999</v>
      </c>
      <c r="N14" s="11">
        <v>211.81299999999999</v>
      </c>
      <c r="O14" s="11">
        <v>216.42599999999999</v>
      </c>
      <c r="P14" s="9">
        <f>O14-C14</f>
        <v>42.457999999999998</v>
      </c>
      <c r="T14" s="1">
        <v>6</v>
      </c>
      <c r="U14" s="148">
        <f t="shared" ref="U14:AF14" si="9">D14-C14</f>
        <v>3.8720000000000141</v>
      </c>
      <c r="V14" s="148">
        <f t="shared" si="9"/>
        <v>3.3530000000000086</v>
      </c>
      <c r="W14" s="148">
        <f t="shared" si="9"/>
        <v>3.7539999999999907</v>
      </c>
      <c r="X14" s="148">
        <f t="shared" si="9"/>
        <v>3.9629999999999939</v>
      </c>
      <c r="Y14" s="148">
        <f t="shared" si="9"/>
        <v>3.3220000000000027</v>
      </c>
      <c r="Z14" s="148">
        <f t="shared" si="9"/>
        <v>3.9749999999999943</v>
      </c>
      <c r="AA14" s="148">
        <f t="shared" si="9"/>
        <v>3.1270000000000095</v>
      </c>
      <c r="AB14" s="148">
        <f t="shared" si="9"/>
        <v>3.0120000000000005</v>
      </c>
      <c r="AC14" s="148">
        <f t="shared" si="9"/>
        <v>3.1339999999999861</v>
      </c>
      <c r="AD14" s="148">
        <f t="shared" si="9"/>
        <v>2.9759999999999991</v>
      </c>
      <c r="AE14" s="148">
        <f t="shared" si="9"/>
        <v>3.3569999999999993</v>
      </c>
      <c r="AF14" s="148">
        <f t="shared" si="9"/>
        <v>4.6129999999999995</v>
      </c>
    </row>
    <row r="15" spans="1:32" x14ac:dyDescent="0.35">
      <c r="A15" s="280"/>
      <c r="B15" s="10" t="s">
        <v>357</v>
      </c>
      <c r="C15" s="11">
        <v>17.234000000000002</v>
      </c>
      <c r="D15" s="11">
        <v>20.030999999999999</v>
      </c>
      <c r="E15" s="11">
        <v>22.084</v>
      </c>
      <c r="F15" s="11">
        <v>23.565000000000001</v>
      </c>
      <c r="G15" s="11">
        <v>24.416</v>
      </c>
      <c r="H15" s="11">
        <v>24.571999999999999</v>
      </c>
      <c r="I15" s="11">
        <v>24.736999999999998</v>
      </c>
      <c r="J15" s="11">
        <v>24.837</v>
      </c>
      <c r="K15" s="11">
        <v>24.933</v>
      </c>
      <c r="L15" s="11">
        <v>25.035</v>
      </c>
      <c r="M15" s="11">
        <v>25.216000000000001</v>
      </c>
      <c r="N15" s="11">
        <v>26.632999999999999</v>
      </c>
      <c r="O15" s="11">
        <v>29.189</v>
      </c>
      <c r="P15" s="9"/>
      <c r="Q15" s="9">
        <f t="shared" ref="Q15" si="10">O15-C15</f>
        <v>11.954999999999998</v>
      </c>
      <c r="T15" s="1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</row>
    <row r="16" spans="1:32" x14ac:dyDescent="0.35">
      <c r="A16" s="280">
        <v>7</v>
      </c>
      <c r="B16" s="10" t="s">
        <v>165</v>
      </c>
      <c r="C16" s="11">
        <v>419.101</v>
      </c>
      <c r="D16" s="11">
        <v>429.41</v>
      </c>
      <c r="E16" s="11">
        <v>436.86599999999999</v>
      </c>
      <c r="F16" s="11">
        <v>448.26400000000001</v>
      </c>
      <c r="G16" s="11">
        <v>459.31799999999998</v>
      </c>
      <c r="H16" s="11">
        <v>469.65</v>
      </c>
      <c r="I16" s="11">
        <v>479.58699999999999</v>
      </c>
      <c r="J16" s="11">
        <v>484.17500000000001</v>
      </c>
      <c r="K16" s="11">
        <v>493.68</v>
      </c>
      <c r="L16" s="11">
        <v>505.065</v>
      </c>
      <c r="M16" s="11">
        <v>516.39700000000005</v>
      </c>
      <c r="N16" s="11">
        <v>528.63300000000004</v>
      </c>
      <c r="O16" s="11">
        <v>542.29700000000003</v>
      </c>
      <c r="P16" s="9">
        <f>O16-C16</f>
        <v>123.19600000000003</v>
      </c>
      <c r="T16" s="1">
        <v>7</v>
      </c>
      <c r="U16" s="148">
        <f t="shared" ref="U16:AF16" si="11">D16-C16</f>
        <v>10.309000000000026</v>
      </c>
      <c r="V16" s="148">
        <f t="shared" si="11"/>
        <v>7.4559999999999604</v>
      </c>
      <c r="W16" s="148">
        <f t="shared" si="11"/>
        <v>11.398000000000025</v>
      </c>
      <c r="X16" s="148">
        <f t="shared" si="11"/>
        <v>11.053999999999974</v>
      </c>
      <c r="Y16" s="148">
        <f t="shared" si="11"/>
        <v>10.331999999999994</v>
      </c>
      <c r="Z16" s="148">
        <f t="shared" si="11"/>
        <v>9.9370000000000118</v>
      </c>
      <c r="AA16" s="148">
        <f t="shared" si="11"/>
        <v>4.5880000000000223</v>
      </c>
      <c r="AB16" s="148">
        <f t="shared" si="11"/>
        <v>9.5049999999999955</v>
      </c>
      <c r="AC16" s="148">
        <f t="shared" si="11"/>
        <v>11.384999999999991</v>
      </c>
      <c r="AD16" s="148">
        <f t="shared" si="11"/>
        <v>11.33200000000005</v>
      </c>
      <c r="AE16" s="148">
        <f t="shared" si="11"/>
        <v>12.23599999999999</v>
      </c>
      <c r="AF16" s="148">
        <f t="shared" si="11"/>
        <v>13.663999999999987</v>
      </c>
    </row>
    <row r="17" spans="1:32" x14ac:dyDescent="0.35">
      <c r="A17" s="280"/>
      <c r="B17" s="10" t="s">
        <v>358</v>
      </c>
      <c r="C17" s="11">
        <v>33.723999999999997</v>
      </c>
      <c r="D17" s="11">
        <v>38.151000000000003</v>
      </c>
      <c r="E17" s="11">
        <v>40.765000000000001</v>
      </c>
      <c r="F17" s="11">
        <v>43.457999999999998</v>
      </c>
      <c r="G17" s="11">
        <v>45.472999999999999</v>
      </c>
      <c r="H17" s="11">
        <v>46.320999999999998</v>
      </c>
      <c r="I17" s="11">
        <v>47.04</v>
      </c>
      <c r="J17" s="11">
        <v>47.372999999999998</v>
      </c>
      <c r="K17" s="11">
        <v>47.93</v>
      </c>
      <c r="L17" s="11">
        <v>48.652000000000001</v>
      </c>
      <c r="M17" s="11">
        <v>49.686999999999998</v>
      </c>
      <c r="N17" s="11">
        <v>52.363</v>
      </c>
      <c r="O17" s="11">
        <v>56.158999999999999</v>
      </c>
      <c r="P17" s="9"/>
      <c r="Q17" s="9">
        <f t="shared" ref="Q17" si="12">O17-C17</f>
        <v>22.435000000000002</v>
      </c>
      <c r="T17" s="1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x14ac:dyDescent="0.35">
      <c r="A18" s="280">
        <v>8</v>
      </c>
      <c r="B18" s="10" t="s">
        <v>166</v>
      </c>
      <c r="C18" s="11">
        <v>260.68799999999999</v>
      </c>
      <c r="D18" s="11">
        <v>267.57600000000002</v>
      </c>
      <c r="E18" s="11">
        <v>274.43799999999999</v>
      </c>
      <c r="F18" s="11">
        <v>280.899</v>
      </c>
      <c r="G18" s="11">
        <v>287.31900000000002</v>
      </c>
      <c r="H18" s="11">
        <v>293.572</v>
      </c>
      <c r="I18" s="11">
        <v>300.06200000000001</v>
      </c>
      <c r="J18" s="11">
        <v>305.952</v>
      </c>
      <c r="K18" s="11">
        <v>310.06</v>
      </c>
      <c r="L18" s="11">
        <v>317.012</v>
      </c>
      <c r="M18" s="11">
        <v>325.39800000000002</v>
      </c>
      <c r="N18" s="11">
        <v>333.20499999999998</v>
      </c>
      <c r="O18" s="11">
        <v>341.37400000000002</v>
      </c>
      <c r="P18" s="9">
        <f>O18-C18</f>
        <v>80.686000000000035</v>
      </c>
      <c r="T18" s="1">
        <v>8</v>
      </c>
      <c r="U18" s="148">
        <f t="shared" ref="U18:AF18" si="13">D18-C18</f>
        <v>6.8880000000000337</v>
      </c>
      <c r="V18" s="148">
        <f t="shared" si="13"/>
        <v>6.8619999999999663</v>
      </c>
      <c r="W18" s="148">
        <f t="shared" si="13"/>
        <v>6.4610000000000127</v>
      </c>
      <c r="X18" s="148">
        <f t="shared" si="13"/>
        <v>6.4200000000000159</v>
      </c>
      <c r="Y18" s="148">
        <f t="shared" si="13"/>
        <v>6.2529999999999859</v>
      </c>
      <c r="Z18" s="148">
        <f t="shared" si="13"/>
        <v>6.4900000000000091</v>
      </c>
      <c r="AA18" s="148">
        <f t="shared" si="13"/>
        <v>5.8899999999999864</v>
      </c>
      <c r="AB18" s="148">
        <f t="shared" si="13"/>
        <v>4.1080000000000041</v>
      </c>
      <c r="AC18" s="148">
        <f t="shared" si="13"/>
        <v>6.9519999999999982</v>
      </c>
      <c r="AD18" s="148">
        <f t="shared" si="13"/>
        <v>8.3860000000000241</v>
      </c>
      <c r="AE18" s="148">
        <f t="shared" si="13"/>
        <v>7.8069999999999595</v>
      </c>
      <c r="AF18" s="148">
        <f t="shared" si="13"/>
        <v>8.1690000000000396</v>
      </c>
    </row>
    <row r="19" spans="1:32" x14ac:dyDescent="0.35">
      <c r="A19" s="280"/>
      <c r="B19" s="10" t="s">
        <v>359</v>
      </c>
      <c r="C19" s="11">
        <v>23.2</v>
      </c>
      <c r="D19" s="11">
        <v>26.713999999999999</v>
      </c>
      <c r="E19" s="11">
        <v>29.3</v>
      </c>
      <c r="F19" s="11">
        <v>31.324999999999999</v>
      </c>
      <c r="G19" s="11">
        <v>32.427999999999997</v>
      </c>
      <c r="H19" s="11">
        <v>32.79</v>
      </c>
      <c r="I19" s="11">
        <v>33.122999999999998</v>
      </c>
      <c r="J19" s="11">
        <v>33.302999999999997</v>
      </c>
      <c r="K19" s="11">
        <v>33.448999999999998</v>
      </c>
      <c r="L19" s="11">
        <v>33.734000000000002</v>
      </c>
      <c r="M19" s="11">
        <v>34.252000000000002</v>
      </c>
      <c r="N19" s="11">
        <v>36.631999999999998</v>
      </c>
      <c r="O19" s="11">
        <v>40.131999999999998</v>
      </c>
      <c r="P19" s="9"/>
      <c r="Q19" s="9">
        <f t="shared" ref="Q19" si="14">O19-C19</f>
        <v>16.931999999999999</v>
      </c>
      <c r="T19" s="1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x14ac:dyDescent="0.35">
      <c r="A20" s="280">
        <v>9</v>
      </c>
      <c r="B20" s="10" t="s">
        <v>167</v>
      </c>
      <c r="C20" s="11">
        <v>147.58000000000001</v>
      </c>
      <c r="D20" s="11">
        <v>150.96700000000001</v>
      </c>
      <c r="E20" s="11">
        <v>154.012</v>
      </c>
      <c r="F20" s="11">
        <v>157.62899999999999</v>
      </c>
      <c r="G20" s="11">
        <v>160.94399999999999</v>
      </c>
      <c r="H20" s="11">
        <v>164.13900000000001</v>
      </c>
      <c r="I20" s="11">
        <v>167.78399999999999</v>
      </c>
      <c r="J20" s="11">
        <v>170.953</v>
      </c>
      <c r="K20" s="11">
        <v>174.339</v>
      </c>
      <c r="L20" s="11">
        <v>177.76400000000001</v>
      </c>
      <c r="M20" s="11">
        <v>181.24</v>
      </c>
      <c r="N20" s="11">
        <v>185.07300000000001</v>
      </c>
      <c r="O20" s="11">
        <v>188.59800000000001</v>
      </c>
      <c r="P20" s="9">
        <f>O20-C20</f>
        <v>41.018000000000001</v>
      </c>
      <c r="T20" s="1">
        <v>9</v>
      </c>
      <c r="U20" s="148">
        <f t="shared" ref="U20:AF20" si="15">D20-C20</f>
        <v>3.3870000000000005</v>
      </c>
      <c r="V20" s="148">
        <f t="shared" si="15"/>
        <v>3.0449999999999875</v>
      </c>
      <c r="W20" s="148">
        <f t="shared" si="15"/>
        <v>3.6169999999999902</v>
      </c>
      <c r="X20" s="148">
        <f t="shared" si="15"/>
        <v>3.3149999999999977</v>
      </c>
      <c r="Y20" s="148">
        <f t="shared" si="15"/>
        <v>3.1950000000000216</v>
      </c>
      <c r="Z20" s="148">
        <f t="shared" si="15"/>
        <v>3.6449999999999818</v>
      </c>
      <c r="AA20" s="148">
        <f t="shared" si="15"/>
        <v>3.1690000000000111</v>
      </c>
      <c r="AB20" s="148">
        <f t="shared" si="15"/>
        <v>3.3859999999999957</v>
      </c>
      <c r="AC20" s="148">
        <f t="shared" si="15"/>
        <v>3.4250000000000114</v>
      </c>
      <c r="AD20" s="148">
        <f t="shared" si="15"/>
        <v>3.4759999999999991</v>
      </c>
      <c r="AE20" s="148">
        <f t="shared" si="15"/>
        <v>3.8329999999999984</v>
      </c>
      <c r="AF20" s="148">
        <f t="shared" si="15"/>
        <v>3.5250000000000057</v>
      </c>
    </row>
    <row r="21" spans="1:32" x14ac:dyDescent="0.35">
      <c r="A21" s="280"/>
      <c r="B21" s="10" t="s">
        <v>360</v>
      </c>
      <c r="C21" s="11">
        <v>26.123999999999999</v>
      </c>
      <c r="D21" s="11">
        <v>30.016999999999999</v>
      </c>
      <c r="E21" s="11">
        <v>33.387999999999998</v>
      </c>
      <c r="F21" s="11">
        <v>35.975999999999999</v>
      </c>
      <c r="G21" s="11">
        <v>37.540999999999997</v>
      </c>
      <c r="H21" s="11">
        <v>37.851999999999997</v>
      </c>
      <c r="I21" s="11">
        <v>38.146000000000001</v>
      </c>
      <c r="J21" s="11">
        <v>38.359000000000002</v>
      </c>
      <c r="K21" s="11">
        <v>38.585000000000001</v>
      </c>
      <c r="L21" s="11">
        <v>38.856999999999999</v>
      </c>
      <c r="M21" s="11">
        <v>39.524999999999999</v>
      </c>
      <c r="N21" s="11">
        <v>42.404000000000003</v>
      </c>
      <c r="O21" s="11">
        <v>46.406999999999996</v>
      </c>
      <c r="P21" s="9"/>
      <c r="Q21" s="9">
        <f t="shared" ref="Q21" si="16">O21-C21</f>
        <v>20.282999999999998</v>
      </c>
      <c r="T21" s="1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35">
      <c r="A22" s="280">
        <v>10</v>
      </c>
      <c r="B22" s="10" t="s">
        <v>168</v>
      </c>
      <c r="C22" s="11">
        <v>162.72300000000001</v>
      </c>
      <c r="D22" s="11">
        <v>165.06</v>
      </c>
      <c r="E22" s="11">
        <v>167.31399999999999</v>
      </c>
      <c r="F22" s="11">
        <v>169.67</v>
      </c>
      <c r="G22" s="11">
        <v>172.77</v>
      </c>
      <c r="H22" s="11">
        <v>174.863</v>
      </c>
      <c r="I22" s="11">
        <v>176.935</v>
      </c>
      <c r="J22" s="11">
        <v>178.68</v>
      </c>
      <c r="K22" s="11">
        <v>181.131</v>
      </c>
      <c r="L22" s="11">
        <v>183.44800000000001</v>
      </c>
      <c r="M22" s="11">
        <v>186.465</v>
      </c>
      <c r="N22" s="11">
        <v>188.78200000000001</v>
      </c>
      <c r="O22" s="11">
        <v>191.28800000000001</v>
      </c>
      <c r="P22" s="9">
        <f>O22-C22</f>
        <v>28.564999999999998</v>
      </c>
      <c r="T22" s="1">
        <v>10</v>
      </c>
      <c r="U22" s="148">
        <f t="shared" ref="U22:AF22" si="17">D22-C22</f>
        <v>2.3369999999999891</v>
      </c>
      <c r="V22" s="148">
        <f t="shared" si="17"/>
        <v>2.2539999999999907</v>
      </c>
      <c r="W22" s="148">
        <f t="shared" si="17"/>
        <v>2.3559999999999945</v>
      </c>
      <c r="X22" s="148">
        <f t="shared" si="17"/>
        <v>3.1000000000000227</v>
      </c>
      <c r="Y22" s="148">
        <f t="shared" si="17"/>
        <v>2.0929999999999893</v>
      </c>
      <c r="Z22" s="148">
        <f t="shared" si="17"/>
        <v>2.0720000000000027</v>
      </c>
      <c r="AA22" s="148">
        <f t="shared" si="17"/>
        <v>1.7450000000000045</v>
      </c>
      <c r="AB22" s="148">
        <f t="shared" si="17"/>
        <v>2.4509999999999934</v>
      </c>
      <c r="AC22" s="148">
        <f t="shared" si="17"/>
        <v>2.3170000000000073</v>
      </c>
      <c r="AD22" s="148">
        <f t="shared" si="17"/>
        <v>3.0169999999999959</v>
      </c>
      <c r="AE22" s="148">
        <f t="shared" si="17"/>
        <v>2.3170000000000073</v>
      </c>
      <c r="AF22" s="148">
        <f t="shared" si="17"/>
        <v>2.5060000000000002</v>
      </c>
    </row>
    <row r="23" spans="1:32" x14ac:dyDescent="0.35">
      <c r="A23" s="280"/>
      <c r="B23" s="10" t="s">
        <v>361</v>
      </c>
      <c r="C23" s="11">
        <v>27.286000000000001</v>
      </c>
      <c r="D23" s="11">
        <v>31.123000000000001</v>
      </c>
      <c r="E23" s="11">
        <v>34.362000000000002</v>
      </c>
      <c r="F23" s="11">
        <v>37.085000000000001</v>
      </c>
      <c r="G23" s="11">
        <v>38.951999999999998</v>
      </c>
      <c r="H23" s="11">
        <v>39.215000000000003</v>
      </c>
      <c r="I23" s="11">
        <v>39.326999999999998</v>
      </c>
      <c r="J23" s="11">
        <v>39.383000000000003</v>
      </c>
      <c r="K23" s="11">
        <v>39.494</v>
      </c>
      <c r="L23" s="11">
        <v>39.643999999999998</v>
      </c>
      <c r="M23" s="11">
        <v>40.381999999999998</v>
      </c>
      <c r="N23" s="11">
        <v>42.972000000000001</v>
      </c>
      <c r="O23" s="11">
        <v>46.521000000000001</v>
      </c>
      <c r="P23" s="14"/>
      <c r="Q23" s="99">
        <f>O23-C23</f>
        <v>19.234999999999999</v>
      </c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x14ac:dyDescent="0.35">
      <c r="A24" s="115"/>
      <c r="B24" s="10" t="s">
        <v>283</v>
      </c>
      <c r="C24" s="15">
        <v>6338</v>
      </c>
      <c r="D24" s="15">
        <v>6536</v>
      </c>
      <c r="E24" s="15">
        <v>6700</v>
      </c>
      <c r="F24" s="15">
        <v>6880</v>
      </c>
      <c r="G24" s="15">
        <v>7051</v>
      </c>
      <c r="H24" s="15">
        <v>7225</v>
      </c>
      <c r="I24" s="15">
        <v>7424</v>
      </c>
      <c r="J24" s="15">
        <v>7593</v>
      </c>
      <c r="K24" s="15">
        <v>7768</v>
      </c>
      <c r="L24" s="15">
        <v>7963</v>
      </c>
      <c r="M24" s="15">
        <v>8136</v>
      </c>
      <c r="N24" s="15">
        <v>8313</v>
      </c>
      <c r="O24" s="15">
        <v>8503</v>
      </c>
      <c r="P24" s="9">
        <f>SUM(P4:P23)</f>
        <v>760.8599999999999</v>
      </c>
      <c r="Q24" s="9">
        <f>SUM(Q4:Q23)</f>
        <v>160.16399999999999</v>
      </c>
      <c r="R24" s="28">
        <f>O24-C24</f>
        <v>2165</v>
      </c>
    </row>
    <row r="25" spans="1:32" x14ac:dyDescent="0.35">
      <c r="A25" s="115" t="s">
        <v>15</v>
      </c>
      <c r="B25" s="10" t="s">
        <v>284</v>
      </c>
      <c r="C25" s="15">
        <v>10842</v>
      </c>
      <c r="D25" s="15">
        <v>11278</v>
      </c>
      <c r="E25" s="15">
        <v>11637</v>
      </c>
      <c r="F25" s="15">
        <v>11986</v>
      </c>
      <c r="G25" s="15">
        <v>12280</v>
      </c>
      <c r="H25" s="15">
        <v>12516</v>
      </c>
      <c r="I25" s="15">
        <v>12737</v>
      </c>
      <c r="J25" s="15">
        <v>12928</v>
      </c>
      <c r="K25" s="15">
        <v>13161</v>
      </c>
      <c r="L25" s="15">
        <v>13399</v>
      </c>
      <c r="M25" s="15">
        <v>13683</v>
      </c>
      <c r="N25" s="15">
        <v>14065</v>
      </c>
      <c r="O25" s="15">
        <v>14439</v>
      </c>
      <c r="R25" s="28">
        <f>O25-C25</f>
        <v>3597</v>
      </c>
      <c r="T25" s="1" t="s">
        <v>228</v>
      </c>
      <c r="U25" s="111">
        <f t="shared" ref="U25:AF25" si="18">D26-C26</f>
        <v>0</v>
      </c>
      <c r="V25" s="111">
        <f t="shared" si="18"/>
        <v>0</v>
      </c>
      <c r="W25" s="111">
        <f t="shared" si="18"/>
        <v>0</v>
      </c>
      <c r="X25" s="111">
        <f t="shared" si="18"/>
        <v>0</v>
      </c>
      <c r="Y25" s="111">
        <f t="shared" si="18"/>
        <v>26.125999999999976</v>
      </c>
      <c r="Z25" s="111">
        <f t="shared" si="18"/>
        <v>30.185000000000002</v>
      </c>
      <c r="AA25" s="111">
        <f t="shared" si="18"/>
        <v>30.59699999999998</v>
      </c>
      <c r="AB25" s="111">
        <f t="shared" si="18"/>
        <v>23.98700000000008</v>
      </c>
      <c r="AC25" s="111">
        <f t="shared" si="18"/>
        <v>14.917999999999893</v>
      </c>
      <c r="AD25" s="111">
        <f t="shared" si="18"/>
        <v>4.9200000000000728</v>
      </c>
      <c r="AE25" s="111">
        <f t="shared" si="18"/>
        <v>0.29499999999995907</v>
      </c>
      <c r="AF25" s="111">
        <f t="shared" si="18"/>
        <v>0</v>
      </c>
    </row>
    <row r="26" spans="1:32" x14ac:dyDescent="0.35">
      <c r="A26" s="115"/>
      <c r="B26" s="29" t="s">
        <v>224</v>
      </c>
      <c r="C26" s="11">
        <v>416.74700000000001</v>
      </c>
      <c r="D26" s="11">
        <v>416.74700000000001</v>
      </c>
      <c r="E26" s="11">
        <v>416.74700000000001</v>
      </c>
      <c r="F26" s="11">
        <v>416.74700000000001</v>
      </c>
      <c r="G26" s="11">
        <v>416.74700000000001</v>
      </c>
      <c r="H26" s="11">
        <v>442.87299999999999</v>
      </c>
      <c r="I26" s="11">
        <v>473.05799999999999</v>
      </c>
      <c r="J26" s="11">
        <v>503.65499999999997</v>
      </c>
      <c r="K26" s="11">
        <v>527.64200000000005</v>
      </c>
      <c r="L26" s="11">
        <v>542.55999999999995</v>
      </c>
      <c r="M26" s="11">
        <v>547.48</v>
      </c>
      <c r="N26" s="11">
        <v>547.77499999999998</v>
      </c>
      <c r="O26" s="11">
        <v>547.77499999999998</v>
      </c>
      <c r="P26" s="9">
        <f>O26-C26</f>
        <v>131.02799999999996</v>
      </c>
      <c r="Q26" s="226">
        <f>ROUND(P26,0)</f>
        <v>131</v>
      </c>
      <c r="R26" s="227" t="s">
        <v>296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 spans="1:32" x14ac:dyDescent="0.35">
      <c r="A27" s="115"/>
      <c r="B27" s="10" t="s">
        <v>169</v>
      </c>
      <c r="C27" s="18">
        <v>3297.6</v>
      </c>
      <c r="D27" s="18">
        <v>3367.6</v>
      </c>
      <c r="E27" s="18">
        <v>3429.9</v>
      </c>
      <c r="F27" s="18">
        <v>3503.7</v>
      </c>
      <c r="G27" s="18">
        <v>3577.7</v>
      </c>
      <c r="H27" s="18">
        <v>3685.2</v>
      </c>
      <c r="I27" s="18">
        <v>3793.1</v>
      </c>
      <c r="J27" s="18">
        <v>3876.8</v>
      </c>
      <c r="K27" s="18">
        <v>3966.9</v>
      </c>
      <c r="L27" s="18">
        <v>4057</v>
      </c>
      <c r="M27" s="18">
        <v>4133.6000000000004</v>
      </c>
      <c r="N27" s="18">
        <v>4209</v>
      </c>
      <c r="O27" s="18">
        <v>4291.1000000000004</v>
      </c>
      <c r="P27" s="9">
        <f>O27-C27</f>
        <v>993.50000000000045</v>
      </c>
      <c r="Q27" s="226">
        <f>P27-Q26</f>
        <v>862.50000000000045</v>
      </c>
      <c r="R27" s="227" t="s">
        <v>297</v>
      </c>
      <c r="U27" s="255">
        <f>(D27-C27)-(D26-C26)</f>
        <v>70</v>
      </c>
      <c r="V27" s="255">
        <f t="shared" ref="V27:AF27" si="19">(E27-D27)-(E26-D26)</f>
        <v>62.300000000000182</v>
      </c>
      <c r="W27" s="255">
        <f t="shared" si="19"/>
        <v>73.799999999999727</v>
      </c>
      <c r="X27" s="255">
        <f t="shared" si="19"/>
        <v>74</v>
      </c>
      <c r="Y27" s="255">
        <f t="shared" si="19"/>
        <v>81.374000000000024</v>
      </c>
      <c r="Z27" s="255">
        <f t="shared" si="19"/>
        <v>77.715000000000089</v>
      </c>
      <c r="AA27" s="255">
        <f t="shared" si="19"/>
        <v>53.103000000000293</v>
      </c>
      <c r="AB27" s="255">
        <f t="shared" si="19"/>
        <v>66.112999999999829</v>
      </c>
      <c r="AC27" s="255">
        <f t="shared" si="19"/>
        <v>75.182000000000016</v>
      </c>
      <c r="AD27" s="255">
        <f t="shared" si="19"/>
        <v>71.680000000000291</v>
      </c>
      <c r="AE27" s="255">
        <f t="shared" si="19"/>
        <v>75.104999999999677</v>
      </c>
      <c r="AF27" s="255">
        <f t="shared" si="19"/>
        <v>82.100000000000364</v>
      </c>
    </row>
    <row r="28" spans="1:32" x14ac:dyDescent="0.35">
      <c r="A28" s="115"/>
      <c r="B28" s="10" t="s">
        <v>30</v>
      </c>
      <c r="C28" s="19">
        <v>206.92</v>
      </c>
      <c r="D28" s="19">
        <v>215.75</v>
      </c>
      <c r="E28" s="19">
        <v>222.98</v>
      </c>
      <c r="F28" s="19">
        <v>228.9</v>
      </c>
      <c r="G28" s="19">
        <v>232.63</v>
      </c>
      <c r="H28" s="19">
        <v>233.67</v>
      </c>
      <c r="I28" s="19">
        <v>234.42</v>
      </c>
      <c r="J28" s="19">
        <v>234.86</v>
      </c>
      <c r="K28" s="19">
        <v>2.08</v>
      </c>
      <c r="L28" s="19">
        <v>5</v>
      </c>
      <c r="M28" s="19">
        <v>10.31</v>
      </c>
      <c r="N28" s="19">
        <v>31.97</v>
      </c>
      <c r="O28" s="19">
        <v>63.56</v>
      </c>
      <c r="P28" s="33"/>
      <c r="Q28" s="271">
        <f>(J28-C28)*3.6+O28</f>
        <v>164.14400000000012</v>
      </c>
      <c r="R28" t="s">
        <v>95</v>
      </c>
      <c r="U28" s="273">
        <f>(D28-C28)*3.6</f>
        <v>31.788000000000046</v>
      </c>
      <c r="V28" s="273">
        <f t="shared" ref="V28:AA28" si="20">(E28-D28)*3.6</f>
        <v>26.027999999999963</v>
      </c>
      <c r="W28" s="273">
        <f t="shared" si="20"/>
        <v>21.312000000000058</v>
      </c>
      <c r="X28" s="273">
        <f t="shared" si="20"/>
        <v>13.427999999999964</v>
      </c>
      <c r="Y28" s="273">
        <f t="shared" si="20"/>
        <v>3.7439999999999714</v>
      </c>
      <c r="Z28" s="273">
        <f t="shared" si="20"/>
        <v>2.7</v>
      </c>
      <c r="AA28" s="273">
        <f t="shared" si="20"/>
        <v>1.5840000000000942</v>
      </c>
      <c r="AB28" s="255">
        <f>K28</f>
        <v>2.08</v>
      </c>
      <c r="AC28" s="255">
        <f>(L28-K28)</f>
        <v>2.92</v>
      </c>
      <c r="AD28" s="255">
        <f t="shared" ref="AD28:AF28" si="21">(M28-L28)</f>
        <v>5.3100000000000005</v>
      </c>
      <c r="AE28" s="255">
        <f t="shared" si="21"/>
        <v>21.659999999999997</v>
      </c>
      <c r="AF28" s="255">
        <f t="shared" si="21"/>
        <v>31.590000000000003</v>
      </c>
    </row>
    <row r="29" spans="1:32" ht="15" thickBot="1" x14ac:dyDescent="0.4">
      <c r="A29" s="4"/>
      <c r="B29" s="26" t="s">
        <v>31</v>
      </c>
      <c r="C29" s="30">
        <v>13450</v>
      </c>
      <c r="D29" s="30">
        <v>13643</v>
      </c>
      <c r="E29" s="30">
        <v>13805</v>
      </c>
      <c r="F29" s="30">
        <v>13939</v>
      </c>
      <c r="G29" s="30">
        <v>14029</v>
      </c>
      <c r="H29" s="30">
        <v>14058</v>
      </c>
      <c r="I29" s="30">
        <v>14081</v>
      </c>
      <c r="J29" s="30">
        <v>14096</v>
      </c>
      <c r="K29" s="30">
        <v>18</v>
      </c>
      <c r="L29" s="30">
        <v>43</v>
      </c>
      <c r="M29" s="30">
        <v>85</v>
      </c>
      <c r="N29" s="30">
        <v>234</v>
      </c>
      <c r="O29" s="30">
        <v>442</v>
      </c>
      <c r="Q29" s="272">
        <f>J29-C29+O29</f>
        <v>1088</v>
      </c>
      <c r="R29" t="s">
        <v>96</v>
      </c>
    </row>
    <row r="30" spans="1:32" ht="15" thickBot="1" x14ac:dyDescent="0.4">
      <c r="A30" s="116" t="str">
        <f>'1850'!A29</f>
        <v>fakturační vodoměr č.         63796</v>
      </c>
      <c r="B30" s="22"/>
      <c r="C30" s="23">
        <f>'1850'!C29</f>
        <v>20281.099999999999</v>
      </c>
      <c r="D30" s="23">
        <f>'1850'!D29</f>
        <v>20614.3</v>
      </c>
      <c r="E30" s="23">
        <f>'1850'!E29</f>
        <v>20910.099999999999</v>
      </c>
      <c r="F30" s="23">
        <f>'1850'!F29</f>
        <v>21247.4</v>
      </c>
      <c r="G30" s="23">
        <f>'1850'!G29</f>
        <v>21572.2</v>
      </c>
      <c r="H30" s="23">
        <f>'1850'!H29</f>
        <v>21932.7</v>
      </c>
      <c r="I30" s="23">
        <f>'1850'!I29</f>
        <v>22298.9</v>
      </c>
      <c r="J30" s="23">
        <f>'1850'!J29</f>
        <v>22571.5</v>
      </c>
      <c r="K30" s="23">
        <f>'1850'!K29</f>
        <v>22887.599999999999</v>
      </c>
      <c r="L30" s="23">
        <f>'1850'!L29</f>
        <v>23211.599999999999</v>
      </c>
      <c r="M30" s="23">
        <f>'1850'!M29</f>
        <v>23544</v>
      </c>
      <c r="N30" s="23">
        <f>'1850'!N29</f>
        <v>23869.200000000001</v>
      </c>
      <c r="O30" s="23">
        <f>'1850'!O29</f>
        <v>24212</v>
      </c>
      <c r="P30" s="9">
        <f>O30-C30</f>
        <v>3930.9000000000015</v>
      </c>
      <c r="AD30" s="9"/>
    </row>
    <row r="31" spans="1:32" ht="15" thickBot="1" x14ac:dyDescent="0.4">
      <c r="B31" s="31"/>
    </row>
    <row r="32" spans="1:32" x14ac:dyDescent="0.35">
      <c r="A32" s="294">
        <v>11</v>
      </c>
      <c r="B32" s="166" t="s">
        <v>233</v>
      </c>
      <c r="C32" s="167">
        <v>13.972</v>
      </c>
      <c r="D32" s="167">
        <v>14.365</v>
      </c>
      <c r="E32" s="167">
        <v>14.651999999999999</v>
      </c>
      <c r="F32" s="167">
        <v>15.053000000000001</v>
      </c>
      <c r="G32" s="167">
        <v>15.413</v>
      </c>
      <c r="H32" s="167">
        <v>15.755000000000001</v>
      </c>
      <c r="I32" s="167">
        <v>16.373000000000001</v>
      </c>
      <c r="J32" s="167">
        <v>16.628</v>
      </c>
      <c r="K32" s="167">
        <v>16.890999999999998</v>
      </c>
      <c r="L32" s="167">
        <v>17.215</v>
      </c>
      <c r="M32" s="167">
        <v>17.571000000000002</v>
      </c>
      <c r="N32" s="167">
        <v>17.962</v>
      </c>
      <c r="O32" s="168">
        <v>18.236000000000001</v>
      </c>
      <c r="P32" s="9">
        <f>O32-C32</f>
        <v>4.2640000000000011</v>
      </c>
      <c r="S32" t="s">
        <v>223</v>
      </c>
      <c r="T32" s="296">
        <v>11</v>
      </c>
      <c r="U32" s="111">
        <f t="shared" ref="U32:AF32" si="22">D32-C32</f>
        <v>0.39300000000000068</v>
      </c>
      <c r="V32" s="111">
        <f t="shared" si="22"/>
        <v>0.28699999999999903</v>
      </c>
      <c r="W32" s="111">
        <f t="shared" si="22"/>
        <v>0.40100000000000158</v>
      </c>
      <c r="X32" s="111">
        <f t="shared" si="22"/>
        <v>0.35999999999999943</v>
      </c>
      <c r="Y32" s="111">
        <f t="shared" si="22"/>
        <v>0.34200000000000053</v>
      </c>
      <c r="Z32" s="111">
        <f t="shared" si="22"/>
        <v>0.61800000000000033</v>
      </c>
      <c r="AA32" s="111">
        <f t="shared" si="22"/>
        <v>0.25499999999999901</v>
      </c>
      <c r="AB32" s="111">
        <f t="shared" si="22"/>
        <v>0.26299999999999812</v>
      </c>
      <c r="AC32" s="111">
        <f t="shared" si="22"/>
        <v>0.32400000000000162</v>
      </c>
      <c r="AD32" s="111">
        <f t="shared" si="22"/>
        <v>0.35600000000000165</v>
      </c>
      <c r="AE32" s="111">
        <f t="shared" si="22"/>
        <v>0.39099999999999824</v>
      </c>
      <c r="AF32" s="111">
        <f t="shared" si="22"/>
        <v>0.27400000000000091</v>
      </c>
    </row>
    <row r="33" spans="1:32" ht="15" thickBot="1" x14ac:dyDescent="0.4">
      <c r="A33" s="295"/>
      <c r="B33" s="169" t="s">
        <v>234</v>
      </c>
      <c r="C33" s="170">
        <v>0.76</v>
      </c>
      <c r="D33" s="170">
        <v>0.76700000000000002</v>
      </c>
      <c r="E33" s="170">
        <v>0.76700000000000002</v>
      </c>
      <c r="F33" s="170">
        <v>0.77600000000000002</v>
      </c>
      <c r="G33" s="170">
        <v>0.77900000000000003</v>
      </c>
      <c r="H33" s="170">
        <v>0.78100000000000003</v>
      </c>
      <c r="I33" s="170">
        <v>0.82499999999999996</v>
      </c>
      <c r="J33" s="170">
        <v>0.84</v>
      </c>
      <c r="K33" s="170">
        <v>0.84699999999999998</v>
      </c>
      <c r="L33" s="170">
        <v>0.85499999999999998</v>
      </c>
      <c r="M33" s="170">
        <v>0.86099999999999999</v>
      </c>
      <c r="N33" s="170">
        <v>0.86499999999999999</v>
      </c>
      <c r="O33" s="171">
        <v>0.871</v>
      </c>
      <c r="P33" s="9">
        <f>O33-C33</f>
        <v>0.11099999999999999</v>
      </c>
      <c r="S33" t="s">
        <v>217</v>
      </c>
      <c r="T33" s="296"/>
      <c r="U33" s="111">
        <f t="shared" ref="U33:AF33" si="23">D33-C33</f>
        <v>7.0000000000000062E-3</v>
      </c>
      <c r="V33" s="111">
        <f t="shared" si="23"/>
        <v>0</v>
      </c>
      <c r="W33" s="111">
        <f t="shared" si="23"/>
        <v>9.000000000000008E-3</v>
      </c>
      <c r="X33" s="111">
        <f t="shared" si="23"/>
        <v>3.0000000000000027E-3</v>
      </c>
      <c r="Y33" s="111">
        <f t="shared" si="23"/>
        <v>2.0000000000000018E-3</v>
      </c>
      <c r="Z33" s="111">
        <f t="shared" si="23"/>
        <v>4.3999999999999928E-2</v>
      </c>
      <c r="AA33" s="111">
        <f t="shared" si="23"/>
        <v>1.5000000000000013E-2</v>
      </c>
      <c r="AB33" s="111">
        <f t="shared" si="23"/>
        <v>7.0000000000000062E-3</v>
      </c>
      <c r="AC33" s="111">
        <f t="shared" si="23"/>
        <v>8.0000000000000071E-3</v>
      </c>
      <c r="AD33" s="111">
        <f t="shared" si="23"/>
        <v>6.0000000000000053E-3</v>
      </c>
      <c r="AE33" s="111">
        <f t="shared" si="23"/>
        <v>4.0000000000000036E-3</v>
      </c>
      <c r="AF33" s="111">
        <f t="shared" si="23"/>
        <v>6.0000000000000053E-3</v>
      </c>
    </row>
    <row r="34" spans="1:32" x14ac:dyDescent="0.35">
      <c r="K34" s="124"/>
    </row>
    <row r="35" spans="1:32" x14ac:dyDescent="0.35">
      <c r="A35" s="1"/>
      <c r="D35" t="s">
        <v>237</v>
      </c>
      <c r="K35" s="124"/>
    </row>
    <row r="36" spans="1:32" x14ac:dyDescent="0.35">
      <c r="A36" s="1"/>
      <c r="D36" s="290">
        <v>43956</v>
      </c>
      <c r="E36" s="86" t="s">
        <v>225</v>
      </c>
      <c r="F36" s="292"/>
      <c r="G36" s="292"/>
      <c r="H36" s="108"/>
      <c r="O36" s="106" t="s">
        <v>392</v>
      </c>
      <c r="P36" s="9">
        <f>P8-P32-P33</f>
        <v>75.444999999999993</v>
      </c>
    </row>
    <row r="37" spans="1:32" x14ac:dyDescent="0.35">
      <c r="A37" s="1"/>
      <c r="D37" s="290"/>
      <c r="E37" s="86" t="s">
        <v>226</v>
      </c>
      <c r="F37" s="292"/>
      <c r="G37" s="292"/>
      <c r="H37" s="108"/>
      <c r="M37" s="253"/>
      <c r="N37" s="253"/>
      <c r="O37" s="254" t="s">
        <v>393</v>
      </c>
      <c r="P37" s="99">
        <f>P32+P33</f>
        <v>4.3750000000000009</v>
      </c>
    </row>
    <row r="38" spans="1:32" x14ac:dyDescent="0.35">
      <c r="A38" s="1"/>
      <c r="D38" t="s">
        <v>236</v>
      </c>
      <c r="O38" t="s">
        <v>394</v>
      </c>
      <c r="P38" s="9">
        <f>SUM(P36:P37)</f>
        <v>79.819999999999993</v>
      </c>
    </row>
    <row r="39" spans="1:32" x14ac:dyDescent="0.35">
      <c r="A39" s="1"/>
      <c r="D39" s="290">
        <v>43956</v>
      </c>
      <c r="E39" s="86" t="s">
        <v>225</v>
      </c>
      <c r="F39" s="292"/>
      <c r="G39" s="292"/>
      <c r="H39" s="108"/>
    </row>
    <row r="40" spans="1:32" x14ac:dyDescent="0.35">
      <c r="A40" s="1"/>
      <c r="D40" s="290"/>
      <c r="E40" s="86" t="s">
        <v>226</v>
      </c>
      <c r="F40" s="292"/>
      <c r="G40" s="292"/>
      <c r="H40" s="108"/>
      <c r="J40" s="270" t="s">
        <v>431</v>
      </c>
      <c r="K40" s="232"/>
      <c r="L40" s="232"/>
      <c r="M40" s="231"/>
      <c r="N40" s="233" t="s">
        <v>301</v>
      </c>
      <c r="O40" s="234">
        <v>234.86</v>
      </c>
      <c r="P40" s="231" t="s">
        <v>239</v>
      </c>
    </row>
    <row r="41" spans="1:32" x14ac:dyDescent="0.35">
      <c r="J41" s="270" t="s">
        <v>432</v>
      </c>
      <c r="K41" s="232"/>
      <c r="L41" s="232"/>
      <c r="M41" s="231"/>
      <c r="N41" s="233" t="s">
        <v>301</v>
      </c>
      <c r="O41" s="234">
        <v>0</v>
      </c>
      <c r="P41" s="270" t="s">
        <v>95</v>
      </c>
    </row>
  </sheetData>
  <sheetProtection selectLockedCells="1" selectUnlockedCells="1"/>
  <mergeCells count="18">
    <mergeCell ref="D39:D40"/>
    <mergeCell ref="F39:G39"/>
    <mergeCell ref="F40:G40"/>
    <mergeCell ref="A32:A33"/>
    <mergeCell ref="T32:T33"/>
    <mergeCell ref="D36:D37"/>
    <mergeCell ref="F36:G36"/>
    <mergeCell ref="F37:G37"/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D4">
    <cfRule type="cellIs" dxfId="3064" priority="123" stopIfTrue="1" operator="lessThan">
      <formula>$C$4</formula>
    </cfRule>
    <cfRule type="cellIs" dxfId="3063" priority="124" stopIfTrue="1" operator="equal">
      <formula>$C$4</formula>
    </cfRule>
  </conditionalFormatting>
  <conditionalFormatting sqref="D5">
    <cfRule type="cellIs" dxfId="3062" priority="127" stopIfTrue="1" operator="equal">
      <formula>$C$5</formula>
    </cfRule>
    <cfRule type="cellIs" dxfId="3061" priority="128" stopIfTrue="1" operator="lessThan">
      <formula>$C$5</formula>
    </cfRule>
  </conditionalFormatting>
  <conditionalFormatting sqref="D6">
    <cfRule type="cellIs" dxfId="3060" priority="135" stopIfTrue="1" operator="lessThan">
      <formula>$C$6</formula>
    </cfRule>
    <cfRule type="cellIs" dxfId="3059" priority="134" stopIfTrue="1" operator="equal">
      <formula>$C$6</formula>
    </cfRule>
  </conditionalFormatting>
  <conditionalFormatting sqref="D7">
    <cfRule type="cellIs" dxfId="3058" priority="149" stopIfTrue="1" operator="lessThan">
      <formula>$C$7</formula>
    </cfRule>
    <cfRule type="cellIs" dxfId="3057" priority="148" stopIfTrue="1" operator="equal">
      <formula>$C$7</formula>
    </cfRule>
  </conditionalFormatting>
  <conditionalFormatting sqref="D8">
    <cfRule type="cellIs" dxfId="3056" priority="161" stopIfTrue="1" operator="lessThan">
      <formula>$C$8</formula>
    </cfRule>
    <cfRule type="cellIs" dxfId="3055" priority="160" stopIfTrue="1" operator="equal">
      <formula>$C$8</formula>
    </cfRule>
  </conditionalFormatting>
  <conditionalFormatting sqref="D9">
    <cfRule type="cellIs" dxfId="3054" priority="174" stopIfTrue="1" operator="equal">
      <formula>$C$9</formula>
    </cfRule>
    <cfRule type="cellIs" dxfId="3053" priority="175" stopIfTrue="1" operator="lessThan">
      <formula>$C$9</formula>
    </cfRule>
  </conditionalFormatting>
  <conditionalFormatting sqref="D10">
    <cfRule type="cellIs" dxfId="3052" priority="188" stopIfTrue="1" operator="equal">
      <formula>$C$10</formula>
    </cfRule>
    <cfRule type="cellIs" dxfId="3051" priority="189" stopIfTrue="1" operator="lessThan">
      <formula>$C$10</formula>
    </cfRule>
  </conditionalFormatting>
  <conditionalFormatting sqref="D11">
    <cfRule type="cellIs" dxfId="3050" priority="202" stopIfTrue="1" operator="equal">
      <formula>$C$11</formula>
    </cfRule>
    <cfRule type="cellIs" dxfId="3049" priority="203" stopIfTrue="1" operator="lessThan">
      <formula>$C$11</formula>
    </cfRule>
  </conditionalFormatting>
  <conditionalFormatting sqref="D12">
    <cfRule type="cellIs" dxfId="3048" priority="216" stopIfTrue="1" operator="equal">
      <formula>$C$12</formula>
    </cfRule>
    <cfRule type="cellIs" dxfId="3047" priority="217" stopIfTrue="1" operator="lessThan">
      <formula>$C$12</formula>
    </cfRule>
  </conditionalFormatting>
  <conditionalFormatting sqref="D13">
    <cfRule type="cellIs" dxfId="3046" priority="348" stopIfTrue="1" operator="equal">
      <formula>$C$13</formula>
    </cfRule>
    <cfRule type="cellIs" dxfId="3045" priority="349" stopIfTrue="1" operator="lessThan">
      <formula>$C$13</formula>
    </cfRule>
  </conditionalFormatting>
  <conditionalFormatting sqref="D14">
    <cfRule type="cellIs" dxfId="3044" priority="231" stopIfTrue="1" operator="lessThan">
      <formula>$C$14</formula>
    </cfRule>
    <cfRule type="cellIs" dxfId="3043" priority="230" stopIfTrue="1" operator="equal">
      <formula>$C$14</formula>
    </cfRule>
  </conditionalFormatting>
  <conditionalFormatting sqref="D15">
    <cfRule type="cellIs" dxfId="3042" priority="232" stopIfTrue="1" operator="equal">
      <formula>$C$15</formula>
    </cfRule>
    <cfRule type="cellIs" dxfId="3041" priority="233" stopIfTrue="1" operator="lessThan">
      <formula>$C$15</formula>
    </cfRule>
  </conditionalFormatting>
  <conditionalFormatting sqref="D16">
    <cfRule type="cellIs" dxfId="3040" priority="235" stopIfTrue="1" operator="lessThan">
      <formula>$C$16</formula>
    </cfRule>
    <cfRule type="cellIs" dxfId="3039" priority="234" stopIfTrue="1" operator="equal">
      <formula>$C$16</formula>
    </cfRule>
  </conditionalFormatting>
  <conditionalFormatting sqref="D17">
    <cfRule type="cellIs" dxfId="3038" priority="236" stopIfTrue="1" operator="equal">
      <formula>$C$17</formula>
    </cfRule>
    <cfRule type="cellIs" dxfId="3037" priority="237" stopIfTrue="1" operator="lessThan">
      <formula>$C$17</formula>
    </cfRule>
  </conditionalFormatting>
  <conditionalFormatting sqref="D18">
    <cfRule type="cellIs" dxfId="3036" priority="238" stopIfTrue="1" operator="equal">
      <formula>$C$18</formula>
    </cfRule>
    <cfRule type="cellIs" dxfId="3035" priority="239" stopIfTrue="1" operator="lessThan">
      <formula>$C$18</formula>
    </cfRule>
  </conditionalFormatting>
  <conditionalFormatting sqref="D19">
    <cfRule type="cellIs" dxfId="3034" priority="240" stopIfTrue="1" operator="equal">
      <formula>$C$19</formula>
    </cfRule>
    <cfRule type="cellIs" dxfId="3033" priority="241" stopIfTrue="1" operator="lessThan">
      <formula>$C$19</formula>
    </cfRule>
  </conditionalFormatting>
  <conditionalFormatting sqref="D20">
    <cfRule type="cellIs" dxfId="3032" priority="242" stopIfTrue="1" operator="equal">
      <formula>$C$20</formula>
    </cfRule>
    <cfRule type="cellIs" dxfId="3031" priority="243" stopIfTrue="1" operator="lessThan">
      <formula>$C$20</formula>
    </cfRule>
  </conditionalFormatting>
  <conditionalFormatting sqref="D21">
    <cfRule type="cellIs" dxfId="3030" priority="245" stopIfTrue="1" operator="lessThan">
      <formula>$C$21</formula>
    </cfRule>
    <cfRule type="cellIs" dxfId="3029" priority="244" stopIfTrue="1" operator="equal">
      <formula>$C$21</formula>
    </cfRule>
  </conditionalFormatting>
  <conditionalFormatting sqref="D22">
    <cfRule type="cellIs" dxfId="3028" priority="247" stopIfTrue="1" operator="lessThan">
      <formula>$C$22</formula>
    </cfRule>
    <cfRule type="cellIs" dxfId="3027" priority="246" stopIfTrue="1" operator="equal">
      <formula>$C$22</formula>
    </cfRule>
  </conditionalFormatting>
  <conditionalFormatting sqref="D23">
    <cfRule type="cellIs" dxfId="3026" priority="249" stopIfTrue="1" operator="lessThan">
      <formula>$C$23</formula>
    </cfRule>
    <cfRule type="cellIs" dxfId="3025" priority="248" stopIfTrue="1" operator="equal">
      <formula>$C$23</formula>
    </cfRule>
  </conditionalFormatting>
  <conditionalFormatting sqref="D24">
    <cfRule type="cellIs" dxfId="3024" priority="381" stopIfTrue="1" operator="lessThan">
      <formula>$C$24</formula>
    </cfRule>
    <cfRule type="cellIs" dxfId="3023" priority="380" stopIfTrue="1" operator="equal">
      <formula>$C$24</formula>
    </cfRule>
  </conditionalFormatting>
  <conditionalFormatting sqref="D25">
    <cfRule type="cellIs" dxfId="3022" priority="251" stopIfTrue="1" operator="lessThan">
      <formula>$C$25</formula>
    </cfRule>
    <cfRule type="cellIs" dxfId="3021" priority="250" stopIfTrue="1" operator="equal">
      <formula>$C$25</formula>
    </cfRule>
  </conditionalFormatting>
  <conditionalFormatting sqref="D26">
    <cfRule type="cellIs" dxfId="3020" priority="253" stopIfTrue="1" operator="lessThan">
      <formula>$C$26</formula>
    </cfRule>
    <cfRule type="cellIs" dxfId="3019" priority="252" stopIfTrue="1" operator="equal">
      <formula>$C$26</formula>
    </cfRule>
  </conditionalFormatting>
  <conditionalFormatting sqref="D27">
    <cfRule type="cellIs" dxfId="3018" priority="255" stopIfTrue="1" operator="lessThan">
      <formula>$C$27</formula>
    </cfRule>
    <cfRule type="cellIs" dxfId="3017" priority="254" stopIfTrue="1" operator="equal">
      <formula>$C$27</formula>
    </cfRule>
  </conditionalFormatting>
  <conditionalFormatting sqref="D28">
    <cfRule type="cellIs" dxfId="3016" priority="256" stopIfTrue="1" operator="equal">
      <formula>$C$28</formula>
    </cfRule>
    <cfRule type="cellIs" dxfId="3015" priority="257" stopIfTrue="1" operator="lessThan">
      <formula>$C$28</formula>
    </cfRule>
  </conditionalFormatting>
  <conditionalFormatting sqref="D29">
    <cfRule type="cellIs" dxfId="3014" priority="104" stopIfTrue="1" operator="lessThan">
      <formula>$C$29</formula>
    </cfRule>
    <cfRule type="cellIs" dxfId="3013" priority="105" stopIfTrue="1" operator="equal">
      <formula>$C$29</formula>
    </cfRule>
  </conditionalFormatting>
  <conditionalFormatting sqref="E4">
    <cfRule type="cellIs" dxfId="3012" priority="125" stopIfTrue="1" operator="equal">
      <formula>$D$4</formula>
    </cfRule>
    <cfRule type="cellIs" dxfId="3011" priority="126" stopIfTrue="1" operator="lessThan">
      <formula>$D$4</formula>
    </cfRule>
  </conditionalFormatting>
  <conditionalFormatting sqref="E5">
    <cfRule type="cellIs" dxfId="3010" priority="391" stopIfTrue="1" operator="lessThan">
      <formula>$D$5</formula>
    </cfRule>
    <cfRule type="cellIs" dxfId="3009" priority="390" stopIfTrue="1" operator="equal">
      <formula>$D$5</formula>
    </cfRule>
  </conditionalFormatting>
  <conditionalFormatting sqref="E6">
    <cfRule type="cellIs" dxfId="3008" priority="136" stopIfTrue="1" operator="equal">
      <formula>$D$6</formula>
    </cfRule>
    <cfRule type="cellIs" dxfId="3007" priority="137" stopIfTrue="1" operator="lessThan">
      <formula>$D$6</formula>
    </cfRule>
  </conditionalFormatting>
  <conditionalFormatting sqref="E7">
    <cfRule type="cellIs" dxfId="3006" priority="150" stopIfTrue="1" operator="equal">
      <formula>$D$7</formula>
    </cfRule>
    <cfRule type="cellIs" dxfId="3005" priority="151" stopIfTrue="1" operator="lessThan">
      <formula>$D$7</formula>
    </cfRule>
  </conditionalFormatting>
  <conditionalFormatting sqref="E8">
    <cfRule type="cellIs" dxfId="3004" priority="162" stopIfTrue="1" operator="equal">
      <formula>$D$8</formula>
    </cfRule>
    <cfRule type="cellIs" dxfId="3003" priority="163" stopIfTrue="1" operator="lessThan">
      <formula>$D$8</formula>
    </cfRule>
  </conditionalFormatting>
  <conditionalFormatting sqref="E9">
    <cfRule type="cellIs" dxfId="3002" priority="176" stopIfTrue="1" operator="equal">
      <formula>$D$9</formula>
    </cfRule>
    <cfRule type="cellIs" dxfId="3001" priority="177" stopIfTrue="1" operator="lessThan">
      <formula>$D$9</formula>
    </cfRule>
  </conditionalFormatting>
  <conditionalFormatting sqref="E10">
    <cfRule type="cellIs" dxfId="3000" priority="191" stopIfTrue="1" operator="lessThan">
      <formula>$D$10</formula>
    </cfRule>
    <cfRule type="cellIs" dxfId="2999" priority="190" stopIfTrue="1" operator="equal">
      <formula>$D$10</formula>
    </cfRule>
  </conditionalFormatting>
  <conditionalFormatting sqref="E11">
    <cfRule type="cellIs" dxfId="2998" priority="205" stopIfTrue="1" operator="lessThan">
      <formula>$D$11</formula>
    </cfRule>
    <cfRule type="cellIs" dxfId="2997" priority="204" stopIfTrue="1" operator="equal">
      <formula>$D$11</formula>
    </cfRule>
  </conditionalFormatting>
  <conditionalFormatting sqref="E12">
    <cfRule type="cellIs" dxfId="2996" priority="218" stopIfTrue="1" operator="equal">
      <formula>$D$12</formula>
    </cfRule>
    <cfRule type="cellIs" dxfId="2995" priority="219" stopIfTrue="1" operator="lessThan">
      <formula>$D$12</formula>
    </cfRule>
  </conditionalFormatting>
  <conditionalFormatting sqref="E13">
    <cfRule type="cellIs" dxfId="2994" priority="258" stopIfTrue="1" operator="equal">
      <formula>$D$13</formula>
    </cfRule>
    <cfRule type="cellIs" dxfId="2993" priority="259" stopIfTrue="1" operator="lessThan">
      <formula>$D$13</formula>
    </cfRule>
  </conditionalFormatting>
  <conditionalFormatting sqref="E14">
    <cfRule type="cellIs" dxfId="2992" priority="260" stopIfTrue="1" operator="equal">
      <formula>$D$14</formula>
    </cfRule>
    <cfRule type="cellIs" dxfId="2991" priority="261" stopIfTrue="1" operator="lessThan">
      <formula>$D$14</formula>
    </cfRule>
  </conditionalFormatting>
  <conditionalFormatting sqref="E15">
    <cfRule type="cellIs" dxfId="2990" priority="263" stopIfTrue="1" operator="lessThan">
      <formula>$D$15</formula>
    </cfRule>
    <cfRule type="cellIs" dxfId="2989" priority="262" stopIfTrue="1" operator="equal">
      <formula>$D$15</formula>
    </cfRule>
  </conditionalFormatting>
  <conditionalFormatting sqref="E16">
    <cfRule type="cellIs" dxfId="2988" priority="265" stopIfTrue="1" operator="lessThan">
      <formula>$D$16</formula>
    </cfRule>
    <cfRule type="cellIs" dxfId="2987" priority="264" stopIfTrue="1" operator="equal">
      <formula>$D$16</formula>
    </cfRule>
  </conditionalFormatting>
  <conditionalFormatting sqref="E17">
    <cfRule type="cellIs" dxfId="2986" priority="267" stopIfTrue="1" operator="lessThan">
      <formula>$D$17</formula>
    </cfRule>
    <cfRule type="cellIs" dxfId="2985" priority="266" stopIfTrue="1" operator="equal">
      <formula>$D$17</formula>
    </cfRule>
  </conditionalFormatting>
  <conditionalFormatting sqref="E18">
    <cfRule type="cellIs" dxfId="2984" priority="269" stopIfTrue="1" operator="lessThan">
      <formula>$D$18</formula>
    </cfRule>
    <cfRule type="cellIs" dxfId="2983" priority="268" stopIfTrue="1" operator="equal">
      <formula>$D$18</formula>
    </cfRule>
  </conditionalFormatting>
  <conditionalFormatting sqref="E19">
    <cfRule type="cellIs" dxfId="2982" priority="271" stopIfTrue="1" operator="lessThan">
      <formula>$D$19</formula>
    </cfRule>
    <cfRule type="cellIs" dxfId="2981" priority="270" stopIfTrue="1" operator="equal">
      <formula>$D$19</formula>
    </cfRule>
  </conditionalFormatting>
  <conditionalFormatting sqref="E20">
    <cfRule type="cellIs" dxfId="2980" priority="272" stopIfTrue="1" operator="equal">
      <formula>$D$20</formula>
    </cfRule>
    <cfRule type="cellIs" dxfId="2979" priority="273" stopIfTrue="1" operator="lessThan">
      <formula>$D$20</formula>
    </cfRule>
  </conditionalFormatting>
  <conditionalFormatting sqref="E21">
    <cfRule type="cellIs" dxfId="2978" priority="275" stopIfTrue="1" operator="lessThan">
      <formula>$D$21</formula>
    </cfRule>
    <cfRule type="cellIs" dxfId="2977" priority="274" stopIfTrue="1" operator="equal">
      <formula>$D$21</formula>
    </cfRule>
  </conditionalFormatting>
  <conditionalFormatting sqref="E22">
    <cfRule type="cellIs" dxfId="2976" priority="277" stopIfTrue="1" operator="lessThan">
      <formula>$D$22</formula>
    </cfRule>
    <cfRule type="cellIs" dxfId="2975" priority="276" stopIfTrue="1" operator="equal">
      <formula>$D$22</formula>
    </cfRule>
  </conditionalFormatting>
  <conditionalFormatting sqref="E23">
    <cfRule type="cellIs" dxfId="2974" priority="279" stopIfTrue="1" operator="lessThan">
      <formula>$D$23</formula>
    </cfRule>
    <cfRule type="cellIs" dxfId="2973" priority="278" stopIfTrue="1" operator="equal">
      <formula>$D$23</formula>
    </cfRule>
  </conditionalFormatting>
  <conditionalFormatting sqref="E24">
    <cfRule type="cellIs" dxfId="2972" priority="382" stopIfTrue="1" operator="equal">
      <formula>$D$24</formula>
    </cfRule>
    <cfRule type="cellIs" dxfId="2971" priority="383" stopIfTrue="1" operator="lessThan">
      <formula>$D$24</formula>
    </cfRule>
  </conditionalFormatting>
  <conditionalFormatting sqref="E25">
    <cfRule type="cellIs" dxfId="2970" priority="281" stopIfTrue="1" operator="lessThan">
      <formula>$D$25</formula>
    </cfRule>
    <cfRule type="cellIs" dxfId="2969" priority="280" stopIfTrue="1" operator="equal">
      <formula>$D$25</formula>
    </cfRule>
  </conditionalFormatting>
  <conditionalFormatting sqref="E26">
    <cfRule type="cellIs" dxfId="2968" priority="283" stopIfTrue="1" operator="lessThan">
      <formula>$D$26</formula>
    </cfRule>
    <cfRule type="cellIs" dxfId="2967" priority="282" stopIfTrue="1" operator="equal">
      <formula>$D$26</formula>
    </cfRule>
  </conditionalFormatting>
  <conditionalFormatting sqref="E27">
    <cfRule type="cellIs" dxfId="2966" priority="284" stopIfTrue="1" operator="equal">
      <formula>$D$27</formula>
    </cfRule>
    <cfRule type="cellIs" dxfId="2965" priority="285" stopIfTrue="1" operator="lessThan">
      <formula>$D$27</formula>
    </cfRule>
  </conditionalFormatting>
  <conditionalFormatting sqref="E28">
    <cfRule type="cellIs" dxfId="2964" priority="286" stopIfTrue="1" operator="equal">
      <formula>$D$28</formula>
    </cfRule>
    <cfRule type="cellIs" dxfId="2963" priority="287" stopIfTrue="1" operator="lessThan">
      <formula>$D$28</formula>
    </cfRule>
  </conditionalFormatting>
  <conditionalFormatting sqref="E29">
    <cfRule type="cellIs" dxfId="2962" priority="102" stopIfTrue="1" operator="lessThan">
      <formula>$D$29</formula>
    </cfRule>
    <cfRule type="cellIs" dxfId="2961" priority="103" stopIfTrue="1" operator="equal">
      <formula>$D$29</formula>
    </cfRule>
  </conditionalFormatting>
  <conditionalFormatting sqref="F4">
    <cfRule type="cellIs" dxfId="2960" priority="121" stopIfTrue="1" operator="equal">
      <formula>$E$4</formula>
    </cfRule>
    <cfRule type="cellIs" dxfId="2959" priority="122" stopIfTrue="1" operator="lessThan">
      <formula>$E$4</formula>
    </cfRule>
  </conditionalFormatting>
  <conditionalFormatting sqref="F5">
    <cfRule type="cellIs" dxfId="2958" priority="130" stopIfTrue="1" operator="lessThan">
      <formula>$E$5</formula>
    </cfRule>
    <cfRule type="cellIs" dxfId="2957" priority="129" stopIfTrue="1" operator="equal">
      <formula>$E$5</formula>
    </cfRule>
  </conditionalFormatting>
  <conditionalFormatting sqref="F6">
    <cfRule type="cellIs" dxfId="2956" priority="138" stopIfTrue="1" operator="equal">
      <formula>$E$6</formula>
    </cfRule>
    <cfRule type="cellIs" dxfId="2955" priority="139" stopIfTrue="1" operator="lessThan">
      <formula>$E$6</formula>
    </cfRule>
  </conditionalFormatting>
  <conditionalFormatting sqref="F7">
    <cfRule type="cellIs" dxfId="2954" priority="152" stopIfTrue="1" operator="equal">
      <formula>$E$7</formula>
    </cfRule>
    <cfRule type="cellIs" dxfId="2953" priority="153" stopIfTrue="1" operator="lessThan">
      <formula>$E$7</formula>
    </cfRule>
  </conditionalFormatting>
  <conditionalFormatting sqref="F8">
    <cfRule type="cellIs" dxfId="2952" priority="165" stopIfTrue="1" operator="lessThan">
      <formula>$E$8</formula>
    </cfRule>
    <cfRule type="cellIs" dxfId="2951" priority="164" stopIfTrue="1" operator="equal">
      <formula>$E$8</formula>
    </cfRule>
  </conditionalFormatting>
  <conditionalFormatting sqref="F9">
    <cfRule type="cellIs" dxfId="2950" priority="178" stopIfTrue="1" operator="equal">
      <formula>$E$9</formula>
    </cfRule>
    <cfRule type="cellIs" dxfId="2949" priority="179" stopIfTrue="1" operator="lessThan">
      <formula>$E$9</formula>
    </cfRule>
  </conditionalFormatting>
  <conditionalFormatting sqref="F10">
    <cfRule type="cellIs" dxfId="2948" priority="192" stopIfTrue="1" operator="equal">
      <formula>$E$10</formula>
    </cfRule>
    <cfRule type="cellIs" dxfId="2947" priority="193" stopIfTrue="1" operator="lessThan">
      <formula>$E$10</formula>
    </cfRule>
  </conditionalFormatting>
  <conditionalFormatting sqref="F11">
    <cfRule type="cellIs" dxfId="2946" priority="206" stopIfTrue="1" operator="equal">
      <formula>$E$11</formula>
    </cfRule>
    <cfRule type="cellIs" dxfId="2945" priority="207" stopIfTrue="1" operator="lessThan">
      <formula>$E$11</formula>
    </cfRule>
  </conditionalFormatting>
  <conditionalFormatting sqref="F12">
    <cfRule type="cellIs" dxfId="2944" priority="220" stopIfTrue="1" operator="equal">
      <formula>$E$12</formula>
    </cfRule>
    <cfRule type="cellIs" dxfId="2943" priority="221" stopIfTrue="1" operator="lessThan">
      <formula>$E$12</formula>
    </cfRule>
  </conditionalFormatting>
  <conditionalFormatting sqref="F13">
    <cfRule type="cellIs" dxfId="2942" priority="288" stopIfTrue="1" operator="equal">
      <formula>$E$13</formula>
    </cfRule>
    <cfRule type="cellIs" dxfId="2941" priority="289" stopIfTrue="1" operator="lessThan">
      <formula>$E$13</formula>
    </cfRule>
  </conditionalFormatting>
  <conditionalFormatting sqref="F14">
    <cfRule type="cellIs" dxfId="2940" priority="290" stopIfTrue="1" operator="equal">
      <formula>$E$14</formula>
    </cfRule>
    <cfRule type="cellIs" dxfId="2939" priority="291" stopIfTrue="1" operator="lessThan">
      <formula>$E$14</formula>
    </cfRule>
  </conditionalFormatting>
  <conditionalFormatting sqref="F15">
    <cfRule type="cellIs" dxfId="2938" priority="292" stopIfTrue="1" operator="equal">
      <formula>$E$15</formula>
    </cfRule>
    <cfRule type="cellIs" dxfId="2937" priority="293" stopIfTrue="1" operator="lessThan">
      <formula>$E$15</formula>
    </cfRule>
  </conditionalFormatting>
  <conditionalFormatting sqref="F16">
    <cfRule type="cellIs" dxfId="2936" priority="294" stopIfTrue="1" operator="equal">
      <formula>$E$16</formula>
    </cfRule>
    <cfRule type="cellIs" dxfId="2935" priority="295" stopIfTrue="1" operator="lessThan">
      <formula>$E$16</formula>
    </cfRule>
  </conditionalFormatting>
  <conditionalFormatting sqref="F17">
    <cfRule type="cellIs" dxfId="2934" priority="296" stopIfTrue="1" operator="equal">
      <formula>$E$17</formula>
    </cfRule>
    <cfRule type="cellIs" dxfId="2933" priority="297" stopIfTrue="1" operator="lessThan">
      <formula>$E$17</formula>
    </cfRule>
  </conditionalFormatting>
  <conditionalFormatting sqref="F18">
    <cfRule type="cellIs" dxfId="2932" priority="298" stopIfTrue="1" operator="equal">
      <formula>$E$18</formula>
    </cfRule>
    <cfRule type="cellIs" dxfId="2931" priority="299" stopIfTrue="1" operator="lessThan">
      <formula>$E$18</formula>
    </cfRule>
  </conditionalFormatting>
  <conditionalFormatting sqref="F19">
    <cfRule type="cellIs" dxfId="2930" priority="301" stopIfTrue="1" operator="lessThan">
      <formula>$E$19</formula>
    </cfRule>
    <cfRule type="cellIs" dxfId="2929" priority="300" stopIfTrue="1" operator="equal">
      <formula>$E$19</formula>
    </cfRule>
  </conditionalFormatting>
  <conditionalFormatting sqref="F20">
    <cfRule type="cellIs" dxfId="2928" priority="303" stopIfTrue="1" operator="lessThan">
      <formula>$E$20</formula>
    </cfRule>
    <cfRule type="cellIs" dxfId="2927" priority="302" stopIfTrue="1" operator="equal">
      <formula>$E$20</formula>
    </cfRule>
  </conditionalFormatting>
  <conditionalFormatting sqref="F21">
    <cfRule type="cellIs" dxfId="2926" priority="305" stopIfTrue="1" operator="lessThan">
      <formula>$E$21</formula>
    </cfRule>
    <cfRule type="cellIs" dxfId="2925" priority="304" stopIfTrue="1" operator="equal">
      <formula>$E$21</formula>
    </cfRule>
  </conditionalFormatting>
  <conditionalFormatting sqref="F22">
    <cfRule type="cellIs" dxfId="2924" priority="306" stopIfTrue="1" operator="equal">
      <formula>$E$22</formula>
    </cfRule>
    <cfRule type="cellIs" dxfId="2923" priority="307" stopIfTrue="1" operator="lessThan">
      <formula>$E$22</formula>
    </cfRule>
  </conditionalFormatting>
  <conditionalFormatting sqref="F23">
    <cfRule type="cellIs" dxfId="2922" priority="308" stopIfTrue="1" operator="equal">
      <formula>$E$23</formula>
    </cfRule>
    <cfRule type="cellIs" dxfId="2921" priority="309" stopIfTrue="1" operator="lessThan">
      <formula>$E$23</formula>
    </cfRule>
  </conditionalFormatting>
  <conditionalFormatting sqref="F24">
    <cfRule type="cellIs" dxfId="2920" priority="384" stopIfTrue="1" operator="equal">
      <formula>$E$24</formula>
    </cfRule>
    <cfRule type="cellIs" dxfId="2919" priority="385" stopIfTrue="1" operator="lessThan">
      <formula>$E$24</formula>
    </cfRule>
  </conditionalFormatting>
  <conditionalFormatting sqref="F25">
    <cfRule type="cellIs" dxfId="2918" priority="311" stopIfTrue="1" operator="lessThan">
      <formula>$E$25</formula>
    </cfRule>
    <cfRule type="cellIs" dxfId="2917" priority="310" stopIfTrue="1" operator="equal">
      <formula>$E$25</formula>
    </cfRule>
  </conditionalFormatting>
  <conditionalFormatting sqref="F26">
    <cfRule type="cellIs" dxfId="2916" priority="313" stopIfTrue="1" operator="lessThan">
      <formula>$E$26</formula>
    </cfRule>
    <cfRule type="cellIs" dxfId="2915" priority="312" stopIfTrue="1" operator="equal">
      <formula>$E$26</formula>
    </cfRule>
  </conditionalFormatting>
  <conditionalFormatting sqref="F27">
    <cfRule type="cellIs" dxfId="2914" priority="315" stopIfTrue="1" operator="lessThan">
      <formula>$E$27</formula>
    </cfRule>
    <cfRule type="cellIs" dxfId="2913" priority="314" stopIfTrue="1" operator="equal">
      <formula>$E$27</formula>
    </cfRule>
  </conditionalFormatting>
  <conditionalFormatting sqref="F28">
    <cfRule type="cellIs" dxfId="2912" priority="317" stopIfTrue="1" operator="lessThan">
      <formula>$E$28</formula>
    </cfRule>
    <cfRule type="cellIs" dxfId="2911" priority="316" stopIfTrue="1" operator="equal">
      <formula>$E$28</formula>
    </cfRule>
  </conditionalFormatting>
  <conditionalFormatting sqref="F29">
    <cfRule type="cellIs" dxfId="2910" priority="460" stopIfTrue="1" operator="equal">
      <formula>$E$29</formula>
    </cfRule>
    <cfRule type="cellIs" dxfId="2909" priority="461" stopIfTrue="1" operator="lessThan">
      <formula>$E$29</formula>
    </cfRule>
  </conditionalFormatting>
  <conditionalFormatting sqref="G4">
    <cfRule type="cellIs" dxfId="2908" priority="394" stopIfTrue="1" operator="equal">
      <formula>$F$4</formula>
    </cfRule>
  </conditionalFormatting>
  <conditionalFormatting sqref="G5">
    <cfRule type="cellIs" dxfId="2907" priority="392" stopIfTrue="1" operator="equal">
      <formula>$F$5</formula>
    </cfRule>
    <cfRule type="cellIs" dxfId="2906" priority="393" stopIfTrue="1" operator="lessThan">
      <formula>$F$5</formula>
    </cfRule>
  </conditionalFormatting>
  <conditionalFormatting sqref="G6">
    <cfRule type="cellIs" dxfId="2905" priority="140" stopIfTrue="1" operator="equal">
      <formula>$F$6</formula>
    </cfRule>
    <cfRule type="cellIs" dxfId="2904" priority="141" stopIfTrue="1" operator="lessThan">
      <formula>$F$6</formula>
    </cfRule>
  </conditionalFormatting>
  <conditionalFormatting sqref="G7">
    <cfRule type="cellIs" dxfId="2903" priority="113" stopIfTrue="1" operator="equal">
      <formula>$F$7</formula>
    </cfRule>
    <cfRule type="cellIs" dxfId="2902" priority="114" stopIfTrue="1" operator="lessThan">
      <formula>$F$7</formula>
    </cfRule>
  </conditionalFormatting>
  <conditionalFormatting sqref="G8">
    <cfRule type="cellIs" dxfId="2901" priority="167" stopIfTrue="1" operator="lessThan">
      <formula>$F$8</formula>
    </cfRule>
    <cfRule type="cellIs" dxfId="2900" priority="166" stopIfTrue="1" operator="equal">
      <formula>$F$8</formula>
    </cfRule>
  </conditionalFormatting>
  <conditionalFormatting sqref="G9">
    <cfRule type="cellIs" dxfId="2899" priority="180" stopIfTrue="1" operator="equal">
      <formula>$F$9</formula>
    </cfRule>
    <cfRule type="cellIs" dxfId="2898" priority="181" stopIfTrue="1" operator="lessThan">
      <formula>$F$9</formula>
    </cfRule>
  </conditionalFormatting>
  <conditionalFormatting sqref="G10">
    <cfRule type="cellIs" dxfId="2897" priority="195" stopIfTrue="1" operator="lessThan">
      <formula>$F$10</formula>
    </cfRule>
    <cfRule type="cellIs" dxfId="2896" priority="194" stopIfTrue="1" operator="equal">
      <formula>$F$10</formula>
    </cfRule>
  </conditionalFormatting>
  <conditionalFormatting sqref="G11">
    <cfRule type="cellIs" dxfId="2895" priority="209" stopIfTrue="1" operator="lessThan">
      <formula>$F$11</formula>
    </cfRule>
    <cfRule type="cellIs" dxfId="2894" priority="208" stopIfTrue="1" operator="equal">
      <formula>$F$11</formula>
    </cfRule>
  </conditionalFormatting>
  <conditionalFormatting sqref="G12">
    <cfRule type="cellIs" dxfId="2893" priority="222" stopIfTrue="1" operator="equal">
      <formula>$F$12</formula>
    </cfRule>
    <cfRule type="cellIs" dxfId="2892" priority="223" stopIfTrue="1" operator="lessThan">
      <formula>$F$12</formula>
    </cfRule>
  </conditionalFormatting>
  <conditionalFormatting sqref="G13">
    <cfRule type="cellIs" dxfId="2891" priority="318" stopIfTrue="1" operator="equal">
      <formula>$F$13</formula>
    </cfRule>
    <cfRule type="cellIs" dxfId="2890" priority="319" stopIfTrue="1" operator="lessThan">
      <formula>$F$13</formula>
    </cfRule>
  </conditionalFormatting>
  <conditionalFormatting sqref="G14">
    <cfRule type="cellIs" dxfId="2889" priority="320" stopIfTrue="1" operator="equal">
      <formula>$F$14</formula>
    </cfRule>
    <cfRule type="cellIs" dxfId="2888" priority="321" stopIfTrue="1" operator="lessThan">
      <formula>$F$14</formula>
    </cfRule>
  </conditionalFormatting>
  <conditionalFormatting sqref="G15">
    <cfRule type="cellIs" dxfId="2887" priority="323" stopIfTrue="1" operator="lessThan">
      <formula>$F$15</formula>
    </cfRule>
    <cfRule type="cellIs" dxfId="2886" priority="322" stopIfTrue="1" operator="equal">
      <formula>$F$15</formula>
    </cfRule>
  </conditionalFormatting>
  <conditionalFormatting sqref="G16">
    <cfRule type="cellIs" dxfId="2885" priority="325" stopIfTrue="1" operator="lessThan">
      <formula>$F$16</formula>
    </cfRule>
    <cfRule type="cellIs" dxfId="2884" priority="324" stopIfTrue="1" operator="equal">
      <formula>$F$16</formula>
    </cfRule>
  </conditionalFormatting>
  <conditionalFormatting sqref="G17">
    <cfRule type="cellIs" dxfId="2883" priority="327" stopIfTrue="1" operator="lessThan">
      <formula>$F$17</formula>
    </cfRule>
    <cfRule type="cellIs" dxfId="2882" priority="326" stopIfTrue="1" operator="equal">
      <formula>$F$17</formula>
    </cfRule>
  </conditionalFormatting>
  <conditionalFormatting sqref="G18">
    <cfRule type="cellIs" dxfId="2881" priority="329" stopIfTrue="1" operator="lessThan">
      <formula>$F$18</formula>
    </cfRule>
    <cfRule type="cellIs" dxfId="2880" priority="328" stopIfTrue="1" operator="equal">
      <formula>$F$18</formula>
    </cfRule>
  </conditionalFormatting>
  <conditionalFormatting sqref="G19">
    <cfRule type="cellIs" dxfId="2879" priority="331" stopIfTrue="1" operator="lessThan">
      <formula>$F$19</formula>
    </cfRule>
    <cfRule type="cellIs" dxfId="2878" priority="330" stopIfTrue="1" operator="equal">
      <formula>$F$19</formula>
    </cfRule>
  </conditionalFormatting>
  <conditionalFormatting sqref="G20">
    <cfRule type="cellIs" dxfId="2877" priority="333" stopIfTrue="1" operator="lessThan">
      <formula>$F$20</formula>
    </cfRule>
    <cfRule type="cellIs" dxfId="2876" priority="332" stopIfTrue="1" operator="equal">
      <formula>$F$20</formula>
    </cfRule>
  </conditionalFormatting>
  <conditionalFormatting sqref="G21">
    <cfRule type="cellIs" dxfId="2875" priority="335" stopIfTrue="1" operator="lessThan">
      <formula>$F$21</formula>
    </cfRule>
    <cfRule type="cellIs" dxfId="2874" priority="334" stopIfTrue="1" operator="equal">
      <formula>$F$21</formula>
    </cfRule>
  </conditionalFormatting>
  <conditionalFormatting sqref="G22">
    <cfRule type="cellIs" dxfId="2873" priority="337" stopIfTrue="1" operator="lessThan">
      <formula>$F$22</formula>
    </cfRule>
    <cfRule type="cellIs" dxfId="2872" priority="336" stopIfTrue="1" operator="equal">
      <formula>$F$22</formula>
    </cfRule>
  </conditionalFormatting>
  <conditionalFormatting sqref="G23">
    <cfRule type="cellIs" dxfId="2871" priority="338" stopIfTrue="1" operator="equal">
      <formula>$F$23</formula>
    </cfRule>
    <cfRule type="cellIs" dxfId="2870" priority="339" stopIfTrue="1" operator="lessThan">
      <formula>$F$23</formula>
    </cfRule>
  </conditionalFormatting>
  <conditionalFormatting sqref="G24">
    <cfRule type="cellIs" dxfId="2869" priority="387" stopIfTrue="1" operator="lessThan">
      <formula>$F$24</formula>
    </cfRule>
    <cfRule type="cellIs" dxfId="2868" priority="386" stopIfTrue="1" operator="equal">
      <formula>$F$24</formula>
    </cfRule>
  </conditionalFormatting>
  <conditionalFormatting sqref="G25">
    <cfRule type="cellIs" dxfId="2867" priority="340" stopIfTrue="1" operator="equal">
      <formula>$F$25</formula>
    </cfRule>
    <cfRule type="cellIs" dxfId="2866" priority="341" stopIfTrue="1" operator="lessThan">
      <formula>$F$25</formula>
    </cfRule>
  </conditionalFormatting>
  <conditionalFormatting sqref="G26">
    <cfRule type="cellIs" dxfId="2865" priority="342" stopIfTrue="1" operator="equal">
      <formula>$F$26</formula>
    </cfRule>
    <cfRule type="cellIs" dxfId="2864" priority="343" stopIfTrue="1" operator="lessThan">
      <formula>$F$26</formula>
    </cfRule>
  </conditionalFormatting>
  <conditionalFormatting sqref="G27">
    <cfRule type="cellIs" dxfId="2863" priority="344" stopIfTrue="1" operator="equal">
      <formula>$F$27</formula>
    </cfRule>
    <cfRule type="cellIs" dxfId="2862" priority="345" stopIfTrue="1" operator="lessThan">
      <formula>$F$27</formula>
    </cfRule>
  </conditionalFormatting>
  <conditionalFormatting sqref="G28">
    <cfRule type="cellIs" dxfId="2861" priority="347" stopIfTrue="1" operator="lessThan">
      <formula>$F$28</formula>
    </cfRule>
    <cfRule type="cellIs" dxfId="2860" priority="346" stopIfTrue="1" operator="equal">
      <formula>$F$28</formula>
    </cfRule>
  </conditionalFormatting>
  <conditionalFormatting sqref="G29">
    <cfRule type="cellIs" dxfId="2859" priority="463" stopIfTrue="1" operator="lessThan">
      <formula>$F$29</formula>
    </cfRule>
    <cfRule type="cellIs" dxfId="2858" priority="462" stopIfTrue="1" operator="equal">
      <formula>$F$29</formula>
    </cfRule>
  </conditionalFormatting>
  <conditionalFormatting sqref="H4">
    <cfRule type="cellIs" dxfId="2857" priority="111" stopIfTrue="1" operator="lessThan">
      <formula>$G$4</formula>
    </cfRule>
    <cfRule type="cellIs" dxfId="2856" priority="112" stopIfTrue="1" operator="equal">
      <formula>$G$4</formula>
    </cfRule>
  </conditionalFormatting>
  <conditionalFormatting sqref="H5">
    <cfRule type="cellIs" dxfId="2855" priority="116" stopIfTrue="1" operator="lessThan">
      <formula>$G$5</formula>
    </cfRule>
    <cfRule type="cellIs" dxfId="2854" priority="115" stopIfTrue="1" operator="equal">
      <formula>$G$5</formula>
    </cfRule>
  </conditionalFormatting>
  <conditionalFormatting sqref="H6">
    <cfRule type="cellIs" dxfId="2853" priority="142" stopIfTrue="1" operator="equal">
      <formula>$G$6</formula>
    </cfRule>
    <cfRule type="cellIs" dxfId="2852" priority="143" stopIfTrue="1" operator="lessThan">
      <formula>$G$6</formula>
    </cfRule>
  </conditionalFormatting>
  <conditionalFormatting sqref="H7">
    <cfRule type="cellIs" dxfId="2851" priority="154" stopIfTrue="1" operator="equal">
      <formula>$G$7</formula>
    </cfRule>
    <cfRule type="cellIs" dxfId="2850" priority="155" stopIfTrue="1" operator="lessThan">
      <formula>$G$7</formula>
    </cfRule>
  </conditionalFormatting>
  <conditionalFormatting sqref="H8">
    <cfRule type="cellIs" dxfId="2849" priority="169" stopIfTrue="1" operator="lessThan">
      <formula>$G$8</formula>
    </cfRule>
    <cfRule type="cellIs" dxfId="2848" priority="168" stopIfTrue="1" operator="equal">
      <formula>$G$8</formula>
    </cfRule>
  </conditionalFormatting>
  <conditionalFormatting sqref="H9">
    <cfRule type="cellIs" dxfId="2847" priority="183" stopIfTrue="1" operator="lessThan">
      <formula>$G$9</formula>
    </cfRule>
    <cfRule type="cellIs" dxfId="2846" priority="182" stopIfTrue="1" operator="equal">
      <formula>$G$9</formula>
    </cfRule>
  </conditionalFormatting>
  <conditionalFormatting sqref="H10">
    <cfRule type="cellIs" dxfId="2845" priority="197" stopIfTrue="1" operator="lessThan">
      <formula>$G$10</formula>
    </cfRule>
    <cfRule type="cellIs" dxfId="2844" priority="196" stopIfTrue="1" operator="equal">
      <formula>$G$10</formula>
    </cfRule>
  </conditionalFormatting>
  <conditionalFormatting sqref="H11">
    <cfRule type="cellIs" dxfId="2843" priority="211" stopIfTrue="1" operator="lessThan">
      <formula>$G$11</formula>
    </cfRule>
    <cfRule type="cellIs" dxfId="2842" priority="210" stopIfTrue="1" operator="equal">
      <formula>$G$11</formula>
    </cfRule>
  </conditionalFormatting>
  <conditionalFormatting sqref="H12">
    <cfRule type="cellIs" dxfId="2841" priority="224" stopIfTrue="1" operator="equal">
      <formula>$G$12</formula>
    </cfRule>
    <cfRule type="cellIs" dxfId="2840" priority="225" stopIfTrue="1" operator="lessThan">
      <formula>$G$12</formula>
    </cfRule>
  </conditionalFormatting>
  <conditionalFormatting sqref="H13">
    <cfRule type="cellIs" dxfId="2839" priority="350" stopIfTrue="1" operator="equal">
      <formula>$G$13</formula>
    </cfRule>
    <cfRule type="cellIs" dxfId="2838" priority="351" stopIfTrue="1" operator="lessThan">
      <formula>$G$13</formula>
    </cfRule>
  </conditionalFormatting>
  <conditionalFormatting sqref="H14">
    <cfRule type="cellIs" dxfId="2837" priority="352" stopIfTrue="1" operator="equal">
      <formula>$G$14</formula>
    </cfRule>
    <cfRule type="cellIs" dxfId="2836" priority="353" stopIfTrue="1" operator="lessThan">
      <formula>$G$14</formula>
    </cfRule>
  </conditionalFormatting>
  <conditionalFormatting sqref="H15">
    <cfRule type="cellIs" dxfId="2835" priority="355" stopIfTrue="1" operator="lessThan">
      <formula>$G$15</formula>
    </cfRule>
    <cfRule type="cellIs" dxfId="2834" priority="354" stopIfTrue="1" operator="equal">
      <formula>$G$15</formula>
    </cfRule>
  </conditionalFormatting>
  <conditionalFormatting sqref="H16">
    <cfRule type="cellIs" dxfId="2833" priority="356" stopIfTrue="1" operator="equal">
      <formula>$G$16</formula>
    </cfRule>
    <cfRule type="cellIs" dxfId="2832" priority="357" stopIfTrue="1" operator="lessThan">
      <formula>$G$16</formula>
    </cfRule>
  </conditionalFormatting>
  <conditionalFormatting sqref="H17">
    <cfRule type="cellIs" dxfId="2831" priority="358" stopIfTrue="1" operator="equal">
      <formula>$G$17</formula>
    </cfRule>
    <cfRule type="cellIs" dxfId="2830" priority="359" stopIfTrue="1" operator="lessThan">
      <formula>$G$17</formula>
    </cfRule>
  </conditionalFormatting>
  <conditionalFormatting sqref="H18">
    <cfRule type="cellIs" dxfId="2829" priority="360" stopIfTrue="1" operator="equal">
      <formula>$G$18</formula>
    </cfRule>
    <cfRule type="cellIs" dxfId="2828" priority="361" stopIfTrue="1" operator="lessThan">
      <formula>$G$18</formula>
    </cfRule>
  </conditionalFormatting>
  <conditionalFormatting sqref="H19">
    <cfRule type="cellIs" dxfId="2827" priority="363" stopIfTrue="1" operator="lessThan">
      <formula>$G$19</formula>
    </cfRule>
    <cfRule type="cellIs" dxfId="2826" priority="362" stopIfTrue="1" operator="equal">
      <formula>$G$19</formula>
    </cfRule>
  </conditionalFormatting>
  <conditionalFormatting sqref="H20">
    <cfRule type="cellIs" dxfId="2825" priority="364" stopIfTrue="1" operator="equal">
      <formula>$G$20</formula>
    </cfRule>
    <cfRule type="cellIs" dxfId="2824" priority="365" stopIfTrue="1" operator="lessThan">
      <formula>$G$20</formula>
    </cfRule>
  </conditionalFormatting>
  <conditionalFormatting sqref="H21">
    <cfRule type="cellIs" dxfId="2823" priority="366" stopIfTrue="1" operator="equal">
      <formula>$G$21</formula>
    </cfRule>
    <cfRule type="cellIs" dxfId="2822" priority="367" stopIfTrue="1" operator="lessThan">
      <formula>$G$21</formula>
    </cfRule>
  </conditionalFormatting>
  <conditionalFormatting sqref="H22">
    <cfRule type="cellIs" dxfId="2821" priority="369" stopIfTrue="1" operator="lessThan">
      <formula>$G$22</formula>
    </cfRule>
    <cfRule type="cellIs" dxfId="2820" priority="368" stopIfTrue="1" operator="equal">
      <formula>$G$22</formula>
    </cfRule>
  </conditionalFormatting>
  <conditionalFormatting sqref="H23">
    <cfRule type="cellIs" dxfId="2819" priority="371" stopIfTrue="1" operator="lessThan">
      <formula>$G$23</formula>
    </cfRule>
    <cfRule type="cellIs" dxfId="2818" priority="370" stopIfTrue="1" operator="equal">
      <formula>$G$23</formula>
    </cfRule>
  </conditionalFormatting>
  <conditionalFormatting sqref="H24">
    <cfRule type="cellIs" dxfId="2817" priority="389" stopIfTrue="1" operator="lessThan">
      <formula>$G$24</formula>
    </cfRule>
    <cfRule type="cellIs" dxfId="2816" priority="388" stopIfTrue="1" operator="equal">
      <formula>$G$24</formula>
    </cfRule>
  </conditionalFormatting>
  <conditionalFormatting sqref="H25">
    <cfRule type="cellIs" dxfId="2815" priority="372" stopIfTrue="1" operator="equal">
      <formula>$G$25</formula>
    </cfRule>
    <cfRule type="cellIs" dxfId="2814" priority="373" stopIfTrue="1" operator="lessThan">
      <formula>$G$25</formula>
    </cfRule>
  </conditionalFormatting>
  <conditionalFormatting sqref="H26">
    <cfRule type="cellIs" dxfId="2813" priority="375" stopIfTrue="1" operator="lessThan">
      <formula>$G$26</formula>
    </cfRule>
    <cfRule type="cellIs" dxfId="2812" priority="374" stopIfTrue="1" operator="equal">
      <formula>$G$26</formula>
    </cfRule>
  </conditionalFormatting>
  <conditionalFormatting sqref="H27">
    <cfRule type="cellIs" dxfId="2811" priority="376" stopIfTrue="1" operator="equal">
      <formula>$G$27</formula>
    </cfRule>
    <cfRule type="cellIs" dxfId="2810" priority="377" stopIfTrue="1" operator="lessThan">
      <formula>$G$27</formula>
    </cfRule>
  </conditionalFormatting>
  <conditionalFormatting sqref="H28">
    <cfRule type="cellIs" dxfId="2809" priority="379" stopIfTrue="1" operator="lessThan">
      <formula>$G$28</formula>
    </cfRule>
    <cfRule type="cellIs" dxfId="2808" priority="378" stopIfTrue="1" operator="equal">
      <formula>$G$28</formula>
    </cfRule>
  </conditionalFormatting>
  <conditionalFormatting sqref="H29">
    <cfRule type="cellIs" dxfId="2807" priority="464" stopIfTrue="1" operator="equal">
      <formula>$G$29</formula>
    </cfRule>
    <cfRule type="cellIs" dxfId="2806" priority="465" stopIfTrue="1" operator="lessThan">
      <formula>$G$29</formula>
    </cfRule>
  </conditionalFormatting>
  <conditionalFormatting sqref="I4">
    <cfRule type="cellIs" dxfId="2805" priority="131" stopIfTrue="1" operator="equal">
      <formula>$H$4</formula>
    </cfRule>
  </conditionalFormatting>
  <conditionalFormatting sqref="I5">
    <cfRule type="cellIs" dxfId="2804" priority="117" stopIfTrue="1" operator="equal">
      <formula>$H$5</formula>
    </cfRule>
    <cfRule type="cellIs" dxfId="2803" priority="118" stopIfTrue="1" operator="lessThan">
      <formula>$H$5</formula>
    </cfRule>
  </conditionalFormatting>
  <conditionalFormatting sqref="I6">
    <cfRule type="cellIs" dxfId="2802" priority="145" stopIfTrue="1" operator="lessThan">
      <formula>$H$6</formula>
    </cfRule>
    <cfRule type="cellIs" dxfId="2801" priority="144" stopIfTrue="1" operator="equal">
      <formula>$H$6</formula>
    </cfRule>
  </conditionalFormatting>
  <conditionalFormatting sqref="I7">
    <cfRule type="cellIs" dxfId="2800" priority="157" stopIfTrue="1" operator="lessThan">
      <formula>$H$7</formula>
    </cfRule>
    <cfRule type="cellIs" dxfId="2799" priority="156" stopIfTrue="1" operator="equal">
      <formula>$H$7</formula>
    </cfRule>
  </conditionalFormatting>
  <conditionalFormatting sqref="I8">
    <cfRule type="cellIs" dxfId="2798" priority="171" stopIfTrue="1" operator="lessThan">
      <formula>$H$8</formula>
    </cfRule>
    <cfRule type="cellIs" dxfId="2797" priority="170" stopIfTrue="1" operator="equal">
      <formula>$H$8</formula>
    </cfRule>
  </conditionalFormatting>
  <conditionalFormatting sqref="I9">
    <cfRule type="cellIs" dxfId="2796" priority="184" stopIfTrue="1" operator="equal">
      <formula>$H$9</formula>
    </cfRule>
    <cfRule type="cellIs" dxfId="2795" priority="185" stopIfTrue="1" operator="lessThan">
      <formula>$H$9</formula>
    </cfRule>
  </conditionalFormatting>
  <conditionalFormatting sqref="I10">
    <cfRule type="cellIs" dxfId="2794" priority="198" stopIfTrue="1" operator="equal">
      <formula>$H$10</formula>
    </cfRule>
    <cfRule type="cellIs" dxfId="2793" priority="199" stopIfTrue="1" operator="lessThan">
      <formula>$H$10</formula>
    </cfRule>
  </conditionalFormatting>
  <conditionalFormatting sqref="I11">
    <cfRule type="cellIs" dxfId="2792" priority="213" stopIfTrue="1" operator="lessThan">
      <formula>$H$11</formula>
    </cfRule>
    <cfRule type="cellIs" dxfId="2791" priority="212" stopIfTrue="1" operator="equal">
      <formula>$H$11</formula>
    </cfRule>
  </conditionalFormatting>
  <conditionalFormatting sqref="I12">
    <cfRule type="cellIs" dxfId="2790" priority="227" stopIfTrue="1" operator="lessThan">
      <formula>$H$12</formula>
    </cfRule>
    <cfRule type="cellIs" dxfId="2789" priority="226" stopIfTrue="1" operator="equal">
      <formula>$H$12</formula>
    </cfRule>
  </conditionalFormatting>
  <conditionalFormatting sqref="I13">
    <cfRule type="cellIs" dxfId="2788" priority="395" stopIfTrue="1" operator="equal">
      <formula>$H$13</formula>
    </cfRule>
    <cfRule type="cellIs" dxfId="2787" priority="396" stopIfTrue="1" operator="lessThan">
      <formula>$H$13</formula>
    </cfRule>
  </conditionalFormatting>
  <conditionalFormatting sqref="I14">
    <cfRule type="cellIs" dxfId="2786" priority="397" stopIfTrue="1" operator="equal">
      <formula>$H$14</formula>
    </cfRule>
    <cfRule type="cellIs" dxfId="2785" priority="398" stopIfTrue="1" operator="lessThan">
      <formula>$H$14</formula>
    </cfRule>
  </conditionalFormatting>
  <conditionalFormatting sqref="I15">
    <cfRule type="cellIs" dxfId="2784" priority="399" stopIfTrue="1" operator="equal">
      <formula>$H$15</formula>
    </cfRule>
    <cfRule type="cellIs" dxfId="2783" priority="400" stopIfTrue="1" operator="lessThan">
      <formula>$H$15</formula>
    </cfRule>
  </conditionalFormatting>
  <conditionalFormatting sqref="I16">
    <cfRule type="cellIs" dxfId="2782" priority="401" stopIfTrue="1" operator="equal">
      <formula>$H$16</formula>
    </cfRule>
    <cfRule type="cellIs" dxfId="2781" priority="402" stopIfTrue="1" operator="lessThan">
      <formula>$H$16</formula>
    </cfRule>
  </conditionalFormatting>
  <conditionalFormatting sqref="I17">
    <cfRule type="cellIs" dxfId="2780" priority="403" stopIfTrue="1" operator="equal">
      <formula>$H$17</formula>
    </cfRule>
    <cfRule type="cellIs" dxfId="2779" priority="404" stopIfTrue="1" operator="lessThan">
      <formula>$H$17</formula>
    </cfRule>
  </conditionalFormatting>
  <conditionalFormatting sqref="I18">
    <cfRule type="cellIs" dxfId="2778" priority="406" stopIfTrue="1" operator="lessThan">
      <formula>$H$18</formula>
    </cfRule>
    <cfRule type="cellIs" dxfId="2777" priority="405" stopIfTrue="1" operator="equal">
      <formula>$H$18</formula>
    </cfRule>
  </conditionalFormatting>
  <conditionalFormatting sqref="I19">
    <cfRule type="cellIs" dxfId="2776" priority="408" stopIfTrue="1" operator="lessThan">
      <formula>$H$19</formula>
    </cfRule>
    <cfRule type="cellIs" dxfId="2775" priority="407" stopIfTrue="1" operator="equal">
      <formula>$H$19</formula>
    </cfRule>
  </conditionalFormatting>
  <conditionalFormatting sqref="I20">
    <cfRule type="cellIs" dxfId="2774" priority="410" stopIfTrue="1" operator="lessThan">
      <formula>$H$20</formula>
    </cfRule>
    <cfRule type="cellIs" dxfId="2773" priority="409" stopIfTrue="1" operator="equal">
      <formula>$H$20</formula>
    </cfRule>
  </conditionalFormatting>
  <conditionalFormatting sqref="I21">
    <cfRule type="cellIs" dxfId="2772" priority="411" stopIfTrue="1" operator="equal">
      <formula>$H$21</formula>
    </cfRule>
    <cfRule type="cellIs" dxfId="2771" priority="412" stopIfTrue="1" operator="lessThan">
      <formula>$H$21</formula>
    </cfRule>
  </conditionalFormatting>
  <conditionalFormatting sqref="I22">
    <cfRule type="cellIs" dxfId="2770" priority="414" stopIfTrue="1" operator="lessThan">
      <formula>$H$22</formula>
    </cfRule>
    <cfRule type="cellIs" dxfId="2769" priority="413" stopIfTrue="1" operator="equal">
      <formula>$H$22</formula>
    </cfRule>
  </conditionalFormatting>
  <conditionalFormatting sqref="I23">
    <cfRule type="cellIs" dxfId="2768" priority="415" stopIfTrue="1" operator="equal">
      <formula>$H$23</formula>
    </cfRule>
    <cfRule type="cellIs" dxfId="2767" priority="416" stopIfTrue="1" operator="lessThan">
      <formula>$H$23</formula>
    </cfRule>
  </conditionalFormatting>
  <conditionalFormatting sqref="I24">
    <cfRule type="cellIs" dxfId="2766" priority="418" stopIfTrue="1" operator="lessThan">
      <formula>$H$24</formula>
    </cfRule>
    <cfRule type="cellIs" dxfId="2765" priority="417" stopIfTrue="1" operator="equal">
      <formula>$H$24</formula>
    </cfRule>
  </conditionalFormatting>
  <conditionalFormatting sqref="I25">
    <cfRule type="cellIs" dxfId="2764" priority="420" stopIfTrue="1" operator="lessThan">
      <formula>$H$25</formula>
    </cfRule>
    <cfRule type="cellIs" dxfId="2763" priority="419" stopIfTrue="1" operator="equal">
      <formula>$H$25</formula>
    </cfRule>
  </conditionalFormatting>
  <conditionalFormatting sqref="I26">
    <cfRule type="cellIs" dxfId="2762" priority="422" stopIfTrue="1" operator="lessThan">
      <formula>$H$26</formula>
    </cfRule>
    <cfRule type="cellIs" dxfId="2761" priority="421" stopIfTrue="1" operator="equal">
      <formula>$H$26</formula>
    </cfRule>
  </conditionalFormatting>
  <conditionalFormatting sqref="I27">
    <cfRule type="cellIs" dxfId="2760" priority="423" stopIfTrue="1" operator="equal">
      <formula>$H$27</formula>
    </cfRule>
    <cfRule type="cellIs" dxfId="2759" priority="424" stopIfTrue="1" operator="lessThan">
      <formula>$H$27</formula>
    </cfRule>
  </conditionalFormatting>
  <conditionalFormatting sqref="I28">
    <cfRule type="cellIs" dxfId="2758" priority="427" stopIfTrue="1" operator="lessThan">
      <formula>$H$28</formula>
    </cfRule>
    <cfRule type="cellIs" dxfId="2757" priority="426" stopIfTrue="1" operator="equal">
      <formula>$H$28</formula>
    </cfRule>
  </conditionalFormatting>
  <conditionalFormatting sqref="I29">
    <cfRule type="cellIs" dxfId="2756" priority="108" stopIfTrue="1" operator="lessThan">
      <formula>$H$29</formula>
    </cfRule>
    <cfRule type="cellIs" dxfId="2755" priority="107" stopIfTrue="1" operator="equal">
      <formula>$H$29</formula>
    </cfRule>
  </conditionalFormatting>
  <conditionalFormatting sqref="J4">
    <cfRule type="cellIs" dxfId="2754" priority="132" stopIfTrue="1" operator="lessThan">
      <formula>$I$4</formula>
    </cfRule>
    <cfRule type="cellIs" dxfId="2753" priority="133" stopIfTrue="1" operator="equal">
      <formula>$I$4</formula>
    </cfRule>
  </conditionalFormatting>
  <conditionalFormatting sqref="J5">
    <cfRule type="cellIs" dxfId="2752" priority="119" stopIfTrue="1" operator="equal">
      <formula>$I$5</formula>
    </cfRule>
    <cfRule type="cellIs" dxfId="2751" priority="120" stopIfTrue="1" operator="lessThan">
      <formula>$I$5</formula>
    </cfRule>
  </conditionalFormatting>
  <conditionalFormatting sqref="J6">
    <cfRule type="cellIs" dxfId="2750" priority="146" stopIfTrue="1" operator="equal">
      <formula>$I$6</formula>
    </cfRule>
    <cfRule type="cellIs" dxfId="2749" priority="147" stopIfTrue="1" operator="lessThan">
      <formula>$I$6</formula>
    </cfRule>
  </conditionalFormatting>
  <conditionalFormatting sqref="J7">
    <cfRule type="cellIs" dxfId="2748" priority="159" stopIfTrue="1" operator="lessThan">
      <formula>$I$7</formula>
    </cfRule>
    <cfRule type="cellIs" dxfId="2747" priority="158" stopIfTrue="1" operator="equal">
      <formula>$I$7</formula>
    </cfRule>
  </conditionalFormatting>
  <conditionalFormatting sqref="J8">
    <cfRule type="cellIs" dxfId="2746" priority="172" stopIfTrue="1" operator="equal">
      <formula>$I$8</formula>
    </cfRule>
    <cfRule type="cellIs" dxfId="2745" priority="173" stopIfTrue="1" operator="lessThan">
      <formula>$I$8</formula>
    </cfRule>
  </conditionalFormatting>
  <conditionalFormatting sqref="J9">
    <cfRule type="cellIs" dxfId="2744" priority="187" stopIfTrue="1" operator="lessThan">
      <formula>$I$9</formula>
    </cfRule>
    <cfRule type="cellIs" dxfId="2743" priority="186" stopIfTrue="1" operator="equal">
      <formula>$I$9</formula>
    </cfRule>
  </conditionalFormatting>
  <conditionalFormatting sqref="J10">
    <cfRule type="cellIs" dxfId="2742" priority="200" stopIfTrue="1" operator="equal">
      <formula>$I$10</formula>
    </cfRule>
    <cfRule type="cellIs" dxfId="2741" priority="201" stopIfTrue="1" operator="lessThan">
      <formula>$I$10</formula>
    </cfRule>
  </conditionalFormatting>
  <conditionalFormatting sqref="J11">
    <cfRule type="cellIs" dxfId="2740" priority="215" stopIfTrue="1" operator="lessThan">
      <formula>$I$11</formula>
    </cfRule>
    <cfRule type="cellIs" dxfId="2739" priority="214" stopIfTrue="1" operator="equal">
      <formula>$I$11</formula>
    </cfRule>
  </conditionalFormatting>
  <conditionalFormatting sqref="J12">
    <cfRule type="cellIs" dxfId="2738" priority="228" stopIfTrue="1" operator="equal">
      <formula>$I$12</formula>
    </cfRule>
    <cfRule type="cellIs" dxfId="2737" priority="229" stopIfTrue="1" operator="lessThan">
      <formula>$I$12</formula>
    </cfRule>
  </conditionalFormatting>
  <conditionalFormatting sqref="J13">
    <cfRule type="cellIs" dxfId="2736" priority="428" stopIfTrue="1" operator="equal">
      <formula>$I$13</formula>
    </cfRule>
    <cfRule type="cellIs" dxfId="2735" priority="429" stopIfTrue="1" operator="lessThan">
      <formula>$I$13</formula>
    </cfRule>
  </conditionalFormatting>
  <conditionalFormatting sqref="J14">
    <cfRule type="cellIs" dxfId="2734" priority="430" stopIfTrue="1" operator="equal">
      <formula>$I$14</formula>
    </cfRule>
    <cfRule type="cellIs" dxfId="2733" priority="431" stopIfTrue="1" operator="lessThan">
      <formula>$I$14</formula>
    </cfRule>
  </conditionalFormatting>
  <conditionalFormatting sqref="J15">
    <cfRule type="cellIs" dxfId="2732" priority="432" stopIfTrue="1" operator="equal">
      <formula>$I$15</formula>
    </cfRule>
    <cfRule type="cellIs" dxfId="2731" priority="433" stopIfTrue="1" operator="lessThan">
      <formula>$I$15</formula>
    </cfRule>
  </conditionalFormatting>
  <conditionalFormatting sqref="J16">
    <cfRule type="cellIs" dxfId="2730" priority="434" stopIfTrue="1" operator="equal">
      <formula>$I$16</formula>
    </cfRule>
    <cfRule type="cellIs" dxfId="2729" priority="435" stopIfTrue="1" operator="lessThan">
      <formula>$I$16</formula>
    </cfRule>
  </conditionalFormatting>
  <conditionalFormatting sqref="J17">
    <cfRule type="cellIs" dxfId="2728" priority="436" stopIfTrue="1" operator="equal">
      <formula>$I$17</formula>
    </cfRule>
    <cfRule type="cellIs" dxfId="2727" priority="437" stopIfTrue="1" operator="lessThan">
      <formula>$I$17</formula>
    </cfRule>
  </conditionalFormatting>
  <conditionalFormatting sqref="J18">
    <cfRule type="cellIs" dxfId="2726" priority="438" stopIfTrue="1" operator="equal">
      <formula>$I$18</formula>
    </cfRule>
    <cfRule type="cellIs" dxfId="2725" priority="439" stopIfTrue="1" operator="lessThan">
      <formula>$I$18</formula>
    </cfRule>
  </conditionalFormatting>
  <conditionalFormatting sqref="J19">
    <cfRule type="cellIs" dxfId="2724" priority="440" stopIfTrue="1" operator="equal">
      <formula>$I$19</formula>
    </cfRule>
    <cfRule type="cellIs" dxfId="2723" priority="441" stopIfTrue="1" operator="lessThan">
      <formula>$I$19</formula>
    </cfRule>
  </conditionalFormatting>
  <conditionalFormatting sqref="J20">
    <cfRule type="cellIs" dxfId="2722" priority="443" stopIfTrue="1" operator="lessThan">
      <formula>$I$20</formula>
    </cfRule>
    <cfRule type="cellIs" dxfId="2721" priority="442" stopIfTrue="1" operator="equal">
      <formula>$I$20</formula>
    </cfRule>
  </conditionalFormatting>
  <conditionalFormatting sqref="J21">
    <cfRule type="cellIs" dxfId="2720" priority="444" stopIfTrue="1" operator="equal">
      <formula>$I$21</formula>
    </cfRule>
    <cfRule type="cellIs" dxfId="2719" priority="445" stopIfTrue="1" operator="lessThan">
      <formula>$I$21</formula>
    </cfRule>
  </conditionalFormatting>
  <conditionalFormatting sqref="J22">
    <cfRule type="cellIs" dxfId="2718" priority="447" stopIfTrue="1" operator="lessThan">
      <formula>$I$22</formula>
    </cfRule>
    <cfRule type="cellIs" dxfId="2717" priority="446" stopIfTrue="1" operator="equal">
      <formula>$I$22</formula>
    </cfRule>
  </conditionalFormatting>
  <conditionalFormatting sqref="J23">
    <cfRule type="cellIs" dxfId="2716" priority="449" stopIfTrue="1" operator="lessThan">
      <formula>$I$23</formula>
    </cfRule>
    <cfRule type="cellIs" dxfId="2715" priority="448" stopIfTrue="1" operator="equal">
      <formula>$I$23</formula>
    </cfRule>
  </conditionalFormatting>
  <conditionalFormatting sqref="J24">
    <cfRule type="cellIs" dxfId="2714" priority="450" stopIfTrue="1" operator="equal">
      <formula>$I$24</formula>
    </cfRule>
    <cfRule type="cellIs" dxfId="2713" priority="451" stopIfTrue="1" operator="lessThan">
      <formula>$I$24</formula>
    </cfRule>
  </conditionalFormatting>
  <conditionalFormatting sqref="J25">
    <cfRule type="cellIs" dxfId="2712" priority="452" stopIfTrue="1" operator="equal">
      <formula>$I$25</formula>
    </cfRule>
    <cfRule type="cellIs" dxfId="2711" priority="453" stopIfTrue="1" operator="lessThan">
      <formula>$I$25</formula>
    </cfRule>
  </conditionalFormatting>
  <conditionalFormatting sqref="J26">
    <cfRule type="cellIs" dxfId="2710" priority="455" stopIfTrue="1" operator="lessThan">
      <formula>$I$26</formula>
    </cfRule>
    <cfRule type="cellIs" dxfId="2709" priority="454" stopIfTrue="1" operator="equal">
      <formula>$I$26</formula>
    </cfRule>
  </conditionalFormatting>
  <conditionalFormatting sqref="J27">
    <cfRule type="cellIs" dxfId="2708" priority="456" stopIfTrue="1" operator="equal">
      <formula>$I$27</formula>
    </cfRule>
    <cfRule type="cellIs" dxfId="2707" priority="457" stopIfTrue="1" operator="lessThan">
      <formula>$I$27</formula>
    </cfRule>
  </conditionalFormatting>
  <conditionalFormatting sqref="J28">
    <cfRule type="cellIs" dxfId="2706" priority="458" stopIfTrue="1" operator="equal">
      <formula>$I$28</formula>
    </cfRule>
    <cfRule type="cellIs" dxfId="2705" priority="459" stopIfTrue="1" operator="lessThan">
      <formula>$I$28</formula>
    </cfRule>
  </conditionalFormatting>
  <conditionalFormatting sqref="J29">
    <cfRule type="cellIs" dxfId="2704" priority="110" stopIfTrue="1" operator="lessThan">
      <formula>$I$29</formula>
    </cfRule>
    <cfRule type="cellIs" dxfId="2703" priority="109" stopIfTrue="1" operator="equal">
      <formula>$I$29</formula>
    </cfRule>
  </conditionalFormatting>
  <conditionalFormatting sqref="K4">
    <cfRule type="cellIs" dxfId="2702" priority="466" stopIfTrue="1" operator="equal">
      <formula>$J$4</formula>
    </cfRule>
    <cfRule type="cellIs" dxfId="2701" priority="467" stopIfTrue="1" operator="lessThan">
      <formula>$J$4</formula>
    </cfRule>
  </conditionalFormatting>
  <conditionalFormatting sqref="K5">
    <cfRule type="cellIs" dxfId="2700" priority="469" stopIfTrue="1" operator="lessThan">
      <formula>$J$5</formula>
    </cfRule>
    <cfRule type="cellIs" dxfId="2699" priority="468" stopIfTrue="1" operator="equal">
      <formula>$J$5</formula>
    </cfRule>
  </conditionalFormatting>
  <conditionalFormatting sqref="K6">
    <cfRule type="cellIs" dxfId="2698" priority="471" stopIfTrue="1" operator="lessThan">
      <formula>$J$6</formula>
    </cfRule>
    <cfRule type="cellIs" dxfId="2697" priority="470" stopIfTrue="1" operator="equal">
      <formula>$J$6</formula>
    </cfRule>
  </conditionalFormatting>
  <conditionalFormatting sqref="K7">
    <cfRule type="cellIs" dxfId="2696" priority="472" stopIfTrue="1" operator="equal">
      <formula>$J$7</formula>
    </cfRule>
    <cfRule type="cellIs" dxfId="2695" priority="473" stopIfTrue="1" operator="lessThan">
      <formula>$J$7</formula>
    </cfRule>
  </conditionalFormatting>
  <conditionalFormatting sqref="K8">
    <cfRule type="cellIs" dxfId="2694" priority="474" stopIfTrue="1" operator="equal">
      <formula>$J$8</formula>
    </cfRule>
    <cfRule type="cellIs" dxfId="2693" priority="475" stopIfTrue="1" operator="lessThan">
      <formula>$J$8</formula>
    </cfRule>
  </conditionalFormatting>
  <conditionalFormatting sqref="K9">
    <cfRule type="cellIs" dxfId="2692" priority="476" stopIfTrue="1" operator="equal">
      <formula>$J$9</formula>
    </cfRule>
    <cfRule type="cellIs" dxfId="2691" priority="477" stopIfTrue="1" operator="lessThan">
      <formula>$J$9</formula>
    </cfRule>
  </conditionalFormatting>
  <conditionalFormatting sqref="K10">
    <cfRule type="cellIs" dxfId="2690" priority="478" stopIfTrue="1" operator="equal">
      <formula>$J$10</formula>
    </cfRule>
    <cfRule type="cellIs" dxfId="2689" priority="479" stopIfTrue="1" operator="lessThan">
      <formula>$J$10</formula>
    </cfRule>
  </conditionalFormatting>
  <conditionalFormatting sqref="K11">
    <cfRule type="cellIs" dxfId="2688" priority="480" stopIfTrue="1" operator="equal">
      <formula>$J$11</formula>
    </cfRule>
    <cfRule type="cellIs" dxfId="2687" priority="481" stopIfTrue="1" operator="lessThan">
      <formula>$J$11</formula>
    </cfRule>
  </conditionalFormatting>
  <conditionalFormatting sqref="K12">
    <cfRule type="cellIs" dxfId="2686" priority="482" stopIfTrue="1" operator="equal">
      <formula>$J$12</formula>
    </cfRule>
    <cfRule type="cellIs" dxfId="2685" priority="483" stopIfTrue="1" operator="lessThan">
      <formula>$J$12</formula>
    </cfRule>
  </conditionalFormatting>
  <conditionalFormatting sqref="K13">
    <cfRule type="cellIs" dxfId="2684" priority="484" stopIfTrue="1" operator="equal">
      <formula>$J$13</formula>
    </cfRule>
    <cfRule type="cellIs" dxfId="2683" priority="485" stopIfTrue="1" operator="lessThan">
      <formula>$J$13</formula>
    </cfRule>
  </conditionalFormatting>
  <conditionalFormatting sqref="K14">
    <cfRule type="cellIs" dxfId="2682" priority="486" stopIfTrue="1" operator="equal">
      <formula>$J$14</formula>
    </cfRule>
    <cfRule type="cellIs" dxfId="2681" priority="487" stopIfTrue="1" operator="lessThan">
      <formula>$J$14</formula>
    </cfRule>
  </conditionalFormatting>
  <conditionalFormatting sqref="K15">
    <cfRule type="cellIs" dxfId="2680" priority="488" stopIfTrue="1" operator="equal">
      <formula>$J$15</formula>
    </cfRule>
    <cfRule type="cellIs" dxfId="2679" priority="489" stopIfTrue="1" operator="lessThan">
      <formula>$J$15</formula>
    </cfRule>
  </conditionalFormatting>
  <conditionalFormatting sqref="K16">
    <cfRule type="cellIs" dxfId="2678" priority="490" stopIfTrue="1" operator="equal">
      <formula>$J$16</formula>
    </cfRule>
    <cfRule type="cellIs" dxfId="2677" priority="491" stopIfTrue="1" operator="lessThan">
      <formula>$J$16</formula>
    </cfRule>
  </conditionalFormatting>
  <conditionalFormatting sqref="K17">
    <cfRule type="cellIs" dxfId="2676" priority="492" stopIfTrue="1" operator="equal">
      <formula>$J$17</formula>
    </cfRule>
    <cfRule type="cellIs" dxfId="2675" priority="493" stopIfTrue="1" operator="lessThan">
      <formula>$J$17</formula>
    </cfRule>
  </conditionalFormatting>
  <conditionalFormatting sqref="K18">
    <cfRule type="cellIs" dxfId="2674" priority="494" stopIfTrue="1" operator="equal">
      <formula>$J$18</formula>
    </cfRule>
    <cfRule type="cellIs" dxfId="2673" priority="495" stopIfTrue="1" operator="lessThan">
      <formula>$J$18</formula>
    </cfRule>
  </conditionalFormatting>
  <conditionalFormatting sqref="K19">
    <cfRule type="cellIs" dxfId="2672" priority="496" stopIfTrue="1" operator="equal">
      <formula>$J$19</formula>
    </cfRule>
    <cfRule type="cellIs" dxfId="2671" priority="497" stopIfTrue="1" operator="lessThan">
      <formula>$J$19</formula>
    </cfRule>
  </conditionalFormatting>
  <conditionalFormatting sqref="K20">
    <cfRule type="cellIs" dxfId="2670" priority="498" stopIfTrue="1" operator="equal">
      <formula>$J$20</formula>
    </cfRule>
    <cfRule type="cellIs" dxfId="2669" priority="499" stopIfTrue="1" operator="lessThan">
      <formula>$J$20</formula>
    </cfRule>
  </conditionalFormatting>
  <conditionalFormatting sqref="K21">
    <cfRule type="cellIs" dxfId="2668" priority="500" stopIfTrue="1" operator="equal">
      <formula>$J$21</formula>
    </cfRule>
    <cfRule type="cellIs" dxfId="2667" priority="501" stopIfTrue="1" operator="lessThan">
      <formula>$J$21</formula>
    </cfRule>
  </conditionalFormatting>
  <conditionalFormatting sqref="K22">
    <cfRule type="cellIs" dxfId="2666" priority="502" stopIfTrue="1" operator="equal">
      <formula>$J$22</formula>
    </cfRule>
    <cfRule type="cellIs" dxfId="2665" priority="503" stopIfTrue="1" operator="lessThan">
      <formula>$J$22</formula>
    </cfRule>
  </conditionalFormatting>
  <conditionalFormatting sqref="K23">
    <cfRule type="cellIs" dxfId="2664" priority="504" stopIfTrue="1" operator="equal">
      <formula>$J$23</formula>
    </cfRule>
    <cfRule type="cellIs" dxfId="2663" priority="505" stopIfTrue="1" operator="lessThan">
      <formula>$J$23</formula>
    </cfRule>
  </conditionalFormatting>
  <conditionalFormatting sqref="K24">
    <cfRule type="cellIs" dxfId="2662" priority="506" stopIfTrue="1" operator="equal">
      <formula>$J$24</formula>
    </cfRule>
    <cfRule type="cellIs" dxfId="2661" priority="507" stopIfTrue="1" operator="lessThan">
      <formula>$J$24</formula>
    </cfRule>
  </conditionalFormatting>
  <conditionalFormatting sqref="K25">
    <cfRule type="cellIs" dxfId="2660" priority="508" stopIfTrue="1" operator="equal">
      <formula>$J$25</formula>
    </cfRule>
    <cfRule type="cellIs" dxfId="2659" priority="509" stopIfTrue="1" operator="lessThan">
      <formula>$J$25</formula>
    </cfRule>
  </conditionalFormatting>
  <conditionalFormatting sqref="K26">
    <cfRule type="cellIs" dxfId="2658" priority="510" stopIfTrue="1" operator="equal">
      <formula>$J$26</formula>
    </cfRule>
    <cfRule type="cellIs" dxfId="2657" priority="511" stopIfTrue="1" operator="lessThan">
      <formula>$J$26</formula>
    </cfRule>
  </conditionalFormatting>
  <conditionalFormatting sqref="K27">
    <cfRule type="cellIs" dxfId="2656" priority="512" stopIfTrue="1" operator="equal">
      <formula>$J$27</formula>
    </cfRule>
    <cfRule type="cellIs" dxfId="2655" priority="513" stopIfTrue="1" operator="lessThan">
      <formula>$J$27</formula>
    </cfRule>
  </conditionalFormatting>
  <conditionalFormatting sqref="K28">
    <cfRule type="cellIs" dxfId="2654" priority="515" stopIfTrue="1" operator="equal">
      <formula>$J$28</formula>
    </cfRule>
    <cfRule type="cellIs" dxfId="2653" priority="514" stopIfTrue="1" operator="lessThan">
      <formula>$J$28</formula>
    </cfRule>
  </conditionalFormatting>
  <conditionalFormatting sqref="K29">
    <cfRule type="cellIs" dxfId="2652" priority="516" stopIfTrue="1" operator="equal">
      <formula>$J$29</formula>
    </cfRule>
    <cfRule type="cellIs" dxfId="2651" priority="517" stopIfTrue="1" operator="lessThan">
      <formula>$J$29</formula>
    </cfRule>
  </conditionalFormatting>
  <conditionalFormatting sqref="L4">
    <cfRule type="cellIs" dxfId="2650" priority="518" stopIfTrue="1" operator="equal">
      <formula>$K$4</formula>
    </cfRule>
    <cfRule type="cellIs" dxfId="2649" priority="519" stopIfTrue="1" operator="lessThan">
      <formula>$K$4</formula>
    </cfRule>
  </conditionalFormatting>
  <conditionalFormatting sqref="L5">
    <cfRule type="cellIs" dxfId="2648" priority="520" stopIfTrue="1" operator="equal">
      <formula>$K$5</formula>
    </cfRule>
    <cfRule type="cellIs" dxfId="2647" priority="521" stopIfTrue="1" operator="lessThan">
      <formula>$K$5</formula>
    </cfRule>
  </conditionalFormatting>
  <conditionalFormatting sqref="L6">
    <cfRule type="cellIs" dxfId="2646" priority="522" stopIfTrue="1" operator="equal">
      <formula>$K$6</formula>
    </cfRule>
    <cfRule type="cellIs" dxfId="2645" priority="523" stopIfTrue="1" operator="lessThan">
      <formula>$K$6</formula>
    </cfRule>
  </conditionalFormatting>
  <conditionalFormatting sqref="L7">
    <cfRule type="cellIs" dxfId="2644" priority="524" stopIfTrue="1" operator="equal">
      <formula>$K$7</formula>
    </cfRule>
    <cfRule type="cellIs" dxfId="2643" priority="525" stopIfTrue="1" operator="lessThan">
      <formula>$K$7</formula>
    </cfRule>
  </conditionalFormatting>
  <conditionalFormatting sqref="L8">
    <cfRule type="cellIs" dxfId="2642" priority="526" stopIfTrue="1" operator="equal">
      <formula>$K$8</formula>
    </cfRule>
    <cfRule type="cellIs" dxfId="2641" priority="527" stopIfTrue="1" operator="lessThan">
      <formula>$K$8</formula>
    </cfRule>
  </conditionalFormatting>
  <conditionalFormatting sqref="L9">
    <cfRule type="cellIs" dxfId="2640" priority="529" stopIfTrue="1" operator="lessThan">
      <formula>$K$9</formula>
    </cfRule>
    <cfRule type="cellIs" dxfId="2639" priority="528" stopIfTrue="1" operator="equal">
      <formula>$K$9</formula>
    </cfRule>
  </conditionalFormatting>
  <conditionalFormatting sqref="L10">
    <cfRule type="cellIs" dxfId="2638" priority="531" stopIfTrue="1" operator="lessThan">
      <formula>$K$10</formula>
    </cfRule>
    <cfRule type="cellIs" dxfId="2637" priority="530" stopIfTrue="1" operator="equal">
      <formula>$K$10</formula>
    </cfRule>
  </conditionalFormatting>
  <conditionalFormatting sqref="L11">
    <cfRule type="cellIs" dxfId="2636" priority="553" stopIfTrue="1" operator="lessThan">
      <formula>$K$11</formula>
    </cfRule>
    <cfRule type="cellIs" dxfId="2635" priority="552" stopIfTrue="1" operator="equal">
      <formula>$K$11</formula>
    </cfRule>
  </conditionalFormatting>
  <conditionalFormatting sqref="L12">
    <cfRule type="cellIs" dxfId="2634" priority="532" stopIfTrue="1" operator="equal">
      <formula>$K$12</formula>
    </cfRule>
    <cfRule type="cellIs" dxfId="2633" priority="533" stopIfTrue="1" operator="lessThan">
      <formula>$K$12</formula>
    </cfRule>
  </conditionalFormatting>
  <conditionalFormatting sqref="L13">
    <cfRule type="cellIs" dxfId="2632" priority="534" stopIfTrue="1" operator="equal">
      <formula>$K$13</formula>
    </cfRule>
    <cfRule type="cellIs" dxfId="2631" priority="535" stopIfTrue="1" operator="lessThan">
      <formula>$K$13</formula>
    </cfRule>
  </conditionalFormatting>
  <conditionalFormatting sqref="L14">
    <cfRule type="cellIs" dxfId="2630" priority="536" stopIfTrue="1" operator="equal">
      <formula>$K$14</formula>
    </cfRule>
    <cfRule type="cellIs" dxfId="2629" priority="537" stopIfTrue="1" operator="lessThan">
      <formula>$K$14</formula>
    </cfRule>
  </conditionalFormatting>
  <conditionalFormatting sqref="L15">
    <cfRule type="cellIs" dxfId="2628" priority="538" stopIfTrue="1" operator="equal">
      <formula>$K$15</formula>
    </cfRule>
    <cfRule type="cellIs" dxfId="2627" priority="539" stopIfTrue="1" operator="lessThan">
      <formula>$K$15</formula>
    </cfRule>
  </conditionalFormatting>
  <conditionalFormatting sqref="L16">
    <cfRule type="cellIs" dxfId="2626" priority="540" stopIfTrue="1" operator="equal">
      <formula>$K$16</formula>
    </cfRule>
    <cfRule type="cellIs" dxfId="2625" priority="541" stopIfTrue="1" operator="lessThan">
      <formula>$K$16</formula>
    </cfRule>
  </conditionalFormatting>
  <conditionalFormatting sqref="L17">
    <cfRule type="cellIs" dxfId="2624" priority="542" stopIfTrue="1" operator="equal">
      <formula>$K$17</formula>
    </cfRule>
    <cfRule type="cellIs" dxfId="2623" priority="543" stopIfTrue="1" operator="lessThan">
      <formula>$K$17</formula>
    </cfRule>
  </conditionalFormatting>
  <conditionalFormatting sqref="L18">
    <cfRule type="cellIs" dxfId="2622" priority="544" stopIfTrue="1" operator="equal">
      <formula>$K$18</formula>
    </cfRule>
    <cfRule type="cellIs" dxfId="2621" priority="545" stopIfTrue="1" operator="lessThan">
      <formula>$K$18</formula>
    </cfRule>
  </conditionalFormatting>
  <conditionalFormatting sqref="L19">
    <cfRule type="cellIs" dxfId="2620" priority="547" stopIfTrue="1" operator="lessThan">
      <formula>$K$19</formula>
    </cfRule>
    <cfRule type="cellIs" dxfId="2619" priority="546" stopIfTrue="1" operator="equal">
      <formula>$K$19</formula>
    </cfRule>
  </conditionalFormatting>
  <conditionalFormatting sqref="L20">
    <cfRule type="cellIs" dxfId="2618" priority="548" stopIfTrue="1" operator="equal">
      <formula>$K$20</formula>
    </cfRule>
    <cfRule type="cellIs" dxfId="2617" priority="549" stopIfTrue="1" operator="lessThan">
      <formula>$K$20</formula>
    </cfRule>
  </conditionalFormatting>
  <conditionalFormatting sqref="L21">
    <cfRule type="cellIs" dxfId="2616" priority="550" stopIfTrue="1" operator="equal">
      <formula>$K$21</formula>
    </cfRule>
    <cfRule type="cellIs" dxfId="2615" priority="551" stopIfTrue="1" operator="lessThan">
      <formula>$K$21</formula>
    </cfRule>
  </conditionalFormatting>
  <conditionalFormatting sqref="L22">
    <cfRule type="cellIs" dxfId="2614" priority="554" stopIfTrue="1" operator="equal">
      <formula>$K$22</formula>
    </cfRule>
    <cfRule type="cellIs" dxfId="2613" priority="555" stopIfTrue="1" operator="lessThan">
      <formula>$K$22</formula>
    </cfRule>
  </conditionalFormatting>
  <conditionalFormatting sqref="L23">
    <cfRule type="cellIs" dxfId="2612" priority="556" stopIfTrue="1" operator="equal">
      <formula>$K$23</formula>
    </cfRule>
    <cfRule type="cellIs" dxfId="2611" priority="557" stopIfTrue="1" operator="lessThan">
      <formula>$K$23</formula>
    </cfRule>
  </conditionalFormatting>
  <conditionalFormatting sqref="L24">
    <cfRule type="cellIs" dxfId="2610" priority="558" stopIfTrue="1" operator="equal">
      <formula>$K$24</formula>
    </cfRule>
    <cfRule type="cellIs" dxfId="2609" priority="559" stopIfTrue="1" operator="lessThan">
      <formula>$K$24</formula>
    </cfRule>
  </conditionalFormatting>
  <conditionalFormatting sqref="L25">
    <cfRule type="cellIs" dxfId="2608" priority="561" stopIfTrue="1" operator="lessThan">
      <formula>$K$25</formula>
    </cfRule>
    <cfRule type="cellIs" dxfId="2607" priority="560" stopIfTrue="1" operator="equal">
      <formula>$K$25</formula>
    </cfRule>
  </conditionalFormatting>
  <conditionalFormatting sqref="L26">
    <cfRule type="cellIs" dxfId="2606" priority="563" stopIfTrue="1" operator="lessThan">
      <formula>$K$26</formula>
    </cfRule>
    <cfRule type="cellIs" dxfId="2605" priority="562" stopIfTrue="1" operator="equal">
      <formula>$K$26</formula>
    </cfRule>
  </conditionalFormatting>
  <conditionalFormatting sqref="L27">
    <cfRule type="cellIs" dxfId="2604" priority="564" stopIfTrue="1" operator="equal">
      <formula>$K$27</formula>
    </cfRule>
    <cfRule type="cellIs" dxfId="2603" priority="565" stopIfTrue="1" operator="lessThan">
      <formula>$K$27</formula>
    </cfRule>
  </conditionalFormatting>
  <conditionalFormatting sqref="L28">
    <cfRule type="cellIs" dxfId="2602" priority="566" stopIfTrue="1" operator="equal">
      <formula>$K$28</formula>
    </cfRule>
    <cfRule type="cellIs" dxfId="2601" priority="567" stopIfTrue="1" operator="lessThan">
      <formula>$K$28</formula>
    </cfRule>
  </conditionalFormatting>
  <conditionalFormatting sqref="L29">
    <cfRule type="cellIs" dxfId="2600" priority="569" stopIfTrue="1" operator="lessThan">
      <formula>$K$29</formula>
    </cfRule>
    <cfRule type="cellIs" dxfId="2599" priority="568" stopIfTrue="1" operator="equal">
      <formula>$K$29</formula>
    </cfRule>
  </conditionalFormatting>
  <conditionalFormatting sqref="M4">
    <cfRule type="cellIs" dxfId="2598" priority="570" stopIfTrue="1" operator="lessThan">
      <formula>$L$4</formula>
    </cfRule>
    <cfRule type="cellIs" dxfId="2597" priority="571" stopIfTrue="1" operator="equal">
      <formula>$L$4</formula>
    </cfRule>
  </conditionalFormatting>
  <conditionalFormatting sqref="M5">
    <cfRule type="cellIs" dxfId="2596" priority="573" stopIfTrue="1" operator="lessThan">
      <formula>$L$5</formula>
    </cfRule>
    <cfRule type="cellIs" dxfId="2595" priority="572" stopIfTrue="1" operator="equal">
      <formula>$L$5</formula>
    </cfRule>
  </conditionalFormatting>
  <conditionalFormatting sqref="M6">
    <cfRule type="cellIs" dxfId="2594" priority="574" stopIfTrue="1" operator="equal">
      <formula>$L$6</formula>
    </cfRule>
    <cfRule type="cellIs" dxfId="2593" priority="575" stopIfTrue="1" operator="lessThan">
      <formula>$L$6</formula>
    </cfRule>
  </conditionalFormatting>
  <conditionalFormatting sqref="M7">
    <cfRule type="cellIs" dxfId="2592" priority="576" stopIfTrue="1" operator="equal">
      <formula>$L$7</formula>
    </cfRule>
    <cfRule type="cellIs" dxfId="2591" priority="577" stopIfTrue="1" operator="lessThan">
      <formula>$L$7</formula>
    </cfRule>
  </conditionalFormatting>
  <conditionalFormatting sqref="M8">
    <cfRule type="cellIs" dxfId="2590" priority="578" stopIfTrue="1" operator="equal">
      <formula>$L$8</formula>
    </cfRule>
    <cfRule type="cellIs" dxfId="2589" priority="579" stopIfTrue="1" operator="lessThan">
      <formula>$L$8</formula>
    </cfRule>
  </conditionalFormatting>
  <conditionalFormatting sqref="M9">
    <cfRule type="cellIs" dxfId="2588" priority="580" stopIfTrue="1" operator="equal">
      <formula>$L$9</formula>
    </cfRule>
    <cfRule type="cellIs" dxfId="2587" priority="581" stopIfTrue="1" operator="lessThan">
      <formula>$L$9</formula>
    </cfRule>
  </conditionalFormatting>
  <conditionalFormatting sqref="M10">
    <cfRule type="cellIs" dxfId="2586" priority="583" stopIfTrue="1" operator="lessThan">
      <formula>$L$10</formula>
    </cfRule>
    <cfRule type="cellIs" dxfId="2585" priority="582" stopIfTrue="1" operator="equal">
      <formula>$L$10</formula>
    </cfRule>
  </conditionalFormatting>
  <conditionalFormatting sqref="M11">
    <cfRule type="cellIs" dxfId="2584" priority="585" stopIfTrue="1" operator="lessThan">
      <formula>$L$11</formula>
    </cfRule>
    <cfRule type="cellIs" dxfId="2583" priority="584" stopIfTrue="1" operator="equal">
      <formula>$L$11</formula>
    </cfRule>
  </conditionalFormatting>
  <conditionalFormatting sqref="M12">
    <cfRule type="cellIs" dxfId="2582" priority="587" stopIfTrue="1" operator="lessThan">
      <formula>$L$12</formula>
    </cfRule>
    <cfRule type="cellIs" dxfId="2581" priority="586" stopIfTrue="1" operator="equal">
      <formula>$L$12</formula>
    </cfRule>
  </conditionalFormatting>
  <conditionalFormatting sqref="M13">
    <cfRule type="cellIs" dxfId="2580" priority="588" stopIfTrue="1" operator="equal">
      <formula>$L$13</formula>
    </cfRule>
    <cfRule type="cellIs" dxfId="2579" priority="589" stopIfTrue="1" operator="lessThan">
      <formula>$L$13</formula>
    </cfRule>
  </conditionalFormatting>
  <conditionalFormatting sqref="M14">
    <cfRule type="cellIs" dxfId="2578" priority="590" stopIfTrue="1" operator="equal">
      <formula>$L$14</formula>
    </cfRule>
    <cfRule type="cellIs" dxfId="2577" priority="591" stopIfTrue="1" operator="lessThan">
      <formula>$L$14</formula>
    </cfRule>
  </conditionalFormatting>
  <conditionalFormatting sqref="M15">
    <cfRule type="cellIs" dxfId="2576" priority="592" stopIfTrue="1" operator="equal">
      <formula>$L$15</formula>
    </cfRule>
    <cfRule type="cellIs" dxfId="2575" priority="593" stopIfTrue="1" operator="lessThan">
      <formula>$L$15</formula>
    </cfRule>
  </conditionalFormatting>
  <conditionalFormatting sqref="M16">
    <cfRule type="cellIs" dxfId="2574" priority="594" stopIfTrue="1" operator="equal">
      <formula>$L$16</formula>
    </cfRule>
    <cfRule type="cellIs" dxfId="2573" priority="595" stopIfTrue="1" operator="lessThan">
      <formula>$L$16</formula>
    </cfRule>
  </conditionalFormatting>
  <conditionalFormatting sqref="M17">
    <cfRule type="cellIs" dxfId="2572" priority="596" stopIfTrue="1" operator="equal">
      <formula>$L$17</formula>
    </cfRule>
    <cfRule type="cellIs" dxfId="2571" priority="597" stopIfTrue="1" operator="lessThan">
      <formula>$L$17</formula>
    </cfRule>
  </conditionalFormatting>
  <conditionalFormatting sqref="M18">
    <cfRule type="cellIs" dxfId="2570" priority="598" stopIfTrue="1" operator="equal">
      <formula>$L$18</formula>
    </cfRule>
    <cfRule type="cellIs" dxfId="2569" priority="599" stopIfTrue="1" operator="lessThan">
      <formula>$L$18</formula>
    </cfRule>
  </conditionalFormatting>
  <conditionalFormatting sqref="M19">
    <cfRule type="cellIs" dxfId="2568" priority="600" stopIfTrue="1" operator="equal">
      <formula>$L$19</formula>
    </cfRule>
    <cfRule type="cellIs" dxfId="2567" priority="601" stopIfTrue="1" operator="lessThan">
      <formula>$L$19</formula>
    </cfRule>
  </conditionalFormatting>
  <conditionalFormatting sqref="M20">
    <cfRule type="cellIs" dxfId="2566" priority="603" stopIfTrue="1" operator="lessThan">
      <formula>$L$20</formula>
    </cfRule>
    <cfRule type="cellIs" dxfId="2565" priority="602" stopIfTrue="1" operator="equal">
      <formula>$L$20</formula>
    </cfRule>
  </conditionalFormatting>
  <conditionalFormatting sqref="M21">
    <cfRule type="cellIs" dxfId="2564" priority="604" stopIfTrue="1" operator="equal">
      <formula>$L$21</formula>
    </cfRule>
    <cfRule type="cellIs" dxfId="2563" priority="605" stopIfTrue="1" operator="lessThan">
      <formula>$L$21</formula>
    </cfRule>
  </conditionalFormatting>
  <conditionalFormatting sqref="M22">
    <cfRule type="cellIs" dxfId="2562" priority="606" stopIfTrue="1" operator="equal">
      <formula>$L$22</formula>
    </cfRule>
    <cfRule type="cellIs" dxfId="2561" priority="607" stopIfTrue="1" operator="lessThan">
      <formula>$L$22</formula>
    </cfRule>
  </conditionalFormatting>
  <conditionalFormatting sqref="M23">
    <cfRule type="cellIs" dxfId="2560" priority="608" stopIfTrue="1" operator="equal">
      <formula>$L$23</formula>
    </cfRule>
    <cfRule type="cellIs" dxfId="2559" priority="609" stopIfTrue="1" operator="lessThan">
      <formula>$L$23</formula>
    </cfRule>
  </conditionalFormatting>
  <conditionalFormatting sqref="M24">
    <cfRule type="cellIs" dxfId="2558" priority="610" stopIfTrue="1" operator="equal">
      <formula>$L$24</formula>
    </cfRule>
    <cfRule type="cellIs" dxfId="2557" priority="611" stopIfTrue="1" operator="lessThan">
      <formula>$L$24</formula>
    </cfRule>
  </conditionalFormatting>
  <conditionalFormatting sqref="M25">
    <cfRule type="cellIs" dxfId="2556" priority="613" stopIfTrue="1" operator="lessThan">
      <formula>$L$25</formula>
    </cfRule>
    <cfRule type="cellIs" dxfId="2555" priority="612" stopIfTrue="1" operator="equal">
      <formula>$L$25</formula>
    </cfRule>
  </conditionalFormatting>
  <conditionalFormatting sqref="M26">
    <cfRule type="cellIs" dxfId="2554" priority="614" stopIfTrue="1" operator="equal">
      <formula>$L$26</formula>
    </cfRule>
    <cfRule type="cellIs" dxfId="2553" priority="615" stopIfTrue="1" operator="lessThan">
      <formula>$L$26</formula>
    </cfRule>
  </conditionalFormatting>
  <conditionalFormatting sqref="M27">
    <cfRule type="cellIs" dxfId="2552" priority="616" stopIfTrue="1" operator="equal">
      <formula>$L$27</formula>
    </cfRule>
    <cfRule type="cellIs" dxfId="2551" priority="617" stopIfTrue="1" operator="lessThan">
      <formula>$L$27</formula>
    </cfRule>
  </conditionalFormatting>
  <conditionalFormatting sqref="M28">
    <cfRule type="cellIs" dxfId="2550" priority="618" stopIfTrue="1" operator="equal">
      <formula>$L$28</formula>
    </cfRule>
    <cfRule type="cellIs" dxfId="2549" priority="619" stopIfTrue="1" operator="lessThan">
      <formula>$L$28</formula>
    </cfRule>
  </conditionalFormatting>
  <conditionalFormatting sqref="M29">
    <cfRule type="cellIs" dxfId="2548" priority="620" stopIfTrue="1" operator="equal">
      <formula>$L$29</formula>
    </cfRule>
    <cfRule type="cellIs" dxfId="2547" priority="621" stopIfTrue="1" operator="lessThan">
      <formula>$L$29</formula>
    </cfRule>
  </conditionalFormatting>
  <conditionalFormatting sqref="N4">
    <cfRule type="cellIs" dxfId="2546" priority="622" stopIfTrue="1" operator="equal">
      <formula>$M$4</formula>
    </cfRule>
    <cfRule type="cellIs" dxfId="2545" priority="623" stopIfTrue="1" operator="lessThan">
      <formula>$M$4</formula>
    </cfRule>
  </conditionalFormatting>
  <conditionalFormatting sqref="N5">
    <cfRule type="cellIs" dxfId="2544" priority="624" stopIfTrue="1" operator="equal">
      <formula>$M$5</formula>
    </cfRule>
    <cfRule type="cellIs" dxfId="2543" priority="625" stopIfTrue="1" operator="lessThan">
      <formula>$M$5</formula>
    </cfRule>
  </conditionalFormatting>
  <conditionalFormatting sqref="N6">
    <cfRule type="cellIs" dxfId="2542" priority="626" stopIfTrue="1" operator="equal">
      <formula>$M$6</formula>
    </cfRule>
    <cfRule type="cellIs" dxfId="2541" priority="627" stopIfTrue="1" operator="lessThan">
      <formula>$M$6</formula>
    </cfRule>
  </conditionalFormatting>
  <conditionalFormatting sqref="N7">
    <cfRule type="cellIs" dxfId="2540" priority="628" stopIfTrue="1" operator="equal">
      <formula>$M$7</formula>
    </cfRule>
    <cfRule type="cellIs" dxfId="2539" priority="629" stopIfTrue="1" operator="lessThan">
      <formula>$M$7</formula>
    </cfRule>
  </conditionalFormatting>
  <conditionalFormatting sqref="N8">
    <cfRule type="cellIs" dxfId="2538" priority="630" stopIfTrue="1" operator="equal">
      <formula>$M$8</formula>
    </cfRule>
    <cfRule type="cellIs" dxfId="2537" priority="631" stopIfTrue="1" operator="lessThan">
      <formula>$M$8</formula>
    </cfRule>
  </conditionalFormatting>
  <conditionalFormatting sqref="N9">
    <cfRule type="cellIs" dxfId="2536" priority="632" stopIfTrue="1" operator="equal">
      <formula>$M$9</formula>
    </cfRule>
    <cfRule type="cellIs" dxfId="2535" priority="633" stopIfTrue="1" operator="lessThan">
      <formula>$M$9</formula>
    </cfRule>
  </conditionalFormatting>
  <conditionalFormatting sqref="N10">
    <cfRule type="cellIs" dxfId="2534" priority="634" stopIfTrue="1" operator="equal">
      <formula>$M$10</formula>
    </cfRule>
    <cfRule type="cellIs" dxfId="2533" priority="635" stopIfTrue="1" operator="lessThan">
      <formula>$M$10</formula>
    </cfRule>
  </conditionalFormatting>
  <conditionalFormatting sqref="N11">
    <cfRule type="cellIs" dxfId="2532" priority="636" stopIfTrue="1" operator="equal">
      <formula>$M$11</formula>
    </cfRule>
    <cfRule type="cellIs" dxfId="2531" priority="637" stopIfTrue="1" operator="lessThan">
      <formula>$M$11</formula>
    </cfRule>
  </conditionalFormatting>
  <conditionalFormatting sqref="N12">
    <cfRule type="cellIs" dxfId="2530" priority="638" stopIfTrue="1" operator="equal">
      <formula>$M$12</formula>
    </cfRule>
    <cfRule type="cellIs" dxfId="2529" priority="639" stopIfTrue="1" operator="lessThan">
      <formula>$M$12</formula>
    </cfRule>
  </conditionalFormatting>
  <conditionalFormatting sqref="N13">
    <cfRule type="cellIs" dxfId="2528" priority="640" stopIfTrue="1" operator="equal">
      <formula>$M$13</formula>
    </cfRule>
    <cfRule type="cellIs" dxfId="2527" priority="641" stopIfTrue="1" operator="lessThan">
      <formula>$M$13</formula>
    </cfRule>
  </conditionalFormatting>
  <conditionalFormatting sqref="N14">
    <cfRule type="cellIs" dxfId="2526" priority="643" stopIfTrue="1" operator="lessThan">
      <formula>$M$14</formula>
    </cfRule>
    <cfRule type="cellIs" dxfId="2525" priority="642" stopIfTrue="1" operator="equal">
      <formula>$M$14</formula>
    </cfRule>
  </conditionalFormatting>
  <conditionalFormatting sqref="N15">
    <cfRule type="cellIs" dxfId="2524" priority="645" stopIfTrue="1" operator="lessThan">
      <formula>$M$15</formula>
    </cfRule>
    <cfRule type="cellIs" dxfId="2523" priority="644" stopIfTrue="1" operator="equal">
      <formula>$M$15</formula>
    </cfRule>
  </conditionalFormatting>
  <conditionalFormatting sqref="N16">
    <cfRule type="cellIs" dxfId="2522" priority="646" stopIfTrue="1" operator="equal">
      <formula>$M$16</formula>
    </cfRule>
    <cfRule type="cellIs" dxfId="2521" priority="647" stopIfTrue="1" operator="lessThan">
      <formula>$M$16</formula>
    </cfRule>
  </conditionalFormatting>
  <conditionalFormatting sqref="N17">
    <cfRule type="cellIs" dxfId="2520" priority="648" stopIfTrue="1" operator="equal">
      <formula>$M$17</formula>
    </cfRule>
    <cfRule type="cellIs" dxfId="2519" priority="649" stopIfTrue="1" operator="lessThan">
      <formula>$M$17</formula>
    </cfRule>
  </conditionalFormatting>
  <conditionalFormatting sqref="N18">
    <cfRule type="cellIs" dxfId="2518" priority="650" stopIfTrue="1" operator="equal">
      <formula>$M$18</formula>
    </cfRule>
    <cfRule type="cellIs" dxfId="2517" priority="651" stopIfTrue="1" operator="lessThan">
      <formula>$M$18</formula>
    </cfRule>
  </conditionalFormatting>
  <conditionalFormatting sqref="N19">
    <cfRule type="cellIs" dxfId="2516" priority="652" stopIfTrue="1" operator="equal">
      <formula>$M$19</formula>
    </cfRule>
    <cfRule type="cellIs" dxfId="2515" priority="653" stopIfTrue="1" operator="lessThan">
      <formula>$M$19</formula>
    </cfRule>
  </conditionalFormatting>
  <conditionalFormatting sqref="N20">
    <cfRule type="cellIs" dxfId="2514" priority="655" stopIfTrue="1" operator="lessThan">
      <formula>$M$20</formula>
    </cfRule>
    <cfRule type="cellIs" dxfId="2513" priority="654" stopIfTrue="1" operator="equal">
      <formula>$M$20</formula>
    </cfRule>
  </conditionalFormatting>
  <conditionalFormatting sqref="N21">
    <cfRule type="cellIs" dxfId="2512" priority="656" stopIfTrue="1" operator="equal">
      <formula>$M$21</formula>
    </cfRule>
    <cfRule type="cellIs" dxfId="2511" priority="657" stopIfTrue="1" operator="lessThan">
      <formula>$M$21</formula>
    </cfRule>
  </conditionalFormatting>
  <conditionalFormatting sqref="N22">
    <cfRule type="cellIs" dxfId="2510" priority="658" stopIfTrue="1" operator="equal">
      <formula>$M$22</formula>
    </cfRule>
    <cfRule type="cellIs" dxfId="2509" priority="659" stopIfTrue="1" operator="lessThan">
      <formula>$M$22</formula>
    </cfRule>
  </conditionalFormatting>
  <conditionalFormatting sqref="N23">
    <cfRule type="cellIs" dxfId="2508" priority="660" stopIfTrue="1" operator="equal">
      <formula>$M$23</formula>
    </cfRule>
    <cfRule type="cellIs" dxfId="2507" priority="661" stopIfTrue="1" operator="lessThan">
      <formula>$M$23</formula>
    </cfRule>
  </conditionalFormatting>
  <conditionalFormatting sqref="N24">
    <cfRule type="cellIs" dxfId="2506" priority="663" stopIfTrue="1" operator="lessThan">
      <formula>$M$24</formula>
    </cfRule>
    <cfRule type="cellIs" dxfId="2505" priority="662" stopIfTrue="1" operator="equal">
      <formula>$M$24</formula>
    </cfRule>
  </conditionalFormatting>
  <conditionalFormatting sqref="N25">
    <cfRule type="cellIs" dxfId="2504" priority="665" stopIfTrue="1" operator="lessThan">
      <formula>$M$25</formula>
    </cfRule>
    <cfRule type="cellIs" dxfId="2503" priority="664" stopIfTrue="1" operator="equal">
      <formula>$M$25</formula>
    </cfRule>
  </conditionalFormatting>
  <conditionalFormatting sqref="N26">
    <cfRule type="cellIs" dxfId="2502" priority="666" stopIfTrue="1" operator="equal">
      <formula>$M$26</formula>
    </cfRule>
    <cfRule type="cellIs" dxfId="2501" priority="667" stopIfTrue="1" operator="lessThan">
      <formula>$M$26</formula>
    </cfRule>
  </conditionalFormatting>
  <conditionalFormatting sqref="N27">
    <cfRule type="cellIs" dxfId="2500" priority="668" stopIfTrue="1" operator="equal">
      <formula>$M$27</formula>
    </cfRule>
    <cfRule type="cellIs" dxfId="2499" priority="669" stopIfTrue="1" operator="lessThan">
      <formula>$M$27</formula>
    </cfRule>
  </conditionalFormatting>
  <conditionalFormatting sqref="N28">
    <cfRule type="cellIs" dxfId="2498" priority="670" stopIfTrue="1" operator="equal">
      <formula>$M$28</formula>
    </cfRule>
    <cfRule type="cellIs" dxfId="2497" priority="671" stopIfTrue="1" operator="lessThan">
      <formula>$M$28</formula>
    </cfRule>
  </conditionalFormatting>
  <conditionalFormatting sqref="N29">
    <cfRule type="cellIs" dxfId="2496" priority="672" stopIfTrue="1" operator="equal">
      <formula>$M$29</formula>
    </cfRule>
    <cfRule type="cellIs" dxfId="2495" priority="673" stopIfTrue="1" operator="lessThan">
      <formula>$M$29</formula>
    </cfRule>
  </conditionalFormatting>
  <conditionalFormatting sqref="O4">
    <cfRule type="cellIs" dxfId="2494" priority="675" stopIfTrue="1" operator="lessThan">
      <formula>$N$4</formula>
    </cfRule>
  </conditionalFormatting>
  <conditionalFormatting sqref="O5">
    <cfRule type="cellIs" dxfId="2493" priority="676" stopIfTrue="1" operator="equal">
      <formula>$N$5</formula>
    </cfRule>
    <cfRule type="cellIs" dxfId="2492" priority="677" stopIfTrue="1" operator="lessThan">
      <formula>$N$5</formula>
    </cfRule>
  </conditionalFormatting>
  <conditionalFormatting sqref="O6">
    <cfRule type="cellIs" dxfId="2491" priority="678" stopIfTrue="1" operator="equal">
      <formula>$N$6</formula>
    </cfRule>
    <cfRule type="cellIs" dxfId="2490" priority="679" stopIfTrue="1" operator="lessThan">
      <formula>$N$6</formula>
    </cfRule>
  </conditionalFormatting>
  <conditionalFormatting sqref="O7">
    <cfRule type="cellIs" dxfId="2489" priority="680" stopIfTrue="1" operator="equal">
      <formula>$N$7</formula>
    </cfRule>
    <cfRule type="cellIs" dxfId="2488" priority="681" stopIfTrue="1" operator="lessThan">
      <formula>$N$7</formula>
    </cfRule>
  </conditionalFormatting>
  <conditionalFormatting sqref="O8">
    <cfRule type="cellIs" dxfId="2487" priority="682" stopIfTrue="1" operator="equal">
      <formula>$N$8</formula>
    </cfRule>
    <cfRule type="cellIs" dxfId="2486" priority="683" stopIfTrue="1" operator="lessThan">
      <formula>$N$8</formula>
    </cfRule>
  </conditionalFormatting>
  <conditionalFormatting sqref="O9">
    <cfRule type="cellIs" dxfId="2485" priority="685" stopIfTrue="1" operator="lessThan">
      <formula>$N$9</formula>
    </cfRule>
    <cfRule type="cellIs" dxfId="2484" priority="684" stopIfTrue="1" operator="equal">
      <formula>$N$9</formula>
    </cfRule>
  </conditionalFormatting>
  <conditionalFormatting sqref="O10">
    <cfRule type="cellIs" dxfId="2483" priority="687" stopIfTrue="1" operator="lessThan">
      <formula>$N$10</formula>
    </cfRule>
    <cfRule type="cellIs" dxfId="2482" priority="686" stopIfTrue="1" operator="equal">
      <formula>$N$10</formula>
    </cfRule>
  </conditionalFormatting>
  <conditionalFormatting sqref="O11">
    <cfRule type="cellIs" dxfId="2481" priority="688" stopIfTrue="1" operator="equal">
      <formula>$N$11</formula>
    </cfRule>
    <cfRule type="cellIs" dxfId="2480" priority="689" stopIfTrue="1" operator="lessThan">
      <formula>$N$11</formula>
    </cfRule>
  </conditionalFormatting>
  <conditionalFormatting sqref="O12">
    <cfRule type="cellIs" dxfId="2479" priority="690" stopIfTrue="1" operator="equal">
      <formula>$N$12</formula>
    </cfRule>
    <cfRule type="cellIs" dxfId="2478" priority="691" stopIfTrue="1" operator="lessThan">
      <formula>$N$12</formula>
    </cfRule>
  </conditionalFormatting>
  <conditionalFormatting sqref="O13">
    <cfRule type="cellIs" dxfId="2477" priority="692" stopIfTrue="1" operator="equal">
      <formula>$N$13</formula>
    </cfRule>
    <cfRule type="cellIs" dxfId="2476" priority="693" stopIfTrue="1" operator="lessThan">
      <formula>$N$13</formula>
    </cfRule>
  </conditionalFormatting>
  <conditionalFormatting sqref="O14">
    <cfRule type="cellIs" dxfId="2475" priority="694" stopIfTrue="1" operator="equal">
      <formula>$N$14</formula>
    </cfRule>
    <cfRule type="cellIs" dxfId="2474" priority="695" stopIfTrue="1" operator="lessThan">
      <formula>$N$14</formula>
    </cfRule>
  </conditionalFormatting>
  <conditionalFormatting sqref="O15">
    <cfRule type="cellIs" dxfId="2473" priority="696" stopIfTrue="1" operator="equal">
      <formula>$N$15</formula>
    </cfRule>
    <cfRule type="cellIs" dxfId="2472" priority="697" stopIfTrue="1" operator="lessThan">
      <formula>$N$15</formula>
    </cfRule>
  </conditionalFormatting>
  <conditionalFormatting sqref="O16">
    <cfRule type="cellIs" dxfId="2471" priority="698" stopIfTrue="1" operator="equal">
      <formula>$N$16</formula>
    </cfRule>
    <cfRule type="cellIs" dxfId="2470" priority="699" stopIfTrue="1" operator="lessThan">
      <formula>$N$16</formula>
    </cfRule>
  </conditionalFormatting>
  <conditionalFormatting sqref="O17">
    <cfRule type="cellIs" dxfId="2469" priority="700" stopIfTrue="1" operator="equal">
      <formula>$N$17</formula>
    </cfRule>
    <cfRule type="cellIs" dxfId="2468" priority="701" stopIfTrue="1" operator="lessThan">
      <formula>$N$17</formula>
    </cfRule>
  </conditionalFormatting>
  <conditionalFormatting sqref="O18">
    <cfRule type="cellIs" dxfId="2467" priority="702" stopIfTrue="1" operator="equal">
      <formula>$N$18</formula>
    </cfRule>
    <cfRule type="cellIs" dxfId="2466" priority="703" stopIfTrue="1" operator="lessThan">
      <formula>$N$18</formula>
    </cfRule>
  </conditionalFormatting>
  <conditionalFormatting sqref="O19">
    <cfRule type="cellIs" dxfId="2465" priority="705" stopIfTrue="1" operator="lessThan">
      <formula>$N$19</formula>
    </cfRule>
    <cfRule type="cellIs" dxfId="2464" priority="704" stopIfTrue="1" operator="equal">
      <formula>$N$19</formula>
    </cfRule>
  </conditionalFormatting>
  <conditionalFormatting sqref="O20">
    <cfRule type="cellIs" dxfId="2463" priority="706" stopIfTrue="1" operator="equal">
      <formula>$N$20</formula>
    </cfRule>
    <cfRule type="cellIs" dxfId="2462" priority="707" stopIfTrue="1" operator="lessThan">
      <formula>$N$20</formula>
    </cfRule>
  </conditionalFormatting>
  <conditionalFormatting sqref="O21">
    <cfRule type="cellIs" dxfId="2461" priority="708" stopIfTrue="1" operator="equal">
      <formula>$N$21</formula>
    </cfRule>
    <cfRule type="cellIs" dxfId="2460" priority="709" stopIfTrue="1" operator="lessThan">
      <formula>$N$21</formula>
    </cfRule>
  </conditionalFormatting>
  <conditionalFormatting sqref="O22">
    <cfRule type="cellIs" dxfId="2459" priority="710" stopIfTrue="1" operator="equal">
      <formula>$N$22</formula>
    </cfRule>
    <cfRule type="cellIs" dxfId="2458" priority="711" stopIfTrue="1" operator="lessThan">
      <formula>$N$22</formula>
    </cfRule>
  </conditionalFormatting>
  <conditionalFormatting sqref="O23">
    <cfRule type="cellIs" dxfId="2457" priority="712" stopIfTrue="1" operator="equal">
      <formula>$N$23</formula>
    </cfRule>
    <cfRule type="cellIs" dxfId="2456" priority="713" stopIfTrue="1" operator="lessThan">
      <formula>$N$23</formula>
    </cfRule>
  </conditionalFormatting>
  <conditionalFormatting sqref="O24">
    <cfRule type="cellIs" dxfId="2455" priority="714" stopIfTrue="1" operator="equal">
      <formula>$N$24</formula>
    </cfRule>
    <cfRule type="cellIs" dxfId="2454" priority="715" stopIfTrue="1" operator="lessThan">
      <formula>$N$24</formula>
    </cfRule>
  </conditionalFormatting>
  <conditionalFormatting sqref="O25">
    <cfRule type="cellIs" dxfId="2453" priority="716" stopIfTrue="1" operator="equal">
      <formula>$N$25</formula>
    </cfRule>
    <cfRule type="cellIs" dxfId="2452" priority="717" stopIfTrue="1" operator="lessThan">
      <formula>$N$25</formula>
    </cfRule>
  </conditionalFormatting>
  <conditionalFormatting sqref="O26">
    <cfRule type="cellIs" dxfId="2451" priority="718" stopIfTrue="1" operator="equal">
      <formula>$N$26</formula>
    </cfRule>
    <cfRule type="cellIs" dxfId="2450" priority="719" stopIfTrue="1" operator="lessThan">
      <formula>$N$26</formula>
    </cfRule>
  </conditionalFormatting>
  <conditionalFormatting sqref="O27">
    <cfRule type="cellIs" dxfId="2449" priority="720" stopIfTrue="1" operator="equal">
      <formula>$N$27</formula>
    </cfRule>
    <cfRule type="cellIs" dxfId="2448" priority="721" stopIfTrue="1" operator="lessThan">
      <formula>$N$27</formula>
    </cfRule>
  </conditionalFormatting>
  <conditionalFormatting sqref="O28">
    <cfRule type="cellIs" dxfId="2447" priority="722" stopIfTrue="1" operator="equal">
      <formula>$N$28</formula>
    </cfRule>
    <cfRule type="cellIs" dxfId="2446" priority="723" stopIfTrue="1" operator="lessThan">
      <formula>$N$28</formula>
    </cfRule>
  </conditionalFormatting>
  <conditionalFormatting sqref="O29">
    <cfRule type="cellIs" dxfId="2445" priority="725" stopIfTrue="1" operator="lessThan">
      <formula>$N$29</formula>
    </cfRule>
    <cfRule type="cellIs" dxfId="2444" priority="724" stopIfTrue="1" operator="equal">
      <formula>$N$29</formula>
    </cfRule>
  </conditionalFormatting>
  <conditionalFormatting sqref="U4:AF33">
    <cfRule type="cellIs" dxfId="2443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scale="97" firstPageNumber="0" orientation="landscape" r:id="rId1"/>
  <headerFooter alignWithMargins="0"/>
  <colBreaks count="1" manualBreakCount="1">
    <brk id="1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42"/>
  <sheetViews>
    <sheetView workbookViewId="0">
      <selection activeCell="S22" sqref="S22"/>
    </sheetView>
  </sheetViews>
  <sheetFormatPr defaultRowHeight="14.5" x14ac:dyDescent="0.35"/>
  <cols>
    <col min="1" max="1" width="8.54296875" customWidth="1"/>
    <col min="2" max="2" width="26.1796875" customWidth="1"/>
    <col min="3" max="15" width="10.1796875" customWidth="1"/>
    <col min="16" max="16" width="9.54296875" customWidth="1"/>
    <col min="17" max="17" width="9.81640625" bestFit="1" customWidth="1"/>
    <col min="18" max="18" width="9.26953125" bestFit="1" customWidth="1"/>
    <col min="19" max="19" width="4" customWidth="1"/>
  </cols>
  <sheetData>
    <row r="1" spans="1:32" ht="15" thickBot="1" x14ac:dyDescent="0.4"/>
    <row r="2" spans="1:32" s="1" customFormat="1" ht="21" customHeight="1" thickBot="1" x14ac:dyDescent="0.55000000000000004">
      <c r="A2" s="114">
        <v>1854</v>
      </c>
      <c r="B2" s="2"/>
      <c r="C2" s="3">
        <f>'1850'!C2</f>
        <v>44927</v>
      </c>
      <c r="D2" s="3">
        <f>'1850'!D2</f>
        <v>44958</v>
      </c>
      <c r="E2" s="3">
        <f>'1850'!E2</f>
        <v>44986</v>
      </c>
      <c r="F2" s="3">
        <f>'1850'!F2</f>
        <v>45017</v>
      </c>
      <c r="G2" s="3">
        <f>'1850'!G2</f>
        <v>45047</v>
      </c>
      <c r="H2" s="3">
        <f>'1850'!H2</f>
        <v>45078</v>
      </c>
      <c r="I2" s="3">
        <f>'1850'!I2</f>
        <v>45111</v>
      </c>
      <c r="J2" s="3">
        <f>'1850'!J2</f>
        <v>45139</v>
      </c>
      <c r="K2" s="3">
        <f>'1850'!K2</f>
        <v>45170</v>
      </c>
      <c r="L2" s="3">
        <f>'1850'!L2</f>
        <v>45201</v>
      </c>
      <c r="M2" s="3">
        <f>'1850'!M2</f>
        <v>45231</v>
      </c>
      <c r="N2" s="3">
        <f>'1850'!N2</f>
        <v>45261</v>
      </c>
      <c r="O2" s="3">
        <f>'1850'!O2</f>
        <v>45292</v>
      </c>
      <c r="P2" s="1" t="s">
        <v>0</v>
      </c>
      <c r="Q2" s="1" t="s">
        <v>1</v>
      </c>
      <c r="R2" s="1" t="s">
        <v>29</v>
      </c>
      <c r="U2" s="144"/>
      <c r="V2" s="145"/>
      <c r="W2" s="145"/>
      <c r="X2" s="145"/>
      <c r="Y2" s="145" t="s">
        <v>213</v>
      </c>
      <c r="Z2" s="145"/>
      <c r="AA2" s="145"/>
      <c r="AB2" s="145"/>
      <c r="AC2" s="145"/>
      <c r="AD2" s="145"/>
      <c r="AE2" s="145"/>
      <c r="AF2" s="149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96</v>
      </c>
      <c r="Q3" s="1" t="s">
        <v>95</v>
      </c>
      <c r="R3" s="1" t="s">
        <v>97</v>
      </c>
      <c r="T3" s="1" t="s">
        <v>212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79">
        <v>1</v>
      </c>
      <c r="B4" s="6" t="s">
        <v>170</v>
      </c>
      <c r="C4" s="7">
        <v>270.75200000000001</v>
      </c>
      <c r="D4" s="7">
        <v>278.30500000000001</v>
      </c>
      <c r="E4" s="7">
        <v>283.33800000000002</v>
      </c>
      <c r="F4" s="7">
        <v>290.447</v>
      </c>
      <c r="G4" s="7">
        <v>296.596</v>
      </c>
      <c r="H4" s="7">
        <v>303.23500000000001</v>
      </c>
      <c r="I4" s="7">
        <v>309.78899999999999</v>
      </c>
      <c r="J4" s="7">
        <v>313.44600000000003</v>
      </c>
      <c r="K4" s="7">
        <v>317.06200000000001</v>
      </c>
      <c r="L4" s="8">
        <v>319.255</v>
      </c>
      <c r="M4" s="7">
        <v>321.22699999999998</v>
      </c>
      <c r="N4" s="7">
        <v>323.15300000000002</v>
      </c>
      <c r="O4" s="7">
        <v>325.99599999999998</v>
      </c>
      <c r="P4" s="9">
        <f>O4-C4</f>
        <v>55.243999999999971</v>
      </c>
      <c r="T4" s="1">
        <v>1</v>
      </c>
      <c r="U4" s="146">
        <f t="shared" ref="U4:AF4" si="0">D4-C4</f>
        <v>7.5529999999999973</v>
      </c>
      <c r="V4" s="146">
        <f t="shared" si="0"/>
        <v>5.0330000000000155</v>
      </c>
      <c r="W4" s="146">
        <f t="shared" si="0"/>
        <v>7.1089999999999804</v>
      </c>
      <c r="X4" s="146">
        <f t="shared" si="0"/>
        <v>6.1490000000000009</v>
      </c>
      <c r="Y4" s="146">
        <f t="shared" si="0"/>
        <v>6.63900000000001</v>
      </c>
      <c r="Z4" s="146">
        <f t="shared" si="0"/>
        <v>6.5539999999999736</v>
      </c>
      <c r="AA4" s="146">
        <f t="shared" si="0"/>
        <v>3.6570000000000391</v>
      </c>
      <c r="AB4" s="146">
        <f t="shared" si="0"/>
        <v>3.6159999999999854</v>
      </c>
      <c r="AC4" s="146">
        <f t="shared" si="0"/>
        <v>2.1929999999999836</v>
      </c>
      <c r="AD4" s="146">
        <f t="shared" si="0"/>
        <v>1.97199999999998</v>
      </c>
      <c r="AE4" s="146">
        <f t="shared" si="0"/>
        <v>1.9260000000000446</v>
      </c>
      <c r="AF4" s="146">
        <f t="shared" si="0"/>
        <v>2.8429999999999609</v>
      </c>
    </row>
    <row r="5" spans="1:32" x14ac:dyDescent="0.35">
      <c r="A5" s="279"/>
      <c r="B5" s="10" t="s">
        <v>362</v>
      </c>
      <c r="C5" s="11">
        <v>29.809000000000001</v>
      </c>
      <c r="D5" s="11">
        <v>33.750999999999998</v>
      </c>
      <c r="E5" s="11">
        <v>37.203000000000003</v>
      </c>
      <c r="F5" s="11">
        <v>40.164999999999999</v>
      </c>
      <c r="G5" s="11">
        <v>42.253</v>
      </c>
      <c r="H5" s="11">
        <v>42.912999999999997</v>
      </c>
      <c r="I5" s="11">
        <v>43.320999999999998</v>
      </c>
      <c r="J5" s="11">
        <v>43.531999999999996</v>
      </c>
      <c r="K5" s="11">
        <v>43.747999999999998</v>
      </c>
      <c r="L5" s="12">
        <v>43.942999999999998</v>
      </c>
      <c r="M5" s="11">
        <v>44.615000000000002</v>
      </c>
      <c r="N5" s="11">
        <v>46.908999999999999</v>
      </c>
      <c r="O5" s="11">
        <v>50.515000000000001</v>
      </c>
      <c r="P5" s="9"/>
      <c r="Q5" s="9">
        <f>O5-C5</f>
        <v>20.706</v>
      </c>
      <c r="T5" s="1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</row>
    <row r="6" spans="1:32" x14ac:dyDescent="0.35">
      <c r="A6" s="280">
        <v>2</v>
      </c>
      <c r="B6" s="10" t="s">
        <v>171</v>
      </c>
      <c r="C6" s="11">
        <v>199.44499999999999</v>
      </c>
      <c r="D6" s="11">
        <v>204.18799999999999</v>
      </c>
      <c r="E6" s="11">
        <v>209.84800000000001</v>
      </c>
      <c r="F6" s="11">
        <v>216.10499999999999</v>
      </c>
      <c r="G6" s="11">
        <v>222.37299999999999</v>
      </c>
      <c r="H6" s="11">
        <v>227.65600000000001</v>
      </c>
      <c r="I6" s="11">
        <v>234.185</v>
      </c>
      <c r="J6" s="11">
        <v>238.31299999999999</v>
      </c>
      <c r="K6" s="11">
        <v>244.12799999999999</v>
      </c>
      <c r="L6" s="11">
        <v>251.386</v>
      </c>
      <c r="M6" s="11">
        <v>256.54599999999999</v>
      </c>
      <c r="N6" s="11">
        <v>262.20299999999997</v>
      </c>
      <c r="O6" s="11">
        <v>266.56599999999997</v>
      </c>
      <c r="P6" s="9">
        <f>O6-C6</f>
        <v>67.120999999999981</v>
      </c>
      <c r="T6" s="1">
        <v>2</v>
      </c>
      <c r="U6" s="148">
        <f t="shared" ref="U6:AF6" si="1">D6-C6</f>
        <v>4.742999999999995</v>
      </c>
      <c r="V6" s="148">
        <f t="shared" si="1"/>
        <v>5.660000000000025</v>
      </c>
      <c r="W6" s="148">
        <f t="shared" si="1"/>
        <v>6.2569999999999766</v>
      </c>
      <c r="X6" s="148">
        <f t="shared" si="1"/>
        <v>6.2680000000000007</v>
      </c>
      <c r="Y6" s="148">
        <f t="shared" si="1"/>
        <v>5.2830000000000155</v>
      </c>
      <c r="Z6" s="148">
        <f t="shared" si="1"/>
        <v>6.5289999999999964</v>
      </c>
      <c r="AA6" s="148">
        <f t="shared" si="1"/>
        <v>4.1279999999999859</v>
      </c>
      <c r="AB6" s="148">
        <f t="shared" si="1"/>
        <v>5.8149999999999977</v>
      </c>
      <c r="AC6" s="148">
        <f t="shared" si="1"/>
        <v>7.2580000000000098</v>
      </c>
      <c r="AD6" s="148">
        <f t="shared" si="1"/>
        <v>5.1599999999999966</v>
      </c>
      <c r="AE6" s="148">
        <f t="shared" si="1"/>
        <v>5.6569999999999823</v>
      </c>
      <c r="AF6" s="148">
        <f t="shared" si="1"/>
        <v>4.3629999999999995</v>
      </c>
    </row>
    <row r="7" spans="1:32" x14ac:dyDescent="0.35">
      <c r="A7" s="280"/>
      <c r="B7" s="10" t="s">
        <v>363</v>
      </c>
      <c r="C7" s="11">
        <v>40.552999999999997</v>
      </c>
      <c r="D7" s="11">
        <v>45.847999999999999</v>
      </c>
      <c r="E7" s="11">
        <v>51.463000000000001</v>
      </c>
      <c r="F7" s="11">
        <v>55.966999999999999</v>
      </c>
      <c r="G7" s="11">
        <v>59.521999999999998</v>
      </c>
      <c r="H7" s="11">
        <v>60.911000000000001</v>
      </c>
      <c r="I7" s="11">
        <v>61.493000000000002</v>
      </c>
      <c r="J7" s="11">
        <v>61.796999999999997</v>
      </c>
      <c r="K7" s="11">
        <v>62.180999999999997</v>
      </c>
      <c r="L7" s="11">
        <v>62.701999999999998</v>
      </c>
      <c r="M7" s="11">
        <v>63.262</v>
      </c>
      <c r="N7" s="11">
        <v>67.245999999999995</v>
      </c>
      <c r="O7" s="11">
        <v>72.397000000000006</v>
      </c>
      <c r="P7" s="9"/>
      <c r="Q7" s="9">
        <f t="shared" ref="Q7" si="2">O7-C7</f>
        <v>31.844000000000008</v>
      </c>
      <c r="T7" s="1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</row>
    <row r="8" spans="1:32" x14ac:dyDescent="0.35">
      <c r="A8" s="280">
        <v>3</v>
      </c>
      <c r="B8" s="10" t="s">
        <v>172</v>
      </c>
      <c r="C8" s="11">
        <v>275.92</v>
      </c>
      <c r="D8" s="11">
        <v>282.71199999999999</v>
      </c>
      <c r="E8" s="11">
        <v>288.28199999999998</v>
      </c>
      <c r="F8" s="11">
        <v>294.84699999999998</v>
      </c>
      <c r="G8" s="11">
        <v>301.10399999999998</v>
      </c>
      <c r="H8" s="11">
        <v>307.803</v>
      </c>
      <c r="I8" s="11">
        <v>314.80900000000003</v>
      </c>
      <c r="J8" s="11">
        <v>320.30099999999999</v>
      </c>
      <c r="K8" s="11">
        <v>327.09699999999998</v>
      </c>
      <c r="L8" s="11">
        <v>333.76</v>
      </c>
      <c r="M8" s="11">
        <v>339.02100000000002</v>
      </c>
      <c r="N8" s="11">
        <v>344.04399999999998</v>
      </c>
      <c r="O8" s="11">
        <v>349.84800000000001</v>
      </c>
      <c r="P8" s="9">
        <f>O8-C8</f>
        <v>73.927999999999997</v>
      </c>
      <c r="T8" s="1">
        <v>3</v>
      </c>
      <c r="U8" s="148">
        <f t="shared" ref="U8:AF8" si="3">D8-C8</f>
        <v>6.7919999999999732</v>
      </c>
      <c r="V8" s="148">
        <f t="shared" si="3"/>
        <v>5.5699999999999932</v>
      </c>
      <c r="W8" s="148">
        <f t="shared" si="3"/>
        <v>6.5649999999999977</v>
      </c>
      <c r="X8" s="148">
        <f t="shared" si="3"/>
        <v>6.257000000000005</v>
      </c>
      <c r="Y8" s="148">
        <f t="shared" si="3"/>
        <v>6.6990000000000123</v>
      </c>
      <c r="Z8" s="148">
        <f t="shared" si="3"/>
        <v>7.0060000000000286</v>
      </c>
      <c r="AA8" s="148">
        <f t="shared" si="3"/>
        <v>5.4919999999999618</v>
      </c>
      <c r="AB8" s="148">
        <f t="shared" si="3"/>
        <v>6.7959999999999923</v>
      </c>
      <c r="AC8" s="148">
        <f t="shared" si="3"/>
        <v>6.6630000000000109</v>
      </c>
      <c r="AD8" s="148">
        <f t="shared" si="3"/>
        <v>5.2610000000000241</v>
      </c>
      <c r="AE8" s="148">
        <f t="shared" si="3"/>
        <v>5.0229999999999677</v>
      </c>
      <c r="AF8" s="148">
        <f t="shared" si="3"/>
        <v>5.8040000000000305</v>
      </c>
    </row>
    <row r="9" spans="1:32" x14ac:dyDescent="0.35">
      <c r="A9" s="280"/>
      <c r="B9" s="10" t="s">
        <v>364</v>
      </c>
      <c r="C9" s="11">
        <v>43.798999999999999</v>
      </c>
      <c r="D9" s="11">
        <v>49.289000000000001</v>
      </c>
      <c r="E9" s="11">
        <v>54.771000000000001</v>
      </c>
      <c r="F9" s="11">
        <v>59.895000000000003</v>
      </c>
      <c r="G9" s="11">
        <v>63.749000000000002</v>
      </c>
      <c r="H9" s="11">
        <v>65.305000000000007</v>
      </c>
      <c r="I9" s="11">
        <v>65.644000000000005</v>
      </c>
      <c r="J9" s="11">
        <v>65.885000000000005</v>
      </c>
      <c r="K9" s="11">
        <v>66.147999999999996</v>
      </c>
      <c r="L9" s="11">
        <v>66.435000000000002</v>
      </c>
      <c r="M9" s="11">
        <v>68.754999999999995</v>
      </c>
      <c r="N9" s="11">
        <v>74.075000000000003</v>
      </c>
      <c r="O9" s="11">
        <v>80.77</v>
      </c>
      <c r="P9" s="9"/>
      <c r="Q9" s="9">
        <f t="shared" ref="Q9" si="4">O9-C9</f>
        <v>36.970999999999997</v>
      </c>
      <c r="T9" s="1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</row>
    <row r="10" spans="1:32" x14ac:dyDescent="0.35">
      <c r="A10" s="280">
        <v>4</v>
      </c>
      <c r="B10" s="10" t="s">
        <v>173</v>
      </c>
      <c r="C10" s="11">
        <v>233.49700000000001</v>
      </c>
      <c r="D10" s="11">
        <v>243.261</v>
      </c>
      <c r="E10" s="11">
        <v>252.46700000000001</v>
      </c>
      <c r="F10" s="11">
        <v>261.73500000000001</v>
      </c>
      <c r="G10" s="11">
        <v>269.63299999999998</v>
      </c>
      <c r="H10" s="11">
        <v>276.62599999999998</v>
      </c>
      <c r="I10" s="11">
        <v>287.02300000000002</v>
      </c>
      <c r="J10" s="11">
        <v>294.858</v>
      </c>
      <c r="K10" s="11">
        <v>301.923</v>
      </c>
      <c r="L10" s="11">
        <v>309.71800000000002</v>
      </c>
      <c r="M10" s="11">
        <v>316.41699999999997</v>
      </c>
      <c r="N10" s="11">
        <v>324.40699999999998</v>
      </c>
      <c r="O10" s="11">
        <v>331.89</v>
      </c>
      <c r="P10" s="9">
        <f>O10-C10</f>
        <v>98.392999999999972</v>
      </c>
      <c r="T10" s="1">
        <v>4</v>
      </c>
      <c r="U10" s="148">
        <f t="shared" ref="U10:AF10" si="5">D10-C10</f>
        <v>9.7639999999999816</v>
      </c>
      <c r="V10" s="148">
        <f t="shared" si="5"/>
        <v>9.2060000000000173</v>
      </c>
      <c r="W10" s="148">
        <f t="shared" si="5"/>
        <v>9.2680000000000007</v>
      </c>
      <c r="X10" s="148">
        <f t="shared" si="5"/>
        <v>7.8979999999999677</v>
      </c>
      <c r="Y10" s="148">
        <f t="shared" si="5"/>
        <v>6.992999999999995</v>
      </c>
      <c r="Z10" s="148">
        <f t="shared" si="5"/>
        <v>10.397000000000048</v>
      </c>
      <c r="AA10" s="148">
        <f t="shared" si="5"/>
        <v>7.8349999999999795</v>
      </c>
      <c r="AB10" s="148">
        <f t="shared" si="5"/>
        <v>7.0649999999999977</v>
      </c>
      <c r="AC10" s="148">
        <f t="shared" si="5"/>
        <v>7.7950000000000159</v>
      </c>
      <c r="AD10" s="148">
        <f t="shared" si="5"/>
        <v>6.6989999999999554</v>
      </c>
      <c r="AE10" s="148">
        <f t="shared" si="5"/>
        <v>7.9900000000000091</v>
      </c>
      <c r="AF10" s="148">
        <f t="shared" si="5"/>
        <v>7.4830000000000041</v>
      </c>
    </row>
    <row r="11" spans="1:32" x14ac:dyDescent="0.35">
      <c r="A11" s="280"/>
      <c r="B11" s="10" t="s">
        <v>365</v>
      </c>
      <c r="C11" s="11">
        <v>15.755000000000001</v>
      </c>
      <c r="D11" s="11">
        <v>17.058</v>
      </c>
      <c r="E11" s="11">
        <v>18.029</v>
      </c>
      <c r="F11" s="11">
        <v>18.997</v>
      </c>
      <c r="G11" s="11">
        <v>19.641999999999999</v>
      </c>
      <c r="H11" s="11">
        <v>20.116</v>
      </c>
      <c r="I11" s="11">
        <v>20.635999999999999</v>
      </c>
      <c r="J11" s="11">
        <v>20.99</v>
      </c>
      <c r="K11" s="11">
        <v>21.356999999999999</v>
      </c>
      <c r="L11" s="11">
        <v>21.757000000000001</v>
      </c>
      <c r="M11" s="11">
        <v>22.154</v>
      </c>
      <c r="N11" s="11">
        <v>23.300999999999998</v>
      </c>
      <c r="O11" s="11">
        <v>24.163</v>
      </c>
      <c r="P11" s="9"/>
      <c r="Q11" s="9">
        <f t="shared" ref="Q11" si="6">O11-C11</f>
        <v>8.4079999999999995</v>
      </c>
      <c r="T11" s="1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</row>
    <row r="12" spans="1:32" x14ac:dyDescent="0.35">
      <c r="A12" s="280">
        <v>5</v>
      </c>
      <c r="B12" s="10" t="s">
        <v>423</v>
      </c>
      <c r="C12" s="11">
        <v>0.111</v>
      </c>
      <c r="D12" s="11">
        <v>0.13900000000000001</v>
      </c>
      <c r="E12" s="11">
        <v>0.16500000000000001</v>
      </c>
      <c r="F12" s="11">
        <v>0.26900000000000002</v>
      </c>
      <c r="G12" s="11">
        <v>0.28999999999999998</v>
      </c>
      <c r="H12" s="11">
        <v>0.308</v>
      </c>
      <c r="I12" s="11">
        <v>0.35499999999999998</v>
      </c>
      <c r="J12" s="11">
        <v>0.39100000000000001</v>
      </c>
      <c r="K12" s="11">
        <v>0.436</v>
      </c>
      <c r="L12" s="11">
        <v>0.51100000000000001</v>
      </c>
      <c r="M12" s="11">
        <v>0.55100000000000005</v>
      </c>
      <c r="N12" s="11">
        <v>0.61199999999999999</v>
      </c>
      <c r="O12" s="11">
        <v>0.64300000000000002</v>
      </c>
      <c r="P12" s="9">
        <f>O12-G40+G39-C12</f>
        <v>1.1140000000000001</v>
      </c>
      <c r="T12" s="1">
        <v>5</v>
      </c>
      <c r="U12" s="148">
        <f t="shared" ref="U12:AD12" si="7">D12-C12</f>
        <v>2.8000000000000011E-2</v>
      </c>
      <c r="V12" s="148">
        <f t="shared" si="7"/>
        <v>2.5999999999999995E-2</v>
      </c>
      <c r="W12" s="148">
        <f t="shared" si="7"/>
        <v>0.10400000000000001</v>
      </c>
      <c r="X12" s="148">
        <f t="shared" si="7"/>
        <v>2.0999999999999963E-2</v>
      </c>
      <c r="Y12" s="148">
        <f t="shared" si="7"/>
        <v>1.8000000000000016E-2</v>
      </c>
      <c r="Z12" s="148">
        <f t="shared" si="7"/>
        <v>4.6999999999999986E-2</v>
      </c>
      <c r="AA12" s="148">
        <f t="shared" si="7"/>
        <v>3.6000000000000032E-2</v>
      </c>
      <c r="AB12" s="148">
        <f t="shared" si="7"/>
        <v>4.4999999999999984E-2</v>
      </c>
      <c r="AC12" s="148">
        <f t="shared" si="7"/>
        <v>7.5000000000000011E-2</v>
      </c>
      <c r="AD12" s="148">
        <f t="shared" si="7"/>
        <v>4.0000000000000036E-2</v>
      </c>
      <c r="AE12" s="148">
        <f t="shared" ref="AE12" si="8">N12-M12</f>
        <v>6.0999999999999943E-2</v>
      </c>
      <c r="AF12" s="148">
        <f t="shared" ref="AF12" si="9">O12-N12</f>
        <v>3.1000000000000028E-2</v>
      </c>
    </row>
    <row r="13" spans="1:32" x14ac:dyDescent="0.35">
      <c r="A13" s="280"/>
      <c r="B13" s="10" t="s">
        <v>366</v>
      </c>
      <c r="C13" s="11">
        <v>4.9160000000000004</v>
      </c>
      <c r="D13" s="11">
        <v>6.3140000000000001</v>
      </c>
      <c r="E13" s="11">
        <v>6.66</v>
      </c>
      <c r="F13" s="11">
        <v>6.7050000000000001</v>
      </c>
      <c r="G13" s="11">
        <v>6.7060000000000004</v>
      </c>
      <c r="H13" s="11">
        <v>6.7060000000000004</v>
      </c>
      <c r="I13" s="11">
        <v>6.7060000000000004</v>
      </c>
      <c r="J13" s="11">
        <v>6.7069999999999999</v>
      </c>
      <c r="K13" s="11">
        <v>6.7069999999999999</v>
      </c>
      <c r="L13" s="11">
        <v>6.7069999999999999</v>
      </c>
      <c r="M13" s="11">
        <v>6.7080000000000002</v>
      </c>
      <c r="N13" s="11">
        <v>6.71</v>
      </c>
      <c r="O13" s="11">
        <v>6.71</v>
      </c>
      <c r="P13" s="9"/>
      <c r="Q13" s="9">
        <f t="shared" ref="Q13" si="10">O13-C13</f>
        <v>1.7939999999999996</v>
      </c>
      <c r="T13" s="1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</row>
    <row r="14" spans="1:32" x14ac:dyDescent="0.35">
      <c r="A14" s="280">
        <v>6</v>
      </c>
      <c r="B14" s="10" t="s">
        <v>174</v>
      </c>
      <c r="C14" s="11">
        <v>323.59399999999999</v>
      </c>
      <c r="D14" s="11">
        <v>333.255</v>
      </c>
      <c r="E14" s="11">
        <v>341.20400000000001</v>
      </c>
      <c r="F14" s="11">
        <v>349.12799999999999</v>
      </c>
      <c r="G14" s="11">
        <v>356.45600000000002</v>
      </c>
      <c r="H14" s="11">
        <v>366.00900000000001</v>
      </c>
      <c r="I14" s="11">
        <v>375.72699999999998</v>
      </c>
      <c r="J14" s="11">
        <v>382.63</v>
      </c>
      <c r="K14" s="11">
        <v>390.76100000000002</v>
      </c>
      <c r="L14" s="11">
        <v>400.14299999999997</v>
      </c>
      <c r="M14" s="11">
        <v>406.73200000000003</v>
      </c>
      <c r="N14" s="11">
        <v>416.29199999999997</v>
      </c>
      <c r="O14" s="11">
        <v>424.95100000000002</v>
      </c>
      <c r="P14" s="9">
        <f>O14-C14</f>
        <v>101.35700000000003</v>
      </c>
      <c r="T14" s="1">
        <v>6</v>
      </c>
      <c r="U14" s="148">
        <f t="shared" ref="U14:AF14" si="11">D14-C14</f>
        <v>9.6610000000000014</v>
      </c>
      <c r="V14" s="148">
        <f t="shared" si="11"/>
        <v>7.9490000000000123</v>
      </c>
      <c r="W14" s="148">
        <f t="shared" si="11"/>
        <v>7.9239999999999782</v>
      </c>
      <c r="X14" s="148">
        <f t="shared" si="11"/>
        <v>7.3280000000000314</v>
      </c>
      <c r="Y14" s="148">
        <f t="shared" si="11"/>
        <v>9.5529999999999973</v>
      </c>
      <c r="Z14" s="148">
        <f t="shared" si="11"/>
        <v>9.7179999999999609</v>
      </c>
      <c r="AA14" s="148">
        <f t="shared" si="11"/>
        <v>6.90300000000002</v>
      </c>
      <c r="AB14" s="148">
        <f t="shared" si="11"/>
        <v>8.1310000000000286</v>
      </c>
      <c r="AC14" s="148">
        <f t="shared" si="11"/>
        <v>9.3819999999999482</v>
      </c>
      <c r="AD14" s="148">
        <f t="shared" si="11"/>
        <v>6.5890000000000555</v>
      </c>
      <c r="AE14" s="148">
        <f t="shared" si="11"/>
        <v>9.5599999999999454</v>
      </c>
      <c r="AF14" s="148">
        <f t="shared" si="11"/>
        <v>8.6590000000000487</v>
      </c>
    </row>
    <row r="15" spans="1:32" x14ac:dyDescent="0.35">
      <c r="A15" s="280"/>
      <c r="B15" s="10" t="s">
        <v>367</v>
      </c>
      <c r="C15" s="11">
        <v>12.884</v>
      </c>
      <c r="D15" s="11">
        <v>14.548999999999999</v>
      </c>
      <c r="E15" s="11">
        <v>15.492000000000001</v>
      </c>
      <c r="F15" s="11">
        <v>16.138999999999999</v>
      </c>
      <c r="G15" s="11">
        <v>16.617000000000001</v>
      </c>
      <c r="H15" s="11">
        <v>17.242000000000001</v>
      </c>
      <c r="I15" s="11">
        <v>17.776</v>
      </c>
      <c r="J15" s="11">
        <v>18.102</v>
      </c>
      <c r="K15" s="11">
        <v>18.456</v>
      </c>
      <c r="L15" s="11">
        <v>18.905000000000001</v>
      </c>
      <c r="M15" s="11">
        <v>19.262</v>
      </c>
      <c r="N15" s="11">
        <v>20.303000000000001</v>
      </c>
      <c r="O15" s="11">
        <v>21.9</v>
      </c>
      <c r="P15" s="9"/>
      <c r="Q15" s="9">
        <f t="shared" ref="Q15" si="12">O15-C15</f>
        <v>9.0159999999999982</v>
      </c>
      <c r="T15" s="1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</row>
    <row r="16" spans="1:32" x14ac:dyDescent="0.35">
      <c r="A16" s="280">
        <v>7</v>
      </c>
      <c r="B16" s="10" t="s">
        <v>175</v>
      </c>
      <c r="C16" s="11">
        <v>124.062</v>
      </c>
      <c r="D16" s="11">
        <v>125.40600000000001</v>
      </c>
      <c r="E16" s="11">
        <v>127.03700000000001</v>
      </c>
      <c r="F16" s="11">
        <v>128.54</v>
      </c>
      <c r="G16" s="11">
        <v>129.63800000000001</v>
      </c>
      <c r="H16" s="11">
        <v>131.048</v>
      </c>
      <c r="I16" s="11">
        <v>132.59200000000001</v>
      </c>
      <c r="J16" s="11">
        <v>133.50399999999999</v>
      </c>
      <c r="K16" s="11">
        <v>134.512</v>
      </c>
      <c r="L16" s="11">
        <v>136.53299999999999</v>
      </c>
      <c r="M16" s="11">
        <v>137.857</v>
      </c>
      <c r="N16" s="11">
        <v>139.95099999999999</v>
      </c>
      <c r="O16" s="11">
        <v>141.49199999999999</v>
      </c>
      <c r="P16" s="9">
        <f>O16-C16</f>
        <v>17.429999999999993</v>
      </c>
      <c r="T16" s="1">
        <v>7</v>
      </c>
      <c r="U16" s="148">
        <f t="shared" ref="U16:AF16" si="13">D16-C16</f>
        <v>1.3440000000000083</v>
      </c>
      <c r="V16" s="148">
        <f t="shared" si="13"/>
        <v>1.6310000000000002</v>
      </c>
      <c r="W16" s="148">
        <f t="shared" si="13"/>
        <v>1.5029999999999859</v>
      </c>
      <c r="X16" s="148">
        <f t="shared" si="13"/>
        <v>1.0980000000000132</v>
      </c>
      <c r="Y16" s="148">
        <f t="shared" si="13"/>
        <v>1.4099999999999966</v>
      </c>
      <c r="Z16" s="148">
        <f t="shared" si="13"/>
        <v>1.5440000000000111</v>
      </c>
      <c r="AA16" s="148">
        <f t="shared" si="13"/>
        <v>0.91199999999997772</v>
      </c>
      <c r="AB16" s="148">
        <f t="shared" si="13"/>
        <v>1.0080000000000098</v>
      </c>
      <c r="AC16" s="148">
        <f t="shared" si="13"/>
        <v>2.0209999999999866</v>
      </c>
      <c r="AD16" s="148">
        <f t="shared" si="13"/>
        <v>1.3240000000000123</v>
      </c>
      <c r="AE16" s="148">
        <f t="shared" si="13"/>
        <v>2.0939999999999941</v>
      </c>
      <c r="AF16" s="148">
        <f t="shared" si="13"/>
        <v>1.5409999999999968</v>
      </c>
    </row>
    <row r="17" spans="1:32" x14ac:dyDescent="0.35">
      <c r="A17" s="280"/>
      <c r="B17" s="10" t="s">
        <v>368</v>
      </c>
      <c r="C17" s="11">
        <v>9.0960000000000001</v>
      </c>
      <c r="D17" s="11">
        <v>10.365</v>
      </c>
      <c r="E17" s="11">
        <v>11.266</v>
      </c>
      <c r="F17" s="11">
        <v>11.846</v>
      </c>
      <c r="G17" s="11">
        <v>12.12</v>
      </c>
      <c r="H17" s="11">
        <v>12.426</v>
      </c>
      <c r="I17" s="11">
        <v>12.723000000000001</v>
      </c>
      <c r="J17" s="11">
        <v>12.917999999999999</v>
      </c>
      <c r="K17" s="11">
        <v>13.141</v>
      </c>
      <c r="L17" s="11">
        <v>13.456</v>
      </c>
      <c r="M17" s="11">
        <v>13.726000000000001</v>
      </c>
      <c r="N17" s="11">
        <v>14.37</v>
      </c>
      <c r="O17" s="11">
        <v>15.669</v>
      </c>
      <c r="P17" s="9"/>
      <c r="Q17" s="9">
        <f t="shared" ref="Q17" si="14">O17-C17</f>
        <v>6.5730000000000004</v>
      </c>
      <c r="T17" s="1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x14ac:dyDescent="0.35">
      <c r="A18" s="280">
        <v>8</v>
      </c>
      <c r="B18" s="10" t="s">
        <v>176</v>
      </c>
      <c r="C18" s="11">
        <v>249.7</v>
      </c>
      <c r="D18" s="11">
        <v>255.86799999999999</v>
      </c>
      <c r="E18" s="11">
        <v>261.45299999999997</v>
      </c>
      <c r="F18" s="11">
        <v>268.358</v>
      </c>
      <c r="G18" s="11">
        <v>275.02</v>
      </c>
      <c r="H18" s="11">
        <v>280.983</v>
      </c>
      <c r="I18" s="11">
        <v>288.66500000000002</v>
      </c>
      <c r="J18" s="11">
        <v>294.11099999999999</v>
      </c>
      <c r="K18" s="11">
        <v>300.50700000000001</v>
      </c>
      <c r="L18" s="11">
        <v>306.23700000000002</v>
      </c>
      <c r="M18" s="11">
        <v>311.67</v>
      </c>
      <c r="N18" s="11">
        <v>317.07400000000001</v>
      </c>
      <c r="O18" s="11">
        <v>322.8</v>
      </c>
      <c r="P18" s="9">
        <f>O18-C18</f>
        <v>73.100000000000023</v>
      </c>
      <c r="T18" s="1">
        <v>8</v>
      </c>
      <c r="U18" s="148">
        <f t="shared" ref="U18:AF18" si="15">D18-C18</f>
        <v>6.1680000000000064</v>
      </c>
      <c r="V18" s="148">
        <f t="shared" si="15"/>
        <v>5.5849999999999795</v>
      </c>
      <c r="W18" s="148">
        <f t="shared" si="15"/>
        <v>6.9050000000000296</v>
      </c>
      <c r="X18" s="148">
        <f t="shared" si="15"/>
        <v>6.6619999999999777</v>
      </c>
      <c r="Y18" s="148">
        <f t="shared" si="15"/>
        <v>5.9630000000000223</v>
      </c>
      <c r="Z18" s="148">
        <f t="shared" si="15"/>
        <v>7.6820000000000164</v>
      </c>
      <c r="AA18" s="148">
        <f t="shared" si="15"/>
        <v>5.4459999999999695</v>
      </c>
      <c r="AB18" s="148">
        <f t="shared" si="15"/>
        <v>6.396000000000015</v>
      </c>
      <c r="AC18" s="148">
        <f t="shared" si="15"/>
        <v>5.7300000000000182</v>
      </c>
      <c r="AD18" s="148">
        <f t="shared" si="15"/>
        <v>5.4329999999999927</v>
      </c>
      <c r="AE18" s="148">
        <f t="shared" si="15"/>
        <v>5.4039999999999964</v>
      </c>
      <c r="AF18" s="148">
        <f t="shared" si="15"/>
        <v>5.7259999999999991</v>
      </c>
    </row>
    <row r="19" spans="1:32" x14ac:dyDescent="0.35">
      <c r="A19" s="280"/>
      <c r="B19" s="10" t="s">
        <v>369</v>
      </c>
      <c r="C19" s="11">
        <v>34.484000000000002</v>
      </c>
      <c r="D19" s="11">
        <v>38.238999999999997</v>
      </c>
      <c r="E19" s="11">
        <v>41.835999999999999</v>
      </c>
      <c r="F19" s="11">
        <v>44.737000000000002</v>
      </c>
      <c r="G19" s="11">
        <v>46.825000000000003</v>
      </c>
      <c r="H19" s="11">
        <v>47.128</v>
      </c>
      <c r="I19" s="11">
        <v>47.396000000000001</v>
      </c>
      <c r="J19" s="11">
        <v>47.561999999999998</v>
      </c>
      <c r="K19" s="11">
        <v>47.722999999999999</v>
      </c>
      <c r="L19" s="11">
        <v>47.938000000000002</v>
      </c>
      <c r="M19" s="11">
        <v>48.194000000000003</v>
      </c>
      <c r="N19" s="11">
        <v>52.280999999999999</v>
      </c>
      <c r="O19" s="11">
        <v>57.194000000000003</v>
      </c>
      <c r="P19" s="9"/>
      <c r="Q19" s="9">
        <f t="shared" ref="Q19" si="16">O19-C19</f>
        <v>22.71</v>
      </c>
      <c r="T19" s="1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x14ac:dyDescent="0.35">
      <c r="A20" s="280">
        <v>9</v>
      </c>
      <c r="B20" s="10" t="s">
        <v>177</v>
      </c>
      <c r="C20" s="11">
        <v>473.53399999999999</v>
      </c>
      <c r="D20" s="11">
        <v>485.899</v>
      </c>
      <c r="E20" s="11">
        <v>496.21800000000002</v>
      </c>
      <c r="F20" s="11">
        <v>505.65899999999999</v>
      </c>
      <c r="G20" s="11">
        <v>516.33299999999997</v>
      </c>
      <c r="H20" s="11">
        <v>527.75900000000001</v>
      </c>
      <c r="I20" s="11">
        <v>539.85799999999995</v>
      </c>
      <c r="J20" s="11">
        <v>549.60599999999999</v>
      </c>
      <c r="K20" s="11">
        <v>557.56200000000001</v>
      </c>
      <c r="L20" s="11">
        <v>570.51900000000001</v>
      </c>
      <c r="M20" s="11">
        <v>580.26499999999999</v>
      </c>
      <c r="N20" s="11">
        <v>591.27300000000002</v>
      </c>
      <c r="O20" s="11">
        <v>602.928</v>
      </c>
      <c r="P20" s="9">
        <f>O20-C20</f>
        <v>129.39400000000001</v>
      </c>
      <c r="T20" s="1">
        <v>9</v>
      </c>
      <c r="U20" s="148">
        <f t="shared" ref="U20:AF20" si="17">D20-C20</f>
        <v>12.365000000000009</v>
      </c>
      <c r="V20" s="148">
        <f t="shared" si="17"/>
        <v>10.319000000000017</v>
      </c>
      <c r="W20" s="148">
        <f t="shared" si="17"/>
        <v>9.4409999999999741</v>
      </c>
      <c r="X20" s="148">
        <f t="shared" si="17"/>
        <v>10.673999999999978</v>
      </c>
      <c r="Y20" s="148">
        <f t="shared" si="17"/>
        <v>11.426000000000045</v>
      </c>
      <c r="Z20" s="148">
        <f t="shared" si="17"/>
        <v>12.098999999999933</v>
      </c>
      <c r="AA20" s="148">
        <f t="shared" si="17"/>
        <v>9.7480000000000473</v>
      </c>
      <c r="AB20" s="148">
        <f t="shared" si="17"/>
        <v>7.9560000000000173</v>
      </c>
      <c r="AC20" s="148">
        <f t="shared" si="17"/>
        <v>12.956999999999994</v>
      </c>
      <c r="AD20" s="148">
        <f t="shared" si="17"/>
        <v>9.7459999999999809</v>
      </c>
      <c r="AE20" s="148">
        <f t="shared" si="17"/>
        <v>11.008000000000038</v>
      </c>
      <c r="AF20" s="148">
        <f t="shared" si="17"/>
        <v>11.654999999999973</v>
      </c>
    </row>
    <row r="21" spans="1:32" x14ac:dyDescent="0.35">
      <c r="A21" s="280"/>
      <c r="B21" s="10" t="s">
        <v>370</v>
      </c>
      <c r="C21" s="11">
        <v>40.387</v>
      </c>
      <c r="D21" s="11">
        <v>46.075000000000003</v>
      </c>
      <c r="E21" s="11">
        <v>51.33</v>
      </c>
      <c r="F21" s="11">
        <v>55.985999999999997</v>
      </c>
      <c r="G21" s="11">
        <v>59.17</v>
      </c>
      <c r="H21" s="11">
        <v>59.911000000000001</v>
      </c>
      <c r="I21" s="11">
        <v>60.454999999999998</v>
      </c>
      <c r="J21" s="11">
        <v>60.834000000000003</v>
      </c>
      <c r="K21" s="11">
        <v>61.183999999999997</v>
      </c>
      <c r="L21" s="11">
        <v>61.698999999999998</v>
      </c>
      <c r="M21" s="11">
        <v>62.704000000000001</v>
      </c>
      <c r="N21" s="11">
        <v>66.316999999999993</v>
      </c>
      <c r="O21" s="11">
        <v>71.245000000000005</v>
      </c>
      <c r="P21" s="9"/>
      <c r="Q21" s="9">
        <f t="shared" ref="Q21" si="18">O21-C21</f>
        <v>30.858000000000004</v>
      </c>
      <c r="T21" s="1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35">
      <c r="A22" s="280">
        <v>10</v>
      </c>
      <c r="B22" s="10" t="s">
        <v>178</v>
      </c>
      <c r="C22" s="11">
        <v>0.33700000000000002</v>
      </c>
      <c r="D22" s="11">
        <v>0.33700000000000002</v>
      </c>
      <c r="E22" s="11">
        <v>0.33800000000000002</v>
      </c>
      <c r="F22" s="11">
        <v>0.33800000000000002</v>
      </c>
      <c r="G22" s="11">
        <v>0.33800000000000002</v>
      </c>
      <c r="H22" s="11">
        <v>0.36599999999999999</v>
      </c>
      <c r="I22" s="11">
        <v>0.36599999999999999</v>
      </c>
      <c r="J22" s="11">
        <v>0.36599999999999999</v>
      </c>
      <c r="K22" s="11">
        <v>0.37</v>
      </c>
      <c r="L22" s="11">
        <v>0.379</v>
      </c>
      <c r="M22" s="11">
        <v>0.379</v>
      </c>
      <c r="N22" s="11">
        <v>0.379</v>
      </c>
      <c r="O22" s="11">
        <v>0.38200000000000001</v>
      </c>
      <c r="P22" s="9">
        <f>O22-C22</f>
        <v>4.4999999999999984E-2</v>
      </c>
      <c r="T22" s="1">
        <v>10</v>
      </c>
      <c r="U22" s="148">
        <f t="shared" ref="U22:AF22" si="19">D22-C22</f>
        <v>0</v>
      </c>
      <c r="V22" s="148">
        <f t="shared" si="19"/>
        <v>1.0000000000000009E-3</v>
      </c>
      <c r="W22" s="148">
        <f t="shared" si="19"/>
        <v>0</v>
      </c>
      <c r="X22" s="148">
        <f t="shared" si="19"/>
        <v>0</v>
      </c>
      <c r="Y22" s="148">
        <f t="shared" si="19"/>
        <v>2.7999999999999969E-2</v>
      </c>
      <c r="Z22" s="148">
        <f t="shared" si="19"/>
        <v>0</v>
      </c>
      <c r="AA22" s="148">
        <f t="shared" si="19"/>
        <v>0</v>
      </c>
      <c r="AB22" s="148">
        <f t="shared" si="19"/>
        <v>4.0000000000000036E-3</v>
      </c>
      <c r="AC22" s="148">
        <f t="shared" si="19"/>
        <v>9.000000000000008E-3</v>
      </c>
      <c r="AD22" s="148">
        <f t="shared" si="19"/>
        <v>0</v>
      </c>
      <c r="AE22" s="148">
        <f t="shared" si="19"/>
        <v>0</v>
      </c>
      <c r="AF22" s="148">
        <f t="shared" si="19"/>
        <v>3.0000000000000027E-3</v>
      </c>
    </row>
    <row r="23" spans="1:32" x14ac:dyDescent="0.35">
      <c r="A23" s="280"/>
      <c r="B23" s="10" t="s">
        <v>371</v>
      </c>
      <c r="C23" s="11">
        <v>9.1999999999999998E-2</v>
      </c>
      <c r="D23" s="11">
        <v>9.8000000000000004E-2</v>
      </c>
      <c r="E23" s="11">
        <v>0.106</v>
      </c>
      <c r="F23" s="11">
        <v>0.11799999999999999</v>
      </c>
      <c r="G23" s="11">
        <v>0.128</v>
      </c>
      <c r="H23" s="11">
        <v>0.13400000000000001</v>
      </c>
      <c r="I23" s="11">
        <v>0.13400000000000001</v>
      </c>
      <c r="J23" s="11">
        <v>0.13400000000000001</v>
      </c>
      <c r="K23" s="11">
        <v>0.13400000000000001</v>
      </c>
      <c r="L23" s="11">
        <v>0.13400000000000001</v>
      </c>
      <c r="M23" s="11">
        <v>0.13500000000000001</v>
      </c>
      <c r="N23" s="11">
        <v>0.13600000000000001</v>
      </c>
      <c r="O23" s="11">
        <v>0.13600000000000001</v>
      </c>
      <c r="P23" s="13"/>
      <c r="Q23" s="99">
        <f>O23-C23</f>
        <v>4.4000000000000011E-2</v>
      </c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x14ac:dyDescent="0.35">
      <c r="A24" s="115"/>
      <c r="B24" s="10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617.12599999999986</v>
      </c>
      <c r="Q24" s="9">
        <f>SUM(Q4:Q23)</f>
        <v>168.92400000000004</v>
      </c>
    </row>
    <row r="25" spans="1:32" x14ac:dyDescent="0.35">
      <c r="A25" s="115" t="s">
        <v>15</v>
      </c>
      <c r="B25" s="10" t="s">
        <v>32</v>
      </c>
      <c r="C25" s="15">
        <v>55126</v>
      </c>
      <c r="D25" s="15">
        <v>55322</v>
      </c>
      <c r="E25" s="15">
        <v>55483</v>
      </c>
      <c r="F25" s="15">
        <v>55684</v>
      </c>
      <c r="G25" s="15">
        <v>55858</v>
      </c>
      <c r="H25" s="15">
        <v>56046</v>
      </c>
      <c r="I25" s="15">
        <v>56244</v>
      </c>
      <c r="J25" s="15">
        <v>56411</v>
      </c>
      <c r="K25" s="15">
        <v>56593</v>
      </c>
      <c r="L25" s="15">
        <v>56784</v>
      </c>
      <c r="M25" s="15">
        <v>56963</v>
      </c>
      <c r="N25" s="15">
        <v>57140</v>
      </c>
      <c r="O25" s="15">
        <v>57342</v>
      </c>
      <c r="P25" s="9"/>
      <c r="R25" s="16">
        <f>O25-C25</f>
        <v>2216</v>
      </c>
    </row>
    <row r="26" spans="1:32" x14ac:dyDescent="0.35">
      <c r="A26" s="115"/>
      <c r="B26" s="10" t="s">
        <v>179</v>
      </c>
      <c r="C26" s="18">
        <v>2361.6</v>
      </c>
      <c r="D26" s="18">
        <v>2425.8000000000002</v>
      </c>
      <c r="E26" s="18">
        <v>2482.3000000000002</v>
      </c>
      <c r="F26" s="18">
        <v>2543</v>
      </c>
      <c r="G26" s="18">
        <v>2600.8000000000002</v>
      </c>
      <c r="H26" s="18">
        <v>2659.8</v>
      </c>
      <c r="I26" s="18">
        <v>2728</v>
      </c>
      <c r="J26" s="18">
        <v>2776.8</v>
      </c>
      <c r="K26" s="18">
        <v>2828.8</v>
      </c>
      <c r="L26" s="18">
        <v>2888.5</v>
      </c>
      <c r="M26" s="18">
        <v>2934.7</v>
      </c>
      <c r="N26" s="18">
        <v>2989.1</v>
      </c>
      <c r="O26" s="18">
        <v>3042.4</v>
      </c>
      <c r="P26" s="9">
        <f>O26-C26</f>
        <v>680.80000000000018</v>
      </c>
    </row>
    <row r="27" spans="1:32" x14ac:dyDescent="0.35">
      <c r="A27" s="121"/>
      <c r="B27" s="211" t="s">
        <v>286</v>
      </c>
      <c r="C27" s="19">
        <v>496.85</v>
      </c>
      <c r="D27" s="19">
        <v>528.99</v>
      </c>
      <c r="E27" s="19">
        <v>557.62</v>
      </c>
      <c r="F27" s="19">
        <v>581.44000000000005</v>
      </c>
      <c r="G27" s="19">
        <v>598.36</v>
      </c>
      <c r="H27" s="19">
        <v>604.71</v>
      </c>
      <c r="I27" s="19">
        <v>608.94000000000005</v>
      </c>
      <c r="J27" s="19">
        <v>611.72</v>
      </c>
      <c r="K27" s="19">
        <v>614.36</v>
      </c>
      <c r="L27" s="19">
        <v>617.63</v>
      </c>
      <c r="M27" s="19">
        <v>624.5</v>
      </c>
      <c r="N27" s="19">
        <v>647.15</v>
      </c>
      <c r="O27" s="19">
        <v>678.51</v>
      </c>
      <c r="P27" s="9"/>
      <c r="Q27" s="9">
        <f>O27-C27</f>
        <v>181.65999999999997</v>
      </c>
      <c r="R27" t="s">
        <v>95</v>
      </c>
    </row>
    <row r="28" spans="1:32" ht="15" thickBot="1" x14ac:dyDescent="0.4">
      <c r="A28" s="4"/>
      <c r="B28" s="26" t="s">
        <v>33</v>
      </c>
      <c r="C28" s="21">
        <v>4150</v>
      </c>
      <c r="D28" s="21">
        <v>4354</v>
      </c>
      <c r="E28" s="21">
        <v>4544</v>
      </c>
      <c r="F28" s="21">
        <v>4698</v>
      </c>
      <c r="G28" s="21">
        <v>4812</v>
      </c>
      <c r="H28" s="21">
        <v>4877</v>
      </c>
      <c r="I28" s="21">
        <v>4935</v>
      </c>
      <c r="J28" s="21">
        <v>4976</v>
      </c>
      <c r="K28" s="21">
        <v>5015</v>
      </c>
      <c r="L28" s="21">
        <v>5058</v>
      </c>
      <c r="M28" s="21">
        <v>5119</v>
      </c>
      <c r="N28" s="21">
        <v>5275</v>
      </c>
      <c r="O28" s="21">
        <v>5485</v>
      </c>
      <c r="P28" s="9"/>
      <c r="Q28" s="16">
        <f>O28-C28</f>
        <v>1335</v>
      </c>
      <c r="R28" t="s">
        <v>96</v>
      </c>
    </row>
    <row r="29" spans="1:32" ht="15" thickBot="1" x14ac:dyDescent="0.4">
      <c r="A29" s="123" t="s">
        <v>285</v>
      </c>
      <c r="B29" s="22"/>
      <c r="C29" s="23">
        <v>7844.6</v>
      </c>
      <c r="D29" s="23">
        <v>8132</v>
      </c>
      <c r="E29" s="23">
        <v>8376.4</v>
      </c>
      <c r="F29" s="23">
        <v>8650.7999999999993</v>
      </c>
      <c r="G29" s="23">
        <v>8921.7000000000007</v>
      </c>
      <c r="H29" s="23">
        <v>9183.7999999999993</v>
      </c>
      <c r="I29" s="23">
        <v>9471</v>
      </c>
      <c r="J29" s="23">
        <v>9681.6</v>
      </c>
      <c r="K29" s="23">
        <v>9925.7999999999993</v>
      </c>
      <c r="L29" s="23">
        <v>10213.6</v>
      </c>
      <c r="M29" s="23">
        <v>10486.5</v>
      </c>
      <c r="N29" s="23">
        <v>10767.6</v>
      </c>
      <c r="O29" s="23">
        <v>11067</v>
      </c>
      <c r="P29" s="9">
        <f>O29-C29</f>
        <v>3222.3999999999996</v>
      </c>
    </row>
    <row r="30" spans="1:32" x14ac:dyDescent="0.35">
      <c r="G30" s="269"/>
    </row>
    <row r="32" spans="1:32" hidden="1" x14ac:dyDescent="0.35">
      <c r="E32" t="s">
        <v>238</v>
      </c>
      <c r="H32" s="177" t="s">
        <v>239</v>
      </c>
      <c r="I32" s="1" t="s">
        <v>96</v>
      </c>
      <c r="K32" t="s">
        <v>247</v>
      </c>
      <c r="N32" s="1" t="s">
        <v>96</v>
      </c>
    </row>
    <row r="33" spans="3:15" hidden="1" x14ac:dyDescent="0.35">
      <c r="D33" t="s">
        <v>241</v>
      </c>
      <c r="E33" s="165">
        <v>43984</v>
      </c>
      <c r="F33" s="86" t="s">
        <v>225</v>
      </c>
      <c r="G33" s="86"/>
      <c r="H33" s="172"/>
      <c r="I33" s="110"/>
      <c r="K33" s="183">
        <v>44095</v>
      </c>
      <c r="L33" s="86" t="s">
        <v>225</v>
      </c>
      <c r="M33" s="86"/>
      <c r="N33" s="86"/>
    </row>
    <row r="34" spans="3:15" hidden="1" x14ac:dyDescent="0.35">
      <c r="E34" s="173"/>
      <c r="F34" s="174"/>
      <c r="G34" s="174" t="s">
        <v>240</v>
      </c>
      <c r="H34" s="176" t="s">
        <v>95</v>
      </c>
      <c r="I34" s="175" t="s">
        <v>96</v>
      </c>
      <c r="L34" s="1"/>
      <c r="M34" s="174" t="s">
        <v>240</v>
      </c>
      <c r="N34" s="175" t="s">
        <v>96</v>
      </c>
    </row>
    <row r="35" spans="3:15" hidden="1" x14ac:dyDescent="0.35">
      <c r="D35" t="s">
        <v>242</v>
      </c>
      <c r="E35" s="165">
        <v>43986</v>
      </c>
      <c r="F35" s="86" t="s">
        <v>226</v>
      </c>
      <c r="G35" s="86"/>
      <c r="H35" s="172"/>
      <c r="I35" s="110"/>
      <c r="K35" s="183">
        <v>44095</v>
      </c>
      <c r="L35" s="86" t="s">
        <v>226</v>
      </c>
      <c r="M35" s="86"/>
      <c r="N35" s="86"/>
    </row>
    <row r="36" spans="3:15" hidden="1" x14ac:dyDescent="0.35"/>
    <row r="37" spans="3:15" hidden="1" x14ac:dyDescent="0.35"/>
    <row r="38" spans="3:15" x14ac:dyDescent="0.35">
      <c r="C38" s="244" t="s">
        <v>212</v>
      </c>
      <c r="D38" s="25" t="s">
        <v>227</v>
      </c>
      <c r="F38" s="244" t="s">
        <v>305</v>
      </c>
      <c r="G38" s="244" t="s">
        <v>306</v>
      </c>
      <c r="N38" s="230" t="s">
        <v>299</v>
      </c>
      <c r="O38">
        <v>7844</v>
      </c>
    </row>
    <row r="39" spans="3:15" x14ac:dyDescent="0.35">
      <c r="C39" s="289">
        <v>5</v>
      </c>
      <c r="D39" s="290">
        <v>43950</v>
      </c>
      <c r="E39" s="86" t="s">
        <v>225</v>
      </c>
      <c r="F39" s="108">
        <v>190907002</v>
      </c>
      <c r="G39" s="111">
        <v>0.60199999999999998</v>
      </c>
      <c r="N39" s="212"/>
      <c r="O39" s="76"/>
    </row>
    <row r="40" spans="3:15" x14ac:dyDescent="0.35">
      <c r="C40" s="289"/>
      <c r="D40" s="290"/>
      <c r="E40" s="86" t="s">
        <v>226</v>
      </c>
      <c r="F40" s="108">
        <v>221525395</v>
      </c>
      <c r="G40" s="111">
        <v>0.02</v>
      </c>
      <c r="N40" s="317" t="s">
        <v>436</v>
      </c>
      <c r="O40">
        <v>11067</v>
      </c>
    </row>
    <row r="41" spans="3:15" x14ac:dyDescent="0.35">
      <c r="N41" s="212"/>
    </row>
    <row r="42" spans="3:15" x14ac:dyDescent="0.35">
      <c r="N42" s="252" t="s">
        <v>310</v>
      </c>
      <c r="O42">
        <f>O40-O38-O39</f>
        <v>3223</v>
      </c>
    </row>
  </sheetData>
  <sheetProtection selectLockedCells="1" selectUnlockedCells="1"/>
  <mergeCells count="12">
    <mergeCell ref="C39:C40"/>
    <mergeCell ref="D39:D40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4">
    <cfRule type="cellIs" dxfId="2442" priority="66" stopIfTrue="1" operator="equal">
      <formula>$C$4</formula>
    </cfRule>
    <cfRule type="cellIs" dxfId="2441" priority="65" stopIfTrue="1" operator="lessThan">
      <formula>$C$4</formula>
    </cfRule>
  </conditionalFormatting>
  <conditionalFormatting sqref="D5">
    <cfRule type="cellIs" dxfId="2440" priority="69" stopIfTrue="1" operator="equal">
      <formula>$C$5</formula>
    </cfRule>
    <cfRule type="cellIs" dxfId="2439" priority="70" stopIfTrue="1" operator="lessThan">
      <formula>$C$5</formula>
    </cfRule>
  </conditionalFormatting>
  <conditionalFormatting sqref="D6">
    <cfRule type="cellIs" dxfId="2438" priority="77" stopIfTrue="1" operator="lessThan">
      <formula>$C$6</formula>
    </cfRule>
    <cfRule type="cellIs" dxfId="2437" priority="76" stopIfTrue="1" operator="equal">
      <formula>$C$6</formula>
    </cfRule>
  </conditionalFormatting>
  <conditionalFormatting sqref="D7">
    <cfRule type="cellIs" dxfId="2436" priority="91" stopIfTrue="1" operator="lessThan">
      <formula>$C$7</formula>
    </cfRule>
    <cfRule type="cellIs" dxfId="2435" priority="90" stopIfTrue="1" operator="equal">
      <formula>$C$7</formula>
    </cfRule>
  </conditionalFormatting>
  <conditionalFormatting sqref="D8">
    <cfRule type="cellIs" dxfId="2434" priority="103" stopIfTrue="1" operator="lessThan">
      <formula>$C$8</formula>
    </cfRule>
    <cfRule type="cellIs" dxfId="2433" priority="102" stopIfTrue="1" operator="equal">
      <formula>$C$8</formula>
    </cfRule>
  </conditionalFormatting>
  <conditionalFormatting sqref="D9">
    <cfRule type="cellIs" dxfId="2432" priority="117" stopIfTrue="1" operator="lessThan">
      <formula>$C$9</formula>
    </cfRule>
    <cfRule type="cellIs" dxfId="2431" priority="116" stopIfTrue="1" operator="equal">
      <formula>$C$9</formula>
    </cfRule>
  </conditionalFormatting>
  <conditionalFormatting sqref="D10">
    <cfRule type="cellIs" dxfId="2430" priority="130" stopIfTrue="1" operator="equal">
      <formula>$C$10</formula>
    </cfRule>
    <cfRule type="cellIs" dxfId="2429" priority="131" stopIfTrue="1" operator="lessThan">
      <formula>$C$10</formula>
    </cfRule>
  </conditionalFormatting>
  <conditionalFormatting sqref="D11">
    <cfRule type="cellIs" dxfId="2428" priority="144" stopIfTrue="1" operator="equal">
      <formula>$C$11</formula>
    </cfRule>
    <cfRule type="cellIs" dxfId="2427" priority="145" stopIfTrue="1" operator="lessThan">
      <formula>$C$11</formula>
    </cfRule>
  </conditionalFormatting>
  <conditionalFormatting sqref="D12">
    <cfRule type="cellIs" dxfId="2426" priority="158" stopIfTrue="1" operator="equal">
      <formula>$C$12</formula>
    </cfRule>
    <cfRule type="cellIs" dxfId="2425" priority="159" stopIfTrue="1" operator="lessThan">
      <formula>$C$12</formula>
    </cfRule>
  </conditionalFormatting>
  <conditionalFormatting sqref="D13">
    <cfRule type="cellIs" dxfId="2424" priority="290" stopIfTrue="1" operator="equal">
      <formula>$C$13</formula>
    </cfRule>
    <cfRule type="cellIs" dxfId="2423" priority="291" stopIfTrue="1" operator="lessThan">
      <formula>$C$13</formula>
    </cfRule>
  </conditionalFormatting>
  <conditionalFormatting sqref="D14">
    <cfRule type="cellIs" dxfId="2422" priority="172" stopIfTrue="1" operator="equal">
      <formula>$C$14</formula>
    </cfRule>
    <cfRule type="cellIs" dxfId="2421" priority="173" stopIfTrue="1" operator="lessThan">
      <formula>$C$14</formula>
    </cfRule>
  </conditionalFormatting>
  <conditionalFormatting sqref="D15">
    <cfRule type="cellIs" dxfId="2420" priority="175" stopIfTrue="1" operator="lessThan">
      <formula>$C$15</formula>
    </cfRule>
    <cfRule type="cellIs" dxfId="2419" priority="174" stopIfTrue="1" operator="equal">
      <formula>$C$15</formula>
    </cfRule>
  </conditionalFormatting>
  <conditionalFormatting sqref="D16">
    <cfRule type="cellIs" dxfId="2418" priority="176" stopIfTrue="1" operator="equal">
      <formula>$C$16</formula>
    </cfRule>
    <cfRule type="cellIs" dxfId="2417" priority="177" stopIfTrue="1" operator="lessThan">
      <formula>$C$16</formula>
    </cfRule>
  </conditionalFormatting>
  <conditionalFormatting sqref="D17">
    <cfRule type="cellIs" dxfId="2416" priority="179" stopIfTrue="1" operator="lessThan">
      <formula>$C$17</formula>
    </cfRule>
    <cfRule type="cellIs" dxfId="2415" priority="178" stopIfTrue="1" operator="equal">
      <formula>$C$17</formula>
    </cfRule>
  </conditionalFormatting>
  <conditionalFormatting sqref="D18">
    <cfRule type="cellIs" dxfId="2414" priority="181" stopIfTrue="1" operator="lessThan">
      <formula>$C$18</formula>
    </cfRule>
    <cfRule type="cellIs" dxfId="2413" priority="180" stopIfTrue="1" operator="equal">
      <formula>$C$18</formula>
    </cfRule>
  </conditionalFormatting>
  <conditionalFormatting sqref="D19">
    <cfRule type="cellIs" dxfId="2412" priority="182" stopIfTrue="1" operator="equal">
      <formula>$C$19</formula>
    </cfRule>
    <cfRule type="cellIs" dxfId="2411" priority="183" stopIfTrue="1" operator="lessThan">
      <formula>$C$19</formula>
    </cfRule>
  </conditionalFormatting>
  <conditionalFormatting sqref="D20">
    <cfRule type="cellIs" dxfId="2410" priority="184" stopIfTrue="1" operator="equal">
      <formula>$C$20</formula>
    </cfRule>
    <cfRule type="cellIs" dxfId="2409" priority="185" stopIfTrue="1" operator="lessThan">
      <formula>$C$20</formula>
    </cfRule>
  </conditionalFormatting>
  <conditionalFormatting sqref="D21">
    <cfRule type="cellIs" dxfId="2408" priority="186" stopIfTrue="1" operator="equal">
      <formula>$C$21</formula>
    </cfRule>
    <cfRule type="cellIs" dxfId="2407" priority="187" stopIfTrue="1" operator="lessThan">
      <formula>$C$21</formula>
    </cfRule>
  </conditionalFormatting>
  <conditionalFormatting sqref="D22">
    <cfRule type="cellIs" dxfId="2406" priority="189" stopIfTrue="1" operator="lessThan">
      <formula>$C$22</formula>
    </cfRule>
    <cfRule type="cellIs" dxfId="2405" priority="188" stopIfTrue="1" operator="equal">
      <formula>$C$22</formula>
    </cfRule>
  </conditionalFormatting>
  <conditionalFormatting sqref="D23">
    <cfRule type="cellIs" dxfId="2404" priority="190" stopIfTrue="1" operator="equal">
      <formula>$C$23</formula>
    </cfRule>
    <cfRule type="cellIs" dxfId="2403" priority="191" stopIfTrue="1" operator="lessThan">
      <formula>$C$23</formula>
    </cfRule>
  </conditionalFormatting>
  <conditionalFormatting sqref="D24">
    <cfRule type="cellIs" dxfId="2402" priority="322" stopIfTrue="1" operator="equal">
      <formula>$C$24</formula>
    </cfRule>
    <cfRule type="cellIs" dxfId="2401" priority="323" stopIfTrue="1" operator="lessThan">
      <formula>$C$24</formula>
    </cfRule>
  </conditionalFormatting>
  <conditionalFormatting sqref="D25">
    <cfRule type="cellIs" dxfId="2400" priority="192" stopIfTrue="1" operator="equal">
      <formula>$C$25</formula>
    </cfRule>
    <cfRule type="cellIs" dxfId="2399" priority="193" stopIfTrue="1" operator="lessThan">
      <formula>$C$25</formula>
    </cfRule>
  </conditionalFormatting>
  <conditionalFormatting sqref="D26">
    <cfRule type="cellIs" dxfId="2398" priority="194" stopIfTrue="1" operator="equal">
      <formula>$C$26</formula>
    </cfRule>
    <cfRule type="cellIs" dxfId="2397" priority="195" stopIfTrue="1" operator="lessThan">
      <formula>$C$26</formula>
    </cfRule>
  </conditionalFormatting>
  <conditionalFormatting sqref="D27">
    <cfRule type="cellIs" dxfId="2396" priority="196" stopIfTrue="1" operator="equal">
      <formula>$C$27</formula>
    </cfRule>
    <cfRule type="cellIs" dxfId="2395" priority="197" stopIfTrue="1" operator="lessThan">
      <formula>$C$27</formula>
    </cfRule>
  </conditionalFormatting>
  <conditionalFormatting sqref="D28">
    <cfRule type="cellIs" dxfId="2394" priority="198" stopIfTrue="1" operator="equal">
      <formula>$C$28</formula>
    </cfRule>
    <cfRule type="cellIs" dxfId="2393" priority="199" stopIfTrue="1" operator="lessThan">
      <formula>$C$28</formula>
    </cfRule>
  </conditionalFormatting>
  <conditionalFormatting sqref="D29:H29 J29 L29:O29">
    <cfRule type="cellIs" dxfId="2392" priority="337" stopIfTrue="1" operator="equal">
      <formula>0</formula>
    </cfRule>
  </conditionalFormatting>
  <conditionalFormatting sqref="E4">
    <cfRule type="cellIs" dxfId="2391" priority="67" stopIfTrue="1" operator="equal">
      <formula>$D$4</formula>
    </cfRule>
    <cfRule type="cellIs" dxfId="2390" priority="68" stopIfTrue="1" operator="lessThan">
      <formula>$D$4</formula>
    </cfRule>
  </conditionalFormatting>
  <conditionalFormatting sqref="E5">
    <cfRule type="cellIs" dxfId="2389" priority="333" stopIfTrue="1" operator="lessThan">
      <formula>$D$5</formula>
    </cfRule>
    <cfRule type="cellIs" dxfId="2388" priority="332" stopIfTrue="1" operator="equal">
      <formula>$D$5</formula>
    </cfRule>
  </conditionalFormatting>
  <conditionalFormatting sqref="E6">
    <cfRule type="cellIs" dxfId="2387" priority="78" stopIfTrue="1" operator="equal">
      <formula>$D$6</formula>
    </cfRule>
    <cfRule type="cellIs" dxfId="2386" priority="79" stopIfTrue="1" operator="lessThan">
      <formula>$D$6</formula>
    </cfRule>
  </conditionalFormatting>
  <conditionalFormatting sqref="E7">
    <cfRule type="cellIs" dxfId="2385" priority="92" stopIfTrue="1" operator="equal">
      <formula>$D$7</formula>
    </cfRule>
    <cfRule type="cellIs" dxfId="2384" priority="93" stopIfTrue="1" operator="lessThan">
      <formula>$D$7</formula>
    </cfRule>
  </conditionalFormatting>
  <conditionalFormatting sqref="E8">
    <cfRule type="cellIs" dxfId="2383" priority="104" stopIfTrue="1" operator="equal">
      <formula>$D$8</formula>
    </cfRule>
    <cfRule type="cellIs" dxfId="2382" priority="105" stopIfTrue="1" operator="lessThan">
      <formula>$D$8</formula>
    </cfRule>
  </conditionalFormatting>
  <conditionalFormatting sqref="E9">
    <cfRule type="cellIs" dxfId="2381" priority="118" stopIfTrue="1" operator="equal">
      <formula>$D$9</formula>
    </cfRule>
    <cfRule type="cellIs" dxfId="2380" priority="119" stopIfTrue="1" operator="lessThan">
      <formula>$D$9</formula>
    </cfRule>
  </conditionalFormatting>
  <conditionalFormatting sqref="E10">
    <cfRule type="cellIs" dxfId="2379" priority="133" stopIfTrue="1" operator="lessThan">
      <formula>$D$10</formula>
    </cfRule>
    <cfRule type="cellIs" dxfId="2378" priority="132" stopIfTrue="1" operator="equal">
      <formula>$D$10</formula>
    </cfRule>
  </conditionalFormatting>
  <conditionalFormatting sqref="E11">
    <cfRule type="cellIs" dxfId="2377" priority="146" stopIfTrue="1" operator="equal">
      <formula>$D$11</formula>
    </cfRule>
    <cfRule type="cellIs" dxfId="2376" priority="147" stopIfTrue="1" operator="lessThan">
      <formula>$D$11</formula>
    </cfRule>
  </conditionalFormatting>
  <conditionalFormatting sqref="E12">
    <cfRule type="cellIs" dxfId="2375" priority="161" stopIfTrue="1" operator="lessThan">
      <formula>$D$12</formula>
    </cfRule>
    <cfRule type="cellIs" dxfId="2374" priority="160" stopIfTrue="1" operator="equal">
      <formula>$D$12</formula>
    </cfRule>
  </conditionalFormatting>
  <conditionalFormatting sqref="E13">
    <cfRule type="cellIs" dxfId="2373" priority="201" stopIfTrue="1" operator="lessThan">
      <formula>$D$13</formula>
    </cfRule>
    <cfRule type="cellIs" dxfId="2372" priority="200" stopIfTrue="1" operator="equal">
      <formula>$D$13</formula>
    </cfRule>
  </conditionalFormatting>
  <conditionalFormatting sqref="E14">
    <cfRule type="cellIs" dxfId="2371" priority="203" stopIfTrue="1" operator="lessThan">
      <formula>$D$14</formula>
    </cfRule>
    <cfRule type="cellIs" dxfId="2370" priority="202" stopIfTrue="1" operator="equal">
      <formula>$D$14</formula>
    </cfRule>
  </conditionalFormatting>
  <conditionalFormatting sqref="E15">
    <cfRule type="cellIs" dxfId="2369" priority="204" stopIfTrue="1" operator="equal">
      <formula>$D$15</formula>
    </cfRule>
    <cfRule type="cellIs" dxfId="2368" priority="205" stopIfTrue="1" operator="lessThan">
      <formula>$D$15</formula>
    </cfRule>
  </conditionalFormatting>
  <conditionalFormatting sqref="E16">
    <cfRule type="cellIs" dxfId="2367" priority="206" stopIfTrue="1" operator="equal">
      <formula>$D$16</formula>
    </cfRule>
    <cfRule type="cellIs" dxfId="2366" priority="207" stopIfTrue="1" operator="lessThan">
      <formula>$D$16</formula>
    </cfRule>
  </conditionalFormatting>
  <conditionalFormatting sqref="E17">
    <cfRule type="cellIs" dxfId="2365" priority="208" stopIfTrue="1" operator="equal">
      <formula>$D$17</formula>
    </cfRule>
    <cfRule type="cellIs" dxfId="2364" priority="209" stopIfTrue="1" operator="lessThan">
      <formula>$D$17</formula>
    </cfRule>
  </conditionalFormatting>
  <conditionalFormatting sqref="E18">
    <cfRule type="cellIs" dxfId="2363" priority="211" stopIfTrue="1" operator="lessThan">
      <formula>$D$18</formula>
    </cfRule>
    <cfRule type="cellIs" dxfId="2362" priority="210" stopIfTrue="1" operator="equal">
      <formula>$D$18</formula>
    </cfRule>
  </conditionalFormatting>
  <conditionalFormatting sqref="E19">
    <cfRule type="cellIs" dxfId="2361" priority="213" stopIfTrue="1" operator="lessThan">
      <formula>$D$19</formula>
    </cfRule>
    <cfRule type="cellIs" dxfId="2360" priority="212" stopIfTrue="1" operator="equal">
      <formula>$D$19</formula>
    </cfRule>
  </conditionalFormatting>
  <conditionalFormatting sqref="E20">
    <cfRule type="cellIs" dxfId="2359" priority="215" stopIfTrue="1" operator="lessThan">
      <formula>$D$20</formula>
    </cfRule>
    <cfRule type="cellIs" dxfId="2358" priority="214" stopIfTrue="1" operator="equal">
      <formula>$D$20</formula>
    </cfRule>
  </conditionalFormatting>
  <conditionalFormatting sqref="E21">
    <cfRule type="cellIs" dxfId="2357" priority="217" stopIfTrue="1" operator="lessThan">
      <formula>$D$21</formula>
    </cfRule>
    <cfRule type="cellIs" dxfId="2356" priority="216" stopIfTrue="1" operator="equal">
      <formula>$D$21</formula>
    </cfRule>
  </conditionalFormatting>
  <conditionalFormatting sqref="E22">
    <cfRule type="cellIs" dxfId="2355" priority="219" stopIfTrue="1" operator="lessThan">
      <formula>$D$22</formula>
    </cfRule>
    <cfRule type="cellIs" dxfId="2354" priority="218" stopIfTrue="1" operator="equal">
      <formula>$D$22</formula>
    </cfRule>
  </conditionalFormatting>
  <conditionalFormatting sqref="E23">
    <cfRule type="cellIs" dxfId="2353" priority="221" stopIfTrue="1" operator="lessThan">
      <formula>$D$23</formula>
    </cfRule>
    <cfRule type="cellIs" dxfId="2352" priority="220" stopIfTrue="1" operator="equal">
      <formula>$D$23</formula>
    </cfRule>
  </conditionalFormatting>
  <conditionalFormatting sqref="E24">
    <cfRule type="cellIs" dxfId="2351" priority="324" stopIfTrue="1" operator="equal">
      <formula>$D$24</formula>
    </cfRule>
    <cfRule type="cellIs" dxfId="2350" priority="325" stopIfTrue="1" operator="lessThan">
      <formula>$D$24</formula>
    </cfRule>
  </conditionalFormatting>
  <conditionalFormatting sqref="E25">
    <cfRule type="cellIs" dxfId="2349" priority="222" stopIfTrue="1" operator="equal">
      <formula>$D$25</formula>
    </cfRule>
    <cfRule type="cellIs" dxfId="2348" priority="223" stopIfTrue="1" operator="lessThan">
      <formula>$D$25</formula>
    </cfRule>
  </conditionalFormatting>
  <conditionalFormatting sqref="E26">
    <cfRule type="cellIs" dxfId="2347" priority="225" stopIfTrue="1" operator="lessThan">
      <formula>$D$26</formula>
    </cfRule>
    <cfRule type="cellIs" dxfId="2346" priority="224" stopIfTrue="1" operator="equal">
      <formula>$D$26</formula>
    </cfRule>
  </conditionalFormatting>
  <conditionalFormatting sqref="E27">
    <cfRule type="cellIs" dxfId="2345" priority="227" stopIfTrue="1" operator="lessThan">
      <formula>$D$27</formula>
    </cfRule>
    <cfRule type="cellIs" dxfId="2344" priority="226" stopIfTrue="1" operator="equal">
      <formula>$D$27</formula>
    </cfRule>
  </conditionalFormatting>
  <conditionalFormatting sqref="E28">
    <cfRule type="cellIs" dxfId="2343" priority="229" stopIfTrue="1" operator="lessThan">
      <formula>$D$28</formula>
    </cfRule>
    <cfRule type="cellIs" dxfId="2342" priority="228" stopIfTrue="1" operator="equal">
      <formula>$D$28</formula>
    </cfRule>
  </conditionalFormatting>
  <conditionalFormatting sqref="F4">
    <cfRule type="cellIs" dxfId="2341" priority="63" stopIfTrue="1" operator="equal">
      <formula>$E$4</formula>
    </cfRule>
    <cfRule type="cellIs" dxfId="2340" priority="64" stopIfTrue="1" operator="lessThan">
      <formula>$E$4</formula>
    </cfRule>
  </conditionalFormatting>
  <conditionalFormatting sqref="F5">
    <cfRule type="cellIs" dxfId="2339" priority="71" stopIfTrue="1" operator="equal">
      <formula>$E$5</formula>
    </cfRule>
    <cfRule type="cellIs" dxfId="2338" priority="72" stopIfTrue="1" operator="lessThan">
      <formula>$E$5</formula>
    </cfRule>
  </conditionalFormatting>
  <conditionalFormatting sqref="F6">
    <cfRule type="cellIs" dxfId="2337" priority="81" stopIfTrue="1" operator="lessThan">
      <formula>$E$6</formula>
    </cfRule>
    <cfRule type="cellIs" dxfId="2336" priority="80" stopIfTrue="1" operator="equal">
      <formula>$E$6</formula>
    </cfRule>
  </conditionalFormatting>
  <conditionalFormatting sqref="F7">
    <cfRule type="cellIs" dxfId="2335" priority="95" stopIfTrue="1" operator="lessThan">
      <formula>$E$7</formula>
    </cfRule>
    <cfRule type="cellIs" dxfId="2334" priority="94" stopIfTrue="1" operator="equal">
      <formula>$E$7</formula>
    </cfRule>
  </conditionalFormatting>
  <conditionalFormatting sqref="F8">
    <cfRule type="cellIs" dxfId="2333" priority="107" stopIfTrue="1" operator="lessThan">
      <formula>$E$8</formula>
    </cfRule>
    <cfRule type="cellIs" dxfId="2332" priority="106" stopIfTrue="1" operator="equal">
      <formula>$E$8</formula>
    </cfRule>
  </conditionalFormatting>
  <conditionalFormatting sqref="F9">
    <cfRule type="cellIs" dxfId="2331" priority="120" stopIfTrue="1" operator="equal">
      <formula>$E$9</formula>
    </cfRule>
    <cfRule type="cellIs" dxfId="2330" priority="121" stopIfTrue="1" operator="lessThan">
      <formula>$E$9</formula>
    </cfRule>
  </conditionalFormatting>
  <conditionalFormatting sqref="F10">
    <cfRule type="cellIs" dxfId="2329" priority="135" stopIfTrue="1" operator="lessThan">
      <formula>$E$10</formula>
    </cfRule>
    <cfRule type="cellIs" dxfId="2328" priority="134" stopIfTrue="1" operator="equal">
      <formula>$E$10</formula>
    </cfRule>
  </conditionalFormatting>
  <conditionalFormatting sqref="F11">
    <cfRule type="cellIs" dxfId="2327" priority="149" stopIfTrue="1" operator="lessThan">
      <formula>$E$11</formula>
    </cfRule>
    <cfRule type="cellIs" dxfId="2326" priority="148" stopIfTrue="1" operator="equal">
      <formula>$E$11</formula>
    </cfRule>
  </conditionalFormatting>
  <conditionalFormatting sqref="F12">
    <cfRule type="cellIs" dxfId="2325" priority="162" stopIfTrue="1" operator="equal">
      <formula>$E$12</formula>
    </cfRule>
    <cfRule type="cellIs" dxfId="2324" priority="163" stopIfTrue="1" operator="lessThan">
      <formula>$E$12</formula>
    </cfRule>
  </conditionalFormatting>
  <conditionalFormatting sqref="F13">
    <cfRule type="cellIs" dxfId="2323" priority="230" stopIfTrue="1" operator="equal">
      <formula>$E$13</formula>
    </cfRule>
    <cfRule type="cellIs" dxfId="2322" priority="231" stopIfTrue="1" operator="lessThan">
      <formula>$E$13</formula>
    </cfRule>
  </conditionalFormatting>
  <conditionalFormatting sqref="F14">
    <cfRule type="cellIs" dxfId="2321" priority="232" stopIfTrue="1" operator="equal">
      <formula>$E$14</formula>
    </cfRule>
    <cfRule type="cellIs" dxfId="2320" priority="233" stopIfTrue="1" operator="lessThan">
      <formula>$E$14</formula>
    </cfRule>
  </conditionalFormatting>
  <conditionalFormatting sqref="F15">
    <cfRule type="cellIs" dxfId="2319" priority="234" stopIfTrue="1" operator="equal">
      <formula>$E$15</formula>
    </cfRule>
    <cfRule type="cellIs" dxfId="2318" priority="235" stopIfTrue="1" operator="lessThan">
      <formula>$E$15</formula>
    </cfRule>
  </conditionalFormatting>
  <conditionalFormatting sqref="F16">
    <cfRule type="cellIs" dxfId="2317" priority="236" stopIfTrue="1" operator="equal">
      <formula>$E$16</formula>
    </cfRule>
    <cfRule type="cellIs" dxfId="2316" priority="237" stopIfTrue="1" operator="lessThan">
      <formula>$E$16</formula>
    </cfRule>
  </conditionalFormatting>
  <conditionalFormatting sqref="F17">
    <cfRule type="cellIs" dxfId="2315" priority="238" stopIfTrue="1" operator="equal">
      <formula>$E$17</formula>
    </cfRule>
    <cfRule type="cellIs" dxfId="2314" priority="239" stopIfTrue="1" operator="lessThan">
      <formula>$E$17</formula>
    </cfRule>
  </conditionalFormatting>
  <conditionalFormatting sqref="F18">
    <cfRule type="cellIs" dxfId="2313" priority="240" stopIfTrue="1" operator="equal">
      <formula>$E$18</formula>
    </cfRule>
    <cfRule type="cellIs" dxfId="2312" priority="241" stopIfTrue="1" operator="lessThan">
      <formula>$E$18</formula>
    </cfRule>
  </conditionalFormatting>
  <conditionalFormatting sqref="F19">
    <cfRule type="cellIs" dxfId="2311" priority="242" stopIfTrue="1" operator="equal">
      <formula>$E$19</formula>
    </cfRule>
    <cfRule type="cellIs" dxfId="2310" priority="243" stopIfTrue="1" operator="lessThan">
      <formula>$E$19</formula>
    </cfRule>
  </conditionalFormatting>
  <conditionalFormatting sqref="F20">
    <cfRule type="cellIs" dxfId="2309" priority="245" stopIfTrue="1" operator="lessThan">
      <formula>$E$20</formula>
    </cfRule>
    <cfRule type="cellIs" dxfId="2308" priority="244" stopIfTrue="1" operator="equal">
      <formula>$E$20</formula>
    </cfRule>
  </conditionalFormatting>
  <conditionalFormatting sqref="F21">
    <cfRule type="cellIs" dxfId="2307" priority="246" stopIfTrue="1" operator="equal">
      <formula>$E$21</formula>
    </cfRule>
    <cfRule type="cellIs" dxfId="2306" priority="247" stopIfTrue="1" operator="lessThan">
      <formula>$E$21</formula>
    </cfRule>
  </conditionalFormatting>
  <conditionalFormatting sqref="F22">
    <cfRule type="cellIs" dxfId="2305" priority="249" stopIfTrue="1" operator="lessThan">
      <formula>$E$22</formula>
    </cfRule>
    <cfRule type="cellIs" dxfId="2304" priority="248" stopIfTrue="1" operator="equal">
      <formula>$E$22</formula>
    </cfRule>
  </conditionalFormatting>
  <conditionalFormatting sqref="F23">
    <cfRule type="cellIs" dxfId="2303" priority="250" stopIfTrue="1" operator="equal">
      <formula>$E$23</formula>
    </cfRule>
    <cfRule type="cellIs" dxfId="2302" priority="251" stopIfTrue="1" operator="lessThan">
      <formula>$E$23</formula>
    </cfRule>
  </conditionalFormatting>
  <conditionalFormatting sqref="F24">
    <cfRule type="cellIs" dxfId="2301" priority="326" stopIfTrue="1" operator="equal">
      <formula>$E$24</formula>
    </cfRule>
    <cfRule type="cellIs" dxfId="2300" priority="327" stopIfTrue="1" operator="lessThan">
      <formula>$E$24</formula>
    </cfRule>
  </conditionalFormatting>
  <conditionalFormatting sqref="F25">
    <cfRule type="cellIs" dxfId="2299" priority="253" stopIfTrue="1" operator="lessThan">
      <formula>$E$25</formula>
    </cfRule>
    <cfRule type="cellIs" dxfId="2298" priority="252" stopIfTrue="1" operator="equal">
      <formula>$E$25</formula>
    </cfRule>
  </conditionalFormatting>
  <conditionalFormatting sqref="F26">
    <cfRule type="cellIs" dxfId="2297" priority="254" stopIfTrue="1" operator="equal">
      <formula>$E$26</formula>
    </cfRule>
    <cfRule type="cellIs" dxfId="2296" priority="255" stopIfTrue="1" operator="lessThan">
      <formula>$E$26</formula>
    </cfRule>
  </conditionalFormatting>
  <conditionalFormatting sqref="F27">
    <cfRule type="cellIs" dxfId="2295" priority="256" stopIfTrue="1" operator="equal">
      <formula>$E$27</formula>
    </cfRule>
    <cfRule type="cellIs" dxfId="2294" priority="257" stopIfTrue="1" operator="lessThan">
      <formula>$E$27</formula>
    </cfRule>
  </conditionalFormatting>
  <conditionalFormatting sqref="F28">
    <cfRule type="cellIs" dxfId="2293" priority="258" stopIfTrue="1" operator="equal">
      <formula>$E$28</formula>
    </cfRule>
    <cfRule type="cellIs" dxfId="2292" priority="259" stopIfTrue="1" operator="lessThan">
      <formula>$E$28</formula>
    </cfRule>
  </conditionalFormatting>
  <conditionalFormatting sqref="G4">
    <cfRule type="cellIs" dxfId="2291" priority="336" stopIfTrue="1" operator="equal">
      <formula>$F$4</formula>
    </cfRule>
  </conditionalFormatting>
  <conditionalFormatting sqref="G5">
    <cfRule type="cellIs" dxfId="2290" priority="335" stopIfTrue="1" operator="lessThan">
      <formula>$F$5</formula>
    </cfRule>
    <cfRule type="cellIs" dxfId="2289" priority="334" stopIfTrue="1" operator="equal">
      <formula>$F$5</formula>
    </cfRule>
  </conditionalFormatting>
  <conditionalFormatting sqref="G6">
    <cfRule type="cellIs" dxfId="2288" priority="83" stopIfTrue="1" operator="lessThan">
      <formula>$F$6</formula>
    </cfRule>
    <cfRule type="cellIs" dxfId="2287" priority="82" stopIfTrue="1" operator="equal">
      <formula>$F$6</formula>
    </cfRule>
  </conditionalFormatting>
  <conditionalFormatting sqref="G7">
    <cfRule type="cellIs" dxfId="2286" priority="55" stopIfTrue="1" operator="equal">
      <formula>$F$7</formula>
    </cfRule>
    <cfRule type="cellIs" dxfId="2285" priority="56" stopIfTrue="1" operator="lessThan">
      <formula>$F$7</formula>
    </cfRule>
  </conditionalFormatting>
  <conditionalFormatting sqref="G8">
    <cfRule type="cellIs" dxfId="2284" priority="109" stopIfTrue="1" operator="lessThan">
      <formula>$F$8</formula>
    </cfRule>
    <cfRule type="cellIs" dxfId="2283" priority="108" stopIfTrue="1" operator="equal">
      <formula>$F$8</formula>
    </cfRule>
  </conditionalFormatting>
  <conditionalFormatting sqref="G9">
    <cfRule type="cellIs" dxfId="2282" priority="123" stopIfTrue="1" operator="lessThan">
      <formula>$F$9</formula>
    </cfRule>
    <cfRule type="cellIs" dxfId="2281" priority="122" stopIfTrue="1" operator="equal">
      <formula>$F$9</formula>
    </cfRule>
  </conditionalFormatting>
  <conditionalFormatting sqref="G10">
    <cfRule type="cellIs" dxfId="2280" priority="137" stopIfTrue="1" operator="lessThan">
      <formula>$F$10</formula>
    </cfRule>
    <cfRule type="cellIs" dxfId="2279" priority="136" stopIfTrue="1" operator="equal">
      <formula>$F$10</formula>
    </cfRule>
  </conditionalFormatting>
  <conditionalFormatting sqref="G11">
    <cfRule type="cellIs" dxfId="2278" priority="151" stopIfTrue="1" operator="lessThan">
      <formula>$F$11</formula>
    </cfRule>
    <cfRule type="cellIs" dxfId="2277" priority="150" stopIfTrue="1" operator="equal">
      <formula>$F$11</formula>
    </cfRule>
  </conditionalFormatting>
  <conditionalFormatting sqref="G12">
    <cfRule type="cellIs" dxfId="2276" priority="164" stopIfTrue="1" operator="equal">
      <formula>$F$12</formula>
    </cfRule>
    <cfRule type="cellIs" dxfId="2275" priority="165" stopIfTrue="1" operator="lessThan">
      <formula>$F$12</formula>
    </cfRule>
  </conditionalFormatting>
  <conditionalFormatting sqref="G13">
    <cfRule type="cellIs" dxfId="2274" priority="261" stopIfTrue="1" operator="lessThan">
      <formula>$F$13</formula>
    </cfRule>
    <cfRule type="cellIs" dxfId="2273" priority="260" stopIfTrue="1" operator="equal">
      <formula>$F$13</formula>
    </cfRule>
  </conditionalFormatting>
  <conditionalFormatting sqref="G14">
    <cfRule type="cellIs" dxfId="2272" priority="263" stopIfTrue="1" operator="lessThan">
      <formula>$F$14</formula>
    </cfRule>
    <cfRule type="cellIs" dxfId="2271" priority="262" stopIfTrue="1" operator="equal">
      <formula>$F$14</formula>
    </cfRule>
  </conditionalFormatting>
  <conditionalFormatting sqref="G15">
    <cfRule type="cellIs" dxfId="2270" priority="265" stopIfTrue="1" operator="lessThan">
      <formula>$F$15</formula>
    </cfRule>
    <cfRule type="cellIs" dxfId="2269" priority="264" stopIfTrue="1" operator="equal">
      <formula>$F$15</formula>
    </cfRule>
  </conditionalFormatting>
  <conditionalFormatting sqref="G16">
    <cfRule type="cellIs" dxfId="2268" priority="267" stopIfTrue="1" operator="lessThan">
      <formula>$F$16</formula>
    </cfRule>
    <cfRule type="cellIs" dxfId="2267" priority="266" stopIfTrue="1" operator="equal">
      <formula>$F$16</formula>
    </cfRule>
  </conditionalFormatting>
  <conditionalFormatting sqref="G17">
    <cfRule type="cellIs" dxfId="2266" priority="269" stopIfTrue="1" operator="lessThan">
      <formula>$F$17</formula>
    </cfRule>
    <cfRule type="cellIs" dxfId="2265" priority="268" stopIfTrue="1" operator="equal">
      <formula>$F$17</formula>
    </cfRule>
  </conditionalFormatting>
  <conditionalFormatting sqref="G18">
    <cfRule type="cellIs" dxfId="2264" priority="270" stopIfTrue="1" operator="equal">
      <formula>$F$18</formula>
    </cfRule>
    <cfRule type="cellIs" dxfId="2263" priority="271" stopIfTrue="1" operator="lessThan">
      <formula>$F$18</formula>
    </cfRule>
  </conditionalFormatting>
  <conditionalFormatting sqref="G19">
    <cfRule type="cellIs" dxfId="2262" priority="273" stopIfTrue="1" operator="lessThan">
      <formula>$F$19</formula>
    </cfRule>
    <cfRule type="cellIs" dxfId="2261" priority="272" stopIfTrue="1" operator="equal">
      <formula>$F$19</formula>
    </cfRule>
  </conditionalFormatting>
  <conditionalFormatting sqref="G20">
    <cfRule type="cellIs" dxfId="2260" priority="275" stopIfTrue="1" operator="lessThan">
      <formula>$F$20</formula>
    </cfRule>
    <cfRule type="cellIs" dxfId="2259" priority="274" stopIfTrue="1" operator="equal">
      <formula>$F$20</formula>
    </cfRule>
  </conditionalFormatting>
  <conditionalFormatting sqref="G21">
    <cfRule type="cellIs" dxfId="2258" priority="276" stopIfTrue="1" operator="equal">
      <formula>$F$21</formula>
    </cfRule>
    <cfRule type="cellIs" dxfId="2257" priority="277" stopIfTrue="1" operator="lessThan">
      <formula>$F$21</formula>
    </cfRule>
  </conditionalFormatting>
  <conditionalFormatting sqref="G22">
    <cfRule type="cellIs" dxfId="2256" priority="278" stopIfTrue="1" operator="equal">
      <formula>$F$22</formula>
    </cfRule>
    <cfRule type="cellIs" dxfId="2255" priority="279" stopIfTrue="1" operator="lessThan">
      <formula>$F$22</formula>
    </cfRule>
  </conditionalFormatting>
  <conditionalFormatting sqref="G23">
    <cfRule type="cellIs" dxfId="2254" priority="281" stopIfTrue="1" operator="lessThan">
      <formula>$F$23</formula>
    </cfRule>
    <cfRule type="cellIs" dxfId="2253" priority="280" stopIfTrue="1" operator="equal">
      <formula>$F$23</formula>
    </cfRule>
  </conditionalFormatting>
  <conditionalFormatting sqref="G24">
    <cfRule type="cellIs" dxfId="2252" priority="329" stopIfTrue="1" operator="lessThan">
      <formula>$F$24</formula>
    </cfRule>
    <cfRule type="cellIs" dxfId="2251" priority="328" stopIfTrue="1" operator="equal">
      <formula>$F$24</formula>
    </cfRule>
  </conditionalFormatting>
  <conditionalFormatting sqref="G25">
    <cfRule type="cellIs" dxfId="2250" priority="282" stopIfTrue="1" operator="equal">
      <formula>$F$25</formula>
    </cfRule>
    <cfRule type="cellIs" dxfId="2249" priority="283" stopIfTrue="1" operator="lessThan">
      <formula>$F$25</formula>
    </cfRule>
  </conditionalFormatting>
  <conditionalFormatting sqref="G26">
    <cfRule type="cellIs" dxfId="2248" priority="285" stopIfTrue="1" operator="lessThan">
      <formula>$F$26</formula>
    </cfRule>
    <cfRule type="cellIs" dxfId="2247" priority="284" stopIfTrue="1" operator="equal">
      <formula>$F$26</formula>
    </cfRule>
  </conditionalFormatting>
  <conditionalFormatting sqref="G27">
    <cfRule type="cellIs" dxfId="2246" priority="287" stopIfTrue="1" operator="lessThan">
      <formula>$F$27</formula>
    </cfRule>
    <cfRule type="cellIs" dxfId="2245" priority="286" stopIfTrue="1" operator="equal">
      <formula>$F$27</formula>
    </cfRule>
  </conditionalFormatting>
  <conditionalFormatting sqref="G28">
    <cfRule type="cellIs" dxfId="2244" priority="289" stopIfTrue="1" operator="lessThan">
      <formula>$F$28</formula>
    </cfRule>
    <cfRule type="cellIs" dxfId="2243" priority="288" stopIfTrue="1" operator="equal">
      <formula>$F$28</formula>
    </cfRule>
  </conditionalFormatting>
  <conditionalFormatting sqref="H4">
    <cfRule type="cellIs" dxfId="2242" priority="53" stopIfTrue="1" operator="lessThan">
      <formula>$G$4</formula>
    </cfRule>
    <cfRule type="cellIs" dxfId="2241" priority="54" stopIfTrue="1" operator="equal">
      <formula>$G$4</formula>
    </cfRule>
  </conditionalFormatting>
  <conditionalFormatting sqref="H5">
    <cfRule type="cellIs" dxfId="2240" priority="57" stopIfTrue="1" operator="equal">
      <formula>$G$5</formula>
    </cfRule>
    <cfRule type="cellIs" dxfId="2239" priority="58" stopIfTrue="1" operator="lessThan">
      <formula>$G$5</formula>
    </cfRule>
  </conditionalFormatting>
  <conditionalFormatting sqref="H6">
    <cfRule type="cellIs" dxfId="2238" priority="84" stopIfTrue="1" operator="equal">
      <formula>$G$6</formula>
    </cfRule>
    <cfRule type="cellIs" dxfId="2237" priority="85" stopIfTrue="1" operator="lessThan">
      <formula>$G$6</formula>
    </cfRule>
  </conditionalFormatting>
  <conditionalFormatting sqref="H7">
    <cfRule type="cellIs" dxfId="2236" priority="96" stopIfTrue="1" operator="equal">
      <formula>$G$7</formula>
    </cfRule>
    <cfRule type="cellIs" dxfId="2235" priority="97" stopIfTrue="1" operator="lessThan">
      <formula>$G$7</formula>
    </cfRule>
  </conditionalFormatting>
  <conditionalFormatting sqref="H8">
    <cfRule type="cellIs" dxfId="2234" priority="110" stopIfTrue="1" operator="equal">
      <formula>$G$8</formula>
    </cfRule>
    <cfRule type="cellIs" dxfId="2233" priority="111" stopIfTrue="1" operator="lessThan">
      <formula>$G$8</formula>
    </cfRule>
  </conditionalFormatting>
  <conditionalFormatting sqref="H9">
    <cfRule type="cellIs" dxfId="2232" priority="124" stopIfTrue="1" operator="equal">
      <formula>$G$9</formula>
    </cfRule>
    <cfRule type="cellIs" dxfId="2231" priority="125" stopIfTrue="1" operator="lessThan">
      <formula>$G$9</formula>
    </cfRule>
  </conditionalFormatting>
  <conditionalFormatting sqref="H10">
    <cfRule type="cellIs" dxfId="2230" priority="138" stopIfTrue="1" operator="equal">
      <formula>$G$10</formula>
    </cfRule>
    <cfRule type="cellIs" dxfId="2229" priority="139" stopIfTrue="1" operator="lessThan">
      <formula>$G$10</formula>
    </cfRule>
  </conditionalFormatting>
  <conditionalFormatting sqref="H11">
    <cfRule type="cellIs" dxfId="2228" priority="153" stopIfTrue="1" operator="lessThan">
      <formula>$G$11</formula>
    </cfRule>
    <cfRule type="cellIs" dxfId="2227" priority="152" stopIfTrue="1" operator="equal">
      <formula>$G$11</formula>
    </cfRule>
  </conditionalFormatting>
  <conditionalFormatting sqref="H12">
    <cfRule type="cellIs" dxfId="2226" priority="166" stopIfTrue="1" operator="equal">
      <formula>$G$12</formula>
    </cfRule>
    <cfRule type="cellIs" dxfId="2225" priority="167" stopIfTrue="1" operator="lessThan">
      <formula>$G$12</formula>
    </cfRule>
  </conditionalFormatting>
  <conditionalFormatting sqref="H13">
    <cfRule type="cellIs" dxfId="2224" priority="292" stopIfTrue="1" operator="equal">
      <formula>$G$13</formula>
    </cfRule>
    <cfRule type="cellIs" dxfId="2223" priority="293" stopIfTrue="1" operator="lessThan">
      <formula>$G$13</formula>
    </cfRule>
  </conditionalFormatting>
  <conditionalFormatting sqref="H14">
    <cfRule type="cellIs" dxfId="2222" priority="294" stopIfTrue="1" operator="equal">
      <formula>$G$14</formula>
    </cfRule>
    <cfRule type="cellIs" dxfId="2221" priority="295" stopIfTrue="1" operator="lessThan">
      <formula>$G$14</formula>
    </cfRule>
  </conditionalFormatting>
  <conditionalFormatting sqref="H15">
    <cfRule type="cellIs" dxfId="2220" priority="296" stopIfTrue="1" operator="equal">
      <formula>$G$15</formula>
    </cfRule>
    <cfRule type="cellIs" dxfId="2219" priority="297" stopIfTrue="1" operator="lessThan">
      <formula>$G$15</formula>
    </cfRule>
  </conditionalFormatting>
  <conditionalFormatting sqref="H16">
    <cfRule type="cellIs" dxfId="2218" priority="298" stopIfTrue="1" operator="equal">
      <formula>$G$16</formula>
    </cfRule>
    <cfRule type="cellIs" dxfId="2217" priority="299" stopIfTrue="1" operator="lessThan">
      <formula>$G$16</formula>
    </cfRule>
  </conditionalFormatting>
  <conditionalFormatting sqref="H17">
    <cfRule type="cellIs" dxfId="2216" priority="300" stopIfTrue="1" operator="equal">
      <formula>$G$17</formula>
    </cfRule>
    <cfRule type="cellIs" dxfId="2215" priority="301" stopIfTrue="1" operator="lessThan">
      <formula>$G$17</formula>
    </cfRule>
  </conditionalFormatting>
  <conditionalFormatting sqref="H18">
    <cfRule type="cellIs" dxfId="2214" priority="302" stopIfTrue="1" operator="equal">
      <formula>$G$18</formula>
    </cfRule>
    <cfRule type="cellIs" dxfId="2213" priority="303" stopIfTrue="1" operator="lessThan">
      <formula>$G$18</formula>
    </cfRule>
  </conditionalFormatting>
  <conditionalFormatting sqref="H19">
    <cfRule type="cellIs" dxfId="2212" priority="304" stopIfTrue="1" operator="equal">
      <formula>$G$19</formula>
    </cfRule>
    <cfRule type="cellIs" dxfId="2211" priority="305" stopIfTrue="1" operator="lessThan">
      <formula>$G$19</formula>
    </cfRule>
  </conditionalFormatting>
  <conditionalFormatting sqref="H20">
    <cfRule type="cellIs" dxfId="2210" priority="306" stopIfTrue="1" operator="equal">
      <formula>$G$20</formula>
    </cfRule>
    <cfRule type="cellIs" dxfId="2209" priority="307" stopIfTrue="1" operator="lessThan">
      <formula>$G$20</formula>
    </cfRule>
  </conditionalFormatting>
  <conditionalFormatting sqref="H21">
    <cfRule type="cellIs" dxfId="2208" priority="309" stopIfTrue="1" operator="lessThan">
      <formula>$G$21</formula>
    </cfRule>
    <cfRule type="cellIs" dxfId="2207" priority="308" stopIfTrue="1" operator="equal">
      <formula>$G$21</formula>
    </cfRule>
  </conditionalFormatting>
  <conditionalFormatting sqref="H22">
    <cfRule type="cellIs" dxfId="2206" priority="311" stopIfTrue="1" operator="lessThan">
      <formula>$G$22</formula>
    </cfRule>
    <cfRule type="cellIs" dxfId="2205" priority="310" stopIfTrue="1" operator="equal">
      <formula>$G$22</formula>
    </cfRule>
  </conditionalFormatting>
  <conditionalFormatting sqref="H23">
    <cfRule type="cellIs" dxfId="2204" priority="313" stopIfTrue="1" operator="lessThan">
      <formula>$G$23</formula>
    </cfRule>
    <cfRule type="cellIs" dxfId="2203" priority="312" stopIfTrue="1" operator="equal">
      <formula>$G$23</formula>
    </cfRule>
  </conditionalFormatting>
  <conditionalFormatting sqref="H24">
    <cfRule type="cellIs" dxfId="2202" priority="330" stopIfTrue="1" operator="equal">
      <formula>$G$24</formula>
    </cfRule>
    <cfRule type="cellIs" dxfId="2201" priority="331" stopIfTrue="1" operator="lessThan">
      <formula>$G$24</formula>
    </cfRule>
  </conditionalFormatting>
  <conditionalFormatting sqref="H25">
    <cfRule type="cellIs" dxfId="2200" priority="315" stopIfTrue="1" operator="lessThan">
      <formula>$G$25</formula>
    </cfRule>
    <cfRule type="cellIs" dxfId="2199" priority="314" stopIfTrue="1" operator="equal">
      <formula>$G$25</formula>
    </cfRule>
  </conditionalFormatting>
  <conditionalFormatting sqref="H26">
    <cfRule type="cellIs" dxfId="2198" priority="317" stopIfTrue="1" operator="lessThan">
      <formula>$G$26</formula>
    </cfRule>
    <cfRule type="cellIs" dxfId="2197" priority="316" stopIfTrue="1" operator="equal">
      <formula>$G$26</formula>
    </cfRule>
  </conditionalFormatting>
  <conditionalFormatting sqref="H27">
    <cfRule type="cellIs" dxfId="2196" priority="319" stopIfTrue="1" operator="lessThan">
      <formula>$G$27</formula>
    </cfRule>
    <cfRule type="cellIs" dxfId="2195" priority="318" stopIfTrue="1" operator="equal">
      <formula>$G$27</formula>
    </cfRule>
  </conditionalFormatting>
  <conditionalFormatting sqref="H28">
    <cfRule type="cellIs" dxfId="2194" priority="321" stopIfTrue="1" operator="lessThan">
      <formula>$G$28</formula>
    </cfRule>
    <cfRule type="cellIs" dxfId="2193" priority="320" stopIfTrue="1" operator="equal">
      <formula>$G$28</formula>
    </cfRule>
  </conditionalFormatting>
  <conditionalFormatting sqref="I4">
    <cfRule type="cellIs" dxfId="2192" priority="73" stopIfTrue="1" operator="equal">
      <formula>$H$4</formula>
    </cfRule>
  </conditionalFormatting>
  <conditionalFormatting sqref="I5">
    <cfRule type="cellIs" dxfId="2191" priority="59" stopIfTrue="1" operator="equal">
      <formula>$H$5</formula>
    </cfRule>
    <cfRule type="cellIs" dxfId="2190" priority="60" stopIfTrue="1" operator="lessThan">
      <formula>$H$5</formula>
    </cfRule>
  </conditionalFormatting>
  <conditionalFormatting sqref="I6">
    <cfRule type="cellIs" dxfId="2189" priority="86" stopIfTrue="1" operator="equal">
      <formula>$H$6</formula>
    </cfRule>
    <cfRule type="cellIs" dxfId="2188" priority="87" stopIfTrue="1" operator="lessThan">
      <formula>$H$6</formula>
    </cfRule>
  </conditionalFormatting>
  <conditionalFormatting sqref="I7">
    <cfRule type="cellIs" dxfId="2187" priority="98" stopIfTrue="1" operator="equal">
      <formula>$H$7</formula>
    </cfRule>
    <cfRule type="cellIs" dxfId="2186" priority="99" stopIfTrue="1" operator="lessThan">
      <formula>$H$7</formula>
    </cfRule>
  </conditionalFormatting>
  <conditionalFormatting sqref="I8">
    <cfRule type="cellIs" dxfId="2185" priority="112" stopIfTrue="1" operator="equal">
      <formula>$H$8</formula>
    </cfRule>
    <cfRule type="cellIs" dxfId="2184" priority="113" stopIfTrue="1" operator="lessThan">
      <formula>$H$8</formula>
    </cfRule>
  </conditionalFormatting>
  <conditionalFormatting sqref="I9">
    <cfRule type="cellIs" dxfId="2183" priority="126" stopIfTrue="1" operator="equal">
      <formula>$H$9</formula>
    </cfRule>
    <cfRule type="cellIs" dxfId="2182" priority="127" stopIfTrue="1" operator="lessThan">
      <formula>$H$9</formula>
    </cfRule>
  </conditionalFormatting>
  <conditionalFormatting sqref="I10">
    <cfRule type="cellIs" dxfId="2181" priority="140" stopIfTrue="1" operator="equal">
      <formula>$H$10</formula>
    </cfRule>
    <cfRule type="cellIs" dxfId="2180" priority="141" stopIfTrue="1" operator="lessThan">
      <formula>$H$10</formula>
    </cfRule>
  </conditionalFormatting>
  <conditionalFormatting sqref="I11">
    <cfRule type="cellIs" dxfId="2179" priority="155" stopIfTrue="1" operator="lessThan">
      <formula>$H$11</formula>
    </cfRule>
    <cfRule type="cellIs" dxfId="2178" priority="154" stopIfTrue="1" operator="equal">
      <formula>$H$11</formula>
    </cfRule>
  </conditionalFormatting>
  <conditionalFormatting sqref="I12">
    <cfRule type="cellIs" dxfId="2177" priority="169" stopIfTrue="1" operator="lessThan">
      <formula>$H$12</formula>
    </cfRule>
    <cfRule type="cellIs" dxfId="2176" priority="168" stopIfTrue="1" operator="equal">
      <formula>$H$12</formula>
    </cfRule>
  </conditionalFormatting>
  <conditionalFormatting sqref="I13">
    <cfRule type="cellIs" dxfId="2175" priority="339" stopIfTrue="1" operator="lessThan">
      <formula>$H$13</formula>
    </cfRule>
    <cfRule type="cellIs" dxfId="2174" priority="338" stopIfTrue="1" operator="equal">
      <formula>$H$13</formula>
    </cfRule>
  </conditionalFormatting>
  <conditionalFormatting sqref="I14">
    <cfRule type="cellIs" dxfId="2173" priority="341" stopIfTrue="1" operator="lessThan">
      <formula>$H$14</formula>
    </cfRule>
    <cfRule type="cellIs" dxfId="2172" priority="340" stopIfTrue="1" operator="equal">
      <formula>$H$14</formula>
    </cfRule>
  </conditionalFormatting>
  <conditionalFormatting sqref="I15">
    <cfRule type="cellIs" dxfId="2171" priority="343" stopIfTrue="1" operator="lessThan">
      <formula>$H$15</formula>
    </cfRule>
    <cfRule type="cellIs" dxfId="2170" priority="342" stopIfTrue="1" operator="equal">
      <formula>$H$15</formula>
    </cfRule>
  </conditionalFormatting>
  <conditionalFormatting sqref="I16">
    <cfRule type="cellIs" dxfId="2169" priority="344" stopIfTrue="1" operator="equal">
      <formula>$H$16</formula>
    </cfRule>
    <cfRule type="cellIs" dxfId="2168" priority="345" stopIfTrue="1" operator="lessThan">
      <formula>$H$16</formula>
    </cfRule>
  </conditionalFormatting>
  <conditionalFormatting sqref="I17">
    <cfRule type="cellIs" dxfId="2167" priority="346" stopIfTrue="1" operator="equal">
      <formula>$H$17</formula>
    </cfRule>
    <cfRule type="cellIs" dxfId="2166" priority="347" stopIfTrue="1" operator="lessThan">
      <formula>$H$17</formula>
    </cfRule>
  </conditionalFormatting>
  <conditionalFormatting sqref="I18">
    <cfRule type="cellIs" dxfId="2165" priority="348" stopIfTrue="1" operator="equal">
      <formula>$H$18</formula>
    </cfRule>
    <cfRule type="cellIs" dxfId="2164" priority="349" stopIfTrue="1" operator="lessThan">
      <formula>$H$18</formula>
    </cfRule>
  </conditionalFormatting>
  <conditionalFormatting sqref="I19">
    <cfRule type="cellIs" dxfId="2163" priority="350" stopIfTrue="1" operator="equal">
      <formula>$H$19</formula>
    </cfRule>
    <cfRule type="cellIs" dxfId="2162" priority="351" stopIfTrue="1" operator="lessThan">
      <formula>$H$19</formula>
    </cfRule>
  </conditionalFormatting>
  <conditionalFormatting sqref="I20">
    <cfRule type="cellIs" dxfId="2161" priority="353" stopIfTrue="1" operator="lessThan">
      <formula>$H$20</formula>
    </cfRule>
    <cfRule type="cellIs" dxfId="2160" priority="352" stopIfTrue="1" operator="equal">
      <formula>$H$20</formula>
    </cfRule>
  </conditionalFormatting>
  <conditionalFormatting sqref="I21">
    <cfRule type="cellIs" dxfId="2159" priority="355" stopIfTrue="1" operator="lessThan">
      <formula>$H$21</formula>
    </cfRule>
    <cfRule type="cellIs" dxfId="2158" priority="354" stopIfTrue="1" operator="equal">
      <formula>$H$21</formula>
    </cfRule>
  </conditionalFormatting>
  <conditionalFormatting sqref="I22">
    <cfRule type="cellIs" dxfId="2157" priority="356" stopIfTrue="1" operator="equal">
      <formula>$H$22</formula>
    </cfRule>
    <cfRule type="cellIs" dxfId="2156" priority="357" stopIfTrue="1" operator="lessThan">
      <formula>$H$22</formula>
    </cfRule>
  </conditionalFormatting>
  <conditionalFormatting sqref="I23">
    <cfRule type="cellIs" dxfId="2155" priority="359" stopIfTrue="1" operator="lessThan">
      <formula>$H$23</formula>
    </cfRule>
    <cfRule type="cellIs" dxfId="2154" priority="358" stopIfTrue="1" operator="equal">
      <formula>$H$23</formula>
    </cfRule>
  </conditionalFormatting>
  <conditionalFormatting sqref="I24">
    <cfRule type="cellIs" dxfId="2153" priority="361" stopIfTrue="1" operator="lessThan">
      <formula>$H$24</formula>
    </cfRule>
    <cfRule type="cellIs" dxfId="2152" priority="360" stopIfTrue="1" operator="equal">
      <formula>$H$24</formula>
    </cfRule>
  </conditionalFormatting>
  <conditionalFormatting sqref="I25">
    <cfRule type="cellIs" dxfId="2151" priority="363" stopIfTrue="1" operator="lessThan">
      <formula>$H$25</formula>
    </cfRule>
    <cfRule type="cellIs" dxfId="2150" priority="362" stopIfTrue="1" operator="equal">
      <formula>$H$25</formula>
    </cfRule>
  </conditionalFormatting>
  <conditionalFormatting sqref="I26">
    <cfRule type="cellIs" dxfId="2149" priority="365" stopIfTrue="1" operator="lessThan">
      <formula>$H$26</formula>
    </cfRule>
    <cfRule type="cellIs" dxfId="2148" priority="364" stopIfTrue="1" operator="equal">
      <formula>$H$26</formula>
    </cfRule>
  </conditionalFormatting>
  <conditionalFormatting sqref="I27">
    <cfRule type="cellIs" dxfId="2147" priority="367" stopIfTrue="1" operator="lessThan">
      <formula>$H$27</formula>
    </cfRule>
    <cfRule type="cellIs" dxfId="2146" priority="366" stopIfTrue="1" operator="equal">
      <formula>$H$27</formula>
    </cfRule>
  </conditionalFormatting>
  <conditionalFormatting sqref="I28">
    <cfRule type="cellIs" dxfId="2145" priority="370" stopIfTrue="1" operator="lessThan">
      <formula>$H$28</formula>
    </cfRule>
    <cfRule type="cellIs" dxfId="2144" priority="369" stopIfTrue="1" operator="equal">
      <formula>$H$28</formula>
    </cfRule>
  </conditionalFormatting>
  <conditionalFormatting sqref="I29">
    <cfRule type="cellIs" dxfId="2143" priority="372" stopIfTrue="1" operator="lessThan">
      <formula>$H$29</formula>
    </cfRule>
    <cfRule type="cellIs" dxfId="2142" priority="371" stopIfTrue="1" operator="equal">
      <formula>$H$29</formula>
    </cfRule>
  </conditionalFormatting>
  <conditionalFormatting sqref="J4">
    <cfRule type="cellIs" dxfId="2141" priority="74" stopIfTrue="1" operator="lessThan">
      <formula>$I$4</formula>
    </cfRule>
    <cfRule type="cellIs" dxfId="2140" priority="75" stopIfTrue="1" operator="equal">
      <formula>$I$4</formula>
    </cfRule>
  </conditionalFormatting>
  <conditionalFormatting sqref="J5">
    <cfRule type="cellIs" dxfId="2139" priority="62" stopIfTrue="1" operator="lessThan">
      <formula>$I$5</formula>
    </cfRule>
    <cfRule type="cellIs" dxfId="2138" priority="61" stopIfTrue="1" operator="equal">
      <formula>$I$5</formula>
    </cfRule>
  </conditionalFormatting>
  <conditionalFormatting sqref="J6">
    <cfRule type="cellIs" dxfId="2137" priority="89" stopIfTrue="1" operator="lessThan">
      <formula>$I$6</formula>
    </cfRule>
    <cfRule type="cellIs" dxfId="2136" priority="88" stopIfTrue="1" operator="equal">
      <formula>$I$6</formula>
    </cfRule>
  </conditionalFormatting>
  <conditionalFormatting sqref="J7">
    <cfRule type="cellIs" dxfId="2135" priority="101" stopIfTrue="1" operator="lessThan">
      <formula>$I$7</formula>
    </cfRule>
    <cfRule type="cellIs" dxfId="2134" priority="100" stopIfTrue="1" operator="equal">
      <formula>$I$7</formula>
    </cfRule>
  </conditionalFormatting>
  <conditionalFormatting sqref="J8">
    <cfRule type="cellIs" dxfId="2133" priority="115" stopIfTrue="1" operator="lessThan">
      <formula>$I$8</formula>
    </cfRule>
    <cfRule type="cellIs" dxfId="2132" priority="114" stopIfTrue="1" operator="equal">
      <formula>$I$8</formula>
    </cfRule>
  </conditionalFormatting>
  <conditionalFormatting sqref="J9">
    <cfRule type="cellIs" dxfId="2131" priority="129" stopIfTrue="1" operator="lessThan">
      <formula>$I$9</formula>
    </cfRule>
    <cfRule type="cellIs" dxfId="2130" priority="128" stopIfTrue="1" operator="equal">
      <formula>$I$9</formula>
    </cfRule>
  </conditionalFormatting>
  <conditionalFormatting sqref="J10">
    <cfRule type="cellIs" dxfId="2129" priority="143" stopIfTrue="1" operator="lessThan">
      <formula>$I$10</formula>
    </cfRule>
    <cfRule type="cellIs" dxfId="2128" priority="142" stopIfTrue="1" operator="equal">
      <formula>$I$10</formula>
    </cfRule>
  </conditionalFormatting>
  <conditionalFormatting sqref="J11">
    <cfRule type="cellIs" dxfId="2127" priority="157" stopIfTrue="1" operator="lessThan">
      <formula>$I$11</formula>
    </cfRule>
    <cfRule type="cellIs" dxfId="2126" priority="156" stopIfTrue="1" operator="equal">
      <formula>$I$11</formula>
    </cfRule>
  </conditionalFormatting>
  <conditionalFormatting sqref="J12">
    <cfRule type="cellIs" dxfId="2125" priority="171" stopIfTrue="1" operator="lessThan">
      <formula>$I$12</formula>
    </cfRule>
    <cfRule type="cellIs" dxfId="2124" priority="170" stopIfTrue="1" operator="equal">
      <formula>$I$12</formula>
    </cfRule>
  </conditionalFormatting>
  <conditionalFormatting sqref="J13">
    <cfRule type="cellIs" dxfId="2123" priority="373" stopIfTrue="1" operator="equal">
      <formula>$I$13</formula>
    </cfRule>
    <cfRule type="cellIs" dxfId="2122" priority="374" stopIfTrue="1" operator="lessThan">
      <formula>$I$13</formula>
    </cfRule>
  </conditionalFormatting>
  <conditionalFormatting sqref="J14">
    <cfRule type="cellIs" dxfId="2121" priority="376" stopIfTrue="1" operator="lessThan">
      <formula>$I$14</formula>
    </cfRule>
    <cfRule type="cellIs" dxfId="2120" priority="375" stopIfTrue="1" operator="equal">
      <formula>$I$14</formula>
    </cfRule>
  </conditionalFormatting>
  <conditionalFormatting sqref="J15">
    <cfRule type="cellIs" dxfId="2119" priority="378" stopIfTrue="1" operator="lessThan">
      <formula>$I$15</formula>
    </cfRule>
    <cfRule type="cellIs" dxfId="2118" priority="377" stopIfTrue="1" operator="equal">
      <formula>$I$15</formula>
    </cfRule>
  </conditionalFormatting>
  <conditionalFormatting sqref="J16">
    <cfRule type="cellIs" dxfId="2117" priority="379" stopIfTrue="1" operator="equal">
      <formula>$I$16</formula>
    </cfRule>
    <cfRule type="cellIs" dxfId="2116" priority="380" stopIfTrue="1" operator="lessThan">
      <formula>$I$16</formula>
    </cfRule>
  </conditionalFormatting>
  <conditionalFormatting sqref="J17">
    <cfRule type="cellIs" dxfId="2115" priority="381" stopIfTrue="1" operator="equal">
      <formula>$I$17</formula>
    </cfRule>
    <cfRule type="cellIs" dxfId="2114" priority="382" stopIfTrue="1" operator="lessThan">
      <formula>$I$17</formula>
    </cfRule>
  </conditionalFormatting>
  <conditionalFormatting sqref="J18">
    <cfRule type="cellIs" dxfId="2113" priority="383" stopIfTrue="1" operator="equal">
      <formula>$I$18</formula>
    </cfRule>
    <cfRule type="cellIs" dxfId="2112" priority="384" stopIfTrue="1" operator="lessThan">
      <formula>$I$18</formula>
    </cfRule>
  </conditionalFormatting>
  <conditionalFormatting sqref="J19">
    <cfRule type="cellIs" dxfId="2111" priority="385" stopIfTrue="1" operator="equal">
      <formula>$I$19</formula>
    </cfRule>
    <cfRule type="cellIs" dxfId="2110" priority="386" stopIfTrue="1" operator="lessThan">
      <formula>$I$19</formula>
    </cfRule>
  </conditionalFormatting>
  <conditionalFormatting sqref="J20">
    <cfRule type="cellIs" dxfId="2109" priority="387" stopIfTrue="1" operator="equal">
      <formula>$I$20</formula>
    </cfRule>
    <cfRule type="cellIs" dxfId="2108" priority="388" stopIfTrue="1" operator="lessThan">
      <formula>$I$20</formula>
    </cfRule>
  </conditionalFormatting>
  <conditionalFormatting sqref="J21">
    <cfRule type="cellIs" dxfId="2107" priority="389" stopIfTrue="1" operator="equal">
      <formula>$I$21</formula>
    </cfRule>
    <cfRule type="cellIs" dxfId="2106" priority="390" stopIfTrue="1" operator="lessThan">
      <formula>$I$21</formula>
    </cfRule>
  </conditionalFormatting>
  <conditionalFormatting sqref="J22">
    <cfRule type="cellIs" dxfId="2105" priority="391" stopIfTrue="1" operator="equal">
      <formula>$I$22</formula>
    </cfRule>
    <cfRule type="cellIs" dxfId="2104" priority="392" stopIfTrue="1" operator="lessThan">
      <formula>$I$22</formula>
    </cfRule>
  </conditionalFormatting>
  <conditionalFormatting sqref="J23">
    <cfRule type="cellIs" dxfId="2103" priority="393" stopIfTrue="1" operator="equal">
      <formula>$I$23</formula>
    </cfRule>
    <cfRule type="cellIs" dxfId="2102" priority="394" stopIfTrue="1" operator="lessThan">
      <formula>$I$23</formula>
    </cfRule>
  </conditionalFormatting>
  <conditionalFormatting sqref="J24">
    <cfRule type="cellIs" dxfId="2101" priority="396" stopIfTrue="1" operator="lessThan">
      <formula>$I$24</formula>
    </cfRule>
    <cfRule type="cellIs" dxfId="2100" priority="395" stopIfTrue="1" operator="equal">
      <formula>$I$24</formula>
    </cfRule>
  </conditionalFormatting>
  <conditionalFormatting sqref="J25">
    <cfRule type="cellIs" dxfId="2099" priority="397" stopIfTrue="1" operator="equal">
      <formula>$I$25</formula>
    </cfRule>
    <cfRule type="cellIs" dxfId="2098" priority="398" stopIfTrue="1" operator="lessThan">
      <formula>$I$25</formula>
    </cfRule>
  </conditionalFormatting>
  <conditionalFormatting sqref="J26">
    <cfRule type="cellIs" dxfId="2097" priority="399" stopIfTrue="1" operator="equal">
      <formula>$I$26</formula>
    </cfRule>
    <cfRule type="cellIs" dxfId="2096" priority="400" stopIfTrue="1" operator="lessThan">
      <formula>$I$26</formula>
    </cfRule>
  </conditionalFormatting>
  <conditionalFormatting sqref="J27">
    <cfRule type="cellIs" dxfId="2095" priority="401" stopIfTrue="1" operator="equal">
      <formula>$I$27</formula>
    </cfRule>
    <cfRule type="cellIs" dxfId="2094" priority="402" stopIfTrue="1" operator="lessThan">
      <formula>$I$27</formula>
    </cfRule>
  </conditionalFormatting>
  <conditionalFormatting sqref="J28">
    <cfRule type="cellIs" dxfId="2093" priority="403" stopIfTrue="1" operator="equal">
      <formula>$I$28</formula>
    </cfRule>
    <cfRule type="cellIs" dxfId="2092" priority="404" stopIfTrue="1" operator="lessThan">
      <formula>$I$28</formula>
    </cfRule>
  </conditionalFormatting>
  <conditionalFormatting sqref="K4">
    <cfRule type="cellIs" dxfId="2091" priority="405" stopIfTrue="1" operator="equal">
      <formula>$J$4</formula>
    </cfRule>
    <cfRule type="cellIs" dxfId="2090" priority="406" stopIfTrue="1" operator="lessThan">
      <formula>$J$4</formula>
    </cfRule>
  </conditionalFormatting>
  <conditionalFormatting sqref="K5">
    <cfRule type="cellIs" dxfId="2089" priority="407" stopIfTrue="1" operator="equal">
      <formula>$J$5</formula>
    </cfRule>
    <cfRule type="cellIs" dxfId="2088" priority="408" stopIfTrue="1" operator="lessThan">
      <formula>$J$5</formula>
    </cfRule>
  </conditionalFormatting>
  <conditionalFormatting sqref="K6">
    <cfRule type="cellIs" dxfId="2087" priority="409" stopIfTrue="1" operator="equal">
      <formula>$J$6</formula>
    </cfRule>
    <cfRule type="cellIs" dxfId="2086" priority="410" stopIfTrue="1" operator="lessThan">
      <formula>$J$6</formula>
    </cfRule>
  </conditionalFormatting>
  <conditionalFormatting sqref="K7">
    <cfRule type="cellIs" dxfId="2085" priority="411" stopIfTrue="1" operator="equal">
      <formula>$J$7</formula>
    </cfRule>
    <cfRule type="cellIs" dxfId="2084" priority="412" stopIfTrue="1" operator="lessThan">
      <formula>$J$7</formula>
    </cfRule>
  </conditionalFormatting>
  <conditionalFormatting sqref="K8">
    <cfRule type="cellIs" dxfId="2083" priority="413" stopIfTrue="1" operator="equal">
      <formula>$J$8</formula>
    </cfRule>
    <cfRule type="cellIs" dxfId="2082" priority="414" stopIfTrue="1" operator="lessThan">
      <formula>$J$8</formula>
    </cfRule>
  </conditionalFormatting>
  <conditionalFormatting sqref="K9">
    <cfRule type="cellIs" dxfId="2081" priority="416" stopIfTrue="1" operator="lessThan">
      <formula>$J$9</formula>
    </cfRule>
    <cfRule type="cellIs" dxfId="2080" priority="415" stopIfTrue="1" operator="equal">
      <formula>$J$9</formula>
    </cfRule>
  </conditionalFormatting>
  <conditionalFormatting sqref="K10">
    <cfRule type="cellIs" dxfId="2079" priority="418" stopIfTrue="1" operator="lessThan">
      <formula>$J$10</formula>
    </cfRule>
    <cfRule type="cellIs" dxfId="2078" priority="417" stopIfTrue="1" operator="equal">
      <formula>$J$10</formula>
    </cfRule>
  </conditionalFormatting>
  <conditionalFormatting sqref="K11">
    <cfRule type="cellIs" dxfId="2077" priority="419" stopIfTrue="1" operator="equal">
      <formula>$J$11</formula>
    </cfRule>
    <cfRule type="cellIs" dxfId="2076" priority="420" stopIfTrue="1" operator="lessThan">
      <formula>$J$11</formula>
    </cfRule>
  </conditionalFormatting>
  <conditionalFormatting sqref="K12">
    <cfRule type="cellIs" dxfId="2075" priority="421" stopIfTrue="1" operator="equal">
      <formula>$J$12</formula>
    </cfRule>
    <cfRule type="cellIs" dxfId="2074" priority="422" stopIfTrue="1" operator="lessThan">
      <formula>$J$12</formula>
    </cfRule>
  </conditionalFormatting>
  <conditionalFormatting sqref="K13">
    <cfRule type="cellIs" dxfId="2073" priority="423" stopIfTrue="1" operator="equal">
      <formula>$J$13</formula>
    </cfRule>
    <cfRule type="cellIs" dxfId="2072" priority="424" stopIfTrue="1" operator="lessThan">
      <formula>$J$13</formula>
    </cfRule>
  </conditionalFormatting>
  <conditionalFormatting sqref="K14">
    <cfRule type="cellIs" dxfId="2071" priority="425" stopIfTrue="1" operator="equal">
      <formula>$J$14</formula>
    </cfRule>
    <cfRule type="cellIs" dxfId="2070" priority="426" stopIfTrue="1" operator="lessThan">
      <formula>$J$14</formula>
    </cfRule>
  </conditionalFormatting>
  <conditionalFormatting sqref="K15">
    <cfRule type="cellIs" dxfId="2069" priority="427" stopIfTrue="1" operator="equal">
      <formula>$J$15</formula>
    </cfRule>
    <cfRule type="cellIs" dxfId="2068" priority="428" stopIfTrue="1" operator="lessThan">
      <formula>$J$15</formula>
    </cfRule>
  </conditionalFormatting>
  <conditionalFormatting sqref="K16">
    <cfRule type="cellIs" dxfId="2067" priority="429" stopIfTrue="1" operator="equal">
      <formula>$J$16</formula>
    </cfRule>
    <cfRule type="cellIs" dxfId="2066" priority="430" stopIfTrue="1" operator="lessThan">
      <formula>$J$16</formula>
    </cfRule>
  </conditionalFormatting>
  <conditionalFormatting sqref="K17">
    <cfRule type="cellIs" dxfId="2065" priority="431" stopIfTrue="1" operator="equal">
      <formula>$J$17</formula>
    </cfRule>
    <cfRule type="cellIs" dxfId="2064" priority="432" stopIfTrue="1" operator="lessThan">
      <formula>$J$17</formula>
    </cfRule>
  </conditionalFormatting>
  <conditionalFormatting sqref="K18">
    <cfRule type="cellIs" dxfId="2063" priority="433" stopIfTrue="1" operator="equal">
      <formula>$J$18</formula>
    </cfRule>
    <cfRule type="cellIs" dxfId="2062" priority="434" stopIfTrue="1" operator="lessThan">
      <formula>$J$18</formula>
    </cfRule>
  </conditionalFormatting>
  <conditionalFormatting sqref="K19">
    <cfRule type="cellIs" dxfId="2061" priority="436" stopIfTrue="1" operator="lessThan">
      <formula>$J$19</formula>
    </cfRule>
    <cfRule type="cellIs" dxfId="2060" priority="435" stopIfTrue="1" operator="equal">
      <formula>$J$19</formula>
    </cfRule>
  </conditionalFormatting>
  <conditionalFormatting sqref="K20">
    <cfRule type="cellIs" dxfId="2059" priority="438" stopIfTrue="1" operator="lessThan">
      <formula>$J$20</formula>
    </cfRule>
    <cfRule type="cellIs" dxfId="2058" priority="437" stopIfTrue="1" operator="equal">
      <formula>$J$20</formula>
    </cfRule>
  </conditionalFormatting>
  <conditionalFormatting sqref="K21">
    <cfRule type="cellIs" dxfId="2057" priority="439" stopIfTrue="1" operator="equal">
      <formula>$J$21</formula>
    </cfRule>
    <cfRule type="cellIs" dxfId="2056" priority="440" stopIfTrue="1" operator="lessThan">
      <formula>$J$21</formula>
    </cfRule>
  </conditionalFormatting>
  <conditionalFormatting sqref="K22">
    <cfRule type="cellIs" dxfId="2055" priority="441" stopIfTrue="1" operator="equal">
      <formula>$J$22</formula>
    </cfRule>
    <cfRule type="cellIs" dxfId="2054" priority="442" stopIfTrue="1" operator="lessThan">
      <formula>$J$22</formula>
    </cfRule>
  </conditionalFormatting>
  <conditionalFormatting sqref="K23">
    <cfRule type="cellIs" dxfId="2053" priority="443" stopIfTrue="1" operator="equal">
      <formula>$J$23</formula>
    </cfRule>
    <cfRule type="cellIs" dxfId="2052" priority="444" stopIfTrue="1" operator="lessThan">
      <formula>$J$23</formula>
    </cfRule>
  </conditionalFormatting>
  <conditionalFormatting sqref="K24">
    <cfRule type="cellIs" dxfId="2051" priority="445" stopIfTrue="1" operator="equal">
      <formula>$J$24</formula>
    </cfRule>
    <cfRule type="cellIs" dxfId="2050" priority="446" stopIfTrue="1" operator="lessThan">
      <formula>$J$24</formula>
    </cfRule>
  </conditionalFormatting>
  <conditionalFormatting sqref="K25">
    <cfRule type="cellIs" dxfId="2049" priority="447" stopIfTrue="1" operator="equal">
      <formula>$J$25</formula>
    </cfRule>
    <cfRule type="cellIs" dxfId="2048" priority="448" stopIfTrue="1" operator="lessThan">
      <formula>$J$25</formula>
    </cfRule>
  </conditionalFormatting>
  <conditionalFormatting sqref="K26">
    <cfRule type="cellIs" dxfId="2047" priority="449" stopIfTrue="1" operator="equal">
      <formula>$J$26</formula>
    </cfRule>
    <cfRule type="cellIs" dxfId="2046" priority="450" stopIfTrue="1" operator="lessThan">
      <formula>$J$26</formula>
    </cfRule>
  </conditionalFormatting>
  <conditionalFormatting sqref="K27">
    <cfRule type="cellIs" dxfId="2045" priority="451" stopIfTrue="1" operator="equal">
      <formula>$J$27</formula>
    </cfRule>
    <cfRule type="cellIs" dxfId="2044" priority="452" stopIfTrue="1" operator="lessThan">
      <formula>$J$27</formula>
    </cfRule>
  </conditionalFormatting>
  <conditionalFormatting sqref="K28">
    <cfRule type="cellIs" dxfId="2043" priority="453" stopIfTrue="1" operator="lessThan">
      <formula>$J$28</formula>
    </cfRule>
    <cfRule type="cellIs" dxfId="2042" priority="454" stopIfTrue="1" operator="equal">
      <formula>$J$28</formula>
    </cfRule>
  </conditionalFormatting>
  <conditionalFormatting sqref="K29">
    <cfRule type="cellIs" dxfId="2041" priority="456" stopIfTrue="1" operator="lessThan">
      <formula>$J$29</formula>
    </cfRule>
    <cfRule type="cellIs" dxfId="2040" priority="455" stopIfTrue="1" operator="equal">
      <formula>$J$29</formula>
    </cfRule>
  </conditionalFormatting>
  <conditionalFormatting sqref="L4">
    <cfRule type="cellIs" dxfId="2039" priority="458" stopIfTrue="1" operator="lessThan">
      <formula>$K$4</formula>
    </cfRule>
    <cfRule type="cellIs" dxfId="2038" priority="457" stopIfTrue="1" operator="equal">
      <formula>$K$4</formula>
    </cfRule>
  </conditionalFormatting>
  <conditionalFormatting sqref="L5">
    <cfRule type="cellIs" dxfId="2037" priority="459" stopIfTrue="1" operator="equal">
      <formula>$K$5</formula>
    </cfRule>
    <cfRule type="cellIs" dxfId="2036" priority="460" stopIfTrue="1" operator="lessThan">
      <formula>$K$5</formula>
    </cfRule>
  </conditionalFormatting>
  <conditionalFormatting sqref="L6">
    <cfRule type="cellIs" dxfId="2035" priority="461" stopIfTrue="1" operator="equal">
      <formula>$K$6</formula>
    </cfRule>
    <cfRule type="cellIs" dxfId="2034" priority="462" stopIfTrue="1" operator="lessThan">
      <formula>$K$6</formula>
    </cfRule>
  </conditionalFormatting>
  <conditionalFormatting sqref="L7">
    <cfRule type="cellIs" dxfId="2033" priority="463" stopIfTrue="1" operator="equal">
      <formula>$K$7</formula>
    </cfRule>
    <cfRule type="cellIs" dxfId="2032" priority="464" stopIfTrue="1" operator="lessThan">
      <formula>$K$7</formula>
    </cfRule>
  </conditionalFormatting>
  <conditionalFormatting sqref="L8">
    <cfRule type="cellIs" dxfId="2031" priority="465" stopIfTrue="1" operator="equal">
      <formula>$K$8</formula>
    </cfRule>
    <cfRule type="cellIs" dxfId="2030" priority="466" stopIfTrue="1" operator="lessThan">
      <formula>$K$8</formula>
    </cfRule>
  </conditionalFormatting>
  <conditionalFormatting sqref="L9">
    <cfRule type="cellIs" dxfId="2029" priority="467" stopIfTrue="1" operator="equal">
      <formula>$K$9</formula>
    </cfRule>
    <cfRule type="cellIs" dxfId="2028" priority="468" stopIfTrue="1" operator="lessThan">
      <formula>$K$9</formula>
    </cfRule>
  </conditionalFormatting>
  <conditionalFormatting sqref="L10">
    <cfRule type="cellIs" dxfId="2027" priority="469" stopIfTrue="1" operator="equal">
      <formula>$K$10</formula>
    </cfRule>
    <cfRule type="cellIs" dxfId="2026" priority="470" stopIfTrue="1" operator="lessThan">
      <formula>$K$10</formula>
    </cfRule>
  </conditionalFormatting>
  <conditionalFormatting sqref="L11">
    <cfRule type="cellIs" dxfId="2025" priority="491" stopIfTrue="1" operator="equal">
      <formula>$K$11</formula>
    </cfRule>
    <cfRule type="cellIs" dxfId="2024" priority="492" stopIfTrue="1" operator="lessThan">
      <formula>$K$11</formula>
    </cfRule>
  </conditionalFormatting>
  <conditionalFormatting sqref="L12">
    <cfRule type="cellIs" dxfId="2023" priority="471" stopIfTrue="1" operator="equal">
      <formula>$K$12</formula>
    </cfRule>
    <cfRule type="cellIs" dxfId="2022" priority="472" stopIfTrue="1" operator="lessThan">
      <formula>$K$12</formula>
    </cfRule>
  </conditionalFormatting>
  <conditionalFormatting sqref="L13">
    <cfRule type="cellIs" dxfId="2021" priority="473" stopIfTrue="1" operator="equal">
      <formula>$K$13</formula>
    </cfRule>
    <cfRule type="cellIs" dxfId="2020" priority="474" stopIfTrue="1" operator="lessThan">
      <formula>$K$13</formula>
    </cfRule>
  </conditionalFormatting>
  <conditionalFormatting sqref="L14">
    <cfRule type="cellIs" dxfId="2019" priority="476" stopIfTrue="1" operator="lessThan">
      <formula>$K$14</formula>
    </cfRule>
    <cfRule type="cellIs" dxfId="2018" priority="475" stopIfTrue="1" operator="equal">
      <formula>$K$14</formula>
    </cfRule>
  </conditionalFormatting>
  <conditionalFormatting sqref="L15">
    <cfRule type="cellIs" dxfId="2017" priority="477" stopIfTrue="1" operator="equal">
      <formula>$K$15</formula>
    </cfRule>
    <cfRule type="cellIs" dxfId="2016" priority="478" stopIfTrue="1" operator="lessThan">
      <formula>$K$15</formula>
    </cfRule>
  </conditionalFormatting>
  <conditionalFormatting sqref="L16">
    <cfRule type="cellIs" dxfId="2015" priority="479" stopIfTrue="1" operator="equal">
      <formula>$K$16</formula>
    </cfRule>
    <cfRule type="cellIs" dxfId="2014" priority="480" stopIfTrue="1" operator="lessThan">
      <formula>$K$16</formula>
    </cfRule>
  </conditionalFormatting>
  <conditionalFormatting sqref="L17">
    <cfRule type="cellIs" dxfId="2013" priority="481" stopIfTrue="1" operator="equal">
      <formula>$K$17</formula>
    </cfRule>
    <cfRule type="cellIs" dxfId="2012" priority="482" stopIfTrue="1" operator="lessThan">
      <formula>$K$17</formula>
    </cfRule>
  </conditionalFormatting>
  <conditionalFormatting sqref="L18">
    <cfRule type="cellIs" dxfId="2011" priority="483" stopIfTrue="1" operator="equal">
      <formula>$K$18</formula>
    </cfRule>
    <cfRule type="cellIs" dxfId="2010" priority="484" stopIfTrue="1" operator="lessThan">
      <formula>$K$18</formula>
    </cfRule>
  </conditionalFormatting>
  <conditionalFormatting sqref="L19">
    <cfRule type="cellIs" dxfId="2009" priority="485" stopIfTrue="1" operator="equal">
      <formula>$K$19</formula>
    </cfRule>
    <cfRule type="cellIs" dxfId="2008" priority="486" stopIfTrue="1" operator="lessThan">
      <formula>$K$19</formula>
    </cfRule>
  </conditionalFormatting>
  <conditionalFormatting sqref="L20">
    <cfRule type="cellIs" dxfId="2007" priority="487" stopIfTrue="1" operator="equal">
      <formula>$K$20</formula>
    </cfRule>
    <cfRule type="cellIs" dxfId="2006" priority="488" stopIfTrue="1" operator="lessThan">
      <formula>$K$20</formula>
    </cfRule>
  </conditionalFormatting>
  <conditionalFormatting sqref="L21">
    <cfRule type="cellIs" dxfId="2005" priority="489" stopIfTrue="1" operator="equal">
      <formula>$K$21</formula>
    </cfRule>
    <cfRule type="cellIs" dxfId="2004" priority="490" stopIfTrue="1" operator="lessThan">
      <formula>$K$21</formula>
    </cfRule>
  </conditionalFormatting>
  <conditionalFormatting sqref="L22">
    <cfRule type="cellIs" dxfId="2003" priority="493" stopIfTrue="1" operator="equal">
      <formula>$K$22</formula>
    </cfRule>
    <cfRule type="cellIs" dxfId="2002" priority="494" stopIfTrue="1" operator="lessThan">
      <formula>$K$22</formula>
    </cfRule>
  </conditionalFormatting>
  <conditionalFormatting sqref="L23">
    <cfRule type="cellIs" dxfId="2001" priority="496" stopIfTrue="1" operator="lessThan">
      <formula>$K$23</formula>
    </cfRule>
    <cfRule type="cellIs" dxfId="2000" priority="495" stopIfTrue="1" operator="equal">
      <formula>$K$23</formula>
    </cfRule>
  </conditionalFormatting>
  <conditionalFormatting sqref="L24">
    <cfRule type="cellIs" dxfId="1999" priority="498" stopIfTrue="1" operator="lessThan">
      <formula>$K$24</formula>
    </cfRule>
    <cfRule type="cellIs" dxfId="1998" priority="497" stopIfTrue="1" operator="equal">
      <formula>$K$24</formula>
    </cfRule>
  </conditionalFormatting>
  <conditionalFormatting sqref="L25">
    <cfRule type="cellIs" dxfId="1997" priority="499" stopIfTrue="1" operator="equal">
      <formula>$K$25</formula>
    </cfRule>
    <cfRule type="cellIs" dxfId="1996" priority="500" stopIfTrue="1" operator="lessThan">
      <formula>$K$25</formula>
    </cfRule>
  </conditionalFormatting>
  <conditionalFormatting sqref="L26">
    <cfRule type="cellIs" dxfId="1995" priority="501" stopIfTrue="1" operator="equal">
      <formula>$K$26</formula>
    </cfRule>
    <cfRule type="cellIs" dxfId="1994" priority="502" stopIfTrue="1" operator="lessThan">
      <formula>$K$26</formula>
    </cfRule>
  </conditionalFormatting>
  <conditionalFormatting sqref="L27">
    <cfRule type="cellIs" dxfId="1993" priority="503" stopIfTrue="1" operator="equal">
      <formula>$K$27</formula>
    </cfRule>
    <cfRule type="cellIs" dxfId="1992" priority="504" stopIfTrue="1" operator="lessThan">
      <formula>$K$27</formula>
    </cfRule>
  </conditionalFormatting>
  <conditionalFormatting sqref="L28">
    <cfRule type="cellIs" dxfId="1991" priority="505" stopIfTrue="1" operator="equal">
      <formula>$K$28</formula>
    </cfRule>
    <cfRule type="cellIs" dxfId="1990" priority="506" stopIfTrue="1" operator="lessThan">
      <formula>$K$28</formula>
    </cfRule>
  </conditionalFormatting>
  <conditionalFormatting sqref="M4">
    <cfRule type="cellIs" dxfId="1989" priority="507" stopIfTrue="1" operator="lessThan">
      <formula>$L$4</formula>
    </cfRule>
    <cfRule type="cellIs" dxfId="1988" priority="508" stopIfTrue="1" operator="equal">
      <formula>$L$4</formula>
    </cfRule>
  </conditionalFormatting>
  <conditionalFormatting sqref="M5">
    <cfRule type="cellIs" dxfId="1987" priority="509" stopIfTrue="1" operator="equal">
      <formula>$L$5</formula>
    </cfRule>
    <cfRule type="cellIs" dxfId="1986" priority="510" stopIfTrue="1" operator="lessThan">
      <formula>$L$5</formula>
    </cfRule>
  </conditionalFormatting>
  <conditionalFormatting sqref="M6">
    <cfRule type="cellIs" dxfId="1985" priority="511" stopIfTrue="1" operator="equal">
      <formula>$L$6</formula>
    </cfRule>
    <cfRule type="cellIs" dxfId="1984" priority="512" stopIfTrue="1" operator="lessThan">
      <formula>$L$6</formula>
    </cfRule>
  </conditionalFormatting>
  <conditionalFormatting sqref="M7">
    <cfRule type="cellIs" dxfId="1983" priority="513" stopIfTrue="1" operator="equal">
      <formula>$L$7</formula>
    </cfRule>
    <cfRule type="cellIs" dxfId="1982" priority="514" stopIfTrue="1" operator="lessThan">
      <formula>$L$7</formula>
    </cfRule>
  </conditionalFormatting>
  <conditionalFormatting sqref="M8">
    <cfRule type="cellIs" dxfId="1981" priority="516" stopIfTrue="1" operator="lessThan">
      <formula>$L$8</formula>
    </cfRule>
    <cfRule type="cellIs" dxfId="1980" priority="515" stopIfTrue="1" operator="equal">
      <formula>$L$8</formula>
    </cfRule>
  </conditionalFormatting>
  <conditionalFormatting sqref="M9">
    <cfRule type="cellIs" dxfId="1979" priority="517" stopIfTrue="1" operator="equal">
      <formula>$L$9</formula>
    </cfRule>
    <cfRule type="cellIs" dxfId="1978" priority="518" stopIfTrue="1" operator="lessThan">
      <formula>$L$9</formula>
    </cfRule>
  </conditionalFormatting>
  <conditionalFormatting sqref="M10">
    <cfRule type="cellIs" dxfId="1977" priority="519" stopIfTrue="1" operator="equal">
      <formula>$L$10</formula>
    </cfRule>
    <cfRule type="cellIs" dxfId="1976" priority="520" stopIfTrue="1" operator="lessThan">
      <formula>$L$10</formula>
    </cfRule>
  </conditionalFormatting>
  <conditionalFormatting sqref="M11">
    <cfRule type="cellIs" dxfId="1975" priority="521" stopIfTrue="1" operator="equal">
      <formula>$L$11</formula>
    </cfRule>
    <cfRule type="cellIs" dxfId="1974" priority="522" stopIfTrue="1" operator="lessThan">
      <formula>$L$11</formula>
    </cfRule>
  </conditionalFormatting>
  <conditionalFormatting sqref="M12">
    <cfRule type="cellIs" dxfId="1973" priority="523" stopIfTrue="1" operator="equal">
      <formula>$L$12</formula>
    </cfRule>
    <cfRule type="cellIs" dxfId="1972" priority="524" stopIfTrue="1" operator="lessThan">
      <formula>$L$12</formula>
    </cfRule>
  </conditionalFormatting>
  <conditionalFormatting sqref="M13">
    <cfRule type="cellIs" dxfId="1971" priority="525" stopIfTrue="1" operator="equal">
      <formula>$L$13</formula>
    </cfRule>
    <cfRule type="cellIs" dxfId="1970" priority="526" stopIfTrue="1" operator="lessThan">
      <formula>$L$13</formula>
    </cfRule>
  </conditionalFormatting>
  <conditionalFormatting sqref="M14">
    <cfRule type="cellIs" dxfId="1969" priority="527" stopIfTrue="1" operator="equal">
      <formula>$L$14</formula>
    </cfRule>
    <cfRule type="cellIs" dxfId="1968" priority="528" stopIfTrue="1" operator="lessThan">
      <formula>$L$14</formula>
    </cfRule>
  </conditionalFormatting>
  <conditionalFormatting sqref="M15">
    <cfRule type="cellIs" dxfId="1967" priority="529" stopIfTrue="1" operator="equal">
      <formula>$L$15</formula>
    </cfRule>
    <cfRule type="cellIs" dxfId="1966" priority="530" stopIfTrue="1" operator="lessThan">
      <formula>$L$15</formula>
    </cfRule>
  </conditionalFormatting>
  <conditionalFormatting sqref="M16">
    <cfRule type="cellIs" dxfId="1965" priority="531" stopIfTrue="1" operator="equal">
      <formula>$L$16</formula>
    </cfRule>
    <cfRule type="cellIs" dxfId="1964" priority="532" stopIfTrue="1" operator="lessThan">
      <formula>$L$16</formula>
    </cfRule>
  </conditionalFormatting>
  <conditionalFormatting sqref="M17">
    <cfRule type="cellIs" dxfId="1963" priority="533" stopIfTrue="1" operator="equal">
      <formula>$L$17</formula>
    </cfRule>
    <cfRule type="cellIs" dxfId="1962" priority="534" stopIfTrue="1" operator="lessThan">
      <formula>$L$17</formula>
    </cfRule>
  </conditionalFormatting>
  <conditionalFormatting sqref="M18">
    <cfRule type="cellIs" dxfId="1961" priority="536" stopIfTrue="1" operator="lessThan">
      <formula>$L$18</formula>
    </cfRule>
    <cfRule type="cellIs" dxfId="1960" priority="535" stopIfTrue="1" operator="equal">
      <formula>$L$18</formula>
    </cfRule>
  </conditionalFormatting>
  <conditionalFormatting sqref="M19">
    <cfRule type="cellIs" dxfId="1959" priority="538" stopIfTrue="1" operator="lessThan">
      <formula>$L$19</formula>
    </cfRule>
    <cfRule type="cellIs" dxfId="1958" priority="537" stopIfTrue="1" operator="equal">
      <formula>$L$19</formula>
    </cfRule>
  </conditionalFormatting>
  <conditionalFormatting sqref="M20">
    <cfRule type="cellIs" dxfId="1957" priority="539" stopIfTrue="1" operator="equal">
      <formula>$L$20</formula>
    </cfRule>
    <cfRule type="cellIs" dxfId="1956" priority="540" stopIfTrue="1" operator="lessThan">
      <formula>$L$20</formula>
    </cfRule>
  </conditionalFormatting>
  <conditionalFormatting sqref="M21">
    <cfRule type="cellIs" dxfId="1955" priority="541" stopIfTrue="1" operator="equal">
      <formula>$L$21</formula>
    </cfRule>
    <cfRule type="cellIs" dxfId="1954" priority="542" stopIfTrue="1" operator="lessThan">
      <formula>$L$21</formula>
    </cfRule>
  </conditionalFormatting>
  <conditionalFormatting sqref="M22">
    <cfRule type="cellIs" dxfId="1953" priority="543" stopIfTrue="1" operator="equal">
      <formula>$L$22</formula>
    </cfRule>
    <cfRule type="cellIs" dxfId="1952" priority="544" stopIfTrue="1" operator="lessThan">
      <formula>$L$22</formula>
    </cfRule>
  </conditionalFormatting>
  <conditionalFormatting sqref="M23">
    <cfRule type="cellIs" dxfId="1951" priority="545" stopIfTrue="1" operator="equal">
      <formula>$L$23</formula>
    </cfRule>
    <cfRule type="cellIs" dxfId="1950" priority="546" stopIfTrue="1" operator="lessThan">
      <formula>$L$23</formula>
    </cfRule>
  </conditionalFormatting>
  <conditionalFormatting sqref="M24">
    <cfRule type="cellIs" dxfId="1949" priority="547" stopIfTrue="1" operator="equal">
      <formula>$L$24</formula>
    </cfRule>
    <cfRule type="cellIs" dxfId="1948" priority="548" stopIfTrue="1" operator="lessThan">
      <formula>$L$24</formula>
    </cfRule>
  </conditionalFormatting>
  <conditionalFormatting sqref="M25">
    <cfRule type="cellIs" dxfId="1947" priority="549" stopIfTrue="1" operator="equal">
      <formula>$L$25</formula>
    </cfRule>
    <cfRule type="cellIs" dxfId="1946" priority="550" stopIfTrue="1" operator="lessThan">
      <formula>$L$25</formula>
    </cfRule>
  </conditionalFormatting>
  <conditionalFormatting sqref="M26">
    <cfRule type="cellIs" dxfId="1945" priority="551" stopIfTrue="1" operator="equal">
      <formula>$L$26</formula>
    </cfRule>
    <cfRule type="cellIs" dxfId="1944" priority="552" stopIfTrue="1" operator="lessThan">
      <formula>$L$26</formula>
    </cfRule>
  </conditionalFormatting>
  <conditionalFormatting sqref="M27">
    <cfRule type="cellIs" dxfId="1943" priority="553" stopIfTrue="1" operator="equal">
      <formula>$L$27</formula>
    </cfRule>
    <cfRule type="cellIs" dxfId="1942" priority="554" stopIfTrue="1" operator="lessThan">
      <formula>$L$27</formula>
    </cfRule>
  </conditionalFormatting>
  <conditionalFormatting sqref="M28">
    <cfRule type="cellIs" dxfId="1941" priority="556" stopIfTrue="1" operator="lessThan">
      <formula>$L$28</formula>
    </cfRule>
    <cfRule type="cellIs" dxfId="1940" priority="555" stopIfTrue="1" operator="equal">
      <formula>$L$28</formula>
    </cfRule>
  </conditionalFormatting>
  <conditionalFormatting sqref="N4">
    <cfRule type="cellIs" dxfId="1939" priority="557" stopIfTrue="1" operator="equal">
      <formula>$M$4</formula>
    </cfRule>
    <cfRule type="cellIs" dxfId="1938" priority="558" stopIfTrue="1" operator="lessThan">
      <formula>$M$4</formula>
    </cfRule>
  </conditionalFormatting>
  <conditionalFormatting sqref="N5">
    <cfRule type="cellIs" dxfId="1937" priority="559" stopIfTrue="1" operator="equal">
      <formula>$M$5</formula>
    </cfRule>
    <cfRule type="cellIs" dxfId="1936" priority="560" stopIfTrue="1" operator="lessThan">
      <formula>$M$5</formula>
    </cfRule>
  </conditionalFormatting>
  <conditionalFormatting sqref="N6">
    <cfRule type="cellIs" dxfId="1935" priority="561" stopIfTrue="1" operator="equal">
      <formula>$M$6</formula>
    </cfRule>
    <cfRule type="cellIs" dxfId="1934" priority="562" stopIfTrue="1" operator="lessThan">
      <formula>$M$6</formula>
    </cfRule>
  </conditionalFormatting>
  <conditionalFormatting sqref="N7">
    <cfRule type="cellIs" dxfId="1933" priority="563" stopIfTrue="1" operator="equal">
      <formula>$M$7</formula>
    </cfRule>
    <cfRule type="cellIs" dxfId="1932" priority="564" stopIfTrue="1" operator="lessThan">
      <formula>$M$7</formula>
    </cfRule>
  </conditionalFormatting>
  <conditionalFormatting sqref="N8">
    <cfRule type="cellIs" dxfId="1931" priority="565" stopIfTrue="1" operator="equal">
      <formula>$M$8</formula>
    </cfRule>
    <cfRule type="cellIs" dxfId="1930" priority="566" stopIfTrue="1" operator="lessThan">
      <formula>$M$8</formula>
    </cfRule>
  </conditionalFormatting>
  <conditionalFormatting sqref="N9">
    <cfRule type="cellIs" dxfId="1929" priority="567" stopIfTrue="1" operator="equal">
      <formula>$M$9</formula>
    </cfRule>
    <cfRule type="cellIs" dxfId="1928" priority="568" stopIfTrue="1" operator="lessThan">
      <formula>$M$9</formula>
    </cfRule>
  </conditionalFormatting>
  <conditionalFormatting sqref="N10">
    <cfRule type="cellIs" dxfId="1927" priority="569" stopIfTrue="1" operator="equal">
      <formula>$M$10</formula>
    </cfRule>
    <cfRule type="cellIs" dxfId="1926" priority="570" stopIfTrue="1" operator="lessThan">
      <formula>$M$10</formula>
    </cfRule>
  </conditionalFormatting>
  <conditionalFormatting sqref="N11">
    <cfRule type="cellIs" dxfId="1925" priority="571" stopIfTrue="1" operator="equal">
      <formula>$M$11</formula>
    </cfRule>
    <cfRule type="cellIs" dxfId="1924" priority="572" stopIfTrue="1" operator="lessThan">
      <formula>$M$11</formula>
    </cfRule>
  </conditionalFormatting>
  <conditionalFormatting sqref="N12">
    <cfRule type="cellIs" dxfId="1923" priority="573" stopIfTrue="1" operator="equal">
      <formula>$M$12</formula>
    </cfRule>
    <cfRule type="cellIs" dxfId="1922" priority="574" stopIfTrue="1" operator="lessThan">
      <formula>$M$12</formula>
    </cfRule>
  </conditionalFormatting>
  <conditionalFormatting sqref="N13">
    <cfRule type="cellIs" dxfId="1921" priority="576" stopIfTrue="1" operator="lessThan">
      <formula>$M$13</formula>
    </cfRule>
    <cfRule type="cellIs" dxfId="1920" priority="575" stopIfTrue="1" operator="equal">
      <formula>$M$13</formula>
    </cfRule>
  </conditionalFormatting>
  <conditionalFormatting sqref="N14">
    <cfRule type="cellIs" dxfId="1919" priority="578" stopIfTrue="1" operator="lessThan">
      <formula>$M$14</formula>
    </cfRule>
    <cfRule type="cellIs" dxfId="1918" priority="577" stopIfTrue="1" operator="equal">
      <formula>$M$14</formula>
    </cfRule>
  </conditionalFormatting>
  <conditionalFormatting sqref="N15">
    <cfRule type="cellIs" dxfId="1917" priority="579" stopIfTrue="1" operator="equal">
      <formula>$M$15</formula>
    </cfRule>
    <cfRule type="cellIs" dxfId="1916" priority="580" stopIfTrue="1" operator="lessThan">
      <formula>$M$15</formula>
    </cfRule>
  </conditionalFormatting>
  <conditionalFormatting sqref="N16">
    <cfRule type="cellIs" dxfId="1915" priority="581" stopIfTrue="1" operator="equal">
      <formula>$M$16</formula>
    </cfRule>
    <cfRule type="cellIs" dxfId="1914" priority="582" stopIfTrue="1" operator="lessThan">
      <formula>$M$16</formula>
    </cfRule>
  </conditionalFormatting>
  <conditionalFormatting sqref="N17">
    <cfRule type="cellIs" dxfId="1913" priority="583" stopIfTrue="1" operator="equal">
      <formula>$M$17</formula>
    </cfRule>
    <cfRule type="cellIs" dxfId="1912" priority="584" stopIfTrue="1" operator="lessThan">
      <formula>$M$17</formula>
    </cfRule>
  </conditionalFormatting>
  <conditionalFormatting sqref="N18">
    <cfRule type="cellIs" dxfId="1911" priority="585" stopIfTrue="1" operator="equal">
      <formula>$M$18</formula>
    </cfRule>
    <cfRule type="cellIs" dxfId="1910" priority="586" stopIfTrue="1" operator="lessThan">
      <formula>$M$18</formula>
    </cfRule>
  </conditionalFormatting>
  <conditionalFormatting sqref="N19">
    <cfRule type="cellIs" dxfId="1909" priority="587" stopIfTrue="1" operator="equal">
      <formula>$M$19</formula>
    </cfRule>
    <cfRule type="cellIs" dxfId="1908" priority="588" stopIfTrue="1" operator="lessThan">
      <formula>$M$19</formula>
    </cfRule>
  </conditionalFormatting>
  <conditionalFormatting sqref="N20">
    <cfRule type="cellIs" dxfId="1907" priority="589" stopIfTrue="1" operator="equal">
      <formula>$M$20</formula>
    </cfRule>
    <cfRule type="cellIs" dxfId="1906" priority="590" stopIfTrue="1" operator="lessThan">
      <formula>$M$20</formula>
    </cfRule>
  </conditionalFormatting>
  <conditionalFormatting sqref="N21">
    <cfRule type="cellIs" dxfId="1905" priority="591" stopIfTrue="1" operator="equal">
      <formula>$M$21</formula>
    </cfRule>
    <cfRule type="cellIs" dxfId="1904" priority="592" stopIfTrue="1" operator="lessThan">
      <formula>$M$21</formula>
    </cfRule>
  </conditionalFormatting>
  <conditionalFormatting sqref="N22">
    <cfRule type="cellIs" dxfId="1903" priority="593" stopIfTrue="1" operator="equal">
      <formula>$M$22</formula>
    </cfRule>
    <cfRule type="cellIs" dxfId="1902" priority="594" stopIfTrue="1" operator="lessThan">
      <formula>$M$22</formula>
    </cfRule>
  </conditionalFormatting>
  <conditionalFormatting sqref="N23">
    <cfRule type="cellIs" dxfId="1901" priority="596" stopIfTrue="1" operator="lessThan">
      <formula>$M$23</formula>
    </cfRule>
    <cfRule type="cellIs" dxfId="1900" priority="595" stopIfTrue="1" operator="equal">
      <formula>$M$23</formula>
    </cfRule>
  </conditionalFormatting>
  <conditionalFormatting sqref="N24">
    <cfRule type="cellIs" dxfId="1899" priority="598" stopIfTrue="1" operator="lessThan">
      <formula>$M$24</formula>
    </cfRule>
    <cfRule type="cellIs" dxfId="1898" priority="597" stopIfTrue="1" operator="equal">
      <formula>$M$24</formula>
    </cfRule>
  </conditionalFormatting>
  <conditionalFormatting sqref="N25">
    <cfRule type="cellIs" dxfId="1897" priority="599" stopIfTrue="1" operator="equal">
      <formula>$M$25</formula>
    </cfRule>
    <cfRule type="cellIs" dxfId="1896" priority="600" stopIfTrue="1" operator="lessThan">
      <formula>$M$25</formula>
    </cfRule>
  </conditionalFormatting>
  <conditionalFormatting sqref="N26">
    <cfRule type="cellIs" dxfId="1895" priority="601" stopIfTrue="1" operator="equal">
      <formula>$M$26</formula>
    </cfRule>
    <cfRule type="cellIs" dxfId="1894" priority="602" stopIfTrue="1" operator="lessThan">
      <formula>$M$26</formula>
    </cfRule>
  </conditionalFormatting>
  <conditionalFormatting sqref="N27">
    <cfRule type="cellIs" dxfId="1893" priority="603" stopIfTrue="1" operator="equal">
      <formula>$M$27</formula>
    </cfRule>
    <cfRule type="cellIs" dxfId="1892" priority="604" stopIfTrue="1" operator="lessThan">
      <formula>$M$27</formula>
    </cfRule>
  </conditionalFormatting>
  <conditionalFormatting sqref="N28">
    <cfRule type="cellIs" dxfId="1891" priority="605" stopIfTrue="1" operator="equal">
      <formula>$M$28</formula>
    </cfRule>
    <cfRule type="cellIs" dxfId="1890" priority="606" stopIfTrue="1" operator="lessThan">
      <formula>$M$28</formula>
    </cfRule>
  </conditionalFormatting>
  <conditionalFormatting sqref="O4">
    <cfRule type="cellIs" dxfId="1889" priority="607" stopIfTrue="1" operator="equal">
      <formula>$N$4</formula>
    </cfRule>
    <cfRule type="cellIs" dxfId="1888" priority="608" stopIfTrue="1" operator="lessThan">
      <formula>$N$4</formula>
    </cfRule>
  </conditionalFormatting>
  <conditionalFormatting sqref="O5">
    <cfRule type="cellIs" dxfId="1887" priority="609" stopIfTrue="1" operator="equal">
      <formula>$N$5</formula>
    </cfRule>
    <cfRule type="cellIs" dxfId="1886" priority="610" stopIfTrue="1" operator="lessThan">
      <formula>$N$5</formula>
    </cfRule>
  </conditionalFormatting>
  <conditionalFormatting sqref="O6">
    <cfRule type="cellIs" dxfId="1885" priority="611" stopIfTrue="1" operator="equal">
      <formula>$N$6</formula>
    </cfRule>
    <cfRule type="cellIs" dxfId="1884" priority="612" stopIfTrue="1" operator="lessThan">
      <formula>$N$6</formula>
    </cfRule>
  </conditionalFormatting>
  <conditionalFormatting sqref="O7">
    <cfRule type="cellIs" dxfId="1883" priority="613" stopIfTrue="1" operator="equal">
      <formula>$N$7</formula>
    </cfRule>
    <cfRule type="cellIs" dxfId="1882" priority="614" stopIfTrue="1" operator="lessThan">
      <formula>$N$7</formula>
    </cfRule>
  </conditionalFormatting>
  <conditionalFormatting sqref="O8">
    <cfRule type="cellIs" dxfId="1881" priority="616" stopIfTrue="1" operator="lessThan">
      <formula>$N$8</formula>
    </cfRule>
    <cfRule type="cellIs" dxfId="1880" priority="615" stopIfTrue="1" operator="equal">
      <formula>$N$8</formula>
    </cfRule>
  </conditionalFormatting>
  <conditionalFormatting sqref="O9">
    <cfRule type="cellIs" dxfId="1879" priority="618" stopIfTrue="1" operator="lessThan">
      <formula>$N$9</formula>
    </cfRule>
    <cfRule type="cellIs" dxfId="1878" priority="617" stopIfTrue="1" operator="equal">
      <formula>$N$9</formula>
    </cfRule>
  </conditionalFormatting>
  <conditionalFormatting sqref="O10">
    <cfRule type="cellIs" dxfId="1877" priority="619" stopIfTrue="1" operator="equal">
      <formula>$N$10</formula>
    </cfRule>
    <cfRule type="cellIs" dxfId="1876" priority="620" stopIfTrue="1" operator="lessThan">
      <formula>$N$10</formula>
    </cfRule>
  </conditionalFormatting>
  <conditionalFormatting sqref="O11">
    <cfRule type="cellIs" dxfId="1875" priority="621" stopIfTrue="1" operator="equal">
      <formula>$N$11</formula>
    </cfRule>
    <cfRule type="cellIs" dxfId="1874" priority="622" stopIfTrue="1" operator="lessThan">
      <formula>$N$11</formula>
    </cfRule>
  </conditionalFormatting>
  <conditionalFormatting sqref="O12">
    <cfRule type="cellIs" dxfId="1873" priority="623" stopIfTrue="1" operator="equal">
      <formula>$N$12</formula>
    </cfRule>
    <cfRule type="cellIs" dxfId="1872" priority="624" stopIfTrue="1" operator="lessThan">
      <formula>$N$12</formula>
    </cfRule>
  </conditionalFormatting>
  <conditionalFormatting sqref="O13">
    <cfRule type="cellIs" dxfId="1871" priority="625" stopIfTrue="1" operator="equal">
      <formula>$N$13</formula>
    </cfRule>
    <cfRule type="cellIs" dxfId="1870" priority="626" stopIfTrue="1" operator="lessThan">
      <formula>$N$13</formula>
    </cfRule>
  </conditionalFormatting>
  <conditionalFormatting sqref="O14">
    <cfRule type="cellIs" dxfId="1869" priority="627" stopIfTrue="1" operator="equal">
      <formula>$N$14</formula>
    </cfRule>
    <cfRule type="cellIs" dxfId="1868" priority="628" stopIfTrue="1" operator="lessThan">
      <formula>$N$14</formula>
    </cfRule>
  </conditionalFormatting>
  <conditionalFormatting sqref="O15">
    <cfRule type="cellIs" dxfId="1867" priority="629" stopIfTrue="1" operator="equal">
      <formula>$N$15</formula>
    </cfRule>
    <cfRule type="cellIs" dxfId="1866" priority="630" stopIfTrue="1" operator="lessThan">
      <formula>$N$15</formula>
    </cfRule>
  </conditionalFormatting>
  <conditionalFormatting sqref="O16">
    <cfRule type="cellIs" dxfId="1865" priority="631" stopIfTrue="1" operator="equal">
      <formula>$N$16</formula>
    </cfRule>
    <cfRule type="cellIs" dxfId="1864" priority="632" stopIfTrue="1" operator="lessThan">
      <formula>$N$16</formula>
    </cfRule>
  </conditionalFormatting>
  <conditionalFormatting sqref="O17">
    <cfRule type="cellIs" dxfId="1863" priority="633" stopIfTrue="1" operator="equal">
      <formula>$N$17</formula>
    </cfRule>
    <cfRule type="cellIs" dxfId="1862" priority="634" stopIfTrue="1" operator="lessThan">
      <formula>$N$17</formula>
    </cfRule>
  </conditionalFormatting>
  <conditionalFormatting sqref="O18">
    <cfRule type="cellIs" dxfId="1861" priority="636" stopIfTrue="1" operator="lessThan">
      <formula>$N$18</formula>
    </cfRule>
    <cfRule type="cellIs" dxfId="1860" priority="635" stopIfTrue="1" operator="equal">
      <formula>$N$18</formula>
    </cfRule>
  </conditionalFormatting>
  <conditionalFormatting sqref="O19">
    <cfRule type="cellIs" dxfId="1859" priority="637" stopIfTrue="1" operator="equal">
      <formula>$N$19</formula>
    </cfRule>
    <cfRule type="cellIs" dxfId="1858" priority="638" stopIfTrue="1" operator="lessThan">
      <formula>$N$19</formula>
    </cfRule>
  </conditionalFormatting>
  <conditionalFormatting sqref="O20">
    <cfRule type="cellIs" dxfId="1857" priority="639" stopIfTrue="1" operator="equal">
      <formula>$N$20</formula>
    </cfRule>
    <cfRule type="cellIs" dxfId="1856" priority="640" stopIfTrue="1" operator="lessThan">
      <formula>$N$20</formula>
    </cfRule>
  </conditionalFormatting>
  <conditionalFormatting sqref="O21">
    <cfRule type="cellIs" dxfId="1855" priority="641" stopIfTrue="1" operator="equal">
      <formula>$N$21</formula>
    </cfRule>
    <cfRule type="cellIs" dxfId="1854" priority="642" stopIfTrue="1" operator="lessThan">
      <formula>$N$21</formula>
    </cfRule>
  </conditionalFormatting>
  <conditionalFormatting sqref="O22">
    <cfRule type="cellIs" dxfId="1853" priority="643" stopIfTrue="1" operator="equal">
      <formula>$N$22</formula>
    </cfRule>
    <cfRule type="cellIs" dxfId="1852" priority="644" stopIfTrue="1" operator="lessThan">
      <formula>$N$22</formula>
    </cfRule>
  </conditionalFormatting>
  <conditionalFormatting sqref="O23">
    <cfRule type="cellIs" dxfId="1851" priority="645" stopIfTrue="1" operator="equal">
      <formula>$N$23</formula>
    </cfRule>
    <cfRule type="cellIs" dxfId="1850" priority="646" stopIfTrue="1" operator="lessThan">
      <formula>$N$23</formula>
    </cfRule>
  </conditionalFormatting>
  <conditionalFormatting sqref="O24">
    <cfRule type="cellIs" dxfId="1849" priority="647" stopIfTrue="1" operator="equal">
      <formula>$N$24</formula>
    </cfRule>
    <cfRule type="cellIs" dxfId="1848" priority="648" stopIfTrue="1" operator="lessThan">
      <formula>$N$24</formula>
    </cfRule>
  </conditionalFormatting>
  <conditionalFormatting sqref="O25">
    <cfRule type="cellIs" dxfId="1847" priority="649" stopIfTrue="1" operator="equal">
      <formula>$N$25</formula>
    </cfRule>
    <cfRule type="cellIs" dxfId="1846" priority="650" stopIfTrue="1" operator="lessThan">
      <formula>$N$25</formula>
    </cfRule>
  </conditionalFormatting>
  <conditionalFormatting sqref="O26">
    <cfRule type="cellIs" dxfId="1845" priority="651" stopIfTrue="1" operator="equal">
      <formula>$N$26</formula>
    </cfRule>
    <cfRule type="cellIs" dxfId="1844" priority="652" stopIfTrue="1" operator="lessThan">
      <formula>$N$26</formula>
    </cfRule>
  </conditionalFormatting>
  <conditionalFormatting sqref="O27">
    <cfRule type="cellIs" dxfId="1843" priority="653" stopIfTrue="1" operator="equal">
      <formula>$N$27</formula>
    </cfRule>
    <cfRule type="cellIs" dxfId="1842" priority="654" stopIfTrue="1" operator="lessThan">
      <formula>$N$27</formula>
    </cfRule>
  </conditionalFormatting>
  <conditionalFormatting sqref="O28">
    <cfRule type="cellIs" dxfId="1841" priority="656" stopIfTrue="1" operator="lessThan">
      <formula>$N$28</formula>
    </cfRule>
    <cfRule type="cellIs" dxfId="1840" priority="655" stopIfTrue="1" operator="equal">
      <formula>$N$28</formula>
    </cfRule>
  </conditionalFormatting>
  <conditionalFormatting sqref="U4:AF23">
    <cfRule type="cellIs" dxfId="1839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35"/>
  <sheetViews>
    <sheetView workbookViewId="0">
      <selection activeCell="S22" sqref="S22"/>
    </sheetView>
  </sheetViews>
  <sheetFormatPr defaultRowHeight="14.5" x14ac:dyDescent="0.35"/>
  <cols>
    <col min="1" max="1" width="8.54296875" customWidth="1"/>
    <col min="2" max="2" width="26.26953125" customWidth="1"/>
    <col min="3" max="15" width="10.1796875" customWidth="1"/>
    <col min="16" max="16" width="10" customWidth="1"/>
    <col min="17" max="17" width="11.1796875" bestFit="1" customWidth="1"/>
    <col min="18" max="18" width="9.26953125" bestFit="1" customWidth="1"/>
    <col min="19" max="19" width="3.453125" customWidth="1"/>
  </cols>
  <sheetData>
    <row r="1" spans="1:32" ht="15" thickBot="1" x14ac:dyDescent="0.4"/>
    <row r="2" spans="1:32" s="1" customFormat="1" ht="21" customHeight="1" thickBot="1" x14ac:dyDescent="0.55000000000000004">
      <c r="A2" s="114">
        <v>1855</v>
      </c>
      <c r="B2" s="2"/>
      <c r="C2" s="3">
        <f>'1850'!C2</f>
        <v>44927</v>
      </c>
      <c r="D2" s="3">
        <f>'1850'!D2</f>
        <v>44958</v>
      </c>
      <c r="E2" s="3">
        <f>'1850'!E2</f>
        <v>44986</v>
      </c>
      <c r="F2" s="3">
        <f>'1850'!F2</f>
        <v>45017</v>
      </c>
      <c r="G2" s="3">
        <f>'1850'!G2</f>
        <v>45047</v>
      </c>
      <c r="H2" s="3">
        <f>'1850'!H2</f>
        <v>45078</v>
      </c>
      <c r="I2" s="3">
        <f>'1850'!I2</f>
        <v>45111</v>
      </c>
      <c r="J2" s="3">
        <f>'1850'!J2</f>
        <v>45139</v>
      </c>
      <c r="K2" s="3">
        <f>'1850'!K2</f>
        <v>45170</v>
      </c>
      <c r="L2" s="3">
        <f>'1850'!L2</f>
        <v>45201</v>
      </c>
      <c r="M2" s="3">
        <f>'1850'!M2</f>
        <v>45231</v>
      </c>
      <c r="N2" s="3">
        <f>'1850'!N2</f>
        <v>45261</v>
      </c>
      <c r="O2" s="3">
        <f>'1850'!O2</f>
        <v>45292</v>
      </c>
      <c r="P2" s="1" t="s">
        <v>0</v>
      </c>
      <c r="Q2" s="1" t="s">
        <v>1</v>
      </c>
      <c r="R2" s="1" t="s">
        <v>98</v>
      </c>
      <c r="U2" s="144"/>
      <c r="V2" s="145"/>
      <c r="W2" s="145"/>
      <c r="X2" s="145"/>
      <c r="Y2" s="145" t="s">
        <v>213</v>
      </c>
      <c r="Z2" s="145"/>
      <c r="AA2" s="145"/>
      <c r="AB2" s="145"/>
      <c r="AC2" s="145"/>
      <c r="AD2" s="145"/>
      <c r="AE2" s="145"/>
      <c r="AF2" s="149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96</v>
      </c>
      <c r="Q3" s="1" t="s">
        <v>95</v>
      </c>
      <c r="R3" s="1" t="s">
        <v>97</v>
      </c>
      <c r="T3" s="1" t="s">
        <v>212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79">
        <v>1</v>
      </c>
      <c r="B4" s="6" t="s">
        <v>180</v>
      </c>
      <c r="C4" s="78">
        <v>520.50400000000002</v>
      </c>
      <c r="D4" s="7">
        <v>534.56100000000004</v>
      </c>
      <c r="E4" s="7">
        <v>546.18100000000004</v>
      </c>
      <c r="F4" s="7">
        <v>558.45699999999999</v>
      </c>
      <c r="G4" s="7">
        <v>570.245</v>
      </c>
      <c r="H4" s="7">
        <v>581.23</v>
      </c>
      <c r="I4" s="7">
        <v>595.58900000000006</v>
      </c>
      <c r="J4" s="7">
        <v>602.90700000000004</v>
      </c>
      <c r="K4" s="7">
        <v>612.20299999999997</v>
      </c>
      <c r="L4" s="8">
        <v>623.4</v>
      </c>
      <c r="M4" s="7">
        <v>635.05799999999999</v>
      </c>
      <c r="N4" s="7">
        <v>645.154</v>
      </c>
      <c r="O4" s="7">
        <v>657.64800000000002</v>
      </c>
      <c r="P4" s="9">
        <f>O4-C4</f>
        <v>137.14400000000001</v>
      </c>
      <c r="T4" s="1">
        <v>1</v>
      </c>
      <c r="U4" s="146">
        <f t="shared" ref="U4:AF5" si="0">D4-C4</f>
        <v>14.057000000000016</v>
      </c>
      <c r="V4" s="146">
        <f t="shared" si="0"/>
        <v>11.620000000000005</v>
      </c>
      <c r="W4" s="146">
        <f t="shared" si="0"/>
        <v>12.275999999999954</v>
      </c>
      <c r="X4" s="146">
        <f t="shared" si="0"/>
        <v>11.788000000000011</v>
      </c>
      <c r="Y4" s="146">
        <f t="shared" si="0"/>
        <v>10.985000000000014</v>
      </c>
      <c r="Z4" s="146">
        <f t="shared" si="0"/>
        <v>14.359000000000037</v>
      </c>
      <c r="AA4" s="146">
        <f t="shared" si="0"/>
        <v>7.3179999999999836</v>
      </c>
      <c r="AB4" s="146">
        <f t="shared" si="0"/>
        <v>9.2959999999999354</v>
      </c>
      <c r="AC4" s="146">
        <f t="shared" si="0"/>
        <v>11.197000000000003</v>
      </c>
      <c r="AD4" s="146">
        <f t="shared" si="0"/>
        <v>11.658000000000015</v>
      </c>
      <c r="AE4" s="146">
        <f t="shared" si="0"/>
        <v>10.096000000000004</v>
      </c>
      <c r="AF4" s="146">
        <f t="shared" si="0"/>
        <v>12.494000000000028</v>
      </c>
    </row>
    <row r="5" spans="1:32" x14ac:dyDescent="0.35">
      <c r="A5" s="279"/>
      <c r="B5" s="10" t="s">
        <v>372</v>
      </c>
      <c r="C5" s="79">
        <v>56.527000000000001</v>
      </c>
      <c r="D5" s="11">
        <v>61.518000000000001</v>
      </c>
      <c r="E5" s="11">
        <v>66.616</v>
      </c>
      <c r="F5" s="11">
        <v>70.784000000000006</v>
      </c>
      <c r="G5" s="11">
        <v>73.963999999999999</v>
      </c>
      <c r="H5" s="11">
        <v>75.47</v>
      </c>
      <c r="I5" s="11">
        <v>76.491</v>
      </c>
      <c r="J5" s="11">
        <v>77.009</v>
      </c>
      <c r="K5" s="11">
        <v>77.620999999999995</v>
      </c>
      <c r="L5" s="12">
        <v>78.387</v>
      </c>
      <c r="M5" s="11">
        <v>79.688999999999993</v>
      </c>
      <c r="N5" s="11">
        <v>83.137</v>
      </c>
      <c r="O5" s="11">
        <v>88.736999999999995</v>
      </c>
      <c r="P5" s="9"/>
      <c r="Q5" s="9">
        <f>O5-C5</f>
        <v>32.209999999999994</v>
      </c>
      <c r="T5" s="161" t="s">
        <v>1</v>
      </c>
      <c r="U5" s="160">
        <f t="shared" si="0"/>
        <v>4.9909999999999997</v>
      </c>
      <c r="V5" s="160">
        <f t="shared" si="0"/>
        <v>5.097999999999999</v>
      </c>
      <c r="W5" s="160">
        <f t="shared" si="0"/>
        <v>4.1680000000000064</v>
      </c>
      <c r="X5" s="160">
        <f t="shared" si="0"/>
        <v>3.1799999999999926</v>
      </c>
      <c r="Y5" s="160">
        <f t="shared" si="0"/>
        <v>1.5060000000000002</v>
      </c>
      <c r="Z5" s="160">
        <f t="shared" si="0"/>
        <v>1.0210000000000008</v>
      </c>
      <c r="AA5" s="160">
        <f t="shared" si="0"/>
        <v>0.51800000000000068</v>
      </c>
      <c r="AB5" s="160">
        <f t="shared" si="0"/>
        <v>0.61199999999999477</v>
      </c>
      <c r="AC5" s="160">
        <f t="shared" si="0"/>
        <v>0.76600000000000534</v>
      </c>
      <c r="AD5" s="160">
        <f t="shared" si="0"/>
        <v>1.3019999999999925</v>
      </c>
      <c r="AE5" s="160">
        <f t="shared" si="0"/>
        <v>3.4480000000000075</v>
      </c>
      <c r="AF5" s="160">
        <f t="shared" si="0"/>
        <v>5.5999999999999943</v>
      </c>
    </row>
    <row r="6" spans="1:32" x14ac:dyDescent="0.35">
      <c r="A6" s="280">
        <v>2</v>
      </c>
      <c r="B6" s="10" t="s">
        <v>181</v>
      </c>
      <c r="C6" s="79">
        <v>619.36800000000005</v>
      </c>
      <c r="D6" s="11">
        <v>635.59500000000003</v>
      </c>
      <c r="E6" s="11">
        <v>646.18700000000001</v>
      </c>
      <c r="F6" s="11">
        <v>661.24</v>
      </c>
      <c r="G6" s="11">
        <v>676.58500000000004</v>
      </c>
      <c r="H6" s="11">
        <v>691.904</v>
      </c>
      <c r="I6" s="11">
        <v>705.22500000000002</v>
      </c>
      <c r="J6" s="11">
        <v>713.92700000000002</v>
      </c>
      <c r="K6" s="11">
        <v>727.22</v>
      </c>
      <c r="L6" s="11">
        <v>741.58900000000006</v>
      </c>
      <c r="M6" s="11">
        <v>756.52700000000004</v>
      </c>
      <c r="N6" s="11">
        <v>773.19799999999998</v>
      </c>
      <c r="O6" s="11">
        <v>788.49599999999998</v>
      </c>
      <c r="P6" s="9">
        <f>O6-C6</f>
        <v>169.12799999999993</v>
      </c>
      <c r="T6" s="1">
        <v>2</v>
      </c>
      <c r="U6" s="148">
        <f t="shared" ref="U6:AF21" si="1">D6-C6</f>
        <v>16.226999999999975</v>
      </c>
      <c r="V6" s="148">
        <f t="shared" si="1"/>
        <v>10.591999999999985</v>
      </c>
      <c r="W6" s="148">
        <f t="shared" si="1"/>
        <v>15.052999999999997</v>
      </c>
      <c r="X6" s="148">
        <f t="shared" si="1"/>
        <v>15.345000000000027</v>
      </c>
      <c r="Y6" s="148">
        <f t="shared" si="1"/>
        <v>15.31899999999996</v>
      </c>
      <c r="Z6" s="148">
        <f t="shared" si="1"/>
        <v>13.321000000000026</v>
      </c>
      <c r="AA6" s="148">
        <f t="shared" si="1"/>
        <v>8.7019999999999982</v>
      </c>
      <c r="AB6" s="148">
        <f t="shared" si="1"/>
        <v>13.293000000000006</v>
      </c>
      <c r="AC6" s="148">
        <f t="shared" si="1"/>
        <v>14.369000000000028</v>
      </c>
      <c r="AD6" s="148">
        <f t="shared" si="1"/>
        <v>14.937999999999988</v>
      </c>
      <c r="AE6" s="148">
        <f t="shared" si="1"/>
        <v>16.670999999999935</v>
      </c>
      <c r="AF6" s="148">
        <f t="shared" si="1"/>
        <v>15.298000000000002</v>
      </c>
    </row>
    <row r="7" spans="1:32" x14ac:dyDescent="0.35">
      <c r="A7" s="280"/>
      <c r="B7" s="10" t="s">
        <v>373</v>
      </c>
      <c r="C7" s="79">
        <v>43.284999999999997</v>
      </c>
      <c r="D7" s="11">
        <v>47.780999999999999</v>
      </c>
      <c r="E7" s="11">
        <v>51.581000000000003</v>
      </c>
      <c r="F7" s="11">
        <v>55.276000000000003</v>
      </c>
      <c r="G7" s="11">
        <v>57.890999999999998</v>
      </c>
      <c r="H7" s="11">
        <v>59.124000000000002</v>
      </c>
      <c r="I7" s="11">
        <v>60.033000000000001</v>
      </c>
      <c r="J7" s="11">
        <v>60.533000000000001</v>
      </c>
      <c r="K7" s="11">
        <v>61.258000000000003</v>
      </c>
      <c r="L7" s="11">
        <v>62.192999999999998</v>
      </c>
      <c r="M7" s="11">
        <v>63.331000000000003</v>
      </c>
      <c r="N7" s="11">
        <v>66.515000000000001</v>
      </c>
      <c r="O7" s="11">
        <v>70.480999999999995</v>
      </c>
      <c r="P7" s="9"/>
      <c r="Q7" s="9">
        <f t="shared" ref="Q7" si="2">O7-C7</f>
        <v>27.195999999999998</v>
      </c>
      <c r="T7" s="161"/>
      <c r="U7" s="160">
        <f t="shared" ref="U7:AF7" si="3">D7-C7</f>
        <v>4.4960000000000022</v>
      </c>
      <c r="V7" s="160">
        <f t="shared" si="3"/>
        <v>3.8000000000000043</v>
      </c>
      <c r="W7" s="160">
        <f t="shared" si="3"/>
        <v>3.6950000000000003</v>
      </c>
      <c r="X7" s="160">
        <f t="shared" si="3"/>
        <v>2.6149999999999949</v>
      </c>
      <c r="Y7" s="160">
        <f t="shared" si="3"/>
        <v>1.2330000000000041</v>
      </c>
      <c r="Z7" s="160">
        <f t="shared" si="3"/>
        <v>0.90899999999999892</v>
      </c>
      <c r="AA7" s="160">
        <f t="shared" si="3"/>
        <v>0.5</v>
      </c>
      <c r="AB7" s="160">
        <f t="shared" si="3"/>
        <v>0.72500000000000142</v>
      </c>
      <c r="AC7" s="160">
        <f t="shared" si="3"/>
        <v>0.93499999999999517</v>
      </c>
      <c r="AD7" s="160">
        <f t="shared" si="3"/>
        <v>1.1380000000000052</v>
      </c>
      <c r="AE7" s="160">
        <f t="shared" si="3"/>
        <v>3.1839999999999975</v>
      </c>
      <c r="AF7" s="160">
        <f t="shared" si="3"/>
        <v>3.965999999999994</v>
      </c>
    </row>
    <row r="8" spans="1:32" x14ac:dyDescent="0.35">
      <c r="A8" s="280">
        <v>3</v>
      </c>
      <c r="B8" s="10" t="s">
        <v>182</v>
      </c>
      <c r="C8" s="79">
        <v>153.21799999999999</v>
      </c>
      <c r="D8" s="11">
        <v>156.733</v>
      </c>
      <c r="E8" s="11">
        <v>160.21100000000001</v>
      </c>
      <c r="F8" s="11">
        <v>164.10300000000001</v>
      </c>
      <c r="G8" s="11">
        <v>168.24</v>
      </c>
      <c r="H8" s="11">
        <v>172.35400000000001</v>
      </c>
      <c r="I8" s="11">
        <v>176.41399999999999</v>
      </c>
      <c r="J8" s="11">
        <v>179.11199999999999</v>
      </c>
      <c r="K8" s="11">
        <v>182.05799999999999</v>
      </c>
      <c r="L8" s="11">
        <v>185.15100000000001</v>
      </c>
      <c r="M8" s="11">
        <v>188.691</v>
      </c>
      <c r="N8" s="11">
        <v>192.06299999999999</v>
      </c>
      <c r="O8" s="11">
        <v>194.066</v>
      </c>
      <c r="P8" s="9">
        <f>O8-C8</f>
        <v>40.848000000000013</v>
      </c>
      <c r="T8" s="1">
        <v>3</v>
      </c>
      <c r="U8" s="148">
        <f t="shared" si="1"/>
        <v>3.5150000000000148</v>
      </c>
      <c r="V8" s="148">
        <f t="shared" si="1"/>
        <v>3.4780000000000086</v>
      </c>
      <c r="W8" s="148">
        <f t="shared" si="1"/>
        <v>3.8919999999999959</v>
      </c>
      <c r="X8" s="148">
        <f t="shared" si="1"/>
        <v>4.1370000000000005</v>
      </c>
      <c r="Y8" s="148">
        <f t="shared" si="1"/>
        <v>4.1140000000000043</v>
      </c>
      <c r="Z8" s="148">
        <f t="shared" si="1"/>
        <v>4.0599999999999739</v>
      </c>
      <c r="AA8" s="148">
        <f t="shared" si="1"/>
        <v>2.6980000000000075</v>
      </c>
      <c r="AB8" s="148">
        <f t="shared" si="1"/>
        <v>2.945999999999998</v>
      </c>
      <c r="AC8" s="148">
        <f t="shared" si="1"/>
        <v>3.0930000000000177</v>
      </c>
      <c r="AD8" s="148">
        <f t="shared" si="1"/>
        <v>3.539999999999992</v>
      </c>
      <c r="AE8" s="148">
        <f t="shared" si="1"/>
        <v>3.3719999999999857</v>
      </c>
      <c r="AF8" s="148">
        <f t="shared" si="1"/>
        <v>2.0030000000000143</v>
      </c>
    </row>
    <row r="9" spans="1:32" x14ac:dyDescent="0.35">
      <c r="A9" s="280"/>
      <c r="B9" s="10" t="s">
        <v>374</v>
      </c>
      <c r="C9" s="79">
        <v>22.779</v>
      </c>
      <c r="D9" s="11">
        <v>26.542000000000002</v>
      </c>
      <c r="E9" s="11">
        <v>29.702999999999999</v>
      </c>
      <c r="F9" s="11">
        <v>32.42</v>
      </c>
      <c r="G9" s="11">
        <v>34.253</v>
      </c>
      <c r="H9" s="11">
        <v>34.787999999999997</v>
      </c>
      <c r="I9" s="11">
        <v>35.049999999999997</v>
      </c>
      <c r="J9" s="11">
        <v>35.194000000000003</v>
      </c>
      <c r="K9" s="11">
        <v>35.347000000000001</v>
      </c>
      <c r="L9" s="11">
        <v>35.515999999999998</v>
      </c>
      <c r="M9" s="11">
        <v>36.28</v>
      </c>
      <c r="N9" s="11">
        <v>39.03</v>
      </c>
      <c r="O9" s="11">
        <v>41.048999999999999</v>
      </c>
      <c r="P9" s="9"/>
      <c r="Q9" s="9">
        <f t="shared" ref="Q9" si="4">O9-C9</f>
        <v>18.27</v>
      </c>
      <c r="T9" s="161"/>
      <c r="U9" s="160">
        <f t="shared" si="1"/>
        <v>3.7630000000000017</v>
      </c>
      <c r="V9" s="160">
        <f t="shared" si="1"/>
        <v>3.1609999999999978</v>
      </c>
      <c r="W9" s="160">
        <f t="shared" si="1"/>
        <v>2.7170000000000023</v>
      </c>
      <c r="X9" s="160">
        <f t="shared" si="1"/>
        <v>1.8329999999999984</v>
      </c>
      <c r="Y9" s="160">
        <f t="shared" si="1"/>
        <v>0.53499999999999659</v>
      </c>
      <c r="Z9" s="160">
        <f t="shared" si="1"/>
        <v>0.26200000000000045</v>
      </c>
      <c r="AA9" s="160">
        <f t="shared" si="1"/>
        <v>0.14400000000000546</v>
      </c>
      <c r="AB9" s="160">
        <f t="shared" si="1"/>
        <v>0.15299999999999869</v>
      </c>
      <c r="AC9" s="160">
        <f t="shared" si="1"/>
        <v>0.16899999999999693</v>
      </c>
      <c r="AD9" s="160">
        <f t="shared" si="1"/>
        <v>0.7640000000000029</v>
      </c>
      <c r="AE9" s="160">
        <f t="shared" si="1"/>
        <v>2.75</v>
      </c>
      <c r="AF9" s="160">
        <f t="shared" si="1"/>
        <v>2.0189999999999984</v>
      </c>
    </row>
    <row r="10" spans="1:32" x14ac:dyDescent="0.35">
      <c r="A10" s="280">
        <v>4</v>
      </c>
      <c r="B10" s="10" t="s">
        <v>183</v>
      </c>
      <c r="C10" s="79">
        <v>40.299999999999997</v>
      </c>
      <c r="D10" s="11">
        <v>41.496000000000002</v>
      </c>
      <c r="E10" s="11">
        <v>42.609000000000002</v>
      </c>
      <c r="F10" s="11">
        <v>43.786999999999999</v>
      </c>
      <c r="G10" s="11">
        <v>45.061999999999998</v>
      </c>
      <c r="H10" s="11">
        <v>46.362000000000002</v>
      </c>
      <c r="I10" s="11">
        <v>48.158999999999999</v>
      </c>
      <c r="J10" s="11">
        <v>49.945999999999998</v>
      </c>
      <c r="K10" s="11">
        <v>51.582000000000001</v>
      </c>
      <c r="L10" s="11">
        <v>53.106999999999999</v>
      </c>
      <c r="M10" s="11">
        <v>54.698</v>
      </c>
      <c r="N10" s="11">
        <v>56.491999999999997</v>
      </c>
      <c r="O10" s="11">
        <v>58.087000000000003</v>
      </c>
      <c r="P10" s="9">
        <f>O10-C10</f>
        <v>17.787000000000006</v>
      </c>
      <c r="T10" s="1">
        <v>4</v>
      </c>
      <c r="U10" s="148">
        <f t="shared" si="1"/>
        <v>1.1960000000000051</v>
      </c>
      <c r="V10" s="148">
        <f t="shared" si="1"/>
        <v>1.1129999999999995</v>
      </c>
      <c r="W10" s="148">
        <f t="shared" si="1"/>
        <v>1.1779999999999973</v>
      </c>
      <c r="X10" s="148">
        <f t="shared" si="1"/>
        <v>1.2749999999999986</v>
      </c>
      <c r="Y10" s="148">
        <f t="shared" si="1"/>
        <v>1.3000000000000043</v>
      </c>
      <c r="Z10" s="148">
        <f t="shared" si="1"/>
        <v>1.796999999999997</v>
      </c>
      <c r="AA10" s="148">
        <f t="shared" si="1"/>
        <v>1.786999999999999</v>
      </c>
      <c r="AB10" s="148">
        <f t="shared" si="1"/>
        <v>1.6360000000000028</v>
      </c>
      <c r="AC10" s="148">
        <f t="shared" si="1"/>
        <v>1.5249999999999986</v>
      </c>
      <c r="AD10" s="148">
        <f t="shared" si="1"/>
        <v>1.5910000000000011</v>
      </c>
      <c r="AE10" s="148">
        <f t="shared" si="1"/>
        <v>1.7939999999999969</v>
      </c>
      <c r="AF10" s="148">
        <f t="shared" si="1"/>
        <v>1.595000000000006</v>
      </c>
    </row>
    <row r="11" spans="1:32" x14ac:dyDescent="0.35">
      <c r="A11" s="280"/>
      <c r="B11" s="10" t="s">
        <v>375</v>
      </c>
      <c r="C11" s="79">
        <v>2.9649999999999999</v>
      </c>
      <c r="D11" s="11">
        <v>3.9239999999999999</v>
      </c>
      <c r="E11" s="11">
        <v>4.3609999999999998</v>
      </c>
      <c r="F11" s="11">
        <v>4.5890000000000004</v>
      </c>
      <c r="G11" s="11">
        <v>4.9329999999999998</v>
      </c>
      <c r="H11" s="11">
        <v>4.9850000000000003</v>
      </c>
      <c r="I11" s="11">
        <v>5.024</v>
      </c>
      <c r="J11" s="11">
        <v>5.0519999999999996</v>
      </c>
      <c r="K11" s="11">
        <v>5.0709999999999997</v>
      </c>
      <c r="L11" s="11">
        <v>5.093</v>
      </c>
      <c r="M11" s="11">
        <v>5.1109999999999998</v>
      </c>
      <c r="N11" s="11">
        <v>5.3780000000000001</v>
      </c>
      <c r="O11" s="11">
        <v>6.0309999999999997</v>
      </c>
      <c r="P11" s="9"/>
      <c r="Q11" s="9">
        <f t="shared" ref="Q11" si="5">O11-C11</f>
        <v>3.0659999999999998</v>
      </c>
      <c r="T11" s="1"/>
      <c r="U11" s="160">
        <f t="shared" si="1"/>
        <v>0.95900000000000007</v>
      </c>
      <c r="V11" s="160">
        <f t="shared" si="1"/>
        <v>0.43699999999999983</v>
      </c>
      <c r="W11" s="160">
        <f t="shared" si="1"/>
        <v>0.22800000000000065</v>
      </c>
      <c r="X11" s="160">
        <f t="shared" si="1"/>
        <v>0.34399999999999942</v>
      </c>
      <c r="Y11" s="160">
        <f t="shared" si="1"/>
        <v>5.200000000000049E-2</v>
      </c>
      <c r="Z11" s="160">
        <f t="shared" si="1"/>
        <v>3.8999999999999702E-2</v>
      </c>
      <c r="AA11" s="160">
        <f t="shared" si="1"/>
        <v>2.7999999999999581E-2</v>
      </c>
      <c r="AB11" s="160">
        <f t="shared" si="1"/>
        <v>1.9000000000000128E-2</v>
      </c>
      <c r="AC11" s="160">
        <f t="shared" si="1"/>
        <v>2.2000000000000242E-2</v>
      </c>
      <c r="AD11" s="160">
        <f t="shared" si="1"/>
        <v>1.7999999999999794E-2</v>
      </c>
      <c r="AE11" s="160">
        <f t="shared" si="1"/>
        <v>0.26700000000000035</v>
      </c>
      <c r="AF11" s="160">
        <f t="shared" si="1"/>
        <v>0.65299999999999958</v>
      </c>
    </row>
    <row r="12" spans="1:32" x14ac:dyDescent="0.35">
      <c r="A12" s="280">
        <v>5</v>
      </c>
      <c r="B12" s="10" t="s">
        <v>184</v>
      </c>
      <c r="C12" s="79">
        <v>230.90799999999999</v>
      </c>
      <c r="D12" s="11">
        <v>236.64599999999999</v>
      </c>
      <c r="E12" s="11">
        <v>241.596</v>
      </c>
      <c r="F12" s="11">
        <v>247.21899999999999</v>
      </c>
      <c r="G12" s="11">
        <v>252.83600000000001</v>
      </c>
      <c r="H12" s="11">
        <v>258.56299999999999</v>
      </c>
      <c r="I12" s="11">
        <v>262.40300000000002</v>
      </c>
      <c r="J12" s="11">
        <v>265.85000000000002</v>
      </c>
      <c r="K12" s="11">
        <v>269.74299999999999</v>
      </c>
      <c r="L12" s="11">
        <v>273.56</v>
      </c>
      <c r="M12" s="11">
        <v>276.69</v>
      </c>
      <c r="N12" s="11">
        <v>282.09899999999999</v>
      </c>
      <c r="O12" s="11">
        <v>288.62</v>
      </c>
      <c r="P12" s="9">
        <f>O12-C12</f>
        <v>57.712000000000018</v>
      </c>
      <c r="T12" s="1">
        <v>5</v>
      </c>
      <c r="U12" s="148">
        <f t="shared" si="1"/>
        <v>5.7379999999999995</v>
      </c>
      <c r="V12" s="148">
        <f t="shared" si="1"/>
        <v>4.9500000000000171</v>
      </c>
      <c r="W12" s="148">
        <f t="shared" si="1"/>
        <v>5.6229999999999905</v>
      </c>
      <c r="X12" s="148">
        <f t="shared" si="1"/>
        <v>5.6170000000000186</v>
      </c>
      <c r="Y12" s="148">
        <f t="shared" si="1"/>
        <v>5.7269999999999754</v>
      </c>
      <c r="Z12" s="148">
        <f t="shared" si="1"/>
        <v>3.8400000000000318</v>
      </c>
      <c r="AA12" s="148">
        <f t="shared" si="1"/>
        <v>3.4470000000000027</v>
      </c>
      <c r="AB12" s="148">
        <f t="shared" si="1"/>
        <v>3.8929999999999723</v>
      </c>
      <c r="AC12" s="148">
        <f t="shared" si="1"/>
        <v>3.8170000000000073</v>
      </c>
      <c r="AD12" s="148">
        <f t="shared" si="1"/>
        <v>3.1299999999999955</v>
      </c>
      <c r="AE12" s="148">
        <f t="shared" si="1"/>
        <v>5.4089999999999918</v>
      </c>
      <c r="AF12" s="148">
        <f t="shared" si="1"/>
        <v>6.521000000000015</v>
      </c>
    </row>
    <row r="13" spans="1:32" x14ac:dyDescent="0.35">
      <c r="A13" s="280"/>
      <c r="B13" s="10" t="s">
        <v>376</v>
      </c>
      <c r="C13" s="79">
        <v>23.759</v>
      </c>
      <c r="D13" s="11">
        <v>26.315999999999999</v>
      </c>
      <c r="E13" s="11">
        <v>28.762</v>
      </c>
      <c r="F13" s="11">
        <v>30.193999999999999</v>
      </c>
      <c r="G13" s="11">
        <v>31.266999999999999</v>
      </c>
      <c r="H13" s="11">
        <v>31.553999999999998</v>
      </c>
      <c r="I13" s="11">
        <v>31.727</v>
      </c>
      <c r="J13" s="11">
        <v>31.827999999999999</v>
      </c>
      <c r="K13" s="11">
        <v>31.962</v>
      </c>
      <c r="L13" s="11">
        <v>32.128</v>
      </c>
      <c r="M13" s="11">
        <v>32.926000000000002</v>
      </c>
      <c r="N13" s="11">
        <v>35.405999999999999</v>
      </c>
      <c r="O13" s="11">
        <v>38.718000000000004</v>
      </c>
      <c r="P13" s="9"/>
      <c r="Q13" s="9">
        <f t="shared" ref="Q13" si="6">O13-C13</f>
        <v>14.959000000000003</v>
      </c>
      <c r="T13" s="1"/>
      <c r="U13" s="160">
        <f t="shared" si="1"/>
        <v>2.5569999999999986</v>
      </c>
      <c r="V13" s="160">
        <f t="shared" si="1"/>
        <v>2.4460000000000015</v>
      </c>
      <c r="W13" s="160">
        <f t="shared" si="1"/>
        <v>1.4319999999999986</v>
      </c>
      <c r="X13" s="160">
        <f t="shared" si="1"/>
        <v>1.0730000000000004</v>
      </c>
      <c r="Y13" s="160">
        <f t="shared" si="1"/>
        <v>0.28699999999999903</v>
      </c>
      <c r="Z13" s="160">
        <f t="shared" si="1"/>
        <v>0.17300000000000182</v>
      </c>
      <c r="AA13" s="160">
        <f t="shared" si="1"/>
        <v>0.10099999999999909</v>
      </c>
      <c r="AB13" s="160">
        <f t="shared" si="1"/>
        <v>0.13400000000000034</v>
      </c>
      <c r="AC13" s="160">
        <f t="shared" si="1"/>
        <v>0.16600000000000037</v>
      </c>
      <c r="AD13" s="160">
        <f t="shared" si="1"/>
        <v>0.79800000000000182</v>
      </c>
      <c r="AE13" s="160">
        <f t="shared" si="1"/>
        <v>2.4799999999999969</v>
      </c>
      <c r="AF13" s="160">
        <f t="shared" si="1"/>
        <v>3.3120000000000047</v>
      </c>
    </row>
    <row r="14" spans="1:32" x14ac:dyDescent="0.35">
      <c r="A14" s="280">
        <v>6</v>
      </c>
      <c r="B14" s="10" t="s">
        <v>185</v>
      </c>
      <c r="C14" s="79">
        <v>121.339</v>
      </c>
      <c r="D14" s="11">
        <v>125.471</v>
      </c>
      <c r="E14" s="11">
        <v>129.03100000000001</v>
      </c>
      <c r="F14" s="11">
        <v>133.09100000000001</v>
      </c>
      <c r="G14" s="11">
        <v>137.666</v>
      </c>
      <c r="H14" s="11">
        <v>142.017</v>
      </c>
      <c r="I14" s="11">
        <v>147.833</v>
      </c>
      <c r="J14" s="11">
        <v>151.744</v>
      </c>
      <c r="K14" s="11">
        <v>155.01300000000001</v>
      </c>
      <c r="L14" s="11">
        <v>158.16399999999999</v>
      </c>
      <c r="M14" s="11">
        <v>161.02099999999999</v>
      </c>
      <c r="N14" s="11">
        <v>164.88200000000001</v>
      </c>
      <c r="O14" s="11">
        <v>169.59</v>
      </c>
      <c r="P14" s="9">
        <f>O14-C14</f>
        <v>48.251000000000005</v>
      </c>
      <c r="T14" s="1">
        <v>6</v>
      </c>
      <c r="U14" s="148">
        <f t="shared" si="1"/>
        <v>4.132000000000005</v>
      </c>
      <c r="V14" s="148">
        <f t="shared" si="1"/>
        <v>3.5600000000000023</v>
      </c>
      <c r="W14" s="148">
        <f t="shared" si="1"/>
        <v>4.0600000000000023</v>
      </c>
      <c r="X14" s="148">
        <f t="shared" si="1"/>
        <v>4.5749999999999886</v>
      </c>
      <c r="Y14" s="148">
        <f t="shared" si="1"/>
        <v>4.3509999999999991</v>
      </c>
      <c r="Z14" s="148">
        <f t="shared" si="1"/>
        <v>5.8160000000000025</v>
      </c>
      <c r="AA14" s="148">
        <f t="shared" si="1"/>
        <v>3.9110000000000014</v>
      </c>
      <c r="AB14" s="148">
        <f t="shared" si="1"/>
        <v>3.2690000000000055</v>
      </c>
      <c r="AC14" s="148">
        <f t="shared" si="1"/>
        <v>3.150999999999982</v>
      </c>
      <c r="AD14" s="148">
        <f t="shared" si="1"/>
        <v>2.8569999999999993</v>
      </c>
      <c r="AE14" s="148">
        <f t="shared" si="1"/>
        <v>3.8610000000000184</v>
      </c>
      <c r="AF14" s="148">
        <f t="shared" si="1"/>
        <v>4.7079999999999984</v>
      </c>
    </row>
    <row r="15" spans="1:32" x14ac:dyDescent="0.35">
      <c r="A15" s="280"/>
      <c r="B15" s="10" t="s">
        <v>377</v>
      </c>
      <c r="C15" s="79">
        <v>39.652999999999999</v>
      </c>
      <c r="D15" s="11">
        <v>44.634</v>
      </c>
      <c r="E15" s="11">
        <v>49.021000000000001</v>
      </c>
      <c r="F15" s="11">
        <v>53.179000000000002</v>
      </c>
      <c r="G15" s="11">
        <v>56.220999999999997</v>
      </c>
      <c r="H15" s="11">
        <v>56.54</v>
      </c>
      <c r="I15" s="11">
        <v>56.962000000000003</v>
      </c>
      <c r="J15" s="11">
        <v>57.235999999999997</v>
      </c>
      <c r="K15" s="11">
        <v>57.442999999999998</v>
      </c>
      <c r="L15" s="11">
        <v>57.667999999999999</v>
      </c>
      <c r="M15" s="11">
        <v>59.393999999999998</v>
      </c>
      <c r="N15" s="11">
        <v>63.418999999999997</v>
      </c>
      <c r="O15" s="11">
        <v>69.13</v>
      </c>
      <c r="P15" s="9"/>
      <c r="Q15" s="9">
        <f t="shared" ref="Q15" si="7">O15-C15</f>
        <v>29.476999999999997</v>
      </c>
      <c r="T15" s="1"/>
      <c r="U15" s="160">
        <f t="shared" si="1"/>
        <v>4.9810000000000016</v>
      </c>
      <c r="V15" s="160">
        <f t="shared" si="1"/>
        <v>4.3870000000000005</v>
      </c>
      <c r="W15" s="160">
        <f t="shared" si="1"/>
        <v>4.1580000000000013</v>
      </c>
      <c r="X15" s="160">
        <f t="shared" si="1"/>
        <v>3.0419999999999945</v>
      </c>
      <c r="Y15" s="160">
        <f t="shared" si="1"/>
        <v>0.31900000000000261</v>
      </c>
      <c r="Z15" s="160">
        <f t="shared" si="1"/>
        <v>0.42200000000000415</v>
      </c>
      <c r="AA15" s="160">
        <f t="shared" si="1"/>
        <v>0.2739999999999938</v>
      </c>
      <c r="AB15" s="160">
        <f t="shared" si="1"/>
        <v>0.20700000000000074</v>
      </c>
      <c r="AC15" s="160">
        <f t="shared" si="1"/>
        <v>0.22500000000000142</v>
      </c>
      <c r="AD15" s="160">
        <f t="shared" si="1"/>
        <v>1.7259999999999991</v>
      </c>
      <c r="AE15" s="160">
        <f t="shared" si="1"/>
        <v>4.0249999999999986</v>
      </c>
      <c r="AF15" s="160">
        <f t="shared" si="1"/>
        <v>5.7109999999999985</v>
      </c>
    </row>
    <row r="16" spans="1:32" x14ac:dyDescent="0.35">
      <c r="A16" s="280">
        <v>7</v>
      </c>
      <c r="B16" s="10" t="s">
        <v>186</v>
      </c>
      <c r="C16" s="79">
        <v>65.784000000000006</v>
      </c>
      <c r="D16" s="11">
        <v>65.894000000000005</v>
      </c>
      <c r="E16" s="11">
        <v>69.971000000000004</v>
      </c>
      <c r="F16" s="11">
        <v>74.555999999999997</v>
      </c>
      <c r="G16" s="11">
        <v>79.034000000000006</v>
      </c>
      <c r="H16" s="11">
        <v>81.828999999999994</v>
      </c>
      <c r="I16" s="11">
        <v>83.49</v>
      </c>
      <c r="J16" s="11">
        <v>89.745999999999995</v>
      </c>
      <c r="K16" s="11">
        <v>97.168000000000006</v>
      </c>
      <c r="L16" s="11">
        <v>103.071</v>
      </c>
      <c r="M16" s="11">
        <v>110.404</v>
      </c>
      <c r="N16" s="11">
        <v>117.63500000000001</v>
      </c>
      <c r="O16" s="11">
        <v>124.749</v>
      </c>
      <c r="P16" s="9">
        <f>O16-C16</f>
        <v>58.964999999999989</v>
      </c>
      <c r="T16" s="1">
        <v>7</v>
      </c>
      <c r="U16" s="148">
        <f t="shared" si="1"/>
        <v>0.10999999999999943</v>
      </c>
      <c r="V16" s="148">
        <f t="shared" si="1"/>
        <v>4.0769999999999982</v>
      </c>
      <c r="W16" s="148">
        <f t="shared" si="1"/>
        <v>4.5849999999999937</v>
      </c>
      <c r="X16" s="148">
        <f t="shared" si="1"/>
        <v>4.4780000000000086</v>
      </c>
      <c r="Y16" s="148">
        <f t="shared" si="1"/>
        <v>2.7949999999999875</v>
      </c>
      <c r="Z16" s="148">
        <f t="shared" si="1"/>
        <v>1.6610000000000014</v>
      </c>
      <c r="AA16" s="148">
        <f t="shared" si="1"/>
        <v>6.2560000000000002</v>
      </c>
      <c r="AB16" s="148">
        <f t="shared" si="1"/>
        <v>7.4220000000000113</v>
      </c>
      <c r="AC16" s="148">
        <f t="shared" si="1"/>
        <v>5.9029999999999916</v>
      </c>
      <c r="AD16" s="148">
        <f t="shared" si="1"/>
        <v>7.3329999999999984</v>
      </c>
      <c r="AE16" s="148">
        <f t="shared" si="1"/>
        <v>7.2310000000000088</v>
      </c>
      <c r="AF16" s="148">
        <f t="shared" si="1"/>
        <v>7.1139999999999901</v>
      </c>
    </row>
    <row r="17" spans="1:32" x14ac:dyDescent="0.35">
      <c r="A17" s="280"/>
      <c r="B17" s="10" t="s">
        <v>378</v>
      </c>
      <c r="C17" s="79">
        <v>1.855</v>
      </c>
      <c r="D17" s="11">
        <v>1.8839999999999999</v>
      </c>
      <c r="E17" s="11">
        <v>2.984</v>
      </c>
      <c r="F17" s="11">
        <v>4.2039999999999997</v>
      </c>
      <c r="G17" s="11">
        <v>4.9649999999999999</v>
      </c>
      <c r="H17" s="11">
        <v>5.1529999999999996</v>
      </c>
      <c r="I17" s="11">
        <v>5.2380000000000004</v>
      </c>
      <c r="J17" s="11">
        <v>5.4859999999999998</v>
      </c>
      <c r="K17" s="11">
        <v>5.7670000000000003</v>
      </c>
      <c r="L17" s="11">
        <v>6.0110000000000001</v>
      </c>
      <c r="M17" s="11">
        <v>6.3579999999999997</v>
      </c>
      <c r="N17" s="11">
        <v>8.0280000000000005</v>
      </c>
      <c r="O17" s="11">
        <v>9.6720000000000006</v>
      </c>
      <c r="P17" s="9"/>
      <c r="Q17" s="9">
        <f t="shared" ref="Q17" si="8">O17-C17</f>
        <v>7.8170000000000002</v>
      </c>
      <c r="T17" s="1"/>
      <c r="U17" s="160">
        <f t="shared" si="1"/>
        <v>2.8999999999999915E-2</v>
      </c>
      <c r="V17" s="160">
        <f t="shared" si="1"/>
        <v>1.1000000000000001</v>
      </c>
      <c r="W17" s="160">
        <f t="shared" si="1"/>
        <v>1.2199999999999998</v>
      </c>
      <c r="X17" s="160">
        <f t="shared" si="1"/>
        <v>0.76100000000000012</v>
      </c>
      <c r="Y17" s="160">
        <f t="shared" si="1"/>
        <v>0.18799999999999972</v>
      </c>
      <c r="Z17" s="160">
        <f t="shared" si="1"/>
        <v>8.5000000000000853E-2</v>
      </c>
      <c r="AA17" s="160">
        <f t="shared" si="1"/>
        <v>0.24799999999999933</v>
      </c>
      <c r="AB17" s="160">
        <f t="shared" si="1"/>
        <v>0.28100000000000058</v>
      </c>
      <c r="AC17" s="160">
        <f t="shared" si="1"/>
        <v>0.24399999999999977</v>
      </c>
      <c r="AD17" s="160">
        <f t="shared" si="1"/>
        <v>0.34699999999999953</v>
      </c>
      <c r="AE17" s="160">
        <f t="shared" si="1"/>
        <v>1.6700000000000008</v>
      </c>
      <c r="AF17" s="160">
        <f t="shared" si="1"/>
        <v>1.6440000000000001</v>
      </c>
    </row>
    <row r="18" spans="1:32" x14ac:dyDescent="0.35">
      <c r="A18" s="280">
        <v>8</v>
      </c>
      <c r="B18" s="10" t="s">
        <v>187</v>
      </c>
      <c r="C18" s="79">
        <v>78.831000000000003</v>
      </c>
      <c r="D18" s="11">
        <v>80.933000000000007</v>
      </c>
      <c r="E18" s="11">
        <v>83.489000000000004</v>
      </c>
      <c r="F18" s="11">
        <v>86.197000000000003</v>
      </c>
      <c r="G18" s="11">
        <v>89.012</v>
      </c>
      <c r="H18" s="11">
        <v>91.721999999999994</v>
      </c>
      <c r="I18" s="11">
        <v>94.305000000000007</v>
      </c>
      <c r="J18" s="11">
        <v>96.847999999999999</v>
      </c>
      <c r="K18" s="11">
        <v>99.662000000000006</v>
      </c>
      <c r="L18" s="11">
        <v>102.166</v>
      </c>
      <c r="M18" s="11">
        <v>105.11</v>
      </c>
      <c r="N18" s="11">
        <v>107.895</v>
      </c>
      <c r="O18" s="11">
        <v>111.07</v>
      </c>
      <c r="P18" s="9">
        <f>O18-C18</f>
        <v>32.23899999999999</v>
      </c>
      <c r="T18" s="1">
        <v>8</v>
      </c>
      <c r="U18" s="148">
        <f t="shared" si="1"/>
        <v>2.1020000000000039</v>
      </c>
      <c r="V18" s="148">
        <f t="shared" si="1"/>
        <v>2.5559999999999974</v>
      </c>
      <c r="W18" s="148">
        <f t="shared" si="1"/>
        <v>2.7079999999999984</v>
      </c>
      <c r="X18" s="148">
        <f t="shared" si="1"/>
        <v>2.8149999999999977</v>
      </c>
      <c r="Y18" s="148">
        <f t="shared" si="1"/>
        <v>2.7099999999999937</v>
      </c>
      <c r="Z18" s="148">
        <f t="shared" si="1"/>
        <v>2.5830000000000126</v>
      </c>
      <c r="AA18" s="148">
        <f t="shared" si="1"/>
        <v>2.5429999999999922</v>
      </c>
      <c r="AB18" s="148">
        <f t="shared" si="1"/>
        <v>2.8140000000000072</v>
      </c>
      <c r="AC18" s="148">
        <f t="shared" si="1"/>
        <v>2.5039999999999907</v>
      </c>
      <c r="AD18" s="148">
        <f t="shared" si="1"/>
        <v>2.9440000000000026</v>
      </c>
      <c r="AE18" s="148">
        <f t="shared" si="1"/>
        <v>2.7849999999999966</v>
      </c>
      <c r="AF18" s="148">
        <f t="shared" si="1"/>
        <v>3.1749999999999972</v>
      </c>
    </row>
    <row r="19" spans="1:32" x14ac:dyDescent="0.35">
      <c r="A19" s="280"/>
      <c r="B19" s="10" t="s">
        <v>379</v>
      </c>
      <c r="C19" s="79">
        <v>18.5</v>
      </c>
      <c r="D19" s="11">
        <v>21.459</v>
      </c>
      <c r="E19" s="11">
        <v>24.04</v>
      </c>
      <c r="F19" s="11">
        <v>25.846</v>
      </c>
      <c r="G19" s="11">
        <v>26.818000000000001</v>
      </c>
      <c r="H19" s="11">
        <v>27.076000000000001</v>
      </c>
      <c r="I19" s="11">
        <v>27.308</v>
      </c>
      <c r="J19" s="11">
        <v>27.503</v>
      </c>
      <c r="K19" s="11">
        <v>27.686</v>
      </c>
      <c r="L19" s="11">
        <v>27.884</v>
      </c>
      <c r="M19" s="11">
        <v>28.2</v>
      </c>
      <c r="N19" s="11">
        <v>29.318999999999999</v>
      </c>
      <c r="O19" s="11">
        <v>31.562999999999999</v>
      </c>
      <c r="P19" s="9"/>
      <c r="Q19" s="9">
        <f t="shared" ref="Q19" si="9">O19-C19</f>
        <v>13.062999999999999</v>
      </c>
      <c r="T19" s="1"/>
      <c r="U19" s="160">
        <f t="shared" si="1"/>
        <v>2.9589999999999996</v>
      </c>
      <c r="V19" s="160">
        <f t="shared" si="1"/>
        <v>2.5809999999999995</v>
      </c>
      <c r="W19" s="160">
        <f t="shared" si="1"/>
        <v>1.8060000000000009</v>
      </c>
      <c r="X19" s="160">
        <f t="shared" si="1"/>
        <v>0.97200000000000131</v>
      </c>
      <c r="Y19" s="160">
        <f t="shared" si="1"/>
        <v>0.25799999999999912</v>
      </c>
      <c r="Z19" s="160">
        <f t="shared" si="1"/>
        <v>0.23199999999999932</v>
      </c>
      <c r="AA19" s="160">
        <f t="shared" si="1"/>
        <v>0.19500000000000028</v>
      </c>
      <c r="AB19" s="160">
        <f t="shared" si="1"/>
        <v>0.18299999999999983</v>
      </c>
      <c r="AC19" s="160">
        <f t="shared" si="1"/>
        <v>0.1980000000000004</v>
      </c>
      <c r="AD19" s="160">
        <f t="shared" si="1"/>
        <v>0.31599999999999895</v>
      </c>
      <c r="AE19" s="160">
        <f t="shared" si="1"/>
        <v>1.1189999999999998</v>
      </c>
      <c r="AF19" s="160">
        <f t="shared" si="1"/>
        <v>2.2439999999999998</v>
      </c>
    </row>
    <row r="20" spans="1:32" x14ac:dyDescent="0.35">
      <c r="A20" s="280">
        <v>9</v>
      </c>
      <c r="B20" s="10" t="s">
        <v>188</v>
      </c>
      <c r="C20" s="79">
        <v>254.56299999999999</v>
      </c>
      <c r="D20" s="11">
        <v>260.863</v>
      </c>
      <c r="E20" s="11">
        <v>266.51</v>
      </c>
      <c r="F20" s="11">
        <v>272.77499999999998</v>
      </c>
      <c r="G20" s="11">
        <v>279.44799999999998</v>
      </c>
      <c r="H20" s="11">
        <v>286.077</v>
      </c>
      <c r="I20" s="11">
        <v>294.54199999999997</v>
      </c>
      <c r="J20" s="11">
        <v>300.18200000000002</v>
      </c>
      <c r="K20" s="11">
        <v>306.99700000000001</v>
      </c>
      <c r="L20" s="11">
        <v>315.13</v>
      </c>
      <c r="M20" s="11">
        <v>320.15899999999999</v>
      </c>
      <c r="N20" s="11">
        <v>326.08499999999998</v>
      </c>
      <c r="O20" s="11">
        <v>332.14299999999997</v>
      </c>
      <c r="P20" s="9">
        <f>O20-C20</f>
        <v>77.579999999999984</v>
      </c>
      <c r="T20" s="1">
        <v>9</v>
      </c>
      <c r="U20" s="148">
        <f t="shared" si="1"/>
        <v>6.3000000000000114</v>
      </c>
      <c r="V20" s="148">
        <f t="shared" si="1"/>
        <v>5.6469999999999914</v>
      </c>
      <c r="W20" s="148">
        <f t="shared" si="1"/>
        <v>6.2649999999999864</v>
      </c>
      <c r="X20" s="148">
        <f t="shared" si="1"/>
        <v>6.6730000000000018</v>
      </c>
      <c r="Y20" s="148">
        <f t="shared" si="1"/>
        <v>6.6290000000000191</v>
      </c>
      <c r="Z20" s="148">
        <f t="shared" si="1"/>
        <v>8.464999999999975</v>
      </c>
      <c r="AA20" s="148">
        <f t="shared" si="1"/>
        <v>5.6400000000000432</v>
      </c>
      <c r="AB20" s="148">
        <f t="shared" si="1"/>
        <v>6.8149999999999977</v>
      </c>
      <c r="AC20" s="148">
        <f t="shared" si="1"/>
        <v>8.1329999999999814</v>
      </c>
      <c r="AD20" s="148">
        <f t="shared" si="1"/>
        <v>5.0289999999999964</v>
      </c>
      <c r="AE20" s="148">
        <f t="shared" si="1"/>
        <v>5.9259999999999877</v>
      </c>
      <c r="AF20" s="148">
        <f t="shared" si="1"/>
        <v>6.0579999999999927</v>
      </c>
    </row>
    <row r="21" spans="1:32" x14ac:dyDescent="0.35">
      <c r="A21" s="280"/>
      <c r="B21" s="10" t="s">
        <v>380</v>
      </c>
      <c r="C21" s="79">
        <v>29.667000000000002</v>
      </c>
      <c r="D21" s="11">
        <v>33.545000000000002</v>
      </c>
      <c r="E21" s="11">
        <v>36.408999999999999</v>
      </c>
      <c r="F21" s="11">
        <v>38.271999999999998</v>
      </c>
      <c r="G21" s="11">
        <v>39.314999999999998</v>
      </c>
      <c r="H21" s="11">
        <v>39.789000000000001</v>
      </c>
      <c r="I21" s="11">
        <v>40.189</v>
      </c>
      <c r="J21" s="11">
        <v>40.409999999999997</v>
      </c>
      <c r="K21" s="11">
        <v>40.646000000000001</v>
      </c>
      <c r="L21" s="11">
        <v>40.972999999999999</v>
      </c>
      <c r="M21" s="11">
        <v>41.555</v>
      </c>
      <c r="N21" s="11">
        <v>44.033000000000001</v>
      </c>
      <c r="O21" s="11">
        <v>47.131999999999998</v>
      </c>
      <c r="P21" s="9"/>
      <c r="Q21" s="9">
        <f t="shared" ref="Q21" si="10">O21-C21</f>
        <v>17.464999999999996</v>
      </c>
      <c r="T21" s="1"/>
      <c r="U21" s="160">
        <f t="shared" si="1"/>
        <v>3.8780000000000001</v>
      </c>
      <c r="V21" s="160">
        <f t="shared" si="1"/>
        <v>2.8639999999999972</v>
      </c>
      <c r="W21" s="160">
        <f t="shared" si="1"/>
        <v>1.8629999999999995</v>
      </c>
      <c r="X21" s="160">
        <f t="shared" si="1"/>
        <v>1.0429999999999993</v>
      </c>
      <c r="Y21" s="160">
        <f t="shared" si="1"/>
        <v>0.47400000000000375</v>
      </c>
      <c r="Z21" s="160">
        <f t="shared" si="1"/>
        <v>0.39999999999999858</v>
      </c>
      <c r="AA21" s="160">
        <f t="shared" si="1"/>
        <v>0.22099999999999653</v>
      </c>
      <c r="AB21" s="160">
        <f t="shared" si="1"/>
        <v>0.23600000000000421</v>
      </c>
      <c r="AC21" s="160">
        <f t="shared" si="1"/>
        <v>0.32699999999999818</v>
      </c>
      <c r="AD21" s="160">
        <f t="shared" si="1"/>
        <v>0.58200000000000074</v>
      </c>
      <c r="AE21" s="160">
        <f t="shared" si="1"/>
        <v>2.4780000000000015</v>
      </c>
      <c r="AF21" s="160">
        <f t="shared" si="1"/>
        <v>3.0989999999999966</v>
      </c>
    </row>
    <row r="22" spans="1:32" x14ac:dyDescent="0.35">
      <c r="A22" s="280">
        <v>10</v>
      </c>
      <c r="B22" s="10" t="s">
        <v>189</v>
      </c>
      <c r="C22" s="79">
        <v>683.85299999999995</v>
      </c>
      <c r="D22" s="11">
        <v>696.48</v>
      </c>
      <c r="E22" s="11">
        <v>706.51499999999999</v>
      </c>
      <c r="F22" s="11">
        <v>717.00800000000004</v>
      </c>
      <c r="G22" s="11">
        <v>724.721</v>
      </c>
      <c r="H22" s="11">
        <v>732.83699999999999</v>
      </c>
      <c r="I22" s="11">
        <v>740.904</v>
      </c>
      <c r="J22" s="11">
        <v>746.726</v>
      </c>
      <c r="K22" s="11">
        <v>755.60500000000002</v>
      </c>
      <c r="L22" s="11">
        <v>763.35900000000004</v>
      </c>
      <c r="M22" s="11">
        <v>770.74900000000002</v>
      </c>
      <c r="N22" s="11">
        <v>778.274</v>
      </c>
      <c r="O22" s="11">
        <v>787.04499999999996</v>
      </c>
      <c r="P22" s="9">
        <f>O22-C22</f>
        <v>103.19200000000001</v>
      </c>
      <c r="T22" s="1">
        <v>10</v>
      </c>
      <c r="U22" s="148">
        <f t="shared" ref="U22:AF23" si="11">D22-C22</f>
        <v>12.627000000000066</v>
      </c>
      <c r="V22" s="148">
        <f t="shared" si="11"/>
        <v>10.034999999999968</v>
      </c>
      <c r="W22" s="148">
        <f t="shared" si="11"/>
        <v>10.493000000000052</v>
      </c>
      <c r="X22" s="148">
        <f t="shared" si="11"/>
        <v>7.7129999999999654</v>
      </c>
      <c r="Y22" s="148">
        <f t="shared" si="11"/>
        <v>8.1159999999999854</v>
      </c>
      <c r="Z22" s="148">
        <f t="shared" si="11"/>
        <v>8.0670000000000073</v>
      </c>
      <c r="AA22" s="148">
        <f t="shared" si="11"/>
        <v>5.8220000000000027</v>
      </c>
      <c r="AB22" s="148">
        <f t="shared" si="11"/>
        <v>8.8790000000000191</v>
      </c>
      <c r="AC22" s="148">
        <f t="shared" si="11"/>
        <v>7.7540000000000191</v>
      </c>
      <c r="AD22" s="148">
        <f t="shared" si="11"/>
        <v>7.3899999999999864</v>
      </c>
      <c r="AE22" s="148">
        <f t="shared" si="11"/>
        <v>7.5249999999999773</v>
      </c>
      <c r="AF22" s="148">
        <f t="shared" si="11"/>
        <v>8.7709999999999582</v>
      </c>
    </row>
    <row r="23" spans="1:32" x14ac:dyDescent="0.35">
      <c r="A23" s="280"/>
      <c r="B23" s="10" t="s">
        <v>381</v>
      </c>
      <c r="C23" s="79">
        <v>25.838999999999999</v>
      </c>
      <c r="D23" s="11">
        <v>28.681999999999999</v>
      </c>
      <c r="E23" s="11">
        <v>31.077999999999999</v>
      </c>
      <c r="F23" s="11">
        <v>32.966000000000001</v>
      </c>
      <c r="G23" s="11">
        <v>33.918999999999997</v>
      </c>
      <c r="H23" s="11">
        <v>34.343000000000004</v>
      </c>
      <c r="I23" s="11">
        <v>34.689</v>
      </c>
      <c r="J23" s="11">
        <v>34.890999999999998</v>
      </c>
      <c r="K23" s="11">
        <v>35.271999999999998</v>
      </c>
      <c r="L23" s="11">
        <v>35.610999999999997</v>
      </c>
      <c r="M23" s="11">
        <v>35.954000000000001</v>
      </c>
      <c r="N23" s="11">
        <v>37.622</v>
      </c>
      <c r="O23" s="11">
        <v>40.399000000000001</v>
      </c>
      <c r="P23" s="13"/>
      <c r="Q23" s="99">
        <f>O23-C23</f>
        <v>14.560000000000002</v>
      </c>
      <c r="U23" s="160">
        <f t="shared" si="11"/>
        <v>2.843</v>
      </c>
      <c r="V23" s="160">
        <f t="shared" si="11"/>
        <v>2.3960000000000008</v>
      </c>
      <c r="W23" s="160">
        <f t="shared" si="11"/>
        <v>1.8880000000000017</v>
      </c>
      <c r="X23" s="160">
        <f t="shared" si="11"/>
        <v>0.95299999999999585</v>
      </c>
      <c r="Y23" s="160">
        <f t="shared" si="11"/>
        <v>0.42400000000000659</v>
      </c>
      <c r="Z23" s="160">
        <f t="shared" si="11"/>
        <v>0.34599999999999653</v>
      </c>
      <c r="AA23" s="160">
        <f t="shared" si="11"/>
        <v>0.20199999999999818</v>
      </c>
      <c r="AB23" s="160">
        <f t="shared" si="11"/>
        <v>0.38100000000000023</v>
      </c>
      <c r="AC23" s="160">
        <f t="shared" si="11"/>
        <v>0.33899999999999864</v>
      </c>
      <c r="AD23" s="160">
        <f t="shared" si="11"/>
        <v>0.34300000000000352</v>
      </c>
      <c r="AE23" s="160">
        <f t="shared" si="11"/>
        <v>1.6679999999999993</v>
      </c>
      <c r="AF23" s="160">
        <f t="shared" si="11"/>
        <v>2.777000000000001</v>
      </c>
    </row>
    <row r="24" spans="1:32" x14ac:dyDescent="0.35">
      <c r="A24" s="115"/>
      <c r="B24" s="10"/>
      <c r="C24" s="80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742.846</v>
      </c>
      <c r="Q24" s="9">
        <f>SUM(Q4:Q23)</f>
        <v>178.083</v>
      </c>
    </row>
    <row r="25" spans="1:32" x14ac:dyDescent="0.35">
      <c r="A25" s="115" t="s">
        <v>15</v>
      </c>
      <c r="B25" s="10" t="s">
        <v>34</v>
      </c>
      <c r="C25" s="80">
        <v>43553</v>
      </c>
      <c r="D25" s="15">
        <v>43761</v>
      </c>
      <c r="E25" s="15">
        <v>43951</v>
      </c>
      <c r="F25" s="15">
        <v>44179</v>
      </c>
      <c r="G25" s="15">
        <v>44374</v>
      </c>
      <c r="H25" s="15">
        <v>44591</v>
      </c>
      <c r="I25" s="15">
        <v>44817</v>
      </c>
      <c r="J25" s="15">
        <v>45004</v>
      </c>
      <c r="K25" s="15">
        <v>45244</v>
      </c>
      <c r="L25" s="15">
        <v>45460</v>
      </c>
      <c r="M25" s="15">
        <v>45689</v>
      </c>
      <c r="N25" s="15">
        <v>46072</v>
      </c>
      <c r="O25" s="15">
        <v>46424</v>
      </c>
      <c r="P25" s="9"/>
      <c r="R25" s="16">
        <f>O25-C25</f>
        <v>2871</v>
      </c>
    </row>
    <row r="26" spans="1:32" x14ac:dyDescent="0.35">
      <c r="A26" s="115"/>
      <c r="B26" s="10" t="s">
        <v>190</v>
      </c>
      <c r="C26" s="81">
        <v>3223.2</v>
      </c>
      <c r="D26" s="18">
        <v>3297.2</v>
      </c>
      <c r="E26" s="18">
        <v>3362.3</v>
      </c>
      <c r="F26" s="18">
        <v>3436.7</v>
      </c>
      <c r="G26" s="18">
        <v>3510.6</v>
      </c>
      <c r="H26" s="18">
        <v>3581.2</v>
      </c>
      <c r="I26" s="18">
        <v>3654.4</v>
      </c>
      <c r="J26" s="18">
        <v>3710.8</v>
      </c>
      <c r="K26" s="18">
        <v>3780.1</v>
      </c>
      <c r="L26" s="18">
        <v>3850.9</v>
      </c>
      <c r="M26" s="18">
        <v>3920.9</v>
      </c>
      <c r="N26" s="18">
        <v>3994.8</v>
      </c>
      <c r="O26" s="18">
        <v>4071.3</v>
      </c>
      <c r="P26" s="9">
        <f>O26-C26</f>
        <v>848.10000000000036</v>
      </c>
    </row>
    <row r="27" spans="1:32" x14ac:dyDescent="0.35">
      <c r="A27" s="121"/>
      <c r="B27" s="211" t="s">
        <v>288</v>
      </c>
      <c r="C27" s="82">
        <v>607.61</v>
      </c>
      <c r="D27" s="19">
        <v>641.58000000000004</v>
      </c>
      <c r="E27" s="19">
        <v>672.16</v>
      </c>
      <c r="F27" s="19">
        <v>697.25</v>
      </c>
      <c r="G27" s="19">
        <v>714.78</v>
      </c>
      <c r="H27" s="19">
        <v>719.6</v>
      </c>
      <c r="I27" s="19">
        <v>722.93</v>
      </c>
      <c r="J27" s="19">
        <v>724.88</v>
      </c>
      <c r="K27" s="19">
        <v>727.35</v>
      </c>
      <c r="L27" s="19">
        <v>730.19</v>
      </c>
      <c r="M27" s="19">
        <v>738.31</v>
      </c>
      <c r="N27" s="19">
        <v>763.92</v>
      </c>
      <c r="O27" s="19">
        <v>797.82</v>
      </c>
      <c r="P27" s="9"/>
      <c r="Q27" s="9">
        <f>O27-C27</f>
        <v>190.21000000000004</v>
      </c>
      <c r="R27" t="s">
        <v>95</v>
      </c>
    </row>
    <row r="28" spans="1:32" ht="15" thickBot="1" x14ac:dyDescent="0.4">
      <c r="A28" s="4"/>
      <c r="B28" s="26" t="s">
        <v>17</v>
      </c>
      <c r="C28" s="83">
        <v>4248</v>
      </c>
      <c r="D28" s="21">
        <v>4472</v>
      </c>
      <c r="E28" s="21">
        <v>4675</v>
      </c>
      <c r="F28" s="21">
        <v>4838</v>
      </c>
      <c r="G28" s="21">
        <v>4960</v>
      </c>
      <c r="H28" s="21">
        <v>4992</v>
      </c>
      <c r="I28" s="21">
        <v>5016</v>
      </c>
      <c r="J28" s="21">
        <v>5031</v>
      </c>
      <c r="K28" s="21">
        <v>5050</v>
      </c>
      <c r="L28" s="21">
        <v>5071</v>
      </c>
      <c r="M28" s="21">
        <v>5140</v>
      </c>
      <c r="N28" s="21">
        <v>5328.1</v>
      </c>
      <c r="O28" s="21">
        <v>5556</v>
      </c>
      <c r="P28" s="9"/>
      <c r="Q28" s="16">
        <f>O28-C28</f>
        <v>1308</v>
      </c>
      <c r="R28" t="s">
        <v>96</v>
      </c>
    </row>
    <row r="29" spans="1:32" ht="15" thickBot="1" x14ac:dyDescent="0.4">
      <c r="A29" s="123" t="str">
        <f>'1854'!A29</f>
        <v>Fakturační vodoměr:      42012114941</v>
      </c>
      <c r="B29" s="22"/>
      <c r="C29" s="23">
        <f>'1854'!C29</f>
        <v>7844.6</v>
      </c>
      <c r="D29" s="23">
        <f>'1854'!D29</f>
        <v>8132</v>
      </c>
      <c r="E29" s="23">
        <f>'1854'!E29</f>
        <v>8376.4</v>
      </c>
      <c r="F29" s="23">
        <f>'1854'!F29</f>
        <v>8650.7999999999993</v>
      </c>
      <c r="G29" s="23">
        <f>'1854'!G29</f>
        <v>8921.7000000000007</v>
      </c>
      <c r="H29" s="23">
        <f>'1854'!H29</f>
        <v>9183.7999999999993</v>
      </c>
      <c r="I29" s="23">
        <f>'1854'!I29</f>
        <v>9471</v>
      </c>
      <c r="J29" s="23">
        <f>'1854'!J29</f>
        <v>9681.6</v>
      </c>
      <c r="K29" s="23">
        <f>'1854'!K29</f>
        <v>9925.7999999999993</v>
      </c>
      <c r="L29" s="23">
        <f>'1854'!L29</f>
        <v>10213.6</v>
      </c>
      <c r="M29" s="23">
        <f>'1854'!M29</f>
        <v>10486.5</v>
      </c>
      <c r="N29" s="23">
        <f>'1854'!N29</f>
        <v>10767.6</v>
      </c>
      <c r="O29" s="23">
        <f>'1854'!O29</f>
        <v>11067</v>
      </c>
      <c r="P29" s="9">
        <f>O29-C29</f>
        <v>3222.3999999999996</v>
      </c>
    </row>
    <row r="32" spans="1:32" x14ac:dyDescent="0.35">
      <c r="E32" t="s">
        <v>238</v>
      </c>
      <c r="H32" s="177" t="s">
        <v>239</v>
      </c>
      <c r="I32" s="1" t="s">
        <v>96</v>
      </c>
      <c r="K32" t="s">
        <v>247</v>
      </c>
      <c r="N32" s="1" t="s">
        <v>96</v>
      </c>
    </row>
    <row r="33" spans="4:14" x14ac:dyDescent="0.35">
      <c r="D33" t="s">
        <v>241</v>
      </c>
      <c r="E33" s="165">
        <v>43984</v>
      </c>
      <c r="F33" s="86" t="s">
        <v>225</v>
      </c>
      <c r="G33" s="86"/>
      <c r="H33" s="172"/>
      <c r="I33" s="110"/>
      <c r="K33" s="183">
        <v>44095</v>
      </c>
      <c r="L33" s="86" t="s">
        <v>225</v>
      </c>
      <c r="M33" s="86"/>
      <c r="N33" s="86"/>
    </row>
    <row r="34" spans="4:14" x14ac:dyDescent="0.35">
      <c r="E34" s="173"/>
      <c r="F34" s="174"/>
      <c r="G34" s="174" t="s">
        <v>240</v>
      </c>
      <c r="H34" s="176" t="s">
        <v>95</v>
      </c>
      <c r="I34" s="175" t="s">
        <v>96</v>
      </c>
      <c r="L34" s="1"/>
      <c r="M34" s="174" t="s">
        <v>240</v>
      </c>
      <c r="N34" s="175" t="s">
        <v>96</v>
      </c>
    </row>
    <row r="35" spans="4:14" x14ac:dyDescent="0.35">
      <c r="D35" t="s">
        <v>242</v>
      </c>
      <c r="E35" s="165">
        <v>43986</v>
      </c>
      <c r="F35" s="86" t="s">
        <v>226</v>
      </c>
      <c r="G35" s="86"/>
      <c r="H35" s="172"/>
      <c r="I35" s="110"/>
      <c r="K35" s="183">
        <v>44095</v>
      </c>
      <c r="L35" s="86" t="s">
        <v>226</v>
      </c>
      <c r="M35" s="86"/>
      <c r="N35" s="86"/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D4">
    <cfRule type="cellIs" dxfId="1838" priority="14" stopIfTrue="1" operator="lessThan">
      <formula>$C$4</formula>
    </cfRule>
    <cfRule type="cellIs" dxfId="1837" priority="15" stopIfTrue="1" operator="equal">
      <formula>$C$4</formula>
    </cfRule>
  </conditionalFormatting>
  <conditionalFormatting sqref="D5">
    <cfRule type="cellIs" dxfId="1836" priority="19" stopIfTrue="1" operator="lessThan">
      <formula>$C$5</formula>
    </cfRule>
    <cfRule type="cellIs" dxfId="1835" priority="18" stopIfTrue="1" operator="equal">
      <formula>$C$5</formula>
    </cfRule>
  </conditionalFormatting>
  <conditionalFormatting sqref="D6">
    <cfRule type="cellIs" dxfId="1834" priority="25" stopIfTrue="1" operator="equal">
      <formula>$C$6</formula>
    </cfRule>
    <cfRule type="cellIs" dxfId="1833" priority="26" stopIfTrue="1" operator="lessThan">
      <formula>$C$6</formula>
    </cfRule>
  </conditionalFormatting>
  <conditionalFormatting sqref="D7">
    <cfRule type="cellIs" dxfId="1832" priority="40" stopIfTrue="1" operator="lessThan">
      <formula>$C$7</formula>
    </cfRule>
    <cfRule type="cellIs" dxfId="1831" priority="39" stopIfTrue="1" operator="equal">
      <formula>$C$7</formula>
    </cfRule>
  </conditionalFormatting>
  <conditionalFormatting sqref="D8">
    <cfRule type="cellIs" dxfId="1830" priority="52" stopIfTrue="1" operator="lessThan">
      <formula>$C$8</formula>
    </cfRule>
    <cfRule type="cellIs" dxfId="1829" priority="51" stopIfTrue="1" operator="equal">
      <formula>$C$8</formula>
    </cfRule>
  </conditionalFormatting>
  <conditionalFormatting sqref="D9">
    <cfRule type="cellIs" dxfId="1828" priority="66" stopIfTrue="1" operator="lessThan">
      <formula>$C$9</formula>
    </cfRule>
    <cfRule type="cellIs" dxfId="1827" priority="65" stopIfTrue="1" operator="equal">
      <formula>$C$9</formula>
    </cfRule>
  </conditionalFormatting>
  <conditionalFormatting sqref="D10">
    <cfRule type="cellIs" dxfId="1826" priority="79" stopIfTrue="1" operator="equal">
      <formula>$C$10</formula>
    </cfRule>
    <cfRule type="cellIs" dxfId="1825" priority="80" stopIfTrue="1" operator="lessThan">
      <formula>$C$10</formula>
    </cfRule>
  </conditionalFormatting>
  <conditionalFormatting sqref="D11">
    <cfRule type="cellIs" dxfId="1824" priority="94" stopIfTrue="1" operator="lessThan">
      <formula>$C$11</formula>
    </cfRule>
    <cfRule type="cellIs" dxfId="1823" priority="93" stopIfTrue="1" operator="equal">
      <formula>$C$11</formula>
    </cfRule>
  </conditionalFormatting>
  <conditionalFormatting sqref="D12">
    <cfRule type="cellIs" dxfId="1822" priority="108" stopIfTrue="1" operator="lessThan">
      <formula>$C$12</formula>
    </cfRule>
    <cfRule type="cellIs" dxfId="1821" priority="107" stopIfTrue="1" operator="equal">
      <formula>$C$12</formula>
    </cfRule>
  </conditionalFormatting>
  <conditionalFormatting sqref="D13">
    <cfRule type="cellIs" dxfId="1820" priority="240" stopIfTrue="1" operator="lessThan">
      <formula>$C$13</formula>
    </cfRule>
    <cfRule type="cellIs" dxfId="1819" priority="239" stopIfTrue="1" operator="equal">
      <formula>$C$13</formula>
    </cfRule>
  </conditionalFormatting>
  <conditionalFormatting sqref="D14">
    <cfRule type="cellIs" dxfId="1818" priority="122" stopIfTrue="1" operator="lessThan">
      <formula>$C$14</formula>
    </cfRule>
    <cfRule type="cellIs" dxfId="1817" priority="121" stopIfTrue="1" operator="equal">
      <formula>$C$14</formula>
    </cfRule>
  </conditionalFormatting>
  <conditionalFormatting sqref="D15">
    <cfRule type="cellIs" dxfId="1816" priority="123" stopIfTrue="1" operator="equal">
      <formula>$C$15</formula>
    </cfRule>
    <cfRule type="cellIs" dxfId="1815" priority="124" stopIfTrue="1" operator="lessThan">
      <formula>$C$15</formula>
    </cfRule>
  </conditionalFormatting>
  <conditionalFormatting sqref="D16">
    <cfRule type="cellIs" dxfId="1814" priority="126" stopIfTrue="1" operator="lessThan">
      <formula>$C$16</formula>
    </cfRule>
    <cfRule type="cellIs" dxfId="1813" priority="125" stopIfTrue="1" operator="equal">
      <formula>$C$16</formula>
    </cfRule>
  </conditionalFormatting>
  <conditionalFormatting sqref="D17">
    <cfRule type="cellIs" dxfId="1812" priority="128" stopIfTrue="1" operator="lessThan">
      <formula>$C$17</formula>
    </cfRule>
    <cfRule type="cellIs" dxfId="1811" priority="127" stopIfTrue="1" operator="equal">
      <formula>$C$17</formula>
    </cfRule>
  </conditionalFormatting>
  <conditionalFormatting sqref="D18">
    <cfRule type="cellIs" dxfId="1810" priority="130" stopIfTrue="1" operator="lessThan">
      <formula>$C$18</formula>
    </cfRule>
    <cfRule type="cellIs" dxfId="1809" priority="129" stopIfTrue="1" operator="equal">
      <formula>$C$18</formula>
    </cfRule>
  </conditionalFormatting>
  <conditionalFormatting sqref="D19">
    <cfRule type="cellIs" dxfId="1808" priority="132" stopIfTrue="1" operator="lessThan">
      <formula>$C$19</formula>
    </cfRule>
    <cfRule type="cellIs" dxfId="1807" priority="131" stopIfTrue="1" operator="equal">
      <formula>$C$19</formula>
    </cfRule>
  </conditionalFormatting>
  <conditionalFormatting sqref="D20">
    <cfRule type="cellIs" dxfId="1806" priority="134" stopIfTrue="1" operator="lessThan">
      <formula>$C$20</formula>
    </cfRule>
    <cfRule type="cellIs" dxfId="1805" priority="133" stopIfTrue="1" operator="equal">
      <formula>$C$20</formula>
    </cfRule>
  </conditionalFormatting>
  <conditionalFormatting sqref="D21">
    <cfRule type="cellIs" dxfId="1804" priority="136" stopIfTrue="1" operator="lessThan">
      <formula>$C$21</formula>
    </cfRule>
    <cfRule type="cellIs" dxfId="1803" priority="135" stopIfTrue="1" operator="equal">
      <formula>$C$21</formula>
    </cfRule>
  </conditionalFormatting>
  <conditionalFormatting sqref="D22">
    <cfRule type="cellIs" dxfId="1802" priority="137" stopIfTrue="1" operator="equal">
      <formula>$C$22</formula>
    </cfRule>
    <cfRule type="cellIs" dxfId="1801" priority="138" stopIfTrue="1" operator="lessThan">
      <formula>$C$22</formula>
    </cfRule>
  </conditionalFormatting>
  <conditionalFormatting sqref="D23">
    <cfRule type="cellIs" dxfId="1800" priority="139" stopIfTrue="1" operator="equal">
      <formula>$C$23</formula>
    </cfRule>
    <cfRule type="cellIs" dxfId="1799" priority="140" stopIfTrue="1" operator="lessThan">
      <formula>$C$23</formula>
    </cfRule>
  </conditionalFormatting>
  <conditionalFormatting sqref="D24">
    <cfRule type="cellIs" dxfId="1798" priority="271" stopIfTrue="1" operator="equal">
      <formula>$C$24</formula>
    </cfRule>
    <cfRule type="cellIs" dxfId="1797" priority="272" stopIfTrue="1" operator="lessThan">
      <formula>$C$24</formula>
    </cfRule>
  </conditionalFormatting>
  <conditionalFormatting sqref="D25">
    <cfRule type="cellIs" dxfId="1796" priority="142" stopIfTrue="1" operator="lessThan">
      <formula>$C$25</formula>
    </cfRule>
    <cfRule type="cellIs" dxfId="1795" priority="141" stopIfTrue="1" operator="equal">
      <formula>$C$25</formula>
    </cfRule>
  </conditionalFormatting>
  <conditionalFormatting sqref="D26">
    <cfRule type="cellIs" dxfId="1794" priority="143" stopIfTrue="1" operator="equal">
      <formula>$C$26</formula>
    </cfRule>
    <cfRule type="cellIs" dxfId="1793" priority="144" stopIfTrue="1" operator="lessThan">
      <formula>$C$26</formula>
    </cfRule>
  </conditionalFormatting>
  <conditionalFormatting sqref="D27">
    <cfRule type="cellIs" dxfId="1792" priority="145" stopIfTrue="1" operator="equal">
      <formula>$C$27</formula>
    </cfRule>
    <cfRule type="cellIs" dxfId="1791" priority="146" stopIfTrue="1" operator="lessThan">
      <formula>$C$27</formula>
    </cfRule>
  </conditionalFormatting>
  <conditionalFormatting sqref="D28">
    <cfRule type="cellIs" dxfId="1790" priority="148" stopIfTrue="1" operator="lessThan">
      <formula>$C$28</formula>
    </cfRule>
    <cfRule type="cellIs" dxfId="1789" priority="147" stopIfTrue="1" operator="equal">
      <formula>$C$28</formula>
    </cfRule>
  </conditionalFormatting>
  <conditionalFormatting sqref="D29:H29 J29:O29">
    <cfRule type="cellIs" dxfId="1788" priority="286" stopIfTrue="1" operator="equal">
      <formula>0</formula>
    </cfRule>
  </conditionalFormatting>
  <conditionalFormatting sqref="E4">
    <cfRule type="cellIs" dxfId="1787" priority="17" stopIfTrue="1" operator="lessThan">
      <formula>$D$4</formula>
    </cfRule>
    <cfRule type="cellIs" dxfId="1786" priority="16" stopIfTrue="1" operator="equal">
      <formula>$D$4</formula>
    </cfRule>
  </conditionalFormatting>
  <conditionalFormatting sqref="E5">
    <cfRule type="cellIs" dxfId="1785" priority="281" stopIfTrue="1" operator="equal">
      <formula>$D$5</formula>
    </cfRule>
    <cfRule type="cellIs" dxfId="1784" priority="282" stopIfTrue="1" operator="lessThan">
      <formula>$D$5</formula>
    </cfRule>
  </conditionalFormatting>
  <conditionalFormatting sqref="E6">
    <cfRule type="cellIs" dxfId="1783" priority="27" stopIfTrue="1" operator="equal">
      <formula>$D$6</formula>
    </cfRule>
    <cfRule type="cellIs" dxfId="1782" priority="28" stopIfTrue="1" operator="lessThan">
      <formula>$D$6</formula>
    </cfRule>
  </conditionalFormatting>
  <conditionalFormatting sqref="E7">
    <cfRule type="cellIs" dxfId="1781" priority="42" stopIfTrue="1" operator="lessThan">
      <formula>$D$7</formula>
    </cfRule>
    <cfRule type="cellIs" dxfId="1780" priority="41" stopIfTrue="1" operator="equal">
      <formula>$D$7</formula>
    </cfRule>
  </conditionalFormatting>
  <conditionalFormatting sqref="E8">
    <cfRule type="cellIs" dxfId="1779" priority="53" stopIfTrue="1" operator="equal">
      <formula>$D$8</formula>
    </cfRule>
    <cfRule type="cellIs" dxfId="1778" priority="54" stopIfTrue="1" operator="lessThan">
      <formula>$D$8</formula>
    </cfRule>
  </conditionalFormatting>
  <conditionalFormatting sqref="E9">
    <cfRule type="cellIs" dxfId="1777" priority="67" stopIfTrue="1" operator="equal">
      <formula>$D$9</formula>
    </cfRule>
    <cfRule type="cellIs" dxfId="1776" priority="68" stopIfTrue="1" operator="lessThan">
      <formula>$D$9</formula>
    </cfRule>
  </conditionalFormatting>
  <conditionalFormatting sqref="E10">
    <cfRule type="cellIs" dxfId="1775" priority="81" stopIfTrue="1" operator="equal">
      <formula>$D$10</formula>
    </cfRule>
    <cfRule type="cellIs" dxfId="1774" priority="82" stopIfTrue="1" operator="lessThan">
      <formula>$D$10</formula>
    </cfRule>
  </conditionalFormatting>
  <conditionalFormatting sqref="E11">
    <cfRule type="cellIs" dxfId="1773" priority="96" stopIfTrue="1" operator="lessThan">
      <formula>$D$11</formula>
    </cfRule>
    <cfRule type="cellIs" dxfId="1772" priority="95" stopIfTrue="1" operator="equal">
      <formula>$D$11</formula>
    </cfRule>
  </conditionalFormatting>
  <conditionalFormatting sqref="E12">
    <cfRule type="cellIs" dxfId="1771" priority="110" stopIfTrue="1" operator="lessThan">
      <formula>$D$12</formula>
    </cfRule>
    <cfRule type="cellIs" dxfId="1770" priority="109" stopIfTrue="1" operator="equal">
      <formula>$D$12</formula>
    </cfRule>
  </conditionalFormatting>
  <conditionalFormatting sqref="E13">
    <cfRule type="cellIs" dxfId="1769" priority="149" stopIfTrue="1" operator="equal">
      <formula>$D$13</formula>
    </cfRule>
    <cfRule type="cellIs" dxfId="1768" priority="150" stopIfTrue="1" operator="lessThan">
      <formula>$D$13</formula>
    </cfRule>
  </conditionalFormatting>
  <conditionalFormatting sqref="E14">
    <cfRule type="cellIs" dxfId="1767" priority="151" stopIfTrue="1" operator="equal">
      <formula>$D$14</formula>
    </cfRule>
    <cfRule type="cellIs" dxfId="1766" priority="152" stopIfTrue="1" operator="lessThan">
      <formula>$D$14</formula>
    </cfRule>
  </conditionalFormatting>
  <conditionalFormatting sqref="E15">
    <cfRule type="cellIs" dxfId="1765" priority="153" stopIfTrue="1" operator="equal">
      <formula>$D$15</formula>
    </cfRule>
    <cfRule type="cellIs" dxfId="1764" priority="154" stopIfTrue="1" operator="lessThan">
      <formula>$D$15</formula>
    </cfRule>
  </conditionalFormatting>
  <conditionalFormatting sqref="E16">
    <cfRule type="cellIs" dxfId="1763" priority="156" stopIfTrue="1" operator="lessThan">
      <formula>$D$16</formula>
    </cfRule>
    <cfRule type="cellIs" dxfId="1762" priority="155" stopIfTrue="1" operator="equal">
      <formula>$D$16</formula>
    </cfRule>
  </conditionalFormatting>
  <conditionalFormatting sqref="E17">
    <cfRule type="cellIs" dxfId="1761" priority="158" stopIfTrue="1" operator="lessThan">
      <formula>$D$17</formula>
    </cfRule>
    <cfRule type="cellIs" dxfId="1760" priority="157" stopIfTrue="1" operator="equal">
      <formula>$D$17</formula>
    </cfRule>
  </conditionalFormatting>
  <conditionalFormatting sqref="E18">
    <cfRule type="cellIs" dxfId="1759" priority="160" stopIfTrue="1" operator="lessThan">
      <formula>$D$18</formula>
    </cfRule>
    <cfRule type="cellIs" dxfId="1758" priority="159" stopIfTrue="1" operator="equal">
      <formula>$D$18</formula>
    </cfRule>
  </conditionalFormatting>
  <conditionalFormatting sqref="E19">
    <cfRule type="cellIs" dxfId="1757" priority="162" stopIfTrue="1" operator="lessThan">
      <formula>$D$19</formula>
    </cfRule>
    <cfRule type="cellIs" dxfId="1756" priority="161" stopIfTrue="1" operator="equal">
      <formula>$D$19</formula>
    </cfRule>
  </conditionalFormatting>
  <conditionalFormatting sqref="E20">
    <cfRule type="cellIs" dxfId="1755" priority="164" stopIfTrue="1" operator="lessThan">
      <formula>$D$20</formula>
    </cfRule>
    <cfRule type="cellIs" dxfId="1754" priority="163" stopIfTrue="1" operator="equal">
      <formula>$D$20</formula>
    </cfRule>
  </conditionalFormatting>
  <conditionalFormatting sqref="E21">
    <cfRule type="cellIs" dxfId="1753" priority="165" stopIfTrue="1" operator="equal">
      <formula>$D$21</formula>
    </cfRule>
    <cfRule type="cellIs" dxfId="1752" priority="166" stopIfTrue="1" operator="lessThan">
      <formula>$D$21</formula>
    </cfRule>
  </conditionalFormatting>
  <conditionalFormatting sqref="E22">
    <cfRule type="cellIs" dxfId="1751" priority="167" stopIfTrue="1" operator="equal">
      <formula>$D$22</formula>
    </cfRule>
    <cfRule type="cellIs" dxfId="1750" priority="168" stopIfTrue="1" operator="lessThan">
      <formula>$D$22</formula>
    </cfRule>
  </conditionalFormatting>
  <conditionalFormatting sqref="E23">
    <cfRule type="cellIs" dxfId="1749" priority="169" stopIfTrue="1" operator="equal">
      <formula>$D$23</formula>
    </cfRule>
    <cfRule type="cellIs" dxfId="1748" priority="170" stopIfTrue="1" operator="lessThan">
      <formula>$D$23</formula>
    </cfRule>
  </conditionalFormatting>
  <conditionalFormatting sqref="E24">
    <cfRule type="cellIs" dxfId="1747" priority="274" stopIfTrue="1" operator="lessThan">
      <formula>$D$24</formula>
    </cfRule>
    <cfRule type="cellIs" dxfId="1746" priority="273" stopIfTrue="1" operator="equal">
      <formula>$D$24</formula>
    </cfRule>
  </conditionalFormatting>
  <conditionalFormatting sqref="E25">
    <cfRule type="cellIs" dxfId="1745" priority="172" stopIfTrue="1" operator="lessThan">
      <formula>$D$25</formula>
    </cfRule>
    <cfRule type="cellIs" dxfId="1744" priority="171" stopIfTrue="1" operator="equal">
      <formula>$D$25</formula>
    </cfRule>
  </conditionalFormatting>
  <conditionalFormatting sqref="E26">
    <cfRule type="cellIs" dxfId="1743" priority="173" stopIfTrue="1" operator="equal">
      <formula>$D$26</formula>
    </cfRule>
    <cfRule type="cellIs" dxfId="1742" priority="174" stopIfTrue="1" operator="lessThan">
      <formula>$D$26</formula>
    </cfRule>
  </conditionalFormatting>
  <conditionalFormatting sqref="E27">
    <cfRule type="cellIs" dxfId="1741" priority="176" stopIfTrue="1" operator="lessThan">
      <formula>$D$27</formula>
    </cfRule>
    <cfRule type="cellIs" dxfId="1740" priority="175" stopIfTrue="1" operator="equal">
      <formula>$D$27</formula>
    </cfRule>
  </conditionalFormatting>
  <conditionalFormatting sqref="E28">
    <cfRule type="cellIs" dxfId="1739" priority="177" stopIfTrue="1" operator="equal">
      <formula>$D$28</formula>
    </cfRule>
    <cfRule type="cellIs" dxfId="1738" priority="178" stopIfTrue="1" operator="lessThan">
      <formula>$D$28</formula>
    </cfRule>
  </conditionalFormatting>
  <conditionalFormatting sqref="F4">
    <cfRule type="cellIs" dxfId="1737" priority="13" stopIfTrue="1" operator="lessThan">
      <formula>$E$4</formula>
    </cfRule>
    <cfRule type="cellIs" dxfId="1736" priority="12" stopIfTrue="1" operator="equal">
      <formula>$E$4</formula>
    </cfRule>
  </conditionalFormatting>
  <conditionalFormatting sqref="F5">
    <cfRule type="cellIs" dxfId="1735" priority="20" stopIfTrue="1" operator="equal">
      <formula>$E$5</formula>
    </cfRule>
    <cfRule type="cellIs" dxfId="1734" priority="21" stopIfTrue="1" operator="lessThan">
      <formula>$E$5</formula>
    </cfRule>
  </conditionalFormatting>
  <conditionalFormatting sqref="F6">
    <cfRule type="cellIs" dxfId="1733" priority="29" stopIfTrue="1" operator="equal">
      <formula>$E$6</formula>
    </cfRule>
    <cfRule type="cellIs" dxfId="1732" priority="30" stopIfTrue="1" operator="lessThan">
      <formula>$E$6</formula>
    </cfRule>
  </conditionalFormatting>
  <conditionalFormatting sqref="F7">
    <cfRule type="cellIs" dxfId="1731" priority="43" stopIfTrue="1" operator="equal">
      <formula>$E$7</formula>
    </cfRule>
    <cfRule type="cellIs" dxfId="1730" priority="44" stopIfTrue="1" operator="lessThan">
      <formula>$E$7</formula>
    </cfRule>
  </conditionalFormatting>
  <conditionalFormatting sqref="F8">
    <cfRule type="cellIs" dxfId="1729" priority="56" stopIfTrue="1" operator="lessThan">
      <formula>$E$8</formula>
    </cfRule>
    <cfRule type="cellIs" dxfId="1728" priority="55" stopIfTrue="1" operator="equal">
      <formula>$E$8</formula>
    </cfRule>
  </conditionalFormatting>
  <conditionalFormatting sqref="F9">
    <cfRule type="cellIs" dxfId="1727" priority="70" stopIfTrue="1" operator="lessThan">
      <formula>$E$9</formula>
    </cfRule>
    <cfRule type="cellIs" dxfId="1726" priority="69" stopIfTrue="1" operator="equal">
      <formula>$E$9</formula>
    </cfRule>
  </conditionalFormatting>
  <conditionalFormatting sqref="F10">
    <cfRule type="cellIs" dxfId="1725" priority="84" stopIfTrue="1" operator="lessThan">
      <formula>$E$10</formula>
    </cfRule>
    <cfRule type="cellIs" dxfId="1724" priority="83" stopIfTrue="1" operator="equal">
      <formula>$E$10</formula>
    </cfRule>
  </conditionalFormatting>
  <conditionalFormatting sqref="F11">
    <cfRule type="cellIs" dxfId="1723" priority="97" stopIfTrue="1" operator="equal">
      <formula>$E$11</formula>
    </cfRule>
    <cfRule type="cellIs" dxfId="1722" priority="98" stopIfTrue="1" operator="lessThan">
      <formula>$E$11</formula>
    </cfRule>
  </conditionalFormatting>
  <conditionalFormatting sqref="F12">
    <cfRule type="cellIs" dxfId="1721" priority="112" stopIfTrue="1" operator="lessThan">
      <formula>$E$12</formula>
    </cfRule>
    <cfRule type="cellIs" dxfId="1720" priority="111" stopIfTrue="1" operator="equal">
      <formula>$E$12</formula>
    </cfRule>
  </conditionalFormatting>
  <conditionalFormatting sqref="F13">
    <cfRule type="cellIs" dxfId="1719" priority="180" stopIfTrue="1" operator="lessThan">
      <formula>$E$13</formula>
    </cfRule>
    <cfRule type="cellIs" dxfId="1718" priority="179" stopIfTrue="1" operator="equal">
      <formula>$E$13</formula>
    </cfRule>
  </conditionalFormatting>
  <conditionalFormatting sqref="F14">
    <cfRule type="cellIs" dxfId="1717" priority="181" stopIfTrue="1" operator="equal">
      <formula>$E$14</formula>
    </cfRule>
    <cfRule type="cellIs" dxfId="1716" priority="182" stopIfTrue="1" operator="lessThan">
      <formula>$E$14</formula>
    </cfRule>
  </conditionalFormatting>
  <conditionalFormatting sqref="F15">
    <cfRule type="cellIs" dxfId="1715" priority="183" stopIfTrue="1" operator="equal">
      <formula>$E$15</formula>
    </cfRule>
    <cfRule type="cellIs" dxfId="1714" priority="184" stopIfTrue="1" operator="lessThan">
      <formula>$E$15</formula>
    </cfRule>
  </conditionalFormatting>
  <conditionalFormatting sqref="F16">
    <cfRule type="cellIs" dxfId="1713" priority="186" stopIfTrue="1" operator="lessThan">
      <formula>$E$16</formula>
    </cfRule>
    <cfRule type="cellIs" dxfId="1712" priority="185" stopIfTrue="1" operator="equal">
      <formula>$E$16</formula>
    </cfRule>
  </conditionalFormatting>
  <conditionalFormatting sqref="F17">
    <cfRule type="cellIs" dxfId="1711" priority="187" stopIfTrue="1" operator="equal">
      <formula>$E$17</formula>
    </cfRule>
    <cfRule type="cellIs" dxfId="1710" priority="188" stopIfTrue="1" operator="lessThan">
      <formula>$E$17</formula>
    </cfRule>
  </conditionalFormatting>
  <conditionalFormatting sqref="F18">
    <cfRule type="cellIs" dxfId="1709" priority="189" stopIfTrue="1" operator="equal">
      <formula>$E$18</formula>
    </cfRule>
    <cfRule type="cellIs" dxfId="1708" priority="190" stopIfTrue="1" operator="lessThan">
      <formula>$E$18</formula>
    </cfRule>
  </conditionalFormatting>
  <conditionalFormatting sqref="F19">
    <cfRule type="cellIs" dxfId="1707" priority="191" stopIfTrue="1" operator="equal">
      <formula>$E$19</formula>
    </cfRule>
    <cfRule type="cellIs" dxfId="1706" priority="192" stopIfTrue="1" operator="lessThan">
      <formula>$E$19</formula>
    </cfRule>
  </conditionalFormatting>
  <conditionalFormatting sqref="F20">
    <cfRule type="cellIs" dxfId="1705" priority="194" stopIfTrue="1" operator="lessThan">
      <formula>$E$20</formula>
    </cfRule>
    <cfRule type="cellIs" dxfId="1704" priority="193" stopIfTrue="1" operator="equal">
      <formula>$E$20</formula>
    </cfRule>
  </conditionalFormatting>
  <conditionalFormatting sqref="F21">
    <cfRule type="cellIs" dxfId="1703" priority="196" stopIfTrue="1" operator="lessThan">
      <formula>$E$21</formula>
    </cfRule>
    <cfRule type="cellIs" dxfId="1702" priority="195" stopIfTrue="1" operator="equal">
      <formula>$E$21</formula>
    </cfRule>
  </conditionalFormatting>
  <conditionalFormatting sqref="F22">
    <cfRule type="cellIs" dxfId="1701" priority="197" stopIfTrue="1" operator="equal">
      <formula>$E$22</formula>
    </cfRule>
    <cfRule type="cellIs" dxfId="1700" priority="198" stopIfTrue="1" operator="lessThan">
      <formula>$E$22</formula>
    </cfRule>
  </conditionalFormatting>
  <conditionalFormatting sqref="F23">
    <cfRule type="cellIs" dxfId="1699" priority="199" stopIfTrue="1" operator="equal">
      <formula>$E$23</formula>
    </cfRule>
    <cfRule type="cellIs" dxfId="1698" priority="200" stopIfTrue="1" operator="lessThan">
      <formula>$E$23</formula>
    </cfRule>
  </conditionalFormatting>
  <conditionalFormatting sqref="F24">
    <cfRule type="cellIs" dxfId="1697" priority="276" stopIfTrue="1" operator="lessThan">
      <formula>$E$24</formula>
    </cfRule>
    <cfRule type="cellIs" dxfId="1696" priority="275" stopIfTrue="1" operator="equal">
      <formula>$E$24</formula>
    </cfRule>
  </conditionalFormatting>
  <conditionalFormatting sqref="F25">
    <cfRule type="cellIs" dxfId="1695" priority="202" stopIfTrue="1" operator="lessThan">
      <formula>$E$25</formula>
    </cfRule>
    <cfRule type="cellIs" dxfId="1694" priority="201" stopIfTrue="1" operator="equal">
      <formula>$E$25</formula>
    </cfRule>
  </conditionalFormatting>
  <conditionalFormatting sqref="F26">
    <cfRule type="cellIs" dxfId="1693" priority="204" stopIfTrue="1" operator="lessThan">
      <formula>$E$26</formula>
    </cfRule>
    <cfRule type="cellIs" dxfId="1692" priority="203" stopIfTrue="1" operator="equal">
      <formula>$E$26</formula>
    </cfRule>
  </conditionalFormatting>
  <conditionalFormatting sqref="F27">
    <cfRule type="cellIs" dxfId="1691" priority="205" stopIfTrue="1" operator="equal">
      <formula>$E$27</formula>
    </cfRule>
    <cfRule type="cellIs" dxfId="1690" priority="206" stopIfTrue="1" operator="lessThan">
      <formula>$E$27</formula>
    </cfRule>
  </conditionalFormatting>
  <conditionalFormatting sqref="F28">
    <cfRule type="cellIs" dxfId="1689" priority="207" stopIfTrue="1" operator="equal">
      <formula>$E$28</formula>
    </cfRule>
    <cfRule type="cellIs" dxfId="1688" priority="208" stopIfTrue="1" operator="lessThan">
      <formula>$E$28</formula>
    </cfRule>
  </conditionalFormatting>
  <conditionalFormatting sqref="G4">
    <cfRule type="cellIs" dxfId="1687" priority="285" stopIfTrue="1" operator="equal">
      <formula>$F$4</formula>
    </cfRule>
  </conditionalFormatting>
  <conditionalFormatting sqref="G5">
    <cfRule type="cellIs" dxfId="1686" priority="283" stopIfTrue="1" operator="equal">
      <formula>$F$5</formula>
    </cfRule>
    <cfRule type="cellIs" dxfId="1685" priority="284" stopIfTrue="1" operator="lessThan">
      <formula>$F$5</formula>
    </cfRule>
  </conditionalFormatting>
  <conditionalFormatting sqref="G6">
    <cfRule type="cellIs" dxfId="1684" priority="31" stopIfTrue="1" operator="equal">
      <formula>$F$6</formula>
    </cfRule>
    <cfRule type="cellIs" dxfId="1683" priority="32" stopIfTrue="1" operator="lessThan">
      <formula>$F$6</formula>
    </cfRule>
  </conditionalFormatting>
  <conditionalFormatting sqref="G7">
    <cfRule type="cellIs" dxfId="1682" priority="5" stopIfTrue="1" operator="lessThan">
      <formula>$F$7</formula>
    </cfRule>
    <cfRule type="cellIs" dxfId="1681" priority="4" stopIfTrue="1" operator="equal">
      <formula>$F$7</formula>
    </cfRule>
  </conditionalFormatting>
  <conditionalFormatting sqref="G8">
    <cfRule type="cellIs" dxfId="1680" priority="57" stopIfTrue="1" operator="equal">
      <formula>$F$8</formula>
    </cfRule>
    <cfRule type="cellIs" dxfId="1679" priority="58" stopIfTrue="1" operator="lessThan">
      <formula>$F$8</formula>
    </cfRule>
  </conditionalFormatting>
  <conditionalFormatting sqref="G9">
    <cfRule type="cellIs" dxfId="1678" priority="71" stopIfTrue="1" operator="equal">
      <formula>$F$9</formula>
    </cfRule>
    <cfRule type="cellIs" dxfId="1677" priority="72" stopIfTrue="1" operator="lessThan">
      <formula>$F$9</formula>
    </cfRule>
  </conditionalFormatting>
  <conditionalFormatting sqref="G10">
    <cfRule type="cellIs" dxfId="1676" priority="86" stopIfTrue="1" operator="lessThan">
      <formula>$F$10</formula>
    </cfRule>
    <cfRule type="cellIs" dxfId="1675" priority="85" stopIfTrue="1" operator="equal">
      <formula>$F$10</formula>
    </cfRule>
  </conditionalFormatting>
  <conditionalFormatting sqref="G11">
    <cfRule type="cellIs" dxfId="1674" priority="99" stopIfTrue="1" operator="equal">
      <formula>$F$11</formula>
    </cfRule>
    <cfRule type="cellIs" dxfId="1673" priority="100" stopIfTrue="1" operator="lessThan">
      <formula>$F$11</formula>
    </cfRule>
  </conditionalFormatting>
  <conditionalFormatting sqref="G12">
    <cfRule type="cellIs" dxfId="1672" priority="113" stopIfTrue="1" operator="equal">
      <formula>$F$12</formula>
    </cfRule>
    <cfRule type="cellIs" dxfId="1671" priority="114" stopIfTrue="1" operator="lessThan">
      <formula>$F$12</formula>
    </cfRule>
  </conditionalFormatting>
  <conditionalFormatting sqref="G13">
    <cfRule type="cellIs" dxfId="1670" priority="210" stopIfTrue="1" operator="lessThan">
      <formula>$F$13</formula>
    </cfRule>
    <cfRule type="cellIs" dxfId="1669" priority="209" stopIfTrue="1" operator="equal">
      <formula>$F$13</formula>
    </cfRule>
  </conditionalFormatting>
  <conditionalFormatting sqref="G14">
    <cfRule type="cellIs" dxfId="1668" priority="211" stopIfTrue="1" operator="equal">
      <formula>$F$14</formula>
    </cfRule>
    <cfRule type="cellIs" dxfId="1667" priority="212" stopIfTrue="1" operator="lessThan">
      <formula>$F$14</formula>
    </cfRule>
  </conditionalFormatting>
  <conditionalFormatting sqref="G15">
    <cfRule type="cellIs" dxfId="1666" priority="214" stopIfTrue="1" operator="lessThan">
      <formula>$F$15</formula>
    </cfRule>
    <cfRule type="cellIs" dxfId="1665" priority="213" stopIfTrue="1" operator="equal">
      <formula>$F$15</formula>
    </cfRule>
  </conditionalFormatting>
  <conditionalFormatting sqref="G16">
    <cfRule type="cellIs" dxfId="1664" priority="216" stopIfTrue="1" operator="lessThan">
      <formula>$F$16</formula>
    </cfRule>
    <cfRule type="cellIs" dxfId="1663" priority="215" stopIfTrue="1" operator="equal">
      <formula>$F$16</formula>
    </cfRule>
  </conditionalFormatting>
  <conditionalFormatting sqref="G17">
    <cfRule type="cellIs" dxfId="1662" priority="218" stopIfTrue="1" operator="lessThan">
      <formula>$F$17</formula>
    </cfRule>
    <cfRule type="cellIs" dxfId="1661" priority="217" stopIfTrue="1" operator="equal">
      <formula>$F$17</formula>
    </cfRule>
  </conditionalFormatting>
  <conditionalFormatting sqref="G18">
    <cfRule type="cellIs" dxfId="1660" priority="220" stopIfTrue="1" operator="lessThan">
      <formula>$F$18</formula>
    </cfRule>
    <cfRule type="cellIs" dxfId="1659" priority="219" stopIfTrue="1" operator="equal">
      <formula>$F$18</formula>
    </cfRule>
  </conditionalFormatting>
  <conditionalFormatting sqref="G19">
    <cfRule type="cellIs" dxfId="1658" priority="221" stopIfTrue="1" operator="equal">
      <formula>$F$19</formula>
    </cfRule>
    <cfRule type="cellIs" dxfId="1657" priority="222" stopIfTrue="1" operator="lessThan">
      <formula>$F$19</formula>
    </cfRule>
  </conditionalFormatting>
  <conditionalFormatting sqref="G20">
    <cfRule type="cellIs" dxfId="1656" priority="223" stopIfTrue="1" operator="equal">
      <formula>$F$20</formula>
    </cfRule>
    <cfRule type="cellIs" dxfId="1655" priority="224" stopIfTrue="1" operator="lessThan">
      <formula>$F$20</formula>
    </cfRule>
  </conditionalFormatting>
  <conditionalFormatting sqref="G21">
    <cfRule type="cellIs" dxfId="1654" priority="226" stopIfTrue="1" operator="lessThan">
      <formula>$F$21</formula>
    </cfRule>
    <cfRule type="cellIs" dxfId="1653" priority="225" stopIfTrue="1" operator="equal">
      <formula>$F$21</formula>
    </cfRule>
  </conditionalFormatting>
  <conditionalFormatting sqref="G22">
    <cfRule type="cellIs" dxfId="1652" priority="227" stopIfTrue="1" operator="equal">
      <formula>$F$22</formula>
    </cfRule>
    <cfRule type="cellIs" dxfId="1651" priority="228" stopIfTrue="1" operator="lessThan">
      <formula>$F$22</formula>
    </cfRule>
  </conditionalFormatting>
  <conditionalFormatting sqref="G23">
    <cfRule type="cellIs" dxfId="1650" priority="230" stopIfTrue="1" operator="lessThan">
      <formula>$F$23</formula>
    </cfRule>
    <cfRule type="cellIs" dxfId="1649" priority="229" stopIfTrue="1" operator="equal">
      <formula>$F$23</formula>
    </cfRule>
  </conditionalFormatting>
  <conditionalFormatting sqref="G24">
    <cfRule type="cellIs" dxfId="1648" priority="278" stopIfTrue="1" operator="lessThan">
      <formula>$F$24</formula>
    </cfRule>
    <cfRule type="cellIs" dxfId="1647" priority="277" stopIfTrue="1" operator="equal">
      <formula>$F$24</formula>
    </cfRule>
  </conditionalFormatting>
  <conditionalFormatting sqref="G25">
    <cfRule type="cellIs" dxfId="1646" priority="231" stopIfTrue="1" operator="equal">
      <formula>$F$25</formula>
    </cfRule>
    <cfRule type="cellIs" dxfId="1645" priority="232" stopIfTrue="1" operator="lessThan">
      <formula>$F$25</formula>
    </cfRule>
  </conditionalFormatting>
  <conditionalFormatting sqref="G26">
    <cfRule type="cellIs" dxfId="1644" priority="234" stopIfTrue="1" operator="lessThan">
      <formula>$F$26</formula>
    </cfRule>
    <cfRule type="cellIs" dxfId="1643" priority="233" stopIfTrue="1" operator="equal">
      <formula>$F$26</formula>
    </cfRule>
  </conditionalFormatting>
  <conditionalFormatting sqref="G27">
    <cfRule type="cellIs" dxfId="1642" priority="235" stopIfTrue="1" operator="equal">
      <formula>$F$27</formula>
    </cfRule>
    <cfRule type="cellIs" dxfId="1641" priority="236" stopIfTrue="1" operator="lessThan">
      <formula>$F$27</formula>
    </cfRule>
  </conditionalFormatting>
  <conditionalFormatting sqref="G28">
    <cfRule type="cellIs" dxfId="1640" priority="238" stopIfTrue="1" operator="lessThan">
      <formula>$F$28</formula>
    </cfRule>
    <cfRule type="cellIs" dxfId="1639" priority="237" stopIfTrue="1" operator="equal">
      <formula>$F$28</formula>
    </cfRule>
  </conditionalFormatting>
  <conditionalFormatting sqref="H4">
    <cfRule type="cellIs" dxfId="1638" priority="2" stopIfTrue="1" operator="lessThan">
      <formula>$G$4</formula>
    </cfRule>
    <cfRule type="cellIs" dxfId="1637" priority="3" stopIfTrue="1" operator="equal">
      <formula>$G$4</formula>
    </cfRule>
  </conditionalFormatting>
  <conditionalFormatting sqref="H5">
    <cfRule type="cellIs" dxfId="1636" priority="6" stopIfTrue="1" operator="equal">
      <formula>$G$5</formula>
    </cfRule>
    <cfRule type="cellIs" dxfId="1635" priority="7" stopIfTrue="1" operator="lessThan">
      <formula>$G$5</formula>
    </cfRule>
  </conditionalFormatting>
  <conditionalFormatting sqref="H6">
    <cfRule type="cellIs" dxfId="1634" priority="33" stopIfTrue="1" operator="equal">
      <formula>$G$6</formula>
    </cfRule>
    <cfRule type="cellIs" dxfId="1633" priority="34" stopIfTrue="1" operator="lessThan">
      <formula>$G$6</formula>
    </cfRule>
  </conditionalFormatting>
  <conditionalFormatting sqref="H7">
    <cfRule type="cellIs" dxfId="1632" priority="46" stopIfTrue="1" operator="lessThan">
      <formula>$G$7</formula>
    </cfRule>
    <cfRule type="cellIs" dxfId="1631" priority="45" stopIfTrue="1" operator="equal">
      <formula>$G$7</formula>
    </cfRule>
  </conditionalFormatting>
  <conditionalFormatting sqref="H8">
    <cfRule type="cellIs" dxfId="1630" priority="60" stopIfTrue="1" operator="lessThan">
      <formula>$G$8</formula>
    </cfRule>
    <cfRule type="cellIs" dxfId="1629" priority="59" stopIfTrue="1" operator="equal">
      <formula>$G$8</formula>
    </cfRule>
  </conditionalFormatting>
  <conditionalFormatting sqref="H9">
    <cfRule type="cellIs" dxfId="1628" priority="73" stopIfTrue="1" operator="equal">
      <formula>$G$9</formula>
    </cfRule>
    <cfRule type="cellIs" dxfId="1627" priority="74" stopIfTrue="1" operator="lessThan">
      <formula>$G$9</formula>
    </cfRule>
  </conditionalFormatting>
  <conditionalFormatting sqref="H10">
    <cfRule type="cellIs" dxfId="1626" priority="87" stopIfTrue="1" operator="equal">
      <formula>$G$10</formula>
    </cfRule>
    <cfRule type="cellIs" dxfId="1625" priority="88" stopIfTrue="1" operator="lessThan">
      <formula>$G$10</formula>
    </cfRule>
  </conditionalFormatting>
  <conditionalFormatting sqref="H11">
    <cfRule type="cellIs" dxfId="1624" priority="101" stopIfTrue="1" operator="equal">
      <formula>$G$11</formula>
    </cfRule>
    <cfRule type="cellIs" dxfId="1623" priority="102" stopIfTrue="1" operator="lessThan">
      <formula>$G$11</formula>
    </cfRule>
  </conditionalFormatting>
  <conditionalFormatting sqref="H12">
    <cfRule type="cellIs" dxfId="1622" priority="115" stopIfTrue="1" operator="equal">
      <formula>$G$12</formula>
    </cfRule>
    <cfRule type="cellIs" dxfId="1621" priority="116" stopIfTrue="1" operator="lessThan">
      <formula>$G$12</formula>
    </cfRule>
  </conditionalFormatting>
  <conditionalFormatting sqref="H13">
    <cfRule type="cellIs" dxfId="1620" priority="241" stopIfTrue="1" operator="equal">
      <formula>$G$13</formula>
    </cfRule>
    <cfRule type="cellIs" dxfId="1619" priority="242" stopIfTrue="1" operator="lessThan">
      <formula>$G$13</formula>
    </cfRule>
  </conditionalFormatting>
  <conditionalFormatting sqref="H14">
    <cfRule type="cellIs" dxfId="1618" priority="244" stopIfTrue="1" operator="lessThan">
      <formula>$G$14</formula>
    </cfRule>
    <cfRule type="cellIs" dxfId="1617" priority="243" stopIfTrue="1" operator="equal">
      <formula>$G$14</formula>
    </cfRule>
  </conditionalFormatting>
  <conditionalFormatting sqref="H15">
    <cfRule type="cellIs" dxfId="1616" priority="245" stopIfTrue="1" operator="equal">
      <formula>$G$15</formula>
    </cfRule>
    <cfRule type="cellIs" dxfId="1615" priority="246" stopIfTrue="1" operator="lessThan">
      <formula>$G$15</formula>
    </cfRule>
  </conditionalFormatting>
  <conditionalFormatting sqref="H16">
    <cfRule type="cellIs" dxfId="1614" priority="248" stopIfTrue="1" operator="lessThan">
      <formula>$G$16</formula>
    </cfRule>
    <cfRule type="cellIs" dxfId="1613" priority="247" stopIfTrue="1" operator="equal">
      <formula>$G$16</formula>
    </cfRule>
  </conditionalFormatting>
  <conditionalFormatting sqref="H17">
    <cfRule type="cellIs" dxfId="1612" priority="250" stopIfTrue="1" operator="lessThan">
      <formula>$G$17</formula>
    </cfRule>
    <cfRule type="cellIs" dxfId="1611" priority="249" stopIfTrue="1" operator="equal">
      <formula>$G$17</formula>
    </cfRule>
  </conditionalFormatting>
  <conditionalFormatting sqref="H18">
    <cfRule type="cellIs" dxfId="1610" priority="251" stopIfTrue="1" operator="equal">
      <formula>$G$18</formula>
    </cfRule>
    <cfRule type="cellIs" dxfId="1609" priority="252" stopIfTrue="1" operator="lessThan">
      <formula>$G$18</formula>
    </cfRule>
  </conditionalFormatting>
  <conditionalFormatting sqref="H19">
    <cfRule type="cellIs" dxfId="1608" priority="253" stopIfTrue="1" operator="equal">
      <formula>$G$19</formula>
    </cfRule>
    <cfRule type="cellIs" dxfId="1607" priority="254" stopIfTrue="1" operator="lessThan">
      <formula>$G$19</formula>
    </cfRule>
  </conditionalFormatting>
  <conditionalFormatting sqref="H20">
    <cfRule type="cellIs" dxfId="1606" priority="255" stopIfTrue="1" operator="equal">
      <formula>$G$20</formula>
    </cfRule>
    <cfRule type="cellIs" dxfId="1605" priority="256" stopIfTrue="1" operator="lessThan">
      <formula>$G$20</formula>
    </cfRule>
  </conditionalFormatting>
  <conditionalFormatting sqref="H21">
    <cfRule type="cellIs" dxfId="1604" priority="257" stopIfTrue="1" operator="equal">
      <formula>$G$21</formula>
    </cfRule>
    <cfRule type="cellIs" dxfId="1603" priority="258" stopIfTrue="1" operator="lessThan">
      <formula>$G$21</formula>
    </cfRule>
  </conditionalFormatting>
  <conditionalFormatting sqref="H22">
    <cfRule type="cellIs" dxfId="1602" priority="260" stopIfTrue="1" operator="lessThan">
      <formula>$G$22</formula>
    </cfRule>
    <cfRule type="cellIs" dxfId="1601" priority="259" stopIfTrue="1" operator="equal">
      <formula>$G$22</formula>
    </cfRule>
  </conditionalFormatting>
  <conditionalFormatting sqref="H23">
    <cfRule type="cellIs" dxfId="1600" priority="262" stopIfTrue="1" operator="lessThan">
      <formula>$G$23</formula>
    </cfRule>
    <cfRule type="cellIs" dxfId="1599" priority="261" stopIfTrue="1" operator="equal">
      <formula>$G$23</formula>
    </cfRule>
  </conditionalFormatting>
  <conditionalFormatting sqref="H24">
    <cfRule type="cellIs" dxfId="1598" priority="280" stopIfTrue="1" operator="lessThan">
      <formula>$G$24</formula>
    </cfRule>
    <cfRule type="cellIs" dxfId="1597" priority="279" stopIfTrue="1" operator="equal">
      <formula>$G$24</formula>
    </cfRule>
  </conditionalFormatting>
  <conditionalFormatting sqref="H25">
    <cfRule type="cellIs" dxfId="1596" priority="263" stopIfTrue="1" operator="equal">
      <formula>$G$25</formula>
    </cfRule>
    <cfRule type="cellIs" dxfId="1595" priority="264" stopIfTrue="1" operator="lessThan">
      <formula>$G$25</formula>
    </cfRule>
  </conditionalFormatting>
  <conditionalFormatting sqref="H26">
    <cfRule type="cellIs" dxfId="1594" priority="266" stopIfTrue="1" operator="lessThan">
      <formula>$G$26</formula>
    </cfRule>
    <cfRule type="cellIs" dxfId="1593" priority="265" stopIfTrue="1" operator="equal">
      <formula>$G$26</formula>
    </cfRule>
  </conditionalFormatting>
  <conditionalFormatting sqref="H27">
    <cfRule type="cellIs" dxfId="1592" priority="267" stopIfTrue="1" operator="equal">
      <formula>$G$27</formula>
    </cfRule>
    <cfRule type="cellIs" dxfId="1591" priority="268" stopIfTrue="1" operator="lessThan">
      <formula>$G$27</formula>
    </cfRule>
  </conditionalFormatting>
  <conditionalFormatting sqref="H28">
    <cfRule type="cellIs" dxfId="1590" priority="269" stopIfTrue="1" operator="equal">
      <formula>$G$28</formula>
    </cfRule>
    <cfRule type="cellIs" dxfId="1589" priority="270" stopIfTrue="1" operator="lessThan">
      <formula>$G$28</formula>
    </cfRule>
  </conditionalFormatting>
  <conditionalFormatting sqref="I4">
    <cfRule type="cellIs" dxfId="1588" priority="22" stopIfTrue="1" operator="equal">
      <formula>$H$4</formula>
    </cfRule>
  </conditionalFormatting>
  <conditionalFormatting sqref="I5">
    <cfRule type="cellIs" dxfId="1587" priority="9" stopIfTrue="1" operator="lessThan">
      <formula>$H$5</formula>
    </cfRule>
    <cfRule type="cellIs" dxfId="1586" priority="8" stopIfTrue="1" operator="equal">
      <formula>$H$5</formula>
    </cfRule>
  </conditionalFormatting>
  <conditionalFormatting sqref="I6">
    <cfRule type="cellIs" dxfId="1585" priority="35" stopIfTrue="1" operator="equal">
      <formula>$H$6</formula>
    </cfRule>
    <cfRule type="cellIs" dxfId="1584" priority="36" stopIfTrue="1" operator="lessThan">
      <formula>$H$6</formula>
    </cfRule>
  </conditionalFormatting>
  <conditionalFormatting sqref="I7">
    <cfRule type="cellIs" dxfId="1583" priority="47" stopIfTrue="1" operator="equal">
      <formula>$H$7</formula>
    </cfRule>
    <cfRule type="cellIs" dxfId="1582" priority="48" stopIfTrue="1" operator="lessThan">
      <formula>$H$7</formula>
    </cfRule>
  </conditionalFormatting>
  <conditionalFormatting sqref="I8">
    <cfRule type="cellIs" dxfId="1581" priority="62" stopIfTrue="1" operator="lessThan">
      <formula>$H$8</formula>
    </cfRule>
    <cfRule type="cellIs" dxfId="1580" priority="61" stopIfTrue="1" operator="equal">
      <formula>$H$8</formula>
    </cfRule>
  </conditionalFormatting>
  <conditionalFormatting sqref="I9">
    <cfRule type="cellIs" dxfId="1579" priority="76" stopIfTrue="1" operator="lessThan">
      <formula>$H$9</formula>
    </cfRule>
    <cfRule type="cellIs" dxfId="1578" priority="75" stopIfTrue="1" operator="equal">
      <formula>$H$9</formula>
    </cfRule>
  </conditionalFormatting>
  <conditionalFormatting sqref="I10">
    <cfRule type="cellIs" dxfId="1577" priority="90" stopIfTrue="1" operator="lessThan">
      <formula>$H$10</formula>
    </cfRule>
    <cfRule type="cellIs" dxfId="1576" priority="89" stopIfTrue="1" operator="equal">
      <formula>$H$10</formula>
    </cfRule>
  </conditionalFormatting>
  <conditionalFormatting sqref="I11">
    <cfRule type="cellIs" dxfId="1575" priority="103" stopIfTrue="1" operator="equal">
      <formula>$H$11</formula>
    </cfRule>
    <cfRule type="cellIs" dxfId="1574" priority="104" stopIfTrue="1" operator="lessThan">
      <formula>$H$11</formula>
    </cfRule>
  </conditionalFormatting>
  <conditionalFormatting sqref="I12">
    <cfRule type="cellIs" dxfId="1573" priority="118" stopIfTrue="1" operator="lessThan">
      <formula>$H$12</formula>
    </cfRule>
    <cfRule type="cellIs" dxfId="1572" priority="117" stopIfTrue="1" operator="equal">
      <formula>$H$12</formula>
    </cfRule>
  </conditionalFormatting>
  <conditionalFormatting sqref="I13">
    <cfRule type="cellIs" dxfId="1571" priority="287" stopIfTrue="1" operator="equal">
      <formula>$H$13</formula>
    </cfRule>
    <cfRule type="cellIs" dxfId="1570" priority="288" stopIfTrue="1" operator="lessThan">
      <formula>$H$13</formula>
    </cfRule>
  </conditionalFormatting>
  <conditionalFormatting sqref="I14">
    <cfRule type="cellIs" dxfId="1569" priority="289" stopIfTrue="1" operator="equal">
      <formula>$H$14</formula>
    </cfRule>
    <cfRule type="cellIs" dxfId="1568" priority="290" stopIfTrue="1" operator="lessThan">
      <formula>$H$14</formula>
    </cfRule>
  </conditionalFormatting>
  <conditionalFormatting sqref="I15">
    <cfRule type="cellIs" dxfId="1567" priority="292" stopIfTrue="1" operator="lessThan">
      <formula>$H$15</formula>
    </cfRule>
    <cfRule type="cellIs" dxfId="1566" priority="291" stopIfTrue="1" operator="equal">
      <formula>$H$15</formula>
    </cfRule>
  </conditionalFormatting>
  <conditionalFormatting sqref="I16">
    <cfRule type="cellIs" dxfId="1565" priority="293" stopIfTrue="1" operator="equal">
      <formula>$H$16</formula>
    </cfRule>
    <cfRule type="cellIs" dxfId="1564" priority="294" stopIfTrue="1" operator="lessThan">
      <formula>$H$16</formula>
    </cfRule>
  </conditionalFormatting>
  <conditionalFormatting sqref="I17">
    <cfRule type="cellIs" dxfId="1563" priority="296" stopIfTrue="1" operator="lessThan">
      <formula>$H$17</formula>
    </cfRule>
    <cfRule type="cellIs" dxfId="1562" priority="295" stopIfTrue="1" operator="equal">
      <formula>$H$17</formula>
    </cfRule>
  </conditionalFormatting>
  <conditionalFormatting sqref="I18">
    <cfRule type="cellIs" dxfId="1561" priority="297" stopIfTrue="1" operator="equal">
      <formula>$H$18</formula>
    </cfRule>
    <cfRule type="cellIs" dxfId="1560" priority="298" stopIfTrue="1" operator="lessThan">
      <formula>$H$18</formula>
    </cfRule>
  </conditionalFormatting>
  <conditionalFormatting sqref="I19">
    <cfRule type="cellIs" dxfId="1559" priority="300" stopIfTrue="1" operator="lessThan">
      <formula>$H$19</formula>
    </cfRule>
    <cfRule type="cellIs" dxfId="1558" priority="299" stopIfTrue="1" operator="equal">
      <formula>$H$19</formula>
    </cfRule>
  </conditionalFormatting>
  <conditionalFormatting sqref="I20">
    <cfRule type="cellIs" dxfId="1557" priority="302" stopIfTrue="1" operator="lessThan">
      <formula>$H$20</formula>
    </cfRule>
    <cfRule type="cellIs" dxfId="1556" priority="301" stopIfTrue="1" operator="equal">
      <formula>$H$20</formula>
    </cfRule>
  </conditionalFormatting>
  <conditionalFormatting sqref="I21">
    <cfRule type="cellIs" dxfId="1555" priority="303" stopIfTrue="1" operator="equal">
      <formula>$H$21</formula>
    </cfRule>
    <cfRule type="cellIs" dxfId="1554" priority="304" stopIfTrue="1" operator="lessThan">
      <formula>$H$21</formula>
    </cfRule>
  </conditionalFormatting>
  <conditionalFormatting sqref="I22">
    <cfRule type="cellIs" dxfId="1553" priority="306" stopIfTrue="1" operator="lessThan">
      <formula>$H$22</formula>
    </cfRule>
    <cfRule type="cellIs" dxfId="1552" priority="305" stopIfTrue="1" operator="equal">
      <formula>$H$22</formula>
    </cfRule>
  </conditionalFormatting>
  <conditionalFormatting sqref="I23">
    <cfRule type="cellIs" dxfId="1551" priority="308" stopIfTrue="1" operator="lessThan">
      <formula>$H$23</formula>
    </cfRule>
    <cfRule type="cellIs" dxfId="1550" priority="307" stopIfTrue="1" operator="equal">
      <formula>$H$23</formula>
    </cfRule>
  </conditionalFormatting>
  <conditionalFormatting sqref="I24">
    <cfRule type="cellIs" dxfId="1549" priority="310" stopIfTrue="1" operator="lessThan">
      <formula>$H$24</formula>
    </cfRule>
    <cfRule type="cellIs" dxfId="1548" priority="309" stopIfTrue="1" operator="equal">
      <formula>$H$24</formula>
    </cfRule>
  </conditionalFormatting>
  <conditionalFormatting sqref="I25">
    <cfRule type="cellIs" dxfId="1547" priority="312" stopIfTrue="1" operator="lessThan">
      <formula>$H$25</formula>
    </cfRule>
    <cfRule type="cellIs" dxfId="1546" priority="311" stopIfTrue="1" operator="equal">
      <formula>$H$25</formula>
    </cfRule>
  </conditionalFormatting>
  <conditionalFormatting sqref="I26">
    <cfRule type="cellIs" dxfId="1545" priority="314" stopIfTrue="1" operator="lessThan">
      <formula>$H$26</formula>
    </cfRule>
    <cfRule type="cellIs" dxfId="1544" priority="313" stopIfTrue="1" operator="equal">
      <formula>$H$26</formula>
    </cfRule>
  </conditionalFormatting>
  <conditionalFormatting sqref="I27">
    <cfRule type="cellIs" dxfId="1543" priority="316" stopIfTrue="1" operator="lessThan">
      <formula>$H$27</formula>
    </cfRule>
    <cfRule type="cellIs" dxfId="1542" priority="315" stopIfTrue="1" operator="equal">
      <formula>$H$27</formula>
    </cfRule>
  </conditionalFormatting>
  <conditionalFormatting sqref="I28">
    <cfRule type="cellIs" dxfId="1541" priority="319" stopIfTrue="1" operator="lessThan">
      <formula>$H$28</formula>
    </cfRule>
    <cfRule type="cellIs" dxfId="1540" priority="318" stopIfTrue="1" operator="equal">
      <formula>$H$28</formula>
    </cfRule>
  </conditionalFormatting>
  <conditionalFormatting sqref="I29">
    <cfRule type="cellIs" dxfId="1539" priority="320" stopIfTrue="1" operator="equal">
      <formula>$H$29</formula>
    </cfRule>
    <cfRule type="cellIs" dxfId="1538" priority="321" stopIfTrue="1" operator="lessThan">
      <formula>$H$29</formula>
    </cfRule>
  </conditionalFormatting>
  <conditionalFormatting sqref="J4">
    <cfRule type="cellIs" dxfId="1537" priority="23" stopIfTrue="1" operator="lessThan">
      <formula>$I$4</formula>
    </cfRule>
    <cfRule type="cellIs" dxfId="1536" priority="24" stopIfTrue="1" operator="equal">
      <formula>$I$4</formula>
    </cfRule>
  </conditionalFormatting>
  <conditionalFormatting sqref="J5">
    <cfRule type="cellIs" dxfId="1535" priority="11" stopIfTrue="1" operator="lessThan">
      <formula>$I$5</formula>
    </cfRule>
    <cfRule type="cellIs" dxfId="1534" priority="10" stopIfTrue="1" operator="equal">
      <formula>$I$5</formula>
    </cfRule>
  </conditionalFormatting>
  <conditionalFormatting sqref="J6">
    <cfRule type="cellIs" dxfId="1533" priority="38" stopIfTrue="1" operator="lessThan">
      <formula>$I$6</formula>
    </cfRule>
    <cfRule type="cellIs" dxfId="1532" priority="37" stopIfTrue="1" operator="equal">
      <formula>$I$6</formula>
    </cfRule>
  </conditionalFormatting>
  <conditionalFormatting sqref="J7">
    <cfRule type="cellIs" dxfId="1531" priority="50" stopIfTrue="1" operator="lessThan">
      <formula>$I$7</formula>
    </cfRule>
    <cfRule type="cellIs" dxfId="1530" priority="49" stopIfTrue="1" operator="equal">
      <formula>$I$7</formula>
    </cfRule>
  </conditionalFormatting>
  <conditionalFormatting sqref="J8">
    <cfRule type="cellIs" dxfId="1529" priority="64" stopIfTrue="1" operator="lessThan">
      <formula>$I$8</formula>
    </cfRule>
    <cfRule type="cellIs" dxfId="1528" priority="63" stopIfTrue="1" operator="equal">
      <formula>$I$8</formula>
    </cfRule>
  </conditionalFormatting>
  <conditionalFormatting sqref="J9">
    <cfRule type="cellIs" dxfId="1527" priority="78" stopIfTrue="1" operator="lessThan">
      <formula>$I$9</formula>
    </cfRule>
    <cfRule type="cellIs" dxfId="1526" priority="77" stopIfTrue="1" operator="equal">
      <formula>$I$9</formula>
    </cfRule>
  </conditionalFormatting>
  <conditionalFormatting sqref="J10">
    <cfRule type="cellIs" dxfId="1525" priority="92" stopIfTrue="1" operator="lessThan">
      <formula>$I$10</formula>
    </cfRule>
    <cfRule type="cellIs" dxfId="1524" priority="91" stopIfTrue="1" operator="equal">
      <formula>$I$10</formula>
    </cfRule>
  </conditionalFormatting>
  <conditionalFormatting sqref="J11">
    <cfRule type="cellIs" dxfId="1523" priority="106" stopIfTrue="1" operator="lessThan">
      <formula>$I$11</formula>
    </cfRule>
    <cfRule type="cellIs" dxfId="1522" priority="105" stopIfTrue="1" operator="equal">
      <formula>$I$11</formula>
    </cfRule>
  </conditionalFormatting>
  <conditionalFormatting sqref="J12">
    <cfRule type="cellIs" dxfId="1521" priority="119" stopIfTrue="1" operator="equal">
      <formula>$I$12</formula>
    </cfRule>
    <cfRule type="cellIs" dxfId="1520" priority="120" stopIfTrue="1" operator="lessThan">
      <formula>$I$12</formula>
    </cfRule>
  </conditionalFormatting>
  <conditionalFormatting sqref="J13">
    <cfRule type="cellIs" dxfId="1519" priority="323" stopIfTrue="1" operator="lessThan">
      <formula>$I$13</formula>
    </cfRule>
    <cfRule type="cellIs" dxfId="1518" priority="322" stopIfTrue="1" operator="equal">
      <formula>$I$13</formula>
    </cfRule>
  </conditionalFormatting>
  <conditionalFormatting sqref="J14">
    <cfRule type="cellIs" dxfId="1517" priority="325" stopIfTrue="1" operator="lessThan">
      <formula>$I$14</formula>
    </cfRule>
    <cfRule type="cellIs" dxfId="1516" priority="324" stopIfTrue="1" operator="equal">
      <formula>$I$14</formula>
    </cfRule>
  </conditionalFormatting>
  <conditionalFormatting sqref="J15">
    <cfRule type="cellIs" dxfId="1515" priority="326" stopIfTrue="1" operator="equal">
      <formula>$I$15</formula>
    </cfRule>
    <cfRule type="cellIs" dxfId="1514" priority="327" stopIfTrue="1" operator="lessThan">
      <formula>$I$15</formula>
    </cfRule>
  </conditionalFormatting>
  <conditionalFormatting sqref="J16">
    <cfRule type="cellIs" dxfId="1513" priority="328" stopIfTrue="1" operator="equal">
      <formula>$I$16</formula>
    </cfRule>
    <cfRule type="cellIs" dxfId="1512" priority="329" stopIfTrue="1" operator="lessThan">
      <formula>$I$16</formula>
    </cfRule>
  </conditionalFormatting>
  <conditionalFormatting sqref="J17">
    <cfRule type="cellIs" dxfId="1511" priority="330" stopIfTrue="1" operator="equal">
      <formula>$I$17</formula>
    </cfRule>
    <cfRule type="cellIs" dxfId="1510" priority="331" stopIfTrue="1" operator="lessThan">
      <formula>$I$17</formula>
    </cfRule>
  </conditionalFormatting>
  <conditionalFormatting sqref="J18">
    <cfRule type="cellIs" dxfId="1509" priority="332" stopIfTrue="1" operator="equal">
      <formula>$I$18</formula>
    </cfRule>
    <cfRule type="cellIs" dxfId="1508" priority="333" stopIfTrue="1" operator="lessThan">
      <formula>$I$18</formula>
    </cfRule>
  </conditionalFormatting>
  <conditionalFormatting sqref="J19">
    <cfRule type="cellIs" dxfId="1507" priority="334" stopIfTrue="1" operator="equal">
      <formula>$I$19</formula>
    </cfRule>
    <cfRule type="cellIs" dxfId="1506" priority="335" stopIfTrue="1" operator="lessThan">
      <formula>$I$19</formula>
    </cfRule>
  </conditionalFormatting>
  <conditionalFormatting sqref="J20">
    <cfRule type="cellIs" dxfId="1505" priority="336" stopIfTrue="1" operator="equal">
      <formula>$I$20</formula>
    </cfRule>
    <cfRule type="cellIs" dxfId="1504" priority="337" stopIfTrue="1" operator="lessThan">
      <formula>$I$20</formula>
    </cfRule>
  </conditionalFormatting>
  <conditionalFormatting sqref="J21">
    <cfRule type="cellIs" dxfId="1503" priority="338" stopIfTrue="1" operator="equal">
      <formula>$I$21</formula>
    </cfRule>
    <cfRule type="cellIs" dxfId="1502" priority="339" stopIfTrue="1" operator="lessThan">
      <formula>$I$21</formula>
    </cfRule>
  </conditionalFormatting>
  <conditionalFormatting sqref="J22">
    <cfRule type="cellIs" dxfId="1501" priority="340" stopIfTrue="1" operator="equal">
      <formula>$I$22</formula>
    </cfRule>
    <cfRule type="cellIs" dxfId="1500" priority="341" stopIfTrue="1" operator="lessThan">
      <formula>$I$22</formula>
    </cfRule>
  </conditionalFormatting>
  <conditionalFormatting sqref="J23">
    <cfRule type="cellIs" dxfId="1499" priority="343" stopIfTrue="1" operator="lessThan">
      <formula>$I$23</formula>
    </cfRule>
    <cfRule type="cellIs" dxfId="1498" priority="342" stopIfTrue="1" operator="equal">
      <formula>$I$23</formula>
    </cfRule>
  </conditionalFormatting>
  <conditionalFormatting sqref="J24">
    <cfRule type="cellIs" dxfId="1497" priority="344" stopIfTrue="1" operator="equal">
      <formula>$I$24</formula>
    </cfRule>
    <cfRule type="cellIs" dxfId="1496" priority="345" stopIfTrue="1" operator="lessThan">
      <formula>$I$24</formula>
    </cfRule>
  </conditionalFormatting>
  <conditionalFormatting sqref="J25">
    <cfRule type="cellIs" dxfId="1495" priority="346" stopIfTrue="1" operator="equal">
      <formula>$I$25</formula>
    </cfRule>
    <cfRule type="cellIs" dxfId="1494" priority="347" stopIfTrue="1" operator="lessThan">
      <formula>$I$25</formula>
    </cfRule>
  </conditionalFormatting>
  <conditionalFormatting sqref="J26">
    <cfRule type="cellIs" dxfId="1493" priority="348" stopIfTrue="1" operator="equal">
      <formula>$I$26</formula>
    </cfRule>
    <cfRule type="cellIs" dxfId="1492" priority="349" stopIfTrue="1" operator="lessThan">
      <formula>$I$26</formula>
    </cfRule>
  </conditionalFormatting>
  <conditionalFormatting sqref="J27">
    <cfRule type="cellIs" dxfId="1491" priority="350" stopIfTrue="1" operator="equal">
      <formula>$I$27</formula>
    </cfRule>
    <cfRule type="cellIs" dxfId="1490" priority="351" stopIfTrue="1" operator="lessThan">
      <formula>$I$27</formula>
    </cfRule>
  </conditionalFormatting>
  <conditionalFormatting sqref="J28">
    <cfRule type="cellIs" dxfId="1489" priority="352" stopIfTrue="1" operator="equal">
      <formula>$I$28</formula>
    </cfRule>
    <cfRule type="cellIs" dxfId="1488" priority="353" stopIfTrue="1" operator="lessThan">
      <formula>$I$28</formula>
    </cfRule>
  </conditionalFormatting>
  <conditionalFormatting sqref="K4">
    <cfRule type="cellIs" dxfId="1487" priority="354" stopIfTrue="1" operator="equal">
      <formula>$J$4</formula>
    </cfRule>
    <cfRule type="cellIs" dxfId="1486" priority="355" stopIfTrue="1" operator="lessThan">
      <formula>$J$4</formula>
    </cfRule>
  </conditionalFormatting>
  <conditionalFormatting sqref="K5">
    <cfRule type="cellIs" dxfId="1485" priority="356" stopIfTrue="1" operator="equal">
      <formula>$J$5</formula>
    </cfRule>
    <cfRule type="cellIs" dxfId="1484" priority="357" stopIfTrue="1" operator="lessThan">
      <formula>$J$5</formula>
    </cfRule>
  </conditionalFormatting>
  <conditionalFormatting sqref="K6">
    <cfRule type="cellIs" dxfId="1483" priority="358" stopIfTrue="1" operator="equal">
      <formula>$J$6</formula>
    </cfRule>
    <cfRule type="cellIs" dxfId="1482" priority="359" stopIfTrue="1" operator="lessThan">
      <formula>$J$6</formula>
    </cfRule>
  </conditionalFormatting>
  <conditionalFormatting sqref="K7">
    <cfRule type="cellIs" dxfId="1481" priority="360" stopIfTrue="1" operator="equal">
      <formula>$J$7</formula>
    </cfRule>
    <cfRule type="cellIs" dxfId="1480" priority="361" stopIfTrue="1" operator="lessThan">
      <formula>$J$7</formula>
    </cfRule>
  </conditionalFormatting>
  <conditionalFormatting sqref="K8">
    <cfRule type="cellIs" dxfId="1479" priority="363" stopIfTrue="1" operator="lessThan">
      <formula>$J$8</formula>
    </cfRule>
    <cfRule type="cellIs" dxfId="1478" priority="362" stopIfTrue="1" operator="equal">
      <formula>$J$8</formula>
    </cfRule>
  </conditionalFormatting>
  <conditionalFormatting sqref="K9">
    <cfRule type="cellIs" dxfId="1477" priority="365" stopIfTrue="1" operator="lessThan">
      <formula>$J$9</formula>
    </cfRule>
    <cfRule type="cellIs" dxfId="1476" priority="364" stopIfTrue="1" operator="equal">
      <formula>$J$9</formula>
    </cfRule>
  </conditionalFormatting>
  <conditionalFormatting sqref="K10">
    <cfRule type="cellIs" dxfId="1475" priority="366" stopIfTrue="1" operator="equal">
      <formula>$J$10</formula>
    </cfRule>
    <cfRule type="cellIs" dxfId="1474" priority="367" stopIfTrue="1" operator="lessThan">
      <formula>$J$10</formula>
    </cfRule>
  </conditionalFormatting>
  <conditionalFormatting sqref="K11">
    <cfRule type="cellIs" dxfId="1473" priority="368" stopIfTrue="1" operator="equal">
      <formula>$J$11</formula>
    </cfRule>
    <cfRule type="cellIs" dxfId="1472" priority="369" stopIfTrue="1" operator="lessThan">
      <formula>$J$11</formula>
    </cfRule>
  </conditionalFormatting>
  <conditionalFormatting sqref="K12">
    <cfRule type="cellIs" dxfId="1471" priority="370" stopIfTrue="1" operator="equal">
      <formula>$J$12</formula>
    </cfRule>
    <cfRule type="cellIs" dxfId="1470" priority="371" stopIfTrue="1" operator="lessThan">
      <formula>$J$12</formula>
    </cfRule>
  </conditionalFormatting>
  <conditionalFormatting sqref="K13">
    <cfRule type="cellIs" dxfId="1469" priority="372" stopIfTrue="1" operator="equal">
      <formula>$J$13</formula>
    </cfRule>
    <cfRule type="cellIs" dxfId="1468" priority="373" stopIfTrue="1" operator="lessThan">
      <formula>$J$13</formula>
    </cfRule>
  </conditionalFormatting>
  <conditionalFormatting sqref="K14">
    <cfRule type="cellIs" dxfId="1467" priority="374" stopIfTrue="1" operator="equal">
      <formula>$J$14</formula>
    </cfRule>
    <cfRule type="cellIs" dxfId="1466" priority="375" stopIfTrue="1" operator="lessThan">
      <formula>$J$14</formula>
    </cfRule>
  </conditionalFormatting>
  <conditionalFormatting sqref="K15">
    <cfRule type="cellIs" dxfId="1465" priority="376" stopIfTrue="1" operator="equal">
      <formula>$J$15</formula>
    </cfRule>
    <cfRule type="cellIs" dxfId="1464" priority="377" stopIfTrue="1" operator="lessThan">
      <formula>$J$15</formula>
    </cfRule>
  </conditionalFormatting>
  <conditionalFormatting sqref="K16">
    <cfRule type="cellIs" dxfId="1463" priority="378" stopIfTrue="1" operator="equal">
      <formula>$J$16</formula>
    </cfRule>
    <cfRule type="cellIs" dxfId="1462" priority="379" stopIfTrue="1" operator="lessThan">
      <formula>$J$16</formula>
    </cfRule>
  </conditionalFormatting>
  <conditionalFormatting sqref="K17">
    <cfRule type="cellIs" dxfId="1461" priority="380" stopIfTrue="1" operator="equal">
      <formula>$J$17</formula>
    </cfRule>
    <cfRule type="cellIs" dxfId="1460" priority="381" stopIfTrue="1" operator="lessThan">
      <formula>$J$17</formula>
    </cfRule>
  </conditionalFormatting>
  <conditionalFormatting sqref="K18">
    <cfRule type="cellIs" dxfId="1459" priority="383" stopIfTrue="1" operator="lessThan">
      <formula>$J$18</formula>
    </cfRule>
    <cfRule type="cellIs" dxfId="1458" priority="382" stopIfTrue="1" operator="equal">
      <formula>$J$18</formula>
    </cfRule>
  </conditionalFormatting>
  <conditionalFormatting sqref="K19">
    <cfRule type="cellIs" dxfId="1457" priority="385" stopIfTrue="1" operator="lessThan">
      <formula>$J$19</formula>
    </cfRule>
    <cfRule type="cellIs" dxfId="1456" priority="384" stopIfTrue="1" operator="equal">
      <formula>$J$19</formula>
    </cfRule>
  </conditionalFormatting>
  <conditionalFormatting sqref="K20">
    <cfRule type="cellIs" dxfId="1455" priority="386" stopIfTrue="1" operator="equal">
      <formula>$J$20</formula>
    </cfRule>
    <cfRule type="cellIs" dxfId="1454" priority="387" stopIfTrue="1" operator="lessThan">
      <formula>$J$20</formula>
    </cfRule>
  </conditionalFormatting>
  <conditionalFormatting sqref="K21">
    <cfRule type="cellIs" dxfId="1453" priority="388" stopIfTrue="1" operator="equal">
      <formula>$J$21</formula>
    </cfRule>
    <cfRule type="cellIs" dxfId="1452" priority="389" stopIfTrue="1" operator="lessThan">
      <formula>$J$21</formula>
    </cfRule>
  </conditionalFormatting>
  <conditionalFormatting sqref="K22">
    <cfRule type="cellIs" dxfId="1451" priority="390" stopIfTrue="1" operator="equal">
      <formula>$J$22</formula>
    </cfRule>
    <cfRule type="cellIs" dxfId="1450" priority="391" stopIfTrue="1" operator="lessThan">
      <formula>$J$22</formula>
    </cfRule>
  </conditionalFormatting>
  <conditionalFormatting sqref="K23">
    <cfRule type="cellIs" dxfId="1449" priority="392" stopIfTrue="1" operator="equal">
      <formula>$J$23</formula>
    </cfRule>
    <cfRule type="cellIs" dxfId="1448" priority="393" stopIfTrue="1" operator="lessThan">
      <formula>$J$23</formula>
    </cfRule>
  </conditionalFormatting>
  <conditionalFormatting sqref="K24">
    <cfRule type="cellIs" dxfId="1447" priority="394" stopIfTrue="1" operator="equal">
      <formula>$J$24</formula>
    </cfRule>
    <cfRule type="cellIs" dxfId="1446" priority="395" stopIfTrue="1" operator="lessThan">
      <formula>$J$24</formula>
    </cfRule>
  </conditionalFormatting>
  <conditionalFormatting sqref="K25">
    <cfRule type="cellIs" dxfId="1445" priority="396" stopIfTrue="1" operator="equal">
      <formula>$J$25</formula>
    </cfRule>
    <cfRule type="cellIs" dxfId="1444" priority="397" stopIfTrue="1" operator="lessThan">
      <formula>$J$25</formula>
    </cfRule>
  </conditionalFormatting>
  <conditionalFormatting sqref="K26">
    <cfRule type="cellIs" dxfId="1443" priority="398" stopIfTrue="1" operator="equal">
      <formula>$J$26</formula>
    </cfRule>
    <cfRule type="cellIs" dxfId="1442" priority="399" stopIfTrue="1" operator="lessThan">
      <formula>$J$26</formula>
    </cfRule>
  </conditionalFormatting>
  <conditionalFormatting sqref="K27">
    <cfRule type="cellIs" dxfId="1441" priority="400" stopIfTrue="1" operator="equal">
      <formula>$J$27</formula>
    </cfRule>
    <cfRule type="cellIs" dxfId="1440" priority="401" stopIfTrue="1" operator="lessThan">
      <formula>$J$27</formula>
    </cfRule>
  </conditionalFormatting>
  <conditionalFormatting sqref="K28">
    <cfRule type="cellIs" dxfId="1439" priority="403" stopIfTrue="1" operator="equal">
      <formula>$J$28</formula>
    </cfRule>
    <cfRule type="cellIs" dxfId="1438" priority="402" stopIfTrue="1" operator="lessThan">
      <formula>$J$28</formula>
    </cfRule>
  </conditionalFormatting>
  <conditionalFormatting sqref="L4">
    <cfRule type="cellIs" dxfId="1437" priority="405" stopIfTrue="1" operator="lessThan">
      <formula>$K$4</formula>
    </cfRule>
    <cfRule type="cellIs" dxfId="1436" priority="404" stopIfTrue="1" operator="equal">
      <formula>$K$4</formula>
    </cfRule>
  </conditionalFormatting>
  <conditionalFormatting sqref="L5">
    <cfRule type="cellIs" dxfId="1435" priority="406" stopIfTrue="1" operator="equal">
      <formula>$K$5</formula>
    </cfRule>
    <cfRule type="cellIs" dxfId="1434" priority="407" stopIfTrue="1" operator="lessThan">
      <formula>$K$5</formula>
    </cfRule>
  </conditionalFormatting>
  <conditionalFormatting sqref="L6">
    <cfRule type="cellIs" dxfId="1433" priority="408" stopIfTrue="1" operator="equal">
      <formula>$K$6</formula>
    </cfRule>
    <cfRule type="cellIs" dxfId="1432" priority="409" stopIfTrue="1" operator="lessThan">
      <formula>$K$6</formula>
    </cfRule>
  </conditionalFormatting>
  <conditionalFormatting sqref="L7">
    <cfRule type="cellIs" dxfId="1431" priority="410" stopIfTrue="1" operator="equal">
      <formula>$K$7</formula>
    </cfRule>
    <cfRule type="cellIs" dxfId="1430" priority="411" stopIfTrue="1" operator="lessThan">
      <formula>$K$7</formula>
    </cfRule>
  </conditionalFormatting>
  <conditionalFormatting sqref="L8">
    <cfRule type="cellIs" dxfId="1429" priority="412" stopIfTrue="1" operator="equal">
      <formula>$K$8</formula>
    </cfRule>
    <cfRule type="cellIs" dxfId="1428" priority="413" stopIfTrue="1" operator="lessThan">
      <formula>$K$8</formula>
    </cfRule>
  </conditionalFormatting>
  <conditionalFormatting sqref="L9">
    <cfRule type="cellIs" dxfId="1427" priority="414" stopIfTrue="1" operator="equal">
      <formula>$K$9</formula>
    </cfRule>
    <cfRule type="cellIs" dxfId="1426" priority="415" stopIfTrue="1" operator="lessThan">
      <formula>$K$9</formula>
    </cfRule>
  </conditionalFormatting>
  <conditionalFormatting sqref="L10">
    <cfRule type="cellIs" dxfId="1425" priority="416" stopIfTrue="1" operator="equal">
      <formula>$K$10</formula>
    </cfRule>
    <cfRule type="cellIs" dxfId="1424" priority="417" stopIfTrue="1" operator="lessThan">
      <formula>$K$10</formula>
    </cfRule>
  </conditionalFormatting>
  <conditionalFormatting sqref="L11">
    <cfRule type="cellIs" dxfId="1423" priority="438" stopIfTrue="1" operator="equal">
      <formula>$K$11</formula>
    </cfRule>
    <cfRule type="cellIs" dxfId="1422" priority="439" stopIfTrue="1" operator="lessThan">
      <formula>$K$11</formula>
    </cfRule>
  </conditionalFormatting>
  <conditionalFormatting sqref="L12">
    <cfRule type="cellIs" dxfId="1421" priority="418" stopIfTrue="1" operator="equal">
      <formula>$K$12</formula>
    </cfRule>
    <cfRule type="cellIs" dxfId="1420" priority="419" stopIfTrue="1" operator="lessThan">
      <formula>$K$12</formula>
    </cfRule>
  </conditionalFormatting>
  <conditionalFormatting sqref="L13">
    <cfRule type="cellIs" dxfId="1419" priority="420" stopIfTrue="1" operator="equal">
      <formula>$K$13</formula>
    </cfRule>
    <cfRule type="cellIs" dxfId="1418" priority="421" stopIfTrue="1" operator="lessThan">
      <formula>$K$13</formula>
    </cfRule>
  </conditionalFormatting>
  <conditionalFormatting sqref="L14">
    <cfRule type="cellIs" dxfId="1417" priority="423" stopIfTrue="1" operator="lessThan">
      <formula>$K$14</formula>
    </cfRule>
    <cfRule type="cellIs" dxfId="1416" priority="422" stopIfTrue="1" operator="equal">
      <formula>$K$14</formula>
    </cfRule>
  </conditionalFormatting>
  <conditionalFormatting sqref="L15">
    <cfRule type="cellIs" dxfId="1415" priority="424" stopIfTrue="1" operator="equal">
      <formula>$K$15</formula>
    </cfRule>
    <cfRule type="cellIs" dxfId="1414" priority="425" stopIfTrue="1" operator="lessThan">
      <formula>$K$15</formula>
    </cfRule>
  </conditionalFormatting>
  <conditionalFormatting sqref="L16">
    <cfRule type="cellIs" dxfId="1413" priority="426" stopIfTrue="1" operator="equal">
      <formula>$K$16</formula>
    </cfRule>
    <cfRule type="cellIs" dxfId="1412" priority="427" stopIfTrue="1" operator="lessThan">
      <formula>$K$16</formula>
    </cfRule>
  </conditionalFormatting>
  <conditionalFormatting sqref="L17">
    <cfRule type="cellIs" dxfId="1411" priority="428" stopIfTrue="1" operator="equal">
      <formula>$K$17</formula>
    </cfRule>
    <cfRule type="cellIs" dxfId="1410" priority="429" stopIfTrue="1" operator="lessThan">
      <formula>$K$17</formula>
    </cfRule>
  </conditionalFormatting>
  <conditionalFormatting sqref="L18">
    <cfRule type="cellIs" dxfId="1409" priority="430" stopIfTrue="1" operator="equal">
      <formula>$K$18</formula>
    </cfRule>
    <cfRule type="cellIs" dxfId="1408" priority="431" stopIfTrue="1" operator="lessThan">
      <formula>$K$18</formula>
    </cfRule>
  </conditionalFormatting>
  <conditionalFormatting sqref="L19">
    <cfRule type="cellIs" dxfId="1407" priority="432" stopIfTrue="1" operator="equal">
      <formula>$K$19</formula>
    </cfRule>
    <cfRule type="cellIs" dxfId="1406" priority="433" stopIfTrue="1" operator="lessThan">
      <formula>$K$19</formula>
    </cfRule>
  </conditionalFormatting>
  <conditionalFormatting sqref="L20">
    <cfRule type="cellIs" dxfId="1405" priority="434" stopIfTrue="1" operator="equal">
      <formula>$K$20</formula>
    </cfRule>
    <cfRule type="cellIs" dxfId="1404" priority="435" stopIfTrue="1" operator="lessThan">
      <formula>$K$20</formula>
    </cfRule>
  </conditionalFormatting>
  <conditionalFormatting sqref="L21">
    <cfRule type="cellIs" dxfId="1403" priority="436" stopIfTrue="1" operator="equal">
      <formula>$K$21</formula>
    </cfRule>
    <cfRule type="cellIs" dxfId="1402" priority="437" stopIfTrue="1" operator="lessThan">
      <formula>$K$21</formula>
    </cfRule>
  </conditionalFormatting>
  <conditionalFormatting sqref="L22">
    <cfRule type="cellIs" dxfId="1401" priority="440" stopIfTrue="1" operator="equal">
      <formula>$K$22</formula>
    </cfRule>
    <cfRule type="cellIs" dxfId="1400" priority="441" stopIfTrue="1" operator="lessThan">
      <formula>$K$22</formula>
    </cfRule>
  </conditionalFormatting>
  <conditionalFormatting sqref="L23">
    <cfRule type="cellIs" dxfId="1399" priority="443" stopIfTrue="1" operator="lessThan">
      <formula>$K$23</formula>
    </cfRule>
    <cfRule type="cellIs" dxfId="1398" priority="442" stopIfTrue="1" operator="equal">
      <formula>$K$23</formula>
    </cfRule>
  </conditionalFormatting>
  <conditionalFormatting sqref="L24">
    <cfRule type="cellIs" dxfId="1397" priority="445" stopIfTrue="1" operator="lessThan">
      <formula>$K$24</formula>
    </cfRule>
    <cfRule type="cellIs" dxfId="1396" priority="444" stopIfTrue="1" operator="equal">
      <formula>$K$24</formula>
    </cfRule>
  </conditionalFormatting>
  <conditionalFormatting sqref="L25">
    <cfRule type="cellIs" dxfId="1395" priority="446" stopIfTrue="1" operator="equal">
      <formula>$K$25</formula>
    </cfRule>
    <cfRule type="cellIs" dxfId="1394" priority="447" stopIfTrue="1" operator="lessThan">
      <formula>$K$25</formula>
    </cfRule>
  </conditionalFormatting>
  <conditionalFormatting sqref="L26">
    <cfRule type="cellIs" dxfId="1393" priority="448" stopIfTrue="1" operator="equal">
      <formula>$K$26</formula>
    </cfRule>
    <cfRule type="cellIs" dxfId="1392" priority="449" stopIfTrue="1" operator="lessThan">
      <formula>$K$26</formula>
    </cfRule>
  </conditionalFormatting>
  <conditionalFormatting sqref="L27">
    <cfRule type="cellIs" dxfId="1391" priority="450" stopIfTrue="1" operator="equal">
      <formula>$K$27</formula>
    </cfRule>
    <cfRule type="cellIs" dxfId="1390" priority="451" stopIfTrue="1" operator="lessThan">
      <formula>$K$27</formula>
    </cfRule>
  </conditionalFormatting>
  <conditionalFormatting sqref="L28">
    <cfRule type="cellIs" dxfId="1389" priority="452" stopIfTrue="1" operator="equal">
      <formula>$K$28</formula>
    </cfRule>
    <cfRule type="cellIs" dxfId="1388" priority="453" stopIfTrue="1" operator="lessThan">
      <formula>$K$28</formula>
    </cfRule>
  </conditionalFormatting>
  <conditionalFormatting sqref="M4">
    <cfRule type="cellIs" dxfId="1387" priority="454" stopIfTrue="1" operator="lessThan">
      <formula>$L$4</formula>
    </cfRule>
    <cfRule type="cellIs" dxfId="1386" priority="455" stopIfTrue="1" operator="equal">
      <formula>$L$4</formula>
    </cfRule>
  </conditionalFormatting>
  <conditionalFormatting sqref="M5">
    <cfRule type="cellIs" dxfId="1385" priority="456" stopIfTrue="1" operator="equal">
      <formula>$L$5</formula>
    </cfRule>
    <cfRule type="cellIs" dxfId="1384" priority="457" stopIfTrue="1" operator="lessThan">
      <formula>$L$5</formula>
    </cfRule>
  </conditionalFormatting>
  <conditionalFormatting sqref="M6">
    <cfRule type="cellIs" dxfId="1383" priority="458" stopIfTrue="1" operator="equal">
      <formula>$L$6</formula>
    </cfRule>
    <cfRule type="cellIs" dxfId="1382" priority="459" stopIfTrue="1" operator="lessThan">
      <formula>$L$6</formula>
    </cfRule>
  </conditionalFormatting>
  <conditionalFormatting sqref="M7">
    <cfRule type="cellIs" dxfId="1381" priority="460" stopIfTrue="1" operator="equal">
      <formula>$L$7</formula>
    </cfRule>
    <cfRule type="cellIs" dxfId="1380" priority="461" stopIfTrue="1" operator="lessThan">
      <formula>$L$7</formula>
    </cfRule>
  </conditionalFormatting>
  <conditionalFormatting sqref="M8">
    <cfRule type="cellIs" dxfId="1379" priority="463" stopIfTrue="1" operator="lessThan">
      <formula>$L$8</formula>
    </cfRule>
    <cfRule type="cellIs" dxfId="1378" priority="462" stopIfTrue="1" operator="equal">
      <formula>$L$8</formula>
    </cfRule>
  </conditionalFormatting>
  <conditionalFormatting sqref="M9">
    <cfRule type="cellIs" dxfId="1377" priority="464" stopIfTrue="1" operator="equal">
      <formula>$L$9</formula>
    </cfRule>
    <cfRule type="cellIs" dxfId="1376" priority="465" stopIfTrue="1" operator="lessThan">
      <formula>$L$9</formula>
    </cfRule>
  </conditionalFormatting>
  <conditionalFormatting sqref="M10">
    <cfRule type="cellIs" dxfId="1375" priority="466" stopIfTrue="1" operator="equal">
      <formula>$L$10</formula>
    </cfRule>
    <cfRule type="cellIs" dxfId="1374" priority="467" stopIfTrue="1" operator="lessThan">
      <formula>$L$10</formula>
    </cfRule>
  </conditionalFormatting>
  <conditionalFormatting sqref="M11">
    <cfRule type="cellIs" dxfId="1373" priority="468" stopIfTrue="1" operator="equal">
      <formula>$L$11</formula>
    </cfRule>
    <cfRule type="cellIs" dxfId="1372" priority="469" stopIfTrue="1" operator="lessThan">
      <formula>$L$11</formula>
    </cfRule>
  </conditionalFormatting>
  <conditionalFormatting sqref="M12">
    <cfRule type="cellIs" dxfId="1371" priority="470" stopIfTrue="1" operator="equal">
      <formula>$L$12</formula>
    </cfRule>
    <cfRule type="cellIs" dxfId="1370" priority="471" stopIfTrue="1" operator="lessThan">
      <formula>$L$12</formula>
    </cfRule>
  </conditionalFormatting>
  <conditionalFormatting sqref="M13">
    <cfRule type="cellIs" dxfId="1369" priority="472" stopIfTrue="1" operator="equal">
      <formula>$L$13</formula>
    </cfRule>
    <cfRule type="cellIs" dxfId="1368" priority="473" stopIfTrue="1" operator="lessThan">
      <formula>$L$13</formula>
    </cfRule>
  </conditionalFormatting>
  <conditionalFormatting sqref="M14">
    <cfRule type="cellIs" dxfId="1367" priority="474" stopIfTrue="1" operator="equal">
      <formula>$L$14</formula>
    </cfRule>
    <cfRule type="cellIs" dxfId="1366" priority="475" stopIfTrue="1" operator="lessThan">
      <formula>$L$14</formula>
    </cfRule>
  </conditionalFormatting>
  <conditionalFormatting sqref="M15">
    <cfRule type="cellIs" dxfId="1365" priority="476" stopIfTrue="1" operator="equal">
      <formula>$L$15</formula>
    </cfRule>
    <cfRule type="cellIs" dxfId="1364" priority="477" stopIfTrue="1" operator="lessThan">
      <formula>$L$15</formula>
    </cfRule>
  </conditionalFormatting>
  <conditionalFormatting sqref="M16">
    <cfRule type="cellIs" dxfId="1363" priority="478" stopIfTrue="1" operator="equal">
      <formula>$L$16</formula>
    </cfRule>
    <cfRule type="cellIs" dxfId="1362" priority="479" stopIfTrue="1" operator="lessThan">
      <formula>$L$16</formula>
    </cfRule>
  </conditionalFormatting>
  <conditionalFormatting sqref="M17">
    <cfRule type="cellIs" dxfId="1361" priority="480" stopIfTrue="1" operator="equal">
      <formula>$L$17</formula>
    </cfRule>
    <cfRule type="cellIs" dxfId="1360" priority="481" stopIfTrue="1" operator="lessThan">
      <formula>$L$17</formula>
    </cfRule>
  </conditionalFormatting>
  <conditionalFormatting sqref="M18">
    <cfRule type="cellIs" dxfId="1359" priority="483" stopIfTrue="1" operator="lessThan">
      <formula>$L$18</formula>
    </cfRule>
    <cfRule type="cellIs" dxfId="1358" priority="482" stopIfTrue="1" operator="equal">
      <formula>$L$18</formula>
    </cfRule>
  </conditionalFormatting>
  <conditionalFormatting sqref="M19">
    <cfRule type="cellIs" dxfId="1357" priority="485" stopIfTrue="1" operator="lessThan">
      <formula>$L$19</formula>
    </cfRule>
    <cfRule type="cellIs" dxfId="1356" priority="484" stopIfTrue="1" operator="equal">
      <formula>$L$19</formula>
    </cfRule>
  </conditionalFormatting>
  <conditionalFormatting sqref="M20">
    <cfRule type="cellIs" dxfId="1355" priority="486" stopIfTrue="1" operator="equal">
      <formula>$L$20</formula>
    </cfRule>
    <cfRule type="cellIs" dxfId="1354" priority="487" stopIfTrue="1" operator="lessThan">
      <formula>$L$20</formula>
    </cfRule>
  </conditionalFormatting>
  <conditionalFormatting sqref="M21">
    <cfRule type="cellIs" dxfId="1353" priority="488" stopIfTrue="1" operator="equal">
      <formula>$L$21</formula>
    </cfRule>
    <cfRule type="cellIs" dxfId="1352" priority="489" stopIfTrue="1" operator="lessThan">
      <formula>$L$21</formula>
    </cfRule>
  </conditionalFormatting>
  <conditionalFormatting sqref="M22">
    <cfRule type="cellIs" dxfId="1351" priority="490" stopIfTrue="1" operator="equal">
      <formula>$L$22</formula>
    </cfRule>
    <cfRule type="cellIs" dxfId="1350" priority="491" stopIfTrue="1" operator="lessThan">
      <formula>$L$22</formula>
    </cfRule>
  </conditionalFormatting>
  <conditionalFormatting sqref="M23">
    <cfRule type="cellIs" dxfId="1349" priority="492" stopIfTrue="1" operator="equal">
      <formula>$L$23</formula>
    </cfRule>
    <cfRule type="cellIs" dxfId="1348" priority="493" stopIfTrue="1" operator="lessThan">
      <formula>$L$23</formula>
    </cfRule>
  </conditionalFormatting>
  <conditionalFormatting sqref="M24">
    <cfRule type="cellIs" dxfId="1347" priority="494" stopIfTrue="1" operator="equal">
      <formula>$L$24</formula>
    </cfRule>
    <cfRule type="cellIs" dxfId="1346" priority="495" stopIfTrue="1" operator="lessThan">
      <formula>$L$24</formula>
    </cfRule>
  </conditionalFormatting>
  <conditionalFormatting sqref="M25">
    <cfRule type="cellIs" dxfId="1345" priority="496" stopIfTrue="1" operator="equal">
      <formula>$L$25</formula>
    </cfRule>
    <cfRule type="cellIs" dxfId="1344" priority="497" stopIfTrue="1" operator="lessThan">
      <formula>$L$25</formula>
    </cfRule>
  </conditionalFormatting>
  <conditionalFormatting sqref="M26">
    <cfRule type="cellIs" dxfId="1343" priority="498" stopIfTrue="1" operator="equal">
      <formula>$L$26</formula>
    </cfRule>
    <cfRule type="cellIs" dxfId="1342" priority="499" stopIfTrue="1" operator="lessThan">
      <formula>$L$26</formula>
    </cfRule>
  </conditionalFormatting>
  <conditionalFormatting sqref="M27">
    <cfRule type="cellIs" dxfId="1341" priority="500" stopIfTrue="1" operator="equal">
      <formula>$L$27</formula>
    </cfRule>
    <cfRule type="cellIs" dxfId="1340" priority="501" stopIfTrue="1" operator="lessThan">
      <formula>$L$27</formula>
    </cfRule>
  </conditionalFormatting>
  <conditionalFormatting sqref="M28">
    <cfRule type="cellIs" dxfId="1339" priority="503" stopIfTrue="1" operator="lessThan">
      <formula>$L$28</formula>
    </cfRule>
    <cfRule type="cellIs" dxfId="1338" priority="502" stopIfTrue="1" operator="equal">
      <formula>$L$28</formula>
    </cfRule>
  </conditionalFormatting>
  <conditionalFormatting sqref="N4">
    <cfRule type="cellIs" dxfId="1337" priority="504" stopIfTrue="1" operator="equal">
      <formula>$M$4</formula>
    </cfRule>
    <cfRule type="cellIs" dxfId="1336" priority="505" stopIfTrue="1" operator="lessThan">
      <formula>$M$4</formula>
    </cfRule>
  </conditionalFormatting>
  <conditionalFormatting sqref="N5">
    <cfRule type="cellIs" dxfId="1335" priority="506" stopIfTrue="1" operator="equal">
      <formula>$M$5</formula>
    </cfRule>
    <cfRule type="cellIs" dxfId="1334" priority="507" stopIfTrue="1" operator="lessThan">
      <formula>$M$5</formula>
    </cfRule>
  </conditionalFormatting>
  <conditionalFormatting sqref="N6">
    <cfRule type="cellIs" dxfId="1333" priority="508" stopIfTrue="1" operator="equal">
      <formula>$M$6</formula>
    </cfRule>
    <cfRule type="cellIs" dxfId="1332" priority="509" stopIfTrue="1" operator="lessThan">
      <formula>$M$6</formula>
    </cfRule>
  </conditionalFormatting>
  <conditionalFormatting sqref="N7">
    <cfRule type="cellIs" dxfId="1331" priority="510" stopIfTrue="1" operator="equal">
      <formula>$M$7</formula>
    </cfRule>
    <cfRule type="cellIs" dxfId="1330" priority="511" stopIfTrue="1" operator="lessThan">
      <formula>$M$7</formula>
    </cfRule>
  </conditionalFormatting>
  <conditionalFormatting sqref="N8">
    <cfRule type="cellIs" dxfId="1329" priority="512" stopIfTrue="1" operator="equal">
      <formula>$M$8</formula>
    </cfRule>
    <cfRule type="cellIs" dxfId="1328" priority="513" stopIfTrue="1" operator="lessThan">
      <formula>$M$8</formula>
    </cfRule>
  </conditionalFormatting>
  <conditionalFormatting sqref="N9">
    <cfRule type="cellIs" dxfId="1327" priority="514" stopIfTrue="1" operator="equal">
      <formula>$M$9</formula>
    </cfRule>
    <cfRule type="cellIs" dxfId="1326" priority="515" stopIfTrue="1" operator="lessThan">
      <formula>$M$9</formula>
    </cfRule>
  </conditionalFormatting>
  <conditionalFormatting sqref="N10">
    <cfRule type="cellIs" dxfId="1325" priority="516" stopIfTrue="1" operator="equal">
      <formula>$M$10</formula>
    </cfRule>
    <cfRule type="cellIs" dxfId="1324" priority="517" stopIfTrue="1" operator="lessThan">
      <formula>$M$10</formula>
    </cfRule>
  </conditionalFormatting>
  <conditionalFormatting sqref="N11">
    <cfRule type="cellIs" dxfId="1323" priority="518" stopIfTrue="1" operator="equal">
      <formula>$M$11</formula>
    </cfRule>
    <cfRule type="cellIs" dxfId="1322" priority="519" stopIfTrue="1" operator="lessThan">
      <formula>$M$11</formula>
    </cfRule>
  </conditionalFormatting>
  <conditionalFormatting sqref="N12">
    <cfRule type="cellIs" dxfId="1321" priority="520" stopIfTrue="1" operator="equal">
      <formula>$M$12</formula>
    </cfRule>
    <cfRule type="cellIs" dxfId="1320" priority="521" stopIfTrue="1" operator="lessThan">
      <formula>$M$12</formula>
    </cfRule>
  </conditionalFormatting>
  <conditionalFormatting sqref="N13">
    <cfRule type="cellIs" dxfId="1319" priority="523" stopIfTrue="1" operator="lessThan">
      <formula>$M$13</formula>
    </cfRule>
    <cfRule type="cellIs" dxfId="1318" priority="522" stopIfTrue="1" operator="equal">
      <formula>$M$13</formula>
    </cfRule>
  </conditionalFormatting>
  <conditionalFormatting sqref="N14">
    <cfRule type="cellIs" dxfId="1317" priority="525" stopIfTrue="1" operator="lessThan">
      <formula>$M$14</formula>
    </cfRule>
    <cfRule type="cellIs" dxfId="1316" priority="524" stopIfTrue="1" operator="equal">
      <formula>$M$14</formula>
    </cfRule>
  </conditionalFormatting>
  <conditionalFormatting sqref="N15">
    <cfRule type="cellIs" dxfId="1315" priority="526" stopIfTrue="1" operator="equal">
      <formula>$M$15</formula>
    </cfRule>
    <cfRule type="cellIs" dxfId="1314" priority="527" stopIfTrue="1" operator="lessThan">
      <formula>$M$15</formula>
    </cfRule>
  </conditionalFormatting>
  <conditionalFormatting sqref="N16">
    <cfRule type="cellIs" dxfId="1313" priority="528" stopIfTrue="1" operator="equal">
      <formula>$M$16</formula>
    </cfRule>
    <cfRule type="cellIs" dxfId="1312" priority="529" stopIfTrue="1" operator="lessThan">
      <formula>$M$16</formula>
    </cfRule>
  </conditionalFormatting>
  <conditionalFormatting sqref="N17">
    <cfRule type="cellIs" dxfId="1311" priority="530" stopIfTrue="1" operator="equal">
      <formula>$M$17</formula>
    </cfRule>
    <cfRule type="cellIs" dxfId="1310" priority="531" stopIfTrue="1" operator="lessThan">
      <formula>$M$17</formula>
    </cfRule>
  </conditionalFormatting>
  <conditionalFormatting sqref="N18">
    <cfRule type="cellIs" dxfId="1309" priority="532" stopIfTrue="1" operator="equal">
      <formula>$M$18</formula>
    </cfRule>
    <cfRule type="cellIs" dxfId="1308" priority="533" stopIfTrue="1" operator="lessThan">
      <formula>$M$18</formula>
    </cfRule>
  </conditionalFormatting>
  <conditionalFormatting sqref="N19">
    <cfRule type="cellIs" dxfId="1307" priority="534" stopIfTrue="1" operator="equal">
      <formula>$M$19</formula>
    </cfRule>
    <cfRule type="cellIs" dxfId="1306" priority="535" stopIfTrue="1" operator="lessThan">
      <formula>$M$19</formula>
    </cfRule>
  </conditionalFormatting>
  <conditionalFormatting sqref="N20">
    <cfRule type="cellIs" dxfId="1305" priority="536" stopIfTrue="1" operator="equal">
      <formula>$M$20</formula>
    </cfRule>
    <cfRule type="cellIs" dxfId="1304" priority="537" stopIfTrue="1" operator="lessThan">
      <formula>$M$20</formula>
    </cfRule>
  </conditionalFormatting>
  <conditionalFormatting sqref="N21">
    <cfRule type="cellIs" dxfId="1303" priority="538" stopIfTrue="1" operator="equal">
      <formula>$M$21</formula>
    </cfRule>
    <cfRule type="cellIs" dxfId="1302" priority="539" stopIfTrue="1" operator="lessThan">
      <formula>$M$21</formula>
    </cfRule>
  </conditionalFormatting>
  <conditionalFormatting sqref="N22">
    <cfRule type="cellIs" dxfId="1301" priority="540" stopIfTrue="1" operator="equal">
      <formula>$M$22</formula>
    </cfRule>
    <cfRule type="cellIs" dxfId="1300" priority="541" stopIfTrue="1" operator="lessThan">
      <formula>$M$22</formula>
    </cfRule>
  </conditionalFormatting>
  <conditionalFormatting sqref="N23">
    <cfRule type="cellIs" dxfId="1299" priority="543" stopIfTrue="1" operator="lessThan">
      <formula>$M$23</formula>
    </cfRule>
    <cfRule type="cellIs" dxfId="1298" priority="542" stopIfTrue="1" operator="equal">
      <formula>$M$23</formula>
    </cfRule>
  </conditionalFormatting>
  <conditionalFormatting sqref="N24">
    <cfRule type="cellIs" dxfId="1297" priority="545" stopIfTrue="1" operator="lessThan">
      <formula>$M$24</formula>
    </cfRule>
    <cfRule type="cellIs" dxfId="1296" priority="544" stopIfTrue="1" operator="equal">
      <formula>$M$24</formula>
    </cfRule>
  </conditionalFormatting>
  <conditionalFormatting sqref="N25">
    <cfRule type="cellIs" dxfId="1295" priority="546" stopIfTrue="1" operator="equal">
      <formula>$M$25</formula>
    </cfRule>
    <cfRule type="cellIs" dxfId="1294" priority="547" stopIfTrue="1" operator="lessThan">
      <formula>$M$25</formula>
    </cfRule>
  </conditionalFormatting>
  <conditionalFormatting sqref="N26">
    <cfRule type="cellIs" dxfId="1293" priority="548" stopIfTrue="1" operator="equal">
      <formula>$M$26</formula>
    </cfRule>
    <cfRule type="cellIs" dxfId="1292" priority="549" stopIfTrue="1" operator="lessThan">
      <formula>$M$26</formula>
    </cfRule>
  </conditionalFormatting>
  <conditionalFormatting sqref="N27">
    <cfRule type="cellIs" dxfId="1291" priority="550" stopIfTrue="1" operator="equal">
      <formula>$M$27</formula>
    </cfRule>
    <cfRule type="cellIs" dxfId="1290" priority="551" stopIfTrue="1" operator="lessThan">
      <formula>$M$27</formula>
    </cfRule>
  </conditionalFormatting>
  <conditionalFormatting sqref="N28">
    <cfRule type="cellIs" dxfId="1289" priority="552" stopIfTrue="1" operator="equal">
      <formula>$M$28</formula>
    </cfRule>
    <cfRule type="cellIs" dxfId="1288" priority="553" stopIfTrue="1" operator="lessThan">
      <formula>$M$28</formula>
    </cfRule>
  </conditionalFormatting>
  <conditionalFormatting sqref="O4">
    <cfRule type="cellIs" dxfId="1287" priority="554" stopIfTrue="1" operator="equal">
      <formula>$N$4</formula>
    </cfRule>
    <cfRule type="cellIs" dxfId="1286" priority="555" stopIfTrue="1" operator="lessThan">
      <formula>$N$4</formula>
    </cfRule>
  </conditionalFormatting>
  <conditionalFormatting sqref="O5">
    <cfRule type="cellIs" dxfId="1285" priority="556" stopIfTrue="1" operator="equal">
      <formula>$N$5</formula>
    </cfRule>
    <cfRule type="cellIs" dxfId="1284" priority="557" stopIfTrue="1" operator="lessThan">
      <formula>$N$5</formula>
    </cfRule>
  </conditionalFormatting>
  <conditionalFormatting sqref="O6">
    <cfRule type="cellIs" dxfId="1283" priority="558" stopIfTrue="1" operator="equal">
      <formula>$N$6</formula>
    </cfRule>
    <cfRule type="cellIs" dxfId="1282" priority="559" stopIfTrue="1" operator="lessThan">
      <formula>$N$6</formula>
    </cfRule>
  </conditionalFormatting>
  <conditionalFormatting sqref="O7">
    <cfRule type="cellIs" dxfId="1281" priority="560" stopIfTrue="1" operator="equal">
      <formula>$N$7</formula>
    </cfRule>
    <cfRule type="cellIs" dxfId="1280" priority="561" stopIfTrue="1" operator="lessThan">
      <formula>$N$7</formula>
    </cfRule>
  </conditionalFormatting>
  <conditionalFormatting sqref="O8">
    <cfRule type="cellIs" dxfId="1279" priority="563" stopIfTrue="1" operator="lessThan">
      <formula>$N$8</formula>
    </cfRule>
    <cfRule type="cellIs" dxfId="1278" priority="562" stopIfTrue="1" operator="equal">
      <formula>$N$8</formula>
    </cfRule>
  </conditionalFormatting>
  <conditionalFormatting sqref="O9">
    <cfRule type="cellIs" dxfId="1277" priority="565" stopIfTrue="1" operator="lessThan">
      <formula>$N$9</formula>
    </cfRule>
    <cfRule type="cellIs" dxfId="1276" priority="564" stopIfTrue="1" operator="equal">
      <formula>$N$9</formula>
    </cfRule>
  </conditionalFormatting>
  <conditionalFormatting sqref="O10">
    <cfRule type="cellIs" dxfId="1275" priority="566" stopIfTrue="1" operator="equal">
      <formula>$N$10</formula>
    </cfRule>
    <cfRule type="cellIs" dxfId="1274" priority="567" stopIfTrue="1" operator="lessThan">
      <formula>$N$10</formula>
    </cfRule>
  </conditionalFormatting>
  <conditionalFormatting sqref="O11">
    <cfRule type="cellIs" dxfId="1273" priority="568" stopIfTrue="1" operator="equal">
      <formula>$N$11</formula>
    </cfRule>
    <cfRule type="cellIs" dxfId="1272" priority="569" stopIfTrue="1" operator="lessThan">
      <formula>$N$11</formula>
    </cfRule>
  </conditionalFormatting>
  <conditionalFormatting sqref="O12">
    <cfRule type="cellIs" dxfId="1271" priority="570" stopIfTrue="1" operator="equal">
      <formula>$N$12</formula>
    </cfRule>
    <cfRule type="cellIs" dxfId="1270" priority="571" stopIfTrue="1" operator="lessThan">
      <formula>$N$12</formula>
    </cfRule>
  </conditionalFormatting>
  <conditionalFormatting sqref="O13">
    <cfRule type="cellIs" dxfId="1269" priority="572" stopIfTrue="1" operator="equal">
      <formula>$N$13</formula>
    </cfRule>
    <cfRule type="cellIs" dxfId="1268" priority="573" stopIfTrue="1" operator="lessThan">
      <formula>$N$13</formula>
    </cfRule>
  </conditionalFormatting>
  <conditionalFormatting sqref="O14">
    <cfRule type="cellIs" dxfId="1267" priority="574" stopIfTrue="1" operator="equal">
      <formula>$N$14</formula>
    </cfRule>
    <cfRule type="cellIs" dxfId="1266" priority="575" stopIfTrue="1" operator="lessThan">
      <formula>$N$14</formula>
    </cfRule>
  </conditionalFormatting>
  <conditionalFormatting sqref="O15">
    <cfRule type="cellIs" dxfId="1265" priority="576" stopIfTrue="1" operator="equal">
      <formula>$N$15</formula>
    </cfRule>
    <cfRule type="cellIs" dxfId="1264" priority="577" stopIfTrue="1" operator="lessThan">
      <formula>$N$15</formula>
    </cfRule>
  </conditionalFormatting>
  <conditionalFormatting sqref="O16">
    <cfRule type="cellIs" dxfId="1263" priority="578" stopIfTrue="1" operator="equal">
      <formula>$N$16</formula>
    </cfRule>
    <cfRule type="cellIs" dxfId="1262" priority="579" stopIfTrue="1" operator="lessThan">
      <formula>$N$16</formula>
    </cfRule>
  </conditionalFormatting>
  <conditionalFormatting sqref="O17">
    <cfRule type="cellIs" dxfId="1261" priority="580" stopIfTrue="1" operator="equal">
      <formula>$N$17</formula>
    </cfRule>
    <cfRule type="cellIs" dxfId="1260" priority="581" stopIfTrue="1" operator="lessThan">
      <formula>$N$17</formula>
    </cfRule>
  </conditionalFormatting>
  <conditionalFormatting sqref="O18">
    <cfRule type="cellIs" dxfId="1259" priority="583" stopIfTrue="1" operator="lessThan">
      <formula>$N$18</formula>
    </cfRule>
    <cfRule type="cellIs" dxfId="1258" priority="582" stopIfTrue="1" operator="equal">
      <formula>$N$18</formula>
    </cfRule>
  </conditionalFormatting>
  <conditionalFormatting sqref="O19">
    <cfRule type="cellIs" dxfId="1257" priority="584" stopIfTrue="1" operator="equal">
      <formula>$N$19</formula>
    </cfRule>
    <cfRule type="cellIs" dxfId="1256" priority="585" stopIfTrue="1" operator="lessThan">
      <formula>$N$19</formula>
    </cfRule>
  </conditionalFormatting>
  <conditionalFormatting sqref="O20">
    <cfRule type="cellIs" dxfId="1255" priority="586" stopIfTrue="1" operator="equal">
      <formula>$N$20</formula>
    </cfRule>
    <cfRule type="cellIs" dxfId="1254" priority="587" stopIfTrue="1" operator="lessThan">
      <formula>$N$20</formula>
    </cfRule>
  </conditionalFormatting>
  <conditionalFormatting sqref="O21">
    <cfRule type="cellIs" dxfId="1253" priority="588" stopIfTrue="1" operator="equal">
      <formula>$N$21</formula>
    </cfRule>
    <cfRule type="cellIs" dxfId="1252" priority="589" stopIfTrue="1" operator="lessThan">
      <formula>$N$21</formula>
    </cfRule>
  </conditionalFormatting>
  <conditionalFormatting sqref="O22">
    <cfRule type="cellIs" dxfId="1251" priority="590" stopIfTrue="1" operator="equal">
      <formula>$N$22</formula>
    </cfRule>
    <cfRule type="cellIs" dxfId="1250" priority="591" stopIfTrue="1" operator="lessThan">
      <formula>$N$22</formula>
    </cfRule>
  </conditionalFormatting>
  <conditionalFormatting sqref="O23">
    <cfRule type="cellIs" dxfId="1249" priority="592" stopIfTrue="1" operator="equal">
      <formula>$N$23</formula>
    </cfRule>
    <cfRule type="cellIs" dxfId="1248" priority="593" stopIfTrue="1" operator="lessThan">
      <formula>$N$23</formula>
    </cfRule>
  </conditionalFormatting>
  <conditionalFormatting sqref="O24">
    <cfRule type="cellIs" dxfId="1247" priority="594" stopIfTrue="1" operator="equal">
      <formula>$N$24</formula>
    </cfRule>
    <cfRule type="cellIs" dxfId="1246" priority="595" stopIfTrue="1" operator="lessThan">
      <formula>$N$24</formula>
    </cfRule>
  </conditionalFormatting>
  <conditionalFormatting sqref="O25">
    <cfRule type="cellIs" dxfId="1245" priority="596" stopIfTrue="1" operator="equal">
      <formula>$N$25</formula>
    </cfRule>
    <cfRule type="cellIs" dxfId="1244" priority="597" stopIfTrue="1" operator="lessThan">
      <formula>$N$25</formula>
    </cfRule>
  </conditionalFormatting>
  <conditionalFormatting sqref="O26">
    <cfRule type="cellIs" dxfId="1243" priority="598" stopIfTrue="1" operator="equal">
      <formula>$N$26</formula>
    </cfRule>
    <cfRule type="cellIs" dxfId="1242" priority="599" stopIfTrue="1" operator="lessThan">
      <formula>$N$26</formula>
    </cfRule>
  </conditionalFormatting>
  <conditionalFormatting sqref="O27">
    <cfRule type="cellIs" dxfId="1241" priority="600" stopIfTrue="1" operator="equal">
      <formula>$N$27</formula>
    </cfRule>
    <cfRule type="cellIs" dxfId="1240" priority="601" stopIfTrue="1" operator="lessThan">
      <formula>$N$27</formula>
    </cfRule>
  </conditionalFormatting>
  <conditionalFormatting sqref="O28">
    <cfRule type="cellIs" dxfId="1239" priority="603" stopIfTrue="1" operator="lessThan">
      <formula>$N$28</formula>
    </cfRule>
    <cfRule type="cellIs" dxfId="1238" priority="602" stopIfTrue="1" operator="equal">
      <formula>$N$28</formula>
    </cfRule>
  </conditionalFormatting>
  <conditionalFormatting sqref="U4:AF23">
    <cfRule type="cellIs" dxfId="1237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7"/>
  <sheetViews>
    <sheetView workbookViewId="0">
      <selection activeCell="S19" sqref="S19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6" width="9.81640625" bestFit="1" customWidth="1"/>
    <col min="17" max="17" width="11.1796875" bestFit="1" customWidth="1"/>
    <col min="18" max="18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4">
        <v>1856</v>
      </c>
      <c r="B2" s="2"/>
      <c r="C2" s="3">
        <f>'1850'!C2</f>
        <v>44927</v>
      </c>
      <c r="D2" s="3">
        <f>'1850'!D2</f>
        <v>44958</v>
      </c>
      <c r="E2" s="3">
        <f>'1850'!E2</f>
        <v>44986</v>
      </c>
      <c r="F2" s="3">
        <f>'1850'!F2</f>
        <v>45017</v>
      </c>
      <c r="G2" s="3">
        <f>'1850'!G2</f>
        <v>45047</v>
      </c>
      <c r="H2" s="3">
        <f>'1850'!H2</f>
        <v>45078</v>
      </c>
      <c r="I2" s="3">
        <f>'1850'!I2</f>
        <v>45111</v>
      </c>
      <c r="J2" s="3">
        <f>'1850'!J2</f>
        <v>45139</v>
      </c>
      <c r="K2" s="3">
        <f>'1850'!K2</f>
        <v>45170</v>
      </c>
      <c r="L2" s="3">
        <f>'1850'!L2</f>
        <v>45201</v>
      </c>
      <c r="M2" s="3">
        <f>'1850'!M2</f>
        <v>45231</v>
      </c>
      <c r="N2" s="3">
        <f>'1850'!N2</f>
        <v>45261</v>
      </c>
      <c r="O2" s="3">
        <f>'1850'!O2</f>
        <v>45292</v>
      </c>
      <c r="P2" s="1" t="s">
        <v>27</v>
      </c>
      <c r="Q2" s="1" t="s">
        <v>28</v>
      </c>
      <c r="R2" s="1" t="s">
        <v>29</v>
      </c>
      <c r="U2" s="144"/>
      <c r="V2" s="145"/>
      <c r="W2" s="145"/>
      <c r="X2" s="145"/>
      <c r="Y2" s="145" t="s">
        <v>213</v>
      </c>
      <c r="Z2" s="145"/>
      <c r="AA2" s="145"/>
      <c r="AB2" s="145"/>
      <c r="AC2" s="145"/>
      <c r="AD2" s="145"/>
      <c r="AE2" s="145"/>
      <c r="AF2" s="149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96</v>
      </c>
      <c r="Q3" s="1" t="s">
        <v>95</v>
      </c>
      <c r="R3" s="1" t="s">
        <v>97</v>
      </c>
      <c r="T3" s="1" t="s">
        <v>212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79">
        <v>1</v>
      </c>
      <c r="B4" s="6" t="s">
        <v>191</v>
      </c>
      <c r="C4" s="78">
        <v>591.22</v>
      </c>
      <c r="D4" s="7">
        <v>608.60400000000004</v>
      </c>
      <c r="E4" s="7">
        <v>622.87599999999998</v>
      </c>
      <c r="F4" s="7">
        <v>638.29899999999998</v>
      </c>
      <c r="G4" s="7">
        <v>654.65</v>
      </c>
      <c r="H4" s="7">
        <v>669.52700000000004</v>
      </c>
      <c r="I4" s="7">
        <v>686.274</v>
      </c>
      <c r="J4" s="7">
        <v>699.55100000000004</v>
      </c>
      <c r="K4" s="7">
        <v>713.51800000000003</v>
      </c>
      <c r="L4" s="8">
        <v>729.68200000000002</v>
      </c>
      <c r="M4" s="7">
        <v>745.43600000000004</v>
      </c>
      <c r="N4" s="7">
        <v>762.59400000000005</v>
      </c>
      <c r="O4" s="7">
        <v>781.52800000000002</v>
      </c>
      <c r="P4" s="9">
        <f>O4-C4</f>
        <v>190.30799999999999</v>
      </c>
      <c r="Q4" s="9"/>
      <c r="T4" s="1">
        <v>1</v>
      </c>
      <c r="U4" s="146">
        <f t="shared" ref="U4:AF4" si="0">D4-C4</f>
        <v>17.384000000000015</v>
      </c>
      <c r="V4" s="146">
        <f t="shared" si="0"/>
        <v>14.271999999999935</v>
      </c>
      <c r="W4" s="146">
        <f t="shared" si="0"/>
        <v>15.423000000000002</v>
      </c>
      <c r="X4" s="146">
        <f t="shared" si="0"/>
        <v>16.350999999999999</v>
      </c>
      <c r="Y4" s="146">
        <f t="shared" si="0"/>
        <v>14.877000000000066</v>
      </c>
      <c r="Z4" s="146">
        <f t="shared" si="0"/>
        <v>16.746999999999957</v>
      </c>
      <c r="AA4" s="146">
        <f t="shared" si="0"/>
        <v>13.277000000000044</v>
      </c>
      <c r="AB4" s="146">
        <f t="shared" si="0"/>
        <v>13.966999999999985</v>
      </c>
      <c r="AC4" s="146">
        <f t="shared" si="0"/>
        <v>16.163999999999987</v>
      </c>
      <c r="AD4" s="146">
        <f t="shared" si="0"/>
        <v>15.754000000000019</v>
      </c>
      <c r="AE4" s="146">
        <f t="shared" si="0"/>
        <v>17.158000000000015</v>
      </c>
      <c r="AF4" s="146">
        <f t="shared" si="0"/>
        <v>18.933999999999969</v>
      </c>
    </row>
    <row r="5" spans="1:32" x14ac:dyDescent="0.35">
      <c r="A5" s="279"/>
      <c r="B5" s="10" t="s">
        <v>35</v>
      </c>
      <c r="C5" s="79">
        <v>174.67</v>
      </c>
      <c r="D5" s="11">
        <v>178.77199999999999</v>
      </c>
      <c r="E5" s="11">
        <v>182.874</v>
      </c>
      <c r="F5" s="11">
        <v>186.69900000000001</v>
      </c>
      <c r="G5" s="11">
        <v>189.971</v>
      </c>
      <c r="H5" s="11">
        <v>191.5</v>
      </c>
      <c r="I5" s="11">
        <v>192.29499999999999</v>
      </c>
      <c r="J5" s="11">
        <v>192.83500000000001</v>
      </c>
      <c r="K5" s="11">
        <v>193.39099999999999</v>
      </c>
      <c r="L5" s="12">
        <v>194.04900000000001</v>
      </c>
      <c r="M5" s="11">
        <v>1.43</v>
      </c>
      <c r="N5" s="11">
        <v>5.55</v>
      </c>
      <c r="O5" s="11">
        <v>10.875999999999999</v>
      </c>
      <c r="Q5" s="271">
        <f>L5-C5+O5</f>
        <v>30.255000000000017</v>
      </c>
      <c r="T5" s="1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</row>
    <row r="6" spans="1:32" x14ac:dyDescent="0.35">
      <c r="A6" s="280">
        <v>2</v>
      </c>
      <c r="B6" s="10" t="s">
        <v>192</v>
      </c>
      <c r="C6" s="79">
        <v>215.91499999999999</v>
      </c>
      <c r="D6" s="11">
        <v>221.09299999999999</v>
      </c>
      <c r="E6" s="11">
        <v>226.124</v>
      </c>
      <c r="F6" s="11">
        <v>230.48099999999999</v>
      </c>
      <c r="G6" s="11">
        <v>236.83799999999999</v>
      </c>
      <c r="H6" s="11">
        <v>241.67</v>
      </c>
      <c r="I6" s="11">
        <v>248.32</v>
      </c>
      <c r="J6" s="11">
        <v>253.209</v>
      </c>
      <c r="K6" s="11">
        <v>260.18</v>
      </c>
      <c r="L6" s="11">
        <v>265.69099999999997</v>
      </c>
      <c r="M6" s="11">
        <v>272.85500000000002</v>
      </c>
      <c r="N6" s="11">
        <v>278.798</v>
      </c>
      <c r="O6" s="11">
        <v>285.54300000000001</v>
      </c>
      <c r="P6" s="9">
        <f>O6-C6</f>
        <v>69.628000000000014</v>
      </c>
      <c r="Q6" s="9"/>
      <c r="T6" s="1">
        <v>2</v>
      </c>
      <c r="U6" s="148">
        <f t="shared" ref="U6:AF6" si="1">D6-C6</f>
        <v>5.1779999999999973</v>
      </c>
      <c r="V6" s="148">
        <f t="shared" si="1"/>
        <v>5.0310000000000059</v>
      </c>
      <c r="W6" s="148">
        <f t="shared" si="1"/>
        <v>4.3569999999999993</v>
      </c>
      <c r="X6" s="148">
        <f t="shared" si="1"/>
        <v>6.3569999999999993</v>
      </c>
      <c r="Y6" s="148">
        <f t="shared" si="1"/>
        <v>4.8319999999999936</v>
      </c>
      <c r="Z6" s="148">
        <f t="shared" si="1"/>
        <v>6.6500000000000057</v>
      </c>
      <c r="AA6" s="148">
        <f t="shared" si="1"/>
        <v>4.88900000000001</v>
      </c>
      <c r="AB6" s="148">
        <f t="shared" si="1"/>
        <v>6.9710000000000036</v>
      </c>
      <c r="AC6" s="148">
        <f t="shared" si="1"/>
        <v>5.5109999999999673</v>
      </c>
      <c r="AD6" s="148">
        <f t="shared" si="1"/>
        <v>7.1640000000000441</v>
      </c>
      <c r="AE6" s="148">
        <f t="shared" si="1"/>
        <v>5.9429999999999836</v>
      </c>
      <c r="AF6" s="148">
        <f t="shared" si="1"/>
        <v>6.7450000000000045</v>
      </c>
    </row>
    <row r="7" spans="1:32" x14ac:dyDescent="0.35">
      <c r="A7" s="280"/>
      <c r="B7" s="10" t="s">
        <v>36</v>
      </c>
      <c r="C7" s="79">
        <v>57.917000000000002</v>
      </c>
      <c r="D7" s="11">
        <v>59.384999999999998</v>
      </c>
      <c r="E7" s="11">
        <v>60.558999999999997</v>
      </c>
      <c r="F7" s="11">
        <v>61.246000000000002</v>
      </c>
      <c r="G7" s="11">
        <v>61.807000000000002</v>
      </c>
      <c r="H7" s="11">
        <v>62.171999999999997</v>
      </c>
      <c r="I7" s="11">
        <v>62.594999999999999</v>
      </c>
      <c r="J7" s="11">
        <v>62.856000000000002</v>
      </c>
      <c r="K7" s="11">
        <v>63.222000000000001</v>
      </c>
      <c r="L7" s="11">
        <v>63.572000000000003</v>
      </c>
      <c r="M7" s="11">
        <v>0.66</v>
      </c>
      <c r="N7" s="11">
        <v>1.97</v>
      </c>
      <c r="O7" s="11">
        <v>3.411</v>
      </c>
      <c r="Q7" s="271">
        <f t="shared" ref="Q7:Q21" si="2">L7-C7+O7</f>
        <v>9.0660000000000007</v>
      </c>
      <c r="T7" s="1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</row>
    <row r="8" spans="1:32" x14ac:dyDescent="0.35">
      <c r="A8" s="280">
        <v>3</v>
      </c>
      <c r="B8" s="10" t="s">
        <v>193</v>
      </c>
      <c r="C8" s="79">
        <v>172.821</v>
      </c>
      <c r="D8" s="11">
        <v>178.322</v>
      </c>
      <c r="E8" s="11">
        <v>183.19300000000001</v>
      </c>
      <c r="F8" s="11">
        <v>188.86799999999999</v>
      </c>
      <c r="G8" s="11">
        <v>193.59700000000001</v>
      </c>
      <c r="H8" s="11">
        <v>198.50700000000001</v>
      </c>
      <c r="I8" s="11">
        <v>201.55799999999999</v>
      </c>
      <c r="J8" s="11">
        <v>205.43600000000001</v>
      </c>
      <c r="K8" s="11">
        <v>209.19499999999999</v>
      </c>
      <c r="L8" s="11">
        <v>213.29499999999999</v>
      </c>
      <c r="M8" s="11">
        <v>218.166</v>
      </c>
      <c r="N8" s="11">
        <v>222.97</v>
      </c>
      <c r="O8" s="11">
        <v>227.48</v>
      </c>
      <c r="P8" s="9">
        <f>O8-C8</f>
        <v>54.658999999999992</v>
      </c>
      <c r="Q8" s="9"/>
      <c r="T8" s="1">
        <v>3</v>
      </c>
      <c r="U8" s="148">
        <f t="shared" ref="U8:AF8" si="3">D8-C8</f>
        <v>5.5010000000000048</v>
      </c>
      <c r="V8" s="148">
        <f t="shared" si="3"/>
        <v>4.8710000000000093</v>
      </c>
      <c r="W8" s="148">
        <f t="shared" si="3"/>
        <v>5.6749999999999829</v>
      </c>
      <c r="X8" s="148">
        <f t="shared" si="3"/>
        <v>4.7290000000000134</v>
      </c>
      <c r="Y8" s="148">
        <f t="shared" si="3"/>
        <v>4.9099999999999966</v>
      </c>
      <c r="Z8" s="148">
        <f t="shared" si="3"/>
        <v>3.0509999999999877</v>
      </c>
      <c r="AA8" s="148">
        <f t="shared" si="3"/>
        <v>3.8780000000000143</v>
      </c>
      <c r="AB8" s="148">
        <f t="shared" si="3"/>
        <v>3.7589999999999861</v>
      </c>
      <c r="AC8" s="148">
        <f t="shared" si="3"/>
        <v>4.0999999999999943</v>
      </c>
      <c r="AD8" s="148">
        <f t="shared" si="3"/>
        <v>4.8710000000000093</v>
      </c>
      <c r="AE8" s="148">
        <f t="shared" si="3"/>
        <v>4.804000000000002</v>
      </c>
      <c r="AF8" s="148">
        <f t="shared" si="3"/>
        <v>4.5099999999999909</v>
      </c>
    </row>
    <row r="9" spans="1:32" x14ac:dyDescent="0.35">
      <c r="A9" s="280"/>
      <c r="B9" s="10" t="s">
        <v>37</v>
      </c>
      <c r="C9" s="79">
        <v>142.376</v>
      </c>
      <c r="D9" s="11">
        <v>147.06200000000001</v>
      </c>
      <c r="E9" s="11">
        <v>151.23400000000001</v>
      </c>
      <c r="F9" s="11">
        <v>155.154</v>
      </c>
      <c r="G9" s="11">
        <v>158.535</v>
      </c>
      <c r="H9" s="11">
        <v>159.37100000000001</v>
      </c>
      <c r="I9" s="11">
        <v>159.81200000000001</v>
      </c>
      <c r="J9" s="11">
        <v>160.22499999999999</v>
      </c>
      <c r="K9" s="11">
        <v>160.559</v>
      </c>
      <c r="L9" s="11">
        <v>161.03</v>
      </c>
      <c r="M9" s="11">
        <v>0.51400000000000001</v>
      </c>
      <c r="N9" s="11">
        <v>3.0579999999999998</v>
      </c>
      <c r="O9" s="11">
        <v>6.6050000000000004</v>
      </c>
      <c r="Q9" s="271">
        <f t="shared" ref="Q9:Q21" si="4">L9-C9+O9</f>
        <v>25.258999999999997</v>
      </c>
      <c r="T9" s="1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</row>
    <row r="10" spans="1:32" x14ac:dyDescent="0.35">
      <c r="A10" s="280">
        <v>4</v>
      </c>
      <c r="B10" s="10" t="s">
        <v>194</v>
      </c>
      <c r="C10" s="79">
        <v>260.89499999999998</v>
      </c>
      <c r="D10" s="11">
        <v>270.70100000000002</v>
      </c>
      <c r="E10" s="11">
        <v>279.78899999999999</v>
      </c>
      <c r="F10" s="11">
        <v>288.65100000000001</v>
      </c>
      <c r="G10" s="11">
        <v>298.23</v>
      </c>
      <c r="H10" s="11">
        <v>308.26400000000001</v>
      </c>
      <c r="I10" s="11">
        <v>320.40199999999999</v>
      </c>
      <c r="J10" s="11">
        <v>325.82</v>
      </c>
      <c r="K10" s="11">
        <v>333.87099999999998</v>
      </c>
      <c r="L10" s="11">
        <v>345.68599999999998</v>
      </c>
      <c r="M10" s="11">
        <v>358.22300000000001</v>
      </c>
      <c r="N10" s="11">
        <v>368.13</v>
      </c>
      <c r="O10" s="11">
        <v>377.82400000000001</v>
      </c>
      <c r="P10" s="9">
        <f>O10-C10</f>
        <v>116.92900000000003</v>
      </c>
      <c r="Q10" s="9"/>
      <c r="T10" s="1">
        <v>4</v>
      </c>
      <c r="U10" s="148">
        <f t="shared" ref="U10:AF10" si="5">D10-C10</f>
        <v>9.80600000000004</v>
      </c>
      <c r="V10" s="148">
        <f t="shared" si="5"/>
        <v>9.0879999999999654</v>
      </c>
      <c r="W10" s="148">
        <f t="shared" si="5"/>
        <v>8.8620000000000232</v>
      </c>
      <c r="X10" s="148">
        <f t="shared" si="5"/>
        <v>9.5790000000000077</v>
      </c>
      <c r="Y10" s="148">
        <f t="shared" si="5"/>
        <v>10.033999999999992</v>
      </c>
      <c r="Z10" s="148">
        <f t="shared" si="5"/>
        <v>12.137999999999977</v>
      </c>
      <c r="AA10" s="148">
        <f t="shared" si="5"/>
        <v>5.4180000000000064</v>
      </c>
      <c r="AB10" s="148">
        <f t="shared" si="5"/>
        <v>8.0509999999999877</v>
      </c>
      <c r="AC10" s="148">
        <f t="shared" si="5"/>
        <v>11.814999999999998</v>
      </c>
      <c r="AD10" s="148">
        <f t="shared" si="5"/>
        <v>12.537000000000035</v>
      </c>
      <c r="AE10" s="148">
        <f t="shared" si="5"/>
        <v>9.9069999999999823</v>
      </c>
      <c r="AF10" s="148">
        <f t="shared" si="5"/>
        <v>9.6940000000000168</v>
      </c>
    </row>
    <row r="11" spans="1:32" x14ac:dyDescent="0.35">
      <c r="A11" s="280"/>
      <c r="B11" s="10" t="s">
        <v>38</v>
      </c>
      <c r="C11" s="266">
        <v>84.617000000000004</v>
      </c>
      <c r="D11" s="236">
        <f>C11+3</f>
        <v>87.617000000000004</v>
      </c>
      <c r="E11" s="237">
        <f>C11+3+3</f>
        <v>90.617000000000004</v>
      </c>
      <c r="F11" s="237">
        <f>C11+3+3+2</f>
        <v>92.617000000000004</v>
      </c>
      <c r="G11" s="237">
        <f>C11+3+3+2+1.3</f>
        <v>93.917000000000002</v>
      </c>
      <c r="H11" s="237">
        <f>C11+3+3+2+1.3+0.8</f>
        <v>94.716999999999999</v>
      </c>
      <c r="I11" s="237">
        <f>C11+3+3+2+1.3+0.8+0.8</f>
        <v>95.516999999999996</v>
      </c>
      <c r="J11" s="237">
        <f>C11+3+3+2+1.3+0.8+0.8+0.4</f>
        <v>95.917000000000002</v>
      </c>
      <c r="K11" s="237">
        <f>C11+3+3+2+1.3+0.8+0.8+0.4+0.4</f>
        <v>96.317000000000007</v>
      </c>
      <c r="L11" s="237">
        <f>C11+3+3+2+1.3+0.8+0.8+0.4+0.4+0.4</f>
        <v>96.717000000000013</v>
      </c>
      <c r="M11" s="274">
        <v>1.4179999999999999</v>
      </c>
      <c r="N11" s="274">
        <v>4.367</v>
      </c>
      <c r="O11" s="274">
        <v>7.524</v>
      </c>
      <c r="Q11" s="271">
        <f t="shared" ref="Q11:Q21" si="6">L11-C11+O11</f>
        <v>19.624000000000009</v>
      </c>
      <c r="T11" s="1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</row>
    <row r="12" spans="1:32" x14ac:dyDescent="0.35">
      <c r="A12" s="280">
        <v>5</v>
      </c>
      <c r="B12" s="10" t="s">
        <v>195</v>
      </c>
      <c r="C12" s="79">
        <v>58.506999999999998</v>
      </c>
      <c r="D12" s="11">
        <v>60.619</v>
      </c>
      <c r="E12" s="11">
        <v>62.793999999999997</v>
      </c>
      <c r="F12" s="11">
        <v>64.905000000000001</v>
      </c>
      <c r="G12" s="11">
        <v>66.972999999999999</v>
      </c>
      <c r="H12" s="11">
        <v>69.034999999999997</v>
      </c>
      <c r="I12" s="11">
        <v>71.275999999999996</v>
      </c>
      <c r="J12" s="11">
        <v>73.667000000000002</v>
      </c>
      <c r="K12" s="11">
        <v>75.741</v>
      </c>
      <c r="L12" s="11">
        <v>82.128</v>
      </c>
      <c r="M12" s="11">
        <v>87.86</v>
      </c>
      <c r="N12" s="11">
        <v>93.283000000000001</v>
      </c>
      <c r="O12" s="11">
        <v>100.16500000000001</v>
      </c>
      <c r="P12" s="9">
        <f>O12-C12</f>
        <v>41.658000000000008</v>
      </c>
      <c r="Q12" s="9"/>
      <c r="T12" s="1">
        <v>5</v>
      </c>
      <c r="U12" s="148">
        <f t="shared" ref="U12:AF12" si="7">D12-C12</f>
        <v>2.1120000000000019</v>
      </c>
      <c r="V12" s="148">
        <f t="shared" si="7"/>
        <v>2.1749999999999972</v>
      </c>
      <c r="W12" s="148">
        <f t="shared" si="7"/>
        <v>2.1110000000000042</v>
      </c>
      <c r="X12" s="148">
        <f t="shared" si="7"/>
        <v>2.0679999999999978</v>
      </c>
      <c r="Y12" s="148">
        <f t="shared" si="7"/>
        <v>2.0619999999999976</v>
      </c>
      <c r="Z12" s="148">
        <f t="shared" si="7"/>
        <v>2.2409999999999997</v>
      </c>
      <c r="AA12" s="148">
        <f t="shared" si="7"/>
        <v>2.3910000000000053</v>
      </c>
      <c r="AB12" s="148">
        <f t="shared" si="7"/>
        <v>2.0739999999999981</v>
      </c>
      <c r="AC12" s="148">
        <f t="shared" si="7"/>
        <v>6.3870000000000005</v>
      </c>
      <c r="AD12" s="148">
        <f t="shared" si="7"/>
        <v>5.7319999999999993</v>
      </c>
      <c r="AE12" s="148">
        <f t="shared" si="7"/>
        <v>5.4230000000000018</v>
      </c>
      <c r="AF12" s="148">
        <f t="shared" si="7"/>
        <v>6.882000000000005</v>
      </c>
    </row>
    <row r="13" spans="1:32" x14ac:dyDescent="0.35">
      <c r="A13" s="280"/>
      <c r="B13" s="10" t="s">
        <v>39</v>
      </c>
      <c r="C13" s="79">
        <v>35.472000000000001</v>
      </c>
      <c r="D13" s="11">
        <v>36.354999999999997</v>
      </c>
      <c r="E13" s="11">
        <v>36.936999999999998</v>
      </c>
      <c r="F13" s="11">
        <v>37.265999999999998</v>
      </c>
      <c r="G13" s="11">
        <v>37.503999999999998</v>
      </c>
      <c r="H13" s="11">
        <v>37.750999999999998</v>
      </c>
      <c r="I13" s="11">
        <v>37.991999999999997</v>
      </c>
      <c r="J13" s="11">
        <v>38.192</v>
      </c>
      <c r="K13" s="11">
        <v>38.390999999999998</v>
      </c>
      <c r="L13" s="11">
        <v>38.832000000000001</v>
      </c>
      <c r="M13" s="11">
        <v>0.38100000000000001</v>
      </c>
      <c r="N13" s="11">
        <v>1.292</v>
      </c>
      <c r="O13" s="11">
        <v>2.3980000000000001</v>
      </c>
      <c r="Q13" s="271">
        <f t="shared" ref="Q13:Q21" si="8">L13-C13+O13</f>
        <v>5.7579999999999991</v>
      </c>
      <c r="T13" s="1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</row>
    <row r="14" spans="1:32" x14ac:dyDescent="0.35">
      <c r="A14" s="280">
        <v>6</v>
      </c>
      <c r="B14" s="10" t="s">
        <v>196</v>
      </c>
      <c r="C14" s="79">
        <v>225.86500000000001</v>
      </c>
      <c r="D14" s="11">
        <v>231.90100000000001</v>
      </c>
      <c r="E14" s="11">
        <v>236.649</v>
      </c>
      <c r="F14" s="11">
        <v>242.43600000000001</v>
      </c>
      <c r="G14" s="11">
        <v>248.839</v>
      </c>
      <c r="H14" s="11">
        <v>254.04300000000001</v>
      </c>
      <c r="I14" s="11">
        <v>257.74200000000002</v>
      </c>
      <c r="J14" s="11">
        <v>261.959</v>
      </c>
      <c r="K14" s="11">
        <v>266.8</v>
      </c>
      <c r="L14" s="11">
        <v>270.596</v>
      </c>
      <c r="M14" s="11">
        <v>275.32100000000003</v>
      </c>
      <c r="N14" s="11">
        <v>279.10000000000002</v>
      </c>
      <c r="O14" s="11">
        <v>283.80500000000001</v>
      </c>
      <c r="P14" s="9">
        <f>O14-C14</f>
        <v>57.94</v>
      </c>
      <c r="Q14" s="9"/>
      <c r="T14" s="1">
        <v>6</v>
      </c>
      <c r="U14" s="148">
        <f t="shared" ref="U14:AF14" si="9">D14-C14</f>
        <v>6.0360000000000014</v>
      </c>
      <c r="V14" s="148">
        <f t="shared" si="9"/>
        <v>4.7479999999999905</v>
      </c>
      <c r="W14" s="148">
        <f t="shared" si="9"/>
        <v>5.7870000000000061</v>
      </c>
      <c r="X14" s="148">
        <f t="shared" si="9"/>
        <v>6.4029999999999916</v>
      </c>
      <c r="Y14" s="148">
        <f t="shared" si="9"/>
        <v>5.2040000000000077</v>
      </c>
      <c r="Z14" s="148">
        <f t="shared" si="9"/>
        <v>3.6990000000000123</v>
      </c>
      <c r="AA14" s="148">
        <f t="shared" si="9"/>
        <v>4.2169999999999845</v>
      </c>
      <c r="AB14" s="148">
        <f t="shared" si="9"/>
        <v>4.8410000000000082</v>
      </c>
      <c r="AC14" s="148">
        <f t="shared" si="9"/>
        <v>3.7959999999999923</v>
      </c>
      <c r="AD14" s="148">
        <f t="shared" si="9"/>
        <v>4.7250000000000227</v>
      </c>
      <c r="AE14" s="148">
        <f t="shared" si="9"/>
        <v>3.7789999999999964</v>
      </c>
      <c r="AF14" s="148">
        <f t="shared" si="9"/>
        <v>4.7049999999999841</v>
      </c>
    </row>
    <row r="15" spans="1:32" x14ac:dyDescent="0.35">
      <c r="A15" s="280"/>
      <c r="B15" s="10" t="s">
        <v>40</v>
      </c>
      <c r="C15" s="79">
        <v>66.736999999999995</v>
      </c>
      <c r="D15" s="11">
        <v>69.317999999999998</v>
      </c>
      <c r="E15" s="11">
        <v>71.596999999999994</v>
      </c>
      <c r="F15" s="11">
        <v>73.478999999999999</v>
      </c>
      <c r="G15" s="11">
        <v>74.584999999999994</v>
      </c>
      <c r="H15" s="11">
        <v>75.037000000000006</v>
      </c>
      <c r="I15" s="11">
        <v>75.247</v>
      </c>
      <c r="J15" s="11">
        <v>75.432000000000002</v>
      </c>
      <c r="K15" s="11">
        <v>75.632999999999996</v>
      </c>
      <c r="L15" s="11">
        <v>75.795000000000002</v>
      </c>
      <c r="M15" s="11">
        <v>0.48099999999999998</v>
      </c>
      <c r="N15" s="11">
        <v>2.78</v>
      </c>
      <c r="O15" s="11">
        <v>5.641</v>
      </c>
      <c r="Q15" s="271">
        <f t="shared" ref="Q15:Q21" si="10">L15-C15+O15</f>
        <v>14.699000000000007</v>
      </c>
      <c r="T15" s="1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</row>
    <row r="16" spans="1:32" x14ac:dyDescent="0.35">
      <c r="A16" s="280">
        <v>7</v>
      </c>
      <c r="B16" s="10" t="s">
        <v>197</v>
      </c>
      <c r="C16" s="79">
        <v>178.345</v>
      </c>
      <c r="D16" s="11">
        <v>183.703</v>
      </c>
      <c r="E16" s="11">
        <v>188.52</v>
      </c>
      <c r="F16" s="11">
        <v>195.471</v>
      </c>
      <c r="G16" s="11">
        <v>201.01300000000001</v>
      </c>
      <c r="H16" s="11">
        <v>206.155</v>
      </c>
      <c r="I16" s="11">
        <v>210.75299999999999</v>
      </c>
      <c r="J16" s="11">
        <v>215.62100000000001</v>
      </c>
      <c r="K16" s="11">
        <v>221.03200000000001</v>
      </c>
      <c r="L16" s="11">
        <v>226.142</v>
      </c>
      <c r="M16" s="11">
        <v>232.09200000000001</v>
      </c>
      <c r="N16" s="11">
        <v>237.60900000000001</v>
      </c>
      <c r="O16" s="11">
        <v>243.51</v>
      </c>
      <c r="P16" s="9">
        <f>O16-C16</f>
        <v>65.164999999999992</v>
      </c>
      <c r="Q16" s="9"/>
      <c r="T16" s="1">
        <v>7</v>
      </c>
      <c r="U16" s="148">
        <f t="shared" ref="U16:AF16" si="11">D16-C16</f>
        <v>5.3580000000000041</v>
      </c>
      <c r="V16" s="148">
        <f t="shared" si="11"/>
        <v>4.8170000000000073</v>
      </c>
      <c r="W16" s="148">
        <f t="shared" si="11"/>
        <v>6.9509999999999934</v>
      </c>
      <c r="X16" s="148">
        <f t="shared" si="11"/>
        <v>5.5420000000000016</v>
      </c>
      <c r="Y16" s="148">
        <f t="shared" si="11"/>
        <v>5.1419999999999959</v>
      </c>
      <c r="Z16" s="148">
        <f t="shared" si="11"/>
        <v>4.5979999999999848</v>
      </c>
      <c r="AA16" s="148">
        <f t="shared" si="11"/>
        <v>4.8680000000000234</v>
      </c>
      <c r="AB16" s="148">
        <f t="shared" si="11"/>
        <v>5.4110000000000014</v>
      </c>
      <c r="AC16" s="148">
        <f t="shared" si="11"/>
        <v>5.1099999999999852</v>
      </c>
      <c r="AD16" s="148">
        <f t="shared" si="11"/>
        <v>5.9500000000000171</v>
      </c>
      <c r="AE16" s="148">
        <f t="shared" si="11"/>
        <v>5.5169999999999959</v>
      </c>
      <c r="AF16" s="148">
        <f t="shared" si="11"/>
        <v>5.900999999999982</v>
      </c>
    </row>
    <row r="17" spans="1:32" x14ac:dyDescent="0.35">
      <c r="A17" s="280"/>
      <c r="B17" s="10" t="s">
        <v>41</v>
      </c>
      <c r="C17" s="79">
        <v>74.641000000000005</v>
      </c>
      <c r="D17" s="11">
        <v>77.424999999999997</v>
      </c>
      <c r="E17" s="11">
        <v>79.667000000000002</v>
      </c>
      <c r="F17" s="11">
        <v>81.498000000000005</v>
      </c>
      <c r="G17" s="11">
        <v>82.497</v>
      </c>
      <c r="H17" s="11">
        <v>82.962000000000003</v>
      </c>
      <c r="I17" s="11">
        <v>83.334000000000003</v>
      </c>
      <c r="J17" s="11">
        <v>83.632999999999996</v>
      </c>
      <c r="K17" s="11">
        <v>83.957999999999998</v>
      </c>
      <c r="L17" s="11">
        <v>84.308000000000007</v>
      </c>
      <c r="M17" s="11">
        <v>0.51800000000000002</v>
      </c>
      <c r="N17" s="11">
        <v>2.6840000000000002</v>
      </c>
      <c r="O17" s="11">
        <v>5.6660000000000004</v>
      </c>
      <c r="Q17" s="271">
        <f t="shared" ref="Q17:Q21" si="12">L17-C17+O17</f>
        <v>15.333000000000002</v>
      </c>
      <c r="T17" s="1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x14ac:dyDescent="0.35">
      <c r="A18" s="280">
        <v>8</v>
      </c>
      <c r="B18" s="10" t="s">
        <v>198</v>
      </c>
      <c r="C18" s="79">
        <v>390.61</v>
      </c>
      <c r="D18" s="11">
        <v>401.06799999999998</v>
      </c>
      <c r="E18" s="11">
        <v>409.94600000000003</v>
      </c>
      <c r="F18" s="11">
        <v>419.48700000000002</v>
      </c>
      <c r="G18" s="11">
        <v>427.82799999999997</v>
      </c>
      <c r="H18" s="11">
        <v>437.113</v>
      </c>
      <c r="I18" s="11">
        <v>448.02699999999999</v>
      </c>
      <c r="J18" s="11">
        <v>455.995</v>
      </c>
      <c r="K18" s="11">
        <v>465.39299999999997</v>
      </c>
      <c r="L18" s="11">
        <v>474.95400000000001</v>
      </c>
      <c r="M18" s="11">
        <v>482.95299999999997</v>
      </c>
      <c r="N18" s="11">
        <v>491.62</v>
      </c>
      <c r="O18" s="11">
        <v>500.15899999999999</v>
      </c>
      <c r="P18" s="9">
        <f>O18-C18</f>
        <v>109.54899999999998</v>
      </c>
      <c r="Q18" s="9"/>
      <c r="T18" s="1">
        <v>8</v>
      </c>
      <c r="U18" s="148">
        <f t="shared" ref="U18:AF18" si="13">D18-C18</f>
        <v>10.45799999999997</v>
      </c>
      <c r="V18" s="148">
        <f t="shared" si="13"/>
        <v>8.8780000000000427</v>
      </c>
      <c r="W18" s="148">
        <f t="shared" si="13"/>
        <v>9.5409999999999968</v>
      </c>
      <c r="X18" s="148">
        <f t="shared" si="13"/>
        <v>8.3409999999999513</v>
      </c>
      <c r="Y18" s="148">
        <f t="shared" si="13"/>
        <v>9.285000000000025</v>
      </c>
      <c r="Z18" s="148">
        <f t="shared" si="13"/>
        <v>10.913999999999987</v>
      </c>
      <c r="AA18" s="148">
        <f t="shared" si="13"/>
        <v>7.9680000000000177</v>
      </c>
      <c r="AB18" s="148">
        <f t="shared" si="13"/>
        <v>9.3979999999999677</v>
      </c>
      <c r="AC18" s="148">
        <f t="shared" si="13"/>
        <v>9.5610000000000355</v>
      </c>
      <c r="AD18" s="148">
        <f t="shared" si="13"/>
        <v>7.9989999999999668</v>
      </c>
      <c r="AE18" s="148">
        <f t="shared" si="13"/>
        <v>8.66700000000003</v>
      </c>
      <c r="AF18" s="148">
        <f t="shared" si="13"/>
        <v>8.5389999999999873</v>
      </c>
    </row>
    <row r="19" spans="1:32" x14ac:dyDescent="0.35">
      <c r="A19" s="280"/>
      <c r="B19" s="10" t="s">
        <v>42</v>
      </c>
      <c r="C19" s="79">
        <v>179.995</v>
      </c>
      <c r="D19" s="11">
        <v>182.64400000000001</v>
      </c>
      <c r="E19" s="11">
        <v>184.89</v>
      </c>
      <c r="F19" s="11">
        <v>186.57599999999999</v>
      </c>
      <c r="G19" s="11">
        <v>187.23099999999999</v>
      </c>
      <c r="H19" s="11">
        <v>187.58699999999999</v>
      </c>
      <c r="I19" s="11">
        <v>187.94</v>
      </c>
      <c r="J19" s="11">
        <v>188.12799999999999</v>
      </c>
      <c r="K19" s="11">
        <v>188.34399999999999</v>
      </c>
      <c r="L19" s="11">
        <v>188.58</v>
      </c>
      <c r="M19" s="11">
        <v>0.249</v>
      </c>
      <c r="N19" s="11">
        <v>1.724</v>
      </c>
      <c r="O19" s="11">
        <v>4.1609999999999996</v>
      </c>
      <c r="Q19" s="271">
        <f t="shared" ref="Q19:Q21" si="14">L19-C19+O19</f>
        <v>12.746000000000008</v>
      </c>
      <c r="T19" s="1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x14ac:dyDescent="0.35">
      <c r="A20" s="280">
        <v>9</v>
      </c>
      <c r="B20" s="10" t="s">
        <v>199</v>
      </c>
      <c r="C20" s="79">
        <v>232.43299999999999</v>
      </c>
      <c r="D20" s="11">
        <v>241.012</v>
      </c>
      <c r="E20" s="11">
        <v>246.904</v>
      </c>
      <c r="F20" s="11">
        <v>253.11199999999999</v>
      </c>
      <c r="G20" s="11">
        <v>258.77300000000002</v>
      </c>
      <c r="H20" s="11">
        <v>264.09899999999999</v>
      </c>
      <c r="I20" s="11">
        <v>268.65699999999998</v>
      </c>
      <c r="J20" s="11">
        <v>272.09800000000001</v>
      </c>
      <c r="K20" s="11">
        <v>276.75599999999997</v>
      </c>
      <c r="L20" s="11">
        <v>283.459</v>
      </c>
      <c r="M20" s="11">
        <v>288.92500000000001</v>
      </c>
      <c r="N20" s="11">
        <v>295.315</v>
      </c>
      <c r="O20" s="11">
        <v>302.09500000000003</v>
      </c>
      <c r="P20" s="9">
        <f>O20-C20</f>
        <v>69.662000000000035</v>
      </c>
      <c r="Q20" s="9"/>
      <c r="T20" s="1">
        <v>9</v>
      </c>
      <c r="U20" s="148">
        <f t="shared" ref="U20:AF20" si="15">D20-C20</f>
        <v>8.5790000000000077</v>
      </c>
      <c r="V20" s="148">
        <f t="shared" si="15"/>
        <v>5.8919999999999959</v>
      </c>
      <c r="W20" s="148">
        <f t="shared" si="15"/>
        <v>6.2079999999999984</v>
      </c>
      <c r="X20" s="148">
        <f t="shared" si="15"/>
        <v>5.6610000000000298</v>
      </c>
      <c r="Y20" s="148">
        <f t="shared" si="15"/>
        <v>5.325999999999965</v>
      </c>
      <c r="Z20" s="148">
        <f t="shared" si="15"/>
        <v>4.5579999999999927</v>
      </c>
      <c r="AA20" s="148">
        <f t="shared" si="15"/>
        <v>3.4410000000000309</v>
      </c>
      <c r="AB20" s="148">
        <f t="shared" si="15"/>
        <v>4.6579999999999586</v>
      </c>
      <c r="AC20" s="148">
        <f t="shared" si="15"/>
        <v>6.7030000000000314</v>
      </c>
      <c r="AD20" s="148">
        <f t="shared" si="15"/>
        <v>5.4660000000000082</v>
      </c>
      <c r="AE20" s="148">
        <f t="shared" si="15"/>
        <v>6.3899999999999864</v>
      </c>
      <c r="AF20" s="148">
        <f t="shared" si="15"/>
        <v>6.7800000000000296</v>
      </c>
    </row>
    <row r="21" spans="1:32" x14ac:dyDescent="0.35">
      <c r="A21" s="280"/>
      <c r="B21" s="10" t="s">
        <v>43</v>
      </c>
      <c r="C21" s="79">
        <v>128.208</v>
      </c>
      <c r="D21" s="11">
        <v>131.458</v>
      </c>
      <c r="E21" s="11">
        <v>134.13200000000001</v>
      </c>
      <c r="F21" s="11">
        <v>136.006</v>
      </c>
      <c r="G21" s="11">
        <v>137.11199999999999</v>
      </c>
      <c r="H21" s="11">
        <v>137.39699999999999</v>
      </c>
      <c r="I21" s="11">
        <v>137.63900000000001</v>
      </c>
      <c r="J21" s="11">
        <v>137.80799999999999</v>
      </c>
      <c r="K21" s="11">
        <v>137.91200000000001</v>
      </c>
      <c r="L21" s="11">
        <v>138.12899999999999</v>
      </c>
      <c r="M21" s="11">
        <v>0.35399999999999998</v>
      </c>
      <c r="N21" s="11">
        <v>2.5760000000000001</v>
      </c>
      <c r="O21" s="11">
        <v>5.7569999999999997</v>
      </c>
      <c r="Q21" s="271">
        <f t="shared" ref="Q21:Q23" si="16">L21-C21+O21</f>
        <v>15.677999999999992</v>
      </c>
      <c r="T21" s="1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35">
      <c r="A22" s="280">
        <v>10</v>
      </c>
      <c r="B22" s="10" t="s">
        <v>200</v>
      </c>
      <c r="C22" s="79">
        <v>277.65800000000002</v>
      </c>
      <c r="D22" s="11">
        <v>286.911</v>
      </c>
      <c r="E22" s="11">
        <v>292.12299999999999</v>
      </c>
      <c r="F22" s="11">
        <v>297.75299999999999</v>
      </c>
      <c r="G22" s="11">
        <v>304.08999999999997</v>
      </c>
      <c r="H22" s="11">
        <v>308.23</v>
      </c>
      <c r="I22" s="11">
        <v>317.25599999999997</v>
      </c>
      <c r="J22" s="11">
        <v>322.78399999999999</v>
      </c>
      <c r="K22" s="11">
        <v>328.61700000000002</v>
      </c>
      <c r="L22" s="11">
        <v>334.90100000000001</v>
      </c>
      <c r="M22" s="11">
        <v>340.82799999999997</v>
      </c>
      <c r="N22" s="11">
        <v>345.995</v>
      </c>
      <c r="O22" s="11">
        <v>355.32400000000001</v>
      </c>
      <c r="P22" s="9">
        <f>O22-C22</f>
        <v>77.665999999999997</v>
      </c>
      <c r="Q22" s="9"/>
      <c r="T22" s="1">
        <v>10</v>
      </c>
      <c r="U22" s="148">
        <f t="shared" ref="U22:AF22" si="17">D22-C22</f>
        <v>9.2529999999999859</v>
      </c>
      <c r="V22" s="148">
        <f t="shared" si="17"/>
        <v>5.2119999999999891</v>
      </c>
      <c r="W22" s="148">
        <f t="shared" si="17"/>
        <v>5.6299999999999955</v>
      </c>
      <c r="X22" s="148">
        <f t="shared" si="17"/>
        <v>6.3369999999999891</v>
      </c>
      <c r="Y22" s="148">
        <f t="shared" si="17"/>
        <v>4.1400000000000432</v>
      </c>
      <c r="Z22" s="148">
        <f t="shared" si="17"/>
        <v>9.0259999999999536</v>
      </c>
      <c r="AA22" s="148">
        <f t="shared" si="17"/>
        <v>5.52800000000002</v>
      </c>
      <c r="AB22" s="148">
        <f t="shared" si="17"/>
        <v>5.8330000000000268</v>
      </c>
      <c r="AC22" s="148">
        <f t="shared" si="17"/>
        <v>6.2839999999999918</v>
      </c>
      <c r="AD22" s="148">
        <f t="shared" si="17"/>
        <v>5.9269999999999641</v>
      </c>
      <c r="AE22" s="148">
        <f t="shared" si="17"/>
        <v>5.16700000000003</v>
      </c>
      <c r="AF22" s="148">
        <f t="shared" si="17"/>
        <v>9.3290000000000077</v>
      </c>
    </row>
    <row r="23" spans="1:32" x14ac:dyDescent="0.35">
      <c r="A23" s="280"/>
      <c r="B23" s="10" t="s">
        <v>44</v>
      </c>
      <c r="C23" s="79">
        <v>103.03400000000001</v>
      </c>
      <c r="D23" s="11">
        <v>106.845</v>
      </c>
      <c r="E23" s="11">
        <v>110.038</v>
      </c>
      <c r="F23" s="11">
        <v>112.024</v>
      </c>
      <c r="G23" s="11">
        <v>113.364</v>
      </c>
      <c r="H23" s="11">
        <v>113.592</v>
      </c>
      <c r="I23" s="11">
        <v>114.015</v>
      </c>
      <c r="J23" s="11">
        <v>114.199</v>
      </c>
      <c r="K23" s="11">
        <v>114.381</v>
      </c>
      <c r="L23" s="11">
        <v>114.63800000000001</v>
      </c>
      <c r="M23" s="11">
        <v>0.47399999999999998</v>
      </c>
      <c r="N23" s="11">
        <v>2.7109999999999999</v>
      </c>
      <c r="O23" s="11">
        <v>5.75</v>
      </c>
      <c r="P23" s="32"/>
      <c r="Q23" s="318">
        <f t="shared" si="16"/>
        <v>17.353999999999999</v>
      </c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x14ac:dyDescent="0.35">
      <c r="A24" s="115"/>
      <c r="B24" s="10"/>
      <c r="C24" s="80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853.16399999999999</v>
      </c>
      <c r="Q24" s="9">
        <f>SUM(Q4:Q23)</f>
        <v>165.77200000000005</v>
      </c>
    </row>
    <row r="25" spans="1:32" x14ac:dyDescent="0.35">
      <c r="A25" s="115" t="s">
        <v>15</v>
      </c>
      <c r="B25" s="10" t="s">
        <v>45</v>
      </c>
      <c r="C25" s="80">
        <v>44469</v>
      </c>
      <c r="D25" s="15">
        <v>44656</v>
      </c>
      <c r="E25" s="15">
        <v>44831</v>
      </c>
      <c r="F25" s="15">
        <v>45064</v>
      </c>
      <c r="G25" s="15">
        <v>45272</v>
      </c>
      <c r="H25" s="15">
        <v>45479</v>
      </c>
      <c r="I25" s="15">
        <v>45700</v>
      </c>
      <c r="J25" s="15">
        <v>45864</v>
      </c>
      <c r="K25" s="15">
        <v>46061</v>
      </c>
      <c r="L25" s="15">
        <v>46257</v>
      </c>
      <c r="M25" s="15">
        <v>46433</v>
      </c>
      <c r="N25" s="15">
        <v>46623</v>
      </c>
      <c r="O25" s="15">
        <v>46815</v>
      </c>
      <c r="Q25" s="9"/>
      <c r="R25" s="16">
        <f>O25-C25</f>
        <v>2346</v>
      </c>
    </row>
    <row r="26" spans="1:32" x14ac:dyDescent="0.35">
      <c r="A26" s="115"/>
      <c r="B26" s="10" t="s">
        <v>201</v>
      </c>
      <c r="C26" s="81">
        <v>2901.4</v>
      </c>
      <c r="D26" s="18">
        <v>2989.1</v>
      </c>
      <c r="E26" s="18">
        <v>3060.7</v>
      </c>
      <c r="F26" s="18">
        <v>3138.8</v>
      </c>
      <c r="G26" s="18">
        <v>3217.9</v>
      </c>
      <c r="H26" s="18">
        <v>3290.9</v>
      </c>
      <c r="I26" s="18">
        <v>3372.4</v>
      </c>
      <c r="J26" s="18">
        <v>3434.8</v>
      </c>
      <c r="K26" s="18">
        <v>3506.7</v>
      </c>
      <c r="L26" s="18">
        <v>3590</v>
      </c>
      <c r="M26" s="18">
        <v>3674.3</v>
      </c>
      <c r="N26" s="18">
        <v>3754.8</v>
      </c>
      <c r="O26" s="18">
        <v>3845.3</v>
      </c>
      <c r="P26" s="33">
        <f>O26-C26</f>
        <v>943.90000000000009</v>
      </c>
      <c r="Q26" s="9"/>
    </row>
    <row r="27" spans="1:32" x14ac:dyDescent="0.35">
      <c r="A27" s="121"/>
      <c r="B27" s="211" t="s">
        <v>289</v>
      </c>
      <c r="C27" s="82">
        <v>501.79</v>
      </c>
      <c r="D27" s="19">
        <v>533.76</v>
      </c>
      <c r="E27" s="19">
        <v>561.27</v>
      </c>
      <c r="F27" s="19">
        <v>582.69000000000005</v>
      </c>
      <c r="G27" s="19">
        <v>597.04999999999995</v>
      </c>
      <c r="H27" s="19">
        <v>601.97</v>
      </c>
      <c r="I27" s="19">
        <v>605.42999999999995</v>
      </c>
      <c r="J27" s="19">
        <v>607.46</v>
      </c>
      <c r="K27" s="19">
        <v>609.88</v>
      </c>
      <c r="L27" s="19">
        <v>613.23</v>
      </c>
      <c r="M27" s="19">
        <v>618.95000000000005</v>
      </c>
      <c r="N27" s="19">
        <v>642.35</v>
      </c>
      <c r="O27" s="19">
        <v>673.45</v>
      </c>
      <c r="Q27" s="9">
        <f>O27-C27</f>
        <v>171.66000000000003</v>
      </c>
      <c r="R27" t="s">
        <v>95</v>
      </c>
    </row>
    <row r="28" spans="1:32" ht="15" thickBot="1" x14ac:dyDescent="0.4">
      <c r="A28" s="4"/>
      <c r="B28" s="26" t="s">
        <v>17</v>
      </c>
      <c r="C28" s="83">
        <v>3595</v>
      </c>
      <c r="D28" s="21">
        <v>3795</v>
      </c>
      <c r="E28" s="21">
        <v>3968</v>
      </c>
      <c r="F28" s="21">
        <v>4101</v>
      </c>
      <c r="G28" s="21">
        <v>4184</v>
      </c>
      <c r="H28" s="21">
        <v>4217</v>
      </c>
      <c r="I28" s="21">
        <v>4241</v>
      </c>
      <c r="J28" s="21">
        <v>4256</v>
      </c>
      <c r="K28" s="21">
        <v>4274</v>
      </c>
      <c r="L28" s="21">
        <v>4296.5</v>
      </c>
      <c r="M28" s="21">
        <v>4333</v>
      </c>
      <c r="N28" s="21">
        <v>4480.3999999999996</v>
      </c>
      <c r="O28" s="21">
        <v>4670</v>
      </c>
      <c r="Q28" s="16">
        <f>O28-C28</f>
        <v>1075</v>
      </c>
      <c r="R28" t="s">
        <v>96</v>
      </c>
    </row>
    <row r="29" spans="1:32" ht="15" thickBot="1" x14ac:dyDescent="0.4">
      <c r="A29" s="123" t="str">
        <f>'1854'!A29</f>
        <v>Fakturační vodoměr:      42012114941</v>
      </c>
      <c r="B29" s="22"/>
      <c r="C29" s="23">
        <f>'1854'!C29</f>
        <v>7844.6</v>
      </c>
      <c r="D29" s="23">
        <f>'1854'!D29</f>
        <v>8132</v>
      </c>
      <c r="E29" s="23">
        <f>'1854'!E29</f>
        <v>8376.4</v>
      </c>
      <c r="F29" s="23">
        <f>'1854'!F29</f>
        <v>8650.7999999999993</v>
      </c>
      <c r="G29" s="23">
        <f>'1854'!G29</f>
        <v>8921.7000000000007</v>
      </c>
      <c r="H29" s="23">
        <f>'1854'!H29</f>
        <v>9183.7999999999993</v>
      </c>
      <c r="I29" s="23">
        <f>'1854'!I29</f>
        <v>9471</v>
      </c>
      <c r="J29" s="23">
        <f>'1854'!J29</f>
        <v>9681.6</v>
      </c>
      <c r="K29" s="23">
        <f>'1854'!K29</f>
        <v>9925.7999999999993</v>
      </c>
      <c r="L29" s="23">
        <f>'1854'!L29</f>
        <v>10213.6</v>
      </c>
      <c r="M29" s="23">
        <f>'1854'!M29</f>
        <v>10486.5</v>
      </c>
      <c r="N29" s="23">
        <f>'1854'!N29</f>
        <v>10767.6</v>
      </c>
      <c r="O29" s="23">
        <f>'1854'!O29</f>
        <v>11067</v>
      </c>
      <c r="P29">
        <f>O29-N35+N33-C29</f>
        <v>3222.3999999999996</v>
      </c>
      <c r="Q29" s="9"/>
    </row>
    <row r="32" spans="1:32" x14ac:dyDescent="0.35">
      <c r="E32" t="s">
        <v>238</v>
      </c>
      <c r="H32" s="177" t="s">
        <v>239</v>
      </c>
      <c r="I32" s="1" t="s">
        <v>96</v>
      </c>
      <c r="K32" t="s">
        <v>247</v>
      </c>
      <c r="N32" s="1" t="s">
        <v>96</v>
      </c>
    </row>
    <row r="33" spans="4:14" x14ac:dyDescent="0.35">
      <c r="D33" t="s">
        <v>241</v>
      </c>
      <c r="E33" s="165">
        <v>43984</v>
      </c>
      <c r="F33" s="86" t="s">
        <v>225</v>
      </c>
      <c r="G33" s="86"/>
      <c r="H33" s="172"/>
      <c r="I33" s="110"/>
      <c r="K33" s="183">
        <v>44095</v>
      </c>
      <c r="L33" s="86" t="s">
        <v>225</v>
      </c>
      <c r="M33" s="86"/>
      <c r="N33" s="86"/>
    </row>
    <row r="34" spans="4:14" x14ac:dyDescent="0.35">
      <c r="E34" s="173"/>
      <c r="F34" s="174"/>
      <c r="G34" s="174" t="s">
        <v>240</v>
      </c>
      <c r="H34" s="176" t="s">
        <v>95</v>
      </c>
      <c r="I34" s="175" t="s">
        <v>96</v>
      </c>
      <c r="L34" s="1"/>
      <c r="M34" s="174" t="s">
        <v>240</v>
      </c>
      <c r="N34" s="175" t="s">
        <v>96</v>
      </c>
    </row>
    <row r="35" spans="4:14" x14ac:dyDescent="0.35">
      <c r="D35" t="s">
        <v>242</v>
      </c>
      <c r="E35" s="165">
        <v>43986</v>
      </c>
      <c r="F35" s="86" t="s">
        <v>226</v>
      </c>
      <c r="G35" s="86"/>
      <c r="H35" s="172"/>
      <c r="I35" s="110"/>
      <c r="K35" s="183">
        <v>44095</v>
      </c>
      <c r="L35" s="86" t="s">
        <v>226</v>
      </c>
      <c r="M35" s="86"/>
      <c r="N35" s="86"/>
    </row>
    <row r="37" spans="4:14" x14ac:dyDescent="0.35">
      <c r="E37" t="s">
        <v>433</v>
      </c>
    </row>
  </sheetData>
  <sheetProtection selectLockedCells="1" selectUnlockedCells="1"/>
  <mergeCells count="10">
    <mergeCell ref="A16:A17"/>
    <mergeCell ref="A18:A19"/>
    <mergeCell ref="A20:A21"/>
    <mergeCell ref="A22:A23"/>
    <mergeCell ref="A4:A5"/>
    <mergeCell ref="A6:A7"/>
    <mergeCell ref="A8:A9"/>
    <mergeCell ref="A10:A11"/>
    <mergeCell ref="A12:A13"/>
    <mergeCell ref="A14:A15"/>
  </mergeCells>
  <conditionalFormatting sqref="D4">
    <cfRule type="cellIs" dxfId="1236" priority="14" stopIfTrue="1" operator="lessThan">
      <formula>$C$4</formula>
    </cfRule>
    <cfRule type="cellIs" dxfId="1235" priority="15" stopIfTrue="1" operator="equal">
      <formula>$C$4</formula>
    </cfRule>
  </conditionalFormatting>
  <conditionalFormatting sqref="D5">
    <cfRule type="cellIs" dxfId="1234" priority="19" stopIfTrue="1" operator="lessThan">
      <formula>$C$5</formula>
    </cfRule>
    <cfRule type="cellIs" dxfId="1233" priority="18" stopIfTrue="1" operator="equal">
      <formula>$C$5</formula>
    </cfRule>
  </conditionalFormatting>
  <conditionalFormatting sqref="D6">
    <cfRule type="cellIs" dxfId="1232" priority="25" stopIfTrue="1" operator="equal">
      <formula>$C$6</formula>
    </cfRule>
    <cfRule type="cellIs" dxfId="1231" priority="26" stopIfTrue="1" operator="lessThan">
      <formula>$C$6</formula>
    </cfRule>
  </conditionalFormatting>
  <conditionalFormatting sqref="D7">
    <cfRule type="cellIs" dxfId="1230" priority="40" stopIfTrue="1" operator="lessThan">
      <formula>$C$7</formula>
    </cfRule>
    <cfRule type="cellIs" dxfId="1229" priority="39" stopIfTrue="1" operator="equal">
      <formula>$C$7</formula>
    </cfRule>
  </conditionalFormatting>
  <conditionalFormatting sqref="D8">
    <cfRule type="cellIs" dxfId="1228" priority="52" stopIfTrue="1" operator="lessThan">
      <formula>$C$8</formula>
    </cfRule>
    <cfRule type="cellIs" dxfId="1227" priority="51" stopIfTrue="1" operator="equal">
      <formula>$C$8</formula>
    </cfRule>
  </conditionalFormatting>
  <conditionalFormatting sqref="D9">
    <cfRule type="cellIs" dxfId="1226" priority="66" stopIfTrue="1" operator="lessThan">
      <formula>$C$9</formula>
    </cfRule>
    <cfRule type="cellIs" dxfId="1225" priority="65" stopIfTrue="1" operator="equal">
      <formula>$C$9</formula>
    </cfRule>
  </conditionalFormatting>
  <conditionalFormatting sqref="D10">
    <cfRule type="cellIs" dxfId="1224" priority="79" stopIfTrue="1" operator="equal">
      <formula>$C$10</formula>
    </cfRule>
    <cfRule type="cellIs" dxfId="1223" priority="80" stopIfTrue="1" operator="lessThan">
      <formula>$C$10</formula>
    </cfRule>
  </conditionalFormatting>
  <conditionalFormatting sqref="D11">
    <cfRule type="cellIs" dxfId="1222" priority="94" stopIfTrue="1" operator="lessThan">
      <formula>$C$11</formula>
    </cfRule>
    <cfRule type="cellIs" dxfId="1221" priority="93" stopIfTrue="1" operator="equal">
      <formula>$C$11</formula>
    </cfRule>
  </conditionalFormatting>
  <conditionalFormatting sqref="D12">
    <cfRule type="cellIs" dxfId="1220" priority="108" stopIfTrue="1" operator="lessThan">
      <formula>$C$12</formula>
    </cfRule>
    <cfRule type="cellIs" dxfId="1219" priority="107" stopIfTrue="1" operator="equal">
      <formula>$C$12</formula>
    </cfRule>
  </conditionalFormatting>
  <conditionalFormatting sqref="D13">
    <cfRule type="cellIs" dxfId="1218" priority="240" stopIfTrue="1" operator="lessThan">
      <formula>$C$13</formula>
    </cfRule>
    <cfRule type="cellIs" dxfId="1217" priority="239" stopIfTrue="1" operator="equal">
      <formula>$C$13</formula>
    </cfRule>
  </conditionalFormatting>
  <conditionalFormatting sqref="D14">
    <cfRule type="cellIs" dxfId="1216" priority="122" stopIfTrue="1" operator="lessThan">
      <formula>$C$14</formula>
    </cfRule>
    <cfRule type="cellIs" dxfId="1215" priority="121" stopIfTrue="1" operator="equal">
      <formula>$C$14</formula>
    </cfRule>
  </conditionalFormatting>
  <conditionalFormatting sqref="D15">
    <cfRule type="cellIs" dxfId="1214" priority="123" stopIfTrue="1" operator="equal">
      <formula>$C$15</formula>
    </cfRule>
    <cfRule type="cellIs" dxfId="1213" priority="124" stopIfTrue="1" operator="lessThan">
      <formula>$C$15</formula>
    </cfRule>
  </conditionalFormatting>
  <conditionalFormatting sqref="D16">
    <cfRule type="cellIs" dxfId="1212" priority="126" stopIfTrue="1" operator="lessThan">
      <formula>$C$16</formula>
    </cfRule>
    <cfRule type="cellIs" dxfId="1211" priority="125" stopIfTrue="1" operator="equal">
      <formula>$C$16</formula>
    </cfRule>
  </conditionalFormatting>
  <conditionalFormatting sqref="D17">
    <cfRule type="cellIs" dxfId="1210" priority="128" stopIfTrue="1" operator="lessThan">
      <formula>$C$17</formula>
    </cfRule>
    <cfRule type="cellIs" dxfId="1209" priority="127" stopIfTrue="1" operator="equal">
      <formula>$C$17</formula>
    </cfRule>
  </conditionalFormatting>
  <conditionalFormatting sqref="D18">
    <cfRule type="cellIs" dxfId="1208" priority="130" stopIfTrue="1" operator="lessThan">
      <formula>$C$18</formula>
    </cfRule>
    <cfRule type="cellIs" dxfId="1207" priority="129" stopIfTrue="1" operator="equal">
      <formula>$C$18</formula>
    </cfRule>
  </conditionalFormatting>
  <conditionalFormatting sqref="D19">
    <cfRule type="cellIs" dxfId="1206" priority="132" stopIfTrue="1" operator="lessThan">
      <formula>$C$19</formula>
    </cfRule>
    <cfRule type="cellIs" dxfId="1205" priority="131" stopIfTrue="1" operator="equal">
      <formula>$C$19</formula>
    </cfRule>
  </conditionalFormatting>
  <conditionalFormatting sqref="D20">
    <cfRule type="cellIs" dxfId="1204" priority="134" stopIfTrue="1" operator="lessThan">
      <formula>$C$20</formula>
    </cfRule>
    <cfRule type="cellIs" dxfId="1203" priority="133" stopIfTrue="1" operator="equal">
      <formula>$C$20</formula>
    </cfRule>
  </conditionalFormatting>
  <conditionalFormatting sqref="D21">
    <cfRule type="cellIs" dxfId="1202" priority="136" stopIfTrue="1" operator="lessThan">
      <formula>$C$21</formula>
    </cfRule>
    <cfRule type="cellIs" dxfId="1201" priority="135" stopIfTrue="1" operator="equal">
      <formula>$C$21</formula>
    </cfRule>
  </conditionalFormatting>
  <conditionalFormatting sqref="D22">
    <cfRule type="cellIs" dxfId="1200" priority="137" stopIfTrue="1" operator="equal">
      <formula>$C$22</formula>
    </cfRule>
    <cfRule type="cellIs" dxfId="1199" priority="138" stopIfTrue="1" operator="lessThan">
      <formula>$C$22</formula>
    </cfRule>
  </conditionalFormatting>
  <conditionalFormatting sqref="D23">
    <cfRule type="cellIs" dxfId="1198" priority="139" stopIfTrue="1" operator="equal">
      <formula>$C$23</formula>
    </cfRule>
    <cfRule type="cellIs" dxfId="1197" priority="140" stopIfTrue="1" operator="lessThan">
      <formula>$C$23</formula>
    </cfRule>
  </conditionalFormatting>
  <conditionalFormatting sqref="D24">
    <cfRule type="cellIs" dxfId="1196" priority="271" stopIfTrue="1" operator="equal">
      <formula>$C$24</formula>
    </cfRule>
    <cfRule type="cellIs" dxfId="1195" priority="272" stopIfTrue="1" operator="lessThan">
      <formula>$C$24</formula>
    </cfRule>
  </conditionalFormatting>
  <conditionalFormatting sqref="D25">
    <cfRule type="cellIs" dxfId="1194" priority="142" stopIfTrue="1" operator="lessThan">
      <formula>$C$25</formula>
    </cfRule>
    <cfRule type="cellIs" dxfId="1193" priority="141" stopIfTrue="1" operator="equal">
      <formula>$C$25</formula>
    </cfRule>
  </conditionalFormatting>
  <conditionalFormatting sqref="D26">
    <cfRule type="cellIs" dxfId="1192" priority="143" stopIfTrue="1" operator="equal">
      <formula>$C$26</formula>
    </cfRule>
    <cfRule type="cellIs" dxfId="1191" priority="144" stopIfTrue="1" operator="lessThan">
      <formula>$C$26</formula>
    </cfRule>
  </conditionalFormatting>
  <conditionalFormatting sqref="D27">
    <cfRule type="cellIs" dxfId="1190" priority="145" stopIfTrue="1" operator="equal">
      <formula>$C$27</formula>
    </cfRule>
    <cfRule type="cellIs" dxfId="1189" priority="146" stopIfTrue="1" operator="lessThan">
      <formula>$C$27</formula>
    </cfRule>
  </conditionalFormatting>
  <conditionalFormatting sqref="D28">
    <cfRule type="cellIs" dxfId="1188" priority="148" stopIfTrue="1" operator="lessThan">
      <formula>$C$28</formula>
    </cfRule>
    <cfRule type="cellIs" dxfId="1187" priority="147" stopIfTrue="1" operator="equal">
      <formula>$C$28</formula>
    </cfRule>
  </conditionalFormatting>
  <conditionalFormatting sqref="D29:H29 J29:O29">
    <cfRule type="cellIs" dxfId="1186" priority="286" stopIfTrue="1" operator="equal">
      <formula>0</formula>
    </cfRule>
  </conditionalFormatting>
  <conditionalFormatting sqref="E4">
    <cfRule type="cellIs" dxfId="1185" priority="17" stopIfTrue="1" operator="lessThan">
      <formula>$D$4</formula>
    </cfRule>
    <cfRule type="cellIs" dxfId="1184" priority="16" stopIfTrue="1" operator="equal">
      <formula>$D$4</formula>
    </cfRule>
  </conditionalFormatting>
  <conditionalFormatting sqref="E5">
    <cfRule type="cellIs" dxfId="1183" priority="281" stopIfTrue="1" operator="equal">
      <formula>$D$5</formula>
    </cfRule>
    <cfRule type="cellIs" dxfId="1182" priority="282" stopIfTrue="1" operator="lessThan">
      <formula>$D$5</formula>
    </cfRule>
  </conditionalFormatting>
  <conditionalFormatting sqref="E6">
    <cfRule type="cellIs" dxfId="1181" priority="27" stopIfTrue="1" operator="equal">
      <formula>$D$6</formula>
    </cfRule>
    <cfRule type="cellIs" dxfId="1180" priority="28" stopIfTrue="1" operator="lessThan">
      <formula>$D$6</formula>
    </cfRule>
  </conditionalFormatting>
  <conditionalFormatting sqref="E7">
    <cfRule type="cellIs" dxfId="1179" priority="42" stopIfTrue="1" operator="lessThan">
      <formula>$D$7</formula>
    </cfRule>
    <cfRule type="cellIs" dxfId="1178" priority="41" stopIfTrue="1" operator="equal">
      <formula>$D$7</formula>
    </cfRule>
  </conditionalFormatting>
  <conditionalFormatting sqref="E8">
    <cfRule type="cellIs" dxfId="1177" priority="53" stopIfTrue="1" operator="equal">
      <formula>$D$8</formula>
    </cfRule>
    <cfRule type="cellIs" dxfId="1176" priority="54" stopIfTrue="1" operator="lessThan">
      <formula>$D$8</formula>
    </cfRule>
  </conditionalFormatting>
  <conditionalFormatting sqref="E9">
    <cfRule type="cellIs" dxfId="1175" priority="67" stopIfTrue="1" operator="equal">
      <formula>$D$9</formula>
    </cfRule>
    <cfRule type="cellIs" dxfId="1174" priority="68" stopIfTrue="1" operator="lessThan">
      <formula>$D$9</formula>
    </cfRule>
  </conditionalFormatting>
  <conditionalFormatting sqref="E10">
    <cfRule type="cellIs" dxfId="1173" priority="81" stopIfTrue="1" operator="equal">
      <formula>$D$10</formula>
    </cfRule>
    <cfRule type="cellIs" dxfId="1172" priority="82" stopIfTrue="1" operator="lessThan">
      <formula>$D$10</formula>
    </cfRule>
  </conditionalFormatting>
  <conditionalFormatting sqref="E11">
    <cfRule type="cellIs" dxfId="1171" priority="96" stopIfTrue="1" operator="lessThan">
      <formula>$D$11</formula>
    </cfRule>
    <cfRule type="cellIs" dxfId="1170" priority="95" stopIfTrue="1" operator="equal">
      <formula>$D$11</formula>
    </cfRule>
  </conditionalFormatting>
  <conditionalFormatting sqref="E12">
    <cfRule type="cellIs" dxfId="1169" priority="110" stopIfTrue="1" operator="lessThan">
      <formula>$D$12</formula>
    </cfRule>
    <cfRule type="cellIs" dxfId="1168" priority="109" stopIfTrue="1" operator="equal">
      <formula>$D$12</formula>
    </cfRule>
  </conditionalFormatting>
  <conditionalFormatting sqref="E13">
    <cfRule type="cellIs" dxfId="1167" priority="149" stopIfTrue="1" operator="equal">
      <formula>$D$13</formula>
    </cfRule>
    <cfRule type="cellIs" dxfId="1166" priority="150" stopIfTrue="1" operator="lessThan">
      <formula>$D$13</formula>
    </cfRule>
  </conditionalFormatting>
  <conditionalFormatting sqref="E14">
    <cfRule type="cellIs" dxfId="1165" priority="151" stopIfTrue="1" operator="equal">
      <formula>$D$14</formula>
    </cfRule>
    <cfRule type="cellIs" dxfId="1164" priority="152" stopIfTrue="1" operator="lessThan">
      <formula>$D$14</formula>
    </cfRule>
  </conditionalFormatting>
  <conditionalFormatting sqref="E15">
    <cfRule type="cellIs" dxfId="1163" priority="153" stopIfTrue="1" operator="equal">
      <formula>$D$15</formula>
    </cfRule>
    <cfRule type="cellIs" dxfId="1162" priority="154" stopIfTrue="1" operator="lessThan">
      <formula>$D$15</formula>
    </cfRule>
  </conditionalFormatting>
  <conditionalFormatting sqref="E16">
    <cfRule type="cellIs" dxfId="1161" priority="156" stopIfTrue="1" operator="lessThan">
      <formula>$D$16</formula>
    </cfRule>
    <cfRule type="cellIs" dxfId="1160" priority="155" stopIfTrue="1" operator="equal">
      <formula>$D$16</formula>
    </cfRule>
  </conditionalFormatting>
  <conditionalFormatting sqref="E17">
    <cfRule type="cellIs" dxfId="1159" priority="158" stopIfTrue="1" operator="lessThan">
      <formula>$D$17</formula>
    </cfRule>
    <cfRule type="cellIs" dxfId="1158" priority="157" stopIfTrue="1" operator="equal">
      <formula>$D$17</formula>
    </cfRule>
  </conditionalFormatting>
  <conditionalFormatting sqref="E18">
    <cfRule type="cellIs" dxfId="1157" priority="160" stopIfTrue="1" operator="lessThan">
      <formula>$D$18</formula>
    </cfRule>
    <cfRule type="cellIs" dxfId="1156" priority="159" stopIfTrue="1" operator="equal">
      <formula>$D$18</formula>
    </cfRule>
  </conditionalFormatting>
  <conditionalFormatting sqref="E19">
    <cfRule type="cellIs" dxfId="1155" priority="162" stopIfTrue="1" operator="lessThan">
      <formula>$D$19</formula>
    </cfRule>
    <cfRule type="cellIs" dxfId="1154" priority="161" stopIfTrue="1" operator="equal">
      <formula>$D$19</formula>
    </cfRule>
  </conditionalFormatting>
  <conditionalFormatting sqref="E20">
    <cfRule type="cellIs" dxfId="1153" priority="164" stopIfTrue="1" operator="lessThan">
      <formula>$D$20</formula>
    </cfRule>
    <cfRule type="cellIs" dxfId="1152" priority="163" stopIfTrue="1" operator="equal">
      <formula>$D$20</formula>
    </cfRule>
  </conditionalFormatting>
  <conditionalFormatting sqref="E21">
    <cfRule type="cellIs" dxfId="1151" priority="165" stopIfTrue="1" operator="equal">
      <formula>$D$21</formula>
    </cfRule>
    <cfRule type="cellIs" dxfId="1150" priority="166" stopIfTrue="1" operator="lessThan">
      <formula>$D$21</formula>
    </cfRule>
  </conditionalFormatting>
  <conditionalFormatting sqref="E22">
    <cfRule type="cellIs" dxfId="1149" priority="167" stopIfTrue="1" operator="equal">
      <formula>$D$22</formula>
    </cfRule>
    <cfRule type="cellIs" dxfId="1148" priority="168" stopIfTrue="1" operator="lessThan">
      <formula>$D$22</formula>
    </cfRule>
  </conditionalFormatting>
  <conditionalFormatting sqref="E23">
    <cfRule type="cellIs" dxfId="1147" priority="169" stopIfTrue="1" operator="equal">
      <formula>$D$23</formula>
    </cfRule>
    <cfRule type="cellIs" dxfId="1146" priority="170" stopIfTrue="1" operator="lessThan">
      <formula>$D$23</formula>
    </cfRule>
  </conditionalFormatting>
  <conditionalFormatting sqref="E24">
    <cfRule type="cellIs" dxfId="1145" priority="274" stopIfTrue="1" operator="lessThan">
      <formula>$D$24</formula>
    </cfRule>
    <cfRule type="cellIs" dxfId="1144" priority="273" stopIfTrue="1" operator="equal">
      <formula>$D$24</formula>
    </cfRule>
  </conditionalFormatting>
  <conditionalFormatting sqref="E25">
    <cfRule type="cellIs" dxfId="1143" priority="172" stopIfTrue="1" operator="lessThan">
      <formula>$D$25</formula>
    </cfRule>
    <cfRule type="cellIs" dxfId="1142" priority="171" stopIfTrue="1" operator="equal">
      <formula>$D$25</formula>
    </cfRule>
  </conditionalFormatting>
  <conditionalFormatting sqref="E26">
    <cfRule type="cellIs" dxfId="1141" priority="173" stopIfTrue="1" operator="equal">
      <formula>$D$26</formula>
    </cfRule>
    <cfRule type="cellIs" dxfId="1140" priority="174" stopIfTrue="1" operator="lessThan">
      <formula>$D$26</formula>
    </cfRule>
  </conditionalFormatting>
  <conditionalFormatting sqref="E27">
    <cfRule type="cellIs" dxfId="1139" priority="176" stopIfTrue="1" operator="lessThan">
      <formula>$D$27</formula>
    </cfRule>
    <cfRule type="cellIs" dxfId="1138" priority="175" stopIfTrue="1" operator="equal">
      <formula>$D$27</formula>
    </cfRule>
  </conditionalFormatting>
  <conditionalFormatting sqref="E28">
    <cfRule type="cellIs" dxfId="1137" priority="177" stopIfTrue="1" operator="equal">
      <formula>$D$28</formula>
    </cfRule>
    <cfRule type="cellIs" dxfId="1136" priority="178" stopIfTrue="1" operator="lessThan">
      <formula>$D$28</formula>
    </cfRule>
  </conditionalFormatting>
  <conditionalFormatting sqref="F4">
    <cfRule type="cellIs" dxfId="1135" priority="13" stopIfTrue="1" operator="lessThan">
      <formula>$E$4</formula>
    </cfRule>
    <cfRule type="cellIs" dxfId="1134" priority="12" stopIfTrue="1" operator="equal">
      <formula>$E$4</formula>
    </cfRule>
  </conditionalFormatting>
  <conditionalFormatting sqref="F5">
    <cfRule type="cellIs" dxfId="1133" priority="20" stopIfTrue="1" operator="equal">
      <formula>$E$5</formula>
    </cfRule>
    <cfRule type="cellIs" dxfId="1132" priority="21" stopIfTrue="1" operator="lessThan">
      <formula>$E$5</formula>
    </cfRule>
  </conditionalFormatting>
  <conditionalFormatting sqref="F6">
    <cfRule type="cellIs" dxfId="1131" priority="29" stopIfTrue="1" operator="equal">
      <formula>$E$6</formula>
    </cfRule>
    <cfRule type="cellIs" dxfId="1130" priority="30" stopIfTrue="1" operator="lessThan">
      <formula>$E$6</formula>
    </cfRule>
  </conditionalFormatting>
  <conditionalFormatting sqref="F7">
    <cfRule type="cellIs" dxfId="1129" priority="43" stopIfTrue="1" operator="equal">
      <formula>$E$7</formula>
    </cfRule>
    <cfRule type="cellIs" dxfId="1128" priority="44" stopIfTrue="1" operator="lessThan">
      <formula>$E$7</formula>
    </cfRule>
  </conditionalFormatting>
  <conditionalFormatting sqref="F8">
    <cfRule type="cellIs" dxfId="1127" priority="56" stopIfTrue="1" operator="lessThan">
      <formula>$E$8</formula>
    </cfRule>
    <cfRule type="cellIs" dxfId="1126" priority="55" stopIfTrue="1" operator="equal">
      <formula>$E$8</formula>
    </cfRule>
  </conditionalFormatting>
  <conditionalFormatting sqref="F9">
    <cfRule type="cellIs" dxfId="1125" priority="70" stopIfTrue="1" operator="lessThan">
      <formula>$E$9</formula>
    </cfRule>
    <cfRule type="cellIs" dxfId="1124" priority="69" stopIfTrue="1" operator="equal">
      <formula>$E$9</formula>
    </cfRule>
  </conditionalFormatting>
  <conditionalFormatting sqref="F10">
    <cfRule type="cellIs" dxfId="1123" priority="84" stopIfTrue="1" operator="lessThan">
      <formula>$E$10</formula>
    </cfRule>
    <cfRule type="cellIs" dxfId="1122" priority="83" stopIfTrue="1" operator="equal">
      <formula>$E$10</formula>
    </cfRule>
  </conditionalFormatting>
  <conditionalFormatting sqref="F11">
    <cfRule type="cellIs" dxfId="1121" priority="97" stopIfTrue="1" operator="equal">
      <formula>$E$11</formula>
    </cfRule>
    <cfRule type="cellIs" dxfId="1120" priority="98" stopIfTrue="1" operator="lessThan">
      <formula>$E$11</formula>
    </cfRule>
  </conditionalFormatting>
  <conditionalFormatting sqref="F12">
    <cfRule type="cellIs" dxfId="1119" priority="112" stopIfTrue="1" operator="lessThan">
      <formula>$E$12</formula>
    </cfRule>
    <cfRule type="cellIs" dxfId="1118" priority="111" stopIfTrue="1" operator="equal">
      <formula>$E$12</formula>
    </cfRule>
  </conditionalFormatting>
  <conditionalFormatting sqref="F13">
    <cfRule type="cellIs" dxfId="1117" priority="180" stopIfTrue="1" operator="lessThan">
      <formula>$E$13</formula>
    </cfRule>
    <cfRule type="cellIs" dxfId="1116" priority="179" stopIfTrue="1" operator="equal">
      <formula>$E$13</formula>
    </cfRule>
  </conditionalFormatting>
  <conditionalFormatting sqref="F14">
    <cfRule type="cellIs" dxfId="1115" priority="181" stopIfTrue="1" operator="equal">
      <formula>$E$14</formula>
    </cfRule>
    <cfRule type="cellIs" dxfId="1114" priority="182" stopIfTrue="1" operator="lessThan">
      <formula>$E$14</formula>
    </cfRule>
  </conditionalFormatting>
  <conditionalFormatting sqref="F15">
    <cfRule type="cellIs" dxfId="1113" priority="183" stopIfTrue="1" operator="equal">
      <formula>$E$15</formula>
    </cfRule>
    <cfRule type="cellIs" dxfId="1112" priority="184" stopIfTrue="1" operator="lessThan">
      <formula>$E$15</formula>
    </cfRule>
  </conditionalFormatting>
  <conditionalFormatting sqref="F16">
    <cfRule type="cellIs" dxfId="1111" priority="186" stopIfTrue="1" operator="lessThan">
      <formula>$E$16</formula>
    </cfRule>
    <cfRule type="cellIs" dxfId="1110" priority="185" stopIfTrue="1" operator="equal">
      <formula>$E$16</formula>
    </cfRule>
  </conditionalFormatting>
  <conditionalFormatting sqref="F17">
    <cfRule type="cellIs" dxfId="1109" priority="187" stopIfTrue="1" operator="equal">
      <formula>$E$17</formula>
    </cfRule>
    <cfRule type="cellIs" dxfId="1108" priority="188" stopIfTrue="1" operator="lessThan">
      <formula>$E$17</formula>
    </cfRule>
  </conditionalFormatting>
  <conditionalFormatting sqref="F18">
    <cfRule type="cellIs" dxfId="1107" priority="189" stopIfTrue="1" operator="equal">
      <formula>$E$18</formula>
    </cfRule>
    <cfRule type="cellIs" dxfId="1106" priority="190" stopIfTrue="1" operator="lessThan">
      <formula>$E$18</formula>
    </cfRule>
  </conditionalFormatting>
  <conditionalFormatting sqref="F19">
    <cfRule type="cellIs" dxfId="1105" priority="191" stopIfTrue="1" operator="equal">
      <formula>$E$19</formula>
    </cfRule>
    <cfRule type="cellIs" dxfId="1104" priority="192" stopIfTrue="1" operator="lessThan">
      <formula>$E$19</formula>
    </cfRule>
  </conditionalFormatting>
  <conditionalFormatting sqref="F20">
    <cfRule type="cellIs" dxfId="1103" priority="194" stopIfTrue="1" operator="lessThan">
      <formula>$E$20</formula>
    </cfRule>
    <cfRule type="cellIs" dxfId="1102" priority="193" stopIfTrue="1" operator="equal">
      <formula>$E$20</formula>
    </cfRule>
  </conditionalFormatting>
  <conditionalFormatting sqref="F21">
    <cfRule type="cellIs" dxfId="1101" priority="196" stopIfTrue="1" operator="lessThan">
      <formula>$E$21</formula>
    </cfRule>
    <cfRule type="cellIs" dxfId="1100" priority="195" stopIfTrue="1" operator="equal">
      <formula>$E$21</formula>
    </cfRule>
  </conditionalFormatting>
  <conditionalFormatting sqref="F22">
    <cfRule type="cellIs" dxfId="1099" priority="197" stopIfTrue="1" operator="equal">
      <formula>$E$22</formula>
    </cfRule>
    <cfRule type="cellIs" dxfId="1098" priority="198" stopIfTrue="1" operator="lessThan">
      <formula>$E$22</formula>
    </cfRule>
  </conditionalFormatting>
  <conditionalFormatting sqref="F23">
    <cfRule type="cellIs" dxfId="1097" priority="199" stopIfTrue="1" operator="equal">
      <formula>$E$23</formula>
    </cfRule>
    <cfRule type="cellIs" dxfId="1096" priority="200" stopIfTrue="1" operator="lessThan">
      <formula>$E$23</formula>
    </cfRule>
  </conditionalFormatting>
  <conditionalFormatting sqref="F24">
    <cfRule type="cellIs" dxfId="1095" priority="276" stopIfTrue="1" operator="lessThan">
      <formula>$E$24</formula>
    </cfRule>
    <cfRule type="cellIs" dxfId="1094" priority="275" stopIfTrue="1" operator="equal">
      <formula>$E$24</formula>
    </cfRule>
  </conditionalFormatting>
  <conditionalFormatting sqref="F25">
    <cfRule type="cellIs" dxfId="1093" priority="202" stopIfTrue="1" operator="lessThan">
      <formula>$E$25</formula>
    </cfRule>
    <cfRule type="cellIs" dxfId="1092" priority="201" stopIfTrue="1" operator="equal">
      <formula>$E$25</formula>
    </cfRule>
  </conditionalFormatting>
  <conditionalFormatting sqref="F26">
    <cfRule type="cellIs" dxfId="1091" priority="204" stopIfTrue="1" operator="lessThan">
      <formula>$E$26</formula>
    </cfRule>
    <cfRule type="cellIs" dxfId="1090" priority="203" stopIfTrue="1" operator="equal">
      <formula>$E$26</formula>
    </cfRule>
  </conditionalFormatting>
  <conditionalFormatting sqref="F27">
    <cfRule type="cellIs" dxfId="1089" priority="205" stopIfTrue="1" operator="equal">
      <formula>$E$27</formula>
    </cfRule>
    <cfRule type="cellIs" dxfId="1088" priority="206" stopIfTrue="1" operator="lessThan">
      <formula>$E$27</formula>
    </cfRule>
  </conditionalFormatting>
  <conditionalFormatting sqref="F28">
    <cfRule type="cellIs" dxfId="1087" priority="207" stopIfTrue="1" operator="equal">
      <formula>$E$28</formula>
    </cfRule>
    <cfRule type="cellIs" dxfId="1086" priority="208" stopIfTrue="1" operator="lessThan">
      <formula>$E$28</formula>
    </cfRule>
  </conditionalFormatting>
  <conditionalFormatting sqref="G4">
    <cfRule type="cellIs" dxfId="1085" priority="285" stopIfTrue="1" operator="equal">
      <formula>$F$4</formula>
    </cfRule>
  </conditionalFormatting>
  <conditionalFormatting sqref="G5">
    <cfRule type="cellIs" dxfId="1084" priority="283" stopIfTrue="1" operator="equal">
      <formula>$F$5</formula>
    </cfRule>
    <cfRule type="cellIs" dxfId="1083" priority="284" stopIfTrue="1" operator="lessThan">
      <formula>$F$5</formula>
    </cfRule>
  </conditionalFormatting>
  <conditionalFormatting sqref="G6">
    <cfRule type="cellIs" dxfId="1082" priority="31" stopIfTrue="1" operator="equal">
      <formula>$F$6</formula>
    </cfRule>
    <cfRule type="cellIs" dxfId="1081" priority="32" stopIfTrue="1" operator="lessThan">
      <formula>$F$6</formula>
    </cfRule>
  </conditionalFormatting>
  <conditionalFormatting sqref="G7">
    <cfRule type="cellIs" dxfId="1080" priority="5" stopIfTrue="1" operator="lessThan">
      <formula>$F$7</formula>
    </cfRule>
    <cfRule type="cellIs" dxfId="1079" priority="4" stopIfTrue="1" operator="equal">
      <formula>$F$7</formula>
    </cfRule>
  </conditionalFormatting>
  <conditionalFormatting sqref="G8">
    <cfRule type="cellIs" dxfId="1078" priority="57" stopIfTrue="1" operator="equal">
      <formula>$F$8</formula>
    </cfRule>
    <cfRule type="cellIs" dxfId="1077" priority="58" stopIfTrue="1" operator="lessThan">
      <formula>$F$8</formula>
    </cfRule>
  </conditionalFormatting>
  <conditionalFormatting sqref="G9">
    <cfRule type="cellIs" dxfId="1076" priority="71" stopIfTrue="1" operator="equal">
      <formula>$F$9</formula>
    </cfRule>
    <cfRule type="cellIs" dxfId="1075" priority="72" stopIfTrue="1" operator="lessThan">
      <formula>$F$9</formula>
    </cfRule>
  </conditionalFormatting>
  <conditionalFormatting sqref="G10">
    <cfRule type="cellIs" dxfId="1074" priority="86" stopIfTrue="1" operator="lessThan">
      <formula>$F$10</formula>
    </cfRule>
    <cfRule type="cellIs" dxfId="1073" priority="85" stopIfTrue="1" operator="equal">
      <formula>$F$10</formula>
    </cfRule>
  </conditionalFormatting>
  <conditionalFormatting sqref="G11">
    <cfRule type="cellIs" dxfId="1072" priority="99" stopIfTrue="1" operator="equal">
      <formula>$F$11</formula>
    </cfRule>
    <cfRule type="cellIs" dxfId="1071" priority="100" stopIfTrue="1" operator="lessThan">
      <formula>$F$11</formula>
    </cfRule>
  </conditionalFormatting>
  <conditionalFormatting sqref="G12">
    <cfRule type="cellIs" dxfId="1070" priority="113" stopIfTrue="1" operator="equal">
      <formula>$F$12</formula>
    </cfRule>
    <cfRule type="cellIs" dxfId="1069" priority="114" stopIfTrue="1" operator="lessThan">
      <formula>$F$12</formula>
    </cfRule>
  </conditionalFormatting>
  <conditionalFormatting sqref="G13">
    <cfRule type="cellIs" dxfId="1068" priority="210" stopIfTrue="1" operator="lessThan">
      <formula>$F$13</formula>
    </cfRule>
    <cfRule type="cellIs" dxfId="1067" priority="209" stopIfTrue="1" operator="equal">
      <formula>$F$13</formula>
    </cfRule>
  </conditionalFormatting>
  <conditionalFormatting sqref="G14">
    <cfRule type="cellIs" dxfId="1066" priority="211" stopIfTrue="1" operator="equal">
      <formula>$F$14</formula>
    </cfRule>
    <cfRule type="cellIs" dxfId="1065" priority="212" stopIfTrue="1" operator="lessThan">
      <formula>$F$14</formula>
    </cfRule>
  </conditionalFormatting>
  <conditionalFormatting sqref="G15">
    <cfRule type="cellIs" dxfId="1064" priority="214" stopIfTrue="1" operator="lessThan">
      <formula>$F$15</formula>
    </cfRule>
    <cfRule type="cellIs" dxfId="1063" priority="213" stopIfTrue="1" operator="equal">
      <formula>$F$15</formula>
    </cfRule>
  </conditionalFormatting>
  <conditionalFormatting sqref="G16">
    <cfRule type="cellIs" dxfId="1062" priority="216" stopIfTrue="1" operator="lessThan">
      <formula>$F$16</formula>
    </cfRule>
    <cfRule type="cellIs" dxfId="1061" priority="215" stopIfTrue="1" operator="equal">
      <formula>$F$16</formula>
    </cfRule>
  </conditionalFormatting>
  <conditionalFormatting sqref="G17">
    <cfRule type="cellIs" dxfId="1060" priority="218" stopIfTrue="1" operator="lessThan">
      <formula>$F$17</formula>
    </cfRule>
    <cfRule type="cellIs" dxfId="1059" priority="217" stopIfTrue="1" operator="equal">
      <formula>$F$17</formula>
    </cfRule>
  </conditionalFormatting>
  <conditionalFormatting sqref="G18">
    <cfRule type="cellIs" dxfId="1058" priority="220" stopIfTrue="1" operator="lessThan">
      <formula>$F$18</formula>
    </cfRule>
    <cfRule type="cellIs" dxfId="1057" priority="219" stopIfTrue="1" operator="equal">
      <formula>$F$18</formula>
    </cfRule>
  </conditionalFormatting>
  <conditionalFormatting sqref="G19">
    <cfRule type="cellIs" dxfId="1056" priority="221" stopIfTrue="1" operator="equal">
      <formula>$F$19</formula>
    </cfRule>
    <cfRule type="cellIs" dxfId="1055" priority="222" stopIfTrue="1" operator="lessThan">
      <formula>$F$19</formula>
    </cfRule>
  </conditionalFormatting>
  <conditionalFormatting sqref="G20">
    <cfRule type="cellIs" dxfId="1054" priority="223" stopIfTrue="1" operator="equal">
      <formula>$F$20</formula>
    </cfRule>
    <cfRule type="cellIs" dxfId="1053" priority="224" stopIfTrue="1" operator="lessThan">
      <formula>$F$20</formula>
    </cfRule>
  </conditionalFormatting>
  <conditionalFormatting sqref="G21">
    <cfRule type="cellIs" dxfId="1052" priority="226" stopIfTrue="1" operator="lessThan">
      <formula>$F$21</formula>
    </cfRule>
    <cfRule type="cellIs" dxfId="1051" priority="225" stopIfTrue="1" operator="equal">
      <formula>$F$21</formula>
    </cfRule>
  </conditionalFormatting>
  <conditionalFormatting sqref="G22">
    <cfRule type="cellIs" dxfId="1050" priority="227" stopIfTrue="1" operator="equal">
      <formula>$F$22</formula>
    </cfRule>
    <cfRule type="cellIs" dxfId="1049" priority="228" stopIfTrue="1" operator="lessThan">
      <formula>$F$22</formula>
    </cfRule>
  </conditionalFormatting>
  <conditionalFormatting sqref="G23">
    <cfRule type="cellIs" dxfId="1048" priority="230" stopIfTrue="1" operator="lessThan">
      <formula>$F$23</formula>
    </cfRule>
    <cfRule type="cellIs" dxfId="1047" priority="229" stopIfTrue="1" operator="equal">
      <formula>$F$23</formula>
    </cfRule>
  </conditionalFormatting>
  <conditionalFormatting sqref="G24">
    <cfRule type="cellIs" dxfId="1046" priority="278" stopIfTrue="1" operator="lessThan">
      <formula>$F$24</formula>
    </cfRule>
    <cfRule type="cellIs" dxfId="1045" priority="277" stopIfTrue="1" operator="equal">
      <formula>$F$24</formula>
    </cfRule>
  </conditionalFormatting>
  <conditionalFormatting sqref="G25">
    <cfRule type="cellIs" dxfId="1044" priority="231" stopIfTrue="1" operator="equal">
      <formula>$F$25</formula>
    </cfRule>
    <cfRule type="cellIs" dxfId="1043" priority="232" stopIfTrue="1" operator="lessThan">
      <formula>$F$25</formula>
    </cfRule>
  </conditionalFormatting>
  <conditionalFormatting sqref="G26">
    <cfRule type="cellIs" dxfId="1042" priority="234" stopIfTrue="1" operator="lessThan">
      <formula>$F$26</formula>
    </cfRule>
    <cfRule type="cellIs" dxfId="1041" priority="233" stopIfTrue="1" operator="equal">
      <formula>$F$26</formula>
    </cfRule>
  </conditionalFormatting>
  <conditionalFormatting sqref="G27">
    <cfRule type="cellIs" dxfId="1040" priority="235" stopIfTrue="1" operator="equal">
      <formula>$F$27</formula>
    </cfRule>
    <cfRule type="cellIs" dxfId="1039" priority="236" stopIfTrue="1" operator="lessThan">
      <formula>$F$27</formula>
    </cfRule>
  </conditionalFormatting>
  <conditionalFormatting sqref="G28">
    <cfRule type="cellIs" dxfId="1038" priority="238" stopIfTrue="1" operator="lessThan">
      <formula>$F$28</formula>
    </cfRule>
    <cfRule type="cellIs" dxfId="1037" priority="237" stopIfTrue="1" operator="equal">
      <formula>$F$28</formula>
    </cfRule>
  </conditionalFormatting>
  <conditionalFormatting sqref="H4">
    <cfRule type="cellIs" dxfId="1036" priority="2" stopIfTrue="1" operator="lessThan">
      <formula>$G$4</formula>
    </cfRule>
    <cfRule type="cellIs" dxfId="1035" priority="3" stopIfTrue="1" operator="equal">
      <formula>$G$4</formula>
    </cfRule>
  </conditionalFormatting>
  <conditionalFormatting sqref="H5">
    <cfRule type="cellIs" dxfId="1034" priority="6" stopIfTrue="1" operator="equal">
      <formula>$G$5</formula>
    </cfRule>
    <cfRule type="cellIs" dxfId="1033" priority="7" stopIfTrue="1" operator="lessThan">
      <formula>$G$5</formula>
    </cfRule>
  </conditionalFormatting>
  <conditionalFormatting sqref="H6">
    <cfRule type="cellIs" dxfId="1032" priority="33" stopIfTrue="1" operator="equal">
      <formula>$G$6</formula>
    </cfRule>
    <cfRule type="cellIs" dxfId="1031" priority="34" stopIfTrue="1" operator="lessThan">
      <formula>$G$6</formula>
    </cfRule>
  </conditionalFormatting>
  <conditionalFormatting sqref="H7">
    <cfRule type="cellIs" dxfId="1030" priority="46" stopIfTrue="1" operator="lessThan">
      <formula>$G$7</formula>
    </cfRule>
    <cfRule type="cellIs" dxfId="1029" priority="45" stopIfTrue="1" operator="equal">
      <formula>$G$7</formula>
    </cfRule>
  </conditionalFormatting>
  <conditionalFormatting sqref="H8">
    <cfRule type="cellIs" dxfId="1028" priority="60" stopIfTrue="1" operator="lessThan">
      <formula>$G$8</formula>
    </cfRule>
    <cfRule type="cellIs" dxfId="1027" priority="59" stopIfTrue="1" operator="equal">
      <formula>$G$8</formula>
    </cfRule>
  </conditionalFormatting>
  <conditionalFormatting sqref="H9">
    <cfRule type="cellIs" dxfId="1026" priority="73" stopIfTrue="1" operator="equal">
      <formula>$G$9</formula>
    </cfRule>
    <cfRule type="cellIs" dxfId="1025" priority="74" stopIfTrue="1" operator="lessThan">
      <formula>$G$9</formula>
    </cfRule>
  </conditionalFormatting>
  <conditionalFormatting sqref="H10">
    <cfRule type="cellIs" dxfId="1024" priority="87" stopIfTrue="1" operator="equal">
      <formula>$G$10</formula>
    </cfRule>
    <cfRule type="cellIs" dxfId="1023" priority="88" stopIfTrue="1" operator="lessThan">
      <formula>$G$10</formula>
    </cfRule>
  </conditionalFormatting>
  <conditionalFormatting sqref="H11">
    <cfRule type="cellIs" dxfId="1022" priority="101" stopIfTrue="1" operator="equal">
      <formula>$G$11</formula>
    </cfRule>
    <cfRule type="cellIs" dxfId="1021" priority="102" stopIfTrue="1" operator="lessThan">
      <formula>$G$11</formula>
    </cfRule>
  </conditionalFormatting>
  <conditionalFormatting sqref="H12">
    <cfRule type="cellIs" dxfId="1020" priority="115" stopIfTrue="1" operator="equal">
      <formula>$G$12</formula>
    </cfRule>
    <cfRule type="cellIs" dxfId="1019" priority="116" stopIfTrue="1" operator="lessThan">
      <formula>$G$12</formula>
    </cfRule>
  </conditionalFormatting>
  <conditionalFormatting sqref="H13">
    <cfRule type="cellIs" dxfId="1018" priority="241" stopIfTrue="1" operator="equal">
      <formula>$G$13</formula>
    </cfRule>
    <cfRule type="cellIs" dxfId="1017" priority="242" stopIfTrue="1" operator="lessThan">
      <formula>$G$13</formula>
    </cfRule>
  </conditionalFormatting>
  <conditionalFormatting sqref="H14">
    <cfRule type="cellIs" dxfId="1016" priority="244" stopIfTrue="1" operator="lessThan">
      <formula>$G$14</formula>
    </cfRule>
    <cfRule type="cellIs" dxfId="1015" priority="243" stopIfTrue="1" operator="equal">
      <formula>$G$14</formula>
    </cfRule>
  </conditionalFormatting>
  <conditionalFormatting sqref="H15">
    <cfRule type="cellIs" dxfId="1014" priority="245" stopIfTrue="1" operator="equal">
      <formula>$G$15</formula>
    </cfRule>
    <cfRule type="cellIs" dxfId="1013" priority="246" stopIfTrue="1" operator="lessThan">
      <formula>$G$15</formula>
    </cfRule>
  </conditionalFormatting>
  <conditionalFormatting sqref="H16">
    <cfRule type="cellIs" dxfId="1012" priority="248" stopIfTrue="1" operator="lessThan">
      <formula>$G$16</formula>
    </cfRule>
    <cfRule type="cellIs" dxfId="1011" priority="247" stopIfTrue="1" operator="equal">
      <formula>$G$16</formula>
    </cfRule>
  </conditionalFormatting>
  <conditionalFormatting sqref="H17">
    <cfRule type="cellIs" dxfId="1010" priority="250" stopIfTrue="1" operator="lessThan">
      <formula>$G$17</formula>
    </cfRule>
    <cfRule type="cellIs" dxfId="1009" priority="249" stopIfTrue="1" operator="equal">
      <formula>$G$17</formula>
    </cfRule>
  </conditionalFormatting>
  <conditionalFormatting sqref="H18">
    <cfRule type="cellIs" dxfId="1008" priority="251" stopIfTrue="1" operator="equal">
      <formula>$G$18</formula>
    </cfRule>
    <cfRule type="cellIs" dxfId="1007" priority="252" stopIfTrue="1" operator="lessThan">
      <formula>$G$18</formula>
    </cfRule>
  </conditionalFormatting>
  <conditionalFormatting sqref="H19">
    <cfRule type="cellIs" dxfId="1006" priority="253" stopIfTrue="1" operator="equal">
      <formula>$G$19</formula>
    </cfRule>
    <cfRule type="cellIs" dxfId="1005" priority="254" stopIfTrue="1" operator="lessThan">
      <formula>$G$19</formula>
    </cfRule>
  </conditionalFormatting>
  <conditionalFormatting sqref="H20">
    <cfRule type="cellIs" dxfId="1004" priority="255" stopIfTrue="1" operator="equal">
      <formula>$G$20</formula>
    </cfRule>
    <cfRule type="cellIs" dxfId="1003" priority="256" stopIfTrue="1" operator="lessThan">
      <formula>$G$20</formula>
    </cfRule>
  </conditionalFormatting>
  <conditionalFormatting sqref="H21">
    <cfRule type="cellIs" dxfId="1002" priority="257" stopIfTrue="1" operator="equal">
      <formula>$G$21</formula>
    </cfRule>
    <cfRule type="cellIs" dxfId="1001" priority="258" stopIfTrue="1" operator="lessThan">
      <formula>$G$21</formula>
    </cfRule>
  </conditionalFormatting>
  <conditionalFormatting sqref="H22">
    <cfRule type="cellIs" dxfId="1000" priority="260" stopIfTrue="1" operator="lessThan">
      <formula>$G$22</formula>
    </cfRule>
    <cfRule type="cellIs" dxfId="999" priority="259" stopIfTrue="1" operator="equal">
      <formula>$G$22</formula>
    </cfRule>
  </conditionalFormatting>
  <conditionalFormatting sqref="H23">
    <cfRule type="cellIs" dxfId="998" priority="262" stopIfTrue="1" operator="lessThan">
      <formula>$G$23</formula>
    </cfRule>
    <cfRule type="cellIs" dxfId="997" priority="261" stopIfTrue="1" operator="equal">
      <formula>$G$23</formula>
    </cfRule>
  </conditionalFormatting>
  <conditionalFormatting sqref="H24">
    <cfRule type="cellIs" dxfId="996" priority="280" stopIfTrue="1" operator="lessThan">
      <formula>$G$24</formula>
    </cfRule>
    <cfRule type="cellIs" dxfId="995" priority="279" stopIfTrue="1" operator="equal">
      <formula>$G$24</formula>
    </cfRule>
  </conditionalFormatting>
  <conditionalFormatting sqref="H25">
    <cfRule type="cellIs" dxfId="994" priority="263" stopIfTrue="1" operator="equal">
      <formula>$G$25</formula>
    </cfRule>
    <cfRule type="cellIs" dxfId="993" priority="264" stopIfTrue="1" operator="lessThan">
      <formula>$G$25</formula>
    </cfRule>
  </conditionalFormatting>
  <conditionalFormatting sqref="H26">
    <cfRule type="cellIs" dxfId="992" priority="266" stopIfTrue="1" operator="lessThan">
      <formula>$G$26</formula>
    </cfRule>
    <cfRule type="cellIs" dxfId="991" priority="265" stopIfTrue="1" operator="equal">
      <formula>$G$26</formula>
    </cfRule>
  </conditionalFormatting>
  <conditionalFormatting sqref="H27">
    <cfRule type="cellIs" dxfId="990" priority="267" stopIfTrue="1" operator="equal">
      <formula>$G$27</formula>
    </cfRule>
    <cfRule type="cellIs" dxfId="989" priority="268" stopIfTrue="1" operator="lessThan">
      <formula>$G$27</formula>
    </cfRule>
  </conditionalFormatting>
  <conditionalFormatting sqref="H28">
    <cfRule type="cellIs" dxfId="988" priority="269" stopIfTrue="1" operator="equal">
      <formula>$G$28</formula>
    </cfRule>
    <cfRule type="cellIs" dxfId="987" priority="270" stopIfTrue="1" operator="lessThan">
      <formula>$G$28</formula>
    </cfRule>
  </conditionalFormatting>
  <conditionalFormatting sqref="I4">
    <cfRule type="cellIs" dxfId="986" priority="22" stopIfTrue="1" operator="equal">
      <formula>$H$4</formula>
    </cfRule>
  </conditionalFormatting>
  <conditionalFormatting sqref="I5">
    <cfRule type="cellIs" dxfId="985" priority="9" stopIfTrue="1" operator="lessThan">
      <formula>$H$5</formula>
    </cfRule>
    <cfRule type="cellIs" dxfId="984" priority="8" stopIfTrue="1" operator="equal">
      <formula>$H$5</formula>
    </cfRule>
  </conditionalFormatting>
  <conditionalFormatting sqref="I6">
    <cfRule type="cellIs" dxfId="983" priority="35" stopIfTrue="1" operator="equal">
      <formula>$H$6</formula>
    </cfRule>
    <cfRule type="cellIs" dxfId="982" priority="36" stopIfTrue="1" operator="lessThan">
      <formula>$H$6</formula>
    </cfRule>
  </conditionalFormatting>
  <conditionalFormatting sqref="I7">
    <cfRule type="cellIs" dxfId="981" priority="47" stopIfTrue="1" operator="equal">
      <formula>$H$7</formula>
    </cfRule>
    <cfRule type="cellIs" dxfId="980" priority="48" stopIfTrue="1" operator="lessThan">
      <formula>$H$7</formula>
    </cfRule>
  </conditionalFormatting>
  <conditionalFormatting sqref="I8">
    <cfRule type="cellIs" dxfId="979" priority="62" stopIfTrue="1" operator="lessThan">
      <formula>$H$8</formula>
    </cfRule>
    <cfRule type="cellIs" dxfId="978" priority="61" stopIfTrue="1" operator="equal">
      <formula>$H$8</formula>
    </cfRule>
  </conditionalFormatting>
  <conditionalFormatting sqref="I9">
    <cfRule type="cellIs" dxfId="977" priority="76" stopIfTrue="1" operator="lessThan">
      <formula>$H$9</formula>
    </cfRule>
    <cfRule type="cellIs" dxfId="976" priority="75" stopIfTrue="1" operator="equal">
      <formula>$H$9</formula>
    </cfRule>
  </conditionalFormatting>
  <conditionalFormatting sqref="I10">
    <cfRule type="cellIs" dxfId="975" priority="90" stopIfTrue="1" operator="lessThan">
      <formula>$H$10</formula>
    </cfRule>
    <cfRule type="cellIs" dxfId="974" priority="89" stopIfTrue="1" operator="equal">
      <formula>$H$10</formula>
    </cfRule>
  </conditionalFormatting>
  <conditionalFormatting sqref="I11">
    <cfRule type="cellIs" dxfId="973" priority="103" stopIfTrue="1" operator="equal">
      <formula>$H$11</formula>
    </cfRule>
    <cfRule type="cellIs" dxfId="972" priority="104" stopIfTrue="1" operator="lessThan">
      <formula>$H$11</formula>
    </cfRule>
  </conditionalFormatting>
  <conditionalFormatting sqref="I12">
    <cfRule type="cellIs" dxfId="971" priority="118" stopIfTrue="1" operator="lessThan">
      <formula>$H$12</formula>
    </cfRule>
    <cfRule type="cellIs" dxfId="970" priority="117" stopIfTrue="1" operator="equal">
      <formula>$H$12</formula>
    </cfRule>
  </conditionalFormatting>
  <conditionalFormatting sqref="I13">
    <cfRule type="cellIs" dxfId="969" priority="287" stopIfTrue="1" operator="equal">
      <formula>$H$13</formula>
    </cfRule>
    <cfRule type="cellIs" dxfId="968" priority="288" stopIfTrue="1" operator="lessThan">
      <formula>$H$13</formula>
    </cfRule>
  </conditionalFormatting>
  <conditionalFormatting sqref="I14">
    <cfRule type="cellIs" dxfId="967" priority="289" stopIfTrue="1" operator="equal">
      <formula>$H$14</formula>
    </cfRule>
    <cfRule type="cellIs" dxfId="966" priority="290" stopIfTrue="1" operator="lessThan">
      <formula>$H$14</formula>
    </cfRule>
  </conditionalFormatting>
  <conditionalFormatting sqref="I15">
    <cfRule type="cellIs" dxfId="965" priority="292" stopIfTrue="1" operator="lessThan">
      <formula>$H$15</formula>
    </cfRule>
    <cfRule type="cellIs" dxfId="964" priority="291" stopIfTrue="1" operator="equal">
      <formula>$H$15</formula>
    </cfRule>
  </conditionalFormatting>
  <conditionalFormatting sqref="I16">
    <cfRule type="cellIs" dxfId="963" priority="293" stopIfTrue="1" operator="equal">
      <formula>$H$16</formula>
    </cfRule>
    <cfRule type="cellIs" dxfId="962" priority="294" stopIfTrue="1" operator="lessThan">
      <formula>$H$16</formula>
    </cfRule>
  </conditionalFormatting>
  <conditionalFormatting sqref="I17">
    <cfRule type="cellIs" dxfId="961" priority="296" stopIfTrue="1" operator="lessThan">
      <formula>$H$17</formula>
    </cfRule>
    <cfRule type="cellIs" dxfId="960" priority="295" stopIfTrue="1" operator="equal">
      <formula>$H$17</formula>
    </cfRule>
  </conditionalFormatting>
  <conditionalFormatting sqref="I18">
    <cfRule type="cellIs" dxfId="959" priority="297" stopIfTrue="1" operator="equal">
      <formula>$H$18</formula>
    </cfRule>
    <cfRule type="cellIs" dxfId="958" priority="298" stopIfTrue="1" operator="lessThan">
      <formula>$H$18</formula>
    </cfRule>
  </conditionalFormatting>
  <conditionalFormatting sqref="I19">
    <cfRule type="cellIs" dxfId="957" priority="300" stopIfTrue="1" operator="lessThan">
      <formula>$H$19</formula>
    </cfRule>
    <cfRule type="cellIs" dxfId="956" priority="299" stopIfTrue="1" operator="equal">
      <formula>$H$19</formula>
    </cfRule>
  </conditionalFormatting>
  <conditionalFormatting sqref="I20">
    <cfRule type="cellIs" dxfId="955" priority="302" stopIfTrue="1" operator="lessThan">
      <formula>$H$20</formula>
    </cfRule>
    <cfRule type="cellIs" dxfId="954" priority="301" stopIfTrue="1" operator="equal">
      <formula>$H$20</formula>
    </cfRule>
  </conditionalFormatting>
  <conditionalFormatting sqref="I21">
    <cfRule type="cellIs" dxfId="953" priority="303" stopIfTrue="1" operator="equal">
      <formula>$H$21</formula>
    </cfRule>
    <cfRule type="cellIs" dxfId="952" priority="304" stopIfTrue="1" operator="lessThan">
      <formula>$H$21</formula>
    </cfRule>
  </conditionalFormatting>
  <conditionalFormatting sqref="I22">
    <cfRule type="cellIs" dxfId="951" priority="306" stopIfTrue="1" operator="lessThan">
      <formula>$H$22</formula>
    </cfRule>
    <cfRule type="cellIs" dxfId="950" priority="305" stopIfTrue="1" operator="equal">
      <formula>$H$22</formula>
    </cfRule>
  </conditionalFormatting>
  <conditionalFormatting sqref="I23">
    <cfRule type="cellIs" dxfId="949" priority="308" stopIfTrue="1" operator="lessThan">
      <formula>$H$23</formula>
    </cfRule>
    <cfRule type="cellIs" dxfId="948" priority="307" stopIfTrue="1" operator="equal">
      <formula>$H$23</formula>
    </cfRule>
  </conditionalFormatting>
  <conditionalFormatting sqref="I24">
    <cfRule type="cellIs" dxfId="947" priority="310" stopIfTrue="1" operator="lessThan">
      <formula>$H$24</formula>
    </cfRule>
    <cfRule type="cellIs" dxfId="946" priority="309" stopIfTrue="1" operator="equal">
      <formula>$H$24</formula>
    </cfRule>
  </conditionalFormatting>
  <conditionalFormatting sqref="I25">
    <cfRule type="cellIs" dxfId="945" priority="312" stopIfTrue="1" operator="lessThan">
      <formula>$H$25</formula>
    </cfRule>
    <cfRule type="cellIs" dxfId="944" priority="311" stopIfTrue="1" operator="equal">
      <formula>$H$25</formula>
    </cfRule>
  </conditionalFormatting>
  <conditionalFormatting sqref="I26">
    <cfRule type="cellIs" dxfId="943" priority="314" stopIfTrue="1" operator="lessThan">
      <formula>$H$26</formula>
    </cfRule>
    <cfRule type="cellIs" dxfId="942" priority="313" stopIfTrue="1" operator="equal">
      <formula>$H$26</formula>
    </cfRule>
  </conditionalFormatting>
  <conditionalFormatting sqref="I27">
    <cfRule type="cellIs" dxfId="941" priority="316" stopIfTrue="1" operator="lessThan">
      <formula>$H$27</formula>
    </cfRule>
    <cfRule type="cellIs" dxfId="940" priority="315" stopIfTrue="1" operator="equal">
      <formula>$H$27</formula>
    </cfRule>
  </conditionalFormatting>
  <conditionalFormatting sqref="I28">
    <cfRule type="cellIs" dxfId="939" priority="319" stopIfTrue="1" operator="lessThan">
      <formula>$H$28</formula>
    </cfRule>
    <cfRule type="cellIs" dxfId="938" priority="318" stopIfTrue="1" operator="equal">
      <formula>$H$28</formula>
    </cfRule>
  </conditionalFormatting>
  <conditionalFormatting sqref="I29">
    <cfRule type="cellIs" dxfId="937" priority="320" stopIfTrue="1" operator="equal">
      <formula>$H$29</formula>
    </cfRule>
    <cfRule type="cellIs" dxfId="936" priority="321" stopIfTrue="1" operator="lessThan">
      <formula>$H$29</formula>
    </cfRule>
  </conditionalFormatting>
  <conditionalFormatting sqref="J4">
    <cfRule type="cellIs" dxfId="935" priority="23" stopIfTrue="1" operator="lessThan">
      <formula>$I$4</formula>
    </cfRule>
    <cfRule type="cellIs" dxfId="934" priority="24" stopIfTrue="1" operator="equal">
      <formula>$I$4</formula>
    </cfRule>
  </conditionalFormatting>
  <conditionalFormatting sqref="J5">
    <cfRule type="cellIs" dxfId="933" priority="11" stopIfTrue="1" operator="lessThan">
      <formula>$I$5</formula>
    </cfRule>
    <cfRule type="cellIs" dxfId="932" priority="10" stopIfTrue="1" operator="equal">
      <formula>$I$5</formula>
    </cfRule>
  </conditionalFormatting>
  <conditionalFormatting sqref="J6">
    <cfRule type="cellIs" dxfId="931" priority="38" stopIfTrue="1" operator="lessThan">
      <formula>$I$6</formula>
    </cfRule>
    <cfRule type="cellIs" dxfId="930" priority="37" stopIfTrue="1" operator="equal">
      <formula>$I$6</formula>
    </cfRule>
  </conditionalFormatting>
  <conditionalFormatting sqref="J7">
    <cfRule type="cellIs" dxfId="929" priority="50" stopIfTrue="1" operator="lessThan">
      <formula>$I$7</formula>
    </cfRule>
    <cfRule type="cellIs" dxfId="928" priority="49" stopIfTrue="1" operator="equal">
      <formula>$I$7</formula>
    </cfRule>
  </conditionalFormatting>
  <conditionalFormatting sqref="J8">
    <cfRule type="cellIs" dxfId="927" priority="64" stopIfTrue="1" operator="lessThan">
      <formula>$I$8</formula>
    </cfRule>
    <cfRule type="cellIs" dxfId="926" priority="63" stopIfTrue="1" operator="equal">
      <formula>$I$8</formula>
    </cfRule>
  </conditionalFormatting>
  <conditionalFormatting sqref="J9">
    <cfRule type="cellIs" dxfId="925" priority="78" stopIfTrue="1" operator="lessThan">
      <formula>$I$9</formula>
    </cfRule>
    <cfRule type="cellIs" dxfId="924" priority="77" stopIfTrue="1" operator="equal">
      <formula>$I$9</formula>
    </cfRule>
  </conditionalFormatting>
  <conditionalFormatting sqref="J10">
    <cfRule type="cellIs" dxfId="923" priority="92" stopIfTrue="1" operator="lessThan">
      <formula>$I$10</formula>
    </cfRule>
    <cfRule type="cellIs" dxfId="922" priority="91" stopIfTrue="1" operator="equal">
      <formula>$I$10</formula>
    </cfRule>
  </conditionalFormatting>
  <conditionalFormatting sqref="J11">
    <cfRule type="cellIs" dxfId="921" priority="106" stopIfTrue="1" operator="lessThan">
      <formula>$I$11</formula>
    </cfRule>
    <cfRule type="cellIs" dxfId="920" priority="105" stopIfTrue="1" operator="equal">
      <formula>$I$11</formula>
    </cfRule>
  </conditionalFormatting>
  <conditionalFormatting sqref="J12">
    <cfRule type="cellIs" dxfId="919" priority="119" stopIfTrue="1" operator="equal">
      <formula>$I$12</formula>
    </cfRule>
    <cfRule type="cellIs" dxfId="918" priority="120" stopIfTrue="1" operator="lessThan">
      <formula>$I$12</formula>
    </cfRule>
  </conditionalFormatting>
  <conditionalFormatting sqref="J13">
    <cfRule type="cellIs" dxfId="917" priority="323" stopIfTrue="1" operator="lessThan">
      <formula>$I$13</formula>
    </cfRule>
    <cfRule type="cellIs" dxfId="916" priority="322" stopIfTrue="1" operator="equal">
      <formula>$I$13</formula>
    </cfRule>
  </conditionalFormatting>
  <conditionalFormatting sqref="J14">
    <cfRule type="cellIs" dxfId="915" priority="325" stopIfTrue="1" operator="lessThan">
      <formula>$I$14</formula>
    </cfRule>
    <cfRule type="cellIs" dxfId="914" priority="324" stopIfTrue="1" operator="equal">
      <formula>$I$14</formula>
    </cfRule>
  </conditionalFormatting>
  <conditionalFormatting sqref="J15">
    <cfRule type="cellIs" dxfId="913" priority="326" stopIfTrue="1" operator="equal">
      <formula>$I$15</formula>
    </cfRule>
    <cfRule type="cellIs" dxfId="912" priority="327" stopIfTrue="1" operator="lessThan">
      <formula>$I$15</formula>
    </cfRule>
  </conditionalFormatting>
  <conditionalFormatting sqref="J16">
    <cfRule type="cellIs" dxfId="911" priority="328" stopIfTrue="1" operator="equal">
      <formula>$I$16</formula>
    </cfRule>
    <cfRule type="cellIs" dxfId="910" priority="329" stopIfTrue="1" operator="lessThan">
      <formula>$I$16</formula>
    </cfRule>
  </conditionalFormatting>
  <conditionalFormatting sqref="J17">
    <cfRule type="cellIs" dxfId="909" priority="330" stopIfTrue="1" operator="equal">
      <formula>$I$17</formula>
    </cfRule>
    <cfRule type="cellIs" dxfId="908" priority="331" stopIfTrue="1" operator="lessThan">
      <formula>$I$17</formula>
    </cfRule>
  </conditionalFormatting>
  <conditionalFormatting sqref="J18">
    <cfRule type="cellIs" dxfId="907" priority="332" stopIfTrue="1" operator="equal">
      <formula>$I$18</formula>
    </cfRule>
    <cfRule type="cellIs" dxfId="906" priority="333" stopIfTrue="1" operator="lessThan">
      <formula>$I$18</formula>
    </cfRule>
  </conditionalFormatting>
  <conditionalFormatting sqref="J19">
    <cfRule type="cellIs" dxfId="905" priority="334" stopIfTrue="1" operator="equal">
      <formula>$I$19</formula>
    </cfRule>
    <cfRule type="cellIs" dxfId="904" priority="335" stopIfTrue="1" operator="lessThan">
      <formula>$I$19</formula>
    </cfRule>
  </conditionalFormatting>
  <conditionalFormatting sqref="J20">
    <cfRule type="cellIs" dxfId="903" priority="336" stopIfTrue="1" operator="equal">
      <formula>$I$20</formula>
    </cfRule>
    <cfRule type="cellIs" dxfId="902" priority="337" stopIfTrue="1" operator="lessThan">
      <formula>$I$20</formula>
    </cfRule>
  </conditionalFormatting>
  <conditionalFormatting sqref="J21">
    <cfRule type="cellIs" dxfId="901" priority="338" stopIfTrue="1" operator="equal">
      <formula>$I$21</formula>
    </cfRule>
    <cfRule type="cellIs" dxfId="900" priority="339" stopIfTrue="1" operator="lessThan">
      <formula>$I$21</formula>
    </cfRule>
  </conditionalFormatting>
  <conditionalFormatting sqref="J22">
    <cfRule type="cellIs" dxfId="899" priority="340" stopIfTrue="1" operator="equal">
      <formula>$I$22</formula>
    </cfRule>
    <cfRule type="cellIs" dxfId="898" priority="341" stopIfTrue="1" operator="lessThan">
      <formula>$I$22</formula>
    </cfRule>
  </conditionalFormatting>
  <conditionalFormatting sqref="J23">
    <cfRule type="cellIs" dxfId="897" priority="343" stopIfTrue="1" operator="lessThan">
      <formula>$I$23</formula>
    </cfRule>
    <cfRule type="cellIs" dxfId="896" priority="342" stopIfTrue="1" operator="equal">
      <formula>$I$23</formula>
    </cfRule>
  </conditionalFormatting>
  <conditionalFormatting sqref="J24">
    <cfRule type="cellIs" dxfId="895" priority="344" stopIfTrue="1" operator="equal">
      <formula>$I$24</formula>
    </cfRule>
    <cfRule type="cellIs" dxfId="894" priority="345" stopIfTrue="1" operator="lessThan">
      <formula>$I$24</formula>
    </cfRule>
  </conditionalFormatting>
  <conditionalFormatting sqref="J25">
    <cfRule type="cellIs" dxfId="893" priority="346" stopIfTrue="1" operator="equal">
      <formula>$I$25</formula>
    </cfRule>
    <cfRule type="cellIs" dxfId="892" priority="347" stopIfTrue="1" operator="lessThan">
      <formula>$I$25</formula>
    </cfRule>
  </conditionalFormatting>
  <conditionalFormatting sqref="J26">
    <cfRule type="cellIs" dxfId="891" priority="348" stopIfTrue="1" operator="equal">
      <formula>$I$26</formula>
    </cfRule>
    <cfRule type="cellIs" dxfId="890" priority="349" stopIfTrue="1" operator="lessThan">
      <formula>$I$26</formula>
    </cfRule>
  </conditionalFormatting>
  <conditionalFormatting sqref="J27">
    <cfRule type="cellIs" dxfId="889" priority="350" stopIfTrue="1" operator="equal">
      <formula>$I$27</formula>
    </cfRule>
    <cfRule type="cellIs" dxfId="888" priority="351" stopIfTrue="1" operator="lessThan">
      <formula>$I$27</formula>
    </cfRule>
  </conditionalFormatting>
  <conditionalFormatting sqref="J28">
    <cfRule type="cellIs" dxfId="887" priority="352" stopIfTrue="1" operator="equal">
      <formula>$I$28</formula>
    </cfRule>
    <cfRule type="cellIs" dxfId="886" priority="353" stopIfTrue="1" operator="lessThan">
      <formula>$I$28</formula>
    </cfRule>
  </conditionalFormatting>
  <conditionalFormatting sqref="K4">
    <cfRule type="cellIs" dxfId="885" priority="354" stopIfTrue="1" operator="equal">
      <formula>$J$4</formula>
    </cfRule>
    <cfRule type="cellIs" dxfId="884" priority="355" stopIfTrue="1" operator="lessThan">
      <formula>$J$4</formula>
    </cfRule>
  </conditionalFormatting>
  <conditionalFormatting sqref="K5">
    <cfRule type="cellIs" dxfId="883" priority="356" stopIfTrue="1" operator="equal">
      <formula>$J$5</formula>
    </cfRule>
    <cfRule type="cellIs" dxfId="882" priority="357" stopIfTrue="1" operator="lessThan">
      <formula>$J$5</formula>
    </cfRule>
  </conditionalFormatting>
  <conditionalFormatting sqref="K6">
    <cfRule type="cellIs" dxfId="881" priority="358" stopIfTrue="1" operator="equal">
      <formula>$J$6</formula>
    </cfRule>
    <cfRule type="cellIs" dxfId="880" priority="359" stopIfTrue="1" operator="lessThan">
      <formula>$J$6</formula>
    </cfRule>
  </conditionalFormatting>
  <conditionalFormatting sqref="K7">
    <cfRule type="cellIs" dxfId="879" priority="360" stopIfTrue="1" operator="equal">
      <formula>$J$7</formula>
    </cfRule>
    <cfRule type="cellIs" dxfId="878" priority="361" stopIfTrue="1" operator="lessThan">
      <formula>$J$7</formula>
    </cfRule>
  </conditionalFormatting>
  <conditionalFormatting sqref="K8">
    <cfRule type="cellIs" dxfId="877" priority="363" stopIfTrue="1" operator="lessThan">
      <formula>$J$8</formula>
    </cfRule>
    <cfRule type="cellIs" dxfId="876" priority="362" stopIfTrue="1" operator="equal">
      <formula>$J$8</formula>
    </cfRule>
  </conditionalFormatting>
  <conditionalFormatting sqref="K9">
    <cfRule type="cellIs" dxfId="875" priority="365" stopIfTrue="1" operator="lessThan">
      <formula>$J$9</formula>
    </cfRule>
    <cfRule type="cellIs" dxfId="874" priority="364" stopIfTrue="1" operator="equal">
      <formula>$J$9</formula>
    </cfRule>
  </conditionalFormatting>
  <conditionalFormatting sqref="K10">
    <cfRule type="cellIs" dxfId="873" priority="366" stopIfTrue="1" operator="equal">
      <formula>$J$10</formula>
    </cfRule>
    <cfRule type="cellIs" dxfId="872" priority="367" stopIfTrue="1" operator="lessThan">
      <formula>$J$10</formula>
    </cfRule>
  </conditionalFormatting>
  <conditionalFormatting sqref="K11">
    <cfRule type="cellIs" dxfId="871" priority="368" stopIfTrue="1" operator="equal">
      <formula>$J$11</formula>
    </cfRule>
    <cfRule type="cellIs" dxfId="870" priority="369" stopIfTrue="1" operator="lessThan">
      <formula>$J$11</formula>
    </cfRule>
  </conditionalFormatting>
  <conditionalFormatting sqref="K12">
    <cfRule type="cellIs" dxfId="869" priority="370" stopIfTrue="1" operator="equal">
      <formula>$J$12</formula>
    </cfRule>
    <cfRule type="cellIs" dxfId="868" priority="371" stopIfTrue="1" operator="lessThan">
      <formula>$J$12</formula>
    </cfRule>
  </conditionalFormatting>
  <conditionalFormatting sqref="K13">
    <cfRule type="cellIs" dxfId="867" priority="372" stopIfTrue="1" operator="equal">
      <formula>$J$13</formula>
    </cfRule>
    <cfRule type="cellIs" dxfId="866" priority="373" stopIfTrue="1" operator="lessThan">
      <formula>$J$13</formula>
    </cfRule>
  </conditionalFormatting>
  <conditionalFormatting sqref="K14">
    <cfRule type="cellIs" dxfId="865" priority="374" stopIfTrue="1" operator="equal">
      <formula>$J$14</formula>
    </cfRule>
    <cfRule type="cellIs" dxfId="864" priority="375" stopIfTrue="1" operator="lessThan">
      <formula>$J$14</formula>
    </cfRule>
  </conditionalFormatting>
  <conditionalFormatting sqref="K15">
    <cfRule type="cellIs" dxfId="863" priority="376" stopIfTrue="1" operator="equal">
      <formula>$J$15</formula>
    </cfRule>
    <cfRule type="cellIs" dxfId="862" priority="377" stopIfTrue="1" operator="lessThan">
      <formula>$J$15</formula>
    </cfRule>
  </conditionalFormatting>
  <conditionalFormatting sqref="K16">
    <cfRule type="cellIs" dxfId="861" priority="378" stopIfTrue="1" operator="equal">
      <formula>$J$16</formula>
    </cfRule>
    <cfRule type="cellIs" dxfId="860" priority="379" stopIfTrue="1" operator="lessThan">
      <formula>$J$16</formula>
    </cfRule>
  </conditionalFormatting>
  <conditionalFormatting sqref="K17">
    <cfRule type="cellIs" dxfId="859" priority="380" stopIfTrue="1" operator="equal">
      <formula>$J$17</formula>
    </cfRule>
    <cfRule type="cellIs" dxfId="858" priority="381" stopIfTrue="1" operator="lessThan">
      <formula>$J$17</formula>
    </cfRule>
  </conditionalFormatting>
  <conditionalFormatting sqref="K18">
    <cfRule type="cellIs" dxfId="857" priority="383" stopIfTrue="1" operator="lessThan">
      <formula>$J$18</formula>
    </cfRule>
    <cfRule type="cellIs" dxfId="856" priority="382" stopIfTrue="1" operator="equal">
      <formula>$J$18</formula>
    </cfRule>
  </conditionalFormatting>
  <conditionalFormatting sqref="K19">
    <cfRule type="cellIs" dxfId="855" priority="385" stopIfTrue="1" operator="lessThan">
      <formula>$J$19</formula>
    </cfRule>
    <cfRule type="cellIs" dxfId="854" priority="384" stopIfTrue="1" operator="equal">
      <formula>$J$19</formula>
    </cfRule>
  </conditionalFormatting>
  <conditionalFormatting sqref="K20">
    <cfRule type="cellIs" dxfId="853" priority="386" stopIfTrue="1" operator="equal">
      <formula>$J$20</formula>
    </cfRule>
    <cfRule type="cellIs" dxfId="852" priority="387" stopIfTrue="1" operator="lessThan">
      <formula>$J$20</formula>
    </cfRule>
  </conditionalFormatting>
  <conditionalFormatting sqref="K21">
    <cfRule type="cellIs" dxfId="851" priority="388" stopIfTrue="1" operator="equal">
      <formula>$J$21</formula>
    </cfRule>
    <cfRule type="cellIs" dxfId="850" priority="389" stopIfTrue="1" operator="lessThan">
      <formula>$J$21</formula>
    </cfRule>
  </conditionalFormatting>
  <conditionalFormatting sqref="K22">
    <cfRule type="cellIs" dxfId="849" priority="390" stopIfTrue="1" operator="equal">
      <formula>$J$22</formula>
    </cfRule>
    <cfRule type="cellIs" dxfId="848" priority="391" stopIfTrue="1" operator="lessThan">
      <formula>$J$22</formula>
    </cfRule>
  </conditionalFormatting>
  <conditionalFormatting sqref="K23">
    <cfRule type="cellIs" dxfId="847" priority="392" stopIfTrue="1" operator="equal">
      <formula>$J$23</formula>
    </cfRule>
    <cfRule type="cellIs" dxfId="846" priority="393" stopIfTrue="1" operator="lessThan">
      <formula>$J$23</formula>
    </cfRule>
  </conditionalFormatting>
  <conditionalFormatting sqref="K24">
    <cfRule type="cellIs" dxfId="845" priority="394" stopIfTrue="1" operator="equal">
      <formula>$J$24</formula>
    </cfRule>
    <cfRule type="cellIs" dxfId="844" priority="395" stopIfTrue="1" operator="lessThan">
      <formula>$J$24</formula>
    </cfRule>
  </conditionalFormatting>
  <conditionalFormatting sqref="K25">
    <cfRule type="cellIs" dxfId="843" priority="396" stopIfTrue="1" operator="equal">
      <formula>$J$25</formula>
    </cfRule>
    <cfRule type="cellIs" dxfId="842" priority="397" stopIfTrue="1" operator="lessThan">
      <formula>$J$25</formula>
    </cfRule>
  </conditionalFormatting>
  <conditionalFormatting sqref="K26">
    <cfRule type="cellIs" dxfId="841" priority="398" stopIfTrue="1" operator="equal">
      <formula>$J$26</formula>
    </cfRule>
    <cfRule type="cellIs" dxfId="840" priority="399" stopIfTrue="1" operator="lessThan">
      <formula>$J$26</formula>
    </cfRule>
  </conditionalFormatting>
  <conditionalFormatting sqref="K27">
    <cfRule type="cellIs" dxfId="839" priority="400" stopIfTrue="1" operator="equal">
      <formula>$J$27</formula>
    </cfRule>
    <cfRule type="cellIs" dxfId="838" priority="401" stopIfTrue="1" operator="lessThan">
      <formula>$J$27</formula>
    </cfRule>
  </conditionalFormatting>
  <conditionalFormatting sqref="K28">
    <cfRule type="cellIs" dxfId="837" priority="403" stopIfTrue="1" operator="equal">
      <formula>$J$28</formula>
    </cfRule>
    <cfRule type="cellIs" dxfId="836" priority="402" stopIfTrue="1" operator="lessThan">
      <formula>$J$28</formula>
    </cfRule>
  </conditionalFormatting>
  <conditionalFormatting sqref="L4">
    <cfRule type="cellIs" dxfId="835" priority="405" stopIfTrue="1" operator="lessThan">
      <formula>$K$4</formula>
    </cfRule>
    <cfRule type="cellIs" dxfId="834" priority="404" stopIfTrue="1" operator="equal">
      <formula>$K$4</formula>
    </cfRule>
  </conditionalFormatting>
  <conditionalFormatting sqref="L5">
    <cfRule type="cellIs" dxfId="833" priority="406" stopIfTrue="1" operator="equal">
      <formula>$K$5</formula>
    </cfRule>
    <cfRule type="cellIs" dxfId="832" priority="407" stopIfTrue="1" operator="lessThan">
      <formula>$K$5</formula>
    </cfRule>
  </conditionalFormatting>
  <conditionalFormatting sqref="L6">
    <cfRule type="cellIs" dxfId="831" priority="408" stopIfTrue="1" operator="equal">
      <formula>$K$6</formula>
    </cfRule>
    <cfRule type="cellIs" dxfId="830" priority="409" stopIfTrue="1" operator="lessThan">
      <formula>$K$6</formula>
    </cfRule>
  </conditionalFormatting>
  <conditionalFormatting sqref="L7">
    <cfRule type="cellIs" dxfId="829" priority="410" stopIfTrue="1" operator="equal">
      <formula>$K$7</formula>
    </cfRule>
    <cfRule type="cellIs" dxfId="828" priority="411" stopIfTrue="1" operator="lessThan">
      <formula>$K$7</formula>
    </cfRule>
  </conditionalFormatting>
  <conditionalFormatting sqref="L8">
    <cfRule type="cellIs" dxfId="827" priority="412" stopIfTrue="1" operator="equal">
      <formula>$K$8</formula>
    </cfRule>
    <cfRule type="cellIs" dxfId="826" priority="413" stopIfTrue="1" operator="lessThan">
      <formula>$K$8</formula>
    </cfRule>
  </conditionalFormatting>
  <conditionalFormatting sqref="L9">
    <cfRule type="cellIs" dxfId="825" priority="414" stopIfTrue="1" operator="equal">
      <formula>$K$9</formula>
    </cfRule>
    <cfRule type="cellIs" dxfId="824" priority="415" stopIfTrue="1" operator="lessThan">
      <formula>$K$9</formula>
    </cfRule>
  </conditionalFormatting>
  <conditionalFormatting sqref="L10">
    <cfRule type="cellIs" dxfId="823" priority="416" stopIfTrue="1" operator="equal">
      <formula>$K$10</formula>
    </cfRule>
    <cfRule type="cellIs" dxfId="822" priority="417" stopIfTrue="1" operator="lessThan">
      <formula>$K$10</formula>
    </cfRule>
  </conditionalFormatting>
  <conditionalFormatting sqref="L11">
    <cfRule type="cellIs" dxfId="821" priority="438" stopIfTrue="1" operator="equal">
      <formula>$K$11</formula>
    </cfRule>
    <cfRule type="cellIs" dxfId="820" priority="439" stopIfTrue="1" operator="lessThan">
      <formula>$K$11</formula>
    </cfRule>
  </conditionalFormatting>
  <conditionalFormatting sqref="L12">
    <cfRule type="cellIs" dxfId="819" priority="418" stopIfTrue="1" operator="equal">
      <formula>$K$12</formula>
    </cfRule>
    <cfRule type="cellIs" dxfId="818" priority="419" stopIfTrue="1" operator="lessThan">
      <formula>$K$12</formula>
    </cfRule>
  </conditionalFormatting>
  <conditionalFormatting sqref="L13">
    <cfRule type="cellIs" dxfId="817" priority="420" stopIfTrue="1" operator="equal">
      <formula>$K$13</formula>
    </cfRule>
    <cfRule type="cellIs" dxfId="816" priority="421" stopIfTrue="1" operator="lessThan">
      <formula>$K$13</formula>
    </cfRule>
  </conditionalFormatting>
  <conditionalFormatting sqref="L14">
    <cfRule type="cellIs" dxfId="815" priority="423" stopIfTrue="1" operator="lessThan">
      <formula>$K$14</formula>
    </cfRule>
    <cfRule type="cellIs" dxfId="814" priority="422" stopIfTrue="1" operator="equal">
      <formula>$K$14</formula>
    </cfRule>
  </conditionalFormatting>
  <conditionalFormatting sqref="L15">
    <cfRule type="cellIs" dxfId="813" priority="424" stopIfTrue="1" operator="equal">
      <formula>$K$15</formula>
    </cfRule>
    <cfRule type="cellIs" dxfId="812" priority="425" stopIfTrue="1" operator="lessThan">
      <formula>$K$15</formula>
    </cfRule>
  </conditionalFormatting>
  <conditionalFormatting sqref="L16">
    <cfRule type="cellIs" dxfId="811" priority="426" stopIfTrue="1" operator="equal">
      <formula>$K$16</formula>
    </cfRule>
    <cfRule type="cellIs" dxfId="810" priority="427" stopIfTrue="1" operator="lessThan">
      <formula>$K$16</formula>
    </cfRule>
  </conditionalFormatting>
  <conditionalFormatting sqref="L17">
    <cfRule type="cellIs" dxfId="809" priority="428" stopIfTrue="1" operator="equal">
      <formula>$K$17</formula>
    </cfRule>
    <cfRule type="cellIs" dxfId="808" priority="429" stopIfTrue="1" operator="lessThan">
      <formula>$K$17</formula>
    </cfRule>
  </conditionalFormatting>
  <conditionalFormatting sqref="L18">
    <cfRule type="cellIs" dxfId="807" priority="430" stopIfTrue="1" operator="equal">
      <formula>$K$18</formula>
    </cfRule>
    <cfRule type="cellIs" dxfId="806" priority="431" stopIfTrue="1" operator="lessThan">
      <formula>$K$18</formula>
    </cfRule>
  </conditionalFormatting>
  <conditionalFormatting sqref="L19">
    <cfRule type="cellIs" dxfId="805" priority="432" stopIfTrue="1" operator="equal">
      <formula>$K$19</formula>
    </cfRule>
    <cfRule type="cellIs" dxfId="804" priority="433" stopIfTrue="1" operator="lessThan">
      <formula>$K$19</formula>
    </cfRule>
  </conditionalFormatting>
  <conditionalFormatting sqref="L20">
    <cfRule type="cellIs" dxfId="803" priority="434" stopIfTrue="1" operator="equal">
      <formula>$K$20</formula>
    </cfRule>
    <cfRule type="cellIs" dxfId="802" priority="435" stopIfTrue="1" operator="lessThan">
      <formula>$K$20</formula>
    </cfRule>
  </conditionalFormatting>
  <conditionalFormatting sqref="L21">
    <cfRule type="cellIs" dxfId="801" priority="436" stopIfTrue="1" operator="equal">
      <formula>$K$21</formula>
    </cfRule>
    <cfRule type="cellIs" dxfId="800" priority="437" stopIfTrue="1" operator="lessThan">
      <formula>$K$21</formula>
    </cfRule>
  </conditionalFormatting>
  <conditionalFormatting sqref="L22">
    <cfRule type="cellIs" dxfId="799" priority="440" stopIfTrue="1" operator="equal">
      <formula>$K$22</formula>
    </cfRule>
    <cfRule type="cellIs" dxfId="798" priority="441" stopIfTrue="1" operator="lessThan">
      <formula>$K$22</formula>
    </cfRule>
  </conditionalFormatting>
  <conditionalFormatting sqref="L23">
    <cfRule type="cellIs" dxfId="797" priority="443" stopIfTrue="1" operator="lessThan">
      <formula>$K$23</formula>
    </cfRule>
    <cfRule type="cellIs" dxfId="796" priority="442" stopIfTrue="1" operator="equal">
      <formula>$K$23</formula>
    </cfRule>
  </conditionalFormatting>
  <conditionalFormatting sqref="L24">
    <cfRule type="cellIs" dxfId="795" priority="445" stopIfTrue="1" operator="lessThan">
      <formula>$K$24</formula>
    </cfRule>
    <cfRule type="cellIs" dxfId="794" priority="444" stopIfTrue="1" operator="equal">
      <formula>$K$24</formula>
    </cfRule>
  </conditionalFormatting>
  <conditionalFormatting sqref="L25">
    <cfRule type="cellIs" dxfId="793" priority="446" stopIfTrue="1" operator="equal">
      <formula>$K$25</formula>
    </cfRule>
    <cfRule type="cellIs" dxfId="792" priority="447" stopIfTrue="1" operator="lessThan">
      <formula>$K$25</formula>
    </cfRule>
  </conditionalFormatting>
  <conditionalFormatting sqref="L26">
    <cfRule type="cellIs" dxfId="791" priority="448" stopIfTrue="1" operator="equal">
      <formula>$K$26</formula>
    </cfRule>
    <cfRule type="cellIs" dxfId="790" priority="449" stopIfTrue="1" operator="lessThan">
      <formula>$K$26</formula>
    </cfRule>
  </conditionalFormatting>
  <conditionalFormatting sqref="L27">
    <cfRule type="cellIs" dxfId="789" priority="450" stopIfTrue="1" operator="equal">
      <formula>$K$27</formula>
    </cfRule>
    <cfRule type="cellIs" dxfId="788" priority="451" stopIfTrue="1" operator="lessThan">
      <formula>$K$27</formula>
    </cfRule>
  </conditionalFormatting>
  <conditionalFormatting sqref="L28">
    <cfRule type="cellIs" dxfId="787" priority="452" stopIfTrue="1" operator="equal">
      <formula>$K$28</formula>
    </cfRule>
    <cfRule type="cellIs" dxfId="786" priority="453" stopIfTrue="1" operator="lessThan">
      <formula>$K$28</formula>
    </cfRule>
  </conditionalFormatting>
  <conditionalFormatting sqref="M4">
    <cfRule type="cellIs" dxfId="785" priority="454" stopIfTrue="1" operator="lessThan">
      <formula>$L$4</formula>
    </cfRule>
    <cfRule type="cellIs" dxfId="784" priority="455" stopIfTrue="1" operator="equal">
      <formula>$L$4</formula>
    </cfRule>
  </conditionalFormatting>
  <conditionalFormatting sqref="M5">
    <cfRule type="cellIs" dxfId="783" priority="456" stopIfTrue="1" operator="equal">
      <formula>$L$5</formula>
    </cfRule>
    <cfRule type="cellIs" dxfId="782" priority="457" stopIfTrue="1" operator="lessThan">
      <formula>$L$5</formula>
    </cfRule>
  </conditionalFormatting>
  <conditionalFormatting sqref="M6">
    <cfRule type="cellIs" dxfId="781" priority="458" stopIfTrue="1" operator="equal">
      <formula>$L$6</formula>
    </cfRule>
    <cfRule type="cellIs" dxfId="780" priority="459" stopIfTrue="1" operator="lessThan">
      <formula>$L$6</formula>
    </cfRule>
  </conditionalFormatting>
  <conditionalFormatting sqref="M7">
    <cfRule type="cellIs" dxfId="779" priority="460" stopIfTrue="1" operator="equal">
      <formula>$L$7</formula>
    </cfRule>
    <cfRule type="cellIs" dxfId="778" priority="461" stopIfTrue="1" operator="lessThan">
      <formula>$L$7</formula>
    </cfRule>
  </conditionalFormatting>
  <conditionalFormatting sqref="M8">
    <cfRule type="cellIs" dxfId="777" priority="463" stopIfTrue="1" operator="lessThan">
      <formula>$L$8</formula>
    </cfRule>
    <cfRule type="cellIs" dxfId="776" priority="462" stopIfTrue="1" operator="equal">
      <formula>$L$8</formula>
    </cfRule>
  </conditionalFormatting>
  <conditionalFormatting sqref="M9">
    <cfRule type="cellIs" dxfId="775" priority="464" stopIfTrue="1" operator="equal">
      <formula>$L$9</formula>
    </cfRule>
    <cfRule type="cellIs" dxfId="774" priority="465" stopIfTrue="1" operator="lessThan">
      <formula>$L$9</formula>
    </cfRule>
  </conditionalFormatting>
  <conditionalFormatting sqref="M10">
    <cfRule type="cellIs" dxfId="773" priority="466" stopIfTrue="1" operator="equal">
      <formula>$L$10</formula>
    </cfRule>
    <cfRule type="cellIs" dxfId="772" priority="467" stopIfTrue="1" operator="lessThan">
      <formula>$L$10</formula>
    </cfRule>
  </conditionalFormatting>
  <conditionalFormatting sqref="M11">
    <cfRule type="cellIs" dxfId="771" priority="468" stopIfTrue="1" operator="equal">
      <formula>$L$11</formula>
    </cfRule>
    <cfRule type="cellIs" dxfId="770" priority="469" stopIfTrue="1" operator="lessThan">
      <formula>$L$11</formula>
    </cfRule>
  </conditionalFormatting>
  <conditionalFormatting sqref="M12">
    <cfRule type="cellIs" dxfId="769" priority="470" stopIfTrue="1" operator="equal">
      <formula>$L$12</formula>
    </cfRule>
    <cfRule type="cellIs" dxfId="768" priority="471" stopIfTrue="1" operator="lessThan">
      <formula>$L$12</formula>
    </cfRule>
  </conditionalFormatting>
  <conditionalFormatting sqref="M13">
    <cfRule type="cellIs" dxfId="767" priority="472" stopIfTrue="1" operator="equal">
      <formula>$L$13</formula>
    </cfRule>
    <cfRule type="cellIs" dxfId="766" priority="473" stopIfTrue="1" operator="lessThan">
      <formula>$L$13</formula>
    </cfRule>
  </conditionalFormatting>
  <conditionalFormatting sqref="M14">
    <cfRule type="cellIs" dxfId="765" priority="474" stopIfTrue="1" operator="equal">
      <formula>$L$14</formula>
    </cfRule>
    <cfRule type="cellIs" dxfId="764" priority="475" stopIfTrue="1" operator="lessThan">
      <formula>$L$14</formula>
    </cfRule>
  </conditionalFormatting>
  <conditionalFormatting sqref="M15">
    <cfRule type="cellIs" dxfId="763" priority="476" stopIfTrue="1" operator="equal">
      <formula>$L$15</formula>
    </cfRule>
    <cfRule type="cellIs" dxfId="762" priority="477" stopIfTrue="1" operator="lessThan">
      <formula>$L$15</formula>
    </cfRule>
  </conditionalFormatting>
  <conditionalFormatting sqref="M16">
    <cfRule type="cellIs" dxfId="761" priority="478" stopIfTrue="1" operator="equal">
      <formula>$L$16</formula>
    </cfRule>
    <cfRule type="cellIs" dxfId="760" priority="479" stopIfTrue="1" operator="lessThan">
      <formula>$L$16</formula>
    </cfRule>
  </conditionalFormatting>
  <conditionalFormatting sqref="M17">
    <cfRule type="cellIs" dxfId="759" priority="480" stopIfTrue="1" operator="equal">
      <formula>$L$17</formula>
    </cfRule>
    <cfRule type="cellIs" dxfId="758" priority="481" stopIfTrue="1" operator="lessThan">
      <formula>$L$17</formula>
    </cfRule>
  </conditionalFormatting>
  <conditionalFormatting sqref="M18">
    <cfRule type="cellIs" dxfId="757" priority="483" stopIfTrue="1" operator="lessThan">
      <formula>$L$18</formula>
    </cfRule>
    <cfRule type="cellIs" dxfId="756" priority="482" stopIfTrue="1" operator="equal">
      <formula>$L$18</formula>
    </cfRule>
  </conditionalFormatting>
  <conditionalFormatting sqref="M19">
    <cfRule type="cellIs" dxfId="755" priority="485" stopIfTrue="1" operator="lessThan">
      <formula>$L$19</formula>
    </cfRule>
    <cfRule type="cellIs" dxfId="754" priority="484" stopIfTrue="1" operator="equal">
      <formula>$L$19</formula>
    </cfRule>
  </conditionalFormatting>
  <conditionalFormatting sqref="M20">
    <cfRule type="cellIs" dxfId="753" priority="486" stopIfTrue="1" operator="equal">
      <formula>$L$20</formula>
    </cfRule>
    <cfRule type="cellIs" dxfId="752" priority="487" stopIfTrue="1" operator="lessThan">
      <formula>$L$20</formula>
    </cfRule>
  </conditionalFormatting>
  <conditionalFormatting sqref="M21">
    <cfRule type="cellIs" dxfId="751" priority="488" stopIfTrue="1" operator="equal">
      <formula>$L$21</formula>
    </cfRule>
    <cfRule type="cellIs" dxfId="750" priority="489" stopIfTrue="1" operator="lessThan">
      <formula>$L$21</formula>
    </cfRule>
  </conditionalFormatting>
  <conditionalFormatting sqref="M22">
    <cfRule type="cellIs" dxfId="749" priority="490" stopIfTrue="1" operator="equal">
      <formula>$L$22</formula>
    </cfRule>
    <cfRule type="cellIs" dxfId="748" priority="491" stopIfTrue="1" operator="lessThan">
      <formula>$L$22</formula>
    </cfRule>
  </conditionalFormatting>
  <conditionalFormatting sqref="M23">
    <cfRule type="cellIs" dxfId="747" priority="492" stopIfTrue="1" operator="equal">
      <formula>$L$23</formula>
    </cfRule>
    <cfRule type="cellIs" dxfId="746" priority="493" stopIfTrue="1" operator="lessThan">
      <formula>$L$23</formula>
    </cfRule>
  </conditionalFormatting>
  <conditionalFormatting sqref="M24">
    <cfRule type="cellIs" dxfId="745" priority="494" stopIfTrue="1" operator="equal">
      <formula>$L$24</formula>
    </cfRule>
    <cfRule type="cellIs" dxfId="744" priority="495" stopIfTrue="1" operator="lessThan">
      <formula>$L$24</formula>
    </cfRule>
  </conditionalFormatting>
  <conditionalFormatting sqref="M25">
    <cfRule type="cellIs" dxfId="743" priority="496" stopIfTrue="1" operator="equal">
      <formula>$L$25</formula>
    </cfRule>
    <cfRule type="cellIs" dxfId="742" priority="497" stopIfTrue="1" operator="lessThan">
      <formula>$L$25</formula>
    </cfRule>
  </conditionalFormatting>
  <conditionalFormatting sqref="M26">
    <cfRule type="cellIs" dxfId="741" priority="498" stopIfTrue="1" operator="equal">
      <formula>$L$26</formula>
    </cfRule>
    <cfRule type="cellIs" dxfId="740" priority="499" stopIfTrue="1" operator="lessThan">
      <formula>$L$26</formula>
    </cfRule>
  </conditionalFormatting>
  <conditionalFormatting sqref="M27">
    <cfRule type="cellIs" dxfId="739" priority="500" stopIfTrue="1" operator="equal">
      <formula>$L$27</formula>
    </cfRule>
    <cfRule type="cellIs" dxfId="738" priority="501" stopIfTrue="1" operator="lessThan">
      <formula>$L$27</formula>
    </cfRule>
  </conditionalFormatting>
  <conditionalFormatting sqref="M28">
    <cfRule type="cellIs" dxfId="737" priority="503" stopIfTrue="1" operator="lessThan">
      <formula>$L$28</formula>
    </cfRule>
    <cfRule type="cellIs" dxfId="736" priority="502" stopIfTrue="1" operator="equal">
      <formula>$L$28</formula>
    </cfRule>
  </conditionalFormatting>
  <conditionalFormatting sqref="N4">
    <cfRule type="cellIs" dxfId="735" priority="504" stopIfTrue="1" operator="equal">
      <formula>$M$4</formula>
    </cfRule>
    <cfRule type="cellIs" dxfId="734" priority="505" stopIfTrue="1" operator="lessThan">
      <formula>$M$4</formula>
    </cfRule>
  </conditionalFormatting>
  <conditionalFormatting sqref="N5">
    <cfRule type="cellIs" dxfId="733" priority="506" stopIfTrue="1" operator="equal">
      <formula>$M$5</formula>
    </cfRule>
    <cfRule type="cellIs" dxfId="732" priority="507" stopIfTrue="1" operator="lessThan">
      <formula>$M$5</formula>
    </cfRule>
  </conditionalFormatting>
  <conditionalFormatting sqref="N6">
    <cfRule type="cellIs" dxfId="731" priority="508" stopIfTrue="1" operator="equal">
      <formula>$M$6</formula>
    </cfRule>
    <cfRule type="cellIs" dxfId="730" priority="509" stopIfTrue="1" operator="lessThan">
      <formula>$M$6</formula>
    </cfRule>
  </conditionalFormatting>
  <conditionalFormatting sqref="N7">
    <cfRule type="cellIs" dxfId="729" priority="510" stopIfTrue="1" operator="equal">
      <formula>$M$7</formula>
    </cfRule>
    <cfRule type="cellIs" dxfId="728" priority="511" stopIfTrue="1" operator="lessThan">
      <formula>$M$7</formula>
    </cfRule>
  </conditionalFormatting>
  <conditionalFormatting sqref="N8">
    <cfRule type="cellIs" dxfId="727" priority="512" stopIfTrue="1" operator="equal">
      <formula>$M$8</formula>
    </cfRule>
    <cfRule type="cellIs" dxfId="726" priority="513" stopIfTrue="1" operator="lessThan">
      <formula>$M$8</formula>
    </cfRule>
  </conditionalFormatting>
  <conditionalFormatting sqref="N9">
    <cfRule type="cellIs" dxfId="725" priority="514" stopIfTrue="1" operator="equal">
      <formula>$M$9</formula>
    </cfRule>
    <cfRule type="cellIs" dxfId="724" priority="515" stopIfTrue="1" operator="lessThan">
      <formula>$M$9</formula>
    </cfRule>
  </conditionalFormatting>
  <conditionalFormatting sqref="N10">
    <cfRule type="cellIs" dxfId="723" priority="516" stopIfTrue="1" operator="equal">
      <formula>$M$10</formula>
    </cfRule>
    <cfRule type="cellIs" dxfId="722" priority="517" stopIfTrue="1" operator="lessThan">
      <formula>$M$10</formula>
    </cfRule>
  </conditionalFormatting>
  <conditionalFormatting sqref="N11">
    <cfRule type="cellIs" dxfId="721" priority="518" stopIfTrue="1" operator="equal">
      <formula>$M$11</formula>
    </cfRule>
    <cfRule type="cellIs" dxfId="720" priority="519" stopIfTrue="1" operator="lessThan">
      <formula>$M$11</formula>
    </cfRule>
  </conditionalFormatting>
  <conditionalFormatting sqref="N12">
    <cfRule type="cellIs" dxfId="719" priority="520" stopIfTrue="1" operator="equal">
      <formula>$M$12</formula>
    </cfRule>
    <cfRule type="cellIs" dxfId="718" priority="521" stopIfTrue="1" operator="lessThan">
      <formula>$M$12</formula>
    </cfRule>
  </conditionalFormatting>
  <conditionalFormatting sqref="N13">
    <cfRule type="cellIs" dxfId="717" priority="523" stopIfTrue="1" operator="lessThan">
      <formula>$M$13</formula>
    </cfRule>
    <cfRule type="cellIs" dxfId="716" priority="522" stopIfTrue="1" operator="equal">
      <formula>$M$13</formula>
    </cfRule>
  </conditionalFormatting>
  <conditionalFormatting sqref="N14">
    <cfRule type="cellIs" dxfId="715" priority="525" stopIfTrue="1" operator="lessThan">
      <formula>$M$14</formula>
    </cfRule>
    <cfRule type="cellIs" dxfId="714" priority="524" stopIfTrue="1" operator="equal">
      <formula>$M$14</formula>
    </cfRule>
  </conditionalFormatting>
  <conditionalFormatting sqref="N15">
    <cfRule type="cellIs" dxfId="713" priority="526" stopIfTrue="1" operator="equal">
      <formula>$M$15</formula>
    </cfRule>
    <cfRule type="cellIs" dxfId="712" priority="527" stopIfTrue="1" operator="lessThan">
      <formula>$M$15</formula>
    </cfRule>
  </conditionalFormatting>
  <conditionalFormatting sqref="N16">
    <cfRule type="cellIs" dxfId="711" priority="528" stopIfTrue="1" operator="equal">
      <formula>$M$16</formula>
    </cfRule>
    <cfRule type="cellIs" dxfId="710" priority="529" stopIfTrue="1" operator="lessThan">
      <formula>$M$16</formula>
    </cfRule>
  </conditionalFormatting>
  <conditionalFormatting sqref="N17">
    <cfRule type="cellIs" dxfId="709" priority="530" stopIfTrue="1" operator="equal">
      <formula>$M$17</formula>
    </cfRule>
    <cfRule type="cellIs" dxfId="708" priority="531" stopIfTrue="1" operator="lessThan">
      <formula>$M$17</formula>
    </cfRule>
  </conditionalFormatting>
  <conditionalFormatting sqref="N18">
    <cfRule type="cellIs" dxfId="707" priority="532" stopIfTrue="1" operator="equal">
      <formula>$M$18</formula>
    </cfRule>
    <cfRule type="cellIs" dxfId="706" priority="533" stopIfTrue="1" operator="lessThan">
      <formula>$M$18</formula>
    </cfRule>
  </conditionalFormatting>
  <conditionalFormatting sqref="N19">
    <cfRule type="cellIs" dxfId="705" priority="534" stopIfTrue="1" operator="equal">
      <formula>$M$19</formula>
    </cfRule>
    <cfRule type="cellIs" dxfId="704" priority="535" stopIfTrue="1" operator="lessThan">
      <formula>$M$19</formula>
    </cfRule>
  </conditionalFormatting>
  <conditionalFormatting sqref="N20">
    <cfRule type="cellIs" dxfId="703" priority="536" stopIfTrue="1" operator="equal">
      <formula>$M$20</formula>
    </cfRule>
    <cfRule type="cellIs" dxfId="702" priority="537" stopIfTrue="1" operator="lessThan">
      <formula>$M$20</formula>
    </cfRule>
  </conditionalFormatting>
  <conditionalFormatting sqref="N21">
    <cfRule type="cellIs" dxfId="701" priority="538" stopIfTrue="1" operator="equal">
      <formula>$M$21</formula>
    </cfRule>
    <cfRule type="cellIs" dxfId="700" priority="539" stopIfTrue="1" operator="lessThan">
      <formula>$M$21</formula>
    </cfRule>
  </conditionalFormatting>
  <conditionalFormatting sqref="N22">
    <cfRule type="cellIs" dxfId="699" priority="540" stopIfTrue="1" operator="equal">
      <formula>$M$22</formula>
    </cfRule>
    <cfRule type="cellIs" dxfId="698" priority="541" stopIfTrue="1" operator="lessThan">
      <formula>$M$22</formula>
    </cfRule>
  </conditionalFormatting>
  <conditionalFormatting sqref="N23">
    <cfRule type="cellIs" dxfId="697" priority="543" stopIfTrue="1" operator="lessThan">
      <formula>$M$23</formula>
    </cfRule>
    <cfRule type="cellIs" dxfId="696" priority="542" stopIfTrue="1" operator="equal">
      <formula>$M$23</formula>
    </cfRule>
  </conditionalFormatting>
  <conditionalFormatting sqref="N24">
    <cfRule type="cellIs" dxfId="695" priority="545" stopIfTrue="1" operator="lessThan">
      <formula>$M$24</formula>
    </cfRule>
    <cfRule type="cellIs" dxfId="694" priority="544" stopIfTrue="1" operator="equal">
      <formula>$M$24</formula>
    </cfRule>
  </conditionalFormatting>
  <conditionalFormatting sqref="N25">
    <cfRule type="cellIs" dxfId="693" priority="546" stopIfTrue="1" operator="equal">
      <formula>$M$25</formula>
    </cfRule>
    <cfRule type="cellIs" dxfId="692" priority="547" stopIfTrue="1" operator="lessThan">
      <formula>$M$25</formula>
    </cfRule>
  </conditionalFormatting>
  <conditionalFormatting sqref="N26">
    <cfRule type="cellIs" dxfId="691" priority="548" stopIfTrue="1" operator="equal">
      <formula>$M$26</formula>
    </cfRule>
    <cfRule type="cellIs" dxfId="690" priority="549" stopIfTrue="1" operator="lessThan">
      <formula>$M$26</formula>
    </cfRule>
  </conditionalFormatting>
  <conditionalFormatting sqref="N27">
    <cfRule type="cellIs" dxfId="689" priority="550" stopIfTrue="1" operator="equal">
      <formula>$M$27</formula>
    </cfRule>
    <cfRule type="cellIs" dxfId="688" priority="551" stopIfTrue="1" operator="lessThan">
      <formula>$M$27</formula>
    </cfRule>
  </conditionalFormatting>
  <conditionalFormatting sqref="N28">
    <cfRule type="cellIs" dxfId="687" priority="552" stopIfTrue="1" operator="equal">
      <formula>$M$28</formula>
    </cfRule>
    <cfRule type="cellIs" dxfId="686" priority="553" stopIfTrue="1" operator="lessThan">
      <formula>$M$28</formula>
    </cfRule>
  </conditionalFormatting>
  <conditionalFormatting sqref="O4">
    <cfRule type="cellIs" dxfId="685" priority="554" stopIfTrue="1" operator="equal">
      <formula>$N$4</formula>
    </cfRule>
    <cfRule type="cellIs" dxfId="684" priority="555" stopIfTrue="1" operator="lessThan">
      <formula>$N$4</formula>
    </cfRule>
  </conditionalFormatting>
  <conditionalFormatting sqref="O5">
    <cfRule type="cellIs" dxfId="683" priority="556" stopIfTrue="1" operator="equal">
      <formula>$N$5</formula>
    </cfRule>
    <cfRule type="cellIs" dxfId="682" priority="557" stopIfTrue="1" operator="lessThan">
      <formula>$N$5</formula>
    </cfRule>
  </conditionalFormatting>
  <conditionalFormatting sqref="O6">
    <cfRule type="cellIs" dxfId="681" priority="558" stopIfTrue="1" operator="equal">
      <formula>$N$6</formula>
    </cfRule>
    <cfRule type="cellIs" dxfId="680" priority="559" stopIfTrue="1" operator="lessThan">
      <formula>$N$6</formula>
    </cfRule>
  </conditionalFormatting>
  <conditionalFormatting sqref="O7">
    <cfRule type="cellIs" dxfId="679" priority="560" stopIfTrue="1" operator="equal">
      <formula>$N$7</formula>
    </cfRule>
    <cfRule type="cellIs" dxfId="678" priority="561" stopIfTrue="1" operator="lessThan">
      <formula>$N$7</formula>
    </cfRule>
  </conditionalFormatting>
  <conditionalFormatting sqref="O8">
    <cfRule type="cellIs" dxfId="677" priority="563" stopIfTrue="1" operator="lessThan">
      <formula>$N$8</formula>
    </cfRule>
    <cfRule type="cellIs" dxfId="676" priority="562" stopIfTrue="1" operator="equal">
      <formula>$N$8</formula>
    </cfRule>
  </conditionalFormatting>
  <conditionalFormatting sqref="O9">
    <cfRule type="cellIs" dxfId="675" priority="565" stopIfTrue="1" operator="lessThan">
      <formula>$N$9</formula>
    </cfRule>
    <cfRule type="cellIs" dxfId="674" priority="564" stopIfTrue="1" operator="equal">
      <formula>$N$9</formula>
    </cfRule>
  </conditionalFormatting>
  <conditionalFormatting sqref="O10">
    <cfRule type="cellIs" dxfId="673" priority="566" stopIfTrue="1" operator="equal">
      <formula>$N$10</formula>
    </cfRule>
    <cfRule type="cellIs" dxfId="672" priority="567" stopIfTrue="1" operator="lessThan">
      <formula>$N$10</formula>
    </cfRule>
  </conditionalFormatting>
  <conditionalFormatting sqref="O11">
    <cfRule type="cellIs" dxfId="671" priority="568" stopIfTrue="1" operator="equal">
      <formula>$N$11</formula>
    </cfRule>
    <cfRule type="cellIs" dxfId="670" priority="569" stopIfTrue="1" operator="lessThan">
      <formula>$N$11</formula>
    </cfRule>
  </conditionalFormatting>
  <conditionalFormatting sqref="O12">
    <cfRule type="cellIs" dxfId="669" priority="570" stopIfTrue="1" operator="equal">
      <formula>$N$12</formula>
    </cfRule>
    <cfRule type="cellIs" dxfId="668" priority="571" stopIfTrue="1" operator="lessThan">
      <formula>$N$12</formula>
    </cfRule>
  </conditionalFormatting>
  <conditionalFormatting sqref="O13">
    <cfRule type="cellIs" dxfId="667" priority="572" stopIfTrue="1" operator="equal">
      <formula>$N$13</formula>
    </cfRule>
    <cfRule type="cellIs" dxfId="666" priority="573" stopIfTrue="1" operator="lessThan">
      <formula>$N$13</formula>
    </cfRule>
  </conditionalFormatting>
  <conditionalFormatting sqref="O14">
    <cfRule type="cellIs" dxfId="665" priority="574" stopIfTrue="1" operator="equal">
      <formula>$N$14</formula>
    </cfRule>
    <cfRule type="cellIs" dxfId="664" priority="575" stopIfTrue="1" operator="lessThan">
      <formula>$N$14</formula>
    </cfRule>
  </conditionalFormatting>
  <conditionalFormatting sqref="O15">
    <cfRule type="cellIs" dxfId="663" priority="576" stopIfTrue="1" operator="equal">
      <formula>$N$15</formula>
    </cfRule>
    <cfRule type="cellIs" dxfId="662" priority="577" stopIfTrue="1" operator="lessThan">
      <formula>$N$15</formula>
    </cfRule>
  </conditionalFormatting>
  <conditionalFormatting sqref="O16">
    <cfRule type="cellIs" dxfId="661" priority="578" stopIfTrue="1" operator="equal">
      <formula>$N$16</formula>
    </cfRule>
    <cfRule type="cellIs" dxfId="660" priority="579" stopIfTrue="1" operator="lessThan">
      <formula>$N$16</formula>
    </cfRule>
  </conditionalFormatting>
  <conditionalFormatting sqref="O17">
    <cfRule type="cellIs" dxfId="659" priority="580" stopIfTrue="1" operator="equal">
      <formula>$N$17</formula>
    </cfRule>
    <cfRule type="cellIs" dxfId="658" priority="581" stopIfTrue="1" operator="lessThan">
      <formula>$N$17</formula>
    </cfRule>
  </conditionalFormatting>
  <conditionalFormatting sqref="O18">
    <cfRule type="cellIs" dxfId="657" priority="583" stopIfTrue="1" operator="lessThan">
      <formula>$N$18</formula>
    </cfRule>
    <cfRule type="cellIs" dxfId="656" priority="582" stopIfTrue="1" operator="equal">
      <formula>$N$18</formula>
    </cfRule>
  </conditionalFormatting>
  <conditionalFormatting sqref="O19">
    <cfRule type="cellIs" dxfId="655" priority="584" stopIfTrue="1" operator="equal">
      <formula>$N$19</formula>
    </cfRule>
    <cfRule type="cellIs" dxfId="654" priority="585" stopIfTrue="1" operator="lessThan">
      <formula>$N$19</formula>
    </cfRule>
  </conditionalFormatting>
  <conditionalFormatting sqref="O20">
    <cfRule type="cellIs" dxfId="653" priority="586" stopIfTrue="1" operator="equal">
      <formula>$N$20</formula>
    </cfRule>
    <cfRule type="cellIs" dxfId="652" priority="587" stopIfTrue="1" operator="lessThan">
      <formula>$N$20</formula>
    </cfRule>
  </conditionalFormatting>
  <conditionalFormatting sqref="O21">
    <cfRule type="cellIs" dxfId="651" priority="588" stopIfTrue="1" operator="equal">
      <formula>$N$21</formula>
    </cfRule>
    <cfRule type="cellIs" dxfId="650" priority="589" stopIfTrue="1" operator="lessThan">
      <formula>$N$21</formula>
    </cfRule>
  </conditionalFormatting>
  <conditionalFormatting sqref="O22">
    <cfRule type="cellIs" dxfId="649" priority="590" stopIfTrue="1" operator="equal">
      <formula>$N$22</formula>
    </cfRule>
    <cfRule type="cellIs" dxfId="648" priority="591" stopIfTrue="1" operator="lessThan">
      <formula>$N$22</formula>
    </cfRule>
  </conditionalFormatting>
  <conditionalFormatting sqref="O23">
    <cfRule type="cellIs" dxfId="647" priority="592" stopIfTrue="1" operator="equal">
      <formula>$N$23</formula>
    </cfRule>
    <cfRule type="cellIs" dxfId="646" priority="593" stopIfTrue="1" operator="lessThan">
      <formula>$N$23</formula>
    </cfRule>
  </conditionalFormatting>
  <conditionalFormatting sqref="O24">
    <cfRule type="cellIs" dxfId="645" priority="594" stopIfTrue="1" operator="equal">
      <formula>$N$24</formula>
    </cfRule>
    <cfRule type="cellIs" dxfId="644" priority="595" stopIfTrue="1" operator="lessThan">
      <formula>$N$24</formula>
    </cfRule>
  </conditionalFormatting>
  <conditionalFormatting sqref="O25">
    <cfRule type="cellIs" dxfId="643" priority="596" stopIfTrue="1" operator="equal">
      <formula>$N$25</formula>
    </cfRule>
    <cfRule type="cellIs" dxfId="642" priority="597" stopIfTrue="1" operator="lessThan">
      <formula>$N$25</formula>
    </cfRule>
  </conditionalFormatting>
  <conditionalFormatting sqref="O26">
    <cfRule type="cellIs" dxfId="641" priority="598" stopIfTrue="1" operator="equal">
      <formula>$N$26</formula>
    </cfRule>
    <cfRule type="cellIs" dxfId="640" priority="599" stopIfTrue="1" operator="lessThan">
      <formula>$N$26</formula>
    </cfRule>
  </conditionalFormatting>
  <conditionalFormatting sqref="O27">
    <cfRule type="cellIs" dxfId="639" priority="600" stopIfTrue="1" operator="equal">
      <formula>$N$27</formula>
    </cfRule>
    <cfRule type="cellIs" dxfId="638" priority="601" stopIfTrue="1" operator="lessThan">
      <formula>$N$27</formula>
    </cfRule>
  </conditionalFormatting>
  <conditionalFormatting sqref="O28">
    <cfRule type="cellIs" dxfId="637" priority="603" stopIfTrue="1" operator="lessThan">
      <formula>$N$28</formula>
    </cfRule>
    <cfRule type="cellIs" dxfId="636" priority="602" stopIfTrue="1" operator="equal">
      <formula>$N$28</formula>
    </cfRule>
  </conditionalFormatting>
  <conditionalFormatting sqref="U4:AF23">
    <cfRule type="cellIs" dxfId="635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8"/>
  <sheetViews>
    <sheetView workbookViewId="0">
      <selection activeCell="S22" sqref="S22"/>
    </sheetView>
  </sheetViews>
  <sheetFormatPr defaultRowHeight="14.5" x14ac:dyDescent="0.35"/>
  <cols>
    <col min="1" max="1" width="8.54296875" style="1" customWidth="1"/>
    <col min="2" max="2" width="26.1796875" customWidth="1"/>
    <col min="3" max="15" width="10.1796875" customWidth="1"/>
    <col min="16" max="17" width="11.1796875" bestFit="1" customWidth="1"/>
    <col min="18" max="18" width="9.26953125" bestFit="1" customWidth="1"/>
    <col min="19" max="19" width="3.54296875" customWidth="1"/>
  </cols>
  <sheetData>
    <row r="1" spans="1:32" ht="15" thickBot="1" x14ac:dyDescent="0.4"/>
    <row r="2" spans="1:32" s="1" customFormat="1" ht="21" customHeight="1" thickBot="1" x14ac:dyDescent="0.55000000000000004">
      <c r="A2" s="114">
        <v>1857</v>
      </c>
      <c r="B2" s="2"/>
      <c r="C2" s="3">
        <f>'1850'!C2</f>
        <v>44927</v>
      </c>
      <c r="D2" s="3">
        <f>'1850'!D2</f>
        <v>44958</v>
      </c>
      <c r="E2" s="3">
        <f>'1850'!E2</f>
        <v>44986</v>
      </c>
      <c r="F2" s="3">
        <f>'1850'!F2</f>
        <v>45017</v>
      </c>
      <c r="G2" s="3">
        <f>'1850'!G2</f>
        <v>45047</v>
      </c>
      <c r="H2" s="3">
        <f>'1850'!H2</f>
        <v>45078</v>
      </c>
      <c r="I2" s="3">
        <f>'1850'!I2</f>
        <v>45111</v>
      </c>
      <c r="J2" s="3">
        <f>'1850'!J2</f>
        <v>45139</v>
      </c>
      <c r="K2" s="3">
        <f>'1850'!K2</f>
        <v>45170</v>
      </c>
      <c r="L2" s="3">
        <f>'1850'!L2</f>
        <v>45201</v>
      </c>
      <c r="M2" s="3">
        <f>'1850'!M2</f>
        <v>45231</v>
      </c>
      <c r="N2" s="3">
        <f>'1850'!N2</f>
        <v>45261</v>
      </c>
      <c r="O2" s="3">
        <f>'1850'!O2</f>
        <v>45292</v>
      </c>
      <c r="P2" s="1" t="s">
        <v>0</v>
      </c>
      <c r="Q2" s="1" t="s">
        <v>1</v>
      </c>
      <c r="R2" s="1" t="s">
        <v>98</v>
      </c>
      <c r="U2" s="144"/>
      <c r="V2" s="145"/>
      <c r="W2" s="145"/>
      <c r="X2" s="145"/>
      <c r="Y2" s="145" t="s">
        <v>213</v>
      </c>
      <c r="Z2" s="145"/>
      <c r="AA2" s="145"/>
      <c r="AB2" s="145"/>
      <c r="AC2" s="145"/>
      <c r="AD2" s="145"/>
      <c r="AE2" s="145"/>
      <c r="AF2" s="149"/>
    </row>
    <row r="3" spans="1:32" s="1" customFormat="1" ht="15" thickBot="1" x14ac:dyDescent="0.4">
      <c r="A3" s="4" t="s">
        <v>2</v>
      </c>
      <c r="B3" s="5"/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3</v>
      </c>
      <c r="P3" s="1" t="s">
        <v>96</v>
      </c>
      <c r="Q3" s="1" t="s">
        <v>95</v>
      </c>
      <c r="R3" s="1" t="s">
        <v>97</v>
      </c>
      <c r="T3" s="1" t="s">
        <v>212</v>
      </c>
      <c r="U3" s="4" t="s">
        <v>4</v>
      </c>
      <c r="V3" s="4" t="s">
        <v>5</v>
      </c>
      <c r="W3" s="4" t="s">
        <v>6</v>
      </c>
      <c r="X3" s="4" t="s">
        <v>7</v>
      </c>
      <c r="Y3" s="4" t="s">
        <v>8</v>
      </c>
      <c r="Z3" s="4" t="s">
        <v>9</v>
      </c>
      <c r="AA3" s="4" t="s">
        <v>10</v>
      </c>
      <c r="AB3" s="4" t="s">
        <v>11</v>
      </c>
      <c r="AC3" s="4" t="s">
        <v>12</v>
      </c>
      <c r="AD3" s="4" t="s">
        <v>13</v>
      </c>
      <c r="AE3" s="4" t="s">
        <v>14</v>
      </c>
      <c r="AF3" s="4" t="s">
        <v>3</v>
      </c>
    </row>
    <row r="4" spans="1:32" ht="15" thickBot="1" x14ac:dyDescent="0.4">
      <c r="A4" s="279">
        <v>1</v>
      </c>
      <c r="B4" s="6" t="s">
        <v>202</v>
      </c>
      <c r="C4" s="78">
        <v>179.24600000000001</v>
      </c>
      <c r="D4" s="7">
        <v>183.59</v>
      </c>
      <c r="E4" s="7">
        <v>187.149</v>
      </c>
      <c r="F4" s="7">
        <v>191.59800000000001</v>
      </c>
      <c r="G4" s="7">
        <v>196.63300000000001</v>
      </c>
      <c r="H4" s="7">
        <v>200.93199999999999</v>
      </c>
      <c r="I4" s="7">
        <v>205.291</v>
      </c>
      <c r="J4" s="7">
        <v>208.22800000000001</v>
      </c>
      <c r="K4" s="7">
        <v>212.01499999999999</v>
      </c>
      <c r="L4" s="8">
        <v>216.566</v>
      </c>
      <c r="M4" s="7">
        <v>219.84700000000001</v>
      </c>
      <c r="N4" s="7">
        <v>223.56700000000001</v>
      </c>
      <c r="O4" s="7">
        <v>228.42400000000001</v>
      </c>
      <c r="P4" s="9">
        <f>O4-C4</f>
        <v>49.177999999999997</v>
      </c>
      <c r="T4" s="1">
        <v>1</v>
      </c>
      <c r="U4" s="146">
        <f t="shared" ref="U4:AF4" si="0">D4-C4</f>
        <v>4.3439999999999941</v>
      </c>
      <c r="V4" s="146">
        <f t="shared" si="0"/>
        <v>3.5589999999999975</v>
      </c>
      <c r="W4" s="146">
        <f t="shared" si="0"/>
        <v>4.4490000000000123</v>
      </c>
      <c r="X4" s="146">
        <f t="shared" si="0"/>
        <v>5.0349999999999966</v>
      </c>
      <c r="Y4" s="146">
        <f t="shared" si="0"/>
        <v>4.2989999999999782</v>
      </c>
      <c r="Z4" s="146">
        <f t="shared" si="0"/>
        <v>4.3590000000000089</v>
      </c>
      <c r="AA4" s="146">
        <f t="shared" si="0"/>
        <v>2.9370000000000118</v>
      </c>
      <c r="AB4" s="146">
        <f t="shared" si="0"/>
        <v>3.7869999999999777</v>
      </c>
      <c r="AC4" s="146">
        <f t="shared" si="0"/>
        <v>4.5510000000000161</v>
      </c>
      <c r="AD4" s="146">
        <f t="shared" si="0"/>
        <v>3.2810000000000059</v>
      </c>
      <c r="AE4" s="146">
        <f t="shared" si="0"/>
        <v>3.7199999999999989</v>
      </c>
      <c r="AF4" s="146">
        <f t="shared" si="0"/>
        <v>4.8569999999999993</v>
      </c>
    </row>
    <row r="5" spans="1:32" x14ac:dyDescent="0.35">
      <c r="A5" s="279"/>
      <c r="B5" s="10" t="s">
        <v>382</v>
      </c>
      <c r="C5" s="79">
        <v>41.058</v>
      </c>
      <c r="D5" s="11">
        <v>46.427</v>
      </c>
      <c r="E5" s="11">
        <v>51.265999999999998</v>
      </c>
      <c r="F5" s="11">
        <v>55.234999999999999</v>
      </c>
      <c r="G5" s="11">
        <v>58.3</v>
      </c>
      <c r="H5" s="11">
        <v>59.09</v>
      </c>
      <c r="I5" s="11">
        <v>59.366</v>
      </c>
      <c r="J5" s="11">
        <v>59.55</v>
      </c>
      <c r="K5" s="11">
        <v>59.768000000000001</v>
      </c>
      <c r="L5" s="12">
        <v>60.06</v>
      </c>
      <c r="M5" s="11">
        <v>61.307000000000002</v>
      </c>
      <c r="N5" s="11">
        <v>65.266000000000005</v>
      </c>
      <c r="O5" s="11">
        <v>70.468999999999994</v>
      </c>
      <c r="P5" s="9"/>
      <c r="Q5" s="9">
        <f>O5-C5</f>
        <v>29.410999999999994</v>
      </c>
      <c r="T5" s="1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</row>
    <row r="6" spans="1:32" x14ac:dyDescent="0.35">
      <c r="A6" s="280">
        <v>2</v>
      </c>
      <c r="B6" s="10" t="s">
        <v>203</v>
      </c>
      <c r="C6" s="79">
        <v>140.392</v>
      </c>
      <c r="D6" s="11">
        <v>144.46</v>
      </c>
      <c r="E6" s="11">
        <v>147.803</v>
      </c>
      <c r="F6" s="11">
        <v>151.56800000000001</v>
      </c>
      <c r="G6" s="11">
        <v>155.43100000000001</v>
      </c>
      <c r="H6" s="11">
        <v>159.06800000000001</v>
      </c>
      <c r="I6" s="11">
        <v>162.75200000000001</v>
      </c>
      <c r="J6" s="11">
        <v>165.66499999999999</v>
      </c>
      <c r="K6" s="11">
        <v>169.23699999999999</v>
      </c>
      <c r="L6" s="11">
        <v>173.13900000000001</v>
      </c>
      <c r="M6" s="11">
        <v>176.47200000000001</v>
      </c>
      <c r="N6" s="11">
        <v>180.05</v>
      </c>
      <c r="O6" s="11">
        <v>183.76599999999999</v>
      </c>
      <c r="P6" s="9">
        <f>O6-C6</f>
        <v>43.373999999999995</v>
      </c>
      <c r="T6" s="1">
        <v>2</v>
      </c>
      <c r="U6" s="148">
        <f t="shared" ref="U6:AF6" si="1">D6-C6</f>
        <v>4.0680000000000121</v>
      </c>
      <c r="V6" s="148">
        <f t="shared" si="1"/>
        <v>3.3429999999999893</v>
      </c>
      <c r="W6" s="148">
        <f t="shared" si="1"/>
        <v>3.7650000000000148</v>
      </c>
      <c r="X6" s="148">
        <f t="shared" si="1"/>
        <v>3.8629999999999995</v>
      </c>
      <c r="Y6" s="148">
        <f t="shared" si="1"/>
        <v>3.6370000000000005</v>
      </c>
      <c r="Z6" s="148">
        <f t="shared" si="1"/>
        <v>3.6839999999999975</v>
      </c>
      <c r="AA6" s="148">
        <f t="shared" si="1"/>
        <v>2.9129999999999825</v>
      </c>
      <c r="AB6" s="148">
        <f t="shared" si="1"/>
        <v>3.5720000000000027</v>
      </c>
      <c r="AC6" s="148">
        <f t="shared" si="1"/>
        <v>3.9020000000000152</v>
      </c>
      <c r="AD6" s="148">
        <f t="shared" si="1"/>
        <v>3.3329999999999984</v>
      </c>
      <c r="AE6" s="148">
        <f t="shared" si="1"/>
        <v>3.578000000000003</v>
      </c>
      <c r="AF6" s="148">
        <f t="shared" si="1"/>
        <v>3.7159999999999798</v>
      </c>
    </row>
    <row r="7" spans="1:32" x14ac:dyDescent="0.35">
      <c r="A7" s="280"/>
      <c r="B7" s="10" t="s">
        <v>383</v>
      </c>
      <c r="C7" s="79">
        <v>11.837</v>
      </c>
      <c r="D7" s="11">
        <v>13.388999999999999</v>
      </c>
      <c r="E7" s="11">
        <v>14.6</v>
      </c>
      <c r="F7" s="11">
        <v>15.676</v>
      </c>
      <c r="G7" s="11">
        <v>16.457999999999998</v>
      </c>
      <c r="H7" s="11">
        <v>16.818000000000001</v>
      </c>
      <c r="I7" s="11">
        <v>17.157</v>
      </c>
      <c r="J7" s="11">
        <v>17.404</v>
      </c>
      <c r="K7" s="11">
        <v>17.687000000000001</v>
      </c>
      <c r="L7" s="11">
        <v>18.010999999999999</v>
      </c>
      <c r="M7" s="11">
        <v>18.465</v>
      </c>
      <c r="N7" s="11">
        <v>19.600999999999999</v>
      </c>
      <c r="O7" s="11">
        <v>21.102</v>
      </c>
      <c r="P7" s="9"/>
      <c r="Q7" s="9">
        <f t="shared" ref="Q7" si="2">O7-C7</f>
        <v>9.2650000000000006</v>
      </c>
      <c r="T7" s="1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</row>
    <row r="8" spans="1:32" x14ac:dyDescent="0.35">
      <c r="A8" s="287">
        <v>3</v>
      </c>
      <c r="B8" s="10" t="s">
        <v>204</v>
      </c>
      <c r="C8" s="79">
        <v>584.47400000000005</v>
      </c>
      <c r="D8" s="11">
        <v>600</v>
      </c>
      <c r="E8" s="11">
        <v>614.48500000000001</v>
      </c>
      <c r="F8" s="11">
        <v>629.57299999999998</v>
      </c>
      <c r="G8" s="11">
        <v>643.81700000000001</v>
      </c>
      <c r="H8" s="11">
        <v>660.46100000000001</v>
      </c>
      <c r="I8" s="11">
        <v>678.01199999999994</v>
      </c>
      <c r="J8" s="11">
        <v>686.85699999999997</v>
      </c>
      <c r="K8" s="11">
        <v>697.02099999999996</v>
      </c>
      <c r="L8" s="11">
        <v>714.18100000000004</v>
      </c>
      <c r="M8" s="11">
        <v>728.76599999999996</v>
      </c>
      <c r="N8" s="11">
        <v>743.93200000000002</v>
      </c>
      <c r="O8" s="11">
        <v>760.33500000000004</v>
      </c>
      <c r="P8" s="9">
        <f>O8-C8</f>
        <v>175.86099999999999</v>
      </c>
      <c r="T8" s="1">
        <v>3</v>
      </c>
      <c r="U8" s="148">
        <f t="shared" ref="U8:AF8" si="3">D8-C8</f>
        <v>15.525999999999954</v>
      </c>
      <c r="V8" s="148">
        <f t="shared" si="3"/>
        <v>14.485000000000014</v>
      </c>
      <c r="W8" s="148">
        <f t="shared" si="3"/>
        <v>15.087999999999965</v>
      </c>
      <c r="X8" s="148">
        <f t="shared" si="3"/>
        <v>14.244000000000028</v>
      </c>
      <c r="Y8" s="148">
        <f t="shared" si="3"/>
        <v>16.644000000000005</v>
      </c>
      <c r="Z8" s="148">
        <f t="shared" si="3"/>
        <v>17.550999999999931</v>
      </c>
      <c r="AA8" s="148">
        <f t="shared" si="3"/>
        <v>8.8450000000000273</v>
      </c>
      <c r="AB8" s="148">
        <f t="shared" si="3"/>
        <v>10.163999999999987</v>
      </c>
      <c r="AC8" s="148">
        <f t="shared" si="3"/>
        <v>17.160000000000082</v>
      </c>
      <c r="AD8" s="148">
        <f t="shared" si="3"/>
        <v>14.584999999999923</v>
      </c>
      <c r="AE8" s="148">
        <f t="shared" si="3"/>
        <v>15.166000000000054</v>
      </c>
      <c r="AF8" s="148">
        <f t="shared" si="3"/>
        <v>16.40300000000002</v>
      </c>
    </row>
    <row r="9" spans="1:32" x14ac:dyDescent="0.35">
      <c r="A9" s="287"/>
      <c r="B9" s="10" t="s">
        <v>384</v>
      </c>
      <c r="C9" s="79">
        <v>36.972000000000001</v>
      </c>
      <c r="D9" s="11">
        <v>41.637</v>
      </c>
      <c r="E9" s="11">
        <v>45.744</v>
      </c>
      <c r="F9" s="11">
        <v>49.973999999999997</v>
      </c>
      <c r="G9" s="11">
        <v>53.063000000000002</v>
      </c>
      <c r="H9" s="11">
        <v>54.500999999999998</v>
      </c>
      <c r="I9" s="11">
        <v>55.076000000000001</v>
      </c>
      <c r="J9" s="11">
        <v>55.338000000000001</v>
      </c>
      <c r="K9" s="11">
        <v>55.585999999999999</v>
      </c>
      <c r="L9" s="11">
        <v>55.948999999999998</v>
      </c>
      <c r="M9" s="11">
        <v>57.168999999999997</v>
      </c>
      <c r="N9" s="11">
        <v>60.52</v>
      </c>
      <c r="O9" s="11">
        <v>65.28</v>
      </c>
      <c r="P9" s="9"/>
      <c r="Q9" s="9">
        <f t="shared" ref="Q9" si="4">O9-C9</f>
        <v>28.308</v>
      </c>
      <c r="T9" s="1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</row>
    <row r="10" spans="1:32" x14ac:dyDescent="0.35">
      <c r="A10" s="287">
        <v>4</v>
      </c>
      <c r="B10" s="10" t="s">
        <v>290</v>
      </c>
      <c r="C10" s="79">
        <v>116.709</v>
      </c>
      <c r="D10" s="11">
        <v>120.36</v>
      </c>
      <c r="E10" s="11">
        <v>123.34699999999999</v>
      </c>
      <c r="F10" s="11">
        <v>129.64500000000001</v>
      </c>
      <c r="G10" s="11">
        <v>134.47399999999999</v>
      </c>
      <c r="H10" s="11">
        <v>139.768</v>
      </c>
      <c r="I10" s="11">
        <v>143.37299999999999</v>
      </c>
      <c r="J10" s="11">
        <v>148.523</v>
      </c>
      <c r="K10" s="11">
        <v>153.96799999999999</v>
      </c>
      <c r="L10" s="11">
        <v>159.85400000000001</v>
      </c>
      <c r="M10" s="11">
        <v>165.666</v>
      </c>
      <c r="N10" s="11">
        <v>170.68299999999999</v>
      </c>
      <c r="O10" s="11">
        <v>178.44800000000001</v>
      </c>
      <c r="P10" s="9">
        <f>O10-C10</f>
        <v>61.739000000000004</v>
      </c>
      <c r="T10" s="1">
        <v>4</v>
      </c>
      <c r="U10" s="148">
        <f t="shared" ref="U10:AF10" si="5">D10-C10</f>
        <v>3.6509999999999962</v>
      </c>
      <c r="V10" s="148">
        <f t="shared" si="5"/>
        <v>2.9869999999999948</v>
      </c>
      <c r="W10" s="148">
        <f t="shared" si="5"/>
        <v>6.298000000000016</v>
      </c>
      <c r="X10" s="148">
        <f t="shared" si="5"/>
        <v>4.8289999999999793</v>
      </c>
      <c r="Y10" s="148">
        <f t="shared" si="5"/>
        <v>5.2940000000000111</v>
      </c>
      <c r="Z10" s="148">
        <f t="shared" si="5"/>
        <v>3.6049999999999898</v>
      </c>
      <c r="AA10" s="148">
        <f t="shared" si="5"/>
        <v>5.1500000000000057</v>
      </c>
      <c r="AB10" s="148">
        <f t="shared" si="5"/>
        <v>5.4449999999999932</v>
      </c>
      <c r="AC10" s="148">
        <f t="shared" si="5"/>
        <v>5.8860000000000241</v>
      </c>
      <c r="AD10" s="148">
        <f t="shared" si="5"/>
        <v>5.8119999999999834</v>
      </c>
      <c r="AE10" s="148">
        <f t="shared" si="5"/>
        <v>5.0169999999999959</v>
      </c>
      <c r="AF10" s="148">
        <f t="shared" si="5"/>
        <v>7.7650000000000148</v>
      </c>
    </row>
    <row r="11" spans="1:32" x14ac:dyDescent="0.35">
      <c r="A11" s="287"/>
      <c r="B11" s="10" t="s">
        <v>385</v>
      </c>
      <c r="C11" s="79">
        <v>9.3889999999999993</v>
      </c>
      <c r="D11" s="11">
        <v>9.9499999999999993</v>
      </c>
      <c r="E11" s="11">
        <v>10.659000000000001</v>
      </c>
      <c r="F11" s="11">
        <v>11.448</v>
      </c>
      <c r="G11" s="11">
        <v>11.81</v>
      </c>
      <c r="H11" s="11">
        <v>12.256</v>
      </c>
      <c r="I11" s="11">
        <v>12.512</v>
      </c>
      <c r="J11" s="11">
        <v>12.787000000000001</v>
      </c>
      <c r="K11" s="11">
        <v>13.090999999999999</v>
      </c>
      <c r="L11" s="11">
        <v>13.459</v>
      </c>
      <c r="M11" s="11">
        <v>13.914</v>
      </c>
      <c r="N11" s="11">
        <v>14.61</v>
      </c>
      <c r="O11" s="11">
        <v>15.885</v>
      </c>
      <c r="P11" s="9"/>
      <c r="Q11" s="9">
        <f t="shared" ref="Q11" si="6">O11-C11</f>
        <v>6.4960000000000004</v>
      </c>
      <c r="T11" s="1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</row>
    <row r="12" spans="1:32" x14ac:dyDescent="0.35">
      <c r="A12" s="280">
        <v>5</v>
      </c>
      <c r="B12" s="10" t="s">
        <v>205</v>
      </c>
      <c r="C12" s="79">
        <v>279.10399999999998</v>
      </c>
      <c r="D12" s="11">
        <v>280.26799999999997</v>
      </c>
      <c r="E12" s="11">
        <v>282.08699999999999</v>
      </c>
      <c r="F12" s="11">
        <v>282.74099999999999</v>
      </c>
      <c r="G12" s="11">
        <v>284.55200000000002</v>
      </c>
      <c r="H12" s="11">
        <v>284.62</v>
      </c>
      <c r="I12" s="11">
        <v>284.78300000000002</v>
      </c>
      <c r="J12" s="11">
        <v>284.99599999999998</v>
      </c>
      <c r="K12" s="11">
        <v>285.18299999999999</v>
      </c>
      <c r="L12" s="11">
        <v>295.83699999999999</v>
      </c>
      <c r="M12" s="11">
        <v>308.88900000000001</v>
      </c>
      <c r="N12" s="11">
        <v>320.28300000000002</v>
      </c>
      <c r="O12" s="11">
        <v>332.06200000000001</v>
      </c>
      <c r="P12" s="9">
        <f>O12-C12</f>
        <v>52.958000000000027</v>
      </c>
      <c r="T12" s="1">
        <v>5</v>
      </c>
      <c r="U12" s="148">
        <f t="shared" ref="U12:AF12" si="7">D12-C12</f>
        <v>1.1639999999999873</v>
      </c>
      <c r="V12" s="148">
        <f t="shared" si="7"/>
        <v>1.8190000000000168</v>
      </c>
      <c r="W12" s="148">
        <f t="shared" si="7"/>
        <v>0.65399999999999636</v>
      </c>
      <c r="X12" s="148">
        <f t="shared" si="7"/>
        <v>1.8110000000000355</v>
      </c>
      <c r="Y12" s="148">
        <f t="shared" si="7"/>
        <v>6.7999999999983629E-2</v>
      </c>
      <c r="Z12" s="148">
        <f t="shared" si="7"/>
        <v>0.16300000000001091</v>
      </c>
      <c r="AA12" s="148">
        <f t="shared" si="7"/>
        <v>0.21299999999996544</v>
      </c>
      <c r="AB12" s="148">
        <f t="shared" si="7"/>
        <v>0.18700000000001182</v>
      </c>
      <c r="AC12" s="148">
        <f t="shared" si="7"/>
        <v>10.653999999999996</v>
      </c>
      <c r="AD12" s="148">
        <f t="shared" si="7"/>
        <v>13.052000000000021</v>
      </c>
      <c r="AE12" s="148">
        <f t="shared" si="7"/>
        <v>11.394000000000005</v>
      </c>
      <c r="AF12" s="148">
        <f t="shared" si="7"/>
        <v>11.778999999999996</v>
      </c>
    </row>
    <row r="13" spans="1:32" x14ac:dyDescent="0.35">
      <c r="A13" s="280"/>
      <c r="B13" s="10" t="s">
        <v>386</v>
      </c>
      <c r="C13" s="79">
        <v>15.702</v>
      </c>
      <c r="D13" s="11">
        <v>17.184000000000001</v>
      </c>
      <c r="E13" s="11">
        <v>18.501000000000001</v>
      </c>
      <c r="F13" s="11">
        <v>20.294</v>
      </c>
      <c r="G13" s="11">
        <v>21.661999999999999</v>
      </c>
      <c r="H13" s="11">
        <v>21.826000000000001</v>
      </c>
      <c r="I13" s="11">
        <v>21.96</v>
      </c>
      <c r="J13" s="11">
        <v>22.062999999999999</v>
      </c>
      <c r="K13" s="11">
        <v>22.103999999999999</v>
      </c>
      <c r="L13" s="11">
        <v>22.651</v>
      </c>
      <c r="M13" s="11">
        <v>23.437999999999999</v>
      </c>
      <c r="N13" s="11">
        <v>25.128</v>
      </c>
      <c r="O13" s="11">
        <v>27.158999999999999</v>
      </c>
      <c r="P13" s="9"/>
      <c r="Q13" s="9">
        <f t="shared" ref="Q13" si="8">O13-C13</f>
        <v>11.456999999999999</v>
      </c>
      <c r="T13" s="1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</row>
    <row r="14" spans="1:32" x14ac:dyDescent="0.35">
      <c r="A14" s="280">
        <v>6</v>
      </c>
      <c r="B14" s="10" t="s">
        <v>206</v>
      </c>
      <c r="C14" s="79">
        <v>218.15199999999999</v>
      </c>
      <c r="D14" s="11">
        <v>221.58799999999999</v>
      </c>
      <c r="E14" s="11">
        <v>222.459</v>
      </c>
      <c r="F14" s="11">
        <v>223.05500000000001</v>
      </c>
      <c r="G14" s="11">
        <v>226.27799999999999</v>
      </c>
      <c r="H14" s="11">
        <v>228.28299999999999</v>
      </c>
      <c r="I14" s="11">
        <v>233.06899999999999</v>
      </c>
      <c r="J14" s="11">
        <v>238.02099999999999</v>
      </c>
      <c r="K14" s="11">
        <v>241.77600000000001</v>
      </c>
      <c r="L14" s="11">
        <v>245.80799999999999</v>
      </c>
      <c r="M14" s="11">
        <v>249.26599999999999</v>
      </c>
      <c r="N14" s="11">
        <v>252.327</v>
      </c>
      <c r="O14" s="11">
        <v>257.08699999999999</v>
      </c>
      <c r="P14" s="9">
        <f>O14-C14</f>
        <v>38.935000000000002</v>
      </c>
      <c r="T14" s="1">
        <v>6</v>
      </c>
      <c r="U14" s="148">
        <f t="shared" ref="U14:AF14" si="9">D14-C14</f>
        <v>3.436000000000007</v>
      </c>
      <c r="V14" s="148">
        <f t="shared" si="9"/>
        <v>0.87100000000000932</v>
      </c>
      <c r="W14" s="148">
        <f t="shared" si="9"/>
        <v>0.59600000000000364</v>
      </c>
      <c r="X14" s="148">
        <f t="shared" si="9"/>
        <v>3.2229999999999848</v>
      </c>
      <c r="Y14" s="148">
        <f t="shared" si="9"/>
        <v>2.0049999999999955</v>
      </c>
      <c r="Z14" s="148">
        <f t="shared" si="9"/>
        <v>4.7860000000000014</v>
      </c>
      <c r="AA14" s="148">
        <f t="shared" si="9"/>
        <v>4.9519999999999982</v>
      </c>
      <c r="AB14" s="148">
        <f t="shared" si="9"/>
        <v>3.7550000000000239</v>
      </c>
      <c r="AC14" s="148">
        <f t="shared" si="9"/>
        <v>4.0319999999999823</v>
      </c>
      <c r="AD14" s="148">
        <f t="shared" si="9"/>
        <v>3.4579999999999984</v>
      </c>
      <c r="AE14" s="148">
        <f t="shared" si="9"/>
        <v>3.061000000000007</v>
      </c>
      <c r="AF14" s="148">
        <f t="shared" si="9"/>
        <v>4.7599999999999909</v>
      </c>
    </row>
    <row r="15" spans="1:32" x14ac:dyDescent="0.35">
      <c r="A15" s="280"/>
      <c r="B15" s="10" t="s">
        <v>387</v>
      </c>
      <c r="C15" s="79">
        <v>24.873999999999999</v>
      </c>
      <c r="D15" s="11">
        <v>27.462</v>
      </c>
      <c r="E15" s="11">
        <v>29.7</v>
      </c>
      <c r="F15" s="11">
        <v>30.917000000000002</v>
      </c>
      <c r="G15" s="11">
        <v>32.020000000000003</v>
      </c>
      <c r="H15" s="11">
        <v>32.313000000000002</v>
      </c>
      <c r="I15" s="11">
        <v>32.744999999999997</v>
      </c>
      <c r="J15" s="11">
        <v>33.116999999999997</v>
      </c>
      <c r="K15" s="11">
        <v>33.411999999999999</v>
      </c>
      <c r="L15" s="11">
        <v>33.802</v>
      </c>
      <c r="M15" s="11">
        <v>34.348999999999997</v>
      </c>
      <c r="N15" s="11">
        <v>36.343000000000004</v>
      </c>
      <c r="O15" s="11">
        <v>38.878</v>
      </c>
      <c r="P15" s="9"/>
      <c r="Q15" s="9">
        <f t="shared" ref="Q15" si="10">O15-C15</f>
        <v>14.004000000000001</v>
      </c>
      <c r="T15" s="1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</row>
    <row r="16" spans="1:32" x14ac:dyDescent="0.35">
      <c r="A16" s="280">
        <v>7</v>
      </c>
      <c r="B16" s="10" t="s">
        <v>207</v>
      </c>
      <c r="C16" s="79">
        <v>456.26499999999999</v>
      </c>
      <c r="D16" s="11">
        <v>467.39800000000002</v>
      </c>
      <c r="E16" s="11">
        <v>476.63799999999998</v>
      </c>
      <c r="F16" s="11">
        <v>489.60199999999998</v>
      </c>
      <c r="G16" s="11">
        <v>502.75700000000001</v>
      </c>
      <c r="H16" s="11">
        <v>513.53399999999999</v>
      </c>
      <c r="I16" s="11">
        <v>527.85699999999997</v>
      </c>
      <c r="J16" s="11">
        <v>536.18399999999997</v>
      </c>
      <c r="K16" s="11">
        <v>548.33299999999997</v>
      </c>
      <c r="L16" s="11">
        <v>561.12099999999998</v>
      </c>
      <c r="M16" s="11">
        <v>575.36699999999996</v>
      </c>
      <c r="N16" s="11">
        <v>588.82100000000003</v>
      </c>
      <c r="O16" s="11">
        <v>601.72500000000002</v>
      </c>
      <c r="P16" s="9">
        <f>O16-C16</f>
        <v>145.46000000000004</v>
      </c>
      <c r="T16" s="1">
        <v>7</v>
      </c>
      <c r="U16" s="148">
        <f t="shared" ref="U16:AF16" si="11">D16-C16</f>
        <v>11.133000000000038</v>
      </c>
      <c r="V16" s="148">
        <f t="shared" si="11"/>
        <v>9.2399999999999523</v>
      </c>
      <c r="W16" s="148">
        <f t="shared" si="11"/>
        <v>12.963999999999999</v>
      </c>
      <c r="X16" s="148">
        <f t="shared" si="11"/>
        <v>13.15500000000003</v>
      </c>
      <c r="Y16" s="148">
        <f t="shared" si="11"/>
        <v>10.776999999999987</v>
      </c>
      <c r="Z16" s="148">
        <f t="shared" si="11"/>
        <v>14.322999999999979</v>
      </c>
      <c r="AA16" s="148">
        <f t="shared" si="11"/>
        <v>8.3269999999999982</v>
      </c>
      <c r="AB16" s="148">
        <f t="shared" si="11"/>
        <v>12.149000000000001</v>
      </c>
      <c r="AC16" s="148">
        <f t="shared" si="11"/>
        <v>12.788000000000011</v>
      </c>
      <c r="AD16" s="148">
        <f t="shared" si="11"/>
        <v>14.245999999999981</v>
      </c>
      <c r="AE16" s="148">
        <f t="shared" si="11"/>
        <v>13.454000000000065</v>
      </c>
      <c r="AF16" s="148">
        <f t="shared" si="11"/>
        <v>12.903999999999996</v>
      </c>
    </row>
    <row r="17" spans="1:32" x14ac:dyDescent="0.35">
      <c r="A17" s="280"/>
      <c r="B17" s="10" t="s">
        <v>388</v>
      </c>
      <c r="C17" s="79">
        <v>40.630000000000003</v>
      </c>
      <c r="D17" s="11">
        <v>45.212000000000003</v>
      </c>
      <c r="E17" s="11">
        <v>48.902000000000001</v>
      </c>
      <c r="F17" s="11">
        <v>52.521999999999998</v>
      </c>
      <c r="G17" s="11">
        <v>55.116</v>
      </c>
      <c r="H17" s="11">
        <v>55.997</v>
      </c>
      <c r="I17" s="11">
        <v>56.866999999999997</v>
      </c>
      <c r="J17" s="11">
        <v>57.353999999999999</v>
      </c>
      <c r="K17" s="11">
        <v>58.063000000000002</v>
      </c>
      <c r="L17" s="11">
        <v>58.887</v>
      </c>
      <c r="M17" s="11">
        <v>60.542000000000002</v>
      </c>
      <c r="N17" s="11">
        <v>64.596000000000004</v>
      </c>
      <c r="O17" s="11">
        <v>69.489000000000004</v>
      </c>
      <c r="P17" s="9"/>
      <c r="Q17" s="9">
        <f t="shared" ref="Q17" si="12">O17-C17</f>
        <v>28.859000000000002</v>
      </c>
      <c r="T17" s="1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</row>
    <row r="18" spans="1:32" x14ac:dyDescent="0.35">
      <c r="A18" s="280">
        <v>8</v>
      </c>
      <c r="B18" s="10" t="s">
        <v>208</v>
      </c>
      <c r="C18" s="79">
        <v>270.51100000000002</v>
      </c>
      <c r="D18" s="11">
        <v>278.07100000000003</v>
      </c>
      <c r="E18" s="11">
        <v>285.39299999999997</v>
      </c>
      <c r="F18" s="11">
        <v>293.39800000000002</v>
      </c>
      <c r="G18" s="11">
        <v>300.49799999999999</v>
      </c>
      <c r="H18" s="11">
        <v>307.89499999999998</v>
      </c>
      <c r="I18" s="11">
        <v>315.02199999999999</v>
      </c>
      <c r="J18" s="11">
        <v>320.86099999999999</v>
      </c>
      <c r="K18" s="11">
        <v>327.23399999999998</v>
      </c>
      <c r="L18" s="11">
        <v>333.303</v>
      </c>
      <c r="M18" s="11">
        <v>340.97300000000001</v>
      </c>
      <c r="N18" s="11">
        <v>349.28800000000001</v>
      </c>
      <c r="O18" s="11">
        <v>358.09800000000001</v>
      </c>
      <c r="P18" s="9">
        <f>O18-C18</f>
        <v>87.586999999999989</v>
      </c>
      <c r="T18" s="1">
        <v>8</v>
      </c>
      <c r="U18" s="148">
        <f t="shared" ref="U18:AF18" si="13">D18-C18</f>
        <v>7.5600000000000023</v>
      </c>
      <c r="V18" s="148">
        <f t="shared" si="13"/>
        <v>7.3219999999999459</v>
      </c>
      <c r="W18" s="148">
        <f t="shared" si="13"/>
        <v>8.0050000000000523</v>
      </c>
      <c r="X18" s="148">
        <f t="shared" si="13"/>
        <v>7.0999999999999659</v>
      </c>
      <c r="Y18" s="148">
        <f t="shared" si="13"/>
        <v>7.3969999999999914</v>
      </c>
      <c r="Z18" s="148">
        <f t="shared" si="13"/>
        <v>7.1270000000000095</v>
      </c>
      <c r="AA18" s="148">
        <f t="shared" si="13"/>
        <v>5.8389999999999986</v>
      </c>
      <c r="AB18" s="148">
        <f t="shared" si="13"/>
        <v>6.3729999999999905</v>
      </c>
      <c r="AC18" s="148">
        <f t="shared" si="13"/>
        <v>6.0690000000000168</v>
      </c>
      <c r="AD18" s="148">
        <f t="shared" si="13"/>
        <v>7.6700000000000159</v>
      </c>
      <c r="AE18" s="148">
        <f t="shared" si="13"/>
        <v>8.3149999999999977</v>
      </c>
      <c r="AF18" s="148">
        <f t="shared" si="13"/>
        <v>8.8100000000000023</v>
      </c>
    </row>
    <row r="19" spans="1:32" x14ac:dyDescent="0.35">
      <c r="A19" s="280"/>
      <c r="B19" s="10" t="s">
        <v>389</v>
      </c>
      <c r="C19" s="79">
        <v>18.417000000000002</v>
      </c>
      <c r="D19" s="11">
        <v>21.405999999999999</v>
      </c>
      <c r="E19" s="11">
        <v>23.850999999999999</v>
      </c>
      <c r="F19" s="11">
        <v>25.733000000000001</v>
      </c>
      <c r="G19" s="11">
        <v>26.93</v>
      </c>
      <c r="H19" s="11">
        <v>27.376000000000001</v>
      </c>
      <c r="I19" s="11">
        <v>27.707999999999998</v>
      </c>
      <c r="J19" s="11">
        <v>27.931999999999999</v>
      </c>
      <c r="K19" s="11">
        <v>28.157</v>
      </c>
      <c r="L19" s="11">
        <v>28.433</v>
      </c>
      <c r="M19" s="11">
        <v>29.015000000000001</v>
      </c>
      <c r="N19" s="11">
        <v>31.408000000000001</v>
      </c>
      <c r="O19" s="11">
        <v>34.542000000000002</v>
      </c>
      <c r="P19" s="9"/>
      <c r="Q19" s="9">
        <f t="shared" ref="Q19" si="14">O19-C19</f>
        <v>16.125</v>
      </c>
      <c r="T19" s="1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</row>
    <row r="20" spans="1:32" x14ac:dyDescent="0.35">
      <c r="A20" s="280">
        <v>9</v>
      </c>
      <c r="B20" s="10" t="s">
        <v>209</v>
      </c>
      <c r="C20" s="79">
        <v>83.935000000000002</v>
      </c>
      <c r="D20" s="11">
        <v>85.62</v>
      </c>
      <c r="E20" s="11">
        <v>87.358000000000004</v>
      </c>
      <c r="F20" s="11">
        <v>88.876000000000005</v>
      </c>
      <c r="G20" s="11">
        <v>90.781999999999996</v>
      </c>
      <c r="H20" s="11">
        <v>92.769000000000005</v>
      </c>
      <c r="I20" s="11">
        <v>94.796999999999997</v>
      </c>
      <c r="J20" s="11">
        <v>96.397999999999996</v>
      </c>
      <c r="K20" s="11">
        <v>98.281999999999996</v>
      </c>
      <c r="L20" s="11">
        <v>100.361</v>
      </c>
      <c r="M20" s="11">
        <v>102.73099999999999</v>
      </c>
      <c r="N20" s="11">
        <v>105.158</v>
      </c>
      <c r="O20" s="11">
        <v>108.634</v>
      </c>
      <c r="P20" s="9">
        <f>O20-C20</f>
        <v>24.698999999999998</v>
      </c>
      <c r="T20" s="1">
        <v>9</v>
      </c>
      <c r="U20" s="148">
        <f t="shared" ref="U20:AF20" si="15">D20-C20</f>
        <v>1.6850000000000023</v>
      </c>
      <c r="V20" s="148">
        <f t="shared" si="15"/>
        <v>1.7379999999999995</v>
      </c>
      <c r="W20" s="148">
        <f t="shared" si="15"/>
        <v>1.5180000000000007</v>
      </c>
      <c r="X20" s="148">
        <f t="shared" si="15"/>
        <v>1.9059999999999917</v>
      </c>
      <c r="Y20" s="148">
        <f t="shared" si="15"/>
        <v>1.987000000000009</v>
      </c>
      <c r="Z20" s="148">
        <f t="shared" si="15"/>
        <v>2.0279999999999916</v>
      </c>
      <c r="AA20" s="148">
        <f t="shared" si="15"/>
        <v>1.6009999999999991</v>
      </c>
      <c r="AB20" s="148">
        <f t="shared" si="15"/>
        <v>1.8840000000000003</v>
      </c>
      <c r="AC20" s="148">
        <f t="shared" si="15"/>
        <v>2.0790000000000077</v>
      </c>
      <c r="AD20" s="148">
        <f t="shared" si="15"/>
        <v>2.3699999999999903</v>
      </c>
      <c r="AE20" s="148">
        <f t="shared" si="15"/>
        <v>2.4270000000000067</v>
      </c>
      <c r="AF20" s="148">
        <f t="shared" si="15"/>
        <v>3.4759999999999991</v>
      </c>
    </row>
    <row r="21" spans="1:32" x14ac:dyDescent="0.35">
      <c r="A21" s="280"/>
      <c r="B21" s="10" t="s">
        <v>390</v>
      </c>
      <c r="C21" s="79">
        <v>17.134</v>
      </c>
      <c r="D21" s="11">
        <v>18.981000000000002</v>
      </c>
      <c r="E21" s="11">
        <v>20.434000000000001</v>
      </c>
      <c r="F21" s="11">
        <v>21.068999999999999</v>
      </c>
      <c r="G21" s="11">
        <v>21.146999999999998</v>
      </c>
      <c r="H21" s="11">
        <v>21.2</v>
      </c>
      <c r="I21" s="11">
        <v>21.236999999999998</v>
      </c>
      <c r="J21" s="11">
        <v>21.254999999999999</v>
      </c>
      <c r="K21" s="11">
        <v>21.288</v>
      </c>
      <c r="L21" s="11">
        <v>21.305</v>
      </c>
      <c r="M21" s="11">
        <v>21.334</v>
      </c>
      <c r="N21" s="11">
        <v>22.119</v>
      </c>
      <c r="O21" s="11">
        <v>23.882000000000001</v>
      </c>
      <c r="P21" s="9"/>
      <c r="Q21" s="9">
        <f t="shared" ref="Q21" si="16">O21-C21</f>
        <v>6.7480000000000011</v>
      </c>
      <c r="T21" s="1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</row>
    <row r="22" spans="1:32" x14ac:dyDescent="0.35">
      <c r="A22" s="280">
        <v>10</v>
      </c>
      <c r="B22" s="10" t="s">
        <v>210</v>
      </c>
      <c r="C22" s="79">
        <v>365.274</v>
      </c>
      <c r="D22" s="11">
        <v>377.89</v>
      </c>
      <c r="E22" s="11">
        <v>388.048</v>
      </c>
      <c r="F22" s="11">
        <v>400.38</v>
      </c>
      <c r="G22" s="11">
        <v>410.69</v>
      </c>
      <c r="H22" s="11">
        <v>421.09500000000003</v>
      </c>
      <c r="I22" s="11">
        <v>432.685</v>
      </c>
      <c r="J22" s="11">
        <v>438.09399999999999</v>
      </c>
      <c r="K22" s="11">
        <v>446.77699999999999</v>
      </c>
      <c r="L22" s="11">
        <v>459.32400000000001</v>
      </c>
      <c r="M22" s="11">
        <v>467.4</v>
      </c>
      <c r="N22" s="11">
        <v>478.59100000000001</v>
      </c>
      <c r="O22" s="11">
        <v>490.625</v>
      </c>
      <c r="P22" s="9">
        <f>O22-C22</f>
        <v>125.351</v>
      </c>
      <c r="T22" s="1">
        <v>10</v>
      </c>
      <c r="U22" s="148">
        <f t="shared" ref="U22:AF22" si="17">D22-C22</f>
        <v>12.615999999999985</v>
      </c>
      <c r="V22" s="148">
        <f t="shared" si="17"/>
        <v>10.158000000000015</v>
      </c>
      <c r="W22" s="148">
        <f t="shared" si="17"/>
        <v>12.331999999999994</v>
      </c>
      <c r="X22" s="148">
        <f t="shared" si="17"/>
        <v>10.310000000000002</v>
      </c>
      <c r="Y22" s="148">
        <f t="shared" si="17"/>
        <v>10.40500000000003</v>
      </c>
      <c r="Z22" s="148">
        <f t="shared" si="17"/>
        <v>11.589999999999975</v>
      </c>
      <c r="AA22" s="148">
        <f t="shared" si="17"/>
        <v>5.4089999999999918</v>
      </c>
      <c r="AB22" s="148">
        <f t="shared" si="17"/>
        <v>8.6829999999999927</v>
      </c>
      <c r="AC22" s="148">
        <f t="shared" si="17"/>
        <v>12.547000000000025</v>
      </c>
      <c r="AD22" s="148">
        <f t="shared" si="17"/>
        <v>8.075999999999965</v>
      </c>
      <c r="AE22" s="148">
        <f t="shared" si="17"/>
        <v>11.191000000000031</v>
      </c>
      <c r="AF22" s="148">
        <f t="shared" si="17"/>
        <v>12.033999999999992</v>
      </c>
    </row>
    <row r="23" spans="1:32" x14ac:dyDescent="0.35">
      <c r="A23" s="280"/>
      <c r="B23" s="10" t="s">
        <v>391</v>
      </c>
      <c r="C23" s="79">
        <v>27.728000000000002</v>
      </c>
      <c r="D23" s="11">
        <v>31.77</v>
      </c>
      <c r="E23" s="11">
        <v>35.357999999999997</v>
      </c>
      <c r="F23" s="11">
        <v>38.000999999999998</v>
      </c>
      <c r="G23" s="11">
        <v>39.704000000000001</v>
      </c>
      <c r="H23" s="11">
        <v>40.381</v>
      </c>
      <c r="I23" s="11">
        <v>40.988999999999997</v>
      </c>
      <c r="J23" s="11">
        <v>41.281999999999996</v>
      </c>
      <c r="K23" s="11">
        <v>41.692999999999998</v>
      </c>
      <c r="L23" s="11">
        <v>42.316000000000003</v>
      </c>
      <c r="M23" s="11">
        <v>43.122</v>
      </c>
      <c r="N23" s="11">
        <v>46.091000000000001</v>
      </c>
      <c r="O23" s="11">
        <v>50.173999999999999</v>
      </c>
      <c r="P23" s="13"/>
      <c r="Q23" s="99">
        <f>O23-C23</f>
        <v>22.445999999999998</v>
      </c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</row>
    <row r="24" spans="1:32" x14ac:dyDescent="0.35">
      <c r="A24" s="115"/>
      <c r="B24" s="10"/>
      <c r="C24" s="80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9">
        <f>SUM(P4:P23)</f>
        <v>805.14200000000005</v>
      </c>
      <c r="Q24" s="9">
        <f>SUM(Q4:Q23)</f>
        <v>173.11899999999997</v>
      </c>
    </row>
    <row r="25" spans="1:32" x14ac:dyDescent="0.35">
      <c r="A25" s="115" t="s">
        <v>15</v>
      </c>
      <c r="B25" s="10" t="s">
        <v>46</v>
      </c>
      <c r="C25" s="80">
        <v>49627</v>
      </c>
      <c r="D25" s="15">
        <v>49823</v>
      </c>
      <c r="E25" s="15">
        <v>50011</v>
      </c>
      <c r="F25" s="15">
        <v>50233</v>
      </c>
      <c r="G25" s="15">
        <v>50426</v>
      </c>
      <c r="H25" s="15">
        <v>50626</v>
      </c>
      <c r="I25" s="15">
        <v>50843</v>
      </c>
      <c r="J25" s="15">
        <v>51027</v>
      </c>
      <c r="K25" s="15">
        <v>51220</v>
      </c>
      <c r="L25" s="15">
        <v>51416</v>
      </c>
      <c r="M25" s="15">
        <v>51602</v>
      </c>
      <c r="N25" s="15">
        <v>51801</v>
      </c>
      <c r="O25" s="15">
        <v>52040</v>
      </c>
      <c r="P25" s="9"/>
      <c r="R25" s="16">
        <f>O25-C25</f>
        <v>2413</v>
      </c>
    </row>
    <row r="26" spans="1:32" x14ac:dyDescent="0.35">
      <c r="A26" s="115"/>
      <c r="B26" s="10" t="s">
        <v>211</v>
      </c>
      <c r="C26" s="81">
        <v>3095.6</v>
      </c>
      <c r="D26" s="18">
        <v>3169.6</v>
      </c>
      <c r="E26" s="18">
        <v>3229.9</v>
      </c>
      <c r="F26" s="18">
        <v>3302.6</v>
      </c>
      <c r="G26" s="18">
        <v>3375.6</v>
      </c>
      <c r="H26" s="18">
        <v>3446.1</v>
      </c>
      <c r="I26" s="18">
        <v>3523.8</v>
      </c>
      <c r="J26" s="18">
        <v>3575.9</v>
      </c>
      <c r="K26" s="18">
        <v>3638.5</v>
      </c>
      <c r="L26" s="18">
        <v>3727.5</v>
      </c>
      <c r="M26" s="18">
        <v>3811.8</v>
      </c>
      <c r="N26" s="18">
        <v>3898.5</v>
      </c>
      <c r="O26" s="18">
        <v>3993.9</v>
      </c>
      <c r="P26" s="9">
        <f>O26-C26</f>
        <v>898.30000000000018</v>
      </c>
    </row>
    <row r="27" spans="1:32" x14ac:dyDescent="0.35">
      <c r="A27" s="121"/>
      <c r="B27" s="211" t="s">
        <v>287</v>
      </c>
      <c r="C27" s="82">
        <v>541.01</v>
      </c>
      <c r="D27" s="19">
        <v>573.15</v>
      </c>
      <c r="E27" s="19">
        <v>600.98</v>
      </c>
      <c r="F27" s="19">
        <v>624.86</v>
      </c>
      <c r="G27" s="19">
        <v>641.44000000000005</v>
      </c>
      <c r="H27" s="19">
        <v>646.05999999999995</v>
      </c>
      <c r="I27" s="19">
        <v>648.74</v>
      </c>
      <c r="J27" s="19">
        <v>650.27</v>
      </c>
      <c r="K27" s="19">
        <v>652.11</v>
      </c>
      <c r="L27" s="19">
        <v>655.1</v>
      </c>
      <c r="M27" s="19">
        <v>662.65</v>
      </c>
      <c r="N27" s="19">
        <v>687.93</v>
      </c>
      <c r="O27" s="19">
        <v>722.37</v>
      </c>
      <c r="P27" s="9"/>
      <c r="Q27" s="9">
        <f>O27-C27</f>
        <v>181.36</v>
      </c>
      <c r="R27" t="s">
        <v>95</v>
      </c>
    </row>
    <row r="28" spans="1:32" ht="15" thickBot="1" x14ac:dyDescent="0.4">
      <c r="A28" s="4"/>
      <c r="B28" s="26" t="s">
        <v>17</v>
      </c>
      <c r="C28" s="83">
        <v>4324</v>
      </c>
      <c r="D28" s="21">
        <v>4527</v>
      </c>
      <c r="E28" s="21">
        <v>4702</v>
      </c>
      <c r="F28" s="21">
        <v>4862</v>
      </c>
      <c r="G28" s="21">
        <v>4979</v>
      </c>
      <c r="H28" s="21">
        <v>5019</v>
      </c>
      <c r="I28" s="21">
        <v>5046</v>
      </c>
      <c r="J28" s="21">
        <v>5062</v>
      </c>
      <c r="K28" s="21">
        <v>5082</v>
      </c>
      <c r="L28" s="21">
        <v>5110</v>
      </c>
      <c r="M28" s="21">
        <v>5169</v>
      </c>
      <c r="N28" s="21">
        <v>5346</v>
      </c>
      <c r="O28" s="21">
        <v>5583</v>
      </c>
      <c r="P28" s="9"/>
      <c r="Q28" s="16">
        <f>O28-C28</f>
        <v>1259</v>
      </c>
      <c r="R28" t="s">
        <v>96</v>
      </c>
    </row>
    <row r="29" spans="1:32" ht="15" thickBot="1" x14ac:dyDescent="0.4">
      <c r="A29" s="123" t="str">
        <f>'1854'!A29</f>
        <v>Fakturační vodoměr:      42012114941</v>
      </c>
      <c r="B29" s="22"/>
      <c r="C29" s="23">
        <f>'1854'!C29</f>
        <v>7844.6</v>
      </c>
      <c r="D29" s="23">
        <f>'1854'!D29</f>
        <v>8132</v>
      </c>
      <c r="E29" s="23">
        <f>'1854'!E29</f>
        <v>8376.4</v>
      </c>
      <c r="F29" s="23">
        <f>'1854'!F29</f>
        <v>8650.7999999999993</v>
      </c>
      <c r="G29" s="23">
        <f>'1854'!G29</f>
        <v>8921.7000000000007</v>
      </c>
      <c r="H29" s="23">
        <f>'1854'!H29</f>
        <v>9183.7999999999993</v>
      </c>
      <c r="I29" s="23">
        <f>'1854'!I29</f>
        <v>9471</v>
      </c>
      <c r="J29" s="23">
        <f>'1854'!J29</f>
        <v>9681.6</v>
      </c>
      <c r="K29" s="23">
        <f>'1854'!K29</f>
        <v>9925.7999999999993</v>
      </c>
      <c r="L29" s="23">
        <f>'1854'!L29</f>
        <v>10213.6</v>
      </c>
      <c r="M29" s="23">
        <f>'1854'!M29</f>
        <v>10486.5</v>
      </c>
      <c r="N29" s="23">
        <f>'1854'!N29</f>
        <v>10767.6</v>
      </c>
      <c r="O29" s="23">
        <f>'1854'!O29</f>
        <v>11067</v>
      </c>
      <c r="P29" s="9">
        <f>O29--C29</f>
        <v>18911.599999999999</v>
      </c>
    </row>
    <row r="31" spans="1:32" x14ac:dyDescent="0.35">
      <c r="D31" s="25" t="s">
        <v>227</v>
      </c>
      <c r="F31" s="138"/>
    </row>
    <row r="32" spans="1:32" x14ac:dyDescent="0.35">
      <c r="C32" s="289">
        <v>4</v>
      </c>
      <c r="D32" s="290">
        <v>43950</v>
      </c>
      <c r="E32" s="86" t="s">
        <v>225</v>
      </c>
      <c r="F32" s="108"/>
      <c r="G32" s="108"/>
      <c r="K32" t="s">
        <v>247</v>
      </c>
      <c r="N32" s="1" t="s">
        <v>96</v>
      </c>
    </row>
    <row r="33" spans="3:14" x14ac:dyDescent="0.35">
      <c r="C33" s="289"/>
      <c r="D33" s="290"/>
      <c r="E33" s="86" t="s">
        <v>226</v>
      </c>
      <c r="F33" s="108"/>
      <c r="G33" s="108"/>
      <c r="K33" s="183">
        <v>44095</v>
      </c>
      <c r="L33" s="86" t="s">
        <v>225</v>
      </c>
      <c r="M33" s="86"/>
      <c r="N33" s="86"/>
    </row>
    <row r="34" spans="3:14" x14ac:dyDescent="0.35">
      <c r="L34" s="1"/>
      <c r="M34" s="174" t="s">
        <v>240</v>
      </c>
      <c r="N34" s="175" t="s">
        <v>96</v>
      </c>
    </row>
    <row r="35" spans="3:14" x14ac:dyDescent="0.35">
      <c r="E35" t="s">
        <v>238</v>
      </c>
      <c r="H35" s="177" t="s">
        <v>239</v>
      </c>
      <c r="I35" s="1" t="s">
        <v>96</v>
      </c>
      <c r="K35" s="183">
        <v>44095</v>
      </c>
      <c r="L35" s="86" t="s">
        <v>226</v>
      </c>
      <c r="M35" s="86"/>
      <c r="N35" s="86"/>
    </row>
    <row r="36" spans="3:14" x14ac:dyDescent="0.35">
      <c r="D36" t="s">
        <v>241</v>
      </c>
      <c r="E36" s="165">
        <v>43984</v>
      </c>
      <c r="F36" s="86" t="s">
        <v>225</v>
      </c>
      <c r="G36" s="86"/>
      <c r="H36" s="172"/>
      <c r="I36" s="110"/>
    </row>
    <row r="37" spans="3:14" x14ac:dyDescent="0.35">
      <c r="E37" s="173"/>
      <c r="F37" s="174"/>
      <c r="G37" s="174" t="s">
        <v>240</v>
      </c>
      <c r="H37" s="176" t="s">
        <v>95</v>
      </c>
      <c r="I37" s="175" t="s">
        <v>96</v>
      </c>
    </row>
    <row r="38" spans="3:14" x14ac:dyDescent="0.35">
      <c r="D38" t="s">
        <v>242</v>
      </c>
      <c r="E38" s="165">
        <v>43986</v>
      </c>
      <c r="F38" s="86" t="s">
        <v>226</v>
      </c>
      <c r="G38" s="86"/>
      <c r="H38" s="172"/>
      <c r="I38" s="110"/>
    </row>
  </sheetData>
  <sheetProtection selectLockedCells="1" selectUnlockedCells="1"/>
  <mergeCells count="12">
    <mergeCell ref="C32:C33"/>
    <mergeCell ref="D32:D33"/>
    <mergeCell ref="A16:A17"/>
    <mergeCell ref="A18:A19"/>
    <mergeCell ref="A20:A21"/>
    <mergeCell ref="A22:A23"/>
    <mergeCell ref="A14:A15"/>
    <mergeCell ref="A4:A5"/>
    <mergeCell ref="A6:A7"/>
    <mergeCell ref="A8:A9"/>
    <mergeCell ref="A10:A11"/>
    <mergeCell ref="A12:A13"/>
  </mergeCells>
  <conditionalFormatting sqref="D4">
    <cfRule type="cellIs" dxfId="634" priority="64" stopIfTrue="1" operator="lessThan">
      <formula>$C$4</formula>
    </cfRule>
    <cfRule type="cellIs" dxfId="633" priority="65" stopIfTrue="1" operator="equal">
      <formula>$C$4</formula>
    </cfRule>
  </conditionalFormatting>
  <conditionalFormatting sqref="D5">
    <cfRule type="cellIs" dxfId="632" priority="69" stopIfTrue="1" operator="lessThan">
      <formula>$C$5</formula>
    </cfRule>
    <cfRule type="cellIs" dxfId="631" priority="68" stopIfTrue="1" operator="equal">
      <formula>$C$5</formula>
    </cfRule>
  </conditionalFormatting>
  <conditionalFormatting sqref="D6">
    <cfRule type="cellIs" dxfId="630" priority="75" stopIfTrue="1" operator="equal">
      <formula>$C$6</formula>
    </cfRule>
    <cfRule type="cellIs" dxfId="629" priority="76" stopIfTrue="1" operator="lessThan">
      <formula>$C$6</formula>
    </cfRule>
  </conditionalFormatting>
  <conditionalFormatting sqref="D7">
    <cfRule type="cellIs" dxfId="628" priority="90" stopIfTrue="1" operator="lessThan">
      <formula>$C$7</formula>
    </cfRule>
    <cfRule type="cellIs" dxfId="627" priority="89" stopIfTrue="1" operator="equal">
      <formula>$C$7</formula>
    </cfRule>
  </conditionalFormatting>
  <conditionalFormatting sqref="D8">
    <cfRule type="cellIs" dxfId="626" priority="102" stopIfTrue="1" operator="lessThan">
      <formula>$C$8</formula>
    </cfRule>
    <cfRule type="cellIs" dxfId="625" priority="101" stopIfTrue="1" operator="equal">
      <formula>$C$8</formula>
    </cfRule>
  </conditionalFormatting>
  <conditionalFormatting sqref="D9">
    <cfRule type="cellIs" dxfId="624" priority="116" stopIfTrue="1" operator="lessThan">
      <formula>$C$9</formula>
    </cfRule>
    <cfRule type="cellIs" dxfId="623" priority="115" stopIfTrue="1" operator="equal">
      <formula>$C$9</formula>
    </cfRule>
  </conditionalFormatting>
  <conditionalFormatting sqref="D10">
    <cfRule type="cellIs" dxfId="622" priority="129" stopIfTrue="1" operator="equal">
      <formula>$C$10</formula>
    </cfRule>
    <cfRule type="cellIs" dxfId="621" priority="130" stopIfTrue="1" operator="lessThan">
      <formula>$C$10</formula>
    </cfRule>
  </conditionalFormatting>
  <conditionalFormatting sqref="D11">
    <cfRule type="cellIs" dxfId="620" priority="144" stopIfTrue="1" operator="lessThan">
      <formula>$C$11</formula>
    </cfRule>
    <cfRule type="cellIs" dxfId="619" priority="143" stopIfTrue="1" operator="equal">
      <formula>$C$11</formula>
    </cfRule>
  </conditionalFormatting>
  <conditionalFormatting sqref="D12">
    <cfRule type="cellIs" dxfId="618" priority="158" stopIfTrue="1" operator="lessThan">
      <formula>$C$12</formula>
    </cfRule>
    <cfRule type="cellIs" dxfId="617" priority="157" stopIfTrue="1" operator="equal">
      <formula>$C$12</formula>
    </cfRule>
  </conditionalFormatting>
  <conditionalFormatting sqref="D13">
    <cfRule type="cellIs" dxfId="616" priority="290" stopIfTrue="1" operator="lessThan">
      <formula>$C$13</formula>
    </cfRule>
    <cfRule type="cellIs" dxfId="615" priority="289" stopIfTrue="1" operator="equal">
      <formula>$C$13</formula>
    </cfRule>
  </conditionalFormatting>
  <conditionalFormatting sqref="D14">
    <cfRule type="cellIs" dxfId="614" priority="172" stopIfTrue="1" operator="lessThan">
      <formula>$C$14</formula>
    </cfRule>
    <cfRule type="cellIs" dxfId="613" priority="171" stopIfTrue="1" operator="equal">
      <formula>$C$14</formula>
    </cfRule>
  </conditionalFormatting>
  <conditionalFormatting sqref="D15">
    <cfRule type="cellIs" dxfId="612" priority="173" stopIfTrue="1" operator="equal">
      <formula>$C$15</formula>
    </cfRule>
    <cfRule type="cellIs" dxfId="611" priority="174" stopIfTrue="1" operator="lessThan">
      <formula>$C$15</formula>
    </cfRule>
  </conditionalFormatting>
  <conditionalFormatting sqref="D16">
    <cfRule type="cellIs" dxfId="610" priority="176" stopIfTrue="1" operator="lessThan">
      <formula>$C$16</formula>
    </cfRule>
    <cfRule type="cellIs" dxfId="609" priority="175" stopIfTrue="1" operator="equal">
      <formula>$C$16</formula>
    </cfRule>
  </conditionalFormatting>
  <conditionalFormatting sqref="D17">
    <cfRule type="cellIs" dxfId="608" priority="178" stopIfTrue="1" operator="lessThan">
      <formula>$C$17</formula>
    </cfRule>
    <cfRule type="cellIs" dxfId="607" priority="177" stopIfTrue="1" operator="equal">
      <formula>$C$17</formula>
    </cfRule>
  </conditionalFormatting>
  <conditionalFormatting sqref="D18">
    <cfRule type="cellIs" dxfId="606" priority="180" stopIfTrue="1" operator="lessThan">
      <formula>$C$18</formula>
    </cfRule>
    <cfRule type="cellIs" dxfId="605" priority="179" stopIfTrue="1" operator="equal">
      <formula>$C$18</formula>
    </cfRule>
  </conditionalFormatting>
  <conditionalFormatting sqref="D19">
    <cfRule type="cellIs" dxfId="604" priority="182" stopIfTrue="1" operator="lessThan">
      <formula>$C$19</formula>
    </cfRule>
    <cfRule type="cellIs" dxfId="603" priority="181" stopIfTrue="1" operator="equal">
      <formula>$C$19</formula>
    </cfRule>
  </conditionalFormatting>
  <conditionalFormatting sqref="D20">
    <cfRule type="cellIs" dxfId="602" priority="184" stopIfTrue="1" operator="lessThan">
      <formula>$C$20</formula>
    </cfRule>
    <cfRule type="cellIs" dxfId="601" priority="183" stopIfTrue="1" operator="equal">
      <formula>$C$20</formula>
    </cfRule>
  </conditionalFormatting>
  <conditionalFormatting sqref="D21">
    <cfRule type="cellIs" dxfId="600" priority="186" stopIfTrue="1" operator="lessThan">
      <formula>$C$21</formula>
    </cfRule>
    <cfRule type="cellIs" dxfId="599" priority="185" stopIfTrue="1" operator="equal">
      <formula>$C$21</formula>
    </cfRule>
  </conditionalFormatting>
  <conditionalFormatting sqref="D22">
    <cfRule type="cellIs" dxfId="598" priority="187" stopIfTrue="1" operator="equal">
      <formula>$C$22</formula>
    </cfRule>
    <cfRule type="cellIs" dxfId="597" priority="188" stopIfTrue="1" operator="lessThan">
      <formula>$C$22</formula>
    </cfRule>
  </conditionalFormatting>
  <conditionalFormatting sqref="D23">
    <cfRule type="cellIs" dxfId="596" priority="189" stopIfTrue="1" operator="equal">
      <formula>$C$23</formula>
    </cfRule>
    <cfRule type="cellIs" dxfId="595" priority="190" stopIfTrue="1" operator="lessThan">
      <formula>$C$23</formula>
    </cfRule>
  </conditionalFormatting>
  <conditionalFormatting sqref="D24">
    <cfRule type="cellIs" dxfId="594" priority="321" stopIfTrue="1" operator="equal">
      <formula>$C$24</formula>
    </cfRule>
    <cfRule type="cellIs" dxfId="593" priority="322" stopIfTrue="1" operator="lessThan">
      <formula>$C$24</formula>
    </cfRule>
  </conditionalFormatting>
  <conditionalFormatting sqref="D25">
    <cfRule type="cellIs" dxfId="592" priority="192" stopIfTrue="1" operator="lessThan">
      <formula>$C$25</formula>
    </cfRule>
    <cfRule type="cellIs" dxfId="591" priority="191" stopIfTrue="1" operator="equal">
      <formula>$C$25</formula>
    </cfRule>
  </conditionalFormatting>
  <conditionalFormatting sqref="D26">
    <cfRule type="cellIs" dxfId="590" priority="193" stopIfTrue="1" operator="equal">
      <formula>$C$26</formula>
    </cfRule>
    <cfRule type="cellIs" dxfId="589" priority="194" stopIfTrue="1" operator="lessThan">
      <formula>$C$26</formula>
    </cfRule>
  </conditionalFormatting>
  <conditionalFormatting sqref="D27">
    <cfRule type="cellIs" dxfId="588" priority="195" stopIfTrue="1" operator="equal">
      <formula>$C$27</formula>
    </cfRule>
    <cfRule type="cellIs" dxfId="587" priority="196" stopIfTrue="1" operator="lessThan">
      <formula>$C$27</formula>
    </cfRule>
  </conditionalFormatting>
  <conditionalFormatting sqref="D28">
    <cfRule type="cellIs" dxfId="586" priority="198" stopIfTrue="1" operator="lessThan">
      <formula>$C$28</formula>
    </cfRule>
    <cfRule type="cellIs" dxfId="585" priority="197" stopIfTrue="1" operator="equal">
      <formula>$C$28</formula>
    </cfRule>
  </conditionalFormatting>
  <conditionalFormatting sqref="D29:H29 J29:O29">
    <cfRule type="cellIs" dxfId="584" priority="336" stopIfTrue="1" operator="equal">
      <formula>0</formula>
    </cfRule>
  </conditionalFormatting>
  <conditionalFormatting sqref="E4">
    <cfRule type="cellIs" dxfId="583" priority="67" stopIfTrue="1" operator="lessThan">
      <formula>$D$4</formula>
    </cfRule>
    <cfRule type="cellIs" dxfId="582" priority="66" stopIfTrue="1" operator="equal">
      <formula>$D$4</formula>
    </cfRule>
  </conditionalFormatting>
  <conditionalFormatting sqref="E5">
    <cfRule type="cellIs" dxfId="581" priority="331" stopIfTrue="1" operator="equal">
      <formula>$D$5</formula>
    </cfRule>
    <cfRule type="cellIs" dxfId="580" priority="332" stopIfTrue="1" operator="lessThan">
      <formula>$D$5</formula>
    </cfRule>
  </conditionalFormatting>
  <conditionalFormatting sqref="E6">
    <cfRule type="cellIs" dxfId="579" priority="77" stopIfTrue="1" operator="equal">
      <formula>$D$6</formula>
    </cfRule>
    <cfRule type="cellIs" dxfId="578" priority="78" stopIfTrue="1" operator="lessThan">
      <formula>$D$6</formula>
    </cfRule>
  </conditionalFormatting>
  <conditionalFormatting sqref="E7">
    <cfRule type="cellIs" dxfId="577" priority="92" stopIfTrue="1" operator="lessThan">
      <formula>$D$7</formula>
    </cfRule>
    <cfRule type="cellIs" dxfId="576" priority="91" stopIfTrue="1" operator="equal">
      <formula>$D$7</formula>
    </cfRule>
  </conditionalFormatting>
  <conditionalFormatting sqref="E8">
    <cfRule type="cellIs" dxfId="575" priority="103" stopIfTrue="1" operator="equal">
      <formula>$D$8</formula>
    </cfRule>
    <cfRule type="cellIs" dxfId="574" priority="104" stopIfTrue="1" operator="lessThan">
      <formula>$D$8</formula>
    </cfRule>
  </conditionalFormatting>
  <conditionalFormatting sqref="E9">
    <cfRule type="cellIs" dxfId="573" priority="117" stopIfTrue="1" operator="equal">
      <formula>$D$9</formula>
    </cfRule>
    <cfRule type="cellIs" dxfId="572" priority="118" stopIfTrue="1" operator="lessThan">
      <formula>$D$9</formula>
    </cfRule>
  </conditionalFormatting>
  <conditionalFormatting sqref="E10">
    <cfRule type="cellIs" dxfId="571" priority="131" stopIfTrue="1" operator="equal">
      <formula>$D$10</formula>
    </cfRule>
    <cfRule type="cellIs" dxfId="570" priority="132" stopIfTrue="1" operator="lessThan">
      <formula>$D$10</formula>
    </cfRule>
  </conditionalFormatting>
  <conditionalFormatting sqref="E11">
    <cfRule type="cellIs" dxfId="569" priority="146" stopIfTrue="1" operator="lessThan">
      <formula>$D$11</formula>
    </cfRule>
    <cfRule type="cellIs" dxfId="568" priority="145" stopIfTrue="1" operator="equal">
      <formula>$D$11</formula>
    </cfRule>
  </conditionalFormatting>
  <conditionalFormatting sqref="E12">
    <cfRule type="cellIs" dxfId="567" priority="160" stopIfTrue="1" operator="lessThan">
      <formula>$D$12</formula>
    </cfRule>
    <cfRule type="cellIs" dxfId="566" priority="159" stopIfTrue="1" operator="equal">
      <formula>$D$12</formula>
    </cfRule>
  </conditionalFormatting>
  <conditionalFormatting sqref="E13">
    <cfRule type="cellIs" dxfId="565" priority="199" stopIfTrue="1" operator="equal">
      <formula>$D$13</formula>
    </cfRule>
    <cfRule type="cellIs" dxfId="564" priority="200" stopIfTrue="1" operator="lessThan">
      <formula>$D$13</formula>
    </cfRule>
  </conditionalFormatting>
  <conditionalFormatting sqref="E14">
    <cfRule type="cellIs" dxfId="563" priority="201" stopIfTrue="1" operator="equal">
      <formula>$D$14</formula>
    </cfRule>
    <cfRule type="cellIs" dxfId="562" priority="202" stopIfTrue="1" operator="lessThan">
      <formula>$D$14</formula>
    </cfRule>
  </conditionalFormatting>
  <conditionalFormatting sqref="E15">
    <cfRule type="cellIs" dxfId="561" priority="203" stopIfTrue="1" operator="equal">
      <formula>$D$15</formula>
    </cfRule>
    <cfRule type="cellIs" dxfId="560" priority="204" stopIfTrue="1" operator="lessThan">
      <formula>$D$15</formula>
    </cfRule>
  </conditionalFormatting>
  <conditionalFormatting sqref="E16">
    <cfRule type="cellIs" dxfId="559" priority="206" stopIfTrue="1" operator="lessThan">
      <formula>$D$16</formula>
    </cfRule>
    <cfRule type="cellIs" dxfId="558" priority="205" stopIfTrue="1" operator="equal">
      <formula>$D$16</formula>
    </cfRule>
  </conditionalFormatting>
  <conditionalFormatting sqref="E17">
    <cfRule type="cellIs" dxfId="557" priority="208" stopIfTrue="1" operator="lessThan">
      <formula>$D$17</formula>
    </cfRule>
    <cfRule type="cellIs" dxfId="556" priority="207" stopIfTrue="1" operator="equal">
      <formula>$D$17</formula>
    </cfRule>
  </conditionalFormatting>
  <conditionalFormatting sqref="E18">
    <cfRule type="cellIs" dxfId="555" priority="210" stopIfTrue="1" operator="lessThan">
      <formula>$D$18</formula>
    </cfRule>
    <cfRule type="cellIs" dxfId="554" priority="209" stopIfTrue="1" operator="equal">
      <formula>$D$18</formula>
    </cfRule>
  </conditionalFormatting>
  <conditionalFormatting sqref="E19">
    <cfRule type="cellIs" dxfId="553" priority="212" stopIfTrue="1" operator="lessThan">
      <formula>$D$19</formula>
    </cfRule>
    <cfRule type="cellIs" dxfId="552" priority="211" stopIfTrue="1" operator="equal">
      <formula>$D$19</formula>
    </cfRule>
  </conditionalFormatting>
  <conditionalFormatting sqref="E20">
    <cfRule type="cellIs" dxfId="551" priority="214" stopIfTrue="1" operator="lessThan">
      <formula>$D$20</formula>
    </cfRule>
    <cfRule type="cellIs" dxfId="550" priority="213" stopIfTrue="1" operator="equal">
      <formula>$D$20</formula>
    </cfRule>
  </conditionalFormatting>
  <conditionalFormatting sqref="E21">
    <cfRule type="cellIs" dxfId="549" priority="215" stopIfTrue="1" operator="equal">
      <formula>$D$21</formula>
    </cfRule>
    <cfRule type="cellIs" dxfId="548" priority="216" stopIfTrue="1" operator="lessThan">
      <formula>$D$21</formula>
    </cfRule>
  </conditionalFormatting>
  <conditionalFormatting sqref="E22">
    <cfRule type="cellIs" dxfId="547" priority="217" stopIfTrue="1" operator="equal">
      <formula>$D$22</formula>
    </cfRule>
    <cfRule type="cellIs" dxfId="546" priority="218" stopIfTrue="1" operator="lessThan">
      <formula>$D$22</formula>
    </cfRule>
  </conditionalFormatting>
  <conditionalFormatting sqref="E23">
    <cfRule type="cellIs" dxfId="545" priority="219" stopIfTrue="1" operator="equal">
      <formula>$D$23</formula>
    </cfRule>
    <cfRule type="cellIs" dxfId="544" priority="220" stopIfTrue="1" operator="lessThan">
      <formula>$D$23</formula>
    </cfRule>
  </conditionalFormatting>
  <conditionalFormatting sqref="E24">
    <cfRule type="cellIs" dxfId="543" priority="324" stopIfTrue="1" operator="lessThan">
      <formula>$D$24</formula>
    </cfRule>
    <cfRule type="cellIs" dxfId="542" priority="323" stopIfTrue="1" operator="equal">
      <formula>$D$24</formula>
    </cfRule>
  </conditionalFormatting>
  <conditionalFormatting sqref="E25">
    <cfRule type="cellIs" dxfId="541" priority="222" stopIfTrue="1" operator="lessThan">
      <formula>$D$25</formula>
    </cfRule>
    <cfRule type="cellIs" dxfId="540" priority="221" stopIfTrue="1" operator="equal">
      <formula>$D$25</formula>
    </cfRule>
  </conditionalFormatting>
  <conditionalFormatting sqref="E26">
    <cfRule type="cellIs" dxfId="539" priority="223" stopIfTrue="1" operator="equal">
      <formula>$D$26</formula>
    </cfRule>
    <cfRule type="cellIs" dxfId="538" priority="224" stopIfTrue="1" operator="lessThan">
      <formula>$D$26</formula>
    </cfRule>
  </conditionalFormatting>
  <conditionalFormatting sqref="E27">
    <cfRule type="cellIs" dxfId="537" priority="226" stopIfTrue="1" operator="lessThan">
      <formula>$D$27</formula>
    </cfRule>
    <cfRule type="cellIs" dxfId="536" priority="225" stopIfTrue="1" operator="equal">
      <formula>$D$27</formula>
    </cfRule>
  </conditionalFormatting>
  <conditionalFormatting sqref="E28">
    <cfRule type="cellIs" dxfId="535" priority="227" stopIfTrue="1" operator="equal">
      <formula>$D$28</formula>
    </cfRule>
    <cfRule type="cellIs" dxfId="534" priority="228" stopIfTrue="1" operator="lessThan">
      <formula>$D$28</formula>
    </cfRule>
  </conditionalFormatting>
  <conditionalFormatting sqref="F4">
    <cfRule type="cellIs" dxfId="533" priority="63" stopIfTrue="1" operator="lessThan">
      <formula>$E$4</formula>
    </cfRule>
    <cfRule type="cellIs" dxfId="532" priority="62" stopIfTrue="1" operator="equal">
      <formula>$E$4</formula>
    </cfRule>
  </conditionalFormatting>
  <conditionalFormatting sqref="F5">
    <cfRule type="cellIs" dxfId="531" priority="70" stopIfTrue="1" operator="equal">
      <formula>$E$5</formula>
    </cfRule>
    <cfRule type="cellIs" dxfId="530" priority="71" stopIfTrue="1" operator="lessThan">
      <formula>$E$5</formula>
    </cfRule>
  </conditionalFormatting>
  <conditionalFormatting sqref="F6">
    <cfRule type="cellIs" dxfId="529" priority="79" stopIfTrue="1" operator="equal">
      <formula>$E$6</formula>
    </cfRule>
    <cfRule type="cellIs" dxfId="528" priority="80" stopIfTrue="1" operator="lessThan">
      <formula>$E$6</formula>
    </cfRule>
  </conditionalFormatting>
  <conditionalFormatting sqref="F7">
    <cfRule type="cellIs" dxfId="527" priority="93" stopIfTrue="1" operator="equal">
      <formula>$E$7</formula>
    </cfRule>
    <cfRule type="cellIs" dxfId="526" priority="94" stopIfTrue="1" operator="lessThan">
      <formula>$E$7</formula>
    </cfRule>
  </conditionalFormatting>
  <conditionalFormatting sqref="F8">
    <cfRule type="cellIs" dxfId="525" priority="106" stopIfTrue="1" operator="lessThan">
      <formula>$E$8</formula>
    </cfRule>
    <cfRule type="cellIs" dxfId="524" priority="105" stopIfTrue="1" operator="equal">
      <formula>$E$8</formula>
    </cfRule>
  </conditionalFormatting>
  <conditionalFormatting sqref="F9">
    <cfRule type="cellIs" dxfId="523" priority="120" stopIfTrue="1" operator="lessThan">
      <formula>$E$9</formula>
    </cfRule>
    <cfRule type="cellIs" dxfId="522" priority="119" stopIfTrue="1" operator="equal">
      <formula>$E$9</formula>
    </cfRule>
  </conditionalFormatting>
  <conditionalFormatting sqref="F10">
    <cfRule type="cellIs" dxfId="521" priority="134" stopIfTrue="1" operator="lessThan">
      <formula>$E$10</formula>
    </cfRule>
    <cfRule type="cellIs" dxfId="520" priority="133" stopIfTrue="1" operator="equal">
      <formula>$E$10</formula>
    </cfRule>
  </conditionalFormatting>
  <conditionalFormatting sqref="F11">
    <cfRule type="cellIs" dxfId="519" priority="147" stopIfTrue="1" operator="equal">
      <formula>$E$11</formula>
    </cfRule>
    <cfRule type="cellIs" dxfId="518" priority="148" stopIfTrue="1" operator="lessThan">
      <formula>$E$11</formula>
    </cfRule>
  </conditionalFormatting>
  <conditionalFormatting sqref="F12">
    <cfRule type="cellIs" dxfId="517" priority="162" stopIfTrue="1" operator="lessThan">
      <formula>$E$12</formula>
    </cfRule>
    <cfRule type="cellIs" dxfId="516" priority="161" stopIfTrue="1" operator="equal">
      <formula>$E$12</formula>
    </cfRule>
  </conditionalFormatting>
  <conditionalFormatting sqref="F13">
    <cfRule type="cellIs" dxfId="515" priority="230" stopIfTrue="1" operator="lessThan">
      <formula>$E$13</formula>
    </cfRule>
    <cfRule type="cellIs" dxfId="514" priority="229" stopIfTrue="1" operator="equal">
      <formula>$E$13</formula>
    </cfRule>
  </conditionalFormatting>
  <conditionalFormatting sqref="F14">
    <cfRule type="cellIs" dxfId="513" priority="231" stopIfTrue="1" operator="equal">
      <formula>$E$14</formula>
    </cfRule>
    <cfRule type="cellIs" dxfId="512" priority="232" stopIfTrue="1" operator="lessThan">
      <formula>$E$14</formula>
    </cfRule>
  </conditionalFormatting>
  <conditionalFormatting sqref="F15">
    <cfRule type="cellIs" dxfId="511" priority="233" stopIfTrue="1" operator="equal">
      <formula>$E$15</formula>
    </cfRule>
    <cfRule type="cellIs" dxfId="510" priority="234" stopIfTrue="1" operator="lessThan">
      <formula>$E$15</formula>
    </cfRule>
  </conditionalFormatting>
  <conditionalFormatting sqref="F16">
    <cfRule type="cellIs" dxfId="509" priority="236" stopIfTrue="1" operator="lessThan">
      <formula>$E$16</formula>
    </cfRule>
    <cfRule type="cellIs" dxfId="508" priority="235" stopIfTrue="1" operator="equal">
      <formula>$E$16</formula>
    </cfRule>
  </conditionalFormatting>
  <conditionalFormatting sqref="F17">
    <cfRule type="cellIs" dxfId="507" priority="237" stopIfTrue="1" operator="equal">
      <formula>$E$17</formula>
    </cfRule>
    <cfRule type="cellIs" dxfId="506" priority="238" stopIfTrue="1" operator="lessThan">
      <formula>$E$17</formula>
    </cfRule>
  </conditionalFormatting>
  <conditionalFormatting sqref="F18">
    <cfRule type="cellIs" dxfId="505" priority="239" stopIfTrue="1" operator="equal">
      <formula>$E$18</formula>
    </cfRule>
    <cfRule type="cellIs" dxfId="504" priority="240" stopIfTrue="1" operator="lessThan">
      <formula>$E$18</formula>
    </cfRule>
  </conditionalFormatting>
  <conditionalFormatting sqref="F19">
    <cfRule type="cellIs" dxfId="503" priority="241" stopIfTrue="1" operator="equal">
      <formula>$E$19</formula>
    </cfRule>
    <cfRule type="cellIs" dxfId="502" priority="242" stopIfTrue="1" operator="lessThan">
      <formula>$E$19</formula>
    </cfRule>
  </conditionalFormatting>
  <conditionalFormatting sqref="F20">
    <cfRule type="cellIs" dxfId="501" priority="244" stopIfTrue="1" operator="lessThan">
      <formula>$E$20</formula>
    </cfRule>
    <cfRule type="cellIs" dxfId="500" priority="243" stopIfTrue="1" operator="equal">
      <formula>$E$20</formula>
    </cfRule>
  </conditionalFormatting>
  <conditionalFormatting sqref="F21">
    <cfRule type="cellIs" dxfId="499" priority="246" stopIfTrue="1" operator="lessThan">
      <formula>$E$21</formula>
    </cfRule>
    <cfRule type="cellIs" dxfId="498" priority="245" stopIfTrue="1" operator="equal">
      <formula>$E$21</formula>
    </cfRule>
  </conditionalFormatting>
  <conditionalFormatting sqref="F22">
    <cfRule type="cellIs" dxfId="497" priority="247" stopIfTrue="1" operator="equal">
      <formula>$E$22</formula>
    </cfRule>
    <cfRule type="cellIs" dxfId="496" priority="248" stopIfTrue="1" operator="lessThan">
      <formula>$E$22</formula>
    </cfRule>
  </conditionalFormatting>
  <conditionalFormatting sqref="F23">
    <cfRule type="cellIs" dxfId="495" priority="249" stopIfTrue="1" operator="equal">
      <formula>$E$23</formula>
    </cfRule>
    <cfRule type="cellIs" dxfId="494" priority="250" stopIfTrue="1" operator="lessThan">
      <formula>$E$23</formula>
    </cfRule>
  </conditionalFormatting>
  <conditionalFormatting sqref="F24">
    <cfRule type="cellIs" dxfId="493" priority="326" stopIfTrue="1" operator="lessThan">
      <formula>$E$24</formula>
    </cfRule>
    <cfRule type="cellIs" dxfId="492" priority="325" stopIfTrue="1" operator="equal">
      <formula>$E$24</formula>
    </cfRule>
  </conditionalFormatting>
  <conditionalFormatting sqref="F25">
    <cfRule type="cellIs" dxfId="491" priority="252" stopIfTrue="1" operator="lessThan">
      <formula>$E$25</formula>
    </cfRule>
    <cfRule type="cellIs" dxfId="490" priority="251" stopIfTrue="1" operator="equal">
      <formula>$E$25</formula>
    </cfRule>
  </conditionalFormatting>
  <conditionalFormatting sqref="F26">
    <cfRule type="cellIs" dxfId="489" priority="254" stopIfTrue="1" operator="lessThan">
      <formula>$E$26</formula>
    </cfRule>
    <cfRule type="cellIs" dxfId="488" priority="253" stopIfTrue="1" operator="equal">
      <formula>$E$26</formula>
    </cfRule>
  </conditionalFormatting>
  <conditionalFormatting sqref="F27">
    <cfRule type="cellIs" dxfId="487" priority="255" stopIfTrue="1" operator="equal">
      <formula>$E$27</formula>
    </cfRule>
    <cfRule type="cellIs" dxfId="486" priority="256" stopIfTrue="1" operator="lessThan">
      <formula>$E$27</formula>
    </cfRule>
  </conditionalFormatting>
  <conditionalFormatting sqref="F28">
    <cfRule type="cellIs" dxfId="485" priority="257" stopIfTrue="1" operator="equal">
      <formula>$E$28</formula>
    </cfRule>
    <cfRule type="cellIs" dxfId="484" priority="258" stopIfTrue="1" operator="lessThan">
      <formula>$E$28</formula>
    </cfRule>
  </conditionalFormatting>
  <conditionalFormatting sqref="G4">
    <cfRule type="cellIs" dxfId="483" priority="335" stopIfTrue="1" operator="equal">
      <formula>$F$4</formula>
    </cfRule>
  </conditionalFormatting>
  <conditionalFormatting sqref="G5">
    <cfRule type="cellIs" dxfId="482" priority="333" stopIfTrue="1" operator="equal">
      <formula>$F$5</formula>
    </cfRule>
    <cfRule type="cellIs" dxfId="481" priority="334" stopIfTrue="1" operator="lessThan">
      <formula>$F$5</formula>
    </cfRule>
  </conditionalFormatting>
  <conditionalFormatting sqref="G6">
    <cfRule type="cellIs" dxfId="480" priority="81" stopIfTrue="1" operator="equal">
      <formula>$F$6</formula>
    </cfRule>
    <cfRule type="cellIs" dxfId="479" priority="82" stopIfTrue="1" operator="lessThan">
      <formula>$F$6</formula>
    </cfRule>
  </conditionalFormatting>
  <conditionalFormatting sqref="G7">
    <cfRule type="cellIs" dxfId="478" priority="55" stopIfTrue="1" operator="lessThan">
      <formula>$F$7</formula>
    </cfRule>
    <cfRule type="cellIs" dxfId="477" priority="54" stopIfTrue="1" operator="equal">
      <formula>$F$7</formula>
    </cfRule>
  </conditionalFormatting>
  <conditionalFormatting sqref="G8">
    <cfRule type="cellIs" dxfId="476" priority="107" stopIfTrue="1" operator="equal">
      <formula>$F$8</formula>
    </cfRule>
    <cfRule type="cellIs" dxfId="475" priority="108" stopIfTrue="1" operator="lessThan">
      <formula>$F$8</formula>
    </cfRule>
  </conditionalFormatting>
  <conditionalFormatting sqref="G9">
    <cfRule type="cellIs" dxfId="474" priority="121" stopIfTrue="1" operator="equal">
      <formula>$F$9</formula>
    </cfRule>
    <cfRule type="cellIs" dxfId="473" priority="122" stopIfTrue="1" operator="lessThan">
      <formula>$F$9</formula>
    </cfRule>
  </conditionalFormatting>
  <conditionalFormatting sqref="G10">
    <cfRule type="cellIs" dxfId="472" priority="136" stopIfTrue="1" operator="lessThan">
      <formula>$F$10</formula>
    </cfRule>
    <cfRule type="cellIs" dxfId="471" priority="135" stopIfTrue="1" operator="equal">
      <formula>$F$10</formula>
    </cfRule>
  </conditionalFormatting>
  <conditionalFormatting sqref="G11">
    <cfRule type="cellIs" dxfId="470" priority="149" stopIfTrue="1" operator="equal">
      <formula>$F$11</formula>
    </cfRule>
    <cfRule type="cellIs" dxfId="469" priority="150" stopIfTrue="1" operator="lessThan">
      <formula>$F$11</formula>
    </cfRule>
  </conditionalFormatting>
  <conditionalFormatting sqref="G12">
    <cfRule type="cellIs" dxfId="468" priority="163" stopIfTrue="1" operator="equal">
      <formula>$F$12</formula>
    </cfRule>
    <cfRule type="cellIs" dxfId="467" priority="164" stopIfTrue="1" operator="lessThan">
      <formula>$F$12</formula>
    </cfRule>
  </conditionalFormatting>
  <conditionalFormatting sqref="G13">
    <cfRule type="cellIs" dxfId="466" priority="260" stopIfTrue="1" operator="lessThan">
      <formula>$F$13</formula>
    </cfRule>
    <cfRule type="cellIs" dxfId="465" priority="259" stopIfTrue="1" operator="equal">
      <formula>$F$13</formula>
    </cfRule>
  </conditionalFormatting>
  <conditionalFormatting sqref="G14">
    <cfRule type="cellIs" dxfId="464" priority="261" stopIfTrue="1" operator="equal">
      <formula>$F$14</formula>
    </cfRule>
    <cfRule type="cellIs" dxfId="463" priority="262" stopIfTrue="1" operator="lessThan">
      <formula>$F$14</formula>
    </cfRule>
  </conditionalFormatting>
  <conditionalFormatting sqref="G15">
    <cfRule type="cellIs" dxfId="462" priority="264" stopIfTrue="1" operator="lessThan">
      <formula>$F$15</formula>
    </cfRule>
    <cfRule type="cellIs" dxfId="461" priority="263" stopIfTrue="1" operator="equal">
      <formula>$F$15</formula>
    </cfRule>
  </conditionalFormatting>
  <conditionalFormatting sqref="G16">
    <cfRule type="cellIs" dxfId="460" priority="266" stopIfTrue="1" operator="lessThan">
      <formula>$F$16</formula>
    </cfRule>
    <cfRule type="cellIs" dxfId="459" priority="265" stopIfTrue="1" operator="equal">
      <formula>$F$16</formula>
    </cfRule>
  </conditionalFormatting>
  <conditionalFormatting sqref="G17">
    <cfRule type="cellIs" dxfId="458" priority="268" stopIfTrue="1" operator="lessThan">
      <formula>$F$17</formula>
    </cfRule>
    <cfRule type="cellIs" dxfId="457" priority="267" stopIfTrue="1" operator="equal">
      <formula>$F$17</formula>
    </cfRule>
  </conditionalFormatting>
  <conditionalFormatting sqref="G18">
    <cfRule type="cellIs" dxfId="456" priority="270" stopIfTrue="1" operator="lessThan">
      <formula>$F$18</formula>
    </cfRule>
    <cfRule type="cellIs" dxfId="455" priority="269" stopIfTrue="1" operator="equal">
      <formula>$F$18</formula>
    </cfRule>
  </conditionalFormatting>
  <conditionalFormatting sqref="G19">
    <cfRule type="cellIs" dxfId="454" priority="271" stopIfTrue="1" operator="equal">
      <formula>$F$19</formula>
    </cfRule>
    <cfRule type="cellIs" dxfId="453" priority="272" stopIfTrue="1" operator="lessThan">
      <formula>$F$19</formula>
    </cfRule>
  </conditionalFormatting>
  <conditionalFormatting sqref="G20">
    <cfRule type="cellIs" dxfId="452" priority="273" stopIfTrue="1" operator="equal">
      <formula>$F$20</formula>
    </cfRule>
    <cfRule type="cellIs" dxfId="451" priority="274" stopIfTrue="1" operator="lessThan">
      <formula>$F$20</formula>
    </cfRule>
  </conditionalFormatting>
  <conditionalFormatting sqref="G21">
    <cfRule type="cellIs" dxfId="450" priority="276" stopIfTrue="1" operator="lessThan">
      <formula>$F$21</formula>
    </cfRule>
    <cfRule type="cellIs" dxfId="449" priority="275" stopIfTrue="1" operator="equal">
      <formula>$F$21</formula>
    </cfRule>
  </conditionalFormatting>
  <conditionalFormatting sqref="G22">
    <cfRule type="cellIs" dxfId="448" priority="277" stopIfTrue="1" operator="equal">
      <formula>$F$22</formula>
    </cfRule>
    <cfRule type="cellIs" dxfId="447" priority="278" stopIfTrue="1" operator="lessThan">
      <formula>$F$22</formula>
    </cfRule>
  </conditionalFormatting>
  <conditionalFormatting sqref="G23">
    <cfRule type="cellIs" dxfId="446" priority="280" stopIfTrue="1" operator="lessThan">
      <formula>$F$23</formula>
    </cfRule>
    <cfRule type="cellIs" dxfId="445" priority="279" stopIfTrue="1" operator="equal">
      <formula>$F$23</formula>
    </cfRule>
  </conditionalFormatting>
  <conditionalFormatting sqref="G24">
    <cfRule type="cellIs" dxfId="444" priority="328" stopIfTrue="1" operator="lessThan">
      <formula>$F$24</formula>
    </cfRule>
    <cfRule type="cellIs" dxfId="443" priority="327" stopIfTrue="1" operator="equal">
      <formula>$F$24</formula>
    </cfRule>
  </conditionalFormatting>
  <conditionalFormatting sqref="G25">
    <cfRule type="cellIs" dxfId="442" priority="281" stopIfTrue="1" operator="equal">
      <formula>$F$25</formula>
    </cfRule>
    <cfRule type="cellIs" dxfId="441" priority="282" stopIfTrue="1" operator="lessThan">
      <formula>$F$25</formula>
    </cfRule>
  </conditionalFormatting>
  <conditionalFormatting sqref="G26">
    <cfRule type="cellIs" dxfId="440" priority="284" stopIfTrue="1" operator="lessThan">
      <formula>$F$26</formula>
    </cfRule>
    <cfRule type="cellIs" dxfId="439" priority="283" stopIfTrue="1" operator="equal">
      <formula>$F$26</formula>
    </cfRule>
  </conditionalFormatting>
  <conditionalFormatting sqref="G27">
    <cfRule type="cellIs" dxfId="438" priority="285" stopIfTrue="1" operator="equal">
      <formula>$F$27</formula>
    </cfRule>
    <cfRule type="cellIs" dxfId="437" priority="286" stopIfTrue="1" operator="lessThan">
      <formula>$F$27</formula>
    </cfRule>
  </conditionalFormatting>
  <conditionalFormatting sqref="G28">
    <cfRule type="cellIs" dxfId="436" priority="288" stopIfTrue="1" operator="lessThan">
      <formula>$F$28</formula>
    </cfRule>
    <cfRule type="cellIs" dxfId="435" priority="287" stopIfTrue="1" operator="equal">
      <formula>$F$28</formula>
    </cfRule>
  </conditionalFormatting>
  <conditionalFormatting sqref="H4">
    <cfRule type="cellIs" dxfId="434" priority="52" stopIfTrue="1" operator="lessThan">
      <formula>$G$4</formula>
    </cfRule>
    <cfRule type="cellIs" dxfId="433" priority="53" stopIfTrue="1" operator="equal">
      <formula>$G$4</formula>
    </cfRule>
  </conditionalFormatting>
  <conditionalFormatting sqref="H5">
    <cfRule type="cellIs" dxfId="432" priority="56" stopIfTrue="1" operator="equal">
      <formula>$G$5</formula>
    </cfRule>
    <cfRule type="cellIs" dxfId="431" priority="57" stopIfTrue="1" operator="lessThan">
      <formula>$G$5</formula>
    </cfRule>
  </conditionalFormatting>
  <conditionalFormatting sqref="H6">
    <cfRule type="cellIs" dxfId="430" priority="83" stopIfTrue="1" operator="equal">
      <formula>$G$6</formula>
    </cfRule>
    <cfRule type="cellIs" dxfId="429" priority="84" stopIfTrue="1" operator="lessThan">
      <formula>$G$6</formula>
    </cfRule>
  </conditionalFormatting>
  <conditionalFormatting sqref="H7">
    <cfRule type="cellIs" dxfId="428" priority="96" stopIfTrue="1" operator="lessThan">
      <formula>$G$7</formula>
    </cfRule>
    <cfRule type="cellIs" dxfId="427" priority="95" stopIfTrue="1" operator="equal">
      <formula>$G$7</formula>
    </cfRule>
  </conditionalFormatting>
  <conditionalFormatting sqref="H8">
    <cfRule type="cellIs" dxfId="426" priority="110" stopIfTrue="1" operator="lessThan">
      <formula>$G$8</formula>
    </cfRule>
    <cfRule type="cellIs" dxfId="425" priority="109" stopIfTrue="1" operator="equal">
      <formula>$G$8</formula>
    </cfRule>
  </conditionalFormatting>
  <conditionalFormatting sqref="H9">
    <cfRule type="cellIs" dxfId="424" priority="123" stopIfTrue="1" operator="equal">
      <formula>$G$9</formula>
    </cfRule>
    <cfRule type="cellIs" dxfId="423" priority="124" stopIfTrue="1" operator="lessThan">
      <formula>$G$9</formula>
    </cfRule>
  </conditionalFormatting>
  <conditionalFormatting sqref="H10">
    <cfRule type="cellIs" dxfId="422" priority="137" stopIfTrue="1" operator="equal">
      <formula>$G$10</formula>
    </cfRule>
    <cfRule type="cellIs" dxfId="421" priority="138" stopIfTrue="1" operator="lessThan">
      <formula>$G$10</formula>
    </cfRule>
  </conditionalFormatting>
  <conditionalFormatting sqref="H11">
    <cfRule type="cellIs" dxfId="420" priority="151" stopIfTrue="1" operator="equal">
      <formula>$G$11</formula>
    </cfRule>
    <cfRule type="cellIs" dxfId="419" priority="152" stopIfTrue="1" operator="lessThan">
      <formula>$G$11</formula>
    </cfRule>
  </conditionalFormatting>
  <conditionalFormatting sqref="H12">
    <cfRule type="cellIs" dxfId="418" priority="165" stopIfTrue="1" operator="equal">
      <formula>$G$12</formula>
    </cfRule>
    <cfRule type="cellIs" dxfId="417" priority="166" stopIfTrue="1" operator="lessThan">
      <formula>$G$12</formula>
    </cfRule>
  </conditionalFormatting>
  <conditionalFormatting sqref="H13">
    <cfRule type="cellIs" dxfId="416" priority="291" stopIfTrue="1" operator="equal">
      <formula>$G$13</formula>
    </cfRule>
    <cfRule type="cellIs" dxfId="415" priority="292" stopIfTrue="1" operator="lessThan">
      <formula>$G$13</formula>
    </cfRule>
  </conditionalFormatting>
  <conditionalFormatting sqref="H14">
    <cfRule type="cellIs" dxfId="414" priority="294" stopIfTrue="1" operator="lessThan">
      <formula>$G$14</formula>
    </cfRule>
    <cfRule type="cellIs" dxfId="413" priority="293" stopIfTrue="1" operator="equal">
      <formula>$G$14</formula>
    </cfRule>
  </conditionalFormatting>
  <conditionalFormatting sqref="H15">
    <cfRule type="cellIs" dxfId="412" priority="295" stopIfTrue="1" operator="equal">
      <formula>$G$15</formula>
    </cfRule>
    <cfRule type="cellIs" dxfId="411" priority="296" stopIfTrue="1" operator="lessThan">
      <formula>$G$15</formula>
    </cfRule>
  </conditionalFormatting>
  <conditionalFormatting sqref="H16">
    <cfRule type="cellIs" dxfId="410" priority="298" stopIfTrue="1" operator="lessThan">
      <formula>$G$16</formula>
    </cfRule>
    <cfRule type="cellIs" dxfId="409" priority="297" stopIfTrue="1" operator="equal">
      <formula>$G$16</formula>
    </cfRule>
  </conditionalFormatting>
  <conditionalFormatting sqref="H17">
    <cfRule type="cellIs" dxfId="408" priority="300" stopIfTrue="1" operator="lessThan">
      <formula>$G$17</formula>
    </cfRule>
    <cfRule type="cellIs" dxfId="407" priority="299" stopIfTrue="1" operator="equal">
      <formula>$G$17</formula>
    </cfRule>
  </conditionalFormatting>
  <conditionalFormatting sqref="H18">
    <cfRule type="cellIs" dxfId="406" priority="301" stopIfTrue="1" operator="equal">
      <formula>$G$18</formula>
    </cfRule>
    <cfRule type="cellIs" dxfId="405" priority="302" stopIfTrue="1" operator="lessThan">
      <formula>$G$18</formula>
    </cfRule>
  </conditionalFormatting>
  <conditionalFormatting sqref="H19">
    <cfRule type="cellIs" dxfId="404" priority="303" stopIfTrue="1" operator="equal">
      <formula>$G$19</formula>
    </cfRule>
    <cfRule type="cellIs" dxfId="403" priority="304" stopIfTrue="1" operator="lessThan">
      <formula>$G$19</formula>
    </cfRule>
  </conditionalFormatting>
  <conditionalFormatting sqref="H20">
    <cfRule type="cellIs" dxfId="402" priority="305" stopIfTrue="1" operator="equal">
      <formula>$G$20</formula>
    </cfRule>
    <cfRule type="cellIs" dxfId="401" priority="306" stopIfTrue="1" operator="lessThan">
      <formula>$G$20</formula>
    </cfRule>
  </conditionalFormatting>
  <conditionalFormatting sqref="H21">
    <cfRule type="cellIs" dxfId="400" priority="307" stopIfTrue="1" operator="equal">
      <formula>$G$21</formula>
    </cfRule>
    <cfRule type="cellIs" dxfId="399" priority="308" stopIfTrue="1" operator="lessThan">
      <formula>$G$21</formula>
    </cfRule>
  </conditionalFormatting>
  <conditionalFormatting sqref="H22">
    <cfRule type="cellIs" dxfId="398" priority="310" stopIfTrue="1" operator="lessThan">
      <formula>$G$22</formula>
    </cfRule>
    <cfRule type="cellIs" dxfId="397" priority="309" stopIfTrue="1" operator="equal">
      <formula>$G$22</formula>
    </cfRule>
  </conditionalFormatting>
  <conditionalFormatting sqref="H23">
    <cfRule type="cellIs" dxfId="396" priority="312" stopIfTrue="1" operator="lessThan">
      <formula>$G$23</formula>
    </cfRule>
    <cfRule type="cellIs" dxfId="395" priority="311" stopIfTrue="1" operator="equal">
      <formula>$G$23</formula>
    </cfRule>
  </conditionalFormatting>
  <conditionalFormatting sqref="H24">
    <cfRule type="cellIs" dxfId="394" priority="330" stopIfTrue="1" operator="lessThan">
      <formula>$G$24</formula>
    </cfRule>
    <cfRule type="cellIs" dxfId="393" priority="329" stopIfTrue="1" operator="equal">
      <formula>$G$24</formula>
    </cfRule>
  </conditionalFormatting>
  <conditionalFormatting sqref="H25">
    <cfRule type="cellIs" dxfId="392" priority="313" stopIfTrue="1" operator="equal">
      <formula>$G$25</formula>
    </cfRule>
    <cfRule type="cellIs" dxfId="391" priority="314" stopIfTrue="1" operator="lessThan">
      <formula>$G$25</formula>
    </cfRule>
  </conditionalFormatting>
  <conditionalFormatting sqref="H26">
    <cfRule type="cellIs" dxfId="390" priority="316" stopIfTrue="1" operator="lessThan">
      <formula>$G$26</formula>
    </cfRule>
    <cfRule type="cellIs" dxfId="389" priority="315" stopIfTrue="1" operator="equal">
      <formula>$G$26</formula>
    </cfRule>
  </conditionalFormatting>
  <conditionalFormatting sqref="H27">
    <cfRule type="cellIs" dxfId="388" priority="317" stopIfTrue="1" operator="equal">
      <formula>$G$27</formula>
    </cfRule>
    <cfRule type="cellIs" dxfId="387" priority="318" stopIfTrue="1" operator="lessThan">
      <formula>$G$27</formula>
    </cfRule>
  </conditionalFormatting>
  <conditionalFormatting sqref="H28">
    <cfRule type="cellIs" dxfId="386" priority="319" stopIfTrue="1" operator="equal">
      <formula>$G$28</formula>
    </cfRule>
    <cfRule type="cellIs" dxfId="385" priority="320" stopIfTrue="1" operator="lessThan">
      <formula>$G$28</formula>
    </cfRule>
  </conditionalFormatting>
  <conditionalFormatting sqref="I4">
    <cfRule type="cellIs" dxfId="384" priority="72" stopIfTrue="1" operator="equal">
      <formula>$H$4</formula>
    </cfRule>
  </conditionalFormatting>
  <conditionalFormatting sqref="I5">
    <cfRule type="cellIs" dxfId="383" priority="59" stopIfTrue="1" operator="lessThan">
      <formula>$H$5</formula>
    </cfRule>
    <cfRule type="cellIs" dxfId="382" priority="58" stopIfTrue="1" operator="equal">
      <formula>$H$5</formula>
    </cfRule>
  </conditionalFormatting>
  <conditionalFormatting sqref="I6">
    <cfRule type="cellIs" dxfId="381" priority="85" stopIfTrue="1" operator="equal">
      <formula>$H$6</formula>
    </cfRule>
    <cfRule type="cellIs" dxfId="380" priority="86" stopIfTrue="1" operator="lessThan">
      <formula>$H$6</formula>
    </cfRule>
  </conditionalFormatting>
  <conditionalFormatting sqref="I7">
    <cfRule type="cellIs" dxfId="379" priority="97" stopIfTrue="1" operator="equal">
      <formula>$H$7</formula>
    </cfRule>
    <cfRule type="cellIs" dxfId="378" priority="98" stopIfTrue="1" operator="lessThan">
      <formula>$H$7</formula>
    </cfRule>
  </conditionalFormatting>
  <conditionalFormatting sqref="I8">
    <cfRule type="cellIs" dxfId="377" priority="112" stopIfTrue="1" operator="lessThan">
      <formula>$H$8</formula>
    </cfRule>
    <cfRule type="cellIs" dxfId="376" priority="111" stopIfTrue="1" operator="equal">
      <formula>$H$8</formula>
    </cfRule>
  </conditionalFormatting>
  <conditionalFormatting sqref="I9">
    <cfRule type="cellIs" dxfId="375" priority="126" stopIfTrue="1" operator="lessThan">
      <formula>$H$9</formula>
    </cfRule>
    <cfRule type="cellIs" dxfId="374" priority="125" stopIfTrue="1" operator="equal">
      <formula>$H$9</formula>
    </cfRule>
  </conditionalFormatting>
  <conditionalFormatting sqref="I10">
    <cfRule type="cellIs" dxfId="373" priority="140" stopIfTrue="1" operator="lessThan">
      <formula>$H$10</formula>
    </cfRule>
    <cfRule type="cellIs" dxfId="372" priority="139" stopIfTrue="1" operator="equal">
      <formula>$H$10</formula>
    </cfRule>
  </conditionalFormatting>
  <conditionalFormatting sqref="I11">
    <cfRule type="cellIs" dxfId="371" priority="153" stopIfTrue="1" operator="equal">
      <formula>$H$11</formula>
    </cfRule>
    <cfRule type="cellIs" dxfId="370" priority="154" stopIfTrue="1" operator="lessThan">
      <formula>$H$11</formula>
    </cfRule>
  </conditionalFormatting>
  <conditionalFormatting sqref="I12">
    <cfRule type="cellIs" dxfId="369" priority="168" stopIfTrue="1" operator="lessThan">
      <formula>$H$12</formula>
    </cfRule>
    <cfRule type="cellIs" dxfId="368" priority="167" stopIfTrue="1" operator="equal">
      <formula>$H$12</formula>
    </cfRule>
  </conditionalFormatting>
  <conditionalFormatting sqref="I13">
    <cfRule type="cellIs" dxfId="367" priority="337" stopIfTrue="1" operator="equal">
      <formula>$H$13</formula>
    </cfRule>
    <cfRule type="cellIs" dxfId="366" priority="338" stopIfTrue="1" operator="lessThan">
      <formula>$H$13</formula>
    </cfRule>
  </conditionalFormatting>
  <conditionalFormatting sqref="I14">
    <cfRule type="cellIs" dxfId="365" priority="339" stopIfTrue="1" operator="equal">
      <formula>$H$14</formula>
    </cfRule>
    <cfRule type="cellIs" dxfId="364" priority="340" stopIfTrue="1" operator="lessThan">
      <formula>$H$14</formula>
    </cfRule>
  </conditionalFormatting>
  <conditionalFormatting sqref="I15">
    <cfRule type="cellIs" dxfId="363" priority="342" stopIfTrue="1" operator="lessThan">
      <formula>$H$15</formula>
    </cfRule>
    <cfRule type="cellIs" dxfId="362" priority="341" stopIfTrue="1" operator="equal">
      <formula>$H$15</formula>
    </cfRule>
  </conditionalFormatting>
  <conditionalFormatting sqref="I16">
    <cfRule type="cellIs" dxfId="361" priority="343" stopIfTrue="1" operator="equal">
      <formula>$H$16</formula>
    </cfRule>
    <cfRule type="cellIs" dxfId="360" priority="344" stopIfTrue="1" operator="lessThan">
      <formula>$H$16</formula>
    </cfRule>
  </conditionalFormatting>
  <conditionalFormatting sqref="I17">
    <cfRule type="cellIs" dxfId="359" priority="346" stopIfTrue="1" operator="lessThan">
      <formula>$H$17</formula>
    </cfRule>
    <cfRule type="cellIs" dxfId="358" priority="345" stopIfTrue="1" operator="equal">
      <formula>$H$17</formula>
    </cfRule>
  </conditionalFormatting>
  <conditionalFormatting sqref="I18">
    <cfRule type="cellIs" dxfId="357" priority="347" stopIfTrue="1" operator="equal">
      <formula>$H$18</formula>
    </cfRule>
    <cfRule type="cellIs" dxfId="356" priority="348" stopIfTrue="1" operator="lessThan">
      <formula>$H$18</formula>
    </cfRule>
  </conditionalFormatting>
  <conditionalFormatting sqref="I19">
    <cfRule type="cellIs" dxfId="355" priority="350" stopIfTrue="1" operator="lessThan">
      <formula>$H$19</formula>
    </cfRule>
    <cfRule type="cellIs" dxfId="354" priority="349" stopIfTrue="1" operator="equal">
      <formula>$H$19</formula>
    </cfRule>
  </conditionalFormatting>
  <conditionalFormatting sqref="I20">
    <cfRule type="cellIs" dxfId="353" priority="352" stopIfTrue="1" operator="lessThan">
      <formula>$H$20</formula>
    </cfRule>
    <cfRule type="cellIs" dxfId="352" priority="351" stopIfTrue="1" operator="equal">
      <formula>$H$20</formula>
    </cfRule>
  </conditionalFormatting>
  <conditionalFormatting sqref="I21">
    <cfRule type="cellIs" dxfId="351" priority="353" stopIfTrue="1" operator="equal">
      <formula>$H$21</formula>
    </cfRule>
    <cfRule type="cellIs" dxfId="350" priority="354" stopIfTrue="1" operator="lessThan">
      <formula>$H$21</formula>
    </cfRule>
  </conditionalFormatting>
  <conditionalFormatting sqref="I22">
    <cfRule type="cellIs" dxfId="349" priority="356" stopIfTrue="1" operator="lessThan">
      <formula>$H$22</formula>
    </cfRule>
    <cfRule type="cellIs" dxfId="348" priority="355" stopIfTrue="1" operator="equal">
      <formula>$H$22</formula>
    </cfRule>
  </conditionalFormatting>
  <conditionalFormatting sqref="I23">
    <cfRule type="cellIs" dxfId="347" priority="358" stopIfTrue="1" operator="lessThan">
      <formula>$H$23</formula>
    </cfRule>
    <cfRule type="cellIs" dxfId="346" priority="357" stopIfTrue="1" operator="equal">
      <formula>$H$23</formula>
    </cfRule>
  </conditionalFormatting>
  <conditionalFormatting sqref="I24">
    <cfRule type="cellIs" dxfId="345" priority="360" stopIfTrue="1" operator="lessThan">
      <formula>$H$24</formula>
    </cfRule>
    <cfRule type="cellIs" dxfId="344" priority="359" stopIfTrue="1" operator="equal">
      <formula>$H$24</formula>
    </cfRule>
  </conditionalFormatting>
  <conditionalFormatting sqref="I25">
    <cfRule type="cellIs" dxfId="343" priority="362" stopIfTrue="1" operator="lessThan">
      <formula>$H$25</formula>
    </cfRule>
    <cfRule type="cellIs" dxfId="342" priority="361" stopIfTrue="1" operator="equal">
      <formula>$H$25</formula>
    </cfRule>
  </conditionalFormatting>
  <conditionalFormatting sqref="I26">
    <cfRule type="cellIs" dxfId="341" priority="364" stopIfTrue="1" operator="lessThan">
      <formula>$H$26</formula>
    </cfRule>
    <cfRule type="cellIs" dxfId="340" priority="363" stopIfTrue="1" operator="equal">
      <formula>$H$26</formula>
    </cfRule>
  </conditionalFormatting>
  <conditionalFormatting sqref="I27">
    <cfRule type="cellIs" dxfId="339" priority="366" stopIfTrue="1" operator="lessThan">
      <formula>$H$27</formula>
    </cfRule>
    <cfRule type="cellIs" dxfId="338" priority="365" stopIfTrue="1" operator="equal">
      <formula>$H$27</formula>
    </cfRule>
  </conditionalFormatting>
  <conditionalFormatting sqref="I28">
    <cfRule type="cellIs" dxfId="337" priority="369" stopIfTrue="1" operator="lessThan">
      <formula>$H$28</formula>
    </cfRule>
    <cfRule type="cellIs" dxfId="336" priority="368" stopIfTrue="1" operator="equal">
      <formula>$H$28</formula>
    </cfRule>
  </conditionalFormatting>
  <conditionalFormatting sqref="I29">
    <cfRule type="cellIs" dxfId="335" priority="370" stopIfTrue="1" operator="equal">
      <formula>$H$29</formula>
    </cfRule>
    <cfRule type="cellIs" dxfId="334" priority="371" stopIfTrue="1" operator="lessThan">
      <formula>$H$29</formula>
    </cfRule>
  </conditionalFormatting>
  <conditionalFormatting sqref="J4">
    <cfRule type="cellIs" dxfId="333" priority="73" stopIfTrue="1" operator="lessThan">
      <formula>$I$4</formula>
    </cfRule>
    <cfRule type="cellIs" dxfId="332" priority="74" stopIfTrue="1" operator="equal">
      <formula>$I$4</formula>
    </cfRule>
  </conditionalFormatting>
  <conditionalFormatting sqref="J5">
    <cfRule type="cellIs" dxfId="331" priority="61" stopIfTrue="1" operator="lessThan">
      <formula>$I$5</formula>
    </cfRule>
    <cfRule type="cellIs" dxfId="330" priority="60" stopIfTrue="1" operator="equal">
      <formula>$I$5</formula>
    </cfRule>
  </conditionalFormatting>
  <conditionalFormatting sqref="J6">
    <cfRule type="cellIs" dxfId="329" priority="88" stopIfTrue="1" operator="lessThan">
      <formula>$I$6</formula>
    </cfRule>
    <cfRule type="cellIs" dxfId="328" priority="87" stopIfTrue="1" operator="equal">
      <formula>$I$6</formula>
    </cfRule>
  </conditionalFormatting>
  <conditionalFormatting sqref="J7">
    <cfRule type="cellIs" dxfId="327" priority="100" stopIfTrue="1" operator="lessThan">
      <formula>$I$7</formula>
    </cfRule>
    <cfRule type="cellIs" dxfId="326" priority="99" stopIfTrue="1" operator="equal">
      <formula>$I$7</formula>
    </cfRule>
  </conditionalFormatting>
  <conditionalFormatting sqref="J8">
    <cfRule type="cellIs" dxfId="325" priority="114" stopIfTrue="1" operator="lessThan">
      <formula>$I$8</formula>
    </cfRule>
    <cfRule type="cellIs" dxfId="324" priority="113" stopIfTrue="1" operator="equal">
      <formula>$I$8</formula>
    </cfRule>
  </conditionalFormatting>
  <conditionalFormatting sqref="J9">
    <cfRule type="cellIs" dxfId="323" priority="128" stopIfTrue="1" operator="lessThan">
      <formula>$I$9</formula>
    </cfRule>
    <cfRule type="cellIs" dxfId="322" priority="127" stopIfTrue="1" operator="equal">
      <formula>$I$9</formula>
    </cfRule>
  </conditionalFormatting>
  <conditionalFormatting sqref="J10">
    <cfRule type="cellIs" dxfId="321" priority="142" stopIfTrue="1" operator="lessThan">
      <formula>$I$10</formula>
    </cfRule>
    <cfRule type="cellIs" dxfId="320" priority="141" stopIfTrue="1" operator="equal">
      <formula>$I$10</formula>
    </cfRule>
  </conditionalFormatting>
  <conditionalFormatting sqref="J11">
    <cfRule type="cellIs" dxfId="319" priority="156" stopIfTrue="1" operator="lessThan">
      <formula>$I$11</formula>
    </cfRule>
    <cfRule type="cellIs" dxfId="318" priority="155" stopIfTrue="1" operator="equal">
      <formula>$I$11</formula>
    </cfRule>
  </conditionalFormatting>
  <conditionalFormatting sqref="J12">
    <cfRule type="cellIs" dxfId="317" priority="169" stopIfTrue="1" operator="equal">
      <formula>$I$12</formula>
    </cfRule>
    <cfRule type="cellIs" dxfId="316" priority="170" stopIfTrue="1" operator="lessThan">
      <formula>$I$12</formula>
    </cfRule>
  </conditionalFormatting>
  <conditionalFormatting sqref="J13">
    <cfRule type="cellIs" dxfId="315" priority="373" stopIfTrue="1" operator="lessThan">
      <formula>$I$13</formula>
    </cfRule>
    <cfRule type="cellIs" dxfId="314" priority="372" stopIfTrue="1" operator="equal">
      <formula>$I$13</formula>
    </cfRule>
  </conditionalFormatting>
  <conditionalFormatting sqref="J14">
    <cfRule type="cellIs" dxfId="313" priority="375" stopIfTrue="1" operator="lessThan">
      <formula>$I$14</formula>
    </cfRule>
    <cfRule type="cellIs" dxfId="312" priority="374" stopIfTrue="1" operator="equal">
      <formula>$I$14</formula>
    </cfRule>
  </conditionalFormatting>
  <conditionalFormatting sqref="J15">
    <cfRule type="cellIs" dxfId="311" priority="376" stopIfTrue="1" operator="equal">
      <formula>$I$15</formula>
    </cfRule>
    <cfRule type="cellIs" dxfId="310" priority="377" stopIfTrue="1" operator="lessThan">
      <formula>$I$15</formula>
    </cfRule>
  </conditionalFormatting>
  <conditionalFormatting sqref="J16">
    <cfRule type="cellIs" dxfId="309" priority="378" stopIfTrue="1" operator="equal">
      <formula>$I$16</formula>
    </cfRule>
    <cfRule type="cellIs" dxfId="308" priority="379" stopIfTrue="1" operator="lessThan">
      <formula>$I$16</formula>
    </cfRule>
  </conditionalFormatting>
  <conditionalFormatting sqref="J17">
    <cfRule type="cellIs" dxfId="307" priority="380" stopIfTrue="1" operator="equal">
      <formula>$I$17</formula>
    </cfRule>
    <cfRule type="cellIs" dxfId="306" priority="381" stopIfTrue="1" operator="lessThan">
      <formula>$I$17</formula>
    </cfRule>
  </conditionalFormatting>
  <conditionalFormatting sqref="J18">
    <cfRule type="cellIs" dxfId="305" priority="382" stopIfTrue="1" operator="equal">
      <formula>$I$18</formula>
    </cfRule>
    <cfRule type="cellIs" dxfId="304" priority="383" stopIfTrue="1" operator="lessThan">
      <formula>$I$18</formula>
    </cfRule>
  </conditionalFormatting>
  <conditionalFormatting sqref="J19">
    <cfRule type="cellIs" dxfId="303" priority="384" stopIfTrue="1" operator="equal">
      <formula>$I$19</formula>
    </cfRule>
    <cfRule type="cellIs" dxfId="302" priority="385" stopIfTrue="1" operator="lessThan">
      <formula>$I$19</formula>
    </cfRule>
  </conditionalFormatting>
  <conditionalFormatting sqref="J20">
    <cfRule type="cellIs" dxfId="301" priority="386" stopIfTrue="1" operator="equal">
      <formula>$I$20</formula>
    </cfRule>
    <cfRule type="cellIs" dxfId="300" priority="387" stopIfTrue="1" operator="lessThan">
      <formula>$I$20</formula>
    </cfRule>
  </conditionalFormatting>
  <conditionalFormatting sqref="J21">
    <cfRule type="cellIs" dxfId="299" priority="388" stopIfTrue="1" operator="equal">
      <formula>$I$21</formula>
    </cfRule>
    <cfRule type="cellIs" dxfId="298" priority="389" stopIfTrue="1" operator="lessThan">
      <formula>$I$21</formula>
    </cfRule>
  </conditionalFormatting>
  <conditionalFormatting sqref="J22">
    <cfRule type="cellIs" dxfId="297" priority="390" stopIfTrue="1" operator="equal">
      <formula>$I$22</formula>
    </cfRule>
    <cfRule type="cellIs" dxfId="296" priority="391" stopIfTrue="1" operator="lessThan">
      <formula>$I$22</formula>
    </cfRule>
  </conditionalFormatting>
  <conditionalFormatting sqref="J23">
    <cfRule type="cellIs" dxfId="295" priority="393" stopIfTrue="1" operator="lessThan">
      <formula>$I$23</formula>
    </cfRule>
    <cfRule type="cellIs" dxfId="294" priority="392" stopIfTrue="1" operator="equal">
      <formula>$I$23</formula>
    </cfRule>
  </conditionalFormatting>
  <conditionalFormatting sqref="J24">
    <cfRule type="cellIs" dxfId="293" priority="394" stopIfTrue="1" operator="equal">
      <formula>$I$24</formula>
    </cfRule>
    <cfRule type="cellIs" dxfId="292" priority="395" stopIfTrue="1" operator="lessThan">
      <formula>$I$24</formula>
    </cfRule>
  </conditionalFormatting>
  <conditionalFormatting sqref="J25">
    <cfRule type="cellIs" dxfId="291" priority="396" stopIfTrue="1" operator="equal">
      <formula>$I$25</formula>
    </cfRule>
    <cfRule type="cellIs" dxfId="290" priority="397" stopIfTrue="1" operator="lessThan">
      <formula>$I$25</formula>
    </cfRule>
  </conditionalFormatting>
  <conditionalFormatting sqref="J26">
    <cfRule type="cellIs" dxfId="289" priority="398" stopIfTrue="1" operator="equal">
      <formula>$I$26</formula>
    </cfRule>
    <cfRule type="cellIs" dxfId="288" priority="399" stopIfTrue="1" operator="lessThan">
      <formula>$I$26</formula>
    </cfRule>
  </conditionalFormatting>
  <conditionalFormatting sqref="J27">
    <cfRule type="cellIs" dxfId="287" priority="400" stopIfTrue="1" operator="equal">
      <formula>$I$27</formula>
    </cfRule>
    <cfRule type="cellIs" dxfId="286" priority="401" stopIfTrue="1" operator="lessThan">
      <formula>$I$27</formula>
    </cfRule>
  </conditionalFormatting>
  <conditionalFormatting sqref="J28">
    <cfRule type="cellIs" dxfId="285" priority="402" stopIfTrue="1" operator="equal">
      <formula>$I$28</formula>
    </cfRule>
    <cfRule type="cellIs" dxfId="284" priority="403" stopIfTrue="1" operator="lessThan">
      <formula>$I$28</formula>
    </cfRule>
  </conditionalFormatting>
  <conditionalFormatting sqref="K4">
    <cfRule type="cellIs" dxfId="283" priority="404" stopIfTrue="1" operator="equal">
      <formula>$J$4</formula>
    </cfRule>
    <cfRule type="cellIs" dxfId="282" priority="405" stopIfTrue="1" operator="lessThan">
      <formula>$J$4</formula>
    </cfRule>
  </conditionalFormatting>
  <conditionalFormatting sqref="K5">
    <cfRule type="cellIs" dxfId="281" priority="406" stopIfTrue="1" operator="equal">
      <formula>$J$5</formula>
    </cfRule>
    <cfRule type="cellIs" dxfId="280" priority="407" stopIfTrue="1" operator="lessThan">
      <formula>$J$5</formula>
    </cfRule>
  </conditionalFormatting>
  <conditionalFormatting sqref="K6">
    <cfRule type="cellIs" dxfId="279" priority="408" stopIfTrue="1" operator="equal">
      <formula>$J$6</formula>
    </cfRule>
    <cfRule type="cellIs" dxfId="278" priority="409" stopIfTrue="1" operator="lessThan">
      <formula>$J$6</formula>
    </cfRule>
  </conditionalFormatting>
  <conditionalFormatting sqref="K7">
    <cfRule type="cellIs" dxfId="277" priority="410" stopIfTrue="1" operator="equal">
      <formula>$J$7</formula>
    </cfRule>
    <cfRule type="cellIs" dxfId="276" priority="411" stopIfTrue="1" operator="lessThan">
      <formula>$J$7</formula>
    </cfRule>
  </conditionalFormatting>
  <conditionalFormatting sqref="K8">
    <cfRule type="cellIs" dxfId="275" priority="413" stopIfTrue="1" operator="lessThan">
      <formula>$J$8</formula>
    </cfRule>
    <cfRule type="cellIs" dxfId="274" priority="412" stopIfTrue="1" operator="equal">
      <formula>$J$8</formula>
    </cfRule>
  </conditionalFormatting>
  <conditionalFormatting sqref="K9">
    <cfRule type="cellIs" dxfId="273" priority="415" stopIfTrue="1" operator="lessThan">
      <formula>$J$9</formula>
    </cfRule>
    <cfRule type="cellIs" dxfId="272" priority="414" stopIfTrue="1" operator="equal">
      <formula>$J$9</formula>
    </cfRule>
  </conditionalFormatting>
  <conditionalFormatting sqref="K10">
    <cfRule type="cellIs" dxfId="271" priority="416" stopIfTrue="1" operator="equal">
      <formula>$J$10</formula>
    </cfRule>
    <cfRule type="cellIs" dxfId="270" priority="417" stopIfTrue="1" operator="lessThan">
      <formula>$J$10</formula>
    </cfRule>
  </conditionalFormatting>
  <conditionalFormatting sqref="K11">
    <cfRule type="cellIs" dxfId="269" priority="418" stopIfTrue="1" operator="equal">
      <formula>$J$11</formula>
    </cfRule>
    <cfRule type="cellIs" dxfId="268" priority="419" stopIfTrue="1" operator="lessThan">
      <formula>$J$11</formula>
    </cfRule>
  </conditionalFormatting>
  <conditionalFormatting sqref="K12">
    <cfRule type="cellIs" dxfId="267" priority="420" stopIfTrue="1" operator="equal">
      <formula>$J$12</formula>
    </cfRule>
    <cfRule type="cellIs" dxfId="266" priority="421" stopIfTrue="1" operator="lessThan">
      <formula>$J$12</formula>
    </cfRule>
  </conditionalFormatting>
  <conditionalFormatting sqref="K13">
    <cfRule type="cellIs" dxfId="265" priority="422" stopIfTrue="1" operator="equal">
      <formula>$J$13</formula>
    </cfRule>
    <cfRule type="cellIs" dxfId="264" priority="423" stopIfTrue="1" operator="lessThan">
      <formula>$J$13</formula>
    </cfRule>
  </conditionalFormatting>
  <conditionalFormatting sqref="K14">
    <cfRule type="cellIs" dxfId="263" priority="424" stopIfTrue="1" operator="equal">
      <formula>$J$14</formula>
    </cfRule>
    <cfRule type="cellIs" dxfId="262" priority="425" stopIfTrue="1" operator="lessThan">
      <formula>$J$14</formula>
    </cfRule>
  </conditionalFormatting>
  <conditionalFormatting sqref="K15">
    <cfRule type="cellIs" dxfId="261" priority="426" stopIfTrue="1" operator="equal">
      <formula>$J$15</formula>
    </cfRule>
    <cfRule type="cellIs" dxfId="260" priority="427" stopIfTrue="1" operator="lessThan">
      <formula>$J$15</formula>
    </cfRule>
  </conditionalFormatting>
  <conditionalFormatting sqref="K16">
    <cfRule type="cellIs" dxfId="259" priority="428" stopIfTrue="1" operator="equal">
      <formula>$J$16</formula>
    </cfRule>
    <cfRule type="cellIs" dxfId="258" priority="429" stopIfTrue="1" operator="lessThan">
      <formula>$J$16</formula>
    </cfRule>
  </conditionalFormatting>
  <conditionalFormatting sqref="K17">
    <cfRule type="cellIs" dxfId="257" priority="430" stopIfTrue="1" operator="equal">
      <formula>$J$17</formula>
    </cfRule>
    <cfRule type="cellIs" dxfId="256" priority="431" stopIfTrue="1" operator="lessThan">
      <formula>$J$17</formula>
    </cfRule>
  </conditionalFormatting>
  <conditionalFormatting sqref="K18">
    <cfRule type="cellIs" dxfId="255" priority="433" stopIfTrue="1" operator="lessThan">
      <formula>$J$18</formula>
    </cfRule>
    <cfRule type="cellIs" dxfId="254" priority="432" stopIfTrue="1" operator="equal">
      <formula>$J$18</formula>
    </cfRule>
  </conditionalFormatting>
  <conditionalFormatting sqref="K19">
    <cfRule type="cellIs" dxfId="253" priority="435" stopIfTrue="1" operator="lessThan">
      <formula>$J$19</formula>
    </cfRule>
    <cfRule type="cellIs" dxfId="252" priority="434" stopIfTrue="1" operator="equal">
      <formula>$J$19</formula>
    </cfRule>
  </conditionalFormatting>
  <conditionalFormatting sqref="K20">
    <cfRule type="cellIs" dxfId="251" priority="436" stopIfTrue="1" operator="equal">
      <formula>$J$20</formula>
    </cfRule>
    <cfRule type="cellIs" dxfId="250" priority="437" stopIfTrue="1" operator="lessThan">
      <formula>$J$20</formula>
    </cfRule>
  </conditionalFormatting>
  <conditionalFormatting sqref="K21">
    <cfRule type="cellIs" dxfId="249" priority="438" stopIfTrue="1" operator="equal">
      <formula>$J$21</formula>
    </cfRule>
    <cfRule type="cellIs" dxfId="248" priority="439" stopIfTrue="1" operator="lessThan">
      <formula>$J$21</formula>
    </cfRule>
  </conditionalFormatting>
  <conditionalFormatting sqref="K22">
    <cfRule type="cellIs" dxfId="247" priority="440" stopIfTrue="1" operator="equal">
      <formula>$J$22</formula>
    </cfRule>
    <cfRule type="cellIs" dxfId="246" priority="441" stopIfTrue="1" operator="lessThan">
      <formula>$J$22</formula>
    </cfRule>
  </conditionalFormatting>
  <conditionalFormatting sqref="K23">
    <cfRule type="cellIs" dxfId="245" priority="442" stopIfTrue="1" operator="equal">
      <formula>$J$23</formula>
    </cfRule>
    <cfRule type="cellIs" dxfId="244" priority="443" stopIfTrue="1" operator="lessThan">
      <formula>$J$23</formula>
    </cfRule>
  </conditionalFormatting>
  <conditionalFormatting sqref="K24">
    <cfRule type="cellIs" dxfId="243" priority="444" stopIfTrue="1" operator="equal">
      <formula>$J$24</formula>
    </cfRule>
    <cfRule type="cellIs" dxfId="242" priority="445" stopIfTrue="1" operator="lessThan">
      <formula>$J$24</formula>
    </cfRule>
  </conditionalFormatting>
  <conditionalFormatting sqref="K25">
    <cfRule type="cellIs" dxfId="241" priority="446" stopIfTrue="1" operator="equal">
      <formula>$J$25</formula>
    </cfRule>
    <cfRule type="cellIs" dxfId="240" priority="447" stopIfTrue="1" operator="lessThan">
      <formula>$J$25</formula>
    </cfRule>
  </conditionalFormatting>
  <conditionalFormatting sqref="K26">
    <cfRule type="cellIs" dxfId="239" priority="448" stopIfTrue="1" operator="equal">
      <formula>$J$26</formula>
    </cfRule>
    <cfRule type="cellIs" dxfId="238" priority="449" stopIfTrue="1" operator="lessThan">
      <formula>$J$26</formula>
    </cfRule>
  </conditionalFormatting>
  <conditionalFormatting sqref="K27">
    <cfRule type="cellIs" dxfId="237" priority="450" stopIfTrue="1" operator="equal">
      <formula>$J$27</formula>
    </cfRule>
    <cfRule type="cellIs" dxfId="236" priority="451" stopIfTrue="1" operator="lessThan">
      <formula>$J$27</formula>
    </cfRule>
  </conditionalFormatting>
  <conditionalFormatting sqref="K28">
    <cfRule type="cellIs" dxfId="235" priority="453" stopIfTrue="1" operator="equal">
      <formula>$J$28</formula>
    </cfRule>
    <cfRule type="cellIs" dxfId="234" priority="452" stopIfTrue="1" operator="lessThan">
      <formula>$J$28</formula>
    </cfRule>
  </conditionalFormatting>
  <conditionalFormatting sqref="L4">
    <cfRule type="cellIs" dxfId="233" priority="455" stopIfTrue="1" operator="lessThan">
      <formula>$K$4</formula>
    </cfRule>
    <cfRule type="cellIs" dxfId="232" priority="454" stopIfTrue="1" operator="equal">
      <formula>$K$4</formula>
    </cfRule>
  </conditionalFormatting>
  <conditionalFormatting sqref="L5">
    <cfRule type="cellIs" dxfId="231" priority="456" stopIfTrue="1" operator="equal">
      <formula>$K$5</formula>
    </cfRule>
    <cfRule type="cellIs" dxfId="230" priority="457" stopIfTrue="1" operator="lessThan">
      <formula>$K$5</formula>
    </cfRule>
  </conditionalFormatting>
  <conditionalFormatting sqref="L6">
    <cfRule type="cellIs" dxfId="229" priority="458" stopIfTrue="1" operator="equal">
      <formula>$K$6</formula>
    </cfRule>
    <cfRule type="cellIs" dxfId="228" priority="459" stopIfTrue="1" operator="lessThan">
      <formula>$K$6</formula>
    </cfRule>
  </conditionalFormatting>
  <conditionalFormatting sqref="L7">
    <cfRule type="cellIs" dxfId="227" priority="460" stopIfTrue="1" operator="equal">
      <formula>$K$7</formula>
    </cfRule>
    <cfRule type="cellIs" dxfId="226" priority="461" stopIfTrue="1" operator="lessThan">
      <formula>$K$7</formula>
    </cfRule>
  </conditionalFormatting>
  <conditionalFormatting sqref="L8">
    <cfRule type="cellIs" dxfId="225" priority="462" stopIfTrue="1" operator="equal">
      <formula>$K$8</formula>
    </cfRule>
    <cfRule type="cellIs" dxfId="224" priority="463" stopIfTrue="1" operator="lessThan">
      <formula>$K$8</formula>
    </cfRule>
  </conditionalFormatting>
  <conditionalFormatting sqref="L9">
    <cfRule type="cellIs" dxfId="223" priority="464" stopIfTrue="1" operator="equal">
      <formula>$K$9</formula>
    </cfRule>
    <cfRule type="cellIs" dxfId="222" priority="465" stopIfTrue="1" operator="lessThan">
      <formula>$K$9</formula>
    </cfRule>
  </conditionalFormatting>
  <conditionalFormatting sqref="L10">
    <cfRule type="cellIs" dxfId="221" priority="466" stopIfTrue="1" operator="equal">
      <formula>$K$10</formula>
    </cfRule>
    <cfRule type="cellIs" dxfId="220" priority="467" stopIfTrue="1" operator="lessThan">
      <formula>$K$10</formula>
    </cfRule>
  </conditionalFormatting>
  <conditionalFormatting sqref="L11">
    <cfRule type="cellIs" dxfId="219" priority="488" stopIfTrue="1" operator="equal">
      <formula>$K$11</formula>
    </cfRule>
    <cfRule type="cellIs" dxfId="218" priority="489" stopIfTrue="1" operator="lessThan">
      <formula>$K$11</formula>
    </cfRule>
  </conditionalFormatting>
  <conditionalFormatting sqref="L12">
    <cfRule type="cellIs" dxfId="217" priority="468" stopIfTrue="1" operator="equal">
      <formula>$K$12</formula>
    </cfRule>
    <cfRule type="cellIs" dxfId="216" priority="469" stopIfTrue="1" operator="lessThan">
      <formula>$K$12</formula>
    </cfRule>
  </conditionalFormatting>
  <conditionalFormatting sqref="L13">
    <cfRule type="cellIs" dxfId="215" priority="470" stopIfTrue="1" operator="equal">
      <formula>$K$13</formula>
    </cfRule>
    <cfRule type="cellIs" dxfId="214" priority="471" stopIfTrue="1" operator="lessThan">
      <formula>$K$13</formula>
    </cfRule>
  </conditionalFormatting>
  <conditionalFormatting sqref="L14">
    <cfRule type="cellIs" dxfId="213" priority="473" stopIfTrue="1" operator="lessThan">
      <formula>$K$14</formula>
    </cfRule>
    <cfRule type="cellIs" dxfId="212" priority="472" stopIfTrue="1" operator="equal">
      <formula>$K$14</formula>
    </cfRule>
  </conditionalFormatting>
  <conditionalFormatting sqref="L15">
    <cfRule type="cellIs" dxfId="211" priority="474" stopIfTrue="1" operator="equal">
      <formula>$K$15</formula>
    </cfRule>
    <cfRule type="cellIs" dxfId="210" priority="475" stopIfTrue="1" operator="lessThan">
      <formula>$K$15</formula>
    </cfRule>
  </conditionalFormatting>
  <conditionalFormatting sqref="L16">
    <cfRule type="cellIs" dxfId="209" priority="476" stopIfTrue="1" operator="equal">
      <formula>$K$16</formula>
    </cfRule>
    <cfRule type="cellIs" dxfId="208" priority="477" stopIfTrue="1" operator="lessThan">
      <formula>$K$16</formula>
    </cfRule>
  </conditionalFormatting>
  <conditionalFormatting sqref="L17">
    <cfRule type="cellIs" dxfId="207" priority="478" stopIfTrue="1" operator="equal">
      <formula>$K$17</formula>
    </cfRule>
    <cfRule type="cellIs" dxfId="206" priority="479" stopIfTrue="1" operator="lessThan">
      <formula>$K$17</formula>
    </cfRule>
  </conditionalFormatting>
  <conditionalFormatting sqref="L18">
    <cfRule type="cellIs" dxfId="205" priority="480" stopIfTrue="1" operator="equal">
      <formula>$K$18</formula>
    </cfRule>
    <cfRule type="cellIs" dxfId="204" priority="481" stopIfTrue="1" operator="lessThan">
      <formula>$K$18</formula>
    </cfRule>
  </conditionalFormatting>
  <conditionalFormatting sqref="L19">
    <cfRule type="cellIs" dxfId="203" priority="482" stopIfTrue="1" operator="equal">
      <formula>$K$19</formula>
    </cfRule>
    <cfRule type="cellIs" dxfId="202" priority="483" stopIfTrue="1" operator="lessThan">
      <formula>$K$19</formula>
    </cfRule>
  </conditionalFormatting>
  <conditionalFormatting sqref="L20">
    <cfRule type="cellIs" dxfId="201" priority="484" stopIfTrue="1" operator="equal">
      <formula>$K$20</formula>
    </cfRule>
    <cfRule type="cellIs" dxfId="200" priority="485" stopIfTrue="1" operator="lessThan">
      <formula>$K$20</formula>
    </cfRule>
  </conditionalFormatting>
  <conditionalFormatting sqref="L21">
    <cfRule type="cellIs" dxfId="199" priority="486" stopIfTrue="1" operator="equal">
      <formula>$K$21</formula>
    </cfRule>
    <cfRule type="cellIs" dxfId="198" priority="487" stopIfTrue="1" operator="lessThan">
      <formula>$K$21</formula>
    </cfRule>
  </conditionalFormatting>
  <conditionalFormatting sqref="L22">
    <cfRule type="cellIs" dxfId="197" priority="490" stopIfTrue="1" operator="equal">
      <formula>$K$22</formula>
    </cfRule>
    <cfRule type="cellIs" dxfId="196" priority="491" stopIfTrue="1" operator="lessThan">
      <formula>$K$22</formula>
    </cfRule>
  </conditionalFormatting>
  <conditionalFormatting sqref="L23">
    <cfRule type="cellIs" dxfId="195" priority="493" stopIfTrue="1" operator="lessThan">
      <formula>$K$23</formula>
    </cfRule>
    <cfRule type="cellIs" dxfId="194" priority="492" stopIfTrue="1" operator="equal">
      <formula>$K$23</formula>
    </cfRule>
  </conditionalFormatting>
  <conditionalFormatting sqref="L24">
    <cfRule type="cellIs" dxfId="193" priority="495" stopIfTrue="1" operator="lessThan">
      <formula>$K$24</formula>
    </cfRule>
    <cfRule type="cellIs" dxfId="192" priority="494" stopIfTrue="1" operator="equal">
      <formula>$K$24</formula>
    </cfRule>
  </conditionalFormatting>
  <conditionalFormatting sqref="L25">
    <cfRule type="cellIs" dxfId="191" priority="496" stopIfTrue="1" operator="equal">
      <formula>$K$25</formula>
    </cfRule>
    <cfRule type="cellIs" dxfId="190" priority="497" stopIfTrue="1" operator="lessThan">
      <formula>$K$25</formula>
    </cfRule>
  </conditionalFormatting>
  <conditionalFormatting sqref="L26">
    <cfRule type="cellIs" dxfId="189" priority="498" stopIfTrue="1" operator="equal">
      <formula>$K$26</formula>
    </cfRule>
    <cfRule type="cellIs" dxfId="188" priority="499" stopIfTrue="1" operator="lessThan">
      <formula>$K$26</formula>
    </cfRule>
  </conditionalFormatting>
  <conditionalFormatting sqref="L27">
    <cfRule type="cellIs" dxfId="187" priority="500" stopIfTrue="1" operator="equal">
      <formula>$K$27</formula>
    </cfRule>
    <cfRule type="cellIs" dxfId="186" priority="501" stopIfTrue="1" operator="lessThan">
      <formula>$K$27</formula>
    </cfRule>
  </conditionalFormatting>
  <conditionalFormatting sqref="L28">
    <cfRule type="cellIs" dxfId="185" priority="502" stopIfTrue="1" operator="equal">
      <formula>$K$28</formula>
    </cfRule>
    <cfRule type="cellIs" dxfId="184" priority="503" stopIfTrue="1" operator="lessThan">
      <formula>$K$28</formula>
    </cfRule>
  </conditionalFormatting>
  <conditionalFormatting sqref="M4">
    <cfRule type="cellIs" dxfId="183" priority="504" stopIfTrue="1" operator="lessThan">
      <formula>$L$4</formula>
    </cfRule>
    <cfRule type="cellIs" dxfId="182" priority="505" stopIfTrue="1" operator="equal">
      <formula>$L$4</formula>
    </cfRule>
  </conditionalFormatting>
  <conditionalFormatting sqref="M5">
    <cfRule type="cellIs" dxfId="181" priority="506" stopIfTrue="1" operator="equal">
      <formula>$L$5</formula>
    </cfRule>
    <cfRule type="cellIs" dxfId="180" priority="507" stopIfTrue="1" operator="lessThan">
      <formula>$L$5</formula>
    </cfRule>
  </conditionalFormatting>
  <conditionalFormatting sqref="M6">
    <cfRule type="cellIs" dxfId="179" priority="508" stopIfTrue="1" operator="equal">
      <formula>$L$6</formula>
    </cfRule>
    <cfRule type="cellIs" dxfId="178" priority="509" stopIfTrue="1" operator="lessThan">
      <formula>$L$6</formula>
    </cfRule>
  </conditionalFormatting>
  <conditionalFormatting sqref="M7">
    <cfRule type="cellIs" dxfId="177" priority="510" stopIfTrue="1" operator="equal">
      <formula>$L$7</formula>
    </cfRule>
    <cfRule type="cellIs" dxfId="176" priority="511" stopIfTrue="1" operator="lessThan">
      <formula>$L$7</formula>
    </cfRule>
  </conditionalFormatting>
  <conditionalFormatting sqref="M8">
    <cfRule type="cellIs" dxfId="175" priority="513" stopIfTrue="1" operator="lessThan">
      <formula>$L$8</formula>
    </cfRule>
    <cfRule type="cellIs" dxfId="174" priority="512" stopIfTrue="1" operator="equal">
      <formula>$L$8</formula>
    </cfRule>
  </conditionalFormatting>
  <conditionalFormatting sqref="M9">
    <cfRule type="cellIs" dxfId="173" priority="514" stopIfTrue="1" operator="equal">
      <formula>$L$9</formula>
    </cfRule>
    <cfRule type="cellIs" dxfId="172" priority="515" stopIfTrue="1" operator="lessThan">
      <formula>$L$9</formula>
    </cfRule>
  </conditionalFormatting>
  <conditionalFormatting sqref="M10">
    <cfRule type="cellIs" dxfId="171" priority="516" stopIfTrue="1" operator="equal">
      <formula>$L$10</formula>
    </cfRule>
    <cfRule type="cellIs" dxfId="170" priority="517" stopIfTrue="1" operator="lessThan">
      <formula>$L$10</formula>
    </cfRule>
  </conditionalFormatting>
  <conditionalFormatting sqref="M11">
    <cfRule type="cellIs" dxfId="169" priority="518" stopIfTrue="1" operator="equal">
      <formula>$L$11</formula>
    </cfRule>
    <cfRule type="cellIs" dxfId="168" priority="519" stopIfTrue="1" operator="lessThan">
      <formula>$L$11</formula>
    </cfRule>
  </conditionalFormatting>
  <conditionalFormatting sqref="M12">
    <cfRule type="cellIs" dxfId="167" priority="520" stopIfTrue="1" operator="equal">
      <formula>$L$12</formula>
    </cfRule>
    <cfRule type="cellIs" dxfId="166" priority="521" stopIfTrue="1" operator="lessThan">
      <formula>$L$12</formula>
    </cfRule>
  </conditionalFormatting>
  <conditionalFormatting sqref="M13">
    <cfRule type="cellIs" dxfId="165" priority="522" stopIfTrue="1" operator="equal">
      <formula>$L$13</formula>
    </cfRule>
    <cfRule type="cellIs" dxfId="164" priority="523" stopIfTrue="1" operator="lessThan">
      <formula>$L$13</formula>
    </cfRule>
  </conditionalFormatting>
  <conditionalFormatting sqref="M14">
    <cfRule type="cellIs" dxfId="163" priority="524" stopIfTrue="1" operator="equal">
      <formula>$L$14</formula>
    </cfRule>
    <cfRule type="cellIs" dxfId="162" priority="525" stopIfTrue="1" operator="lessThan">
      <formula>$L$14</formula>
    </cfRule>
  </conditionalFormatting>
  <conditionalFormatting sqref="M15">
    <cfRule type="cellIs" dxfId="161" priority="526" stopIfTrue="1" operator="equal">
      <formula>$L$15</formula>
    </cfRule>
    <cfRule type="cellIs" dxfId="160" priority="527" stopIfTrue="1" operator="lessThan">
      <formula>$L$15</formula>
    </cfRule>
  </conditionalFormatting>
  <conditionalFormatting sqref="M16">
    <cfRule type="cellIs" dxfId="159" priority="528" stopIfTrue="1" operator="equal">
      <formula>$L$16</formula>
    </cfRule>
    <cfRule type="cellIs" dxfId="158" priority="529" stopIfTrue="1" operator="lessThan">
      <formula>$L$16</formula>
    </cfRule>
  </conditionalFormatting>
  <conditionalFormatting sqref="M17">
    <cfRule type="cellIs" dxfId="157" priority="530" stopIfTrue="1" operator="equal">
      <formula>$L$17</formula>
    </cfRule>
    <cfRule type="cellIs" dxfId="156" priority="531" stopIfTrue="1" operator="lessThan">
      <formula>$L$17</formula>
    </cfRule>
  </conditionalFormatting>
  <conditionalFormatting sqref="M18">
    <cfRule type="cellIs" dxfId="155" priority="533" stopIfTrue="1" operator="lessThan">
      <formula>$L$18</formula>
    </cfRule>
    <cfRule type="cellIs" dxfId="154" priority="532" stopIfTrue="1" operator="equal">
      <formula>$L$18</formula>
    </cfRule>
  </conditionalFormatting>
  <conditionalFormatting sqref="M19">
    <cfRule type="cellIs" dxfId="153" priority="535" stopIfTrue="1" operator="lessThan">
      <formula>$L$19</formula>
    </cfRule>
    <cfRule type="cellIs" dxfId="152" priority="534" stopIfTrue="1" operator="equal">
      <formula>$L$19</formula>
    </cfRule>
  </conditionalFormatting>
  <conditionalFormatting sqref="M20">
    <cfRule type="cellIs" dxfId="151" priority="536" stopIfTrue="1" operator="equal">
      <formula>$L$20</formula>
    </cfRule>
    <cfRule type="cellIs" dxfId="150" priority="537" stopIfTrue="1" operator="lessThan">
      <formula>$L$20</formula>
    </cfRule>
  </conditionalFormatting>
  <conditionalFormatting sqref="M21">
    <cfRule type="cellIs" dxfId="149" priority="538" stopIfTrue="1" operator="equal">
      <formula>$L$21</formula>
    </cfRule>
    <cfRule type="cellIs" dxfId="148" priority="539" stopIfTrue="1" operator="lessThan">
      <formula>$L$21</formula>
    </cfRule>
  </conditionalFormatting>
  <conditionalFormatting sqref="M22">
    <cfRule type="cellIs" dxfId="147" priority="540" stopIfTrue="1" operator="equal">
      <formula>$L$22</formula>
    </cfRule>
    <cfRule type="cellIs" dxfId="146" priority="541" stopIfTrue="1" operator="lessThan">
      <formula>$L$22</formula>
    </cfRule>
  </conditionalFormatting>
  <conditionalFormatting sqref="M23">
    <cfRule type="cellIs" dxfId="145" priority="542" stopIfTrue="1" operator="equal">
      <formula>$L$23</formula>
    </cfRule>
    <cfRule type="cellIs" dxfId="144" priority="543" stopIfTrue="1" operator="lessThan">
      <formula>$L$23</formula>
    </cfRule>
  </conditionalFormatting>
  <conditionalFormatting sqref="M24">
    <cfRule type="cellIs" dxfId="143" priority="544" stopIfTrue="1" operator="equal">
      <formula>$L$24</formula>
    </cfRule>
    <cfRule type="cellIs" dxfId="142" priority="545" stopIfTrue="1" operator="lessThan">
      <formula>$L$24</formula>
    </cfRule>
  </conditionalFormatting>
  <conditionalFormatting sqref="M25">
    <cfRule type="cellIs" dxfId="141" priority="546" stopIfTrue="1" operator="equal">
      <formula>$L$25</formula>
    </cfRule>
    <cfRule type="cellIs" dxfId="140" priority="547" stopIfTrue="1" operator="lessThan">
      <formula>$L$25</formula>
    </cfRule>
  </conditionalFormatting>
  <conditionalFormatting sqref="M26">
    <cfRule type="cellIs" dxfId="139" priority="548" stopIfTrue="1" operator="equal">
      <formula>$L$26</formula>
    </cfRule>
    <cfRule type="cellIs" dxfId="138" priority="549" stopIfTrue="1" operator="lessThan">
      <formula>$L$26</formula>
    </cfRule>
  </conditionalFormatting>
  <conditionalFormatting sqref="M27">
    <cfRule type="cellIs" dxfId="137" priority="550" stopIfTrue="1" operator="equal">
      <formula>$L$27</formula>
    </cfRule>
    <cfRule type="cellIs" dxfId="136" priority="551" stopIfTrue="1" operator="lessThan">
      <formula>$L$27</formula>
    </cfRule>
  </conditionalFormatting>
  <conditionalFormatting sqref="M28">
    <cfRule type="cellIs" dxfId="135" priority="553" stopIfTrue="1" operator="lessThan">
      <formula>$L$28</formula>
    </cfRule>
    <cfRule type="cellIs" dxfId="134" priority="552" stopIfTrue="1" operator="equal">
      <formula>$L$28</formula>
    </cfRule>
  </conditionalFormatting>
  <conditionalFormatting sqref="N4">
    <cfRule type="cellIs" dxfId="133" priority="554" stopIfTrue="1" operator="equal">
      <formula>$M$4</formula>
    </cfRule>
    <cfRule type="cellIs" dxfId="132" priority="555" stopIfTrue="1" operator="lessThan">
      <formula>$M$4</formula>
    </cfRule>
  </conditionalFormatting>
  <conditionalFormatting sqref="N5">
    <cfRule type="cellIs" dxfId="131" priority="556" stopIfTrue="1" operator="equal">
      <formula>$M$5</formula>
    </cfRule>
    <cfRule type="cellIs" dxfId="130" priority="557" stopIfTrue="1" operator="lessThan">
      <formula>$M$5</formula>
    </cfRule>
  </conditionalFormatting>
  <conditionalFormatting sqref="N6">
    <cfRule type="cellIs" dxfId="129" priority="558" stopIfTrue="1" operator="equal">
      <formula>$M$6</formula>
    </cfRule>
    <cfRule type="cellIs" dxfId="128" priority="559" stopIfTrue="1" operator="lessThan">
      <formula>$M$6</formula>
    </cfRule>
  </conditionalFormatting>
  <conditionalFormatting sqref="N7">
    <cfRule type="cellIs" dxfId="127" priority="560" stopIfTrue="1" operator="equal">
      <formula>$M$7</formula>
    </cfRule>
    <cfRule type="cellIs" dxfId="126" priority="561" stopIfTrue="1" operator="lessThan">
      <formula>$M$7</formula>
    </cfRule>
  </conditionalFormatting>
  <conditionalFormatting sqref="N8">
    <cfRule type="cellIs" dxfId="125" priority="562" stopIfTrue="1" operator="equal">
      <formula>$M$8</formula>
    </cfRule>
    <cfRule type="cellIs" dxfId="124" priority="563" stopIfTrue="1" operator="lessThan">
      <formula>$M$8</formula>
    </cfRule>
  </conditionalFormatting>
  <conditionalFormatting sqref="N9">
    <cfRule type="cellIs" dxfId="123" priority="564" stopIfTrue="1" operator="equal">
      <formula>$M$9</formula>
    </cfRule>
    <cfRule type="cellIs" dxfId="122" priority="565" stopIfTrue="1" operator="lessThan">
      <formula>$M$9</formula>
    </cfRule>
  </conditionalFormatting>
  <conditionalFormatting sqref="N10">
    <cfRule type="cellIs" dxfId="121" priority="566" stopIfTrue="1" operator="equal">
      <formula>$M$10</formula>
    </cfRule>
    <cfRule type="cellIs" dxfId="120" priority="567" stopIfTrue="1" operator="lessThan">
      <formula>$M$10</formula>
    </cfRule>
  </conditionalFormatting>
  <conditionalFormatting sqref="N11">
    <cfRule type="cellIs" dxfId="119" priority="568" stopIfTrue="1" operator="equal">
      <formula>$M$11</formula>
    </cfRule>
    <cfRule type="cellIs" dxfId="118" priority="569" stopIfTrue="1" operator="lessThan">
      <formula>$M$11</formula>
    </cfRule>
  </conditionalFormatting>
  <conditionalFormatting sqref="N12">
    <cfRule type="cellIs" dxfId="117" priority="570" stopIfTrue="1" operator="equal">
      <formula>$M$12</formula>
    </cfRule>
    <cfRule type="cellIs" dxfId="116" priority="571" stopIfTrue="1" operator="lessThan">
      <formula>$M$12</formula>
    </cfRule>
  </conditionalFormatting>
  <conditionalFormatting sqref="N13">
    <cfRule type="cellIs" dxfId="115" priority="573" stopIfTrue="1" operator="lessThan">
      <formula>$M$13</formula>
    </cfRule>
    <cfRule type="cellIs" dxfId="114" priority="572" stopIfTrue="1" operator="equal">
      <formula>$M$13</formula>
    </cfRule>
  </conditionalFormatting>
  <conditionalFormatting sqref="N14">
    <cfRule type="cellIs" dxfId="113" priority="575" stopIfTrue="1" operator="lessThan">
      <formula>$M$14</formula>
    </cfRule>
    <cfRule type="cellIs" dxfId="112" priority="574" stopIfTrue="1" operator="equal">
      <formula>$M$14</formula>
    </cfRule>
  </conditionalFormatting>
  <conditionalFormatting sqref="N15">
    <cfRule type="cellIs" dxfId="111" priority="576" stopIfTrue="1" operator="equal">
      <formula>$M$15</formula>
    </cfRule>
    <cfRule type="cellIs" dxfId="110" priority="577" stopIfTrue="1" operator="lessThan">
      <formula>$M$15</formula>
    </cfRule>
  </conditionalFormatting>
  <conditionalFormatting sqref="N16">
    <cfRule type="cellIs" dxfId="109" priority="578" stopIfTrue="1" operator="equal">
      <formula>$M$16</formula>
    </cfRule>
    <cfRule type="cellIs" dxfId="108" priority="579" stopIfTrue="1" operator="lessThan">
      <formula>$M$16</formula>
    </cfRule>
  </conditionalFormatting>
  <conditionalFormatting sqref="N17">
    <cfRule type="cellIs" dxfId="107" priority="580" stopIfTrue="1" operator="equal">
      <formula>$M$17</formula>
    </cfRule>
    <cfRule type="cellIs" dxfId="106" priority="581" stopIfTrue="1" operator="lessThan">
      <formula>$M$17</formula>
    </cfRule>
  </conditionalFormatting>
  <conditionalFormatting sqref="N18">
    <cfRule type="cellIs" dxfId="105" priority="582" stopIfTrue="1" operator="equal">
      <formula>$M$18</formula>
    </cfRule>
    <cfRule type="cellIs" dxfId="104" priority="583" stopIfTrue="1" operator="lessThan">
      <formula>$M$18</formula>
    </cfRule>
  </conditionalFormatting>
  <conditionalFormatting sqref="N19">
    <cfRule type="cellIs" dxfId="103" priority="584" stopIfTrue="1" operator="equal">
      <formula>$M$19</formula>
    </cfRule>
    <cfRule type="cellIs" dxfId="102" priority="585" stopIfTrue="1" operator="lessThan">
      <formula>$M$19</formula>
    </cfRule>
  </conditionalFormatting>
  <conditionalFormatting sqref="N20">
    <cfRule type="cellIs" dxfId="101" priority="586" stopIfTrue="1" operator="equal">
      <formula>$M$20</formula>
    </cfRule>
    <cfRule type="cellIs" dxfId="100" priority="587" stopIfTrue="1" operator="lessThan">
      <formula>$M$20</formula>
    </cfRule>
  </conditionalFormatting>
  <conditionalFormatting sqref="N21">
    <cfRule type="cellIs" dxfId="99" priority="588" stopIfTrue="1" operator="equal">
      <formula>$M$21</formula>
    </cfRule>
    <cfRule type="cellIs" dxfId="98" priority="589" stopIfTrue="1" operator="lessThan">
      <formula>$M$21</formula>
    </cfRule>
  </conditionalFormatting>
  <conditionalFormatting sqref="N22">
    <cfRule type="cellIs" dxfId="97" priority="590" stopIfTrue="1" operator="equal">
      <formula>$M$22</formula>
    </cfRule>
    <cfRule type="cellIs" dxfId="96" priority="591" stopIfTrue="1" operator="lessThan">
      <formula>$M$22</formula>
    </cfRule>
  </conditionalFormatting>
  <conditionalFormatting sqref="N23">
    <cfRule type="cellIs" dxfId="95" priority="593" stopIfTrue="1" operator="lessThan">
      <formula>$M$23</formula>
    </cfRule>
    <cfRule type="cellIs" dxfId="94" priority="592" stopIfTrue="1" operator="equal">
      <formula>$M$23</formula>
    </cfRule>
  </conditionalFormatting>
  <conditionalFormatting sqref="N24">
    <cfRule type="cellIs" dxfId="93" priority="595" stopIfTrue="1" operator="lessThan">
      <formula>$M$24</formula>
    </cfRule>
    <cfRule type="cellIs" dxfId="92" priority="594" stopIfTrue="1" operator="equal">
      <formula>$M$24</formula>
    </cfRule>
  </conditionalFormatting>
  <conditionalFormatting sqref="N25">
    <cfRule type="cellIs" dxfId="91" priority="596" stopIfTrue="1" operator="equal">
      <formula>$M$25</formula>
    </cfRule>
    <cfRule type="cellIs" dxfId="90" priority="597" stopIfTrue="1" operator="lessThan">
      <formula>$M$25</formula>
    </cfRule>
  </conditionalFormatting>
  <conditionalFormatting sqref="N26">
    <cfRule type="cellIs" dxfId="89" priority="598" stopIfTrue="1" operator="equal">
      <formula>$M$26</formula>
    </cfRule>
    <cfRule type="cellIs" dxfId="88" priority="599" stopIfTrue="1" operator="lessThan">
      <formula>$M$26</formula>
    </cfRule>
  </conditionalFormatting>
  <conditionalFormatting sqref="N27">
    <cfRule type="cellIs" dxfId="87" priority="600" stopIfTrue="1" operator="equal">
      <formula>$M$27</formula>
    </cfRule>
    <cfRule type="cellIs" dxfId="86" priority="601" stopIfTrue="1" operator="lessThan">
      <formula>$M$27</formula>
    </cfRule>
  </conditionalFormatting>
  <conditionalFormatting sqref="N28">
    <cfRule type="cellIs" dxfId="85" priority="602" stopIfTrue="1" operator="equal">
      <formula>$M$28</formula>
    </cfRule>
    <cfRule type="cellIs" dxfId="84" priority="603" stopIfTrue="1" operator="lessThan">
      <formula>$M$28</formula>
    </cfRule>
  </conditionalFormatting>
  <conditionalFormatting sqref="O4">
    <cfRule type="cellIs" dxfId="83" priority="604" stopIfTrue="1" operator="equal">
      <formula>$N$4</formula>
    </cfRule>
    <cfRule type="cellIs" dxfId="82" priority="605" stopIfTrue="1" operator="lessThan">
      <formula>$N$4</formula>
    </cfRule>
  </conditionalFormatting>
  <conditionalFormatting sqref="O5">
    <cfRule type="cellIs" dxfId="81" priority="606" stopIfTrue="1" operator="equal">
      <formula>$N$5</formula>
    </cfRule>
    <cfRule type="cellIs" dxfId="80" priority="607" stopIfTrue="1" operator="lessThan">
      <formula>$N$5</formula>
    </cfRule>
  </conditionalFormatting>
  <conditionalFormatting sqref="O6">
    <cfRule type="cellIs" dxfId="79" priority="608" stopIfTrue="1" operator="equal">
      <formula>$N$6</formula>
    </cfRule>
    <cfRule type="cellIs" dxfId="78" priority="609" stopIfTrue="1" operator="lessThan">
      <formula>$N$6</formula>
    </cfRule>
  </conditionalFormatting>
  <conditionalFormatting sqref="O7">
    <cfRule type="cellIs" dxfId="77" priority="610" stopIfTrue="1" operator="equal">
      <formula>$N$7</formula>
    </cfRule>
    <cfRule type="cellIs" dxfId="76" priority="611" stopIfTrue="1" operator="lessThan">
      <formula>$N$7</formula>
    </cfRule>
  </conditionalFormatting>
  <conditionalFormatting sqref="O8">
    <cfRule type="cellIs" dxfId="75" priority="613" stopIfTrue="1" operator="lessThan">
      <formula>$N$8</formula>
    </cfRule>
    <cfRule type="cellIs" dxfId="74" priority="612" stopIfTrue="1" operator="equal">
      <formula>$N$8</formula>
    </cfRule>
  </conditionalFormatting>
  <conditionalFormatting sqref="O9">
    <cfRule type="cellIs" dxfId="73" priority="615" stopIfTrue="1" operator="lessThan">
      <formula>$N$9</formula>
    </cfRule>
    <cfRule type="cellIs" dxfId="72" priority="614" stopIfTrue="1" operator="equal">
      <formula>$N$9</formula>
    </cfRule>
  </conditionalFormatting>
  <conditionalFormatting sqref="O10">
    <cfRule type="cellIs" dxfId="71" priority="616" stopIfTrue="1" operator="equal">
      <formula>$N$10</formula>
    </cfRule>
    <cfRule type="cellIs" dxfId="70" priority="617" stopIfTrue="1" operator="lessThan">
      <formula>$N$10</formula>
    </cfRule>
  </conditionalFormatting>
  <conditionalFormatting sqref="O11">
    <cfRule type="cellIs" dxfId="69" priority="618" stopIfTrue="1" operator="equal">
      <formula>$N$11</formula>
    </cfRule>
    <cfRule type="cellIs" dxfId="68" priority="619" stopIfTrue="1" operator="lessThan">
      <formula>$N$11</formula>
    </cfRule>
  </conditionalFormatting>
  <conditionalFormatting sqref="O12">
    <cfRule type="cellIs" dxfId="67" priority="620" stopIfTrue="1" operator="equal">
      <formula>$N$12</formula>
    </cfRule>
    <cfRule type="cellIs" dxfId="66" priority="621" stopIfTrue="1" operator="lessThan">
      <formula>$N$12</formula>
    </cfRule>
  </conditionalFormatting>
  <conditionalFormatting sqref="O13">
    <cfRule type="cellIs" dxfId="65" priority="622" stopIfTrue="1" operator="equal">
      <formula>$N$13</formula>
    </cfRule>
    <cfRule type="cellIs" dxfId="64" priority="623" stopIfTrue="1" operator="lessThan">
      <formula>$N$13</formula>
    </cfRule>
  </conditionalFormatting>
  <conditionalFormatting sqref="O14">
    <cfRule type="cellIs" dxfId="63" priority="624" stopIfTrue="1" operator="equal">
      <formula>$N$14</formula>
    </cfRule>
    <cfRule type="cellIs" dxfId="62" priority="625" stopIfTrue="1" operator="lessThan">
      <formula>$N$14</formula>
    </cfRule>
  </conditionalFormatting>
  <conditionalFormatting sqref="O15">
    <cfRule type="cellIs" dxfId="61" priority="626" stopIfTrue="1" operator="equal">
      <formula>$N$15</formula>
    </cfRule>
    <cfRule type="cellIs" dxfId="60" priority="627" stopIfTrue="1" operator="lessThan">
      <formula>$N$15</formula>
    </cfRule>
  </conditionalFormatting>
  <conditionalFormatting sqref="O16">
    <cfRule type="cellIs" dxfId="59" priority="628" stopIfTrue="1" operator="equal">
      <formula>$N$16</formula>
    </cfRule>
    <cfRule type="cellIs" dxfId="58" priority="629" stopIfTrue="1" operator="lessThan">
      <formula>$N$16</formula>
    </cfRule>
  </conditionalFormatting>
  <conditionalFormatting sqref="O17">
    <cfRule type="cellIs" dxfId="57" priority="630" stopIfTrue="1" operator="equal">
      <formula>$N$17</formula>
    </cfRule>
    <cfRule type="cellIs" dxfId="56" priority="631" stopIfTrue="1" operator="lessThan">
      <formula>$N$17</formula>
    </cfRule>
  </conditionalFormatting>
  <conditionalFormatting sqref="O18">
    <cfRule type="cellIs" dxfId="55" priority="633" stopIfTrue="1" operator="lessThan">
      <formula>$N$18</formula>
    </cfRule>
    <cfRule type="cellIs" dxfId="54" priority="632" stopIfTrue="1" operator="equal">
      <formula>$N$18</formula>
    </cfRule>
  </conditionalFormatting>
  <conditionalFormatting sqref="O19">
    <cfRule type="cellIs" dxfId="53" priority="634" stopIfTrue="1" operator="equal">
      <formula>$N$19</formula>
    </cfRule>
    <cfRule type="cellIs" dxfId="52" priority="635" stopIfTrue="1" operator="lessThan">
      <formula>$N$19</formula>
    </cfRule>
  </conditionalFormatting>
  <conditionalFormatting sqref="O20">
    <cfRule type="cellIs" dxfId="51" priority="636" stopIfTrue="1" operator="equal">
      <formula>$N$20</formula>
    </cfRule>
    <cfRule type="cellIs" dxfId="50" priority="637" stopIfTrue="1" operator="lessThan">
      <formula>$N$20</formula>
    </cfRule>
  </conditionalFormatting>
  <conditionalFormatting sqref="O21">
    <cfRule type="cellIs" dxfId="49" priority="638" stopIfTrue="1" operator="equal">
      <formula>$N$21</formula>
    </cfRule>
    <cfRule type="cellIs" dxfId="48" priority="639" stopIfTrue="1" operator="lessThan">
      <formula>$N$21</formula>
    </cfRule>
  </conditionalFormatting>
  <conditionalFormatting sqref="O22">
    <cfRule type="cellIs" dxfId="47" priority="640" stopIfTrue="1" operator="equal">
      <formula>$N$22</formula>
    </cfRule>
    <cfRule type="cellIs" dxfId="46" priority="641" stopIfTrue="1" operator="lessThan">
      <formula>$N$22</formula>
    </cfRule>
  </conditionalFormatting>
  <conditionalFormatting sqref="O23">
    <cfRule type="cellIs" dxfId="45" priority="642" stopIfTrue="1" operator="equal">
      <formula>$N$23</formula>
    </cfRule>
    <cfRule type="cellIs" dxfId="44" priority="643" stopIfTrue="1" operator="lessThan">
      <formula>$N$23</formula>
    </cfRule>
  </conditionalFormatting>
  <conditionalFormatting sqref="O24">
    <cfRule type="cellIs" dxfId="43" priority="644" stopIfTrue="1" operator="equal">
      <formula>$N$24</formula>
    </cfRule>
    <cfRule type="cellIs" dxfId="42" priority="645" stopIfTrue="1" operator="lessThan">
      <formula>$N$24</formula>
    </cfRule>
  </conditionalFormatting>
  <conditionalFormatting sqref="O25">
    <cfRule type="cellIs" dxfId="41" priority="646" stopIfTrue="1" operator="equal">
      <formula>$N$25</formula>
    </cfRule>
    <cfRule type="cellIs" dxfId="40" priority="647" stopIfTrue="1" operator="lessThan">
      <formula>$N$25</formula>
    </cfRule>
  </conditionalFormatting>
  <conditionalFormatting sqref="O26">
    <cfRule type="cellIs" dxfId="39" priority="648" stopIfTrue="1" operator="equal">
      <formula>$N$26</formula>
    </cfRule>
    <cfRule type="cellIs" dxfId="38" priority="649" stopIfTrue="1" operator="lessThan">
      <formula>$N$26</formula>
    </cfRule>
  </conditionalFormatting>
  <conditionalFormatting sqref="O27">
    <cfRule type="cellIs" dxfId="37" priority="650" stopIfTrue="1" operator="equal">
      <formula>$N$27</formula>
    </cfRule>
    <cfRule type="cellIs" dxfId="36" priority="651" stopIfTrue="1" operator="lessThan">
      <formula>$N$27</formula>
    </cfRule>
  </conditionalFormatting>
  <conditionalFormatting sqref="O28">
    <cfRule type="cellIs" dxfId="35" priority="653" stopIfTrue="1" operator="lessThan">
      <formula>$N$28</formula>
    </cfRule>
    <cfRule type="cellIs" dxfId="34" priority="652" stopIfTrue="1" operator="equal">
      <formula>$N$28</formula>
    </cfRule>
  </conditionalFormatting>
  <conditionalFormatting sqref="U4:AF23">
    <cfRule type="cellIs" dxfId="33" priority="1" operator="lessThan">
      <formula>0</formula>
    </cfRule>
  </conditionalFormatting>
  <pageMargins left="0.70866141732283472" right="0.70866141732283472" top="0.78740157480314965" bottom="0.78740157480314965" header="0.51181102362204722" footer="0.51181102362204722"/>
  <pageSetup paperSize="9" firstPageNumber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7"/>
  <sheetViews>
    <sheetView workbookViewId="0">
      <selection activeCell="L9" sqref="L9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6.453125" style="34" customWidth="1"/>
    <col min="7" max="10" width="11.453125" style="34" customWidth="1"/>
    <col min="11" max="11" width="9" style="34"/>
    <col min="12" max="15" width="9.1796875" style="34" bestFit="1" customWidth="1"/>
    <col min="16" max="16384" width="9" style="34"/>
  </cols>
  <sheetData>
    <row r="1" spans="1:15" ht="18" x14ac:dyDescent="0.4">
      <c r="A1" s="35" t="s">
        <v>47</v>
      </c>
      <c r="B1" s="36">
        <v>2023</v>
      </c>
    </row>
    <row r="2" spans="1:15" x14ac:dyDescent="0.35">
      <c r="L2" s="268" t="s">
        <v>429</v>
      </c>
    </row>
    <row r="3" spans="1:15" ht="18" x14ac:dyDescent="0.4">
      <c r="A3" s="125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15" x14ac:dyDescent="0.35">
      <c r="A4" s="37" t="s">
        <v>49</v>
      </c>
      <c r="B4" s="37">
        <f>'1850'!D4-'1850'!C4+'1850'!D6-'1850'!C6+'1850'!D8-'1850'!C8+'1850'!D10-'1850'!C10+'1850'!D12-'1850'!C12+'1850'!D14-'1850'!C14+'1850'!D16-'1850'!C16+'1850'!D18-'1850'!C18+'1850'!D20-'1850'!C20+'1850'!D22-'1850'!C22</f>
        <v>52.758999999999844</v>
      </c>
      <c r="C4" s="37">
        <f>'1851'!E4-'1851'!D4+'1851'!E6-'1851'!D6+'1851'!E8-'1851'!D8+'1851'!E10-'1851'!D10+'1851'!E12-'1851'!D12+'1851'!E14-'1851'!D14+'1851'!E16-'1851'!D16+'1851'!E18-'1851'!D18+'1851'!E20-'1851'!D20+'1851'!E22-'1851'!D22+'1851'!E33-'1851'!D33+'1851'!E34-'1851'!D34+'1851'!E35-'1851'!D35+'1851'!E36-'1851'!D36+'1851'!E37-'1851'!D37+'1851'!E40-'1851'!D40+'1851'!E41-'1851'!D41+'1851'!E42-'1851'!D42+'1851'!E43-'1851'!D43+'1851'!E44-'1851'!D44+'1851'!E45-'1851'!D45+'1851'!E46-'1851'!D46+'1851'!E47-'1851'!D47+'1851'!E48-'1851'!D48+'1851'!E49-'1851'!D49</f>
        <v>86.976000000000056</v>
      </c>
      <c r="D4" s="37">
        <f>'1852'!D4-'1852'!C4+'1852'!D6-'1852'!C6+'1852'!D8-'1852'!C8+'1852'!D10-'1852'!C10+'1852'!D12-'1852'!C12+'1852'!D14-'1852'!C14+'1852'!D16-'1852'!C16+'1852'!D18-'1852'!C18+'1852'!D20-'1852'!C20+'1852'!D22-'1852'!C22</f>
        <v>86.083000000000027</v>
      </c>
      <c r="E4" s="37">
        <f>'1853'!D4-'1853'!C4+'1853'!D6-'1853'!C6+'1853'!D8-'1853'!C8+'1853'!D10-'1853'!C10+'1853'!D12-'1853'!C12+'1853'!D14-'1853'!C14+'1853'!D16-'1853'!C16+'1853'!D18-'1853'!C18+'1853'!D20-'1853'!C20+'1853'!D22-'1853'!C22+'1853'!D26-'1853'!C26</f>
        <v>63.763999999999953</v>
      </c>
      <c r="G4" s="135">
        <f>1-B4/B5</f>
        <v>0.12214642262895303</v>
      </c>
      <c r="H4" s="135">
        <f t="shared" ref="H4:J4" si="0">1-C4/C5</f>
        <v>6.0734341252698276E-2</v>
      </c>
      <c r="I4" s="135">
        <f t="shared" si="0"/>
        <v>9.9550209205024109E-2</v>
      </c>
      <c r="J4" s="135">
        <f t="shared" si="0"/>
        <v>8.908571428571499E-2</v>
      </c>
      <c r="L4" s="267">
        <v>0.10776056338028184</v>
      </c>
      <c r="M4" s="267">
        <v>6.3344017094016269E-2</v>
      </c>
      <c r="N4" s="267">
        <v>0.1015005476451285</v>
      </c>
      <c r="O4" s="267">
        <v>8.1363057324841503E-2</v>
      </c>
    </row>
    <row r="5" spans="1:15" x14ac:dyDescent="0.35">
      <c r="A5" s="37" t="s">
        <v>50</v>
      </c>
      <c r="B5" s="37">
        <f>'1850'!D26-'1850'!C26</f>
        <v>60.099999999999909</v>
      </c>
      <c r="C5" s="37">
        <f>'1851'!E26-'1851'!D26</f>
        <v>92.599999999999909</v>
      </c>
      <c r="D5" s="38">
        <f>'1852'!D26-'1852'!C26</f>
        <v>95.600000000000364</v>
      </c>
      <c r="E5" s="37">
        <f>'1853'!D27-'1853'!C27</f>
        <v>70</v>
      </c>
      <c r="L5" s="267"/>
      <c r="M5" s="267"/>
      <c r="N5" s="267"/>
      <c r="O5" s="267"/>
    </row>
    <row r="6" spans="1:15" x14ac:dyDescent="0.35">
      <c r="A6" s="37" t="s">
        <v>51</v>
      </c>
      <c r="B6" s="297">
        <f>B5+C5+D5+E5</f>
        <v>318.30000000000018</v>
      </c>
      <c r="C6" s="297"/>
      <c r="D6" s="297"/>
      <c r="E6" s="297"/>
      <c r="G6" s="135">
        <f>1-B6/B7</f>
        <v>4.4717887154863467E-2</v>
      </c>
      <c r="L6" s="267">
        <v>4.2930738408704316E-2</v>
      </c>
      <c r="M6" s="267"/>
      <c r="N6" s="267"/>
      <c r="O6" s="267"/>
    </row>
    <row r="7" spans="1:15" x14ac:dyDescent="0.35">
      <c r="A7" s="37" t="s">
        <v>52</v>
      </c>
      <c r="B7" s="297">
        <f>'1850'!D29-'1850'!C29</f>
        <v>333.20000000000073</v>
      </c>
      <c r="C7" s="297"/>
      <c r="D7" s="297"/>
      <c r="E7" s="297"/>
      <c r="L7" s="267"/>
      <c r="M7" s="267"/>
      <c r="N7" s="267"/>
      <c r="O7" s="267"/>
    </row>
    <row r="8" spans="1:15" ht="18" x14ac:dyDescent="0.4">
      <c r="A8" s="127" t="s">
        <v>53</v>
      </c>
      <c r="B8" s="128"/>
      <c r="C8" s="128"/>
      <c r="D8" s="128"/>
      <c r="E8" s="129"/>
      <c r="L8" s="267"/>
      <c r="M8" s="267"/>
      <c r="N8" s="267"/>
      <c r="O8" s="267"/>
    </row>
    <row r="9" spans="1:15" x14ac:dyDescent="0.35">
      <c r="A9" s="37" t="s">
        <v>54</v>
      </c>
      <c r="B9" s="37">
        <f>'1850'!D5-'1850'!C5+'1850'!D7-'1850'!C7+'1850'!D9-'1850'!C9+'1850'!D11-'1850'!C11+'1850'!D13-'1850'!C13+'1850'!D15-'1850'!C15+'1850'!D17-'1850'!C17+'1850'!D19-'1850'!C19+'1850'!D21-'1850'!C21+'1850'!D23-'1850'!C23</f>
        <v>29.737000000000016</v>
      </c>
      <c r="C9" s="37">
        <f>'1851'!E5-'1851'!D5+'1851'!E7-'1851'!D7+'1851'!E9-'1851'!D9+'1851'!E11-'1851'!D11+'1851'!E13-'1851'!D13+'1851'!E15-'1851'!D15+'1851'!E17-'1851'!D17+'1851'!E19-'1851'!D19+'1851'!E21-'1851'!D21+'1851'!E23-'1851'!D23</f>
        <v>34.265999999999991</v>
      </c>
      <c r="D9" s="37">
        <f>'1852'!D5-'1852'!C5+'1852'!D7-'1852'!C7+'1852'!D9-'1852'!C9+'1852'!D11-'1852'!C11+'1852'!D13-'1852'!C13+'1852'!D15-'1852'!C15+'1852'!D17-'1852'!C17+'1852'!D19-'1852'!C19+'1852'!D21-'1852'!C21+'1852'!D23-'1852'!C23</f>
        <v>32.933999999999997</v>
      </c>
      <c r="E9" s="37">
        <f>'1853'!D5-'1853'!C5+'1853'!D7-'1853'!C7+'1853'!D9-'1853'!C9+'1853'!D11-'1853'!C11+'1853'!D13-'1853'!C13+'1853'!D15-'1853'!C15+'1853'!D17-'1853'!C17+'1853'!D19-'1853'!C19+'1853'!D21-'1853'!C21+'1853'!D23-'1853'!C23</f>
        <v>30.171000000000014</v>
      </c>
      <c r="G9" s="135">
        <f>1-B9/B10</f>
        <v>8.4226410445923161E-2</v>
      </c>
      <c r="H9" s="135">
        <f t="shared" ref="H9:J9" si="1">1-C9/C10</f>
        <v>0.10960399126909892</v>
      </c>
      <c r="I9" s="135">
        <f t="shared" si="1"/>
        <v>6.2670765027321607E-2</v>
      </c>
      <c r="J9" s="135">
        <f t="shared" si="1"/>
        <v>5.0868252170631401E-2</v>
      </c>
      <c r="L9" s="267">
        <v>7.274340208472041E-2</v>
      </c>
      <c r="M9" s="267">
        <v>9.7352024922118696E-2</v>
      </c>
      <c r="N9" s="267">
        <v>5.4242244028147812E-2</v>
      </c>
      <c r="O9" s="267">
        <v>7.7654693968891686E-2</v>
      </c>
    </row>
    <row r="10" spans="1:15" x14ac:dyDescent="0.35">
      <c r="A10" s="37" t="s">
        <v>55</v>
      </c>
      <c r="B10" s="39">
        <f>('1850'!D27-'1850'!C27)*3.6</f>
        <v>32.472000000000037</v>
      </c>
      <c r="C10" s="37">
        <f>('1851'!E27-'1851'!D27)*3.6</f>
        <v>38.483999999999995</v>
      </c>
      <c r="D10" s="37">
        <f>('1852'!D27-'1852'!C27)*3.6</f>
        <v>35.135999999999967</v>
      </c>
      <c r="E10" s="37">
        <f>('1853'!D28-'1853'!C28)*3.6</f>
        <v>31.788000000000046</v>
      </c>
      <c r="L10" s="267"/>
      <c r="M10" s="267"/>
      <c r="N10" s="267"/>
      <c r="O10" s="267"/>
    </row>
    <row r="11" spans="1:15" ht="18" x14ac:dyDescent="0.4">
      <c r="A11" s="127" t="s">
        <v>56</v>
      </c>
      <c r="B11" s="128"/>
      <c r="C11" s="128"/>
      <c r="D11" s="128"/>
      <c r="E11" s="129"/>
      <c r="L11" s="267"/>
      <c r="M11" s="267"/>
      <c r="N11" s="267"/>
      <c r="O11" s="267"/>
    </row>
    <row r="12" spans="1:15" x14ac:dyDescent="0.35">
      <c r="A12" s="37" t="s">
        <v>57</v>
      </c>
      <c r="B12" s="40">
        <f>'1850'!D25-'1850'!C25</f>
        <v>205</v>
      </c>
      <c r="C12" s="40">
        <f>'1851'!E24-'1851'!D24</f>
        <v>200</v>
      </c>
      <c r="D12" s="40">
        <f>'1852'!D25-'1852'!C25</f>
        <v>180</v>
      </c>
      <c r="E12" s="40">
        <f>'1853'!D24-'1853'!C24</f>
        <v>198</v>
      </c>
      <c r="L12" s="267"/>
      <c r="M12" s="267"/>
      <c r="N12" s="267"/>
      <c r="O12" s="267"/>
    </row>
    <row r="13" spans="1:15" x14ac:dyDescent="0.35">
      <c r="B13" s="41"/>
      <c r="C13" s="41"/>
      <c r="D13" s="41"/>
      <c r="E13" s="41"/>
      <c r="G13" s="41"/>
      <c r="H13" s="41"/>
      <c r="I13" s="41"/>
      <c r="J13" s="41"/>
      <c r="L13" s="267"/>
      <c r="M13" s="267"/>
      <c r="N13" s="267"/>
      <c r="O13" s="267"/>
    </row>
    <row r="14" spans="1:15" x14ac:dyDescent="0.35">
      <c r="A14" s="34" t="s">
        <v>58</v>
      </c>
      <c r="B14" s="41">
        <f>'1853'!D25-'1853'!C25</f>
        <v>436</v>
      </c>
      <c r="C14" s="41"/>
      <c r="D14" s="41"/>
      <c r="E14" s="41"/>
      <c r="G14" s="41"/>
      <c r="H14" s="41"/>
      <c r="I14" s="41"/>
      <c r="J14" s="41"/>
      <c r="L14" s="267"/>
      <c r="M14" s="267"/>
      <c r="N14" s="267"/>
      <c r="O14" s="267"/>
    </row>
    <row r="15" spans="1:15" x14ac:dyDescent="0.35">
      <c r="A15" s="34" t="s">
        <v>59</v>
      </c>
      <c r="B15" s="42">
        <f>'1853'!D26-'1853'!C26</f>
        <v>0</v>
      </c>
      <c r="C15" s="41"/>
      <c r="D15" s="41"/>
      <c r="E15" s="41"/>
      <c r="G15" s="41"/>
      <c r="H15" s="41"/>
      <c r="I15" s="41"/>
      <c r="J15" s="41"/>
      <c r="L15" s="267"/>
      <c r="M15" s="267"/>
      <c r="N15" s="267"/>
      <c r="O15" s="267"/>
    </row>
    <row r="16" spans="1:15" x14ac:dyDescent="0.35">
      <c r="B16" s="41"/>
      <c r="C16" s="41"/>
      <c r="D16" s="41"/>
      <c r="E16" s="41"/>
      <c r="G16" s="41"/>
      <c r="H16" s="41"/>
      <c r="I16" s="41"/>
      <c r="J16" s="41"/>
      <c r="L16" s="267"/>
      <c r="M16" s="267"/>
      <c r="N16" s="267"/>
      <c r="O16" s="267"/>
    </row>
    <row r="17" spans="1:15" x14ac:dyDescent="0.35">
      <c r="L17" s="267"/>
      <c r="M17" s="267"/>
      <c r="N17" s="267"/>
      <c r="O17" s="267"/>
    </row>
    <row r="18" spans="1:15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  <c r="L18" s="267"/>
      <c r="M18" s="267"/>
      <c r="N18" s="267"/>
      <c r="O18" s="267"/>
    </row>
    <row r="19" spans="1:15" x14ac:dyDescent="0.35">
      <c r="A19" s="37" t="s">
        <v>49</v>
      </c>
      <c r="B19" s="37">
        <f>'1854'!D4-'1854'!C4+'1854'!D6-'1854'!C6+'1854'!D8-'1854'!C8+'1854'!D10-'1854'!C10+'1854'!D12-'1854'!C12+'1854'!D14-'1854'!C14+'1854'!D16-'1854'!C16+'1854'!D18-'1854'!C18+'1854'!D20-'1854'!C20+'1854'!D22-'1854'!C22</f>
        <v>58.418000000000006</v>
      </c>
      <c r="C19" s="37">
        <f>'1855'!D4-'1855'!C4+'1855'!D6-'1855'!C6+'1855'!D8-'1855'!C8+'1855'!D10-'1855'!C10+'1855'!D12-'1855'!C12+'1855'!D14-'1855'!C14+'1855'!D16-'1855'!C16+'1855'!D18-'1855'!C18+'1855'!D20-'1855'!C20+'1855'!D22-'1855'!C22</f>
        <v>66.004000000000133</v>
      </c>
      <c r="D19" s="37">
        <f>'1856'!D4-'1856'!C4+'1856'!D6-'1856'!C6+'1856'!D8-'1856'!C8+'1856'!D10-'1856'!C10+'1856'!D12-'1856'!C12+'1856'!D14-'1856'!C14+'1856'!D16-'1856'!C16+'1856'!D18-'1856'!C18+'1856'!D20-'1856'!C20+'1856'!D22-'1856'!C22</f>
        <v>79.66500000000002</v>
      </c>
      <c r="E19" s="37">
        <f>'1857'!D4-'1857'!C4+'1857'!D6-'1857'!C6+'1857'!D8-'1857'!C8+'1857'!D10-'1857'!C10+'1857'!D12-'1857'!C12+'1857'!D14-'1857'!C14+'1857'!D16-'1857'!C16+'1857'!D18-'1857'!C18+'1857'!D20-'1857'!C20+'1857'!D22-'1857'!C22</f>
        <v>65.182999999999993</v>
      </c>
      <c r="G19" s="135">
        <f>1-B19/B20</f>
        <v>9.0062305295953937E-2</v>
      </c>
      <c r="H19" s="135">
        <f t="shared" ref="H19:J19" si="2">1-C19/C20</f>
        <v>0.10805405405405222</v>
      </c>
      <c r="I19" s="135">
        <f t="shared" si="2"/>
        <v>9.1619156214365005E-2</v>
      </c>
      <c r="J19" s="135">
        <f t="shared" si="2"/>
        <v>0.11914864864864871</v>
      </c>
      <c r="L19" s="267">
        <v>9.1895803183790092E-2</v>
      </c>
      <c r="M19" s="267">
        <v>0.1014319526627222</v>
      </c>
      <c r="N19" s="267">
        <v>9.2536136662284774E-2</v>
      </c>
      <c r="O19" s="267">
        <v>9.1850060459489957E-2</v>
      </c>
    </row>
    <row r="20" spans="1:15" x14ac:dyDescent="0.35">
      <c r="A20" s="37" t="s">
        <v>50</v>
      </c>
      <c r="B20" s="37">
        <f>'1854'!D26-'1854'!C26</f>
        <v>64.200000000000273</v>
      </c>
      <c r="C20" s="37">
        <f>'1855'!D26-'1855'!C26</f>
        <v>74</v>
      </c>
      <c r="D20" s="37">
        <f>'1856'!D26-'1856'!C26</f>
        <v>87.699999999999818</v>
      </c>
      <c r="E20" s="37">
        <f>'1857'!D26-'1857'!C26</f>
        <v>74</v>
      </c>
      <c r="L20" s="267"/>
      <c r="M20" s="267"/>
      <c r="N20" s="267"/>
      <c r="O20" s="267"/>
    </row>
    <row r="21" spans="1:15" x14ac:dyDescent="0.35">
      <c r="A21" s="37" t="s">
        <v>51</v>
      </c>
      <c r="B21" s="297">
        <f>B20+C20+D20+E20</f>
        <v>299.90000000000009</v>
      </c>
      <c r="C21" s="297"/>
      <c r="D21" s="297"/>
      <c r="E21" s="297"/>
      <c r="G21" s="135">
        <f>1-B21/B22</f>
        <v>-4.3493389004872984E-2</v>
      </c>
      <c r="L21" s="267">
        <v>-3.9254823685958895E-2</v>
      </c>
      <c r="M21" s="267"/>
      <c r="N21" s="267"/>
      <c r="O21" s="267"/>
    </row>
    <row r="22" spans="1:15" x14ac:dyDescent="0.35">
      <c r="A22" s="37" t="s">
        <v>52</v>
      </c>
      <c r="B22" s="297">
        <f>'1854'!D29-'1854'!C29</f>
        <v>287.39999999999964</v>
      </c>
      <c r="C22" s="297"/>
      <c r="D22" s="297"/>
      <c r="E22" s="297"/>
      <c r="L22" s="267"/>
      <c r="M22" s="267"/>
      <c r="N22" s="267"/>
      <c r="O22" s="267"/>
    </row>
    <row r="23" spans="1:15" ht="18" x14ac:dyDescent="0.4">
      <c r="A23" s="127" t="s">
        <v>53</v>
      </c>
      <c r="B23" s="128"/>
      <c r="C23" s="128"/>
      <c r="D23" s="128"/>
      <c r="E23" s="129"/>
      <c r="L23" s="267"/>
      <c r="M23" s="267"/>
      <c r="N23" s="267"/>
      <c r="O23" s="267"/>
    </row>
    <row r="24" spans="1:15" x14ac:dyDescent="0.35">
      <c r="A24" s="37" t="s">
        <v>54</v>
      </c>
      <c r="B24" s="37">
        <f>'1854'!D5-'1854'!C5+'1854'!D7-'1854'!C7+'1854'!D9-'1854'!C9+'1854'!D11-'1854'!C11+'1854'!D13-'1854'!C13+'1854'!D15-'1854'!C15+'1854'!D17-'1854'!C17+'1854'!D19-'1854'!C19+'1854'!D21-'1854'!C21+'1854'!D23-'1854'!C23</f>
        <v>29.810999999999979</v>
      </c>
      <c r="C24" s="37">
        <f>'1855'!D5-'1855'!C5+'1855'!D7-'1855'!C7+'1855'!D9-'1855'!C9+'1855'!D11-'1855'!C11+'1855'!D13-'1855'!C13+'1855'!D15-'1855'!C15+'1855'!D17-'1855'!C17+'1855'!D19-'1855'!C19+'1855'!D21-'1855'!C21+'1855'!D23-'1855'!C23</f>
        <v>31.456000000000003</v>
      </c>
      <c r="D24" s="37">
        <f>'1856'!D5-'1856'!C5+'1856'!D7-'1856'!C7+'1856'!D9-'1856'!C9+'1856'!D11-'1856'!C11+'1856'!D13-'1856'!C13+'1856'!D15-'1856'!C15+'1856'!D17-'1856'!C17+'1856'!D19-'1856'!C19+'1856'!D21-'1856'!C21+'1856'!D23-'1856'!C23</f>
        <v>29.213999999999984</v>
      </c>
      <c r="E24" s="37">
        <f>'1857'!D5-'1857'!C5+'1857'!D7-'1857'!C7+'1857'!D9-'1857'!C9+'1857'!D11-'1857'!C11+'1857'!D13-'1857'!C13+'1857'!D15-'1857'!C15+'1857'!D17-'1857'!C17+'1857'!D19-'1857'!C19+'1857'!D21-'1857'!C21+'1857'!D23-'1857'!C23</f>
        <v>29.677</v>
      </c>
      <c r="G24" s="135">
        <f>1-B24/B25</f>
        <v>7.2464219041692868E-2</v>
      </c>
      <c r="H24" s="135">
        <f t="shared" ref="H24:J24" si="3">1-C24/C25</f>
        <v>7.4006476302620583E-2</v>
      </c>
      <c r="I24" s="135">
        <f t="shared" si="3"/>
        <v>8.6205817954331798E-2</v>
      </c>
      <c r="J24" s="135">
        <f t="shared" si="3"/>
        <v>7.6633478531424659E-2</v>
      </c>
      <c r="L24" s="267">
        <v>5.8015267175572705E-2</v>
      </c>
      <c r="M24" s="267">
        <v>7.2727272727273196E-2</v>
      </c>
      <c r="N24" s="267">
        <v>7.8701986754966646E-2</v>
      </c>
      <c r="O24" s="267">
        <v>8.7025071077797667E-2</v>
      </c>
    </row>
    <row r="25" spans="1:15" x14ac:dyDescent="0.35">
      <c r="A25" s="37" t="s">
        <v>55</v>
      </c>
      <c r="B25" s="44">
        <f>('1854'!D27-'1854'!C27)</f>
        <v>32.139999999999986</v>
      </c>
      <c r="C25" s="44">
        <f>('1855'!D27-'1855'!C27)</f>
        <v>33.970000000000027</v>
      </c>
      <c r="D25" s="44">
        <f>('1856'!D27-'1856'!C27)</f>
        <v>31.96999999999997</v>
      </c>
      <c r="E25" s="44">
        <f>('1857'!D27-'1857'!C27)</f>
        <v>32.139999999999986</v>
      </c>
    </row>
    <row r="26" spans="1:15" ht="18" x14ac:dyDescent="0.4">
      <c r="A26" s="127" t="s">
        <v>56</v>
      </c>
      <c r="B26" s="128"/>
      <c r="C26" s="128"/>
      <c r="D26" s="128"/>
      <c r="E26" s="129"/>
    </row>
    <row r="27" spans="1:15" x14ac:dyDescent="0.35">
      <c r="A27" s="37" t="s">
        <v>57</v>
      </c>
      <c r="B27" s="40">
        <f>'1854'!D25-'1854'!C25</f>
        <v>196</v>
      </c>
      <c r="C27" s="40">
        <f>'1855'!D25-'1855'!C25</f>
        <v>208</v>
      </c>
      <c r="D27" s="40">
        <f>'1856'!D25-'1856'!C25</f>
        <v>187</v>
      </c>
      <c r="E27" s="40">
        <f>'1857'!D25-'1857'!C25</f>
        <v>196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32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7"/>
  <sheetViews>
    <sheetView workbookViewId="0">
      <selection activeCell="B10" sqref="B10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6.7265625" style="34" customWidth="1"/>
    <col min="7" max="10" width="11.453125" style="34" customWidth="1"/>
    <col min="11" max="12" width="9" style="34" customWidth="1"/>
    <col min="13" max="16384" width="9" style="34"/>
  </cols>
  <sheetData>
    <row r="1" spans="1:10" ht="18" x14ac:dyDescent="0.4">
      <c r="A1" s="35" t="s">
        <v>60</v>
      </c>
      <c r="B1" s="36">
        <f>'S1'!B1</f>
        <v>2023</v>
      </c>
    </row>
    <row r="3" spans="1:10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10" x14ac:dyDescent="0.35">
      <c r="A4" s="43" t="s">
        <v>49</v>
      </c>
      <c r="B4" s="37">
        <f>'1850'!E4-'1850'!D4+'1850'!E6-'1850'!D6+'1850'!E8-'1850'!D8+'1850'!E10-'1850'!D10+'1850'!E12-'1850'!D12+'1850'!E14-'1850'!D14+'1850'!E16-'1850'!D16+'1850'!E18-'1850'!D18+'1850'!E20-'1850'!D20+'1850'!E22-'1850'!D22</f>
        <v>52.112999999999886</v>
      </c>
      <c r="C4" s="37">
        <f>'1851'!F4-'1851'!E4+'1851'!F6-'1851'!E6+'1851'!F8-'1851'!E8+'1851'!F10-'1851'!E10+'1851'!F12-'1851'!E12+'1851'!F14-'1851'!E14+'1851'!F16-'1851'!E16+'1851'!F18-'1851'!E18+'1851'!F20-'1851'!E20+'1851'!F22-'1851'!E22+'1851'!F33-'1851'!E33+'1851'!F34-'1851'!E34+'1851'!F35-'1851'!E35+'1851'!F36-'1851'!E36+'1851'!F37-'1851'!E37+'1851'!F40-'1851'!E40+'1851'!F41-'1851'!E41+'1851'!F42-'1851'!E42+'1851'!F43-'1851'!E43+'1851'!F44-'1851'!E44+'1851'!F45-'1851'!E45+'1851'!F46-'1851'!E46+'1851'!F47-'1851'!E47+'1851'!F48-'1851'!E48+'1851'!F49-'1851'!E49</f>
        <v>70.722000000000023</v>
      </c>
      <c r="D4" s="37">
        <f>'1852'!E4-'1852'!D4+'1852'!E6-'1852'!D6+'1852'!E8-'1852'!D8+'1852'!E10-'1852'!D10+'1852'!E12-'1852'!D12+'1852'!E14-'1852'!D14+'1852'!E16-'1852'!D16+'1852'!E18-'1852'!D18+'1852'!E20-'1852'!D20+'1852'!E22-'1852'!D22</f>
        <v>78.15300000000002</v>
      </c>
      <c r="E4" s="37">
        <f>'1853'!E4-'1853'!D4+'1853'!E6-'1853'!D6+'1853'!E8-'1853'!D8+'1853'!E10-'1853'!D10+'1853'!E12-'1853'!D12+'1853'!E14-'1853'!D14+'1853'!E16-'1853'!D16+'1853'!E18-'1853'!D18+'1853'!E20-'1853'!D20+'1853'!E22-'1853'!D22+'1853'!E26-'1853'!D26</f>
        <v>56.786999999999864</v>
      </c>
      <c r="G4" s="135">
        <f>1-B4/B5</f>
        <v>0.11069965870307219</v>
      </c>
      <c r="H4" s="135">
        <f t="shared" ref="H4:J4" si="0">1-C4/C5</f>
        <v>7.3106159895147127E-2</v>
      </c>
      <c r="I4" s="135">
        <f t="shared" si="0"/>
        <v>9.6497109826589322E-2</v>
      </c>
      <c r="J4" s="135">
        <f t="shared" si="0"/>
        <v>8.8491171749603525E-2</v>
      </c>
    </row>
    <row r="5" spans="1:10" x14ac:dyDescent="0.35">
      <c r="A5" s="43" t="s">
        <v>50</v>
      </c>
      <c r="B5" s="37">
        <f>'1850'!E26-'1850'!D26</f>
        <v>58.599999999999909</v>
      </c>
      <c r="C5" s="37">
        <f>'1851'!F26-'1851'!E26</f>
        <v>76.299999999999727</v>
      </c>
      <c r="D5" s="37">
        <f>'1852'!E26-'1852'!D26</f>
        <v>86.5</v>
      </c>
      <c r="E5" s="37">
        <f>'1853'!E27-'1853'!D27</f>
        <v>62.300000000000182</v>
      </c>
    </row>
    <row r="6" spans="1:10" x14ac:dyDescent="0.35">
      <c r="A6" s="43" t="s">
        <v>51</v>
      </c>
      <c r="B6" s="297">
        <f>SUM(B5:E5)</f>
        <v>283.69999999999982</v>
      </c>
      <c r="C6" s="297"/>
      <c r="D6" s="297"/>
      <c r="E6" s="297"/>
      <c r="G6" s="135">
        <f>1-B6/B7</f>
        <v>4.0906017579443787E-2</v>
      </c>
    </row>
    <row r="7" spans="1:10" x14ac:dyDescent="0.35">
      <c r="A7" s="43" t="s">
        <v>52</v>
      </c>
      <c r="B7" s="297">
        <f>'1850'!E29-'1850'!D29</f>
        <v>295.79999999999927</v>
      </c>
      <c r="C7" s="297"/>
      <c r="D7" s="297"/>
      <c r="E7" s="297"/>
    </row>
    <row r="8" spans="1:10" ht="18" x14ac:dyDescent="0.4">
      <c r="A8" s="127" t="s">
        <v>53</v>
      </c>
      <c r="B8" s="130"/>
      <c r="C8" s="128"/>
      <c r="D8" s="128"/>
      <c r="E8" s="129"/>
    </row>
    <row r="9" spans="1:10" x14ac:dyDescent="0.35">
      <c r="A9" s="37" t="s">
        <v>54</v>
      </c>
      <c r="B9" s="37">
        <f>'1850'!E5-'1850'!D5+'1850'!E7-'1850'!D7+'1850'!E9-'1850'!D9+'1850'!E11-'1850'!D11+'1850'!E13-'1850'!D13+'1850'!E15-'1850'!D15+'1850'!E17-'1850'!D17+'1850'!E19-'1850'!D19+'1850'!E21-'1850'!D21+'1850'!E23-'1850'!D23</f>
        <v>27.177</v>
      </c>
      <c r="C9" s="37">
        <f>'1851'!F5-'1851'!E5+'1851'!F7-'1851'!E7+'1851'!F9-'1851'!E9+'1851'!F11-'1851'!E11+'1851'!F13-'1851'!E13+'1851'!F15-'1851'!E15+'1851'!F17-'1851'!E17+'1851'!F19-'1851'!E19+'1851'!F21-'1851'!E21+'1851'!F23-'1851'!E23</f>
        <v>31.852999999999998</v>
      </c>
      <c r="D9" s="37">
        <f>'1852'!E5-'1852'!D5+'1852'!E7-'1852'!D7+'1852'!E9-'1852'!D9+'1852'!E11-'1852'!D11+'1852'!E13-'1852'!D13+'1852'!E15-'1852'!D15+'1852'!E17-'1852'!D17+'1852'!E19-'1852'!D19+'1852'!E21-'1852'!D21+'1852'!E23-'1852'!D23</f>
        <v>29.050000000000004</v>
      </c>
      <c r="E9" s="37">
        <f>'1853'!E5-'1853'!D5+'1853'!E7-'1853'!D7+'1853'!E9-'1853'!D9+'1853'!E11-'1853'!D11+'1853'!E13-'1853'!D13+'1853'!E15-'1853'!D15+'1853'!E17-'1853'!D17+'1853'!E19-'1853'!D19+'1853'!E21-'1853'!D21+'1853'!E23-'1853'!D23</f>
        <v>24.556999999999992</v>
      </c>
      <c r="G9" s="135">
        <f>1-B9/B10</f>
        <v>7.9369918699185749E-2</v>
      </c>
      <c r="H9" s="135">
        <f t="shared" ref="H9:J9" si="1">1-C9/C10</f>
        <v>0.10985356583948114</v>
      </c>
      <c r="I9" s="135">
        <f t="shared" si="1"/>
        <v>2.6605012732876632E-2</v>
      </c>
      <c r="J9" s="135">
        <f t="shared" si="1"/>
        <v>5.6516059628091808E-2</v>
      </c>
    </row>
    <row r="10" spans="1:10" x14ac:dyDescent="0.35">
      <c r="A10" s="37" t="s">
        <v>55</v>
      </c>
      <c r="B10" s="44">
        <f>('1850'!E27-'1850'!D27)*3.6</f>
        <v>29.51999999999996</v>
      </c>
      <c r="C10" s="37">
        <f>('1851'!F27-'1851'!E27)*3.6</f>
        <v>35.783999999999992</v>
      </c>
      <c r="D10" s="37">
        <f>('1852'!E27-'1852'!D27)*3.6</f>
        <v>29.843999999999973</v>
      </c>
      <c r="E10" s="37">
        <f>('1853'!E28-'1853'!D28)*3.6</f>
        <v>26.027999999999963</v>
      </c>
    </row>
    <row r="11" spans="1:10" ht="18" x14ac:dyDescent="0.4">
      <c r="A11" s="127" t="s">
        <v>61</v>
      </c>
      <c r="B11" s="128"/>
      <c r="C11" s="128"/>
      <c r="D11" s="128"/>
      <c r="E11" s="129"/>
    </row>
    <row r="12" spans="1:10" x14ac:dyDescent="0.35">
      <c r="A12" s="37" t="s">
        <v>57</v>
      </c>
      <c r="B12" s="40">
        <f>'1850'!E25-'1850'!D25</f>
        <v>186</v>
      </c>
      <c r="C12" s="40">
        <f>'1851'!F24-'1851'!E24</f>
        <v>241</v>
      </c>
      <c r="D12" s="40">
        <f>'1852'!E25-'1852'!D25</f>
        <v>176</v>
      </c>
      <c r="E12" s="40">
        <f>'1853'!E24-'1853'!D24</f>
        <v>164</v>
      </c>
    </row>
    <row r="13" spans="1:10" x14ac:dyDescent="0.35">
      <c r="B13" s="41"/>
      <c r="C13" s="41"/>
      <c r="D13" s="41"/>
      <c r="E13" s="41"/>
      <c r="F13" s="41"/>
      <c r="G13" s="41"/>
      <c r="H13" s="41"/>
      <c r="I13" s="41"/>
      <c r="J13" s="41"/>
    </row>
    <row r="14" spans="1:10" x14ac:dyDescent="0.35">
      <c r="A14" s="34" t="s">
        <v>58</v>
      </c>
      <c r="B14" s="41">
        <f>'1853'!E25-'1853'!D25</f>
        <v>359</v>
      </c>
      <c r="C14" s="41"/>
      <c r="D14" s="41"/>
      <c r="E14" s="41"/>
      <c r="F14" s="41"/>
      <c r="G14" s="41"/>
      <c r="H14" s="41"/>
      <c r="I14" s="41"/>
      <c r="J14" s="41"/>
    </row>
    <row r="15" spans="1:10" x14ac:dyDescent="0.35">
      <c r="A15" s="34" t="s">
        <v>59</v>
      </c>
      <c r="B15" s="42">
        <f>'1853'!E26-'1853'!D26</f>
        <v>0</v>
      </c>
      <c r="C15" s="41"/>
      <c r="D15" s="41"/>
      <c r="E15" s="41"/>
      <c r="F15" s="41"/>
      <c r="G15" s="41"/>
      <c r="H15" s="41"/>
      <c r="I15" s="41"/>
      <c r="J15" s="41"/>
    </row>
    <row r="16" spans="1:10" x14ac:dyDescent="0.35">
      <c r="B16" s="41"/>
      <c r="C16" s="41"/>
      <c r="D16" s="41"/>
      <c r="E16" s="41"/>
      <c r="F16" s="41"/>
      <c r="G16" s="41"/>
      <c r="H16" s="41"/>
      <c r="I16" s="41"/>
      <c r="J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'1854'!E4-'1854'!D4+'1854'!E6-'1854'!D6+'1854'!E8-'1854'!D8+'1854'!E10-'1854'!D10+'1854'!E12-'1854'!D12+'1854'!E14-'1854'!D14+'1854'!E16-'1854'!D16+'1854'!E18-'1854'!D18+'1854'!E20-'1854'!D20+'1854'!E22-'1854'!D22</f>
        <v>50.98000000000004</v>
      </c>
      <c r="C19" s="37">
        <f>'1855'!E4-'1855'!D4+'1855'!E6-'1855'!D6+'1855'!E8-'1855'!D8+'1855'!E10-'1855'!D10+'1855'!E12-'1855'!D12+'1855'!E14-'1855'!D14+'1855'!E16-'1855'!D16+'1855'!E18-'1855'!D18+'1855'!E20-'1855'!D20+'1855'!E22-'1855'!D22</f>
        <v>57.627999999999929</v>
      </c>
      <c r="D19" s="37">
        <f>'1856'!E4-'1856'!D4+'1856'!E6-'1856'!D6+'1856'!E8-'1856'!D8+'1856'!E10-'1856'!D10+'1856'!E12-'1856'!D12+'1856'!E14-'1856'!D14+'1856'!E16-'1856'!D16+'1856'!E18-'1856'!D18+'1856'!E20-'1856'!D20+'1856'!E22-'1856'!D22</f>
        <v>64.98399999999998</v>
      </c>
      <c r="E19" s="37">
        <f>'1857'!E4-'1857'!D4+'1857'!E6-'1857'!D6+'1857'!E8-'1857'!D8+'1857'!E10-'1857'!D10+'1857'!E12-'1857'!D12+'1857'!E14-'1857'!D14+'1857'!E16-'1857'!D16+'1857'!E18-'1857'!D18+'1857'!E20-'1857'!D20+'1857'!E22-'1857'!D22</f>
        <v>55.521999999999821</v>
      </c>
      <c r="G19" s="135">
        <f>1-B19/B20</f>
        <v>9.7699115044247109E-2</v>
      </c>
      <c r="H19" s="135">
        <f t="shared" ref="H19:J19" si="2">1-C19/C20</f>
        <v>0.11477726574501368</v>
      </c>
      <c r="I19" s="135">
        <f t="shared" si="2"/>
        <v>9.2402234636870584E-2</v>
      </c>
      <c r="J19" s="135">
        <f t="shared" si="2"/>
        <v>7.9237147595362267E-2</v>
      </c>
    </row>
    <row r="20" spans="1:10" x14ac:dyDescent="0.35">
      <c r="A20" s="37" t="s">
        <v>50</v>
      </c>
      <c r="B20" s="37">
        <f>'1854'!E26-'1854'!D26</f>
        <v>56.5</v>
      </c>
      <c r="C20" s="37">
        <f>'1855'!E26-'1855'!D26</f>
        <v>65.100000000000364</v>
      </c>
      <c r="D20" s="37">
        <f>'1856'!E26-'1856'!D26</f>
        <v>71.599999999999909</v>
      </c>
      <c r="E20" s="37">
        <f>'1857'!E26-'1857'!D26</f>
        <v>60.300000000000182</v>
      </c>
    </row>
    <row r="21" spans="1:10" x14ac:dyDescent="0.35">
      <c r="A21" s="37" t="s">
        <v>51</v>
      </c>
      <c r="B21" s="297">
        <f>SUM(B20:E20)</f>
        <v>253.50000000000045</v>
      </c>
      <c r="C21" s="297"/>
      <c r="D21" s="297"/>
      <c r="E21" s="297"/>
      <c r="G21" s="135">
        <f>1-B21/B22</f>
        <v>-3.7234042553194957E-2</v>
      </c>
    </row>
    <row r="22" spans="1:10" x14ac:dyDescent="0.35">
      <c r="A22" s="37" t="s">
        <v>52</v>
      </c>
      <c r="B22" s="297">
        <f>'1854'!E29-'1854'!D29</f>
        <v>244.39999999999964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'1854'!E5-'1854'!D5+'1854'!E7-'1854'!D7+'1854'!E9-'1854'!D9+'1854'!E11-'1854'!D11+'1854'!E13-'1854'!D13+'1854'!E15-'1854'!D15+'1854'!E17-'1854'!D17+'1854'!E19-'1854'!D19+'1854'!E21-'1854'!D21+'1854'!E23-'1854'!D23</f>
        <v>26.57</v>
      </c>
      <c r="C24" s="37">
        <f>'1855'!E5-'1855'!D5+'1855'!E7-'1855'!D7+'1855'!E9-'1855'!D9+'1855'!E11-'1855'!D11+'1855'!E13-'1855'!D13+'1855'!E15-'1855'!D15+'1855'!E17-'1855'!D17+'1855'!E19-'1855'!D19+'1855'!E21-'1855'!D21+'1855'!E23-'1855'!D23</f>
        <v>28.27</v>
      </c>
      <c r="D24" s="37">
        <f>'1856'!E5-'1856'!D5+'1856'!E7-'1856'!D7+'1856'!E9-'1856'!D9+'1856'!E11-'1856'!D11+'1856'!E13-'1856'!D13+'1856'!E15-'1856'!D15+'1856'!E17-'1856'!D17+'1856'!E19-'1856'!D19+'1856'!E21-'1856'!D21+'1856'!E23-'1856'!D23</f>
        <v>25.664000000000016</v>
      </c>
      <c r="E24" s="37">
        <f>'1857'!E5-'1857'!D5+'1857'!E7-'1857'!D7+'1857'!E9-'1857'!D9+'1857'!E11-'1857'!D11+'1857'!E13-'1857'!D13+'1857'!E15-'1857'!D15+'1857'!E17-'1857'!D17+'1857'!E19-'1857'!D19+'1857'!E21-'1857'!D21+'1857'!E23-'1857'!D23</f>
        <v>25.596999999999991</v>
      </c>
      <c r="G24" s="135">
        <f>1-B24/B25</f>
        <v>7.1952497380370128E-2</v>
      </c>
      <c r="H24" s="135">
        <f t="shared" ref="H24:J24" si="3">1-C24/C25</f>
        <v>7.5539568345321606E-2</v>
      </c>
      <c r="I24" s="135">
        <f t="shared" si="3"/>
        <v>6.7102871683023424E-2</v>
      </c>
      <c r="J24" s="135">
        <f t="shared" si="3"/>
        <v>8.0237154150199275E-2</v>
      </c>
    </row>
    <row r="25" spans="1:10" x14ac:dyDescent="0.35">
      <c r="A25" s="37" t="s">
        <v>55</v>
      </c>
      <c r="B25" s="44">
        <f>('1854'!E27-'1854'!D27)</f>
        <v>28.629999999999995</v>
      </c>
      <c r="C25" s="44">
        <f>('1855'!E27-'1855'!D27)</f>
        <v>30.579999999999927</v>
      </c>
      <c r="D25" s="44">
        <f>('1856'!E27-'1856'!D27)</f>
        <v>27.509999999999991</v>
      </c>
      <c r="E25" s="44">
        <f>('1857'!E27-'1857'!D27)</f>
        <v>27.830000000000041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'1854'!E25-'1854'!D25</f>
        <v>161</v>
      </c>
      <c r="C27" s="40">
        <f>'1855'!E25-'1855'!D25</f>
        <v>190</v>
      </c>
      <c r="D27" s="40">
        <f>'1856'!E25-'1856'!D25</f>
        <v>175</v>
      </c>
      <c r="E27" s="40">
        <f>'1857'!E25-'1857'!D25</f>
        <v>188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3:I13 G16:I17">
    <cfRule type="cellIs" dxfId="31" priority="4" stopIfTrue="1" operator="lessThan">
      <formula>0</formula>
    </cfRule>
  </conditionalFormatting>
  <conditionalFormatting sqref="G1:J2 G28:J65536">
    <cfRule type="cellIs" dxfId="30" priority="2" stopIfTrue="1" operator="lessThan">
      <formula>0</formula>
    </cfRule>
  </conditionalFormatting>
  <conditionalFormatting sqref="G13:J17">
    <cfRule type="cellIs" dxfId="29" priority="1" stopIfTrue="1" operator="lessThan">
      <formula>0</formula>
    </cfRule>
  </conditionalFormatting>
  <pageMargins left="0.78749999999999998" right="0.78749999999999998" top="0.98402777777777772" bottom="0.98402777777777772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27"/>
  <sheetViews>
    <sheetView workbookViewId="0">
      <selection activeCell="G13" sqref="G13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9.81640625" style="34" customWidth="1"/>
    <col min="7" max="10" width="11.453125" style="34" customWidth="1"/>
    <col min="11" max="15" width="6.453125" style="34" customWidth="1"/>
    <col min="16" max="16384" width="9" style="34"/>
  </cols>
  <sheetData>
    <row r="1" spans="1:11" ht="18" x14ac:dyDescent="0.4">
      <c r="A1" s="35" t="s">
        <v>62</v>
      </c>
      <c r="B1" s="36">
        <f>'S1'!B1</f>
        <v>2023</v>
      </c>
    </row>
    <row r="3" spans="1:11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11" x14ac:dyDescent="0.35">
      <c r="A4" s="43" t="s">
        <v>49</v>
      </c>
      <c r="B4" s="37">
        <f>'1850'!F4-'1850'!E4+'1850'!F6-'1850'!E6+'1850'!F8-'1850'!E8+'1850'!F10-'1850'!E10+'1850'!F12-'1850'!E12+'1850'!F14-'1850'!E14+'1850'!F16-'1850'!E16+'1850'!F18-'1850'!E18+'1850'!F20-'1850'!E20+'1850'!F22-'1850'!E22</f>
        <v>57.984000000000151</v>
      </c>
      <c r="C4" s="37">
        <f>'1851'!G4-'1851'!F4+'1851'!G6-'1851'!F6+'1851'!G8-'1851'!F8+'1851'!G10-'1851'!F10+'1851'!G12-'1851'!F12+'1851'!G14-'1851'!F14+'1851'!G16-'1851'!F16+'1851'!G18-'1851'!F18+'1851'!G20-'1851'!F20+'1851'!G22-'1851'!F22+'1851'!G33-'1851'!F33+'1851'!G34-'1851'!F34+'1851'!G35-'1851'!F35+'1851'!G36-'1851'!F36+'1851'!G37-'1851'!F37+'1851'!G40-'1851'!F40+'1851'!G41-'1851'!F41+'1851'!G42-'1851'!F42+'1851'!G43-'1851'!F43+'1851'!G44-'1851'!F44+'1851'!G45-'1851'!F45+'1851'!G46-'1851'!F46+'1851'!G47-'1851'!F47+'1851'!G48-'1851'!F48+'1851'!G49-'1851'!F49</f>
        <v>85.080999999999989</v>
      </c>
      <c r="D4" s="37">
        <f>'1852'!F4-'1852'!E4+'1852'!F6-'1852'!E6+'1852'!F8-'1852'!E8+'1852'!F10-'1852'!E10+'1852'!F12-'1852'!E12+'1852'!F14-'1852'!E14+'1852'!F16-'1852'!E16+'1852'!F18-'1852'!E18+'1852'!F20-'1852'!E20+'1852'!F22-'1852'!E22</f>
        <v>82.32000000000005</v>
      </c>
      <c r="E4" s="37">
        <f>'1853'!F4-'1853'!E4+'1853'!F6-'1853'!E6+'1853'!F8-'1853'!E8+'1853'!F10-'1853'!E10+'1853'!F12-'1853'!E12+'1853'!F14-'1853'!E14+'1853'!F16-'1853'!E16+'1853'!F18-'1853'!E18+'1853'!F20-'1853'!E20+'1853'!F22-'1853'!E22+'1853'!F26-'1853'!E26</f>
        <v>67.302000000000191</v>
      </c>
      <c r="G4" s="135">
        <f>1-B4/B5</f>
        <v>0.11067484662576832</v>
      </c>
      <c r="H4" s="135">
        <f t="shared" ref="H4:J4" si="0">1-C4/C5</f>
        <v>7.3191721132899512E-2</v>
      </c>
      <c r="I4" s="135">
        <f t="shared" si="0"/>
        <v>0.10424374319912544</v>
      </c>
      <c r="J4" s="135">
        <f t="shared" si="0"/>
        <v>8.8048780487798961E-2</v>
      </c>
    </row>
    <row r="5" spans="1:11" x14ac:dyDescent="0.35">
      <c r="A5" s="43" t="s">
        <v>50</v>
      </c>
      <c r="B5" s="37">
        <f>'1850'!F26-'1850'!E26</f>
        <v>65.200000000000273</v>
      </c>
      <c r="C5" s="37">
        <f>'1851'!G26-'1851'!F26</f>
        <v>91.800000000000182</v>
      </c>
      <c r="D5" s="37">
        <f>'1852'!F26-'1852'!E26</f>
        <v>91.899999999999636</v>
      </c>
      <c r="E5" s="37">
        <f>'1853'!F27-'1853'!E27</f>
        <v>73.799999999999727</v>
      </c>
    </row>
    <row r="6" spans="1:11" x14ac:dyDescent="0.35">
      <c r="A6" s="43" t="s">
        <v>51</v>
      </c>
      <c r="B6" s="297">
        <f>SUM(B5:E5)</f>
        <v>322.69999999999982</v>
      </c>
      <c r="C6" s="297"/>
      <c r="D6" s="297"/>
      <c r="E6" s="297"/>
      <c r="G6" s="135">
        <f>1-B6/B7</f>
        <v>4.3284909576053909E-2</v>
      </c>
    </row>
    <row r="7" spans="1:11" x14ac:dyDescent="0.35">
      <c r="A7" s="43" t="s">
        <v>52</v>
      </c>
      <c r="B7" s="297">
        <f>'1850'!F29-'1850'!E29</f>
        <v>337.30000000000291</v>
      </c>
      <c r="C7" s="297"/>
      <c r="D7" s="297"/>
      <c r="E7" s="297"/>
    </row>
    <row r="8" spans="1:11" ht="18" x14ac:dyDescent="0.4">
      <c r="A8" s="127" t="s">
        <v>53</v>
      </c>
      <c r="B8" s="130"/>
      <c r="C8" s="128"/>
      <c r="D8" s="128"/>
      <c r="E8" s="129"/>
    </row>
    <row r="9" spans="1:11" x14ac:dyDescent="0.35">
      <c r="A9" s="37" t="s">
        <v>54</v>
      </c>
      <c r="B9" s="37">
        <f>'1850'!F5-'1850'!E5+'1850'!F7-'1850'!E7+'1850'!F9-'1850'!E9+'1850'!F11-'1850'!E11+'1850'!F13-'1850'!E13+'1850'!F15-'1850'!E15+'1850'!F17-'1850'!E17+'1850'!F19-'1850'!E19+'1850'!F21-'1850'!E21+'1850'!F23-'1850'!E23</f>
        <v>21.628</v>
      </c>
      <c r="C9" s="37">
        <f>'1851'!G5-'1851'!F5+'1851'!G7-'1851'!F7+'1851'!G9-'1851'!F9+'1851'!G11-'1851'!F11+'1851'!G13-'1851'!F13+'1851'!G15-'1851'!F15+'1851'!G17-'1851'!F17+'1851'!G19-'1851'!F19+'1851'!G21-'1851'!F21+'1851'!G23-'1851'!F23</f>
        <v>30.598999999999997</v>
      </c>
      <c r="D9" s="37">
        <f>'1852'!F5-'1852'!E5+'1852'!F7-'1852'!E7+'1852'!F9-'1852'!E9+'1852'!F11-'1852'!E11+'1852'!F13-'1852'!E13+'1852'!F15-'1852'!E15+'1852'!F17-'1852'!E17+'1852'!F19-'1852'!E19+'1852'!F21-'1852'!E21+'1852'!F23-'1852'!E23</f>
        <v>24.494000000000007</v>
      </c>
      <c r="E9" s="37">
        <f>'1853'!F5-'1853'!E5+'1853'!F7-'1853'!E7+'1853'!F9-'1853'!E9+'1853'!F11-'1853'!E11+'1853'!F13-'1853'!E13+'1853'!F15-'1853'!E15+'1853'!F17-'1853'!E17+'1853'!F19-'1853'!E19+'1853'!F21-'1853'!E21+'1853'!F23-'1853'!E23</f>
        <v>20.282000000000018</v>
      </c>
      <c r="G9" s="135">
        <f>1-B9/B10</f>
        <v>6.2749176633731585E-2</v>
      </c>
      <c r="H9" s="135">
        <f t="shared" ref="H9:J9" si="1">1-C9/C10</f>
        <v>0.10245805467558644</v>
      </c>
      <c r="I9" s="135">
        <f t="shared" si="1"/>
        <v>3.8998744507220517E-2</v>
      </c>
      <c r="J9" s="135">
        <f t="shared" si="1"/>
        <v>4.8329579579581283E-2</v>
      </c>
    </row>
    <row r="10" spans="1:11" x14ac:dyDescent="0.35">
      <c r="A10" s="37" t="s">
        <v>55</v>
      </c>
      <c r="B10" s="44">
        <f>('1850'!F27-'1850'!E27)*3.6</f>
        <v>23.07599999999999</v>
      </c>
      <c r="C10" s="37">
        <f>('1851'!G27-'1851'!F27)*3.6</f>
        <v>34.092000000000098</v>
      </c>
      <c r="D10" s="37">
        <f>('1852'!F27-'1852'!E27)*3.6</f>
        <v>25.488000000000046</v>
      </c>
      <c r="E10" s="37">
        <f>('1853'!F28-'1853'!E28)*3.6</f>
        <v>21.312000000000058</v>
      </c>
    </row>
    <row r="11" spans="1:11" ht="18" x14ac:dyDescent="0.4">
      <c r="A11" s="127" t="s">
        <v>61</v>
      </c>
      <c r="B11" s="128"/>
      <c r="C11" s="128"/>
      <c r="D11" s="128"/>
      <c r="E11" s="129"/>
    </row>
    <row r="12" spans="1:11" x14ac:dyDescent="0.35">
      <c r="A12" s="37" t="s">
        <v>57</v>
      </c>
      <c r="B12" s="40">
        <f>'1850'!F25-'1850'!E25</f>
        <v>234</v>
      </c>
      <c r="C12" s="40">
        <f>'1851'!G24-'1851'!F24</f>
        <v>249</v>
      </c>
      <c r="D12" s="40">
        <f>'1852'!F25-'1852'!E25</f>
        <v>195</v>
      </c>
      <c r="E12" s="40">
        <f>'1853'!F24-'1853'!E24</f>
        <v>180</v>
      </c>
    </row>
    <row r="13" spans="1:11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</row>
    <row r="14" spans="1:11" x14ac:dyDescent="0.35">
      <c r="A14" s="34" t="s">
        <v>58</v>
      </c>
      <c r="B14" s="41">
        <f>'1853'!F25-'1853'!E25</f>
        <v>349</v>
      </c>
      <c r="C14" s="41"/>
      <c r="D14" s="41"/>
      <c r="E14" s="41"/>
      <c r="F14" s="41"/>
      <c r="G14" s="41"/>
      <c r="H14" s="41"/>
      <c r="I14" s="41"/>
      <c r="J14" s="41"/>
    </row>
    <row r="15" spans="1:11" x14ac:dyDescent="0.35">
      <c r="A15" s="34" t="s">
        <v>59</v>
      </c>
      <c r="B15" s="42">
        <f>'1853'!F26-'1853'!E26</f>
        <v>0</v>
      </c>
      <c r="C15" s="41"/>
      <c r="D15" s="41"/>
      <c r="E15" s="41"/>
      <c r="F15" s="41"/>
      <c r="G15" s="41"/>
      <c r="H15" s="41"/>
      <c r="I15" s="41"/>
      <c r="J15" s="41"/>
    </row>
    <row r="16" spans="1:11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'1854'!F4-'1854'!E4+'1854'!F6-'1854'!E6+'1854'!F8-'1854'!E8+'1854'!F10-'1854'!E10+'1854'!F12-'1854'!E12+'1854'!F14-'1854'!E14+'1854'!F16-'1854'!E16+'1854'!F18-'1854'!E18+'1854'!F20-'1854'!E20+'1854'!F22-'1854'!E22</f>
        <v>55.075999999999965</v>
      </c>
      <c r="C19" s="37">
        <f>'1855'!F4-'1855'!E4+'1855'!F6-'1855'!E6+'1855'!F8-'1855'!E8+'1855'!F10-'1855'!E10+'1855'!F12-'1855'!E12+'1855'!F14-'1855'!E14+'1855'!F16-'1855'!E16+'1855'!F18-'1855'!E18+'1855'!F20-'1855'!E20+'1855'!F22-'1855'!E22</f>
        <v>66.132999999999925</v>
      </c>
      <c r="D19" s="37">
        <f>'1856'!F4-'1856'!E4+'1856'!F6-'1856'!E6+'1856'!F8-'1856'!E8+'1856'!F10-'1856'!E10+'1856'!F12-'1856'!E12+'1856'!F14-'1856'!E14+'1856'!F16-'1856'!E16+'1856'!F18-'1856'!E18+'1856'!F20-'1856'!E20+'1856'!F22-'1856'!E22</f>
        <v>70.544999999999959</v>
      </c>
      <c r="E19" s="37">
        <f>'1857'!F4-'1857'!E4+'1857'!F6-'1857'!E6+'1857'!F8-'1857'!E8+'1857'!F10-'1857'!E10+'1857'!F12-'1857'!E12+'1857'!F14-'1857'!E14+'1857'!F16-'1857'!E16+'1857'!F18-'1857'!E18+'1857'!F20-'1857'!E20+'1857'!F22-'1857'!E22</f>
        <v>65.669000000000096</v>
      </c>
      <c r="G19" s="135">
        <f>1-B19/B20</f>
        <v>9.2652388797361929E-2</v>
      </c>
      <c r="H19" s="135">
        <f t="shared" ref="H19:J19" si="2">1-C19/C20</f>
        <v>0.1111155913978461</v>
      </c>
      <c r="I19" s="135">
        <f t="shared" si="2"/>
        <v>9.6734955185664107E-2</v>
      </c>
      <c r="J19" s="135">
        <f t="shared" si="2"/>
        <v>9.6712517193944136E-2</v>
      </c>
    </row>
    <row r="20" spans="1:10" x14ac:dyDescent="0.35">
      <c r="A20" s="37" t="s">
        <v>50</v>
      </c>
      <c r="B20" s="37">
        <f>'1854'!F26-'1854'!E26</f>
        <v>60.699999999999818</v>
      </c>
      <c r="C20" s="37">
        <f>'1855'!F26-'1855'!E26</f>
        <v>74.399999999999636</v>
      </c>
      <c r="D20" s="37">
        <f>'1856'!F26-'1856'!E26</f>
        <v>78.100000000000364</v>
      </c>
      <c r="E20" s="37">
        <f>'1857'!F26-'1857'!E26</f>
        <v>72.699999999999818</v>
      </c>
    </row>
    <row r="21" spans="1:10" x14ac:dyDescent="0.35">
      <c r="A21" s="37" t="s">
        <v>51</v>
      </c>
      <c r="B21" s="297">
        <f>SUM(B20:E20)</f>
        <v>285.89999999999964</v>
      </c>
      <c r="C21" s="297"/>
      <c r="D21" s="297"/>
      <c r="E21" s="297"/>
      <c r="G21" s="135">
        <f>1-B21/B22</f>
        <v>-4.1909620991253727E-2</v>
      </c>
    </row>
    <row r="22" spans="1:10" x14ac:dyDescent="0.35">
      <c r="A22" s="37" t="s">
        <v>52</v>
      </c>
      <c r="B22" s="297">
        <f>'1854'!F29-'1854'!E29</f>
        <v>274.39999999999964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'1854'!F5-'1854'!E5+'1854'!F7-'1854'!E7+'1854'!F9-'1854'!E9+'1854'!F11-'1854'!E11+'1854'!F13-'1854'!E13+'1854'!F15-'1854'!E15+'1854'!F17-'1854'!E17+'1854'!F19-'1854'!E19+'1854'!F21-'1854'!E21+'1854'!F23-'1854'!E23</f>
        <v>22.398999999999983</v>
      </c>
      <c r="C24" s="37">
        <f>'1855'!F5-'1855'!E5+'1855'!F7-'1855'!E7+'1855'!F9-'1855'!E9+'1855'!F11-'1855'!E11+'1855'!F13-'1855'!E13+'1855'!F15-'1855'!E15+'1855'!F17-'1855'!E17+'1855'!F19-'1855'!E19+'1855'!F21-'1855'!E21+'1855'!F23-'1855'!E23</f>
        <v>23.175000000000015</v>
      </c>
      <c r="D24" s="37">
        <f>'1856'!F5-'1856'!E5+'1856'!F7-'1856'!E7+'1856'!F9-'1856'!E9+'1856'!F11-'1856'!E11+'1856'!F13-'1856'!E13+'1856'!F15-'1856'!E15+'1856'!F17-'1856'!E17+'1856'!F19-'1856'!E19+'1856'!F21-'1856'!E21+'1856'!F23-'1856'!E23</f>
        <v>20.020000000000024</v>
      </c>
      <c r="E24" s="37">
        <f>'1857'!F5-'1857'!E5+'1857'!F7-'1857'!E7+'1857'!F9-'1857'!E9+'1857'!F11-'1857'!E11+'1857'!F13-'1857'!E13+'1857'!F15-'1857'!E15+'1857'!F17-'1857'!E17+'1857'!F19-'1857'!E19+'1857'!F21-'1857'!E21+'1857'!F23-'1857'!E23</f>
        <v>21.854000000000006</v>
      </c>
      <c r="G24" s="135">
        <f>1-B24/B25</f>
        <v>5.96557514693562E-2</v>
      </c>
      <c r="H24" s="135">
        <f t="shared" ref="H24:J24" si="3">1-C24/C25</f>
        <v>7.6325229174970644E-2</v>
      </c>
      <c r="I24" s="135">
        <f t="shared" si="3"/>
        <v>6.5359477124184995E-2</v>
      </c>
      <c r="J24" s="135">
        <f t="shared" si="3"/>
        <v>8.4840871021775066E-2</v>
      </c>
    </row>
    <row r="25" spans="1:10" x14ac:dyDescent="0.35">
      <c r="A25" s="37" t="s">
        <v>55</v>
      </c>
      <c r="B25" s="44">
        <f>('1854'!F27-'1854'!E27)</f>
        <v>23.82000000000005</v>
      </c>
      <c r="C25" s="44">
        <f>('1855'!F27-'1855'!E27)</f>
        <v>25.090000000000032</v>
      </c>
      <c r="D25" s="44">
        <f>('1856'!F27-'1856'!E27)</f>
        <v>21.420000000000073</v>
      </c>
      <c r="E25" s="44">
        <f>('1857'!F27-'1857'!E27)</f>
        <v>23.879999999999995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'1854'!F25-'1854'!E25</f>
        <v>201</v>
      </c>
      <c r="C27" s="40">
        <f>'1855'!F25-'1855'!E25</f>
        <v>228</v>
      </c>
      <c r="D27" s="40">
        <f>'1856'!F25-'1856'!E25</f>
        <v>233</v>
      </c>
      <c r="E27" s="40">
        <f>'1857'!F25-'1857'!E25</f>
        <v>222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G1:J2 I13:J13 G13:J17 I16:J17 G28:J65536">
    <cfRule type="cellIs" dxfId="28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7"/>
  <sheetViews>
    <sheetView workbookViewId="0">
      <selection activeCell="G15" sqref="G15"/>
    </sheetView>
  </sheetViews>
  <sheetFormatPr defaultColWidth="9" defaultRowHeight="17.5" x14ac:dyDescent="0.35"/>
  <cols>
    <col min="1" max="1" width="35" style="34" customWidth="1"/>
    <col min="2" max="5" width="11.453125" style="34" customWidth="1"/>
    <col min="6" max="6" width="9.81640625" style="34" customWidth="1"/>
    <col min="7" max="10" width="11.453125" style="34" customWidth="1"/>
    <col min="11" max="14" width="9.81640625" style="34" customWidth="1"/>
    <col min="15" max="18" width="6.453125" style="34" customWidth="1"/>
    <col min="19" max="16384" width="9" style="34"/>
  </cols>
  <sheetData>
    <row r="1" spans="1:14" ht="18" x14ac:dyDescent="0.4">
      <c r="A1" s="35" t="s">
        <v>63</v>
      </c>
      <c r="B1" s="36">
        <f>'S1'!B1</f>
        <v>2023</v>
      </c>
    </row>
    <row r="3" spans="1:14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14" x14ac:dyDescent="0.35">
      <c r="A4" s="43" t="s">
        <v>49</v>
      </c>
      <c r="B4" s="37">
        <f>'1850'!G4-'1850'!F4+'1850'!G6-'1850'!F6+'1850'!G8-'1850'!F8+'1850'!G10-'1850'!F10+'1850'!G12-'1850'!F12+'1850'!G14-'1850'!F14+'1850'!G16-'1850'!F16+'1850'!G18-'1850'!F18+'1850'!G20-'1850'!F20+'1850'!G22-'1850'!F22</f>
        <v>51.212999999999852</v>
      </c>
      <c r="C4" s="37">
        <f>'1851'!H4-'1851'!G4+'1851'!H6-'1851'!G6+'1851'!H8-'1851'!G8+'1851'!H10-'1851'!G10+'1851'!H12-'1851'!G12+'1851'!H14-'1851'!G14+'1851'!H16-'1851'!G16+'1851'!H18-'1851'!G18+'1851'!H20-'1851'!G20+'1851'!H22-'1851'!G22+'1851'!H33-'1851'!G33+'1851'!H34-'1851'!G34+'1851'!H35-'1851'!G35+'1851'!H36-'1851'!G36+'1851'!H37-'1851'!G37+'1851'!H40-'1851'!G40+'1851'!H41-'1851'!G41+'1851'!H42-'1851'!G42+'1851'!H43-'1851'!G43+'1851'!H44-'1851'!G44+'1851'!H45-'1851'!G45+'1851'!H46-'1851'!G46+'1851'!H47-'1851'!G47+'1851'!H48-'1851'!G48+'1851'!H49-'1851'!G49</f>
        <v>85.812999999999988</v>
      </c>
      <c r="D4" s="37">
        <f>'1852'!G4-'1852'!F4+'1852'!G6-'1852'!F6+'1852'!G8-'1852'!F8+'1852'!G10-'1852'!F10+'1852'!G12-'1852'!F12+'1852'!G14-'1852'!F14+'1852'!G16-'1852'!F16+'1852'!G18-'1852'!F18+'1852'!G20-'1852'!F20+'1852'!G22-'1852'!F22</f>
        <v>79.408999999999992</v>
      </c>
      <c r="E4" s="37">
        <f>'1853'!G4-'1853'!F4+'1853'!G6-'1853'!F6+'1853'!G8-'1853'!F8+'1853'!G10-'1853'!F10+'1853'!G12-'1853'!F12+'1853'!G14-'1853'!F14+'1853'!G16-'1853'!F16+'1853'!G18-'1853'!F18+'1853'!G20-'1853'!F20+'1853'!G22-'1853'!F22+'1853'!G26-'1853'!F26</f>
        <v>66.854000000000042</v>
      </c>
      <c r="G4" s="135">
        <f>1-B4/B5</f>
        <v>0.12156089193824882</v>
      </c>
      <c r="H4" s="135">
        <f t="shared" ref="H4:J4" si="0">1-C4/C5</f>
        <v>6.317685589520039E-2</v>
      </c>
      <c r="I4" s="135">
        <f t="shared" si="0"/>
        <v>8.7252873563218536E-2</v>
      </c>
      <c r="J4" s="135">
        <f t="shared" si="0"/>
        <v>9.6567567567567014E-2</v>
      </c>
    </row>
    <row r="5" spans="1:14" x14ac:dyDescent="0.35">
      <c r="A5" s="43" t="s">
        <v>50</v>
      </c>
      <c r="B5" s="37">
        <f>'1850'!G26-'1850'!F26</f>
        <v>58.299999999999727</v>
      </c>
      <c r="C5" s="37">
        <f>'1851'!H26-'1851'!G26</f>
        <v>91.600000000000364</v>
      </c>
      <c r="D5" s="37">
        <f>'1852'!G26-'1852'!F26</f>
        <v>87</v>
      </c>
      <c r="E5" s="37">
        <f>'1853'!G27-'1853'!F27</f>
        <v>74</v>
      </c>
    </row>
    <row r="6" spans="1:14" x14ac:dyDescent="0.35">
      <c r="A6" s="43" t="s">
        <v>51</v>
      </c>
      <c r="B6" s="297">
        <f>SUM(B5:E5)</f>
        <v>310.90000000000009</v>
      </c>
      <c r="C6" s="297"/>
      <c r="D6" s="297"/>
      <c r="E6" s="297"/>
      <c r="G6" s="135">
        <f>1-B6/B7</f>
        <v>4.2795566502460636E-2</v>
      </c>
    </row>
    <row r="7" spans="1:14" x14ac:dyDescent="0.35">
      <c r="A7" s="43" t="s">
        <v>52</v>
      </c>
      <c r="B7" s="297">
        <f>'1850'!G29-'1850'!F29</f>
        <v>324.79999999999927</v>
      </c>
      <c r="C7" s="297"/>
      <c r="D7" s="297"/>
      <c r="E7" s="297"/>
    </row>
    <row r="8" spans="1:14" ht="18" x14ac:dyDescent="0.4">
      <c r="A8" s="127" t="s">
        <v>53</v>
      </c>
      <c r="B8" s="130"/>
      <c r="C8" s="128"/>
      <c r="D8" s="128"/>
      <c r="E8" s="129"/>
    </row>
    <row r="9" spans="1:14" x14ac:dyDescent="0.35">
      <c r="A9" s="37" t="s">
        <v>54</v>
      </c>
      <c r="B9" s="37">
        <f>'1850'!G5-'1850'!F5+'1850'!G7-'1850'!F7+'1850'!G9-'1850'!F9+'1850'!G11-'1850'!F11+'1850'!G13-'1850'!F13+'1850'!G15-'1850'!F15+'1850'!G17-'1850'!F17+'1850'!G19-'1850'!F19+'1850'!G21-'1850'!F21+'1850'!G23-'1850'!F23</f>
        <v>13.548000000000002</v>
      </c>
      <c r="C9" s="37">
        <f>'1851'!H5-'1851'!G5+'1851'!H7-'1851'!G7+'1851'!H9-'1851'!G9+'1851'!H11-'1851'!G11+'1851'!H13-'1851'!G13+'1851'!H15-'1851'!G15+'1851'!H17-'1851'!G17+'1851'!H19-'1851'!G19+'1851'!H21-'1851'!G21+'1851'!H23-'1851'!G23</f>
        <v>21.086999999999993</v>
      </c>
      <c r="D9" s="37">
        <f>'1852'!G5-'1852'!F5+'1852'!G7-'1852'!F7+'1852'!G9-'1852'!F9+'1852'!G11-'1852'!F11+'1852'!G13-'1852'!F13+'1852'!G15-'1852'!F15+'1852'!G17-'1852'!F17+'1852'!G19-'1852'!F19+'1852'!G21-'1852'!F21+'1852'!G23-'1852'!F23</f>
        <v>17.712000000000018</v>
      </c>
      <c r="E9" s="37">
        <f>'1853'!G5-'1853'!F5+'1853'!G7-'1853'!F7+'1853'!G9-'1853'!F9+'1853'!G11-'1853'!F11+'1853'!G13-'1853'!F13+'1853'!G15-'1853'!F15+'1853'!G17-'1853'!F17+'1853'!G19-'1853'!F19+'1853'!G21-'1853'!F21+'1853'!G23-'1853'!F23</f>
        <v>12.92799999999999</v>
      </c>
      <c r="G9" s="135">
        <f>1-B9/B10</f>
        <v>5.2057094878253163E-2</v>
      </c>
      <c r="H9" s="135">
        <f t="shared" ref="H9:J9" si="1">1-C9/C10</f>
        <v>0.12181409295351819</v>
      </c>
      <c r="I9" s="135">
        <f t="shared" si="1"/>
        <v>1.9920318725095143E-2</v>
      </c>
      <c r="J9" s="135">
        <f t="shared" si="1"/>
        <v>3.7235627047957576E-2</v>
      </c>
    </row>
    <row r="10" spans="1:14" x14ac:dyDescent="0.35">
      <c r="A10" s="37" t="s">
        <v>55</v>
      </c>
      <c r="B10" s="44">
        <f>('1850'!G27-'1850'!F27)*3.6</f>
        <v>14.291999999999996</v>
      </c>
      <c r="C10" s="37">
        <f>('1851'!H27-'1851'!G27)*3.6</f>
        <v>24.011999999999855</v>
      </c>
      <c r="D10" s="37">
        <f>('1852'!G27-'1852'!F27)*3.6</f>
        <v>18.071999999999935</v>
      </c>
      <c r="E10" s="37">
        <f>('1853'!G28-'1853'!F28)*3.6</f>
        <v>13.427999999999964</v>
      </c>
    </row>
    <row r="11" spans="1:14" ht="18" x14ac:dyDescent="0.4">
      <c r="A11" s="127" t="s">
        <v>61</v>
      </c>
      <c r="B11" s="128"/>
      <c r="C11" s="128"/>
      <c r="D11" s="128"/>
      <c r="E11" s="129"/>
    </row>
    <row r="12" spans="1:14" x14ac:dyDescent="0.35">
      <c r="A12" s="37" t="s">
        <v>57</v>
      </c>
      <c r="B12" s="40">
        <f>'1850'!G25-'1850'!F25</f>
        <v>212</v>
      </c>
      <c r="C12" s="40">
        <f>'1851'!H24-'1851'!G24</f>
        <v>282</v>
      </c>
      <c r="D12" s="40">
        <f>'1852'!G25-'1852'!F25</f>
        <v>193</v>
      </c>
      <c r="E12" s="40">
        <f>'1853'!G24-'1853'!F24</f>
        <v>171</v>
      </c>
    </row>
    <row r="13" spans="1:14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</row>
    <row r="14" spans="1:14" x14ac:dyDescent="0.35">
      <c r="A14" s="34" t="s">
        <v>58</v>
      </c>
      <c r="B14" s="41">
        <f>'1853'!G25-'1853'!F25</f>
        <v>294</v>
      </c>
      <c r="C14" s="41"/>
      <c r="D14" s="41"/>
      <c r="E14" s="41"/>
      <c r="F14" s="41"/>
      <c r="G14" s="41"/>
      <c r="H14" s="41"/>
      <c r="I14" s="41"/>
      <c r="J14" s="41"/>
    </row>
    <row r="15" spans="1:14" x14ac:dyDescent="0.35">
      <c r="A15" s="34" t="s">
        <v>59</v>
      </c>
      <c r="B15" s="42">
        <f>'1853'!G26-'1853'!F26</f>
        <v>0</v>
      </c>
      <c r="C15" s="41"/>
      <c r="D15" s="41"/>
      <c r="E15" s="41"/>
      <c r="F15" s="41"/>
      <c r="G15" s="41"/>
      <c r="H15" s="41"/>
      <c r="I15" s="41"/>
      <c r="J15" s="41"/>
      <c r="K15" s="41"/>
    </row>
    <row r="16" spans="1:14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'1854'!G4-'1854'!F4+'1854'!G6-'1854'!F6+'1854'!G8-'1854'!F8+'1854'!G10-'1854'!F10+'1854'!G12-'1854'!F12+'1854'!G14-'1854'!F14+'1854'!G16-'1854'!F16+'1854'!G18-'1854'!F18+'1854'!G20-'1854'!F20+'1854'!G22-'1854'!F22</f>
        <v>52.354999999999905</v>
      </c>
      <c r="C19" s="37">
        <f>'1855'!G4-'1855'!F4+'1855'!G6-'1855'!F6+'1855'!G8-'1855'!F8+'1855'!G10-'1855'!F10+'1855'!G12-'1855'!F12+'1855'!G14-'1855'!F14+'1855'!G16-'1855'!F16+'1855'!G18-'1855'!F18+'1855'!G20-'1855'!F20+'1855'!G22-'1855'!F22</f>
        <v>64.41599999999994</v>
      </c>
      <c r="D19" s="37">
        <f>'1856'!G4-'1856'!F4+'1856'!G6-'1856'!F6+'1856'!G8-'1856'!F8+'1856'!G10-'1856'!F10+'1856'!G12-'1856'!F12+'1856'!G14-'1856'!F14+'1856'!G16-'1856'!F16+'1856'!G18-'1856'!F18+'1856'!G20-'1856'!F20+'1856'!G22-'1856'!F22</f>
        <v>71.367999999999995</v>
      </c>
      <c r="E19" s="37">
        <f>'1857'!G4-'1857'!F4+'1857'!G6-'1857'!F6+'1857'!G8-'1857'!F8+'1857'!G10-'1857'!F10+'1857'!G12-'1857'!F12+'1857'!G14-'1857'!F14+'1857'!G16-'1857'!F16+'1857'!G18-'1857'!F18+'1857'!G20-'1857'!F20+'1857'!G22-'1857'!F22</f>
        <v>65.475999999999999</v>
      </c>
      <c r="G19" s="135">
        <f>1-B19/B20</f>
        <v>9.4204152249139472E-2</v>
      </c>
      <c r="H19" s="135">
        <f t="shared" ref="H19:J19" si="2">1-C19/C20</f>
        <v>0.12833558863329009</v>
      </c>
      <c r="I19" s="135">
        <f t="shared" si="2"/>
        <v>9.7749683944373222E-2</v>
      </c>
      <c r="J19" s="135">
        <f t="shared" si="2"/>
        <v>0.10306849315068489</v>
      </c>
    </row>
    <row r="20" spans="1:10" x14ac:dyDescent="0.35">
      <c r="A20" s="37" t="s">
        <v>50</v>
      </c>
      <c r="B20" s="37">
        <f>'1854'!G26-'1854'!F26</f>
        <v>57.800000000000182</v>
      </c>
      <c r="C20" s="37">
        <f>'1855'!G26-'1855'!F26</f>
        <v>73.900000000000091</v>
      </c>
      <c r="D20" s="37">
        <f>'1856'!G26-'1856'!F26</f>
        <v>79.099999999999909</v>
      </c>
      <c r="E20" s="37">
        <f>'1857'!G26-'1857'!F26</f>
        <v>73</v>
      </c>
    </row>
    <row r="21" spans="1:10" x14ac:dyDescent="0.35">
      <c r="A21" s="37" t="s">
        <v>51</v>
      </c>
      <c r="B21" s="297">
        <f>SUM(B20:E20)</f>
        <v>283.80000000000018</v>
      </c>
      <c r="C21" s="297"/>
      <c r="D21" s="297"/>
      <c r="E21" s="297"/>
      <c r="G21" s="135">
        <f>1-B21/B22</f>
        <v>-4.7619047619042565E-2</v>
      </c>
    </row>
    <row r="22" spans="1:10" x14ac:dyDescent="0.35">
      <c r="A22" s="37" t="s">
        <v>52</v>
      </c>
      <c r="B22" s="297">
        <f>'1854'!G29-'1854'!F29</f>
        <v>270.90000000000146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'1854'!G5-'1854'!F5+'1854'!G7-'1854'!F7+'1854'!G9-'1854'!F9+'1854'!G11-'1854'!F11+'1854'!G13-'1854'!F13+'1854'!G15-'1854'!F15+'1854'!G17-'1854'!F17+'1854'!G19-'1854'!F19+'1854'!G21-'1854'!F21+'1854'!G23-'1854'!F23</f>
        <v>16.176999999999996</v>
      </c>
      <c r="C24" s="37">
        <f>'1855'!G5-'1855'!F5+'1855'!G7-'1855'!F7+'1855'!G9-'1855'!F9+'1855'!G11-'1855'!F11+'1855'!G13-'1855'!F13+'1855'!G15-'1855'!F15+'1855'!G17-'1855'!F17+'1855'!G19-'1855'!F19+'1855'!G21-'1855'!F21+'1855'!G23-'1855'!F23</f>
        <v>15.815999999999974</v>
      </c>
      <c r="D24" s="37">
        <f>'1856'!G5-'1856'!F5+'1856'!G7-'1856'!F7+'1856'!G9-'1856'!F9+'1856'!G11-'1856'!F11+'1856'!G13-'1856'!F13+'1856'!G15-'1856'!F15+'1856'!G17-'1856'!F17+'1856'!G19-'1856'!F19+'1856'!G21-'1856'!F21+'1856'!G23-'1856'!F23</f>
        <v>13.95799999999997</v>
      </c>
      <c r="E24" s="37">
        <f>'1857'!G5-'1857'!F5+'1857'!G7-'1857'!F7+'1857'!G9-'1857'!F9+'1857'!G11-'1857'!F11+'1857'!G13-'1857'!F13+'1857'!G15-'1857'!F15+'1857'!G17-'1857'!F17+'1857'!G19-'1857'!F19+'1857'!G21-'1857'!F21+'1857'!G23-'1857'!F23</f>
        <v>15.341000000000015</v>
      </c>
      <c r="G24" s="135">
        <f>1-B24/B25</f>
        <v>4.3912529550825363E-2</v>
      </c>
      <c r="H24" s="135">
        <f t="shared" ref="H24:J24" si="3">1-C24/C25</f>
        <v>9.7775242441528909E-2</v>
      </c>
      <c r="I24" s="135">
        <f t="shared" si="3"/>
        <v>2.7994428969354668E-2</v>
      </c>
      <c r="J24" s="135">
        <f t="shared" si="3"/>
        <v>7.4728588661038708E-2</v>
      </c>
    </row>
    <row r="25" spans="1:10" x14ac:dyDescent="0.35">
      <c r="A25" s="37" t="s">
        <v>55</v>
      </c>
      <c r="B25" s="44">
        <f>('1854'!G27-'1854'!F27)</f>
        <v>16.919999999999959</v>
      </c>
      <c r="C25" s="44">
        <f>('1855'!G27-'1855'!F27)</f>
        <v>17.529999999999973</v>
      </c>
      <c r="D25" s="44">
        <f>('1856'!G27-'1856'!F27)</f>
        <v>14.3599999999999</v>
      </c>
      <c r="E25" s="44">
        <f>('1857'!G27-'1857'!F27)</f>
        <v>16.580000000000041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'1854'!G25-'1854'!F25</f>
        <v>174</v>
      </c>
      <c r="C27" s="40">
        <f>'1855'!G25-'1855'!F25</f>
        <v>195</v>
      </c>
      <c r="D27" s="40">
        <f>'1856'!G25-'1856'!F25</f>
        <v>208</v>
      </c>
      <c r="E27" s="40">
        <f>'1857'!G25-'1857'!F25</f>
        <v>193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13 C16:E20 C23:E65536">
    <cfRule type="cellIs" dxfId="27" priority="3" stopIfTrue="1" operator="lessThan">
      <formula>0</formula>
    </cfRule>
  </conditionalFormatting>
  <conditionalFormatting sqref="G1:J2 I13:J13 G13:J17 I16:J17 G28:J65536">
    <cfRule type="cellIs" dxfId="26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27"/>
  <sheetViews>
    <sheetView workbookViewId="0">
      <selection activeCell="E4" sqref="E4"/>
    </sheetView>
  </sheetViews>
  <sheetFormatPr defaultColWidth="9" defaultRowHeight="17.5" x14ac:dyDescent="0.35"/>
  <cols>
    <col min="1" max="1" width="35" style="34" customWidth="1"/>
    <col min="2" max="10" width="11.453125" style="34" customWidth="1"/>
    <col min="11" max="17" width="9.81640625" style="34" customWidth="1"/>
    <col min="18" max="21" width="6.453125" style="34" customWidth="1"/>
    <col min="22" max="16384" width="9" style="34"/>
  </cols>
  <sheetData>
    <row r="1" spans="1:17" ht="18" x14ac:dyDescent="0.4">
      <c r="A1" s="35" t="s">
        <v>64</v>
      </c>
      <c r="B1" s="36">
        <f>'S1'!B1</f>
        <v>2023</v>
      </c>
    </row>
    <row r="3" spans="1:17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17" x14ac:dyDescent="0.35">
      <c r="A4" s="43" t="s">
        <v>49</v>
      </c>
      <c r="B4" s="37">
        <f>'1850'!H4-'1850'!G4+'1850'!H6-'1850'!G6+'1850'!H8-'1850'!G8+'1850'!H10-'1850'!G10+'1850'!H12-'1850'!G12+'1850'!H14-'1850'!G14+'1850'!H16-'1850'!G16+'1850'!H18-'1850'!G18+'1850'!H20-'1850'!G20+'1850'!H22-'1850'!G22</f>
        <v>51.504999999999995</v>
      </c>
      <c r="C4" s="37">
        <f>'1851'!I4-'1851'!H4+'1851'!I6-'1851'!H6+'1851'!I8-'1851'!H8+'1851'!I10-'1851'!H10+'1851'!I12-'1851'!H12+'1851'!I14-'1851'!H14+'1851'!I16-'1851'!H16+'1851'!I18-'1851'!H18+'1851'!I20-'1851'!H20+'1851'!I22-'1851'!H22+'1851'!I33-'1851'!H33+'1851'!I34-'1851'!H34+'1851'!I35-'1851'!H35+'1851'!I36-'1851'!H36+'1851'!I37-'1851'!H37+'1851'!I40-'1851'!H40+'1851'!I41-'1851'!H41+'1851'!I42-'1851'!H42+'1851'!I43-'1851'!H43+'1851'!I44-'1851'!H44+'1851'!I45-'1851'!H45+'1851'!I46-'1851'!H46+'1851'!I47-'1851'!H47+'1851'!I48-'1851'!H48+'1851'!I49-'1851'!H49</f>
        <v>91.371000000000066</v>
      </c>
      <c r="D4" s="37">
        <f>'1852'!H4-'1852'!G4+'1852'!H6-'1852'!G6+'1852'!H8-'1852'!G8+'1852'!H10-'1852'!G10+'1852'!H12-'1852'!G12+'1852'!H14-'1852'!G14+'1852'!H16-'1852'!G16+'1852'!H18-'1852'!G18+'1852'!H20-'1852'!G20+'1852'!H22-'1852'!G22</f>
        <v>81.503000000000043</v>
      </c>
      <c r="E4" s="37">
        <f>'1853'!H4-'1853'!G4+'1853'!H6-'1853'!G6+'1853'!H8-'1853'!G8+'1853'!H10-'1853'!G10+'1853'!H12-'1853'!G12+'1853'!H14-'1853'!G14+'1853'!H16-'1853'!G16+'1853'!H18-'1853'!G18+'1853'!H20-'1853'!G20+'1853'!H22-'1853'!G22+'1853'!H26-'1853'!G26</f>
        <v>88.509999999999877</v>
      </c>
      <c r="G4" s="135">
        <f>1-B4/B5</f>
        <v>0.11198275862068974</v>
      </c>
      <c r="H4" s="135">
        <f t="shared" ref="H4:J4" si="0">1-C4/C5</f>
        <v>6.8593272171247999E-2</v>
      </c>
      <c r="I4" s="135">
        <f t="shared" si="0"/>
        <v>9.4411111111110668E-2</v>
      </c>
      <c r="J4" s="135">
        <f t="shared" si="0"/>
        <v>0.17665116279069881</v>
      </c>
    </row>
    <row r="5" spans="1:17" x14ac:dyDescent="0.35">
      <c r="A5" s="43" t="s">
        <v>50</v>
      </c>
      <c r="B5" s="37">
        <f>'1850'!H26-'1850'!G26</f>
        <v>58</v>
      </c>
      <c r="C5" s="37">
        <f>'1851'!I26-'1851'!H26</f>
        <v>98.099999999999454</v>
      </c>
      <c r="D5" s="37">
        <f>'1852'!H26-'1852'!G26</f>
        <v>90</v>
      </c>
      <c r="E5" s="37">
        <f>'1853'!H27-'1853'!G27</f>
        <v>107.5</v>
      </c>
    </row>
    <row r="6" spans="1:17" x14ac:dyDescent="0.35">
      <c r="A6" s="43" t="s">
        <v>51</v>
      </c>
      <c r="B6" s="297">
        <f>SUM(B5:E5)</f>
        <v>353.59999999999945</v>
      </c>
      <c r="C6" s="297"/>
      <c r="D6" s="297"/>
      <c r="E6" s="297"/>
      <c r="G6" s="135">
        <f>1-B6/B7</f>
        <v>1.9140083217754622E-2</v>
      </c>
    </row>
    <row r="7" spans="1:17" x14ac:dyDescent="0.35">
      <c r="A7" s="43" t="s">
        <v>52</v>
      </c>
      <c r="B7" s="297">
        <f>'1850'!H29-'1850'!G29</f>
        <v>360.5</v>
      </c>
      <c r="C7" s="297"/>
      <c r="D7" s="297"/>
      <c r="E7" s="297"/>
    </row>
    <row r="8" spans="1:17" ht="18" x14ac:dyDescent="0.4">
      <c r="A8" s="127" t="s">
        <v>53</v>
      </c>
      <c r="B8" s="130"/>
      <c r="C8" s="130"/>
      <c r="D8" s="128"/>
      <c r="E8" s="129"/>
    </row>
    <row r="9" spans="1:17" x14ac:dyDescent="0.35">
      <c r="A9" s="37" t="s">
        <v>54</v>
      </c>
      <c r="B9" s="37">
        <f>'1850'!H5-'1850'!G5+'1850'!H7-'1850'!G7+'1850'!H9-'1850'!G9+'1850'!H11-'1850'!G11+'1850'!H13-'1850'!G13+'1850'!H15-'1850'!G15+'1850'!H17-'1850'!G17+'1850'!H19-'1850'!G19+'1850'!H21-'1850'!G21+'1850'!H23-'1850'!G23</f>
        <v>4.8149999999999977</v>
      </c>
      <c r="C9" s="37">
        <f>'1851'!I5-'1851'!H5+'1851'!I7-'1851'!H7+'1851'!I9-'1851'!H9+'1851'!I11-'1851'!H11+'1851'!I13-'1851'!H13+'1851'!I15-'1851'!H15+'1851'!I17-'1851'!H17+'1851'!I19-'1851'!H19+'1851'!I21-'1851'!H21+'1851'!I23-'1851'!H23</f>
        <v>11.797999999999995</v>
      </c>
      <c r="D9" s="37">
        <f>'1852'!H5-'1852'!G5+'1852'!H7-'1852'!G7+'1852'!H9-'1852'!G9+'1852'!H11-'1852'!G11+'1852'!H13-'1852'!G13+'1852'!H15-'1852'!G15+'1852'!H17-'1852'!G17+'1852'!H19-'1852'!G19+'1852'!H21-'1852'!G21+'1852'!H23-'1852'!G23</f>
        <v>7.600999999999992</v>
      </c>
      <c r="E9" s="37">
        <f>'1853'!H5-'1853'!G5+'1853'!H7-'1853'!G7+'1853'!H9-'1853'!G9+'1853'!H11-'1853'!G11+'1853'!H13-'1853'!G13+'1853'!H15-'1853'!G15+'1853'!H17-'1853'!G17+'1853'!H19-'1853'!G19+'1853'!H21-'1853'!G21+'1853'!H23-'1853'!G23</f>
        <v>4.4879999999999995</v>
      </c>
      <c r="G9" s="135">
        <f>1-B9/B10</f>
        <v>-0.26179245283018537</v>
      </c>
      <c r="H9" s="135">
        <f t="shared" ref="H9:J9" si="1">1-C9/C10</f>
        <v>0.22707023060796849</v>
      </c>
      <c r="I9" s="135">
        <f t="shared" si="1"/>
        <v>-0.22755167958656286</v>
      </c>
      <c r="J9" s="135">
        <f t="shared" si="1"/>
        <v>-0.19871794871795778</v>
      </c>
    </row>
    <row r="10" spans="1:17" x14ac:dyDescent="0.35">
      <c r="A10" s="37" t="s">
        <v>55</v>
      </c>
      <c r="B10" s="44">
        <f>('1850'!H27-'1850'!G27)*3.6</f>
        <v>3.8160000000000083</v>
      </c>
      <c r="C10" s="37">
        <f>('1851'!I27-'1851'!H27)*3.6</f>
        <v>15.264000000000033</v>
      </c>
      <c r="D10" s="37">
        <f>('1852'!H27-'1852'!G27)*3.6</f>
        <v>6.1919999999999957</v>
      </c>
      <c r="E10" s="37">
        <f>('1853'!H28-'1853'!G28)*3.6</f>
        <v>3.7439999999999714</v>
      </c>
    </row>
    <row r="11" spans="1:17" ht="18" x14ac:dyDescent="0.4">
      <c r="A11" s="127" t="s">
        <v>61</v>
      </c>
      <c r="B11" s="128"/>
      <c r="C11" s="128"/>
      <c r="D11" s="128"/>
      <c r="E11" s="129"/>
    </row>
    <row r="12" spans="1:17" x14ac:dyDescent="0.35">
      <c r="A12" s="37" t="s">
        <v>57</v>
      </c>
      <c r="B12" s="40">
        <f>'1850'!H25-'1850'!G25</f>
        <v>213</v>
      </c>
      <c r="C12" s="40">
        <f>'1851'!I24-'1851'!H24</f>
        <v>241</v>
      </c>
      <c r="D12" s="40">
        <f>'1852'!H25-'1852'!G25</f>
        <v>175</v>
      </c>
      <c r="E12" s="40">
        <f>'1853'!H24-'1853'!G24</f>
        <v>174</v>
      </c>
    </row>
    <row r="13" spans="1:17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spans="1:17" x14ac:dyDescent="0.35">
      <c r="A14" s="34" t="s">
        <v>58</v>
      </c>
      <c r="B14" s="41">
        <f>'1853'!H25-'1853'!G25</f>
        <v>236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</row>
    <row r="15" spans="1:17" x14ac:dyDescent="0.35">
      <c r="A15" s="34" t="s">
        <v>59</v>
      </c>
      <c r="B15" s="42">
        <f>'1853'!H26-'1853'!G26</f>
        <v>26.125999999999976</v>
      </c>
      <c r="C15" s="42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spans="1:17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'1854'!H4-'1854'!G4+'1854'!H6-'1854'!G6+'1854'!H8-'1854'!G8+'1854'!H10-'1854'!G10+'1854'!H12-'1854'!G12+'1854'!H14-'1854'!G14+'1854'!H16-'1854'!G16+'1854'!H18-'1854'!G18+'1854'!H20-'1854'!G20+'1854'!H22-'1854'!G22</f>
        <v>54.01200000000015</v>
      </c>
      <c r="C19" s="37">
        <f>'1855'!H4-'1855'!G4+'1855'!H6-'1855'!G6+'1855'!H8-'1855'!G8+'1855'!H10-'1855'!G10+'1855'!H12-'1855'!G12+'1855'!H14-'1855'!G14+'1855'!H16-'1855'!G16+'1855'!H18-'1855'!G18+'1855'!H20-'1855'!G20+'1855'!H22-'1855'!G22</f>
        <v>62.045999999999935</v>
      </c>
      <c r="D19" s="37">
        <f>'1856'!H4-'1856'!G4+'1856'!H6-'1856'!G6+'1856'!H8-'1856'!G8+'1856'!H10-'1856'!G10+'1856'!H12-'1856'!G12+'1856'!H14-'1856'!G14+'1856'!H16-'1856'!G16+'1856'!H18-'1856'!G18+'1856'!H20-'1856'!G20+'1856'!H22-'1856'!G22</f>
        <v>65.812000000000069</v>
      </c>
      <c r="E19" s="37">
        <f>'1857'!H4-'1857'!G4+'1857'!H6-'1857'!G6+'1857'!H8-'1857'!G8+'1857'!H10-'1857'!G10+'1857'!H12-'1857'!G12+'1857'!H14-'1857'!G14+'1857'!H16-'1857'!G16+'1857'!H18-'1857'!G18+'1857'!H20-'1857'!G20+'1857'!H22-'1857'!G22</f>
        <v>62.51299999999992</v>
      </c>
      <c r="G19" s="135">
        <f>1-B19/B20</f>
        <v>8.4542372881353356E-2</v>
      </c>
      <c r="H19" s="135">
        <f t="shared" ref="H19:J19" si="2">1-C19/C20</f>
        <v>0.12116147308781844</v>
      </c>
      <c r="I19" s="135">
        <f t="shared" si="2"/>
        <v>9.8465753424656577E-2</v>
      </c>
      <c r="J19" s="135">
        <f t="shared" si="2"/>
        <v>0.11329078014184513</v>
      </c>
    </row>
    <row r="20" spans="1:10" x14ac:dyDescent="0.35">
      <c r="A20" s="37" t="s">
        <v>50</v>
      </c>
      <c r="B20" s="37">
        <f>'1854'!H26-'1854'!G26</f>
        <v>59</v>
      </c>
      <c r="C20" s="37">
        <f>'1855'!H26-'1855'!G26</f>
        <v>70.599999999999909</v>
      </c>
      <c r="D20" s="37">
        <f>'1856'!H26-'1856'!G26</f>
        <v>73</v>
      </c>
      <c r="E20" s="37">
        <f>'1857'!H26-'1857'!G26</f>
        <v>70.5</v>
      </c>
    </row>
    <row r="21" spans="1:10" x14ac:dyDescent="0.35">
      <c r="A21" s="37" t="s">
        <v>51</v>
      </c>
      <c r="B21" s="297">
        <f>SUM(B20:E20)</f>
        <v>273.09999999999991</v>
      </c>
      <c r="C21" s="297"/>
      <c r="D21" s="297"/>
      <c r="E21" s="297"/>
      <c r="G21" s="135">
        <f>1-B21/B22</f>
        <v>-4.1968714231214843E-2</v>
      </c>
    </row>
    <row r="22" spans="1:10" x14ac:dyDescent="0.35">
      <c r="A22" s="37" t="s">
        <v>52</v>
      </c>
      <c r="B22" s="297">
        <f>'1854'!H29-'1854'!G29</f>
        <v>262.09999999999854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'1854'!H5-'1854'!G5+'1854'!H7-'1854'!G7+'1854'!H9-'1854'!G9+'1854'!H11-'1854'!G11+'1854'!H13-'1854'!G13+'1854'!H15-'1854'!G15+'1854'!H17-'1854'!G17+'1854'!H19-'1854'!G19+'1854'!H21-'1854'!G21+'1854'!H23-'1854'!G23</f>
        <v>6.0600000000000165</v>
      </c>
      <c r="C24" s="37">
        <f>'1855'!H5-'1855'!G5+'1855'!H7-'1855'!G7+'1855'!H9-'1855'!G9+'1855'!H11-'1855'!G11+'1855'!H13-'1855'!G13+'1855'!H15-'1855'!G15+'1855'!H17-'1855'!G17+'1855'!H19-'1855'!G19+'1855'!H21-'1855'!G21+'1855'!H23-'1855'!G23</f>
        <v>5.2760000000000034</v>
      </c>
      <c r="D24" s="37">
        <f>'1856'!H5-'1856'!G5+'1856'!H7-'1856'!G7+'1856'!H9-'1856'!G9+'1856'!H11-'1856'!G11+'1856'!H13-'1856'!G13+'1856'!H15-'1856'!G15+'1856'!H17-'1856'!G17+'1856'!H19-'1856'!G19+'1856'!H21-'1856'!G21+'1856'!H23-'1856'!G23</f>
        <v>5.5630000000000024</v>
      </c>
      <c r="E24" s="37">
        <f>'1857'!H5-'1857'!G5+'1857'!H7-'1857'!G7+'1857'!H9-'1857'!G9+'1857'!H11-'1857'!G11+'1857'!H13-'1857'!G13+'1857'!H15-'1857'!G15+'1857'!H17-'1857'!G17+'1857'!H19-'1857'!G19+'1857'!H21-'1857'!G21+'1857'!H23-'1857'!G23</f>
        <v>5.5480000000000089</v>
      </c>
      <c r="G24" s="135">
        <f>1-B24/B25</f>
        <v>4.5669291338583551E-2</v>
      </c>
      <c r="H24" s="135">
        <f t="shared" ref="H24:J24" si="3">1-C24/C25</f>
        <v>-9.4605809128619933E-2</v>
      </c>
      <c r="I24" s="135">
        <f t="shared" si="3"/>
        <v>-0.13069105691055283</v>
      </c>
      <c r="J24" s="135">
        <f t="shared" si="3"/>
        <v>-0.20086580086583106</v>
      </c>
    </row>
    <row r="25" spans="1:10" x14ac:dyDescent="0.35">
      <c r="A25" s="37" t="s">
        <v>55</v>
      </c>
      <c r="B25" s="44">
        <f>('1854'!H27-'1854'!G27)</f>
        <v>6.3500000000000227</v>
      </c>
      <c r="C25" s="44">
        <f>('1855'!H27-'1855'!G27)</f>
        <v>4.82000000000005</v>
      </c>
      <c r="D25" s="44">
        <f>('1856'!H27-'1856'!G27)</f>
        <v>4.9200000000000728</v>
      </c>
      <c r="E25" s="44">
        <f>('1857'!H27-'1857'!G27)</f>
        <v>4.6199999999998909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'1854'!H25-'1854'!G25</f>
        <v>188</v>
      </c>
      <c r="C27" s="40">
        <f>'1855'!H25-'1855'!G25</f>
        <v>217</v>
      </c>
      <c r="D27" s="40">
        <f>'1856'!H25-'1856'!G25</f>
        <v>207</v>
      </c>
      <c r="E27" s="40">
        <f>'1857'!H25-'1857'!G25</f>
        <v>200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C23:E65536 F27:F65536">
    <cfRule type="cellIs" dxfId="25" priority="3" stopIfTrue="1" operator="lessThan">
      <formula>0</formula>
    </cfRule>
  </conditionalFormatting>
  <conditionalFormatting sqref="F1:J2 F13:J13 G13:J17 F16:J17 G28:J65536">
    <cfRule type="cellIs" dxfId="24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27"/>
  <sheetViews>
    <sheetView workbookViewId="0">
      <selection activeCell="B10" sqref="B10"/>
    </sheetView>
  </sheetViews>
  <sheetFormatPr defaultColWidth="9" defaultRowHeight="17.5" x14ac:dyDescent="0.35"/>
  <cols>
    <col min="1" max="1" width="35" style="34" customWidth="1"/>
    <col min="2" max="12" width="11.453125" style="34" customWidth="1"/>
    <col min="13" max="20" width="9.81640625" style="34" customWidth="1"/>
    <col min="21" max="24" width="6.453125" style="34" customWidth="1"/>
    <col min="25" max="16384" width="9" style="34"/>
  </cols>
  <sheetData>
    <row r="1" spans="1:20" ht="18" x14ac:dyDescent="0.4">
      <c r="A1" s="35" t="s">
        <v>65</v>
      </c>
      <c r="B1" s="36">
        <f>'S1'!B1</f>
        <v>2023</v>
      </c>
    </row>
    <row r="3" spans="1:20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20" x14ac:dyDescent="0.35">
      <c r="A4" s="43" t="s">
        <v>49</v>
      </c>
      <c r="B4" s="37">
        <f>'1850'!I4-'1850'!H4+'1850'!I6-'1850'!H6+'1850'!I8-'1850'!H8+'1850'!I10-'1850'!H10+'1850'!I12-'1850'!H12+'1850'!I14-'1850'!H14+'1850'!I16-'1850'!H16+'1850'!I18-'1850'!H18+'1850'!I20-'1850'!H20+'1850'!I22-'1850'!H22</f>
        <v>56.810000000000059</v>
      </c>
      <c r="C4" s="37">
        <f>'1851'!J4-'1851'!I4+'1851'!J6-'1851'!I6+'1851'!J8-'1851'!I8+'1851'!J10-'1851'!I10+'1851'!J12-'1851'!I12+'1851'!J14-'1851'!I14+'1851'!J16-'1851'!I16+'1851'!J18-'1851'!I18+'1851'!J20-'1851'!I20+'1851'!J22-'1851'!I22+'1851'!J33-'1851'!I33+'1851'!J34-'1851'!I34+'1851'!J35-'1851'!I35+'1851'!J36-'1851'!I36+'1851'!J37-'1851'!I37+'1851'!J40-'1851'!I40+'1851'!J41-'1851'!I41+'1851'!J42-'1851'!I42+'1851'!J43-'1851'!I43+'1851'!J44-'1851'!I44+'1851'!J45-'1851'!I45+'1851'!J46-'1851'!I46+'1851'!J47-'1851'!I47+'1851'!J48-'1851'!I48+'1851'!J49-'1851'!I49</f>
        <v>88.693000000000112</v>
      </c>
      <c r="D4" s="37">
        <f>'1852'!I4-'1852'!H4+'1852'!I6-'1852'!H6+'1852'!I8-'1852'!H8+'1852'!I10-'1852'!H10+'1852'!I12-'1852'!H12+'1852'!I14-'1852'!H14+'1852'!I16-'1852'!H16+'1852'!I18-'1852'!H18+'1852'!I20-'1852'!H20+'1852'!I22-'1852'!H22</f>
        <v>78.883999999999958</v>
      </c>
      <c r="E4" s="37">
        <f>'1853'!I4-'1853'!H4+'1853'!I6-'1853'!H6+'1853'!I8-'1853'!H8+'1853'!I10-'1853'!H10+'1853'!I12-'1853'!H12+'1853'!I14-'1853'!H14+'1853'!I16-'1853'!H16+'1853'!I18-'1853'!H18+'1853'!I20-'1853'!H20+'1853'!I22-'1853'!H22+'1853'!I26-'1853'!H26</f>
        <v>90.741999999999905</v>
      </c>
      <c r="G4" s="135">
        <f>1-B4/B5</f>
        <v>0.12194744976816352</v>
      </c>
      <c r="H4" s="135">
        <f t="shared" ref="H4:J4" si="0">1-C4/C5</f>
        <v>7.3218390804594802E-2</v>
      </c>
      <c r="I4" s="135">
        <f t="shared" si="0"/>
        <v>9.7437070938216519E-2</v>
      </c>
      <c r="J4" s="135">
        <f t="shared" si="0"/>
        <v>0.15901760889712857</v>
      </c>
    </row>
    <row r="5" spans="1:20" x14ac:dyDescent="0.35">
      <c r="A5" s="43" t="s">
        <v>50</v>
      </c>
      <c r="B5" s="37">
        <f>'1850'!I26-'1850'!H26</f>
        <v>64.700000000000273</v>
      </c>
      <c r="C5" s="37">
        <f>'1851'!J26-'1851'!I26</f>
        <v>95.699999999999818</v>
      </c>
      <c r="D5" s="37">
        <f>'1852'!I26-'1852'!H26</f>
        <v>87.400000000000091</v>
      </c>
      <c r="E5" s="37">
        <f>'1853'!I27-'1853'!H27</f>
        <v>107.90000000000009</v>
      </c>
    </row>
    <row r="6" spans="1:20" x14ac:dyDescent="0.35">
      <c r="A6" s="43" t="s">
        <v>51</v>
      </c>
      <c r="B6" s="297">
        <f>SUM(B5:E5)</f>
        <v>355.70000000000027</v>
      </c>
      <c r="C6" s="297"/>
      <c r="D6" s="297"/>
      <c r="E6" s="297"/>
      <c r="G6" s="135">
        <f>1-B6/B7</f>
        <v>2.8672856362644494E-2</v>
      </c>
    </row>
    <row r="7" spans="1:20" x14ac:dyDescent="0.35">
      <c r="A7" s="43" t="s">
        <v>52</v>
      </c>
      <c r="B7" s="297">
        <f>'1850'!I29-'1850'!H29</f>
        <v>366.20000000000073</v>
      </c>
      <c r="C7" s="297"/>
      <c r="D7" s="297"/>
      <c r="E7" s="297"/>
    </row>
    <row r="8" spans="1:20" ht="18" x14ac:dyDescent="0.4">
      <c r="A8" s="127" t="s">
        <v>53</v>
      </c>
      <c r="B8" s="128"/>
      <c r="C8" s="128"/>
      <c r="D8" s="128"/>
      <c r="E8" s="129"/>
    </row>
    <row r="9" spans="1:20" x14ac:dyDescent="0.35">
      <c r="A9" s="37" t="s">
        <v>54</v>
      </c>
      <c r="B9" s="37">
        <f>'1850'!I5-'1850'!H5+'1850'!I7-'1850'!H7+'1850'!I9-'1850'!H9+'1850'!I11-'1850'!H11+'1850'!I13-'1850'!H13+'1850'!I15-'1850'!H15+'1850'!I17-'1850'!H17+'1850'!I19-'1850'!H19+'1850'!I21-'1850'!H21+'1850'!I23-'1850'!H23</f>
        <v>4.0260000000000034</v>
      </c>
      <c r="C9" s="37">
        <f>'1851'!J5-'1851'!I5+'1851'!J7-'1851'!I7+'1851'!J9-'1851'!I9+'1851'!J11-'1851'!I11+'1851'!J13-'1851'!I13+'1851'!J15-'1851'!I15+'1851'!J17-'1851'!I17+'1851'!J19-'1851'!I19+'1851'!J21-'1851'!I21+'1851'!J23-'1851'!I23</f>
        <v>8.5790000000000077</v>
      </c>
      <c r="D9" s="37">
        <f>'1852'!I5-'1852'!H5+'1852'!I7-'1852'!H7+'1852'!I9-'1852'!H9+'1852'!I11-'1852'!H11+'1852'!I13-'1852'!H13+'1852'!I15-'1852'!H15+'1852'!I17-'1852'!H17+'1852'!I19-'1852'!H19+'1852'!I21-'1852'!H21+'1852'!I23-'1852'!H23</f>
        <v>5.7899999999999991</v>
      </c>
      <c r="E9" s="37">
        <f>'1853'!I5-'1853'!H5+'1853'!I7-'1853'!H7+'1853'!I9-'1853'!H9+'1853'!I11-'1853'!H11+'1853'!I13-'1853'!H13+'1853'!I15-'1853'!H15+'1853'!I17-'1853'!H17+'1853'!I19-'1853'!H19+'1853'!I21-'1853'!H21+'1853'!I23-'1853'!H23</f>
        <v>3.4280000000000044</v>
      </c>
      <c r="G9" s="135">
        <f>1-B9/B10</f>
        <v>-0.5319634703195979</v>
      </c>
      <c r="H9" s="135">
        <f t="shared" ref="H9:J9" si="1">1-C9/C10</f>
        <v>0.30725129198966294</v>
      </c>
      <c r="I9" s="135">
        <f t="shared" si="1"/>
        <v>-0.42330383480822942</v>
      </c>
      <c r="J9" s="135">
        <f t="shared" si="1"/>
        <v>-0.26962962962963122</v>
      </c>
    </row>
    <row r="10" spans="1:20" x14ac:dyDescent="0.35">
      <c r="A10" s="37" t="s">
        <v>55</v>
      </c>
      <c r="B10" s="39">
        <f>('1850'!I27-'1850'!H27)*3.6</f>
        <v>2.6280000000000654</v>
      </c>
      <c r="C10" s="37">
        <f>('1851'!J27-'1851'!I27)*3.6</f>
        <v>12.383999999999991</v>
      </c>
      <c r="D10" s="37">
        <f>('1852'!I27-'1852'!H27)*3.6</f>
        <v>4.0680000000000858</v>
      </c>
      <c r="E10" s="37">
        <f>('1853'!I28-'1853'!H28)*3.6</f>
        <v>2.7</v>
      </c>
    </row>
    <row r="11" spans="1:20" ht="18" x14ac:dyDescent="0.4">
      <c r="A11" s="127" t="s">
        <v>61</v>
      </c>
      <c r="B11" s="128"/>
      <c r="C11" s="128"/>
      <c r="D11" s="128"/>
      <c r="E11" s="129"/>
    </row>
    <row r="12" spans="1:20" x14ac:dyDescent="0.35">
      <c r="A12" s="37" t="s">
        <v>57</v>
      </c>
      <c r="B12" s="40">
        <f>'1850'!I25-'1850'!H25</f>
        <v>223</v>
      </c>
      <c r="C12" s="40">
        <f>'1851'!J24-'1851'!I24</f>
        <v>283</v>
      </c>
      <c r="D12" s="40">
        <f>'1852'!I25-'1852'!H25</f>
        <v>125</v>
      </c>
      <c r="E12" s="40">
        <f>'1853'!I24-'1853'!H24</f>
        <v>199</v>
      </c>
    </row>
    <row r="13" spans="1:20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</row>
    <row r="14" spans="1:20" x14ac:dyDescent="0.35">
      <c r="A14" s="34" t="s">
        <v>58</v>
      </c>
      <c r="B14" s="41">
        <f>'1853'!I25-'1853'!H25</f>
        <v>221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spans="1:20" x14ac:dyDescent="0.35">
      <c r="A15" s="34" t="s">
        <v>59</v>
      </c>
      <c r="B15" s="42">
        <f>'1853'!I26-'1853'!H26</f>
        <v>30.185000000000002</v>
      </c>
      <c r="C15" s="42"/>
      <c r="D15" s="42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1:20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'1854'!I4-'1854'!H4+'1854'!I6-'1854'!H6+'1854'!I8-'1854'!H8+'1854'!I10-'1854'!H10+'1854'!I12-'1854'!H12+'1854'!I14-'1854'!H14+'1854'!I16-'1854'!H16+'1854'!I18-'1854'!H18+'1854'!I20-'1854'!H20+'1854'!I22-'1854'!H22</f>
        <v>61.576000000000022</v>
      </c>
      <c r="C19" s="37">
        <f>'1855'!I4-'1855'!H4+'1855'!I6-'1855'!H6+'1855'!I8-'1855'!H8+'1855'!I10-'1855'!H10+'1855'!I12-'1855'!H12+'1855'!I14-'1855'!H14+'1855'!I16-'1855'!H16+'1855'!I18-'1855'!H18+'1855'!I20-'1855'!H20+'1855'!I22-'1855'!H22</f>
        <v>63.969000000000051</v>
      </c>
      <c r="D19" s="37">
        <f>'1856'!I4-'1856'!H4+'1856'!I6-'1856'!H6+'1856'!I8-'1856'!H8+'1856'!I10-'1856'!H10+'1856'!I12-'1856'!H12+'1856'!I14-'1856'!H14+'1856'!I16-'1856'!H16+'1856'!I18-'1856'!H18+'1856'!I20-'1856'!H20+'1856'!I22-'1856'!H22</f>
        <v>73.621999999999787</v>
      </c>
      <c r="E19" s="37">
        <f>'1857'!I4-'1857'!H4+'1857'!I6-'1857'!H6+'1857'!I8-'1857'!H8+'1857'!I10-'1857'!H10+'1857'!I12-'1857'!H12+'1857'!I14-'1857'!H14+'1857'!I16-'1857'!H16+'1857'!I18-'1857'!H18+'1857'!I20-'1857'!H20+'1857'!I22-'1857'!H22</f>
        <v>69.215999999999894</v>
      </c>
      <c r="G19" s="135">
        <f>1-B19/B20</f>
        <v>9.7126099706742131E-2</v>
      </c>
      <c r="H19" s="135">
        <f t="shared" ref="H19:J19" si="2">1-C19/C20</f>
        <v>0.12610655737705179</v>
      </c>
      <c r="I19" s="135">
        <f t="shared" si="2"/>
        <v>9.6662576687119195E-2</v>
      </c>
      <c r="J19" s="135">
        <f t="shared" si="2"/>
        <v>0.10918918918919363</v>
      </c>
    </row>
    <row r="20" spans="1:10" x14ac:dyDescent="0.35">
      <c r="A20" s="37" t="s">
        <v>50</v>
      </c>
      <c r="B20" s="37">
        <f>'1854'!I26-'1854'!H26</f>
        <v>68.199999999999818</v>
      </c>
      <c r="C20" s="38">
        <f>'1855'!I26-'1855'!H26</f>
        <v>73.200000000000273</v>
      </c>
      <c r="D20" s="37">
        <f>'1856'!I26-'1856'!H26</f>
        <v>81.5</v>
      </c>
      <c r="E20" s="37">
        <f>'1857'!I26-'1857'!H26</f>
        <v>77.700000000000273</v>
      </c>
    </row>
    <row r="21" spans="1:10" x14ac:dyDescent="0.35">
      <c r="A21" s="37" t="s">
        <v>51</v>
      </c>
      <c r="B21" s="297">
        <f>SUM(B20:E20)</f>
        <v>300.60000000000036</v>
      </c>
      <c r="C21" s="297"/>
      <c r="D21" s="297"/>
      <c r="E21" s="297"/>
      <c r="G21" s="135">
        <f>1-B21/B22</f>
        <v>-4.6657381615597515E-2</v>
      </c>
    </row>
    <row r="22" spans="1:10" x14ac:dyDescent="0.35">
      <c r="A22" s="37" t="s">
        <v>52</v>
      </c>
      <c r="B22" s="297">
        <f>'1854'!I29-'1854'!H29</f>
        <v>287.20000000000073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'1854'!I5-'1854'!H5+'1854'!I7-'1854'!H7+'1854'!I9-'1854'!H9+'1854'!I11-'1854'!H11+'1854'!I13-'1854'!H13+'1854'!I15-'1854'!H15+'1854'!I17-'1854'!H17+'1854'!I19-'1854'!H19+'1854'!I21-'1854'!H21+'1854'!I23-'1854'!H23</f>
        <v>3.4920000000000044</v>
      </c>
      <c r="C24" s="37">
        <f>'1855'!I5-'1855'!H5+'1855'!I7-'1855'!H7+'1855'!I9-'1855'!H9+'1855'!I11-'1855'!H11+'1855'!I13-'1855'!H13+'1855'!I15-'1855'!H15+'1855'!I17-'1855'!H17+'1855'!I19-'1855'!H19+'1855'!I21-'1855'!H21+'1855'!I23-'1855'!H23</f>
        <v>3.8889999999999958</v>
      </c>
      <c r="D24" s="37">
        <f>'1856'!I5-'1856'!H5+'1856'!I7-'1856'!H7+'1856'!I9-'1856'!H9+'1856'!I11-'1856'!H11+'1856'!I13-'1856'!H13+'1856'!I15-'1856'!H15+'1856'!I17-'1856'!H17+'1856'!I19-'1856'!H19+'1856'!I21-'1856'!H21+'1856'!I23-'1856'!H23</f>
        <v>4.3000000000000114</v>
      </c>
      <c r="E24" s="37">
        <f>'1857'!I5-'1857'!H5+'1857'!I7-'1857'!H7+'1857'!I9-'1857'!H9+'1857'!I11-'1857'!H11+'1857'!I13-'1857'!H13+'1857'!I15-'1857'!H15+'1857'!I17-'1857'!H17+'1857'!I19-'1857'!H19+'1857'!I21-'1857'!H21+'1857'!I23-'1857'!H23</f>
        <v>3.8589999999999804</v>
      </c>
      <c r="G24" s="135">
        <f>1-B24/B25</f>
        <v>0.17446808510638545</v>
      </c>
      <c r="H24" s="135">
        <f t="shared" ref="H24:J24" si="3">1-C24/C25</f>
        <v>-0.16786786786789221</v>
      </c>
      <c r="I24" s="135">
        <f t="shared" si="3"/>
        <v>-0.24277456647401952</v>
      </c>
      <c r="J24" s="135">
        <f t="shared" si="3"/>
        <v>-0.43992537313428692</v>
      </c>
    </row>
    <row r="25" spans="1:10" x14ac:dyDescent="0.35">
      <c r="A25" s="37" t="s">
        <v>55</v>
      </c>
      <c r="B25" s="44">
        <f>'1854'!I27-'1854'!H27</f>
        <v>4.2300000000000182</v>
      </c>
      <c r="C25" s="44">
        <f>'1855'!I27-'1855'!H27</f>
        <v>3.3299999999999272</v>
      </c>
      <c r="D25" s="44">
        <f>'1856'!I27-'1856'!H27</f>
        <v>3.4599999999999227</v>
      </c>
      <c r="E25" s="44">
        <f>'1857'!I27-'1857'!H27</f>
        <v>2.6800000000000637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'1854'!I25-'1854'!H25</f>
        <v>198</v>
      </c>
      <c r="C27" s="40">
        <f>'1855'!I25-'1855'!H25</f>
        <v>226</v>
      </c>
      <c r="D27" s="40">
        <f>'1856'!I25-'1856'!H25</f>
        <v>221</v>
      </c>
      <c r="E27" s="40">
        <f>'1857'!I25-'1857'!H25</f>
        <v>217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F1:L2 C1:E5 B1:B65536 C8:E20 I13:L13 F13:H17 I16:L17 C23:E65536 F28:L65536">
    <cfRule type="cellIs" dxfId="23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27"/>
  <sheetViews>
    <sheetView workbookViewId="0">
      <selection activeCell="B10" sqref="B10"/>
    </sheetView>
  </sheetViews>
  <sheetFormatPr defaultColWidth="9" defaultRowHeight="17.5" x14ac:dyDescent="0.35"/>
  <cols>
    <col min="1" max="1" width="36.1796875" style="34" customWidth="1"/>
    <col min="2" max="15" width="11.453125" style="34" customWidth="1"/>
    <col min="16" max="23" width="9.81640625" style="34" customWidth="1"/>
    <col min="24" max="27" width="6.453125" style="34" customWidth="1"/>
    <col min="28" max="16384" width="9" style="34"/>
  </cols>
  <sheetData>
    <row r="1" spans="1:23" ht="18" x14ac:dyDescent="0.4">
      <c r="A1" s="45" t="s">
        <v>66</v>
      </c>
      <c r="B1" s="36">
        <f>'S1'!B1</f>
        <v>2023</v>
      </c>
    </row>
    <row r="3" spans="1:23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23" x14ac:dyDescent="0.35">
      <c r="A4" s="43" t="s">
        <v>49</v>
      </c>
      <c r="B4" s="37">
        <f>'1850'!J4-'1850'!I4+'1850'!J6-'1850'!I6+'1850'!J8-'1850'!I8+'1850'!J10-'1850'!I10+'1850'!J12-'1850'!I12+'1850'!J14-'1850'!I14+'1850'!J16-'1850'!I16+'1850'!J18-'1850'!I18+'1850'!J20-'1850'!I20+'1850'!J22-'1850'!I22</f>
        <v>36.149000000000058</v>
      </c>
      <c r="C4" s="37">
        <f>'1851'!K4-'1851'!J4+'1851'!K6-'1851'!J6+'1851'!K8-'1851'!J8+'1851'!K10-'1851'!J10+'1851'!K12-'1851'!J12+'1851'!K14-'1851'!J14+'1851'!K16-'1851'!J16+'1851'!K18-'1851'!J18+'1851'!K20-'1851'!J20+'1851'!K22-'1851'!J22+'1851'!K33-'1851'!J33+'1851'!K34-'1851'!J34+'1851'!K35-'1851'!J35+'1851'!K36-'1851'!J36+'1851'!K37-'1851'!J37+'1851'!K40-'1851'!J40+'1851'!K41-'1851'!J41+'1851'!K42-'1851'!J42+'1851'!K43-'1851'!J43+'1851'!K44-'1851'!J44+'1851'!K45-'1851'!J45+'1851'!K46-'1851'!J46+'1851'!K47-'1851'!J47+'1851'!K48-'1851'!J48+'1851'!K49-'1851'!J49</f>
        <v>63.741999999999976</v>
      </c>
      <c r="D4" s="37">
        <f>'1852'!J4-'1852'!I4+'1852'!J6-'1852'!I6+'1852'!J8-'1852'!I8+'1852'!J10-'1852'!I10+'1852'!J12-'1852'!I12+'1852'!J14-'1852'!I14+'1852'!J16-'1852'!I16+'1852'!J18-'1852'!I18+'1852'!J20-'1852'!I20+'1852'!J22-'1852'!I22</f>
        <v>57.144000000000062</v>
      </c>
      <c r="E4" s="37">
        <f>'1853'!J4-'1853'!I4+'1853'!J6-'1853'!I6+'1853'!J8-'1853'!I8+'1853'!J10-'1853'!I10+'1853'!J12-'1853'!I12+'1853'!J14-'1853'!I14+'1853'!J16-'1853'!I16+'1853'!J18-'1853'!I18+'1853'!J20-'1853'!I20+'1853'!J22-'1853'!I22+'1853'!J26-'1853'!I26</f>
        <v>78.340000000000032</v>
      </c>
      <c r="G4" s="135">
        <f>1-B4/B5</f>
        <v>0.14541371158391747</v>
      </c>
      <c r="H4" s="135">
        <f t="shared" ref="H4:J4" si="0">1-C4/C5</f>
        <v>6.3994126284880548E-2</v>
      </c>
      <c r="I4" s="135">
        <f t="shared" si="0"/>
        <v>0.11541795665634458</v>
      </c>
      <c r="J4" s="135">
        <f t="shared" si="0"/>
        <v>6.4038231780169985E-2</v>
      </c>
    </row>
    <row r="5" spans="1:23" x14ac:dyDescent="0.35">
      <c r="A5" s="43" t="s">
        <v>50</v>
      </c>
      <c r="B5" s="37">
        <f>'1850'!J26-'1850'!I26</f>
        <v>42.299999999999727</v>
      </c>
      <c r="C5" s="37">
        <f>'1851'!K26-'1851'!J26</f>
        <v>68.100000000000364</v>
      </c>
      <c r="D5" s="37">
        <f>'1852'!J26-'1852'!I26</f>
        <v>64.599999999999909</v>
      </c>
      <c r="E5" s="37">
        <f>'1853'!J27-'1853'!I27</f>
        <v>83.700000000000273</v>
      </c>
    </row>
    <row r="6" spans="1:23" x14ac:dyDescent="0.35">
      <c r="A6" s="43" t="s">
        <v>51</v>
      </c>
      <c r="B6" s="297">
        <f>SUM(B5:E5)</f>
        <v>258.70000000000027</v>
      </c>
      <c r="C6" s="297"/>
      <c r="D6" s="297"/>
      <c r="E6" s="297"/>
      <c r="G6" s="135">
        <f>1-B6/B7</f>
        <v>5.0990462215694587E-2</v>
      </c>
    </row>
    <row r="7" spans="1:23" x14ac:dyDescent="0.35">
      <c r="A7" s="43" t="s">
        <v>52</v>
      </c>
      <c r="B7" s="297">
        <f>'1850'!J29-'1850'!I29</f>
        <v>272.59999999999854</v>
      </c>
      <c r="C7" s="297"/>
      <c r="D7" s="297"/>
      <c r="E7" s="297"/>
    </row>
    <row r="8" spans="1:23" ht="18" x14ac:dyDescent="0.4">
      <c r="A8" s="127" t="s">
        <v>53</v>
      </c>
      <c r="B8" s="128"/>
      <c r="C8" s="128"/>
      <c r="D8" s="128"/>
      <c r="E8" s="129"/>
    </row>
    <row r="9" spans="1:23" x14ac:dyDescent="0.35">
      <c r="A9" s="37" t="s">
        <v>54</v>
      </c>
      <c r="B9" s="37">
        <f>'1850'!J5-'1850'!I5+'1850'!J7-'1850'!I7+'1850'!J9-'1850'!I9+'1850'!J11-'1850'!I11+'1850'!J13-'1850'!I13+'1850'!J15-'1850'!I15+'1850'!J17-'1850'!I17+'1850'!J19-'1850'!I19+'1850'!J21-'1850'!I21+'1850'!J23-'1850'!I23</f>
        <v>2.1930000000000049</v>
      </c>
      <c r="C9" s="37">
        <f>'1851'!K5-'1851'!J5+'1851'!K7-'1851'!J7+'1851'!K9-'1851'!J9+'1851'!K11-'1851'!J11+'1851'!K13-'1851'!J13+'1851'!K15-'1851'!J15+'1851'!K17-'1851'!J17+'1851'!K19-'1851'!J19+'1851'!K21-'1851'!J21+'1851'!K23-'1851'!J23</f>
        <v>4.5540000000000092</v>
      </c>
      <c r="D9" s="37">
        <f>'1852'!J5-'1852'!I5+'1852'!J7-'1852'!I7+'1852'!J9-'1852'!I9+'1852'!J11-'1852'!I11+'1852'!J13-'1852'!I13+'1852'!J15-'1852'!I15+'1852'!J17-'1852'!I17+'1852'!J19-'1852'!I19+'1852'!J21-'1852'!I21+'1852'!J23-'1852'!I23</f>
        <v>3.4789999999999992</v>
      </c>
      <c r="E9" s="37">
        <f>'1853'!J5-'1853'!I5+'1853'!J7-'1853'!I7+'1853'!J9-'1853'!I9+'1853'!J11-'1853'!I11+'1853'!J13-'1853'!I13+'1853'!J15-'1853'!I15+'1853'!J17-'1853'!I17+'1853'!J19-'1853'!I19+'1853'!J21-'1853'!I21+'1853'!J23-'1853'!I23</f>
        <v>2.0530000000000044</v>
      </c>
      <c r="G9" s="135">
        <f>1-B9/B10</f>
        <v>-0.96505376344085003</v>
      </c>
      <c r="H9" s="135">
        <f t="shared" ref="H9:J9" si="1">1-C9/C10</f>
        <v>0.41162790697675233</v>
      </c>
      <c r="I9" s="135">
        <f t="shared" si="1"/>
        <v>-0.58424408014568385</v>
      </c>
      <c r="J9" s="135">
        <f t="shared" si="1"/>
        <v>-0.29608585858578418</v>
      </c>
    </row>
    <row r="10" spans="1:23" x14ac:dyDescent="0.35">
      <c r="A10" s="37" t="s">
        <v>55</v>
      </c>
      <c r="B10" s="44">
        <f>('1850'!J27-'1850'!I27)*3.6</f>
        <v>1.1160000000000083</v>
      </c>
      <c r="C10" s="44">
        <f>('1851'!K27-'1851'!J27)*3.6</f>
        <v>7.7400000000001228</v>
      </c>
      <c r="D10" s="37">
        <f>('1852'!J27-'1852'!I27)*3.6</f>
        <v>2.196000000000049</v>
      </c>
      <c r="E10" s="37">
        <f>('1853'!J28-'1853'!I28)*3.6</f>
        <v>1.5840000000000942</v>
      </c>
    </row>
    <row r="11" spans="1:23" ht="18" x14ac:dyDescent="0.4">
      <c r="A11" s="127" t="s">
        <v>61</v>
      </c>
      <c r="B11" s="128"/>
      <c r="C11" s="128"/>
      <c r="D11" s="128"/>
      <c r="E11" s="129"/>
    </row>
    <row r="12" spans="1:23" x14ac:dyDescent="0.35">
      <c r="A12" s="37" t="s">
        <v>57</v>
      </c>
      <c r="B12" s="40">
        <f>'1850'!J25-'1850'!I25</f>
        <v>210</v>
      </c>
      <c r="C12" s="40">
        <f>'1851'!K24-'1851'!J24</f>
        <v>210</v>
      </c>
      <c r="D12" s="40">
        <f>'1852'!J25-'1852'!I25</f>
        <v>153</v>
      </c>
      <c r="E12" s="40">
        <f>'1853'!J24-'1853'!I24</f>
        <v>169</v>
      </c>
    </row>
    <row r="13" spans="1:23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3" x14ac:dyDescent="0.35">
      <c r="A14" s="34" t="s">
        <v>58</v>
      </c>
      <c r="B14" s="41">
        <f>'1853'!J25-'1853'!I25</f>
        <v>191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23" x14ac:dyDescent="0.35">
      <c r="A15" s="34" t="s">
        <v>59</v>
      </c>
      <c r="B15" s="42">
        <f>'1853'!J26-'1853'!I26</f>
        <v>30.59699999999998</v>
      </c>
      <c r="C15" s="42"/>
      <c r="D15" s="42"/>
      <c r="E15" s="42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</row>
    <row r="16" spans="1:23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'1854'!J4-'1854'!I4+'1854'!J6-'1854'!I6+'1854'!J8-'1854'!I8+'1854'!J10-'1854'!I10+'1854'!J12-'1854'!I12+'1854'!J14-'1854'!I14+'1854'!J16-'1854'!I16+'1854'!J18-'1854'!I18+'1854'!J20-'1854'!I20+'1854'!J22-'1854'!I22</f>
        <v>44.156999999999925</v>
      </c>
      <c r="C19" s="37">
        <f>'1855'!J4-'1855'!I4+'1855'!J6-'1855'!I6+'1855'!J8-'1855'!I8+'1855'!J10-'1855'!I10+'1855'!J12-'1855'!I12+'1855'!J14-'1855'!I14+'1855'!J16-'1855'!I16+'1855'!J18-'1855'!I18+'1855'!J20-'1855'!I20+'1855'!J22-'1855'!I22</f>
        <v>48.124000000000024</v>
      </c>
      <c r="D19" s="37">
        <f>'1856'!J4-'1856'!I4+'1856'!J6-'1856'!I6+'1856'!J8-'1856'!I8+'1856'!J10-'1856'!I10+'1856'!J12-'1856'!I12+'1856'!J14-'1856'!I14+'1856'!J16-'1856'!I16+'1856'!J18-'1856'!I18+'1856'!J20-'1856'!I20+'1856'!J22-'1856'!I22</f>
        <v>55.875000000000171</v>
      </c>
      <c r="E19" s="37">
        <f>'1857'!J4-'1857'!I4+'1857'!J6-'1857'!I6+'1857'!J8-'1857'!I8+'1857'!J10-'1857'!I10+'1857'!J12-'1857'!I12+'1857'!J14-'1857'!I14+'1857'!J16-'1857'!I16+'1857'!J18-'1857'!I18+'1857'!J20-'1857'!I20+'1857'!J22-'1857'!I22</f>
        <v>46.185999999999979</v>
      </c>
      <c r="G19" s="135">
        <f>1-B19/B20</f>
        <v>9.514344262295571E-2</v>
      </c>
      <c r="H19" s="135">
        <f t="shared" ref="H19:J19" si="2">1-C19/C20</f>
        <v>0.14673758865248321</v>
      </c>
      <c r="I19" s="135">
        <f t="shared" si="2"/>
        <v>0.10456730769230627</v>
      </c>
      <c r="J19" s="135">
        <f t="shared" si="2"/>
        <v>0.11351247600767644</v>
      </c>
    </row>
    <row r="20" spans="1:10" x14ac:dyDescent="0.35">
      <c r="A20" s="37" t="s">
        <v>50</v>
      </c>
      <c r="B20" s="37">
        <f>'1854'!J26-'1854'!I26</f>
        <v>48.800000000000182</v>
      </c>
      <c r="C20" s="37">
        <f>'1855'!J26-'1855'!I26</f>
        <v>56.400000000000091</v>
      </c>
      <c r="D20" s="37">
        <f>'1856'!J26-'1856'!I26</f>
        <v>62.400000000000091</v>
      </c>
      <c r="E20" s="37">
        <f>'1857'!J26-'1857'!I26</f>
        <v>52.099999999999909</v>
      </c>
    </row>
    <row r="21" spans="1:10" x14ac:dyDescent="0.35">
      <c r="A21" s="37" t="s">
        <v>51</v>
      </c>
      <c r="B21" s="297">
        <f>SUM(B20:E20)</f>
        <v>219.70000000000027</v>
      </c>
      <c r="C21" s="297"/>
      <c r="D21" s="297"/>
      <c r="E21" s="297"/>
      <c r="G21" s="135">
        <f>1-B21/B22</f>
        <v>-4.3209876543209402E-2</v>
      </c>
    </row>
    <row r="22" spans="1:10" x14ac:dyDescent="0.35">
      <c r="A22" s="37" t="s">
        <v>52</v>
      </c>
      <c r="B22" s="297">
        <f>'1854'!J29-'1854'!I29</f>
        <v>210.60000000000036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'1854'!J5-'1854'!I5+'1854'!J7-'1854'!I7+'1854'!J9-'1854'!I9+'1854'!J11-'1854'!I11+'1854'!J13-'1854'!I13+'1854'!J15-'1854'!I15+'1854'!J17-'1854'!I17+'1854'!J19-'1854'!I19+'1854'!J21-'1854'!I21+'1854'!J23-'1854'!I23</f>
        <v>2.1769999999999996</v>
      </c>
      <c r="C24" s="37">
        <f>'1855'!J5-'1855'!I5+'1855'!J7-'1855'!I7+'1855'!J9-'1855'!I9+'1855'!J11-'1855'!I11+'1855'!J13-'1855'!I13+'1855'!J15-'1855'!I15+'1855'!J17-'1855'!I17+'1855'!J19-'1855'!I19+'1855'!J21-'1855'!I21+'1855'!J23-'1855'!I23</f>
        <v>2.4309999999999903</v>
      </c>
      <c r="D24" s="37">
        <f>'1856'!J5-'1856'!I5+'1856'!J7-'1856'!I7+'1856'!J9-'1856'!I9+'1856'!J11-'1856'!I11+'1856'!J13-'1856'!I13+'1856'!J15-'1856'!I15+'1856'!J17-'1856'!I17+'1856'!J19-'1856'!I19+'1856'!J21-'1856'!I21+'1856'!J23-'1856'!I23</f>
        <v>2.8389999999999702</v>
      </c>
      <c r="E24" s="37">
        <f>'1857'!J5-'1857'!I5+'1857'!J7-'1857'!I7+'1857'!J9-'1857'!I9+'1857'!J11-'1857'!I11+'1857'!J13-'1857'!I13+'1857'!J15-'1857'!I15+'1857'!J17-'1857'!I17+'1857'!J19-'1857'!I19+'1857'!J21-'1857'!I21+'1857'!J23-'1857'!I23</f>
        <v>2.4649999999999963</v>
      </c>
      <c r="G24" s="135">
        <f>1-B24/B25</f>
        <v>0.21690647482013636</v>
      </c>
      <c r="H24" s="135">
        <f t="shared" ref="H24:J24" si="3">1-C24/C25</f>
        <v>-0.24666666666663262</v>
      </c>
      <c r="I24" s="135">
        <f t="shared" si="3"/>
        <v>-0.39852216748761049</v>
      </c>
      <c r="J24" s="135">
        <f t="shared" si="3"/>
        <v>-0.61111111111113736</v>
      </c>
    </row>
    <row r="25" spans="1:10" x14ac:dyDescent="0.35">
      <c r="A25" s="37" t="s">
        <v>55</v>
      </c>
      <c r="B25" s="44">
        <f>'1854'!J27-'1854'!I27</f>
        <v>2.7799999999999727</v>
      </c>
      <c r="C25" s="44">
        <f>'1855'!J27-'1855'!I27</f>
        <v>1.9500000000000455</v>
      </c>
      <c r="D25" s="44">
        <f>'1856'!J27-'1856'!I27</f>
        <v>2.0300000000000864</v>
      </c>
      <c r="E25" s="44">
        <f>'1857'!J27-'1857'!I27</f>
        <v>1.5299999999999727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'1854'!J25-'1854'!I25</f>
        <v>167</v>
      </c>
      <c r="C27" s="40">
        <f>'1855'!J25-'1855'!I25</f>
        <v>187</v>
      </c>
      <c r="D27" s="40">
        <f>'1856'!J25-'1856'!I25</f>
        <v>164</v>
      </c>
      <c r="E27" s="40">
        <f>'1857'!J25-'1857'!I25</f>
        <v>184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C23:E65536">
    <cfRule type="cellIs" dxfId="22" priority="2" stopIfTrue="1" operator="lessThan">
      <formula>0</formula>
    </cfRule>
  </conditionalFormatting>
  <conditionalFormatting sqref="F1:O2 I13:N13 F13:J17 I16:O17 F28:O65536">
    <cfRule type="cellIs" dxfId="21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7"/>
  <sheetViews>
    <sheetView workbookViewId="0">
      <selection activeCell="E10" sqref="E10"/>
    </sheetView>
  </sheetViews>
  <sheetFormatPr defaultColWidth="9" defaultRowHeight="17.5" x14ac:dyDescent="0.35"/>
  <cols>
    <col min="1" max="1" width="35" style="34" customWidth="1"/>
    <col min="2" max="18" width="11.453125" style="34" customWidth="1"/>
    <col min="19" max="26" width="9.81640625" style="34" customWidth="1"/>
    <col min="27" max="30" width="6.453125" style="34" customWidth="1"/>
    <col min="31" max="16384" width="9" style="34"/>
  </cols>
  <sheetData>
    <row r="1" spans="1:26" ht="18" x14ac:dyDescent="0.4">
      <c r="A1" s="35" t="s">
        <v>67</v>
      </c>
      <c r="B1" s="36">
        <f>'S1'!B1</f>
        <v>2023</v>
      </c>
    </row>
    <row r="3" spans="1:26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26" x14ac:dyDescent="0.35">
      <c r="A4" s="43" t="s">
        <v>49</v>
      </c>
      <c r="B4" s="37">
        <f>'1850'!K4-'1850'!J4+'1850'!K6-'1850'!J6+'1850'!K8-'1850'!J8+'1850'!K10-'1850'!J10+'1850'!K12-'1850'!J12+'1850'!K14-'1850'!J14+'1850'!K16-'1850'!J16+'1850'!K18-'1850'!J18+'1850'!K20-'1850'!J20+'1850'!K22-'1850'!J22</f>
        <v>51.312000000000069</v>
      </c>
      <c r="C4" s="37">
        <f>'1851'!L4-'1851'!K4+'1851'!L6-'1851'!K6+'1851'!L8-'1851'!K8+'1851'!L10-'1851'!K10+'1851'!L12-'1851'!K12+'1851'!L14-'1851'!K14+'1851'!L16-'1851'!K16+'1851'!L18-'1851'!K18+'1851'!L20-'1851'!K20+'1851'!L22-'1851'!K22+'1851'!L33-'1851'!K33+'1851'!L34-'1851'!K34+'1851'!L35-'1851'!K35+'1851'!L36-'1851'!K36+'1851'!L37-'1851'!K37+'1851'!L40-'1851'!K40+'1851'!L41-'1851'!K41+'1851'!L42-'1851'!K42+'1851'!L43-'1851'!K43+'1851'!L44-'1851'!K44+'1851'!L45-'1851'!K45+'1851'!L46-'1851'!K46+'1851'!L47-'1851'!K47+'1851'!L48-'1851'!K48+'1851'!L49-'1851'!K49</f>
        <v>69.987000000000094</v>
      </c>
      <c r="D4" s="37">
        <f>'1852'!K4-'1852'!J4+'1852'!K6-'1852'!J6+'1852'!K8-'1852'!J8+'1852'!K10-'1852'!J10+'1852'!K12-'1852'!J12+'1852'!K14-'1852'!J14+'1852'!K16-'1852'!J16+'1852'!K18-'1852'!J18+'1852'!K20-'1852'!J20+'1852'!K22-'1852'!J22</f>
        <v>68.346000000000004</v>
      </c>
      <c r="E4" s="37">
        <f>'1853'!K4-'1853'!J4+'1853'!K6-'1853'!J6+'1853'!K8-'1853'!J8+'1853'!K10-'1853'!J10+'1853'!K12-'1853'!J12+'1853'!K14-'1853'!J14+'1853'!K16-'1853'!J16+'1853'!K18-'1853'!J18+'1853'!K20-'1853'!J20+'1853'!K22-'1853'!J22+'1853'!K26-'1853'!J26</f>
        <v>83.783000000000129</v>
      </c>
      <c r="G4" s="135">
        <f>1-B4/B5</f>
        <v>0.12136986301369879</v>
      </c>
      <c r="H4" s="135">
        <f t="shared" ref="H4:J4" si="0">1-C4/C5</f>
        <v>7.4246031746034946E-2</v>
      </c>
      <c r="I4" s="135">
        <f t="shared" si="0"/>
        <v>0.10541884816754565</v>
      </c>
      <c r="J4" s="135">
        <f t="shared" si="0"/>
        <v>7.0110987791340618E-2</v>
      </c>
    </row>
    <row r="5" spans="1:26" x14ac:dyDescent="0.35">
      <c r="A5" s="43" t="s">
        <v>50</v>
      </c>
      <c r="B5" s="37">
        <f>'1850'!K26-'1850'!J26</f>
        <v>58.400000000000091</v>
      </c>
      <c r="C5" s="37">
        <f>'1851'!L26-'1851'!K26</f>
        <v>75.600000000000364</v>
      </c>
      <c r="D5" s="37">
        <f>'1852'!K26-'1852'!J26</f>
        <v>76.400000000000546</v>
      </c>
      <c r="E5" s="37">
        <f>'1853'!K27-'1853'!J27</f>
        <v>90.099999999999909</v>
      </c>
    </row>
    <row r="6" spans="1:26" x14ac:dyDescent="0.35">
      <c r="A6" s="43" t="s">
        <v>51</v>
      </c>
      <c r="B6" s="297">
        <f>SUM(B5:E5)</f>
        <v>300.50000000000091</v>
      </c>
      <c r="C6" s="297"/>
      <c r="D6" s="297"/>
      <c r="E6" s="297"/>
      <c r="G6" s="135">
        <f>1-B6/B7</f>
        <v>4.935147105345683E-2</v>
      </c>
    </row>
    <row r="7" spans="1:26" x14ac:dyDescent="0.35">
      <c r="A7" s="43" t="s">
        <v>52</v>
      </c>
      <c r="B7" s="297">
        <f>'1850'!K29-'1850'!J29</f>
        <v>316.09999999999854</v>
      </c>
      <c r="C7" s="297"/>
      <c r="D7" s="297"/>
      <c r="E7" s="297"/>
    </row>
    <row r="8" spans="1:26" ht="18" x14ac:dyDescent="0.4">
      <c r="A8" s="127" t="s">
        <v>53</v>
      </c>
      <c r="B8" s="128"/>
      <c r="C8" s="128"/>
      <c r="D8" s="128"/>
      <c r="E8" s="129"/>
    </row>
    <row r="9" spans="1:26" x14ac:dyDescent="0.35">
      <c r="A9" s="37" t="s">
        <v>54</v>
      </c>
      <c r="B9" s="37">
        <f>'1850'!K5-'1850'!J5+'1850'!K7-'1850'!J7+'1850'!K9-'1850'!J9+'1850'!K11-'1850'!J11+'1850'!K13-'1850'!J13+'1850'!K15-'1850'!J15+'1850'!K17-'1850'!J17+'1850'!K19-'1850'!J19+'1850'!K21-'1850'!J21+'1850'!K23-'1850'!J23</f>
        <v>2.6670000000000087</v>
      </c>
      <c r="C9" s="37">
        <f>'1851'!L5-'1851'!K5+'1851'!L7-'1851'!K7+'1851'!L9-'1851'!K9+'1851'!L11-'1851'!K11+'1851'!L13-'1851'!K13+'1851'!L15-'1851'!K15+'1851'!L17-'1851'!K17+'1851'!L19-'1851'!K19+'1851'!L21-'1851'!K21+'1851'!L23-'1851'!K23</f>
        <v>4.6169999999999902</v>
      </c>
      <c r="D9" s="37">
        <f>'1852'!K5-'1852'!J5+'1852'!K7-'1852'!J7+'1852'!K9-'1852'!J9+'1852'!K11-'1852'!J11+'1852'!K13-'1852'!J13+'1852'!K15-'1852'!J15+'1852'!K17-'1852'!J17+'1852'!K19-'1852'!J19+'1852'!K21-'1852'!J21+'1852'!K23-'1852'!J23</f>
        <v>3.8990000000000151</v>
      </c>
      <c r="E9" s="37">
        <f>'1853'!K5-'1853'!J5+'1853'!K7-'1853'!J7+'1853'!K9-'1853'!J9+'1853'!K11-'1853'!J11+'1853'!K13-'1853'!J13+'1853'!K15-'1853'!J15+'1853'!K17-'1853'!J17+'1853'!K19-'1853'!J19+'1853'!K21-'1853'!J21+'1853'!K23-'1853'!J23</f>
        <v>2.5720000000000027</v>
      </c>
      <c r="G9" s="135">
        <f>1-B9/B10</f>
        <v>-0.62621951219512728</v>
      </c>
      <c r="H9" s="135">
        <f t="shared" ref="H9:J9" si="1">1-C9/C10</f>
        <v>0.43763702801461757</v>
      </c>
      <c r="I9" s="135">
        <f t="shared" si="1"/>
        <v>-0.59142857142857741</v>
      </c>
      <c r="J9" s="135">
        <f t="shared" si="1"/>
        <v>-0.23653846153846292</v>
      </c>
    </row>
    <row r="10" spans="1:26" x14ac:dyDescent="0.35">
      <c r="A10" s="37" t="s">
        <v>55</v>
      </c>
      <c r="B10" s="39">
        <f>('1850'!K27)</f>
        <v>1.64</v>
      </c>
      <c r="C10" s="44">
        <f>('1851'!L27)</f>
        <v>8.2100000000000009</v>
      </c>
      <c r="D10" s="44">
        <f>('1852'!K27)</f>
        <v>2.4500000000000002</v>
      </c>
      <c r="E10" s="44">
        <f>('1853'!K28)</f>
        <v>2.08</v>
      </c>
    </row>
    <row r="11" spans="1:26" ht="18" x14ac:dyDescent="0.4">
      <c r="A11" s="127" t="s">
        <v>61</v>
      </c>
      <c r="B11" s="128"/>
      <c r="C11" s="128"/>
      <c r="D11" s="128"/>
      <c r="E11" s="129"/>
    </row>
    <row r="12" spans="1:26" x14ac:dyDescent="0.35">
      <c r="A12" s="37" t="s">
        <v>57</v>
      </c>
      <c r="B12" s="40">
        <f>'1850'!K25-'1850'!J25</f>
        <v>266</v>
      </c>
      <c r="C12" s="40">
        <f>'1851'!L24-'1851'!K24</f>
        <v>245</v>
      </c>
      <c r="D12" s="40">
        <f>'1852'!K25-'1852'!J25</f>
        <v>176</v>
      </c>
      <c r="E12" s="40">
        <f>'1853'!K24-'1853'!J24</f>
        <v>175</v>
      </c>
    </row>
    <row r="13" spans="1:26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</row>
    <row r="14" spans="1:26" x14ac:dyDescent="0.35">
      <c r="A14" s="34" t="s">
        <v>58</v>
      </c>
      <c r="B14" s="41">
        <f>'1853'!K25-'1853'!J25</f>
        <v>233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spans="1:26" x14ac:dyDescent="0.35">
      <c r="A15" s="34" t="s">
        <v>59</v>
      </c>
      <c r="B15" s="42">
        <f>'1853'!K26-'1853'!J26</f>
        <v>23.98700000000008</v>
      </c>
      <c r="C15" s="42"/>
      <c r="D15" s="42"/>
      <c r="E15" s="42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1:26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'1854'!K4-'1854'!J4+'1854'!K6-'1854'!J6+'1854'!K8-'1854'!J8+'1854'!K10-'1854'!J10+'1854'!K12-'1854'!J12+'1854'!K14-'1854'!J14+'1854'!K16-'1854'!J16+'1854'!K18-'1854'!J18+'1854'!K20-'1854'!J20+'1854'!K22-'1854'!J22</f>
        <v>46.832000000000086</v>
      </c>
      <c r="C19" s="37">
        <f>'1855'!K4-'1855'!J4+'1855'!K6-'1855'!J6+'1855'!K8-'1855'!J8+'1855'!K10-'1855'!J10+'1855'!K12-'1855'!J12+'1855'!K14-'1855'!J14+'1855'!K16-'1855'!J16+'1855'!K18-'1855'!J18+'1855'!K20-'1855'!J20+'1855'!K22-'1855'!J22</f>
        <v>60.26299999999992</v>
      </c>
      <c r="D19" s="37">
        <f>'1856'!K4-'1856'!J4+'1856'!K6-'1856'!J6+'1856'!K8-'1856'!J8+'1856'!K10-'1856'!J10+'1856'!K12-'1856'!J12+'1856'!K14-'1856'!J14+'1856'!K16-'1856'!J16+'1856'!K18-'1856'!J18+'1856'!K20-'1856'!J20+'1856'!K22-'1856'!J22</f>
        <v>64.962999999999965</v>
      </c>
      <c r="E19" s="37">
        <f>'1857'!K4-'1857'!J4+'1857'!K6-'1857'!J6+'1857'!K8-'1857'!J8+'1857'!K10-'1857'!J10+'1857'!K12-'1857'!J12+'1857'!K14-'1857'!J14+'1857'!K16-'1857'!J16+'1857'!K18-'1857'!J18+'1857'!K20-'1857'!J20+'1857'!K22-'1857'!J22</f>
        <v>55.998999999999967</v>
      </c>
      <c r="G19" s="135">
        <f>1-B19/B20</f>
        <v>9.9384615384613739E-2</v>
      </c>
      <c r="H19" s="135">
        <f t="shared" ref="H19:J19" si="2">1-C19/C20</f>
        <v>0.13040404040403819</v>
      </c>
      <c r="I19" s="135">
        <f t="shared" si="2"/>
        <v>9.6481223922110004E-2</v>
      </c>
      <c r="J19" s="135">
        <f t="shared" si="2"/>
        <v>0.10544728434504713</v>
      </c>
    </row>
    <row r="20" spans="1:10" x14ac:dyDescent="0.35">
      <c r="A20" s="37" t="s">
        <v>50</v>
      </c>
      <c r="B20" s="37">
        <f>'1854'!K26-'1854'!J26</f>
        <v>52</v>
      </c>
      <c r="C20" s="37">
        <f>'1855'!K26-'1855'!J26</f>
        <v>69.299999999999727</v>
      </c>
      <c r="D20" s="37">
        <f>'1856'!K26-'1856'!J26</f>
        <v>71.899999999999636</v>
      </c>
      <c r="E20" s="37">
        <f>'1857'!K26-'1857'!J26</f>
        <v>62.599999999999909</v>
      </c>
    </row>
    <row r="21" spans="1:10" x14ac:dyDescent="0.35">
      <c r="A21" s="37" t="s">
        <v>51</v>
      </c>
      <c r="B21" s="297">
        <f>SUM(B20:E20)</f>
        <v>255.79999999999927</v>
      </c>
      <c r="C21" s="297"/>
      <c r="D21" s="297"/>
      <c r="E21" s="297"/>
      <c r="G21" s="135">
        <f>1-B21/B22</f>
        <v>-4.7502047502049116E-2</v>
      </c>
    </row>
    <row r="22" spans="1:10" x14ac:dyDescent="0.35">
      <c r="A22" s="37" t="s">
        <v>52</v>
      </c>
      <c r="B22" s="297">
        <f>'1854'!K29-'1854'!J29</f>
        <v>244.19999999999891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'1854'!K5-'1854'!J5+'1854'!K7-'1854'!J7+'1854'!K9-'1854'!J9+'1854'!K11-'1854'!J11+'1854'!K13-'1854'!J13+'1854'!K15-'1854'!J15+'1854'!K17-'1854'!J17+'1854'!K19-'1854'!J19+'1854'!K21-'1854'!J21+'1854'!K23-'1854'!J23</f>
        <v>2.3179999999999836</v>
      </c>
      <c r="C24" s="37">
        <f>'1855'!K5-'1855'!J5+'1855'!K7-'1855'!J7+'1855'!K9-'1855'!J9+'1855'!K11-'1855'!J11+'1855'!K13-'1855'!J13+'1855'!K15-'1855'!J15+'1855'!K17-'1855'!J17+'1855'!K19-'1855'!J19+'1855'!K21-'1855'!J21+'1855'!K23-'1855'!J23</f>
        <v>2.9310000000000045</v>
      </c>
      <c r="D24" s="37">
        <f>'1856'!K5-'1856'!J5+'1856'!K7-'1856'!J7+'1856'!K9-'1856'!J9+'1856'!K11-'1856'!J11+'1856'!K13-'1856'!J13+'1856'!K15-'1856'!J15+'1856'!K17-'1856'!J17+'1856'!K19-'1856'!J19+'1856'!K21-'1856'!J21+'1856'!K23-'1856'!J23</f>
        <v>2.883000000000024</v>
      </c>
      <c r="E24" s="37">
        <f>'1857'!K5-'1857'!J5+'1857'!K7-'1857'!J7+'1857'!K9-'1857'!J9+'1857'!K11-'1857'!J11+'1857'!K13-'1857'!J13+'1857'!K15-'1857'!J15+'1857'!K17-'1857'!J17+'1857'!K19-'1857'!J19+'1857'!K21-'1857'!J21+'1857'!K23-'1857'!J23</f>
        <v>2.7670000000000101</v>
      </c>
      <c r="G24" s="135">
        <f>1-B24/B25</f>
        <v>0.12196969696969862</v>
      </c>
      <c r="H24" s="135">
        <f t="shared" ref="H24:J24" si="3">1-C24/C25</f>
        <v>-0.18663967611334908</v>
      </c>
      <c r="I24" s="135">
        <f t="shared" si="3"/>
        <v>-0.19132231404961675</v>
      </c>
      <c r="J24" s="135">
        <f t="shared" si="3"/>
        <v>-0.50380434782606653</v>
      </c>
    </row>
    <row r="25" spans="1:10" x14ac:dyDescent="0.35">
      <c r="A25" s="37" t="s">
        <v>55</v>
      </c>
      <c r="B25" s="39">
        <f>('1854'!K27-'1854'!J27)</f>
        <v>2.6399999999999864</v>
      </c>
      <c r="C25" s="44">
        <f>('1855'!K27-'1855'!J27)</f>
        <v>2.4700000000000273</v>
      </c>
      <c r="D25" s="44">
        <f>('1856'!K27-'1856'!J27)</f>
        <v>2.4199999999999591</v>
      </c>
      <c r="E25" s="44">
        <f>('1857'!K27-'1857'!J27)</f>
        <v>1.8400000000000318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'1854'!K25-'1854'!J25</f>
        <v>182</v>
      </c>
      <c r="C27" s="40">
        <f>'1855'!K25-'1855'!J25</f>
        <v>240</v>
      </c>
      <c r="D27" s="40">
        <f>'1856'!K25-'1856'!J25</f>
        <v>197</v>
      </c>
      <c r="E27" s="40">
        <f>'1857'!K25-'1857'!J25</f>
        <v>193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65536 C8:E20 M13:P13 M16:R17 C23:E65536">
    <cfRule type="cellIs" dxfId="20" priority="3" stopIfTrue="1" operator="lessThan">
      <formula>0</formula>
    </cfRule>
  </conditionalFormatting>
  <conditionalFormatting sqref="F1:R2 I13:J13 F13:L17 I16:J17 F28:R65536">
    <cfRule type="cellIs" dxfId="19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C27"/>
  <sheetViews>
    <sheetView workbookViewId="0">
      <selection activeCell="O19" sqref="O19"/>
    </sheetView>
  </sheetViews>
  <sheetFormatPr defaultColWidth="9" defaultRowHeight="17.5" x14ac:dyDescent="0.35"/>
  <cols>
    <col min="1" max="1" width="35" style="34" customWidth="1"/>
    <col min="2" max="21" width="11.453125" style="34" customWidth="1"/>
    <col min="22" max="29" width="9.81640625" style="34" customWidth="1"/>
    <col min="30" max="33" width="6.453125" style="34" customWidth="1"/>
    <col min="34" max="16384" width="9" style="34"/>
  </cols>
  <sheetData>
    <row r="1" spans="1:29" ht="18" x14ac:dyDescent="0.4">
      <c r="A1" s="35" t="s">
        <v>68</v>
      </c>
      <c r="B1" s="36">
        <f>'S1'!B1</f>
        <v>2023</v>
      </c>
    </row>
    <row r="3" spans="1:29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29" x14ac:dyDescent="0.35">
      <c r="A4" s="43" t="s">
        <v>49</v>
      </c>
      <c r="B4" s="37">
        <f>'1850'!L4-'1850'!K4+'1850'!L6-'1850'!K6+'1850'!L8-'1850'!K8+'1850'!L10-'1850'!K10+'1850'!L12-'1850'!K12+'1850'!L14-'1850'!K14+'1850'!L16-'1850'!K16+'1850'!L18-'1850'!K18+'1850'!L20-'1850'!K20+'1850'!L22-'1850'!K22</f>
        <v>49.067999999999984</v>
      </c>
      <c r="C4" s="37">
        <f>'1851'!M4-'1851'!L4+'1851'!M6-'1851'!L6+'1851'!M8-'1851'!L8+'1851'!M10-'1851'!L10+'1851'!M12-'1851'!L12+'1851'!M14-'1851'!L14+'1851'!M16-'1851'!L16+'1851'!M18-'1851'!L18+'1851'!M20-'1851'!L20+'1851'!M22-'1851'!L22+'1851'!M33-'1851'!L33+'1851'!M34-'1851'!L34+'1851'!M35-'1851'!L35+'1851'!M36-'1851'!L36+'1851'!M37-'1851'!L37+'1851'!M40-'1851'!L40+'1851'!M41-'1851'!L41+'1851'!M42-'1851'!L42+'1851'!M43-'1851'!L43+'1851'!M44-'1851'!L44+'1851'!M45-'1851'!L45+'1851'!M46-'1851'!L46+'1851'!M47-'1851'!L47+'1851'!M48-'1851'!L48+'1851'!M49-'1851'!L49</f>
        <v>70.173000000000059</v>
      </c>
      <c r="D4" s="37">
        <f>'1852'!L4-'1852'!K4+'1852'!L6-'1852'!K6+'1852'!L8-'1852'!K8+'1852'!L10-'1852'!K10+'1852'!L12-'1852'!K12+'1852'!L14-'1852'!K14+'1852'!L16-'1852'!K16+'1852'!L18-'1852'!K18+'1852'!L20-'1852'!K20+'1852'!L22-'1852'!K22</f>
        <v>78.793999999999869</v>
      </c>
      <c r="E4" s="37">
        <f>'1853'!L4-'1853'!K4+'1853'!L6-'1853'!K6+'1853'!L8-'1853'!K8+'1853'!L10-'1853'!K10+'1853'!L12-'1853'!K12+'1853'!L14-'1853'!K14+'1853'!L16-'1853'!K16+'1853'!L18-'1853'!K18+'1853'!L20-'1853'!K20+'1853'!L22-'1853'!K22+'1853'!L26-'1853'!K26</f>
        <v>83.281999999999925</v>
      </c>
      <c r="G4" s="135">
        <f>1-B4/B5</f>
        <v>0.25879154078549671</v>
      </c>
      <c r="H4" s="135">
        <f t="shared" ref="H4:J4" si="0">1-C4/C5</f>
        <v>7.3011889035664135E-2</v>
      </c>
      <c r="I4" s="135">
        <f t="shared" si="0"/>
        <v>0.10155074116305551</v>
      </c>
      <c r="J4" s="135">
        <f t="shared" si="0"/>
        <v>7.5671476137624705E-2</v>
      </c>
    </row>
    <row r="5" spans="1:29" x14ac:dyDescent="0.35">
      <c r="A5" s="43" t="s">
        <v>50</v>
      </c>
      <c r="B5" s="37">
        <f>'1850'!L26-'1850'!K26</f>
        <v>66.199999999999818</v>
      </c>
      <c r="C5" s="37">
        <f>'1851'!M26-'1851'!L26</f>
        <v>75.699999999999818</v>
      </c>
      <c r="D5" s="37">
        <f>'1852'!L26-'1852'!K26</f>
        <v>87.699999999999818</v>
      </c>
      <c r="E5" s="37">
        <f>'1853'!L27-'1853'!K27</f>
        <v>90.099999999999909</v>
      </c>
    </row>
    <row r="6" spans="1:29" x14ac:dyDescent="0.35">
      <c r="A6" s="43" t="s">
        <v>51</v>
      </c>
      <c r="B6" s="297">
        <f>SUM(B5:E5)</f>
        <v>319.69999999999936</v>
      </c>
      <c r="C6" s="297"/>
      <c r="D6" s="297"/>
      <c r="E6" s="297"/>
      <c r="G6" s="135">
        <f>1-B6/B7</f>
        <v>1.3271604938273618E-2</v>
      </c>
    </row>
    <row r="7" spans="1:29" x14ac:dyDescent="0.35">
      <c r="A7" s="43" t="s">
        <v>52</v>
      </c>
      <c r="B7" s="297">
        <f>'1850'!L29-'1850'!K29</f>
        <v>324</v>
      </c>
      <c r="C7" s="297"/>
      <c r="D7" s="297"/>
      <c r="E7" s="297"/>
    </row>
    <row r="8" spans="1:29" ht="18" x14ac:dyDescent="0.4">
      <c r="A8" s="127" t="s">
        <v>53</v>
      </c>
      <c r="B8" s="128"/>
      <c r="C8" s="128"/>
      <c r="D8" s="128"/>
      <c r="E8" s="129"/>
    </row>
    <row r="9" spans="1:29" x14ac:dyDescent="0.35">
      <c r="A9" s="37" t="s">
        <v>54</v>
      </c>
      <c r="B9" s="37">
        <f>'1850'!L5-'1850'!K5+'1850'!L7-'1850'!K7+'1850'!L9-'1850'!K9+'1850'!L11-'1850'!K11+'1850'!L13-'1850'!K13+'1850'!L15-'1850'!K15+'1850'!L17-'1850'!K17+'1850'!L19-'1850'!K19+'1850'!L21-'1850'!K21+'1850'!L23-'1850'!K23</f>
        <v>3.1709999999999994</v>
      </c>
      <c r="C9" s="37">
        <f>'1851'!M5-'1851'!L5+'1851'!M7-'1851'!L7+'1851'!M9-'1851'!L9+'1851'!M11-'1851'!L11+'1851'!M13-'1851'!L13+'1851'!M15-'1851'!L15+'1851'!M17-'1851'!L17+'1851'!M19-'1851'!L19+'1851'!M21-'1851'!L21+'1851'!M23-'1851'!L23</f>
        <v>5.1590000000000025</v>
      </c>
      <c r="D9" s="37">
        <f>'1852'!L5-'1852'!K5+'1852'!L7-'1852'!K7+'1852'!L9-'1852'!K9+'1852'!L11-'1852'!K11+'1852'!L13-'1852'!K13+'1852'!L15-'1852'!K15+'1852'!L17-'1852'!K17+'1852'!L19-'1852'!K19+'1852'!L21-'1852'!K21+'1852'!L23-'1852'!K23</f>
        <v>5.1020000000000039</v>
      </c>
      <c r="E9" s="37">
        <f>'1853'!L5-'1853'!K5+'1853'!L7-'1853'!K7+'1853'!L9-'1853'!K9+'1853'!L11-'1853'!K11+'1853'!L13-'1853'!K13+'1853'!L15-'1853'!K15+'1853'!L17-'1853'!K17+'1853'!L19-'1853'!K19+'1853'!L21-'1853'!K21+'1853'!L23-'1853'!K23</f>
        <v>3.6039999999999992</v>
      </c>
      <c r="G9" s="135">
        <f>1-B9/B10</f>
        <v>-0.55441176470588194</v>
      </c>
      <c r="H9" s="135">
        <f t="shared" ref="H9:J9" si="1">1-C9/C10</f>
        <v>0.44106175514626189</v>
      </c>
      <c r="I9" s="135">
        <f t="shared" si="1"/>
        <v>-0.45771428571428685</v>
      </c>
      <c r="J9" s="135">
        <f t="shared" si="1"/>
        <v>-0.2342465753424654</v>
      </c>
    </row>
    <row r="10" spans="1:29" x14ac:dyDescent="0.35">
      <c r="A10" s="37" t="s">
        <v>55</v>
      </c>
      <c r="B10" s="39">
        <f>('1850'!L27-'1850'!K27)</f>
        <v>2.04</v>
      </c>
      <c r="C10" s="44">
        <f>('1851'!M27-'1851'!L27)</f>
        <v>9.23</v>
      </c>
      <c r="D10" s="44">
        <f>('1852'!L27-'1852'!K27)</f>
        <v>3.5</v>
      </c>
      <c r="E10" s="44">
        <f>('1853'!L28-'1853'!K28)</f>
        <v>2.92</v>
      </c>
    </row>
    <row r="11" spans="1:29" ht="18" x14ac:dyDescent="0.4">
      <c r="A11" s="127" t="s">
        <v>61</v>
      </c>
      <c r="B11" s="128"/>
      <c r="C11" s="128"/>
      <c r="D11" s="128"/>
      <c r="E11" s="129"/>
    </row>
    <row r="12" spans="1:29" x14ac:dyDescent="0.35">
      <c r="A12" s="37" t="s">
        <v>57</v>
      </c>
      <c r="B12" s="40">
        <f>'1850'!L25-'1850'!K25</f>
        <v>178</v>
      </c>
      <c r="C12" s="40">
        <f>'1851'!M24-'1851'!L24</f>
        <v>239</v>
      </c>
      <c r="D12" s="40">
        <f>'1852'!L25-'1852'!K25</f>
        <v>201</v>
      </c>
      <c r="E12" s="40">
        <f>'1853'!L24-'1853'!K24</f>
        <v>195</v>
      </c>
    </row>
    <row r="13" spans="1:29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</row>
    <row r="14" spans="1:29" x14ac:dyDescent="0.35">
      <c r="A14" s="34" t="s">
        <v>58</v>
      </c>
      <c r="B14" s="41">
        <f>'1853'!L25-'1853'!K25</f>
        <v>238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</row>
    <row r="15" spans="1:29" x14ac:dyDescent="0.35">
      <c r="A15" s="34" t="s">
        <v>59</v>
      </c>
      <c r="B15" s="42">
        <f>'1853'!L26-'1853'!K26</f>
        <v>14.917999999999893</v>
      </c>
      <c r="C15" s="42"/>
      <c r="D15" s="42"/>
      <c r="E15" s="42"/>
      <c r="F15" s="42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</row>
    <row r="16" spans="1:29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'1854'!L4-'1854'!K4+'1854'!L6-'1854'!K6+'1854'!L8-'1854'!K8+'1854'!L10-'1854'!K10+'1854'!L12-'1854'!K12+'1854'!L14-'1854'!K14+'1854'!L16-'1854'!K16+'1854'!L18-'1854'!K18+'1854'!L20-'1854'!K20+'1854'!L22-'1854'!K22</f>
        <v>54.082999999999956</v>
      </c>
      <c r="C19" s="37">
        <f>'1855'!L4-'1855'!K4+'1855'!L6-'1855'!K6+'1855'!L8-'1855'!K8+'1855'!L10-'1855'!K10+'1855'!L12-'1855'!K12+'1855'!L14-'1855'!K14+'1855'!L16-'1855'!K16+'1855'!L18-'1855'!K18+'1855'!L20-'1855'!K20+'1855'!L22-'1855'!K22</f>
        <v>61.445999999999913</v>
      </c>
      <c r="D19" s="37">
        <f>'1856'!L4-'1856'!K4+'1856'!L6-'1856'!K6+'1856'!L8-'1856'!K8+'1856'!L10-'1856'!K10+'1856'!L12-'1856'!K12+'1856'!L14-'1856'!K14+'1856'!L16-'1856'!K16+'1856'!L18-'1856'!K18+'1856'!L20-'1856'!K20+'1856'!L22-'1856'!K22</f>
        <v>75.430999999999926</v>
      </c>
      <c r="E19" s="37">
        <f>'1857'!L4-'1857'!K4+'1857'!L6-'1857'!K6+'1857'!L8-'1857'!K8+'1857'!L10-'1857'!K10+'1857'!L12-'1857'!K12+'1857'!L14-'1857'!K14+'1857'!L16-'1857'!K16+'1857'!L18-'1857'!K18+'1857'!L20-'1857'!K20+'1857'!L22-'1857'!K22</f>
        <v>79.668000000000063</v>
      </c>
      <c r="G19" s="135">
        <f>1-B19/B20</f>
        <v>9.4087102177552451E-2</v>
      </c>
      <c r="H19" s="135">
        <f t="shared" ref="H19:J19" si="2">1-C19/C20</f>
        <v>0.13211864406780005</v>
      </c>
      <c r="I19" s="135">
        <f t="shared" si="2"/>
        <v>9.4465786314528621E-2</v>
      </c>
      <c r="J19" s="135">
        <f t="shared" si="2"/>
        <v>0.10485393258426901</v>
      </c>
    </row>
    <row r="20" spans="1:10" x14ac:dyDescent="0.35">
      <c r="A20" s="37" t="s">
        <v>50</v>
      </c>
      <c r="B20" s="37">
        <f>'1854'!L26-'1854'!K26</f>
        <v>59.699999999999818</v>
      </c>
      <c r="C20" s="37">
        <f>'1855'!L26-'1855'!K26</f>
        <v>70.800000000000182</v>
      </c>
      <c r="D20" s="37">
        <f>'1856'!L26-'1856'!K26</f>
        <v>83.300000000000182</v>
      </c>
      <c r="E20" s="37">
        <f>'1857'!L26-'1857'!K26</f>
        <v>89</v>
      </c>
    </row>
    <row r="21" spans="1:10" x14ac:dyDescent="0.35">
      <c r="A21" s="37" t="s">
        <v>51</v>
      </c>
      <c r="B21" s="297">
        <f>SUM(B20:E20)</f>
        <v>302.80000000000018</v>
      </c>
      <c r="C21" s="297"/>
      <c r="D21" s="297"/>
      <c r="E21" s="297"/>
      <c r="G21" s="135">
        <f>1-B21/B22</f>
        <v>-5.2119527449614456E-2</v>
      </c>
    </row>
    <row r="22" spans="1:10" x14ac:dyDescent="0.35">
      <c r="A22" s="37" t="s">
        <v>52</v>
      </c>
      <c r="B22" s="297">
        <f>'1854'!L29-'1854'!K29</f>
        <v>287.80000000000109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'1854'!L5-'1854'!K5+'1854'!L7-'1854'!K7+'1854'!L9-'1854'!K9+'1854'!L11-'1854'!K11+'1854'!L13-'1854'!K13+'1854'!L15-'1854'!K15+'1854'!L17-'1854'!K17+'1854'!L19-'1854'!K19+'1854'!L21-'1854'!K21+'1854'!L23-'1854'!K23</f>
        <v>2.8970000000000198</v>
      </c>
      <c r="C24" s="37">
        <f>'1855'!L5-'1855'!K5+'1855'!L7-'1855'!K7+'1855'!L9-'1855'!K9+'1855'!L11-'1855'!K11+'1855'!L13-'1855'!K13+'1855'!L15-'1855'!K15+'1855'!L17-'1855'!K17+'1855'!L19-'1855'!K19+'1855'!L21-'1855'!K21+'1855'!L23-'1855'!K23</f>
        <v>3.3909999999999982</v>
      </c>
      <c r="D24" s="37">
        <f>'1856'!L5-'1856'!K5+'1856'!L7-'1856'!K7+'1856'!L9-'1856'!K9+'1856'!L11-'1856'!K11+'1856'!L13-'1856'!K13+'1856'!L15-'1856'!K15+'1856'!L17-'1856'!K17+'1856'!L19-'1856'!K19+'1856'!L21-'1856'!K21+'1856'!L23-'1856'!K23</f>
        <v>3.54200000000003</v>
      </c>
      <c r="E24" s="37">
        <f>'1857'!L5-'1857'!K5+'1857'!L7-'1857'!K7+'1857'!L9-'1857'!K9+'1857'!L11-'1857'!K11+'1857'!L13-'1857'!K13+'1857'!L15-'1857'!K15+'1857'!L17-'1857'!K17+'1857'!L19-'1857'!K19+'1857'!L21-'1857'!K21+'1857'!L23-'1857'!K23</f>
        <v>4.0240000000000009</v>
      </c>
      <c r="G24" s="135">
        <f>1-B24/B25</f>
        <v>0.11406727828745078</v>
      </c>
      <c r="H24" s="135">
        <f t="shared" ref="H24:J24" si="3">1-C24/C25</f>
        <v>-0.19401408450702817</v>
      </c>
      <c r="I24" s="135">
        <f t="shared" si="3"/>
        <v>-5.7313432835822686E-2</v>
      </c>
      <c r="J24" s="135">
        <f t="shared" si="3"/>
        <v>-0.3458193979933073</v>
      </c>
    </row>
    <row r="25" spans="1:10" x14ac:dyDescent="0.35">
      <c r="A25" s="37" t="s">
        <v>55</v>
      </c>
      <c r="B25" s="44">
        <f>('1854'!L27-'1854'!K27)</f>
        <v>3.2699999999999818</v>
      </c>
      <c r="C25" s="44">
        <f>('1855'!L27-'1855'!K27)</f>
        <v>2.8400000000000318</v>
      </c>
      <c r="D25" s="44">
        <f>('1856'!L27-'1856'!K27)</f>
        <v>3.3500000000000227</v>
      </c>
      <c r="E25" s="44">
        <f>('1857'!L27-'1857'!K27)</f>
        <v>2.9900000000000091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'1854'!L25-'1854'!K25</f>
        <v>191</v>
      </c>
      <c r="C27" s="40">
        <f>'1855'!L25-'1855'!K25</f>
        <v>216</v>
      </c>
      <c r="D27" s="40">
        <f>'1856'!L25-'1856'!K25</f>
        <v>196</v>
      </c>
      <c r="E27" s="40">
        <f>'1857'!L25-'1857'!K25</f>
        <v>196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B1:B65536">
    <cfRule type="cellIs" dxfId="18" priority="4" stopIfTrue="1" operator="lessThan">
      <formula>0</formula>
    </cfRule>
  </conditionalFormatting>
  <conditionalFormatting sqref="C1:E5 C8:E20 O13:R13 O16:U17 C23:E65536">
    <cfRule type="cellIs" dxfId="17" priority="5" stopIfTrue="1" operator="lessThan">
      <formula>0</formula>
    </cfRule>
  </conditionalFormatting>
  <conditionalFormatting sqref="F1:U2 I13:J13 F13:N17 I16:J17 F28:U65536">
    <cfRule type="cellIs" dxfId="16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F27"/>
  <sheetViews>
    <sheetView topLeftCell="A2" workbookViewId="0">
      <selection activeCell="H13" sqref="H13"/>
    </sheetView>
  </sheetViews>
  <sheetFormatPr defaultColWidth="9" defaultRowHeight="17.5" x14ac:dyDescent="0.35"/>
  <cols>
    <col min="1" max="1" width="35" style="34" customWidth="1"/>
    <col min="2" max="15" width="11.453125" style="34" customWidth="1"/>
    <col min="16" max="16" width="13.36328125" style="34" customWidth="1"/>
    <col min="17" max="24" width="11.453125" style="34" customWidth="1"/>
    <col min="25" max="32" width="9.81640625" style="34" customWidth="1"/>
    <col min="33" max="36" width="6.453125" style="34" customWidth="1"/>
    <col min="37" max="16384" width="9" style="34"/>
  </cols>
  <sheetData>
    <row r="1" spans="1:32" ht="18" x14ac:dyDescent="0.4">
      <c r="A1" s="35" t="s">
        <v>69</v>
      </c>
      <c r="B1" s="36">
        <f>'S1'!B1</f>
        <v>2023</v>
      </c>
      <c r="C1" s="36"/>
    </row>
    <row r="3" spans="1:32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32" x14ac:dyDescent="0.35">
      <c r="A4" s="43" t="s">
        <v>49</v>
      </c>
      <c r="B4" s="37">
        <f>'1850'!M4-'1850'!L4+'1850'!M6-'1850'!L6+'1850'!M8-'1850'!L8+'1850'!M10-'1850'!L10+'1850'!M12-'1850'!L12+'1850'!M14-'1850'!L14+'1850'!M16-'1850'!L16+'1850'!M18-'1850'!L18+'1850'!M20-'1850'!L20+'1850'!M22-'1850'!L22</f>
        <v>54.534999999999968</v>
      </c>
      <c r="C4" s="37">
        <f>'1851'!N4-'1851'!M4+'1851'!N6-'1851'!M6+'1851'!N8-'1851'!M8+'1851'!N10-'1851'!M10+'1851'!N12-'1851'!M12+'1851'!N14-'1851'!M14+'1851'!N16-'1851'!M16+'1851'!N18-'1851'!M18+'1851'!N20-'1851'!M20+'1851'!N22-'1851'!M22+'1851'!N33-'1851'!M33+'1851'!N34-'1851'!M34+'1851'!N35-'1851'!M35+'1851'!N36-'1851'!M36+'1851'!N37-'1851'!M37+'1851'!N40-'1851'!M40+'1851'!N41-'1851'!M41+'1851'!N42-'1851'!M42+'1851'!N43-'1851'!M43+'1851'!N44-'1851'!M44+'1851'!N45-'1851'!M45+'1851'!N46-'1851'!M46+'1851'!N47-'1851'!M47+'1851'!N48-'1851'!M48+'1851'!N49-'1851'!M49</f>
        <v>76.436999999999784</v>
      </c>
      <c r="D4" s="37">
        <f>'1852'!M4-'1852'!L4+'1852'!M6-'1852'!L6+'1852'!M8-'1852'!L8+'1852'!M10-'1852'!L10+'1852'!M12-'1852'!L12+'1852'!M14-'1852'!L14+'1852'!M16-'1852'!L16+'1852'!M18-'1852'!L18+'1852'!M20-'1852'!L20+'1852'!M22-'1852'!L22</f>
        <v>88.971999999999866</v>
      </c>
      <c r="E4" s="37">
        <f>'1853'!M4-'1853'!L4+'1853'!M6-'1853'!L6+'1853'!M8-'1853'!L8+'1853'!M10-'1853'!L10+'1853'!M12-'1853'!L12+'1853'!M14-'1853'!L14+'1853'!M16-'1853'!L16+'1853'!M18-'1853'!L18+'1853'!M20-'1853'!L20+'1853'!M22-'1853'!L22+'1853'!M26-'1853'!L26</f>
        <v>69.710000000000264</v>
      </c>
      <c r="G4" s="135">
        <f>1-B4/B5</f>
        <v>-5.6879844961232218E-2</v>
      </c>
      <c r="H4" s="135">
        <f t="shared" ref="H4:J4" si="0">1-C4/C5</f>
        <v>6.6703296703295223E-2</v>
      </c>
      <c r="I4" s="135">
        <f t="shared" si="0"/>
        <v>9.6730964467006464E-2</v>
      </c>
      <c r="J4" s="135">
        <f t="shared" si="0"/>
        <v>8.9947780678852007E-2</v>
      </c>
    </row>
    <row r="5" spans="1:32" x14ac:dyDescent="0.35">
      <c r="A5" s="43" t="s">
        <v>50</v>
      </c>
      <c r="B5" s="37">
        <f>'1850'!M26-'1850'!L26</f>
        <v>51.600000000000364</v>
      </c>
      <c r="C5" s="37">
        <f>'1851'!N26-'1851'!M26</f>
        <v>81.899999999999636</v>
      </c>
      <c r="D5" s="37">
        <f>'1852'!M26-'1852'!L26</f>
        <v>98.5</v>
      </c>
      <c r="E5" s="37">
        <f>'1853'!M27-'1853'!L27</f>
        <v>76.600000000000364</v>
      </c>
    </row>
    <row r="6" spans="1:32" x14ac:dyDescent="0.35">
      <c r="A6" s="43" t="s">
        <v>51</v>
      </c>
      <c r="B6" s="297">
        <f>SUM(B5:E5)</f>
        <v>308.60000000000036</v>
      </c>
      <c r="C6" s="297"/>
      <c r="D6" s="297"/>
      <c r="E6" s="297"/>
      <c r="G6" s="135">
        <f>1-B6/B7</f>
        <v>7.1600481347776745E-2</v>
      </c>
    </row>
    <row r="7" spans="1:32" x14ac:dyDescent="0.35">
      <c r="A7" s="43" t="s">
        <v>52</v>
      </c>
      <c r="B7" s="297">
        <f>'1850'!M29-'1850'!L29</f>
        <v>332.40000000000146</v>
      </c>
      <c r="C7" s="297"/>
      <c r="D7" s="297"/>
      <c r="E7" s="297"/>
    </row>
    <row r="8" spans="1:32" ht="18" x14ac:dyDescent="0.4">
      <c r="A8" s="127" t="s">
        <v>53</v>
      </c>
      <c r="B8" s="128"/>
      <c r="C8" s="128"/>
      <c r="D8" s="128"/>
      <c r="E8" s="129"/>
    </row>
    <row r="9" spans="1:32" x14ac:dyDescent="0.35">
      <c r="A9" s="37" t="s">
        <v>54</v>
      </c>
      <c r="B9" s="37">
        <f>'1850'!M5-'1850'!L5+'1850'!M7-'1850'!L7+'1850'!M9-'1850'!L9+'1850'!M11-'1850'!L11+'1850'!M13-'1850'!L13+'1850'!M15-'1850'!L15+'1850'!M17-'1850'!L17+'1850'!M19-'1850'!L19+'1850'!M21-'1850'!L21+'1850'!M23-'1850'!L23</f>
        <v>6.0499999999999972</v>
      </c>
      <c r="C9" s="37">
        <f>'1851'!N5-'1851'!M5+'1851'!N7-'1851'!M7+'1851'!N9-'1851'!M9+'1851'!N11-'1851'!M11+'1851'!N13-'1851'!M13+'1851'!N15-'1851'!M15+'1851'!N17-'1851'!M17+'1851'!N19-'1851'!M19+'1851'!N21-'1851'!M21+'1851'!N23-'1851'!M23</f>
        <v>10.636000000000006</v>
      </c>
      <c r="D9" s="37">
        <f>'1852'!M5-'1852'!L5+'1852'!M7-'1852'!L7+'1852'!M9-'1852'!L9+'1852'!M11-'1852'!L11+'1852'!M13-'1852'!L13+'1852'!M15-'1852'!L15+'1852'!M17-'1852'!L17+'1852'!M19-'1852'!L19+'1852'!M21-'1852'!L21+'1852'!M23-'1852'!L23</f>
        <v>9.350999999999992</v>
      </c>
      <c r="E9" s="37">
        <f>'1853'!M5-'1853'!L5+'1853'!M7-'1853'!L7+'1853'!M9-'1853'!L9+'1853'!M11-'1853'!L11+'1853'!M13-'1853'!L13+'1853'!M15-'1853'!L15+'1853'!M17-'1853'!L17+'1853'!M19-'1853'!L19+'1853'!M21-'1853'!L21+'1853'!M23-'1853'!L23</f>
        <v>5.5769999999999911</v>
      </c>
      <c r="G9" s="135">
        <f>1-B9/B10</f>
        <v>7.3506891271057251E-2</v>
      </c>
      <c r="H9" s="135">
        <f t="shared" ref="H9:J9" si="1">1-C9/C10</f>
        <v>0.25570328901329553</v>
      </c>
      <c r="I9" s="135">
        <f t="shared" si="1"/>
        <v>-0.12122302158273279</v>
      </c>
      <c r="J9" s="135">
        <f t="shared" si="1"/>
        <v>-5.0282485875704497E-2</v>
      </c>
    </row>
    <row r="10" spans="1:32" x14ac:dyDescent="0.35">
      <c r="A10" s="37" t="s">
        <v>55</v>
      </c>
      <c r="B10" s="44">
        <f>('1850'!M27-'1850'!L27)</f>
        <v>6.5300000000000011</v>
      </c>
      <c r="C10" s="44">
        <f>('1851'!N27-'1851'!M27)</f>
        <v>14.29</v>
      </c>
      <c r="D10" s="44">
        <f>('1852'!M27-'1852'!L27)</f>
        <v>8.34</v>
      </c>
      <c r="E10" s="44">
        <f>('1853'!M28-'1853'!L28)</f>
        <v>5.3100000000000005</v>
      </c>
    </row>
    <row r="11" spans="1:32" ht="18" x14ac:dyDescent="0.4">
      <c r="A11" s="127" t="s">
        <v>61</v>
      </c>
      <c r="B11" s="128"/>
      <c r="C11" s="128"/>
      <c r="D11" s="128"/>
      <c r="E11" s="129"/>
    </row>
    <row r="12" spans="1:32" x14ac:dyDescent="0.35">
      <c r="A12" s="37" t="s">
        <v>57</v>
      </c>
      <c r="B12" s="40">
        <f>'1850'!M25-'1850'!L25</f>
        <v>182</v>
      </c>
      <c r="C12" s="40">
        <f>'1851'!N24-'1851'!M24</f>
        <v>271</v>
      </c>
      <c r="D12" s="40">
        <f>'1852'!M25-'1852'!L25</f>
        <v>189</v>
      </c>
      <c r="E12" s="40">
        <f>'1853'!M24-'1853'!L24</f>
        <v>173</v>
      </c>
    </row>
    <row r="13" spans="1:32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32" x14ac:dyDescent="0.35">
      <c r="A14" s="34" t="s">
        <v>58</v>
      </c>
      <c r="B14" s="41">
        <f>'1853'!M25-'1853'!L25</f>
        <v>284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32" x14ac:dyDescent="0.35">
      <c r="A15" s="34" t="s">
        <v>59</v>
      </c>
      <c r="B15" s="42">
        <f>'1853'!M26-'1853'!L26</f>
        <v>4.9200000000000728</v>
      </c>
      <c r="C15" s="42"/>
      <c r="D15" s="42"/>
      <c r="E15" s="42"/>
      <c r="F15" s="42"/>
      <c r="G15" s="41"/>
      <c r="H15" s="41"/>
      <c r="I15" s="41"/>
      <c r="J15" s="41"/>
      <c r="K15" s="42"/>
      <c r="L15" s="42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</row>
    <row r="16" spans="1:32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</row>
    <row r="18" spans="1:16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6" x14ac:dyDescent="0.35">
      <c r="A19" s="37" t="s">
        <v>49</v>
      </c>
      <c r="B19" s="37">
        <f>'1854'!M4-'1854'!L4+'1854'!M6-'1854'!L6+'1854'!M8-'1854'!L8+'1854'!M10-'1854'!L10+'1854'!M12-'1854'!L12+'1854'!M14-'1854'!L14+'1854'!M16-'1854'!L16+'1854'!M18-'1854'!L18+'1854'!M20-'1854'!L20+'1854'!M22-'1854'!L22</f>
        <v>42.224000000000046</v>
      </c>
      <c r="C19" s="37">
        <f>'1855'!M4-'1855'!L4+'1855'!M6-'1855'!L6+'1855'!M8-'1855'!L8+'1855'!M10-'1855'!L10+'1855'!M12-'1855'!L12+'1855'!M14-'1855'!L14+'1855'!M16-'1855'!L16+'1855'!M18-'1855'!L18+'1855'!M20-'1855'!L20+'1855'!M22-'1855'!L22</f>
        <v>60.409999999999968</v>
      </c>
      <c r="D19" s="37">
        <f>'1856'!M4-'1856'!L4+'1856'!M6-'1856'!L6+'1856'!M8-'1856'!L8+'1856'!M10-'1856'!L10+'1856'!M12-'1856'!L12+'1856'!M14-'1856'!L14+'1856'!M16-'1856'!L16+'1856'!M18-'1856'!L18+'1856'!M20-'1856'!L20+'1856'!M22-'1856'!L22</f>
        <v>76.125000000000114</v>
      </c>
      <c r="E19" s="37">
        <f>'1857'!M4-'1857'!L4+'1857'!M6-'1857'!L6+'1857'!M8-'1857'!L8+'1857'!M10-'1857'!L10+'1857'!M12-'1857'!L12+'1857'!M14-'1857'!L14+'1857'!M16-'1857'!L16+'1857'!M18-'1857'!L18+'1857'!M20-'1857'!L20+'1857'!M22-'1857'!L22</f>
        <v>75.882999999999868</v>
      </c>
      <c r="G19" s="135">
        <f>1-B19/B20</f>
        <v>8.6060606060601508E-2</v>
      </c>
      <c r="H19" s="135">
        <f t="shared" ref="H19:J19" si="2">1-C19/C20</f>
        <v>0.13700000000000045</v>
      </c>
      <c r="I19" s="135">
        <f t="shared" si="2"/>
        <v>9.6975088967972134E-2</v>
      </c>
      <c r="J19" s="135">
        <f t="shared" si="2"/>
        <v>9.9845788849351025E-2</v>
      </c>
    </row>
    <row r="20" spans="1:16" x14ac:dyDescent="0.35">
      <c r="A20" s="37" t="s">
        <v>50</v>
      </c>
      <c r="B20" s="37">
        <f>'1854'!M26-'1854'!L26</f>
        <v>46.199999999999818</v>
      </c>
      <c r="C20" s="37">
        <f>'1855'!M26-'1855'!L26</f>
        <v>70</v>
      </c>
      <c r="D20" s="37">
        <f>'1856'!M26-'1856'!L26</f>
        <v>84.300000000000182</v>
      </c>
      <c r="E20" s="37">
        <f>'1857'!M26-'1857'!L26</f>
        <v>84.300000000000182</v>
      </c>
    </row>
    <row r="21" spans="1:16" x14ac:dyDescent="0.35">
      <c r="A21" s="37" t="s">
        <v>51</v>
      </c>
      <c r="B21" s="297">
        <f>SUM(B20:E20)</f>
        <v>284.80000000000018</v>
      </c>
      <c r="C21" s="297"/>
      <c r="D21" s="297"/>
      <c r="E21" s="297"/>
      <c r="G21" s="135">
        <f>1-B21/B22</f>
        <v>-4.3605716379628401E-2</v>
      </c>
    </row>
    <row r="22" spans="1:16" x14ac:dyDescent="0.35">
      <c r="A22" s="37" t="s">
        <v>52</v>
      </c>
      <c r="B22" s="297">
        <f>'1854'!M29-'1854'!L29</f>
        <v>272.89999999999964</v>
      </c>
      <c r="C22" s="297"/>
      <c r="D22" s="297"/>
      <c r="E22" s="297"/>
    </row>
    <row r="23" spans="1:16" ht="18" x14ac:dyDescent="0.4">
      <c r="A23" s="127" t="s">
        <v>53</v>
      </c>
      <c r="B23" s="128"/>
      <c r="C23" s="128"/>
      <c r="D23" s="128"/>
      <c r="E23" s="129"/>
      <c r="O23" s="276" t="s">
        <v>434</v>
      </c>
      <c r="P23" s="277"/>
    </row>
    <row r="24" spans="1:16" x14ac:dyDescent="0.35">
      <c r="A24" s="37" t="s">
        <v>54</v>
      </c>
      <c r="B24" s="37">
        <f>'1854'!M5-'1854'!L5+'1854'!M7-'1854'!L7+'1854'!M9-'1854'!L9+'1854'!M11-'1854'!L11+'1854'!M13-'1854'!L13+'1854'!M15-'1854'!L15+'1854'!M17-'1854'!L17+'1854'!M19-'1854'!L19+'1854'!M21-'1854'!L21+'1854'!M23-'1854'!L23</f>
        <v>5.8390000000000075</v>
      </c>
      <c r="C24" s="37">
        <f>'1855'!M5-'1855'!L5+'1855'!M7-'1855'!L7+'1855'!M9-'1855'!L9+'1855'!M11-'1855'!L11+'1855'!M13-'1855'!L13+'1855'!M15-'1855'!L15+'1855'!M17-'1855'!L17+'1855'!M19-'1855'!L19+'1855'!M21-'1855'!L21+'1855'!M23-'1855'!L23</f>
        <v>7.3340000000000032</v>
      </c>
      <c r="D24" s="243">
        <f>'1856'!M5+'1856'!M7+'1856'!M9+'1856'!M11+'1856'!M13+'1856'!M15+'1856'!M17+'1856'!M19+'1856'!M21+'1856'!M23</f>
        <v>6.4790000000000001</v>
      </c>
      <c r="E24" s="37">
        <f>'1857'!M5-'1857'!L5+'1857'!M7-'1857'!L7+'1857'!M9-'1857'!L9+'1857'!M11-'1857'!L11+'1857'!M13-'1857'!L13+'1857'!M15-'1857'!L15+'1857'!M17-'1857'!L17+'1857'!M19-'1857'!L19+'1857'!M21-'1857'!L21+'1857'!M23-'1857'!L23</f>
        <v>7.7820000000000107</v>
      </c>
      <c r="G24" s="135">
        <f>1-B24/B25</f>
        <v>0.15007278020378401</v>
      </c>
      <c r="H24" s="135">
        <f t="shared" ref="H24:J24" si="3">1-C24/C25</f>
        <v>9.6798029556637744E-2</v>
      </c>
      <c r="I24" s="135">
        <f t="shared" si="3"/>
        <v>-0.13269230769230234</v>
      </c>
      <c r="J24" s="135">
        <f t="shared" si="3"/>
        <v>-3.0728476821199724E-2</v>
      </c>
      <c r="O24" s="276">
        <f>'1856'!M5-'1856'!L5+'1856'!M7-'1856'!L7+'1856'!M9-'1856'!L9+'1856'!M11-'1856'!L11+'1856'!M13-'1856'!L13+'1856'!M15-'1856'!L15+'1856'!M17-'1856'!L17+'1856'!M19-'1856'!L19+'1856'!M21-'1856'!L21+'1856'!M23-'1856'!L23</f>
        <v>-1149.1709999999998</v>
      </c>
      <c r="P24" s="275" t="s">
        <v>435</v>
      </c>
    </row>
    <row r="25" spans="1:16" x14ac:dyDescent="0.35">
      <c r="A25" s="37" t="s">
        <v>55</v>
      </c>
      <c r="B25" s="44">
        <f>('1854'!M27-'1854'!L27)</f>
        <v>6.8700000000000045</v>
      </c>
      <c r="C25" s="44">
        <f>('1855'!M27-'1855'!L27)</f>
        <v>8.1199999999998909</v>
      </c>
      <c r="D25" s="44">
        <f>('1856'!M27-'1856'!L27)</f>
        <v>5.7200000000000273</v>
      </c>
      <c r="E25" s="44">
        <f>('1857'!M27-'1857'!L27)</f>
        <v>7.5499999999999545</v>
      </c>
    </row>
    <row r="26" spans="1:16" ht="18" x14ac:dyDescent="0.4">
      <c r="A26" s="127" t="s">
        <v>61</v>
      </c>
      <c r="B26" s="128"/>
      <c r="C26" s="128"/>
      <c r="D26" s="128"/>
      <c r="E26" s="129"/>
    </row>
    <row r="27" spans="1:16" x14ac:dyDescent="0.35">
      <c r="A27" s="37" t="s">
        <v>57</v>
      </c>
      <c r="B27" s="40">
        <f>'1854'!M25-'1854'!L25</f>
        <v>179</v>
      </c>
      <c r="C27" s="40">
        <f>'1855'!M25-'1855'!L25</f>
        <v>229</v>
      </c>
      <c r="D27" s="40">
        <f>'1856'!M25-'1856'!L25</f>
        <v>176</v>
      </c>
      <c r="E27" s="40">
        <f>'1857'!M25-'1857'!L25</f>
        <v>186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Q13:T13 Q16:X17 C23:E65536">
    <cfRule type="cellIs" dxfId="15" priority="5" stopIfTrue="1" operator="lessThan">
      <formula>0</formula>
    </cfRule>
  </conditionalFormatting>
  <conditionalFormatting sqref="F1:X2 I13:J13 F13:P17 I16:J17 F28:X65536">
    <cfRule type="cellIs" dxfId="14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I27"/>
  <sheetViews>
    <sheetView topLeftCell="A4" workbookViewId="0">
      <selection activeCell="H16" sqref="H16"/>
    </sheetView>
  </sheetViews>
  <sheetFormatPr defaultColWidth="9" defaultRowHeight="17.5" x14ac:dyDescent="0.35"/>
  <cols>
    <col min="1" max="1" width="35" style="34" customWidth="1"/>
    <col min="2" max="27" width="11.453125" style="34" customWidth="1"/>
    <col min="28" max="35" width="9.81640625" style="34" customWidth="1"/>
    <col min="36" max="39" width="6.453125" style="34" customWidth="1"/>
    <col min="40" max="16384" width="9" style="34"/>
  </cols>
  <sheetData>
    <row r="1" spans="1:35" ht="18" x14ac:dyDescent="0.4">
      <c r="A1" s="35" t="s">
        <v>70</v>
      </c>
      <c r="B1" s="36">
        <f>'S1'!B1</f>
        <v>2023</v>
      </c>
      <c r="C1" s="36"/>
      <c r="D1" s="36"/>
      <c r="E1" s="36"/>
    </row>
    <row r="3" spans="1:35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35" x14ac:dyDescent="0.35">
      <c r="A4" s="43" t="s">
        <v>49</v>
      </c>
      <c r="B4" s="37">
        <f>'1850'!N4-'1850'!M4+'1850'!N6-'1850'!M6+'1850'!N8-'1850'!M8+'1850'!N10-'1850'!M10+'1850'!N12-'1850'!M12+'1850'!N14-'1850'!M14+'1850'!N16-'1850'!M16+'1850'!N18-'1850'!M18+'1850'!N20-'1850'!M20+'1850'!N22-'1850'!M22</f>
        <v>52.196000000000083</v>
      </c>
      <c r="C4" s="278">
        <f>'1851'!O4-'1851'!N4+'1851'!O6-'1851'!N6+'1851'!O8-'1851'!N8+'1851'!O10-'1851'!N10+'1851'!O12-'1851'!N12+'1851'!O14-'1851'!N14+'1851'!O16-'1851'!N16+'1851'!O18-'1851'!N18+'1851'!O20-'1851'!N20+'1851'!O22-'1851'!N22+'1851'!O33-'1851'!N33+'1851'!O34-'1851'!N34+'1851'!O35-'1851'!N35+'1851'!O36-'1851'!N36+'1851'!O37-'1851'!N37+'1851'!O40-'1851'!N40+'1851'!O41-'1851'!N41+'1851'!O42-'1851'!N42+'1851'!O43-'1851'!N43+'1851'!O44-'1851'!N44+'1851'!O45-'1851'!N45+'1851'!O46-'1851'!N46+'1851'!O47-'1851'!N47+'1851'!O48-'1851'!N48+'1851'!O49-'1851'!N49</f>
        <v>80.403000000000006</v>
      </c>
      <c r="D4" s="278">
        <f>'1852'!N4-'1852'!M4+'1852'!N6-'1852'!M6+'1852'!N8-'1852'!M8+'1852'!N10-'1852'!M10+'1852'!N12-'1852'!M12+'1852'!N14-'1852'!M14+'1852'!N16-'1852'!M16+'1852'!N18-'1852'!M18+'1852'!N20-'1852'!M20+'1852'!N22-'1852'!M22</f>
        <v>82.54400000000004</v>
      </c>
      <c r="E4" s="37">
        <f>'1853'!N4-'1853'!M4+'1853'!N6-'1853'!M6+'1853'!N8-'1853'!M8+'1853'!N10-'1853'!M10+'1853'!N12-'1853'!M12+'1853'!N14-'1853'!M14+'1853'!N16-'1853'!M16+'1853'!N18-'1853'!M18+'1853'!N20-'1853'!M20+'1853'!N22-'1853'!M22+'1853'!N26-'1853'!M26</f>
        <v>68.659999999999854</v>
      </c>
      <c r="G4" s="135">
        <f>1-B4/B5</f>
        <v>0.11831081081080674</v>
      </c>
      <c r="H4" s="135">
        <f t="shared" ref="H4:J4" si="0">1-C4/C5</f>
        <v>7.1558891454969187E-2</v>
      </c>
      <c r="I4" s="135">
        <f t="shared" si="0"/>
        <v>9.8864628820954925E-2</v>
      </c>
      <c r="J4" s="135">
        <f t="shared" si="0"/>
        <v>8.9389920424400748E-2</v>
      </c>
    </row>
    <row r="5" spans="1:35" x14ac:dyDescent="0.35">
      <c r="A5" s="43" t="s">
        <v>50</v>
      </c>
      <c r="B5" s="37">
        <f>'1850'!N26-'1850'!M26</f>
        <v>59.199999999999818</v>
      </c>
      <c r="C5" s="37">
        <f>'1851'!O26-'1851'!N26</f>
        <v>86.600000000000364</v>
      </c>
      <c r="D5" s="37">
        <f>'1852'!N26-'1852'!M26</f>
        <v>91.599999999999454</v>
      </c>
      <c r="E5" s="37">
        <f>'1853'!N27-'1853'!M27</f>
        <v>75.399999999999636</v>
      </c>
    </row>
    <row r="6" spans="1:35" x14ac:dyDescent="0.35">
      <c r="A6" s="43" t="s">
        <v>51</v>
      </c>
      <c r="B6" s="297">
        <f>SUM(B5:E5)</f>
        <v>312.79999999999927</v>
      </c>
      <c r="C6" s="297"/>
      <c r="D6" s="297"/>
      <c r="E6" s="297"/>
      <c r="G6" s="135">
        <f>1-B6/B7</f>
        <v>3.8130381303817407E-2</v>
      </c>
    </row>
    <row r="7" spans="1:35" x14ac:dyDescent="0.35">
      <c r="A7" s="43" t="s">
        <v>52</v>
      </c>
      <c r="B7" s="297">
        <f>'1850'!N29-'1850'!M29</f>
        <v>325.20000000000073</v>
      </c>
      <c r="C7" s="297"/>
      <c r="D7" s="297"/>
      <c r="E7" s="297"/>
    </row>
    <row r="8" spans="1:35" ht="18" x14ac:dyDescent="0.4">
      <c r="A8" s="127" t="s">
        <v>53</v>
      </c>
      <c r="B8" s="128"/>
      <c r="C8" s="128"/>
      <c r="D8" s="128"/>
      <c r="E8" s="129"/>
    </row>
    <row r="9" spans="1:35" x14ac:dyDescent="0.35">
      <c r="A9" s="37" t="s">
        <v>54</v>
      </c>
      <c r="B9" s="37">
        <f>'1850'!N5-'1850'!M5+'1850'!N7-'1850'!M7+'1850'!N9-'1850'!M9+'1850'!N11-'1850'!M11+'1850'!N13-'1850'!M13+'1850'!N15-'1850'!M15+'1850'!N17-'1850'!M17+'1850'!N19-'1850'!M19+'1850'!N21-'1850'!M21+'1850'!N23-'1850'!M23</f>
        <v>21.148000000000003</v>
      </c>
      <c r="C9" s="37">
        <f>'1851'!O5-'1851'!N5+'1851'!O7-'1851'!N7+'1851'!O9-'1851'!N9+'1851'!O11-'1851'!N11+'1851'!O13-'1851'!N13+'1851'!O15-'1851'!N15+'1851'!O17-'1851'!N17+'1851'!O19-'1851'!N19+'1851'!O21-'1851'!N21+'1851'!O23-'1851'!N23</f>
        <v>25.997</v>
      </c>
      <c r="D9" s="37">
        <f>'1852'!N5-'1852'!M5+'1852'!N7-'1852'!M7+'1852'!N9-'1852'!M9+'1852'!N11-'1852'!M11+'1852'!N13-'1852'!M13+'1852'!N15-'1852'!M15+'1852'!N17-'1852'!M17+'1852'!N19-'1852'!M19+'1852'!N21-'1852'!M21+'1852'!N23-'1852'!M23</f>
        <v>22.923000000000002</v>
      </c>
      <c r="E9" s="37">
        <f>'1853'!N5-'1853'!M5+'1853'!N7-'1853'!M7+'1853'!N9-'1853'!M9+'1853'!N11-'1853'!M11+'1853'!N13-'1853'!M13+'1853'!N15-'1853'!M15+'1853'!N17-'1853'!M17+'1853'!N19-'1853'!M19+'1853'!N21-'1853'!M21+'1853'!N23-'1853'!M23</f>
        <v>20.419999999999995</v>
      </c>
      <c r="G9" s="135">
        <f>1-B9/B10</f>
        <v>0.10730265934993644</v>
      </c>
      <c r="H9" s="135">
        <f t="shared" ref="H9:J9" si="1">1-C9/C10</f>
        <v>0.10200345423143353</v>
      </c>
      <c r="I9" s="135">
        <f t="shared" si="1"/>
        <v>3.4821052631578864E-2</v>
      </c>
      <c r="J9" s="135">
        <f t="shared" si="1"/>
        <v>5.7248384118190332E-2</v>
      </c>
    </row>
    <row r="10" spans="1:35" x14ac:dyDescent="0.35">
      <c r="A10" s="37" t="s">
        <v>55</v>
      </c>
      <c r="B10" s="40">
        <f>('1850'!N27-'1850'!M27)</f>
        <v>23.689999999999998</v>
      </c>
      <c r="C10" s="44">
        <f>('1851'!O27-'1851'!N27)</f>
        <v>28.95</v>
      </c>
      <c r="D10" s="44">
        <f>('1852'!N27-'1852'!M27)</f>
        <v>23.75</v>
      </c>
      <c r="E10" s="44">
        <f>('1853'!N28-'1853'!M28)</f>
        <v>21.659999999999997</v>
      </c>
    </row>
    <row r="11" spans="1:35" ht="18" x14ac:dyDescent="0.4">
      <c r="A11" s="127" t="s">
        <v>61</v>
      </c>
      <c r="B11" s="128"/>
      <c r="C11" s="128"/>
      <c r="D11" s="128"/>
      <c r="E11" s="129"/>
    </row>
    <row r="12" spans="1:35" x14ac:dyDescent="0.35">
      <c r="A12" s="37" t="s">
        <v>57</v>
      </c>
      <c r="B12" s="40">
        <f>'1850'!N25-'1850'!M25</f>
        <v>168</v>
      </c>
      <c r="C12" s="40">
        <f>'1851'!O24-'1851'!N24</f>
        <v>232</v>
      </c>
      <c r="D12" s="40">
        <f>'1852'!N25-'1852'!M25</f>
        <v>249</v>
      </c>
      <c r="E12" s="40">
        <f>'1853'!N24-'1853'!M24</f>
        <v>177</v>
      </c>
    </row>
    <row r="13" spans="1:35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35" x14ac:dyDescent="0.35">
      <c r="A14" s="34" t="s">
        <v>58</v>
      </c>
      <c r="B14" s="41">
        <f>'1853'!N25-'1853'!M25</f>
        <v>382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</row>
    <row r="15" spans="1:35" x14ac:dyDescent="0.35">
      <c r="A15" s="34" t="s">
        <v>59</v>
      </c>
      <c r="B15" s="42">
        <f>'1853'!N26-'1853'!M26</f>
        <v>0.29499999999995907</v>
      </c>
      <c r="C15" s="42"/>
      <c r="D15" s="42"/>
      <c r="E15" s="42"/>
      <c r="F15" s="42"/>
      <c r="G15" s="41"/>
      <c r="H15" s="41"/>
      <c r="I15" s="41"/>
      <c r="J15" s="41"/>
      <c r="K15" s="42"/>
      <c r="L15" s="42"/>
      <c r="M15" s="42"/>
      <c r="N15" s="42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35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278">
        <f>'1854'!N4-'1854'!M4+'1854'!N6-'1854'!M6+'1854'!N8-'1854'!M8+'1854'!N10-'1854'!M10+'1854'!N12-'1854'!M12+'1854'!N14-'1854'!M14+'1854'!N16-'1854'!M16+'1854'!N18-'1854'!M18+'1854'!N20-'1854'!M20+'1854'!N22-'1854'!M22</f>
        <v>48.722999999999956</v>
      </c>
      <c r="C19" s="37">
        <f>'1855'!N4-'1855'!M4+'1855'!N6-'1855'!M6+'1855'!N8-'1855'!M8+'1855'!N10-'1855'!M10+'1855'!N12-'1855'!M12+'1855'!N14-'1855'!M14+'1855'!N16-'1855'!M16+'1855'!N18-'1855'!M18+'1855'!N20-'1855'!M20+'1855'!N22-'1855'!M22</f>
        <v>64.669999999999845</v>
      </c>
      <c r="D19" s="37">
        <f>'1856'!N4-'1856'!M4+'1856'!N6-'1856'!M6+'1856'!N8-'1856'!M8+'1856'!N10-'1856'!M10+'1856'!N12-'1856'!M12+'1856'!N14-'1856'!M14+'1856'!N16-'1856'!M16+'1856'!N18-'1856'!M18+'1856'!N20-'1856'!M20+'1856'!N22-'1856'!M22</f>
        <v>72.754999999999995</v>
      </c>
      <c r="E19" s="37">
        <f>'1857'!N4-'1857'!M4+'1857'!N6-'1857'!M6+'1857'!N8-'1857'!M8+'1857'!N10-'1857'!M10+'1857'!N12-'1857'!M12+'1857'!N14-'1857'!M14+'1857'!N16-'1857'!M16+'1857'!N18-'1857'!M18+'1857'!N20-'1857'!M20+'1857'!N22-'1857'!M22</f>
        <v>77.323000000000206</v>
      </c>
      <c r="G19" s="135">
        <f>1-B19/B20</f>
        <v>0.10435661764706117</v>
      </c>
      <c r="H19" s="135">
        <f t="shared" ref="H19:J19" si="2">1-C19/C20</f>
        <v>0.12489851150203291</v>
      </c>
      <c r="I19" s="135">
        <f t="shared" si="2"/>
        <v>9.6211180124223694E-2</v>
      </c>
      <c r="J19" s="135">
        <f t="shared" si="2"/>
        <v>0.10815455594001877</v>
      </c>
    </row>
    <row r="20" spans="1:10" x14ac:dyDescent="0.35">
      <c r="A20" s="37" t="s">
        <v>50</v>
      </c>
      <c r="B20" s="37">
        <f>'1854'!N26-'1854'!M26</f>
        <v>54.400000000000091</v>
      </c>
      <c r="C20" s="37">
        <f>'1855'!N26-'1855'!M26</f>
        <v>73.900000000000091</v>
      </c>
      <c r="D20" s="37">
        <f>'1856'!N26-'1856'!M26</f>
        <v>80.5</v>
      </c>
      <c r="E20" s="37">
        <f>'1857'!N26-'1857'!M26</f>
        <v>86.699999999999818</v>
      </c>
    </row>
    <row r="21" spans="1:10" x14ac:dyDescent="0.35">
      <c r="A21" s="37" t="s">
        <v>51</v>
      </c>
      <c r="B21" s="297">
        <f>SUM(B20:E20)</f>
        <v>295.5</v>
      </c>
      <c r="C21" s="297"/>
      <c r="D21" s="297"/>
      <c r="E21" s="297"/>
      <c r="G21" s="135">
        <f>1-B21/B22</f>
        <v>-5.122732123799234E-2</v>
      </c>
    </row>
    <row r="22" spans="1:10" x14ac:dyDescent="0.35">
      <c r="A22" s="37" t="s">
        <v>52</v>
      </c>
      <c r="B22" s="297">
        <f>'1854'!N29-'1854'!M29</f>
        <v>281.10000000000036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'1854'!N5-'1854'!M5+'1854'!N7-'1854'!M7+'1854'!N9-'1854'!M9+'1854'!N11-'1854'!M11+'1854'!N13-'1854'!M13+'1854'!N15-'1854'!M15+'1854'!N17-'1854'!M17+'1854'!N19-'1854'!M19+'1854'!N21-'1854'!M21+'1854'!N23-'1854'!M23</f>
        <v>22.132999999999981</v>
      </c>
      <c r="C24" s="37">
        <f>'1855'!N5-'1855'!M5+'1855'!N7-'1855'!M7+'1855'!N9-'1855'!M9+'1855'!N11-'1855'!M11+'1855'!N13-'1855'!M13+'1855'!N15-'1855'!M15+'1855'!N17-'1855'!M17+'1855'!N19-'1855'!M19+'1855'!N21-'1855'!M21+'1855'!N23-'1855'!M23</f>
        <v>23.088999999999999</v>
      </c>
      <c r="D24" s="37">
        <f>'1856'!N5-'1856'!M5+'1856'!N7-'1856'!M7+'1856'!N9-'1856'!M9+'1856'!N11-'1856'!M11+'1856'!N13-'1856'!M13+'1856'!N15-'1856'!M15+'1856'!N17-'1856'!M17+'1856'!N19-'1856'!M19+'1856'!N21-'1856'!M21+'1856'!N23-'1856'!M23</f>
        <v>22.233000000000001</v>
      </c>
      <c r="E24" s="37">
        <f>'1857'!N5-'1857'!M5+'1857'!N7-'1857'!M7+'1857'!N9-'1857'!M9+'1857'!N11-'1857'!M11+'1857'!N13-'1857'!M13+'1857'!N15-'1857'!M15+'1857'!N17-'1857'!M17+'1857'!N19-'1857'!M19+'1857'!N21-'1857'!M21+'1857'!N23-'1857'!M23</f>
        <v>23.027000000000029</v>
      </c>
      <c r="G24" s="135">
        <f>1-B24/B25</f>
        <v>2.2825607064017484E-2</v>
      </c>
      <c r="H24" s="135">
        <f t="shared" ref="H24:J24" si="3">1-C24/C25</f>
        <v>9.8438110113237554E-2</v>
      </c>
      <c r="I24" s="135">
        <f t="shared" si="3"/>
        <v>4.987179487179394E-2</v>
      </c>
      <c r="J24" s="135">
        <f t="shared" si="3"/>
        <v>8.9121835443035868E-2</v>
      </c>
    </row>
    <row r="25" spans="1:10" x14ac:dyDescent="0.35">
      <c r="A25" s="37" t="s">
        <v>55</v>
      </c>
      <c r="B25" s="44">
        <f>('1854'!N27-'1854'!M27)</f>
        <v>22.649999999999977</v>
      </c>
      <c r="C25" s="44">
        <f>('1855'!N27-'1855'!M27)</f>
        <v>25.610000000000014</v>
      </c>
      <c r="D25" s="44">
        <f>('1856'!N27-'1856'!M27)</f>
        <v>23.399999999999977</v>
      </c>
      <c r="E25" s="44">
        <f>('1857'!N27-'1857'!M27)</f>
        <v>25.279999999999973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'1854'!N25-'1854'!M25</f>
        <v>177</v>
      </c>
      <c r="C27" s="40">
        <f>'1855'!N25-'1855'!M25</f>
        <v>383</v>
      </c>
      <c r="D27" s="40">
        <f>'1856'!N25-'1856'!M25</f>
        <v>190</v>
      </c>
      <c r="E27" s="40">
        <f>'1857'!N25-'1857'!M25</f>
        <v>199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S13:V13 S16:AA17 C23:E65536">
    <cfRule type="cellIs" dxfId="13" priority="6" stopIfTrue="1" operator="lessThan">
      <formula>0</formula>
    </cfRule>
  </conditionalFormatting>
  <conditionalFormatting sqref="F1:AA2 I13:J13 F13:R17 I16:J17 F28:AA65536">
    <cfRule type="cellIs" dxfId="12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L27"/>
  <sheetViews>
    <sheetView tabSelected="1" workbookViewId="0">
      <selection activeCell="B24" sqref="B24"/>
    </sheetView>
  </sheetViews>
  <sheetFormatPr defaultColWidth="9" defaultRowHeight="17.5" x14ac:dyDescent="0.35"/>
  <cols>
    <col min="1" max="1" width="36.26953125" style="34" customWidth="1"/>
    <col min="2" max="30" width="11.453125" style="34" customWidth="1"/>
    <col min="31" max="38" width="9.81640625" style="34" customWidth="1"/>
    <col min="39" max="42" width="6.453125" style="34" customWidth="1"/>
    <col min="43" max="16384" width="9" style="34"/>
  </cols>
  <sheetData>
    <row r="1" spans="1:38" ht="18" x14ac:dyDescent="0.4">
      <c r="A1" s="35" t="s">
        <v>71</v>
      </c>
      <c r="B1" s="36">
        <f>'S1'!B1</f>
        <v>2023</v>
      </c>
      <c r="C1" s="36"/>
      <c r="D1" s="36"/>
      <c r="E1" s="36"/>
      <c r="F1" s="36"/>
    </row>
    <row r="3" spans="1:38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</row>
    <row r="4" spans="1:38" x14ac:dyDescent="0.35">
      <c r="A4" s="43" t="s">
        <v>49</v>
      </c>
      <c r="B4" s="37">
        <f>'1850'!O4-'1850'!N4+'1850'!O6-'1850'!N6+'1850'!O8-'1850'!N8+'1850'!O10-'1850'!N10+'1850'!O12-'1850'!N12+'1850'!O14-'1850'!N14+'1850'!O16-'1850'!N16+'1850'!O18-'1850'!N18+'1850'!O20-'1850'!N20+'1850'!O22-'1850'!N22</f>
        <v>53.509999999999934</v>
      </c>
      <c r="C4" s="37">
        <f>'1851'!P4-'1851'!O4+'1851'!P6-'1851'!O6+'1851'!P8-'1851'!O8+'1851'!P10-'1851'!O10+'1851'!P12-'1851'!O12+'1851'!P14-'1851'!O14+'1851'!P16-'1851'!O16+'1851'!P18-'1851'!O18+'1851'!P20-'1851'!O20+'1851'!P22-'1851'!O22+'1851'!P33-'1851'!O33+'1851'!P34-'1851'!O34+'1851'!P35-'1851'!O35+'1851'!P36-'1851'!O36+'1851'!P37-'1851'!O37+'1851'!P40-'1851'!O40+'1851'!P41-'1851'!O41+'1851'!P42-'1851'!O42+'1851'!P43-'1851'!O43+'1851'!P44-'1851'!O44+'1851'!P45-'1851'!O45+'1851'!P46-'1851'!O46+'1851'!P47-'1851'!O47+'1851'!P48-'1851'!O48+'1851'!P49-'1851'!O49</f>
        <v>88.717000000000098</v>
      </c>
      <c r="D4" s="37">
        <f>'1852'!O4-'1852'!N4+'1852'!O6-'1852'!N6+'1852'!O8-'1852'!N8+'1852'!O10-'1852'!N10+'1852'!O12-'1852'!N12+'1852'!O14-'1852'!N14+'1852'!O16-'1852'!N16+'1852'!O18-'1852'!N18+'1852'!O20-'1852'!N20+'1852'!O22-'1852'!N22</f>
        <v>83.092000000000098</v>
      </c>
      <c r="E4" s="37">
        <f>'1853'!O4-'1853'!N4+'1853'!O6-'1853'!N6+'1853'!O8-'1853'!N8+'1853'!O10-'1853'!N10+'1853'!O12-'1853'!N12+'1853'!O14-'1853'!N14+'1853'!O16-'1853'!N16+'1853'!O18-'1853'!N18+'1853'!O20-'1853'!N20+'1853'!O22-'1853'!N22+'1853'!O26-'1853'!N26</f>
        <v>74.153999999999996</v>
      </c>
      <c r="G4" s="135">
        <f>1-B4/B5</f>
        <v>0.12991869918699295</v>
      </c>
      <c r="H4" s="135">
        <f t="shared" ref="H4:J4" si="0">1-C4/C5</f>
        <v>7.874350986500589E-2</v>
      </c>
      <c r="I4" s="135">
        <f t="shared" si="0"/>
        <v>9.0897155361054693E-2</v>
      </c>
      <c r="J4" s="135">
        <f t="shared" si="0"/>
        <v>9.6784409257007709E-2</v>
      </c>
    </row>
    <row r="5" spans="1:38" x14ac:dyDescent="0.35">
      <c r="A5" s="43" t="s">
        <v>50</v>
      </c>
      <c r="B5" s="37">
        <f>'1850'!O26-'1850'!N26</f>
        <v>61.5</v>
      </c>
      <c r="C5" s="37">
        <f>'1851'!P26-'1851'!O26</f>
        <v>96.300000000000182</v>
      </c>
      <c r="D5" s="37">
        <f>'1852'!O26-'1852'!N26</f>
        <v>91.400000000000546</v>
      </c>
      <c r="E5" s="37">
        <f>'1853'!O27-'1853'!N27</f>
        <v>82.100000000000364</v>
      </c>
    </row>
    <row r="6" spans="1:38" x14ac:dyDescent="0.35">
      <c r="A6" s="43" t="s">
        <v>51</v>
      </c>
      <c r="B6" s="297">
        <f>SUM(B5:E5)</f>
        <v>331.30000000000109</v>
      </c>
      <c r="C6" s="297"/>
      <c r="D6" s="297"/>
      <c r="E6" s="297"/>
      <c r="G6" s="135">
        <f>1-B6/B7</f>
        <v>3.3547257876307524E-2</v>
      </c>
    </row>
    <row r="7" spans="1:38" x14ac:dyDescent="0.35">
      <c r="A7" s="43" t="s">
        <v>52</v>
      </c>
      <c r="B7" s="297">
        <f>'1850'!O29-'1850'!N29</f>
        <v>342.79999999999927</v>
      </c>
      <c r="C7" s="297"/>
      <c r="D7" s="297"/>
      <c r="E7" s="297"/>
    </row>
    <row r="8" spans="1:38" ht="18" x14ac:dyDescent="0.4">
      <c r="A8" s="127" t="s">
        <v>53</v>
      </c>
      <c r="B8" s="128"/>
      <c r="C8" s="128"/>
      <c r="D8" s="128"/>
      <c r="E8" s="129"/>
    </row>
    <row r="9" spans="1:38" x14ac:dyDescent="0.35">
      <c r="A9" s="37" t="s">
        <v>54</v>
      </c>
      <c r="B9" s="37">
        <f>'1850'!O5-'1850'!N5+'1850'!O7-'1850'!N7+'1850'!O9-'1850'!N9+'1850'!O11-'1850'!N11+'1850'!O13-'1850'!N13+'1850'!O15-'1850'!N15+'1850'!O17-'1850'!N17+'1850'!O19-'1850'!N19+'1850'!O21-'1850'!N21+'1850'!O23-'1850'!N23</f>
        <v>29.724999999999994</v>
      </c>
      <c r="C9" s="37">
        <f>'1851'!P5-'1851'!O5+'1851'!P7-'1851'!O7+'1851'!P9-'1851'!O9+'1851'!P11-'1851'!O11+'1851'!P13-'1851'!O13+'1851'!P15-'1851'!O15+'1851'!P17-'1851'!O17+'1851'!P19-'1851'!O19+'1851'!P21-'1851'!O21+'1851'!P23-'1851'!O23</f>
        <v>35.799000000000028</v>
      </c>
      <c r="D9" s="37">
        <f>'1852'!O5-'1852'!N5+'1852'!O7-'1852'!N7+'1852'!O9-'1852'!N9+'1852'!O11-'1852'!N11+'1852'!O13-'1852'!N13+'1852'!O15-'1852'!N15+'1852'!O17-'1852'!N17+'1852'!O19-'1852'!N19+'1852'!O21-'1852'!N21+'1852'!O23-'1852'!N23</f>
        <v>31.561</v>
      </c>
      <c r="E9" s="37">
        <f>'1853'!O5-'1853'!N5+'1853'!O7-'1853'!N7+'1853'!O9-'1853'!N9+'1853'!O11-'1853'!N11+'1853'!O13-'1853'!N13+'1853'!O15-'1853'!N15+'1853'!O17-'1853'!N17+'1853'!O19-'1853'!N19+'1853'!O21-'1853'!N21+'1853'!O23-'1853'!N23</f>
        <v>30.083999999999982</v>
      </c>
      <c r="G9" s="135">
        <f>1-B9/B10</f>
        <v>0.11002994011976064</v>
      </c>
      <c r="H9" s="135">
        <f t="shared" ref="H9:J9" si="1">1-C9/C10</f>
        <v>9.0703581407162059E-2</v>
      </c>
      <c r="I9" s="135">
        <f t="shared" si="1"/>
        <v>5.9564958283670921E-2</v>
      </c>
      <c r="J9" s="135">
        <f t="shared" si="1"/>
        <v>4.7673314339981676E-2</v>
      </c>
    </row>
    <row r="10" spans="1:38" x14ac:dyDescent="0.35">
      <c r="A10" s="37" t="s">
        <v>55</v>
      </c>
      <c r="B10" s="39">
        <f>('1850'!O27-'1850'!N27)</f>
        <v>33.4</v>
      </c>
      <c r="C10" s="44">
        <f>('1851'!P27-'1851'!O27)</f>
        <v>39.369999999999997</v>
      </c>
      <c r="D10" s="44">
        <f>('1852'!O27-'1852'!N27)</f>
        <v>33.559999999999995</v>
      </c>
      <c r="E10" s="44">
        <f>('1853'!O28-'1853'!N28)</f>
        <v>31.590000000000003</v>
      </c>
    </row>
    <row r="11" spans="1:38" ht="18" x14ac:dyDescent="0.4">
      <c r="A11" s="127" t="s">
        <v>61</v>
      </c>
      <c r="B11" s="128"/>
      <c r="C11" s="128"/>
      <c r="D11" s="128"/>
      <c r="E11" s="129"/>
    </row>
    <row r="12" spans="1:38" x14ac:dyDescent="0.35">
      <c r="A12" s="37" t="s">
        <v>57</v>
      </c>
      <c r="B12" s="40">
        <f>'1850'!O25-'1850'!N25</f>
        <v>171</v>
      </c>
      <c r="C12" s="40">
        <f>'1851'!P24-'1851'!O24</f>
        <v>286</v>
      </c>
      <c r="D12" s="40">
        <f>'1852'!O25-'1852'!N25</f>
        <v>187</v>
      </c>
      <c r="E12" s="40">
        <f>'1853'!O24-'1853'!N24</f>
        <v>190</v>
      </c>
    </row>
    <row r="13" spans="1:38" x14ac:dyDescent="0.35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</row>
    <row r="14" spans="1:38" x14ac:dyDescent="0.35">
      <c r="A14" s="34" t="s">
        <v>58</v>
      </c>
      <c r="B14" s="41">
        <f>'1853'!O25-'1853'!N25</f>
        <v>374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38" x14ac:dyDescent="0.35">
      <c r="A15" s="34" t="s">
        <v>59</v>
      </c>
      <c r="B15" s="42">
        <f>'1853'!O26-'1853'!N26</f>
        <v>0</v>
      </c>
      <c r="C15" s="42"/>
      <c r="D15" s="42"/>
      <c r="E15" s="42"/>
      <c r="F15" s="42"/>
      <c r="G15" s="41"/>
      <c r="H15" s="41"/>
      <c r="I15" s="41"/>
      <c r="J15" s="41"/>
      <c r="K15" s="42"/>
      <c r="L15" s="42"/>
      <c r="M15" s="42"/>
      <c r="N15" s="42"/>
      <c r="O15" s="42"/>
      <c r="P15" s="42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38" x14ac:dyDescent="0.35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</row>
    <row r="18" spans="1:10" ht="18" x14ac:dyDescent="0.4">
      <c r="A18" s="125" t="s">
        <v>48</v>
      </c>
      <c r="B18" s="126">
        <v>1854</v>
      </c>
      <c r="C18" s="126">
        <v>1855</v>
      </c>
      <c r="D18" s="126">
        <v>1856</v>
      </c>
      <c r="E18" s="126">
        <v>1857</v>
      </c>
    </row>
    <row r="19" spans="1:10" x14ac:dyDescent="0.35">
      <c r="A19" s="37" t="s">
        <v>49</v>
      </c>
      <c r="B19" s="37">
        <f>'1854'!O4-'1854'!N4+'1854'!O6-'1854'!N6+'1854'!O8-'1854'!N8+'1854'!O10-'1854'!N10+'1854'!O12-'1854'!N12+'1854'!O14-'1854'!N14+'1854'!O16-'1854'!N16+'1854'!O18-'1854'!N18+'1854'!O20-'1854'!N20+'1854'!O22-'1854'!N22</f>
        <v>48.108000000000018</v>
      </c>
      <c r="C19" s="37">
        <f>'1855'!O4-'1855'!N4+'1855'!O6-'1855'!N6+'1855'!O8-'1855'!N8+'1855'!O10-'1855'!N10+'1855'!O12-'1855'!N12+'1855'!O14-'1855'!N14+'1855'!O16-'1855'!N16+'1855'!O18-'1855'!N18+'1855'!O20-'1855'!N20+'1855'!O22-'1855'!N22</f>
        <v>67.736999999999966</v>
      </c>
      <c r="D19" s="37">
        <f>'1856'!O4-'1856'!N4+'1856'!O6-'1856'!N6+'1856'!O8-'1856'!N8+'1856'!O10-'1856'!N10+'1856'!O12-'1856'!N12+'1856'!O14-'1856'!N14+'1856'!O16-'1856'!N16+'1856'!O18-'1856'!N18+'1856'!O20-'1856'!N20+'1856'!O22-'1856'!N22</f>
        <v>82.019000000000005</v>
      </c>
      <c r="E19" s="37">
        <f>'1857'!O4-'1857'!N4+'1857'!O6-'1857'!N6+'1857'!O8-'1857'!N8+'1857'!O10-'1857'!N10+'1857'!O12-'1857'!N12+'1857'!O14-'1857'!N14+'1857'!O16-'1857'!N16+'1857'!O18-'1857'!N18+'1857'!O20-'1857'!N20+'1857'!O22-'1857'!N22</f>
        <v>86.504000000000019</v>
      </c>
      <c r="G19" s="135">
        <f>1-B19/B20</f>
        <v>9.7410881801128446E-2</v>
      </c>
      <c r="H19" s="135">
        <f t="shared" ref="H19:J19" si="2">1-C19/C20</f>
        <v>0.11454901960784358</v>
      </c>
      <c r="I19" s="135">
        <f t="shared" si="2"/>
        <v>9.3712707182320387E-2</v>
      </c>
      <c r="J19" s="135">
        <f t="shared" si="2"/>
        <v>9.3249475890985978E-2</v>
      </c>
    </row>
    <row r="20" spans="1:10" x14ac:dyDescent="0.35">
      <c r="A20" s="37" t="s">
        <v>50</v>
      </c>
      <c r="B20" s="37">
        <f>'1854'!O26-'1854'!N26</f>
        <v>53.300000000000182</v>
      </c>
      <c r="C20" s="37">
        <f>'1855'!O26-'1855'!N26</f>
        <v>76.5</v>
      </c>
      <c r="D20" s="37">
        <f>'1856'!O26-'1856'!N26</f>
        <v>90.5</v>
      </c>
      <c r="E20" s="37">
        <f>'1857'!O26-'1857'!N26</f>
        <v>95.400000000000091</v>
      </c>
    </row>
    <row r="21" spans="1:10" x14ac:dyDescent="0.35">
      <c r="A21" s="37" t="s">
        <v>51</v>
      </c>
      <c r="B21" s="297">
        <f>SUM(B20:E20)</f>
        <v>315.70000000000027</v>
      </c>
      <c r="C21" s="297"/>
      <c r="D21" s="297"/>
      <c r="E21" s="297"/>
      <c r="G21" s="135">
        <f>1-B21/B22</f>
        <v>-5.4442217768873258E-2</v>
      </c>
    </row>
    <row r="22" spans="1:10" x14ac:dyDescent="0.35">
      <c r="A22" s="37" t="s">
        <v>52</v>
      </c>
      <c r="B22" s="297">
        <f>'1854'!O29-'1854'!N29</f>
        <v>299.39999999999964</v>
      </c>
      <c r="C22" s="297"/>
      <c r="D22" s="297"/>
      <c r="E22" s="297"/>
    </row>
    <row r="23" spans="1:10" ht="18" x14ac:dyDescent="0.4">
      <c r="A23" s="127" t="s">
        <v>53</v>
      </c>
      <c r="B23" s="128"/>
      <c r="C23" s="128"/>
      <c r="D23" s="128"/>
      <c r="E23" s="129"/>
    </row>
    <row r="24" spans="1:10" x14ac:dyDescent="0.35">
      <c r="A24" s="37" t="s">
        <v>54</v>
      </c>
      <c r="B24" s="37">
        <f>'1854'!O5-'1854'!N5+'1854'!O7-'1854'!N7+'1854'!O9-'1854'!N9+'1854'!O11-'1854'!N11+'1854'!O13-'1854'!N13+'1854'!O15-'1854'!N15+'1854'!O17-'1854'!N17+'1854'!O19-'1854'!N19+'1854'!O21-'1854'!N21+'1854'!O23-'1854'!N23</f>
        <v>29.05100000000003</v>
      </c>
      <c r="C24" s="37">
        <f>'1855'!O5-'1855'!N5+'1855'!O7-'1855'!N7+'1855'!O9-'1855'!N9+'1855'!O11-'1855'!N11+'1855'!O13-'1855'!N13+'1855'!O15-'1855'!N15+'1855'!O17-'1855'!N17+'1855'!O19-'1855'!N19+'1855'!O21-'1855'!N21+'1855'!O23-'1855'!N23</f>
        <v>31.024999999999977</v>
      </c>
      <c r="D24" s="37">
        <f>'1856'!O5-'1856'!N5+'1856'!O7-'1856'!N7+'1856'!O9-'1856'!N9+'1856'!O11-'1856'!N11+'1856'!O13-'1856'!N13+'1856'!O15-'1856'!N15+'1856'!O17-'1856'!N17+'1856'!O19-'1856'!N19+'1856'!O21-'1856'!N21+'1856'!O23-'1856'!N23</f>
        <v>29.076999999999998</v>
      </c>
      <c r="E24" s="37">
        <f>'1857'!O5-'1857'!N5+'1857'!O7-'1857'!N7+'1857'!O9-'1857'!N9+'1857'!O11-'1857'!N11+'1857'!O13-'1857'!N13+'1857'!O15-'1857'!N15+'1857'!O17-'1857'!N17+'1857'!O19-'1857'!N19+'1857'!O21-'1857'!N21+'1857'!O23-'1857'!N23</f>
        <v>31.177999999999976</v>
      </c>
      <c r="G24" s="135">
        <f>1-B24/B25</f>
        <v>7.3628826530611646E-2</v>
      </c>
      <c r="H24" s="135">
        <f t="shared" ref="H24:J24" si="3">1-C24/C25</f>
        <v>8.480825958702376E-2</v>
      </c>
      <c r="I24" s="135">
        <f t="shared" si="3"/>
        <v>6.5048231511254717E-2</v>
      </c>
      <c r="J24" s="135">
        <f t="shared" si="3"/>
        <v>9.4715447154473664E-2</v>
      </c>
    </row>
    <row r="25" spans="1:10" x14ac:dyDescent="0.35">
      <c r="A25" s="37" t="s">
        <v>55</v>
      </c>
      <c r="B25" s="44">
        <f>('1854'!O27-'1854'!N27)</f>
        <v>31.360000000000014</v>
      </c>
      <c r="C25" s="44">
        <f>('1855'!O27-'1855'!N27)</f>
        <v>33.900000000000091</v>
      </c>
      <c r="D25" s="44">
        <f>('1856'!O27-'1856'!N27)</f>
        <v>31.100000000000023</v>
      </c>
      <c r="E25" s="44">
        <f>('1857'!O27-'1857'!N27)</f>
        <v>34.440000000000055</v>
      </c>
    </row>
    <row r="26" spans="1:10" ht="18" x14ac:dyDescent="0.4">
      <c r="A26" s="127" t="s">
        <v>61</v>
      </c>
      <c r="B26" s="128"/>
      <c r="C26" s="128"/>
      <c r="D26" s="128"/>
      <c r="E26" s="129"/>
    </row>
    <row r="27" spans="1:10" x14ac:dyDescent="0.35">
      <c r="A27" s="37" t="s">
        <v>57</v>
      </c>
      <c r="B27" s="40">
        <f>'1854'!O25-'1854'!N25</f>
        <v>202</v>
      </c>
      <c r="C27" s="40">
        <f>'1855'!O25-'1855'!N25</f>
        <v>352</v>
      </c>
      <c r="D27" s="40">
        <f>'1856'!O25-'1856'!N25</f>
        <v>192</v>
      </c>
      <c r="E27" s="40">
        <f>'1857'!O25-'1857'!N25</f>
        <v>239</v>
      </c>
    </row>
  </sheetData>
  <sheetProtection selectLockedCells="1" selectUnlockedCells="1"/>
  <mergeCells count="4">
    <mergeCell ref="B6:E6"/>
    <mergeCell ref="B7:E7"/>
    <mergeCell ref="B21:E21"/>
    <mergeCell ref="B22:E22"/>
  </mergeCells>
  <conditionalFormatting sqref="C1:E5 B1:B1048576 C8:E20 U13:Y13 U16:AD17 C23:E65536">
    <cfRule type="cellIs" dxfId="11" priority="7" stopIfTrue="1" operator="lessThan">
      <formula>0</formula>
    </cfRule>
  </conditionalFormatting>
  <conditionalFormatting sqref="F1:AD2 I13:J13 F13:T17 I16:J17 F28:AD65536">
    <cfRule type="cellIs" dxfId="10" priority="1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A40"/>
  <sheetViews>
    <sheetView topLeftCell="A21" workbookViewId="0">
      <selection activeCell="C28" sqref="C28"/>
    </sheetView>
  </sheetViews>
  <sheetFormatPr defaultColWidth="9.1796875" defaultRowHeight="14.5" x14ac:dyDescent="0.35"/>
  <cols>
    <col min="1" max="1" width="9.1796875" style="46"/>
    <col min="2" max="2" width="10.26953125" style="46" customWidth="1"/>
    <col min="3" max="4" width="7" style="46" customWidth="1"/>
    <col min="5" max="5" width="9" style="46" customWidth="1"/>
    <col min="6" max="7" width="7" style="46" customWidth="1"/>
    <col min="8" max="8" width="7.7265625" style="46" customWidth="1"/>
    <col min="9" max="9" width="7" style="46" customWidth="1"/>
    <col min="10" max="10" width="6.81640625" style="46" customWidth="1"/>
    <col min="11" max="11" width="9" style="46" customWidth="1"/>
    <col min="12" max="22" width="7" style="46" customWidth="1"/>
    <col min="23" max="23" width="8" style="46" customWidth="1"/>
    <col min="24" max="26" width="7" style="46" customWidth="1"/>
    <col min="27" max="16384" width="9.1796875" style="46"/>
  </cols>
  <sheetData>
    <row r="1" spans="1:27" ht="18.5" x14ac:dyDescent="0.35">
      <c r="A1" s="47" t="s">
        <v>72</v>
      </c>
      <c r="F1" s="47">
        <f>'S1'!B1</f>
        <v>2023</v>
      </c>
    </row>
    <row r="2" spans="1:27" ht="11.25" customHeight="1" x14ac:dyDescent="0.35">
      <c r="A2" s="47"/>
    </row>
    <row r="3" spans="1:27" hidden="1" x14ac:dyDescent="0.35">
      <c r="C3" s="46">
        <v>1850</v>
      </c>
      <c r="F3" s="46">
        <v>51</v>
      </c>
      <c r="I3" s="46">
        <v>52</v>
      </c>
      <c r="L3" s="46">
        <v>53</v>
      </c>
      <c r="O3" s="46">
        <v>54</v>
      </c>
      <c r="R3" s="46">
        <v>55</v>
      </c>
      <c r="U3" s="46">
        <v>56</v>
      </c>
      <c r="X3" s="46">
        <v>57</v>
      </c>
    </row>
    <row r="4" spans="1:27" s="49" customFormat="1" ht="18.5" x14ac:dyDescent="0.35">
      <c r="A4" s="307"/>
      <c r="B4" s="307"/>
      <c r="C4" s="306">
        <v>1850</v>
      </c>
      <c r="D4" s="306"/>
      <c r="E4" s="306"/>
      <c r="F4" s="306">
        <v>1851</v>
      </c>
      <c r="G4" s="306"/>
      <c r="H4" s="306"/>
      <c r="I4" s="306">
        <v>1852</v>
      </c>
      <c r="J4" s="306"/>
      <c r="K4" s="306"/>
      <c r="L4" s="306">
        <v>1853</v>
      </c>
      <c r="M4" s="306"/>
      <c r="N4" s="306"/>
      <c r="O4" s="306">
        <v>1854</v>
      </c>
      <c r="P4" s="306"/>
      <c r="Q4" s="306"/>
      <c r="R4" s="306">
        <v>1855</v>
      </c>
      <c r="S4" s="306"/>
      <c r="T4" s="306"/>
      <c r="U4" s="306">
        <v>1856</v>
      </c>
      <c r="V4" s="306"/>
      <c r="W4" s="306"/>
      <c r="X4" s="306">
        <v>1857</v>
      </c>
      <c r="Y4" s="306"/>
      <c r="Z4" s="306"/>
      <c r="AA4" s="48"/>
    </row>
    <row r="5" spans="1:27" ht="29" x14ac:dyDescent="0.35">
      <c r="A5" s="307"/>
      <c r="B5" s="307"/>
      <c r="C5" s="50" t="s">
        <v>73</v>
      </c>
      <c r="D5" s="51" t="s">
        <v>74</v>
      </c>
      <c r="E5" s="51" t="s">
        <v>75</v>
      </c>
      <c r="F5" s="50" t="s">
        <v>73</v>
      </c>
      <c r="G5" s="51" t="s">
        <v>74</v>
      </c>
      <c r="H5" s="51" t="s">
        <v>75</v>
      </c>
      <c r="I5" s="50" t="s">
        <v>73</v>
      </c>
      <c r="J5" s="51" t="s">
        <v>74</v>
      </c>
      <c r="K5" s="51" t="s">
        <v>75</v>
      </c>
      <c r="L5" s="50" t="s">
        <v>73</v>
      </c>
      <c r="M5" s="51" t="s">
        <v>74</v>
      </c>
      <c r="N5" s="51" t="s">
        <v>75</v>
      </c>
      <c r="O5" s="50" t="s">
        <v>73</v>
      </c>
      <c r="P5" s="51" t="s">
        <v>74</v>
      </c>
      <c r="Q5" s="51" t="s">
        <v>75</v>
      </c>
      <c r="R5" s="50" t="s">
        <v>73</v>
      </c>
      <c r="S5" s="51" t="s">
        <v>74</v>
      </c>
      <c r="T5" s="51" t="s">
        <v>75</v>
      </c>
      <c r="U5" s="50" t="s">
        <v>73</v>
      </c>
      <c r="V5" s="51" t="s">
        <v>74</v>
      </c>
      <c r="W5" s="51" t="s">
        <v>75</v>
      </c>
      <c r="X5" s="50" t="s">
        <v>73</v>
      </c>
      <c r="Y5" s="51" t="s">
        <v>74</v>
      </c>
      <c r="Z5" s="51" t="s">
        <v>75</v>
      </c>
      <c r="AA5" s="52"/>
    </row>
    <row r="6" spans="1:27" x14ac:dyDescent="0.35">
      <c r="A6" s="300" t="s">
        <v>4</v>
      </c>
      <c r="B6" s="53" t="s">
        <v>76</v>
      </c>
      <c r="C6" s="53">
        <f>'S1'!B9</f>
        <v>29.737000000000016</v>
      </c>
      <c r="D6" s="305">
        <f>'S1'!B10-'S1'!B9</f>
        <v>2.7350000000000207</v>
      </c>
      <c r="E6" s="298">
        <f>D6/C7</f>
        <v>8.4226410445923189E-2</v>
      </c>
      <c r="F6" s="53">
        <f>'S1'!C9</f>
        <v>34.265999999999991</v>
      </c>
      <c r="G6" s="305">
        <f>'S1'!C10-'S1'!C9</f>
        <v>4.2180000000000035</v>
      </c>
      <c r="H6" s="298">
        <f>G6/F7</f>
        <v>0.10960399126909895</v>
      </c>
      <c r="I6" s="53">
        <f>'S1'!D9</f>
        <v>32.933999999999997</v>
      </c>
      <c r="J6" s="305">
        <f>'S1'!D10-'S1'!D9</f>
        <v>2.2019999999999698</v>
      </c>
      <c r="K6" s="298">
        <f>J6/I7</f>
        <v>6.2670765027321607E-2</v>
      </c>
      <c r="L6" s="53">
        <f>'S1'!E9</f>
        <v>30.171000000000014</v>
      </c>
      <c r="M6" s="305">
        <f>'S1'!E10-'S1'!E9</f>
        <v>1.6170000000000329</v>
      </c>
      <c r="N6" s="298">
        <f>M6/L7</f>
        <v>5.0868252170631387E-2</v>
      </c>
      <c r="O6" s="53">
        <f>'S1'!B24</f>
        <v>29.810999999999979</v>
      </c>
      <c r="P6" s="305">
        <f>'S1'!B25-'S1'!B24</f>
        <v>2.3290000000000077</v>
      </c>
      <c r="Q6" s="298">
        <f>P6/O7</f>
        <v>7.2464219041692868E-2</v>
      </c>
      <c r="R6" s="53">
        <f>'S1'!C24</f>
        <v>31.456000000000003</v>
      </c>
      <c r="S6" s="305">
        <f>'S1'!C25-'S1'!C24</f>
        <v>2.5140000000000242</v>
      </c>
      <c r="T6" s="298">
        <f>S6/R7</f>
        <v>7.4006476302620611E-2</v>
      </c>
      <c r="U6" s="53">
        <f>'S1'!D24</f>
        <v>29.213999999999984</v>
      </c>
      <c r="V6" s="305">
        <f>'S1'!D25-'S1'!D24</f>
        <v>2.755999999999986</v>
      </c>
      <c r="W6" s="298">
        <f>V6/U7</f>
        <v>8.6205817954331826E-2</v>
      </c>
      <c r="X6" s="53">
        <f>'S1'!E24</f>
        <v>29.677</v>
      </c>
      <c r="Y6" s="305">
        <f>'S1'!E25-'S1'!E24</f>
        <v>2.4629999999999868</v>
      </c>
      <c r="Z6" s="298">
        <f>Y6/X7</f>
        <v>7.6633478531424631E-2</v>
      </c>
    </row>
    <row r="7" spans="1:27" x14ac:dyDescent="0.35">
      <c r="A7" s="300"/>
      <c r="B7" s="53" t="s">
        <v>77</v>
      </c>
      <c r="C7" s="53">
        <f>'S1'!B10</f>
        <v>32.472000000000037</v>
      </c>
      <c r="D7" s="305"/>
      <c r="E7" s="298"/>
      <c r="F7" s="53">
        <f>'S1'!C10</f>
        <v>38.483999999999995</v>
      </c>
      <c r="G7" s="305"/>
      <c r="H7" s="298"/>
      <c r="I7" s="53">
        <f>'S1'!D10</f>
        <v>35.135999999999967</v>
      </c>
      <c r="J7" s="305"/>
      <c r="K7" s="298"/>
      <c r="L7" s="53">
        <f>'S1'!E10</f>
        <v>31.788000000000046</v>
      </c>
      <c r="M7" s="305"/>
      <c r="N7" s="298"/>
      <c r="O7" s="53">
        <f>'S1'!B25</f>
        <v>32.139999999999986</v>
      </c>
      <c r="P7" s="305"/>
      <c r="Q7" s="298"/>
      <c r="R7" s="53">
        <f>'S1'!C25</f>
        <v>33.970000000000027</v>
      </c>
      <c r="S7" s="305"/>
      <c r="T7" s="298"/>
      <c r="U7" s="53">
        <f>'S1'!D25</f>
        <v>31.96999999999997</v>
      </c>
      <c r="V7" s="305"/>
      <c r="W7" s="298"/>
      <c r="X7" s="53">
        <f>'S1'!E25</f>
        <v>32.139999999999986</v>
      </c>
      <c r="Y7" s="305"/>
      <c r="Z7" s="298"/>
    </row>
    <row r="8" spans="1:27" x14ac:dyDescent="0.35">
      <c r="A8" s="300" t="s">
        <v>5</v>
      </c>
      <c r="B8" s="53" t="s">
        <v>76</v>
      </c>
      <c r="C8" s="53">
        <f>'S2'!B9</f>
        <v>27.177</v>
      </c>
      <c r="D8" s="299">
        <f>'S2'!B10-'S2'!B9</f>
        <v>2.3429999999999609</v>
      </c>
      <c r="E8" s="298">
        <f>D8/C9</f>
        <v>7.9369918699185776E-2</v>
      </c>
      <c r="F8" s="54">
        <f>'S2'!C9</f>
        <v>31.852999999999998</v>
      </c>
      <c r="G8" s="299">
        <f>'S2'!C10-'S2'!C9</f>
        <v>3.9309999999999938</v>
      </c>
      <c r="H8" s="298">
        <f>G8/F9</f>
        <v>0.10985356583948118</v>
      </c>
      <c r="I8" s="54">
        <f>'S2'!D9</f>
        <v>29.050000000000004</v>
      </c>
      <c r="J8" s="299">
        <f>'S2'!D10-'S2'!D9</f>
        <v>0.79399999999996851</v>
      </c>
      <c r="K8" s="298">
        <f>J8/I9</f>
        <v>2.66050127328766E-2</v>
      </c>
      <c r="L8" s="54">
        <f>'S2'!E9</f>
        <v>24.556999999999992</v>
      </c>
      <c r="M8" s="299">
        <f>'S2'!E10-'S2'!E9</f>
        <v>1.4709999999999717</v>
      </c>
      <c r="N8" s="298">
        <f>M8/L9</f>
        <v>5.6516059628091815E-2</v>
      </c>
      <c r="O8" s="54">
        <f>'S2'!B24</f>
        <v>26.57</v>
      </c>
      <c r="P8" s="299">
        <f>'S2'!B25-'S2'!B24</f>
        <v>2.0599999999999952</v>
      </c>
      <c r="Q8" s="298">
        <f>P8/O9</f>
        <v>7.1952497380370087E-2</v>
      </c>
      <c r="R8" s="54">
        <f>'S2'!C24</f>
        <v>28.27</v>
      </c>
      <c r="S8" s="299">
        <f>'S2'!C25-'S2'!C24</f>
        <v>2.3099999999999277</v>
      </c>
      <c r="T8" s="298">
        <f>S8/R9</f>
        <v>7.5539568345321551E-2</v>
      </c>
      <c r="U8" s="54">
        <f>'S2'!D24</f>
        <v>25.664000000000016</v>
      </c>
      <c r="V8" s="299">
        <f>'S2'!D25-'S2'!D24</f>
        <v>1.8459999999999752</v>
      </c>
      <c r="W8" s="298">
        <f>V8/U9</f>
        <v>6.7102871683023479E-2</v>
      </c>
      <c r="X8" s="54">
        <f>'S2'!E24</f>
        <v>25.596999999999991</v>
      </c>
      <c r="Y8" s="299">
        <f>'S2'!E25-'S2'!E24</f>
        <v>2.2330000000000503</v>
      </c>
      <c r="Z8" s="298">
        <f>Y8/X9</f>
        <v>8.0237154150199316E-2</v>
      </c>
    </row>
    <row r="9" spans="1:27" x14ac:dyDescent="0.35">
      <c r="A9" s="300"/>
      <c r="B9" s="53" t="s">
        <v>77</v>
      </c>
      <c r="C9" s="54">
        <f>'S2'!B10</f>
        <v>29.51999999999996</v>
      </c>
      <c r="D9" s="299"/>
      <c r="E9" s="298"/>
      <c r="F9" s="54">
        <f>'S2'!C10</f>
        <v>35.783999999999992</v>
      </c>
      <c r="G9" s="299"/>
      <c r="H9" s="298"/>
      <c r="I9" s="54">
        <f>'S2'!D10</f>
        <v>29.843999999999973</v>
      </c>
      <c r="J9" s="299"/>
      <c r="K9" s="298"/>
      <c r="L9" s="54">
        <f>'S2'!E10</f>
        <v>26.027999999999963</v>
      </c>
      <c r="M9" s="299"/>
      <c r="N9" s="298"/>
      <c r="O9" s="54">
        <f>'S2'!B25</f>
        <v>28.629999999999995</v>
      </c>
      <c r="P9" s="299"/>
      <c r="Q9" s="298"/>
      <c r="R9" s="54">
        <f>'S2'!C25</f>
        <v>30.579999999999927</v>
      </c>
      <c r="S9" s="299"/>
      <c r="T9" s="298"/>
      <c r="U9" s="54">
        <f>'S2'!D25</f>
        <v>27.509999999999991</v>
      </c>
      <c r="V9" s="299"/>
      <c r="W9" s="298"/>
      <c r="X9" s="54">
        <f>'S2'!E25</f>
        <v>27.830000000000041</v>
      </c>
      <c r="Y9" s="299"/>
      <c r="Z9" s="298"/>
    </row>
    <row r="10" spans="1:27" x14ac:dyDescent="0.35">
      <c r="A10" s="300" t="s">
        <v>6</v>
      </c>
      <c r="B10" s="53" t="s">
        <v>76</v>
      </c>
      <c r="C10" s="53">
        <f>'S3'!B9</f>
        <v>21.628</v>
      </c>
      <c r="D10" s="299">
        <f>'S3'!B10-'S3'!B9</f>
        <v>1.4479999999999897</v>
      </c>
      <c r="E10" s="298">
        <f>D10/C11</f>
        <v>6.2749176633731599E-2</v>
      </c>
      <c r="F10" s="54">
        <f>'S3'!C9</f>
        <v>30.598999999999997</v>
      </c>
      <c r="G10" s="299">
        <f>'S3'!C10-'S3'!C9</f>
        <v>3.4930000000001016</v>
      </c>
      <c r="H10" s="298">
        <f>G10/F11</f>
        <v>0.1024580546755864</v>
      </c>
      <c r="I10" s="54">
        <f>'S3'!D9</f>
        <v>24.494000000000007</v>
      </c>
      <c r="J10" s="299">
        <f>'S3'!D10-'S3'!D9</f>
        <v>0.99400000000003885</v>
      </c>
      <c r="K10" s="298">
        <f>J10/I11</f>
        <v>3.8998744507220538E-2</v>
      </c>
      <c r="L10" s="54">
        <f>'S3'!E9</f>
        <v>20.282000000000018</v>
      </c>
      <c r="M10" s="299">
        <f>'S3'!E10-'S3'!E9</f>
        <v>1.0300000000000402</v>
      </c>
      <c r="N10" s="298">
        <f>M10/L11</f>
        <v>4.8329579579581332E-2</v>
      </c>
      <c r="O10" s="54">
        <f>'S3'!B24</f>
        <v>22.398999999999983</v>
      </c>
      <c r="P10" s="305">
        <f>'S3'!B25-'S3'!B24</f>
        <v>1.4210000000000669</v>
      </c>
      <c r="Q10" s="298">
        <f>P10/O11</f>
        <v>5.9655751469356165E-2</v>
      </c>
      <c r="R10" s="53">
        <f>'S3'!C24</f>
        <v>23.175000000000015</v>
      </c>
      <c r="S10" s="305">
        <f>'S3'!C25-'S3'!C24</f>
        <v>1.9150000000000169</v>
      </c>
      <c r="T10" s="298">
        <f>S10/R11</f>
        <v>7.6325229174970685E-2</v>
      </c>
      <c r="U10" s="53">
        <f>'S3'!D24</f>
        <v>20.020000000000024</v>
      </c>
      <c r="V10" s="305">
        <f>'S3'!D25-'S3'!D24</f>
        <v>1.4000000000000483</v>
      </c>
      <c r="W10" s="298">
        <f>V10/U11</f>
        <v>6.5359477124185036E-2</v>
      </c>
      <c r="X10" s="53">
        <f>'S3'!E24</f>
        <v>21.854000000000006</v>
      </c>
      <c r="Y10" s="305">
        <f>'S3'!E25-'S3'!E24</f>
        <v>2.0259999999999891</v>
      </c>
      <c r="Z10" s="298">
        <f>Y10/X11</f>
        <v>8.4840871021775108E-2</v>
      </c>
    </row>
    <row r="11" spans="1:27" x14ac:dyDescent="0.35">
      <c r="A11" s="300"/>
      <c r="B11" s="53" t="s">
        <v>77</v>
      </c>
      <c r="C11" s="54">
        <f>'S3'!B10</f>
        <v>23.07599999999999</v>
      </c>
      <c r="D11" s="299"/>
      <c r="E11" s="298"/>
      <c r="F11" s="54">
        <f>'S3'!C10</f>
        <v>34.092000000000098</v>
      </c>
      <c r="G11" s="299"/>
      <c r="H11" s="298"/>
      <c r="I11" s="54">
        <f>'S3'!D10</f>
        <v>25.488000000000046</v>
      </c>
      <c r="J11" s="299"/>
      <c r="K11" s="298"/>
      <c r="L11" s="54">
        <f>'S3'!E10</f>
        <v>21.312000000000058</v>
      </c>
      <c r="M11" s="299"/>
      <c r="N11" s="298"/>
      <c r="O11" s="54">
        <f>'S3'!B25</f>
        <v>23.82000000000005</v>
      </c>
      <c r="P11" s="305"/>
      <c r="Q11" s="298"/>
      <c r="R11" s="53">
        <f>'S3'!C25</f>
        <v>25.090000000000032</v>
      </c>
      <c r="S11" s="305"/>
      <c r="T11" s="298"/>
      <c r="U11" s="53">
        <f>'S3'!D25</f>
        <v>21.420000000000073</v>
      </c>
      <c r="V11" s="305"/>
      <c r="W11" s="298"/>
      <c r="X11" s="53">
        <f>'S3'!E25</f>
        <v>23.879999999999995</v>
      </c>
      <c r="Y11" s="305"/>
      <c r="Z11" s="298"/>
    </row>
    <row r="12" spans="1:27" x14ac:dyDescent="0.35">
      <c r="A12" s="300" t="s">
        <v>7</v>
      </c>
      <c r="B12" s="53" t="s">
        <v>76</v>
      </c>
      <c r="C12" s="53">
        <f>'S4'!B9</f>
        <v>13.548000000000002</v>
      </c>
      <c r="D12" s="299">
        <f>'S4'!B10-'S4'!B9</f>
        <v>0.74399999999999444</v>
      </c>
      <c r="E12" s="298">
        <f>D12/C13</f>
        <v>5.2057094878253191E-2</v>
      </c>
      <c r="F12" s="54">
        <f>'S4'!C9</f>
        <v>21.086999999999993</v>
      </c>
      <c r="G12" s="305">
        <f>'S4'!C10-'S4'!C9</f>
        <v>2.9249999999998622</v>
      </c>
      <c r="H12" s="298">
        <f>G12/F13</f>
        <v>0.12181409295351824</v>
      </c>
      <c r="I12" s="53">
        <f>'S4'!D9</f>
        <v>17.712000000000018</v>
      </c>
      <c r="J12" s="305">
        <f>'S4'!D10-'S4'!D9</f>
        <v>0.35999999999991772</v>
      </c>
      <c r="K12" s="298">
        <f>J12/I13</f>
        <v>1.9920318725095119E-2</v>
      </c>
      <c r="L12" s="53">
        <f>'S4'!E9</f>
        <v>12.92799999999999</v>
      </c>
      <c r="M12" s="305">
        <f>'S4'!E10-'S4'!E9</f>
        <v>0.49999999999997335</v>
      </c>
      <c r="N12" s="298">
        <f>M12/L13</f>
        <v>3.7235627047957603E-2</v>
      </c>
      <c r="O12" s="53">
        <f>'S4'!B24</f>
        <v>16.176999999999996</v>
      </c>
      <c r="P12" s="305">
        <f>'S4'!B25-'S4'!B24</f>
        <v>0.74299999999996302</v>
      </c>
      <c r="Q12" s="298">
        <f>P12/O13</f>
        <v>4.3912529550825342E-2</v>
      </c>
      <c r="R12" s="53">
        <f>'S4'!C24</f>
        <v>15.815999999999974</v>
      </c>
      <c r="S12" s="305">
        <f>'S4'!C25-'S4'!C24</f>
        <v>1.7139999999999986</v>
      </c>
      <c r="T12" s="298">
        <f>S12/R13</f>
        <v>9.7775242441528881E-2</v>
      </c>
      <c r="U12" s="53">
        <f>'S4'!D24</f>
        <v>13.95799999999997</v>
      </c>
      <c r="V12" s="305">
        <f>'S4'!D25-'S4'!D24</f>
        <v>0.40199999999992997</v>
      </c>
      <c r="W12" s="298">
        <f>V12/U13</f>
        <v>2.799442896935465E-2</v>
      </c>
      <c r="X12" s="53">
        <f>'S4'!E24</f>
        <v>15.341000000000015</v>
      </c>
      <c r="Y12" s="305">
        <f>'S4'!E25-'S4'!E24</f>
        <v>1.2390000000000256</v>
      </c>
      <c r="Z12" s="298">
        <f>Y12/X13</f>
        <v>7.472858866103875E-2</v>
      </c>
    </row>
    <row r="13" spans="1:27" x14ac:dyDescent="0.35">
      <c r="A13" s="300"/>
      <c r="B13" s="53" t="s">
        <v>77</v>
      </c>
      <c r="C13" s="54">
        <f>'S4'!B10</f>
        <v>14.291999999999996</v>
      </c>
      <c r="D13" s="299"/>
      <c r="E13" s="298"/>
      <c r="F13" s="54">
        <f>'S4'!C10</f>
        <v>24.011999999999855</v>
      </c>
      <c r="G13" s="305"/>
      <c r="H13" s="298"/>
      <c r="I13" s="53">
        <f>'S4'!D10</f>
        <v>18.071999999999935</v>
      </c>
      <c r="J13" s="305"/>
      <c r="K13" s="298"/>
      <c r="L13" s="53">
        <f>'S4'!E10</f>
        <v>13.427999999999964</v>
      </c>
      <c r="M13" s="305"/>
      <c r="N13" s="298"/>
      <c r="O13" s="53">
        <f>'S4'!B25</f>
        <v>16.919999999999959</v>
      </c>
      <c r="P13" s="305"/>
      <c r="Q13" s="298"/>
      <c r="R13" s="53">
        <f>'S4'!C25</f>
        <v>17.529999999999973</v>
      </c>
      <c r="S13" s="305"/>
      <c r="T13" s="298"/>
      <c r="U13" s="53">
        <f>'S4'!D25</f>
        <v>14.3599999999999</v>
      </c>
      <c r="V13" s="305"/>
      <c r="W13" s="298"/>
      <c r="X13" s="53">
        <f>'S4'!E25</f>
        <v>16.580000000000041</v>
      </c>
      <c r="Y13" s="305"/>
      <c r="Z13" s="298"/>
    </row>
    <row r="14" spans="1:27" x14ac:dyDescent="0.35">
      <c r="A14" s="300" t="s">
        <v>8</v>
      </c>
      <c r="B14" s="53" t="s">
        <v>76</v>
      </c>
      <c r="C14" s="53">
        <f>'S5'!B9</f>
        <v>4.8149999999999977</v>
      </c>
      <c r="D14" s="299">
        <f>'S5'!B10-'S5'!B9</f>
        <v>-0.99899999999998945</v>
      </c>
      <c r="E14" s="298">
        <f>D14/C15</f>
        <v>-0.26179245283018537</v>
      </c>
      <c r="F14" s="53">
        <f>'S5'!C9</f>
        <v>11.797999999999995</v>
      </c>
      <c r="G14" s="299">
        <f>'S5'!C10-'S5'!C9</f>
        <v>3.4660000000000384</v>
      </c>
      <c r="H14" s="298">
        <f>G14/F15</f>
        <v>0.22707023060796849</v>
      </c>
      <c r="I14" s="53">
        <f>'S5'!D9</f>
        <v>7.600999999999992</v>
      </c>
      <c r="J14" s="299">
        <f>'S5'!D10-'S5'!D9</f>
        <v>-1.4089999999999963</v>
      </c>
      <c r="K14" s="298">
        <f>J14/I15</f>
        <v>-0.22755167958656286</v>
      </c>
      <c r="L14" s="53">
        <f>'S5'!E9</f>
        <v>4.4879999999999995</v>
      </c>
      <c r="M14" s="299">
        <f>'S5'!E10-'S5'!E9</f>
        <v>-0.74400000000002819</v>
      </c>
      <c r="N14" s="298">
        <f>M14/L15</f>
        <v>-0.19871794871795778</v>
      </c>
      <c r="O14" s="53">
        <f>'S5'!B24</f>
        <v>6.0600000000000165</v>
      </c>
      <c r="P14" s="299">
        <f>'S5'!B25-'S5'!B24</f>
        <v>0.29000000000000625</v>
      </c>
      <c r="Q14" s="298">
        <f>P14/O15</f>
        <v>4.5669291338583495E-2</v>
      </c>
      <c r="R14" s="53">
        <f>'S5'!C24</f>
        <v>5.2760000000000034</v>
      </c>
      <c r="S14" s="299">
        <f>'S5'!C25-'S5'!C24</f>
        <v>-0.45599999999995333</v>
      </c>
      <c r="T14" s="298">
        <f>S14/R15</f>
        <v>-9.4605809128620044E-2</v>
      </c>
      <c r="U14" s="53">
        <f>'S5'!D24</f>
        <v>5.5630000000000024</v>
      </c>
      <c r="V14" s="299">
        <f>'S5'!D25-'S5'!D24</f>
        <v>-0.64299999999992963</v>
      </c>
      <c r="W14" s="298">
        <f>V14/U15</f>
        <v>-0.13069105691055288</v>
      </c>
      <c r="X14" s="53">
        <f>'S5'!E24</f>
        <v>5.5480000000000089</v>
      </c>
      <c r="Y14" s="299">
        <f>'S5'!E25-'S5'!E24</f>
        <v>-0.92800000000011806</v>
      </c>
      <c r="Z14" s="298">
        <f>Y14/X15</f>
        <v>-0.20086580086583117</v>
      </c>
    </row>
    <row r="15" spans="1:27" x14ac:dyDescent="0.35">
      <c r="A15" s="300"/>
      <c r="B15" s="53" t="s">
        <v>77</v>
      </c>
      <c r="C15" s="54">
        <f>'S5'!B10</f>
        <v>3.8160000000000083</v>
      </c>
      <c r="D15" s="299"/>
      <c r="E15" s="298"/>
      <c r="F15" s="54">
        <f>'S5'!C10</f>
        <v>15.264000000000033</v>
      </c>
      <c r="G15" s="299"/>
      <c r="H15" s="298"/>
      <c r="I15" s="54">
        <f>'S5'!D10</f>
        <v>6.1919999999999957</v>
      </c>
      <c r="J15" s="299"/>
      <c r="K15" s="298"/>
      <c r="L15" s="54">
        <f>'S5'!E10</f>
        <v>3.7439999999999714</v>
      </c>
      <c r="M15" s="299"/>
      <c r="N15" s="298"/>
      <c r="O15" s="54">
        <f>'S5'!B25</f>
        <v>6.3500000000000227</v>
      </c>
      <c r="P15" s="299"/>
      <c r="Q15" s="298"/>
      <c r="R15" s="54">
        <f>'S5'!C25</f>
        <v>4.82000000000005</v>
      </c>
      <c r="S15" s="299"/>
      <c r="T15" s="298"/>
      <c r="U15" s="54">
        <f>'S5'!D25</f>
        <v>4.9200000000000728</v>
      </c>
      <c r="V15" s="299"/>
      <c r="W15" s="298"/>
      <c r="X15" s="54">
        <f>'S5'!E25</f>
        <v>4.6199999999998909</v>
      </c>
      <c r="Y15" s="299"/>
      <c r="Z15" s="298"/>
    </row>
    <row r="16" spans="1:27" x14ac:dyDescent="0.35">
      <c r="A16" s="300" t="s">
        <v>9</v>
      </c>
      <c r="B16" s="53" t="s">
        <v>76</v>
      </c>
      <c r="C16" s="53">
        <f>'S6'!B9</f>
        <v>4.0260000000000034</v>
      </c>
      <c r="D16" s="299">
        <f>'S6'!B10-'S6'!B9</f>
        <v>-1.397999999999938</v>
      </c>
      <c r="E16" s="298">
        <f>D16/C17</f>
        <v>-0.5319634703195979</v>
      </c>
      <c r="F16" s="53">
        <f>'S6'!C9</f>
        <v>8.5790000000000077</v>
      </c>
      <c r="G16" s="299">
        <f>'S6'!C10-'S6'!C9</f>
        <v>3.8049999999999837</v>
      </c>
      <c r="H16" s="298">
        <f>G16/F17</f>
        <v>0.307251291989663</v>
      </c>
      <c r="I16" s="53">
        <f>'S6'!D9</f>
        <v>5.7899999999999991</v>
      </c>
      <c r="J16" s="299">
        <f>'S6'!D10-'S6'!D9</f>
        <v>-1.7219999999999134</v>
      </c>
      <c r="K16" s="298">
        <f>J16/I17</f>
        <v>-0.42330383480822936</v>
      </c>
      <c r="L16" s="53">
        <f>'S6'!E9</f>
        <v>3.4280000000000044</v>
      </c>
      <c r="M16" s="299">
        <f>'S6'!E10-'S6'!E9</f>
        <v>-0.7280000000000042</v>
      </c>
      <c r="N16" s="298">
        <f>M16/L17</f>
        <v>-0.26962962962963116</v>
      </c>
      <c r="O16" s="53">
        <f>'S6'!B24</f>
        <v>3.4920000000000044</v>
      </c>
      <c r="P16" s="299">
        <f>'S6'!B25-'S6'!B24</f>
        <v>0.73800000000001376</v>
      </c>
      <c r="Q16" s="298">
        <f>P16/O17</f>
        <v>0.17446808510638548</v>
      </c>
      <c r="R16" s="53">
        <f>'S6'!C24</f>
        <v>3.8889999999999958</v>
      </c>
      <c r="S16" s="299">
        <f>'S6'!C25-'S6'!C24</f>
        <v>-0.55900000000006855</v>
      </c>
      <c r="T16" s="298">
        <f>S16/R17</f>
        <v>-0.16786786786789212</v>
      </c>
      <c r="U16" s="53">
        <f>'S6'!D24</f>
        <v>4.3000000000000114</v>
      </c>
      <c r="V16" s="299">
        <f>'S6'!D25-'S6'!D24</f>
        <v>-0.84000000000008868</v>
      </c>
      <c r="W16" s="298">
        <f>V16/U17</f>
        <v>-0.24277456647401949</v>
      </c>
      <c r="X16" s="53">
        <f>'S6'!E24</f>
        <v>3.8589999999999804</v>
      </c>
      <c r="Y16" s="299">
        <f>'S6'!E25-'S6'!E24</f>
        <v>-1.1789999999999168</v>
      </c>
      <c r="Z16" s="298">
        <f>Y16/X17</f>
        <v>-0.43992537313428687</v>
      </c>
    </row>
    <row r="17" spans="1:26" x14ac:dyDescent="0.35">
      <c r="A17" s="300"/>
      <c r="B17" s="53" t="s">
        <v>77</v>
      </c>
      <c r="C17" s="53">
        <f>'S6'!B10</f>
        <v>2.6280000000000654</v>
      </c>
      <c r="D17" s="299"/>
      <c r="E17" s="298"/>
      <c r="F17" s="53">
        <f>'S6'!C10</f>
        <v>12.383999999999991</v>
      </c>
      <c r="G17" s="299"/>
      <c r="H17" s="298"/>
      <c r="I17" s="53">
        <f>'S6'!D10</f>
        <v>4.0680000000000858</v>
      </c>
      <c r="J17" s="299"/>
      <c r="K17" s="298"/>
      <c r="L17" s="53">
        <f>'S6'!E10</f>
        <v>2.7</v>
      </c>
      <c r="M17" s="299"/>
      <c r="N17" s="298"/>
      <c r="O17" s="53">
        <f>'S6'!B25</f>
        <v>4.2300000000000182</v>
      </c>
      <c r="P17" s="299"/>
      <c r="Q17" s="298"/>
      <c r="R17" s="53">
        <f>'S6'!C25</f>
        <v>3.3299999999999272</v>
      </c>
      <c r="S17" s="299"/>
      <c r="T17" s="298"/>
      <c r="U17" s="53">
        <f>'S6'!D25</f>
        <v>3.4599999999999227</v>
      </c>
      <c r="V17" s="299"/>
      <c r="W17" s="298"/>
      <c r="X17" s="53">
        <f>'S6'!E25</f>
        <v>2.6800000000000637</v>
      </c>
      <c r="Y17" s="299"/>
      <c r="Z17" s="298"/>
    </row>
    <row r="18" spans="1:26" x14ac:dyDescent="0.35">
      <c r="A18" s="300" t="s">
        <v>10</v>
      </c>
      <c r="B18" s="53" t="s">
        <v>76</v>
      </c>
      <c r="C18" s="53">
        <f>'S7'!B9</f>
        <v>2.1930000000000049</v>
      </c>
      <c r="D18" s="299">
        <f>'S7'!B10-'S7'!B9</f>
        <v>-1.0769999999999966</v>
      </c>
      <c r="E18" s="298">
        <f>D18/C19</f>
        <v>-0.96505376344085003</v>
      </c>
      <c r="F18" s="53">
        <f>'S7'!C9</f>
        <v>4.5540000000000092</v>
      </c>
      <c r="G18" s="299">
        <f>'S7'!C10-'S7'!C9</f>
        <v>3.1860000000001136</v>
      </c>
      <c r="H18" s="298">
        <f>G18/F19</f>
        <v>0.41162790697675233</v>
      </c>
      <c r="I18" s="53">
        <f>'S7'!D9</f>
        <v>3.4789999999999992</v>
      </c>
      <c r="J18" s="299">
        <f>'S7'!D10-'S7'!D9</f>
        <v>-1.2829999999999502</v>
      </c>
      <c r="K18" s="298">
        <f>J18/I19</f>
        <v>-0.58424408014568374</v>
      </c>
      <c r="L18" s="53">
        <f>'S7'!E9</f>
        <v>2.0530000000000044</v>
      </c>
      <c r="M18" s="299">
        <f>'S7'!E10-'S7'!E9</f>
        <v>-0.46899999999991016</v>
      </c>
      <c r="N18" s="298">
        <f>M18/L19</f>
        <v>-0.29608585858578423</v>
      </c>
      <c r="O18" s="53">
        <f>'S7'!B24</f>
        <v>2.1769999999999996</v>
      </c>
      <c r="P18" s="299">
        <f>'S7'!B25-'S7'!B24</f>
        <v>0.60299999999997311</v>
      </c>
      <c r="Q18" s="298">
        <f>P18/O19</f>
        <v>0.21690647482013634</v>
      </c>
      <c r="R18" s="53">
        <f>'S7'!C24</f>
        <v>2.4309999999999903</v>
      </c>
      <c r="S18" s="299">
        <f>'S7'!C25-'S7'!C24</f>
        <v>-0.48099999999994481</v>
      </c>
      <c r="T18" s="298">
        <f>S18/R19</f>
        <v>-0.24666666666663262</v>
      </c>
      <c r="U18" s="53">
        <f>'S7'!D24</f>
        <v>2.8389999999999702</v>
      </c>
      <c r="V18" s="299">
        <f>'S7'!D25-'S7'!D24</f>
        <v>-0.80899999999988381</v>
      </c>
      <c r="W18" s="298">
        <f>V18/U19</f>
        <v>-0.39852216748761055</v>
      </c>
      <c r="X18" s="53">
        <f>'S7'!E24</f>
        <v>2.4649999999999963</v>
      </c>
      <c r="Y18" s="299">
        <f>'S7'!E25-'S7'!E24</f>
        <v>-0.93500000000002359</v>
      </c>
      <c r="Z18" s="298">
        <f>Y18/X19</f>
        <v>-0.61111111111113747</v>
      </c>
    </row>
    <row r="19" spans="1:26" x14ac:dyDescent="0.35">
      <c r="A19" s="300"/>
      <c r="B19" s="53" t="s">
        <v>77</v>
      </c>
      <c r="C19" s="53">
        <f>'S7'!B10</f>
        <v>1.1160000000000083</v>
      </c>
      <c r="D19" s="299"/>
      <c r="E19" s="298"/>
      <c r="F19" s="54">
        <f>'S7'!C10</f>
        <v>7.7400000000001228</v>
      </c>
      <c r="G19" s="299"/>
      <c r="H19" s="298"/>
      <c r="I19" s="53">
        <f>'S7'!D10</f>
        <v>2.196000000000049</v>
      </c>
      <c r="J19" s="299"/>
      <c r="K19" s="298"/>
      <c r="L19" s="53">
        <f>'S7'!E10</f>
        <v>1.5840000000000942</v>
      </c>
      <c r="M19" s="299"/>
      <c r="N19" s="298"/>
      <c r="O19" s="53">
        <f>'S7'!B25</f>
        <v>2.7799999999999727</v>
      </c>
      <c r="P19" s="299"/>
      <c r="Q19" s="298"/>
      <c r="R19" s="53">
        <f>'S7'!C25</f>
        <v>1.9500000000000455</v>
      </c>
      <c r="S19" s="299"/>
      <c r="T19" s="298"/>
      <c r="U19" s="53">
        <f>'S7'!D25</f>
        <v>2.0300000000000864</v>
      </c>
      <c r="V19" s="299"/>
      <c r="W19" s="298"/>
      <c r="X19" s="53">
        <f>'S7'!E25</f>
        <v>1.5299999999999727</v>
      </c>
      <c r="Y19" s="299"/>
      <c r="Z19" s="298"/>
    </row>
    <row r="20" spans="1:26" x14ac:dyDescent="0.35">
      <c r="A20" s="300" t="s">
        <v>11</v>
      </c>
      <c r="B20" s="53" t="s">
        <v>76</v>
      </c>
      <c r="C20" s="53">
        <f>'S8'!B9</f>
        <v>2.6670000000000087</v>
      </c>
      <c r="D20" s="299">
        <f>'S8'!B10-'S8'!B9</f>
        <v>-1.0270000000000088</v>
      </c>
      <c r="E20" s="298">
        <f>D20/C21</f>
        <v>-0.62621951219512739</v>
      </c>
      <c r="F20" s="53">
        <f>'S8'!C9</f>
        <v>4.6169999999999902</v>
      </c>
      <c r="G20" s="299">
        <f>'S8'!C10-'S8'!C9</f>
        <v>3.5930000000000106</v>
      </c>
      <c r="H20" s="298">
        <f>G20/F21</f>
        <v>0.43763702801461757</v>
      </c>
      <c r="I20" s="53">
        <f>'S8'!D9</f>
        <v>3.8990000000000151</v>
      </c>
      <c r="J20" s="299">
        <f>'S8'!D10-'S8'!D9</f>
        <v>-1.4490000000000149</v>
      </c>
      <c r="K20" s="298">
        <f>J20/I21</f>
        <v>-0.59142857142857752</v>
      </c>
      <c r="L20" s="53">
        <f>'S8'!E9</f>
        <v>2.5720000000000027</v>
      </c>
      <c r="M20" s="299">
        <f>'S8'!E10-'S8'!E9</f>
        <v>-0.49200000000000266</v>
      </c>
      <c r="N20" s="298">
        <f>M20/L21</f>
        <v>-0.23653846153846281</v>
      </c>
      <c r="O20" s="53">
        <f>'S8'!B24</f>
        <v>2.3179999999999836</v>
      </c>
      <c r="P20" s="299">
        <f>'S8'!B25-'S8'!B24</f>
        <v>0.32200000000000273</v>
      </c>
      <c r="Q20" s="298">
        <f>P20/O21</f>
        <v>0.12196969696969863</v>
      </c>
      <c r="R20" s="53">
        <f>'S8'!C24</f>
        <v>2.9310000000000045</v>
      </c>
      <c r="S20" s="299">
        <f>'S8'!C25-'S8'!C24</f>
        <v>-0.46099999999997721</v>
      </c>
      <c r="T20" s="298">
        <f>S20/R21</f>
        <v>-0.18663967611334903</v>
      </c>
      <c r="U20" s="53">
        <f>'S8'!D24</f>
        <v>2.883000000000024</v>
      </c>
      <c r="V20" s="299">
        <f>'S8'!D25-'S8'!D24</f>
        <v>-0.46300000000006492</v>
      </c>
      <c r="W20" s="298">
        <f>V20/U21</f>
        <v>-0.19132231404961683</v>
      </c>
      <c r="X20" s="53">
        <f>'S8'!E24</f>
        <v>2.7670000000000101</v>
      </c>
      <c r="Y20" s="299">
        <f>'S8'!E25-'S8'!E24</f>
        <v>-0.92699999999997829</v>
      </c>
      <c r="Z20" s="298">
        <f>Y20/X21</f>
        <v>-0.50380434782606642</v>
      </c>
    </row>
    <row r="21" spans="1:26" x14ac:dyDescent="0.35">
      <c r="A21" s="300"/>
      <c r="B21" s="53" t="s">
        <v>77</v>
      </c>
      <c r="C21" s="53">
        <f>'S8'!B10</f>
        <v>1.64</v>
      </c>
      <c r="D21" s="299"/>
      <c r="E21" s="298"/>
      <c r="F21" s="53">
        <f>'S8'!C10</f>
        <v>8.2100000000000009</v>
      </c>
      <c r="G21" s="299"/>
      <c r="H21" s="298"/>
      <c r="I21" s="53">
        <f>'S8'!D10</f>
        <v>2.4500000000000002</v>
      </c>
      <c r="J21" s="299"/>
      <c r="K21" s="298"/>
      <c r="L21" s="53">
        <f>'S8'!E10</f>
        <v>2.08</v>
      </c>
      <c r="M21" s="299"/>
      <c r="N21" s="298"/>
      <c r="O21" s="53">
        <f>'S8'!B25</f>
        <v>2.6399999999999864</v>
      </c>
      <c r="P21" s="299"/>
      <c r="Q21" s="298"/>
      <c r="R21" s="53">
        <f>'S8'!C25</f>
        <v>2.4700000000000273</v>
      </c>
      <c r="S21" s="299"/>
      <c r="T21" s="298"/>
      <c r="U21" s="53">
        <f>'S8'!D25</f>
        <v>2.4199999999999591</v>
      </c>
      <c r="V21" s="299"/>
      <c r="W21" s="298"/>
      <c r="X21" s="53">
        <f>'S8'!E25</f>
        <v>1.8400000000000318</v>
      </c>
      <c r="Y21" s="299"/>
      <c r="Z21" s="298"/>
    </row>
    <row r="22" spans="1:26" ht="15" customHeight="1" x14ac:dyDescent="0.35">
      <c r="A22" s="303" t="s">
        <v>12</v>
      </c>
      <c r="B22" s="53" t="s">
        <v>76</v>
      </c>
      <c r="C22" s="53">
        <f>'S9'!B9</f>
        <v>3.1709999999999994</v>
      </c>
      <c r="D22" s="299">
        <f>'S9'!B10-'S9'!B9</f>
        <v>-1.1309999999999993</v>
      </c>
      <c r="E22" s="301">
        <f>D22/C23</f>
        <v>-0.55441176470588205</v>
      </c>
      <c r="F22" s="53">
        <f>'S9'!C9</f>
        <v>5.1590000000000025</v>
      </c>
      <c r="G22" s="299">
        <f>'S9'!C10-'S9'!C9</f>
        <v>4.070999999999998</v>
      </c>
      <c r="H22" s="301">
        <f>G22/F23</f>
        <v>0.44106175514626195</v>
      </c>
      <c r="I22" s="53">
        <f>'S9'!D9</f>
        <v>5.1020000000000039</v>
      </c>
      <c r="J22" s="299">
        <f>'S9'!D10-'S9'!D9</f>
        <v>-1.6020000000000039</v>
      </c>
      <c r="K22" s="301">
        <f>J22/I23</f>
        <v>-0.45771428571428679</v>
      </c>
      <c r="L22" s="53">
        <f>'S9'!E9</f>
        <v>3.6039999999999992</v>
      </c>
      <c r="M22" s="299">
        <f>'S9'!E10-'S9'!E9</f>
        <v>-0.68399999999999928</v>
      </c>
      <c r="N22" s="301">
        <f>M22/L23</f>
        <v>-0.23424657534246551</v>
      </c>
      <c r="O22" s="112">
        <f>'S9'!B24</f>
        <v>2.8970000000000198</v>
      </c>
      <c r="P22" s="299">
        <f>'S9'!B25-'S9'!B24</f>
        <v>0.37299999999996203</v>
      </c>
      <c r="Q22" s="301">
        <f>P22/O23</f>
        <v>0.11406727828745079</v>
      </c>
      <c r="R22" s="53">
        <f>'S9'!C24</f>
        <v>3.3909999999999982</v>
      </c>
      <c r="S22" s="299">
        <f>'S9'!C25-'S9'!C24</f>
        <v>-0.55099999999996641</v>
      </c>
      <c r="T22" s="301">
        <f>S22/R23</f>
        <v>-0.19401408450702826</v>
      </c>
      <c r="U22" s="53">
        <f>'S9'!D24</f>
        <v>3.54200000000003</v>
      </c>
      <c r="V22" s="299">
        <f>'S9'!D25-'S9'!D24</f>
        <v>-0.19200000000000728</v>
      </c>
      <c r="W22" s="301">
        <f>V22/U23</f>
        <v>-5.7313432835822679E-2</v>
      </c>
      <c r="X22" s="53">
        <f>'S9'!E24</f>
        <v>4.0240000000000009</v>
      </c>
      <c r="Y22" s="299">
        <f>'S9'!E25-'S9'!E24</f>
        <v>-1.0339999999999918</v>
      </c>
      <c r="Z22" s="301">
        <f>Y22/X23</f>
        <v>-0.34581939799330724</v>
      </c>
    </row>
    <row r="23" spans="1:26" ht="15" customHeight="1" x14ac:dyDescent="0.35">
      <c r="A23" s="304"/>
      <c r="B23" s="53" t="s">
        <v>77</v>
      </c>
      <c r="C23" s="55">
        <f>'S9'!B10</f>
        <v>2.04</v>
      </c>
      <c r="D23" s="299"/>
      <c r="E23" s="302"/>
      <c r="F23" s="55">
        <f>'S9'!C10</f>
        <v>9.23</v>
      </c>
      <c r="G23" s="299"/>
      <c r="H23" s="302"/>
      <c r="I23" s="55">
        <f>'S9'!D10</f>
        <v>3.5</v>
      </c>
      <c r="J23" s="299"/>
      <c r="K23" s="302"/>
      <c r="L23" s="55">
        <f>'S9'!E10</f>
        <v>2.92</v>
      </c>
      <c r="M23" s="299"/>
      <c r="N23" s="302"/>
      <c r="O23" s="113">
        <f>'S9'!B25</f>
        <v>3.2699999999999818</v>
      </c>
      <c r="P23" s="299"/>
      <c r="Q23" s="302"/>
      <c r="R23" s="53">
        <f>'S9'!C25</f>
        <v>2.8400000000000318</v>
      </c>
      <c r="S23" s="299"/>
      <c r="T23" s="302"/>
      <c r="U23" s="55">
        <f>'S9'!D25</f>
        <v>3.3500000000000227</v>
      </c>
      <c r="V23" s="299"/>
      <c r="W23" s="302"/>
      <c r="X23" s="53">
        <f>'S9'!E25</f>
        <v>2.9900000000000091</v>
      </c>
      <c r="Y23" s="299"/>
      <c r="Z23" s="302"/>
    </row>
    <row r="24" spans="1:26" x14ac:dyDescent="0.35">
      <c r="A24" s="300" t="s">
        <v>13</v>
      </c>
      <c r="B24" s="53" t="s">
        <v>76</v>
      </c>
      <c r="C24" s="53">
        <f>'S10'!B9</f>
        <v>6.0499999999999972</v>
      </c>
      <c r="D24" s="299">
        <f>'S10'!B10-'S10'!B9</f>
        <v>0.48000000000000398</v>
      </c>
      <c r="E24" s="298">
        <f>D24/C25</f>
        <v>7.3506891271057265E-2</v>
      </c>
      <c r="F24" s="53">
        <f>'S10'!C9</f>
        <v>10.636000000000006</v>
      </c>
      <c r="G24" s="299">
        <f>'S10'!C10-'S10'!C9</f>
        <v>3.6539999999999928</v>
      </c>
      <c r="H24" s="298">
        <f>G24/F25</f>
        <v>0.25570328901329553</v>
      </c>
      <c r="I24" s="53">
        <f>'S10'!D9</f>
        <v>9.350999999999992</v>
      </c>
      <c r="J24" s="299">
        <f>'S10'!D10-'S10'!D9</f>
        <v>-1.0109999999999921</v>
      </c>
      <c r="K24" s="298">
        <f>J24/I25</f>
        <v>-0.12122302158273288</v>
      </c>
      <c r="L24" s="53">
        <f>'S10'!E9</f>
        <v>5.5769999999999911</v>
      </c>
      <c r="M24" s="299">
        <f>'S10'!E10-'S10'!E9</f>
        <v>-0.26699999999999058</v>
      </c>
      <c r="N24" s="298">
        <f>M24/L25</f>
        <v>-5.0282485875704434E-2</v>
      </c>
      <c r="O24" s="53">
        <f>'S10'!B24</f>
        <v>5.8390000000000075</v>
      </c>
      <c r="P24" s="299">
        <f>'S10'!B25-'S10'!B24</f>
        <v>1.030999999999997</v>
      </c>
      <c r="Q24" s="298">
        <f>P24/O25</f>
        <v>0.15007278020378403</v>
      </c>
      <c r="R24" s="53">
        <f>'S10'!C24</f>
        <v>7.3340000000000032</v>
      </c>
      <c r="S24" s="299">
        <f>'S10'!C25-'S10'!C24</f>
        <v>0.78599999999988768</v>
      </c>
      <c r="T24" s="298">
        <f>S24/R25</f>
        <v>9.6798029556637716E-2</v>
      </c>
      <c r="U24" s="53">
        <f>'S10'!D24</f>
        <v>6.4790000000000001</v>
      </c>
      <c r="V24" s="299">
        <f>'S10'!D25-'S10'!D24</f>
        <v>-0.75899999999997281</v>
      </c>
      <c r="W24" s="298">
        <f>V24/U25</f>
        <v>-0.13269230769230231</v>
      </c>
      <c r="X24" s="53">
        <f>'S10'!E24</f>
        <v>7.7820000000000107</v>
      </c>
      <c r="Y24" s="299">
        <f>'S10'!E25-'S10'!E24</f>
        <v>-0.23200000000005616</v>
      </c>
      <c r="Z24" s="298">
        <f>Y24/X25</f>
        <v>-3.0728476821199675E-2</v>
      </c>
    </row>
    <row r="25" spans="1:26" x14ac:dyDescent="0.35">
      <c r="A25" s="300"/>
      <c r="B25" s="53" t="s">
        <v>77</v>
      </c>
      <c r="C25" s="55">
        <f>'S10'!B10</f>
        <v>6.5300000000000011</v>
      </c>
      <c r="D25" s="299"/>
      <c r="E25" s="298"/>
      <c r="F25" s="55">
        <f>'S10'!C10</f>
        <v>14.29</v>
      </c>
      <c r="G25" s="299"/>
      <c r="H25" s="298"/>
      <c r="I25" s="55">
        <f>'S10'!D10</f>
        <v>8.34</v>
      </c>
      <c r="J25" s="299"/>
      <c r="K25" s="298"/>
      <c r="L25" s="55">
        <f>'S10'!E10</f>
        <v>5.3100000000000005</v>
      </c>
      <c r="M25" s="299"/>
      <c r="N25" s="298"/>
      <c r="O25" s="55">
        <f>'S10'!B25</f>
        <v>6.8700000000000045</v>
      </c>
      <c r="P25" s="299"/>
      <c r="Q25" s="298"/>
      <c r="R25" s="55">
        <f>'S10'!C25</f>
        <v>8.1199999999998909</v>
      </c>
      <c r="S25" s="299"/>
      <c r="T25" s="298"/>
      <c r="U25" s="55">
        <f>'S10'!D25</f>
        <v>5.7200000000000273</v>
      </c>
      <c r="V25" s="299"/>
      <c r="W25" s="298"/>
      <c r="X25" s="55">
        <f>'S10'!E25</f>
        <v>7.5499999999999545</v>
      </c>
      <c r="Y25" s="299"/>
      <c r="Z25" s="298"/>
    </row>
    <row r="26" spans="1:26" x14ac:dyDescent="0.35">
      <c r="A26" s="300" t="s">
        <v>14</v>
      </c>
      <c r="B26" s="53" t="s">
        <v>76</v>
      </c>
      <c r="C26" s="53">
        <f>'S11'!B9</f>
        <v>21.148000000000003</v>
      </c>
      <c r="D26" s="299">
        <f>'S11'!B10-'S11'!B9</f>
        <v>2.5419999999999945</v>
      </c>
      <c r="E26" s="298">
        <f>D26/C27</f>
        <v>0.10730265934993646</v>
      </c>
      <c r="F26" s="53">
        <f>'S11'!C9</f>
        <v>25.997</v>
      </c>
      <c r="G26" s="299">
        <f>'S11'!C10-'S11'!C9</f>
        <v>2.9529999999999994</v>
      </c>
      <c r="H26" s="298">
        <f>G26/F27</f>
        <v>0.10200345423143349</v>
      </c>
      <c r="I26" s="53">
        <f>'S11'!D9</f>
        <v>22.923000000000002</v>
      </c>
      <c r="J26" s="299">
        <f>'S11'!D10-'S11'!D9</f>
        <v>0.82699999999999818</v>
      </c>
      <c r="K26" s="298">
        <f>J26/I27</f>
        <v>3.4821052631578871E-2</v>
      </c>
      <c r="L26" s="53">
        <f>'S11'!E9</f>
        <v>20.419999999999995</v>
      </c>
      <c r="M26" s="299">
        <f>'S11'!E10-'S11'!E9</f>
        <v>1.240000000000002</v>
      </c>
      <c r="N26" s="298">
        <f>M26/L27</f>
        <v>5.7248384118190311E-2</v>
      </c>
      <c r="O26" s="53">
        <f>'S11'!B24</f>
        <v>22.132999999999981</v>
      </c>
      <c r="P26" s="299">
        <f>'S11'!B25-'S11'!B24</f>
        <v>0.51699999999999591</v>
      </c>
      <c r="Q26" s="298">
        <f>P26/O27</f>
        <v>2.2825607064017501E-2</v>
      </c>
      <c r="R26" s="53">
        <f>'S11'!C24</f>
        <v>23.088999999999999</v>
      </c>
      <c r="S26" s="299">
        <f>'S11'!C25-'S11'!C24</f>
        <v>2.521000000000015</v>
      </c>
      <c r="T26" s="298">
        <f>S26/R27</f>
        <v>9.8438110113237554E-2</v>
      </c>
      <c r="U26" s="53">
        <f>'S11'!D24</f>
        <v>22.233000000000001</v>
      </c>
      <c r="V26" s="299">
        <f>'S11'!D25-'S11'!D24</f>
        <v>1.1669999999999767</v>
      </c>
      <c r="W26" s="298">
        <f>V26/U27</f>
        <v>4.9871794871793926E-2</v>
      </c>
      <c r="X26" s="53">
        <f>'S11'!E24</f>
        <v>23.027000000000029</v>
      </c>
      <c r="Y26" s="299">
        <f>'S11'!E25-'S11'!E24</f>
        <v>2.2529999999999433</v>
      </c>
      <c r="Z26" s="298">
        <f>Y26/X27</f>
        <v>8.9121835443035827E-2</v>
      </c>
    </row>
    <row r="27" spans="1:26" x14ac:dyDescent="0.35">
      <c r="A27" s="300"/>
      <c r="B27" s="53" t="s">
        <v>77</v>
      </c>
      <c r="C27" s="53">
        <f>'S11'!B10</f>
        <v>23.689999999999998</v>
      </c>
      <c r="D27" s="299"/>
      <c r="E27" s="298"/>
      <c r="F27" s="53">
        <f>'S11'!C10</f>
        <v>28.95</v>
      </c>
      <c r="G27" s="299"/>
      <c r="H27" s="298"/>
      <c r="I27" s="53">
        <f>'S11'!D10</f>
        <v>23.75</v>
      </c>
      <c r="J27" s="299"/>
      <c r="K27" s="298"/>
      <c r="L27" s="53">
        <f>'S11'!E10</f>
        <v>21.659999999999997</v>
      </c>
      <c r="M27" s="299"/>
      <c r="N27" s="298"/>
      <c r="O27" s="53">
        <f>'S11'!B25</f>
        <v>22.649999999999977</v>
      </c>
      <c r="P27" s="299"/>
      <c r="Q27" s="298"/>
      <c r="R27" s="53">
        <f>'S11'!C25</f>
        <v>25.610000000000014</v>
      </c>
      <c r="S27" s="299"/>
      <c r="T27" s="298"/>
      <c r="U27" s="53">
        <f>'S11'!D25</f>
        <v>23.399999999999977</v>
      </c>
      <c r="V27" s="299"/>
      <c r="W27" s="298"/>
      <c r="X27" s="53">
        <f>'S11'!E25</f>
        <v>25.279999999999973</v>
      </c>
      <c r="Y27" s="299"/>
      <c r="Z27" s="298"/>
    </row>
    <row r="28" spans="1:26" x14ac:dyDescent="0.35">
      <c r="A28" s="300" t="s">
        <v>3</v>
      </c>
      <c r="B28" s="53" t="s">
        <v>76</v>
      </c>
      <c r="C28" s="53">
        <f>'S12'!B9</f>
        <v>29.724999999999994</v>
      </c>
      <c r="D28" s="299">
        <f>'S12'!B10-'S12'!B9</f>
        <v>3.6750000000000043</v>
      </c>
      <c r="E28" s="298">
        <f>D28/C29</f>
        <v>0.11002994011976061</v>
      </c>
      <c r="F28" s="53">
        <f>'S12'!C9</f>
        <v>35.799000000000028</v>
      </c>
      <c r="G28" s="299">
        <f>'S12'!C10-'S12'!C9</f>
        <v>3.5709999999999695</v>
      </c>
      <c r="H28" s="298">
        <f>G28/F29</f>
        <v>9.0703581407162046E-2</v>
      </c>
      <c r="I28" s="53">
        <f>'S12'!D9</f>
        <v>31.561</v>
      </c>
      <c r="J28" s="299">
        <f>'S12'!D10-'S12'!D9</f>
        <v>1.9989999999999952</v>
      </c>
      <c r="K28" s="298">
        <f>J28/I29</f>
        <v>5.95649582836709E-2</v>
      </c>
      <c r="L28" s="53">
        <f>'S12'!E9</f>
        <v>30.083999999999982</v>
      </c>
      <c r="M28" s="299">
        <f>'S12'!E10-'S12'!E9</f>
        <v>1.5060000000000215</v>
      </c>
      <c r="N28" s="298">
        <f>M28/L29</f>
        <v>4.7673314339981683E-2</v>
      </c>
      <c r="O28" s="53">
        <f>'S12'!B24</f>
        <v>29.05100000000003</v>
      </c>
      <c r="P28" s="299">
        <f>'S12'!B25-'S12'!B24</f>
        <v>2.3089999999999833</v>
      </c>
      <c r="Q28" s="298">
        <f>P28/O29</f>
        <v>7.3628826530611674E-2</v>
      </c>
      <c r="R28" s="53">
        <f>'S12'!C24</f>
        <v>31.024999999999977</v>
      </c>
      <c r="S28" s="299">
        <f>'S12'!C25-'S12'!C24</f>
        <v>2.8750000000001137</v>
      </c>
      <c r="T28" s="298">
        <f>S28/R29</f>
        <v>8.4808259587023774E-2</v>
      </c>
      <c r="U28" s="53">
        <f>'S12'!D24</f>
        <v>29.076999999999998</v>
      </c>
      <c r="V28" s="299">
        <f>'S12'!D25-'S12'!D24</f>
        <v>2.0230000000000246</v>
      </c>
      <c r="W28" s="298">
        <f>V28/U29</f>
        <v>6.5048231511254759E-2</v>
      </c>
      <c r="X28" s="53">
        <f>'S12'!E24</f>
        <v>31.177999999999976</v>
      </c>
      <c r="Y28" s="299">
        <f>'S12'!E25-'S12'!E24</f>
        <v>3.2620000000000786</v>
      </c>
      <c r="Z28" s="298">
        <f>Y28/X29</f>
        <v>9.4715447154473678E-2</v>
      </c>
    </row>
    <row r="29" spans="1:26" x14ac:dyDescent="0.35">
      <c r="A29" s="300"/>
      <c r="B29" s="53" t="s">
        <v>77</v>
      </c>
      <c r="C29" s="55">
        <f>'S12'!B10</f>
        <v>33.4</v>
      </c>
      <c r="D29" s="299"/>
      <c r="E29" s="298"/>
      <c r="F29" s="55">
        <f>'S12'!C10</f>
        <v>39.369999999999997</v>
      </c>
      <c r="G29" s="299"/>
      <c r="H29" s="298"/>
      <c r="I29" s="55">
        <f>'S12'!D10</f>
        <v>33.559999999999995</v>
      </c>
      <c r="J29" s="299"/>
      <c r="K29" s="298"/>
      <c r="L29" s="55">
        <f>'S12'!E10</f>
        <v>31.590000000000003</v>
      </c>
      <c r="M29" s="299"/>
      <c r="N29" s="298"/>
      <c r="O29" s="55">
        <f>'S12'!B25</f>
        <v>31.360000000000014</v>
      </c>
      <c r="P29" s="299"/>
      <c r="Q29" s="298"/>
      <c r="R29" s="55">
        <f>'S12'!C25</f>
        <v>33.900000000000091</v>
      </c>
      <c r="S29" s="299"/>
      <c r="T29" s="298"/>
      <c r="U29" s="55">
        <f>'S12'!D25</f>
        <v>31.100000000000023</v>
      </c>
      <c r="V29" s="299"/>
      <c r="W29" s="298"/>
      <c r="X29" s="55">
        <f>'S12'!E25</f>
        <v>34.440000000000055</v>
      </c>
      <c r="Y29" s="299"/>
      <c r="Z29" s="298"/>
    </row>
    <row r="30" spans="1:26" ht="15.5" x14ac:dyDescent="0.35">
      <c r="A30" s="56"/>
      <c r="B30" s="100" t="s">
        <v>112</v>
      </c>
      <c r="C30" s="57"/>
      <c r="D30" s="159"/>
      <c r="E30" s="58"/>
      <c r="F30" s="107"/>
      <c r="G30" s="58"/>
      <c r="H30" s="58"/>
      <c r="I30" s="57"/>
      <c r="J30" s="58"/>
      <c r="K30" s="58"/>
      <c r="L30" s="57"/>
      <c r="M30" s="58"/>
      <c r="N30" s="58"/>
      <c r="O30" s="57"/>
      <c r="P30" s="58"/>
      <c r="Q30" s="58"/>
      <c r="R30" s="57"/>
      <c r="S30" s="58"/>
      <c r="T30" s="58"/>
      <c r="U30" s="57"/>
      <c r="V30" s="58"/>
      <c r="W30" s="58"/>
      <c r="X30" s="57"/>
      <c r="Y30" s="58"/>
      <c r="Z30" s="58"/>
    </row>
    <row r="31" spans="1:26" s="59" customFormat="1" ht="15.5" x14ac:dyDescent="0.35">
      <c r="A31" s="59" t="s">
        <v>78</v>
      </c>
      <c r="D31" s="59">
        <f>SUM(D6:D29)</f>
        <v>8.3350000000000364</v>
      </c>
      <c r="G31" s="59">
        <f>SUM(G6:G29)</f>
        <v>42.866000000000071</v>
      </c>
      <c r="J31" s="59">
        <f>SUM(J6:J29)</f>
        <v>-1.2999999999999829</v>
      </c>
      <c r="M31" s="59">
        <f>SUM(M6:M29)</f>
        <v>3.9800000000001066</v>
      </c>
      <c r="P31" s="59">
        <f>SUM(P6:P29)</f>
        <v>12.735999999999967</v>
      </c>
      <c r="S31" s="59">
        <f>SUM(S6:S29)</f>
        <v>12.127000000000073</v>
      </c>
      <c r="V31" s="59">
        <f>SUM(V6:V29)</f>
        <v>5.8879999999999937</v>
      </c>
      <c r="Y31" s="59">
        <f>SUM(Y6:Y29)</f>
        <v>8.240999999999989</v>
      </c>
    </row>
    <row r="32" spans="1:26" ht="6.75" customHeight="1" x14ac:dyDescent="0.35"/>
    <row r="33" spans="1:25" s="60" customFormat="1" ht="15.5" x14ac:dyDescent="0.35">
      <c r="A33" s="59" t="s">
        <v>79</v>
      </c>
      <c r="D33" s="61">
        <f>(D6+D8+D10+D12+D14+D16+D18+D20+D22+D24+D26+D28)/(C7+C9+C11+C13+C15+C17+C19+C21+C23+C25+C27+C29)</f>
        <v>4.7841809206750269E-2</v>
      </c>
      <c r="G33" s="61">
        <f>(G6+G8+G10+G12+G14+G16+G18+G20+G22+G24+G26+G28)/(F7+F9+F11+F13+F15+F17+F19+F21+F23+F25+F27+F29)</f>
        <v>0.16006123744445713</v>
      </c>
      <c r="J33" s="61">
        <f>(J6+J8+J10+J12+J14+J16+J18+J20+J22+J24+J26+J28)/(I7+I9+I11+I13+I15+I17+I19+I21+I23+I25+I27+I29)</f>
        <v>-6.7498805790358199E-3</v>
      </c>
      <c r="M33" s="61">
        <f>(M6+M8+M10+M12+M14+M16+M18+M20+M22+M24+M26+M28)/(L7+L9+L11+L13+L15+L17+L19+L21+L23+L25+L27+L29)</f>
        <v>2.4247002631836097E-2</v>
      </c>
      <c r="P33" s="61">
        <f>(P6+P8+P10+P12+P14+P16+P18+P20+P22+P24+P26+P28)/(O7+O9+O11+O13+O15+O17+O19+O21+O23+O25+O27+O29)</f>
        <v>7.0108994825498011E-2</v>
      </c>
      <c r="S33" s="61">
        <f>(S6+S8+S10+S12+S14+S16+S18+S20+S22+S24+S26+S28)/(R7+R9+R11+R13+R15+R17+R19+R21+R23+R25+R27+R29)</f>
        <v>6.3755848798696557E-2</v>
      </c>
      <c r="V33" s="61">
        <f>(V6+V8+V10+V12+V14+V16+V18+V20+V22+V24+V26+V28)/(U7+U9+U11+U13+U15+U17+U19+U21+U23+U25+U27+U29)</f>
        <v>3.4300361179074874E-2</v>
      </c>
      <c r="Y33" s="61">
        <f>(Y6+Y8+Y10+Y12+Y14+Y16+Y18+Y20+Y22+Y24+Y26+Y28)/(X7+X9+X11+X13+X15+X17+X19+X21+X23+X25+X27+X29)</f>
        <v>4.544000882223196E-2</v>
      </c>
    </row>
    <row r="34" spans="1:25" s="62" customFormat="1" x14ac:dyDescent="0.35">
      <c r="D34" s="62">
        <v>1850</v>
      </c>
      <c r="G34" s="62">
        <v>1851</v>
      </c>
      <c r="J34" s="62">
        <v>1852</v>
      </c>
      <c r="M34" s="62">
        <v>1853</v>
      </c>
      <c r="P34" s="62">
        <v>1854</v>
      </c>
      <c r="S34" s="62">
        <v>1855</v>
      </c>
      <c r="V34" s="62">
        <v>1856</v>
      </c>
      <c r="Y34" s="62">
        <v>1857</v>
      </c>
    </row>
    <row r="38" spans="1:25" x14ac:dyDescent="0.35">
      <c r="A38" s="63"/>
    </row>
    <row r="39" spans="1:25" x14ac:dyDescent="0.35">
      <c r="A39"/>
    </row>
    <row r="40" spans="1:25" x14ac:dyDescent="0.35">
      <c r="A40" s="63"/>
    </row>
  </sheetData>
  <sheetProtection selectLockedCells="1" selectUnlockedCells="1"/>
  <mergeCells count="213">
    <mergeCell ref="Q10:Q11"/>
    <mergeCell ref="T12:T13"/>
    <mergeCell ref="V12:V13"/>
    <mergeCell ref="W12:W13"/>
    <mergeCell ref="A18:A19"/>
    <mergeCell ref="D18:D19"/>
    <mergeCell ref="R4:T4"/>
    <mergeCell ref="U4:W4"/>
    <mergeCell ref="A8:A9"/>
    <mergeCell ref="D8:D9"/>
    <mergeCell ref="E8:E9"/>
    <mergeCell ref="G8:G9"/>
    <mergeCell ref="H8:H9"/>
    <mergeCell ref="J8:J9"/>
    <mergeCell ref="T8:T9"/>
    <mergeCell ref="V8:V9"/>
    <mergeCell ref="W8:W9"/>
    <mergeCell ref="S16:S17"/>
    <mergeCell ref="J18:J19"/>
    <mergeCell ref="K18:K19"/>
    <mergeCell ref="M18:M19"/>
    <mergeCell ref="N18:N19"/>
    <mergeCell ref="P18:P19"/>
    <mergeCell ref="Q18:Q19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M6:M7"/>
    <mergeCell ref="N6:N7"/>
    <mergeCell ref="P6:P7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K16:K17"/>
    <mergeCell ref="M16:M17"/>
    <mergeCell ref="N16:N17"/>
    <mergeCell ref="P16:P17"/>
    <mergeCell ref="Q16:Q17"/>
    <mergeCell ref="A16:A17"/>
    <mergeCell ref="D16:D17"/>
    <mergeCell ref="E16:E17"/>
    <mergeCell ref="G16:G17"/>
    <mergeCell ref="H16:H17"/>
    <mergeCell ref="J16:J17"/>
    <mergeCell ref="E18:E19"/>
    <mergeCell ref="G18:G19"/>
    <mergeCell ref="H18:H19"/>
    <mergeCell ref="Z20:Z21"/>
    <mergeCell ref="K20:K21"/>
    <mergeCell ref="M20:M21"/>
    <mergeCell ref="N20:N21"/>
    <mergeCell ref="P20:P21"/>
    <mergeCell ref="Q20:Q21"/>
    <mergeCell ref="S20:S21"/>
    <mergeCell ref="W18:W19"/>
    <mergeCell ref="Y18:Y19"/>
    <mergeCell ref="Z18:Z19"/>
    <mergeCell ref="S18:S19"/>
    <mergeCell ref="T18:T19"/>
    <mergeCell ref="V18:V19"/>
    <mergeCell ref="A20:A21"/>
    <mergeCell ref="D20:D21"/>
    <mergeCell ref="E20:E21"/>
    <mergeCell ref="G20:G21"/>
    <mergeCell ref="H20:H21"/>
    <mergeCell ref="J20:J21"/>
    <mergeCell ref="V22:V23"/>
    <mergeCell ref="W22:W23"/>
    <mergeCell ref="Y22:Y23"/>
    <mergeCell ref="T20:T21"/>
    <mergeCell ref="V20:V21"/>
    <mergeCell ref="W20:W21"/>
    <mergeCell ref="Y20:Y21"/>
    <mergeCell ref="A22:A23"/>
    <mergeCell ref="D22:D23"/>
    <mergeCell ref="E22:E23"/>
    <mergeCell ref="G22:G23"/>
    <mergeCell ref="H22:H23"/>
    <mergeCell ref="S22:S23"/>
    <mergeCell ref="T22:T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Q24:Q25"/>
    <mergeCell ref="S24:S25"/>
    <mergeCell ref="K24:K25"/>
    <mergeCell ref="M24:M25"/>
    <mergeCell ref="N24:N25"/>
    <mergeCell ref="P24:P25"/>
    <mergeCell ref="A24:A25"/>
    <mergeCell ref="D24:D25"/>
    <mergeCell ref="E24:E25"/>
    <mergeCell ref="G24:G25"/>
    <mergeCell ref="H24:H25"/>
    <mergeCell ref="J24:J25"/>
    <mergeCell ref="A28:A29"/>
    <mergeCell ref="D28:D29"/>
    <mergeCell ref="E28:E29"/>
    <mergeCell ref="G28:G29"/>
    <mergeCell ref="H28:H29"/>
    <mergeCell ref="J28:J29"/>
    <mergeCell ref="A26:A27"/>
    <mergeCell ref="D26:D27"/>
    <mergeCell ref="E26:E27"/>
    <mergeCell ref="G26:G27"/>
    <mergeCell ref="H26:H27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  <mergeCell ref="W26:W27"/>
    <mergeCell ref="Y26:Y27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</mergeCells>
  <printOptions horizontalCentered="1" verticalCentered="1"/>
  <pageMargins left="0" right="0" top="0.19652777777777777" bottom="0.19652777777777777" header="0.51180555555555551" footer="0.51180555555555551"/>
  <pageSetup paperSize="9" scale="75" firstPageNumber="0" orientation="landscape" horizontalDpi="300" verticalDpi="30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A40"/>
  <sheetViews>
    <sheetView topLeftCell="A7" workbookViewId="0">
      <selection activeCell="B28" sqref="A28:XFD29"/>
    </sheetView>
  </sheetViews>
  <sheetFormatPr defaultColWidth="9.1796875" defaultRowHeight="14.5" x14ac:dyDescent="0.35"/>
  <cols>
    <col min="1" max="1" width="9.1796875" style="46"/>
    <col min="2" max="2" width="10.26953125" style="46" customWidth="1"/>
    <col min="3" max="4" width="7" style="46" customWidth="1"/>
    <col min="5" max="5" width="9" style="46" customWidth="1"/>
    <col min="6" max="7" width="7" style="46" customWidth="1"/>
    <col min="8" max="8" width="7.7265625" style="46" customWidth="1"/>
    <col min="9" max="9" width="7" style="46" customWidth="1"/>
    <col min="10" max="10" width="6.81640625" style="46" customWidth="1"/>
    <col min="11" max="11" width="9" style="46" customWidth="1"/>
    <col min="12" max="19" width="7" style="46" customWidth="1"/>
    <col min="20" max="20" width="7.7265625" style="46" customWidth="1"/>
    <col min="21" max="22" width="7" style="46" customWidth="1"/>
    <col min="23" max="23" width="8" style="46" customWidth="1"/>
    <col min="24" max="26" width="7" style="46" customWidth="1"/>
    <col min="27" max="16384" width="9.1796875" style="46"/>
  </cols>
  <sheetData>
    <row r="1" spans="1:27" ht="18.5" x14ac:dyDescent="0.35">
      <c r="A1" s="47" t="s">
        <v>72</v>
      </c>
    </row>
    <row r="2" spans="1:27" ht="11.25" customHeight="1" x14ac:dyDescent="0.35">
      <c r="A2" s="47"/>
    </row>
    <row r="3" spans="1:27" hidden="1" x14ac:dyDescent="0.35">
      <c r="C3" s="46">
        <v>1850</v>
      </c>
      <c r="F3" s="46">
        <v>51</v>
      </c>
      <c r="I3" s="46">
        <v>52</v>
      </c>
      <c r="L3" s="46">
        <v>53</v>
      </c>
      <c r="O3" s="46">
        <v>54</v>
      </c>
      <c r="R3" s="46">
        <v>55</v>
      </c>
      <c r="U3" s="46">
        <v>56</v>
      </c>
      <c r="X3" s="46">
        <v>57</v>
      </c>
    </row>
    <row r="4" spans="1:27" s="49" customFormat="1" ht="18.5" x14ac:dyDescent="0.35">
      <c r="A4" s="307"/>
      <c r="B4" s="307"/>
      <c r="C4" s="306">
        <v>1850</v>
      </c>
      <c r="D4" s="306"/>
      <c r="E4" s="306"/>
      <c r="F4" s="306">
        <v>1851</v>
      </c>
      <c r="G4" s="306"/>
      <c r="H4" s="306"/>
      <c r="I4" s="306">
        <v>1852</v>
      </c>
      <c r="J4" s="306"/>
      <c r="K4" s="306"/>
      <c r="L4" s="306">
        <v>1853</v>
      </c>
      <c r="M4" s="306"/>
      <c r="N4" s="306"/>
      <c r="O4" s="306">
        <v>1854</v>
      </c>
      <c r="P4" s="306"/>
      <c r="Q4" s="306"/>
      <c r="R4" s="306">
        <v>1855</v>
      </c>
      <c r="S4" s="306"/>
      <c r="T4" s="306"/>
      <c r="U4" s="306">
        <v>1856</v>
      </c>
      <c r="V4" s="306"/>
      <c r="W4" s="306"/>
      <c r="X4" s="306">
        <v>1857</v>
      </c>
      <c r="Y4" s="306"/>
      <c r="Z4" s="306"/>
      <c r="AA4" s="48"/>
    </row>
    <row r="5" spans="1:27" ht="29" x14ac:dyDescent="0.35">
      <c r="A5" s="307"/>
      <c r="B5" s="307"/>
      <c r="C5" s="50" t="s">
        <v>73</v>
      </c>
      <c r="D5" s="51" t="s">
        <v>74</v>
      </c>
      <c r="E5" s="51" t="s">
        <v>75</v>
      </c>
      <c r="F5" s="50" t="s">
        <v>73</v>
      </c>
      <c r="G5" s="51" t="s">
        <v>74</v>
      </c>
      <c r="H5" s="51" t="s">
        <v>75</v>
      </c>
      <c r="I5" s="50" t="s">
        <v>73</v>
      </c>
      <c r="J5" s="51" t="s">
        <v>74</v>
      </c>
      <c r="K5" s="51" t="s">
        <v>75</v>
      </c>
      <c r="L5" s="50" t="s">
        <v>73</v>
      </c>
      <c r="M5" s="51" t="s">
        <v>74</v>
      </c>
      <c r="N5" s="51" t="s">
        <v>75</v>
      </c>
      <c r="O5" s="50" t="s">
        <v>73</v>
      </c>
      <c r="P5" s="51" t="s">
        <v>74</v>
      </c>
      <c r="Q5" s="51" t="s">
        <v>75</v>
      </c>
      <c r="R5" s="50" t="s">
        <v>73</v>
      </c>
      <c r="S5" s="51" t="s">
        <v>74</v>
      </c>
      <c r="T5" s="51" t="s">
        <v>75</v>
      </c>
      <c r="U5" s="50" t="s">
        <v>73</v>
      </c>
      <c r="V5" s="51" t="s">
        <v>74</v>
      </c>
      <c r="W5" s="51" t="s">
        <v>75</v>
      </c>
      <c r="X5" s="50" t="s">
        <v>73</v>
      </c>
      <c r="Y5" s="51" t="s">
        <v>74</v>
      </c>
      <c r="Z5" s="51" t="s">
        <v>75</v>
      </c>
      <c r="AA5" s="52"/>
    </row>
    <row r="6" spans="1:27" x14ac:dyDescent="0.35">
      <c r="A6" s="300" t="s">
        <v>4</v>
      </c>
      <c r="B6" s="53" t="s">
        <v>76</v>
      </c>
      <c r="C6" s="53">
        <f>'S1'!B9</f>
        <v>29.737000000000016</v>
      </c>
      <c r="D6" s="305">
        <f>'S1'!B10-'S1'!B9</f>
        <v>2.7350000000000207</v>
      </c>
      <c r="E6" s="298">
        <f>D6/C7</f>
        <v>8.4226410445923189E-2</v>
      </c>
      <c r="F6" s="53">
        <f>'S1'!C9</f>
        <v>34.265999999999991</v>
      </c>
      <c r="G6" s="305">
        <f>'S1'!C10-'S1'!C9</f>
        <v>4.2180000000000035</v>
      </c>
      <c r="H6" s="298">
        <f>G6/F7</f>
        <v>0.10960399126909895</v>
      </c>
      <c r="I6" s="53">
        <f>'S1'!D9</f>
        <v>32.933999999999997</v>
      </c>
      <c r="J6" s="305">
        <f>'S1'!D10-'S1'!D9</f>
        <v>2.2019999999999698</v>
      </c>
      <c r="K6" s="298">
        <f>J6/I7</f>
        <v>6.2670765027321607E-2</v>
      </c>
      <c r="L6" s="53">
        <f>'S1'!E9</f>
        <v>30.171000000000014</v>
      </c>
      <c r="M6" s="305">
        <f>'S1'!E10-'S1'!E9</f>
        <v>1.6170000000000329</v>
      </c>
      <c r="N6" s="298">
        <f>M6/L7</f>
        <v>5.0868252170631387E-2</v>
      </c>
      <c r="O6" s="53">
        <f>'S1'!B24</f>
        <v>29.810999999999979</v>
      </c>
      <c r="P6" s="305">
        <f>'S1'!B25-'S1'!B24</f>
        <v>2.3290000000000077</v>
      </c>
      <c r="Q6" s="298">
        <f>P6/O7</f>
        <v>7.2464219041692868E-2</v>
      </c>
      <c r="R6" s="53">
        <f>'S1'!C24</f>
        <v>31.456000000000003</v>
      </c>
      <c r="S6" s="305">
        <f>'S1'!C25-'S1'!C24</f>
        <v>2.5140000000000242</v>
      </c>
      <c r="T6" s="298">
        <f>S6/R7</f>
        <v>7.4006476302620611E-2</v>
      </c>
      <c r="U6" s="53">
        <f>'S1'!D24</f>
        <v>29.213999999999984</v>
      </c>
      <c r="V6" s="305">
        <f>'S1'!D25-'S1'!D24</f>
        <v>2.755999999999986</v>
      </c>
      <c r="W6" s="298">
        <f>V6/U7</f>
        <v>8.6205817954331826E-2</v>
      </c>
      <c r="X6" s="53">
        <f>'S1'!E24</f>
        <v>29.677</v>
      </c>
      <c r="Y6" s="305">
        <f>'S1'!E25-'S1'!E24</f>
        <v>2.4629999999999868</v>
      </c>
      <c r="Z6" s="298">
        <f>Y6/X7</f>
        <v>7.6633478531424631E-2</v>
      </c>
    </row>
    <row r="7" spans="1:27" x14ac:dyDescent="0.35">
      <c r="A7" s="300"/>
      <c r="B7" s="53" t="s">
        <v>77</v>
      </c>
      <c r="C7" s="53">
        <f>'S1'!B10</f>
        <v>32.472000000000037</v>
      </c>
      <c r="D7" s="305"/>
      <c r="E7" s="298"/>
      <c r="F7" s="53">
        <f>'S1'!C10</f>
        <v>38.483999999999995</v>
      </c>
      <c r="G7" s="305"/>
      <c r="H7" s="298"/>
      <c r="I7" s="53">
        <f>'S1'!D10</f>
        <v>35.135999999999967</v>
      </c>
      <c r="J7" s="305"/>
      <c r="K7" s="298"/>
      <c r="L7" s="53">
        <f>'S1'!E10</f>
        <v>31.788000000000046</v>
      </c>
      <c r="M7" s="305"/>
      <c r="N7" s="298"/>
      <c r="O7" s="53">
        <f>'S1'!B25</f>
        <v>32.139999999999986</v>
      </c>
      <c r="P7" s="305"/>
      <c r="Q7" s="298"/>
      <c r="R7" s="53">
        <f>'S1'!C25</f>
        <v>33.970000000000027</v>
      </c>
      <c r="S7" s="305"/>
      <c r="T7" s="298"/>
      <c r="U7" s="53">
        <f>'S1'!D25</f>
        <v>31.96999999999997</v>
      </c>
      <c r="V7" s="305"/>
      <c r="W7" s="298"/>
      <c r="X7" s="53">
        <f>'S1'!E25</f>
        <v>32.139999999999986</v>
      </c>
      <c r="Y7" s="305"/>
      <c r="Z7" s="298"/>
    </row>
    <row r="8" spans="1:27" x14ac:dyDescent="0.35">
      <c r="A8" s="300" t="s">
        <v>5</v>
      </c>
      <c r="B8" s="53" t="s">
        <v>76</v>
      </c>
      <c r="C8" s="53">
        <f>'S2'!B9</f>
        <v>27.177</v>
      </c>
      <c r="D8" s="299">
        <f>'S2'!B10-'S2'!B9</f>
        <v>2.3429999999999609</v>
      </c>
      <c r="E8" s="298">
        <f>D8/C9</f>
        <v>7.9369918699185776E-2</v>
      </c>
      <c r="F8" s="54">
        <f>'S2'!C9</f>
        <v>31.852999999999998</v>
      </c>
      <c r="G8" s="299">
        <f>'S2'!C10-'S2'!C9</f>
        <v>3.9309999999999938</v>
      </c>
      <c r="H8" s="298">
        <f>G8/F9</f>
        <v>0.10985356583948118</v>
      </c>
      <c r="I8" s="54">
        <f>'S2'!D9</f>
        <v>29.050000000000004</v>
      </c>
      <c r="J8" s="299">
        <f>'S2'!D10-'S2'!D9</f>
        <v>0.79399999999996851</v>
      </c>
      <c r="K8" s="298">
        <f>J8/I9</f>
        <v>2.66050127328766E-2</v>
      </c>
      <c r="L8" s="54">
        <f>'S2'!E9</f>
        <v>24.556999999999992</v>
      </c>
      <c r="M8" s="299">
        <f>'S2'!E10-'S2'!E9</f>
        <v>1.4709999999999717</v>
      </c>
      <c r="N8" s="298">
        <f>M8/L9</f>
        <v>5.6516059628091815E-2</v>
      </c>
      <c r="O8" s="54">
        <f>'S2'!B24</f>
        <v>26.57</v>
      </c>
      <c r="P8" s="299">
        <f>'S2'!B25-'S2'!B24</f>
        <v>2.0599999999999952</v>
      </c>
      <c r="Q8" s="298">
        <f>P8/O9</f>
        <v>7.1952497380370087E-2</v>
      </c>
      <c r="R8" s="54">
        <f>'S2'!C24</f>
        <v>28.27</v>
      </c>
      <c r="S8" s="299">
        <f>'S2'!C25-'S2'!C24</f>
        <v>2.3099999999999277</v>
      </c>
      <c r="T8" s="298">
        <f>S8/R9</f>
        <v>7.5539568345321551E-2</v>
      </c>
      <c r="U8" s="54">
        <f>'S2'!D24</f>
        <v>25.664000000000016</v>
      </c>
      <c r="V8" s="299">
        <f>'S2'!D25-'S2'!D24</f>
        <v>1.8459999999999752</v>
      </c>
      <c r="W8" s="298">
        <f>V8/U9</f>
        <v>6.7102871683023479E-2</v>
      </c>
      <c r="X8" s="54">
        <f>'S2'!E24</f>
        <v>25.596999999999991</v>
      </c>
      <c r="Y8" s="299">
        <f>'S2'!E25-'S2'!E24</f>
        <v>2.2330000000000503</v>
      </c>
      <c r="Z8" s="298">
        <f>Y8/X9</f>
        <v>8.0237154150199316E-2</v>
      </c>
    </row>
    <row r="9" spans="1:27" x14ac:dyDescent="0.35">
      <c r="A9" s="300"/>
      <c r="B9" s="53" t="s">
        <v>77</v>
      </c>
      <c r="C9" s="54">
        <f>'S2'!B10</f>
        <v>29.51999999999996</v>
      </c>
      <c r="D9" s="299"/>
      <c r="E9" s="298"/>
      <c r="F9" s="54">
        <f>'S2'!C10</f>
        <v>35.783999999999992</v>
      </c>
      <c r="G9" s="299"/>
      <c r="H9" s="298"/>
      <c r="I9" s="54">
        <f>'S2'!D10</f>
        <v>29.843999999999973</v>
      </c>
      <c r="J9" s="299"/>
      <c r="K9" s="298"/>
      <c r="L9" s="54">
        <f>'S2'!E10</f>
        <v>26.027999999999963</v>
      </c>
      <c r="M9" s="299"/>
      <c r="N9" s="298"/>
      <c r="O9" s="54">
        <f>'S2'!B25</f>
        <v>28.629999999999995</v>
      </c>
      <c r="P9" s="299"/>
      <c r="Q9" s="298"/>
      <c r="R9" s="54">
        <f>'S2'!C25</f>
        <v>30.579999999999927</v>
      </c>
      <c r="S9" s="299"/>
      <c r="T9" s="298"/>
      <c r="U9" s="54">
        <f>'S2'!D25</f>
        <v>27.509999999999991</v>
      </c>
      <c r="V9" s="299"/>
      <c r="W9" s="298"/>
      <c r="X9" s="54">
        <f>'S2'!E25</f>
        <v>27.830000000000041</v>
      </c>
      <c r="Y9" s="299"/>
      <c r="Z9" s="298"/>
    </row>
    <row r="10" spans="1:27" x14ac:dyDescent="0.35">
      <c r="A10" s="300" t="s">
        <v>6</v>
      </c>
      <c r="B10" s="53" t="s">
        <v>76</v>
      </c>
      <c r="C10" s="53">
        <f>'S3'!B9</f>
        <v>21.628</v>
      </c>
      <c r="D10" s="299">
        <f>'S3'!B10-'S3'!B9</f>
        <v>1.4479999999999897</v>
      </c>
      <c r="E10" s="298">
        <f>D10/C11</f>
        <v>6.2749176633731599E-2</v>
      </c>
      <c r="F10" s="54">
        <f>'S3'!C9</f>
        <v>30.598999999999997</v>
      </c>
      <c r="G10" s="299">
        <f>'S3'!C10-'S3'!C9</f>
        <v>3.4930000000001016</v>
      </c>
      <c r="H10" s="298">
        <f>G10/F11</f>
        <v>0.1024580546755864</v>
      </c>
      <c r="I10" s="54">
        <f>'S3'!D9</f>
        <v>24.494000000000007</v>
      </c>
      <c r="J10" s="299">
        <f>'S3'!D10-'S3'!D9</f>
        <v>0.99400000000003885</v>
      </c>
      <c r="K10" s="298">
        <f>J10/I11</f>
        <v>3.8998744507220538E-2</v>
      </c>
      <c r="L10" s="54">
        <f>'S3'!E9</f>
        <v>20.282000000000018</v>
      </c>
      <c r="M10" s="299">
        <f>'S3'!E10-'S3'!E9</f>
        <v>1.0300000000000402</v>
      </c>
      <c r="N10" s="298">
        <f>M10/L11</f>
        <v>4.8329579579581332E-2</v>
      </c>
      <c r="O10" s="54">
        <f>'S3'!B24</f>
        <v>22.398999999999983</v>
      </c>
      <c r="P10" s="305">
        <f>'S3'!B25-'S3'!B24</f>
        <v>1.4210000000000669</v>
      </c>
      <c r="Q10" s="298">
        <f>P10/O11</f>
        <v>5.9655751469356165E-2</v>
      </c>
      <c r="R10" s="53">
        <f>'S3'!C24</f>
        <v>23.175000000000015</v>
      </c>
      <c r="S10" s="305">
        <f>'S3'!C25-'S3'!C24</f>
        <v>1.9150000000000169</v>
      </c>
      <c r="T10" s="298">
        <f>S10/R11</f>
        <v>7.6325229174970685E-2</v>
      </c>
      <c r="U10" s="53">
        <f>'S3'!D24</f>
        <v>20.020000000000024</v>
      </c>
      <c r="V10" s="305">
        <f>'S3'!D25-'S3'!D24</f>
        <v>1.4000000000000483</v>
      </c>
      <c r="W10" s="298">
        <f>V10/U11</f>
        <v>6.5359477124185036E-2</v>
      </c>
      <c r="X10" s="53">
        <f>'S3'!E24</f>
        <v>21.854000000000006</v>
      </c>
      <c r="Y10" s="305">
        <f>'S3'!E25-'S3'!E24</f>
        <v>2.0259999999999891</v>
      </c>
      <c r="Z10" s="298">
        <f>Y10/X11</f>
        <v>8.4840871021775108E-2</v>
      </c>
    </row>
    <row r="11" spans="1:27" x14ac:dyDescent="0.35">
      <c r="A11" s="300"/>
      <c r="B11" s="53" t="s">
        <v>77</v>
      </c>
      <c r="C11" s="54">
        <f>'S3'!B10</f>
        <v>23.07599999999999</v>
      </c>
      <c r="D11" s="299"/>
      <c r="E11" s="298"/>
      <c r="F11" s="54">
        <f>'S3'!C10</f>
        <v>34.092000000000098</v>
      </c>
      <c r="G11" s="299"/>
      <c r="H11" s="298"/>
      <c r="I11" s="54">
        <f>'S3'!D10</f>
        <v>25.488000000000046</v>
      </c>
      <c r="J11" s="299"/>
      <c r="K11" s="298"/>
      <c r="L11" s="54">
        <f>'S3'!E10</f>
        <v>21.312000000000058</v>
      </c>
      <c r="M11" s="299"/>
      <c r="N11" s="298"/>
      <c r="O11" s="54">
        <f>'S3'!B25</f>
        <v>23.82000000000005</v>
      </c>
      <c r="P11" s="305"/>
      <c r="Q11" s="298"/>
      <c r="R11" s="53">
        <f>'S3'!C25</f>
        <v>25.090000000000032</v>
      </c>
      <c r="S11" s="305"/>
      <c r="T11" s="298"/>
      <c r="U11" s="53">
        <f>'S3'!D25</f>
        <v>21.420000000000073</v>
      </c>
      <c r="V11" s="305"/>
      <c r="W11" s="298"/>
      <c r="X11" s="53">
        <f>'S3'!E25</f>
        <v>23.879999999999995</v>
      </c>
      <c r="Y11" s="305"/>
      <c r="Z11" s="298"/>
    </row>
    <row r="12" spans="1:27" x14ac:dyDescent="0.35">
      <c r="A12" s="300" t="s">
        <v>7</v>
      </c>
      <c r="B12" s="53" t="s">
        <v>76</v>
      </c>
      <c r="C12" s="53">
        <f>'S4'!B9</f>
        <v>13.548000000000002</v>
      </c>
      <c r="D12" s="299">
        <f>'S4'!B10-'S4'!B9</f>
        <v>0.74399999999999444</v>
      </c>
      <c r="E12" s="298">
        <f>D12/C13</f>
        <v>5.2057094878253191E-2</v>
      </c>
      <c r="F12" s="54">
        <f>'S4'!C9</f>
        <v>21.086999999999993</v>
      </c>
      <c r="G12" s="305">
        <f>'S4'!C10-'S4'!C9</f>
        <v>2.9249999999998622</v>
      </c>
      <c r="H12" s="298">
        <f>G12/F13</f>
        <v>0.12181409295351824</v>
      </c>
      <c r="I12" s="53">
        <f>'S4'!D9</f>
        <v>17.712000000000018</v>
      </c>
      <c r="J12" s="305">
        <f>'S4'!D10-'S4'!D9</f>
        <v>0.35999999999991772</v>
      </c>
      <c r="K12" s="298">
        <f>J12/I13</f>
        <v>1.9920318725095119E-2</v>
      </c>
      <c r="L12" s="53">
        <f>'S4'!E9</f>
        <v>12.92799999999999</v>
      </c>
      <c r="M12" s="305">
        <f>'S4'!E10-'S4'!E9</f>
        <v>0.49999999999997335</v>
      </c>
      <c r="N12" s="298">
        <f>M12/L13</f>
        <v>3.7235627047957603E-2</v>
      </c>
      <c r="O12" s="53">
        <f>'S4'!B24</f>
        <v>16.176999999999996</v>
      </c>
      <c r="P12" s="305">
        <f>'S4'!B25-'S4'!B24</f>
        <v>0.74299999999996302</v>
      </c>
      <c r="Q12" s="298">
        <f>P12/O13</f>
        <v>4.3912529550825342E-2</v>
      </c>
      <c r="R12" s="53">
        <f>'S4'!C24</f>
        <v>15.815999999999974</v>
      </c>
      <c r="S12" s="305">
        <f>'S4'!C25-'S4'!C24</f>
        <v>1.7139999999999986</v>
      </c>
      <c r="T12" s="298">
        <f>S12/R13</f>
        <v>9.7775242441528881E-2</v>
      </c>
      <c r="U12" s="53">
        <f>'S4'!D24</f>
        <v>13.95799999999997</v>
      </c>
      <c r="V12" s="305">
        <f>'S4'!D25-'S4'!D24</f>
        <v>0.40199999999992997</v>
      </c>
      <c r="W12" s="298">
        <f>V12/U13</f>
        <v>2.799442896935465E-2</v>
      </c>
      <c r="X12" s="53">
        <f>'S4'!E24</f>
        <v>15.341000000000015</v>
      </c>
      <c r="Y12" s="305">
        <f>'S4'!E25-'S4'!E24</f>
        <v>1.2390000000000256</v>
      </c>
      <c r="Z12" s="298">
        <f>Y12/X13</f>
        <v>7.472858866103875E-2</v>
      </c>
    </row>
    <row r="13" spans="1:27" x14ac:dyDescent="0.35">
      <c r="A13" s="300"/>
      <c r="B13" s="53" t="s">
        <v>77</v>
      </c>
      <c r="C13" s="54">
        <f>'S4'!B10</f>
        <v>14.291999999999996</v>
      </c>
      <c r="D13" s="299"/>
      <c r="E13" s="298"/>
      <c r="F13" s="54">
        <f>'S4'!C10</f>
        <v>24.011999999999855</v>
      </c>
      <c r="G13" s="305"/>
      <c r="H13" s="298"/>
      <c r="I13" s="53">
        <f>'S4'!D10</f>
        <v>18.071999999999935</v>
      </c>
      <c r="J13" s="305"/>
      <c r="K13" s="298"/>
      <c r="L13" s="53">
        <f>'S4'!E10</f>
        <v>13.427999999999964</v>
      </c>
      <c r="M13" s="305"/>
      <c r="N13" s="298"/>
      <c r="O13" s="53">
        <f>'S4'!B25</f>
        <v>16.919999999999959</v>
      </c>
      <c r="P13" s="305"/>
      <c r="Q13" s="298"/>
      <c r="R13" s="53">
        <f>'S4'!C25</f>
        <v>17.529999999999973</v>
      </c>
      <c r="S13" s="305"/>
      <c r="T13" s="298"/>
      <c r="U13" s="53">
        <f>'S4'!D25</f>
        <v>14.3599999999999</v>
      </c>
      <c r="V13" s="305"/>
      <c r="W13" s="298"/>
      <c r="X13" s="53">
        <f>'S4'!E25</f>
        <v>16.580000000000041</v>
      </c>
      <c r="Y13" s="305"/>
      <c r="Z13" s="298"/>
    </row>
    <row r="14" spans="1:27" x14ac:dyDescent="0.35">
      <c r="A14" s="300" t="s">
        <v>8</v>
      </c>
      <c r="B14" s="53" t="s">
        <v>76</v>
      </c>
      <c r="C14" s="53">
        <f>'S5'!B9</f>
        <v>4.8149999999999977</v>
      </c>
      <c r="D14" s="299">
        <f>'S5'!B10-'S5'!B9</f>
        <v>-0.99899999999998945</v>
      </c>
      <c r="E14" s="298">
        <f>D14/C15</f>
        <v>-0.26179245283018537</v>
      </c>
      <c r="F14" s="53">
        <f>'S5'!C9</f>
        <v>11.797999999999995</v>
      </c>
      <c r="G14" s="299">
        <f>'S5'!C10-'S5'!C9</f>
        <v>3.4660000000000384</v>
      </c>
      <c r="H14" s="298">
        <f>G14/F15</f>
        <v>0.22707023060796849</v>
      </c>
      <c r="I14" s="53">
        <f>'S5'!D9</f>
        <v>7.600999999999992</v>
      </c>
      <c r="J14" s="299">
        <f>'S5'!D10-'S5'!D9</f>
        <v>-1.4089999999999963</v>
      </c>
      <c r="K14" s="298">
        <f>J14/I15</f>
        <v>-0.22755167958656286</v>
      </c>
      <c r="L14" s="53">
        <f>'S5'!E9</f>
        <v>4.4879999999999995</v>
      </c>
      <c r="M14" s="299">
        <f>'S5'!E10-'S5'!E9</f>
        <v>-0.74400000000002819</v>
      </c>
      <c r="N14" s="298">
        <f>M14/L15</f>
        <v>-0.19871794871795778</v>
      </c>
      <c r="O14" s="53">
        <f>'S5'!B24</f>
        <v>6.0600000000000165</v>
      </c>
      <c r="P14" s="299">
        <f>'S5'!B25-'S5'!B24</f>
        <v>0.29000000000000625</v>
      </c>
      <c r="Q14" s="298">
        <f>P14/O15</f>
        <v>4.5669291338583495E-2</v>
      </c>
      <c r="R14" s="53">
        <f>'S5'!C24</f>
        <v>5.2760000000000034</v>
      </c>
      <c r="S14" s="299">
        <f>'S5'!C25-'S5'!C24</f>
        <v>-0.45599999999995333</v>
      </c>
      <c r="T14" s="298">
        <f>S14/R15</f>
        <v>-9.4605809128620044E-2</v>
      </c>
      <c r="U14" s="53">
        <f>'S5'!D24</f>
        <v>5.5630000000000024</v>
      </c>
      <c r="V14" s="299">
        <f>'S5'!D25-'S5'!D24</f>
        <v>-0.64299999999992963</v>
      </c>
      <c r="W14" s="298">
        <f>V14/U15</f>
        <v>-0.13069105691055288</v>
      </c>
      <c r="X14" s="53">
        <f>'S5'!E24</f>
        <v>5.5480000000000089</v>
      </c>
      <c r="Y14" s="299">
        <f>'S5'!E25-'S5'!E24</f>
        <v>-0.92800000000011806</v>
      </c>
      <c r="Z14" s="298">
        <f>Y14/X15</f>
        <v>-0.20086580086583117</v>
      </c>
    </row>
    <row r="15" spans="1:27" x14ac:dyDescent="0.35">
      <c r="A15" s="300"/>
      <c r="B15" s="53" t="s">
        <v>77</v>
      </c>
      <c r="C15" s="54">
        <f>'S5'!B10</f>
        <v>3.8160000000000083</v>
      </c>
      <c r="D15" s="299"/>
      <c r="E15" s="298"/>
      <c r="F15" s="54">
        <f>'S5'!C10</f>
        <v>15.264000000000033</v>
      </c>
      <c r="G15" s="299"/>
      <c r="H15" s="298"/>
      <c r="I15" s="54">
        <f>'S5'!D10</f>
        <v>6.1919999999999957</v>
      </c>
      <c r="J15" s="299"/>
      <c r="K15" s="298"/>
      <c r="L15" s="54">
        <f>'S5'!E10</f>
        <v>3.7439999999999714</v>
      </c>
      <c r="M15" s="299"/>
      <c r="N15" s="298"/>
      <c r="O15" s="54">
        <f>'S5'!B25</f>
        <v>6.3500000000000227</v>
      </c>
      <c r="P15" s="299"/>
      <c r="Q15" s="298"/>
      <c r="R15" s="54">
        <f>'S5'!C25</f>
        <v>4.82000000000005</v>
      </c>
      <c r="S15" s="299"/>
      <c r="T15" s="298"/>
      <c r="U15" s="54">
        <f>'S5'!D25</f>
        <v>4.9200000000000728</v>
      </c>
      <c r="V15" s="299"/>
      <c r="W15" s="298"/>
      <c r="X15" s="54">
        <f>'S5'!E25</f>
        <v>4.6199999999998909</v>
      </c>
      <c r="Y15" s="299"/>
      <c r="Z15" s="298"/>
    </row>
    <row r="16" spans="1:27" x14ac:dyDescent="0.35">
      <c r="A16" s="300" t="s">
        <v>9</v>
      </c>
      <c r="B16" s="53" t="s">
        <v>76</v>
      </c>
      <c r="C16" s="53">
        <f>'S6'!B9</f>
        <v>4.0260000000000034</v>
      </c>
      <c r="D16" s="299">
        <f>'S6'!B10-'S6'!B9</f>
        <v>-1.397999999999938</v>
      </c>
      <c r="E16" s="298">
        <f>D16/C17</f>
        <v>-0.5319634703195979</v>
      </c>
      <c r="F16" s="53">
        <f>'S6'!C9</f>
        <v>8.5790000000000077</v>
      </c>
      <c r="G16" s="299">
        <f>'S6'!C10-'S6'!C9</f>
        <v>3.8049999999999837</v>
      </c>
      <c r="H16" s="298">
        <f>G16/F17</f>
        <v>0.307251291989663</v>
      </c>
      <c r="I16" s="53">
        <f>'S6'!D9</f>
        <v>5.7899999999999991</v>
      </c>
      <c r="J16" s="299">
        <f>'S6'!D10-'S6'!D9</f>
        <v>-1.7219999999999134</v>
      </c>
      <c r="K16" s="298">
        <f>J16/I17</f>
        <v>-0.42330383480822936</v>
      </c>
      <c r="L16" s="53">
        <f>'S6'!E9</f>
        <v>3.4280000000000044</v>
      </c>
      <c r="M16" s="299">
        <f>'S6'!E10-'S6'!E9</f>
        <v>-0.7280000000000042</v>
      </c>
      <c r="N16" s="298">
        <f>M16/L17</f>
        <v>-0.26962962962963116</v>
      </c>
      <c r="O16" s="53">
        <f>'S6'!B24</f>
        <v>3.4920000000000044</v>
      </c>
      <c r="P16" s="299">
        <f>'S6'!B25-'S6'!B24</f>
        <v>0.73800000000001376</v>
      </c>
      <c r="Q16" s="298">
        <f>P16/O17</f>
        <v>0.17446808510638548</v>
      </c>
      <c r="R16" s="53">
        <f>'S6'!C24</f>
        <v>3.8889999999999958</v>
      </c>
      <c r="S16" s="299">
        <f>'S6'!C25-'S6'!C24</f>
        <v>-0.55900000000006855</v>
      </c>
      <c r="T16" s="298">
        <f>S16/R17</f>
        <v>-0.16786786786789212</v>
      </c>
      <c r="U16" s="53">
        <f>'S6'!D24</f>
        <v>4.3000000000000114</v>
      </c>
      <c r="V16" s="299">
        <f>'S6'!D25-'S6'!D24</f>
        <v>-0.84000000000008868</v>
      </c>
      <c r="W16" s="298">
        <f>V16/U17</f>
        <v>-0.24277456647401949</v>
      </c>
      <c r="X16" s="53">
        <f>'S6'!E24</f>
        <v>3.8589999999999804</v>
      </c>
      <c r="Y16" s="299">
        <f>'S6'!E25-'S6'!E24</f>
        <v>-1.1789999999999168</v>
      </c>
      <c r="Z16" s="298">
        <f>Y16/X17</f>
        <v>-0.43992537313428687</v>
      </c>
    </row>
    <row r="17" spans="1:26" x14ac:dyDescent="0.35">
      <c r="A17" s="300"/>
      <c r="B17" s="53" t="s">
        <v>77</v>
      </c>
      <c r="C17" s="53">
        <f>'S6'!B10</f>
        <v>2.6280000000000654</v>
      </c>
      <c r="D17" s="299"/>
      <c r="E17" s="298"/>
      <c r="F17" s="53">
        <f>'S6'!C10</f>
        <v>12.383999999999991</v>
      </c>
      <c r="G17" s="299"/>
      <c r="H17" s="298"/>
      <c r="I17" s="53">
        <f>'S6'!D10</f>
        <v>4.0680000000000858</v>
      </c>
      <c r="J17" s="299"/>
      <c r="K17" s="298"/>
      <c r="L17" s="53">
        <f>'S6'!E10</f>
        <v>2.7</v>
      </c>
      <c r="M17" s="299"/>
      <c r="N17" s="298"/>
      <c r="O17" s="53">
        <f>'S6'!B25</f>
        <v>4.2300000000000182</v>
      </c>
      <c r="P17" s="299"/>
      <c r="Q17" s="298"/>
      <c r="R17" s="53">
        <f>'S6'!C25</f>
        <v>3.3299999999999272</v>
      </c>
      <c r="S17" s="299"/>
      <c r="T17" s="298"/>
      <c r="U17" s="53">
        <f>'S6'!D25</f>
        <v>3.4599999999999227</v>
      </c>
      <c r="V17" s="299"/>
      <c r="W17" s="298"/>
      <c r="X17" s="53">
        <f>'S6'!E25</f>
        <v>2.6800000000000637</v>
      </c>
      <c r="Y17" s="299"/>
      <c r="Z17" s="298"/>
    </row>
    <row r="18" spans="1:26" x14ac:dyDescent="0.35">
      <c r="A18" s="300" t="s">
        <v>10</v>
      </c>
      <c r="B18" s="53" t="s">
        <v>76</v>
      </c>
      <c r="C18" s="53">
        <f>'S7'!B9</f>
        <v>2.1930000000000049</v>
      </c>
      <c r="D18" s="299">
        <f>'S7'!B10-'S7'!B9</f>
        <v>-1.0769999999999966</v>
      </c>
      <c r="E18" s="298">
        <f>D18/C19</f>
        <v>-0.96505376344085003</v>
      </c>
      <c r="F18" s="53">
        <f>'S7'!C9</f>
        <v>4.5540000000000092</v>
      </c>
      <c r="G18" s="299">
        <f>'S7'!C10-'S7'!C9</f>
        <v>3.1860000000001136</v>
      </c>
      <c r="H18" s="298">
        <f>G18/F19</f>
        <v>0.41162790697675233</v>
      </c>
      <c r="I18" s="53">
        <f>'S7'!D9</f>
        <v>3.4789999999999992</v>
      </c>
      <c r="J18" s="299">
        <f>'S7'!D10-'S7'!D9</f>
        <v>-1.2829999999999502</v>
      </c>
      <c r="K18" s="298">
        <f>J18/I19</f>
        <v>-0.58424408014568374</v>
      </c>
      <c r="L18" s="53">
        <f>'S7'!E9</f>
        <v>2.0530000000000044</v>
      </c>
      <c r="M18" s="299">
        <f>'S7'!E10-'S7'!E9</f>
        <v>-0.46899999999991016</v>
      </c>
      <c r="N18" s="298">
        <f>M18/L19</f>
        <v>-0.29608585858578423</v>
      </c>
      <c r="O18" s="53">
        <f>'S7'!B24</f>
        <v>2.1769999999999996</v>
      </c>
      <c r="P18" s="299">
        <f>'S7'!B25-'S7'!B24</f>
        <v>0.60299999999997311</v>
      </c>
      <c r="Q18" s="298">
        <f>P18/O19</f>
        <v>0.21690647482013634</v>
      </c>
      <c r="R18" s="53">
        <f>'S7'!C24</f>
        <v>2.4309999999999903</v>
      </c>
      <c r="S18" s="299">
        <f>'S7'!C25-'S7'!C24</f>
        <v>-0.48099999999994481</v>
      </c>
      <c r="T18" s="298">
        <f>S18/R19</f>
        <v>-0.24666666666663262</v>
      </c>
      <c r="U18" s="53">
        <f>'S7'!D24</f>
        <v>2.8389999999999702</v>
      </c>
      <c r="V18" s="299">
        <f>'S7'!D25-'S7'!D24</f>
        <v>-0.80899999999988381</v>
      </c>
      <c r="W18" s="298">
        <f>V18/U19</f>
        <v>-0.39852216748761055</v>
      </c>
      <c r="X18" s="53">
        <f>'S7'!E24</f>
        <v>2.4649999999999963</v>
      </c>
      <c r="Y18" s="299">
        <f>'S7'!E25-'S7'!E24</f>
        <v>-0.93500000000002359</v>
      </c>
      <c r="Z18" s="298">
        <f>Y18/X19</f>
        <v>-0.61111111111113747</v>
      </c>
    </row>
    <row r="19" spans="1:26" x14ac:dyDescent="0.35">
      <c r="A19" s="300"/>
      <c r="B19" s="53" t="s">
        <v>77</v>
      </c>
      <c r="C19" s="53">
        <f>'S7'!B10</f>
        <v>1.1160000000000083</v>
      </c>
      <c r="D19" s="299"/>
      <c r="E19" s="298"/>
      <c r="F19" s="54">
        <f>'S7'!C10</f>
        <v>7.7400000000001228</v>
      </c>
      <c r="G19" s="299"/>
      <c r="H19" s="298"/>
      <c r="I19" s="53">
        <f>'S7'!D10</f>
        <v>2.196000000000049</v>
      </c>
      <c r="J19" s="299"/>
      <c r="K19" s="298"/>
      <c r="L19" s="53">
        <f>'S7'!E10</f>
        <v>1.5840000000000942</v>
      </c>
      <c r="M19" s="299"/>
      <c r="N19" s="298"/>
      <c r="O19" s="53">
        <f>'S7'!B25</f>
        <v>2.7799999999999727</v>
      </c>
      <c r="P19" s="299"/>
      <c r="Q19" s="298"/>
      <c r="R19" s="53">
        <f>'S7'!C25</f>
        <v>1.9500000000000455</v>
      </c>
      <c r="S19" s="299"/>
      <c r="T19" s="298"/>
      <c r="U19" s="53">
        <f>'S7'!D25</f>
        <v>2.0300000000000864</v>
      </c>
      <c r="V19" s="299"/>
      <c r="W19" s="298"/>
      <c r="X19" s="53">
        <f>'S7'!E25</f>
        <v>1.5299999999999727</v>
      </c>
      <c r="Y19" s="299"/>
      <c r="Z19" s="298"/>
    </row>
    <row r="20" spans="1:26" x14ac:dyDescent="0.35">
      <c r="A20" s="300" t="s">
        <v>11</v>
      </c>
      <c r="B20" s="53" t="s">
        <v>76</v>
      </c>
      <c r="C20" s="53">
        <f>'S8'!B9</f>
        <v>2.6670000000000087</v>
      </c>
      <c r="D20" s="299">
        <f>'S8'!B10-'S8'!B9</f>
        <v>-1.0270000000000088</v>
      </c>
      <c r="E20" s="298">
        <f>D20/C21</f>
        <v>-0.62621951219512739</v>
      </c>
      <c r="F20" s="53">
        <f>'S8'!C9</f>
        <v>4.6169999999999902</v>
      </c>
      <c r="G20" s="299">
        <f>'S8'!C10-'S8'!C9</f>
        <v>3.5930000000000106</v>
      </c>
      <c r="H20" s="298">
        <f>G20/F21</f>
        <v>0.43763702801461757</v>
      </c>
      <c r="I20" s="53">
        <f>'S8'!D9</f>
        <v>3.8990000000000151</v>
      </c>
      <c r="J20" s="299">
        <f>'S8'!D10-'S8'!D9</f>
        <v>-1.4490000000000149</v>
      </c>
      <c r="K20" s="298">
        <f>J20/I21</f>
        <v>-0.59142857142857752</v>
      </c>
      <c r="L20" s="53">
        <f>'S8'!E9</f>
        <v>2.5720000000000027</v>
      </c>
      <c r="M20" s="299">
        <f>'S8'!E10-'S8'!E9</f>
        <v>-0.49200000000000266</v>
      </c>
      <c r="N20" s="298">
        <f>M20/L21</f>
        <v>-0.23653846153846281</v>
      </c>
      <c r="O20" s="53">
        <f>'S8'!B24</f>
        <v>2.3179999999999836</v>
      </c>
      <c r="P20" s="299">
        <f>'S8'!B25-'S8'!B24</f>
        <v>0.32200000000000273</v>
      </c>
      <c r="Q20" s="298">
        <f>P20/O21</f>
        <v>0.12196969696969863</v>
      </c>
      <c r="R20" s="53">
        <f>'S8'!C24</f>
        <v>2.9310000000000045</v>
      </c>
      <c r="S20" s="299">
        <f>'S8'!C25-'S8'!C24</f>
        <v>-0.46099999999997721</v>
      </c>
      <c r="T20" s="298">
        <f>S20/R21</f>
        <v>-0.18663967611334903</v>
      </c>
      <c r="U20" s="53">
        <f>'S8'!D24</f>
        <v>2.883000000000024</v>
      </c>
      <c r="V20" s="299">
        <f>'S8'!D25-'S8'!D24</f>
        <v>-0.46300000000006492</v>
      </c>
      <c r="W20" s="298">
        <f>V20/U21</f>
        <v>-0.19132231404961683</v>
      </c>
      <c r="X20" s="53">
        <f>'S8'!E24</f>
        <v>2.7670000000000101</v>
      </c>
      <c r="Y20" s="299">
        <f>'S8'!E25-'S8'!E24</f>
        <v>-0.92699999999997829</v>
      </c>
      <c r="Z20" s="298">
        <f>Y20/X21</f>
        <v>-0.50380434782606642</v>
      </c>
    </row>
    <row r="21" spans="1:26" x14ac:dyDescent="0.35">
      <c r="A21" s="300"/>
      <c r="B21" s="53" t="s">
        <v>77</v>
      </c>
      <c r="C21" s="53">
        <f>'S8'!B10</f>
        <v>1.64</v>
      </c>
      <c r="D21" s="299"/>
      <c r="E21" s="298"/>
      <c r="F21" s="53">
        <f>'S8'!C10</f>
        <v>8.2100000000000009</v>
      </c>
      <c r="G21" s="299"/>
      <c r="H21" s="298"/>
      <c r="I21" s="53">
        <f>'S8'!D10</f>
        <v>2.4500000000000002</v>
      </c>
      <c r="J21" s="299"/>
      <c r="K21" s="298"/>
      <c r="L21" s="53">
        <f>'S8'!E10</f>
        <v>2.08</v>
      </c>
      <c r="M21" s="299"/>
      <c r="N21" s="298"/>
      <c r="O21" s="53">
        <f>'S8'!B25</f>
        <v>2.6399999999999864</v>
      </c>
      <c r="P21" s="299"/>
      <c r="Q21" s="298"/>
      <c r="R21" s="53">
        <f>'S8'!C25</f>
        <v>2.4700000000000273</v>
      </c>
      <c r="S21" s="299"/>
      <c r="T21" s="298"/>
      <c r="U21" s="53">
        <f>'S8'!D25</f>
        <v>2.4199999999999591</v>
      </c>
      <c r="V21" s="299"/>
      <c r="W21" s="298"/>
      <c r="X21" s="53">
        <f>'S8'!E25</f>
        <v>1.8400000000000318</v>
      </c>
      <c r="Y21" s="299"/>
      <c r="Z21" s="298"/>
    </row>
    <row r="22" spans="1:26" ht="15" customHeight="1" x14ac:dyDescent="0.35">
      <c r="A22" s="303" t="s">
        <v>12</v>
      </c>
      <c r="B22" s="53" t="s">
        <v>76</v>
      </c>
      <c r="C22" s="53">
        <f>'S9'!B9</f>
        <v>3.1709999999999994</v>
      </c>
      <c r="D22" s="299">
        <f>'S9'!B10-'S9'!B9</f>
        <v>-1.1309999999999993</v>
      </c>
      <c r="E22" s="301">
        <f>D22/C23</f>
        <v>-0.55441176470588205</v>
      </c>
      <c r="F22" s="53">
        <f>'S9'!C9</f>
        <v>5.1590000000000025</v>
      </c>
      <c r="G22" s="299">
        <f>'S9'!C10-'S9'!C9</f>
        <v>4.070999999999998</v>
      </c>
      <c r="H22" s="301">
        <f>G22/F23</f>
        <v>0.44106175514626195</v>
      </c>
      <c r="I22" s="53">
        <f>'S9'!D9</f>
        <v>5.1020000000000039</v>
      </c>
      <c r="J22" s="299">
        <f>'S9'!D10-'S9'!D9</f>
        <v>-1.6020000000000039</v>
      </c>
      <c r="K22" s="301">
        <f>J22/I23</f>
        <v>-0.45771428571428679</v>
      </c>
      <c r="L22" s="53">
        <f>'S9'!E9</f>
        <v>3.6039999999999992</v>
      </c>
      <c r="M22" s="299">
        <f>'S9'!E10-'S9'!E9</f>
        <v>-0.68399999999999928</v>
      </c>
      <c r="N22" s="301">
        <f>M22/L23</f>
        <v>-0.23424657534246551</v>
      </c>
      <c r="O22" s="112">
        <f>'S9'!B24</f>
        <v>2.8970000000000198</v>
      </c>
      <c r="P22" s="299">
        <f>'S9'!B25-'S9'!B24</f>
        <v>0.37299999999996203</v>
      </c>
      <c r="Q22" s="301">
        <f>P22/O23</f>
        <v>0.11406727828745079</v>
      </c>
      <c r="R22" s="53">
        <f>'S9'!C24</f>
        <v>3.3909999999999982</v>
      </c>
      <c r="S22" s="299">
        <f>'S9'!C25-'S9'!C24</f>
        <v>-0.55099999999996641</v>
      </c>
      <c r="T22" s="301">
        <f>S22/R23</f>
        <v>-0.19401408450702826</v>
      </c>
      <c r="U22" s="53">
        <f>'S9'!D24</f>
        <v>3.54200000000003</v>
      </c>
      <c r="V22" s="299">
        <f>'S9'!D25-'S9'!D24</f>
        <v>-0.19200000000000728</v>
      </c>
      <c r="W22" s="301">
        <f>V22/U23</f>
        <v>-5.7313432835822679E-2</v>
      </c>
      <c r="X22" s="53">
        <f>'S9'!E24</f>
        <v>4.0240000000000009</v>
      </c>
      <c r="Y22" s="299">
        <f>'S9'!E25-'S9'!E24</f>
        <v>-1.0339999999999918</v>
      </c>
      <c r="Z22" s="301">
        <f>Y22/X23</f>
        <v>-0.34581939799330724</v>
      </c>
    </row>
    <row r="23" spans="1:26" ht="15" customHeight="1" x14ac:dyDescent="0.35">
      <c r="A23" s="304"/>
      <c r="B23" s="53" t="s">
        <v>77</v>
      </c>
      <c r="C23" s="55">
        <f>'S9'!B10</f>
        <v>2.04</v>
      </c>
      <c r="D23" s="299"/>
      <c r="E23" s="302"/>
      <c r="F23" s="55">
        <f>'S9'!C10</f>
        <v>9.23</v>
      </c>
      <c r="G23" s="299"/>
      <c r="H23" s="302"/>
      <c r="I23" s="55">
        <f>'S9'!D10</f>
        <v>3.5</v>
      </c>
      <c r="J23" s="299"/>
      <c r="K23" s="302"/>
      <c r="L23" s="55">
        <f>'S9'!E10</f>
        <v>2.92</v>
      </c>
      <c r="M23" s="299"/>
      <c r="N23" s="302"/>
      <c r="O23" s="113">
        <f>'S9'!B25</f>
        <v>3.2699999999999818</v>
      </c>
      <c r="P23" s="299"/>
      <c r="Q23" s="302"/>
      <c r="R23" s="53">
        <f>'S9'!C25</f>
        <v>2.8400000000000318</v>
      </c>
      <c r="S23" s="299"/>
      <c r="T23" s="302"/>
      <c r="U23" s="55">
        <f>'S9'!D25</f>
        <v>3.3500000000000227</v>
      </c>
      <c r="V23" s="299"/>
      <c r="W23" s="302"/>
      <c r="X23" s="53">
        <f>'S9'!E25</f>
        <v>2.9900000000000091</v>
      </c>
      <c r="Y23" s="299"/>
      <c r="Z23" s="302"/>
    </row>
    <row r="24" spans="1:26" x14ac:dyDescent="0.35">
      <c r="A24" s="300" t="s">
        <v>13</v>
      </c>
      <c r="B24" s="53" t="s">
        <v>76</v>
      </c>
      <c r="C24" s="53">
        <f>'S10'!B9</f>
        <v>6.0499999999999972</v>
      </c>
      <c r="D24" s="299">
        <f>'S10'!B10-'S10'!B9</f>
        <v>0.48000000000000398</v>
      </c>
      <c r="E24" s="298">
        <f>D24/C25</f>
        <v>7.3506891271057265E-2</v>
      </c>
      <c r="F24" s="53">
        <f>'S10'!C9</f>
        <v>10.636000000000006</v>
      </c>
      <c r="G24" s="299">
        <f>'S10'!C10-'S10'!C9</f>
        <v>3.6539999999999928</v>
      </c>
      <c r="H24" s="298">
        <f>G24/F25</f>
        <v>0.25570328901329553</v>
      </c>
      <c r="I24" s="53">
        <f>'S10'!D9</f>
        <v>9.350999999999992</v>
      </c>
      <c r="J24" s="299">
        <f>'S10'!D10-'S10'!D9</f>
        <v>-1.0109999999999921</v>
      </c>
      <c r="K24" s="298">
        <f>J24/I25</f>
        <v>-0.12122302158273288</v>
      </c>
      <c r="L24" s="53">
        <f>'S10'!E9</f>
        <v>5.5769999999999911</v>
      </c>
      <c r="M24" s="299">
        <f>'S10'!E10-'S10'!E9</f>
        <v>-0.26699999999999058</v>
      </c>
      <c r="N24" s="298">
        <f>M24/L25</f>
        <v>-5.0282485875704434E-2</v>
      </c>
      <c r="O24" s="53">
        <f>'S10'!B24</f>
        <v>5.8390000000000075</v>
      </c>
      <c r="P24" s="299">
        <f>'S10'!B25-'S10'!B24</f>
        <v>1.030999999999997</v>
      </c>
      <c r="Q24" s="298">
        <f>P24/O25</f>
        <v>0.15007278020378403</v>
      </c>
      <c r="R24" s="53">
        <f>'S10'!C24</f>
        <v>7.3340000000000032</v>
      </c>
      <c r="S24" s="299">
        <f>'S10'!C25-'S10'!C24</f>
        <v>0.78599999999988768</v>
      </c>
      <c r="T24" s="298">
        <f>S24/R25</f>
        <v>9.6798029556637716E-2</v>
      </c>
      <c r="U24" s="53">
        <f>'S10'!D24</f>
        <v>6.4790000000000001</v>
      </c>
      <c r="V24" s="299">
        <f>'S10'!D25-'S10'!D24</f>
        <v>-0.75899999999997281</v>
      </c>
      <c r="W24" s="298">
        <f>V24/U25</f>
        <v>-0.13269230769230231</v>
      </c>
      <c r="X24" s="53">
        <f>'S10'!E24</f>
        <v>7.7820000000000107</v>
      </c>
      <c r="Y24" s="299">
        <f>'S10'!E25-'S10'!E24</f>
        <v>-0.23200000000005616</v>
      </c>
      <c r="Z24" s="298">
        <f>Y24/X25</f>
        <v>-3.0728476821199675E-2</v>
      </c>
    </row>
    <row r="25" spans="1:26" x14ac:dyDescent="0.35">
      <c r="A25" s="300"/>
      <c r="B25" s="53" t="s">
        <v>77</v>
      </c>
      <c r="C25" s="55">
        <f>'S10'!B10</f>
        <v>6.5300000000000011</v>
      </c>
      <c r="D25" s="299"/>
      <c r="E25" s="298"/>
      <c r="F25" s="55">
        <f>'S10'!C10</f>
        <v>14.29</v>
      </c>
      <c r="G25" s="299"/>
      <c r="H25" s="298"/>
      <c r="I25" s="55">
        <f>'S10'!D10</f>
        <v>8.34</v>
      </c>
      <c r="J25" s="299"/>
      <c r="K25" s="298"/>
      <c r="L25" s="55">
        <f>'S10'!E10</f>
        <v>5.3100000000000005</v>
      </c>
      <c r="M25" s="299"/>
      <c r="N25" s="298"/>
      <c r="O25" s="55">
        <f>'S10'!B25</f>
        <v>6.8700000000000045</v>
      </c>
      <c r="P25" s="299"/>
      <c r="Q25" s="298"/>
      <c r="R25" s="55">
        <f>'S10'!C25</f>
        <v>8.1199999999998909</v>
      </c>
      <c r="S25" s="299"/>
      <c r="T25" s="298"/>
      <c r="U25" s="55">
        <f>'S10'!D25</f>
        <v>5.7200000000000273</v>
      </c>
      <c r="V25" s="299"/>
      <c r="W25" s="298"/>
      <c r="X25" s="55">
        <f>'S10'!E25</f>
        <v>7.5499999999999545</v>
      </c>
      <c r="Y25" s="299"/>
      <c r="Z25" s="298"/>
    </row>
    <row r="26" spans="1:26" x14ac:dyDescent="0.35">
      <c r="A26" s="300" t="s">
        <v>14</v>
      </c>
      <c r="B26" s="53" t="s">
        <v>76</v>
      </c>
      <c r="C26" s="53">
        <f>'S11'!B9</f>
        <v>21.148000000000003</v>
      </c>
      <c r="D26" s="299">
        <f>'S11'!B10-'S11'!B9</f>
        <v>2.5419999999999945</v>
      </c>
      <c r="E26" s="298">
        <f>D26/C27</f>
        <v>0.10730265934993646</v>
      </c>
      <c r="F26" s="53">
        <f>'S11'!C9</f>
        <v>25.997</v>
      </c>
      <c r="G26" s="299">
        <f>'S11'!C10-'S11'!C9</f>
        <v>2.9529999999999994</v>
      </c>
      <c r="H26" s="298">
        <f>G26/F27</f>
        <v>0.10200345423143349</v>
      </c>
      <c r="I26" s="53">
        <f>'S11'!D9</f>
        <v>22.923000000000002</v>
      </c>
      <c r="J26" s="299">
        <f>'S11'!D10-'S11'!D9</f>
        <v>0.82699999999999818</v>
      </c>
      <c r="K26" s="298">
        <f>J26/I27</f>
        <v>3.4821052631578871E-2</v>
      </c>
      <c r="L26" s="53">
        <f>'S11'!E9</f>
        <v>20.419999999999995</v>
      </c>
      <c r="M26" s="299">
        <f>'S11'!E10-'S11'!E9</f>
        <v>1.240000000000002</v>
      </c>
      <c r="N26" s="298">
        <f>M26/L27</f>
        <v>5.7248384118190311E-2</v>
      </c>
      <c r="O26" s="53">
        <f>'S11'!B24</f>
        <v>22.132999999999981</v>
      </c>
      <c r="P26" s="299">
        <f>'S11'!B25-'S11'!B24</f>
        <v>0.51699999999999591</v>
      </c>
      <c r="Q26" s="298">
        <f>P26/O27</f>
        <v>2.2825607064017501E-2</v>
      </c>
      <c r="R26" s="53">
        <f>'S11'!C24</f>
        <v>23.088999999999999</v>
      </c>
      <c r="S26" s="299">
        <f>'S11'!C25-'S11'!C24</f>
        <v>2.521000000000015</v>
      </c>
      <c r="T26" s="298">
        <f>S26/R27</f>
        <v>9.8438110113237554E-2</v>
      </c>
      <c r="U26" s="53">
        <f>'S11'!D24</f>
        <v>22.233000000000001</v>
      </c>
      <c r="V26" s="299">
        <f>'S11'!D25-'S11'!D24</f>
        <v>1.1669999999999767</v>
      </c>
      <c r="W26" s="298">
        <f>V26/U27</f>
        <v>4.9871794871793926E-2</v>
      </c>
      <c r="X26" s="53">
        <f>'S11'!E24</f>
        <v>23.027000000000029</v>
      </c>
      <c r="Y26" s="299">
        <f>'S11'!E25-'S11'!E24</f>
        <v>2.2529999999999433</v>
      </c>
      <c r="Z26" s="298">
        <f>Y26/X27</f>
        <v>8.9121835443035827E-2</v>
      </c>
    </row>
    <row r="27" spans="1:26" x14ac:dyDescent="0.35">
      <c r="A27" s="300"/>
      <c r="B27" s="53" t="s">
        <v>77</v>
      </c>
      <c r="C27" s="53">
        <f>'S11'!B10</f>
        <v>23.689999999999998</v>
      </c>
      <c r="D27" s="299"/>
      <c r="E27" s="298"/>
      <c r="F27" s="53">
        <f>'S11'!C10</f>
        <v>28.95</v>
      </c>
      <c r="G27" s="299"/>
      <c r="H27" s="298"/>
      <c r="I27" s="53">
        <f>'S11'!D10</f>
        <v>23.75</v>
      </c>
      <c r="J27" s="299"/>
      <c r="K27" s="298"/>
      <c r="L27" s="53">
        <f>'S11'!E10</f>
        <v>21.659999999999997</v>
      </c>
      <c r="M27" s="299"/>
      <c r="N27" s="298"/>
      <c r="O27" s="53">
        <f>'S11'!B25</f>
        <v>22.649999999999977</v>
      </c>
      <c r="P27" s="299"/>
      <c r="Q27" s="298"/>
      <c r="R27" s="53">
        <f>'S11'!C25</f>
        <v>25.610000000000014</v>
      </c>
      <c r="S27" s="299"/>
      <c r="T27" s="298"/>
      <c r="U27" s="53">
        <f>'S11'!D25</f>
        <v>23.399999999999977</v>
      </c>
      <c r="V27" s="299"/>
      <c r="W27" s="298"/>
      <c r="X27" s="53">
        <f>'S11'!E25</f>
        <v>25.279999999999973</v>
      </c>
      <c r="Y27" s="299"/>
      <c r="Z27" s="298"/>
    </row>
    <row r="28" spans="1:26" x14ac:dyDescent="0.35">
      <c r="A28" s="300" t="s">
        <v>3</v>
      </c>
      <c r="B28" s="53" t="s">
        <v>76</v>
      </c>
      <c r="C28" s="53">
        <f>'S12'!B9</f>
        <v>29.724999999999994</v>
      </c>
      <c r="D28" s="299">
        <f>'S12'!B10-'S12'!B9</f>
        <v>3.6750000000000043</v>
      </c>
      <c r="E28" s="298">
        <f>D28/C29</f>
        <v>0.11002994011976061</v>
      </c>
      <c r="F28" s="53">
        <f>'S12'!C9</f>
        <v>35.799000000000028</v>
      </c>
      <c r="G28" s="299">
        <f>'S12'!C10-'S12'!C9</f>
        <v>3.5709999999999695</v>
      </c>
      <c r="H28" s="298">
        <f>G28/F29</f>
        <v>9.0703581407162046E-2</v>
      </c>
      <c r="I28" s="53">
        <f>'S12'!D9</f>
        <v>31.561</v>
      </c>
      <c r="J28" s="299">
        <f>'S12'!D10-'S12'!D9</f>
        <v>1.9989999999999952</v>
      </c>
      <c r="K28" s="298">
        <f>J28/I29</f>
        <v>5.95649582836709E-2</v>
      </c>
      <c r="L28" s="53">
        <f>'S12'!E9</f>
        <v>30.083999999999982</v>
      </c>
      <c r="M28" s="299">
        <f>'S12'!E10-'S12'!E9</f>
        <v>1.5060000000000215</v>
      </c>
      <c r="N28" s="298">
        <f>M28/L29</f>
        <v>4.7673314339981683E-2</v>
      </c>
      <c r="O28" s="53">
        <f>'S12'!B24</f>
        <v>29.05100000000003</v>
      </c>
      <c r="P28" s="299">
        <f>'S12'!B25-'S12'!B24</f>
        <v>2.3089999999999833</v>
      </c>
      <c r="Q28" s="298">
        <f>P28/O29</f>
        <v>7.3628826530611674E-2</v>
      </c>
      <c r="R28" s="53">
        <f>'S12'!C24</f>
        <v>31.024999999999977</v>
      </c>
      <c r="S28" s="299">
        <f>'S12'!C25-'S12'!C24</f>
        <v>2.8750000000001137</v>
      </c>
      <c r="T28" s="298">
        <f>S28/R29</f>
        <v>8.4808259587023774E-2</v>
      </c>
      <c r="U28" s="53">
        <f>'S12'!D24</f>
        <v>29.076999999999998</v>
      </c>
      <c r="V28" s="299">
        <f>'S12'!D25-'S12'!D24</f>
        <v>2.0230000000000246</v>
      </c>
      <c r="W28" s="298">
        <f>V28/U29</f>
        <v>6.5048231511254759E-2</v>
      </c>
      <c r="X28" s="53">
        <f>'S12'!E24</f>
        <v>31.177999999999976</v>
      </c>
      <c r="Y28" s="299">
        <f>'S12'!E25-'S12'!E24</f>
        <v>3.2620000000000786</v>
      </c>
      <c r="Z28" s="298">
        <f>Y28/X29</f>
        <v>9.4715447154473678E-2</v>
      </c>
    </row>
    <row r="29" spans="1:26" x14ac:dyDescent="0.35">
      <c r="A29" s="300"/>
      <c r="B29" s="53" t="s">
        <v>77</v>
      </c>
      <c r="C29" s="55">
        <f>'S12'!B10</f>
        <v>33.4</v>
      </c>
      <c r="D29" s="299"/>
      <c r="E29" s="298"/>
      <c r="F29" s="55">
        <f>'S12'!C10</f>
        <v>39.369999999999997</v>
      </c>
      <c r="G29" s="299"/>
      <c r="H29" s="298"/>
      <c r="I29" s="55">
        <f>'S12'!D10</f>
        <v>33.559999999999995</v>
      </c>
      <c r="J29" s="299"/>
      <c r="K29" s="298"/>
      <c r="L29" s="55">
        <f>'S12'!E10</f>
        <v>31.590000000000003</v>
      </c>
      <c r="M29" s="299"/>
      <c r="N29" s="298"/>
      <c r="O29" s="55">
        <f>'S12'!B25</f>
        <v>31.360000000000014</v>
      </c>
      <c r="P29" s="299"/>
      <c r="Q29" s="298"/>
      <c r="R29" s="55">
        <f>'S12'!C25</f>
        <v>33.900000000000091</v>
      </c>
      <c r="S29" s="299"/>
      <c r="T29" s="298"/>
      <c r="U29" s="55">
        <f>'S12'!D25</f>
        <v>31.100000000000023</v>
      </c>
      <c r="V29" s="299"/>
      <c r="W29" s="298"/>
      <c r="X29" s="55">
        <f>'S12'!E25</f>
        <v>34.440000000000055</v>
      </c>
      <c r="Y29" s="299"/>
      <c r="Z29" s="298"/>
    </row>
    <row r="30" spans="1:26" ht="15.5" x14ac:dyDescent="0.35">
      <c r="A30" s="56"/>
      <c r="C30" s="57"/>
      <c r="D30" s="58"/>
      <c r="E30" s="58"/>
      <c r="F30" s="57"/>
      <c r="G30" s="58"/>
      <c r="H30" s="58"/>
      <c r="I30" s="57"/>
      <c r="J30" s="58"/>
      <c r="K30" s="58"/>
      <c r="L30" s="57"/>
      <c r="M30" s="58"/>
      <c r="N30" s="58"/>
      <c r="O30" s="57"/>
      <c r="P30" s="58"/>
      <c r="Q30" s="58"/>
      <c r="R30" s="57"/>
      <c r="S30" s="58"/>
      <c r="T30" s="58"/>
      <c r="U30" s="57"/>
      <c r="V30" s="58"/>
      <c r="W30" s="58"/>
      <c r="X30" s="57"/>
      <c r="Y30" s="58"/>
      <c r="Z30" s="58"/>
    </row>
    <row r="31" spans="1:26" s="59" customFormat="1" ht="15.5" x14ac:dyDescent="0.35">
      <c r="A31" s="59" t="s">
        <v>78</v>
      </c>
      <c r="D31" s="59">
        <f>SUM(D6:D29)</f>
        <v>8.3350000000000364</v>
      </c>
      <c r="G31" s="59">
        <f>SUM(G6:G29)</f>
        <v>42.866000000000071</v>
      </c>
      <c r="J31" s="59">
        <f>SUM(J6:J29)</f>
        <v>-1.2999999999999829</v>
      </c>
      <c r="M31" s="59">
        <f>SUM(M6:M29)</f>
        <v>3.9800000000001066</v>
      </c>
      <c r="P31" s="59">
        <f>SUM(P6:P29)</f>
        <v>12.735999999999967</v>
      </c>
      <c r="S31" s="59">
        <f>SUM(S6:S29)</f>
        <v>12.127000000000073</v>
      </c>
      <c r="V31" s="59">
        <f>SUM(V6:V29)</f>
        <v>5.8879999999999937</v>
      </c>
      <c r="Y31" s="59">
        <f>SUM(Y6:Y29)</f>
        <v>8.240999999999989</v>
      </c>
    </row>
    <row r="32" spans="1:26" ht="6.75" customHeight="1" x14ac:dyDescent="0.35"/>
    <row r="33" spans="1:25" s="60" customFormat="1" ht="15.5" x14ac:dyDescent="0.35">
      <c r="A33" s="59" t="s">
        <v>79</v>
      </c>
      <c r="D33" s="61">
        <f>(D6+D8+D10+D12+D14+D16+D18+D20+D22+D24+D26+D28)/(C7+C9+C11+C13+C15+C17+C19+C21+C23+C25+C27+C29)</f>
        <v>4.7841809206750269E-2</v>
      </c>
      <c r="G33" s="61">
        <f>(G6+G8+G10+G12+G14+G16+G18+G20+G22+G24+G26+G28)/(F7+F9+F11+F13+F15+F17+F19+F21+F23+F25+F27+F29)</f>
        <v>0.16006123744445713</v>
      </c>
      <c r="J33" s="61">
        <f>(J6+J8+J10+J12+J14+J16+J18+J20+J22+J24+J26+J28)/(I7+I9+I11+I13+I15+I17+I19+I21+I23+I25+I27+I29)</f>
        <v>-6.7498805790358199E-3</v>
      </c>
      <c r="M33" s="61">
        <f>(M6+M8+M10+M12+M14+M16+M18+M20+M22+M24+M26+M28)/(L7+L9+L11+L13+L15+L17+L19+L21+L23+L25+L27+L29)</f>
        <v>2.4247002631836097E-2</v>
      </c>
      <c r="P33" s="61">
        <f>(P6+P8+P10+P12+P14+P16+P18+P20+P22+P24+P26+P28)/(O7+O9+O11+O13+O15+O17+O19+O21+O23+O25+O27+O29)</f>
        <v>7.0108994825498011E-2</v>
      </c>
      <c r="S33" s="61">
        <f>(S6+S8+S10+S12+S14+S16+S18+S20+S22+S24+S26+S28)/(R7+R9+R11+R13+R15+R17+R19+R21+R23+R25+R27+R29)</f>
        <v>6.3755848798696557E-2</v>
      </c>
      <c r="V33" s="61">
        <f>(V6+V8+V10+V12+V14+V16+V18+V20+V22+V24+V26+V28)/(U7+U9+U11+U13+U15+U17+U19+U21+U23+U25+U27+U29)</f>
        <v>3.4300361179074874E-2</v>
      </c>
      <c r="Y33" s="61">
        <f>(Y6+Y8+Y10+Y12+Y14+Y16+Y18+Y20+Y22+Y24+Y26+Y28)/(X7+X9+X11+X13+X15+X17+X19+X21+X23+X25+X27+X29)</f>
        <v>4.544000882223196E-2</v>
      </c>
    </row>
    <row r="34" spans="1:25" s="62" customFormat="1" x14ac:dyDescent="0.35">
      <c r="D34" s="62">
        <v>1850</v>
      </c>
      <c r="G34" s="62">
        <v>1851</v>
      </c>
      <c r="J34" s="62">
        <v>1852</v>
      </c>
      <c r="M34" s="62">
        <v>1853</v>
      </c>
      <c r="P34" s="62">
        <v>1854</v>
      </c>
      <c r="S34" s="62">
        <v>1855</v>
      </c>
      <c r="V34" s="62">
        <v>1856</v>
      </c>
      <c r="Y34" s="62">
        <v>1857</v>
      </c>
    </row>
    <row r="38" spans="1:25" x14ac:dyDescent="0.35">
      <c r="A38" s="63"/>
    </row>
    <row r="39" spans="1:25" x14ac:dyDescent="0.35">
      <c r="A39"/>
    </row>
    <row r="40" spans="1:25" x14ac:dyDescent="0.35">
      <c r="A40" s="63"/>
    </row>
  </sheetData>
  <sheetProtection selectLockedCells="1" selectUnlockedCells="1"/>
  <mergeCells count="213">
    <mergeCell ref="R4:T4"/>
    <mergeCell ref="U4:W4"/>
    <mergeCell ref="X4:Z4"/>
    <mergeCell ref="A6:A7"/>
    <mergeCell ref="D6:D7"/>
    <mergeCell ref="E6:E7"/>
    <mergeCell ref="G6:G7"/>
    <mergeCell ref="H6:H7"/>
    <mergeCell ref="J6:J7"/>
    <mergeCell ref="K6:K7"/>
    <mergeCell ref="A4:B5"/>
    <mergeCell ref="C4:E4"/>
    <mergeCell ref="F4:H4"/>
    <mergeCell ref="I4:K4"/>
    <mergeCell ref="L4:N4"/>
    <mergeCell ref="O4:Q4"/>
    <mergeCell ref="V6:V7"/>
    <mergeCell ref="W6:W7"/>
    <mergeCell ref="Y6:Y7"/>
    <mergeCell ref="Z6:Z7"/>
    <mergeCell ref="Q6:Q7"/>
    <mergeCell ref="S6:S7"/>
    <mergeCell ref="T6:T7"/>
    <mergeCell ref="A8:A9"/>
    <mergeCell ref="D8:D9"/>
    <mergeCell ref="E8:E9"/>
    <mergeCell ref="G8:G9"/>
    <mergeCell ref="H8:H9"/>
    <mergeCell ref="J8:J9"/>
    <mergeCell ref="M6:M7"/>
    <mergeCell ref="N6:N7"/>
    <mergeCell ref="P6:P7"/>
    <mergeCell ref="T8:T9"/>
    <mergeCell ref="V8:V9"/>
    <mergeCell ref="W8:W9"/>
    <mergeCell ref="Y8:Y9"/>
    <mergeCell ref="Z8:Z9"/>
    <mergeCell ref="A10:A11"/>
    <mergeCell ref="D10:D11"/>
    <mergeCell ref="E10:E11"/>
    <mergeCell ref="G10:G11"/>
    <mergeCell ref="H10:H11"/>
    <mergeCell ref="K8:K9"/>
    <mergeCell ref="M8:M9"/>
    <mergeCell ref="N8:N9"/>
    <mergeCell ref="P8:P9"/>
    <mergeCell ref="Q8:Q9"/>
    <mergeCell ref="S8:S9"/>
    <mergeCell ref="S10:S11"/>
    <mergeCell ref="T10:T11"/>
    <mergeCell ref="V10:V11"/>
    <mergeCell ref="W10:W11"/>
    <mergeCell ref="Y10:Y11"/>
    <mergeCell ref="Z10:Z11"/>
    <mergeCell ref="J10:J11"/>
    <mergeCell ref="K10:K11"/>
    <mergeCell ref="M10:M11"/>
    <mergeCell ref="N10:N11"/>
    <mergeCell ref="P10:P11"/>
    <mergeCell ref="Q10:Q11"/>
    <mergeCell ref="T12:T13"/>
    <mergeCell ref="V12:V13"/>
    <mergeCell ref="W12:W13"/>
    <mergeCell ref="Y12:Y13"/>
    <mergeCell ref="Z12:Z13"/>
    <mergeCell ref="Q12:Q13"/>
    <mergeCell ref="S12:S13"/>
    <mergeCell ref="A14:A15"/>
    <mergeCell ref="D14:D15"/>
    <mergeCell ref="E14:E15"/>
    <mergeCell ref="G14:G15"/>
    <mergeCell ref="H14:H15"/>
    <mergeCell ref="K12:K13"/>
    <mergeCell ref="M12:M13"/>
    <mergeCell ref="N12:N13"/>
    <mergeCell ref="P12:P13"/>
    <mergeCell ref="A12:A13"/>
    <mergeCell ref="D12:D13"/>
    <mergeCell ref="E12:E13"/>
    <mergeCell ref="G12:G13"/>
    <mergeCell ref="H12:H13"/>
    <mergeCell ref="J12:J13"/>
    <mergeCell ref="S14:S15"/>
    <mergeCell ref="T14:T15"/>
    <mergeCell ref="V14:V15"/>
    <mergeCell ref="W14:W15"/>
    <mergeCell ref="Y14:Y15"/>
    <mergeCell ref="Z14:Z15"/>
    <mergeCell ref="J14:J15"/>
    <mergeCell ref="K14:K15"/>
    <mergeCell ref="M14:M15"/>
    <mergeCell ref="N14:N15"/>
    <mergeCell ref="P14:P15"/>
    <mergeCell ref="Q14:Q15"/>
    <mergeCell ref="T16:T17"/>
    <mergeCell ref="V16:V17"/>
    <mergeCell ref="W16:W17"/>
    <mergeCell ref="Y16:Y17"/>
    <mergeCell ref="Z16:Z17"/>
    <mergeCell ref="A18:A19"/>
    <mergeCell ref="D18:D19"/>
    <mergeCell ref="E18:E19"/>
    <mergeCell ref="G18:G19"/>
    <mergeCell ref="H18:H19"/>
    <mergeCell ref="K16:K17"/>
    <mergeCell ref="M16:M17"/>
    <mergeCell ref="N16:N17"/>
    <mergeCell ref="P16:P17"/>
    <mergeCell ref="Q16:Q17"/>
    <mergeCell ref="S16:S17"/>
    <mergeCell ref="A16:A17"/>
    <mergeCell ref="D16:D17"/>
    <mergeCell ref="E16:E17"/>
    <mergeCell ref="G16:G17"/>
    <mergeCell ref="H16:H17"/>
    <mergeCell ref="J16:J17"/>
    <mergeCell ref="S18:S19"/>
    <mergeCell ref="T18:T19"/>
    <mergeCell ref="V18:V19"/>
    <mergeCell ref="W18:W19"/>
    <mergeCell ref="Y18:Y19"/>
    <mergeCell ref="Z18:Z19"/>
    <mergeCell ref="J18:J19"/>
    <mergeCell ref="K18:K19"/>
    <mergeCell ref="M18:M19"/>
    <mergeCell ref="N18:N19"/>
    <mergeCell ref="P18:P19"/>
    <mergeCell ref="Q18:Q19"/>
    <mergeCell ref="T20:T21"/>
    <mergeCell ref="V20:V21"/>
    <mergeCell ref="W20:W21"/>
    <mergeCell ref="Y20:Y21"/>
    <mergeCell ref="Z20:Z21"/>
    <mergeCell ref="A22:A23"/>
    <mergeCell ref="D22:D23"/>
    <mergeCell ref="E22:E23"/>
    <mergeCell ref="G22:G23"/>
    <mergeCell ref="H22:H23"/>
    <mergeCell ref="K20:K21"/>
    <mergeCell ref="M20:M21"/>
    <mergeCell ref="N20:N21"/>
    <mergeCell ref="P20:P21"/>
    <mergeCell ref="Q20:Q21"/>
    <mergeCell ref="S20:S21"/>
    <mergeCell ref="A20:A21"/>
    <mergeCell ref="D20:D21"/>
    <mergeCell ref="E20:E21"/>
    <mergeCell ref="G20:G21"/>
    <mergeCell ref="H20:H21"/>
    <mergeCell ref="J20:J21"/>
    <mergeCell ref="S22:S23"/>
    <mergeCell ref="T22:T23"/>
    <mergeCell ref="V22:V23"/>
    <mergeCell ref="W22:W23"/>
    <mergeCell ref="Y22:Y23"/>
    <mergeCell ref="Z22:Z23"/>
    <mergeCell ref="J22:J23"/>
    <mergeCell ref="K22:K23"/>
    <mergeCell ref="M22:M23"/>
    <mergeCell ref="N22:N23"/>
    <mergeCell ref="P22:P23"/>
    <mergeCell ref="Q22:Q23"/>
    <mergeCell ref="T24:T25"/>
    <mergeCell ref="V24:V25"/>
    <mergeCell ref="W24:W25"/>
    <mergeCell ref="Y24:Y25"/>
    <mergeCell ref="Z24:Z25"/>
    <mergeCell ref="A26:A27"/>
    <mergeCell ref="D26:D27"/>
    <mergeCell ref="E26:E27"/>
    <mergeCell ref="G26:G27"/>
    <mergeCell ref="H26:H27"/>
    <mergeCell ref="K24:K25"/>
    <mergeCell ref="M24:M25"/>
    <mergeCell ref="N24:N25"/>
    <mergeCell ref="P24:P25"/>
    <mergeCell ref="Q24:Q25"/>
    <mergeCell ref="S24:S25"/>
    <mergeCell ref="A24:A25"/>
    <mergeCell ref="D24:D25"/>
    <mergeCell ref="E24:E25"/>
    <mergeCell ref="G24:G25"/>
    <mergeCell ref="H24:H25"/>
    <mergeCell ref="J24:J25"/>
    <mergeCell ref="W26:W27"/>
    <mergeCell ref="Y26:Y27"/>
    <mergeCell ref="A28:A29"/>
    <mergeCell ref="D28:D29"/>
    <mergeCell ref="E28:E29"/>
    <mergeCell ref="G28:G29"/>
    <mergeCell ref="H28:H29"/>
    <mergeCell ref="J28:J29"/>
    <mergeCell ref="S26:S27"/>
    <mergeCell ref="T26:T27"/>
    <mergeCell ref="V26:V27"/>
    <mergeCell ref="T28:T29"/>
    <mergeCell ref="V28:V29"/>
    <mergeCell ref="K28:K29"/>
    <mergeCell ref="M28:M29"/>
    <mergeCell ref="N28:N29"/>
    <mergeCell ref="P28:P29"/>
    <mergeCell ref="Q28:Q29"/>
    <mergeCell ref="S28:S29"/>
    <mergeCell ref="Z26:Z27"/>
    <mergeCell ref="J26:J27"/>
    <mergeCell ref="K26:K27"/>
    <mergeCell ref="M26:M27"/>
    <mergeCell ref="N26:N27"/>
    <mergeCell ref="P26:P27"/>
    <mergeCell ref="Q26:Q27"/>
    <mergeCell ref="W28:W29"/>
    <mergeCell ref="Y28:Y29"/>
    <mergeCell ref="Z28:Z29"/>
  </mergeCells>
  <printOptions horizontalCentered="1" verticalCentered="1"/>
  <pageMargins left="0" right="0" top="0.19652777777777777" bottom="0.19652777777777777" header="0.51180555555555551" footer="0.51180555555555551"/>
  <pageSetup paperSize="9" scale="10" firstPageNumber="0" orientation="landscape" horizontalDpi="300" verticalDpi="30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AK33"/>
  <sheetViews>
    <sheetView workbookViewId="0">
      <selection activeCell="F16" sqref="F16"/>
    </sheetView>
  </sheetViews>
  <sheetFormatPr defaultColWidth="9" defaultRowHeight="17.5" x14ac:dyDescent="0.35"/>
  <cols>
    <col min="1" max="1" width="36.26953125" style="34" customWidth="1"/>
    <col min="2" max="5" width="13.1796875" style="34" customWidth="1"/>
    <col min="6" max="6" width="2.54296875" style="34" customWidth="1"/>
    <col min="7" max="7" width="11.453125" style="34" customWidth="1"/>
    <col min="8" max="8" width="14.1796875" style="34" customWidth="1"/>
    <col min="9" max="9" width="14.453125" style="34" customWidth="1"/>
    <col min="10" max="11" width="9.81640625" style="34" customWidth="1"/>
    <col min="12" max="12" width="8.81640625" style="34" customWidth="1"/>
    <col min="13" max="13" width="5" style="34" customWidth="1"/>
    <col min="14" max="14" width="2.7265625" style="34" customWidth="1"/>
    <col min="15" max="15" width="8.1796875" style="34" customWidth="1"/>
    <col min="16" max="16" width="5.7265625" style="34" customWidth="1"/>
    <col min="17" max="17" width="2.7265625" style="34" customWidth="1"/>
    <col min="18" max="19" width="7.7265625" style="34" customWidth="1"/>
    <col min="20" max="20" width="7.7265625" style="101" customWidth="1"/>
    <col min="21" max="21" width="11.453125" style="101" customWidth="1"/>
    <col min="22" max="26" width="7.7265625" style="101" customWidth="1"/>
    <col min="27" max="29" width="9.81640625" style="101" customWidth="1"/>
    <col min="30" max="33" width="6.453125" style="101" customWidth="1"/>
    <col min="34" max="37" width="9" style="101"/>
    <col min="38" max="16384" width="9" style="34"/>
  </cols>
  <sheetData>
    <row r="1" spans="1:26" ht="18" x14ac:dyDescent="0.4">
      <c r="A1" s="35" t="s">
        <v>80</v>
      </c>
      <c r="B1" s="36">
        <f>'S1'!B1</f>
        <v>2023</v>
      </c>
      <c r="C1" s="36"/>
      <c r="D1" s="36"/>
      <c r="E1" s="36"/>
      <c r="F1" s="36"/>
      <c r="O1" s="207"/>
    </row>
    <row r="2" spans="1:26" x14ac:dyDescent="0.35">
      <c r="O2" s="207"/>
    </row>
    <row r="3" spans="1:26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  <c r="F3" s="64"/>
      <c r="H3" s="216"/>
      <c r="O3" s="207"/>
    </row>
    <row r="4" spans="1:26" x14ac:dyDescent="0.35">
      <c r="A4" s="43" t="s">
        <v>49</v>
      </c>
      <c r="B4" s="39">
        <f>'S1'!B4+'S2'!B4+'S3'!B4+'S4'!B4+'S5'!B4+'S6'!B4+'S7'!B4+'S8'!B4+'S9'!B4+'S10'!B4+'S11'!B4+'S12'!B4</f>
        <v>619.154</v>
      </c>
      <c r="C4" s="39">
        <f>'S1'!C4+'S2'!C4+'S3'!C4+'S4'!C4+'S5'!C4+'S6'!C4+'S7'!C4+'S8'!C4+'S9'!C4+'S10'!C4+'S11'!C4+'S12'!C4</f>
        <v>958.11500000000035</v>
      </c>
      <c r="D4" s="39">
        <f>'S1'!D4+'S2'!D4+'S3'!D4+'S4'!D4+'S5'!D4+'S6'!D4+'S7'!D4+'S8'!D4+'S9'!D4+'S10'!D4+'S11'!D4+'S12'!D4</f>
        <v>945.24399999999991</v>
      </c>
      <c r="E4" s="220">
        <f>'S1'!E4+'S2'!E4+'S3'!E4+'S4'!E4+'S5'!E4+'S6'!E4+'S7'!E4+'S8'!E4+'S9'!E4+'S10'!E4+'S11'!E4+'S12'!E4</f>
        <v>891.88800000000003</v>
      </c>
      <c r="G4" s="213"/>
      <c r="H4" s="221">
        <f>'1853'!P24</f>
        <v>760.8599999999999</v>
      </c>
      <c r="I4" s="222" t="s">
        <v>295</v>
      </c>
      <c r="J4" s="223"/>
      <c r="K4" s="68"/>
      <c r="O4" s="217"/>
    </row>
    <row r="5" spans="1:26" x14ac:dyDescent="0.35">
      <c r="A5" s="43" t="s">
        <v>50</v>
      </c>
      <c r="B5" s="38">
        <f>'1850'!O26-'1850'!C26</f>
        <v>704.09999999999991</v>
      </c>
      <c r="C5" s="38">
        <f>'1851'!P26-'1851'!D26</f>
        <v>1030.3000000000002</v>
      </c>
      <c r="D5" s="38">
        <f>'1852'!O26-'1852'!C26</f>
        <v>1048.6000000000004</v>
      </c>
      <c r="E5" s="105">
        <f>'1853'!O27-'1853'!C27</f>
        <v>993.50000000000045</v>
      </c>
      <c r="G5" s="65" t="s">
        <v>81</v>
      </c>
      <c r="H5" s="214">
        <f>E5-C15</f>
        <v>862.50000000000045</v>
      </c>
      <c r="I5" s="215" t="s">
        <v>82</v>
      </c>
      <c r="J5" s="215" t="s">
        <v>83</v>
      </c>
      <c r="K5" s="68" t="s">
        <v>84</v>
      </c>
      <c r="O5" s="218" t="s">
        <v>294</v>
      </c>
    </row>
    <row r="6" spans="1:26" x14ac:dyDescent="0.35">
      <c r="A6" s="43" t="s">
        <v>51</v>
      </c>
      <c r="B6" s="308">
        <f>SUM(B5:E5)</f>
        <v>3776.5000000000009</v>
      </c>
      <c r="C6" s="309"/>
      <c r="D6" s="309"/>
      <c r="E6" s="310"/>
      <c r="F6" s="69"/>
      <c r="G6" s="65" t="s">
        <v>85</v>
      </c>
      <c r="H6" s="66">
        <f>C15</f>
        <v>131</v>
      </c>
      <c r="I6" s="67" t="s">
        <v>86</v>
      </c>
      <c r="J6" s="67" t="s">
        <v>87</v>
      </c>
      <c r="K6" s="70" t="s">
        <v>88</v>
      </c>
      <c r="O6" s="228">
        <f>B6-H6</f>
        <v>3645.5000000000009</v>
      </c>
      <c r="P6" s="229" t="s">
        <v>298</v>
      </c>
    </row>
    <row r="7" spans="1:26" x14ac:dyDescent="0.35">
      <c r="A7" s="43" t="s">
        <v>52</v>
      </c>
      <c r="B7" s="311">
        <f>'1850'!O29-'1850'!C29</f>
        <v>3930.9000000000015</v>
      </c>
      <c r="C7" s="312"/>
      <c r="D7" s="312"/>
      <c r="E7" s="313"/>
      <c r="F7" s="69"/>
      <c r="G7" s="71" t="s">
        <v>81</v>
      </c>
      <c r="H7" s="72">
        <f>B7-C15</f>
        <v>3799.9000000000015</v>
      </c>
      <c r="I7" s="73" t="s">
        <v>89</v>
      </c>
      <c r="J7" s="73"/>
      <c r="K7" s="68" t="s">
        <v>84</v>
      </c>
      <c r="O7" s="219"/>
    </row>
    <row r="8" spans="1:26" ht="18" x14ac:dyDescent="0.4">
      <c r="A8" s="127" t="s">
        <v>53</v>
      </c>
      <c r="B8" s="131"/>
      <c r="C8" s="131"/>
      <c r="D8" s="131"/>
      <c r="E8" s="132"/>
      <c r="G8" s="71" t="s">
        <v>85</v>
      </c>
      <c r="H8" s="72">
        <f>C15</f>
        <v>131</v>
      </c>
      <c r="I8" s="73" t="s">
        <v>86</v>
      </c>
      <c r="J8" s="73"/>
      <c r="K8" s="68" t="s">
        <v>88</v>
      </c>
    </row>
    <row r="9" spans="1:26" x14ac:dyDescent="0.35">
      <c r="A9" s="37" t="s">
        <v>54</v>
      </c>
      <c r="B9" s="39">
        <f>'S1'!B9+'S2'!B9+'S3'!B9+'S4'!B9+'S5'!B9+'S6'!B9+'S7'!B9+'S8'!B9+'S9'!B9+'S10'!B9+'S11'!B9+'S12'!B9</f>
        <v>165.88500000000002</v>
      </c>
      <c r="C9" s="39">
        <f>'S1'!C9+'S2'!C9+'S3'!C9+'S4'!C9+'S5'!C9+'S6'!C9+'S7'!C9+'S8'!C9+'S9'!C9+'S10'!C9+'S11'!C9+'S12'!C9</f>
        <v>224.94400000000002</v>
      </c>
      <c r="D9" s="39">
        <f>'S1'!D9+'S2'!D9+'S3'!D9+'S4'!D9+'S5'!D9+'S6'!D9+'S7'!D9+'S8'!D9+'S9'!D9+'S10'!D9+'S11'!D9+'S12'!D9</f>
        <v>193.89600000000004</v>
      </c>
      <c r="E9" s="39">
        <f>'S1'!E9+'S2'!E9+'S3'!E9+'S4'!E9+'S5'!E9+'S6'!E9+'S7'!E9+'S8'!E9+'S9'!E9+'S10'!E9+'S11'!E9+'S12'!E9</f>
        <v>160.16399999999996</v>
      </c>
      <c r="O9" s="134" t="s">
        <v>268</v>
      </c>
      <c r="T9" s="136"/>
    </row>
    <row r="10" spans="1:26" x14ac:dyDescent="0.35">
      <c r="A10" s="37" t="s">
        <v>55</v>
      </c>
      <c r="B10" s="316">
        <f>('1850'!J27-'1850'!C27)*3.6+'1850'!O27</f>
        <v>174.22000000000006</v>
      </c>
      <c r="C10" s="316">
        <f>('1851'!K27-'1851'!D27)*3.6+'1851'!P27</f>
        <v>267.81000000000006</v>
      </c>
      <c r="D10" s="316">
        <f>('1852'!J27-'1852'!C27)*3.6+'1852'!O27</f>
        <v>192.59600000000006</v>
      </c>
      <c r="E10" s="316">
        <f>('1853'!J28-'1853'!C28)*3.6+'1853'!O28</f>
        <v>164.14400000000012</v>
      </c>
      <c r="I10" s="24" t="s">
        <v>106</v>
      </c>
      <c r="N10" s="188"/>
      <c r="O10" s="204" t="s">
        <v>115</v>
      </c>
      <c r="P10" s="188"/>
      <c r="Q10" s="136"/>
      <c r="R10" s="206" t="s">
        <v>270</v>
      </c>
    </row>
    <row r="11" spans="1:26" ht="18.5" thickBot="1" x14ac:dyDescent="0.45">
      <c r="A11" s="127" t="s">
        <v>61</v>
      </c>
      <c r="B11" s="131"/>
      <c r="C11" s="131"/>
      <c r="D11" s="131"/>
      <c r="E11" s="132"/>
      <c r="I11" s="101" t="s">
        <v>109</v>
      </c>
      <c r="J11" s="102" t="s">
        <v>110</v>
      </c>
      <c r="K11" s="102" t="s">
        <v>111</v>
      </c>
      <c r="L11" s="102" t="s">
        <v>108</v>
      </c>
      <c r="M11" s="101"/>
      <c r="N11"/>
      <c r="O11" s="89" t="s">
        <v>99</v>
      </c>
      <c r="Q11" s="136"/>
      <c r="R11" s="101" t="s">
        <v>291</v>
      </c>
      <c r="U11" s="246" t="s">
        <v>319</v>
      </c>
      <c r="V11" s="102" t="s">
        <v>318</v>
      </c>
      <c r="W11" s="102" t="s">
        <v>111</v>
      </c>
      <c r="X11" s="102" t="s">
        <v>108</v>
      </c>
      <c r="Y11" s="102" t="s">
        <v>320</v>
      </c>
      <c r="Z11" s="101" t="s">
        <v>321</v>
      </c>
    </row>
    <row r="12" spans="1:26" x14ac:dyDescent="0.35">
      <c r="A12" s="37" t="s">
        <v>57</v>
      </c>
      <c r="B12" s="103">
        <f>'1850'!O25-'1850'!E35+'1850'!E34-'1850'!C25</f>
        <v>2448</v>
      </c>
      <c r="C12" s="103">
        <f>'1851'!P24-'1851'!I58+'1851'!I57-'1851'!D24</f>
        <v>2979</v>
      </c>
      <c r="D12" s="103">
        <f>'1852'!O25-'1852'!H37+'1852'!H36-'1852'!C25</f>
        <v>2199</v>
      </c>
      <c r="E12" s="103">
        <f>'1853'!O24-'1853'!H37+'1853'!H36-'1853'!C24</f>
        <v>2165</v>
      </c>
      <c r="F12" s="41"/>
      <c r="H12" s="196" t="s">
        <v>254</v>
      </c>
      <c r="I12" s="190" t="s">
        <v>248</v>
      </c>
      <c r="J12" s="162">
        <v>0</v>
      </c>
      <c r="K12" s="314">
        <f>ROUND(Z12,3)</f>
        <v>16.498000000000001</v>
      </c>
      <c r="L12" s="162">
        <f t="shared" ref="L12:L17" si="0">K12-J12</f>
        <v>16.498000000000001</v>
      </c>
      <c r="M12" s="163" t="s">
        <v>96</v>
      </c>
      <c r="N12" s="46"/>
      <c r="O12" s="97">
        <f t="shared" ref="O12:O28" si="1">L$30/L$29*L12</f>
        <v>16.498881619628531</v>
      </c>
      <c r="P12" s="98" t="s">
        <v>96</v>
      </c>
      <c r="Q12" s="136"/>
      <c r="R12" s="102" t="s">
        <v>110</v>
      </c>
      <c r="S12" s="102" t="s">
        <v>111</v>
      </c>
      <c r="T12" s="102" t="s">
        <v>108</v>
      </c>
      <c r="U12" s="245" t="s">
        <v>317</v>
      </c>
      <c r="V12" s="247">
        <v>10.135</v>
      </c>
      <c r="W12" s="247">
        <v>12.898</v>
      </c>
      <c r="X12" s="247">
        <f>W12-V12</f>
        <v>2.7629999999999999</v>
      </c>
      <c r="Y12" s="101">
        <f>T13/X14</f>
        <v>5.9708737864077595</v>
      </c>
      <c r="Z12" s="249">
        <f>X12*Y12</f>
        <v>16.49752427184464</v>
      </c>
    </row>
    <row r="13" spans="1:26" x14ac:dyDescent="0.35">
      <c r="B13" s="42"/>
      <c r="C13" s="42"/>
      <c r="D13" s="42"/>
      <c r="E13" s="42"/>
      <c r="F13" s="41"/>
      <c r="G13" s="41"/>
      <c r="H13" s="196" t="s">
        <v>255</v>
      </c>
      <c r="I13" s="191" t="s">
        <v>248</v>
      </c>
      <c r="J13" s="192">
        <v>0</v>
      </c>
      <c r="K13" s="315">
        <f>ROUND(Z13,3)</f>
        <v>4.4119999999999999</v>
      </c>
      <c r="L13" s="210">
        <f t="shared" si="0"/>
        <v>4.4119999999999999</v>
      </c>
      <c r="M13" s="193" t="s">
        <v>96</v>
      </c>
      <c r="N13" s="46"/>
      <c r="O13" s="97">
        <f t="shared" si="1"/>
        <v>4.4122357683234981</v>
      </c>
      <c r="P13" s="98" t="s">
        <v>96</v>
      </c>
      <c r="Q13" s="136"/>
      <c r="R13" s="101">
        <f>23.477+7</f>
        <v>30.477</v>
      </c>
      <c r="S13" s="101">
        <v>51.387</v>
      </c>
      <c r="T13" s="101">
        <f>S13-R13</f>
        <v>20.91</v>
      </c>
      <c r="U13" s="245" t="s">
        <v>316</v>
      </c>
      <c r="V13" s="247">
        <v>43.951000000000001</v>
      </c>
      <c r="W13" s="247">
        <f>43.99+0.7</f>
        <v>44.690000000000005</v>
      </c>
      <c r="X13" s="248">
        <f>W13-V13</f>
        <v>0.73900000000000432</v>
      </c>
      <c r="Y13" s="101">
        <f>T13/X14</f>
        <v>5.9708737864077595</v>
      </c>
      <c r="Z13" s="250">
        <f>X13*Y13</f>
        <v>4.4124757281553597</v>
      </c>
    </row>
    <row r="14" spans="1:26" x14ac:dyDescent="0.35">
      <c r="A14" s="34" t="s">
        <v>58</v>
      </c>
      <c r="B14" s="104">
        <f>'1853'!O25-'1853'!H40+'1853'!H39-'1853'!C25</f>
        <v>3597</v>
      </c>
      <c r="C14" s="42"/>
      <c r="D14" s="42"/>
      <c r="E14" s="42"/>
      <c r="F14" s="41"/>
      <c r="H14" s="196" t="s">
        <v>314</v>
      </c>
      <c r="I14" s="191" t="s">
        <v>315</v>
      </c>
      <c r="J14" s="192">
        <v>8.5939999999999994</v>
      </c>
      <c r="K14" s="192">
        <v>18.536000000000001</v>
      </c>
      <c r="L14" s="192">
        <f t="shared" si="0"/>
        <v>9.9420000000000019</v>
      </c>
      <c r="M14" s="193" t="s">
        <v>96</v>
      </c>
      <c r="N14" s="46"/>
      <c r="O14" s="97">
        <f t="shared" si="1"/>
        <v>9.9425312802974233</v>
      </c>
      <c r="P14" s="98" t="s">
        <v>96</v>
      </c>
      <c r="Q14" s="136"/>
      <c r="R14" s="101"/>
      <c r="S14" s="101"/>
      <c r="X14" s="101">
        <f>SUM(X12:X13)</f>
        <v>3.5020000000000042</v>
      </c>
      <c r="Z14" s="101">
        <f>SUM(Z12:Z13)</f>
        <v>20.91</v>
      </c>
    </row>
    <row r="15" spans="1:26" x14ac:dyDescent="0.35">
      <c r="A15" s="34" t="s">
        <v>59</v>
      </c>
      <c r="B15" s="42">
        <f>'1853'!O26-'1853'!D26</f>
        <v>131.02799999999996</v>
      </c>
      <c r="C15" s="75">
        <v>131</v>
      </c>
      <c r="D15" s="42"/>
      <c r="E15" s="74" t="s">
        <v>253</v>
      </c>
      <c r="F15" s="74"/>
      <c r="G15" s="188"/>
      <c r="H15" s="196" t="s">
        <v>256</v>
      </c>
      <c r="I15" s="191" t="s">
        <v>119</v>
      </c>
      <c r="J15" s="192">
        <v>95.86</v>
      </c>
      <c r="K15" s="192">
        <v>114.869</v>
      </c>
      <c r="L15" s="192">
        <f t="shared" si="0"/>
        <v>19.009</v>
      </c>
      <c r="M15" s="193" t="s">
        <v>96</v>
      </c>
      <c r="N15" s="46"/>
      <c r="O15" s="97">
        <f t="shared" si="1"/>
        <v>19.010015802371122</v>
      </c>
      <c r="P15" s="98" t="s">
        <v>96</v>
      </c>
      <c r="Q15" s="136"/>
    </row>
    <row r="16" spans="1:26" x14ac:dyDescent="0.35">
      <c r="A16" s="208" t="s">
        <v>271</v>
      </c>
      <c r="B16" s="209">
        <f>C15-B15</f>
        <v>-2.7999999999963165E-2</v>
      </c>
      <c r="C16" s="42"/>
      <c r="D16" s="42"/>
      <c r="E16" s="42"/>
      <c r="F16" s="41"/>
      <c r="G16" s="41"/>
      <c r="H16" s="196" t="s">
        <v>257</v>
      </c>
      <c r="I16" s="191" t="s">
        <v>118</v>
      </c>
      <c r="J16" s="192">
        <v>49.76</v>
      </c>
      <c r="K16" s="192">
        <v>56.878999999999998</v>
      </c>
      <c r="L16" s="192">
        <f t="shared" si="0"/>
        <v>7.1189999999999998</v>
      </c>
      <c r="M16" s="193" t="s">
        <v>96</v>
      </c>
      <c r="N16" s="46"/>
      <c r="O16" s="97">
        <f t="shared" si="1"/>
        <v>7.1193804249082016</v>
      </c>
      <c r="P16" s="98" t="s">
        <v>96</v>
      </c>
      <c r="Q16" s="136"/>
      <c r="S16" s="46"/>
      <c r="T16" s="46"/>
      <c r="W16" s="137"/>
      <c r="X16" s="137"/>
      <c r="Y16" s="137"/>
      <c r="Z16" s="137"/>
    </row>
    <row r="17" spans="1:23" x14ac:dyDescent="0.35">
      <c r="B17" s="42"/>
      <c r="C17" s="42"/>
      <c r="D17" s="42"/>
      <c r="E17" s="42"/>
      <c r="H17" s="196" t="s">
        <v>258</v>
      </c>
      <c r="I17" s="191" t="s">
        <v>250</v>
      </c>
      <c r="J17" s="192">
        <v>18.46</v>
      </c>
      <c r="K17" s="192">
        <v>26.152000000000001</v>
      </c>
      <c r="L17" s="192">
        <f t="shared" si="0"/>
        <v>7.6920000000000002</v>
      </c>
      <c r="M17" s="193" t="s">
        <v>96</v>
      </c>
      <c r="N17" s="46"/>
      <c r="O17" s="97">
        <f t="shared" si="1"/>
        <v>7.6924110448649934</v>
      </c>
      <c r="P17" s="98" t="s">
        <v>96</v>
      </c>
      <c r="Q17" s="136"/>
    </row>
    <row r="18" spans="1:23" ht="18" x14ac:dyDescent="0.4">
      <c r="A18" s="125" t="s">
        <v>48</v>
      </c>
      <c r="B18" s="133">
        <v>1854</v>
      </c>
      <c r="C18" s="133">
        <v>1855</v>
      </c>
      <c r="D18" s="133">
        <v>1856</v>
      </c>
      <c r="E18" s="133">
        <v>1857</v>
      </c>
      <c r="F18" s="64"/>
      <c r="H18" s="196" t="s">
        <v>259</v>
      </c>
      <c r="I18" s="191" t="s">
        <v>251</v>
      </c>
      <c r="J18" s="192">
        <v>6.4850000000000003</v>
      </c>
      <c r="K18" s="192">
        <v>9.3420000000000005</v>
      </c>
      <c r="L18" s="192">
        <f t="shared" ref="L18:L19" si="2">K18-J18</f>
        <v>2.8570000000000002</v>
      </c>
      <c r="M18" s="193" t="s">
        <v>96</v>
      </c>
      <c r="N18" s="46"/>
      <c r="O18" s="97">
        <f t="shared" si="1"/>
        <v>2.8571526722801988</v>
      </c>
      <c r="P18" s="98" t="s">
        <v>96</v>
      </c>
      <c r="Q18" s="137"/>
    </row>
    <row r="19" spans="1:23" x14ac:dyDescent="0.35">
      <c r="A19" s="37" t="s">
        <v>49</v>
      </c>
      <c r="B19" s="39">
        <f>'S1'!B19+'S2'!B19+'S3'!B19+'S4'!B19+'S5'!B19+'S6'!B19+'S7'!B19+'S8'!B19+'S9'!B19+'S10'!B19+'S11'!B19+'S12'!B19</f>
        <v>616.54400000000021</v>
      </c>
      <c r="C19" s="39">
        <f>'S1'!C19+'S2'!C19+'S3'!C19+'S4'!C19+'S5'!C19+'S6'!C19+'S7'!C19+'S8'!C19+'S9'!C19+'S10'!C19+'S11'!C19+'S12'!C19</f>
        <v>742.84599999999955</v>
      </c>
      <c r="D19" s="39">
        <f>'S1'!D19+'S2'!D19+'S3'!D19+'S4'!D19+'S5'!D19+'S6'!D19+'S7'!D19+'S8'!D19+'S9'!D19+'S10'!D19+'S11'!D19+'S12'!D19</f>
        <v>853.16399999999999</v>
      </c>
      <c r="E19" s="39">
        <f>'S1'!E19+'S2'!E19+'S3'!E19+'S4'!E19+'S5'!E19+'S6'!E19+'S7'!E19+'S8'!E19+'S9'!E19+'S10'!E19+'S11'!E19+'S12'!E19</f>
        <v>805.14199999999983</v>
      </c>
      <c r="H19" s="196" t="s">
        <v>260</v>
      </c>
      <c r="I19" s="191" t="s">
        <v>252</v>
      </c>
      <c r="J19" s="192">
        <v>5.1920000000000002</v>
      </c>
      <c r="K19" s="192">
        <v>5.6859999999999999</v>
      </c>
      <c r="L19" s="192">
        <f t="shared" si="2"/>
        <v>0.49399999999999977</v>
      </c>
      <c r="M19" s="193" t="s">
        <v>96</v>
      </c>
      <c r="N19" s="46"/>
      <c r="O19" s="97">
        <f t="shared" si="1"/>
        <v>0.49402639835716394</v>
      </c>
      <c r="P19" s="98" t="s">
        <v>96</v>
      </c>
      <c r="Q19" s="137"/>
    </row>
    <row r="20" spans="1:23" x14ac:dyDescent="0.35">
      <c r="A20" s="37" t="s">
        <v>50</v>
      </c>
      <c r="B20" s="38">
        <f>'1854'!O26-'1854'!C26</f>
        <v>680.80000000000018</v>
      </c>
      <c r="C20" s="38">
        <f>'1855'!O26-'1855'!C26</f>
        <v>848.10000000000036</v>
      </c>
      <c r="D20" s="38">
        <f>'1856'!O26-'1856'!C26</f>
        <v>943.90000000000009</v>
      </c>
      <c r="E20" s="38">
        <f>'1857'!O26-'1857'!C26</f>
        <v>898.30000000000018</v>
      </c>
      <c r="H20" s="196" t="s">
        <v>261</v>
      </c>
      <c r="I20" s="191" t="s">
        <v>249</v>
      </c>
      <c r="J20" s="192">
        <v>21.346</v>
      </c>
      <c r="K20" s="192">
        <v>21.635000000000002</v>
      </c>
      <c r="L20" s="192">
        <f t="shared" ref="L20:L27" si="3">K20-J20</f>
        <v>0.28900000000000148</v>
      </c>
      <c r="M20" s="193" t="s">
        <v>96</v>
      </c>
      <c r="N20" s="46"/>
      <c r="O20" s="97">
        <f t="shared" si="1"/>
        <v>0.28901544357332221</v>
      </c>
      <c r="P20" s="98" t="s">
        <v>96</v>
      </c>
      <c r="Q20" s="137"/>
    </row>
    <row r="21" spans="1:23" x14ac:dyDescent="0.35">
      <c r="A21" s="37" t="s">
        <v>51</v>
      </c>
      <c r="B21" s="308">
        <f>SUM(B20:E20)</f>
        <v>3371.1000000000008</v>
      </c>
      <c r="C21" s="309"/>
      <c r="D21" s="309"/>
      <c r="E21" s="310"/>
      <c r="F21" s="69"/>
      <c r="H21" s="196" t="s">
        <v>262</v>
      </c>
      <c r="I21" s="191" t="s">
        <v>101</v>
      </c>
      <c r="J21" s="192">
        <v>353.15</v>
      </c>
      <c r="K21" s="192">
        <v>371.77199999999999</v>
      </c>
      <c r="L21" s="192">
        <f t="shared" si="3"/>
        <v>18.622000000000014</v>
      </c>
      <c r="M21" s="193" t="s">
        <v>96</v>
      </c>
      <c r="N21" s="46"/>
      <c r="O21" s="97">
        <f t="shared" si="1"/>
        <v>18.622995121876755</v>
      </c>
      <c r="P21" s="98" t="s">
        <v>96</v>
      </c>
      <c r="Q21" s="101"/>
    </row>
    <row r="22" spans="1:23" x14ac:dyDescent="0.35">
      <c r="A22" s="37" t="s">
        <v>52</v>
      </c>
      <c r="B22" s="308">
        <f>'1854'!O29-'1854'!N35+'1854'!N33-'1854'!C29</f>
        <v>3222.3999999999996</v>
      </c>
      <c r="C22" s="309"/>
      <c r="D22" s="309"/>
      <c r="E22" s="310"/>
      <c r="F22" s="69"/>
      <c r="H22" s="196" t="s">
        <v>263</v>
      </c>
      <c r="I22" s="194" t="s">
        <v>120</v>
      </c>
      <c r="J22" s="192">
        <v>15.835000000000001</v>
      </c>
      <c r="K22" s="192">
        <v>23.369</v>
      </c>
      <c r="L22" s="192">
        <f t="shared" si="3"/>
        <v>7.5339999999999989</v>
      </c>
      <c r="M22" s="193" t="s">
        <v>96</v>
      </c>
      <c r="N22" s="46"/>
      <c r="O22" s="97">
        <f t="shared" si="1"/>
        <v>7.5344026016657377</v>
      </c>
      <c r="P22" s="98" t="s">
        <v>96</v>
      </c>
      <c r="Q22" s="101"/>
    </row>
    <row r="23" spans="1:23" ht="18" x14ac:dyDescent="0.4">
      <c r="A23" s="127" t="s">
        <v>53</v>
      </c>
      <c r="B23" s="131"/>
      <c r="C23" s="131"/>
      <c r="D23" s="131"/>
      <c r="E23" s="132"/>
      <c r="H23" s="196" t="s">
        <v>264</v>
      </c>
      <c r="I23" s="191" t="s">
        <v>102</v>
      </c>
      <c r="J23" s="192">
        <v>61.302999999999997</v>
      </c>
      <c r="K23" s="192">
        <v>69.135999999999996</v>
      </c>
      <c r="L23" s="192">
        <f t="shared" si="3"/>
        <v>7.8329999999999984</v>
      </c>
      <c r="M23" s="193" t="s">
        <v>96</v>
      </c>
      <c r="N23" s="46"/>
      <c r="O23" s="97">
        <f t="shared" si="1"/>
        <v>7.8334185796187574</v>
      </c>
      <c r="P23" s="98" t="s">
        <v>96</v>
      </c>
      <c r="Q23" s="101"/>
    </row>
    <row r="24" spans="1:23" x14ac:dyDescent="0.35">
      <c r="A24" s="37" t="s">
        <v>54</v>
      </c>
      <c r="B24" s="39">
        <f>'S1'!B24+'S2'!B24+'S3'!B24+'S4'!B24+'S5'!B24+'S6'!B24+'S7'!B24+'S8'!B24+'S9'!B24+'S10'!B24+'S11'!B24+'S12'!B24</f>
        <v>168.92400000000004</v>
      </c>
      <c r="C24" s="39">
        <f>'S1'!C24+'S2'!C24+'S3'!C24+'S4'!C24+'S5'!C24+'S6'!C24+'S7'!C24+'S8'!C24+'S9'!C24+'S10'!C24+'S11'!C24+'S12'!C24</f>
        <v>178.08299999999997</v>
      </c>
      <c r="D24" s="39">
        <f>'S1'!D24+'S2'!D24+'S3'!D24+'S4'!D24+'S5'!D24+'S6'!D24+'S7'!D24+'S8'!D24+'S9'!D24+'S10'!D24+'S11'!D24+'S12'!D24</f>
        <v>165.77200000000002</v>
      </c>
      <c r="E24" s="39">
        <f>'S1'!E24+'S2'!E24+'S3'!E24+'S4'!E24+'S5'!E24+'S6'!E24+'S7'!E24+'S8'!E24+'S9'!E24+'S10'!E24+'S11'!E24+'S12'!E24</f>
        <v>173.119</v>
      </c>
      <c r="H24" s="196" t="s">
        <v>292</v>
      </c>
      <c r="I24" s="191" t="s">
        <v>293</v>
      </c>
      <c r="J24" s="192">
        <v>0</v>
      </c>
      <c r="K24" s="192">
        <v>0</v>
      </c>
      <c r="L24" s="195">
        <f t="shared" si="3"/>
        <v>0</v>
      </c>
      <c r="M24" s="193" t="s">
        <v>96</v>
      </c>
      <c r="N24" s="46"/>
      <c r="O24" s="97">
        <f t="shared" si="1"/>
        <v>0</v>
      </c>
      <c r="P24" s="98" t="s">
        <v>96</v>
      </c>
      <c r="Q24" s="101"/>
      <c r="R24" s="206" t="s">
        <v>270</v>
      </c>
    </row>
    <row r="25" spans="1:23" x14ac:dyDescent="0.35">
      <c r="A25" s="37" t="s">
        <v>55</v>
      </c>
      <c r="B25" s="39">
        <f>('1854'!O27-'1854'!C27)</f>
        <v>181.65999999999997</v>
      </c>
      <c r="C25" s="39">
        <f>('1855'!O27-'1855'!C27)</f>
        <v>190.21000000000004</v>
      </c>
      <c r="D25" s="39">
        <f>('1856'!O27-'1856'!C27)</f>
        <v>171.66000000000003</v>
      </c>
      <c r="E25" s="39">
        <f>('1857'!O27-'1857'!C27)</f>
        <v>181.36</v>
      </c>
      <c r="H25" s="196" t="s">
        <v>265</v>
      </c>
      <c r="I25" s="194" t="s">
        <v>116</v>
      </c>
      <c r="J25" s="192">
        <v>0</v>
      </c>
      <c r="K25" s="192">
        <v>6.4130000000000003</v>
      </c>
      <c r="L25" s="192">
        <f t="shared" si="3"/>
        <v>6.4130000000000003</v>
      </c>
      <c r="M25" s="193" t="s">
        <v>96</v>
      </c>
      <c r="N25" s="46"/>
      <c r="O25" s="97">
        <f t="shared" si="1"/>
        <v>6.4133426977014043</v>
      </c>
      <c r="P25" s="98" t="s">
        <v>96</v>
      </c>
      <c r="Q25" s="101"/>
      <c r="R25" s="101" t="s">
        <v>269</v>
      </c>
    </row>
    <row r="26" spans="1:23" ht="18" x14ac:dyDescent="0.4">
      <c r="A26" s="127" t="s">
        <v>61</v>
      </c>
      <c r="B26" s="131"/>
      <c r="C26" s="131"/>
      <c r="D26" s="131"/>
      <c r="E26" s="132"/>
      <c r="H26" s="196" t="s">
        <v>266</v>
      </c>
      <c r="I26" s="194" t="s">
        <v>117</v>
      </c>
      <c r="J26" s="192">
        <v>0</v>
      </c>
      <c r="K26" s="192">
        <v>4.9130000000000003</v>
      </c>
      <c r="L26" s="192">
        <f t="shared" si="3"/>
        <v>4.9130000000000003</v>
      </c>
      <c r="M26" s="193" t="s">
        <v>96</v>
      </c>
      <c r="N26" s="46"/>
      <c r="O26" s="97">
        <f t="shared" si="1"/>
        <v>4.9132625407464525</v>
      </c>
      <c r="P26" s="98" t="s">
        <v>96</v>
      </c>
      <c r="Q26" s="101"/>
      <c r="R26" s="102" t="s">
        <v>110</v>
      </c>
      <c r="S26" s="102" t="s">
        <v>111</v>
      </c>
      <c r="T26" s="102" t="s">
        <v>108</v>
      </c>
      <c r="U26" s="205"/>
    </row>
    <row r="27" spans="1:23" ht="18" thickBot="1" x14ac:dyDescent="0.4">
      <c r="A27" s="37" t="s">
        <v>57</v>
      </c>
      <c r="B27" s="103">
        <f>'1854'!O25-'1854'!C25</f>
        <v>2216</v>
      </c>
      <c r="C27" s="103">
        <f>'1855'!O25-'1855'!C25</f>
        <v>2871</v>
      </c>
      <c r="D27" s="103">
        <f>'1856'!O25-'1856'!C25</f>
        <v>2346</v>
      </c>
      <c r="E27" s="103">
        <f>'1857'!O25-'1857'!C25</f>
        <v>2413</v>
      </c>
      <c r="F27" s="41"/>
      <c r="H27" s="199" t="s">
        <v>267</v>
      </c>
      <c r="I27" s="200" t="s">
        <v>100</v>
      </c>
      <c r="J27" s="201">
        <v>0</v>
      </c>
      <c r="K27" s="201">
        <v>6.3029999999999999</v>
      </c>
      <c r="L27" s="201">
        <f t="shared" si="3"/>
        <v>6.3029999999999999</v>
      </c>
      <c r="M27" s="202" t="s">
        <v>96</v>
      </c>
      <c r="N27" s="46"/>
      <c r="O27" s="203">
        <f t="shared" si="1"/>
        <v>6.3033368195247075</v>
      </c>
      <c r="P27" s="98" t="s">
        <v>96</v>
      </c>
      <c r="Q27" s="101"/>
      <c r="R27" s="101">
        <v>120.53400000000001</v>
      </c>
      <c r="S27" s="101">
        <v>138.16300000000001</v>
      </c>
      <c r="T27" s="101">
        <f>S27-R27</f>
        <v>17.629000000000005</v>
      </c>
    </row>
    <row r="28" spans="1:23" ht="18" thickBot="1" x14ac:dyDescent="0.4">
      <c r="H28" s="196" t="s">
        <v>103</v>
      </c>
      <c r="I28" s="189"/>
      <c r="J28" s="197">
        <v>6.88</v>
      </c>
      <c r="K28" s="197">
        <v>17.943000000000001</v>
      </c>
      <c r="L28" s="197">
        <f>K28-J28</f>
        <v>11.063000000000002</v>
      </c>
      <c r="M28" s="198" t="s">
        <v>96</v>
      </c>
      <c r="N28" s="46"/>
      <c r="O28" s="97">
        <f t="shared" si="1"/>
        <v>11.063591184261758</v>
      </c>
      <c r="P28" s="98" t="s">
        <v>96</v>
      </c>
      <c r="Q28" s="101"/>
      <c r="R28" s="101"/>
      <c r="S28" s="101"/>
    </row>
    <row r="29" spans="1:23" x14ac:dyDescent="0.35">
      <c r="I29" s="90" t="s">
        <v>107</v>
      </c>
      <c r="J29" s="90"/>
      <c r="K29" s="90"/>
      <c r="L29" s="90">
        <f>SUM(L12:L28)</f>
        <v>130.99299999999999</v>
      </c>
      <c r="M29" s="91" t="s">
        <v>96</v>
      </c>
      <c r="N29" s="90"/>
      <c r="O29" s="90"/>
      <c r="P29" s="41"/>
      <c r="Q29" s="101"/>
      <c r="R29" s="101"/>
      <c r="S29" s="101"/>
    </row>
    <row r="30" spans="1:23" x14ac:dyDescent="0.35">
      <c r="I30" s="92" t="s">
        <v>104</v>
      </c>
      <c r="J30" s="92"/>
      <c r="K30" s="92"/>
      <c r="L30" s="93">
        <f>C15</f>
        <v>131</v>
      </c>
      <c r="M30" s="94" t="s">
        <v>96</v>
      </c>
      <c r="N30"/>
      <c r="O30" s="96">
        <f>SUM(O12:O28)</f>
        <v>131.00000000000003</v>
      </c>
      <c r="P30" s="41"/>
      <c r="Q30" s="101"/>
      <c r="R30" s="206"/>
      <c r="S30" s="101"/>
      <c r="V30" s="102"/>
      <c r="W30" s="102"/>
    </row>
    <row r="31" spans="1:23" x14ac:dyDescent="0.35">
      <c r="I31"/>
      <c r="J31"/>
      <c r="K31" t="s">
        <v>105</v>
      </c>
      <c r="L31" s="9">
        <f>L30-L29</f>
        <v>7.0000000000050022E-3</v>
      </c>
      <c r="M31" s="95" t="s">
        <v>96</v>
      </c>
      <c r="N31"/>
      <c r="O31"/>
      <c r="Q31" s="101"/>
      <c r="R31" s="241"/>
      <c r="S31" s="242"/>
    </row>
    <row r="32" spans="1:23" x14ac:dyDescent="0.35">
      <c r="J32"/>
      <c r="K32"/>
      <c r="L32" s="251"/>
      <c r="M32" s="102"/>
      <c r="Q32" s="101"/>
      <c r="R32" s="101"/>
      <c r="S32" s="101"/>
    </row>
    <row r="33" spans="19:19" x14ac:dyDescent="0.35">
      <c r="S33" s="101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G1:U2 C1:F5 B1:B1048576 G4:G8 C8:F20 J12:K12 M12:M14 I12:I17 G13 K13 J15:K17 J15:J19 S16:T16 G16:G17 M17 I18:L19 Q19:Q21 I20:I21 J21:L21 C23:F65536 I24:M24 N24:N30 P27:P31 I28:M30 G28:G65536 H29:H65538 R30:R32 Q32 S33 T33:T65539 U34:U65538 I34:J65539 K35:K65539 Q35:Q65544 R36:S65544 L36:P65546 Q37:R65545 S38:S65545">
    <cfRule type="cellIs" dxfId="9" priority="11" stopIfTrue="1" operator="lessThan">
      <formula>0</formula>
    </cfRule>
  </conditionalFormatting>
  <conditionalFormatting sqref="T31">
    <cfRule type="cellIs" dxfId="8" priority="2" stopIfTrue="1" operator="lessThan">
      <formula>0</formula>
    </cfRule>
  </conditionalFormatting>
  <conditionalFormatting sqref="V12:W12 U12:U13">
    <cfRule type="cellIs" dxfId="7" priority="1" stopIfTrue="1" operator="lessThan">
      <formula>0</formula>
    </cfRule>
  </conditionalFormatting>
  <pageMargins left="0.37" right="0.28000000000000003" top="0.78740157480314965" bottom="0.78740157480314965" header="0.53" footer="0.51181102362204722"/>
  <pageSetup paperSize="9" scale="77" firstPageNumber="0" orientation="landscape" horizontalDpi="300" verticalDpi="300" r:id="rId1"/>
  <headerFooter alignWithMargins="0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27"/>
  <sheetViews>
    <sheetView workbookViewId="0">
      <selection activeCell="B25" sqref="B25"/>
    </sheetView>
  </sheetViews>
  <sheetFormatPr defaultColWidth="9" defaultRowHeight="17.5" x14ac:dyDescent="0.35"/>
  <cols>
    <col min="1" max="1" width="36.26953125" style="34" customWidth="1"/>
    <col min="2" max="5" width="13.1796875" style="34" customWidth="1"/>
    <col min="6" max="6" width="11" style="34" customWidth="1"/>
    <col min="7" max="10" width="11.453125" style="34" customWidth="1"/>
    <col min="11" max="11" width="16" style="34" customWidth="1"/>
    <col min="12" max="15" width="6.453125" style="34" customWidth="1"/>
    <col min="16" max="16384" width="9" style="34"/>
  </cols>
  <sheetData>
    <row r="1" spans="1:11" ht="18" x14ac:dyDescent="0.4">
      <c r="A1" s="35" t="s">
        <v>80</v>
      </c>
      <c r="B1" s="36">
        <f>'S1'!B1</f>
        <v>2023</v>
      </c>
      <c r="C1" s="36"/>
      <c r="D1" s="36"/>
      <c r="E1" s="36"/>
      <c r="F1" s="36"/>
    </row>
    <row r="2" spans="1:11" x14ac:dyDescent="0.35">
      <c r="K2" s="69"/>
    </row>
    <row r="3" spans="1:11" ht="18" x14ac:dyDescent="0.4">
      <c r="A3" s="127" t="s">
        <v>48</v>
      </c>
      <c r="B3" s="126">
        <v>1850</v>
      </c>
      <c r="C3" s="126">
        <v>1851</v>
      </c>
      <c r="D3" s="126">
        <v>1852</v>
      </c>
      <c r="E3" s="126">
        <v>1853</v>
      </c>
      <c r="F3" s="64"/>
      <c r="K3" s="224"/>
    </row>
    <row r="4" spans="1:11" x14ac:dyDescent="0.35">
      <c r="A4" s="43" t="s">
        <v>49</v>
      </c>
      <c r="B4" s="39">
        <f>'S1'!B4+'S2'!B4+'S3'!B4+'S4'!B4+'S5'!B4+'S6'!B4+'S7'!B4+'S8'!B4+'S9'!B4+'S10'!B4+'S11'!B4+'S12'!B4</f>
        <v>619.154</v>
      </c>
      <c r="C4" s="39">
        <f>'S1'!C4+'S2'!C4+'S3'!C4+'S4'!C4+'S5'!C4+'S6'!C4+'S7'!C4+'S8'!C4+'S9'!C4+'S10'!C4+'S11'!C4+'S12'!C4</f>
        <v>958.11500000000035</v>
      </c>
      <c r="D4" s="39">
        <f>'S1'!D4+'S2'!D4+'S3'!D4+'S4'!D4+'S5'!D4+'S6'!D4+'S7'!D4+'S8'!D4+'S9'!D4+'S10'!D4+'S11'!D4+'S12'!D4</f>
        <v>945.24399999999991</v>
      </c>
      <c r="E4" s="39">
        <f>'S1'!E4+'S2'!E4+'S3'!E4+'S4'!E4+'S5'!E4+'S6'!E4+'S7'!E4+'S8'!E4+'S9'!E4+'S10'!E4+'S11'!E4+'S12'!E4</f>
        <v>891.88800000000003</v>
      </c>
      <c r="G4" s="135">
        <f>1-B4/B5</f>
        <v>0.12064479477346957</v>
      </c>
      <c r="H4" s="135">
        <f t="shared" ref="H4:J4" si="0">1-C4/C5</f>
        <v>7.006211782975813E-2</v>
      </c>
      <c r="I4" s="135">
        <f t="shared" si="0"/>
        <v>9.8565706656494778E-2</v>
      </c>
      <c r="J4" s="135">
        <f t="shared" si="0"/>
        <v>0.1022767991947664</v>
      </c>
      <c r="K4" s="225"/>
    </row>
    <row r="5" spans="1:11" x14ac:dyDescent="0.35">
      <c r="A5" s="43" t="s">
        <v>50</v>
      </c>
      <c r="B5" s="38">
        <f>'1850'!O26-'1850'!C26</f>
        <v>704.09999999999991</v>
      </c>
      <c r="C5" s="38">
        <f>'1851'!P26-'1851'!D26</f>
        <v>1030.3000000000002</v>
      </c>
      <c r="D5" s="38">
        <f>'1852'!O26-'1852'!C26</f>
        <v>1048.6000000000004</v>
      </c>
      <c r="E5" s="105">
        <f>'1853'!O27-'1853'!C27</f>
        <v>993.50000000000045</v>
      </c>
    </row>
    <row r="6" spans="1:11" x14ac:dyDescent="0.35">
      <c r="A6" s="43" t="s">
        <v>51</v>
      </c>
      <c r="B6" s="308">
        <f>SUM(B5:E5)</f>
        <v>3776.5000000000009</v>
      </c>
      <c r="C6" s="309"/>
      <c r="D6" s="309"/>
      <c r="E6" s="310"/>
      <c r="F6" s="69"/>
      <c r="G6" s="135">
        <f>1-B6/B7</f>
        <v>3.9278536721870427E-2</v>
      </c>
    </row>
    <row r="7" spans="1:11" x14ac:dyDescent="0.35">
      <c r="A7" s="43" t="s">
        <v>52</v>
      </c>
      <c r="B7" s="311">
        <f>'1850'!O29-'1850'!C29</f>
        <v>3930.9000000000015</v>
      </c>
      <c r="C7" s="312"/>
      <c r="D7" s="312"/>
      <c r="E7" s="313"/>
      <c r="F7" s="69"/>
    </row>
    <row r="8" spans="1:11" ht="18" x14ac:dyDescent="0.4">
      <c r="A8" s="127" t="s">
        <v>53</v>
      </c>
      <c r="B8" s="131"/>
      <c r="C8" s="131"/>
      <c r="D8" s="131"/>
      <c r="E8" s="132"/>
    </row>
    <row r="9" spans="1:11" x14ac:dyDescent="0.35">
      <c r="A9" s="37" t="s">
        <v>54</v>
      </c>
      <c r="B9" s="39">
        <f>'S1'!B9+'S2'!B9+'S3'!B9+'S4'!B9+'S5'!B9+'S6'!B9+'S7'!B9+'S8'!B9+'S9'!B9+'S10'!B9+'S11'!B9+'S12'!B9</f>
        <v>165.88500000000002</v>
      </c>
      <c r="C9" s="39">
        <f>'S1'!C9+'S2'!C9+'S3'!C9+'S4'!C9+'S5'!C9+'S6'!C9+'S7'!C9+'S8'!C9+'S9'!C9+'S10'!C9+'S11'!C9+'S12'!C9</f>
        <v>224.94400000000002</v>
      </c>
      <c r="D9" s="39">
        <f>'S1'!D9+'S2'!D9+'S3'!D9+'S4'!D9+'S5'!D9+'S6'!D9+'S7'!D9+'S8'!D9+'S9'!D9+'S10'!D9+'S11'!D9+'S12'!D9</f>
        <v>193.89600000000004</v>
      </c>
      <c r="E9" s="39">
        <f>'S1'!E9+'S2'!E9+'S3'!E9+'S4'!E9+'S5'!E9+'S6'!E9+'S7'!E9+'S8'!E9+'S9'!E9+'S10'!E9+'S11'!E9+'S12'!E9</f>
        <v>160.16399999999996</v>
      </c>
      <c r="G9" s="135">
        <f>1-B9/B10</f>
        <v>4.7841809206750296E-2</v>
      </c>
      <c r="H9" s="135">
        <f t="shared" ref="H9:J9" si="1">1-C9/C10</f>
        <v>0.16006123744445699</v>
      </c>
      <c r="I9" s="135">
        <f t="shared" si="1"/>
        <v>-6.7498805790358052E-3</v>
      </c>
      <c r="J9" s="135">
        <f t="shared" si="1"/>
        <v>2.4247002631836434E-2</v>
      </c>
    </row>
    <row r="10" spans="1:11" x14ac:dyDescent="0.35">
      <c r="A10" s="37" t="s">
        <v>55</v>
      </c>
      <c r="B10" s="39">
        <f>'S 2022'!B10</f>
        <v>174.22000000000006</v>
      </c>
      <c r="C10" s="39">
        <f>'S 2022'!C10</f>
        <v>267.81000000000006</v>
      </c>
      <c r="D10" s="39">
        <f>'S 2022'!D10</f>
        <v>192.59600000000006</v>
      </c>
      <c r="E10" s="39">
        <f>'S 2022'!E10</f>
        <v>164.14400000000012</v>
      </c>
    </row>
    <row r="11" spans="1:11" ht="18" x14ac:dyDescent="0.4">
      <c r="A11" s="127" t="s">
        <v>61</v>
      </c>
      <c r="B11" s="131"/>
      <c r="C11" s="131"/>
      <c r="D11" s="131"/>
      <c r="E11" s="132"/>
    </row>
    <row r="12" spans="1:11" x14ac:dyDescent="0.35">
      <c r="A12" s="37" t="s">
        <v>57</v>
      </c>
      <c r="B12" s="103">
        <f>'1850'!O25-'1850'!E35+'1850'!E34-'1850'!C25</f>
        <v>2448</v>
      </c>
      <c r="C12" s="103">
        <f>'1851'!P24-'1851'!I58+'1851'!I57-'1851'!D24</f>
        <v>2979</v>
      </c>
      <c r="D12" s="103">
        <f>'1852'!O25-'1852'!H37+'1852'!H36-'1852'!C25</f>
        <v>2199</v>
      </c>
      <c r="E12" s="103">
        <f>'1853'!O24-'1853'!H37+'1853'!H36-'1853'!C24</f>
        <v>2165</v>
      </c>
      <c r="F12" s="41"/>
    </row>
    <row r="13" spans="1:11" x14ac:dyDescent="0.35">
      <c r="B13" s="42"/>
      <c r="C13" s="42"/>
      <c r="D13" s="42"/>
      <c r="E13" s="42"/>
      <c r="F13" s="41"/>
      <c r="G13" s="41"/>
      <c r="H13" s="41"/>
      <c r="I13" s="41"/>
      <c r="J13" s="41"/>
    </row>
    <row r="14" spans="1:11" x14ac:dyDescent="0.35">
      <c r="A14" s="34" t="s">
        <v>58</v>
      </c>
      <c r="B14" s="104">
        <f>'1853'!O25-'1853'!H40+'1853'!H39-'1853'!C25</f>
        <v>3597</v>
      </c>
      <c r="C14" s="42"/>
      <c r="D14" s="42"/>
      <c r="E14" s="42"/>
      <c r="F14" s="41"/>
      <c r="G14" s="41"/>
      <c r="H14" s="41"/>
      <c r="I14" s="41"/>
      <c r="J14" s="41"/>
    </row>
    <row r="15" spans="1:11" x14ac:dyDescent="0.35">
      <c r="A15" s="34" t="s">
        <v>59</v>
      </c>
      <c r="B15" s="42">
        <f>'1853'!O26-'1853'!D26</f>
        <v>131.02799999999996</v>
      </c>
      <c r="C15" s="75">
        <f>'S 2022'!C15</f>
        <v>131</v>
      </c>
      <c r="D15" s="42"/>
      <c r="E15" s="42"/>
      <c r="F15" s="42"/>
      <c r="G15" s="41"/>
      <c r="H15" s="41"/>
      <c r="I15" s="41"/>
      <c r="J15" s="41"/>
    </row>
    <row r="16" spans="1:11" x14ac:dyDescent="0.35">
      <c r="B16" s="42"/>
      <c r="C16" s="42"/>
      <c r="D16" s="42"/>
      <c r="E16" s="42"/>
      <c r="F16" s="41"/>
      <c r="G16" s="41"/>
      <c r="H16" s="41"/>
      <c r="I16" s="41"/>
      <c r="J16" s="41"/>
      <c r="K16" s="41"/>
    </row>
    <row r="17" spans="1:10" x14ac:dyDescent="0.35">
      <c r="B17" s="42"/>
      <c r="C17" s="42"/>
      <c r="D17" s="42"/>
      <c r="E17" s="42"/>
    </row>
    <row r="18" spans="1:10" ht="18" x14ac:dyDescent="0.4">
      <c r="A18" s="125" t="s">
        <v>48</v>
      </c>
      <c r="B18" s="133">
        <v>1854</v>
      </c>
      <c r="C18" s="133">
        <v>1855</v>
      </c>
      <c r="D18" s="133">
        <v>1856</v>
      </c>
      <c r="E18" s="133">
        <v>1857</v>
      </c>
      <c r="F18" s="64"/>
    </row>
    <row r="19" spans="1:10" x14ac:dyDescent="0.35">
      <c r="A19" s="37" t="s">
        <v>49</v>
      </c>
      <c r="B19" s="39">
        <f>'S1'!B19+'S2'!B19+'S3'!B19+'S4'!B19+'S5'!B19+'S6'!B19+'S7'!B19+'S8'!B19+'S9'!B19+'S10'!B19+'S11'!B19+'S12'!B19</f>
        <v>616.54400000000021</v>
      </c>
      <c r="C19" s="39">
        <f>'S1'!C19+'S2'!C19+'S3'!C19+'S4'!C19+'S5'!C19+'S6'!C19+'S7'!C19+'S8'!C19+'S9'!C19+'S10'!C19+'S11'!C19+'S12'!C19</f>
        <v>742.84599999999955</v>
      </c>
      <c r="D19" s="39">
        <f>'S1'!D19+'S2'!D19+'S3'!D19+'S4'!D19+'S5'!D19+'S6'!D19+'S7'!D19+'S8'!D19+'S9'!D19+'S10'!D19+'S11'!D19+'S12'!D19</f>
        <v>853.16399999999999</v>
      </c>
      <c r="E19" s="39">
        <f>'S1'!E19+'S2'!E19+'S3'!E19+'S4'!E19+'S5'!E19+'S6'!E19+'S7'!E19+'S8'!E19+'S9'!E19+'S10'!E19+'S11'!E19+'S12'!E19</f>
        <v>805.14199999999983</v>
      </c>
      <c r="G19" s="135">
        <f>1-B19/B20</f>
        <v>9.438307873090479E-2</v>
      </c>
      <c r="H19" s="135">
        <f t="shared" ref="H19:J19" si="2">1-C19/C20</f>
        <v>0.12410564791887835</v>
      </c>
      <c r="I19" s="135">
        <f t="shared" si="2"/>
        <v>9.6128827206271916E-2</v>
      </c>
      <c r="J19" s="135">
        <f t="shared" si="2"/>
        <v>0.10370477568740988</v>
      </c>
    </row>
    <row r="20" spans="1:10" x14ac:dyDescent="0.35">
      <c r="A20" s="37" t="s">
        <v>50</v>
      </c>
      <c r="B20" s="38">
        <f>'1854'!O26-'1854'!C26</f>
        <v>680.80000000000018</v>
      </c>
      <c r="C20" s="38">
        <f>'1855'!O26-'1855'!C26</f>
        <v>848.10000000000036</v>
      </c>
      <c r="D20" s="38">
        <f>'1856'!O26-'1856'!C26</f>
        <v>943.90000000000009</v>
      </c>
      <c r="E20" s="38">
        <f>'1857'!O26-'1857'!C26</f>
        <v>898.30000000000018</v>
      </c>
    </row>
    <row r="21" spans="1:10" x14ac:dyDescent="0.35">
      <c r="A21" s="37" t="s">
        <v>51</v>
      </c>
      <c r="B21" s="308">
        <f>SUM(B20:E20)</f>
        <v>3371.1000000000008</v>
      </c>
      <c r="C21" s="309"/>
      <c r="D21" s="309"/>
      <c r="E21" s="310"/>
      <c r="F21" s="69"/>
      <c r="G21" s="135">
        <f>1-B21/B22</f>
        <v>-4.6145729890765042E-2</v>
      </c>
    </row>
    <row r="22" spans="1:10" x14ac:dyDescent="0.35">
      <c r="A22" s="37" t="s">
        <v>52</v>
      </c>
      <c r="B22" s="308">
        <f>'1854'!O29-'1854'!N35+'1854'!N33-'1854'!C29</f>
        <v>3222.3999999999996</v>
      </c>
      <c r="C22" s="309"/>
      <c r="D22" s="309"/>
      <c r="E22" s="310"/>
      <c r="F22" s="69"/>
    </row>
    <row r="23" spans="1:10" ht="18" x14ac:dyDescent="0.4">
      <c r="A23" s="127" t="s">
        <v>53</v>
      </c>
      <c r="B23" s="131"/>
      <c r="C23" s="131"/>
      <c r="D23" s="131"/>
      <c r="E23" s="132"/>
    </row>
    <row r="24" spans="1:10" x14ac:dyDescent="0.35">
      <c r="A24" s="37" t="s">
        <v>54</v>
      </c>
      <c r="B24" s="39">
        <f>'S1'!B24+'S2'!B24+'S3'!B24+'S4'!B24+'S5'!B24+'S6'!B24+'S7'!B24+'S8'!B24+'S9'!B24+'S10'!B24+'S11'!B24+'S12'!B24</f>
        <v>168.92400000000004</v>
      </c>
      <c r="C24" s="39">
        <f>'S1'!C24+'S2'!C24+'S3'!C24+'S4'!C24+'S5'!C24+'S6'!C24+'S7'!C24+'S8'!C24+'S9'!C24+'S10'!C24+'S11'!C24+'S12'!C24</f>
        <v>178.08299999999997</v>
      </c>
      <c r="D24" s="39">
        <f>'S1'!D24+'S2'!D24+'S3'!D24+'S4'!D24+'S5'!D24+'S6'!D24+'S7'!D24+'S8'!D24+'S9'!D24+'S10'!D24+'S11'!D24+'S12'!D24</f>
        <v>165.77200000000002</v>
      </c>
      <c r="E24" s="39">
        <f>'S1'!E24+'S2'!E24+'S3'!E24+'S4'!E24+'S5'!E24+'S6'!E24+'S7'!E24+'S8'!E24+'S9'!E24+'S10'!E24+'S11'!E24+'S12'!E24</f>
        <v>173.119</v>
      </c>
      <c r="G24" s="135">
        <f>1-B24/B25</f>
        <v>7.0108994825497817E-2</v>
      </c>
      <c r="H24" s="135">
        <f t="shared" ref="H24:J24" si="3">1-C24/C25</f>
        <v>6.3755848798696557E-2</v>
      </c>
      <c r="I24" s="135">
        <f t="shared" si="3"/>
        <v>3.4300361179074979E-2</v>
      </c>
      <c r="J24" s="135">
        <f t="shared" si="3"/>
        <v>4.5440008822232092E-2</v>
      </c>
    </row>
    <row r="25" spans="1:10" x14ac:dyDescent="0.35">
      <c r="A25" s="37" t="s">
        <v>55</v>
      </c>
      <c r="B25" s="39">
        <f>('1854'!O27-'1854'!C27)</f>
        <v>181.65999999999997</v>
      </c>
      <c r="C25" s="39">
        <f>('1855'!O27-'1855'!C27)</f>
        <v>190.21000000000004</v>
      </c>
      <c r="D25" s="39">
        <f>('1856'!O27-'1856'!C27)</f>
        <v>171.66000000000003</v>
      </c>
      <c r="E25" s="39">
        <f>('1857'!O27-'1857'!C27)</f>
        <v>181.36</v>
      </c>
    </row>
    <row r="26" spans="1:10" ht="18" x14ac:dyDescent="0.4">
      <c r="A26" s="127" t="s">
        <v>61</v>
      </c>
      <c r="B26" s="131"/>
      <c r="C26" s="131"/>
      <c r="D26" s="131"/>
      <c r="E26" s="132"/>
    </row>
    <row r="27" spans="1:10" x14ac:dyDescent="0.35">
      <c r="A27" s="37" t="s">
        <v>57</v>
      </c>
      <c r="B27" s="103">
        <f>'1854'!O25-'1854'!C25</f>
        <v>2216</v>
      </c>
      <c r="C27" s="103">
        <f>'1855'!O25-'1855'!C25</f>
        <v>2871</v>
      </c>
      <c r="D27" s="103">
        <f>'1856'!O25-'1856'!C25</f>
        <v>2346</v>
      </c>
      <c r="E27" s="103">
        <f>'1857'!O25-'1857'!C25</f>
        <v>2413</v>
      </c>
      <c r="F27" s="41"/>
    </row>
  </sheetData>
  <sheetProtection selectLockedCells="1" selectUnlockedCells="1"/>
  <mergeCells count="4">
    <mergeCell ref="B22:E22"/>
    <mergeCell ref="B6:E6"/>
    <mergeCell ref="B7:E7"/>
    <mergeCell ref="B21:E21"/>
  </mergeCells>
  <conditionalFormatting sqref="B25:E25">
    <cfRule type="cellIs" dxfId="6" priority="1" stopIfTrue="1" operator="lessThan">
      <formula>0</formula>
    </cfRule>
  </conditionalFormatting>
  <conditionalFormatting sqref="C1:F5 B1:B1048576 C8:F20 C23:F65536">
    <cfRule type="cellIs" dxfId="5" priority="13" stopIfTrue="1" operator="lessThan">
      <formula>0</formula>
    </cfRule>
  </conditionalFormatting>
  <conditionalFormatting sqref="G1:J2 I13:J13 G13:J17 I16:J17 G28:J65536">
    <cfRule type="cellIs" dxfId="4" priority="2" stopIfTrue="1" operator="lessThan">
      <formula>0</formula>
    </cfRule>
  </conditionalFormatting>
  <pageMargins left="0.7" right="0.7" top="0.78749999999999998" bottom="0.78749999999999998" header="0.51180555555555551" footer="0.51180555555555551"/>
  <pageSetup paperSize="9" firstPageNumber="0" orientation="portrait" horizontalDpi="300" verticalDpi="300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27"/>
  <sheetViews>
    <sheetView workbookViewId="0">
      <selection activeCell="M6" sqref="M6:N27"/>
    </sheetView>
  </sheetViews>
  <sheetFormatPr defaultRowHeight="14.5" x14ac:dyDescent="0.35"/>
  <cols>
    <col min="1" max="1" width="6.26953125" customWidth="1"/>
    <col min="2" max="2" width="8.81640625" customWidth="1"/>
  </cols>
  <sheetData>
    <row r="1" spans="1:14" x14ac:dyDescent="0.35">
      <c r="A1" s="24" t="s">
        <v>243</v>
      </c>
    </row>
    <row r="2" spans="1:14" ht="3.75" customHeight="1" x14ac:dyDescent="0.35">
      <c r="A2" s="24"/>
    </row>
    <row r="3" spans="1:14" x14ac:dyDescent="0.35">
      <c r="A3" s="108"/>
      <c r="B3" s="108"/>
      <c r="C3" s="86" t="s">
        <v>4</v>
      </c>
      <c r="D3" s="86" t="s">
        <v>5</v>
      </c>
      <c r="E3" s="86" t="s">
        <v>6</v>
      </c>
      <c r="F3" s="86" t="s">
        <v>7</v>
      </c>
      <c r="G3" s="86" t="s">
        <v>8</v>
      </c>
      <c r="H3" s="86" t="s">
        <v>9</v>
      </c>
      <c r="I3" s="86" t="s">
        <v>10</v>
      </c>
      <c r="J3" s="86" t="s">
        <v>11</v>
      </c>
      <c r="K3" s="86" t="s">
        <v>12</v>
      </c>
      <c r="L3" s="86" t="s">
        <v>13</v>
      </c>
      <c r="M3" s="86" t="s">
        <v>14</v>
      </c>
      <c r="N3" s="86" t="s">
        <v>3</v>
      </c>
    </row>
    <row r="4" spans="1:14" ht="15" hidden="1" customHeight="1" x14ac:dyDescent="0.35">
      <c r="A4" s="86">
        <v>1850</v>
      </c>
      <c r="B4" s="86" t="s">
        <v>95</v>
      </c>
      <c r="C4" s="108">
        <f>('1850'!D27-'1850'!C27)*3.6</f>
        <v>32.472000000000037</v>
      </c>
      <c r="D4" s="108">
        <f>('1850'!E27-'1850'!D27)*3.6</f>
        <v>29.51999999999996</v>
      </c>
      <c r="E4" s="108">
        <f>('1850'!F27-'1850'!E27)*3.6</f>
        <v>23.07599999999999</v>
      </c>
      <c r="F4" s="108">
        <f>('1850'!G27-'1850'!F27)*3.6</f>
        <v>14.291999999999996</v>
      </c>
      <c r="G4" s="108">
        <f>('1850'!H27-'1850'!G27)*3.6</f>
        <v>3.8160000000000083</v>
      </c>
      <c r="H4" s="108">
        <f>('1850'!I27-'1850'!H27)*3.6</f>
        <v>2.6280000000000654</v>
      </c>
      <c r="I4" s="108">
        <f>('1850'!J27-'1850'!I27)*3.6</f>
        <v>1.1160000000000083</v>
      </c>
      <c r="J4" s="179">
        <f>'1850'!K27</f>
        <v>1.64</v>
      </c>
      <c r="K4" s="179">
        <f>'1850'!L27-'1850'!K27</f>
        <v>2.04</v>
      </c>
      <c r="L4" s="179">
        <f>'1850'!M27-'1850'!L27</f>
        <v>6.5300000000000011</v>
      </c>
      <c r="M4" s="179">
        <f>'1850'!N27-'1850'!M27</f>
        <v>23.689999999999998</v>
      </c>
      <c r="N4" s="179">
        <f>'1850'!O27-'1850'!N27</f>
        <v>33.4</v>
      </c>
    </row>
    <row r="5" spans="1:14" ht="17.25" hidden="1" customHeight="1" x14ac:dyDescent="0.35">
      <c r="A5" s="86">
        <v>1850</v>
      </c>
      <c r="B5" s="109" t="s">
        <v>113</v>
      </c>
      <c r="C5" s="110">
        <f>'1850'!D28-'1850'!C28</f>
        <v>242</v>
      </c>
      <c r="D5" s="110">
        <f>'1850'!E28-'1850'!D28</f>
        <v>237</v>
      </c>
      <c r="E5" s="110">
        <f>'1850'!F28-'1850'!E28</f>
        <v>176</v>
      </c>
      <c r="F5" s="110">
        <f>'1850'!G28-'1850'!F28</f>
        <v>122</v>
      </c>
      <c r="G5" s="110">
        <f>'1850'!H28-'1850'!G28</f>
        <v>43</v>
      </c>
      <c r="H5" s="110">
        <f>'1850'!I28-'1850'!H28</f>
        <v>29</v>
      </c>
      <c r="I5" s="110">
        <f>'1850'!J28-'1850'!I28</f>
        <v>15</v>
      </c>
      <c r="J5" s="180">
        <f>'1850'!K28</f>
        <v>20</v>
      </c>
      <c r="K5" s="180">
        <f>'1850'!L28-'1850'!K28</f>
        <v>22</v>
      </c>
      <c r="L5" s="180">
        <f>'1850'!M28-'1850'!L28</f>
        <v>66</v>
      </c>
      <c r="M5" s="180">
        <f>'1850'!N28-'1850'!M28</f>
        <v>187</v>
      </c>
      <c r="N5" s="180">
        <f>'1850'!O28-'1850'!N28</f>
        <v>269</v>
      </c>
    </row>
    <row r="6" spans="1:14" ht="16.5" x14ac:dyDescent="0.35">
      <c r="A6" s="86">
        <v>1850</v>
      </c>
      <c r="B6" s="109" t="s">
        <v>114</v>
      </c>
      <c r="C6" s="111">
        <f t="shared" ref="C6:D6" si="0">C4/C5*1000</f>
        <v>134.18181818181836</v>
      </c>
      <c r="D6" s="111">
        <f t="shared" si="0"/>
        <v>124.55696202531628</v>
      </c>
      <c r="E6" s="111">
        <f t="shared" ref="E6:F6" si="1">E4/E5*1000</f>
        <v>131.11363636363629</v>
      </c>
      <c r="F6" s="111">
        <f t="shared" si="1"/>
        <v>117.14754098360652</v>
      </c>
      <c r="G6" s="111">
        <f t="shared" ref="G6:H6" si="2">G4/G5*1000</f>
        <v>88.744186046511828</v>
      </c>
      <c r="H6" s="111">
        <f t="shared" si="2"/>
        <v>90.620689655174672</v>
      </c>
      <c r="I6" s="111">
        <f t="shared" ref="I6:J6" si="3">I4/I5*1000</f>
        <v>74.400000000000546</v>
      </c>
      <c r="J6" s="178">
        <f t="shared" si="3"/>
        <v>81.999999999999986</v>
      </c>
      <c r="K6" s="178">
        <f t="shared" ref="K6:L6" si="4">K4/K5*1000</f>
        <v>92.727272727272734</v>
      </c>
      <c r="L6" s="178">
        <f t="shared" si="4"/>
        <v>98.939393939393952</v>
      </c>
      <c r="M6" s="178">
        <f t="shared" ref="M6:N6" si="5">M4/M5*1000</f>
        <v>126.68449197860961</v>
      </c>
      <c r="N6" s="178">
        <f t="shared" si="5"/>
        <v>124.1635687732342</v>
      </c>
    </row>
    <row r="7" spans="1:14" ht="15" hidden="1" customHeight="1" x14ac:dyDescent="0.35">
      <c r="A7" s="86">
        <v>1851</v>
      </c>
      <c r="B7" s="86" t="s">
        <v>95</v>
      </c>
      <c r="C7" s="108">
        <f>('1851'!E27-'1851'!D27)*3.6</f>
        <v>38.483999999999995</v>
      </c>
      <c r="D7" s="108">
        <f>('1851'!F27-'1851'!E27)*3.6</f>
        <v>35.783999999999992</v>
      </c>
      <c r="E7" s="108">
        <f>('1851'!G27-'1851'!F27)*3.6</f>
        <v>34.092000000000098</v>
      </c>
      <c r="F7" s="108">
        <f>('1851'!H27-'1851'!G27)*3.6</f>
        <v>24.011999999999855</v>
      </c>
      <c r="G7" s="108">
        <f>('1851'!I27-'1851'!H27)*3.6</f>
        <v>15.264000000000033</v>
      </c>
      <c r="H7" s="108">
        <f>('1851'!J27-'1851'!I27)*3.6</f>
        <v>12.383999999999991</v>
      </c>
      <c r="I7" s="108">
        <f>('1851'!K27-'1851'!J27)*3.6</f>
        <v>7.7400000000001228</v>
      </c>
      <c r="J7" s="179">
        <f>'1851'!L27</f>
        <v>8.2100000000000009</v>
      </c>
      <c r="K7" s="179">
        <f>'1851'!M27</f>
        <v>17.440000000000001</v>
      </c>
      <c r="L7" s="179">
        <f>'1851'!N27</f>
        <v>31.73</v>
      </c>
      <c r="M7" s="179">
        <f>'1851'!O27</f>
        <v>60.68</v>
      </c>
      <c r="N7" s="179">
        <f>'1851'!P27</f>
        <v>100.05</v>
      </c>
    </row>
    <row r="8" spans="1:14" ht="17.25" hidden="1" customHeight="1" x14ac:dyDescent="0.35">
      <c r="A8" s="86">
        <v>1851</v>
      </c>
      <c r="B8" s="109" t="s">
        <v>113</v>
      </c>
      <c r="C8" s="110">
        <f>'1851'!E28-'1851'!D28</f>
        <v>480</v>
      </c>
      <c r="D8" s="110">
        <f>'1851'!F28-'1851'!E28</f>
        <v>443</v>
      </c>
      <c r="E8" s="110">
        <f>'1851'!G28-'1851'!F28</f>
        <v>372</v>
      </c>
      <c r="F8" s="110">
        <f>'1851'!H28-'1851'!G28</f>
        <v>256</v>
      </c>
      <c r="G8" s="110">
        <f>'1851'!I28-'1851'!H28</f>
        <v>301</v>
      </c>
      <c r="H8" s="110">
        <f>'1851'!J28-'1851'!I28</f>
        <v>312</v>
      </c>
      <c r="I8" s="110">
        <f>'1851'!K28-'1851'!J28</f>
        <v>266</v>
      </c>
      <c r="J8" s="180">
        <f>'1851'!L28</f>
        <v>345</v>
      </c>
      <c r="K8" s="180">
        <f>'1851'!M28</f>
        <v>708</v>
      </c>
      <c r="L8" s="180">
        <f>'1851'!N28</f>
        <v>1051.3</v>
      </c>
      <c r="M8" s="180">
        <f>'1851'!O28</f>
        <v>1381</v>
      </c>
      <c r="N8" s="180">
        <f>'1851'!P28</f>
        <v>1827</v>
      </c>
    </row>
    <row r="9" spans="1:14" ht="16.5" x14ac:dyDescent="0.35">
      <c r="A9" s="86">
        <v>1851</v>
      </c>
      <c r="B9" s="109" t="s">
        <v>114</v>
      </c>
      <c r="C9" s="111">
        <f t="shared" ref="C9:D9" si="6">C7/C8*1000</f>
        <v>80.174999999999983</v>
      </c>
      <c r="D9" s="111">
        <f t="shared" si="6"/>
        <v>80.776523702031582</v>
      </c>
      <c r="E9" s="111">
        <f t="shared" ref="E9:F9" si="7">E7/E8*1000</f>
        <v>91.645161290322832</v>
      </c>
      <c r="F9" s="111">
        <f t="shared" si="7"/>
        <v>93.796874999999432</v>
      </c>
      <c r="G9" s="111">
        <f t="shared" ref="G9:H9" si="8">G7/G8*1000</f>
        <v>50.71096345514961</v>
      </c>
      <c r="H9" s="111">
        <f t="shared" si="8"/>
        <v>39.692307692307665</v>
      </c>
      <c r="I9" s="111">
        <f t="shared" ref="I9:J9" si="9">I7/I8*1000</f>
        <v>29.097744360902716</v>
      </c>
      <c r="J9" s="178">
        <f t="shared" si="9"/>
        <v>23.797101449275363</v>
      </c>
      <c r="K9" s="178">
        <f t="shared" ref="K9:L9" si="10">K7/K8*1000</f>
        <v>24.632768361581924</v>
      </c>
      <c r="L9" s="178">
        <f t="shared" si="10"/>
        <v>30.181679824978598</v>
      </c>
      <c r="M9" s="178">
        <f t="shared" ref="M9:N9" si="11">M7/M8*1000</f>
        <v>43.939174511223747</v>
      </c>
      <c r="N9" s="178">
        <f t="shared" si="11"/>
        <v>54.761904761904759</v>
      </c>
    </row>
    <row r="10" spans="1:14" ht="15" hidden="1" customHeight="1" x14ac:dyDescent="0.35">
      <c r="A10" s="86">
        <v>1852</v>
      </c>
      <c r="B10" s="86" t="s">
        <v>95</v>
      </c>
      <c r="C10" s="108">
        <f>('1852'!D27-'1852'!C27)*3.6</f>
        <v>35.135999999999967</v>
      </c>
      <c r="D10" s="108">
        <f>('1852'!E27-'1852'!D27)*3.6</f>
        <v>29.843999999999973</v>
      </c>
      <c r="E10" s="108">
        <f>('1852'!F27-'1852'!E27)*3.6</f>
        <v>25.488000000000046</v>
      </c>
      <c r="F10" s="108">
        <f>('1852'!G27-'1852'!F27)*3.6</f>
        <v>18.071999999999935</v>
      </c>
      <c r="G10" s="108">
        <f>('1852'!H27-'1852'!G27)*3.6</f>
        <v>6.1919999999999957</v>
      </c>
      <c r="H10" s="108">
        <f>('1852'!I27-'1852'!H27)*3.6</f>
        <v>4.0680000000000858</v>
      </c>
      <c r="I10" s="108">
        <f>('1852'!J27-'1852'!I27)*3.6</f>
        <v>2.196000000000049</v>
      </c>
      <c r="J10" s="179">
        <f>'1852'!K27</f>
        <v>2.4500000000000002</v>
      </c>
      <c r="K10" s="179">
        <f>'1852'!L27</f>
        <v>5.95</v>
      </c>
      <c r="L10" s="179">
        <f>'1852'!M27</f>
        <v>14.29</v>
      </c>
      <c r="M10" s="179">
        <f>'1852'!N27</f>
        <v>38.04</v>
      </c>
      <c r="N10" s="179">
        <f>'1852'!O27</f>
        <v>71.599999999999994</v>
      </c>
    </row>
    <row r="11" spans="1:14" ht="17.25" hidden="1" customHeight="1" x14ac:dyDescent="0.35">
      <c r="A11" s="86">
        <v>1852</v>
      </c>
      <c r="B11" s="109" t="s">
        <v>113</v>
      </c>
      <c r="C11" s="110">
        <f>'1852'!D28-'1852'!C28</f>
        <v>216</v>
      </c>
      <c r="D11" s="110">
        <f>'1852'!E28-'1852'!D28</f>
        <v>181</v>
      </c>
      <c r="E11" s="110">
        <f>'1852'!F28-'1852'!E28</f>
        <v>164</v>
      </c>
      <c r="F11" s="110">
        <f>'1852'!G28-'1852'!F28</f>
        <v>107</v>
      </c>
      <c r="G11" s="110">
        <f>'1852'!H28-'1852'!G28</f>
        <v>47</v>
      </c>
      <c r="H11" s="110">
        <f>'1852'!I28-'1852'!H28</f>
        <v>33</v>
      </c>
      <c r="I11" s="110">
        <f>'1852'!J28-'1852'!I28</f>
        <v>20</v>
      </c>
      <c r="J11" s="180">
        <f>'1852'!K28</f>
        <v>22</v>
      </c>
      <c r="K11" s="180">
        <f>'1852'!L28</f>
        <v>50</v>
      </c>
      <c r="L11" s="180">
        <f>'1852'!M28</f>
        <v>107</v>
      </c>
      <c r="M11" s="180">
        <f>'1852'!N28</f>
        <v>251.3</v>
      </c>
      <c r="N11" s="180">
        <f>'1852'!O28</f>
        <v>448</v>
      </c>
    </row>
    <row r="12" spans="1:14" ht="16.5" x14ac:dyDescent="0.35">
      <c r="A12" s="86">
        <v>1852</v>
      </c>
      <c r="B12" s="109" t="s">
        <v>114</v>
      </c>
      <c r="C12" s="111">
        <f t="shared" ref="C12:D12" si="12">C10/C11*1000</f>
        <v>162.66666666666652</v>
      </c>
      <c r="D12" s="111">
        <f t="shared" si="12"/>
        <v>164.88397790055234</v>
      </c>
      <c r="E12" s="111">
        <f t="shared" ref="E12:F12" si="13">E10/E11*1000</f>
        <v>155.41463414634174</v>
      </c>
      <c r="F12" s="111">
        <f t="shared" si="13"/>
        <v>168.89719626168164</v>
      </c>
      <c r="G12" s="111">
        <f t="shared" ref="G12:H12" si="14">G10/G11*1000</f>
        <v>131.74468085106375</v>
      </c>
      <c r="H12" s="111">
        <f t="shared" si="14"/>
        <v>123.27272727272987</v>
      </c>
      <c r="I12" s="111">
        <f t="shared" ref="I12:J12" si="15">I10/I11*1000</f>
        <v>109.80000000000246</v>
      </c>
      <c r="J12" s="178">
        <f t="shared" si="15"/>
        <v>111.36363636363637</v>
      </c>
      <c r="K12" s="178">
        <f t="shared" ref="K12:L12" si="16">K10/K11*1000</f>
        <v>119.00000000000001</v>
      </c>
      <c r="L12" s="178">
        <f t="shared" si="16"/>
        <v>133.55140186915887</v>
      </c>
      <c r="M12" s="178">
        <f t="shared" ref="M12:N12" si="17">M10/M11*1000</f>
        <v>151.37286112216472</v>
      </c>
      <c r="N12" s="178">
        <f t="shared" si="17"/>
        <v>159.82142857142856</v>
      </c>
    </row>
    <row r="13" spans="1:14" ht="15" hidden="1" customHeight="1" x14ac:dyDescent="0.35">
      <c r="A13" s="86">
        <v>1853</v>
      </c>
      <c r="B13" s="86" t="s">
        <v>95</v>
      </c>
      <c r="C13" s="108">
        <f>('1853'!D28-'1853'!C28)*3.6</f>
        <v>31.788000000000046</v>
      </c>
      <c r="D13" s="108">
        <f>('1853'!E28-'1853'!D28)*3.6</f>
        <v>26.027999999999963</v>
      </c>
      <c r="E13" s="108">
        <f>('1853'!F28-'1853'!E28)*3.6</f>
        <v>21.312000000000058</v>
      </c>
      <c r="F13" s="108">
        <f>('1853'!G28-'1853'!F28)*3.6</f>
        <v>13.427999999999964</v>
      </c>
      <c r="G13" s="108">
        <f>('1853'!H28-'1853'!G28)*3.6</f>
        <v>3.7439999999999714</v>
      </c>
      <c r="H13" s="108">
        <f>('1853'!I28-'1853'!H28)*3.6</f>
        <v>2.7</v>
      </c>
      <c r="I13" s="108">
        <f>('1853'!J28-'1853'!I28)*3.6</f>
        <v>1.5840000000000942</v>
      </c>
      <c r="J13" s="179">
        <f>'1853'!K28</f>
        <v>2.08</v>
      </c>
      <c r="K13" s="179">
        <f>'1853'!L28</f>
        <v>5</v>
      </c>
      <c r="L13" s="179">
        <f>'1853'!M28</f>
        <v>10.31</v>
      </c>
      <c r="M13" s="179">
        <f>'1853'!N28</f>
        <v>31.97</v>
      </c>
      <c r="N13" s="179">
        <f>'1853'!O28</f>
        <v>63.56</v>
      </c>
    </row>
    <row r="14" spans="1:14" ht="17.25" hidden="1" customHeight="1" x14ac:dyDescent="0.35">
      <c r="A14" s="86">
        <v>1853</v>
      </c>
      <c r="B14" s="109" t="s">
        <v>113</v>
      </c>
      <c r="C14" s="110">
        <f>'1853'!D29-'1853'!C29</f>
        <v>193</v>
      </c>
      <c r="D14" s="110">
        <f>'1853'!E29-'1853'!D29</f>
        <v>162</v>
      </c>
      <c r="E14" s="110">
        <f>'1853'!F29-'1853'!E29</f>
        <v>134</v>
      </c>
      <c r="F14" s="110">
        <f>'1853'!G29-'1853'!F29</f>
        <v>90</v>
      </c>
      <c r="G14" s="110">
        <f>'1853'!H29-'1853'!G29</f>
        <v>29</v>
      </c>
      <c r="H14" s="110">
        <f>'1853'!I29-'1853'!H29</f>
        <v>23</v>
      </c>
      <c r="I14" s="110">
        <f>'1853'!J29-'1853'!I29</f>
        <v>15</v>
      </c>
      <c r="J14" s="180">
        <f>'1853'!K29</f>
        <v>18</v>
      </c>
      <c r="K14" s="180">
        <f>'1853'!L29</f>
        <v>43</v>
      </c>
      <c r="L14" s="180">
        <f>'1853'!M29</f>
        <v>85</v>
      </c>
      <c r="M14" s="180">
        <f>'1853'!N29</f>
        <v>234</v>
      </c>
      <c r="N14" s="180">
        <f>'1853'!O29</f>
        <v>442</v>
      </c>
    </row>
    <row r="15" spans="1:14" ht="16.5" hidden="1" x14ac:dyDescent="0.35">
      <c r="A15" s="86">
        <v>1853</v>
      </c>
      <c r="B15" s="109" t="s">
        <v>114</v>
      </c>
      <c r="C15" s="111">
        <f t="shared" ref="C15:D15" si="18">C13/C14*1000</f>
        <v>164.70466321243549</v>
      </c>
      <c r="D15" s="111">
        <f t="shared" si="18"/>
        <v>160.66666666666643</v>
      </c>
      <c r="E15" s="111">
        <f t="shared" ref="E15:F15" si="19">E13/E14*1000</f>
        <v>159.04477611940342</v>
      </c>
      <c r="F15" s="111">
        <f t="shared" si="19"/>
        <v>149.19999999999959</v>
      </c>
      <c r="G15" s="111">
        <f t="shared" ref="G15:H15" si="20">G13/G14*1000</f>
        <v>129.1034482758611</v>
      </c>
      <c r="H15" s="111">
        <f t="shared" si="20"/>
        <v>117.39130434782609</v>
      </c>
      <c r="I15" s="111">
        <f t="shared" ref="I15:J15" si="21">I13/I14*1000</f>
        <v>105.60000000000629</v>
      </c>
      <c r="J15" s="178">
        <f t="shared" si="21"/>
        <v>115.55555555555556</v>
      </c>
      <c r="K15" s="178">
        <f t="shared" ref="K15:L15" si="22">K13/K14*1000</f>
        <v>116.27906976744185</v>
      </c>
      <c r="L15" s="178">
        <f t="shared" si="22"/>
        <v>121.29411764705883</v>
      </c>
      <c r="M15" s="178">
        <f t="shared" ref="M15:N15" si="23">M13/M14*1000</f>
        <v>136.62393162393164</v>
      </c>
      <c r="N15" s="178">
        <f t="shared" si="23"/>
        <v>143.80090497737558</v>
      </c>
    </row>
    <row r="16" spans="1:14" ht="15" hidden="1" customHeight="1" x14ac:dyDescent="0.35">
      <c r="A16" s="86">
        <v>1854</v>
      </c>
      <c r="B16" s="86" t="s">
        <v>95</v>
      </c>
      <c r="C16" s="179">
        <f>'1854'!D27-'1854'!C27</f>
        <v>32.139999999999986</v>
      </c>
      <c r="D16" s="179">
        <f>'1854'!E27-'1854'!D27</f>
        <v>28.629999999999995</v>
      </c>
      <c r="E16" s="179">
        <f>'1854'!F27-'1854'!E27</f>
        <v>23.82000000000005</v>
      </c>
      <c r="F16" s="179">
        <f>'1854'!G27-'1854'!F27</f>
        <v>16.919999999999959</v>
      </c>
      <c r="G16" s="179">
        <f>'1854'!H27-'1854'!G27</f>
        <v>6.3500000000000227</v>
      </c>
      <c r="H16" s="179">
        <f>'1854'!I27-'1854'!H27</f>
        <v>4.2300000000000182</v>
      </c>
      <c r="I16" s="179">
        <f>'1854'!J27-'1854'!I27</f>
        <v>2.7799999999999727</v>
      </c>
      <c r="J16" s="179">
        <f>'1854'!K27-'1854'!J27</f>
        <v>2.6399999999999864</v>
      </c>
      <c r="K16" s="179">
        <f>'1854'!L27-'1854'!K27</f>
        <v>3.2699999999999818</v>
      </c>
      <c r="L16" s="179">
        <f>'1854'!M27-'1854'!L27</f>
        <v>6.8700000000000045</v>
      </c>
      <c r="M16" s="179">
        <f>'1854'!N27-'1854'!M27</f>
        <v>22.649999999999977</v>
      </c>
      <c r="N16" s="179">
        <f>'1854'!O27-'1854'!N27</f>
        <v>31.360000000000014</v>
      </c>
    </row>
    <row r="17" spans="1:14" ht="17.25" hidden="1" customHeight="1" x14ac:dyDescent="0.35">
      <c r="A17" s="86">
        <v>1854</v>
      </c>
      <c r="B17" s="109" t="s">
        <v>113</v>
      </c>
      <c r="C17" s="180">
        <f>'1854'!D28-'1854'!C28</f>
        <v>204</v>
      </c>
      <c r="D17" s="180">
        <f>'1854'!E28-'1854'!D28</f>
        <v>190</v>
      </c>
      <c r="E17" s="180">
        <f>'1854'!F28-'1854'!E28</f>
        <v>154</v>
      </c>
      <c r="F17" s="180">
        <f>'1854'!G28-'1854'!F28</f>
        <v>114</v>
      </c>
      <c r="G17" s="180">
        <f>'1854'!H28-'1854'!G28</f>
        <v>65</v>
      </c>
      <c r="H17" s="180">
        <f>'1854'!I28-'1854'!H28</f>
        <v>58</v>
      </c>
      <c r="I17" s="180">
        <f>'1854'!J28-'1854'!I28</f>
        <v>41</v>
      </c>
      <c r="J17" s="180">
        <f>'1854'!K28-'1854'!J28</f>
        <v>39</v>
      </c>
      <c r="K17" s="180">
        <f>'1854'!L28-'1854'!K28</f>
        <v>43</v>
      </c>
      <c r="L17" s="180">
        <f>'1854'!M28-'1854'!L28</f>
        <v>61</v>
      </c>
      <c r="M17" s="180">
        <f>'1854'!N28-'1854'!M28</f>
        <v>156</v>
      </c>
      <c r="N17" s="180">
        <f>'1854'!O28-'1854'!N28</f>
        <v>210</v>
      </c>
    </row>
    <row r="18" spans="1:14" ht="16.5" x14ac:dyDescent="0.35">
      <c r="A18" s="86">
        <v>1854</v>
      </c>
      <c r="B18" s="109" t="s">
        <v>114</v>
      </c>
      <c r="C18" s="178">
        <f t="shared" ref="C18:D18" si="24">C16/C17*1000</f>
        <v>157.54901960784306</v>
      </c>
      <c r="D18" s="178">
        <f t="shared" si="24"/>
        <v>150.68421052631575</v>
      </c>
      <c r="E18" s="178">
        <f t="shared" ref="E18:F18" si="25">E16/E17*1000</f>
        <v>154.67532467532499</v>
      </c>
      <c r="F18" s="178">
        <f t="shared" si="25"/>
        <v>148.42105263157859</v>
      </c>
      <c r="G18" s="178">
        <f t="shared" ref="G18:H18" si="26">G16/G17*1000</f>
        <v>97.692307692308034</v>
      </c>
      <c r="H18" s="178">
        <f t="shared" si="26"/>
        <v>72.931034482758932</v>
      </c>
      <c r="I18" s="178">
        <f t="shared" ref="I18:J18" si="27">I16/I17*1000</f>
        <v>67.804878048779827</v>
      </c>
      <c r="J18" s="178">
        <f t="shared" si="27"/>
        <v>67.692307692307338</v>
      </c>
      <c r="K18" s="178">
        <f t="shared" ref="K18:L18" si="28">K16/K17*1000</f>
        <v>76.046511627906554</v>
      </c>
      <c r="L18" s="178">
        <f t="shared" si="28"/>
        <v>112.6229508196722</v>
      </c>
      <c r="M18" s="178">
        <f t="shared" ref="M18:N18" si="29">M16/M17*1000</f>
        <v>145.19230769230754</v>
      </c>
      <c r="N18" s="178">
        <f t="shared" si="29"/>
        <v>149.3333333333334</v>
      </c>
    </row>
    <row r="19" spans="1:14" ht="15" hidden="1" customHeight="1" x14ac:dyDescent="0.35">
      <c r="A19" s="86">
        <v>1855</v>
      </c>
      <c r="B19" s="86" t="s">
        <v>95</v>
      </c>
      <c r="C19" s="179">
        <f>'1855'!D27-'1855'!C27</f>
        <v>33.970000000000027</v>
      </c>
      <c r="D19" s="179">
        <f>'1855'!E27-'1855'!D27</f>
        <v>30.579999999999927</v>
      </c>
      <c r="E19" s="179">
        <f>'1855'!F27-'1855'!E27</f>
        <v>25.090000000000032</v>
      </c>
      <c r="F19" s="179">
        <f>'1855'!G27-'1855'!F27</f>
        <v>17.529999999999973</v>
      </c>
      <c r="G19" s="179">
        <f>'1855'!H27-'1855'!G27</f>
        <v>4.82000000000005</v>
      </c>
      <c r="H19" s="179">
        <f>'1855'!I27-'1855'!H27</f>
        <v>3.3299999999999272</v>
      </c>
      <c r="I19" s="179">
        <f>'1855'!J27-'1855'!I27</f>
        <v>1.9500000000000455</v>
      </c>
      <c r="J19" s="179">
        <f>'1855'!K27-'1855'!J27</f>
        <v>2.4700000000000273</v>
      </c>
      <c r="K19" s="179">
        <f>'1855'!L27-'1855'!K27</f>
        <v>2.8400000000000318</v>
      </c>
      <c r="L19" s="179">
        <f>'1855'!M27-'1855'!L27</f>
        <v>8.1199999999998909</v>
      </c>
      <c r="M19" s="179">
        <f>'1855'!N27-'1855'!M27</f>
        <v>25.610000000000014</v>
      </c>
      <c r="N19" s="179">
        <f>'1855'!O27-'1855'!N27</f>
        <v>33.900000000000091</v>
      </c>
    </row>
    <row r="20" spans="1:14" ht="17.25" hidden="1" customHeight="1" x14ac:dyDescent="0.35">
      <c r="A20" s="86">
        <v>1855</v>
      </c>
      <c r="B20" s="109" t="s">
        <v>113</v>
      </c>
      <c r="C20" s="180">
        <f>'1855'!D28-'1855'!C28</f>
        <v>224</v>
      </c>
      <c r="D20" s="180">
        <f>'1855'!E28-'1855'!D28</f>
        <v>203</v>
      </c>
      <c r="E20" s="180">
        <f>'1855'!F28-'1855'!E28</f>
        <v>163</v>
      </c>
      <c r="F20" s="180">
        <f>'1855'!G28-'1855'!F28</f>
        <v>122</v>
      </c>
      <c r="G20" s="180">
        <f>'1855'!H28-'1855'!G28</f>
        <v>32</v>
      </c>
      <c r="H20" s="180">
        <f>'1855'!I28-'1855'!H28</f>
        <v>24</v>
      </c>
      <c r="I20" s="180">
        <f>'1855'!J28-'1855'!I28</f>
        <v>15</v>
      </c>
      <c r="J20" s="180">
        <f>'1855'!K28-'1855'!J28</f>
        <v>19</v>
      </c>
      <c r="K20" s="180">
        <f>'1855'!L28-'1855'!K28</f>
        <v>21</v>
      </c>
      <c r="L20" s="180">
        <f>'1855'!M28-'1855'!L28</f>
        <v>69</v>
      </c>
      <c r="M20" s="180">
        <f>'1855'!N28-'1855'!M28</f>
        <v>188.10000000000036</v>
      </c>
      <c r="N20" s="180">
        <f>'1855'!O28-'1855'!N28</f>
        <v>227.89999999999964</v>
      </c>
    </row>
    <row r="21" spans="1:14" ht="16.5" x14ac:dyDescent="0.35">
      <c r="A21" s="86">
        <v>1855</v>
      </c>
      <c r="B21" s="109" t="s">
        <v>114</v>
      </c>
      <c r="C21" s="178">
        <f t="shared" ref="C21:D21" si="30">C19/C20*1000</f>
        <v>151.65178571428584</v>
      </c>
      <c r="D21" s="178">
        <f t="shared" si="30"/>
        <v>150.64039408866958</v>
      </c>
      <c r="E21" s="178">
        <f t="shared" ref="E21:F21" si="31">E19/E20*1000</f>
        <v>153.92638036809836</v>
      </c>
      <c r="F21" s="178">
        <f t="shared" si="31"/>
        <v>143.68852459016369</v>
      </c>
      <c r="G21" s="178">
        <f t="shared" ref="G21:H21" si="32">G19/G20*1000</f>
        <v>150.62500000000156</v>
      </c>
      <c r="H21" s="178">
        <f t="shared" si="32"/>
        <v>138.74999999999696</v>
      </c>
      <c r="I21" s="178">
        <f t="shared" ref="I21:J21" si="33">I19/I20*1000</f>
        <v>130.00000000000304</v>
      </c>
      <c r="J21" s="178">
        <f t="shared" si="33"/>
        <v>130.00000000000145</v>
      </c>
      <c r="K21" s="178">
        <f t="shared" ref="K21:L21" si="34">K19/K20*1000</f>
        <v>135.23809523809678</v>
      </c>
      <c r="L21" s="178">
        <f t="shared" si="34"/>
        <v>117.68115942028827</v>
      </c>
      <c r="M21" s="178">
        <f t="shared" ref="M21:N21" si="35">M19/M20*1000</f>
        <v>136.15098351940438</v>
      </c>
      <c r="N21" s="178">
        <f t="shared" si="35"/>
        <v>148.74945151382249</v>
      </c>
    </row>
    <row r="22" spans="1:14" ht="15" hidden="1" customHeight="1" x14ac:dyDescent="0.35">
      <c r="A22" s="86">
        <v>1856</v>
      </c>
      <c r="B22" s="86" t="s">
        <v>95</v>
      </c>
      <c r="C22" s="179">
        <f>'1856'!D27-'1856'!C27</f>
        <v>31.96999999999997</v>
      </c>
      <c r="D22" s="179">
        <f>'1856'!E27-'1856'!D27</f>
        <v>27.509999999999991</v>
      </c>
      <c r="E22" s="179">
        <f>'1856'!F27-'1856'!E27</f>
        <v>21.420000000000073</v>
      </c>
      <c r="F22" s="179">
        <f>'1856'!G27-'1856'!F27</f>
        <v>14.3599999999999</v>
      </c>
      <c r="G22" s="179">
        <f>'1856'!H27-'1856'!G27</f>
        <v>4.9200000000000728</v>
      </c>
      <c r="H22" s="179">
        <f>'1856'!I27-'1856'!H27</f>
        <v>3.4599999999999227</v>
      </c>
      <c r="I22" s="179">
        <f>'1856'!J27-'1856'!I27</f>
        <v>2.0300000000000864</v>
      </c>
      <c r="J22" s="179">
        <f>'1856'!K27-'1856'!J27</f>
        <v>2.4199999999999591</v>
      </c>
      <c r="K22" s="179">
        <f>'1856'!L27-'1856'!K27</f>
        <v>3.3500000000000227</v>
      </c>
      <c r="L22" s="179">
        <f>'1856'!M27-'1856'!L27</f>
        <v>5.7200000000000273</v>
      </c>
      <c r="M22" s="179">
        <f>'1856'!N27-'1856'!M27</f>
        <v>23.399999999999977</v>
      </c>
      <c r="N22" s="179">
        <f>'1856'!O27-'1856'!N27</f>
        <v>31.100000000000023</v>
      </c>
    </row>
    <row r="23" spans="1:14" ht="17.25" hidden="1" customHeight="1" x14ac:dyDescent="0.35">
      <c r="A23" s="86">
        <v>1856</v>
      </c>
      <c r="B23" s="109" t="s">
        <v>113</v>
      </c>
      <c r="C23" s="180">
        <f>'1856'!D28-'1856'!C28</f>
        <v>200</v>
      </c>
      <c r="D23" s="180">
        <f>'1856'!E28-'1856'!D28</f>
        <v>173</v>
      </c>
      <c r="E23" s="180">
        <f>'1856'!F28-'1856'!E28</f>
        <v>133</v>
      </c>
      <c r="F23" s="180">
        <f>'1856'!G28-'1856'!F28</f>
        <v>83</v>
      </c>
      <c r="G23" s="180">
        <f>'1856'!H28-'1856'!G28</f>
        <v>33</v>
      </c>
      <c r="H23" s="180">
        <f>'1856'!I28-'1856'!H28</f>
        <v>24</v>
      </c>
      <c r="I23" s="180">
        <f>'1856'!J28-'1856'!I28</f>
        <v>15</v>
      </c>
      <c r="J23" s="180">
        <f>'1856'!K28-'1856'!J28</f>
        <v>18</v>
      </c>
      <c r="K23" s="180">
        <f>'1856'!L28-'1856'!K28</f>
        <v>22.5</v>
      </c>
      <c r="L23" s="180">
        <f>'1856'!M28-'1856'!L28</f>
        <v>36.5</v>
      </c>
      <c r="M23" s="180">
        <f>'1856'!N28-'1856'!M28</f>
        <v>147.39999999999964</v>
      </c>
      <c r="N23" s="180">
        <f>'1856'!O28-'1856'!N28</f>
        <v>189.60000000000036</v>
      </c>
    </row>
    <row r="24" spans="1:14" ht="16.5" x14ac:dyDescent="0.35">
      <c r="A24" s="86">
        <v>1856</v>
      </c>
      <c r="B24" s="109" t="s">
        <v>114</v>
      </c>
      <c r="C24" s="178">
        <f t="shared" ref="C24:D24" si="36">C22/C23*1000</f>
        <v>159.84999999999985</v>
      </c>
      <c r="D24" s="178">
        <f t="shared" si="36"/>
        <v>159.01734104046236</v>
      </c>
      <c r="E24" s="178">
        <f t="shared" ref="E24:F24" si="37">E22/E23*1000</f>
        <v>161.05263157894791</v>
      </c>
      <c r="F24" s="178">
        <f t="shared" si="37"/>
        <v>173.0120481927699</v>
      </c>
      <c r="G24" s="178">
        <f t="shared" ref="G24:H24" si="38">G22/G23*1000</f>
        <v>149.09090909091131</v>
      </c>
      <c r="H24" s="178">
        <f t="shared" si="38"/>
        <v>144.16666666666345</v>
      </c>
      <c r="I24" s="178">
        <f t="shared" ref="I24:J24" si="39">I22/I23*1000</f>
        <v>135.33333333333911</v>
      </c>
      <c r="J24" s="178">
        <f t="shared" si="39"/>
        <v>134.44444444444218</v>
      </c>
      <c r="K24" s="178">
        <f t="shared" ref="K24:L24" si="40">K22/K23*1000</f>
        <v>148.88888888888991</v>
      </c>
      <c r="L24" s="178">
        <f t="shared" si="40"/>
        <v>156.71232876712403</v>
      </c>
      <c r="M24" s="178">
        <f t="shared" ref="M24:N24" si="41">M22/M23*1000</f>
        <v>158.75169606512915</v>
      </c>
      <c r="N24" s="178">
        <f t="shared" si="41"/>
        <v>164.0295358649787</v>
      </c>
    </row>
    <row r="25" spans="1:14" ht="15" hidden="1" customHeight="1" x14ac:dyDescent="0.35">
      <c r="A25" s="86">
        <v>1857</v>
      </c>
      <c r="B25" s="86" t="s">
        <v>95</v>
      </c>
      <c r="C25" s="179">
        <f>'1857'!D27-'1857'!C27</f>
        <v>32.139999999999986</v>
      </c>
      <c r="D25" s="179">
        <f>'1857'!E27-'1857'!D27</f>
        <v>27.830000000000041</v>
      </c>
      <c r="E25" s="179">
        <f>'1857'!F27-'1857'!E27</f>
        <v>23.879999999999995</v>
      </c>
      <c r="F25" s="179">
        <f>'1857'!G27-'1857'!F27</f>
        <v>16.580000000000041</v>
      </c>
      <c r="G25" s="179">
        <f>'1857'!H27-'1857'!G27</f>
        <v>4.6199999999998909</v>
      </c>
      <c r="H25" s="179">
        <f>'1857'!I27-'1857'!H27</f>
        <v>2.6800000000000637</v>
      </c>
      <c r="I25" s="179">
        <f>'1857'!J27-'1857'!I27</f>
        <v>1.5299999999999727</v>
      </c>
      <c r="J25" s="179">
        <f>'1857'!K27-'1857'!J27</f>
        <v>1.8400000000000318</v>
      </c>
      <c r="K25" s="179">
        <f>'1857'!L27-'1857'!K27</f>
        <v>2.9900000000000091</v>
      </c>
      <c r="L25" s="179">
        <f>'1857'!M27-'1857'!L27</f>
        <v>7.5499999999999545</v>
      </c>
      <c r="M25" s="179">
        <f>'1857'!N27-'1857'!M27</f>
        <v>25.279999999999973</v>
      </c>
      <c r="N25" s="179">
        <f>'1857'!O27-'1857'!N27</f>
        <v>34.440000000000055</v>
      </c>
    </row>
    <row r="26" spans="1:14" ht="17.25" hidden="1" customHeight="1" x14ac:dyDescent="0.35">
      <c r="A26" s="86">
        <v>1857</v>
      </c>
      <c r="B26" s="109" t="s">
        <v>113</v>
      </c>
      <c r="C26" s="180">
        <f>'1857'!D28-'1857'!C28</f>
        <v>203</v>
      </c>
      <c r="D26" s="180">
        <f>'1857'!E28-'1857'!D28</f>
        <v>175</v>
      </c>
      <c r="E26" s="180">
        <f>'1857'!F28-'1857'!E28</f>
        <v>160</v>
      </c>
      <c r="F26" s="180">
        <f>'1857'!G28-'1857'!F28</f>
        <v>117</v>
      </c>
      <c r="G26" s="180">
        <f>'1857'!H28-'1857'!G28</f>
        <v>40</v>
      </c>
      <c r="H26" s="180">
        <f>'1857'!I28-'1857'!H28</f>
        <v>27</v>
      </c>
      <c r="I26" s="180">
        <f>'1857'!J28-'1857'!I28</f>
        <v>16</v>
      </c>
      <c r="J26" s="180">
        <f>'1857'!K28-'1857'!J28</f>
        <v>20</v>
      </c>
      <c r="K26" s="180">
        <f>'1857'!L28-'1857'!K28</f>
        <v>28</v>
      </c>
      <c r="L26" s="180">
        <f>'1857'!M28-'1857'!L28</f>
        <v>59</v>
      </c>
      <c r="M26" s="180">
        <f>'1857'!N28-'1857'!M28</f>
        <v>177</v>
      </c>
      <c r="N26" s="180">
        <f>'1857'!O28-'1857'!N28</f>
        <v>237</v>
      </c>
    </row>
    <row r="27" spans="1:14" ht="16.5" x14ac:dyDescent="0.35">
      <c r="A27" s="86">
        <v>1857</v>
      </c>
      <c r="B27" s="109" t="s">
        <v>114</v>
      </c>
      <c r="C27" s="178">
        <f t="shared" ref="C27:D27" si="42">C25/C26*1000</f>
        <v>158.3251231527093</v>
      </c>
      <c r="D27" s="178">
        <f t="shared" si="42"/>
        <v>159.02857142857167</v>
      </c>
      <c r="E27" s="178">
        <f t="shared" ref="E27:F27" si="43">E25/E26*1000</f>
        <v>149.24999999999997</v>
      </c>
      <c r="F27" s="178">
        <f t="shared" si="43"/>
        <v>141.70940170940204</v>
      </c>
      <c r="G27" s="178">
        <f t="shared" ref="G27:H27" si="44">G25/G26*1000</f>
        <v>115.49999999999727</v>
      </c>
      <c r="H27" s="178">
        <f t="shared" si="44"/>
        <v>99.259259259261611</v>
      </c>
      <c r="I27" s="178">
        <f t="shared" ref="I27:J27" si="45">I25/I26*1000</f>
        <v>95.624999999998295</v>
      </c>
      <c r="J27" s="178">
        <f t="shared" si="45"/>
        <v>92.000000000001592</v>
      </c>
      <c r="K27" s="178">
        <f t="shared" ref="K27:L27" si="46">K25/K26*1000</f>
        <v>106.7857142857146</v>
      </c>
      <c r="L27" s="178">
        <f t="shared" si="46"/>
        <v>127.96610169491449</v>
      </c>
      <c r="M27" s="178">
        <f t="shared" ref="M27:N27" si="47">M25/M26*1000</f>
        <v>142.824858757062</v>
      </c>
      <c r="N27" s="178">
        <f t="shared" si="47"/>
        <v>145.31645569620278</v>
      </c>
    </row>
  </sheetData>
  <conditionalFormatting sqref="D4:N5">
    <cfRule type="cellIs" dxfId="3" priority="4" stopIfTrue="1" operator="equal">
      <formula>0</formula>
    </cfRule>
    <cfRule type="cellIs" dxfId="2" priority="5" stopIfTrue="1" operator="lessThan">
      <formula>0</formula>
    </cfRule>
  </conditionalFormatting>
  <pageMargins left="0.7" right="0.7" top="0.78740157499999996" bottom="0.78740157499999996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14"/>
  <sheetViews>
    <sheetView workbookViewId="0">
      <selection activeCell="M4" sqref="M4:N14"/>
    </sheetView>
  </sheetViews>
  <sheetFormatPr defaultRowHeight="14.5" x14ac:dyDescent="0.35"/>
  <cols>
    <col min="1" max="1" width="9" customWidth="1"/>
    <col min="2" max="2" width="8.81640625" customWidth="1"/>
  </cols>
  <sheetData>
    <row r="1" spans="1:17" x14ac:dyDescent="0.35">
      <c r="A1" s="24" t="s">
        <v>231</v>
      </c>
      <c r="E1" s="24" t="s">
        <v>230</v>
      </c>
      <c r="H1" s="24" t="s">
        <v>232</v>
      </c>
      <c r="O1" s="181">
        <f>'S1'!B1</f>
        <v>2023</v>
      </c>
    </row>
    <row r="2" spans="1:17" ht="2.25" customHeight="1" x14ac:dyDescent="0.35">
      <c r="A2" s="24"/>
      <c r="O2" s="182"/>
    </row>
    <row r="3" spans="1:17" ht="13.5" customHeight="1" x14ac:dyDescent="0.35">
      <c r="A3" s="108"/>
      <c r="B3" s="108"/>
      <c r="C3" s="86" t="s">
        <v>4</v>
      </c>
      <c r="D3" s="86" t="s">
        <v>5</v>
      </c>
      <c r="E3" s="86" t="s">
        <v>6</v>
      </c>
      <c r="F3" s="86" t="s">
        <v>7</v>
      </c>
      <c r="G3" s="86" t="s">
        <v>8</v>
      </c>
      <c r="H3" s="86" t="s">
        <v>9</v>
      </c>
      <c r="I3" s="86" t="s">
        <v>10</v>
      </c>
      <c r="J3" s="86" t="s">
        <v>11</v>
      </c>
      <c r="K3" s="86" t="s">
        <v>12</v>
      </c>
      <c r="L3" s="86" t="s">
        <v>13</v>
      </c>
      <c r="M3" s="86" t="s">
        <v>14</v>
      </c>
      <c r="N3" s="86" t="s">
        <v>3</v>
      </c>
      <c r="O3" s="181" t="s">
        <v>246</v>
      </c>
      <c r="Q3" s="164" t="s">
        <v>229</v>
      </c>
    </row>
    <row r="4" spans="1:17" ht="13.5" customHeight="1" x14ac:dyDescent="0.35">
      <c r="A4" s="86">
        <v>1850</v>
      </c>
      <c r="B4" s="86" t="s">
        <v>96</v>
      </c>
      <c r="C4" s="184">
        <f>'1850'!D26-'1850'!C26</f>
        <v>60.099999999999909</v>
      </c>
      <c r="D4" s="184">
        <f>'1850'!E26-'1850'!D26</f>
        <v>58.599999999999909</v>
      </c>
      <c r="E4" s="184">
        <f>'1850'!F26-'1850'!E26</f>
        <v>65.200000000000273</v>
      </c>
      <c r="F4" s="184">
        <f>'1850'!G26-'1850'!F26</f>
        <v>58.299999999999727</v>
      </c>
      <c r="G4" s="184">
        <f>'1850'!H26-'1850'!G26</f>
        <v>58</v>
      </c>
      <c r="H4" s="184">
        <f>'1850'!I26-'1850'!H26</f>
        <v>64.700000000000273</v>
      </c>
      <c r="I4" s="184">
        <f>'1850'!J26-'1850'!I26</f>
        <v>42.299999999999727</v>
      </c>
      <c r="J4" s="184">
        <f>'1850'!K26-'1850'!J26</f>
        <v>58.400000000000091</v>
      </c>
      <c r="K4" s="184">
        <f>'1850'!L26-'1850'!K26</f>
        <v>66.199999999999818</v>
      </c>
      <c r="L4" s="184">
        <f>'1850'!M26-'1850'!L26</f>
        <v>51.600000000000364</v>
      </c>
      <c r="M4" s="184">
        <f>'1850'!N26-'1850'!M26</f>
        <v>59.199999999999818</v>
      </c>
      <c r="N4" s="184">
        <f>'1850'!O26-'1850'!N26</f>
        <v>61.5</v>
      </c>
      <c r="O4" s="185">
        <f>SUM(C4:N4)</f>
        <v>704.09999999999991</v>
      </c>
    </row>
    <row r="5" spans="1:17" ht="13.5" customHeight="1" x14ac:dyDescent="0.35">
      <c r="A5" s="86">
        <v>1851</v>
      </c>
      <c r="B5" s="86" t="s">
        <v>96</v>
      </c>
      <c r="C5" s="184">
        <f>'1851'!E26-'1851'!D26</f>
        <v>92.599999999999909</v>
      </c>
      <c r="D5" s="184">
        <f>'1851'!F26-'1851'!E26</f>
        <v>76.299999999999727</v>
      </c>
      <c r="E5" s="184">
        <f>'1851'!G26-'1851'!F26</f>
        <v>91.800000000000182</v>
      </c>
      <c r="F5" s="184">
        <f>'1851'!H26-'1851'!G26</f>
        <v>91.600000000000364</v>
      </c>
      <c r="G5" s="184">
        <f>'1851'!I26-'1851'!H26</f>
        <v>98.099999999999454</v>
      </c>
      <c r="H5" s="184">
        <f>'1851'!J26-'1851'!I26</f>
        <v>95.699999999999818</v>
      </c>
      <c r="I5" s="184">
        <f>'1851'!K26-'1851'!J26</f>
        <v>68.100000000000364</v>
      </c>
      <c r="J5" s="184">
        <f>'1851'!L26-'1851'!K26</f>
        <v>75.600000000000364</v>
      </c>
      <c r="K5" s="184">
        <f>'1851'!M26-'1851'!L26</f>
        <v>75.699999999999818</v>
      </c>
      <c r="L5" s="184">
        <f>'1851'!N26-'1851'!M26</f>
        <v>81.899999999999636</v>
      </c>
      <c r="M5" s="184">
        <f>'1851'!O26-'1851'!N26</f>
        <v>86.600000000000364</v>
      </c>
      <c r="N5" s="184">
        <f>'1851'!P26-'1851'!O26</f>
        <v>96.300000000000182</v>
      </c>
      <c r="O5" s="185">
        <f t="shared" ref="O5:O14" si="0">SUM(C5:N5)</f>
        <v>1030.3000000000002</v>
      </c>
    </row>
    <row r="6" spans="1:17" ht="13.5" customHeight="1" x14ac:dyDescent="0.35">
      <c r="A6" s="86">
        <v>1852</v>
      </c>
      <c r="B6" s="86" t="s">
        <v>96</v>
      </c>
      <c r="C6" s="184">
        <f>'1852'!D26-'1852'!C26</f>
        <v>95.600000000000364</v>
      </c>
      <c r="D6" s="184">
        <f>'1852'!E26-'1852'!D26</f>
        <v>86.5</v>
      </c>
      <c r="E6" s="184">
        <f>'1852'!F26-'1852'!E26</f>
        <v>91.899999999999636</v>
      </c>
      <c r="F6" s="184">
        <f>'1852'!G26-'1852'!F26</f>
        <v>87</v>
      </c>
      <c r="G6" s="184">
        <f>'1852'!H26-'1852'!G26</f>
        <v>90</v>
      </c>
      <c r="H6" s="184">
        <f>'1852'!I26-'1852'!H26</f>
        <v>87.400000000000091</v>
      </c>
      <c r="I6" s="184">
        <f>'1852'!J26-'1852'!I26</f>
        <v>64.599999999999909</v>
      </c>
      <c r="J6" s="184">
        <f>'1852'!K26-'1852'!J26</f>
        <v>76.400000000000546</v>
      </c>
      <c r="K6" s="184">
        <f>'1852'!L26-'1852'!K26</f>
        <v>87.699999999999818</v>
      </c>
      <c r="L6" s="184">
        <f>'1852'!M26-'1852'!L26</f>
        <v>98.5</v>
      </c>
      <c r="M6" s="184">
        <f>'1852'!N26-'1852'!M26</f>
        <v>91.599999999999454</v>
      </c>
      <c r="N6" s="184">
        <f>'1852'!O26-'1852'!N26</f>
        <v>91.400000000000546</v>
      </c>
      <c r="O6" s="185">
        <f t="shared" si="0"/>
        <v>1048.6000000000004</v>
      </c>
    </row>
    <row r="7" spans="1:17" ht="13.5" customHeight="1" x14ac:dyDescent="0.35">
      <c r="A7" s="86">
        <v>1853</v>
      </c>
      <c r="B7" s="86" t="s">
        <v>96</v>
      </c>
      <c r="C7" s="184">
        <f>'1853'!D27-'1853'!C27+'1853'!C26-'1853'!D26</f>
        <v>70</v>
      </c>
      <c r="D7" s="184">
        <f>'1853'!E27-'1853'!D27+'1853'!D26-'1853'!E26</f>
        <v>62.300000000000182</v>
      </c>
      <c r="E7" s="184">
        <f>'1853'!F27-'1853'!E27+'1853'!E26-'1853'!F26</f>
        <v>73.799999999999727</v>
      </c>
      <c r="F7" s="184">
        <f>'1853'!G27-'1853'!F27+'1853'!F26-'1853'!G26</f>
        <v>74</v>
      </c>
      <c r="G7" s="184">
        <f>'1853'!H27-'1853'!G27+'1853'!G26-'1853'!H26</f>
        <v>81.37400000000008</v>
      </c>
      <c r="H7" s="184">
        <f>'1853'!I27-'1853'!H27+'1853'!H26-'1853'!I26</f>
        <v>77.715000000000146</v>
      </c>
      <c r="I7" s="184">
        <f>'1853'!J27-'1853'!I27+'1853'!I26-'1853'!J26</f>
        <v>53.103000000000293</v>
      </c>
      <c r="J7" s="184">
        <f>'1853'!K27-'1853'!J27+'1853'!J26-'1853'!K26</f>
        <v>66.112999999999829</v>
      </c>
      <c r="K7" s="184">
        <f>'1853'!L27-'1853'!K27+'1853'!K26-'1853'!L26</f>
        <v>75.182000000000016</v>
      </c>
      <c r="L7" s="184">
        <f>'1853'!M27-'1853'!L27+'1853'!L26-'1853'!M26</f>
        <v>71.680000000000291</v>
      </c>
      <c r="M7" s="184">
        <f>'1853'!N27-'1853'!M27+'1853'!M26-'1853'!N26</f>
        <v>75.104999999999677</v>
      </c>
      <c r="N7" s="184">
        <f>'1853'!O27-'1853'!N27+'1853'!N26-'1853'!O26</f>
        <v>82.100000000000364</v>
      </c>
      <c r="O7" s="185">
        <f t="shared" si="0"/>
        <v>862.47200000000055</v>
      </c>
    </row>
    <row r="8" spans="1:17" ht="13.5" customHeight="1" x14ac:dyDescent="0.35">
      <c r="A8" s="86">
        <v>1854</v>
      </c>
      <c r="B8" s="86" t="s">
        <v>96</v>
      </c>
      <c r="C8" s="184">
        <f>'1854'!D26-'1854'!C26</f>
        <v>64.200000000000273</v>
      </c>
      <c r="D8" s="184">
        <f>'1854'!E26-'1854'!D26</f>
        <v>56.5</v>
      </c>
      <c r="E8" s="184">
        <f>'1854'!F26-'1854'!E26</f>
        <v>60.699999999999818</v>
      </c>
      <c r="F8" s="184">
        <f>'1854'!G26-'1854'!F26</f>
        <v>57.800000000000182</v>
      </c>
      <c r="G8" s="184">
        <f>'1854'!H26-'1854'!G26</f>
        <v>59</v>
      </c>
      <c r="H8" s="184">
        <f>'1854'!I26-'1854'!H26</f>
        <v>68.199999999999818</v>
      </c>
      <c r="I8" s="184">
        <f>'1854'!J26-'1854'!I26</f>
        <v>48.800000000000182</v>
      </c>
      <c r="J8" s="184">
        <f>'1854'!K26-'1854'!J26</f>
        <v>52</v>
      </c>
      <c r="K8" s="184">
        <f>'1854'!L26-'1854'!K26</f>
        <v>59.699999999999818</v>
      </c>
      <c r="L8" s="184">
        <f>'1854'!M26-'1854'!L26</f>
        <v>46.199999999999818</v>
      </c>
      <c r="M8" s="184">
        <f>'1854'!N26-'1854'!M26</f>
        <v>54.400000000000091</v>
      </c>
      <c r="N8" s="184">
        <f>'1854'!O26-'1854'!N26</f>
        <v>53.300000000000182</v>
      </c>
      <c r="O8" s="185">
        <f t="shared" si="0"/>
        <v>680.80000000000018</v>
      </c>
    </row>
    <row r="9" spans="1:17" ht="13.5" customHeight="1" x14ac:dyDescent="0.35">
      <c r="A9" s="86">
        <v>1855</v>
      </c>
      <c r="B9" s="86" t="s">
        <v>96</v>
      </c>
      <c r="C9" s="184">
        <f>'1855'!D26-'1855'!C26</f>
        <v>74</v>
      </c>
      <c r="D9" s="184">
        <f>'1855'!E26-'1855'!D26</f>
        <v>65.100000000000364</v>
      </c>
      <c r="E9" s="184">
        <f>'1855'!F26-'1855'!E26</f>
        <v>74.399999999999636</v>
      </c>
      <c r="F9" s="184">
        <f>'1855'!G26-'1855'!F26</f>
        <v>73.900000000000091</v>
      </c>
      <c r="G9" s="184">
        <f>'1855'!H26-'1855'!G26</f>
        <v>70.599999999999909</v>
      </c>
      <c r="H9" s="184">
        <f>'1855'!I26-'1855'!H26</f>
        <v>73.200000000000273</v>
      </c>
      <c r="I9" s="184">
        <f>'1855'!J26-'1855'!I26</f>
        <v>56.400000000000091</v>
      </c>
      <c r="J9" s="184">
        <f>'1855'!K26-'1855'!J26</f>
        <v>69.299999999999727</v>
      </c>
      <c r="K9" s="184">
        <f>'1855'!L26-'1855'!K26</f>
        <v>70.800000000000182</v>
      </c>
      <c r="L9" s="184">
        <f>'1855'!M26-'1855'!L26</f>
        <v>70</v>
      </c>
      <c r="M9" s="184">
        <f>'1855'!N26-'1855'!M26</f>
        <v>73.900000000000091</v>
      </c>
      <c r="N9" s="184">
        <f>'1855'!O26-'1855'!N26</f>
        <v>76.5</v>
      </c>
      <c r="O9" s="185">
        <f t="shared" si="0"/>
        <v>848.10000000000036</v>
      </c>
    </row>
    <row r="10" spans="1:17" ht="13.5" customHeight="1" x14ac:dyDescent="0.35">
      <c r="A10" s="86">
        <v>1856</v>
      </c>
      <c r="B10" s="86" t="s">
        <v>96</v>
      </c>
      <c r="C10" s="184">
        <f>'1856'!D26-'1856'!C26</f>
        <v>87.699999999999818</v>
      </c>
      <c r="D10" s="184">
        <f>'1856'!E26-'1856'!D26</f>
        <v>71.599999999999909</v>
      </c>
      <c r="E10" s="184">
        <f>'1856'!F26-'1856'!E26</f>
        <v>78.100000000000364</v>
      </c>
      <c r="F10" s="184">
        <f>'1856'!G26-'1856'!F26</f>
        <v>79.099999999999909</v>
      </c>
      <c r="G10" s="184">
        <f>'1856'!H26-'1856'!G26</f>
        <v>73</v>
      </c>
      <c r="H10" s="184">
        <f>'1856'!I26-'1856'!H26</f>
        <v>81.5</v>
      </c>
      <c r="I10" s="184">
        <f>'1856'!J26-'1856'!I26</f>
        <v>62.400000000000091</v>
      </c>
      <c r="J10" s="184">
        <f>'1856'!K26-'1856'!J26</f>
        <v>71.899999999999636</v>
      </c>
      <c r="K10" s="184">
        <f>'1856'!L26-'1856'!K26</f>
        <v>83.300000000000182</v>
      </c>
      <c r="L10" s="184">
        <f>'1856'!M26-'1856'!L26</f>
        <v>84.300000000000182</v>
      </c>
      <c r="M10" s="184">
        <f>'1856'!N26-'1856'!M26</f>
        <v>80.5</v>
      </c>
      <c r="N10" s="184">
        <f>'1856'!O26-'1856'!N26</f>
        <v>90.5</v>
      </c>
      <c r="O10" s="185">
        <f t="shared" si="0"/>
        <v>943.90000000000009</v>
      </c>
    </row>
    <row r="11" spans="1:17" ht="13.5" customHeight="1" x14ac:dyDescent="0.35">
      <c r="A11" s="86">
        <v>1857</v>
      </c>
      <c r="B11" s="86" t="s">
        <v>96</v>
      </c>
      <c r="C11" s="184">
        <f>'1857'!D26-'1857'!C26</f>
        <v>74</v>
      </c>
      <c r="D11" s="184">
        <f>'1857'!E26-'1857'!D26</f>
        <v>60.300000000000182</v>
      </c>
      <c r="E11" s="184">
        <f>'1857'!F26-'1857'!E26</f>
        <v>72.699999999999818</v>
      </c>
      <c r="F11" s="184">
        <f>'1857'!G26-'1857'!F26</f>
        <v>73</v>
      </c>
      <c r="G11" s="184">
        <f>'1857'!H26-'1857'!G26</f>
        <v>70.5</v>
      </c>
      <c r="H11" s="184">
        <f>'1857'!I26-'1857'!H26</f>
        <v>77.700000000000273</v>
      </c>
      <c r="I11" s="184">
        <f>'1857'!J26-'1857'!I26</f>
        <v>52.099999999999909</v>
      </c>
      <c r="J11" s="184">
        <f>'1857'!K26-'1857'!J26</f>
        <v>62.599999999999909</v>
      </c>
      <c r="K11" s="184">
        <f>'1857'!L26-'1857'!K26</f>
        <v>89</v>
      </c>
      <c r="L11" s="184">
        <f>'1857'!M26-'1857'!L26</f>
        <v>84.300000000000182</v>
      </c>
      <c r="M11" s="184">
        <f>'1857'!N26-'1857'!M26</f>
        <v>86.699999999999818</v>
      </c>
      <c r="N11" s="184">
        <f>'1857'!O26-'1857'!N26</f>
        <v>95.400000000000091</v>
      </c>
      <c r="O11" s="185">
        <f t="shared" si="0"/>
        <v>898.30000000000018</v>
      </c>
    </row>
    <row r="12" spans="1:17" ht="13.5" customHeight="1" x14ac:dyDescent="0.35">
      <c r="A12" s="86" t="s">
        <v>244</v>
      </c>
      <c r="B12" s="86" t="s">
        <v>96</v>
      </c>
      <c r="C12" s="184">
        <f>'1850'!D29-'1850'!C29</f>
        <v>333.20000000000073</v>
      </c>
      <c r="D12" s="184">
        <f>'1850'!E29-'1850'!D29</f>
        <v>295.79999999999927</v>
      </c>
      <c r="E12" s="184">
        <f>'1850'!F29-'1850'!E29</f>
        <v>337.30000000000291</v>
      </c>
      <c r="F12" s="184">
        <f>'1850'!G29-'1850'!F29</f>
        <v>324.79999999999927</v>
      </c>
      <c r="G12" s="184">
        <f>'1850'!H29-'1850'!G29</f>
        <v>360.5</v>
      </c>
      <c r="H12" s="184">
        <f>'1850'!I29-'1850'!H29</f>
        <v>366.20000000000073</v>
      </c>
      <c r="I12" s="184">
        <f>'1850'!J29-'1850'!I29</f>
        <v>272.59999999999854</v>
      </c>
      <c r="J12" s="184">
        <f>'1850'!K29-'1850'!J29</f>
        <v>316.09999999999854</v>
      </c>
      <c r="K12" s="184">
        <f>'1850'!L29-'1850'!K29</f>
        <v>324</v>
      </c>
      <c r="L12" s="184">
        <f>'1850'!M29-'1850'!L29</f>
        <v>332.40000000000146</v>
      </c>
      <c r="M12" s="184">
        <f>'1850'!N29-'1850'!M29</f>
        <v>325.20000000000073</v>
      </c>
      <c r="N12" s="184">
        <f>'1850'!O29-'1850'!N29</f>
        <v>342.79999999999927</v>
      </c>
      <c r="O12" s="185">
        <f t="shared" si="0"/>
        <v>3930.9000000000015</v>
      </c>
    </row>
    <row r="13" spans="1:17" ht="13.5" customHeight="1" x14ac:dyDescent="0.35">
      <c r="A13" s="86" t="s">
        <v>245</v>
      </c>
      <c r="B13" s="86" t="s">
        <v>96</v>
      </c>
      <c r="C13" s="184">
        <f>'1854'!D29-'1854'!C29</f>
        <v>287.39999999999964</v>
      </c>
      <c r="D13" s="184">
        <f>'1854'!E29-'1854'!D29</f>
        <v>244.39999999999964</v>
      </c>
      <c r="E13" s="184">
        <f>'1854'!F29-'1854'!E29</f>
        <v>274.39999999999964</v>
      </c>
      <c r="F13" s="184">
        <f>'1854'!G29-'1854'!F29</f>
        <v>270.90000000000146</v>
      </c>
      <c r="G13" s="184">
        <f>'1854'!H29-'1854'!G29</f>
        <v>262.09999999999854</v>
      </c>
      <c r="H13" s="184">
        <f>'1854'!I29-'1854'!H29</f>
        <v>287.20000000000073</v>
      </c>
      <c r="I13" s="184">
        <f>'1854'!J29-'1854'!I29</f>
        <v>210.60000000000036</v>
      </c>
      <c r="J13" s="184">
        <f>'1854'!K29-'1854'!J29</f>
        <v>244.19999999999891</v>
      </c>
      <c r="K13" s="184">
        <f>'1854'!L29-'1854'!K29</f>
        <v>287.80000000000109</v>
      </c>
      <c r="L13" s="184">
        <f>'1854'!M29-'1854'!L29</f>
        <v>272.89999999999964</v>
      </c>
      <c r="M13" s="184">
        <f>'1854'!N29-'1854'!M29</f>
        <v>281.10000000000036</v>
      </c>
      <c r="N13" s="184">
        <f>'1854'!O29-'1854'!N29</f>
        <v>299.39999999999964</v>
      </c>
      <c r="O13" s="185">
        <f t="shared" si="0"/>
        <v>3222.3999999999996</v>
      </c>
    </row>
    <row r="14" spans="1:17" ht="13.5" customHeight="1" x14ac:dyDescent="0.35">
      <c r="A14" s="108" t="s">
        <v>228</v>
      </c>
      <c r="B14" s="86" t="s">
        <v>96</v>
      </c>
      <c r="C14" s="186">
        <f>'1853'!D26-'1853'!C26</f>
        <v>0</v>
      </c>
      <c r="D14" s="186">
        <f>'1853'!E26-'1853'!D26</f>
        <v>0</v>
      </c>
      <c r="E14" s="186">
        <f>'1853'!F26-'1853'!E26</f>
        <v>0</v>
      </c>
      <c r="F14" s="186">
        <f>'1853'!G26-'1853'!F26</f>
        <v>0</v>
      </c>
      <c r="G14" s="186">
        <f>'1853'!H26-'1853'!G26</f>
        <v>26.125999999999976</v>
      </c>
      <c r="H14" s="186">
        <f>'1853'!I26-'1853'!H26</f>
        <v>30.185000000000002</v>
      </c>
      <c r="I14" s="186">
        <f>'1853'!J26-'1853'!I26</f>
        <v>30.59699999999998</v>
      </c>
      <c r="J14" s="186">
        <f>'1853'!K26-'1853'!J26</f>
        <v>23.98700000000008</v>
      </c>
      <c r="K14" s="186">
        <f>'1853'!L26-'1853'!K26</f>
        <v>14.917999999999893</v>
      </c>
      <c r="L14" s="186">
        <f>'1853'!M26-'1853'!L26</f>
        <v>4.9200000000000728</v>
      </c>
      <c r="M14" s="186">
        <f>'1853'!N26-'1853'!M26</f>
        <v>0.29499999999995907</v>
      </c>
      <c r="N14" s="186">
        <f>'1853'!O26-'1853'!N26</f>
        <v>0</v>
      </c>
      <c r="O14" s="187">
        <f t="shared" si="0"/>
        <v>131.02799999999996</v>
      </c>
    </row>
  </sheetData>
  <conditionalFormatting sqref="O4:O14">
    <cfRule type="cellIs" dxfId="1" priority="1" stopIfTrue="1" operator="equal">
      <formula>0</formula>
    </cfRule>
    <cfRule type="cellIs" dxfId="0" priority="2" stopIfTrue="1" operator="lessThan">
      <formula>0</formula>
    </cfRule>
  </conditionalFormatting>
  <pageMargins left="0.70866141732283472" right="0.70866141732283472" top="0.78740157480314965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26</vt:i4>
      </vt:variant>
      <vt:variant>
        <vt:lpstr>Pojmenované oblasti</vt:lpstr>
      </vt:variant>
      <vt:variant>
        <vt:i4>9</vt:i4>
      </vt:variant>
    </vt:vector>
  </HeadingPairs>
  <TitlesOfParts>
    <vt:vector size="35" baseType="lpstr">
      <vt:lpstr>1850</vt:lpstr>
      <vt:lpstr>1851</vt:lpstr>
      <vt:lpstr>1852</vt:lpstr>
      <vt:lpstr>1853</vt:lpstr>
      <vt:lpstr>1854</vt:lpstr>
      <vt:lpstr>1855</vt:lpstr>
      <vt:lpstr>1856</vt:lpstr>
      <vt:lpstr>1857</vt:lpstr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  <vt:lpstr>S11</vt:lpstr>
      <vt:lpstr>S12</vt:lpstr>
      <vt:lpstr>Rozdíly</vt:lpstr>
      <vt:lpstr>Rozdíly (2)</vt:lpstr>
      <vt:lpstr>S 2022</vt:lpstr>
      <vt:lpstr>S 2022 %</vt:lpstr>
      <vt:lpstr>Teplo-Paty</vt:lpstr>
      <vt:lpstr>Voda-Paty</vt:lpstr>
      <vt:lpstr>'1850'!Oblast_tisku</vt:lpstr>
      <vt:lpstr>'1851'!Oblast_tisku</vt:lpstr>
      <vt:lpstr>'1852'!Oblast_tisku</vt:lpstr>
      <vt:lpstr>'1853'!Oblast_tisku</vt:lpstr>
      <vt:lpstr>'1854'!Oblast_tisku</vt:lpstr>
      <vt:lpstr>'1855'!Oblast_tisku</vt:lpstr>
      <vt:lpstr>'1856'!Oblast_tisku</vt:lpstr>
      <vt:lpstr>'1857'!Oblast_tisku</vt:lpstr>
      <vt:lpstr>'S 2022'!Oblast_tisku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HP-HP</dc:creator>
  <cp:lastModifiedBy>Ivo Mraz</cp:lastModifiedBy>
  <cp:lastPrinted>2023-12-27T13:55:57Z</cp:lastPrinted>
  <dcterms:created xsi:type="dcterms:W3CDTF">2013-05-06T13:45:20Z</dcterms:created>
  <dcterms:modified xsi:type="dcterms:W3CDTF">2024-01-02T15:57:13Z</dcterms:modified>
</cp:coreProperties>
</file>